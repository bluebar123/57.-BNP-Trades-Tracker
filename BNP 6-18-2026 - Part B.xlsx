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3BE978AD-E2F4-4C68-97F6-D7778156EDEC}" xr6:coauthVersionLast="47" xr6:coauthVersionMax="47" xr10:uidLastSave="{00000000-0000-0000-0000-000000000000}"/>
  <bookViews>
    <workbookView xWindow="-120" yWindow="-120" windowWidth="38640" windowHeight="21120" tabRatio="909" xr2:uid="{00000000-000D-0000-FFFF-FFFF00000000}"/>
  </bookViews>
  <sheets>
    <sheet name="Summary" sheetId="113" r:id="rId1"/>
    <sheet name="Dividends" sheetId="91" r:id="rId2"/>
    <sheet name="41b" sheetId="108" r:id="rId3"/>
    <sheet name="41c" sheetId="109" r:id="rId4"/>
    <sheet name="44a" sheetId="100" r:id="rId5"/>
    <sheet name="44b" sheetId="101" r:id="rId6"/>
    <sheet name="50" sheetId="97" r:id="rId7"/>
    <sheet name="51" sheetId="99" r:id="rId8"/>
    <sheet name="52" sheetId="102" r:id="rId9"/>
    <sheet name="53" sheetId="104" r:id="rId10"/>
    <sheet name="54" sheetId="110" r:id="rId11"/>
    <sheet name="55" sheetId="112" r:id="rId12"/>
    <sheet name="2 CDS RV Template" sheetId="3" r:id="rId13"/>
    <sheet name="3 CDS RV Template" sheetId="2" r:id="rId14"/>
    <sheet name="SNRFIN vs SX7E Puts Template" sheetId="63" r:id="rId15"/>
    <sheet name="SPX vs HYG Calls Template" sheetId="45" r:id="rId16"/>
    <sheet name="CDX HY vs IWM Puts Template" sheetId="61" r:id="rId1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12" l="1"/>
  <c r="C9" i="113" a="1"/>
  <c r="C5" i="113" a="1"/>
  <c r="C7" i="113" a="1"/>
  <c r="C6" i="113" a="1"/>
  <c r="C4" i="113" a="1"/>
  <c r="C8" i="113" a="1"/>
  <c r="C10" i="113" a="1"/>
  <c r="C2" i="113" a="1"/>
  <c r="C3" i="113" a="1"/>
  <c r="E14" i="97" a="1"/>
  <c r="E14" i="102" a="1"/>
  <c r="Z3" i="108" a="1"/>
  <c r="K3" i="100" a="1"/>
  <c r="B14" i="97" a="1"/>
  <c r="E14" i="101" a="1"/>
  <c r="Z3" i="109" a="1"/>
  <c r="X3" i="108" a="1"/>
  <c r="U3" i="100" a="1"/>
  <c r="X3" i="109" a="1"/>
  <c r="J3" i="99" a="1"/>
  <c r="Q3" i="104" a="1"/>
  <c r="L3" i="61" a="1"/>
  <c r="C10" i="63" a="1"/>
  <c r="Z3" i="104" a="1"/>
  <c r="K3" i="102" a="1"/>
  <c r="S3" i="104" a="1"/>
  <c r="O3" i="104" a="1"/>
  <c r="AB3" i="104" a="1"/>
  <c r="J3" i="97" a="1"/>
  <c r="S3" i="100" a="1"/>
  <c r="K3" i="101" a="1"/>
  <c r="C10" i="101" a="1"/>
  <c r="J3" i="63" a="1"/>
  <c r="C10" i="45" a="1"/>
  <c r="B10" i="45" a="1"/>
  <c r="L3" i="109" a="1"/>
  <c r="C10" i="61" a="1"/>
  <c r="L3" i="45" a="1"/>
  <c r="L3" i="108" a="1"/>
  <c r="C9" i="109" a="1"/>
  <c r="C9" i="108" a="1"/>
  <c r="N3" i="108" a="1"/>
  <c r="J3" i="61" a="1"/>
  <c r="Z3" i="102" a="1"/>
  <c r="N3" i="109" a="1"/>
  <c r="X3" i="102" a="1"/>
  <c r="B9" i="104" a="1"/>
  <c r="J3" i="45" a="1"/>
  <c r="B10" i="110" a="1"/>
  <c r="L3" i="63" a="1"/>
  <c r="N3" i="112" a="1"/>
  <c r="P3" i="110" a="1"/>
  <c r="T3" i="112" a="1"/>
  <c r="P3" i="112" a="1"/>
  <c r="N3" i="110" a="1"/>
  <c r="D10" i="110" a="1"/>
  <c r="R3" i="112" a="1"/>
  <c r="R3" i="110" a="1"/>
  <c r="B10" i="61" a="1"/>
  <c r="B10" i="101" a="1"/>
  <c r="C9" i="104" a="1"/>
  <c r="B9" i="108" a="1"/>
  <c r="B9" i="100" a="1"/>
  <c r="B10" i="63" a="1"/>
  <c r="B10" i="99" a="1"/>
  <c r="B9" i="102" a="1"/>
  <c r="D9" i="104" a="1"/>
  <c r="C9" i="102" a="1"/>
  <c r="B10" i="112" a="1"/>
  <c r="D10" i="112" a="1"/>
  <c r="C10" i="97" a="1"/>
  <c r="C10" i="110" a="1"/>
  <c r="C10" i="99" a="1"/>
  <c r="L3" i="97" a="1"/>
  <c r="L3" i="99" a="1"/>
  <c r="X4" i="104" a="1"/>
  <c r="C9" i="100" a="1"/>
  <c r="B9" i="109" a="1"/>
  <c r="C10" i="112" a="1"/>
  <c r="D10" i="2" a="1"/>
  <c r="B10" i="97" a="1"/>
  <c r="C10" i="2" a="1"/>
  <c r="M3" i="2" a="1"/>
  <c r="B10" i="2" a="1"/>
  <c r="C10" i="3" a="1"/>
  <c r="O3" i="2" a="1"/>
  <c r="J3" i="3" a="1"/>
  <c r="B10" i="3" a="1"/>
  <c r="Q3" i="2" a="1"/>
  <c r="L3" i="3" a="1"/>
  <c r="C3" i="113" l="1"/>
  <c r="C2" i="113"/>
  <c r="C10" i="113"/>
  <c r="C8" i="113"/>
  <c r="C4" i="113"/>
  <c r="C6" i="113"/>
  <c r="C7" i="113"/>
  <c r="C5" i="113"/>
  <c r="C9" i="113"/>
  <c r="L3" i="3"/>
  <c r="Q3" i="2"/>
  <c r="B10" i="3"/>
  <c r="J3" i="3"/>
  <c r="O3" i="2"/>
  <c r="C10" i="3"/>
  <c r="B10" i="2"/>
  <c r="M3" i="2"/>
  <c r="C10" i="2"/>
  <c r="B10" i="97"/>
  <c r="D10" i="2"/>
  <c r="C10" i="112"/>
  <c r="B9" i="109"/>
  <c r="C9" i="100"/>
  <c r="X4" i="104"/>
  <c r="L3" i="99"/>
  <c r="L3" i="97"/>
  <c r="C10" i="99"/>
  <c r="C10" i="110"/>
  <c r="C10" i="97"/>
  <c r="D10" i="112"/>
  <c r="B10" i="112"/>
  <c r="C9" i="102"/>
  <c r="D9" i="104"/>
  <c r="B9" i="102"/>
  <c r="B10" i="99"/>
  <c r="B10" i="63"/>
  <c r="B9" i="100"/>
  <c r="B9" i="108"/>
  <c r="C9" i="104"/>
  <c r="B10" i="101"/>
  <c r="B10" i="61"/>
  <c r="R3" i="110"/>
  <c r="R3" i="112"/>
  <c r="D10" i="110"/>
  <c r="N3" i="110"/>
  <c r="P3" i="112"/>
  <c r="T3" i="112"/>
  <c r="P3" i="110"/>
  <c r="N3" i="112"/>
  <c r="L3" i="63"/>
  <c r="B10" i="110"/>
  <c r="J3" i="45"/>
  <c r="B9" i="104"/>
  <c r="X3" i="102"/>
  <c r="N3" i="109"/>
  <c r="Z3" i="102"/>
  <c r="J3" i="61"/>
  <c r="N3" i="108"/>
  <c r="C9" i="108"/>
  <c r="C9" i="109"/>
  <c r="L3" i="108"/>
  <c r="L3" i="45"/>
  <c r="C10" i="61"/>
  <c r="L3" i="109"/>
  <c r="B10" i="45"/>
  <c r="C10" i="45"/>
  <c r="J3" i="63"/>
  <c r="C10" i="101"/>
  <c r="K3" i="101"/>
  <c r="S3" i="100"/>
  <c r="J3" i="97"/>
  <c r="AB3" i="104"/>
  <c r="O3" i="104"/>
  <c r="S3" i="104"/>
  <c r="K3" i="102"/>
  <c r="Z3" i="104"/>
  <c r="C10" i="63"/>
  <c r="L3" i="61"/>
  <c r="Q3" i="104"/>
  <c r="J3" i="99"/>
  <c r="X3" i="109"/>
  <c r="U3" i="100"/>
  <c r="X3" i="108"/>
  <c r="Z3" i="109"/>
  <c r="E14" i="101"/>
  <c r="B14" i="97"/>
  <c r="K3" i="100"/>
  <c r="Z3" i="108"/>
  <c r="E14" i="102"/>
  <c r="E14" i="97"/>
  <c r="D5" i="112"/>
  <c r="C5" i="112"/>
  <c r="B5" i="112"/>
  <c r="G4" i="112"/>
  <c r="V109" i="112" l="1"/>
  <c r="W109" i="112" s="1"/>
  <c r="V77" i="112"/>
  <c r="W77" i="112" s="1"/>
  <c r="V104" i="112"/>
  <c r="W104" i="112" s="1"/>
  <c r="V131" i="112"/>
  <c r="W131" i="112" s="1"/>
  <c r="V130" i="112"/>
  <c r="W130" i="112" s="1"/>
  <c r="V122" i="112"/>
  <c r="W122" i="112" s="1"/>
  <c r="V80" i="112"/>
  <c r="W80" i="112" s="1"/>
  <c r="V60" i="112"/>
  <c r="W60" i="112" s="1"/>
  <c r="V28" i="112"/>
  <c r="W28" i="112" s="1"/>
  <c r="V10" i="112"/>
  <c r="W10" i="112" s="1"/>
  <c r="V93" i="112"/>
  <c r="W93" i="112" s="1"/>
  <c r="V55" i="112"/>
  <c r="W55" i="112" s="1"/>
  <c r="V23" i="112"/>
  <c r="W23" i="112" s="1"/>
  <c r="V97" i="112"/>
  <c r="W97" i="112" s="1"/>
  <c r="V89" i="112"/>
  <c r="W89" i="112" s="1"/>
  <c r="V102" i="112"/>
  <c r="W102" i="112" s="1"/>
  <c r="V94" i="112"/>
  <c r="W94" i="112" s="1"/>
  <c r="V79" i="112"/>
  <c r="W79" i="112" s="1"/>
  <c r="V71" i="112"/>
  <c r="W71" i="112" s="1"/>
  <c r="V29" i="112"/>
  <c r="W29" i="112" s="1"/>
  <c r="V76" i="112"/>
  <c r="W76" i="112" s="1"/>
  <c r="V100" i="112"/>
  <c r="W100" i="112" s="1"/>
  <c r="V78" i="112"/>
  <c r="W78" i="112" s="1"/>
  <c r="V25" i="112"/>
  <c r="W25" i="112" s="1"/>
  <c r="V33" i="112"/>
  <c r="W33" i="112" s="1"/>
  <c r="V30" i="112"/>
  <c r="W30" i="112" s="1"/>
  <c r="V119" i="112"/>
  <c r="W119" i="112" s="1"/>
  <c r="V103" i="112"/>
  <c r="W103" i="112" s="1"/>
  <c r="V87" i="112"/>
  <c r="W87" i="112" s="1"/>
  <c r="V75" i="112"/>
  <c r="W75" i="112" s="1"/>
  <c r="V61" i="112"/>
  <c r="W61" i="112" s="1"/>
  <c r="V14" i="112"/>
  <c r="W14" i="112" s="1"/>
  <c r="V41" i="112"/>
  <c r="W41" i="112" s="1"/>
  <c r="V96" i="112"/>
  <c r="W96" i="112" s="1"/>
  <c r="V106" i="112"/>
  <c r="W106" i="112" s="1"/>
  <c r="V90" i="112"/>
  <c r="W90" i="112" s="1"/>
  <c r="V72" i="112"/>
  <c r="W72" i="112" s="1"/>
  <c r="V44" i="112"/>
  <c r="W44" i="112" s="1"/>
  <c r="V58" i="112"/>
  <c r="W58" i="112" s="1"/>
  <c r="V22" i="112"/>
  <c r="W22" i="112" s="1"/>
  <c r="V52" i="112"/>
  <c r="W52" i="112" s="1"/>
  <c r="V125" i="112"/>
  <c r="W125" i="112" s="1"/>
  <c r="V69" i="112"/>
  <c r="W69" i="112" s="1"/>
  <c r="V111" i="112"/>
  <c r="W111" i="112" s="1"/>
  <c r="V43" i="112"/>
  <c r="W43" i="112" s="1"/>
  <c r="V124" i="112"/>
  <c r="W124" i="112" s="1"/>
  <c r="V62" i="112"/>
  <c r="W62" i="112" s="1"/>
  <c r="V120" i="112"/>
  <c r="W120" i="112" s="1"/>
  <c r="V82" i="112"/>
  <c r="W82" i="112" s="1"/>
  <c r="V48" i="112"/>
  <c r="W48" i="112" s="1"/>
  <c r="V34" i="112"/>
  <c r="W34" i="112" s="1"/>
  <c r="V15" i="112"/>
  <c r="W15" i="112" s="1"/>
  <c r="V101" i="112"/>
  <c r="W101" i="112" s="1"/>
  <c r="V26" i="112"/>
  <c r="W26" i="112" s="1"/>
  <c r="V74" i="112"/>
  <c r="W74" i="112" s="1"/>
  <c r="V50" i="112"/>
  <c r="W50" i="112" s="1"/>
  <c r="V110" i="112"/>
  <c r="W110" i="112" s="1"/>
  <c r="V70" i="112"/>
  <c r="W70" i="112" s="1"/>
  <c r="V105" i="112"/>
  <c r="W105" i="112" s="1"/>
  <c r="V123" i="112"/>
  <c r="W123" i="112" s="1"/>
  <c r="V65" i="112"/>
  <c r="W65" i="112" s="1"/>
  <c r="V95" i="112"/>
  <c r="W95" i="112" s="1"/>
  <c r="V73" i="112"/>
  <c r="W73" i="112" s="1"/>
  <c r="V98" i="112"/>
  <c r="W98" i="112" s="1"/>
  <c r="V24" i="112"/>
  <c r="W24" i="112" s="1"/>
  <c r="V67" i="112"/>
  <c r="W67" i="112" s="1"/>
  <c r="V45" i="112"/>
  <c r="W45" i="112" s="1"/>
  <c r="V66" i="112"/>
  <c r="W66" i="112" s="1"/>
  <c r="V121" i="112"/>
  <c r="W121" i="112" s="1"/>
  <c r="V56" i="112"/>
  <c r="W56" i="112" s="1"/>
  <c r="V114" i="112"/>
  <c r="W114" i="112" s="1"/>
  <c r="V20" i="112"/>
  <c r="W20" i="112" s="1"/>
  <c r="V83" i="112"/>
  <c r="W83" i="112" s="1"/>
  <c r="V39" i="112"/>
  <c r="W39" i="112" s="1"/>
  <c r="V107" i="112"/>
  <c r="W107" i="112" s="1"/>
  <c r="V127" i="112"/>
  <c r="W127" i="112" s="1"/>
  <c r="V126" i="112"/>
  <c r="W126" i="112" s="1"/>
  <c r="V88" i="112"/>
  <c r="W88" i="112" s="1"/>
  <c r="V11" i="112"/>
  <c r="W11" i="112" s="1"/>
  <c r="V64" i="112"/>
  <c r="W64" i="112" s="1"/>
  <c r="V53" i="112"/>
  <c r="W53" i="112" s="1"/>
  <c r="V32" i="112"/>
  <c r="W32" i="112" s="1"/>
  <c r="V117" i="112"/>
  <c r="W117" i="112" s="1"/>
  <c r="V92" i="112"/>
  <c r="W92" i="112" s="1"/>
  <c r="V42" i="112"/>
  <c r="W42" i="112" s="1"/>
  <c r="V17" i="112"/>
  <c r="W17" i="112" s="1"/>
  <c r="V31" i="112"/>
  <c r="W31" i="112" s="1"/>
  <c r="V84" i="112"/>
  <c r="W84" i="112" s="1"/>
  <c r="V112" i="112"/>
  <c r="W112" i="112" s="1"/>
  <c r="V85" i="112"/>
  <c r="W85" i="112" s="1"/>
  <c r="V40" i="112"/>
  <c r="W40" i="112" s="1"/>
  <c r="V116" i="112"/>
  <c r="W116" i="112" s="1"/>
  <c r="V47" i="112"/>
  <c r="W47" i="112" s="1"/>
  <c r="V49" i="112"/>
  <c r="W49" i="112" s="1"/>
  <c r="V129" i="112"/>
  <c r="W129" i="112" s="1"/>
  <c r="V38" i="112"/>
  <c r="W38" i="112" s="1"/>
  <c r="V115" i="112"/>
  <c r="W115" i="112" s="1"/>
  <c r="V113" i="112"/>
  <c r="W113" i="112" s="1"/>
  <c r="V21" i="112"/>
  <c r="W21" i="112" s="1"/>
  <c r="V35" i="112"/>
  <c r="W35" i="112" s="1"/>
  <c r="V128" i="112"/>
  <c r="W128" i="112" s="1"/>
  <c r="V57" i="112"/>
  <c r="W57" i="112" s="1"/>
  <c r="V16" i="112"/>
  <c r="W16" i="112" s="1"/>
  <c r="V13" i="112"/>
  <c r="W13" i="112" s="1"/>
  <c r="V91" i="112"/>
  <c r="W91" i="112" s="1"/>
  <c r="V86" i="112"/>
  <c r="W86" i="112" s="1"/>
  <c r="V46" i="112"/>
  <c r="W46" i="112" s="1"/>
  <c r="V36" i="112"/>
  <c r="W36" i="112" s="1"/>
  <c r="V118" i="112"/>
  <c r="W118" i="112" s="1"/>
  <c r="V37" i="112"/>
  <c r="W37" i="112" s="1"/>
  <c r="V12" i="112"/>
  <c r="W12" i="112" s="1"/>
  <c r="V51" i="112"/>
  <c r="W51" i="112" s="1"/>
  <c r="V54" i="112"/>
  <c r="W54" i="112" s="1"/>
  <c r="V63" i="112"/>
  <c r="W63" i="112" s="1"/>
  <c r="V81" i="112"/>
  <c r="W81" i="112" s="1"/>
  <c r="V19" i="112"/>
  <c r="W19" i="112" s="1"/>
  <c r="V68" i="112"/>
  <c r="W68" i="112" s="1"/>
  <c r="V108" i="112"/>
  <c r="W108" i="112" s="1"/>
  <c r="V99" i="112"/>
  <c r="W99" i="112" s="1"/>
  <c r="V27" i="112"/>
  <c r="W27" i="112" s="1"/>
  <c r="V18" i="112"/>
  <c r="W18" i="112" s="1"/>
  <c r="V59" i="112"/>
  <c r="W59" i="112" s="1"/>
  <c r="V9" i="112"/>
  <c r="W9" i="112" s="1"/>
  <c r="V7" i="112"/>
  <c r="W7" i="112" s="1"/>
  <c r="V6" i="112"/>
  <c r="W6" i="112" s="1"/>
  <c r="V5" i="112"/>
  <c r="W5" i="112" s="1"/>
  <c r="V4" i="112"/>
  <c r="W4" i="112" s="1"/>
  <c r="V8" i="112"/>
  <c r="W8" i="112" s="1"/>
  <c r="V3" i="112"/>
  <c r="W3" i="112" s="1"/>
  <c r="V195" i="112"/>
  <c r="W195" i="112" s="1"/>
  <c r="V1075" i="112"/>
  <c r="W1075" i="112" s="1"/>
  <c r="V1059" i="112"/>
  <c r="W1059" i="112" s="1"/>
  <c r="V1043" i="112"/>
  <c r="W1043" i="112" s="1"/>
  <c r="V1027" i="112"/>
  <c r="W1027" i="112" s="1"/>
  <c r="V1011" i="112"/>
  <c r="W1011" i="112" s="1"/>
  <c r="V995" i="112"/>
  <c r="W995" i="112" s="1"/>
  <c r="V979" i="112"/>
  <c r="W979" i="112" s="1"/>
  <c r="V963" i="112"/>
  <c r="W963" i="112" s="1"/>
  <c r="V947" i="112"/>
  <c r="W947" i="112" s="1"/>
  <c r="V931" i="112"/>
  <c r="W931" i="112" s="1"/>
  <c r="V915" i="112"/>
  <c r="W915" i="112" s="1"/>
  <c r="V899" i="112"/>
  <c r="W899" i="112" s="1"/>
  <c r="V883" i="112"/>
  <c r="W883" i="112" s="1"/>
  <c r="V185" i="112"/>
  <c r="W185" i="112" s="1"/>
  <c r="V1074" i="112"/>
  <c r="W1074" i="112" s="1"/>
  <c r="V1058" i="112"/>
  <c r="W1058" i="112" s="1"/>
  <c r="V1042" i="112"/>
  <c r="W1042" i="112" s="1"/>
  <c r="V1026" i="112"/>
  <c r="W1026" i="112" s="1"/>
  <c r="V1010" i="112"/>
  <c r="W1010" i="112" s="1"/>
  <c r="V994" i="112"/>
  <c r="W994" i="112" s="1"/>
  <c r="V978" i="112"/>
  <c r="W978" i="112" s="1"/>
  <c r="V962" i="112"/>
  <c r="W962" i="112" s="1"/>
  <c r="V1072" i="112"/>
  <c r="W1072" i="112" s="1"/>
  <c r="V1056" i="112"/>
  <c r="W1056" i="112" s="1"/>
  <c r="V1040" i="112"/>
  <c r="W1040" i="112" s="1"/>
  <c r="V1024" i="112"/>
  <c r="W1024" i="112" s="1"/>
  <c r="V1065" i="112"/>
  <c r="W1065" i="112" s="1"/>
  <c r="V1049" i="112"/>
  <c r="W1049" i="112" s="1"/>
  <c r="V1033" i="112"/>
  <c r="W1033" i="112" s="1"/>
  <c r="V1053" i="112"/>
  <c r="W1053" i="112" s="1"/>
  <c r="V1014" i="112"/>
  <c r="W1014" i="112" s="1"/>
  <c r="V956" i="112"/>
  <c r="W956" i="112" s="1"/>
  <c r="V938" i="112"/>
  <c r="W938" i="112" s="1"/>
  <c r="V920" i="112"/>
  <c r="W920" i="112" s="1"/>
  <c r="V902" i="112"/>
  <c r="W902" i="112" s="1"/>
  <c r="V884" i="112"/>
  <c r="W884" i="112" s="1"/>
  <c r="V865" i="112"/>
  <c r="W865" i="112" s="1"/>
  <c r="V847" i="112"/>
  <c r="W847" i="112" s="1"/>
  <c r="V812" i="112"/>
  <c r="W812" i="112" s="1"/>
  <c r="V777" i="112"/>
  <c r="W777" i="112" s="1"/>
  <c r="V742" i="112"/>
  <c r="W742" i="112" s="1"/>
  <c r="V706" i="112"/>
  <c r="W706" i="112" s="1"/>
  <c r="V653" i="112"/>
  <c r="W653" i="112" s="1"/>
  <c r="V618" i="112"/>
  <c r="W618" i="112" s="1"/>
  <c r="V583" i="112"/>
  <c r="W583" i="112" s="1"/>
  <c r="V548" i="112"/>
  <c r="W548" i="112" s="1"/>
  <c r="V512" i="112"/>
  <c r="W512" i="112" s="1"/>
  <c r="V494" i="112"/>
  <c r="W494" i="112" s="1"/>
  <c r="V459" i="112"/>
  <c r="W459" i="112" s="1"/>
  <c r="V424" i="112"/>
  <c r="W424" i="112" s="1"/>
  <c r="V389" i="112"/>
  <c r="W389" i="112" s="1"/>
  <c r="V371" i="112"/>
  <c r="W371" i="112" s="1"/>
  <c r="V353" i="112"/>
  <c r="W353" i="112" s="1"/>
  <c r="V335" i="112"/>
  <c r="W335" i="112" s="1"/>
  <c r="V300" i="112"/>
  <c r="W300" i="112" s="1"/>
  <c r="V265" i="112"/>
  <c r="W265" i="112" s="1"/>
  <c r="V216" i="112"/>
  <c r="W216" i="112" s="1"/>
  <c r="V210" i="112"/>
  <c r="W210" i="112" s="1"/>
  <c r="V183" i="112"/>
  <c r="W183" i="112" s="1"/>
  <c r="V175" i="112"/>
  <c r="W175" i="112" s="1"/>
  <c r="V155" i="112"/>
  <c r="W155" i="112" s="1"/>
  <c r="V1073" i="112"/>
  <c r="W1073" i="112" s="1"/>
  <c r="V993" i="112"/>
  <c r="W993" i="112" s="1"/>
  <c r="V974" i="112"/>
  <c r="W974" i="112" s="1"/>
  <c r="V882" i="112"/>
  <c r="W882" i="112" s="1"/>
  <c r="V829" i="112"/>
  <c r="W829" i="112" s="1"/>
  <c r="V794" i="112"/>
  <c r="W794" i="112" s="1"/>
  <c r="V759" i="112"/>
  <c r="W759" i="112" s="1"/>
  <c r="V724" i="112"/>
  <c r="W724" i="112" s="1"/>
  <c r="V688" i="112"/>
  <c r="W688" i="112" s="1"/>
  <c r="V670" i="112"/>
  <c r="W670" i="112" s="1"/>
  <c r="V635" i="112"/>
  <c r="W635" i="112" s="1"/>
  <c r="V600" i="112"/>
  <c r="W600" i="112" s="1"/>
  <c r="V565" i="112"/>
  <c r="W565" i="112" s="1"/>
  <c r="V547" i="112"/>
  <c r="W547" i="112" s="1"/>
  <c r="V529" i="112"/>
  <c r="W529" i="112" s="1"/>
  <c r="V511" i="112"/>
  <c r="W511" i="112" s="1"/>
  <c r="V476" i="112"/>
  <c r="W476" i="112" s="1"/>
  <c r="V441" i="112"/>
  <c r="W441" i="112" s="1"/>
  <c r="V406" i="112"/>
  <c r="W406" i="112" s="1"/>
  <c r="V370" i="112"/>
  <c r="W370" i="112" s="1"/>
  <c r="V317" i="112"/>
  <c r="W317" i="112" s="1"/>
  <c r="V282" i="112"/>
  <c r="W282" i="112" s="1"/>
  <c r="V207" i="112"/>
  <c r="W207" i="112" s="1"/>
  <c r="V196" i="112"/>
  <c r="W196" i="112" s="1"/>
  <c r="V150" i="112"/>
  <c r="W150" i="112" s="1"/>
  <c r="V1052" i="112"/>
  <c r="W1052" i="112" s="1"/>
  <c r="V1032" i="112"/>
  <c r="W1032" i="112" s="1"/>
  <c r="V1013" i="112"/>
  <c r="W1013" i="112" s="1"/>
  <c r="V955" i="112"/>
  <c r="W955" i="112" s="1"/>
  <c r="V937" i="112"/>
  <c r="W937" i="112" s="1"/>
  <c r="V919" i="112"/>
  <c r="W919" i="112" s="1"/>
  <c r="V901" i="112"/>
  <c r="W901" i="112" s="1"/>
  <c r="V864" i="112"/>
  <c r="W864" i="112" s="1"/>
  <c r="V846" i="112"/>
  <c r="W846" i="112" s="1"/>
  <c r="V811" i="112"/>
  <c r="W811" i="112" s="1"/>
  <c r="V776" i="112"/>
  <c r="W776" i="112" s="1"/>
  <c r="V741" i="112"/>
  <c r="W741" i="112" s="1"/>
  <c r="V723" i="112"/>
  <c r="W723" i="112" s="1"/>
  <c r="V1071" i="112"/>
  <c r="W1071" i="112" s="1"/>
  <c r="V992" i="112"/>
  <c r="W992" i="112" s="1"/>
  <c r="V973" i="112"/>
  <c r="W973" i="112" s="1"/>
  <c r="V881" i="112"/>
  <c r="W881" i="112" s="1"/>
  <c r="V863" i="112"/>
  <c r="W863" i="112" s="1"/>
  <c r="V828" i="112"/>
  <c r="W828" i="112" s="1"/>
  <c r="V793" i="112"/>
  <c r="W793" i="112" s="1"/>
  <c r="V758" i="112"/>
  <c r="W758" i="112" s="1"/>
  <c r="V722" i="112"/>
  <c r="W722" i="112" s="1"/>
  <c r="V669" i="112"/>
  <c r="W669" i="112" s="1"/>
  <c r="V634" i="112"/>
  <c r="W634" i="112" s="1"/>
  <c r="V599" i="112"/>
  <c r="W599" i="112" s="1"/>
  <c r="V564" i="112"/>
  <c r="W564" i="112" s="1"/>
  <c r="V1070" i="112"/>
  <c r="W1070" i="112" s="1"/>
  <c r="V1050" i="112"/>
  <c r="W1050" i="112" s="1"/>
  <c r="V1030" i="112"/>
  <c r="W1030" i="112" s="1"/>
  <c r="V1009" i="112"/>
  <c r="W1009" i="112" s="1"/>
  <c r="V990" i="112"/>
  <c r="W990" i="112" s="1"/>
  <c r="V953" i="112"/>
  <c r="W953" i="112" s="1"/>
  <c r="V935" i="112"/>
  <c r="W935" i="112" s="1"/>
  <c r="V917" i="112"/>
  <c r="W917" i="112" s="1"/>
  <c r="V879" i="112"/>
  <c r="W879" i="112" s="1"/>
  <c r="V1069" i="112"/>
  <c r="W1069" i="112" s="1"/>
  <c r="V1045" i="112"/>
  <c r="W1045" i="112" s="1"/>
  <c r="V1004" i="112"/>
  <c r="W1004" i="112" s="1"/>
  <c r="V967" i="112"/>
  <c r="W967" i="112" s="1"/>
  <c r="V929" i="112"/>
  <c r="W929" i="112" s="1"/>
  <c r="V857" i="112"/>
  <c r="W857" i="112" s="1"/>
  <c r="V822" i="112"/>
  <c r="W822" i="112" s="1"/>
  <c r="V786" i="112"/>
  <c r="W786" i="112" s="1"/>
  <c r="V733" i="112"/>
  <c r="W733" i="112" s="1"/>
  <c r="V698" i="112"/>
  <c r="W698" i="112" s="1"/>
  <c r="V663" i="112"/>
  <c r="W663" i="112" s="1"/>
  <c r="V628" i="112"/>
  <c r="W628" i="112" s="1"/>
  <c r="V592" i="112"/>
  <c r="W592" i="112" s="1"/>
  <c r="V1039" i="112"/>
  <c r="W1039" i="112" s="1"/>
  <c r="V1001" i="112"/>
  <c r="W1001" i="112" s="1"/>
  <c r="V964" i="112"/>
  <c r="W964" i="112" s="1"/>
  <c r="V944" i="112"/>
  <c r="W944" i="112" s="1"/>
  <c r="V854" i="112"/>
  <c r="W854" i="112" s="1"/>
  <c r="V818" i="112"/>
  <c r="W818" i="112" s="1"/>
  <c r="V765" i="112"/>
  <c r="W765" i="112" s="1"/>
  <c r="V1018" i="112"/>
  <c r="W1018" i="112" s="1"/>
  <c r="V996" i="112"/>
  <c r="W996" i="112" s="1"/>
  <c r="V969" i="112"/>
  <c r="W969" i="112" s="1"/>
  <c r="V945" i="112"/>
  <c r="W945" i="112" s="1"/>
  <c r="V897" i="112"/>
  <c r="W897" i="112" s="1"/>
  <c r="V875" i="112"/>
  <c r="W875" i="112" s="1"/>
  <c r="V832" i="112"/>
  <c r="W832" i="112" s="1"/>
  <c r="V809" i="112"/>
  <c r="W809" i="112" s="1"/>
  <c r="V766" i="112"/>
  <c r="W766" i="112" s="1"/>
  <c r="V683" i="112"/>
  <c r="W683" i="112" s="1"/>
  <c r="V643" i="112"/>
  <c r="W643" i="112" s="1"/>
  <c r="V603" i="112"/>
  <c r="W603" i="112" s="1"/>
  <c r="V562" i="112"/>
  <c r="W562" i="112" s="1"/>
  <c r="V543" i="112"/>
  <c r="W543" i="112" s="1"/>
  <c r="V506" i="112"/>
  <c r="W506" i="112" s="1"/>
  <c r="V469" i="112"/>
  <c r="W469" i="112" s="1"/>
  <c r="V412" i="112"/>
  <c r="W412" i="112" s="1"/>
  <c r="V375" i="112"/>
  <c r="W375" i="112" s="1"/>
  <c r="V337" i="112"/>
  <c r="W337" i="112" s="1"/>
  <c r="V318" i="112"/>
  <c r="W318" i="112" s="1"/>
  <c r="V280" i="112"/>
  <c r="W280" i="112" s="1"/>
  <c r="V241" i="112"/>
  <c r="W241" i="112" s="1"/>
  <c r="V192" i="112"/>
  <c r="W192" i="112" s="1"/>
  <c r="V146" i="112"/>
  <c r="W146" i="112" s="1"/>
  <c r="V141" i="112"/>
  <c r="W141" i="112" s="1"/>
  <c r="V1068" i="112"/>
  <c r="W1068" i="112" s="1"/>
  <c r="V1044" i="112"/>
  <c r="W1044" i="112" s="1"/>
  <c r="V991" i="112"/>
  <c r="W991" i="112" s="1"/>
  <c r="V922" i="112"/>
  <c r="W922" i="112" s="1"/>
  <c r="V874" i="112"/>
  <c r="W874" i="112" s="1"/>
  <c r="V853" i="112"/>
  <c r="W853" i="112" s="1"/>
  <c r="V831" i="112"/>
  <c r="W831" i="112" s="1"/>
  <c r="V788" i="112"/>
  <c r="W788" i="112" s="1"/>
  <c r="V745" i="112"/>
  <c r="W745" i="112" s="1"/>
  <c r="V725" i="112"/>
  <c r="W725" i="112" s="1"/>
  <c r="V702" i="112"/>
  <c r="W702" i="112" s="1"/>
  <c r="V642" i="112"/>
  <c r="W642" i="112" s="1"/>
  <c r="V622" i="112"/>
  <c r="W622" i="112" s="1"/>
  <c r="V582" i="112"/>
  <c r="W582" i="112" s="1"/>
  <c r="V524" i="112"/>
  <c r="W524" i="112" s="1"/>
  <c r="V487" i="112"/>
  <c r="W487" i="112" s="1"/>
  <c r="V449" i="112"/>
  <c r="W449" i="112" s="1"/>
  <c r="V430" i="112"/>
  <c r="W430" i="112" s="1"/>
  <c r="V393" i="112"/>
  <c r="W393" i="112" s="1"/>
  <c r="V356" i="112"/>
  <c r="W356" i="112" s="1"/>
  <c r="V298" i="112"/>
  <c r="W298" i="112" s="1"/>
  <c r="V261" i="112"/>
  <c r="W261" i="112" s="1"/>
  <c r="V244" i="112"/>
  <c r="W244" i="112" s="1"/>
  <c r="V159" i="112"/>
  <c r="W159" i="112" s="1"/>
  <c r="V136" i="112"/>
  <c r="W136" i="112" s="1"/>
  <c r="V1017" i="112"/>
  <c r="W1017" i="112" s="1"/>
  <c r="V968" i="112"/>
  <c r="W968" i="112" s="1"/>
  <c r="V943" i="112"/>
  <c r="W943" i="112" s="1"/>
  <c r="V896" i="112"/>
  <c r="W896" i="112" s="1"/>
  <c r="V808" i="112"/>
  <c r="W808" i="112" s="1"/>
  <c r="V787" i="112"/>
  <c r="W787" i="112" s="1"/>
  <c r="V682" i="112"/>
  <c r="W682" i="112" s="1"/>
  <c r="V662" i="112"/>
  <c r="W662" i="112" s="1"/>
  <c r="V602" i="112"/>
  <c r="W602" i="112" s="1"/>
  <c r="V581" i="112"/>
  <c r="W581" i="112" s="1"/>
  <c r="V561" i="112"/>
  <c r="W561" i="112" s="1"/>
  <c r="V542" i="112"/>
  <c r="W542" i="112" s="1"/>
  <c r="V505" i="112"/>
  <c r="W505" i="112" s="1"/>
  <c r="V468" i="112"/>
  <c r="W468" i="112" s="1"/>
  <c r="V411" i="112"/>
  <c r="W411" i="112" s="1"/>
  <c r="V374" i="112"/>
  <c r="W374" i="112" s="1"/>
  <c r="V355" i="112"/>
  <c r="W355" i="112" s="1"/>
  <c r="V336" i="112"/>
  <c r="W336" i="112" s="1"/>
  <c r="V316" i="112"/>
  <c r="W316" i="112" s="1"/>
  <c r="V279" i="112"/>
  <c r="W279" i="112" s="1"/>
  <c r="V247" i="112"/>
  <c r="W247" i="112" s="1"/>
  <c r="V219" i="112"/>
  <c r="W219" i="112" s="1"/>
  <c r="V178" i="112"/>
  <c r="W178" i="112" s="1"/>
  <c r="V1067" i="112"/>
  <c r="W1067" i="112" s="1"/>
  <c r="V1041" i="112"/>
  <c r="W1041" i="112" s="1"/>
  <c r="V921" i="112"/>
  <c r="W921" i="112" s="1"/>
  <c r="V895" i="112"/>
  <c r="W895" i="112" s="1"/>
  <c r="V873" i="112"/>
  <c r="W873" i="112" s="1"/>
  <c r="V852" i="112"/>
  <c r="W852" i="112" s="1"/>
  <c r="V830" i="112"/>
  <c r="W830" i="112" s="1"/>
  <c r="V764" i="112"/>
  <c r="W764" i="112" s="1"/>
  <c r="V744" i="112"/>
  <c r="W744" i="112" s="1"/>
  <c r="V721" i="112"/>
  <c r="W721" i="112" s="1"/>
  <c r="V701" i="112"/>
  <c r="W701" i="112" s="1"/>
  <c r="V641" i="112"/>
  <c r="W641" i="112" s="1"/>
  <c r="V621" i="112"/>
  <c r="W621" i="112" s="1"/>
  <c r="V523" i="112"/>
  <c r="W523" i="112" s="1"/>
  <c r="V486" i="112"/>
  <c r="W486" i="112" s="1"/>
  <c r="V1016" i="112"/>
  <c r="W1016" i="112" s="1"/>
  <c r="V989" i="112"/>
  <c r="W989" i="112" s="1"/>
  <c r="V942" i="112"/>
  <c r="W942" i="112" s="1"/>
  <c r="V851" i="112"/>
  <c r="W851" i="112" s="1"/>
  <c r="V807" i="112"/>
  <c r="W807" i="112" s="1"/>
  <c r="V785" i="112"/>
  <c r="W785" i="112" s="1"/>
  <c r="V681" i="112"/>
  <c r="W681" i="112" s="1"/>
  <c r="V661" i="112"/>
  <c r="W661" i="112" s="1"/>
  <c r="V601" i="112"/>
  <c r="W601" i="112" s="1"/>
  <c r="V580" i="112"/>
  <c r="W580" i="112" s="1"/>
  <c r="V560" i="112"/>
  <c r="W560" i="112" s="1"/>
  <c r="V1066" i="112"/>
  <c r="W1066" i="112" s="1"/>
  <c r="V966" i="112"/>
  <c r="W966" i="112" s="1"/>
  <c r="V918" i="112"/>
  <c r="W918" i="112" s="1"/>
  <c r="V894" i="112"/>
  <c r="W894" i="112" s="1"/>
  <c r="V872" i="112"/>
  <c r="W872" i="112" s="1"/>
  <c r="V850" i="112"/>
  <c r="W850" i="112" s="1"/>
  <c r="V827" i="112"/>
  <c r="W827" i="112" s="1"/>
  <c r="V763" i="112"/>
  <c r="W763" i="112" s="1"/>
  <c r="V743" i="112"/>
  <c r="W743" i="112" s="1"/>
  <c r="V720" i="112"/>
  <c r="W720" i="112" s="1"/>
  <c r="V700" i="112"/>
  <c r="W700" i="112" s="1"/>
  <c r="V680" i="112"/>
  <c r="W680" i="112" s="1"/>
  <c r="V640" i="112"/>
  <c r="W640" i="112" s="1"/>
  <c r="V620" i="112"/>
  <c r="W620" i="112" s="1"/>
  <c r="V579" i="112"/>
  <c r="W579" i="112" s="1"/>
  <c r="V559" i="112"/>
  <c r="W559" i="112" s="1"/>
  <c r="V1038" i="112"/>
  <c r="W1038" i="112" s="1"/>
  <c r="V1015" i="112"/>
  <c r="W1015" i="112" s="1"/>
  <c r="V988" i="112"/>
  <c r="W988" i="112" s="1"/>
  <c r="V941" i="112"/>
  <c r="W941" i="112" s="1"/>
  <c r="V871" i="112"/>
  <c r="W871" i="112" s="1"/>
  <c r="V806" i="112"/>
  <c r="W806" i="112" s="1"/>
  <c r="V784" i="112"/>
  <c r="W784" i="112" s="1"/>
  <c r="V719" i="112"/>
  <c r="W719" i="112" s="1"/>
  <c r="V660" i="112"/>
  <c r="W660" i="112" s="1"/>
  <c r="V639" i="112"/>
  <c r="W639" i="112" s="1"/>
  <c r="V578" i="112"/>
  <c r="W578" i="112" s="1"/>
  <c r="V540" i="112"/>
  <c r="W540" i="112" s="1"/>
  <c r="V503" i="112"/>
  <c r="W503" i="112" s="1"/>
  <c r="V465" i="112"/>
  <c r="W465" i="112" s="1"/>
  <c r="V446" i="112"/>
  <c r="W446" i="112" s="1"/>
  <c r="V409" i="112"/>
  <c r="W409" i="112" s="1"/>
  <c r="V372" i="112"/>
  <c r="W372" i="112" s="1"/>
  <c r="V351" i="112"/>
  <c r="W351" i="112" s="1"/>
  <c r="V314" i="112"/>
  <c r="W314" i="112" s="1"/>
  <c r="V277" i="112"/>
  <c r="W277" i="112" s="1"/>
  <c r="V231" i="112"/>
  <c r="W231" i="112" s="1"/>
  <c r="V209" i="112"/>
  <c r="W209" i="112" s="1"/>
  <c r="V1037" i="112"/>
  <c r="W1037" i="112" s="1"/>
  <c r="V1012" i="112"/>
  <c r="W1012" i="112" s="1"/>
  <c r="V987" i="112"/>
  <c r="W987" i="112" s="1"/>
  <c r="V940" i="112"/>
  <c r="W940" i="112" s="1"/>
  <c r="V916" i="112"/>
  <c r="W916" i="112" s="1"/>
  <c r="V1063" i="112"/>
  <c r="W1063" i="112" s="1"/>
  <c r="V914" i="112"/>
  <c r="W914" i="112" s="1"/>
  <c r="V1036" i="112"/>
  <c r="W1036" i="112" s="1"/>
  <c r="V986" i="112"/>
  <c r="W986" i="112" s="1"/>
  <c r="V961" i="112"/>
  <c r="W961" i="112" s="1"/>
  <c r="V1062" i="112"/>
  <c r="W1062" i="112" s="1"/>
  <c r="V1061" i="112"/>
  <c r="W1061" i="112" s="1"/>
  <c r="V1054" i="112"/>
  <c r="W1054" i="112" s="1"/>
  <c r="V1028" i="112"/>
  <c r="W1028" i="112" s="1"/>
  <c r="V980" i="112"/>
  <c r="W980" i="112" s="1"/>
  <c r="V930" i="112"/>
  <c r="W930" i="112" s="1"/>
  <c r="V907" i="112"/>
  <c r="W907" i="112" s="1"/>
  <c r="V840" i="112"/>
  <c r="W840" i="112" s="1"/>
  <c r="V774" i="112"/>
  <c r="W774" i="112" s="1"/>
  <c r="V692" i="112"/>
  <c r="W692" i="112" s="1"/>
  <c r="V671" i="112"/>
  <c r="W671" i="112" s="1"/>
  <c r="V650" i="112"/>
  <c r="W650" i="112" s="1"/>
  <c r="V610" i="112"/>
  <c r="W610" i="112" s="1"/>
  <c r="V533" i="112"/>
  <c r="W533" i="112" s="1"/>
  <c r="V475" i="112"/>
  <c r="W475" i="112" s="1"/>
  <c r="V438" i="112"/>
  <c r="W438" i="112" s="1"/>
  <c r="V1002" i="112"/>
  <c r="W1002" i="112" s="1"/>
  <c r="V885" i="112"/>
  <c r="W885" i="112" s="1"/>
  <c r="V860" i="112"/>
  <c r="W860" i="112" s="1"/>
  <c r="V839" i="112"/>
  <c r="W839" i="112" s="1"/>
  <c r="V817" i="112"/>
  <c r="W817" i="112" s="1"/>
  <c r="V796" i="112"/>
  <c r="W796" i="112" s="1"/>
  <c r="V752" i="112"/>
  <c r="W752" i="112" s="1"/>
  <c r="V731" i="112"/>
  <c r="W731" i="112" s="1"/>
  <c r="V711" i="112"/>
  <c r="W711" i="112" s="1"/>
  <c r="V691" i="112"/>
  <c r="W691" i="112" s="1"/>
  <c r="V630" i="112"/>
  <c r="W630" i="112" s="1"/>
  <c r="V609" i="112"/>
  <c r="W609" i="112" s="1"/>
  <c r="V589" i="112"/>
  <c r="W589" i="112" s="1"/>
  <c r="V570" i="112"/>
  <c r="W570" i="112" s="1"/>
  <c r="V551" i="112"/>
  <c r="W551" i="112" s="1"/>
  <c r="V513" i="112"/>
  <c r="W513" i="112" s="1"/>
  <c r="V493" i="112"/>
  <c r="W493" i="112" s="1"/>
  <c r="V456" i="112"/>
  <c r="W456" i="112" s="1"/>
  <c r="V418" i="112"/>
  <c r="W418" i="112" s="1"/>
  <c r="V399" i="112"/>
  <c r="W399" i="112" s="1"/>
  <c r="V1064" i="112"/>
  <c r="W1064" i="112" s="1"/>
  <c r="V1021" i="112"/>
  <c r="W1021" i="112" s="1"/>
  <c r="V908" i="112"/>
  <c r="W908" i="112" s="1"/>
  <c r="V876" i="112"/>
  <c r="W876" i="112" s="1"/>
  <c r="V843" i="112"/>
  <c r="W843" i="112" s="1"/>
  <c r="V727" i="112"/>
  <c r="W727" i="112" s="1"/>
  <c r="V638" i="112"/>
  <c r="W638" i="112" s="1"/>
  <c r="V508" i="112"/>
  <c r="W508" i="112" s="1"/>
  <c r="V483" i="112"/>
  <c r="W483" i="112" s="1"/>
  <c r="V437" i="112"/>
  <c r="W437" i="112" s="1"/>
  <c r="V392" i="112"/>
  <c r="W392" i="112" s="1"/>
  <c r="V369" i="112"/>
  <c r="W369" i="112" s="1"/>
  <c r="V348" i="112"/>
  <c r="W348" i="112" s="1"/>
  <c r="V306" i="112"/>
  <c r="W306" i="112" s="1"/>
  <c r="V285" i="112"/>
  <c r="W285" i="112" s="1"/>
  <c r="V158" i="112"/>
  <c r="W158" i="112" s="1"/>
  <c r="V751" i="112"/>
  <c r="W751" i="112" s="1"/>
  <c r="V637" i="112"/>
  <c r="W637" i="112" s="1"/>
  <c r="V507" i="112"/>
  <c r="W507" i="112" s="1"/>
  <c r="V391" i="112"/>
  <c r="W391" i="112" s="1"/>
  <c r="V1060" i="112"/>
  <c r="W1060" i="112" s="1"/>
  <c r="V981" i="112"/>
  <c r="W981" i="112" s="1"/>
  <c r="V906" i="112"/>
  <c r="W906" i="112" s="1"/>
  <c r="V814" i="112"/>
  <c r="W814" i="112" s="1"/>
  <c r="V781" i="112"/>
  <c r="W781" i="112" s="1"/>
  <c r="V753" i="112"/>
  <c r="W753" i="112" s="1"/>
  <c r="V695" i="112"/>
  <c r="W695" i="112" s="1"/>
  <c r="V667" i="112"/>
  <c r="W667" i="112" s="1"/>
  <c r="V612" i="112"/>
  <c r="W612" i="112" s="1"/>
  <c r="V585" i="112"/>
  <c r="W585" i="112" s="1"/>
  <c r="V555" i="112"/>
  <c r="W555" i="112" s="1"/>
  <c r="V532" i="112"/>
  <c r="W532" i="112" s="1"/>
  <c r="V482" i="112"/>
  <c r="W482" i="112" s="1"/>
  <c r="V460" i="112"/>
  <c r="W460" i="112" s="1"/>
  <c r="V414" i="112"/>
  <c r="W414" i="112" s="1"/>
  <c r="V327" i="112"/>
  <c r="W327" i="112" s="1"/>
  <c r="V263" i="112"/>
  <c r="W263" i="112" s="1"/>
  <c r="V250" i="112"/>
  <c r="W250" i="112" s="1"/>
  <c r="V243" i="112"/>
  <c r="W243" i="112" s="1"/>
  <c r="V225" i="112"/>
  <c r="W225" i="112" s="1"/>
  <c r="V188" i="112"/>
  <c r="W188" i="112" s="1"/>
  <c r="V138" i="112"/>
  <c r="W138" i="112" s="1"/>
  <c r="V1020" i="112"/>
  <c r="W1020" i="112" s="1"/>
  <c r="V842" i="112"/>
  <c r="W842" i="112" s="1"/>
  <c r="V726" i="112"/>
  <c r="W726" i="112" s="1"/>
  <c r="V611" i="112"/>
  <c r="W611" i="112" s="1"/>
  <c r="V436" i="112"/>
  <c r="W436" i="112" s="1"/>
  <c r="V368" i="112"/>
  <c r="W368" i="112" s="1"/>
  <c r="V939" i="112"/>
  <c r="W939" i="112" s="1"/>
  <c r="V531" i="112"/>
  <c r="W531" i="112" s="1"/>
  <c r="V347" i="112"/>
  <c r="W347" i="112" s="1"/>
  <c r="V1057" i="112"/>
  <c r="W1057" i="112" s="1"/>
  <c r="V1019" i="112"/>
  <c r="W1019" i="112" s="1"/>
  <c r="V977" i="112"/>
  <c r="W977" i="112" s="1"/>
  <c r="V905" i="112"/>
  <c r="W905" i="112" s="1"/>
  <c r="V870" i="112"/>
  <c r="W870" i="112" s="1"/>
  <c r="V813" i="112"/>
  <c r="W813" i="112" s="1"/>
  <c r="V780" i="112"/>
  <c r="W780" i="112" s="1"/>
  <c r="V750" i="112"/>
  <c r="W750" i="112" s="1"/>
  <c r="V694" i="112"/>
  <c r="W694" i="112" s="1"/>
  <c r="V666" i="112"/>
  <c r="W666" i="112" s="1"/>
  <c r="V584" i="112"/>
  <c r="W584" i="112" s="1"/>
  <c r="V554" i="112"/>
  <c r="W554" i="112" s="1"/>
  <c r="V530" i="112"/>
  <c r="W530" i="112" s="1"/>
  <c r="V481" i="112"/>
  <c r="W481" i="112" s="1"/>
  <c r="V458" i="112"/>
  <c r="W458" i="112" s="1"/>
  <c r="V435" i="112"/>
  <c r="W435" i="112" s="1"/>
  <c r="V413" i="112"/>
  <c r="W413" i="112" s="1"/>
  <c r="V390" i="112"/>
  <c r="W390" i="112" s="1"/>
  <c r="V367" i="112"/>
  <c r="W367" i="112" s="1"/>
  <c r="V326" i="112"/>
  <c r="W326" i="112" s="1"/>
  <c r="V262" i="112"/>
  <c r="W262" i="112" s="1"/>
  <c r="V239" i="112"/>
  <c r="W239" i="112" s="1"/>
  <c r="V936" i="112"/>
  <c r="W936" i="112" s="1"/>
  <c r="V841" i="112"/>
  <c r="W841" i="112" s="1"/>
  <c r="V718" i="112"/>
  <c r="W718" i="112" s="1"/>
  <c r="V636" i="112"/>
  <c r="W636" i="112" s="1"/>
  <c r="V608" i="112"/>
  <c r="W608" i="112" s="1"/>
  <c r="V504" i="112"/>
  <c r="W504" i="112" s="1"/>
  <c r="V434" i="112"/>
  <c r="W434" i="112" s="1"/>
  <c r="V346" i="112"/>
  <c r="W346" i="112" s="1"/>
  <c r="V304" i="112"/>
  <c r="W304" i="112" s="1"/>
  <c r="V283" i="112"/>
  <c r="W283" i="112" s="1"/>
  <c r="V260" i="112"/>
  <c r="W260" i="112" s="1"/>
  <c r="V214" i="112"/>
  <c r="W214" i="112" s="1"/>
  <c r="V1055" i="112"/>
  <c r="W1055" i="112" s="1"/>
  <c r="V976" i="112"/>
  <c r="W976" i="112" s="1"/>
  <c r="V904" i="112"/>
  <c r="W904" i="112" s="1"/>
  <c r="V869" i="112"/>
  <c r="W869" i="112" s="1"/>
  <c r="V810" i="112"/>
  <c r="W810" i="112" s="1"/>
  <c r="V779" i="112"/>
  <c r="W779" i="112" s="1"/>
  <c r="V749" i="112"/>
  <c r="W749" i="112" s="1"/>
  <c r="V693" i="112"/>
  <c r="W693" i="112" s="1"/>
  <c r="V665" i="112"/>
  <c r="W665" i="112" s="1"/>
  <c r="V607" i="112"/>
  <c r="W607" i="112" s="1"/>
  <c r="V577" i="112"/>
  <c r="W577" i="112" s="1"/>
  <c r="V553" i="112"/>
  <c r="W553" i="112" s="1"/>
  <c r="V528" i="112"/>
  <c r="W528" i="112" s="1"/>
  <c r="V480" i="112"/>
  <c r="W480" i="112" s="1"/>
  <c r="V457" i="112"/>
  <c r="W457" i="112" s="1"/>
  <c r="V388" i="112"/>
  <c r="W388" i="112" s="1"/>
  <c r="V366" i="112"/>
  <c r="W366" i="112" s="1"/>
  <c r="V325" i="112"/>
  <c r="W325" i="112" s="1"/>
  <c r="V303" i="112"/>
  <c r="W303" i="112" s="1"/>
  <c r="V259" i="112"/>
  <c r="W259" i="112" s="1"/>
  <c r="V232" i="112"/>
  <c r="W232" i="112" s="1"/>
  <c r="V1008" i="112"/>
  <c r="W1008" i="112" s="1"/>
  <c r="V975" i="112"/>
  <c r="W975" i="112" s="1"/>
  <c r="V717" i="112"/>
  <c r="W717" i="112" s="1"/>
  <c r="V527" i="112"/>
  <c r="W527" i="112" s="1"/>
  <c r="V479" i="112"/>
  <c r="W479" i="112" s="1"/>
  <c r="V433" i="112"/>
  <c r="W433" i="112" s="1"/>
  <c r="V410" i="112"/>
  <c r="W410" i="112" s="1"/>
  <c r="V387" i="112"/>
  <c r="W387" i="112" s="1"/>
  <c r="V345" i="112"/>
  <c r="W345" i="112" s="1"/>
  <c r="V281" i="112"/>
  <c r="W281" i="112" s="1"/>
  <c r="V258" i="112"/>
  <c r="W258" i="112" s="1"/>
  <c r="V246" i="112"/>
  <c r="W246" i="112" s="1"/>
  <c r="V1051" i="112"/>
  <c r="W1051" i="112" s="1"/>
  <c r="V1007" i="112"/>
  <c r="W1007" i="112" s="1"/>
  <c r="V972" i="112"/>
  <c r="W972" i="112" s="1"/>
  <c r="V1006" i="112"/>
  <c r="W1006" i="112" s="1"/>
  <c r="V971" i="112"/>
  <c r="W971" i="112" s="1"/>
  <c r="V898" i="112"/>
  <c r="W898" i="112" s="1"/>
  <c r="V836" i="112"/>
  <c r="W836" i="112" s="1"/>
  <c r="V1048" i="112"/>
  <c r="W1048" i="112" s="1"/>
  <c r="V1005" i="112"/>
  <c r="W1005" i="112" s="1"/>
  <c r="V892" i="112"/>
  <c r="W892" i="112" s="1"/>
  <c r="V1047" i="112"/>
  <c r="W1047" i="112" s="1"/>
  <c r="V965" i="112"/>
  <c r="W965" i="112" s="1"/>
  <c r="V1046" i="112"/>
  <c r="W1046" i="112" s="1"/>
  <c r="V960" i="112"/>
  <c r="W960" i="112" s="1"/>
  <c r="V799" i="112"/>
  <c r="W799" i="112" s="1"/>
  <c r="V770" i="112"/>
  <c r="W770" i="112" s="1"/>
  <c r="V712" i="112"/>
  <c r="W712" i="112" s="1"/>
  <c r="V684" i="112"/>
  <c r="W684" i="112" s="1"/>
  <c r="V627" i="112"/>
  <c r="W627" i="112" s="1"/>
  <c r="V597" i="112"/>
  <c r="W597" i="112" s="1"/>
  <c r="V545" i="112"/>
  <c r="W545" i="112" s="1"/>
  <c r="V959" i="112"/>
  <c r="W959" i="112" s="1"/>
  <c r="V1000" i="112"/>
  <c r="W1000" i="112" s="1"/>
  <c r="V925" i="112"/>
  <c r="W925" i="112" s="1"/>
  <c r="V889" i="112"/>
  <c r="W889" i="112" s="1"/>
  <c r="V798" i="112"/>
  <c r="W798" i="112" s="1"/>
  <c r="V769" i="112"/>
  <c r="W769" i="112" s="1"/>
  <c r="V710" i="112"/>
  <c r="W710" i="112" s="1"/>
  <c r="V679" i="112"/>
  <c r="W679" i="112" s="1"/>
  <c r="V596" i="112"/>
  <c r="W596" i="112" s="1"/>
  <c r="V544" i="112"/>
  <c r="W544" i="112" s="1"/>
  <c r="V519" i="112"/>
  <c r="W519" i="112" s="1"/>
  <c r="V496" i="112"/>
  <c r="W496" i="112" s="1"/>
  <c r="V447" i="112"/>
  <c r="W447" i="112" s="1"/>
  <c r="V425" i="112"/>
  <c r="W425" i="112" s="1"/>
  <c r="V402" i="112"/>
  <c r="W402" i="112" s="1"/>
  <c r="V360" i="112"/>
  <c r="W360" i="112" s="1"/>
  <c r="V339" i="112"/>
  <c r="W339" i="112" s="1"/>
  <c r="V315" i="112"/>
  <c r="W315" i="112" s="1"/>
  <c r="V294" i="112"/>
  <c r="W294" i="112" s="1"/>
  <c r="V957" i="112"/>
  <c r="W957" i="112" s="1"/>
  <c r="V824" i="112"/>
  <c r="W824" i="112" s="1"/>
  <c r="V624" i="112"/>
  <c r="W624" i="112" s="1"/>
  <c r="V568" i="112"/>
  <c r="W568" i="112" s="1"/>
  <c r="V492" i="112"/>
  <c r="W492" i="112" s="1"/>
  <c r="V470" i="112"/>
  <c r="W470" i="112" s="1"/>
  <c r="V445" i="112"/>
  <c r="W445" i="112" s="1"/>
  <c r="V379" i="112"/>
  <c r="W379" i="112" s="1"/>
  <c r="V334" i="112"/>
  <c r="W334" i="112" s="1"/>
  <c r="V313" i="112"/>
  <c r="W313" i="112" s="1"/>
  <c r="V230" i="112"/>
  <c r="W230" i="112" s="1"/>
  <c r="V165" i="112"/>
  <c r="W165" i="112" s="1"/>
  <c r="V162" i="112"/>
  <c r="W162" i="112" s="1"/>
  <c r="V903" i="112"/>
  <c r="W903" i="112" s="1"/>
  <c r="V855" i="112"/>
  <c r="W855" i="112" s="1"/>
  <c r="V804" i="112"/>
  <c r="W804" i="112" s="1"/>
  <c r="V678" i="112"/>
  <c r="W678" i="112" s="1"/>
  <c r="V644" i="112"/>
  <c r="W644" i="112" s="1"/>
  <c r="V521" i="112"/>
  <c r="W521" i="112" s="1"/>
  <c r="V490" i="112"/>
  <c r="W490" i="112" s="1"/>
  <c r="V332" i="112"/>
  <c r="W332" i="112" s="1"/>
  <c r="V305" i="112"/>
  <c r="W305" i="112" s="1"/>
  <c r="V274" i="112"/>
  <c r="W274" i="112" s="1"/>
  <c r="V184" i="112"/>
  <c r="W184" i="112" s="1"/>
  <c r="V180" i="112"/>
  <c r="W180" i="112" s="1"/>
  <c r="V152" i="112"/>
  <c r="W152" i="112" s="1"/>
  <c r="V803" i="112"/>
  <c r="W803" i="112" s="1"/>
  <c r="V761" i="112"/>
  <c r="W761" i="112" s="1"/>
  <c r="V716" i="112"/>
  <c r="W716" i="112" s="1"/>
  <c r="V677" i="112"/>
  <c r="W677" i="112" s="1"/>
  <c r="V595" i="112"/>
  <c r="W595" i="112" s="1"/>
  <c r="V557" i="112"/>
  <c r="W557" i="112" s="1"/>
  <c r="V454" i="112"/>
  <c r="W454" i="112" s="1"/>
  <c r="V423" i="112"/>
  <c r="W423" i="112" s="1"/>
  <c r="V395" i="112"/>
  <c r="W395" i="112" s="1"/>
  <c r="V362" i="112"/>
  <c r="W362" i="112" s="1"/>
  <c r="V302" i="112"/>
  <c r="W302" i="112" s="1"/>
  <c r="V1035" i="112"/>
  <c r="W1035" i="112" s="1"/>
  <c r="V1034" i="112"/>
  <c r="W1034" i="112" s="1"/>
  <c r="V952" i="112"/>
  <c r="W952" i="112" s="1"/>
  <c r="V893" i="112"/>
  <c r="W893" i="112" s="1"/>
  <c r="V760" i="112"/>
  <c r="W760" i="112" s="1"/>
  <c r="V676" i="112"/>
  <c r="W676" i="112" s="1"/>
  <c r="V593" i="112"/>
  <c r="W593" i="112" s="1"/>
  <c r="V556" i="112"/>
  <c r="W556" i="112" s="1"/>
  <c r="V453" i="112"/>
  <c r="W453" i="112" s="1"/>
  <c r="V394" i="112"/>
  <c r="W394" i="112" s="1"/>
  <c r="V361" i="112"/>
  <c r="W361" i="112" s="1"/>
  <c r="V301" i="112"/>
  <c r="W301" i="112" s="1"/>
  <c r="V272" i="112"/>
  <c r="W272" i="112" s="1"/>
  <c r="V202" i="112"/>
  <c r="W202" i="112" s="1"/>
  <c r="V142" i="112"/>
  <c r="W142" i="112" s="1"/>
  <c r="V1031" i="112"/>
  <c r="W1031" i="112" s="1"/>
  <c r="V848" i="112"/>
  <c r="W848" i="112" s="1"/>
  <c r="V801" i="112"/>
  <c r="W801" i="112" s="1"/>
  <c r="V714" i="112"/>
  <c r="W714" i="112" s="1"/>
  <c r="V675" i="112"/>
  <c r="W675" i="112" s="1"/>
  <c r="V632" i="112"/>
  <c r="W632" i="112" s="1"/>
  <c r="V552" i="112"/>
  <c r="W552" i="112" s="1"/>
  <c r="V488" i="112"/>
  <c r="W488" i="112" s="1"/>
  <c r="V421" i="112"/>
  <c r="W421" i="112" s="1"/>
  <c r="V386" i="112"/>
  <c r="W386" i="112" s="1"/>
  <c r="V951" i="112"/>
  <c r="W951" i="112" s="1"/>
  <c r="V891" i="112"/>
  <c r="W891" i="112" s="1"/>
  <c r="V845" i="112"/>
  <c r="W845" i="112" s="1"/>
  <c r="V800" i="112"/>
  <c r="W800" i="112" s="1"/>
  <c r="V757" i="112"/>
  <c r="W757" i="112" s="1"/>
  <c r="V674" i="112"/>
  <c r="W674" i="112" s="1"/>
  <c r="V890" i="112"/>
  <c r="W890" i="112" s="1"/>
  <c r="V713" i="112"/>
  <c r="W713" i="112" s="1"/>
  <c r="V631" i="112"/>
  <c r="W631" i="112" s="1"/>
  <c r="V550" i="112"/>
  <c r="W550" i="112" s="1"/>
  <c r="V517" i="112"/>
  <c r="W517" i="112" s="1"/>
  <c r="V485" i="112"/>
  <c r="W485" i="112" s="1"/>
  <c r="V451" i="112"/>
  <c r="W451" i="112" s="1"/>
  <c r="V420" i="112"/>
  <c r="W420" i="112" s="1"/>
  <c r="V385" i="112"/>
  <c r="W385" i="112" s="1"/>
  <c r="V359" i="112"/>
  <c r="W359" i="112" s="1"/>
  <c r="V329" i="112"/>
  <c r="W329" i="112" s="1"/>
  <c r="V1023" i="112"/>
  <c r="W1023" i="112" s="1"/>
  <c r="V946" i="112"/>
  <c r="W946" i="112" s="1"/>
  <c r="V886" i="112"/>
  <c r="W886" i="112" s="1"/>
  <c r="V924" i="112"/>
  <c r="W924" i="112" s="1"/>
  <c r="V923" i="112"/>
  <c r="W923" i="112" s="1"/>
  <c r="V867" i="112"/>
  <c r="W867" i="112" s="1"/>
  <c r="V734" i="112"/>
  <c r="W734" i="112" s="1"/>
  <c r="V696" i="112"/>
  <c r="W696" i="112" s="1"/>
  <c r="V652" i="112"/>
  <c r="W652" i="112" s="1"/>
  <c r="V614" i="112"/>
  <c r="W614" i="112" s="1"/>
  <c r="V985" i="112"/>
  <c r="W985" i="112" s="1"/>
  <c r="V970" i="112"/>
  <c r="W970" i="112" s="1"/>
  <c r="V1029" i="112"/>
  <c r="W1029" i="112" s="1"/>
  <c r="V738" i="112"/>
  <c r="W738" i="112" s="1"/>
  <c r="V687" i="112"/>
  <c r="W687" i="112" s="1"/>
  <c r="V633" i="112"/>
  <c r="W633" i="112" s="1"/>
  <c r="V538" i="112"/>
  <c r="W538" i="112" s="1"/>
  <c r="V499" i="112"/>
  <c r="W499" i="112" s="1"/>
  <c r="V422" i="112"/>
  <c r="W422" i="112" s="1"/>
  <c r="V350" i="112"/>
  <c r="W350" i="112" s="1"/>
  <c r="V253" i="112"/>
  <c r="W253" i="112" s="1"/>
  <c r="V212" i="112"/>
  <c r="W212" i="112" s="1"/>
  <c r="V171" i="112"/>
  <c r="W171" i="112" s="1"/>
  <c r="V160" i="112"/>
  <c r="W160" i="112" s="1"/>
  <c r="V149" i="112"/>
  <c r="W149" i="112" s="1"/>
  <c r="V135" i="112"/>
  <c r="W135" i="112" s="1"/>
  <c r="V856" i="112"/>
  <c r="W856" i="112" s="1"/>
  <c r="V792" i="112"/>
  <c r="W792" i="112" s="1"/>
  <c r="V737" i="112"/>
  <c r="W737" i="112" s="1"/>
  <c r="V686" i="112"/>
  <c r="W686" i="112" s="1"/>
  <c r="V586" i="112"/>
  <c r="W586" i="112" s="1"/>
  <c r="V498" i="112"/>
  <c r="W498" i="112" s="1"/>
  <c r="V462" i="112"/>
  <c r="W462" i="112" s="1"/>
  <c r="V382" i="112"/>
  <c r="W382" i="112" s="1"/>
  <c r="V286" i="112"/>
  <c r="W286" i="112" s="1"/>
  <c r="V203" i="112"/>
  <c r="W203" i="112" s="1"/>
  <c r="V199" i="112"/>
  <c r="W199" i="112" s="1"/>
  <c r="V156" i="112"/>
  <c r="W156" i="112" s="1"/>
  <c r="V132" i="112"/>
  <c r="W132" i="112" s="1"/>
  <c r="V145" i="112"/>
  <c r="W145" i="112" s="1"/>
  <c r="V1025" i="112"/>
  <c r="W1025" i="112" s="1"/>
  <c r="V736" i="112"/>
  <c r="W736" i="112" s="1"/>
  <c r="V629" i="112"/>
  <c r="W629" i="112" s="1"/>
  <c r="V576" i="112"/>
  <c r="W576" i="112" s="1"/>
  <c r="V537" i="112"/>
  <c r="W537" i="112" s="1"/>
  <c r="V419" i="112"/>
  <c r="W419" i="112" s="1"/>
  <c r="V349" i="112"/>
  <c r="W349" i="112" s="1"/>
  <c r="V252" i="112"/>
  <c r="W252" i="112" s="1"/>
  <c r="V236" i="112"/>
  <c r="W236" i="112" s="1"/>
  <c r="V226" i="112"/>
  <c r="W226" i="112" s="1"/>
  <c r="V221" i="112"/>
  <c r="W221" i="112" s="1"/>
  <c r="V461" i="112"/>
  <c r="W461" i="112" s="1"/>
  <c r="V167" i="112"/>
  <c r="W167" i="112" s="1"/>
  <c r="V186" i="112"/>
  <c r="W186" i="112" s="1"/>
  <c r="V913" i="112"/>
  <c r="W913" i="112" s="1"/>
  <c r="V849" i="112"/>
  <c r="W849" i="112" s="1"/>
  <c r="V791" i="112"/>
  <c r="W791" i="112" s="1"/>
  <c r="V735" i="112"/>
  <c r="W735" i="112" s="1"/>
  <c r="V685" i="112"/>
  <c r="W685" i="112" s="1"/>
  <c r="V575" i="112"/>
  <c r="W575" i="112" s="1"/>
  <c r="V497" i="112"/>
  <c r="W497" i="112" s="1"/>
  <c r="V381" i="112"/>
  <c r="W381" i="112" s="1"/>
  <c r="V284" i="112"/>
  <c r="W284" i="112" s="1"/>
  <c r="V452" i="112"/>
  <c r="W452" i="112" s="1"/>
  <c r="V1022" i="112"/>
  <c r="W1022" i="112" s="1"/>
  <c r="V844" i="112"/>
  <c r="W844" i="112" s="1"/>
  <c r="V626" i="112"/>
  <c r="W626" i="112" s="1"/>
  <c r="V536" i="112"/>
  <c r="W536" i="112" s="1"/>
  <c r="V455" i="112"/>
  <c r="W455" i="112" s="1"/>
  <c r="V417" i="112"/>
  <c r="W417" i="112" s="1"/>
  <c r="V380" i="112"/>
  <c r="W380" i="112" s="1"/>
  <c r="V312" i="112"/>
  <c r="W312" i="112" s="1"/>
  <c r="V416" i="112"/>
  <c r="W416" i="112" s="1"/>
  <c r="V912" i="112"/>
  <c r="W912" i="112" s="1"/>
  <c r="V790" i="112"/>
  <c r="W790" i="112" s="1"/>
  <c r="V625" i="112"/>
  <c r="W625" i="112" s="1"/>
  <c r="V574" i="112"/>
  <c r="W574" i="112" s="1"/>
  <c r="V495" i="112"/>
  <c r="W495" i="112" s="1"/>
  <c r="V344" i="112"/>
  <c r="W344" i="112" s="1"/>
  <c r="V194" i="112"/>
  <c r="W194" i="112" s="1"/>
  <c r="V163" i="112"/>
  <c r="W163" i="112" s="1"/>
  <c r="V535" i="112"/>
  <c r="W535" i="112" s="1"/>
  <c r="V1003" i="112"/>
  <c r="W1003" i="112" s="1"/>
  <c r="V911" i="112"/>
  <c r="W911" i="112" s="1"/>
  <c r="V838" i="112"/>
  <c r="W838" i="112" s="1"/>
  <c r="V732" i="112"/>
  <c r="W732" i="112" s="1"/>
  <c r="V311" i="112"/>
  <c r="W311" i="112" s="1"/>
  <c r="V278" i="112"/>
  <c r="W278" i="112" s="1"/>
  <c r="V910" i="112"/>
  <c r="W910" i="112" s="1"/>
  <c r="V789" i="112"/>
  <c r="W789" i="112" s="1"/>
  <c r="V623" i="112"/>
  <c r="W623" i="112" s="1"/>
  <c r="V573" i="112"/>
  <c r="W573" i="112" s="1"/>
  <c r="V450" i="112"/>
  <c r="W450" i="112" s="1"/>
  <c r="V999" i="112"/>
  <c r="W999" i="112" s="1"/>
  <c r="V837" i="112"/>
  <c r="W837" i="112" s="1"/>
  <c r="V783" i="112"/>
  <c r="W783" i="112" s="1"/>
  <c r="V730" i="112"/>
  <c r="W730" i="112" s="1"/>
  <c r="V673" i="112"/>
  <c r="W673" i="112" s="1"/>
  <c r="V619" i="112"/>
  <c r="W619" i="112" s="1"/>
  <c r="V534" i="112"/>
  <c r="W534" i="112" s="1"/>
  <c r="V491" i="112"/>
  <c r="W491" i="112" s="1"/>
  <c r="V448" i="112"/>
  <c r="W448" i="112" s="1"/>
  <c r="V310" i="112"/>
  <c r="W310" i="112" s="1"/>
  <c r="V998" i="112"/>
  <c r="W998" i="112" s="1"/>
  <c r="V909" i="112"/>
  <c r="W909" i="112" s="1"/>
  <c r="V835" i="112"/>
  <c r="W835" i="112" s="1"/>
  <c r="V782" i="112"/>
  <c r="W782" i="112" s="1"/>
  <c r="V572" i="112"/>
  <c r="W572" i="112" s="1"/>
  <c r="V377" i="112"/>
  <c r="W377" i="112" s="1"/>
  <c r="V834" i="112"/>
  <c r="W834" i="112" s="1"/>
  <c r="V778" i="112"/>
  <c r="W778" i="112" s="1"/>
  <c r="V729" i="112"/>
  <c r="W729" i="112" s="1"/>
  <c r="V672" i="112"/>
  <c r="W672" i="112" s="1"/>
  <c r="V617" i="112"/>
  <c r="W617" i="112" s="1"/>
  <c r="V571" i="112"/>
  <c r="W571" i="112" s="1"/>
  <c r="V526" i="112"/>
  <c r="W526" i="112" s="1"/>
  <c r="V489" i="112"/>
  <c r="W489" i="112" s="1"/>
  <c r="V408" i="112"/>
  <c r="W408" i="112" s="1"/>
  <c r="V997" i="112"/>
  <c r="W997" i="112" s="1"/>
  <c r="V900" i="112"/>
  <c r="W900" i="112" s="1"/>
  <c r="V775" i="112"/>
  <c r="W775" i="112" s="1"/>
  <c r="V616" i="112"/>
  <c r="W616" i="112" s="1"/>
  <c r="V569" i="112"/>
  <c r="W569" i="112" s="1"/>
  <c r="V376" i="112"/>
  <c r="W376" i="112" s="1"/>
  <c r="V833" i="112"/>
  <c r="W833" i="112" s="1"/>
  <c r="V728" i="112"/>
  <c r="W728" i="112" s="1"/>
  <c r="V668" i="112"/>
  <c r="W668" i="112" s="1"/>
  <c r="V525" i="112"/>
  <c r="W525" i="112" s="1"/>
  <c r="V484" i="112"/>
  <c r="W484" i="112" s="1"/>
  <c r="V444" i="112"/>
  <c r="W444" i="112" s="1"/>
  <c r="V984" i="112"/>
  <c r="W984" i="112" s="1"/>
  <c r="V888" i="112"/>
  <c r="W888" i="112" s="1"/>
  <c r="V887" i="112"/>
  <c r="W887" i="112" s="1"/>
  <c r="V825" i="112"/>
  <c r="W825" i="112" s="1"/>
  <c r="V983" i="112"/>
  <c r="W983" i="112" s="1"/>
  <c r="V772" i="112"/>
  <c r="W772" i="112" s="1"/>
  <c r="V658" i="112"/>
  <c r="W658" i="112" s="1"/>
  <c r="V520" i="112"/>
  <c r="W520" i="112" s="1"/>
  <c r="V269" i="112"/>
  <c r="W269" i="112" s="1"/>
  <c r="V193" i="112"/>
  <c r="W193" i="112" s="1"/>
  <c r="V169" i="112"/>
  <c r="W169" i="112" s="1"/>
  <c r="V134" i="112"/>
  <c r="W134" i="112" s="1"/>
  <c r="V982" i="112"/>
  <c r="W982" i="112" s="1"/>
  <c r="V771" i="112"/>
  <c r="W771" i="112" s="1"/>
  <c r="V613" i="112"/>
  <c r="W613" i="112" s="1"/>
  <c r="V566" i="112"/>
  <c r="W566" i="112" s="1"/>
  <c r="V518" i="112"/>
  <c r="W518" i="112" s="1"/>
  <c r="V477" i="112"/>
  <c r="W477" i="112" s="1"/>
  <c r="V442" i="112"/>
  <c r="W442" i="112" s="1"/>
  <c r="V404" i="112"/>
  <c r="W404" i="112" s="1"/>
  <c r="V299" i="112"/>
  <c r="W299" i="112" s="1"/>
  <c r="V229" i="112"/>
  <c r="W229" i="112" s="1"/>
  <c r="V224" i="112"/>
  <c r="W224" i="112" s="1"/>
  <c r="V201" i="112"/>
  <c r="W201" i="112" s="1"/>
  <c r="V958" i="112"/>
  <c r="W958" i="112" s="1"/>
  <c r="V821" i="112"/>
  <c r="W821" i="112" s="1"/>
  <c r="V954" i="112"/>
  <c r="W954" i="112" s="1"/>
  <c r="V878" i="112"/>
  <c r="W878" i="112" s="1"/>
  <c r="V762" i="112"/>
  <c r="W762" i="112" s="1"/>
  <c r="V707" i="112"/>
  <c r="W707" i="112" s="1"/>
  <c r="V655" i="112"/>
  <c r="W655" i="112" s="1"/>
  <c r="V514" i="112"/>
  <c r="W514" i="112" s="1"/>
  <c r="V473" i="112"/>
  <c r="W473" i="112" s="1"/>
  <c r="V439" i="112"/>
  <c r="W439" i="112" s="1"/>
  <c r="V400" i="112"/>
  <c r="W400" i="112" s="1"/>
  <c r="V295" i="112"/>
  <c r="W295" i="112" s="1"/>
  <c r="V228" i="112"/>
  <c r="W228" i="112" s="1"/>
  <c r="V172" i="112"/>
  <c r="W172" i="112" s="1"/>
  <c r="V154" i="112"/>
  <c r="W154" i="112" s="1"/>
  <c r="V140" i="112"/>
  <c r="W140" i="112" s="1"/>
  <c r="V950" i="112"/>
  <c r="W950" i="112" s="1"/>
  <c r="V820" i="112"/>
  <c r="W820" i="112" s="1"/>
  <c r="V705" i="112"/>
  <c r="W705" i="112" s="1"/>
  <c r="V877" i="112"/>
  <c r="W877" i="112" s="1"/>
  <c r="V819" i="112"/>
  <c r="W819" i="112" s="1"/>
  <c r="V756" i="112"/>
  <c r="W756" i="112" s="1"/>
  <c r="V704" i="112"/>
  <c r="W704" i="112" s="1"/>
  <c r="V651" i="112"/>
  <c r="W651" i="112" s="1"/>
  <c r="V472" i="112"/>
  <c r="W472" i="112" s="1"/>
  <c r="V398" i="112"/>
  <c r="W398" i="112" s="1"/>
  <c r="V328" i="112"/>
  <c r="W328" i="112" s="1"/>
  <c r="V223" i="112"/>
  <c r="W223" i="112" s="1"/>
  <c r="V200" i="112"/>
  <c r="W200" i="112" s="1"/>
  <c r="V161" i="112"/>
  <c r="W161" i="112" s="1"/>
  <c r="V143" i="112"/>
  <c r="W143" i="112" s="1"/>
  <c r="V949" i="112"/>
  <c r="W949" i="112" s="1"/>
  <c r="V755" i="112"/>
  <c r="W755" i="112" s="1"/>
  <c r="V703" i="112"/>
  <c r="W703" i="112" s="1"/>
  <c r="V649" i="112"/>
  <c r="W649" i="112" s="1"/>
  <c r="V598" i="112"/>
  <c r="W598" i="112" s="1"/>
  <c r="V549" i="112"/>
  <c r="W549" i="112" s="1"/>
  <c r="V510" i="112"/>
  <c r="W510" i="112" s="1"/>
  <c r="V471" i="112"/>
  <c r="W471" i="112" s="1"/>
  <c r="V432" i="112"/>
  <c r="W432" i="112" s="1"/>
  <c r="V324" i="112"/>
  <c r="W324" i="112" s="1"/>
  <c r="V293" i="112"/>
  <c r="W293" i="112" s="1"/>
  <c r="V264" i="112"/>
  <c r="W264" i="112" s="1"/>
  <c r="V218" i="112"/>
  <c r="W218" i="112" s="1"/>
  <c r="V948" i="112"/>
  <c r="W948" i="112" s="1"/>
  <c r="V868" i="112"/>
  <c r="W868" i="112" s="1"/>
  <c r="V816" i="112"/>
  <c r="W816" i="112" s="1"/>
  <c r="V754" i="112"/>
  <c r="W754" i="112" s="1"/>
  <c r="V699" i="112"/>
  <c r="W699" i="112" s="1"/>
  <c r="V767" i="112"/>
  <c r="W767" i="112" s="1"/>
  <c r="V645" i="112"/>
  <c r="W645" i="112" s="1"/>
  <c r="V431" i="112"/>
  <c r="W431" i="112" s="1"/>
  <c r="V363" i="112"/>
  <c r="W363" i="112" s="1"/>
  <c r="V308" i="112"/>
  <c r="W308" i="112" s="1"/>
  <c r="V235" i="112"/>
  <c r="W235" i="112" s="1"/>
  <c r="V213" i="112"/>
  <c r="W213" i="112" s="1"/>
  <c r="V205" i="112"/>
  <c r="W205" i="112" s="1"/>
  <c r="V198" i="112"/>
  <c r="W198" i="112" s="1"/>
  <c r="V166" i="112"/>
  <c r="W166" i="112" s="1"/>
  <c r="V748" i="112"/>
  <c r="W748" i="112" s="1"/>
  <c r="V516" i="112"/>
  <c r="W516" i="112" s="1"/>
  <c r="V429" i="112"/>
  <c r="W429" i="112" s="1"/>
  <c r="V307" i="112"/>
  <c r="W307" i="112" s="1"/>
  <c r="V254" i="112"/>
  <c r="W254" i="112" s="1"/>
  <c r="V227" i="112"/>
  <c r="W227" i="112" s="1"/>
  <c r="V220" i="112"/>
  <c r="W220" i="112" s="1"/>
  <c r="V934" i="112"/>
  <c r="W934" i="112" s="1"/>
  <c r="V615" i="112"/>
  <c r="W615" i="112" s="1"/>
  <c r="V515" i="112"/>
  <c r="W515" i="112" s="1"/>
  <c r="V358" i="112"/>
  <c r="W358" i="112" s="1"/>
  <c r="V173" i="112"/>
  <c r="W173" i="112" s="1"/>
  <c r="V747" i="112"/>
  <c r="W747" i="112" s="1"/>
  <c r="V428" i="112"/>
  <c r="W428" i="112" s="1"/>
  <c r="V297" i="112"/>
  <c r="W297" i="112" s="1"/>
  <c r="V933" i="112"/>
  <c r="W933" i="112" s="1"/>
  <c r="V606" i="112"/>
  <c r="W606" i="112" s="1"/>
  <c r="V427" i="112"/>
  <c r="W427" i="112" s="1"/>
  <c r="V357" i="112"/>
  <c r="W357" i="112" s="1"/>
  <c r="V251" i="112"/>
  <c r="W251" i="112" s="1"/>
  <c r="V179" i="112"/>
  <c r="W179" i="112" s="1"/>
  <c r="V932" i="112"/>
  <c r="W932" i="112" s="1"/>
  <c r="V928" i="112"/>
  <c r="W928" i="112" s="1"/>
  <c r="V926" i="112"/>
  <c r="W926" i="112" s="1"/>
  <c r="V415" i="112"/>
  <c r="W415" i="112" s="1"/>
  <c r="V291" i="112"/>
  <c r="W291" i="112" s="1"/>
  <c r="V242" i="112"/>
  <c r="W242" i="112" s="1"/>
  <c r="V211" i="112"/>
  <c r="W211" i="112" s="1"/>
  <c r="V191" i="112"/>
  <c r="W191" i="112" s="1"/>
  <c r="V594" i="112"/>
  <c r="W594" i="112" s="1"/>
  <c r="V290" i="112"/>
  <c r="W290" i="112" s="1"/>
  <c r="V190" i="112"/>
  <c r="W190" i="112" s="1"/>
  <c r="V715" i="112"/>
  <c r="W715" i="112" s="1"/>
  <c r="V501" i="112"/>
  <c r="W501" i="112" s="1"/>
  <c r="V407" i="112"/>
  <c r="W407" i="112" s="1"/>
  <c r="V343" i="112"/>
  <c r="W343" i="112" s="1"/>
  <c r="V880" i="112"/>
  <c r="W880" i="112" s="1"/>
  <c r="V866" i="112"/>
  <c r="W866" i="112" s="1"/>
  <c r="V708" i="112"/>
  <c r="W708" i="112" s="1"/>
  <c r="V862" i="112"/>
  <c r="W862" i="112" s="1"/>
  <c r="V588" i="112"/>
  <c r="W588" i="112" s="1"/>
  <c r="V478" i="112"/>
  <c r="W478" i="112" s="1"/>
  <c r="V288" i="112"/>
  <c r="W288" i="112" s="1"/>
  <c r="V664" i="112"/>
  <c r="W664" i="112" s="1"/>
  <c r="V558" i="112"/>
  <c r="W558" i="112" s="1"/>
  <c r="V467" i="112"/>
  <c r="W467" i="112" s="1"/>
  <c r="V323" i="112"/>
  <c r="W323" i="112" s="1"/>
  <c r="V271" i="112"/>
  <c r="W271" i="112" s="1"/>
  <c r="V815" i="112"/>
  <c r="W815" i="112" s="1"/>
  <c r="V659" i="112"/>
  <c r="W659" i="112" s="1"/>
  <c r="V466" i="112"/>
  <c r="W466" i="112" s="1"/>
  <c r="V322" i="112"/>
  <c r="W322" i="112" s="1"/>
  <c r="V270" i="112"/>
  <c r="W270" i="112" s="1"/>
  <c r="V215" i="112"/>
  <c r="W215" i="112" s="1"/>
  <c r="V927" i="112"/>
  <c r="W927" i="112" s="1"/>
  <c r="V500" i="112"/>
  <c r="W500" i="112" s="1"/>
  <c r="V378" i="112"/>
  <c r="W378" i="112" s="1"/>
  <c r="V292" i="112"/>
  <c r="W292" i="112" s="1"/>
  <c r="V861" i="112"/>
  <c r="W861" i="112" s="1"/>
  <c r="V648" i="112"/>
  <c r="W648" i="112" s="1"/>
  <c r="V234" i="112"/>
  <c r="W234" i="112" s="1"/>
  <c r="V157" i="112"/>
  <c r="W157" i="112" s="1"/>
  <c r="V289" i="112"/>
  <c r="W289" i="112" s="1"/>
  <c r="V823" i="112"/>
  <c r="W823" i="112" s="1"/>
  <c r="V859" i="112"/>
  <c r="W859" i="112" s="1"/>
  <c r="V647" i="112"/>
  <c r="W647" i="112" s="1"/>
  <c r="V474" i="112"/>
  <c r="W474" i="112" s="1"/>
  <c r="V233" i="112"/>
  <c r="W233" i="112" s="1"/>
  <c r="V182" i="112"/>
  <c r="W182" i="112" s="1"/>
  <c r="V148" i="112"/>
  <c r="W148" i="112" s="1"/>
  <c r="V858" i="112"/>
  <c r="W858" i="112" s="1"/>
  <c r="V373" i="112"/>
  <c r="W373" i="112" s="1"/>
  <c r="V287" i="112"/>
  <c r="W287" i="112" s="1"/>
  <c r="V245" i="112"/>
  <c r="W245" i="112" s="1"/>
  <c r="V164" i="112"/>
  <c r="W164" i="112" s="1"/>
  <c r="V826" i="112"/>
  <c r="W826" i="112" s="1"/>
  <c r="V646" i="112"/>
  <c r="W646" i="112" s="1"/>
  <c r="V365" i="112"/>
  <c r="W365" i="112" s="1"/>
  <c r="V222" i="112"/>
  <c r="W222" i="112" s="1"/>
  <c r="V805" i="112"/>
  <c r="W805" i="112" s="1"/>
  <c r="V802" i="112"/>
  <c r="W802" i="112" s="1"/>
  <c r="V591" i="112"/>
  <c r="W591" i="112" s="1"/>
  <c r="V273" i="112"/>
  <c r="W273" i="112" s="1"/>
  <c r="V181" i="112"/>
  <c r="W181" i="112" s="1"/>
  <c r="V147" i="112"/>
  <c r="W147" i="112" s="1"/>
  <c r="V464" i="112"/>
  <c r="W464" i="112" s="1"/>
  <c r="V797" i="112"/>
  <c r="W797" i="112" s="1"/>
  <c r="V340" i="112"/>
  <c r="W340" i="112" s="1"/>
  <c r="V567" i="112"/>
  <c r="W567" i="112" s="1"/>
  <c r="V746" i="112"/>
  <c r="W746" i="112" s="1"/>
  <c r="V563" i="112"/>
  <c r="W563" i="112" s="1"/>
  <c r="V331" i="112"/>
  <c r="W331" i="112" s="1"/>
  <c r="V240" i="112"/>
  <c r="W240" i="112" s="1"/>
  <c r="V153" i="112"/>
  <c r="W153" i="112" s="1"/>
  <c r="V740" i="112"/>
  <c r="W740" i="112" s="1"/>
  <c r="V330" i="112"/>
  <c r="W330" i="112" s="1"/>
  <c r="V256" i="112"/>
  <c r="W256" i="112" s="1"/>
  <c r="V739" i="112"/>
  <c r="W739" i="112" s="1"/>
  <c r="V546" i="112"/>
  <c r="W546" i="112" s="1"/>
  <c r="V426" i="112"/>
  <c r="W426" i="112" s="1"/>
  <c r="V255" i="112"/>
  <c r="W255" i="112" s="1"/>
  <c r="V541" i="112"/>
  <c r="W541" i="112" s="1"/>
  <c r="V709" i="112"/>
  <c r="W709" i="112" s="1"/>
  <c r="V321" i="112"/>
  <c r="W321" i="112" s="1"/>
  <c r="V187" i="112"/>
  <c r="W187" i="112" s="1"/>
  <c r="V177" i="112"/>
  <c r="W177" i="112" s="1"/>
  <c r="V405" i="112"/>
  <c r="W405" i="112" s="1"/>
  <c r="V396" i="112"/>
  <c r="W396" i="112" s="1"/>
  <c r="V654" i="112"/>
  <c r="W654" i="112" s="1"/>
  <c r="V604" i="112"/>
  <c r="W604" i="112" s="1"/>
  <c r="V342" i="112"/>
  <c r="W342" i="112" s="1"/>
  <c r="V795" i="112"/>
  <c r="W795" i="112" s="1"/>
  <c r="V443" i="112"/>
  <c r="W443" i="112" s="1"/>
  <c r="V268" i="112"/>
  <c r="W268" i="112" s="1"/>
  <c r="V197" i="112"/>
  <c r="W197" i="112" s="1"/>
  <c r="V397" i="112"/>
  <c r="W397" i="112" s="1"/>
  <c r="V657" i="112"/>
  <c r="W657" i="112" s="1"/>
  <c r="V605" i="112"/>
  <c r="W605" i="112" s="1"/>
  <c r="V587" i="112"/>
  <c r="W587" i="112" s="1"/>
  <c r="V309" i="112"/>
  <c r="W309" i="112" s="1"/>
  <c r="V168" i="112"/>
  <c r="W168" i="112" s="1"/>
  <c r="V773" i="112"/>
  <c r="W773" i="112" s="1"/>
  <c r="V440" i="112"/>
  <c r="W440" i="112" s="1"/>
  <c r="V257" i="112"/>
  <c r="W257" i="112" s="1"/>
  <c r="V689" i="112"/>
  <c r="W689" i="112" s="1"/>
  <c r="V364" i="112"/>
  <c r="W364" i="112" s="1"/>
  <c r="V352" i="112"/>
  <c r="W352" i="112" s="1"/>
  <c r="V206" i="112"/>
  <c r="W206" i="112" s="1"/>
  <c r="V341" i="112"/>
  <c r="W341" i="112" s="1"/>
  <c r="V238" i="112"/>
  <c r="W238" i="112" s="1"/>
  <c r="V768" i="112"/>
  <c r="W768" i="112" s="1"/>
  <c r="V267" i="112"/>
  <c r="W267" i="112" s="1"/>
  <c r="V151" i="112"/>
  <c r="W151" i="112" s="1"/>
  <c r="V249" i="112"/>
  <c r="W249" i="112" s="1"/>
  <c r="V176" i="112"/>
  <c r="W176" i="112" s="1"/>
  <c r="V248" i="112"/>
  <c r="W248" i="112" s="1"/>
  <c r="V590" i="112"/>
  <c r="W590" i="112" s="1"/>
  <c r="V338" i="112"/>
  <c r="W338" i="112" s="1"/>
  <c r="V204" i="112"/>
  <c r="W204" i="112" s="1"/>
  <c r="V697" i="112"/>
  <c r="W697" i="112" s="1"/>
  <c r="V403" i="112"/>
  <c r="W403" i="112" s="1"/>
  <c r="V266" i="112"/>
  <c r="W266" i="112" s="1"/>
  <c r="V208" i="112"/>
  <c r="W208" i="112" s="1"/>
  <c r="V133" i="112"/>
  <c r="W133" i="112" s="1"/>
  <c r="V320" i="112"/>
  <c r="W320" i="112" s="1"/>
  <c r="V401" i="112"/>
  <c r="W401" i="112" s="1"/>
  <c r="V174" i="112"/>
  <c r="W174" i="112" s="1"/>
  <c r="V690" i="112"/>
  <c r="W690" i="112" s="1"/>
  <c r="V139" i="112"/>
  <c r="W139" i="112" s="1"/>
  <c r="V137" i="112"/>
  <c r="W137" i="112" s="1"/>
  <c r="V383" i="112"/>
  <c r="W383" i="112" s="1"/>
  <c r="V354" i="112"/>
  <c r="W354" i="112" s="1"/>
  <c r="V144" i="112"/>
  <c r="W144" i="112" s="1"/>
  <c r="V509" i="112"/>
  <c r="W509" i="112" s="1"/>
  <c r="V333" i="112"/>
  <c r="W333" i="112" s="1"/>
  <c r="V502" i="112"/>
  <c r="W502" i="112" s="1"/>
  <c r="V656" i="112"/>
  <c r="W656" i="112" s="1"/>
  <c r="V384" i="112"/>
  <c r="W384" i="112" s="1"/>
  <c r="V217" i="112"/>
  <c r="W217" i="112" s="1"/>
  <c r="V276" i="112"/>
  <c r="W276" i="112" s="1"/>
  <c r="V189" i="112"/>
  <c r="W189" i="112" s="1"/>
  <c r="V170" i="112"/>
  <c r="W170" i="112" s="1"/>
  <c r="V296" i="112"/>
  <c r="W296" i="112" s="1"/>
  <c r="V539" i="112"/>
  <c r="W539" i="112" s="1"/>
  <c r="V319" i="112"/>
  <c r="W319" i="112" s="1"/>
  <c r="V522" i="112"/>
  <c r="W522" i="112" s="1"/>
  <c r="V237" i="112"/>
  <c r="W237" i="112" s="1"/>
  <c r="V463" i="112"/>
  <c r="W463" i="112" s="1"/>
  <c r="V275" i="112"/>
  <c r="W275" i="112" s="1"/>
  <c r="L3" i="112" a="1"/>
  <c r="L3" i="112" s="1"/>
  <c r="M2" i="112"/>
  <c r="L2" i="112" a="1"/>
  <c r="L2" i="112" s="1"/>
  <c r="L1" i="112" a="1"/>
  <c r="L1" i="112" s="1"/>
  <c r="M6" i="91" a="1"/>
  <c r="A6" i="91" a="1"/>
  <c r="S6" i="91" a="1"/>
  <c r="D6" i="91" a="1"/>
  <c r="G6" i="91" a="1"/>
  <c r="P6" i="91" a="1"/>
  <c r="J6" i="91" a="1"/>
  <c r="X2" i="112" l="1" a="1"/>
  <c r="X2" i="112" s="1"/>
  <c r="D11" i="112"/>
  <c r="X1" i="112" a="1"/>
  <c r="X1" i="112" s="1"/>
  <c r="A15" i="112" s="1"/>
  <c r="D6" i="91"/>
  <c r="J6" i="91"/>
  <c r="P6" i="91"/>
  <c r="G6" i="91"/>
  <c r="S6" i="91"/>
  <c r="A6" i="91"/>
  <c r="M6" i="91"/>
  <c r="B15" i="112" l="1"/>
  <c r="A16" i="112"/>
  <c r="K15" i="112"/>
  <c r="E15" i="112"/>
  <c r="H15" i="112"/>
  <c r="H14" i="112" s="1"/>
  <c r="T3" i="110"/>
  <c r="U3" i="110" s="1"/>
  <c r="C5" i="110"/>
  <c r="B5" i="110"/>
  <c r="H16" i="112" l="1"/>
  <c r="B16" i="112"/>
  <c r="K16" i="112"/>
  <c r="E16" i="112"/>
  <c r="A17" i="112"/>
  <c r="F15" i="112"/>
  <c r="I15" i="112"/>
  <c r="C15" i="112"/>
  <c r="G15" i="112"/>
  <c r="D15" i="112"/>
  <c r="T34" i="110"/>
  <c r="U34" i="110" s="1"/>
  <c r="T66" i="110"/>
  <c r="U66" i="110" s="1"/>
  <c r="T98" i="110"/>
  <c r="U98" i="110" s="1"/>
  <c r="T130" i="110"/>
  <c r="U130" i="110" s="1"/>
  <c r="T162" i="110"/>
  <c r="U162" i="110" s="1"/>
  <c r="T194" i="110"/>
  <c r="U194" i="110" s="1"/>
  <c r="T226" i="110"/>
  <c r="U226" i="110" s="1"/>
  <c r="T258" i="110"/>
  <c r="U258" i="110" s="1"/>
  <c r="T290" i="110"/>
  <c r="U290" i="110" s="1"/>
  <c r="T322" i="110"/>
  <c r="U322" i="110" s="1"/>
  <c r="T354" i="110"/>
  <c r="U354" i="110" s="1"/>
  <c r="T386" i="110"/>
  <c r="U386" i="110" s="1"/>
  <c r="T418" i="110"/>
  <c r="U418" i="110" s="1"/>
  <c r="T450" i="110"/>
  <c r="U450" i="110" s="1"/>
  <c r="T482" i="110"/>
  <c r="U482" i="110" s="1"/>
  <c r="T514" i="110"/>
  <c r="U514" i="110" s="1"/>
  <c r="T546" i="110"/>
  <c r="U546" i="110" s="1"/>
  <c r="T578" i="110"/>
  <c r="U578" i="110" s="1"/>
  <c r="T610" i="110"/>
  <c r="U610" i="110" s="1"/>
  <c r="T642" i="110"/>
  <c r="U642" i="110" s="1"/>
  <c r="T674" i="110"/>
  <c r="U674" i="110" s="1"/>
  <c r="T706" i="110"/>
  <c r="U706" i="110" s="1"/>
  <c r="T738" i="110"/>
  <c r="U738" i="110" s="1"/>
  <c r="T770" i="110"/>
  <c r="U770" i="110" s="1"/>
  <c r="T802" i="110"/>
  <c r="U802" i="110" s="1"/>
  <c r="T834" i="110"/>
  <c r="U834" i="110" s="1"/>
  <c r="T866" i="110"/>
  <c r="U866" i="110" s="1"/>
  <c r="T898" i="110"/>
  <c r="U898" i="110" s="1"/>
  <c r="T930" i="110"/>
  <c r="U930" i="110" s="1"/>
  <c r="T962" i="110"/>
  <c r="U962" i="110" s="1"/>
  <c r="T994" i="110"/>
  <c r="U994" i="110" s="1"/>
  <c r="T1026" i="110"/>
  <c r="U1026" i="110" s="1"/>
  <c r="T1058" i="110"/>
  <c r="U1058" i="110" s="1"/>
  <c r="T803" i="110"/>
  <c r="U803" i="110" s="1"/>
  <c r="T835" i="110"/>
  <c r="U835" i="110" s="1"/>
  <c r="T867" i="110"/>
  <c r="U867" i="110" s="1"/>
  <c r="T899" i="110"/>
  <c r="U899" i="110" s="1"/>
  <c r="T931" i="110"/>
  <c r="U931" i="110" s="1"/>
  <c r="T963" i="110"/>
  <c r="U963" i="110" s="1"/>
  <c r="T995" i="110"/>
  <c r="U995" i="110" s="1"/>
  <c r="T1027" i="110"/>
  <c r="U1027" i="110" s="1"/>
  <c r="T1059" i="110"/>
  <c r="U1059" i="110" s="1"/>
  <c r="T808" i="110"/>
  <c r="U808" i="110" s="1"/>
  <c r="T904" i="110"/>
  <c r="U904" i="110" s="1"/>
  <c r="T1032" i="110"/>
  <c r="U1032" i="110" s="1"/>
  <c r="T841" i="110"/>
  <c r="U841" i="110" s="1"/>
  <c r="T937" i="110"/>
  <c r="U937" i="110" s="1"/>
  <c r="T1001" i="110"/>
  <c r="U1001" i="110" s="1"/>
  <c r="T1002" i="110"/>
  <c r="U1002" i="110" s="1"/>
  <c r="T1066" i="110"/>
  <c r="U1066" i="110" s="1"/>
  <c r="T811" i="110"/>
  <c r="U811" i="110" s="1"/>
  <c r="T876" i="110"/>
  <c r="U876" i="110" s="1"/>
  <c r="T877" i="110"/>
  <c r="U877" i="110" s="1"/>
  <c r="T622" i="110"/>
  <c r="U622" i="110" s="1"/>
  <c r="T910" i="110"/>
  <c r="U910" i="110" s="1"/>
  <c r="T463" i="110"/>
  <c r="U463" i="110" s="1"/>
  <c r="T783" i="110"/>
  <c r="U783" i="110" s="1"/>
  <c r="T975" i="110"/>
  <c r="U975" i="110" s="1"/>
  <c r="T592" i="110"/>
  <c r="U592" i="110" s="1"/>
  <c r="T848" i="110"/>
  <c r="U848" i="110" s="1"/>
  <c r="T946" i="110"/>
  <c r="U946" i="110" s="1"/>
  <c r="T660" i="110"/>
  <c r="U660" i="110" s="1"/>
  <c r="T533" i="110"/>
  <c r="U533" i="110" s="1"/>
  <c r="T821" i="110"/>
  <c r="U821" i="110" s="1"/>
  <c r="T630" i="110"/>
  <c r="U630" i="110" s="1"/>
  <c r="T923" i="110"/>
  <c r="U923" i="110" s="1"/>
  <c r="T572" i="110"/>
  <c r="U572" i="110" s="1"/>
  <c r="T767" i="110"/>
  <c r="U767" i="110" s="1"/>
  <c r="T35" i="110"/>
  <c r="U35" i="110" s="1"/>
  <c r="T67" i="110"/>
  <c r="U67" i="110" s="1"/>
  <c r="T99" i="110"/>
  <c r="U99" i="110" s="1"/>
  <c r="T131" i="110"/>
  <c r="U131" i="110" s="1"/>
  <c r="T163" i="110"/>
  <c r="U163" i="110" s="1"/>
  <c r="T195" i="110"/>
  <c r="U195" i="110" s="1"/>
  <c r="T227" i="110"/>
  <c r="U227" i="110" s="1"/>
  <c r="T259" i="110"/>
  <c r="U259" i="110" s="1"/>
  <c r="T291" i="110"/>
  <c r="U291" i="110" s="1"/>
  <c r="T323" i="110"/>
  <c r="U323" i="110" s="1"/>
  <c r="T355" i="110"/>
  <c r="U355" i="110" s="1"/>
  <c r="T387" i="110"/>
  <c r="U387" i="110" s="1"/>
  <c r="T419" i="110"/>
  <c r="U419" i="110" s="1"/>
  <c r="T451" i="110"/>
  <c r="U451" i="110" s="1"/>
  <c r="T483" i="110"/>
  <c r="U483" i="110" s="1"/>
  <c r="T515" i="110"/>
  <c r="U515" i="110" s="1"/>
  <c r="T547" i="110"/>
  <c r="U547" i="110" s="1"/>
  <c r="T579" i="110"/>
  <c r="U579" i="110" s="1"/>
  <c r="T611" i="110"/>
  <c r="U611" i="110" s="1"/>
  <c r="T643" i="110"/>
  <c r="U643" i="110" s="1"/>
  <c r="T675" i="110"/>
  <c r="U675" i="110" s="1"/>
  <c r="T707" i="110"/>
  <c r="U707" i="110" s="1"/>
  <c r="T739" i="110"/>
  <c r="U739" i="110" s="1"/>
  <c r="T771" i="110"/>
  <c r="U771" i="110" s="1"/>
  <c r="T717" i="110"/>
  <c r="U717" i="110" s="1"/>
  <c r="T1069" i="110"/>
  <c r="U1069" i="110" s="1"/>
  <c r="T911" i="110"/>
  <c r="U911" i="110" s="1"/>
  <c r="T944" i="110"/>
  <c r="U944" i="110" s="1"/>
  <c r="T1012" i="110"/>
  <c r="U1012" i="110" s="1"/>
  <c r="T694" i="110"/>
  <c r="U694" i="110" s="1"/>
  <c r="T635" i="110"/>
  <c r="U635" i="110" s="1"/>
  <c r="T636" i="110"/>
  <c r="U636" i="110" s="1"/>
  <c r="T1053" i="110"/>
  <c r="U1053" i="110" s="1"/>
  <c r="T991" i="110"/>
  <c r="U991" i="110" s="1"/>
  <c r="T4" i="110"/>
  <c r="U4" i="110" s="1"/>
  <c r="T36" i="110"/>
  <c r="U36" i="110" s="1"/>
  <c r="T68" i="110"/>
  <c r="U68" i="110" s="1"/>
  <c r="T100" i="110"/>
  <c r="U100" i="110" s="1"/>
  <c r="T132" i="110"/>
  <c r="U132" i="110" s="1"/>
  <c r="T164" i="110"/>
  <c r="U164" i="110" s="1"/>
  <c r="T196" i="110"/>
  <c r="U196" i="110" s="1"/>
  <c r="T228" i="110"/>
  <c r="U228" i="110" s="1"/>
  <c r="T260" i="110"/>
  <c r="U260" i="110" s="1"/>
  <c r="T292" i="110"/>
  <c r="U292" i="110" s="1"/>
  <c r="T324" i="110"/>
  <c r="U324" i="110" s="1"/>
  <c r="T356" i="110"/>
  <c r="U356" i="110" s="1"/>
  <c r="T388" i="110"/>
  <c r="U388" i="110" s="1"/>
  <c r="T420" i="110"/>
  <c r="U420" i="110" s="1"/>
  <c r="T452" i="110"/>
  <c r="U452" i="110" s="1"/>
  <c r="T484" i="110"/>
  <c r="U484" i="110" s="1"/>
  <c r="T516" i="110"/>
  <c r="U516" i="110" s="1"/>
  <c r="T548" i="110"/>
  <c r="U548" i="110" s="1"/>
  <c r="T580" i="110"/>
  <c r="U580" i="110" s="1"/>
  <c r="T612" i="110"/>
  <c r="U612" i="110" s="1"/>
  <c r="T644" i="110"/>
  <c r="U644" i="110" s="1"/>
  <c r="T676" i="110"/>
  <c r="U676" i="110" s="1"/>
  <c r="T708" i="110"/>
  <c r="U708" i="110" s="1"/>
  <c r="T740" i="110"/>
  <c r="U740" i="110" s="1"/>
  <c r="T772" i="110"/>
  <c r="U772" i="110" s="1"/>
  <c r="T804" i="110"/>
  <c r="U804" i="110" s="1"/>
  <c r="T836" i="110"/>
  <c r="U836" i="110" s="1"/>
  <c r="T868" i="110"/>
  <c r="U868" i="110" s="1"/>
  <c r="T900" i="110"/>
  <c r="U900" i="110" s="1"/>
  <c r="T932" i="110"/>
  <c r="U932" i="110" s="1"/>
  <c r="T964" i="110"/>
  <c r="U964" i="110" s="1"/>
  <c r="T996" i="110"/>
  <c r="U996" i="110" s="1"/>
  <c r="T1028" i="110"/>
  <c r="U1028" i="110" s="1"/>
  <c r="T1060" i="110"/>
  <c r="U1060" i="110" s="1"/>
  <c r="T805" i="110"/>
  <c r="U805" i="110" s="1"/>
  <c r="T869" i="110"/>
  <c r="U869" i="110" s="1"/>
  <c r="T901" i="110"/>
  <c r="U901" i="110" s="1"/>
  <c r="T933" i="110"/>
  <c r="U933" i="110" s="1"/>
  <c r="T965" i="110"/>
  <c r="U965" i="110" s="1"/>
  <c r="T1029" i="110"/>
  <c r="U1029" i="110" s="1"/>
  <c r="T1061" i="110"/>
  <c r="U1061" i="110" s="1"/>
  <c r="T455" i="110"/>
  <c r="U455" i="110" s="1"/>
  <c r="T583" i="110"/>
  <c r="U583" i="110" s="1"/>
  <c r="T647" i="110"/>
  <c r="U647" i="110" s="1"/>
  <c r="T743" i="110"/>
  <c r="U743" i="110" s="1"/>
  <c r="T807" i="110"/>
  <c r="U807" i="110" s="1"/>
  <c r="T871" i="110"/>
  <c r="U871" i="110" s="1"/>
  <c r="T903" i="110"/>
  <c r="U903" i="110" s="1"/>
  <c r="T999" i="110"/>
  <c r="U999" i="110" s="1"/>
  <c r="T1063" i="110"/>
  <c r="U1063" i="110" s="1"/>
  <c r="T1064" i="110"/>
  <c r="U1064" i="110" s="1"/>
  <c r="T873" i="110"/>
  <c r="U873" i="110" s="1"/>
  <c r="T969" i="110"/>
  <c r="U969" i="110" s="1"/>
  <c r="T939" i="110"/>
  <c r="U939" i="110" s="1"/>
  <c r="T971" i="110"/>
  <c r="U971" i="110" s="1"/>
  <c r="T844" i="110"/>
  <c r="U844" i="110" s="1"/>
  <c r="T653" i="110"/>
  <c r="U653" i="110" s="1"/>
  <c r="T813" i="110"/>
  <c r="U813" i="110" s="1"/>
  <c r="T973" i="110"/>
  <c r="U973" i="110" s="1"/>
  <c r="T590" i="110"/>
  <c r="U590" i="110" s="1"/>
  <c r="T814" i="110"/>
  <c r="U814" i="110" s="1"/>
  <c r="T1006" i="110"/>
  <c r="U1006" i="110" s="1"/>
  <c r="T559" i="110"/>
  <c r="U559" i="110" s="1"/>
  <c r="T879" i="110"/>
  <c r="U879" i="110" s="1"/>
  <c r="T1071" i="110"/>
  <c r="U1071" i="110" s="1"/>
  <c r="T624" i="110"/>
  <c r="U624" i="110" s="1"/>
  <c r="T880" i="110"/>
  <c r="U880" i="110" s="1"/>
  <c r="T1074" i="110"/>
  <c r="U1074" i="110" s="1"/>
  <c r="T724" i="110"/>
  <c r="U724" i="110" s="1"/>
  <c r="T629" i="110"/>
  <c r="U629" i="110" s="1"/>
  <c r="T246" i="110"/>
  <c r="U246" i="110" s="1"/>
  <c r="T534" i="110"/>
  <c r="U534" i="110" s="1"/>
  <c r="T827" i="110"/>
  <c r="U827" i="110" s="1"/>
  <c r="T1051" i="110"/>
  <c r="U1051" i="110" s="1"/>
  <c r="T732" i="110"/>
  <c r="U732" i="110" s="1"/>
  <c r="T639" i="110"/>
  <c r="U639" i="110" s="1"/>
  <c r="T5" i="110"/>
  <c r="U5" i="110" s="1"/>
  <c r="T37" i="110"/>
  <c r="U37" i="110" s="1"/>
  <c r="T69" i="110"/>
  <c r="U69" i="110" s="1"/>
  <c r="T101" i="110"/>
  <c r="U101" i="110" s="1"/>
  <c r="T133" i="110"/>
  <c r="U133" i="110" s="1"/>
  <c r="T165" i="110"/>
  <c r="U165" i="110" s="1"/>
  <c r="T197" i="110"/>
  <c r="U197" i="110" s="1"/>
  <c r="T229" i="110"/>
  <c r="U229" i="110" s="1"/>
  <c r="T261" i="110"/>
  <c r="U261" i="110" s="1"/>
  <c r="T293" i="110"/>
  <c r="U293" i="110" s="1"/>
  <c r="T325" i="110"/>
  <c r="U325" i="110" s="1"/>
  <c r="T357" i="110"/>
  <c r="U357" i="110" s="1"/>
  <c r="T389" i="110"/>
  <c r="U389" i="110" s="1"/>
  <c r="T421" i="110"/>
  <c r="U421" i="110" s="1"/>
  <c r="T453" i="110"/>
  <c r="U453" i="110" s="1"/>
  <c r="T485" i="110"/>
  <c r="U485" i="110" s="1"/>
  <c r="T517" i="110"/>
  <c r="U517" i="110" s="1"/>
  <c r="T549" i="110"/>
  <c r="U549" i="110" s="1"/>
  <c r="T581" i="110"/>
  <c r="U581" i="110" s="1"/>
  <c r="T613" i="110"/>
  <c r="U613" i="110" s="1"/>
  <c r="T645" i="110"/>
  <c r="U645" i="110" s="1"/>
  <c r="T677" i="110"/>
  <c r="U677" i="110" s="1"/>
  <c r="T709" i="110"/>
  <c r="U709" i="110" s="1"/>
  <c r="T741" i="110"/>
  <c r="U741" i="110" s="1"/>
  <c r="T773" i="110"/>
  <c r="U773" i="110" s="1"/>
  <c r="T837" i="110"/>
  <c r="U837" i="110" s="1"/>
  <c r="T997" i="110"/>
  <c r="U997" i="110" s="1"/>
  <c r="T391" i="110"/>
  <c r="U391" i="110" s="1"/>
  <c r="T519" i="110"/>
  <c r="U519" i="110" s="1"/>
  <c r="T711" i="110"/>
  <c r="U711" i="110" s="1"/>
  <c r="T839" i="110"/>
  <c r="U839" i="110" s="1"/>
  <c r="T967" i="110"/>
  <c r="U967" i="110" s="1"/>
  <c r="T872" i="110"/>
  <c r="U872" i="110" s="1"/>
  <c r="T1000" i="110"/>
  <c r="U1000" i="110" s="1"/>
  <c r="T1033" i="110"/>
  <c r="U1033" i="110" s="1"/>
  <c r="T778" i="110"/>
  <c r="U778" i="110" s="1"/>
  <c r="T874" i="110"/>
  <c r="U874" i="110" s="1"/>
  <c r="T970" i="110"/>
  <c r="U970" i="110" s="1"/>
  <c r="T1034" i="110"/>
  <c r="U1034" i="110" s="1"/>
  <c r="T908" i="110"/>
  <c r="U908" i="110" s="1"/>
  <c r="T941" i="110"/>
  <c r="U941" i="110" s="1"/>
  <c r="T686" i="110"/>
  <c r="U686" i="110" s="1"/>
  <c r="T1070" i="110"/>
  <c r="U1070" i="110" s="1"/>
  <c r="T847" i="110"/>
  <c r="U847" i="110" s="1"/>
  <c r="T784" i="110"/>
  <c r="U784" i="110" s="1"/>
  <c r="T757" i="110"/>
  <c r="U757" i="110" s="1"/>
  <c r="T374" i="110"/>
  <c r="U374" i="110" s="1"/>
  <c r="T764" i="110"/>
  <c r="U764" i="110" s="1"/>
  <c r="T6" i="110"/>
  <c r="U6" i="110" s="1"/>
  <c r="T38" i="110"/>
  <c r="U38" i="110" s="1"/>
  <c r="T70" i="110"/>
  <c r="U70" i="110" s="1"/>
  <c r="T102" i="110"/>
  <c r="U102" i="110" s="1"/>
  <c r="T134" i="110"/>
  <c r="U134" i="110" s="1"/>
  <c r="T166" i="110"/>
  <c r="U166" i="110" s="1"/>
  <c r="T198" i="110"/>
  <c r="U198" i="110" s="1"/>
  <c r="T230" i="110"/>
  <c r="U230" i="110" s="1"/>
  <c r="T262" i="110"/>
  <c r="U262" i="110" s="1"/>
  <c r="T294" i="110"/>
  <c r="U294" i="110" s="1"/>
  <c r="T326" i="110"/>
  <c r="U326" i="110" s="1"/>
  <c r="T358" i="110"/>
  <c r="U358" i="110" s="1"/>
  <c r="T390" i="110"/>
  <c r="U390" i="110" s="1"/>
  <c r="T422" i="110"/>
  <c r="U422" i="110" s="1"/>
  <c r="T454" i="110"/>
  <c r="U454" i="110" s="1"/>
  <c r="T486" i="110"/>
  <c r="U486" i="110" s="1"/>
  <c r="T518" i="110"/>
  <c r="U518" i="110" s="1"/>
  <c r="T550" i="110"/>
  <c r="U550" i="110" s="1"/>
  <c r="T582" i="110"/>
  <c r="U582" i="110" s="1"/>
  <c r="T614" i="110"/>
  <c r="U614" i="110" s="1"/>
  <c r="T646" i="110"/>
  <c r="U646" i="110" s="1"/>
  <c r="T678" i="110"/>
  <c r="U678" i="110" s="1"/>
  <c r="T710" i="110"/>
  <c r="U710" i="110" s="1"/>
  <c r="T742" i="110"/>
  <c r="U742" i="110" s="1"/>
  <c r="T774" i="110"/>
  <c r="U774" i="110" s="1"/>
  <c r="T806" i="110"/>
  <c r="U806" i="110" s="1"/>
  <c r="T838" i="110"/>
  <c r="U838" i="110" s="1"/>
  <c r="T870" i="110"/>
  <c r="U870" i="110" s="1"/>
  <c r="T902" i="110"/>
  <c r="U902" i="110" s="1"/>
  <c r="T934" i="110"/>
  <c r="U934" i="110" s="1"/>
  <c r="T966" i="110"/>
  <c r="U966" i="110" s="1"/>
  <c r="T998" i="110"/>
  <c r="U998" i="110" s="1"/>
  <c r="T1030" i="110"/>
  <c r="U1030" i="110" s="1"/>
  <c r="T1062" i="110"/>
  <c r="U1062" i="110" s="1"/>
  <c r="T295" i="110"/>
  <c r="U295" i="110" s="1"/>
  <c r="T487" i="110"/>
  <c r="U487" i="110" s="1"/>
  <c r="T615" i="110"/>
  <c r="U615" i="110" s="1"/>
  <c r="T775" i="110"/>
  <c r="U775" i="110" s="1"/>
  <c r="T1031" i="110"/>
  <c r="U1031" i="110" s="1"/>
  <c r="T968" i="110"/>
  <c r="U968" i="110" s="1"/>
  <c r="T809" i="110"/>
  <c r="U809" i="110" s="1"/>
  <c r="T1036" i="110"/>
  <c r="U1036" i="110" s="1"/>
  <c r="T781" i="110"/>
  <c r="U781" i="110" s="1"/>
  <c r="T558" i="110"/>
  <c r="U558" i="110" s="1"/>
  <c r="T974" i="110"/>
  <c r="U974" i="110" s="1"/>
  <c r="T687" i="110"/>
  <c r="U687" i="110" s="1"/>
  <c r="T1007" i="110"/>
  <c r="U1007" i="110" s="1"/>
  <c r="T1008" i="110"/>
  <c r="U1008" i="110" s="1"/>
  <c r="T501" i="110"/>
  <c r="U501" i="110" s="1"/>
  <c r="T278" i="110"/>
  <c r="U278" i="110" s="1"/>
  <c r="T726" i="110"/>
  <c r="U726" i="110" s="1"/>
  <c r="T7" i="110"/>
  <c r="U7" i="110" s="1"/>
  <c r="T39" i="110"/>
  <c r="U39" i="110" s="1"/>
  <c r="T71" i="110"/>
  <c r="U71" i="110" s="1"/>
  <c r="T103" i="110"/>
  <c r="U103" i="110" s="1"/>
  <c r="T135" i="110"/>
  <c r="U135" i="110" s="1"/>
  <c r="T167" i="110"/>
  <c r="U167" i="110" s="1"/>
  <c r="T199" i="110"/>
  <c r="U199" i="110" s="1"/>
  <c r="T231" i="110"/>
  <c r="U231" i="110" s="1"/>
  <c r="T263" i="110"/>
  <c r="U263" i="110" s="1"/>
  <c r="T327" i="110"/>
  <c r="U327" i="110" s="1"/>
  <c r="T359" i="110"/>
  <c r="U359" i="110" s="1"/>
  <c r="T423" i="110"/>
  <c r="U423" i="110" s="1"/>
  <c r="T551" i="110"/>
  <c r="U551" i="110" s="1"/>
  <c r="T679" i="110"/>
  <c r="U679" i="110" s="1"/>
  <c r="T935" i="110"/>
  <c r="U935" i="110" s="1"/>
  <c r="T747" i="110"/>
  <c r="U747" i="110" s="1"/>
  <c r="T1035" i="110"/>
  <c r="U1035" i="110" s="1"/>
  <c r="T1068" i="110"/>
  <c r="U1068" i="110" s="1"/>
  <c r="T1037" i="110"/>
  <c r="U1037" i="110" s="1"/>
  <c r="T750" i="110"/>
  <c r="U750" i="110" s="1"/>
  <c r="T719" i="110"/>
  <c r="U719" i="110" s="1"/>
  <c r="T882" i="110"/>
  <c r="U882" i="110" s="1"/>
  <c r="T980" i="110"/>
  <c r="U980" i="110" s="1"/>
  <c r="T8" i="110"/>
  <c r="U8" i="110" s="1"/>
  <c r="T40" i="110"/>
  <c r="U40" i="110" s="1"/>
  <c r="T72" i="110"/>
  <c r="U72" i="110" s="1"/>
  <c r="T104" i="110"/>
  <c r="U104" i="110" s="1"/>
  <c r="T136" i="110"/>
  <c r="U136" i="110" s="1"/>
  <c r="T168" i="110"/>
  <c r="U168" i="110" s="1"/>
  <c r="T200" i="110"/>
  <c r="U200" i="110" s="1"/>
  <c r="T232" i="110"/>
  <c r="U232" i="110" s="1"/>
  <c r="T264" i="110"/>
  <c r="U264" i="110" s="1"/>
  <c r="T296" i="110"/>
  <c r="U296" i="110" s="1"/>
  <c r="T328" i="110"/>
  <c r="U328" i="110" s="1"/>
  <c r="T360" i="110"/>
  <c r="U360" i="110" s="1"/>
  <c r="T392" i="110"/>
  <c r="U392" i="110" s="1"/>
  <c r="T424" i="110"/>
  <c r="U424" i="110" s="1"/>
  <c r="T456" i="110"/>
  <c r="U456" i="110" s="1"/>
  <c r="T488" i="110"/>
  <c r="U488" i="110" s="1"/>
  <c r="T520" i="110"/>
  <c r="U520" i="110" s="1"/>
  <c r="T552" i="110"/>
  <c r="U552" i="110" s="1"/>
  <c r="T584" i="110"/>
  <c r="U584" i="110" s="1"/>
  <c r="T616" i="110"/>
  <c r="U616" i="110" s="1"/>
  <c r="T648" i="110"/>
  <c r="U648" i="110" s="1"/>
  <c r="T680" i="110"/>
  <c r="U680" i="110" s="1"/>
  <c r="T712" i="110"/>
  <c r="U712" i="110" s="1"/>
  <c r="T744" i="110"/>
  <c r="U744" i="110" s="1"/>
  <c r="T776" i="110"/>
  <c r="U776" i="110" s="1"/>
  <c r="T840" i="110"/>
  <c r="U840" i="110" s="1"/>
  <c r="T936" i="110"/>
  <c r="U936" i="110" s="1"/>
  <c r="T907" i="110"/>
  <c r="U907" i="110" s="1"/>
  <c r="T972" i="110"/>
  <c r="U972" i="110" s="1"/>
  <c r="T621" i="110"/>
  <c r="U621" i="110" s="1"/>
  <c r="T942" i="110"/>
  <c r="U942" i="110" s="1"/>
  <c r="T655" i="110"/>
  <c r="U655" i="110" s="1"/>
  <c r="T752" i="110"/>
  <c r="U752" i="110" s="1"/>
  <c r="T884" i="110"/>
  <c r="U884" i="110" s="1"/>
  <c r="T1045" i="110"/>
  <c r="U1045" i="110" s="1"/>
  <c r="T566" i="110"/>
  <c r="U566" i="110" s="1"/>
  <c r="T1024" i="110"/>
  <c r="U1024" i="110" s="1"/>
  <c r="T9" i="110"/>
  <c r="U9" i="110" s="1"/>
  <c r="T41" i="110"/>
  <c r="U41" i="110" s="1"/>
  <c r="T73" i="110"/>
  <c r="U73" i="110" s="1"/>
  <c r="T105" i="110"/>
  <c r="U105" i="110" s="1"/>
  <c r="T137" i="110"/>
  <c r="U137" i="110" s="1"/>
  <c r="T169" i="110"/>
  <c r="U169" i="110" s="1"/>
  <c r="T201" i="110"/>
  <c r="U201" i="110" s="1"/>
  <c r="T233" i="110"/>
  <c r="U233" i="110" s="1"/>
  <c r="T265" i="110"/>
  <c r="U265" i="110" s="1"/>
  <c r="T297" i="110"/>
  <c r="U297" i="110" s="1"/>
  <c r="T329" i="110"/>
  <c r="U329" i="110" s="1"/>
  <c r="T361" i="110"/>
  <c r="U361" i="110" s="1"/>
  <c r="T393" i="110"/>
  <c r="U393" i="110" s="1"/>
  <c r="T425" i="110"/>
  <c r="U425" i="110" s="1"/>
  <c r="T457" i="110"/>
  <c r="U457" i="110" s="1"/>
  <c r="T489" i="110"/>
  <c r="U489" i="110" s="1"/>
  <c r="T521" i="110"/>
  <c r="U521" i="110" s="1"/>
  <c r="T553" i="110"/>
  <c r="U553" i="110" s="1"/>
  <c r="T585" i="110"/>
  <c r="U585" i="110" s="1"/>
  <c r="T617" i="110"/>
  <c r="U617" i="110" s="1"/>
  <c r="T649" i="110"/>
  <c r="U649" i="110" s="1"/>
  <c r="T681" i="110"/>
  <c r="U681" i="110" s="1"/>
  <c r="T713" i="110"/>
  <c r="U713" i="110" s="1"/>
  <c r="T745" i="110"/>
  <c r="U745" i="110" s="1"/>
  <c r="T777" i="110"/>
  <c r="U777" i="110" s="1"/>
  <c r="T905" i="110"/>
  <c r="U905" i="110" s="1"/>
  <c r="T1065" i="110"/>
  <c r="U1065" i="110" s="1"/>
  <c r="T810" i="110"/>
  <c r="U810" i="110" s="1"/>
  <c r="T938" i="110"/>
  <c r="U938" i="110" s="1"/>
  <c r="T875" i="110"/>
  <c r="U875" i="110" s="1"/>
  <c r="T1067" i="110"/>
  <c r="U1067" i="110" s="1"/>
  <c r="T685" i="110"/>
  <c r="U685" i="110" s="1"/>
  <c r="T718" i="110"/>
  <c r="U718" i="110" s="1"/>
  <c r="T495" i="110"/>
  <c r="U495" i="110" s="1"/>
  <c r="T816" i="110"/>
  <c r="U816" i="110" s="1"/>
  <c r="T692" i="110"/>
  <c r="U692" i="110" s="1"/>
  <c r="T693" i="110"/>
  <c r="U693" i="110" s="1"/>
  <c r="T342" i="110"/>
  <c r="U342" i="110" s="1"/>
  <c r="T758" i="110"/>
  <c r="U758" i="110" s="1"/>
  <c r="T763" i="110"/>
  <c r="U763" i="110" s="1"/>
  <c r="T1019" i="110"/>
  <c r="U1019" i="110" s="1"/>
  <c r="T1020" i="110"/>
  <c r="U1020" i="110" s="1"/>
  <c r="T10" i="110"/>
  <c r="U10" i="110" s="1"/>
  <c r="T42" i="110"/>
  <c r="U42" i="110" s="1"/>
  <c r="T74" i="110"/>
  <c r="U74" i="110" s="1"/>
  <c r="T106" i="110"/>
  <c r="U106" i="110" s="1"/>
  <c r="T138" i="110"/>
  <c r="U138" i="110" s="1"/>
  <c r="T170" i="110"/>
  <c r="U170" i="110" s="1"/>
  <c r="T202" i="110"/>
  <c r="U202" i="110" s="1"/>
  <c r="T234" i="110"/>
  <c r="U234" i="110" s="1"/>
  <c r="T266" i="110"/>
  <c r="U266" i="110" s="1"/>
  <c r="T298" i="110"/>
  <c r="U298" i="110" s="1"/>
  <c r="T330" i="110"/>
  <c r="U330" i="110" s="1"/>
  <c r="T362" i="110"/>
  <c r="U362" i="110" s="1"/>
  <c r="T394" i="110"/>
  <c r="U394" i="110" s="1"/>
  <c r="T426" i="110"/>
  <c r="U426" i="110" s="1"/>
  <c r="T458" i="110"/>
  <c r="U458" i="110" s="1"/>
  <c r="T490" i="110"/>
  <c r="U490" i="110" s="1"/>
  <c r="T522" i="110"/>
  <c r="U522" i="110" s="1"/>
  <c r="T554" i="110"/>
  <c r="U554" i="110" s="1"/>
  <c r="T586" i="110"/>
  <c r="U586" i="110" s="1"/>
  <c r="T618" i="110"/>
  <c r="U618" i="110" s="1"/>
  <c r="T650" i="110"/>
  <c r="U650" i="110" s="1"/>
  <c r="T682" i="110"/>
  <c r="U682" i="110" s="1"/>
  <c r="T714" i="110"/>
  <c r="U714" i="110" s="1"/>
  <c r="T746" i="110"/>
  <c r="U746" i="110" s="1"/>
  <c r="T842" i="110"/>
  <c r="U842" i="110" s="1"/>
  <c r="T906" i="110"/>
  <c r="U906" i="110" s="1"/>
  <c r="T843" i="110"/>
  <c r="U843" i="110" s="1"/>
  <c r="T1003" i="110"/>
  <c r="U1003" i="110" s="1"/>
  <c r="T589" i="110"/>
  <c r="U589" i="110" s="1"/>
  <c r="T909" i="110"/>
  <c r="U909" i="110" s="1"/>
  <c r="T654" i="110"/>
  <c r="U654" i="110" s="1"/>
  <c r="T1038" i="110"/>
  <c r="U1038" i="110" s="1"/>
  <c r="T815" i="110"/>
  <c r="U815" i="110" s="1"/>
  <c r="T1039" i="110"/>
  <c r="U1039" i="110" s="1"/>
  <c r="T976" i="110"/>
  <c r="U976" i="110" s="1"/>
  <c r="T788" i="110"/>
  <c r="U788" i="110" s="1"/>
  <c r="T725" i="110"/>
  <c r="U725" i="110" s="1"/>
  <c r="T540" i="110"/>
  <c r="U540" i="110" s="1"/>
  <c r="T831" i="110"/>
  <c r="U831" i="110" s="1"/>
  <c r="T11" i="110"/>
  <c r="U11" i="110" s="1"/>
  <c r="T43" i="110"/>
  <c r="U43" i="110" s="1"/>
  <c r="T75" i="110"/>
  <c r="U75" i="110" s="1"/>
  <c r="T107" i="110"/>
  <c r="U107" i="110" s="1"/>
  <c r="T139" i="110"/>
  <c r="U139" i="110" s="1"/>
  <c r="T171" i="110"/>
  <c r="U171" i="110" s="1"/>
  <c r="T203" i="110"/>
  <c r="U203" i="110" s="1"/>
  <c r="T235" i="110"/>
  <c r="U235" i="110" s="1"/>
  <c r="T267" i="110"/>
  <c r="U267" i="110" s="1"/>
  <c r="T299" i="110"/>
  <c r="U299" i="110" s="1"/>
  <c r="T331" i="110"/>
  <c r="U331" i="110" s="1"/>
  <c r="T363" i="110"/>
  <c r="U363" i="110" s="1"/>
  <c r="T395" i="110"/>
  <c r="U395" i="110" s="1"/>
  <c r="T427" i="110"/>
  <c r="U427" i="110" s="1"/>
  <c r="T459" i="110"/>
  <c r="U459" i="110" s="1"/>
  <c r="T491" i="110"/>
  <c r="U491" i="110" s="1"/>
  <c r="T523" i="110"/>
  <c r="U523" i="110" s="1"/>
  <c r="T555" i="110"/>
  <c r="U555" i="110" s="1"/>
  <c r="T587" i="110"/>
  <c r="U587" i="110" s="1"/>
  <c r="T619" i="110"/>
  <c r="U619" i="110" s="1"/>
  <c r="T651" i="110"/>
  <c r="U651" i="110" s="1"/>
  <c r="T683" i="110"/>
  <c r="U683" i="110" s="1"/>
  <c r="T715" i="110"/>
  <c r="U715" i="110" s="1"/>
  <c r="T779" i="110"/>
  <c r="U779" i="110" s="1"/>
  <c r="T940" i="110"/>
  <c r="U940" i="110" s="1"/>
  <c r="T782" i="110"/>
  <c r="U782" i="110" s="1"/>
  <c r="T623" i="110"/>
  <c r="U623" i="110" s="1"/>
  <c r="T688" i="110"/>
  <c r="U688" i="110" s="1"/>
  <c r="T1042" i="110"/>
  <c r="U1042" i="110" s="1"/>
  <c r="T981" i="110"/>
  <c r="U981" i="110" s="1"/>
  <c r="T1014" i="110"/>
  <c r="U1014" i="110" s="1"/>
  <c r="T956" i="110"/>
  <c r="U956" i="110" s="1"/>
  <c r="T12" i="110"/>
  <c r="U12" i="110" s="1"/>
  <c r="T44" i="110"/>
  <c r="U44" i="110" s="1"/>
  <c r="T76" i="110"/>
  <c r="U76" i="110" s="1"/>
  <c r="T108" i="110"/>
  <c r="U108" i="110" s="1"/>
  <c r="T140" i="110"/>
  <c r="U140" i="110" s="1"/>
  <c r="T172" i="110"/>
  <c r="U172" i="110" s="1"/>
  <c r="T204" i="110"/>
  <c r="U204" i="110" s="1"/>
  <c r="T236" i="110"/>
  <c r="U236" i="110" s="1"/>
  <c r="T268" i="110"/>
  <c r="U268" i="110" s="1"/>
  <c r="T300" i="110"/>
  <c r="U300" i="110" s="1"/>
  <c r="T332" i="110"/>
  <c r="U332" i="110" s="1"/>
  <c r="T364" i="110"/>
  <c r="U364" i="110" s="1"/>
  <c r="T396" i="110"/>
  <c r="U396" i="110" s="1"/>
  <c r="T428" i="110"/>
  <c r="U428" i="110" s="1"/>
  <c r="T460" i="110"/>
  <c r="U460" i="110" s="1"/>
  <c r="T492" i="110"/>
  <c r="U492" i="110" s="1"/>
  <c r="T524" i="110"/>
  <c r="U524" i="110" s="1"/>
  <c r="T556" i="110"/>
  <c r="U556" i="110" s="1"/>
  <c r="T588" i="110"/>
  <c r="U588" i="110" s="1"/>
  <c r="T620" i="110"/>
  <c r="U620" i="110" s="1"/>
  <c r="T652" i="110"/>
  <c r="U652" i="110" s="1"/>
  <c r="T684" i="110"/>
  <c r="U684" i="110" s="1"/>
  <c r="T716" i="110"/>
  <c r="U716" i="110" s="1"/>
  <c r="T748" i="110"/>
  <c r="U748" i="110" s="1"/>
  <c r="T780" i="110"/>
  <c r="U780" i="110" s="1"/>
  <c r="T812" i="110"/>
  <c r="U812" i="110" s="1"/>
  <c r="T1004" i="110"/>
  <c r="U1004" i="110" s="1"/>
  <c r="T845" i="110"/>
  <c r="U845" i="110" s="1"/>
  <c r="T878" i="110"/>
  <c r="U878" i="110" s="1"/>
  <c r="T591" i="110"/>
  <c r="U591" i="110" s="1"/>
  <c r="T943" i="110"/>
  <c r="U943" i="110" s="1"/>
  <c r="T912" i="110"/>
  <c r="U912" i="110" s="1"/>
  <c r="T469" i="110"/>
  <c r="U469" i="110" s="1"/>
  <c r="T949" i="110"/>
  <c r="U949" i="110" s="1"/>
  <c r="T598" i="110"/>
  <c r="U598" i="110" s="1"/>
  <c r="T982" i="110"/>
  <c r="U982" i="110" s="1"/>
  <c r="T508" i="110"/>
  <c r="U508" i="110" s="1"/>
  <c r="T13" i="110"/>
  <c r="U13" i="110" s="1"/>
  <c r="T45" i="110"/>
  <c r="U45" i="110" s="1"/>
  <c r="T77" i="110"/>
  <c r="U77" i="110" s="1"/>
  <c r="T109" i="110"/>
  <c r="U109" i="110" s="1"/>
  <c r="T141" i="110"/>
  <c r="U141" i="110" s="1"/>
  <c r="T173" i="110"/>
  <c r="U173" i="110" s="1"/>
  <c r="T205" i="110"/>
  <c r="U205" i="110" s="1"/>
  <c r="T237" i="110"/>
  <c r="U237" i="110" s="1"/>
  <c r="T269" i="110"/>
  <c r="U269" i="110" s="1"/>
  <c r="T301" i="110"/>
  <c r="U301" i="110" s="1"/>
  <c r="T333" i="110"/>
  <c r="U333" i="110" s="1"/>
  <c r="T365" i="110"/>
  <c r="U365" i="110" s="1"/>
  <c r="T397" i="110"/>
  <c r="U397" i="110" s="1"/>
  <c r="T429" i="110"/>
  <c r="U429" i="110" s="1"/>
  <c r="T461" i="110"/>
  <c r="U461" i="110" s="1"/>
  <c r="T493" i="110"/>
  <c r="U493" i="110" s="1"/>
  <c r="T525" i="110"/>
  <c r="U525" i="110" s="1"/>
  <c r="T557" i="110"/>
  <c r="U557" i="110" s="1"/>
  <c r="T749" i="110"/>
  <c r="U749" i="110" s="1"/>
  <c r="T1005" i="110"/>
  <c r="U1005" i="110" s="1"/>
  <c r="T846" i="110"/>
  <c r="U846" i="110" s="1"/>
  <c r="T527" i="110"/>
  <c r="U527" i="110" s="1"/>
  <c r="T656" i="110"/>
  <c r="U656" i="110" s="1"/>
  <c r="T1010" i="110"/>
  <c r="U1010" i="110" s="1"/>
  <c r="T948" i="110"/>
  <c r="U948" i="110" s="1"/>
  <c r="T789" i="110"/>
  <c r="U789" i="110" s="1"/>
  <c r="T406" i="110"/>
  <c r="U406" i="110" s="1"/>
  <c r="T927" i="110"/>
  <c r="U927" i="110" s="1"/>
  <c r="T14" i="110"/>
  <c r="U14" i="110" s="1"/>
  <c r="T46" i="110"/>
  <c r="U46" i="110" s="1"/>
  <c r="T78" i="110"/>
  <c r="U78" i="110" s="1"/>
  <c r="T110" i="110"/>
  <c r="U110" i="110" s="1"/>
  <c r="T142" i="110"/>
  <c r="U142" i="110" s="1"/>
  <c r="T174" i="110"/>
  <c r="U174" i="110" s="1"/>
  <c r="T206" i="110"/>
  <c r="U206" i="110" s="1"/>
  <c r="T238" i="110"/>
  <c r="U238" i="110" s="1"/>
  <c r="T270" i="110"/>
  <c r="U270" i="110" s="1"/>
  <c r="T302" i="110"/>
  <c r="U302" i="110" s="1"/>
  <c r="T334" i="110"/>
  <c r="U334" i="110" s="1"/>
  <c r="T366" i="110"/>
  <c r="U366" i="110" s="1"/>
  <c r="T398" i="110"/>
  <c r="U398" i="110" s="1"/>
  <c r="T430" i="110"/>
  <c r="U430" i="110" s="1"/>
  <c r="T462" i="110"/>
  <c r="U462" i="110" s="1"/>
  <c r="T494" i="110"/>
  <c r="U494" i="110" s="1"/>
  <c r="T526" i="110"/>
  <c r="U526" i="110" s="1"/>
  <c r="T560" i="110"/>
  <c r="U560" i="110" s="1"/>
  <c r="T1040" i="110"/>
  <c r="U1040" i="110" s="1"/>
  <c r="T1044" i="110"/>
  <c r="U1044" i="110" s="1"/>
  <c r="T795" i="110"/>
  <c r="U795" i="110" s="1"/>
  <c r="T924" i="110"/>
  <c r="U924" i="110" s="1"/>
  <c r="T863" i="110"/>
  <c r="U863" i="110" s="1"/>
  <c r="T15" i="110"/>
  <c r="U15" i="110" s="1"/>
  <c r="T47" i="110"/>
  <c r="U47" i="110" s="1"/>
  <c r="T79" i="110"/>
  <c r="U79" i="110" s="1"/>
  <c r="T111" i="110"/>
  <c r="U111" i="110" s="1"/>
  <c r="T143" i="110"/>
  <c r="U143" i="110" s="1"/>
  <c r="T175" i="110"/>
  <c r="U175" i="110" s="1"/>
  <c r="T207" i="110"/>
  <c r="U207" i="110" s="1"/>
  <c r="T239" i="110"/>
  <c r="U239" i="110" s="1"/>
  <c r="T271" i="110"/>
  <c r="U271" i="110" s="1"/>
  <c r="T303" i="110"/>
  <c r="U303" i="110" s="1"/>
  <c r="T335" i="110"/>
  <c r="U335" i="110" s="1"/>
  <c r="T367" i="110"/>
  <c r="U367" i="110" s="1"/>
  <c r="T399" i="110"/>
  <c r="U399" i="110" s="1"/>
  <c r="T431" i="110"/>
  <c r="U431" i="110" s="1"/>
  <c r="T751" i="110"/>
  <c r="U751" i="110" s="1"/>
  <c r="T914" i="110"/>
  <c r="U914" i="110" s="1"/>
  <c r="T565" i="110"/>
  <c r="U565" i="110" s="1"/>
  <c r="T310" i="110"/>
  <c r="U310" i="110" s="1"/>
  <c r="T918" i="110"/>
  <c r="U918" i="110" s="1"/>
  <c r="T476" i="110"/>
  <c r="U476" i="110" s="1"/>
  <c r="T1023" i="110"/>
  <c r="U1023" i="110" s="1"/>
  <c r="T16" i="110"/>
  <c r="U16" i="110" s="1"/>
  <c r="T48" i="110"/>
  <c r="U48" i="110" s="1"/>
  <c r="T80" i="110"/>
  <c r="U80" i="110" s="1"/>
  <c r="T112" i="110"/>
  <c r="U112" i="110" s="1"/>
  <c r="T144" i="110"/>
  <c r="U144" i="110" s="1"/>
  <c r="T176" i="110"/>
  <c r="U176" i="110" s="1"/>
  <c r="T208" i="110"/>
  <c r="U208" i="110" s="1"/>
  <c r="T240" i="110"/>
  <c r="U240" i="110" s="1"/>
  <c r="T272" i="110"/>
  <c r="U272" i="110" s="1"/>
  <c r="T304" i="110"/>
  <c r="U304" i="110" s="1"/>
  <c r="T336" i="110"/>
  <c r="U336" i="110" s="1"/>
  <c r="T368" i="110"/>
  <c r="U368" i="110" s="1"/>
  <c r="T400" i="110"/>
  <c r="U400" i="110" s="1"/>
  <c r="T432" i="110"/>
  <c r="U432" i="110" s="1"/>
  <c r="T464" i="110"/>
  <c r="U464" i="110" s="1"/>
  <c r="T496" i="110"/>
  <c r="U496" i="110" s="1"/>
  <c r="T720" i="110"/>
  <c r="U720" i="110" s="1"/>
  <c r="T756" i="110"/>
  <c r="U756" i="110" s="1"/>
  <c r="T661" i="110"/>
  <c r="U661" i="110" s="1"/>
  <c r="T470" i="110"/>
  <c r="U470" i="110" s="1"/>
  <c r="T822" i="110"/>
  <c r="U822" i="110" s="1"/>
  <c r="T731" i="110"/>
  <c r="U731" i="110" s="1"/>
  <c r="T796" i="110"/>
  <c r="U796" i="110" s="1"/>
  <c r="T17" i="110"/>
  <c r="U17" i="110" s="1"/>
  <c r="T49" i="110"/>
  <c r="U49" i="110" s="1"/>
  <c r="T81" i="110"/>
  <c r="U81" i="110" s="1"/>
  <c r="T113" i="110"/>
  <c r="U113" i="110" s="1"/>
  <c r="T145" i="110"/>
  <c r="U145" i="110" s="1"/>
  <c r="T177" i="110"/>
  <c r="U177" i="110" s="1"/>
  <c r="T209" i="110"/>
  <c r="U209" i="110" s="1"/>
  <c r="T241" i="110"/>
  <c r="U241" i="110" s="1"/>
  <c r="T273" i="110"/>
  <c r="U273" i="110" s="1"/>
  <c r="T305" i="110"/>
  <c r="U305" i="110" s="1"/>
  <c r="T337" i="110"/>
  <c r="U337" i="110" s="1"/>
  <c r="T369" i="110"/>
  <c r="U369" i="110" s="1"/>
  <c r="T401" i="110"/>
  <c r="U401" i="110" s="1"/>
  <c r="T433" i="110"/>
  <c r="U433" i="110" s="1"/>
  <c r="T465" i="110"/>
  <c r="U465" i="110" s="1"/>
  <c r="T497" i="110"/>
  <c r="U497" i="110" s="1"/>
  <c r="T529" i="110"/>
  <c r="U529" i="110" s="1"/>
  <c r="T561" i="110"/>
  <c r="U561" i="110" s="1"/>
  <c r="T593" i="110"/>
  <c r="U593" i="110" s="1"/>
  <c r="T625" i="110"/>
  <c r="U625" i="110" s="1"/>
  <c r="T657" i="110"/>
  <c r="U657" i="110" s="1"/>
  <c r="T689" i="110"/>
  <c r="U689" i="110" s="1"/>
  <c r="T721" i="110"/>
  <c r="U721" i="110" s="1"/>
  <c r="T753" i="110"/>
  <c r="U753" i="110" s="1"/>
  <c r="T785" i="110"/>
  <c r="U785" i="110" s="1"/>
  <c r="T817" i="110"/>
  <c r="U817" i="110" s="1"/>
  <c r="T849" i="110"/>
  <c r="U849" i="110" s="1"/>
  <c r="T881" i="110"/>
  <c r="U881" i="110" s="1"/>
  <c r="T913" i="110"/>
  <c r="U913" i="110" s="1"/>
  <c r="T945" i="110"/>
  <c r="U945" i="110" s="1"/>
  <c r="T977" i="110"/>
  <c r="U977" i="110" s="1"/>
  <c r="T1009" i="110"/>
  <c r="U1009" i="110" s="1"/>
  <c r="T1041" i="110"/>
  <c r="U1041" i="110" s="1"/>
  <c r="T1073" i="110"/>
  <c r="U1073" i="110" s="1"/>
  <c r="T402" i="110"/>
  <c r="U402" i="110" s="1"/>
  <c r="T466" i="110"/>
  <c r="U466" i="110" s="1"/>
  <c r="T498" i="110"/>
  <c r="U498" i="110" s="1"/>
  <c r="T562" i="110"/>
  <c r="U562" i="110" s="1"/>
  <c r="T594" i="110"/>
  <c r="U594" i="110" s="1"/>
  <c r="T658" i="110"/>
  <c r="U658" i="110" s="1"/>
  <c r="T690" i="110"/>
  <c r="U690" i="110" s="1"/>
  <c r="T722" i="110"/>
  <c r="U722" i="110" s="1"/>
  <c r="T754" i="110"/>
  <c r="U754" i="110" s="1"/>
  <c r="T786" i="110"/>
  <c r="U786" i="110" s="1"/>
  <c r="T818" i="110"/>
  <c r="U818" i="110" s="1"/>
  <c r="T850" i="110"/>
  <c r="U850" i="110" s="1"/>
  <c r="T978" i="110"/>
  <c r="U978" i="110" s="1"/>
  <c r="T820" i="110"/>
  <c r="U820" i="110" s="1"/>
  <c r="T18" i="110"/>
  <c r="U18" i="110" s="1"/>
  <c r="T50" i="110"/>
  <c r="U50" i="110" s="1"/>
  <c r="T82" i="110"/>
  <c r="U82" i="110" s="1"/>
  <c r="T114" i="110"/>
  <c r="U114" i="110" s="1"/>
  <c r="T146" i="110"/>
  <c r="U146" i="110" s="1"/>
  <c r="T178" i="110"/>
  <c r="U178" i="110" s="1"/>
  <c r="T210" i="110"/>
  <c r="U210" i="110" s="1"/>
  <c r="T242" i="110"/>
  <c r="U242" i="110" s="1"/>
  <c r="T274" i="110"/>
  <c r="U274" i="110" s="1"/>
  <c r="T306" i="110"/>
  <c r="U306" i="110" s="1"/>
  <c r="T338" i="110"/>
  <c r="U338" i="110" s="1"/>
  <c r="T370" i="110"/>
  <c r="U370" i="110" s="1"/>
  <c r="T434" i="110"/>
  <c r="U434" i="110" s="1"/>
  <c r="T530" i="110"/>
  <c r="U530" i="110" s="1"/>
  <c r="T626" i="110"/>
  <c r="U626" i="110" s="1"/>
  <c r="T1056" i="110"/>
  <c r="U1056" i="110" s="1"/>
  <c r="T19" i="110"/>
  <c r="U19" i="110" s="1"/>
  <c r="T51" i="110"/>
  <c r="U51" i="110" s="1"/>
  <c r="T83" i="110"/>
  <c r="U83" i="110" s="1"/>
  <c r="T115" i="110"/>
  <c r="U115" i="110" s="1"/>
  <c r="T147" i="110"/>
  <c r="U147" i="110" s="1"/>
  <c r="T179" i="110"/>
  <c r="U179" i="110" s="1"/>
  <c r="T211" i="110"/>
  <c r="U211" i="110" s="1"/>
  <c r="T243" i="110"/>
  <c r="U243" i="110" s="1"/>
  <c r="T275" i="110"/>
  <c r="U275" i="110" s="1"/>
  <c r="T307" i="110"/>
  <c r="U307" i="110" s="1"/>
  <c r="T339" i="110"/>
  <c r="U339" i="110" s="1"/>
  <c r="T371" i="110"/>
  <c r="U371" i="110" s="1"/>
  <c r="T403" i="110"/>
  <c r="U403" i="110" s="1"/>
  <c r="T435" i="110"/>
  <c r="U435" i="110" s="1"/>
  <c r="T467" i="110"/>
  <c r="U467" i="110" s="1"/>
  <c r="T499" i="110"/>
  <c r="U499" i="110" s="1"/>
  <c r="T531" i="110"/>
  <c r="U531" i="110" s="1"/>
  <c r="T563" i="110"/>
  <c r="U563" i="110" s="1"/>
  <c r="T595" i="110"/>
  <c r="U595" i="110" s="1"/>
  <c r="T627" i="110"/>
  <c r="U627" i="110" s="1"/>
  <c r="T659" i="110"/>
  <c r="U659" i="110" s="1"/>
  <c r="T691" i="110"/>
  <c r="U691" i="110" s="1"/>
  <c r="T723" i="110"/>
  <c r="U723" i="110" s="1"/>
  <c r="T755" i="110"/>
  <c r="U755" i="110" s="1"/>
  <c r="T787" i="110"/>
  <c r="U787" i="110" s="1"/>
  <c r="T819" i="110"/>
  <c r="U819" i="110" s="1"/>
  <c r="T851" i="110"/>
  <c r="U851" i="110" s="1"/>
  <c r="T883" i="110"/>
  <c r="U883" i="110" s="1"/>
  <c r="T915" i="110"/>
  <c r="U915" i="110" s="1"/>
  <c r="T947" i="110"/>
  <c r="U947" i="110" s="1"/>
  <c r="T979" i="110"/>
  <c r="U979" i="110" s="1"/>
  <c r="T1011" i="110"/>
  <c r="U1011" i="110" s="1"/>
  <c r="T1043" i="110"/>
  <c r="U1043" i="110" s="1"/>
  <c r="T1075" i="110"/>
  <c r="U1075" i="110" s="1"/>
  <c r="T437" i="110"/>
  <c r="U437" i="110" s="1"/>
  <c r="T885" i="110"/>
  <c r="U885" i="110" s="1"/>
  <c r="T662" i="110"/>
  <c r="U662" i="110" s="1"/>
  <c r="T790" i="110"/>
  <c r="U790" i="110" s="1"/>
  <c r="T854" i="110"/>
  <c r="U854" i="110" s="1"/>
  <c r="T1046" i="110"/>
  <c r="U1046" i="110" s="1"/>
  <c r="T667" i="110"/>
  <c r="U667" i="110" s="1"/>
  <c r="T700" i="110"/>
  <c r="U700" i="110" s="1"/>
  <c r="T1021" i="110"/>
  <c r="U1021" i="110" s="1"/>
  <c r="T20" i="110"/>
  <c r="U20" i="110" s="1"/>
  <c r="T52" i="110"/>
  <c r="U52" i="110" s="1"/>
  <c r="T84" i="110"/>
  <c r="U84" i="110" s="1"/>
  <c r="T116" i="110"/>
  <c r="U116" i="110" s="1"/>
  <c r="T148" i="110"/>
  <c r="U148" i="110" s="1"/>
  <c r="T180" i="110"/>
  <c r="U180" i="110" s="1"/>
  <c r="T212" i="110"/>
  <c r="U212" i="110" s="1"/>
  <c r="T244" i="110"/>
  <c r="U244" i="110" s="1"/>
  <c r="T276" i="110"/>
  <c r="U276" i="110" s="1"/>
  <c r="T308" i="110"/>
  <c r="U308" i="110" s="1"/>
  <c r="T340" i="110"/>
  <c r="U340" i="110" s="1"/>
  <c r="T372" i="110"/>
  <c r="U372" i="110" s="1"/>
  <c r="T404" i="110"/>
  <c r="U404" i="110" s="1"/>
  <c r="T436" i="110"/>
  <c r="U436" i="110" s="1"/>
  <c r="T468" i="110"/>
  <c r="U468" i="110" s="1"/>
  <c r="T500" i="110"/>
  <c r="U500" i="110" s="1"/>
  <c r="T532" i="110"/>
  <c r="U532" i="110" s="1"/>
  <c r="T564" i="110"/>
  <c r="U564" i="110" s="1"/>
  <c r="T596" i="110"/>
  <c r="U596" i="110" s="1"/>
  <c r="T916" i="110"/>
  <c r="U916" i="110" s="1"/>
  <c r="T917" i="110"/>
  <c r="U917" i="110" s="1"/>
  <c r="T502" i="110"/>
  <c r="U502" i="110" s="1"/>
  <c r="T950" i="110"/>
  <c r="U950" i="110" s="1"/>
  <c r="T987" i="110"/>
  <c r="U987" i="110" s="1"/>
  <c r="T668" i="110"/>
  <c r="U668" i="110" s="1"/>
  <c r="T928" i="110"/>
  <c r="U928" i="110" s="1"/>
  <c r="T21" i="110"/>
  <c r="U21" i="110" s="1"/>
  <c r="T53" i="110"/>
  <c r="U53" i="110" s="1"/>
  <c r="T85" i="110"/>
  <c r="U85" i="110" s="1"/>
  <c r="T117" i="110"/>
  <c r="U117" i="110" s="1"/>
  <c r="T149" i="110"/>
  <c r="U149" i="110" s="1"/>
  <c r="T181" i="110"/>
  <c r="U181" i="110" s="1"/>
  <c r="T213" i="110"/>
  <c r="U213" i="110" s="1"/>
  <c r="T245" i="110"/>
  <c r="U245" i="110" s="1"/>
  <c r="T277" i="110"/>
  <c r="U277" i="110" s="1"/>
  <c r="T309" i="110"/>
  <c r="U309" i="110" s="1"/>
  <c r="T341" i="110"/>
  <c r="U341" i="110" s="1"/>
  <c r="T373" i="110"/>
  <c r="U373" i="110" s="1"/>
  <c r="T405" i="110"/>
  <c r="U405" i="110" s="1"/>
  <c r="T597" i="110"/>
  <c r="U597" i="110" s="1"/>
  <c r="T1013" i="110"/>
  <c r="U1013" i="110" s="1"/>
  <c r="T438" i="110"/>
  <c r="U438" i="110" s="1"/>
  <c r="T886" i="110"/>
  <c r="U886" i="110" s="1"/>
  <c r="T955" i="110"/>
  <c r="U955" i="110" s="1"/>
  <c r="T828" i="110"/>
  <c r="U828" i="110" s="1"/>
  <c r="T799" i="110"/>
  <c r="U799" i="110" s="1"/>
  <c r="T22" i="110"/>
  <c r="U22" i="110" s="1"/>
  <c r="T54" i="110"/>
  <c r="U54" i="110" s="1"/>
  <c r="T86" i="110"/>
  <c r="U86" i="110" s="1"/>
  <c r="T118" i="110"/>
  <c r="U118" i="110" s="1"/>
  <c r="T150" i="110"/>
  <c r="U150" i="110" s="1"/>
  <c r="T182" i="110"/>
  <c r="U182" i="110" s="1"/>
  <c r="T214" i="110"/>
  <c r="U214" i="110" s="1"/>
  <c r="T23" i="110"/>
  <c r="U23" i="110" s="1"/>
  <c r="T55" i="110"/>
  <c r="U55" i="110" s="1"/>
  <c r="T87" i="110"/>
  <c r="U87" i="110" s="1"/>
  <c r="T119" i="110"/>
  <c r="U119" i="110" s="1"/>
  <c r="T151" i="110"/>
  <c r="U151" i="110" s="1"/>
  <c r="T183" i="110"/>
  <c r="U183" i="110" s="1"/>
  <c r="T215" i="110"/>
  <c r="U215" i="110" s="1"/>
  <c r="T247" i="110"/>
  <c r="U247" i="110" s="1"/>
  <c r="T279" i="110"/>
  <c r="U279" i="110" s="1"/>
  <c r="T311" i="110"/>
  <c r="U311" i="110" s="1"/>
  <c r="T343" i="110"/>
  <c r="U343" i="110" s="1"/>
  <c r="T375" i="110"/>
  <c r="U375" i="110" s="1"/>
  <c r="T407" i="110"/>
  <c r="U407" i="110" s="1"/>
  <c r="T439" i="110"/>
  <c r="U439" i="110" s="1"/>
  <c r="T471" i="110"/>
  <c r="U471" i="110" s="1"/>
  <c r="T503" i="110"/>
  <c r="U503" i="110" s="1"/>
  <c r="T535" i="110"/>
  <c r="U535" i="110" s="1"/>
  <c r="T567" i="110"/>
  <c r="U567" i="110" s="1"/>
  <c r="T599" i="110"/>
  <c r="U599" i="110" s="1"/>
  <c r="T631" i="110"/>
  <c r="U631" i="110" s="1"/>
  <c r="T663" i="110"/>
  <c r="U663" i="110" s="1"/>
  <c r="T695" i="110"/>
  <c r="U695" i="110" s="1"/>
  <c r="T727" i="110"/>
  <c r="U727" i="110" s="1"/>
  <c r="T759" i="110"/>
  <c r="U759" i="110" s="1"/>
  <c r="T791" i="110"/>
  <c r="U791" i="110" s="1"/>
  <c r="T823" i="110"/>
  <c r="U823" i="110" s="1"/>
  <c r="T855" i="110"/>
  <c r="U855" i="110" s="1"/>
  <c r="T887" i="110"/>
  <c r="U887" i="110" s="1"/>
  <c r="T919" i="110"/>
  <c r="U919" i="110" s="1"/>
  <c r="T951" i="110"/>
  <c r="U951" i="110" s="1"/>
  <c r="T983" i="110"/>
  <c r="U983" i="110" s="1"/>
  <c r="T1015" i="110"/>
  <c r="U1015" i="110" s="1"/>
  <c r="T1047" i="110"/>
  <c r="U1047" i="110" s="1"/>
  <c r="T984" i="110"/>
  <c r="U984" i="110" s="1"/>
  <c r="T1048" i="110"/>
  <c r="U1048" i="110" s="1"/>
  <c r="T249" i="110"/>
  <c r="U249" i="110" s="1"/>
  <c r="T313" i="110"/>
  <c r="U313" i="110" s="1"/>
  <c r="T377" i="110"/>
  <c r="U377" i="110" s="1"/>
  <c r="T409" i="110"/>
  <c r="U409" i="110" s="1"/>
  <c r="T473" i="110"/>
  <c r="U473" i="110" s="1"/>
  <c r="T537" i="110"/>
  <c r="U537" i="110" s="1"/>
  <c r="T601" i="110"/>
  <c r="U601" i="110" s="1"/>
  <c r="T697" i="110"/>
  <c r="U697" i="110" s="1"/>
  <c r="T761" i="110"/>
  <c r="U761" i="110" s="1"/>
  <c r="T857" i="110"/>
  <c r="U857" i="110" s="1"/>
  <c r="T1017" i="110"/>
  <c r="U1017" i="110" s="1"/>
  <c r="T475" i="110"/>
  <c r="U475" i="110" s="1"/>
  <c r="T571" i="110"/>
  <c r="U571" i="110" s="1"/>
  <c r="T603" i="110"/>
  <c r="U603" i="110" s="1"/>
  <c r="T859" i="110"/>
  <c r="U859" i="110" s="1"/>
  <c r="T604" i="110"/>
  <c r="U604" i="110" s="1"/>
  <c r="T1052" i="110"/>
  <c r="U1052" i="110" s="1"/>
  <c r="T703" i="110"/>
  <c r="U703" i="110" s="1"/>
  <c r="T24" i="110"/>
  <c r="U24" i="110" s="1"/>
  <c r="T56" i="110"/>
  <c r="U56" i="110" s="1"/>
  <c r="T88" i="110"/>
  <c r="U88" i="110" s="1"/>
  <c r="T120" i="110"/>
  <c r="U120" i="110" s="1"/>
  <c r="T152" i="110"/>
  <c r="U152" i="110" s="1"/>
  <c r="T184" i="110"/>
  <c r="U184" i="110" s="1"/>
  <c r="T216" i="110"/>
  <c r="U216" i="110" s="1"/>
  <c r="T248" i="110"/>
  <c r="U248" i="110" s="1"/>
  <c r="T280" i="110"/>
  <c r="U280" i="110" s="1"/>
  <c r="T312" i="110"/>
  <c r="U312" i="110" s="1"/>
  <c r="T344" i="110"/>
  <c r="U344" i="110" s="1"/>
  <c r="T376" i="110"/>
  <c r="U376" i="110" s="1"/>
  <c r="T408" i="110"/>
  <c r="U408" i="110" s="1"/>
  <c r="T440" i="110"/>
  <c r="U440" i="110" s="1"/>
  <c r="T472" i="110"/>
  <c r="U472" i="110" s="1"/>
  <c r="T504" i="110"/>
  <c r="U504" i="110" s="1"/>
  <c r="T536" i="110"/>
  <c r="U536" i="110" s="1"/>
  <c r="T568" i="110"/>
  <c r="U568" i="110" s="1"/>
  <c r="T600" i="110"/>
  <c r="U600" i="110" s="1"/>
  <c r="T632" i="110"/>
  <c r="U632" i="110" s="1"/>
  <c r="T664" i="110"/>
  <c r="U664" i="110" s="1"/>
  <c r="T696" i="110"/>
  <c r="U696" i="110" s="1"/>
  <c r="T728" i="110"/>
  <c r="U728" i="110" s="1"/>
  <c r="T760" i="110"/>
  <c r="U760" i="110" s="1"/>
  <c r="T792" i="110"/>
  <c r="U792" i="110" s="1"/>
  <c r="T824" i="110"/>
  <c r="U824" i="110" s="1"/>
  <c r="T856" i="110"/>
  <c r="U856" i="110" s="1"/>
  <c r="T888" i="110"/>
  <c r="U888" i="110" s="1"/>
  <c r="T920" i="110"/>
  <c r="U920" i="110" s="1"/>
  <c r="T952" i="110"/>
  <c r="U952" i="110" s="1"/>
  <c r="T1016" i="110"/>
  <c r="U1016" i="110" s="1"/>
  <c r="T217" i="110"/>
  <c r="U217" i="110" s="1"/>
  <c r="T281" i="110"/>
  <c r="U281" i="110" s="1"/>
  <c r="T345" i="110"/>
  <c r="U345" i="110" s="1"/>
  <c r="T441" i="110"/>
  <c r="U441" i="110" s="1"/>
  <c r="T505" i="110"/>
  <c r="U505" i="110" s="1"/>
  <c r="T569" i="110"/>
  <c r="U569" i="110" s="1"/>
  <c r="T633" i="110"/>
  <c r="U633" i="110" s="1"/>
  <c r="T665" i="110"/>
  <c r="U665" i="110" s="1"/>
  <c r="T729" i="110"/>
  <c r="U729" i="110" s="1"/>
  <c r="T793" i="110"/>
  <c r="U793" i="110" s="1"/>
  <c r="T825" i="110"/>
  <c r="U825" i="110" s="1"/>
  <c r="T889" i="110"/>
  <c r="U889" i="110" s="1"/>
  <c r="T921" i="110"/>
  <c r="U921" i="110" s="1"/>
  <c r="T953" i="110"/>
  <c r="U953" i="110" s="1"/>
  <c r="T985" i="110"/>
  <c r="U985" i="110" s="1"/>
  <c r="T1049" i="110"/>
  <c r="U1049" i="110" s="1"/>
  <c r="T539" i="110"/>
  <c r="U539" i="110" s="1"/>
  <c r="T892" i="110"/>
  <c r="U892" i="110" s="1"/>
  <c r="T575" i="110"/>
  <c r="U575" i="110" s="1"/>
  <c r="T992" i="110"/>
  <c r="U992" i="110" s="1"/>
  <c r="T25" i="110"/>
  <c r="U25" i="110" s="1"/>
  <c r="T57" i="110"/>
  <c r="U57" i="110" s="1"/>
  <c r="T89" i="110"/>
  <c r="U89" i="110" s="1"/>
  <c r="T121" i="110"/>
  <c r="U121" i="110" s="1"/>
  <c r="T153" i="110"/>
  <c r="U153" i="110" s="1"/>
  <c r="T185" i="110"/>
  <c r="U185" i="110" s="1"/>
  <c r="T26" i="110"/>
  <c r="U26" i="110" s="1"/>
  <c r="T58" i="110"/>
  <c r="U58" i="110" s="1"/>
  <c r="T90" i="110"/>
  <c r="U90" i="110" s="1"/>
  <c r="T122" i="110"/>
  <c r="U122" i="110" s="1"/>
  <c r="T154" i="110"/>
  <c r="U154" i="110" s="1"/>
  <c r="T186" i="110"/>
  <c r="U186" i="110" s="1"/>
  <c r="T218" i="110"/>
  <c r="U218" i="110" s="1"/>
  <c r="T250" i="110"/>
  <c r="U250" i="110" s="1"/>
  <c r="T282" i="110"/>
  <c r="U282" i="110" s="1"/>
  <c r="T314" i="110"/>
  <c r="U314" i="110" s="1"/>
  <c r="T346" i="110"/>
  <c r="U346" i="110" s="1"/>
  <c r="T378" i="110"/>
  <c r="U378" i="110" s="1"/>
  <c r="T410" i="110"/>
  <c r="U410" i="110" s="1"/>
  <c r="T442" i="110"/>
  <c r="U442" i="110" s="1"/>
  <c r="T474" i="110"/>
  <c r="U474" i="110" s="1"/>
  <c r="T506" i="110"/>
  <c r="U506" i="110" s="1"/>
  <c r="T538" i="110"/>
  <c r="U538" i="110" s="1"/>
  <c r="T570" i="110"/>
  <c r="U570" i="110" s="1"/>
  <c r="T602" i="110"/>
  <c r="U602" i="110" s="1"/>
  <c r="T634" i="110"/>
  <c r="U634" i="110" s="1"/>
  <c r="T666" i="110"/>
  <c r="U666" i="110" s="1"/>
  <c r="T698" i="110"/>
  <c r="U698" i="110" s="1"/>
  <c r="T730" i="110"/>
  <c r="U730" i="110" s="1"/>
  <c r="T762" i="110"/>
  <c r="U762" i="110" s="1"/>
  <c r="T794" i="110"/>
  <c r="U794" i="110" s="1"/>
  <c r="T826" i="110"/>
  <c r="U826" i="110" s="1"/>
  <c r="T858" i="110"/>
  <c r="U858" i="110" s="1"/>
  <c r="T890" i="110"/>
  <c r="U890" i="110" s="1"/>
  <c r="T922" i="110"/>
  <c r="U922" i="110" s="1"/>
  <c r="T954" i="110"/>
  <c r="U954" i="110" s="1"/>
  <c r="T986" i="110"/>
  <c r="U986" i="110" s="1"/>
  <c r="T1018" i="110"/>
  <c r="U1018" i="110" s="1"/>
  <c r="T1050" i="110"/>
  <c r="U1050" i="110" s="1"/>
  <c r="T59" i="110"/>
  <c r="U59" i="110" s="1"/>
  <c r="T123" i="110"/>
  <c r="U123" i="110" s="1"/>
  <c r="T155" i="110"/>
  <c r="U155" i="110" s="1"/>
  <c r="T187" i="110"/>
  <c r="U187" i="110" s="1"/>
  <c r="T219" i="110"/>
  <c r="U219" i="110" s="1"/>
  <c r="T251" i="110"/>
  <c r="U251" i="110" s="1"/>
  <c r="T283" i="110"/>
  <c r="U283" i="110" s="1"/>
  <c r="T315" i="110"/>
  <c r="U315" i="110" s="1"/>
  <c r="T347" i="110"/>
  <c r="U347" i="110" s="1"/>
  <c r="T379" i="110"/>
  <c r="U379" i="110" s="1"/>
  <c r="T411" i="110"/>
  <c r="U411" i="110" s="1"/>
  <c r="T443" i="110"/>
  <c r="U443" i="110" s="1"/>
  <c r="T507" i="110"/>
  <c r="U507" i="110" s="1"/>
  <c r="T699" i="110"/>
  <c r="U699" i="110" s="1"/>
  <c r="T988" i="110"/>
  <c r="U988" i="110" s="1"/>
  <c r="T607" i="110"/>
  <c r="U607" i="110" s="1"/>
  <c r="T959" i="110"/>
  <c r="U959" i="110" s="1"/>
  <c r="T27" i="110"/>
  <c r="U27" i="110" s="1"/>
  <c r="T91" i="110"/>
  <c r="U91" i="110" s="1"/>
  <c r="T28" i="110"/>
  <c r="U28" i="110" s="1"/>
  <c r="T60" i="110"/>
  <c r="U60" i="110" s="1"/>
  <c r="T92" i="110"/>
  <c r="U92" i="110" s="1"/>
  <c r="T124" i="110"/>
  <c r="U124" i="110" s="1"/>
  <c r="T156" i="110"/>
  <c r="U156" i="110" s="1"/>
  <c r="T188" i="110"/>
  <c r="U188" i="110" s="1"/>
  <c r="T220" i="110"/>
  <c r="U220" i="110" s="1"/>
  <c r="T252" i="110"/>
  <c r="U252" i="110" s="1"/>
  <c r="T284" i="110"/>
  <c r="U284" i="110" s="1"/>
  <c r="T316" i="110"/>
  <c r="U316" i="110" s="1"/>
  <c r="T348" i="110"/>
  <c r="U348" i="110" s="1"/>
  <c r="T380" i="110"/>
  <c r="U380" i="110" s="1"/>
  <c r="T412" i="110"/>
  <c r="U412" i="110" s="1"/>
  <c r="T444" i="110"/>
  <c r="U444" i="110" s="1"/>
  <c r="T860" i="110"/>
  <c r="U860" i="110" s="1"/>
  <c r="T671" i="110"/>
  <c r="U671" i="110" s="1"/>
  <c r="T1055" i="110"/>
  <c r="U1055" i="110" s="1"/>
  <c r="T29" i="110"/>
  <c r="U29" i="110" s="1"/>
  <c r="T61" i="110"/>
  <c r="U61" i="110" s="1"/>
  <c r="T93" i="110"/>
  <c r="U93" i="110" s="1"/>
  <c r="T125" i="110"/>
  <c r="U125" i="110" s="1"/>
  <c r="T157" i="110"/>
  <c r="U157" i="110" s="1"/>
  <c r="T189" i="110"/>
  <c r="U189" i="110" s="1"/>
  <c r="T221" i="110"/>
  <c r="U221" i="110" s="1"/>
  <c r="T253" i="110"/>
  <c r="U253" i="110" s="1"/>
  <c r="T285" i="110"/>
  <c r="U285" i="110" s="1"/>
  <c r="T317" i="110"/>
  <c r="U317" i="110" s="1"/>
  <c r="T349" i="110"/>
  <c r="U349" i="110" s="1"/>
  <c r="T381" i="110"/>
  <c r="U381" i="110" s="1"/>
  <c r="T413" i="110"/>
  <c r="U413" i="110" s="1"/>
  <c r="T445" i="110"/>
  <c r="U445" i="110" s="1"/>
  <c r="T477" i="110"/>
  <c r="U477" i="110" s="1"/>
  <c r="T509" i="110"/>
  <c r="U509" i="110" s="1"/>
  <c r="T541" i="110"/>
  <c r="U541" i="110" s="1"/>
  <c r="T573" i="110"/>
  <c r="U573" i="110" s="1"/>
  <c r="T605" i="110"/>
  <c r="U605" i="110" s="1"/>
  <c r="T637" i="110"/>
  <c r="U637" i="110" s="1"/>
  <c r="T669" i="110"/>
  <c r="U669" i="110" s="1"/>
  <c r="T701" i="110"/>
  <c r="U701" i="110" s="1"/>
  <c r="T733" i="110"/>
  <c r="U733" i="110" s="1"/>
  <c r="T765" i="110"/>
  <c r="U765" i="110" s="1"/>
  <c r="T797" i="110"/>
  <c r="U797" i="110" s="1"/>
  <c r="T829" i="110"/>
  <c r="U829" i="110" s="1"/>
  <c r="T861" i="110"/>
  <c r="U861" i="110" s="1"/>
  <c r="T893" i="110"/>
  <c r="U893" i="110" s="1"/>
  <c r="T925" i="110"/>
  <c r="U925" i="110" s="1"/>
  <c r="T957" i="110"/>
  <c r="U957" i="110" s="1"/>
  <c r="T989" i="110"/>
  <c r="U989" i="110" s="1"/>
  <c r="T30" i="110"/>
  <c r="U30" i="110" s="1"/>
  <c r="T62" i="110"/>
  <c r="U62" i="110" s="1"/>
  <c r="T94" i="110"/>
  <c r="U94" i="110" s="1"/>
  <c r="T126" i="110"/>
  <c r="U126" i="110" s="1"/>
  <c r="T158" i="110"/>
  <c r="U158" i="110" s="1"/>
  <c r="T190" i="110"/>
  <c r="U190" i="110" s="1"/>
  <c r="T222" i="110"/>
  <c r="U222" i="110" s="1"/>
  <c r="T254" i="110"/>
  <c r="U254" i="110" s="1"/>
  <c r="T286" i="110"/>
  <c r="U286" i="110" s="1"/>
  <c r="T318" i="110"/>
  <c r="U318" i="110" s="1"/>
  <c r="T350" i="110"/>
  <c r="U350" i="110" s="1"/>
  <c r="T382" i="110"/>
  <c r="U382" i="110" s="1"/>
  <c r="T414" i="110"/>
  <c r="U414" i="110" s="1"/>
  <c r="T446" i="110"/>
  <c r="U446" i="110" s="1"/>
  <c r="T478" i="110"/>
  <c r="U478" i="110" s="1"/>
  <c r="T510" i="110"/>
  <c r="U510" i="110" s="1"/>
  <c r="T542" i="110"/>
  <c r="U542" i="110" s="1"/>
  <c r="T574" i="110"/>
  <c r="U574" i="110" s="1"/>
  <c r="T606" i="110"/>
  <c r="U606" i="110" s="1"/>
  <c r="T638" i="110"/>
  <c r="U638" i="110" s="1"/>
  <c r="T670" i="110"/>
  <c r="U670" i="110" s="1"/>
  <c r="T702" i="110"/>
  <c r="U702" i="110" s="1"/>
  <c r="T734" i="110"/>
  <c r="U734" i="110" s="1"/>
  <c r="T766" i="110"/>
  <c r="U766" i="110" s="1"/>
  <c r="T798" i="110"/>
  <c r="U798" i="110" s="1"/>
  <c r="T830" i="110"/>
  <c r="U830" i="110" s="1"/>
  <c r="T862" i="110"/>
  <c r="U862" i="110" s="1"/>
  <c r="T894" i="110"/>
  <c r="U894" i="110" s="1"/>
  <c r="T926" i="110"/>
  <c r="U926" i="110" s="1"/>
  <c r="T958" i="110"/>
  <c r="U958" i="110" s="1"/>
  <c r="T990" i="110"/>
  <c r="U990" i="110" s="1"/>
  <c r="T1022" i="110"/>
  <c r="U1022" i="110" s="1"/>
  <c r="T1054" i="110"/>
  <c r="U1054" i="110" s="1"/>
  <c r="T383" i="110"/>
  <c r="U383" i="110" s="1"/>
  <c r="T415" i="110"/>
  <c r="U415" i="110" s="1"/>
  <c r="T447" i="110"/>
  <c r="U447" i="110" s="1"/>
  <c r="T479" i="110"/>
  <c r="U479" i="110" s="1"/>
  <c r="T511" i="110"/>
  <c r="U511" i="110" s="1"/>
  <c r="T543" i="110"/>
  <c r="U543" i="110" s="1"/>
  <c r="T31" i="110"/>
  <c r="U31" i="110" s="1"/>
  <c r="T63" i="110"/>
  <c r="U63" i="110" s="1"/>
  <c r="T95" i="110"/>
  <c r="U95" i="110" s="1"/>
  <c r="T127" i="110"/>
  <c r="U127" i="110" s="1"/>
  <c r="T159" i="110"/>
  <c r="U159" i="110" s="1"/>
  <c r="T191" i="110"/>
  <c r="U191" i="110" s="1"/>
  <c r="T223" i="110"/>
  <c r="U223" i="110" s="1"/>
  <c r="T255" i="110"/>
  <c r="U255" i="110" s="1"/>
  <c r="T287" i="110"/>
  <c r="U287" i="110" s="1"/>
  <c r="T319" i="110"/>
  <c r="U319" i="110" s="1"/>
  <c r="T351" i="110"/>
  <c r="U351" i="110" s="1"/>
  <c r="T895" i="110"/>
  <c r="U895" i="110" s="1"/>
  <c r="T32" i="110"/>
  <c r="U32" i="110" s="1"/>
  <c r="T64" i="110"/>
  <c r="U64" i="110" s="1"/>
  <c r="T96" i="110"/>
  <c r="U96" i="110" s="1"/>
  <c r="T128" i="110"/>
  <c r="U128" i="110" s="1"/>
  <c r="T160" i="110"/>
  <c r="U160" i="110" s="1"/>
  <c r="T192" i="110"/>
  <c r="U192" i="110" s="1"/>
  <c r="T224" i="110"/>
  <c r="U224" i="110" s="1"/>
  <c r="T256" i="110"/>
  <c r="U256" i="110" s="1"/>
  <c r="T288" i="110"/>
  <c r="U288" i="110" s="1"/>
  <c r="T320" i="110"/>
  <c r="U320" i="110" s="1"/>
  <c r="T352" i="110"/>
  <c r="U352" i="110" s="1"/>
  <c r="T384" i="110"/>
  <c r="U384" i="110" s="1"/>
  <c r="T416" i="110"/>
  <c r="U416" i="110" s="1"/>
  <c r="T448" i="110"/>
  <c r="U448" i="110" s="1"/>
  <c r="T480" i="110"/>
  <c r="U480" i="110" s="1"/>
  <c r="T512" i="110"/>
  <c r="U512" i="110" s="1"/>
  <c r="T544" i="110"/>
  <c r="U544" i="110" s="1"/>
  <c r="T576" i="110"/>
  <c r="U576" i="110" s="1"/>
  <c r="T608" i="110"/>
  <c r="U608" i="110" s="1"/>
  <c r="T640" i="110"/>
  <c r="U640" i="110" s="1"/>
  <c r="T672" i="110"/>
  <c r="U672" i="110" s="1"/>
  <c r="T704" i="110"/>
  <c r="U704" i="110" s="1"/>
  <c r="T736" i="110"/>
  <c r="U736" i="110" s="1"/>
  <c r="T768" i="110"/>
  <c r="U768" i="110" s="1"/>
  <c r="T800" i="110"/>
  <c r="U800" i="110" s="1"/>
  <c r="T832" i="110"/>
  <c r="U832" i="110" s="1"/>
  <c r="T864" i="110"/>
  <c r="U864" i="110" s="1"/>
  <c r="T896" i="110"/>
  <c r="U896" i="110" s="1"/>
  <c r="T33" i="110"/>
  <c r="U33" i="110" s="1"/>
  <c r="T65" i="110"/>
  <c r="U65" i="110" s="1"/>
  <c r="T97" i="110"/>
  <c r="U97" i="110" s="1"/>
  <c r="T129" i="110"/>
  <c r="U129" i="110" s="1"/>
  <c r="T161" i="110"/>
  <c r="U161" i="110" s="1"/>
  <c r="T193" i="110"/>
  <c r="U193" i="110" s="1"/>
  <c r="T225" i="110"/>
  <c r="U225" i="110" s="1"/>
  <c r="T257" i="110"/>
  <c r="U257" i="110" s="1"/>
  <c r="T289" i="110"/>
  <c r="U289" i="110" s="1"/>
  <c r="T321" i="110"/>
  <c r="U321" i="110" s="1"/>
  <c r="T353" i="110"/>
  <c r="U353" i="110" s="1"/>
  <c r="T385" i="110"/>
  <c r="U385" i="110" s="1"/>
  <c r="T417" i="110"/>
  <c r="U417" i="110" s="1"/>
  <c r="T449" i="110"/>
  <c r="U449" i="110" s="1"/>
  <c r="T481" i="110"/>
  <c r="U481" i="110" s="1"/>
  <c r="T513" i="110"/>
  <c r="U513" i="110" s="1"/>
  <c r="T545" i="110"/>
  <c r="U545" i="110" s="1"/>
  <c r="T577" i="110"/>
  <c r="U577" i="110" s="1"/>
  <c r="T609" i="110"/>
  <c r="U609" i="110" s="1"/>
  <c r="T641" i="110"/>
  <c r="U641" i="110" s="1"/>
  <c r="T673" i="110"/>
  <c r="U673" i="110" s="1"/>
  <c r="T705" i="110"/>
  <c r="U705" i="110" s="1"/>
  <c r="T737" i="110"/>
  <c r="U737" i="110" s="1"/>
  <c r="T769" i="110"/>
  <c r="U769" i="110" s="1"/>
  <c r="T801" i="110"/>
  <c r="U801" i="110" s="1"/>
  <c r="T833" i="110"/>
  <c r="U833" i="110" s="1"/>
  <c r="T865" i="110"/>
  <c r="U865" i="110" s="1"/>
  <c r="T897" i="110"/>
  <c r="U897" i="110" s="1"/>
  <c r="T929" i="110"/>
  <c r="U929" i="110" s="1"/>
  <c r="T961" i="110"/>
  <c r="U961" i="110" s="1"/>
  <c r="T993" i="110"/>
  <c r="U993" i="110" s="1"/>
  <c r="T1025" i="110"/>
  <c r="U1025" i="110" s="1"/>
  <c r="T1057" i="110"/>
  <c r="U1057" i="110" s="1"/>
  <c r="T528" i="110"/>
  <c r="U528" i="110" s="1"/>
  <c r="T1072" i="110"/>
  <c r="U1072" i="110" s="1"/>
  <c r="T628" i="110"/>
  <c r="U628" i="110" s="1"/>
  <c r="T852" i="110"/>
  <c r="U852" i="110" s="1"/>
  <c r="T853" i="110"/>
  <c r="U853" i="110" s="1"/>
  <c r="T891" i="110"/>
  <c r="U891" i="110" s="1"/>
  <c r="T735" i="110"/>
  <c r="U735" i="110" s="1"/>
  <c r="T960" i="110"/>
  <c r="U960" i="110" s="1"/>
  <c r="G4" i="110"/>
  <c r="L15" i="112" l="1"/>
  <c r="K17" i="112"/>
  <c r="H17" i="112"/>
  <c r="E17" i="112"/>
  <c r="B17" i="112"/>
  <c r="A18" i="112"/>
  <c r="G16" i="112"/>
  <c r="F16" i="112"/>
  <c r="D16" i="112"/>
  <c r="I16" i="112"/>
  <c r="C16" i="112"/>
  <c r="V1" i="110" a="1"/>
  <c r="V1" i="110" s="1"/>
  <c r="L16" i="112" l="1"/>
  <c r="L17" i="112"/>
  <c r="F17" i="112"/>
  <c r="G17" i="112"/>
  <c r="I17" i="112"/>
  <c r="D17" i="112"/>
  <c r="C17" i="112"/>
  <c r="A19" i="112"/>
  <c r="H18" i="112"/>
  <c r="E18" i="112"/>
  <c r="B18" i="112"/>
  <c r="K18" i="112"/>
  <c r="L18" i="112" l="1"/>
  <c r="G18" i="112"/>
  <c r="F18" i="112"/>
  <c r="D18" i="112"/>
  <c r="C18" i="112"/>
  <c r="I18" i="112"/>
  <c r="K19" i="112"/>
  <c r="E19" i="112"/>
  <c r="H19" i="112"/>
  <c r="A20" i="112"/>
  <c r="B19" i="112"/>
  <c r="V2" i="110" a="1"/>
  <c r="E20" i="112" l="1"/>
  <c r="B20" i="112"/>
  <c r="A21" i="112"/>
  <c r="K20" i="112"/>
  <c r="H20" i="112"/>
  <c r="F19" i="112"/>
  <c r="D19" i="112"/>
  <c r="I19" i="112"/>
  <c r="G19" i="112"/>
  <c r="L19" i="112"/>
  <c r="C19" i="112"/>
  <c r="V2" i="110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A53" i="110" s="1"/>
  <c r="A54" i="110" s="1"/>
  <c r="A55" i="110" s="1"/>
  <c r="A56" i="110" s="1"/>
  <c r="A57" i="110" s="1"/>
  <c r="A58" i="110" s="1"/>
  <c r="A59" i="110" s="1"/>
  <c r="A60" i="110" s="1"/>
  <c r="A61" i="110" s="1"/>
  <c r="A62" i="110" s="1"/>
  <c r="A63" i="110" s="1"/>
  <c r="A64" i="110" s="1"/>
  <c r="A65" i="110" s="1"/>
  <c r="A66" i="110" s="1"/>
  <c r="A67" i="110" s="1"/>
  <c r="A68" i="110" s="1"/>
  <c r="A69" i="110" s="1"/>
  <c r="A70" i="110" s="1"/>
  <c r="A71" i="110" s="1"/>
  <c r="A72" i="110" s="1"/>
  <c r="A73" i="110" s="1"/>
  <c r="A74" i="110" s="1"/>
  <c r="A75" i="110" s="1"/>
  <c r="A76" i="110" s="1"/>
  <c r="A77" i="110" s="1"/>
  <c r="A78" i="110" s="1"/>
  <c r="A79" i="110" s="1"/>
  <c r="A80" i="110" s="1"/>
  <c r="A81" i="110" s="1"/>
  <c r="A82" i="110" s="1"/>
  <c r="A83" i="110" s="1"/>
  <c r="A84" i="110" s="1"/>
  <c r="A85" i="110" s="1"/>
  <c r="A86" i="110" s="1"/>
  <c r="A87" i="110" s="1"/>
  <c r="A88" i="110" s="1"/>
  <c r="A89" i="110" s="1"/>
  <c r="A90" i="110" s="1"/>
  <c r="A91" i="110" s="1"/>
  <c r="A92" i="110" s="1"/>
  <c r="A93" i="110" s="1"/>
  <c r="A94" i="110" s="1"/>
  <c r="A95" i="110" s="1"/>
  <c r="A96" i="110" s="1"/>
  <c r="A97" i="110" s="1"/>
  <c r="A98" i="110" s="1"/>
  <c r="A99" i="110" s="1"/>
  <c r="A100" i="110" s="1"/>
  <c r="A101" i="110" s="1"/>
  <c r="A102" i="110" s="1"/>
  <c r="A103" i="110" s="1"/>
  <c r="A104" i="110" s="1"/>
  <c r="A105" i="110" s="1"/>
  <c r="A106" i="110" s="1"/>
  <c r="A107" i="110" s="1"/>
  <c r="A108" i="110" s="1"/>
  <c r="A109" i="110" s="1"/>
  <c r="A110" i="110" s="1"/>
  <c r="A111" i="110" s="1"/>
  <c r="A112" i="110" s="1"/>
  <c r="A113" i="110" s="1"/>
  <c r="A114" i="110" s="1"/>
  <c r="A115" i="110" s="1"/>
  <c r="A116" i="110" s="1"/>
  <c r="A117" i="110" s="1"/>
  <c r="A118" i="110" s="1"/>
  <c r="A119" i="110" s="1"/>
  <c r="A120" i="110" s="1"/>
  <c r="A121" i="110" s="1"/>
  <c r="A122" i="110" s="1"/>
  <c r="A123" i="110" s="1"/>
  <c r="A124" i="110" s="1"/>
  <c r="A125" i="110" s="1"/>
  <c r="A126" i="110" s="1"/>
  <c r="A127" i="110" s="1"/>
  <c r="A128" i="110" s="1"/>
  <c r="A129" i="110" s="1"/>
  <c r="A130" i="110" s="1"/>
  <c r="A131" i="110" s="1"/>
  <c r="A132" i="110" s="1"/>
  <c r="A133" i="110" s="1"/>
  <c r="A134" i="110" s="1"/>
  <c r="A135" i="110" s="1"/>
  <c r="A136" i="110" s="1"/>
  <c r="A137" i="110" s="1"/>
  <c r="A138" i="110" s="1"/>
  <c r="A139" i="110" s="1"/>
  <c r="A140" i="110" s="1"/>
  <c r="A141" i="110" s="1"/>
  <c r="A142" i="110" s="1"/>
  <c r="A143" i="110" s="1"/>
  <c r="A144" i="110" s="1"/>
  <c r="A145" i="110" s="1"/>
  <c r="A146" i="110" s="1"/>
  <c r="A147" i="110" s="1"/>
  <c r="A148" i="110" s="1"/>
  <c r="A149" i="110" s="1"/>
  <c r="A150" i="110" s="1"/>
  <c r="A151" i="110" s="1"/>
  <c r="A152" i="110" s="1"/>
  <c r="A153" i="110" s="1"/>
  <c r="A154" i="110" s="1"/>
  <c r="A155" i="110" s="1"/>
  <c r="A156" i="110" s="1"/>
  <c r="A157" i="110" s="1"/>
  <c r="A158" i="110" s="1"/>
  <c r="A159" i="110" s="1"/>
  <c r="A160" i="110" s="1"/>
  <c r="A161" i="110" s="1"/>
  <c r="A162" i="110" s="1"/>
  <c r="A163" i="110" s="1"/>
  <c r="A164" i="110" s="1"/>
  <c r="A165" i="110" s="1"/>
  <c r="A166" i="110" s="1"/>
  <c r="A167" i="110" s="1"/>
  <c r="A168" i="110" s="1"/>
  <c r="A169" i="110" s="1"/>
  <c r="A170" i="110" s="1"/>
  <c r="A171" i="110" s="1"/>
  <c r="A172" i="110" s="1"/>
  <c r="A173" i="110" s="1"/>
  <c r="A174" i="110" s="1"/>
  <c r="A175" i="110" s="1"/>
  <c r="A176" i="110" s="1"/>
  <c r="A177" i="110" s="1"/>
  <c r="A178" i="110" s="1"/>
  <c r="A179" i="110" s="1"/>
  <c r="A180" i="110" s="1"/>
  <c r="A181" i="110" s="1"/>
  <c r="A182" i="110" s="1"/>
  <c r="A183" i="110" s="1"/>
  <c r="A184" i="110" s="1"/>
  <c r="A185" i="110" s="1"/>
  <c r="A186" i="110" s="1"/>
  <c r="A187" i="110" s="1"/>
  <c r="A188" i="110" s="1"/>
  <c r="A189" i="110" s="1"/>
  <c r="A190" i="110" s="1"/>
  <c r="A191" i="110" s="1"/>
  <c r="A192" i="110" s="1"/>
  <c r="A193" i="110" s="1"/>
  <c r="A194" i="110" s="1"/>
  <c r="A195" i="110" s="1"/>
  <c r="A196" i="110" s="1"/>
  <c r="A197" i="110" s="1"/>
  <c r="A198" i="110" s="1"/>
  <c r="A199" i="110" s="1"/>
  <c r="A200" i="110" s="1"/>
  <c r="A201" i="110" s="1"/>
  <c r="A202" i="110" s="1"/>
  <c r="A203" i="110" s="1"/>
  <c r="A204" i="110" s="1"/>
  <c r="A205" i="110" s="1"/>
  <c r="A206" i="110" s="1"/>
  <c r="A207" i="110" s="1"/>
  <c r="A208" i="110" s="1"/>
  <c r="A209" i="110" s="1"/>
  <c r="A210" i="110" s="1"/>
  <c r="A211" i="110" s="1"/>
  <c r="A212" i="110" s="1"/>
  <c r="A213" i="110" s="1"/>
  <c r="A214" i="110" s="1"/>
  <c r="A215" i="110" s="1"/>
  <c r="A216" i="110" s="1"/>
  <c r="A217" i="110" s="1"/>
  <c r="A218" i="110" s="1"/>
  <c r="A219" i="110" s="1"/>
  <c r="A220" i="110" s="1"/>
  <c r="A221" i="110" s="1"/>
  <c r="A222" i="110" s="1"/>
  <c r="A223" i="110" s="1"/>
  <c r="A224" i="110" s="1"/>
  <c r="A225" i="110" s="1"/>
  <c r="A226" i="110" s="1"/>
  <c r="A227" i="110" s="1"/>
  <c r="A228" i="110" s="1"/>
  <c r="A229" i="110" s="1"/>
  <c r="A230" i="110" s="1"/>
  <c r="A231" i="110" s="1"/>
  <c r="A232" i="110" s="1"/>
  <c r="A233" i="110" s="1"/>
  <c r="A234" i="110" s="1"/>
  <c r="A235" i="110" s="1"/>
  <c r="A236" i="110" s="1"/>
  <c r="A237" i="110" s="1"/>
  <c r="A238" i="110" s="1"/>
  <c r="A239" i="110" s="1"/>
  <c r="A240" i="110" s="1"/>
  <c r="A241" i="110" s="1"/>
  <c r="A242" i="110" s="1"/>
  <c r="A243" i="110" s="1"/>
  <c r="A244" i="110" s="1"/>
  <c r="A245" i="110" s="1"/>
  <c r="A246" i="110" s="1"/>
  <c r="A247" i="110" s="1"/>
  <c r="A248" i="110" s="1"/>
  <c r="A249" i="110" s="1"/>
  <c r="A250" i="110" s="1"/>
  <c r="A251" i="110" s="1"/>
  <c r="A252" i="110" s="1"/>
  <c r="A22" i="112" l="1"/>
  <c r="B21" i="112"/>
  <c r="E21" i="112"/>
  <c r="H21" i="112"/>
  <c r="K21" i="112"/>
  <c r="G20" i="112"/>
  <c r="F20" i="112"/>
  <c r="D20" i="112"/>
  <c r="C20" i="112"/>
  <c r="L20" i="112"/>
  <c r="I20" i="112"/>
  <c r="G21" i="112" l="1"/>
  <c r="F21" i="112"/>
  <c r="D21" i="112"/>
  <c r="C21" i="112"/>
  <c r="L21" i="112"/>
  <c r="I21" i="112"/>
  <c r="K22" i="112"/>
  <c r="A23" i="112"/>
  <c r="H22" i="112"/>
  <c r="B22" i="112"/>
  <c r="E22" i="112"/>
  <c r="B23" i="112" l="1"/>
  <c r="H23" i="112"/>
  <c r="E23" i="112"/>
  <c r="K23" i="112"/>
  <c r="A24" i="112"/>
  <c r="L22" i="112"/>
  <c r="F22" i="112"/>
  <c r="G22" i="112"/>
  <c r="I22" i="112"/>
  <c r="C22" i="112"/>
  <c r="D22" i="112"/>
  <c r="K24" i="112" l="1"/>
  <c r="B24" i="112"/>
  <c r="A25" i="112"/>
  <c r="H24" i="112"/>
  <c r="E24" i="112"/>
  <c r="C23" i="112"/>
  <c r="G23" i="112"/>
  <c r="F23" i="112"/>
  <c r="D23" i="112"/>
  <c r="I23" i="112"/>
  <c r="L23" i="112"/>
  <c r="H25" i="112" l="1"/>
  <c r="K25" i="112"/>
  <c r="A26" i="112"/>
  <c r="E25" i="112"/>
  <c r="B25" i="112"/>
  <c r="I24" i="112"/>
  <c r="L24" i="112"/>
  <c r="G24" i="112"/>
  <c r="F24" i="112"/>
  <c r="C24" i="112"/>
  <c r="D24" i="112"/>
  <c r="L25" i="112" l="1"/>
  <c r="I25" i="112"/>
  <c r="G25" i="112"/>
  <c r="F25" i="112"/>
  <c r="D25" i="112"/>
  <c r="C25" i="112"/>
  <c r="E26" i="112"/>
  <c r="A27" i="112"/>
  <c r="K26" i="112"/>
  <c r="B26" i="112"/>
  <c r="H26" i="112"/>
  <c r="B27" i="112" l="1"/>
  <c r="A28" i="112"/>
  <c r="K27" i="112"/>
  <c r="H27" i="112"/>
  <c r="E27" i="112"/>
  <c r="F26" i="112"/>
  <c r="L26" i="112"/>
  <c r="G26" i="112"/>
  <c r="I26" i="112"/>
  <c r="D26" i="112"/>
  <c r="C26" i="112"/>
  <c r="H28" i="112" l="1"/>
  <c r="B28" i="112"/>
  <c r="E28" i="112"/>
  <c r="A29" i="112"/>
  <c r="K28" i="112"/>
  <c r="D27" i="112"/>
  <c r="F27" i="112"/>
  <c r="C27" i="112"/>
  <c r="L27" i="112"/>
  <c r="G27" i="112"/>
  <c r="I27" i="112"/>
  <c r="L28" i="112" l="1"/>
  <c r="D28" i="112"/>
  <c r="G28" i="112"/>
  <c r="C28" i="112"/>
  <c r="F28" i="112"/>
  <c r="I28" i="112"/>
  <c r="A30" i="112"/>
  <c r="K29" i="112"/>
  <c r="H29" i="112"/>
  <c r="B29" i="112"/>
  <c r="E29" i="112"/>
  <c r="G29" i="112" l="1"/>
  <c r="L29" i="112"/>
  <c r="F29" i="112"/>
  <c r="I29" i="112"/>
  <c r="C29" i="112"/>
  <c r="D29" i="112"/>
  <c r="A31" i="112"/>
  <c r="B30" i="112"/>
  <c r="K30" i="112"/>
  <c r="H30" i="112"/>
  <c r="E30" i="112"/>
  <c r="E31" i="112" l="1"/>
  <c r="B31" i="112"/>
  <c r="A32" i="112"/>
  <c r="K31" i="112"/>
  <c r="H31" i="112"/>
  <c r="L30" i="112"/>
  <c r="G30" i="112"/>
  <c r="I30" i="112"/>
  <c r="F30" i="112"/>
  <c r="D30" i="112"/>
  <c r="C30" i="112"/>
  <c r="H32" i="112" l="1"/>
  <c r="A33" i="112"/>
  <c r="K32" i="112"/>
  <c r="B32" i="112"/>
  <c r="E32" i="112"/>
  <c r="D31" i="112"/>
  <c r="F31" i="112"/>
  <c r="C31" i="112"/>
  <c r="G31" i="112"/>
  <c r="L31" i="112"/>
  <c r="I31" i="112"/>
  <c r="G32" i="112" l="1"/>
  <c r="L32" i="112"/>
  <c r="C32" i="112"/>
  <c r="F32" i="112"/>
  <c r="I32" i="112"/>
  <c r="D32" i="112"/>
  <c r="K33" i="112"/>
  <c r="A34" i="112"/>
  <c r="H33" i="112"/>
  <c r="E33" i="112"/>
  <c r="B33" i="112"/>
  <c r="L33" i="112" l="1"/>
  <c r="G33" i="112"/>
  <c r="I33" i="112"/>
  <c r="D33" i="112"/>
  <c r="C33" i="112"/>
  <c r="F33" i="112"/>
  <c r="B34" i="112"/>
  <c r="K34" i="112"/>
  <c r="H34" i="112"/>
  <c r="A35" i="112"/>
  <c r="E34" i="112"/>
  <c r="L34" i="112" l="1"/>
  <c r="G34" i="112"/>
  <c r="I34" i="112"/>
  <c r="C34" i="112"/>
  <c r="F34" i="112"/>
  <c r="D34" i="112"/>
  <c r="B35" i="112"/>
  <c r="E35" i="112"/>
  <c r="H35" i="112"/>
  <c r="K35" i="112"/>
  <c r="A36" i="112"/>
  <c r="K36" i="112" l="1"/>
  <c r="H36" i="112"/>
  <c r="E36" i="112"/>
  <c r="A37" i="112"/>
  <c r="B36" i="112"/>
  <c r="G35" i="112"/>
  <c r="I35" i="112"/>
  <c r="D35" i="112"/>
  <c r="C35" i="112"/>
  <c r="F35" i="112"/>
  <c r="L35" i="112"/>
  <c r="D36" i="112" l="1"/>
  <c r="C36" i="112"/>
  <c r="L36" i="112"/>
  <c r="I36" i="112"/>
  <c r="G36" i="112"/>
  <c r="F36" i="112"/>
  <c r="K37" i="112"/>
  <c r="H37" i="112"/>
  <c r="A38" i="112"/>
  <c r="E37" i="112"/>
  <c r="B37" i="112"/>
  <c r="L37" i="112" l="1"/>
  <c r="G37" i="112"/>
  <c r="I37" i="112"/>
  <c r="F37" i="112"/>
  <c r="D37" i="112"/>
  <c r="C37" i="112"/>
  <c r="K38" i="112"/>
  <c r="A39" i="112"/>
  <c r="E38" i="112"/>
  <c r="B38" i="112"/>
  <c r="H38" i="112"/>
  <c r="I38" i="112" l="1"/>
  <c r="C38" i="112"/>
  <c r="F38" i="112"/>
  <c r="D38" i="112"/>
  <c r="G38" i="112"/>
  <c r="L38" i="112"/>
  <c r="E39" i="112"/>
  <c r="B39" i="112"/>
  <c r="A40" i="112"/>
  <c r="H39" i="112"/>
  <c r="K39" i="112"/>
  <c r="E40" i="112" l="1"/>
  <c r="B40" i="112"/>
  <c r="H40" i="112"/>
  <c r="A41" i="112"/>
  <c r="K40" i="112"/>
  <c r="G39" i="112"/>
  <c r="F39" i="112"/>
  <c r="D39" i="112"/>
  <c r="C39" i="112"/>
  <c r="L39" i="112"/>
  <c r="I39" i="112"/>
  <c r="F40" i="112" l="1"/>
  <c r="I40" i="112"/>
  <c r="D40" i="112"/>
  <c r="G40" i="112"/>
  <c r="C40" i="112"/>
  <c r="L40" i="112"/>
  <c r="B41" i="112"/>
  <c r="A42" i="112"/>
  <c r="H41" i="112"/>
  <c r="E41" i="112"/>
  <c r="K41" i="112"/>
  <c r="K42" i="112" l="1"/>
  <c r="B42" i="112"/>
  <c r="H42" i="112"/>
  <c r="E42" i="112"/>
  <c r="A43" i="112"/>
  <c r="C41" i="112"/>
  <c r="L41" i="112"/>
  <c r="G41" i="112"/>
  <c r="F41" i="112"/>
  <c r="D41" i="112"/>
  <c r="I41" i="112"/>
  <c r="H43" i="112" l="1"/>
  <c r="E43" i="112"/>
  <c r="A44" i="112"/>
  <c r="B43" i="112"/>
  <c r="K43" i="112"/>
  <c r="D42" i="112"/>
  <c r="C42" i="112"/>
  <c r="I42" i="112"/>
  <c r="F42" i="112"/>
  <c r="G42" i="112"/>
  <c r="L42" i="112"/>
  <c r="I43" i="112" l="1"/>
  <c r="C43" i="112"/>
  <c r="F43" i="112"/>
  <c r="D43" i="112"/>
  <c r="G43" i="112"/>
  <c r="L43" i="112"/>
  <c r="A45" i="112"/>
  <c r="H44" i="112"/>
  <c r="K44" i="112"/>
  <c r="B44" i="112"/>
  <c r="E44" i="112"/>
  <c r="A46" i="112" l="1"/>
  <c r="H45" i="112"/>
  <c r="E45" i="112"/>
  <c r="K45" i="112"/>
  <c r="B45" i="112"/>
  <c r="L44" i="112"/>
  <c r="I44" i="112"/>
  <c r="G44" i="112"/>
  <c r="F44" i="112"/>
  <c r="D44" i="112"/>
  <c r="C44" i="112"/>
  <c r="I45" i="112" l="1"/>
  <c r="F45" i="112"/>
  <c r="C45" i="112"/>
  <c r="L45" i="112"/>
  <c r="G45" i="112"/>
  <c r="D45" i="112"/>
  <c r="B46" i="112"/>
  <c r="K46" i="112"/>
  <c r="H46" i="112"/>
  <c r="E46" i="112"/>
  <c r="A47" i="112"/>
  <c r="K47" i="112" l="1"/>
  <c r="E47" i="112"/>
  <c r="H47" i="112"/>
  <c r="A48" i="112"/>
  <c r="B47" i="112"/>
  <c r="I46" i="112"/>
  <c r="D46" i="112"/>
  <c r="F46" i="112"/>
  <c r="G46" i="112"/>
  <c r="L46" i="112"/>
  <c r="C46" i="112"/>
  <c r="L47" i="112" l="1"/>
  <c r="I47" i="112"/>
  <c r="G47" i="112"/>
  <c r="F47" i="112"/>
  <c r="D47" i="112"/>
  <c r="C47" i="112"/>
  <c r="H48" i="112"/>
  <c r="A49" i="112"/>
  <c r="E48" i="112"/>
  <c r="K48" i="112"/>
  <c r="B48" i="112"/>
  <c r="G48" i="112" l="1"/>
  <c r="C48" i="112"/>
  <c r="I48" i="112"/>
  <c r="D48" i="112"/>
  <c r="L48" i="112"/>
  <c r="F48" i="112"/>
  <c r="A50" i="112"/>
  <c r="H49" i="112"/>
  <c r="K49" i="112"/>
  <c r="E49" i="112"/>
  <c r="B49" i="112"/>
  <c r="F49" i="112" l="1"/>
  <c r="I49" i="112"/>
  <c r="G49" i="112"/>
  <c r="D49" i="112"/>
  <c r="C49" i="112"/>
  <c r="L49" i="112"/>
  <c r="A51" i="112"/>
  <c r="H50" i="112"/>
  <c r="E50" i="112"/>
  <c r="B50" i="112"/>
  <c r="K50" i="112"/>
  <c r="L50" i="112" l="1"/>
  <c r="I50" i="112"/>
  <c r="D50" i="112"/>
  <c r="G50" i="112"/>
  <c r="F50" i="112"/>
  <c r="C50" i="112"/>
  <c r="B51" i="112"/>
  <c r="K51" i="112"/>
  <c r="E51" i="112"/>
  <c r="H51" i="112"/>
  <c r="A52" i="112"/>
  <c r="A53" i="112" l="1"/>
  <c r="K52" i="112"/>
  <c r="H52" i="112"/>
  <c r="E52" i="112"/>
  <c r="B52" i="112"/>
  <c r="L51" i="112"/>
  <c r="I51" i="112"/>
  <c r="G51" i="112"/>
  <c r="F51" i="112"/>
  <c r="D51" i="112"/>
  <c r="C51" i="112"/>
  <c r="C52" i="112" l="1"/>
  <c r="D52" i="112"/>
  <c r="L52" i="112"/>
  <c r="I52" i="112"/>
  <c r="G52" i="112"/>
  <c r="F52" i="112"/>
  <c r="H53" i="112"/>
  <c r="B53" i="112"/>
  <c r="E53" i="112"/>
  <c r="A54" i="112"/>
  <c r="K53" i="112"/>
  <c r="H54" i="112" l="1"/>
  <c r="K54" i="112"/>
  <c r="E54" i="112"/>
  <c r="B54" i="112"/>
  <c r="A55" i="112"/>
  <c r="G53" i="112"/>
  <c r="F53" i="112"/>
  <c r="C53" i="112"/>
  <c r="I53" i="112"/>
  <c r="D53" i="112"/>
  <c r="L53" i="112"/>
  <c r="A56" i="112" l="1"/>
  <c r="K55" i="112"/>
  <c r="E55" i="112"/>
  <c r="H55" i="112"/>
  <c r="B55" i="112"/>
  <c r="F54" i="112"/>
  <c r="L54" i="112"/>
  <c r="G54" i="112"/>
  <c r="I54" i="112"/>
  <c r="C54" i="112"/>
  <c r="D54" i="112"/>
  <c r="L55" i="112" l="1"/>
  <c r="I55" i="112"/>
  <c r="D55" i="112"/>
  <c r="C55" i="112"/>
  <c r="F55" i="112"/>
  <c r="G55" i="112"/>
  <c r="E56" i="112"/>
  <c r="B56" i="112"/>
  <c r="H56" i="112"/>
  <c r="K56" i="112"/>
  <c r="A57" i="112"/>
  <c r="K57" i="112" l="1"/>
  <c r="E57" i="112"/>
  <c r="A58" i="112"/>
  <c r="H57" i="112"/>
  <c r="B57" i="112"/>
  <c r="C56" i="112"/>
  <c r="F56" i="112"/>
  <c r="D56" i="112"/>
  <c r="I56" i="112"/>
  <c r="L56" i="112"/>
  <c r="G56" i="112"/>
  <c r="C57" i="112" l="1"/>
  <c r="L57" i="112"/>
  <c r="I57" i="112"/>
  <c r="G57" i="112"/>
  <c r="F57" i="112"/>
  <c r="D57" i="112"/>
  <c r="E58" i="112"/>
  <c r="H58" i="112"/>
  <c r="A59" i="112"/>
  <c r="K58" i="112"/>
  <c r="B58" i="112"/>
  <c r="F58" i="112" l="1"/>
  <c r="L58" i="112"/>
  <c r="I58" i="112"/>
  <c r="G58" i="112"/>
  <c r="C58" i="112"/>
  <c r="D58" i="112"/>
  <c r="B59" i="112"/>
  <c r="K59" i="112"/>
  <c r="E59" i="112"/>
  <c r="H59" i="112"/>
  <c r="A60" i="112"/>
  <c r="B60" i="112" l="1"/>
  <c r="E60" i="112"/>
  <c r="A61" i="112"/>
  <c r="H60" i="112"/>
  <c r="K60" i="112"/>
  <c r="C59" i="112"/>
  <c r="D59" i="112"/>
  <c r="I59" i="112"/>
  <c r="G59" i="112"/>
  <c r="F59" i="112"/>
  <c r="L59" i="112"/>
  <c r="K61" i="112" l="1"/>
  <c r="H61" i="112"/>
  <c r="A62" i="112"/>
  <c r="B61" i="112"/>
  <c r="E61" i="112"/>
  <c r="L60" i="112"/>
  <c r="G60" i="112"/>
  <c r="I60" i="112"/>
  <c r="F60" i="112"/>
  <c r="C60" i="112"/>
  <c r="D60" i="112"/>
  <c r="F61" i="112" l="1"/>
  <c r="C61" i="112"/>
  <c r="G61" i="112"/>
  <c r="L61" i="112"/>
  <c r="I61" i="112"/>
  <c r="D61" i="112"/>
  <c r="K62" i="112"/>
  <c r="H62" i="112"/>
  <c r="B62" i="112"/>
  <c r="E62" i="112"/>
  <c r="A63" i="112"/>
  <c r="E63" i="112" l="1"/>
  <c r="A64" i="112"/>
  <c r="H63" i="112"/>
  <c r="B63" i="112"/>
  <c r="K63" i="112"/>
  <c r="G62" i="112"/>
  <c r="L62" i="112"/>
  <c r="I62" i="112"/>
  <c r="C62" i="112"/>
  <c r="D62" i="112"/>
  <c r="F62" i="112"/>
  <c r="D63" i="112" l="1"/>
  <c r="L63" i="112"/>
  <c r="F63" i="112"/>
  <c r="G63" i="112"/>
  <c r="I63" i="112"/>
  <c r="C63" i="112"/>
  <c r="K64" i="112"/>
  <c r="H64" i="112"/>
  <c r="E64" i="112"/>
  <c r="B64" i="112"/>
  <c r="A65" i="112"/>
  <c r="K65" i="112" l="1"/>
  <c r="A66" i="112"/>
  <c r="H65" i="112"/>
  <c r="E65" i="112"/>
  <c r="B65" i="112"/>
  <c r="I64" i="112"/>
  <c r="G64" i="112"/>
  <c r="F64" i="112"/>
  <c r="D64" i="112"/>
  <c r="C64" i="112"/>
  <c r="L64" i="112"/>
  <c r="L65" i="112" l="1"/>
  <c r="I65" i="112"/>
  <c r="G65" i="112"/>
  <c r="F65" i="112"/>
  <c r="C65" i="112"/>
  <c r="D65" i="112"/>
  <c r="A67" i="112"/>
  <c r="K66" i="112"/>
  <c r="H66" i="112"/>
  <c r="E66" i="112"/>
  <c r="B66" i="112"/>
  <c r="I66" i="112" l="1"/>
  <c r="F66" i="112"/>
  <c r="C66" i="112"/>
  <c r="L66" i="112"/>
  <c r="G66" i="112"/>
  <c r="D66" i="112"/>
  <c r="E67" i="112"/>
  <c r="B67" i="112"/>
  <c r="K67" i="112"/>
  <c r="H67" i="112"/>
  <c r="A68" i="112"/>
  <c r="A69" i="112" l="1"/>
  <c r="H68" i="112"/>
  <c r="E68" i="112"/>
  <c r="B68" i="112"/>
  <c r="K68" i="112"/>
  <c r="G67" i="112"/>
  <c r="D67" i="112"/>
  <c r="F67" i="112"/>
  <c r="C67" i="112"/>
  <c r="L67" i="112"/>
  <c r="I67" i="112"/>
  <c r="D68" i="112" l="1"/>
  <c r="C68" i="112"/>
  <c r="F68" i="112"/>
  <c r="G68" i="112"/>
  <c r="I68" i="112"/>
  <c r="L68" i="112"/>
  <c r="A70" i="112"/>
  <c r="K69" i="112"/>
  <c r="H69" i="112"/>
  <c r="E69" i="112"/>
  <c r="B69" i="112"/>
  <c r="D69" i="112" l="1"/>
  <c r="L69" i="112"/>
  <c r="I69" i="112"/>
  <c r="F69" i="112"/>
  <c r="G69" i="112"/>
  <c r="C69" i="112"/>
  <c r="K70" i="112"/>
  <c r="B70" i="112"/>
  <c r="A71" i="112"/>
  <c r="H70" i="112"/>
  <c r="E70" i="112"/>
  <c r="E71" i="112" l="1"/>
  <c r="K71" i="112"/>
  <c r="A72" i="112"/>
  <c r="H71" i="112"/>
  <c r="B71" i="112"/>
  <c r="I70" i="112"/>
  <c r="D70" i="112"/>
  <c r="C70" i="112"/>
  <c r="L70" i="112"/>
  <c r="F70" i="112"/>
  <c r="G70" i="112"/>
  <c r="I71" i="112" l="1"/>
  <c r="L71" i="112"/>
  <c r="C71" i="112"/>
  <c r="G71" i="112"/>
  <c r="D71" i="112"/>
  <c r="F71" i="112"/>
  <c r="A73" i="112"/>
  <c r="H72" i="112"/>
  <c r="K72" i="112"/>
  <c r="E72" i="112"/>
  <c r="B72" i="112"/>
  <c r="L72" i="112" l="1"/>
  <c r="I72" i="112"/>
  <c r="C72" i="112"/>
  <c r="G72" i="112"/>
  <c r="D72" i="112"/>
  <c r="F72" i="112"/>
  <c r="B73" i="112"/>
  <c r="A74" i="112"/>
  <c r="E73" i="112"/>
  <c r="H73" i="112"/>
  <c r="K73" i="112"/>
  <c r="B74" i="112" l="1"/>
  <c r="K74" i="112"/>
  <c r="H74" i="112"/>
  <c r="A75" i="112"/>
  <c r="E74" i="112"/>
  <c r="C73" i="112"/>
  <c r="D73" i="112"/>
  <c r="F73" i="112"/>
  <c r="L73" i="112"/>
  <c r="I73" i="112"/>
  <c r="G73" i="112"/>
  <c r="H75" i="112" l="1"/>
  <c r="E75" i="112"/>
  <c r="K75" i="112"/>
  <c r="A76" i="112"/>
  <c r="B75" i="112"/>
  <c r="G74" i="112"/>
  <c r="D74" i="112"/>
  <c r="I74" i="112"/>
  <c r="L74" i="112"/>
  <c r="C74" i="112"/>
  <c r="F74" i="112"/>
  <c r="I75" i="112" l="1"/>
  <c r="L75" i="112"/>
  <c r="G75" i="112"/>
  <c r="F75" i="112"/>
  <c r="C75" i="112"/>
  <c r="D75" i="112"/>
  <c r="K76" i="112"/>
  <c r="H76" i="112"/>
  <c r="A77" i="112"/>
  <c r="B76" i="112"/>
  <c r="E76" i="112"/>
  <c r="I76" i="112" l="1"/>
  <c r="G76" i="112"/>
  <c r="C76" i="112"/>
  <c r="F76" i="112"/>
  <c r="D76" i="112"/>
  <c r="L76" i="112"/>
  <c r="B77" i="112"/>
  <c r="A78" i="112"/>
  <c r="K77" i="112"/>
  <c r="E77" i="112"/>
  <c r="H77" i="112"/>
  <c r="L77" i="112" l="1"/>
  <c r="F77" i="112"/>
  <c r="G77" i="112"/>
  <c r="I77" i="112"/>
  <c r="C77" i="112"/>
  <c r="D77" i="112"/>
  <c r="K78" i="112"/>
  <c r="H78" i="112"/>
  <c r="A79" i="112"/>
  <c r="E78" i="112"/>
  <c r="B78" i="112"/>
  <c r="D78" i="112" l="1"/>
  <c r="C78" i="112"/>
  <c r="L78" i="112"/>
  <c r="I78" i="112"/>
  <c r="G78" i="112"/>
  <c r="F78" i="112"/>
  <c r="K79" i="112"/>
  <c r="B79" i="112"/>
  <c r="H79" i="112"/>
  <c r="E79" i="112"/>
  <c r="A80" i="112"/>
  <c r="E80" i="112" l="1"/>
  <c r="K80" i="112"/>
  <c r="A81" i="112"/>
  <c r="H80" i="112"/>
  <c r="B80" i="112"/>
  <c r="I79" i="112"/>
  <c r="D79" i="112"/>
  <c r="C79" i="112"/>
  <c r="L79" i="112"/>
  <c r="G79" i="112"/>
  <c r="F79" i="112"/>
  <c r="D80" i="112" l="1"/>
  <c r="L80" i="112"/>
  <c r="G80" i="112"/>
  <c r="I80" i="112"/>
  <c r="F80" i="112"/>
  <c r="C80" i="112"/>
  <c r="K81" i="112"/>
  <c r="H81" i="112"/>
  <c r="E81" i="112"/>
  <c r="B81" i="112"/>
  <c r="A82" i="112"/>
  <c r="L81" i="112" l="1"/>
  <c r="I81" i="112"/>
  <c r="G81" i="112"/>
  <c r="F81" i="112"/>
  <c r="C81" i="112"/>
  <c r="D81" i="112"/>
  <c r="K82" i="112"/>
  <c r="A83" i="112"/>
  <c r="E82" i="112"/>
  <c r="B82" i="112"/>
  <c r="H82" i="112"/>
  <c r="L82" i="112" l="1"/>
  <c r="I82" i="112"/>
  <c r="F82" i="112"/>
  <c r="D82" i="112"/>
  <c r="G82" i="112"/>
  <c r="C82" i="112"/>
  <c r="H83" i="112"/>
  <c r="E83" i="112"/>
  <c r="B83" i="112"/>
  <c r="A84" i="112"/>
  <c r="K83" i="112"/>
  <c r="K84" i="112" l="1"/>
  <c r="H84" i="112"/>
  <c r="E84" i="112"/>
  <c r="B84" i="112"/>
  <c r="A85" i="112"/>
  <c r="G83" i="112"/>
  <c r="F83" i="112"/>
  <c r="I83" i="112"/>
  <c r="D83" i="112"/>
  <c r="C83" i="112"/>
  <c r="L83" i="112"/>
  <c r="A86" i="112" l="1"/>
  <c r="H85" i="112"/>
  <c r="E85" i="112"/>
  <c r="B85" i="112"/>
  <c r="K85" i="112"/>
  <c r="G84" i="112"/>
  <c r="I84" i="112"/>
  <c r="D84" i="112"/>
  <c r="F84" i="112"/>
  <c r="C84" i="112"/>
  <c r="L84" i="112"/>
  <c r="D85" i="112" l="1"/>
  <c r="C85" i="112"/>
  <c r="L85" i="112"/>
  <c r="F85" i="112"/>
  <c r="G85" i="112"/>
  <c r="I85" i="112"/>
  <c r="B86" i="112"/>
  <c r="A87" i="112"/>
  <c r="K86" i="112"/>
  <c r="H86" i="112"/>
  <c r="E86" i="112"/>
  <c r="G86" i="112" l="1"/>
  <c r="I86" i="112"/>
  <c r="L86" i="112"/>
  <c r="D86" i="112"/>
  <c r="C86" i="112"/>
  <c r="F86" i="112"/>
  <c r="K87" i="112"/>
  <c r="H87" i="112"/>
  <c r="A88" i="112"/>
  <c r="E87" i="112"/>
  <c r="B87" i="112"/>
  <c r="I87" i="112" l="1"/>
  <c r="D87" i="112"/>
  <c r="L87" i="112"/>
  <c r="G87" i="112"/>
  <c r="F87" i="112"/>
  <c r="C87" i="112"/>
  <c r="K88" i="112"/>
  <c r="A89" i="112"/>
  <c r="B88" i="112"/>
  <c r="H88" i="112"/>
  <c r="E88" i="112"/>
  <c r="H89" i="112" l="1"/>
  <c r="A90" i="112"/>
  <c r="K89" i="112"/>
  <c r="E89" i="112"/>
  <c r="B89" i="112"/>
  <c r="I88" i="112"/>
  <c r="G88" i="112"/>
  <c r="D88" i="112"/>
  <c r="F88" i="112"/>
  <c r="C88" i="112"/>
  <c r="L88" i="112"/>
  <c r="I89" i="112" l="1"/>
  <c r="C89" i="112"/>
  <c r="G89" i="112"/>
  <c r="L89" i="112"/>
  <c r="F89" i="112"/>
  <c r="D89" i="112"/>
  <c r="B90" i="112"/>
  <c r="A91" i="112"/>
  <c r="H90" i="112"/>
  <c r="K90" i="112"/>
  <c r="E90" i="112"/>
  <c r="C90" i="112" l="1"/>
  <c r="L90" i="112"/>
  <c r="I90" i="112"/>
  <c r="D90" i="112"/>
  <c r="G90" i="112"/>
  <c r="F90" i="112"/>
  <c r="E91" i="112"/>
  <c r="H91" i="112"/>
  <c r="A92" i="112"/>
  <c r="K91" i="112"/>
  <c r="B91" i="112"/>
  <c r="D91" i="112" l="1"/>
  <c r="C91" i="112"/>
  <c r="I91" i="112"/>
  <c r="G91" i="112"/>
  <c r="L91" i="112"/>
  <c r="F91" i="112"/>
  <c r="H92" i="112"/>
  <c r="E92" i="112"/>
  <c r="B92" i="112"/>
  <c r="K92" i="112"/>
  <c r="A93" i="112"/>
  <c r="A94" i="112" l="1"/>
  <c r="K93" i="112"/>
  <c r="H93" i="112"/>
  <c r="E93" i="112"/>
  <c r="B93" i="112"/>
  <c r="I92" i="112"/>
  <c r="G92" i="112"/>
  <c r="D92" i="112"/>
  <c r="F92" i="112"/>
  <c r="C92" i="112"/>
  <c r="L92" i="112"/>
  <c r="I93" i="112" l="1"/>
  <c r="L93" i="112"/>
  <c r="D93" i="112"/>
  <c r="C93" i="112"/>
  <c r="G93" i="112"/>
  <c r="F93" i="112"/>
  <c r="A95" i="112"/>
  <c r="E94" i="112"/>
  <c r="B94" i="112"/>
  <c r="H94" i="112"/>
  <c r="K94" i="112"/>
  <c r="B95" i="112" l="1"/>
  <c r="A96" i="112"/>
  <c r="E95" i="112"/>
  <c r="K95" i="112"/>
  <c r="H95" i="112"/>
  <c r="G94" i="112"/>
  <c r="D94" i="112"/>
  <c r="C94" i="112"/>
  <c r="L94" i="112"/>
  <c r="I94" i="112"/>
  <c r="F94" i="112"/>
  <c r="H96" i="112" l="1"/>
  <c r="A97" i="112"/>
  <c r="K96" i="112"/>
  <c r="E96" i="112"/>
  <c r="B96" i="112"/>
  <c r="D95" i="112"/>
  <c r="I95" i="112"/>
  <c r="G95" i="112"/>
  <c r="L95" i="112"/>
  <c r="F95" i="112"/>
  <c r="C95" i="112"/>
  <c r="G96" i="112" l="1"/>
  <c r="L96" i="112"/>
  <c r="I96" i="112"/>
  <c r="F96" i="112"/>
  <c r="C96" i="112"/>
  <c r="D96" i="112"/>
  <c r="H97" i="112"/>
  <c r="K97" i="112"/>
  <c r="E97" i="112"/>
  <c r="B97" i="112"/>
  <c r="A98" i="112"/>
  <c r="G97" i="112" l="1"/>
  <c r="I97" i="112"/>
  <c r="F97" i="112"/>
  <c r="C97" i="112"/>
  <c r="D97" i="112"/>
  <c r="L97" i="112"/>
  <c r="K98" i="112"/>
  <c r="H98" i="112"/>
  <c r="A99" i="112"/>
  <c r="E98" i="112"/>
  <c r="B98" i="112"/>
  <c r="L98" i="112" l="1"/>
  <c r="I98" i="112"/>
  <c r="G98" i="112"/>
  <c r="D98" i="112"/>
  <c r="F98" i="112"/>
  <c r="C98" i="112"/>
  <c r="A100" i="112"/>
  <c r="B99" i="112"/>
  <c r="E99" i="112"/>
  <c r="K99" i="112"/>
  <c r="H99" i="112"/>
  <c r="C99" i="112" l="1"/>
  <c r="D99" i="112"/>
  <c r="L99" i="112"/>
  <c r="I99" i="112"/>
  <c r="F99" i="112"/>
  <c r="G99" i="112"/>
  <c r="E100" i="112"/>
  <c r="K100" i="112"/>
  <c r="H100" i="112"/>
  <c r="B100" i="112"/>
  <c r="A101" i="112"/>
  <c r="K101" i="112" l="1"/>
  <c r="H101" i="112"/>
  <c r="E101" i="112"/>
  <c r="A102" i="112"/>
  <c r="B101" i="112"/>
  <c r="G100" i="112"/>
  <c r="D100" i="112"/>
  <c r="I100" i="112"/>
  <c r="L100" i="112"/>
  <c r="F100" i="112"/>
  <c r="C100" i="112"/>
  <c r="L101" i="112" l="1"/>
  <c r="I101" i="112"/>
  <c r="G101" i="112"/>
  <c r="F101" i="112"/>
  <c r="C101" i="112"/>
  <c r="D101" i="112"/>
  <c r="E102" i="112"/>
  <c r="K102" i="112"/>
  <c r="H102" i="112"/>
  <c r="B102" i="112"/>
  <c r="A103" i="112"/>
  <c r="B103" i="112" l="1"/>
  <c r="H103" i="112"/>
  <c r="E103" i="112"/>
  <c r="K103" i="112"/>
  <c r="A104" i="112"/>
  <c r="G102" i="112"/>
  <c r="F102" i="112"/>
  <c r="I102" i="112"/>
  <c r="D102" i="112"/>
  <c r="C102" i="112"/>
  <c r="L102" i="112"/>
  <c r="E104" i="112" l="1"/>
  <c r="A105" i="112"/>
  <c r="K104" i="112"/>
  <c r="H104" i="112"/>
  <c r="B104" i="112"/>
  <c r="F103" i="112"/>
  <c r="L103" i="112"/>
  <c r="I103" i="112"/>
  <c r="G103" i="112"/>
  <c r="D103" i="112"/>
  <c r="C103" i="112"/>
  <c r="F104" i="112" l="1"/>
  <c r="I104" i="112"/>
  <c r="D104" i="112"/>
  <c r="L104" i="112"/>
  <c r="G104" i="112"/>
  <c r="C104" i="112"/>
  <c r="K105" i="112"/>
  <c r="A106" i="112"/>
  <c r="E105" i="112"/>
  <c r="B105" i="112"/>
  <c r="H105" i="112"/>
  <c r="A107" i="112" l="1"/>
  <c r="H106" i="112"/>
  <c r="K106" i="112"/>
  <c r="B106" i="112"/>
  <c r="E106" i="112"/>
  <c r="G105" i="112"/>
  <c r="I105" i="112"/>
  <c r="C105" i="112"/>
  <c r="D105" i="112"/>
  <c r="F105" i="112"/>
  <c r="L105" i="112"/>
  <c r="G106" i="112" l="1"/>
  <c r="D106" i="112"/>
  <c r="L106" i="112"/>
  <c r="I106" i="112"/>
  <c r="C106" i="112"/>
  <c r="F106" i="112"/>
  <c r="E107" i="112"/>
  <c r="B107" i="112"/>
  <c r="A108" i="112"/>
  <c r="H107" i="112"/>
  <c r="K107" i="112"/>
  <c r="F107" i="112" l="1"/>
  <c r="C107" i="112"/>
  <c r="I107" i="112"/>
  <c r="G107" i="112"/>
  <c r="D107" i="112"/>
  <c r="L107" i="112"/>
  <c r="E108" i="112"/>
  <c r="B108" i="112"/>
  <c r="A109" i="112"/>
  <c r="K108" i="112"/>
  <c r="H108" i="112"/>
  <c r="H109" i="112" l="1"/>
  <c r="A110" i="112"/>
  <c r="K109" i="112"/>
  <c r="B109" i="112"/>
  <c r="E109" i="112"/>
  <c r="L108" i="112"/>
  <c r="F108" i="112"/>
  <c r="C108" i="112"/>
  <c r="D108" i="112"/>
  <c r="I108" i="112"/>
  <c r="G108" i="112"/>
  <c r="L109" i="112" l="1"/>
  <c r="I109" i="112"/>
  <c r="F109" i="112"/>
  <c r="C109" i="112"/>
  <c r="G109" i="112"/>
  <c r="D109" i="112"/>
  <c r="K110" i="112"/>
  <c r="E110" i="112"/>
  <c r="B110" i="112"/>
  <c r="A111" i="112"/>
  <c r="H110" i="112"/>
  <c r="E111" i="112" l="1"/>
  <c r="B111" i="112"/>
  <c r="H111" i="112"/>
  <c r="A112" i="112"/>
  <c r="K111" i="112"/>
  <c r="F110" i="112"/>
  <c r="C110" i="112"/>
  <c r="D110" i="112"/>
  <c r="L110" i="112"/>
  <c r="G110" i="112"/>
  <c r="I110" i="112"/>
  <c r="E112" i="112" l="1"/>
  <c r="B112" i="112"/>
  <c r="A113" i="112"/>
  <c r="H112" i="112"/>
  <c r="K112" i="112"/>
  <c r="G111" i="112"/>
  <c r="C111" i="112"/>
  <c r="L111" i="112"/>
  <c r="I111" i="112"/>
  <c r="F111" i="112"/>
  <c r="D111" i="112"/>
  <c r="H113" i="112" l="1"/>
  <c r="E113" i="112"/>
  <c r="B113" i="112"/>
  <c r="A114" i="112"/>
  <c r="K113" i="112"/>
  <c r="D112" i="112"/>
  <c r="F112" i="112"/>
  <c r="C112" i="112"/>
  <c r="I112" i="112"/>
  <c r="L112" i="112"/>
  <c r="G112" i="112"/>
  <c r="K114" i="112" l="1"/>
  <c r="A115" i="112"/>
  <c r="H114" i="112"/>
  <c r="E114" i="112"/>
  <c r="B114" i="112"/>
  <c r="I113" i="112"/>
  <c r="G113" i="112"/>
  <c r="F113" i="112"/>
  <c r="D113" i="112"/>
  <c r="C113" i="112"/>
  <c r="L113" i="112"/>
  <c r="L114" i="112" l="1"/>
  <c r="F114" i="112"/>
  <c r="G114" i="112"/>
  <c r="I114" i="112"/>
  <c r="D114" i="112"/>
  <c r="C114" i="112"/>
  <c r="H115" i="112"/>
  <c r="E115" i="112"/>
  <c r="K115" i="112"/>
  <c r="B115" i="112"/>
  <c r="A116" i="112"/>
  <c r="K116" i="112" l="1"/>
  <c r="H116" i="112"/>
  <c r="E116" i="112"/>
  <c r="B116" i="112"/>
  <c r="A117" i="112"/>
  <c r="D115" i="112"/>
  <c r="I115" i="112"/>
  <c r="C115" i="112"/>
  <c r="G115" i="112"/>
  <c r="F115" i="112"/>
  <c r="L115" i="112"/>
  <c r="H117" i="112" l="1"/>
  <c r="K117" i="112"/>
  <c r="A118" i="112"/>
  <c r="E117" i="112"/>
  <c r="B117" i="112"/>
  <c r="C116" i="112"/>
  <c r="I116" i="112"/>
  <c r="D116" i="112"/>
  <c r="G116" i="112"/>
  <c r="F116" i="112"/>
  <c r="L116" i="112"/>
  <c r="D117" i="112" l="1"/>
  <c r="C117" i="112"/>
  <c r="I117" i="112"/>
  <c r="L117" i="112"/>
  <c r="G117" i="112"/>
  <c r="F117" i="112"/>
  <c r="H118" i="112"/>
  <c r="A119" i="112"/>
  <c r="B118" i="112"/>
  <c r="E118" i="112"/>
  <c r="K118" i="112"/>
  <c r="K119" i="112" l="1"/>
  <c r="E119" i="112"/>
  <c r="H119" i="112"/>
  <c r="B119" i="112"/>
  <c r="A120" i="112"/>
  <c r="L118" i="112"/>
  <c r="G118" i="112"/>
  <c r="D118" i="112"/>
  <c r="F118" i="112"/>
  <c r="I118" i="112"/>
  <c r="C118" i="112"/>
  <c r="A121" i="112" l="1"/>
  <c r="H120" i="112"/>
  <c r="B120" i="112"/>
  <c r="E120" i="112"/>
  <c r="K120" i="112"/>
  <c r="I119" i="112"/>
  <c r="L119" i="112"/>
  <c r="G119" i="112"/>
  <c r="F119" i="112"/>
  <c r="C119" i="112"/>
  <c r="D119" i="112"/>
  <c r="D120" i="112" l="1"/>
  <c r="C120" i="112"/>
  <c r="G120" i="112"/>
  <c r="F120" i="112"/>
  <c r="I120" i="112"/>
  <c r="L120" i="112"/>
  <c r="H121" i="112"/>
  <c r="K121" i="112"/>
  <c r="E121" i="112"/>
  <c r="B121" i="112"/>
  <c r="A122" i="112"/>
  <c r="B122" i="112" l="1"/>
  <c r="H122" i="112"/>
  <c r="A123" i="112"/>
  <c r="K122" i="112"/>
  <c r="E122" i="112"/>
  <c r="F121" i="112"/>
  <c r="C121" i="112"/>
  <c r="D121" i="112"/>
  <c r="I121" i="112"/>
  <c r="L121" i="112"/>
  <c r="G121" i="112"/>
  <c r="A124" i="112" l="1"/>
  <c r="B123" i="112"/>
  <c r="K123" i="112"/>
  <c r="H123" i="112"/>
  <c r="E123" i="112"/>
  <c r="C122" i="112"/>
  <c r="L122" i="112"/>
  <c r="I122" i="112"/>
  <c r="D122" i="112"/>
  <c r="G122" i="112"/>
  <c r="F122" i="112"/>
  <c r="L123" i="112" l="1"/>
  <c r="C123" i="112"/>
  <c r="G123" i="112"/>
  <c r="I123" i="112"/>
  <c r="D123" i="112"/>
  <c r="F123" i="112"/>
  <c r="H124" i="112"/>
  <c r="E124" i="112"/>
  <c r="B124" i="112"/>
  <c r="A125" i="112"/>
  <c r="K124" i="112"/>
  <c r="A126" i="112" l="1"/>
  <c r="B125" i="112"/>
  <c r="H125" i="112"/>
  <c r="E125" i="112"/>
  <c r="K125" i="112"/>
  <c r="I124" i="112"/>
  <c r="G124" i="112"/>
  <c r="D124" i="112"/>
  <c r="L124" i="112"/>
  <c r="F124" i="112"/>
  <c r="C124" i="112"/>
  <c r="G125" i="112" l="1"/>
  <c r="F125" i="112"/>
  <c r="L125" i="112"/>
  <c r="D125" i="112"/>
  <c r="C125" i="112"/>
  <c r="I125" i="112"/>
  <c r="A127" i="112"/>
  <c r="B126" i="112"/>
  <c r="K126" i="112"/>
  <c r="H126" i="112"/>
  <c r="E126" i="112"/>
  <c r="B127" i="112" l="1"/>
  <c r="A128" i="112"/>
  <c r="K127" i="112"/>
  <c r="H127" i="112"/>
  <c r="E127" i="112"/>
  <c r="I126" i="112"/>
  <c r="F126" i="112"/>
  <c r="D126" i="112"/>
  <c r="C126" i="112"/>
  <c r="G126" i="112"/>
  <c r="L126" i="112"/>
  <c r="B128" i="112" l="1"/>
  <c r="A129" i="112"/>
  <c r="K128" i="112"/>
  <c r="H128" i="112"/>
  <c r="E128" i="112"/>
  <c r="I127" i="112"/>
  <c r="F127" i="112"/>
  <c r="G127" i="112"/>
  <c r="D127" i="112"/>
  <c r="L127" i="112"/>
  <c r="C127" i="112"/>
  <c r="H129" i="112" l="1"/>
  <c r="E129" i="112"/>
  <c r="B129" i="112"/>
  <c r="K129" i="112"/>
  <c r="A130" i="112"/>
  <c r="C128" i="112"/>
  <c r="D128" i="112"/>
  <c r="L128" i="112"/>
  <c r="F128" i="112"/>
  <c r="G128" i="112"/>
  <c r="I128" i="112"/>
  <c r="A131" i="112" l="1"/>
  <c r="K130" i="112"/>
  <c r="E130" i="112"/>
  <c r="B130" i="112"/>
  <c r="H130" i="112"/>
  <c r="G129" i="112"/>
  <c r="F129" i="112"/>
  <c r="L129" i="112"/>
  <c r="I129" i="112"/>
  <c r="D129" i="112"/>
  <c r="C129" i="112"/>
  <c r="L130" i="112" l="1"/>
  <c r="I130" i="112"/>
  <c r="F130" i="112"/>
  <c r="D130" i="112"/>
  <c r="C130" i="112"/>
  <c r="G130" i="112"/>
  <c r="A132" i="112"/>
  <c r="E131" i="112"/>
  <c r="K131" i="112"/>
  <c r="H131" i="112"/>
  <c r="B131" i="112"/>
  <c r="L131" i="112" l="1"/>
  <c r="F131" i="112"/>
  <c r="G131" i="112"/>
  <c r="D131" i="112"/>
  <c r="I131" i="112"/>
  <c r="C131" i="112"/>
  <c r="K132" i="112"/>
  <c r="H132" i="112"/>
  <c r="B132" i="112"/>
  <c r="E132" i="112"/>
  <c r="A133" i="112"/>
  <c r="H133" i="112" l="1"/>
  <c r="A134" i="112"/>
  <c r="E133" i="112"/>
  <c r="K133" i="112"/>
  <c r="B133" i="112"/>
  <c r="D132" i="112"/>
  <c r="G132" i="112"/>
  <c r="L132" i="112"/>
  <c r="I132" i="112"/>
  <c r="C132" i="112"/>
  <c r="F132" i="112"/>
  <c r="G133" i="112" l="1"/>
  <c r="L133" i="112"/>
  <c r="F133" i="112"/>
  <c r="C133" i="112"/>
  <c r="I133" i="112"/>
  <c r="D133" i="112"/>
  <c r="E134" i="112"/>
  <c r="K134" i="112"/>
  <c r="A135" i="112"/>
  <c r="B134" i="112"/>
  <c r="H134" i="112"/>
  <c r="G134" i="112" l="1"/>
  <c r="F134" i="112"/>
  <c r="L134" i="112"/>
  <c r="C134" i="112"/>
  <c r="I134" i="112"/>
  <c r="D134" i="112"/>
  <c r="A136" i="112"/>
  <c r="K135" i="112"/>
  <c r="E135" i="112"/>
  <c r="B135" i="112"/>
  <c r="H135" i="112"/>
  <c r="A137" i="112" l="1"/>
  <c r="H136" i="112"/>
  <c r="B136" i="112"/>
  <c r="E136" i="112"/>
  <c r="K136" i="112"/>
  <c r="I135" i="112"/>
  <c r="L135" i="112"/>
  <c r="D135" i="112"/>
  <c r="C135" i="112"/>
  <c r="G135" i="112"/>
  <c r="F135" i="112"/>
  <c r="L136" i="112" l="1"/>
  <c r="D136" i="112"/>
  <c r="C136" i="112"/>
  <c r="F136" i="112"/>
  <c r="I136" i="112"/>
  <c r="G136" i="112"/>
  <c r="A138" i="112"/>
  <c r="K137" i="112"/>
  <c r="E137" i="112"/>
  <c r="B137" i="112"/>
  <c r="H137" i="112"/>
  <c r="A139" i="112" l="1"/>
  <c r="B138" i="112"/>
  <c r="K138" i="112"/>
  <c r="E138" i="112"/>
  <c r="H138" i="112"/>
  <c r="I137" i="112"/>
  <c r="F137" i="112"/>
  <c r="G137" i="112"/>
  <c r="C137" i="112"/>
  <c r="D137" i="112"/>
  <c r="L137" i="112"/>
  <c r="L138" i="112" l="1"/>
  <c r="I138" i="112"/>
  <c r="G138" i="112"/>
  <c r="D138" i="112"/>
  <c r="C138" i="112"/>
  <c r="F138" i="112"/>
  <c r="E139" i="112"/>
  <c r="A140" i="112"/>
  <c r="H139" i="112"/>
  <c r="B139" i="112"/>
  <c r="K139" i="112"/>
  <c r="F139" i="112" l="1"/>
  <c r="D139" i="112"/>
  <c r="L139" i="112"/>
  <c r="I139" i="112"/>
  <c r="G139" i="112"/>
  <c r="C139" i="112"/>
  <c r="E140" i="112"/>
  <c r="B140" i="112"/>
  <c r="K140" i="112"/>
  <c r="H140" i="112"/>
  <c r="A141" i="112"/>
  <c r="K141" i="112" l="1"/>
  <c r="H141" i="112"/>
  <c r="A142" i="112"/>
  <c r="B141" i="112"/>
  <c r="E141" i="112"/>
  <c r="G140" i="112"/>
  <c r="C140" i="112"/>
  <c r="F140" i="112"/>
  <c r="D140" i="112"/>
  <c r="I140" i="112"/>
  <c r="L140" i="112"/>
  <c r="L141" i="112" l="1"/>
  <c r="I141" i="112"/>
  <c r="D141" i="112"/>
  <c r="C141" i="112"/>
  <c r="G141" i="112"/>
  <c r="F141" i="112"/>
  <c r="A143" i="112"/>
  <c r="K142" i="112"/>
  <c r="E142" i="112"/>
  <c r="H142" i="112"/>
  <c r="B142" i="112"/>
  <c r="L142" i="112" l="1"/>
  <c r="I142" i="112"/>
  <c r="G142" i="112"/>
  <c r="F142" i="112"/>
  <c r="C142" i="112"/>
  <c r="D142" i="112"/>
  <c r="A144" i="112"/>
  <c r="H143" i="112"/>
  <c r="B143" i="112"/>
  <c r="K143" i="112"/>
  <c r="E143" i="112"/>
  <c r="E144" i="112" l="1"/>
  <c r="H144" i="112"/>
  <c r="K144" i="112"/>
  <c r="A145" i="112"/>
  <c r="B144" i="112"/>
  <c r="C143" i="112"/>
  <c r="D143" i="112"/>
  <c r="I143" i="112"/>
  <c r="G143" i="112"/>
  <c r="L143" i="112"/>
  <c r="F143" i="112"/>
  <c r="D144" i="112" l="1"/>
  <c r="C144" i="112"/>
  <c r="G144" i="112"/>
  <c r="L144" i="112"/>
  <c r="F144" i="112"/>
  <c r="I144" i="112"/>
  <c r="A146" i="112"/>
  <c r="K145" i="112"/>
  <c r="H145" i="112"/>
  <c r="B145" i="112"/>
  <c r="E145" i="112"/>
  <c r="G145" i="112" l="1"/>
  <c r="L145" i="112"/>
  <c r="I145" i="112"/>
  <c r="D145" i="112"/>
  <c r="C145" i="112"/>
  <c r="F145" i="112"/>
  <c r="K146" i="112"/>
  <c r="E146" i="112"/>
  <c r="B146" i="112"/>
  <c r="H146" i="112"/>
  <c r="A147" i="112"/>
  <c r="E147" i="112" l="1"/>
  <c r="A148" i="112"/>
  <c r="H147" i="112"/>
  <c r="K147" i="112"/>
  <c r="B147" i="112"/>
  <c r="L146" i="112"/>
  <c r="D146" i="112"/>
  <c r="C146" i="112"/>
  <c r="I146" i="112"/>
  <c r="F146" i="112"/>
  <c r="G146" i="112"/>
  <c r="D147" i="112" l="1"/>
  <c r="I147" i="112"/>
  <c r="G147" i="112"/>
  <c r="L147" i="112"/>
  <c r="F147" i="112"/>
  <c r="C147" i="112"/>
  <c r="A149" i="112"/>
  <c r="H148" i="112"/>
  <c r="E148" i="112"/>
  <c r="K148" i="112"/>
  <c r="B148" i="112"/>
  <c r="G148" i="112" l="1"/>
  <c r="F148" i="112"/>
  <c r="I148" i="112"/>
  <c r="D148" i="112"/>
  <c r="L148" i="112"/>
  <c r="C148" i="112"/>
  <c r="E149" i="112"/>
  <c r="K149" i="112"/>
  <c r="H149" i="112"/>
  <c r="B149" i="112"/>
  <c r="A150" i="112"/>
  <c r="G149" i="112" l="1"/>
  <c r="F149" i="112"/>
  <c r="I149" i="112"/>
  <c r="C149" i="112"/>
  <c r="L149" i="112"/>
  <c r="D149" i="112"/>
  <c r="B150" i="112"/>
  <c r="K150" i="112"/>
  <c r="H150" i="112"/>
  <c r="E150" i="112"/>
  <c r="A151" i="112"/>
  <c r="A152" i="112" l="1"/>
  <c r="H151" i="112"/>
  <c r="B151" i="112"/>
  <c r="E151" i="112"/>
  <c r="K151" i="112"/>
  <c r="C150" i="112"/>
  <c r="L150" i="112"/>
  <c r="I150" i="112"/>
  <c r="F150" i="112"/>
  <c r="G150" i="112"/>
  <c r="D150" i="112"/>
  <c r="G151" i="112" l="1"/>
  <c r="D151" i="112"/>
  <c r="I151" i="112"/>
  <c r="L151" i="112"/>
  <c r="C151" i="112"/>
  <c r="F151" i="112"/>
  <c r="B152" i="112"/>
  <c r="A153" i="112"/>
  <c r="K152" i="112"/>
  <c r="H152" i="112"/>
  <c r="E152" i="112"/>
  <c r="E153" i="112" l="1"/>
  <c r="H153" i="112"/>
  <c r="B153" i="112"/>
  <c r="A154" i="112"/>
  <c r="K153" i="112"/>
  <c r="I152" i="112"/>
  <c r="L152" i="112"/>
  <c r="G152" i="112"/>
  <c r="F152" i="112"/>
  <c r="D152" i="112"/>
  <c r="C152" i="112"/>
  <c r="K154" i="112" l="1"/>
  <c r="H154" i="112"/>
  <c r="E154" i="112"/>
  <c r="B154" i="112"/>
  <c r="A155" i="112"/>
  <c r="F153" i="112"/>
  <c r="G153" i="112"/>
  <c r="D153" i="112"/>
  <c r="C153" i="112"/>
  <c r="L153" i="112"/>
  <c r="I153" i="112"/>
  <c r="A156" i="112" l="1"/>
  <c r="H155" i="112"/>
  <c r="K155" i="112"/>
  <c r="B155" i="112"/>
  <c r="E155" i="112"/>
  <c r="I154" i="112"/>
  <c r="G154" i="112"/>
  <c r="C154" i="112"/>
  <c r="F154" i="112"/>
  <c r="D154" i="112"/>
  <c r="L154" i="112"/>
  <c r="L155" i="112" l="1"/>
  <c r="D155" i="112"/>
  <c r="C155" i="112"/>
  <c r="G155" i="112"/>
  <c r="I155" i="112"/>
  <c r="F155" i="112"/>
  <c r="A157" i="112"/>
  <c r="K156" i="112"/>
  <c r="H156" i="112"/>
  <c r="B156" i="112"/>
  <c r="E156" i="112"/>
  <c r="E157" i="112" l="1"/>
  <c r="K157" i="112"/>
  <c r="H157" i="112"/>
  <c r="B157" i="112"/>
  <c r="A158" i="112"/>
  <c r="F156" i="112"/>
  <c r="C156" i="112"/>
  <c r="L156" i="112"/>
  <c r="I156" i="112"/>
  <c r="G156" i="112"/>
  <c r="D156" i="112"/>
  <c r="E158" i="112" l="1"/>
  <c r="H158" i="112"/>
  <c r="A159" i="112"/>
  <c r="B158" i="112"/>
  <c r="K158" i="112"/>
  <c r="D157" i="112"/>
  <c r="C157" i="112"/>
  <c r="F157" i="112"/>
  <c r="L157" i="112"/>
  <c r="G157" i="112"/>
  <c r="I157" i="112"/>
  <c r="D158" i="112" l="1"/>
  <c r="L158" i="112"/>
  <c r="F158" i="112"/>
  <c r="G158" i="112"/>
  <c r="I158" i="112"/>
  <c r="C158" i="112"/>
  <c r="A160" i="112"/>
  <c r="K159" i="112"/>
  <c r="H159" i="112"/>
  <c r="B159" i="112"/>
  <c r="E159" i="112"/>
  <c r="L159" i="112" l="1"/>
  <c r="I159" i="112"/>
  <c r="F159" i="112"/>
  <c r="G159" i="112"/>
  <c r="C159" i="112"/>
  <c r="D159" i="112"/>
  <c r="K160" i="112"/>
  <c r="H160" i="112"/>
  <c r="E160" i="112"/>
  <c r="A161" i="112"/>
  <c r="B160" i="112"/>
  <c r="L160" i="112" l="1"/>
  <c r="D160" i="112"/>
  <c r="C160" i="112"/>
  <c r="I160" i="112"/>
  <c r="G160" i="112"/>
  <c r="F160" i="112"/>
  <c r="K161" i="112"/>
  <c r="A162" i="112"/>
  <c r="E161" i="112"/>
  <c r="H161" i="112"/>
  <c r="B161" i="112"/>
  <c r="I161" i="112" l="1"/>
  <c r="F161" i="112"/>
  <c r="L161" i="112"/>
  <c r="G161" i="112"/>
  <c r="D161" i="112"/>
  <c r="C161" i="112"/>
  <c r="H162" i="112"/>
  <c r="E162" i="112"/>
  <c r="B162" i="112"/>
  <c r="A163" i="112"/>
  <c r="K162" i="112"/>
  <c r="B163" i="112" l="1"/>
  <c r="A164" i="112"/>
  <c r="K163" i="112"/>
  <c r="H163" i="112"/>
  <c r="E163" i="112"/>
  <c r="G162" i="112"/>
  <c r="F162" i="112"/>
  <c r="I162" i="112"/>
  <c r="D162" i="112"/>
  <c r="C162" i="112"/>
  <c r="L162" i="112"/>
  <c r="A165" i="112" l="1"/>
  <c r="H164" i="112"/>
  <c r="E164" i="112"/>
  <c r="B164" i="112"/>
  <c r="K164" i="112"/>
  <c r="D163" i="112"/>
  <c r="C163" i="112"/>
  <c r="F163" i="112"/>
  <c r="L163" i="112"/>
  <c r="G163" i="112"/>
  <c r="I163" i="112"/>
  <c r="G164" i="112" l="1"/>
  <c r="D164" i="112"/>
  <c r="C164" i="112"/>
  <c r="F164" i="112"/>
  <c r="L164" i="112"/>
  <c r="I164" i="112"/>
  <c r="K165" i="112"/>
  <c r="B165" i="112"/>
  <c r="E165" i="112"/>
  <c r="H165" i="112"/>
  <c r="A166" i="112"/>
  <c r="B166" i="112" l="1"/>
  <c r="E166" i="112"/>
  <c r="A167" i="112"/>
  <c r="K166" i="112"/>
  <c r="H166" i="112"/>
  <c r="I165" i="112"/>
  <c r="C165" i="112"/>
  <c r="L165" i="112"/>
  <c r="G165" i="112"/>
  <c r="F165" i="112"/>
  <c r="D165" i="112"/>
  <c r="K167" i="112" l="1"/>
  <c r="E167" i="112"/>
  <c r="B167" i="112"/>
  <c r="A168" i="112"/>
  <c r="H167" i="112"/>
  <c r="I166" i="112"/>
  <c r="F166" i="112"/>
  <c r="D166" i="112"/>
  <c r="G166" i="112"/>
  <c r="C166" i="112"/>
  <c r="L166" i="112"/>
  <c r="B168" i="112" l="1"/>
  <c r="A169" i="112"/>
  <c r="K168" i="112"/>
  <c r="E168" i="112"/>
  <c r="H168" i="112"/>
  <c r="L167" i="112"/>
  <c r="I167" i="112"/>
  <c r="F167" i="112"/>
  <c r="D167" i="112"/>
  <c r="G167" i="112"/>
  <c r="C167" i="112"/>
  <c r="A170" i="112" l="1"/>
  <c r="K169" i="112"/>
  <c r="H169" i="112"/>
  <c r="E169" i="112"/>
  <c r="B169" i="112"/>
  <c r="L168" i="112"/>
  <c r="C168" i="112"/>
  <c r="D168" i="112"/>
  <c r="G168" i="112"/>
  <c r="F168" i="112"/>
  <c r="I168" i="112"/>
  <c r="L169" i="112" l="1"/>
  <c r="F169" i="112"/>
  <c r="D169" i="112"/>
  <c r="C169" i="112"/>
  <c r="I169" i="112"/>
  <c r="G169" i="112"/>
  <c r="K170" i="112"/>
  <c r="E170" i="112"/>
  <c r="H170" i="112"/>
  <c r="B170" i="112"/>
  <c r="A171" i="112"/>
  <c r="K171" i="112" l="1"/>
  <c r="E171" i="112"/>
  <c r="H171" i="112"/>
  <c r="B171" i="112"/>
  <c r="A172" i="112"/>
  <c r="I170" i="112"/>
  <c r="G170" i="112"/>
  <c r="F170" i="112"/>
  <c r="D170" i="112"/>
  <c r="C170" i="112"/>
  <c r="L170" i="112"/>
  <c r="A173" i="112" l="1"/>
  <c r="K172" i="112"/>
  <c r="E172" i="112"/>
  <c r="H172" i="112"/>
  <c r="B172" i="112"/>
  <c r="D171" i="112"/>
  <c r="L171" i="112"/>
  <c r="I171" i="112"/>
  <c r="G171" i="112"/>
  <c r="F171" i="112"/>
  <c r="C171" i="112"/>
  <c r="I172" i="112" l="1"/>
  <c r="L172" i="112"/>
  <c r="D172" i="112"/>
  <c r="C172" i="112"/>
  <c r="F172" i="112"/>
  <c r="G172" i="112"/>
  <c r="K173" i="112"/>
  <c r="H173" i="112"/>
  <c r="E173" i="112"/>
  <c r="B173" i="112"/>
  <c r="A174" i="112"/>
  <c r="K174" i="112" l="1"/>
  <c r="A175" i="112"/>
  <c r="B174" i="112"/>
  <c r="H174" i="112"/>
  <c r="E174" i="112"/>
  <c r="D173" i="112"/>
  <c r="C173" i="112"/>
  <c r="L173" i="112"/>
  <c r="I173" i="112"/>
  <c r="G173" i="112"/>
  <c r="F173" i="112"/>
  <c r="C174" i="112" l="1"/>
  <c r="D174" i="112"/>
  <c r="L174" i="112"/>
  <c r="I174" i="112"/>
  <c r="G174" i="112"/>
  <c r="F174" i="112"/>
  <c r="A176" i="112"/>
  <c r="E175" i="112"/>
  <c r="B175" i="112"/>
  <c r="K175" i="112"/>
  <c r="H175" i="112"/>
  <c r="B176" i="112" l="1"/>
  <c r="K176" i="112"/>
  <c r="A177" i="112"/>
  <c r="E176" i="112"/>
  <c r="H176" i="112"/>
  <c r="L175" i="112"/>
  <c r="G175" i="112"/>
  <c r="F175" i="112"/>
  <c r="D175" i="112"/>
  <c r="C175" i="112"/>
  <c r="I175" i="112"/>
  <c r="K177" i="112" l="1"/>
  <c r="H177" i="112"/>
  <c r="A178" i="112"/>
  <c r="E177" i="112"/>
  <c r="B177" i="112"/>
  <c r="C176" i="112"/>
  <c r="D176" i="112"/>
  <c r="L176" i="112"/>
  <c r="G176" i="112"/>
  <c r="F176" i="112"/>
  <c r="I176" i="112"/>
  <c r="F177" i="112" l="1"/>
  <c r="C177" i="112"/>
  <c r="L177" i="112"/>
  <c r="I177" i="112"/>
  <c r="D177" i="112"/>
  <c r="G177" i="112"/>
  <c r="H178" i="112"/>
  <c r="A179" i="112"/>
  <c r="K178" i="112"/>
  <c r="E178" i="112"/>
  <c r="B178" i="112"/>
  <c r="I178" i="112" l="1"/>
  <c r="G178" i="112"/>
  <c r="F178" i="112"/>
  <c r="D178" i="112"/>
  <c r="C178" i="112"/>
  <c r="L178" i="112"/>
  <c r="K179" i="112"/>
  <c r="B179" i="112"/>
  <c r="H179" i="112"/>
  <c r="E179" i="112"/>
  <c r="A180" i="112"/>
  <c r="A181" i="112" l="1"/>
  <c r="K180" i="112"/>
  <c r="H180" i="112"/>
  <c r="B180" i="112"/>
  <c r="E180" i="112"/>
  <c r="L179" i="112"/>
  <c r="G179" i="112"/>
  <c r="I179" i="112"/>
  <c r="F179" i="112"/>
  <c r="D179" i="112"/>
  <c r="C179" i="112"/>
  <c r="L180" i="112" l="1"/>
  <c r="I180" i="112"/>
  <c r="G180" i="112"/>
  <c r="C180" i="112"/>
  <c r="D180" i="112"/>
  <c r="F180" i="112"/>
  <c r="B181" i="112"/>
  <c r="K181" i="112"/>
  <c r="A182" i="112"/>
  <c r="E181" i="112"/>
  <c r="H181" i="112"/>
  <c r="K182" i="112" l="1"/>
  <c r="A183" i="112"/>
  <c r="E182" i="112"/>
  <c r="H182" i="112"/>
  <c r="B182" i="112"/>
  <c r="D181" i="112"/>
  <c r="C181" i="112"/>
  <c r="L181" i="112"/>
  <c r="I181" i="112"/>
  <c r="F181" i="112"/>
  <c r="G181" i="112"/>
  <c r="L182" i="112" l="1"/>
  <c r="G182" i="112"/>
  <c r="F182" i="112"/>
  <c r="D182" i="112"/>
  <c r="I182" i="112"/>
  <c r="C182" i="112"/>
  <c r="H183" i="112"/>
  <c r="A184" i="112"/>
  <c r="E183" i="112"/>
  <c r="B183" i="112"/>
  <c r="K183" i="112"/>
  <c r="F183" i="112" l="1"/>
  <c r="L183" i="112"/>
  <c r="G183" i="112"/>
  <c r="D183" i="112"/>
  <c r="C183" i="112"/>
  <c r="I183" i="112"/>
  <c r="H184" i="112"/>
  <c r="A185" i="112"/>
  <c r="B184" i="112"/>
  <c r="E184" i="112"/>
  <c r="K184" i="112"/>
  <c r="A186" i="112" l="1"/>
  <c r="K185" i="112"/>
  <c r="B185" i="112"/>
  <c r="E185" i="112"/>
  <c r="H185" i="112"/>
  <c r="G184" i="112"/>
  <c r="F184" i="112"/>
  <c r="D184" i="112"/>
  <c r="L184" i="112"/>
  <c r="I184" i="112"/>
  <c r="C184" i="112"/>
  <c r="L185" i="112" l="1"/>
  <c r="G185" i="112"/>
  <c r="I185" i="112"/>
  <c r="D185" i="112"/>
  <c r="C185" i="112"/>
  <c r="F185" i="112"/>
  <c r="A187" i="112"/>
  <c r="H186" i="112"/>
  <c r="E186" i="112"/>
  <c r="B186" i="112"/>
  <c r="K186" i="112"/>
  <c r="G186" i="112" l="1"/>
  <c r="F186" i="112"/>
  <c r="D186" i="112"/>
  <c r="C186" i="112"/>
  <c r="L186" i="112"/>
  <c r="I186" i="112"/>
  <c r="E187" i="112"/>
  <c r="A188" i="112"/>
  <c r="K187" i="112"/>
  <c r="H187" i="112"/>
  <c r="B187" i="112"/>
  <c r="D187" i="112" l="1"/>
  <c r="C187" i="112"/>
  <c r="G187" i="112"/>
  <c r="I187" i="112"/>
  <c r="F187" i="112"/>
  <c r="L187" i="112"/>
  <c r="E188" i="112"/>
  <c r="A189" i="112"/>
  <c r="H188" i="112"/>
  <c r="B188" i="112"/>
  <c r="K188" i="112"/>
  <c r="G188" i="112" l="1"/>
  <c r="I188" i="112"/>
  <c r="D188" i="112"/>
  <c r="C188" i="112"/>
  <c r="L188" i="112"/>
  <c r="F188" i="112"/>
  <c r="B189" i="112"/>
  <c r="A190" i="112"/>
  <c r="K189" i="112"/>
  <c r="E189" i="112"/>
  <c r="H189" i="112"/>
  <c r="L189" i="112" l="1"/>
  <c r="F189" i="112"/>
  <c r="D189" i="112"/>
  <c r="C189" i="112"/>
  <c r="G189" i="112"/>
  <c r="I189" i="112"/>
  <c r="B190" i="112"/>
  <c r="A191" i="112"/>
  <c r="H190" i="112"/>
  <c r="K190" i="112"/>
  <c r="E190" i="112"/>
  <c r="K191" i="112" l="1"/>
  <c r="A192" i="112"/>
  <c r="H191" i="112"/>
  <c r="E191" i="112"/>
  <c r="B191" i="112"/>
  <c r="L190" i="112"/>
  <c r="G190" i="112"/>
  <c r="D190" i="112"/>
  <c r="F190" i="112"/>
  <c r="C190" i="112"/>
  <c r="I190" i="112"/>
  <c r="I191" i="112" l="1"/>
  <c r="L191" i="112"/>
  <c r="G191" i="112"/>
  <c r="F191" i="112"/>
  <c r="D191" i="112"/>
  <c r="C191" i="112"/>
  <c r="K192" i="112"/>
  <c r="B192" i="112"/>
  <c r="A193" i="112"/>
  <c r="H192" i="112"/>
  <c r="E192" i="112"/>
  <c r="E193" i="112" l="1"/>
  <c r="B193" i="112"/>
  <c r="H193" i="112"/>
  <c r="K193" i="112"/>
  <c r="A194" i="112"/>
  <c r="L192" i="112"/>
  <c r="C192" i="112"/>
  <c r="I192" i="112"/>
  <c r="G192" i="112"/>
  <c r="F192" i="112"/>
  <c r="D192" i="112"/>
  <c r="F193" i="112" l="1"/>
  <c r="D193" i="112"/>
  <c r="I193" i="112"/>
  <c r="L193" i="112"/>
  <c r="C193" i="112"/>
  <c r="G193" i="112"/>
  <c r="E194" i="112"/>
  <c r="A195" i="112"/>
  <c r="K194" i="112"/>
  <c r="H194" i="112"/>
  <c r="B194" i="112"/>
  <c r="D194" i="112" l="1"/>
  <c r="L194" i="112"/>
  <c r="I194" i="112"/>
  <c r="F194" i="112"/>
  <c r="G194" i="112"/>
  <c r="C194" i="112"/>
  <c r="K195" i="112"/>
  <c r="H195" i="112"/>
  <c r="B195" i="112"/>
  <c r="E195" i="112"/>
  <c r="A196" i="112"/>
  <c r="I195" i="112" l="1"/>
  <c r="G195" i="112"/>
  <c r="L195" i="112"/>
  <c r="F195" i="112"/>
  <c r="D195" i="112"/>
  <c r="C195" i="112"/>
  <c r="A197" i="112"/>
  <c r="B196" i="112"/>
  <c r="K196" i="112"/>
  <c r="H196" i="112"/>
  <c r="E196" i="112"/>
  <c r="A198" i="112" l="1"/>
  <c r="B197" i="112"/>
  <c r="H197" i="112"/>
  <c r="E197" i="112"/>
  <c r="K197" i="112"/>
  <c r="I196" i="112"/>
  <c r="F196" i="112"/>
  <c r="L196" i="112"/>
  <c r="G196" i="112"/>
  <c r="C196" i="112"/>
  <c r="D196" i="112"/>
  <c r="L197" i="112" l="1"/>
  <c r="I197" i="112"/>
  <c r="D197" i="112"/>
  <c r="G197" i="112"/>
  <c r="F197" i="112"/>
  <c r="C197" i="112"/>
  <c r="E198" i="112"/>
  <c r="H198" i="112"/>
  <c r="B198" i="112"/>
  <c r="A199" i="112"/>
  <c r="K198" i="112"/>
  <c r="B14" i="109"/>
  <c r="H199" i="112" l="1"/>
  <c r="E199" i="112"/>
  <c r="B199" i="112"/>
  <c r="K199" i="112"/>
  <c r="A200" i="112"/>
  <c r="C198" i="112"/>
  <c r="G198" i="112"/>
  <c r="F198" i="112"/>
  <c r="L198" i="112"/>
  <c r="I198" i="112"/>
  <c r="D198" i="112"/>
  <c r="B5" i="109"/>
  <c r="H30" i="109"/>
  <c r="L1" i="109"/>
  <c r="G199" i="112" l="1"/>
  <c r="L199" i="112"/>
  <c r="F199" i="112"/>
  <c r="D199" i="112"/>
  <c r="I199" i="112"/>
  <c r="C199" i="112"/>
  <c r="K200" i="112"/>
  <c r="H200" i="112"/>
  <c r="A201" i="112"/>
  <c r="E200" i="112"/>
  <c r="B200" i="112"/>
  <c r="AB14" i="109"/>
  <c r="AB25" i="109"/>
  <c r="AB26" i="109"/>
  <c r="AB3" i="109"/>
  <c r="AB16" i="109"/>
  <c r="AB10" i="109"/>
  <c r="AB9" i="109"/>
  <c r="AB22" i="109"/>
  <c r="AB21" i="109"/>
  <c r="AB24" i="109"/>
  <c r="AB5" i="109"/>
  <c r="AB27" i="109"/>
  <c r="AB15" i="109"/>
  <c r="AB28" i="109"/>
  <c r="AB6" i="109"/>
  <c r="AB11" i="109"/>
  <c r="AB12" i="109"/>
  <c r="AB19" i="109"/>
  <c r="AB8" i="109"/>
  <c r="AB18" i="109"/>
  <c r="AB23" i="109"/>
  <c r="AB17" i="109"/>
  <c r="AB4" i="109"/>
  <c r="AB20" i="109"/>
  <c r="P35" i="109"/>
  <c r="Q35" i="109" s="1"/>
  <c r="L200" i="112" l="1"/>
  <c r="I200" i="112"/>
  <c r="G200" i="112"/>
  <c r="C200" i="112"/>
  <c r="D200" i="112"/>
  <c r="F200" i="112"/>
  <c r="E201" i="112"/>
  <c r="B201" i="112"/>
  <c r="A202" i="112"/>
  <c r="H201" i="112"/>
  <c r="P37" i="109"/>
  <c r="Q37" i="109" s="1"/>
  <c r="P51" i="109"/>
  <c r="Q51" i="109" s="1"/>
  <c r="P14" i="109"/>
  <c r="Q14" i="109" s="1"/>
  <c r="P4" i="109"/>
  <c r="Q4" i="109" s="1"/>
  <c r="P43" i="109"/>
  <c r="Q43" i="109" s="1"/>
  <c r="P6" i="109"/>
  <c r="Q6" i="109" s="1"/>
  <c r="P32" i="109"/>
  <c r="Q32" i="109" s="1"/>
  <c r="P20" i="109"/>
  <c r="Q20" i="109" s="1"/>
  <c r="P34" i="109"/>
  <c r="Q34" i="109" s="1"/>
  <c r="P48" i="109"/>
  <c r="Q48" i="109" s="1"/>
  <c r="P55" i="109"/>
  <c r="Q55" i="109" s="1"/>
  <c r="P17" i="109"/>
  <c r="Q17" i="109" s="1"/>
  <c r="P5" i="109"/>
  <c r="Q5" i="109" s="1"/>
  <c r="P50" i="109"/>
  <c r="Q50" i="109" s="1"/>
  <c r="P8" i="109"/>
  <c r="Q8" i="109" s="1"/>
  <c r="P9" i="109"/>
  <c r="Q9" i="109" s="1"/>
  <c r="P19" i="109"/>
  <c r="Q19" i="109" s="1"/>
  <c r="P21" i="109"/>
  <c r="Q21" i="109" s="1"/>
  <c r="P7" i="109"/>
  <c r="Q7" i="109" s="1"/>
  <c r="P31" i="109"/>
  <c r="Q31" i="109" s="1"/>
  <c r="P18" i="109"/>
  <c r="Q18" i="109" s="1"/>
  <c r="P41" i="109"/>
  <c r="Q41" i="109" s="1"/>
  <c r="P30" i="109"/>
  <c r="Q30" i="109" s="1"/>
  <c r="P49" i="109"/>
  <c r="Q49" i="109" s="1"/>
  <c r="P38" i="109"/>
  <c r="Q38" i="109" s="1"/>
  <c r="P42" i="109"/>
  <c r="Q42" i="109" s="1"/>
  <c r="P52" i="109"/>
  <c r="Q52" i="109" s="1"/>
  <c r="P3" i="109"/>
  <c r="Q3" i="109" s="1"/>
  <c r="P45" i="109"/>
  <c r="Q45" i="109" s="1"/>
  <c r="P29" i="109"/>
  <c r="Q29" i="109" s="1"/>
  <c r="P13" i="109"/>
  <c r="Q13" i="109" s="1"/>
  <c r="P26" i="109"/>
  <c r="Q26" i="109" s="1"/>
  <c r="P25" i="109"/>
  <c r="Q25" i="109" s="1"/>
  <c r="P10" i="109"/>
  <c r="Q10" i="109" s="1"/>
  <c r="P46" i="109"/>
  <c r="Q46" i="109" s="1"/>
  <c r="P54" i="109"/>
  <c r="Q54" i="109" s="1"/>
  <c r="AB7" i="109"/>
  <c r="P40" i="109"/>
  <c r="Q40" i="109" s="1"/>
  <c r="P39" i="109"/>
  <c r="Q39" i="109" s="1"/>
  <c r="P12" i="109"/>
  <c r="Q12" i="109" s="1"/>
  <c r="P16" i="109"/>
  <c r="Q16" i="109" s="1"/>
  <c r="P33" i="109"/>
  <c r="Q33" i="109" s="1"/>
  <c r="P53" i="109"/>
  <c r="Q53" i="109" s="1"/>
  <c r="AB13" i="109"/>
  <c r="P27" i="109"/>
  <c r="Q27" i="109" s="1"/>
  <c r="P11" i="109"/>
  <c r="Q11" i="109" s="1"/>
  <c r="P47" i="109"/>
  <c r="Q47" i="109" s="1"/>
  <c r="P36" i="109"/>
  <c r="Q36" i="109" s="1"/>
  <c r="P28" i="109"/>
  <c r="Q28" i="109" s="1"/>
  <c r="P22" i="109"/>
  <c r="Q22" i="109" s="1"/>
  <c r="P44" i="109"/>
  <c r="Q44" i="109" s="1"/>
  <c r="P419" i="109"/>
  <c r="Q419" i="109" s="1"/>
  <c r="P387" i="109"/>
  <c r="Q387" i="109" s="1"/>
  <c r="P355" i="109"/>
  <c r="Q355" i="109" s="1"/>
  <c r="P323" i="109"/>
  <c r="Q323" i="109" s="1"/>
  <c r="P291" i="109"/>
  <c r="Q291" i="109" s="1"/>
  <c r="P259" i="109"/>
  <c r="Q259" i="109" s="1"/>
  <c r="P227" i="109"/>
  <c r="Q227" i="109" s="1"/>
  <c r="P195" i="109"/>
  <c r="Q195" i="109" s="1"/>
  <c r="P163" i="109"/>
  <c r="Q163" i="109" s="1"/>
  <c r="P945" i="109"/>
  <c r="Q945" i="109" s="1"/>
  <c r="P929" i="109"/>
  <c r="Q929" i="109" s="1"/>
  <c r="P913" i="109"/>
  <c r="Q913" i="109" s="1"/>
  <c r="P897" i="109"/>
  <c r="Q897" i="109" s="1"/>
  <c r="P881" i="109"/>
  <c r="Q881" i="109" s="1"/>
  <c r="P865" i="109"/>
  <c r="Q865" i="109" s="1"/>
  <c r="P849" i="109"/>
  <c r="Q849" i="109" s="1"/>
  <c r="P833" i="109"/>
  <c r="Q833" i="109" s="1"/>
  <c r="P817" i="109"/>
  <c r="Q817" i="109" s="1"/>
  <c r="P801" i="109"/>
  <c r="Q801" i="109" s="1"/>
  <c r="P785" i="109"/>
  <c r="Q785" i="109" s="1"/>
  <c r="P769" i="109"/>
  <c r="Q769" i="109" s="1"/>
  <c r="P753" i="109"/>
  <c r="Q753" i="109" s="1"/>
  <c r="P737" i="109"/>
  <c r="Q737" i="109" s="1"/>
  <c r="P721" i="109"/>
  <c r="Q721" i="109" s="1"/>
  <c r="P705" i="109"/>
  <c r="Q705" i="109" s="1"/>
  <c r="P689" i="109"/>
  <c r="Q689" i="109" s="1"/>
  <c r="P673" i="109"/>
  <c r="Q673" i="109" s="1"/>
  <c r="P397" i="109"/>
  <c r="Q397" i="109" s="1"/>
  <c r="P365" i="109"/>
  <c r="Q365" i="109" s="1"/>
  <c r="P333" i="109"/>
  <c r="Q333" i="109" s="1"/>
  <c r="P301" i="109"/>
  <c r="Q301" i="109" s="1"/>
  <c r="P269" i="109"/>
  <c r="Q269" i="109" s="1"/>
  <c r="P237" i="109"/>
  <c r="Q237" i="109" s="1"/>
  <c r="P205" i="109"/>
  <c r="Q205" i="109" s="1"/>
  <c r="P173" i="109"/>
  <c r="Q173" i="109" s="1"/>
  <c r="P141" i="109"/>
  <c r="Q141" i="109" s="1"/>
  <c r="P105" i="109"/>
  <c r="Q105" i="109" s="1"/>
  <c r="P89" i="109"/>
  <c r="Q89" i="109" s="1"/>
  <c r="P73" i="109"/>
  <c r="Q73" i="109" s="1"/>
  <c r="P57" i="109"/>
  <c r="Q57" i="109" s="1"/>
  <c r="P944" i="109"/>
  <c r="Q944" i="109" s="1"/>
  <c r="P928" i="109"/>
  <c r="Q928" i="109" s="1"/>
  <c r="P912" i="109"/>
  <c r="Q912" i="109" s="1"/>
  <c r="P896" i="109"/>
  <c r="Q896" i="109" s="1"/>
  <c r="P880" i="109"/>
  <c r="Q880" i="109" s="1"/>
  <c r="P864" i="109"/>
  <c r="Q864" i="109" s="1"/>
  <c r="P848" i="109"/>
  <c r="Q848" i="109" s="1"/>
  <c r="P832" i="109"/>
  <c r="Q832" i="109" s="1"/>
  <c r="P816" i="109"/>
  <c r="Q816" i="109" s="1"/>
  <c r="P800" i="109"/>
  <c r="Q800" i="109" s="1"/>
  <c r="P784" i="109"/>
  <c r="Q784" i="109" s="1"/>
  <c r="P768" i="109"/>
  <c r="Q768" i="109" s="1"/>
  <c r="P752" i="109"/>
  <c r="Q752" i="109" s="1"/>
  <c r="P736" i="109"/>
  <c r="Q736" i="109" s="1"/>
  <c r="P720" i="109"/>
  <c r="Q720" i="109" s="1"/>
  <c r="P704" i="109"/>
  <c r="Q704" i="109" s="1"/>
  <c r="P688" i="109"/>
  <c r="Q688" i="109" s="1"/>
  <c r="P672" i="109"/>
  <c r="Q672" i="109" s="1"/>
  <c r="P656" i="109"/>
  <c r="Q656" i="109" s="1"/>
  <c r="P640" i="109"/>
  <c r="Q640" i="109" s="1"/>
  <c r="P624" i="109"/>
  <c r="Q624" i="109" s="1"/>
  <c r="P608" i="109"/>
  <c r="Q608" i="109" s="1"/>
  <c r="P592" i="109"/>
  <c r="Q592" i="109" s="1"/>
  <c r="P576" i="109"/>
  <c r="Q576" i="109" s="1"/>
  <c r="P560" i="109"/>
  <c r="Q560" i="109" s="1"/>
  <c r="P544" i="109"/>
  <c r="Q544" i="109" s="1"/>
  <c r="P528" i="109"/>
  <c r="Q528" i="109" s="1"/>
  <c r="P512" i="109"/>
  <c r="Q512" i="109" s="1"/>
  <c r="P496" i="109"/>
  <c r="Q496" i="109" s="1"/>
  <c r="P407" i="109"/>
  <c r="Q407" i="109" s="1"/>
  <c r="P375" i="109"/>
  <c r="Q375" i="109" s="1"/>
  <c r="P343" i="109"/>
  <c r="Q343" i="109" s="1"/>
  <c r="P311" i="109"/>
  <c r="Q311" i="109" s="1"/>
  <c r="P279" i="109"/>
  <c r="Q279" i="109" s="1"/>
  <c r="P247" i="109"/>
  <c r="Q247" i="109" s="1"/>
  <c r="P215" i="109"/>
  <c r="Q215" i="109" s="1"/>
  <c r="P183" i="109"/>
  <c r="Q183" i="109" s="1"/>
  <c r="P151" i="109"/>
  <c r="Q151" i="109" s="1"/>
  <c r="P119" i="109"/>
  <c r="Q119" i="109" s="1"/>
  <c r="P108" i="109"/>
  <c r="Q108" i="109" s="1"/>
  <c r="P92" i="109"/>
  <c r="Q92" i="109" s="1"/>
  <c r="P76" i="109"/>
  <c r="Q76" i="109" s="1"/>
  <c r="P60" i="109"/>
  <c r="Q60" i="109" s="1"/>
  <c r="P943" i="109"/>
  <c r="Q943" i="109" s="1"/>
  <c r="P927" i="109"/>
  <c r="Q927" i="109" s="1"/>
  <c r="P911" i="109"/>
  <c r="Q911" i="109" s="1"/>
  <c r="P895" i="109"/>
  <c r="Q895" i="109" s="1"/>
  <c r="P879" i="109"/>
  <c r="Q879" i="109" s="1"/>
  <c r="P863" i="109"/>
  <c r="Q863" i="109" s="1"/>
  <c r="P847" i="109"/>
  <c r="Q847" i="109" s="1"/>
  <c r="P831" i="109"/>
  <c r="Q831" i="109" s="1"/>
  <c r="P815" i="109"/>
  <c r="Q815" i="109" s="1"/>
  <c r="P799" i="109"/>
  <c r="Q799" i="109" s="1"/>
  <c r="P783" i="109"/>
  <c r="Q783" i="109" s="1"/>
  <c r="P767" i="109"/>
  <c r="Q767" i="109" s="1"/>
  <c r="P417" i="109"/>
  <c r="Q417" i="109" s="1"/>
  <c r="P385" i="109"/>
  <c r="Q385" i="109" s="1"/>
  <c r="P353" i="109"/>
  <c r="Q353" i="109" s="1"/>
  <c r="P321" i="109"/>
  <c r="Q321" i="109" s="1"/>
  <c r="P289" i="109"/>
  <c r="Q289" i="109" s="1"/>
  <c r="P942" i="109"/>
  <c r="Q942" i="109" s="1"/>
  <c r="P926" i="109"/>
  <c r="Q926" i="109" s="1"/>
  <c r="P910" i="109"/>
  <c r="Q910" i="109" s="1"/>
  <c r="P894" i="109"/>
  <c r="Q894" i="109" s="1"/>
  <c r="P878" i="109"/>
  <c r="Q878" i="109" s="1"/>
  <c r="P862" i="109"/>
  <c r="Q862" i="109" s="1"/>
  <c r="P846" i="109"/>
  <c r="Q846" i="109" s="1"/>
  <c r="P830" i="109"/>
  <c r="Q830" i="109" s="1"/>
  <c r="P814" i="109"/>
  <c r="Q814" i="109" s="1"/>
  <c r="P798" i="109"/>
  <c r="Q798" i="109" s="1"/>
  <c r="P782" i="109"/>
  <c r="Q782" i="109" s="1"/>
  <c r="P395" i="109"/>
  <c r="Q395" i="109" s="1"/>
  <c r="P941" i="109"/>
  <c r="Q941" i="109" s="1"/>
  <c r="P925" i="109"/>
  <c r="Q925" i="109" s="1"/>
  <c r="P909" i="109"/>
  <c r="Q909" i="109" s="1"/>
  <c r="P893" i="109"/>
  <c r="Q893" i="109" s="1"/>
  <c r="P877" i="109"/>
  <c r="Q877" i="109" s="1"/>
  <c r="P861" i="109"/>
  <c r="Q861" i="109" s="1"/>
  <c r="P845" i="109"/>
  <c r="Q845" i="109" s="1"/>
  <c r="P829" i="109"/>
  <c r="Q829" i="109" s="1"/>
  <c r="P813" i="109"/>
  <c r="Q813" i="109" s="1"/>
  <c r="P797" i="109"/>
  <c r="Q797" i="109" s="1"/>
  <c r="P781" i="109"/>
  <c r="Q781" i="109" s="1"/>
  <c r="P765" i="109"/>
  <c r="Q765" i="109" s="1"/>
  <c r="P749" i="109"/>
  <c r="Q749" i="109" s="1"/>
  <c r="P405" i="109"/>
  <c r="Q405" i="109" s="1"/>
  <c r="P373" i="109"/>
  <c r="Q373" i="109" s="1"/>
  <c r="P940" i="109"/>
  <c r="Q940" i="109" s="1"/>
  <c r="P924" i="109"/>
  <c r="Q924" i="109" s="1"/>
  <c r="P908" i="109"/>
  <c r="Q908" i="109" s="1"/>
  <c r="P892" i="109"/>
  <c r="Q892" i="109" s="1"/>
  <c r="P876" i="109"/>
  <c r="Q876" i="109" s="1"/>
  <c r="P415" i="109"/>
  <c r="Q415" i="109" s="1"/>
  <c r="P939" i="109"/>
  <c r="Q939" i="109" s="1"/>
  <c r="P938" i="109"/>
  <c r="Q938" i="109" s="1"/>
  <c r="P922" i="109"/>
  <c r="Q922" i="109" s="1"/>
  <c r="P906" i="109"/>
  <c r="Q906" i="109" s="1"/>
  <c r="P890" i="109"/>
  <c r="Q890" i="109" s="1"/>
  <c r="P874" i="109"/>
  <c r="Q874" i="109" s="1"/>
  <c r="P858" i="109"/>
  <c r="Q858" i="109" s="1"/>
  <c r="P842" i="109"/>
  <c r="Q842" i="109" s="1"/>
  <c r="P826" i="109"/>
  <c r="Q826" i="109" s="1"/>
  <c r="P810" i="109"/>
  <c r="Q810" i="109" s="1"/>
  <c r="P794" i="109"/>
  <c r="Q794" i="109" s="1"/>
  <c r="P778" i="109"/>
  <c r="Q778" i="109" s="1"/>
  <c r="P403" i="109"/>
  <c r="Q403" i="109" s="1"/>
  <c r="P371" i="109"/>
  <c r="Q371" i="109" s="1"/>
  <c r="P339" i="109"/>
  <c r="Q339" i="109" s="1"/>
  <c r="P307" i="109"/>
  <c r="Q307" i="109" s="1"/>
  <c r="P937" i="109"/>
  <c r="Q937" i="109" s="1"/>
  <c r="P921" i="109"/>
  <c r="Q921" i="109" s="1"/>
  <c r="P905" i="109"/>
  <c r="Q905" i="109" s="1"/>
  <c r="P889" i="109"/>
  <c r="Q889" i="109" s="1"/>
  <c r="P873" i="109"/>
  <c r="Q873" i="109" s="1"/>
  <c r="P857" i="109"/>
  <c r="Q857" i="109" s="1"/>
  <c r="P841" i="109"/>
  <c r="Q841" i="109" s="1"/>
  <c r="P825" i="109"/>
  <c r="Q825" i="109" s="1"/>
  <c r="P809" i="109"/>
  <c r="Q809" i="109" s="1"/>
  <c r="P793" i="109"/>
  <c r="Q793" i="109" s="1"/>
  <c r="P777" i="109"/>
  <c r="Q777" i="109" s="1"/>
  <c r="P761" i="109"/>
  <c r="Q761" i="109" s="1"/>
  <c r="P745" i="109"/>
  <c r="Q745" i="109" s="1"/>
  <c r="P729" i="109"/>
  <c r="Q729" i="109" s="1"/>
  <c r="P713" i="109"/>
  <c r="Q713" i="109" s="1"/>
  <c r="P413" i="109"/>
  <c r="Q413" i="109" s="1"/>
  <c r="P381" i="109"/>
  <c r="Q381" i="109" s="1"/>
  <c r="P349" i="109"/>
  <c r="Q349" i="109" s="1"/>
  <c r="P317" i="109"/>
  <c r="Q317" i="109" s="1"/>
  <c r="P285" i="109"/>
  <c r="Q285" i="109" s="1"/>
  <c r="P253" i="109"/>
  <c r="Q253" i="109" s="1"/>
  <c r="P221" i="109"/>
  <c r="Q221" i="109" s="1"/>
  <c r="P936" i="109"/>
  <c r="Q936" i="109" s="1"/>
  <c r="P920" i="109"/>
  <c r="Q920" i="109" s="1"/>
  <c r="P904" i="109"/>
  <c r="Q904" i="109" s="1"/>
  <c r="P888" i="109"/>
  <c r="Q888" i="109" s="1"/>
  <c r="P872" i="109"/>
  <c r="Q872" i="109" s="1"/>
  <c r="P856" i="109"/>
  <c r="Q856" i="109" s="1"/>
  <c r="P840" i="109"/>
  <c r="Q840" i="109" s="1"/>
  <c r="P824" i="109"/>
  <c r="Q824" i="109" s="1"/>
  <c r="P391" i="109"/>
  <c r="Q391" i="109" s="1"/>
  <c r="P935" i="109"/>
  <c r="Q935" i="109" s="1"/>
  <c r="P919" i="109"/>
  <c r="Q919" i="109" s="1"/>
  <c r="P903" i="109"/>
  <c r="Q903" i="109" s="1"/>
  <c r="P887" i="109"/>
  <c r="Q887" i="109" s="1"/>
  <c r="P871" i="109"/>
  <c r="Q871" i="109" s="1"/>
  <c r="P855" i="109"/>
  <c r="Q855" i="109" s="1"/>
  <c r="P839" i="109"/>
  <c r="Q839" i="109" s="1"/>
  <c r="P823" i="109"/>
  <c r="Q823" i="109" s="1"/>
  <c r="P807" i="109"/>
  <c r="Q807" i="109" s="1"/>
  <c r="P932" i="109"/>
  <c r="Q932" i="109" s="1"/>
  <c r="P916" i="109"/>
  <c r="Q916" i="109" s="1"/>
  <c r="P900" i="109"/>
  <c r="Q900" i="109" s="1"/>
  <c r="P884" i="109"/>
  <c r="Q884" i="109" s="1"/>
  <c r="P868" i="109"/>
  <c r="Q868" i="109" s="1"/>
  <c r="P852" i="109"/>
  <c r="Q852" i="109" s="1"/>
  <c r="P836" i="109"/>
  <c r="Q836" i="109" s="1"/>
  <c r="P399" i="109"/>
  <c r="Q399" i="109" s="1"/>
  <c r="P367" i="109"/>
  <c r="Q367" i="109" s="1"/>
  <c r="P930" i="109"/>
  <c r="Q930" i="109" s="1"/>
  <c r="P914" i="109"/>
  <c r="Q914" i="109" s="1"/>
  <c r="P860" i="109"/>
  <c r="Q860" i="109" s="1"/>
  <c r="P804" i="109"/>
  <c r="Q804" i="109" s="1"/>
  <c r="P758" i="109"/>
  <c r="Q758" i="109" s="1"/>
  <c r="P724" i="109"/>
  <c r="Q724" i="109" s="1"/>
  <c r="P692" i="109"/>
  <c r="Q692" i="109" s="1"/>
  <c r="P661" i="109"/>
  <c r="Q661" i="109" s="1"/>
  <c r="P631" i="109"/>
  <c r="Q631" i="109" s="1"/>
  <c r="P603" i="109"/>
  <c r="Q603" i="109" s="1"/>
  <c r="P575" i="109"/>
  <c r="Q575" i="109" s="1"/>
  <c r="P548" i="109"/>
  <c r="Q548" i="109" s="1"/>
  <c r="P518" i="109"/>
  <c r="Q518" i="109" s="1"/>
  <c r="P489" i="109"/>
  <c r="Q489" i="109" s="1"/>
  <c r="P463" i="109"/>
  <c r="Q463" i="109" s="1"/>
  <c r="P934" i="109"/>
  <c r="Q934" i="109" s="1"/>
  <c r="P859" i="109"/>
  <c r="Q859" i="109" s="1"/>
  <c r="P803" i="109"/>
  <c r="Q803" i="109" s="1"/>
  <c r="P723" i="109"/>
  <c r="Q723" i="109" s="1"/>
  <c r="P691" i="109"/>
  <c r="Q691" i="109" s="1"/>
  <c r="P802" i="109"/>
  <c r="Q802" i="109" s="1"/>
  <c r="P757" i="109"/>
  <c r="Q757" i="109" s="1"/>
  <c r="P722" i="109"/>
  <c r="Q722" i="109" s="1"/>
  <c r="P690" i="109"/>
  <c r="Q690" i="109" s="1"/>
  <c r="P660" i="109"/>
  <c r="Q660" i="109" s="1"/>
  <c r="P630" i="109"/>
  <c r="Q630" i="109" s="1"/>
  <c r="P601" i="109"/>
  <c r="Q601" i="109" s="1"/>
  <c r="P573" i="109"/>
  <c r="Q573" i="109" s="1"/>
  <c r="P546" i="109"/>
  <c r="Q546" i="109" s="1"/>
  <c r="P517" i="109"/>
  <c r="Q517" i="109" s="1"/>
  <c r="P933" i="109"/>
  <c r="Q933" i="109" s="1"/>
  <c r="P854" i="109"/>
  <c r="Q854" i="109" s="1"/>
  <c r="P931" i="109"/>
  <c r="Q931" i="109" s="1"/>
  <c r="P795" i="109"/>
  <c r="Q795" i="109" s="1"/>
  <c r="P923" i="109"/>
  <c r="Q923" i="109" s="1"/>
  <c r="P853" i="109"/>
  <c r="Q853" i="109" s="1"/>
  <c r="P792" i="109"/>
  <c r="Q792" i="109" s="1"/>
  <c r="P851" i="109"/>
  <c r="Q851" i="109" s="1"/>
  <c r="P791" i="109"/>
  <c r="Q791" i="109" s="1"/>
  <c r="P751" i="109"/>
  <c r="Q751" i="109" s="1"/>
  <c r="P716" i="109"/>
  <c r="Q716" i="109" s="1"/>
  <c r="P684" i="109"/>
  <c r="Q684" i="109" s="1"/>
  <c r="P655" i="109"/>
  <c r="Q655" i="109" s="1"/>
  <c r="P628" i="109"/>
  <c r="Q628" i="109" s="1"/>
  <c r="P598" i="109"/>
  <c r="Q598" i="109" s="1"/>
  <c r="P569" i="109"/>
  <c r="Q569" i="109" s="1"/>
  <c r="P541" i="109"/>
  <c r="Q541" i="109" s="1"/>
  <c r="P514" i="109"/>
  <c r="Q514" i="109" s="1"/>
  <c r="P485" i="109"/>
  <c r="Q485" i="109" s="1"/>
  <c r="P457" i="109"/>
  <c r="Q457" i="109" s="1"/>
  <c r="P431" i="109"/>
  <c r="Q431" i="109" s="1"/>
  <c r="P393" i="109"/>
  <c r="Q393" i="109" s="1"/>
  <c r="P363" i="109"/>
  <c r="Q363" i="109" s="1"/>
  <c r="P337" i="109"/>
  <c r="Q337" i="109" s="1"/>
  <c r="P248" i="109"/>
  <c r="Q248" i="109" s="1"/>
  <c r="P199" i="109"/>
  <c r="Q199" i="109" s="1"/>
  <c r="P164" i="109"/>
  <c r="Q164" i="109" s="1"/>
  <c r="P152" i="109"/>
  <c r="Q152" i="109" s="1"/>
  <c r="P117" i="109"/>
  <c r="Q117" i="109" s="1"/>
  <c r="P100" i="109"/>
  <c r="Q100" i="109" s="1"/>
  <c r="P918" i="109"/>
  <c r="Q918" i="109" s="1"/>
  <c r="P850" i="109"/>
  <c r="Q850" i="109" s="1"/>
  <c r="P750" i="109"/>
  <c r="Q750" i="109" s="1"/>
  <c r="P715" i="109"/>
  <c r="Q715" i="109" s="1"/>
  <c r="P683" i="109"/>
  <c r="Q683" i="109" s="1"/>
  <c r="P654" i="109"/>
  <c r="Q654" i="109" s="1"/>
  <c r="P627" i="109"/>
  <c r="Q627" i="109" s="1"/>
  <c r="P568" i="109"/>
  <c r="Q568" i="109" s="1"/>
  <c r="P540" i="109"/>
  <c r="Q540" i="109" s="1"/>
  <c r="P513" i="109"/>
  <c r="Q513" i="109" s="1"/>
  <c r="P456" i="109"/>
  <c r="Q456" i="109" s="1"/>
  <c r="P430" i="109"/>
  <c r="Q430" i="109" s="1"/>
  <c r="P410" i="109"/>
  <c r="Q410" i="109" s="1"/>
  <c r="P378" i="109"/>
  <c r="Q378" i="109" s="1"/>
  <c r="P350" i="109"/>
  <c r="Q350" i="109" s="1"/>
  <c r="P324" i="109"/>
  <c r="Q324" i="109" s="1"/>
  <c r="P310" i="109"/>
  <c r="Q310" i="109" s="1"/>
  <c r="P284" i="109"/>
  <c r="Q284" i="109" s="1"/>
  <c r="P272" i="109"/>
  <c r="Q272" i="109" s="1"/>
  <c r="P844" i="109"/>
  <c r="Q844" i="109" s="1"/>
  <c r="P790" i="109"/>
  <c r="Q790" i="109" s="1"/>
  <c r="P748" i="109"/>
  <c r="Q748" i="109" s="1"/>
  <c r="P714" i="109"/>
  <c r="Q714" i="109" s="1"/>
  <c r="P682" i="109"/>
  <c r="Q682" i="109" s="1"/>
  <c r="P653" i="109"/>
  <c r="Q653" i="109" s="1"/>
  <c r="P626" i="109"/>
  <c r="Q626" i="109" s="1"/>
  <c r="P597" i="109"/>
  <c r="Q597" i="109" s="1"/>
  <c r="P567" i="109"/>
  <c r="Q567" i="109" s="1"/>
  <c r="P539" i="109"/>
  <c r="Q539" i="109" s="1"/>
  <c r="P511" i="109"/>
  <c r="Q511" i="109" s="1"/>
  <c r="P484" i="109"/>
  <c r="Q484" i="109" s="1"/>
  <c r="P455" i="109"/>
  <c r="Q455" i="109" s="1"/>
  <c r="P429" i="109"/>
  <c r="Q429" i="109" s="1"/>
  <c r="P392" i="109"/>
  <c r="Q392" i="109" s="1"/>
  <c r="P297" i="109"/>
  <c r="Q297" i="109" s="1"/>
  <c r="P917" i="109"/>
  <c r="Q917" i="109" s="1"/>
  <c r="P843" i="109"/>
  <c r="Q843" i="109" s="1"/>
  <c r="P747" i="109"/>
  <c r="Q747" i="109" s="1"/>
  <c r="P712" i="109"/>
  <c r="Q712" i="109" s="1"/>
  <c r="P681" i="109"/>
  <c r="Q681" i="109" s="1"/>
  <c r="P652" i="109"/>
  <c r="Q652" i="109" s="1"/>
  <c r="P625" i="109"/>
  <c r="Q625" i="109" s="1"/>
  <c r="P538" i="109"/>
  <c r="Q538" i="109" s="1"/>
  <c r="P510" i="109"/>
  <c r="Q510" i="109" s="1"/>
  <c r="P483" i="109"/>
  <c r="Q483" i="109" s="1"/>
  <c r="P428" i="109"/>
  <c r="Q428" i="109" s="1"/>
  <c r="P409" i="109"/>
  <c r="Q409" i="109" s="1"/>
  <c r="P377" i="109"/>
  <c r="Q377" i="109" s="1"/>
  <c r="P362" i="109"/>
  <c r="Q362" i="109" s="1"/>
  <c r="P336" i="109"/>
  <c r="Q336" i="109" s="1"/>
  <c r="P210" i="109"/>
  <c r="Q210" i="109" s="1"/>
  <c r="P198" i="109"/>
  <c r="Q198" i="109" s="1"/>
  <c r="P915" i="109"/>
  <c r="Q915" i="109" s="1"/>
  <c r="P789" i="109"/>
  <c r="Q789" i="109" s="1"/>
  <c r="P746" i="109"/>
  <c r="Q746" i="109" s="1"/>
  <c r="P711" i="109"/>
  <c r="Q711" i="109" s="1"/>
  <c r="P680" i="109"/>
  <c r="Q680" i="109" s="1"/>
  <c r="P651" i="109"/>
  <c r="Q651" i="109" s="1"/>
  <c r="P623" i="109"/>
  <c r="Q623" i="109" s="1"/>
  <c r="P596" i="109"/>
  <c r="Q596" i="109" s="1"/>
  <c r="P566" i="109"/>
  <c r="Q566" i="109" s="1"/>
  <c r="P537" i="109"/>
  <c r="Q537" i="109" s="1"/>
  <c r="P509" i="109"/>
  <c r="Q509" i="109" s="1"/>
  <c r="P482" i="109"/>
  <c r="Q482" i="109" s="1"/>
  <c r="P454" i="109"/>
  <c r="Q454" i="109" s="1"/>
  <c r="P427" i="109"/>
  <c r="Q427" i="109" s="1"/>
  <c r="P309" i="109"/>
  <c r="Q309" i="109" s="1"/>
  <c r="P296" i="109"/>
  <c r="Q296" i="109" s="1"/>
  <c r="P283" i="109"/>
  <c r="Q283" i="109" s="1"/>
  <c r="P271" i="109"/>
  <c r="Q271" i="109" s="1"/>
  <c r="P246" i="109"/>
  <c r="Q246" i="109" s="1"/>
  <c r="P907" i="109"/>
  <c r="Q907" i="109" s="1"/>
  <c r="P838" i="109"/>
  <c r="Q838" i="109" s="1"/>
  <c r="P788" i="109"/>
  <c r="Q788" i="109" s="1"/>
  <c r="P744" i="109"/>
  <c r="Q744" i="109" s="1"/>
  <c r="P679" i="109"/>
  <c r="Q679" i="109" s="1"/>
  <c r="P650" i="109"/>
  <c r="Q650" i="109" s="1"/>
  <c r="P622" i="109"/>
  <c r="Q622" i="109" s="1"/>
  <c r="P595" i="109"/>
  <c r="Q595" i="109" s="1"/>
  <c r="P536" i="109"/>
  <c r="Q536" i="109" s="1"/>
  <c r="P508" i="109"/>
  <c r="Q508" i="109" s="1"/>
  <c r="P481" i="109"/>
  <c r="Q481" i="109" s="1"/>
  <c r="P426" i="109"/>
  <c r="Q426" i="109" s="1"/>
  <c r="P408" i="109"/>
  <c r="Q408" i="109" s="1"/>
  <c r="P376" i="109"/>
  <c r="Q376" i="109" s="1"/>
  <c r="P348" i="109"/>
  <c r="Q348" i="109" s="1"/>
  <c r="P322" i="109"/>
  <c r="Q322" i="109" s="1"/>
  <c r="P258" i="109"/>
  <c r="Q258" i="109" s="1"/>
  <c r="P787" i="109"/>
  <c r="Q787" i="109" s="1"/>
  <c r="P743" i="109"/>
  <c r="Q743" i="109" s="1"/>
  <c r="P710" i="109"/>
  <c r="Q710" i="109" s="1"/>
  <c r="P649" i="109"/>
  <c r="Q649" i="109" s="1"/>
  <c r="P621" i="109"/>
  <c r="Q621" i="109" s="1"/>
  <c r="P594" i="109"/>
  <c r="Q594" i="109" s="1"/>
  <c r="P565" i="109"/>
  <c r="Q565" i="109" s="1"/>
  <c r="P535" i="109"/>
  <c r="Q535" i="109" s="1"/>
  <c r="P507" i="109"/>
  <c r="Q507" i="109" s="1"/>
  <c r="P480" i="109"/>
  <c r="Q480" i="109" s="1"/>
  <c r="P453" i="109"/>
  <c r="Q453" i="109" s="1"/>
  <c r="P425" i="109"/>
  <c r="Q425" i="109" s="1"/>
  <c r="P390" i="109"/>
  <c r="Q390" i="109" s="1"/>
  <c r="P361" i="109"/>
  <c r="Q361" i="109" s="1"/>
  <c r="P902" i="109"/>
  <c r="Q902" i="109" s="1"/>
  <c r="P837" i="109"/>
  <c r="Q837" i="109" s="1"/>
  <c r="P786" i="109"/>
  <c r="Q786" i="109" s="1"/>
  <c r="P678" i="109"/>
  <c r="Q678" i="109" s="1"/>
  <c r="P648" i="109"/>
  <c r="Q648" i="109" s="1"/>
  <c r="P620" i="109"/>
  <c r="Q620" i="109" s="1"/>
  <c r="P593" i="109"/>
  <c r="Q593" i="109" s="1"/>
  <c r="P506" i="109"/>
  <c r="Q506" i="109" s="1"/>
  <c r="P479" i="109"/>
  <c r="Q479" i="109" s="1"/>
  <c r="P424" i="109"/>
  <c r="Q424" i="109" s="1"/>
  <c r="P308" i="109"/>
  <c r="Q308" i="109" s="1"/>
  <c r="P282" i="109"/>
  <c r="Q282" i="109" s="1"/>
  <c r="P270" i="109"/>
  <c r="Q270" i="109" s="1"/>
  <c r="P257" i="109"/>
  <c r="Q257" i="109" s="1"/>
  <c r="P835" i="109"/>
  <c r="Q835" i="109" s="1"/>
  <c r="P780" i="109"/>
  <c r="Q780" i="109" s="1"/>
  <c r="P742" i="109"/>
  <c r="Q742" i="109" s="1"/>
  <c r="P709" i="109"/>
  <c r="Q709" i="109" s="1"/>
  <c r="P647" i="109"/>
  <c r="Q647" i="109" s="1"/>
  <c r="P619" i="109"/>
  <c r="Q619" i="109" s="1"/>
  <c r="P591" i="109"/>
  <c r="Q591" i="109" s="1"/>
  <c r="P564" i="109"/>
  <c r="Q564" i="109" s="1"/>
  <c r="P534" i="109"/>
  <c r="Q534" i="109" s="1"/>
  <c r="P505" i="109"/>
  <c r="Q505" i="109" s="1"/>
  <c r="P478" i="109"/>
  <c r="Q478" i="109" s="1"/>
  <c r="P452" i="109"/>
  <c r="Q452" i="109" s="1"/>
  <c r="P423" i="109"/>
  <c r="Q423" i="109" s="1"/>
  <c r="P406" i="109"/>
  <c r="Q406" i="109" s="1"/>
  <c r="P374" i="109"/>
  <c r="Q374" i="109" s="1"/>
  <c r="P360" i="109"/>
  <c r="Q360" i="109" s="1"/>
  <c r="P347" i="109"/>
  <c r="Q347" i="109" s="1"/>
  <c r="P172" i="109"/>
  <c r="Q172" i="109" s="1"/>
  <c r="P901" i="109"/>
  <c r="Q901" i="109" s="1"/>
  <c r="P834" i="109"/>
  <c r="Q834" i="109" s="1"/>
  <c r="P779" i="109"/>
  <c r="Q779" i="109" s="1"/>
  <c r="P708" i="109"/>
  <c r="Q708" i="109" s="1"/>
  <c r="P677" i="109"/>
  <c r="Q677" i="109" s="1"/>
  <c r="P618" i="109"/>
  <c r="Q618" i="109" s="1"/>
  <c r="P590" i="109"/>
  <c r="Q590" i="109" s="1"/>
  <c r="P563" i="109"/>
  <c r="Q563" i="109" s="1"/>
  <c r="P504" i="109"/>
  <c r="Q504" i="109" s="1"/>
  <c r="P477" i="109"/>
  <c r="Q477" i="109" s="1"/>
  <c r="P451" i="109"/>
  <c r="Q451" i="109" s="1"/>
  <c r="P389" i="109"/>
  <c r="Q389" i="109" s="1"/>
  <c r="P334" i="109"/>
  <c r="Q334" i="109" s="1"/>
  <c r="P320" i="109"/>
  <c r="Q320" i="109" s="1"/>
  <c r="P294" i="109"/>
  <c r="Q294" i="109" s="1"/>
  <c r="P220" i="109"/>
  <c r="Q220" i="109" s="1"/>
  <c r="P208" i="109"/>
  <c r="Q208" i="109" s="1"/>
  <c r="P196" i="109"/>
  <c r="Q196" i="109" s="1"/>
  <c r="P184" i="109"/>
  <c r="Q184" i="109" s="1"/>
  <c r="P160" i="109"/>
  <c r="Q160" i="109" s="1"/>
  <c r="P125" i="109"/>
  <c r="Q125" i="109" s="1"/>
  <c r="P99" i="109"/>
  <c r="Q99" i="109" s="1"/>
  <c r="P899" i="109"/>
  <c r="Q899" i="109" s="1"/>
  <c r="P828" i="109"/>
  <c r="Q828" i="109" s="1"/>
  <c r="P776" i="109"/>
  <c r="Q776" i="109" s="1"/>
  <c r="P741" i="109"/>
  <c r="Q741" i="109" s="1"/>
  <c r="P707" i="109"/>
  <c r="Q707" i="109" s="1"/>
  <c r="P646" i="109"/>
  <c r="Q646" i="109" s="1"/>
  <c r="P617" i="109"/>
  <c r="Q617" i="109" s="1"/>
  <c r="P589" i="109"/>
  <c r="Q589" i="109" s="1"/>
  <c r="P562" i="109"/>
  <c r="Q562" i="109" s="1"/>
  <c r="P533" i="109"/>
  <c r="Q533" i="109" s="1"/>
  <c r="P503" i="109"/>
  <c r="Q503" i="109" s="1"/>
  <c r="P476" i="109"/>
  <c r="Q476" i="109" s="1"/>
  <c r="P450" i="109"/>
  <c r="Q450" i="109" s="1"/>
  <c r="P422" i="109"/>
  <c r="Q422" i="109" s="1"/>
  <c r="P359" i="109"/>
  <c r="Q359" i="109" s="1"/>
  <c r="P281" i="109"/>
  <c r="Q281" i="109" s="1"/>
  <c r="P268" i="109"/>
  <c r="Q268" i="109" s="1"/>
  <c r="P256" i="109"/>
  <c r="Q256" i="109" s="1"/>
  <c r="P244" i="109"/>
  <c r="Q244" i="109" s="1"/>
  <c r="P232" i="109"/>
  <c r="Q232" i="109" s="1"/>
  <c r="P148" i="109"/>
  <c r="Q148" i="109" s="1"/>
  <c r="P116" i="109"/>
  <c r="Q116" i="109" s="1"/>
  <c r="P898" i="109"/>
  <c r="Q898" i="109" s="1"/>
  <c r="P827" i="109"/>
  <c r="Q827" i="109" s="1"/>
  <c r="P775" i="109"/>
  <c r="Q775" i="109" s="1"/>
  <c r="P740" i="109"/>
  <c r="Q740" i="109" s="1"/>
  <c r="P706" i="109"/>
  <c r="Q706" i="109" s="1"/>
  <c r="P676" i="109"/>
  <c r="Q676" i="109" s="1"/>
  <c r="P616" i="109"/>
  <c r="Q616" i="109" s="1"/>
  <c r="P588" i="109"/>
  <c r="Q588" i="109" s="1"/>
  <c r="P561" i="109"/>
  <c r="Q561" i="109" s="1"/>
  <c r="P475" i="109"/>
  <c r="Q475" i="109" s="1"/>
  <c r="P449" i="109"/>
  <c r="Q449" i="109" s="1"/>
  <c r="P404" i="109"/>
  <c r="Q404" i="109" s="1"/>
  <c r="P388" i="109"/>
  <c r="Q388" i="109" s="1"/>
  <c r="P346" i="109"/>
  <c r="Q346" i="109" s="1"/>
  <c r="P891" i="109"/>
  <c r="Q891" i="109" s="1"/>
  <c r="P739" i="109"/>
  <c r="Q739" i="109" s="1"/>
  <c r="P703" i="109"/>
  <c r="Q703" i="109" s="1"/>
  <c r="P675" i="109"/>
  <c r="Q675" i="109" s="1"/>
  <c r="P645" i="109"/>
  <c r="Q645" i="109" s="1"/>
  <c r="P615" i="109"/>
  <c r="Q615" i="109" s="1"/>
  <c r="P587" i="109"/>
  <c r="Q587" i="109" s="1"/>
  <c r="P559" i="109"/>
  <c r="Q559" i="109" s="1"/>
  <c r="P532" i="109"/>
  <c r="Q532" i="109" s="1"/>
  <c r="P502" i="109"/>
  <c r="Q502" i="109" s="1"/>
  <c r="P474" i="109"/>
  <c r="Q474" i="109" s="1"/>
  <c r="P448" i="109"/>
  <c r="Q448" i="109" s="1"/>
  <c r="P372" i="109"/>
  <c r="Q372" i="109" s="1"/>
  <c r="P332" i="109"/>
  <c r="Q332" i="109" s="1"/>
  <c r="P319" i="109"/>
  <c r="Q319" i="109" s="1"/>
  <c r="P293" i="109"/>
  <c r="Q293" i="109" s="1"/>
  <c r="P280" i="109"/>
  <c r="Q280" i="109" s="1"/>
  <c r="P231" i="109"/>
  <c r="Q231" i="109" s="1"/>
  <c r="P219" i="109"/>
  <c r="Q219" i="109" s="1"/>
  <c r="P207" i="109"/>
  <c r="Q207" i="109" s="1"/>
  <c r="P159" i="109"/>
  <c r="Q159" i="109" s="1"/>
  <c r="P822" i="109"/>
  <c r="Q822" i="109" s="1"/>
  <c r="P774" i="109"/>
  <c r="Q774" i="109" s="1"/>
  <c r="P738" i="109"/>
  <c r="Q738" i="109" s="1"/>
  <c r="P886" i="109"/>
  <c r="Q886" i="109" s="1"/>
  <c r="P735" i="109"/>
  <c r="Q735" i="109" s="1"/>
  <c r="P701" i="109"/>
  <c r="Q701" i="109" s="1"/>
  <c r="P671" i="109"/>
  <c r="Q671" i="109" s="1"/>
  <c r="P644" i="109"/>
  <c r="Q644" i="109" s="1"/>
  <c r="P614" i="109"/>
  <c r="Q614" i="109" s="1"/>
  <c r="P585" i="109"/>
  <c r="Q585" i="109" s="1"/>
  <c r="P557" i="109"/>
  <c r="Q557" i="109" s="1"/>
  <c r="P821" i="109"/>
  <c r="Q821" i="109" s="1"/>
  <c r="P773" i="109"/>
  <c r="Q773" i="109" s="1"/>
  <c r="P734" i="109"/>
  <c r="Q734" i="109" s="1"/>
  <c r="P885" i="109"/>
  <c r="Q885" i="109" s="1"/>
  <c r="P820" i="109"/>
  <c r="Q820" i="109" s="1"/>
  <c r="P772" i="109"/>
  <c r="Q772" i="109" s="1"/>
  <c r="P733" i="109"/>
  <c r="Q733" i="109" s="1"/>
  <c r="P699" i="109"/>
  <c r="Q699" i="109" s="1"/>
  <c r="P883" i="109"/>
  <c r="Q883" i="109" s="1"/>
  <c r="P819" i="109"/>
  <c r="Q819" i="109" s="1"/>
  <c r="P771" i="109"/>
  <c r="Q771" i="109" s="1"/>
  <c r="P732" i="109"/>
  <c r="Q732" i="109" s="1"/>
  <c r="P698" i="109"/>
  <c r="Q698" i="109" s="1"/>
  <c r="P882" i="109"/>
  <c r="Q882" i="109" s="1"/>
  <c r="P818" i="109"/>
  <c r="Q818" i="109" s="1"/>
  <c r="P875" i="109"/>
  <c r="Q875" i="109" s="1"/>
  <c r="P812" i="109"/>
  <c r="Q812" i="109" s="1"/>
  <c r="P766" i="109"/>
  <c r="Q766" i="109" s="1"/>
  <c r="P730" i="109"/>
  <c r="Q730" i="109" s="1"/>
  <c r="P696" i="109"/>
  <c r="Q696" i="109" s="1"/>
  <c r="P811" i="109"/>
  <c r="Q811" i="109" s="1"/>
  <c r="P764" i="109"/>
  <c r="Q764" i="109" s="1"/>
  <c r="P728" i="109"/>
  <c r="Q728" i="109" s="1"/>
  <c r="P695" i="109"/>
  <c r="Q695" i="109" s="1"/>
  <c r="P665" i="109"/>
  <c r="Q665" i="109" s="1"/>
  <c r="P637" i="109"/>
  <c r="Q637" i="109" s="1"/>
  <c r="P610" i="109"/>
  <c r="Q610" i="109" s="1"/>
  <c r="P581" i="109"/>
  <c r="Q581" i="109" s="1"/>
  <c r="P551" i="109"/>
  <c r="Q551" i="109" s="1"/>
  <c r="P523" i="109"/>
  <c r="Q523" i="109" s="1"/>
  <c r="P495" i="109"/>
  <c r="Q495" i="109" s="1"/>
  <c r="P870" i="109"/>
  <c r="Q870" i="109" s="1"/>
  <c r="P808" i="109"/>
  <c r="Q808" i="109" s="1"/>
  <c r="P867" i="109"/>
  <c r="Q867" i="109" s="1"/>
  <c r="P759" i="109"/>
  <c r="Q759" i="109" s="1"/>
  <c r="P693" i="109"/>
  <c r="Q693" i="109" s="1"/>
  <c r="P662" i="109"/>
  <c r="Q662" i="109" s="1"/>
  <c r="P866" i="109"/>
  <c r="Q866" i="109" s="1"/>
  <c r="P805" i="109"/>
  <c r="Q805" i="109" s="1"/>
  <c r="P725" i="109"/>
  <c r="Q725" i="109" s="1"/>
  <c r="P632" i="109"/>
  <c r="Q632" i="109" s="1"/>
  <c r="P667" i="109"/>
  <c r="Q667" i="109" s="1"/>
  <c r="P605" i="109"/>
  <c r="Q605" i="109" s="1"/>
  <c r="P547" i="109"/>
  <c r="Q547" i="109" s="1"/>
  <c r="P488" i="109"/>
  <c r="Q488" i="109" s="1"/>
  <c r="P330" i="109"/>
  <c r="Q330" i="109" s="1"/>
  <c r="P313" i="109"/>
  <c r="Q313" i="109" s="1"/>
  <c r="P222" i="109"/>
  <c r="Q222" i="109" s="1"/>
  <c r="P206" i="109"/>
  <c r="Q206" i="109" s="1"/>
  <c r="P177" i="109"/>
  <c r="Q177" i="109" s="1"/>
  <c r="P149" i="109"/>
  <c r="Q149" i="109" s="1"/>
  <c r="P111" i="109"/>
  <c r="Q111" i="109" s="1"/>
  <c r="P85" i="109"/>
  <c r="Q85" i="109" s="1"/>
  <c r="P204" i="109"/>
  <c r="Q204" i="109" s="1"/>
  <c r="P869" i="109"/>
  <c r="Q869" i="109" s="1"/>
  <c r="P666" i="109"/>
  <c r="Q666" i="109" s="1"/>
  <c r="P604" i="109"/>
  <c r="Q604" i="109" s="1"/>
  <c r="P545" i="109"/>
  <c r="Q545" i="109" s="1"/>
  <c r="P487" i="109"/>
  <c r="Q487" i="109" s="1"/>
  <c r="P438" i="109"/>
  <c r="Q438" i="109" s="1"/>
  <c r="P400" i="109"/>
  <c r="Q400" i="109" s="1"/>
  <c r="P290" i="109"/>
  <c r="Q290" i="109" s="1"/>
  <c r="P273" i="109"/>
  <c r="Q273" i="109" s="1"/>
  <c r="P238" i="109"/>
  <c r="Q238" i="109" s="1"/>
  <c r="P122" i="109"/>
  <c r="Q122" i="109" s="1"/>
  <c r="P252" i="109"/>
  <c r="Q252" i="109" s="1"/>
  <c r="P176" i="109"/>
  <c r="Q176" i="109" s="1"/>
  <c r="P107" i="109"/>
  <c r="Q107" i="109" s="1"/>
  <c r="P74" i="109"/>
  <c r="Q74" i="109" s="1"/>
  <c r="P67" i="109"/>
  <c r="Q67" i="109" s="1"/>
  <c r="P664" i="109"/>
  <c r="Q664" i="109" s="1"/>
  <c r="P602" i="109"/>
  <c r="Q602" i="109" s="1"/>
  <c r="P543" i="109"/>
  <c r="Q543" i="109" s="1"/>
  <c r="P352" i="109"/>
  <c r="Q352" i="109" s="1"/>
  <c r="P312" i="109"/>
  <c r="Q312" i="109" s="1"/>
  <c r="P190" i="109"/>
  <c r="Q190" i="109" s="1"/>
  <c r="P162" i="109"/>
  <c r="Q162" i="109" s="1"/>
  <c r="P147" i="109"/>
  <c r="Q147" i="109" s="1"/>
  <c r="P134" i="109"/>
  <c r="Q134" i="109" s="1"/>
  <c r="P96" i="109"/>
  <c r="Q96" i="109" s="1"/>
  <c r="P663" i="109"/>
  <c r="Q663" i="109" s="1"/>
  <c r="P542" i="109"/>
  <c r="Q542" i="109" s="1"/>
  <c r="P486" i="109"/>
  <c r="Q486" i="109" s="1"/>
  <c r="P329" i="109"/>
  <c r="Q329" i="109" s="1"/>
  <c r="P806" i="109"/>
  <c r="Q806" i="109" s="1"/>
  <c r="P600" i="109"/>
  <c r="Q600" i="109" s="1"/>
  <c r="P437" i="109"/>
  <c r="Q437" i="109" s="1"/>
  <c r="P796" i="109"/>
  <c r="Q796" i="109" s="1"/>
  <c r="P599" i="109"/>
  <c r="Q599" i="109" s="1"/>
  <c r="P531" i="109"/>
  <c r="Q531" i="109" s="1"/>
  <c r="P436" i="109"/>
  <c r="Q436" i="109" s="1"/>
  <c r="P370" i="109"/>
  <c r="Q370" i="109" s="1"/>
  <c r="P236" i="109"/>
  <c r="Q236" i="109" s="1"/>
  <c r="P161" i="109"/>
  <c r="Q161" i="109" s="1"/>
  <c r="P121" i="109"/>
  <c r="Q121" i="109" s="1"/>
  <c r="P81" i="109"/>
  <c r="Q81" i="109" s="1"/>
  <c r="P770" i="109"/>
  <c r="Q770" i="109" s="1"/>
  <c r="P530" i="109"/>
  <c r="Q530" i="109" s="1"/>
  <c r="P473" i="109"/>
  <c r="Q473" i="109" s="1"/>
  <c r="P435" i="109"/>
  <c r="Q435" i="109" s="1"/>
  <c r="P351" i="109"/>
  <c r="Q351" i="109" s="1"/>
  <c r="P328" i="109"/>
  <c r="Q328" i="109" s="1"/>
  <c r="P306" i="109"/>
  <c r="Q306" i="109" s="1"/>
  <c r="P288" i="109"/>
  <c r="Q288" i="109" s="1"/>
  <c r="P267" i="109"/>
  <c r="Q267" i="109" s="1"/>
  <c r="P189" i="109"/>
  <c r="Q189" i="109" s="1"/>
  <c r="P175" i="109"/>
  <c r="Q175" i="109" s="1"/>
  <c r="P146" i="109"/>
  <c r="Q146" i="109" s="1"/>
  <c r="P133" i="109"/>
  <c r="Q133" i="109" s="1"/>
  <c r="P103" i="109"/>
  <c r="Q103" i="109" s="1"/>
  <c r="P88" i="109"/>
  <c r="Q88" i="109" s="1"/>
  <c r="P63" i="109"/>
  <c r="Q63" i="109" s="1"/>
  <c r="P56" i="109"/>
  <c r="Q56" i="109" s="1"/>
  <c r="P763" i="109"/>
  <c r="Q763" i="109" s="1"/>
  <c r="P659" i="109"/>
  <c r="Q659" i="109" s="1"/>
  <c r="P586" i="109"/>
  <c r="Q586" i="109" s="1"/>
  <c r="P529" i="109"/>
  <c r="Q529" i="109" s="1"/>
  <c r="P472" i="109"/>
  <c r="Q472" i="109" s="1"/>
  <c r="P434" i="109"/>
  <c r="Q434" i="109" s="1"/>
  <c r="P398" i="109"/>
  <c r="Q398" i="109" s="1"/>
  <c r="P251" i="109"/>
  <c r="Q251" i="109" s="1"/>
  <c r="P235" i="109"/>
  <c r="Q235" i="109" s="1"/>
  <c r="P203" i="109"/>
  <c r="Q203" i="109" s="1"/>
  <c r="P762" i="109"/>
  <c r="Q762" i="109" s="1"/>
  <c r="P658" i="109"/>
  <c r="Q658" i="109" s="1"/>
  <c r="P584" i="109"/>
  <c r="Q584" i="109" s="1"/>
  <c r="P527" i="109"/>
  <c r="Q527" i="109" s="1"/>
  <c r="P471" i="109"/>
  <c r="Q471" i="109" s="1"/>
  <c r="P433" i="109"/>
  <c r="Q433" i="109" s="1"/>
  <c r="P369" i="109"/>
  <c r="Q369" i="109" s="1"/>
  <c r="P327" i="109"/>
  <c r="Q327" i="109" s="1"/>
  <c r="P305" i="109"/>
  <c r="Q305" i="109" s="1"/>
  <c r="P234" i="109"/>
  <c r="Q234" i="109" s="1"/>
  <c r="P218" i="109"/>
  <c r="Q218" i="109" s="1"/>
  <c r="P120" i="109"/>
  <c r="Q120" i="109" s="1"/>
  <c r="P114" i="109"/>
  <c r="Q114" i="109" s="1"/>
  <c r="P110" i="109"/>
  <c r="Q110" i="109" s="1"/>
  <c r="P760" i="109"/>
  <c r="Q760" i="109" s="1"/>
  <c r="P657" i="109"/>
  <c r="Q657" i="109" s="1"/>
  <c r="P583" i="109"/>
  <c r="Q583" i="109" s="1"/>
  <c r="P526" i="109"/>
  <c r="Q526" i="109" s="1"/>
  <c r="P432" i="109"/>
  <c r="Q432" i="109" s="1"/>
  <c r="P345" i="109"/>
  <c r="Q345" i="109" s="1"/>
  <c r="P287" i="109"/>
  <c r="Q287" i="109" s="1"/>
  <c r="P266" i="109"/>
  <c r="Q266" i="109" s="1"/>
  <c r="P188" i="109"/>
  <c r="Q188" i="109" s="1"/>
  <c r="P174" i="109"/>
  <c r="Q174" i="109" s="1"/>
  <c r="P145" i="109"/>
  <c r="Q145" i="109" s="1"/>
  <c r="P132" i="109"/>
  <c r="Q132" i="109" s="1"/>
  <c r="P95" i="109"/>
  <c r="Q95" i="109" s="1"/>
  <c r="P77" i="109"/>
  <c r="Q77" i="109" s="1"/>
  <c r="P70" i="109"/>
  <c r="Q70" i="109" s="1"/>
  <c r="P158" i="109"/>
  <c r="Q158" i="109" s="1"/>
  <c r="P756" i="109"/>
  <c r="Q756" i="109" s="1"/>
  <c r="P525" i="109"/>
  <c r="Q525" i="109" s="1"/>
  <c r="P470" i="109"/>
  <c r="Q470" i="109" s="1"/>
  <c r="P421" i="109"/>
  <c r="Q421" i="109" s="1"/>
  <c r="P396" i="109"/>
  <c r="Q396" i="109" s="1"/>
  <c r="P250" i="109"/>
  <c r="Q250" i="109" s="1"/>
  <c r="P202" i="109"/>
  <c r="Q202" i="109" s="1"/>
  <c r="P755" i="109"/>
  <c r="Q755" i="109" s="1"/>
  <c r="P643" i="109"/>
  <c r="Q643" i="109" s="1"/>
  <c r="P582" i="109"/>
  <c r="Q582" i="109" s="1"/>
  <c r="P524" i="109"/>
  <c r="Q524" i="109" s="1"/>
  <c r="P368" i="109"/>
  <c r="Q368" i="109" s="1"/>
  <c r="P344" i="109"/>
  <c r="Q344" i="109" s="1"/>
  <c r="P326" i="109"/>
  <c r="Q326" i="109" s="1"/>
  <c r="P304" i="109"/>
  <c r="Q304" i="109" s="1"/>
  <c r="P233" i="109"/>
  <c r="Q233" i="109" s="1"/>
  <c r="P217" i="109"/>
  <c r="Q217" i="109" s="1"/>
  <c r="P187" i="109"/>
  <c r="Q187" i="109" s="1"/>
  <c r="P754" i="109"/>
  <c r="Q754" i="109" s="1"/>
  <c r="P642" i="109"/>
  <c r="Q642" i="109" s="1"/>
  <c r="P522" i="109"/>
  <c r="Q522" i="109" s="1"/>
  <c r="P469" i="109"/>
  <c r="Q469" i="109" s="1"/>
  <c r="P420" i="109"/>
  <c r="Q420" i="109" s="1"/>
  <c r="P286" i="109"/>
  <c r="Q286" i="109" s="1"/>
  <c r="P265" i="109"/>
  <c r="Q265" i="109" s="1"/>
  <c r="P731" i="109"/>
  <c r="Q731" i="109" s="1"/>
  <c r="P641" i="109"/>
  <c r="Q641" i="109" s="1"/>
  <c r="P521" i="109"/>
  <c r="Q521" i="109" s="1"/>
  <c r="P394" i="109"/>
  <c r="Q394" i="109" s="1"/>
  <c r="P249" i="109"/>
  <c r="Q249" i="109" s="1"/>
  <c r="P216" i="109"/>
  <c r="Q216" i="109" s="1"/>
  <c r="P201" i="109"/>
  <c r="Q201" i="109" s="1"/>
  <c r="P186" i="109"/>
  <c r="Q186" i="109" s="1"/>
  <c r="P157" i="109"/>
  <c r="Q157" i="109" s="1"/>
  <c r="P727" i="109"/>
  <c r="Q727" i="109" s="1"/>
  <c r="P639" i="109"/>
  <c r="Q639" i="109" s="1"/>
  <c r="P580" i="109"/>
  <c r="Q580" i="109" s="1"/>
  <c r="P520" i="109"/>
  <c r="Q520" i="109" s="1"/>
  <c r="P468" i="109"/>
  <c r="Q468" i="109" s="1"/>
  <c r="P638" i="109"/>
  <c r="Q638" i="109" s="1"/>
  <c r="P579" i="109"/>
  <c r="Q579" i="109" s="1"/>
  <c r="P519" i="109"/>
  <c r="Q519" i="109" s="1"/>
  <c r="P467" i="109"/>
  <c r="Q467" i="109" s="1"/>
  <c r="P418" i="109"/>
  <c r="Q418" i="109" s="1"/>
  <c r="P264" i="109"/>
  <c r="Q264" i="109" s="1"/>
  <c r="P230" i="109"/>
  <c r="Q230" i="109" s="1"/>
  <c r="P143" i="109"/>
  <c r="Q143" i="109" s="1"/>
  <c r="P98" i="109"/>
  <c r="Q98" i="109" s="1"/>
  <c r="P80" i="109"/>
  <c r="Q80" i="109" s="1"/>
  <c r="P726" i="109"/>
  <c r="Q726" i="109" s="1"/>
  <c r="P636" i="109"/>
  <c r="Q636" i="109" s="1"/>
  <c r="P578" i="109"/>
  <c r="Q578" i="109" s="1"/>
  <c r="P466" i="109"/>
  <c r="Q466" i="109" s="1"/>
  <c r="P366" i="109"/>
  <c r="Q366" i="109" s="1"/>
  <c r="P200" i="109"/>
  <c r="Q200" i="109" s="1"/>
  <c r="P185" i="109"/>
  <c r="Q185" i="109" s="1"/>
  <c r="P156" i="109"/>
  <c r="Q156" i="109" s="1"/>
  <c r="P129" i="109"/>
  <c r="Q129" i="109" s="1"/>
  <c r="P113" i="109"/>
  <c r="Q113" i="109" s="1"/>
  <c r="P87" i="109"/>
  <c r="Q87" i="109" s="1"/>
  <c r="P69" i="109"/>
  <c r="Q69" i="109" s="1"/>
  <c r="P634" i="109"/>
  <c r="Q634" i="109" s="1"/>
  <c r="P719" i="109"/>
  <c r="Q719" i="109" s="1"/>
  <c r="P635" i="109"/>
  <c r="Q635" i="109" s="1"/>
  <c r="P577" i="109"/>
  <c r="Q577" i="109" s="1"/>
  <c r="P465" i="109"/>
  <c r="Q465" i="109" s="1"/>
  <c r="P386" i="109"/>
  <c r="Q386" i="109" s="1"/>
  <c r="P341" i="109"/>
  <c r="Q341" i="109" s="1"/>
  <c r="P302" i="109"/>
  <c r="Q302" i="109" s="1"/>
  <c r="P263" i="109"/>
  <c r="Q263" i="109" s="1"/>
  <c r="P214" i="109"/>
  <c r="Q214" i="109" s="1"/>
  <c r="P169" i="109"/>
  <c r="Q169" i="109" s="1"/>
  <c r="P62" i="109"/>
  <c r="Q62" i="109" s="1"/>
  <c r="P574" i="109"/>
  <c r="Q574" i="109" s="1"/>
  <c r="P464" i="109"/>
  <c r="Q464" i="109" s="1"/>
  <c r="P416" i="109"/>
  <c r="Q416" i="109" s="1"/>
  <c r="P245" i="109"/>
  <c r="Q245" i="109" s="1"/>
  <c r="P142" i="109"/>
  <c r="Q142" i="109" s="1"/>
  <c r="P718" i="109"/>
  <c r="Q718" i="109" s="1"/>
  <c r="P229" i="109"/>
  <c r="Q229" i="109" s="1"/>
  <c r="P182" i="109"/>
  <c r="Q182" i="109" s="1"/>
  <c r="P128" i="109"/>
  <c r="Q128" i="109" s="1"/>
  <c r="P717" i="109"/>
  <c r="Q717" i="109" s="1"/>
  <c r="P633" i="109"/>
  <c r="Q633" i="109" s="1"/>
  <c r="P572" i="109"/>
  <c r="Q572" i="109" s="1"/>
  <c r="P516" i="109"/>
  <c r="Q516" i="109" s="1"/>
  <c r="P462" i="109"/>
  <c r="Q462" i="109" s="1"/>
  <c r="P364" i="109"/>
  <c r="Q364" i="109" s="1"/>
  <c r="P155" i="109"/>
  <c r="Q155" i="109" s="1"/>
  <c r="P94" i="109"/>
  <c r="Q94" i="109" s="1"/>
  <c r="P702" i="109"/>
  <c r="Q702" i="109" s="1"/>
  <c r="P571" i="109"/>
  <c r="Q571" i="109" s="1"/>
  <c r="P515" i="109"/>
  <c r="Q515" i="109" s="1"/>
  <c r="P461" i="109"/>
  <c r="Q461" i="109" s="1"/>
  <c r="P384" i="109"/>
  <c r="Q384" i="109" s="1"/>
  <c r="P340" i="109"/>
  <c r="Q340" i="109" s="1"/>
  <c r="P318" i="109"/>
  <c r="Q318" i="109" s="1"/>
  <c r="P300" i="109"/>
  <c r="Q300" i="109" s="1"/>
  <c r="P278" i="109"/>
  <c r="Q278" i="109" s="1"/>
  <c r="P262" i="109"/>
  <c r="Q262" i="109" s="1"/>
  <c r="P243" i="109"/>
  <c r="Q243" i="109" s="1"/>
  <c r="P213" i="109"/>
  <c r="Q213" i="109" s="1"/>
  <c r="P168" i="109"/>
  <c r="Q168" i="109" s="1"/>
  <c r="P58" i="109"/>
  <c r="Q58" i="109" s="1"/>
  <c r="P167" i="109"/>
  <c r="Q167" i="109" s="1"/>
  <c r="P700" i="109"/>
  <c r="Q700" i="109" s="1"/>
  <c r="P570" i="109"/>
  <c r="Q570" i="109" s="1"/>
  <c r="P460" i="109"/>
  <c r="Q460" i="109" s="1"/>
  <c r="P414" i="109"/>
  <c r="Q414" i="109" s="1"/>
  <c r="P358" i="109"/>
  <c r="Q358" i="109" s="1"/>
  <c r="P228" i="109"/>
  <c r="Q228" i="109" s="1"/>
  <c r="P197" i="109"/>
  <c r="Q197" i="109" s="1"/>
  <c r="P181" i="109"/>
  <c r="Q181" i="109" s="1"/>
  <c r="P140" i="109"/>
  <c r="Q140" i="109" s="1"/>
  <c r="P127" i="109"/>
  <c r="Q127" i="109" s="1"/>
  <c r="P83" i="109"/>
  <c r="Q83" i="109" s="1"/>
  <c r="P90" i="109"/>
  <c r="Q90" i="109" s="1"/>
  <c r="P697" i="109"/>
  <c r="Q697" i="109" s="1"/>
  <c r="P629" i="109"/>
  <c r="Q629" i="109" s="1"/>
  <c r="P558" i="109"/>
  <c r="Q558" i="109" s="1"/>
  <c r="P501" i="109"/>
  <c r="Q501" i="109" s="1"/>
  <c r="P459" i="109"/>
  <c r="Q459" i="109" s="1"/>
  <c r="P383" i="109"/>
  <c r="Q383" i="109" s="1"/>
  <c r="P299" i="109"/>
  <c r="Q299" i="109" s="1"/>
  <c r="P242" i="109"/>
  <c r="Q242" i="109" s="1"/>
  <c r="P154" i="109"/>
  <c r="Q154" i="109" s="1"/>
  <c r="P101" i="109"/>
  <c r="Q101" i="109" s="1"/>
  <c r="P72" i="109"/>
  <c r="Q72" i="109" s="1"/>
  <c r="P65" i="109"/>
  <c r="Q65" i="109" s="1"/>
  <c r="P212" i="109"/>
  <c r="Q212" i="109" s="1"/>
  <c r="P139" i="109"/>
  <c r="Q139" i="109" s="1"/>
  <c r="P79" i="109"/>
  <c r="Q79" i="109" s="1"/>
  <c r="P556" i="109"/>
  <c r="Q556" i="109" s="1"/>
  <c r="P458" i="109"/>
  <c r="Q458" i="109" s="1"/>
  <c r="P412" i="109"/>
  <c r="Q412" i="109" s="1"/>
  <c r="P277" i="109"/>
  <c r="Q277" i="109" s="1"/>
  <c r="P261" i="109"/>
  <c r="Q261" i="109" s="1"/>
  <c r="P694" i="109"/>
  <c r="Q694" i="109" s="1"/>
  <c r="P555" i="109"/>
  <c r="Q555" i="109" s="1"/>
  <c r="P500" i="109"/>
  <c r="Q500" i="109" s="1"/>
  <c r="P554" i="109"/>
  <c r="Q554" i="109" s="1"/>
  <c r="P499" i="109"/>
  <c r="Q499" i="109" s="1"/>
  <c r="P446" i="109"/>
  <c r="Q446" i="109" s="1"/>
  <c r="P382" i="109"/>
  <c r="Q382" i="109" s="1"/>
  <c r="P687" i="109"/>
  <c r="Q687" i="109" s="1"/>
  <c r="P613" i="109"/>
  <c r="Q613" i="109" s="1"/>
  <c r="P553" i="109"/>
  <c r="Q553" i="109" s="1"/>
  <c r="P498" i="109"/>
  <c r="Q498" i="109" s="1"/>
  <c r="P445" i="109"/>
  <c r="Q445" i="109" s="1"/>
  <c r="P411" i="109"/>
  <c r="Q411" i="109" s="1"/>
  <c r="P686" i="109"/>
  <c r="Q686" i="109" s="1"/>
  <c r="P552" i="109"/>
  <c r="Q552" i="109" s="1"/>
  <c r="P497" i="109"/>
  <c r="Q497" i="109" s="1"/>
  <c r="P444" i="109"/>
  <c r="Q444" i="109" s="1"/>
  <c r="P356" i="109"/>
  <c r="Q356" i="109" s="1"/>
  <c r="P335" i="109"/>
  <c r="Q335" i="109" s="1"/>
  <c r="P315" i="109"/>
  <c r="Q315" i="109" s="1"/>
  <c r="P685" i="109"/>
  <c r="Q685" i="109" s="1"/>
  <c r="P612" i="109"/>
  <c r="Q612" i="109" s="1"/>
  <c r="P494" i="109"/>
  <c r="Q494" i="109" s="1"/>
  <c r="P443" i="109"/>
  <c r="Q443" i="109" s="1"/>
  <c r="P674" i="109"/>
  <c r="Q674" i="109" s="1"/>
  <c r="P611" i="109"/>
  <c r="Q611" i="109" s="1"/>
  <c r="P670" i="109"/>
  <c r="Q670" i="109" s="1"/>
  <c r="P669" i="109"/>
  <c r="Q669" i="109" s="1"/>
  <c r="P607" i="109"/>
  <c r="Q607" i="109" s="1"/>
  <c r="P549" i="109"/>
  <c r="Q549" i="109" s="1"/>
  <c r="P491" i="109"/>
  <c r="Q491" i="109" s="1"/>
  <c r="P440" i="109"/>
  <c r="Q440" i="109" s="1"/>
  <c r="P401" i="109"/>
  <c r="Q401" i="109" s="1"/>
  <c r="P354" i="109"/>
  <c r="Q354" i="109" s="1"/>
  <c r="P274" i="109"/>
  <c r="Q274" i="109" s="1"/>
  <c r="P254" i="109"/>
  <c r="Q254" i="109" s="1"/>
  <c r="P239" i="109"/>
  <c r="Q239" i="109" s="1"/>
  <c r="P668" i="109"/>
  <c r="Q668" i="109" s="1"/>
  <c r="P606" i="109"/>
  <c r="Q606" i="109" s="1"/>
  <c r="P490" i="109"/>
  <c r="Q490" i="109" s="1"/>
  <c r="P439" i="109"/>
  <c r="Q439" i="109" s="1"/>
  <c r="P379" i="109"/>
  <c r="Q379" i="109" s="1"/>
  <c r="P223" i="109"/>
  <c r="Q223" i="109" s="1"/>
  <c r="P191" i="109"/>
  <c r="Q191" i="109" s="1"/>
  <c r="P135" i="109"/>
  <c r="Q135" i="109" s="1"/>
  <c r="P115" i="109"/>
  <c r="Q115" i="109" s="1"/>
  <c r="P609" i="109"/>
  <c r="Q609" i="109" s="1"/>
  <c r="P314" i="109"/>
  <c r="Q314" i="109" s="1"/>
  <c r="P137" i="109"/>
  <c r="Q137" i="109" s="1"/>
  <c r="P102" i="109"/>
  <c r="Q102" i="109" s="1"/>
  <c r="P303" i="109"/>
  <c r="Q303" i="109" s="1"/>
  <c r="P226" i="109"/>
  <c r="Q226" i="109" s="1"/>
  <c r="P136" i="109"/>
  <c r="Q136" i="109" s="1"/>
  <c r="P550" i="109"/>
  <c r="Q550" i="109" s="1"/>
  <c r="P178" i="109"/>
  <c r="Q178" i="109" s="1"/>
  <c r="P298" i="109"/>
  <c r="Q298" i="109" s="1"/>
  <c r="P493" i="109"/>
  <c r="Q493" i="109" s="1"/>
  <c r="P225" i="109"/>
  <c r="Q225" i="109" s="1"/>
  <c r="P492" i="109"/>
  <c r="Q492" i="109" s="1"/>
  <c r="P295" i="109"/>
  <c r="Q295" i="109" s="1"/>
  <c r="P171" i="109"/>
  <c r="Q171" i="109" s="1"/>
  <c r="P447" i="109"/>
  <c r="Q447" i="109" s="1"/>
  <c r="P170" i="109"/>
  <c r="Q170" i="109" s="1"/>
  <c r="P442" i="109"/>
  <c r="Q442" i="109" s="1"/>
  <c r="P224" i="109"/>
  <c r="Q224" i="109" s="1"/>
  <c r="P126" i="109"/>
  <c r="Q126" i="109" s="1"/>
  <c r="P441" i="109"/>
  <c r="Q441" i="109" s="1"/>
  <c r="P292" i="109"/>
  <c r="Q292" i="109" s="1"/>
  <c r="P166" i="109"/>
  <c r="Q166" i="109" s="1"/>
  <c r="P402" i="109"/>
  <c r="Q402" i="109" s="1"/>
  <c r="P211" i="109"/>
  <c r="Q211" i="109" s="1"/>
  <c r="P109" i="109"/>
  <c r="Q109" i="109" s="1"/>
  <c r="P64" i="109"/>
  <c r="Q64" i="109" s="1"/>
  <c r="P124" i="109"/>
  <c r="Q124" i="109" s="1"/>
  <c r="P276" i="109"/>
  <c r="Q276" i="109" s="1"/>
  <c r="P165" i="109"/>
  <c r="Q165" i="109" s="1"/>
  <c r="P209" i="109"/>
  <c r="Q209" i="109" s="1"/>
  <c r="P380" i="109"/>
  <c r="Q380" i="109" s="1"/>
  <c r="P275" i="109"/>
  <c r="Q275" i="109" s="1"/>
  <c r="P123" i="109"/>
  <c r="Q123" i="109" s="1"/>
  <c r="P118" i="109"/>
  <c r="Q118" i="109" s="1"/>
  <c r="P71" i="109"/>
  <c r="Q71" i="109" s="1"/>
  <c r="P241" i="109"/>
  <c r="Q241" i="109" s="1"/>
  <c r="P82" i="109"/>
  <c r="Q82" i="109" s="1"/>
  <c r="P357" i="109"/>
  <c r="Q357" i="109" s="1"/>
  <c r="P97" i="109"/>
  <c r="Q97" i="109" s="1"/>
  <c r="P106" i="109"/>
  <c r="Q106" i="109" s="1"/>
  <c r="P131" i="109"/>
  <c r="Q131" i="109" s="1"/>
  <c r="P112" i="109"/>
  <c r="Q112" i="109" s="1"/>
  <c r="P260" i="109"/>
  <c r="Q260" i="109" s="1"/>
  <c r="P93" i="109"/>
  <c r="Q93" i="109" s="1"/>
  <c r="P194" i="109"/>
  <c r="Q194" i="109" s="1"/>
  <c r="P153" i="109"/>
  <c r="Q153" i="109" s="1"/>
  <c r="P61" i="109"/>
  <c r="Q61" i="109" s="1"/>
  <c r="P342" i="109"/>
  <c r="Q342" i="109" s="1"/>
  <c r="P144" i="109"/>
  <c r="Q144" i="109" s="1"/>
  <c r="P130" i="109"/>
  <c r="Q130" i="109" s="1"/>
  <c r="P338" i="109"/>
  <c r="Q338" i="109" s="1"/>
  <c r="P255" i="109"/>
  <c r="Q255" i="109" s="1"/>
  <c r="P193" i="109"/>
  <c r="Q193" i="109" s="1"/>
  <c r="P78" i="109"/>
  <c r="Q78" i="109" s="1"/>
  <c r="P59" i="109"/>
  <c r="Q59" i="109" s="1"/>
  <c r="P86" i="109"/>
  <c r="Q86" i="109" s="1"/>
  <c r="P68" i="109"/>
  <c r="Q68" i="109" s="1"/>
  <c r="P192" i="109"/>
  <c r="Q192" i="109" s="1"/>
  <c r="P150" i="109"/>
  <c r="Q150" i="109" s="1"/>
  <c r="P75" i="109"/>
  <c r="Q75" i="109" s="1"/>
  <c r="P91" i="109"/>
  <c r="Q91" i="109" s="1"/>
  <c r="P331" i="109"/>
  <c r="Q331" i="109" s="1"/>
  <c r="P325" i="109"/>
  <c r="Q325" i="109" s="1"/>
  <c r="P104" i="109"/>
  <c r="Q104" i="109" s="1"/>
  <c r="P316" i="109"/>
  <c r="Q316" i="109" s="1"/>
  <c r="P84" i="109"/>
  <c r="Q84" i="109" s="1"/>
  <c r="P240" i="109"/>
  <c r="Q240" i="109" s="1"/>
  <c r="P180" i="109"/>
  <c r="Q180" i="109" s="1"/>
  <c r="P138" i="109"/>
  <c r="Q138" i="109" s="1"/>
  <c r="P66" i="109"/>
  <c r="Q66" i="109" s="1"/>
  <c r="P179" i="109"/>
  <c r="Q179" i="109" s="1"/>
  <c r="P15" i="109"/>
  <c r="Q15" i="109" s="1"/>
  <c r="P23" i="109"/>
  <c r="Q23" i="109" s="1"/>
  <c r="P24" i="109"/>
  <c r="Q24" i="109" s="1"/>
  <c r="AB397" i="109"/>
  <c r="AB365" i="109"/>
  <c r="AB333" i="109"/>
  <c r="AB301" i="109"/>
  <c r="AB269" i="109"/>
  <c r="AB237" i="109"/>
  <c r="AB205" i="109"/>
  <c r="AB173" i="109"/>
  <c r="AB141" i="109"/>
  <c r="AB407" i="109"/>
  <c r="AB375" i="109"/>
  <c r="AB343" i="109"/>
  <c r="AB311" i="109"/>
  <c r="AB279" i="109"/>
  <c r="AB247" i="109"/>
  <c r="AB215" i="109"/>
  <c r="AB183" i="109"/>
  <c r="AB151" i="109"/>
  <c r="AB119" i="109"/>
  <c r="AB108" i="109"/>
  <c r="AB92" i="109"/>
  <c r="AB76" i="109"/>
  <c r="AB60" i="109"/>
  <c r="AB44" i="109"/>
  <c r="AB417" i="109"/>
  <c r="AB385" i="109"/>
  <c r="AB353" i="109"/>
  <c r="AB321" i="109"/>
  <c r="AB289" i="109"/>
  <c r="AB257" i="109"/>
  <c r="AB225" i="109"/>
  <c r="AB193" i="109"/>
  <c r="AB161" i="109"/>
  <c r="AB129" i="109"/>
  <c r="AB111" i="109"/>
  <c r="AB95" i="109"/>
  <c r="AB79" i="109"/>
  <c r="AB63" i="109"/>
  <c r="AB47" i="109"/>
  <c r="AB395" i="109"/>
  <c r="AB363" i="109"/>
  <c r="AB331" i="109"/>
  <c r="AB299" i="109"/>
  <c r="AB405" i="109"/>
  <c r="AB373" i="109"/>
  <c r="AB415" i="109"/>
  <c r="AB383" i="109"/>
  <c r="AB393" i="109"/>
  <c r="AB403" i="109"/>
  <c r="AB413" i="109"/>
  <c r="AB381" i="109"/>
  <c r="AB349" i="109"/>
  <c r="AB317" i="109"/>
  <c r="AB285" i="109"/>
  <c r="AB391" i="109"/>
  <c r="AB359" i="109"/>
  <c r="AB327" i="109"/>
  <c r="AB295" i="109"/>
  <c r="AB263" i="109"/>
  <c r="AB231" i="109"/>
  <c r="AB199" i="109"/>
  <c r="AB401" i="109"/>
  <c r="AB409" i="109"/>
  <c r="AB377" i="109"/>
  <c r="AB419" i="109"/>
  <c r="AB412" i="109"/>
  <c r="AB310" i="109"/>
  <c r="AB297" i="109"/>
  <c r="AB175" i="109"/>
  <c r="AB139" i="109"/>
  <c r="AB110" i="109"/>
  <c r="AB392" i="109"/>
  <c r="AB362" i="109"/>
  <c r="AB336" i="109"/>
  <c r="AB323" i="109"/>
  <c r="AB309" i="109"/>
  <c r="AB283" i="109"/>
  <c r="AB271" i="109"/>
  <c r="AB259" i="109"/>
  <c r="AB246" i="109"/>
  <c r="AB234" i="109"/>
  <c r="AB222" i="109"/>
  <c r="AB210" i="109"/>
  <c r="AB186" i="109"/>
  <c r="AB348" i="109"/>
  <c r="AB296" i="109"/>
  <c r="AB408" i="109"/>
  <c r="AB390" i="109"/>
  <c r="AB376" i="109"/>
  <c r="AB361" i="109"/>
  <c r="AB335" i="109"/>
  <c r="AB322" i="109"/>
  <c r="AB258" i="109"/>
  <c r="AB308" i="109"/>
  <c r="AB282" i="109"/>
  <c r="AB270" i="109"/>
  <c r="AB347" i="109"/>
  <c r="AB406" i="109"/>
  <c r="AB389" i="109"/>
  <c r="AB374" i="109"/>
  <c r="AB360" i="109"/>
  <c r="AB334" i="109"/>
  <c r="AB320" i="109"/>
  <c r="AB294" i="109"/>
  <c r="AB307" i="109"/>
  <c r="AB281" i="109"/>
  <c r="AB256" i="109"/>
  <c r="AB244" i="109"/>
  <c r="AB232" i="109"/>
  <c r="AB184" i="109"/>
  <c r="AB148" i="109"/>
  <c r="AB346" i="109"/>
  <c r="AB268" i="109"/>
  <c r="AB171" i="109"/>
  <c r="AB136" i="109"/>
  <c r="AB109" i="109"/>
  <c r="AB85" i="109"/>
  <c r="AB404" i="109"/>
  <c r="AB388" i="109"/>
  <c r="AB372" i="109"/>
  <c r="AB319" i="109"/>
  <c r="AB306" i="109"/>
  <c r="AB293" i="109"/>
  <c r="AB219" i="109"/>
  <c r="AB207" i="109"/>
  <c r="AB195" i="109"/>
  <c r="AB159" i="109"/>
  <c r="AB421" i="109"/>
  <c r="AB358" i="109"/>
  <c r="AB387" i="109"/>
  <c r="AB345" i="109"/>
  <c r="AB305" i="109"/>
  <c r="AB194" i="109"/>
  <c r="AB170" i="109"/>
  <c r="AB135" i="109"/>
  <c r="AB378" i="109"/>
  <c r="AB352" i="109"/>
  <c r="AB290" i="109"/>
  <c r="AB190" i="109"/>
  <c r="AB134" i="109"/>
  <c r="AB96" i="109"/>
  <c r="AB29" i="109"/>
  <c r="AB371" i="109"/>
  <c r="AB329" i="109"/>
  <c r="AB312" i="109"/>
  <c r="AB252" i="109"/>
  <c r="AB221" i="109"/>
  <c r="AB176" i="109"/>
  <c r="AB162" i="109"/>
  <c r="AB147" i="109"/>
  <c r="AB107" i="109"/>
  <c r="AB74" i="109"/>
  <c r="AB67" i="109"/>
  <c r="AB39" i="109"/>
  <c r="AB189" i="109"/>
  <c r="AB133" i="109"/>
  <c r="AB103" i="109"/>
  <c r="AB399" i="109"/>
  <c r="AB272" i="109"/>
  <c r="AB204" i="109"/>
  <c r="AB121" i="109"/>
  <c r="AB81" i="109"/>
  <c r="AB370" i="109"/>
  <c r="AB288" i="109"/>
  <c r="AB351" i="109"/>
  <c r="AB236" i="109"/>
  <c r="AB220" i="109"/>
  <c r="AB146" i="109"/>
  <c r="AB398" i="109"/>
  <c r="AB328" i="109"/>
  <c r="AB267" i="109"/>
  <c r="AB251" i="109"/>
  <c r="AB203" i="109"/>
  <c r="AB88" i="109"/>
  <c r="AB56" i="109"/>
  <c r="AB369" i="109"/>
  <c r="AB235" i="109"/>
  <c r="AB218" i="109"/>
  <c r="AB160" i="109"/>
  <c r="AB120" i="109"/>
  <c r="AB114" i="109"/>
  <c r="AB32" i="109"/>
  <c r="AB132" i="109"/>
  <c r="AB77" i="109"/>
  <c r="AB70" i="109"/>
  <c r="AB91" i="109"/>
  <c r="AB350" i="109"/>
  <c r="AB287" i="109"/>
  <c r="AB266" i="109"/>
  <c r="AB188" i="109"/>
  <c r="AB174" i="109"/>
  <c r="AB145" i="109"/>
  <c r="AB99" i="109"/>
  <c r="AB106" i="109"/>
  <c r="AB250" i="109"/>
  <c r="AB202" i="109"/>
  <c r="AB158" i="109"/>
  <c r="AB187" i="109"/>
  <c r="AB131" i="109"/>
  <c r="AB59" i="109"/>
  <c r="AB45" i="109"/>
  <c r="AB396" i="109"/>
  <c r="AB368" i="109"/>
  <c r="AB326" i="109"/>
  <c r="AB304" i="109"/>
  <c r="AB233" i="109"/>
  <c r="AB217" i="109"/>
  <c r="AB84" i="109"/>
  <c r="AB35" i="109"/>
  <c r="AB118" i="109"/>
  <c r="AB66" i="109"/>
  <c r="AB344" i="109"/>
  <c r="AB286" i="109"/>
  <c r="AB265" i="109"/>
  <c r="AB144" i="109"/>
  <c r="AB52" i="109"/>
  <c r="AB420" i="109"/>
  <c r="AB249" i="109"/>
  <c r="AB201" i="109"/>
  <c r="AB172" i="109"/>
  <c r="AB157" i="109"/>
  <c r="AB394" i="109"/>
  <c r="AB367" i="109"/>
  <c r="AB325" i="109"/>
  <c r="AB303" i="109"/>
  <c r="AB216" i="109"/>
  <c r="AB342" i="109"/>
  <c r="AB264" i="109"/>
  <c r="AB230" i="109"/>
  <c r="AB143" i="109"/>
  <c r="AB418" i="109"/>
  <c r="AB366" i="109"/>
  <c r="AB341" i="109"/>
  <c r="AB324" i="109"/>
  <c r="AB302" i="109"/>
  <c r="AB214" i="109"/>
  <c r="AB169" i="109"/>
  <c r="AB113" i="109"/>
  <c r="AB87" i="109"/>
  <c r="AB69" i="109"/>
  <c r="AB386" i="109"/>
  <c r="AB280" i="109"/>
  <c r="AB245" i="109"/>
  <c r="AB229" i="109"/>
  <c r="AB142" i="109"/>
  <c r="AB155" i="109"/>
  <c r="AB416" i="109"/>
  <c r="AB182" i="109"/>
  <c r="AB128" i="109"/>
  <c r="AB94" i="109"/>
  <c r="AB364" i="109"/>
  <c r="AB340" i="109"/>
  <c r="AB318" i="109"/>
  <c r="AB278" i="109"/>
  <c r="AB213" i="109"/>
  <c r="AB198" i="109"/>
  <c r="AB168" i="109"/>
  <c r="AB262" i="109"/>
  <c r="AB384" i="109"/>
  <c r="AB300" i="109"/>
  <c r="AB243" i="109"/>
  <c r="AB228" i="109"/>
  <c r="AB197" i="109"/>
  <c r="AB181" i="109"/>
  <c r="AB127" i="109"/>
  <c r="AB105" i="109"/>
  <c r="AB83" i="109"/>
  <c r="AB51" i="109"/>
  <c r="AB414" i="109"/>
  <c r="AB154" i="109"/>
  <c r="AB140" i="109"/>
  <c r="AB101" i="109"/>
  <c r="AB72" i="109"/>
  <c r="AB65" i="109"/>
  <c r="AB58" i="109"/>
  <c r="AB97" i="109"/>
  <c r="AB339" i="109"/>
  <c r="AB277" i="109"/>
  <c r="AB261" i="109"/>
  <c r="AB242" i="109"/>
  <c r="AB212" i="109"/>
  <c r="AB167" i="109"/>
  <c r="AB90" i="109"/>
  <c r="AB37" i="109"/>
  <c r="AB241" i="109"/>
  <c r="AB357" i="109"/>
  <c r="AB316" i="109"/>
  <c r="AB227" i="109"/>
  <c r="AB196" i="109"/>
  <c r="AB180" i="109"/>
  <c r="AB126" i="109"/>
  <c r="AB116" i="109"/>
  <c r="AB153" i="109"/>
  <c r="AB112" i="109"/>
  <c r="AB382" i="109"/>
  <c r="AB338" i="109"/>
  <c r="AB298" i="109"/>
  <c r="AB356" i="109"/>
  <c r="AB410" i="109"/>
  <c r="AB380" i="109"/>
  <c r="AB275" i="109"/>
  <c r="AB402" i="109"/>
  <c r="AB355" i="109"/>
  <c r="AB330" i="109"/>
  <c r="AB313" i="109"/>
  <c r="AB291" i="109"/>
  <c r="AB223" i="109"/>
  <c r="AB400" i="109"/>
  <c r="AB273" i="109"/>
  <c r="AB253" i="109"/>
  <c r="AB238" i="109"/>
  <c r="AB163" i="109"/>
  <c r="AB122" i="109"/>
  <c r="AB53" i="109"/>
  <c r="AB46" i="109"/>
  <c r="AB226" i="109"/>
  <c r="AB178" i="109"/>
  <c r="AB42" i="109"/>
  <c r="AB57" i="109"/>
  <c r="AB49" i="109"/>
  <c r="AB177" i="109"/>
  <c r="AB224" i="109"/>
  <c r="AB130" i="109"/>
  <c r="AB292" i="109"/>
  <c r="AB166" i="109"/>
  <c r="AB41" i="109"/>
  <c r="AB125" i="109"/>
  <c r="AB64" i="109"/>
  <c r="AB48" i="109"/>
  <c r="AB34" i="109"/>
  <c r="AB411" i="109"/>
  <c r="AB284" i="109"/>
  <c r="AB211" i="109"/>
  <c r="AB124" i="109"/>
  <c r="AB276" i="109"/>
  <c r="AB165" i="109"/>
  <c r="AB80" i="109"/>
  <c r="AB55" i="109"/>
  <c r="AB98" i="109"/>
  <c r="AB209" i="109"/>
  <c r="AB123" i="109"/>
  <c r="AB164" i="109"/>
  <c r="AB71" i="109"/>
  <c r="AB54" i="109"/>
  <c r="AB208" i="109"/>
  <c r="AB379" i="109"/>
  <c r="AB274" i="109"/>
  <c r="AB62" i="109"/>
  <c r="AB206" i="109"/>
  <c r="AB156" i="109"/>
  <c r="AB117" i="109"/>
  <c r="AB104" i="109"/>
  <c r="AB260" i="109"/>
  <c r="AB61" i="109"/>
  <c r="AB152" i="109"/>
  <c r="AB30" i="109"/>
  <c r="AB200" i="109"/>
  <c r="AB38" i="109"/>
  <c r="AB75" i="109"/>
  <c r="AB100" i="109"/>
  <c r="AB354" i="109"/>
  <c r="AB78" i="109"/>
  <c r="AB255" i="109"/>
  <c r="AB102" i="109"/>
  <c r="AB86" i="109"/>
  <c r="AB68" i="109"/>
  <c r="AB50" i="109"/>
  <c r="AB89" i="109"/>
  <c r="AB337" i="109"/>
  <c r="AB254" i="109"/>
  <c r="AB192" i="109"/>
  <c r="AB150" i="109"/>
  <c r="AB31" i="109"/>
  <c r="AB43" i="109"/>
  <c r="AB82" i="109"/>
  <c r="AB332" i="109"/>
  <c r="AB248" i="109"/>
  <c r="AB40" i="109"/>
  <c r="AB191" i="109"/>
  <c r="AB149" i="109"/>
  <c r="AB115" i="109"/>
  <c r="AB240" i="109"/>
  <c r="AB93" i="109"/>
  <c r="AB36" i="109"/>
  <c r="AB185" i="109"/>
  <c r="AB138" i="109"/>
  <c r="AB33" i="109"/>
  <c r="AB315" i="109"/>
  <c r="AB137" i="109"/>
  <c r="AB239" i="109"/>
  <c r="AB179" i="109"/>
  <c r="AB73" i="109"/>
  <c r="AB314" i="109"/>
  <c r="E202" i="112" l="1"/>
  <c r="B202" i="112"/>
  <c r="H202" i="112"/>
  <c r="A203" i="112"/>
  <c r="D201" i="112"/>
  <c r="C201" i="112"/>
  <c r="G201" i="112"/>
  <c r="F201" i="112"/>
  <c r="L201" i="112"/>
  <c r="I201" i="112"/>
  <c r="R2" i="109" a="1"/>
  <c r="AD1" i="109" a="1"/>
  <c r="AD1" i="109" s="1"/>
  <c r="B203" i="112" l="1"/>
  <c r="E203" i="112"/>
  <c r="H203" i="112"/>
  <c r="A204" i="112"/>
  <c r="D202" i="112"/>
  <c r="C202" i="112"/>
  <c r="I202" i="112"/>
  <c r="L202" i="112"/>
  <c r="F202" i="112"/>
  <c r="G202" i="112"/>
  <c r="AD2" i="109"/>
  <c r="AD3" i="109"/>
  <c r="AD4" i="109"/>
  <c r="R2" i="109"/>
  <c r="R1" i="109" s="1" a="1"/>
  <c r="R1" i="109" s="1"/>
  <c r="A15" i="109" s="1"/>
  <c r="A205" i="112" l="1"/>
  <c r="E204" i="112"/>
  <c r="H204" i="112"/>
  <c r="B204" i="112"/>
  <c r="F203" i="112"/>
  <c r="D203" i="112"/>
  <c r="C203" i="112"/>
  <c r="L203" i="112"/>
  <c r="I203" i="112"/>
  <c r="G203" i="112"/>
  <c r="B10" i="109"/>
  <c r="E15" i="109"/>
  <c r="B15" i="109"/>
  <c r="D204" i="112" l="1"/>
  <c r="C204" i="112"/>
  <c r="L204" i="112"/>
  <c r="I204" i="112"/>
  <c r="F204" i="112"/>
  <c r="G204" i="112"/>
  <c r="B205" i="112"/>
  <c r="A206" i="112"/>
  <c r="H205" i="112"/>
  <c r="E205" i="112"/>
  <c r="F15" i="109"/>
  <c r="G15" i="109"/>
  <c r="C15" i="109"/>
  <c r="F205" i="112" l="1"/>
  <c r="L205" i="112"/>
  <c r="I205" i="112"/>
  <c r="G205" i="112"/>
  <c r="D205" i="112"/>
  <c r="C205" i="112"/>
  <c r="B206" i="112"/>
  <c r="E206" i="112"/>
  <c r="A207" i="112"/>
  <c r="H206" i="112"/>
  <c r="I15" i="109"/>
  <c r="A16" i="109"/>
  <c r="E207" i="112" l="1"/>
  <c r="A208" i="112"/>
  <c r="H207" i="112"/>
  <c r="B207" i="112"/>
  <c r="L206" i="112"/>
  <c r="D206" i="112"/>
  <c r="C206" i="112"/>
  <c r="I206" i="112"/>
  <c r="G206" i="112"/>
  <c r="F206" i="112"/>
  <c r="E16" i="109"/>
  <c r="B16" i="109"/>
  <c r="D207" i="112" l="1"/>
  <c r="C207" i="112"/>
  <c r="I207" i="112"/>
  <c r="L207" i="112"/>
  <c r="F207" i="112"/>
  <c r="G207" i="112"/>
  <c r="H208" i="112"/>
  <c r="B208" i="112"/>
  <c r="E208" i="112"/>
  <c r="A209" i="112"/>
  <c r="F16" i="109"/>
  <c r="G16" i="109"/>
  <c r="C16" i="109"/>
  <c r="A17" i="109" s="1"/>
  <c r="H209" i="112" l="1"/>
  <c r="E209" i="112"/>
  <c r="A210" i="112"/>
  <c r="B209" i="112"/>
  <c r="L208" i="112"/>
  <c r="C208" i="112"/>
  <c r="G208" i="112"/>
  <c r="F208" i="112"/>
  <c r="D208" i="112"/>
  <c r="I208" i="112"/>
  <c r="I16" i="109"/>
  <c r="B17" i="109"/>
  <c r="E17" i="109"/>
  <c r="I209" i="112" l="1"/>
  <c r="G209" i="112"/>
  <c r="L209" i="112"/>
  <c r="D209" i="112"/>
  <c r="F209" i="112"/>
  <c r="C209" i="112"/>
  <c r="E210" i="112"/>
  <c r="A211" i="112"/>
  <c r="H210" i="112"/>
  <c r="B210" i="112"/>
  <c r="G17" i="109"/>
  <c r="C17" i="109"/>
  <c r="A18" i="109" s="1"/>
  <c r="F17" i="109"/>
  <c r="L210" i="112" l="1"/>
  <c r="I210" i="112"/>
  <c r="D210" i="112"/>
  <c r="C210" i="112"/>
  <c r="G210" i="112"/>
  <c r="F210" i="112"/>
  <c r="E211" i="112"/>
  <c r="H211" i="112"/>
  <c r="A212" i="112"/>
  <c r="B211" i="112"/>
  <c r="I17" i="109"/>
  <c r="E18" i="109"/>
  <c r="B18" i="109"/>
  <c r="F211" i="112" l="1"/>
  <c r="D211" i="112"/>
  <c r="L211" i="112"/>
  <c r="I211" i="112"/>
  <c r="G211" i="112"/>
  <c r="C211" i="112"/>
  <c r="H212" i="112"/>
  <c r="E212" i="112"/>
  <c r="A213" i="112"/>
  <c r="B212" i="112"/>
  <c r="C18" i="109"/>
  <c r="A19" i="109" s="1"/>
  <c r="G18" i="109"/>
  <c r="F18" i="109"/>
  <c r="E213" i="112" l="1"/>
  <c r="B213" i="112"/>
  <c r="H213" i="112"/>
  <c r="A214" i="112"/>
  <c r="L212" i="112"/>
  <c r="I212" i="112"/>
  <c r="D212" i="112"/>
  <c r="G212" i="112"/>
  <c r="F212" i="112"/>
  <c r="C212" i="112"/>
  <c r="I18" i="109"/>
  <c r="E19" i="109"/>
  <c r="B19" i="109"/>
  <c r="B214" i="112" l="1"/>
  <c r="A215" i="112"/>
  <c r="H214" i="112"/>
  <c r="E214" i="112"/>
  <c r="F213" i="112"/>
  <c r="L213" i="112"/>
  <c r="I213" i="112"/>
  <c r="G213" i="112"/>
  <c r="D213" i="112"/>
  <c r="C213" i="112"/>
  <c r="G19" i="109"/>
  <c r="C19" i="109"/>
  <c r="A20" i="109" s="1"/>
  <c r="F19" i="109"/>
  <c r="A216" i="112" l="1"/>
  <c r="B215" i="112"/>
  <c r="H215" i="112"/>
  <c r="E215" i="112"/>
  <c r="I214" i="112"/>
  <c r="G214" i="112"/>
  <c r="F214" i="112"/>
  <c r="C214" i="112"/>
  <c r="L214" i="112"/>
  <c r="D214" i="112"/>
  <c r="I19" i="109"/>
  <c r="E20" i="109"/>
  <c r="B20" i="109"/>
  <c r="C215" i="112" l="1"/>
  <c r="G215" i="112"/>
  <c r="F215" i="112"/>
  <c r="D215" i="112"/>
  <c r="I215" i="112"/>
  <c r="L215" i="112"/>
  <c r="H216" i="112"/>
  <c r="B216" i="112"/>
  <c r="E216" i="112"/>
  <c r="A217" i="112"/>
  <c r="C20" i="109"/>
  <c r="A21" i="109" s="1"/>
  <c r="G20" i="109"/>
  <c r="F20" i="109"/>
  <c r="H217" i="112" l="1"/>
  <c r="E217" i="112"/>
  <c r="A218" i="112"/>
  <c r="B217" i="112"/>
  <c r="L216" i="112"/>
  <c r="I216" i="112"/>
  <c r="G216" i="112"/>
  <c r="F216" i="112"/>
  <c r="D216" i="112"/>
  <c r="C216" i="112"/>
  <c r="I20" i="109"/>
  <c r="E21" i="109"/>
  <c r="B21" i="109"/>
  <c r="C217" i="112" l="1"/>
  <c r="L217" i="112"/>
  <c r="D217" i="112"/>
  <c r="I217" i="112"/>
  <c r="G217" i="112"/>
  <c r="F217" i="112"/>
  <c r="H218" i="112"/>
  <c r="B218" i="112"/>
  <c r="A219" i="112"/>
  <c r="E218" i="112"/>
  <c r="G21" i="109"/>
  <c r="F21" i="109"/>
  <c r="C21" i="109"/>
  <c r="A22" i="109" s="1"/>
  <c r="A220" i="112" l="1"/>
  <c r="H219" i="112"/>
  <c r="E219" i="112"/>
  <c r="B219" i="112"/>
  <c r="L218" i="112"/>
  <c r="G218" i="112"/>
  <c r="D218" i="112"/>
  <c r="I218" i="112"/>
  <c r="F218" i="112"/>
  <c r="C218" i="112"/>
  <c r="I21" i="109"/>
  <c r="E22" i="109"/>
  <c r="B22" i="109"/>
  <c r="F219" i="112" l="1"/>
  <c r="D219" i="112"/>
  <c r="L219" i="112"/>
  <c r="I219" i="112"/>
  <c r="C219" i="112"/>
  <c r="G219" i="112"/>
  <c r="H220" i="112"/>
  <c r="E220" i="112"/>
  <c r="B220" i="112"/>
  <c r="A221" i="112"/>
  <c r="C22" i="109"/>
  <c r="A23" i="109" s="1"/>
  <c r="G22" i="109"/>
  <c r="F22" i="109"/>
  <c r="G220" i="112" l="1"/>
  <c r="F220" i="112"/>
  <c r="L220" i="112"/>
  <c r="D220" i="112"/>
  <c r="I220" i="112"/>
  <c r="C220" i="112"/>
  <c r="A222" i="112"/>
  <c r="E221" i="112"/>
  <c r="H221" i="112"/>
  <c r="B221" i="112"/>
  <c r="I22" i="109"/>
  <c r="E23" i="109"/>
  <c r="B23" i="109"/>
  <c r="F221" i="112" l="1"/>
  <c r="L221" i="112"/>
  <c r="I221" i="112"/>
  <c r="G221" i="112"/>
  <c r="C221" i="112"/>
  <c r="D221" i="112"/>
  <c r="B222" i="112"/>
  <c r="H222" i="112"/>
  <c r="A223" i="112"/>
  <c r="E222" i="112"/>
  <c r="C23" i="109"/>
  <c r="A24" i="109" s="1"/>
  <c r="G23" i="109"/>
  <c r="F23" i="109"/>
  <c r="I23" i="109" s="1"/>
  <c r="B223" i="112" l="1"/>
  <c r="A224" i="112"/>
  <c r="E223" i="112"/>
  <c r="H223" i="112"/>
  <c r="I222" i="112"/>
  <c r="F222" i="112"/>
  <c r="D222" i="112"/>
  <c r="C222" i="112"/>
  <c r="L222" i="112"/>
  <c r="G222" i="112"/>
  <c r="B24" i="109"/>
  <c r="I24" i="109" s="1"/>
  <c r="E24" i="109"/>
  <c r="H224" i="112" l="1"/>
  <c r="B224" i="112"/>
  <c r="E224" i="112"/>
  <c r="A225" i="112"/>
  <c r="L223" i="112"/>
  <c r="I223" i="112"/>
  <c r="G223" i="112"/>
  <c r="F223" i="112"/>
  <c r="D223" i="112"/>
  <c r="C223" i="112"/>
  <c r="C24" i="109"/>
  <c r="A25" i="109" s="1"/>
  <c r="F24" i="109"/>
  <c r="G24" i="109"/>
  <c r="H225" i="112" l="1"/>
  <c r="A226" i="112"/>
  <c r="E225" i="112"/>
  <c r="B225" i="112"/>
  <c r="L224" i="112"/>
  <c r="C224" i="112"/>
  <c r="D224" i="112"/>
  <c r="F224" i="112"/>
  <c r="G224" i="112"/>
  <c r="I224" i="112"/>
  <c r="E25" i="109"/>
  <c r="B25" i="109"/>
  <c r="I25" i="109" s="1"/>
  <c r="G225" i="112" l="1"/>
  <c r="I225" i="112"/>
  <c r="L225" i="112"/>
  <c r="C225" i="112"/>
  <c r="D225" i="112"/>
  <c r="F225" i="112"/>
  <c r="B226" i="112"/>
  <c r="A227" i="112"/>
  <c r="H226" i="112"/>
  <c r="E226" i="112"/>
  <c r="C25" i="109"/>
  <c r="A26" i="109" s="1"/>
  <c r="G25" i="109"/>
  <c r="F25" i="109"/>
  <c r="L226" i="112" l="1"/>
  <c r="C226" i="112"/>
  <c r="F226" i="112"/>
  <c r="I226" i="112"/>
  <c r="G226" i="112"/>
  <c r="D226" i="112"/>
  <c r="E227" i="112"/>
  <c r="A228" i="112"/>
  <c r="H227" i="112"/>
  <c r="B227" i="112"/>
  <c r="E26" i="109"/>
  <c r="B26" i="109"/>
  <c r="I26" i="109" s="1"/>
  <c r="F227" i="112" l="1"/>
  <c r="D227" i="112"/>
  <c r="I227" i="112"/>
  <c r="L227" i="112"/>
  <c r="G227" i="112"/>
  <c r="C227" i="112"/>
  <c r="A229" i="112"/>
  <c r="B228" i="112"/>
  <c r="H228" i="112"/>
  <c r="E228" i="112"/>
  <c r="C26" i="109"/>
  <c r="A27" i="109" s="1"/>
  <c r="G26" i="109"/>
  <c r="F26" i="109"/>
  <c r="B229" i="112" l="1"/>
  <c r="H229" i="112"/>
  <c r="E229" i="112"/>
  <c r="A230" i="112"/>
  <c r="G228" i="112"/>
  <c r="F228" i="112"/>
  <c r="L228" i="112"/>
  <c r="C228" i="112"/>
  <c r="I228" i="112"/>
  <c r="D228" i="112"/>
  <c r="E27" i="109"/>
  <c r="B27" i="109"/>
  <c r="I27" i="109" s="1"/>
  <c r="B230" i="112" l="1"/>
  <c r="A231" i="112"/>
  <c r="H230" i="112"/>
  <c r="E230" i="112"/>
  <c r="F229" i="112"/>
  <c r="D229" i="112"/>
  <c r="C229" i="112"/>
  <c r="I229" i="112"/>
  <c r="L229" i="112"/>
  <c r="G229" i="112"/>
  <c r="C27" i="109"/>
  <c r="A28" i="109" s="1"/>
  <c r="G27" i="109"/>
  <c r="F27" i="109"/>
  <c r="E231" i="112" l="1"/>
  <c r="B231" i="112"/>
  <c r="H231" i="112"/>
  <c r="A232" i="112"/>
  <c r="I230" i="112"/>
  <c r="G230" i="112"/>
  <c r="F230" i="112"/>
  <c r="C230" i="112"/>
  <c r="L230" i="112"/>
  <c r="D230" i="112"/>
  <c r="E28" i="109"/>
  <c r="B28" i="109"/>
  <c r="I28" i="109" s="1"/>
  <c r="H232" i="112" l="1"/>
  <c r="B232" i="112"/>
  <c r="E232" i="112"/>
  <c r="A233" i="112"/>
  <c r="F231" i="112"/>
  <c r="I231" i="112"/>
  <c r="G231" i="112"/>
  <c r="D231" i="112"/>
  <c r="C231" i="112"/>
  <c r="L231" i="112"/>
  <c r="G28" i="109"/>
  <c r="F28" i="109"/>
  <c r="C28" i="109"/>
  <c r="A29" i="109" s="1"/>
  <c r="B233" i="112" l="1"/>
  <c r="A234" i="112"/>
  <c r="E233" i="112"/>
  <c r="H233" i="112"/>
  <c r="L232" i="112"/>
  <c r="F232" i="112"/>
  <c r="D232" i="112"/>
  <c r="I232" i="112"/>
  <c r="C232" i="112"/>
  <c r="G232" i="112"/>
  <c r="B29" i="109"/>
  <c r="I29" i="109" s="1"/>
  <c r="E29" i="109"/>
  <c r="E234" i="112" l="1"/>
  <c r="A235" i="112"/>
  <c r="H234" i="112"/>
  <c r="B234" i="112"/>
  <c r="D233" i="112"/>
  <c r="C233" i="112"/>
  <c r="L233" i="112"/>
  <c r="I233" i="112"/>
  <c r="F233" i="112"/>
  <c r="G233" i="112"/>
  <c r="G29" i="109"/>
  <c r="F29" i="109"/>
  <c r="C29" i="109"/>
  <c r="A30" i="109" s="1"/>
  <c r="L234" i="112" l="1"/>
  <c r="D234" i="112"/>
  <c r="I234" i="112"/>
  <c r="F234" i="112"/>
  <c r="G234" i="112"/>
  <c r="C234" i="112"/>
  <c r="H235" i="112"/>
  <c r="A236" i="112"/>
  <c r="B235" i="112"/>
  <c r="E235" i="112"/>
  <c r="B30" i="109"/>
  <c r="I30" i="109" s="1"/>
  <c r="E30" i="109"/>
  <c r="F235" i="112" l="1"/>
  <c r="D235" i="112"/>
  <c r="I235" i="112"/>
  <c r="G235" i="112"/>
  <c r="L235" i="112"/>
  <c r="C235" i="112"/>
  <c r="H236" i="112"/>
  <c r="E236" i="112"/>
  <c r="A237" i="112"/>
  <c r="B236" i="112"/>
  <c r="C30" i="109"/>
  <c r="A31" i="109" s="1"/>
  <c r="F30" i="109"/>
  <c r="G30" i="109"/>
  <c r="A238" i="112" l="1"/>
  <c r="H237" i="112"/>
  <c r="B237" i="112"/>
  <c r="E237" i="112"/>
  <c r="I236" i="112"/>
  <c r="F236" i="112"/>
  <c r="D236" i="112"/>
  <c r="C236" i="112"/>
  <c r="L236" i="112"/>
  <c r="G236" i="112"/>
  <c r="E31" i="109"/>
  <c r="B31" i="109"/>
  <c r="I31" i="109" s="1"/>
  <c r="F237" i="112" l="1"/>
  <c r="D237" i="112"/>
  <c r="C237" i="112"/>
  <c r="G237" i="112"/>
  <c r="L237" i="112"/>
  <c r="I237" i="112"/>
  <c r="B238" i="112"/>
  <c r="H238" i="112"/>
  <c r="A239" i="112"/>
  <c r="E238" i="112"/>
  <c r="G31" i="109"/>
  <c r="F31" i="109"/>
  <c r="C31" i="109"/>
  <c r="A32" i="109" s="1"/>
  <c r="A240" i="112" l="1"/>
  <c r="H239" i="112"/>
  <c r="E239" i="112"/>
  <c r="B239" i="112"/>
  <c r="L238" i="112"/>
  <c r="I238" i="112"/>
  <c r="D238" i="112"/>
  <c r="F238" i="112"/>
  <c r="C238" i="112"/>
  <c r="G238" i="112"/>
  <c r="E32" i="109"/>
  <c r="B32" i="109"/>
  <c r="I32" i="109" s="1"/>
  <c r="L239" i="112" l="1"/>
  <c r="I239" i="112"/>
  <c r="G239" i="112"/>
  <c r="C239" i="112"/>
  <c r="D239" i="112"/>
  <c r="F239" i="112"/>
  <c r="H240" i="112"/>
  <c r="B240" i="112"/>
  <c r="E240" i="112"/>
  <c r="A241" i="112"/>
  <c r="C32" i="109"/>
  <c r="A33" i="109" s="1"/>
  <c r="G32" i="109"/>
  <c r="F32" i="109"/>
  <c r="E241" i="112" l="1"/>
  <c r="H241" i="112"/>
  <c r="A242" i="112"/>
  <c r="B241" i="112"/>
  <c r="L240" i="112"/>
  <c r="D240" i="112"/>
  <c r="C240" i="112"/>
  <c r="I240" i="112"/>
  <c r="G240" i="112"/>
  <c r="F240" i="112"/>
  <c r="E33" i="109"/>
  <c r="B33" i="109"/>
  <c r="I33" i="109" s="1"/>
  <c r="L241" i="112" l="1"/>
  <c r="I241" i="112"/>
  <c r="D241" i="112"/>
  <c r="G241" i="112"/>
  <c r="F241" i="112"/>
  <c r="C241" i="112"/>
  <c r="B242" i="112"/>
  <c r="E242" i="112"/>
  <c r="A243" i="112"/>
  <c r="H242" i="112"/>
  <c r="F33" i="109"/>
  <c r="G33" i="109"/>
  <c r="C33" i="109"/>
  <c r="A34" i="109" s="1"/>
  <c r="L242" i="112" l="1"/>
  <c r="D242" i="112"/>
  <c r="G242" i="112"/>
  <c r="F242" i="112"/>
  <c r="C242" i="112"/>
  <c r="I242" i="112"/>
  <c r="B243" i="112"/>
  <c r="H243" i="112"/>
  <c r="E243" i="112"/>
  <c r="A244" i="112"/>
  <c r="B34" i="109"/>
  <c r="I34" i="109" s="1"/>
  <c r="E34" i="109"/>
  <c r="H244" i="112" l="1"/>
  <c r="E244" i="112"/>
  <c r="B244" i="112"/>
  <c r="A245" i="112"/>
  <c r="F243" i="112"/>
  <c r="D243" i="112"/>
  <c r="C243" i="112"/>
  <c r="I243" i="112"/>
  <c r="G243" i="112"/>
  <c r="L243" i="112"/>
  <c r="F34" i="109"/>
  <c r="C34" i="109"/>
  <c r="A35" i="109" s="1"/>
  <c r="G34" i="109"/>
  <c r="H245" i="112" l="1"/>
  <c r="B245" i="112"/>
  <c r="A246" i="112"/>
  <c r="E245" i="112"/>
  <c r="L244" i="112"/>
  <c r="F244" i="112"/>
  <c r="G244" i="112"/>
  <c r="D244" i="112"/>
  <c r="C244" i="112"/>
  <c r="I244" i="112"/>
  <c r="B35" i="109"/>
  <c r="I35" i="109" s="1"/>
  <c r="E35" i="109"/>
  <c r="B246" i="112" l="1"/>
  <c r="A247" i="112"/>
  <c r="H246" i="112"/>
  <c r="E246" i="112"/>
  <c r="F245" i="112"/>
  <c r="D245" i="112"/>
  <c r="C245" i="112"/>
  <c r="I245" i="112"/>
  <c r="L245" i="112"/>
  <c r="G245" i="112"/>
  <c r="F35" i="109"/>
  <c r="G35" i="109"/>
  <c r="C35" i="109"/>
  <c r="A36" i="109" s="1"/>
  <c r="A248" i="112" l="1"/>
  <c r="E247" i="112"/>
  <c r="B247" i="112"/>
  <c r="H247" i="112"/>
  <c r="D246" i="112"/>
  <c r="C246" i="112"/>
  <c r="L246" i="112"/>
  <c r="G246" i="112"/>
  <c r="I246" i="112"/>
  <c r="F246" i="112"/>
  <c r="B36" i="109"/>
  <c r="I36" i="109" s="1"/>
  <c r="E36" i="109"/>
  <c r="G247" i="112" l="1"/>
  <c r="D247" i="112"/>
  <c r="C247" i="112"/>
  <c r="L247" i="112"/>
  <c r="I247" i="112"/>
  <c r="F247" i="112"/>
  <c r="H248" i="112"/>
  <c r="B248" i="112"/>
  <c r="E248" i="112"/>
  <c r="A249" i="112"/>
  <c r="F36" i="109"/>
  <c r="C36" i="109"/>
  <c r="A37" i="109" s="1"/>
  <c r="G36" i="109"/>
  <c r="B249" i="112" l="1"/>
  <c r="E249" i="112"/>
  <c r="A250" i="112"/>
  <c r="H249" i="112"/>
  <c r="L248" i="112"/>
  <c r="C248" i="112"/>
  <c r="F248" i="112"/>
  <c r="D248" i="112"/>
  <c r="I248" i="112"/>
  <c r="G248" i="112"/>
  <c r="B37" i="109"/>
  <c r="I37" i="109" s="1"/>
  <c r="E37" i="109"/>
  <c r="A251" i="112" l="1"/>
  <c r="H250" i="112"/>
  <c r="E250" i="112"/>
  <c r="B250" i="112"/>
  <c r="C249" i="112"/>
  <c r="I249" i="112"/>
  <c r="G249" i="112"/>
  <c r="F249" i="112"/>
  <c r="L249" i="112"/>
  <c r="D249" i="112"/>
  <c r="F37" i="109"/>
  <c r="C37" i="109"/>
  <c r="A38" i="109" s="1"/>
  <c r="G37" i="109"/>
  <c r="L250" i="112" l="1"/>
  <c r="G250" i="112"/>
  <c r="F250" i="112"/>
  <c r="D250" i="112"/>
  <c r="I250" i="112"/>
  <c r="C250" i="112"/>
  <c r="A252" i="112"/>
  <c r="B251" i="112"/>
  <c r="E251" i="112"/>
  <c r="H251" i="112"/>
  <c r="E38" i="109"/>
  <c r="B38" i="109"/>
  <c r="I38" i="109" s="1"/>
  <c r="F251" i="112" l="1"/>
  <c r="D251" i="112"/>
  <c r="C251" i="112"/>
  <c r="L251" i="112"/>
  <c r="I251" i="112"/>
  <c r="G251" i="112"/>
  <c r="B252" i="112"/>
  <c r="E252" i="112"/>
  <c r="H252" i="112"/>
  <c r="F38" i="109"/>
  <c r="G38" i="109"/>
  <c r="C38" i="109"/>
  <c r="A39" i="109" s="1"/>
  <c r="L252" i="112" l="1"/>
  <c r="G252" i="112"/>
  <c r="C252" i="112"/>
  <c r="I252" i="112"/>
  <c r="F252" i="112"/>
  <c r="D252" i="112"/>
  <c r="E39" i="109"/>
  <c r="B39" i="109"/>
  <c r="I39" i="109" s="1"/>
  <c r="E10" i="113" a="1"/>
  <c r="E10" i="113" l="1"/>
  <c r="G39" i="109"/>
  <c r="C39" i="109"/>
  <c r="A40" i="109" s="1"/>
  <c r="F39" i="109"/>
  <c r="E40" i="109" l="1"/>
  <c r="B40" i="109"/>
  <c r="I40" i="109" s="1"/>
  <c r="C40" i="109" l="1"/>
  <c r="A41" i="109" s="1"/>
  <c r="G40" i="109"/>
  <c r="F40" i="109"/>
  <c r="E41" i="109" l="1"/>
  <c r="B41" i="109"/>
  <c r="I41" i="109" s="1"/>
  <c r="F41" i="109" l="1"/>
  <c r="G41" i="109"/>
  <c r="C41" i="109"/>
  <c r="A42" i="109" s="1"/>
  <c r="E42" i="109" l="1"/>
  <c r="B42" i="109"/>
  <c r="I42" i="109" s="1"/>
  <c r="F42" i="109" l="1"/>
  <c r="C42" i="109"/>
  <c r="A43" i="109" s="1"/>
  <c r="G42" i="109"/>
  <c r="E43" i="109" l="1"/>
  <c r="B43" i="109"/>
  <c r="I43" i="109" s="1"/>
  <c r="F43" i="109" l="1"/>
  <c r="C43" i="109"/>
  <c r="A44" i="109" s="1"/>
  <c r="G43" i="109"/>
  <c r="E44" i="109" l="1"/>
  <c r="B44" i="109"/>
  <c r="I44" i="109" s="1"/>
  <c r="G44" i="109" l="1"/>
  <c r="C44" i="109"/>
  <c r="A45" i="109" s="1"/>
  <c r="F44" i="109"/>
  <c r="E45" i="109" l="1"/>
  <c r="B45" i="109"/>
  <c r="I45" i="109" s="1"/>
  <c r="C45" i="109" l="1"/>
  <c r="A46" i="109" s="1"/>
  <c r="G45" i="109"/>
  <c r="F45" i="109"/>
  <c r="E46" i="109" l="1"/>
  <c r="B46" i="109"/>
  <c r="I46" i="109" s="1"/>
  <c r="G46" i="109" l="1"/>
  <c r="C46" i="109"/>
  <c r="A47" i="109" s="1"/>
  <c r="F46" i="109"/>
  <c r="B47" i="109" l="1"/>
  <c r="I47" i="109" s="1"/>
  <c r="E47" i="109"/>
  <c r="F47" i="109" l="1"/>
  <c r="C47" i="109"/>
  <c r="A48" i="109" s="1"/>
  <c r="G47" i="109"/>
  <c r="B48" i="109" l="1"/>
  <c r="I48" i="109" s="1"/>
  <c r="E48" i="109"/>
  <c r="F48" i="109" l="1"/>
  <c r="C48" i="109"/>
  <c r="A49" i="109" s="1"/>
  <c r="G48" i="109"/>
  <c r="E49" i="109" l="1"/>
  <c r="B49" i="109"/>
  <c r="I49" i="109" s="1"/>
  <c r="G49" i="109" l="1"/>
  <c r="C49" i="109"/>
  <c r="A50" i="109" s="1"/>
  <c r="F49" i="109"/>
  <c r="E50" i="109" l="1"/>
  <c r="B50" i="109"/>
  <c r="I50" i="109" s="1"/>
  <c r="C50" i="109" l="1"/>
  <c r="A51" i="109" s="1"/>
  <c r="G50" i="109"/>
  <c r="F50" i="109"/>
  <c r="E51" i="109" l="1"/>
  <c r="B51" i="109"/>
  <c r="I51" i="109" s="1"/>
  <c r="G51" i="109" l="1"/>
  <c r="C51" i="109"/>
  <c r="A52" i="109" s="1"/>
  <c r="F51" i="109"/>
  <c r="E52" i="109" l="1"/>
  <c r="B52" i="109"/>
  <c r="I52" i="109" s="1"/>
  <c r="C52" i="109" l="1"/>
  <c r="A53" i="109" s="1"/>
  <c r="G52" i="109"/>
  <c r="F52" i="109"/>
  <c r="E53" i="109" l="1"/>
  <c r="B53" i="109"/>
  <c r="I53" i="109" s="1"/>
  <c r="G53" i="109" l="1"/>
  <c r="C53" i="109"/>
  <c r="A54" i="109" s="1"/>
  <c r="F53" i="109"/>
  <c r="E54" i="109" l="1"/>
  <c r="B54" i="109"/>
  <c r="I54" i="109" s="1"/>
  <c r="F54" i="109" l="1"/>
  <c r="C54" i="109"/>
  <c r="A55" i="109" s="1"/>
  <c r="G54" i="109"/>
  <c r="E55" i="109" l="1"/>
  <c r="B55" i="109"/>
  <c r="I55" i="109" s="1"/>
  <c r="F55" i="109" l="1"/>
  <c r="C55" i="109"/>
  <c r="A56" i="109" s="1"/>
  <c r="G55" i="109"/>
  <c r="E56" i="109" l="1"/>
  <c r="B56" i="109"/>
  <c r="I56" i="109" s="1"/>
  <c r="G56" i="109" l="1"/>
  <c r="F56" i="109"/>
  <c r="C56" i="109"/>
  <c r="A57" i="109" s="1"/>
  <c r="E57" i="109" l="1"/>
  <c r="B57" i="109"/>
  <c r="I57" i="109" s="1"/>
  <c r="G57" i="109" l="1"/>
  <c r="C57" i="109"/>
  <c r="A58" i="109" s="1"/>
  <c r="F57" i="109"/>
  <c r="B58" i="109" l="1"/>
  <c r="I58" i="109" s="1"/>
  <c r="E58" i="109"/>
  <c r="G58" i="109" l="1"/>
  <c r="C58" i="109"/>
  <c r="A59" i="109" s="1"/>
  <c r="F58" i="109"/>
  <c r="E59" i="109" l="1"/>
  <c r="B59" i="109"/>
  <c r="I59" i="109" s="1"/>
  <c r="G59" i="109" l="1"/>
  <c r="C59" i="109"/>
  <c r="A60" i="109" s="1"/>
  <c r="F59" i="109"/>
  <c r="E60" i="109" l="1"/>
  <c r="B60" i="109"/>
  <c r="I60" i="109" s="1"/>
  <c r="G60" i="109" l="1"/>
  <c r="C60" i="109"/>
  <c r="A61" i="109" s="1"/>
  <c r="F60" i="109"/>
  <c r="B61" i="109" l="1"/>
  <c r="I61" i="109" s="1"/>
  <c r="E61" i="109"/>
  <c r="G61" i="109" l="1"/>
  <c r="F61" i="109"/>
  <c r="C61" i="109"/>
  <c r="A62" i="109" s="1"/>
  <c r="E62" i="109" l="1"/>
  <c r="B62" i="109"/>
  <c r="I62" i="109" s="1"/>
  <c r="C62" i="109" l="1"/>
  <c r="A63" i="109" s="1"/>
  <c r="F62" i="109"/>
  <c r="G62" i="109"/>
  <c r="E63" i="109" l="1"/>
  <c r="B63" i="109"/>
  <c r="I63" i="109" s="1"/>
  <c r="G63" i="109" l="1"/>
  <c r="C63" i="109"/>
  <c r="A64" i="109" s="1"/>
  <c r="F63" i="109"/>
  <c r="B64" i="109" l="1"/>
  <c r="I64" i="109" s="1"/>
  <c r="E64" i="109"/>
  <c r="F64" i="109" l="1"/>
  <c r="C64" i="109"/>
  <c r="A65" i="109" s="1"/>
  <c r="G64" i="109"/>
  <c r="E65" i="109" l="1"/>
  <c r="B65" i="109"/>
  <c r="I65" i="109" s="1"/>
  <c r="G65" i="109" l="1"/>
  <c r="F65" i="109"/>
  <c r="C65" i="109"/>
  <c r="A66" i="109" s="1"/>
  <c r="E66" i="109" l="1"/>
  <c r="B66" i="109"/>
  <c r="I66" i="109" s="1"/>
  <c r="G66" i="109" l="1"/>
  <c r="C66" i="109"/>
  <c r="A67" i="109" s="1"/>
  <c r="F66" i="109"/>
  <c r="E67" i="109" l="1"/>
  <c r="B67" i="109"/>
  <c r="I67" i="109" s="1"/>
  <c r="G67" i="109" l="1"/>
  <c r="F67" i="109"/>
  <c r="C67" i="109"/>
  <c r="A68" i="109" s="1"/>
  <c r="B68" i="109" l="1"/>
  <c r="I68" i="109" s="1"/>
  <c r="E68" i="109"/>
  <c r="F68" i="109" l="1"/>
  <c r="G68" i="109"/>
  <c r="C68" i="109"/>
  <c r="A69" i="109" s="1"/>
  <c r="E69" i="109" l="1"/>
  <c r="B69" i="109"/>
  <c r="I69" i="109" s="1"/>
  <c r="G69" i="109" l="1"/>
  <c r="F69" i="109"/>
  <c r="C69" i="109"/>
  <c r="A70" i="109" s="1"/>
  <c r="E70" i="109" l="1"/>
  <c r="B70" i="109"/>
  <c r="I70" i="109" s="1"/>
  <c r="F70" i="109" l="1"/>
  <c r="G70" i="109"/>
  <c r="C70" i="109"/>
  <c r="A71" i="109" s="1"/>
  <c r="E71" i="109" l="1"/>
  <c r="B71" i="109"/>
  <c r="I71" i="109" s="1"/>
  <c r="G71" i="109" l="1"/>
  <c r="C71" i="109"/>
  <c r="A72" i="109" s="1"/>
  <c r="F71" i="109"/>
  <c r="B72" i="109" l="1"/>
  <c r="I72" i="109" s="1"/>
  <c r="E72" i="109"/>
  <c r="C72" i="109" l="1"/>
  <c r="A73" i="109" s="1"/>
  <c r="F72" i="109"/>
  <c r="G72" i="109"/>
  <c r="E73" i="109" l="1"/>
  <c r="B73" i="109"/>
  <c r="I73" i="109" s="1"/>
  <c r="G73" i="109" l="1"/>
  <c r="F73" i="109"/>
  <c r="C73" i="109"/>
  <c r="A74" i="109" s="1"/>
  <c r="E74" i="109" l="1"/>
  <c r="B74" i="109"/>
  <c r="I74" i="109" s="1"/>
  <c r="G74" i="109" l="1"/>
  <c r="C74" i="109"/>
  <c r="A75" i="109" s="1"/>
  <c r="F74" i="109"/>
  <c r="B75" i="109" l="1"/>
  <c r="I75" i="109" s="1"/>
  <c r="E75" i="109"/>
  <c r="C75" i="109" l="1"/>
  <c r="A76" i="109" s="1"/>
  <c r="G75" i="109"/>
  <c r="F75" i="109"/>
  <c r="B76" i="109" l="1"/>
  <c r="I76" i="109" s="1"/>
  <c r="E76" i="109"/>
  <c r="G76" i="109" l="1"/>
  <c r="F76" i="109"/>
  <c r="C76" i="109"/>
  <c r="A77" i="109" s="1"/>
  <c r="B77" i="109" l="1"/>
  <c r="I77" i="109" s="1"/>
  <c r="E77" i="109"/>
  <c r="G77" i="109" l="1"/>
  <c r="C77" i="109"/>
  <c r="A78" i="109" s="1"/>
  <c r="F77" i="109"/>
  <c r="E78" i="109" l="1"/>
  <c r="B78" i="109"/>
  <c r="I78" i="109" s="1"/>
  <c r="F78" i="109" l="1"/>
  <c r="C78" i="109"/>
  <c r="A79" i="109" s="1"/>
  <c r="G78" i="109"/>
  <c r="E79" i="109" l="1"/>
  <c r="B79" i="109"/>
  <c r="I79" i="109" s="1"/>
  <c r="G79" i="109" l="1"/>
  <c r="C79" i="109"/>
  <c r="A80" i="109" s="1"/>
  <c r="F79" i="109"/>
  <c r="B80" i="109" l="1"/>
  <c r="I80" i="109" s="1"/>
  <c r="E80" i="109"/>
  <c r="G80" i="109" l="1"/>
  <c r="C80" i="109"/>
  <c r="A81" i="109" s="1"/>
  <c r="F80" i="109"/>
  <c r="E81" i="109" l="1"/>
  <c r="B81" i="109"/>
  <c r="I81" i="109" s="1"/>
  <c r="G81" i="109" l="1"/>
  <c r="C81" i="109"/>
  <c r="A82" i="109" s="1"/>
  <c r="F81" i="109"/>
  <c r="B82" i="109" l="1"/>
  <c r="I82" i="109" s="1"/>
  <c r="E82" i="109"/>
  <c r="G82" i="109" l="1"/>
  <c r="F82" i="109"/>
  <c r="C82" i="109"/>
  <c r="A83" i="109" s="1"/>
  <c r="E83" i="109" l="1"/>
  <c r="B83" i="109"/>
  <c r="I83" i="109" s="1"/>
  <c r="G83" i="109" l="1"/>
  <c r="F83" i="109"/>
  <c r="C83" i="109"/>
  <c r="A84" i="109" s="1"/>
  <c r="E84" i="109" l="1"/>
  <c r="B84" i="109"/>
  <c r="I84" i="109" s="1"/>
  <c r="C84" i="109" l="1"/>
  <c r="A85" i="109" s="1"/>
  <c r="F84" i="109"/>
  <c r="G84" i="109"/>
  <c r="E85" i="109" l="1"/>
  <c r="B85" i="109"/>
  <c r="I85" i="109" s="1"/>
  <c r="F85" i="109" l="1"/>
  <c r="C85" i="109"/>
  <c r="A86" i="109" s="1"/>
  <c r="G85" i="109"/>
  <c r="E86" i="109" l="1"/>
  <c r="B86" i="109"/>
  <c r="I86" i="109" s="1"/>
  <c r="G86" i="109" l="1"/>
  <c r="C86" i="109"/>
  <c r="A87" i="109" s="1"/>
  <c r="F86" i="109"/>
  <c r="E87" i="109" l="1"/>
  <c r="B87" i="109"/>
  <c r="I87" i="109" s="1"/>
  <c r="F87" i="109" l="1"/>
  <c r="C87" i="109"/>
  <c r="A88" i="109" s="1"/>
  <c r="G87" i="109"/>
  <c r="E88" i="109" l="1"/>
  <c r="B88" i="109"/>
  <c r="I88" i="109" s="1"/>
  <c r="G88" i="109" l="1"/>
  <c r="F88" i="109"/>
  <c r="C88" i="109"/>
  <c r="A89" i="109" s="1"/>
  <c r="E89" i="109" l="1"/>
  <c r="B89" i="109"/>
  <c r="I89" i="109" s="1"/>
  <c r="G89" i="109" l="1"/>
  <c r="F89" i="109"/>
  <c r="C89" i="109"/>
  <c r="A90" i="109" s="1"/>
  <c r="E90" i="109" l="1"/>
  <c r="B90" i="109"/>
  <c r="I90" i="109" s="1"/>
  <c r="C90" i="109" l="1"/>
  <c r="A91" i="109" s="1"/>
  <c r="F90" i="109"/>
  <c r="G90" i="109"/>
  <c r="E91" i="109" l="1"/>
  <c r="B91" i="109"/>
  <c r="I91" i="109" s="1"/>
  <c r="G91" i="109" l="1"/>
  <c r="C91" i="109"/>
  <c r="A92" i="109" s="1"/>
  <c r="F91" i="109"/>
  <c r="E92" i="109" l="1"/>
  <c r="B92" i="109"/>
  <c r="I92" i="109" s="1"/>
  <c r="F92" i="109" l="1"/>
  <c r="C92" i="109"/>
  <c r="A93" i="109" s="1"/>
  <c r="G92" i="109"/>
  <c r="B93" i="109" l="1"/>
  <c r="I93" i="109" s="1"/>
  <c r="E93" i="109"/>
  <c r="C93" i="109" l="1"/>
  <c r="A94" i="109" s="1"/>
  <c r="F93" i="109"/>
  <c r="G93" i="109"/>
  <c r="E94" i="109" l="1"/>
  <c r="B94" i="109"/>
  <c r="I94" i="109" s="1"/>
  <c r="G94" i="109" l="1"/>
  <c r="F94" i="109"/>
  <c r="C94" i="109"/>
  <c r="A95" i="109" s="1"/>
  <c r="E95" i="109" l="1"/>
  <c r="B95" i="109"/>
  <c r="I95" i="109" s="1"/>
  <c r="G95" i="109" l="1"/>
  <c r="F95" i="109"/>
  <c r="C95" i="109"/>
  <c r="A96" i="109" s="1"/>
  <c r="B96" i="109" l="1"/>
  <c r="I96" i="109" s="1"/>
  <c r="E96" i="109"/>
  <c r="F96" i="109" l="1"/>
  <c r="G96" i="109"/>
  <c r="C96" i="109"/>
  <c r="A97" i="109" s="1"/>
  <c r="E97" i="109" l="1"/>
  <c r="B97" i="109"/>
  <c r="I97" i="109" s="1"/>
  <c r="F97" i="109" l="1"/>
  <c r="C97" i="109"/>
  <c r="A98" i="109" s="1"/>
  <c r="G97" i="109"/>
  <c r="E98" i="109" l="1"/>
  <c r="B98" i="109"/>
  <c r="I98" i="109" s="1"/>
  <c r="F98" i="109" l="1"/>
  <c r="G98" i="109"/>
  <c r="C98" i="109"/>
  <c r="A99" i="109" s="1"/>
  <c r="E99" i="109" l="1"/>
  <c r="B99" i="109"/>
  <c r="I99" i="109" s="1"/>
  <c r="C99" i="109" l="1"/>
  <c r="A100" i="109" s="1"/>
  <c r="F99" i="109"/>
  <c r="G99" i="109"/>
  <c r="E100" i="109" l="1"/>
  <c r="B100" i="109"/>
  <c r="I100" i="109" s="1"/>
  <c r="G100" i="109" l="1"/>
  <c r="F100" i="109"/>
  <c r="C100" i="109"/>
  <c r="A101" i="109" s="1"/>
  <c r="B101" i="109" l="1"/>
  <c r="I101" i="109" s="1"/>
  <c r="E101" i="109"/>
  <c r="G101" i="109" l="1"/>
  <c r="F101" i="109"/>
  <c r="C101" i="109"/>
  <c r="A102" i="109" s="1"/>
  <c r="E102" i="109" l="1"/>
  <c r="B102" i="109"/>
  <c r="I102" i="109" s="1"/>
  <c r="G102" i="109" l="1"/>
  <c r="F102" i="109"/>
  <c r="C102" i="109"/>
  <c r="A103" i="109" s="1"/>
  <c r="B14" i="108"/>
  <c r="H30" i="108"/>
  <c r="B5" i="108"/>
  <c r="L1" i="108"/>
  <c r="B103" i="109" l="1"/>
  <c r="I103" i="109" s="1"/>
  <c r="E103" i="109"/>
  <c r="P6" i="108"/>
  <c r="Q6" i="108" s="1"/>
  <c r="AB8" i="108"/>
  <c r="P40" i="108"/>
  <c r="Q40" i="108" s="1"/>
  <c r="P12" i="108"/>
  <c r="Q12" i="108" s="1"/>
  <c r="P27" i="108"/>
  <c r="Q27" i="108" s="1"/>
  <c r="P16" i="108"/>
  <c r="Q16" i="108" s="1"/>
  <c r="P50" i="108"/>
  <c r="Q50" i="108" s="1"/>
  <c r="P32" i="108"/>
  <c r="Q32" i="108" s="1"/>
  <c r="P15" i="108"/>
  <c r="Q15" i="108" s="1"/>
  <c r="P23" i="108"/>
  <c r="Q23" i="108" s="1"/>
  <c r="P35" i="108"/>
  <c r="Q35" i="108" s="1"/>
  <c r="P53" i="108"/>
  <c r="Q53" i="108" s="1"/>
  <c r="P14" i="108"/>
  <c r="Q14" i="108" s="1"/>
  <c r="P37" i="108"/>
  <c r="Q37" i="108" s="1"/>
  <c r="P22" i="108"/>
  <c r="Q22" i="108" s="1"/>
  <c r="P8" i="108"/>
  <c r="Q8" i="108" s="1"/>
  <c r="P29" i="108"/>
  <c r="Q29" i="108" s="1"/>
  <c r="P30" i="108"/>
  <c r="Q30" i="108" s="1"/>
  <c r="AB17" i="108"/>
  <c r="AB13" i="108"/>
  <c r="AB4" i="108"/>
  <c r="AB20" i="108"/>
  <c r="AB11" i="108"/>
  <c r="AB6" i="108"/>
  <c r="AB5" i="108"/>
  <c r="AB19" i="108"/>
  <c r="AB15" i="108"/>
  <c r="AB22" i="108"/>
  <c r="AB18" i="108"/>
  <c r="AB14" i="108"/>
  <c r="AB21" i="108"/>
  <c r="AB9" i="108"/>
  <c r="AB25" i="108"/>
  <c r="AB3" i="108"/>
  <c r="AB10" i="108"/>
  <c r="F103" i="109" l="1"/>
  <c r="C103" i="109"/>
  <c r="A104" i="109" s="1"/>
  <c r="G103" i="109"/>
  <c r="P51" i="108"/>
  <c r="Q51" i="108" s="1"/>
  <c r="P36" i="108"/>
  <c r="Q36" i="108" s="1"/>
  <c r="P28" i="108"/>
  <c r="Q28" i="108" s="1"/>
  <c r="P24" i="108"/>
  <c r="Q24" i="108" s="1"/>
  <c r="P11" i="108"/>
  <c r="Q11" i="108" s="1"/>
  <c r="P44" i="108"/>
  <c r="Q44" i="108" s="1"/>
  <c r="P39" i="108"/>
  <c r="Q39" i="108" s="1"/>
  <c r="P43" i="108"/>
  <c r="Q43" i="108" s="1"/>
  <c r="P48" i="108"/>
  <c r="Q48" i="108" s="1"/>
  <c r="P5" i="108"/>
  <c r="Q5" i="108" s="1"/>
  <c r="P45" i="108"/>
  <c r="Q45" i="108" s="1"/>
  <c r="AB24" i="108"/>
  <c r="AB12" i="108"/>
  <c r="AB23" i="108"/>
  <c r="AB16" i="108"/>
  <c r="AB7" i="108"/>
  <c r="P38" i="108"/>
  <c r="Q38" i="108" s="1"/>
  <c r="P18" i="108"/>
  <c r="Q18" i="108" s="1"/>
  <c r="P19" i="108"/>
  <c r="Q19" i="108" s="1"/>
  <c r="P42" i="108"/>
  <c r="Q42" i="108" s="1"/>
  <c r="P41" i="108"/>
  <c r="Q41" i="108" s="1"/>
  <c r="P17" i="108"/>
  <c r="Q17" i="108" s="1"/>
  <c r="P49" i="108"/>
  <c r="Q49" i="108" s="1"/>
  <c r="P4" i="108"/>
  <c r="Q4" i="108" s="1"/>
  <c r="P31" i="108"/>
  <c r="Q31" i="108" s="1"/>
  <c r="P47" i="108"/>
  <c r="Q47" i="108" s="1"/>
  <c r="P10" i="108"/>
  <c r="Q10" i="108" s="1"/>
  <c r="P25" i="108"/>
  <c r="Q25" i="108" s="1"/>
  <c r="P9" i="108"/>
  <c r="Q9" i="108" s="1"/>
  <c r="P7" i="108"/>
  <c r="Q7" i="108" s="1"/>
  <c r="P34" i="108"/>
  <c r="Q34" i="108" s="1"/>
  <c r="P21" i="108"/>
  <c r="Q21" i="108" s="1"/>
  <c r="P52" i="108"/>
  <c r="Q52" i="108" s="1"/>
  <c r="P26" i="108"/>
  <c r="Q26" i="108" s="1"/>
  <c r="P13" i="108"/>
  <c r="Q13" i="108" s="1"/>
  <c r="P33" i="108"/>
  <c r="Q33" i="108" s="1"/>
  <c r="P20" i="108"/>
  <c r="Q20" i="108" s="1"/>
  <c r="P3" i="108"/>
  <c r="Q3" i="108" s="1"/>
  <c r="P46" i="108"/>
  <c r="Q46" i="108" s="1"/>
  <c r="P419" i="108"/>
  <c r="Q419" i="108" s="1"/>
  <c r="P387" i="108"/>
  <c r="Q387" i="108" s="1"/>
  <c r="P355" i="108"/>
  <c r="Q355" i="108" s="1"/>
  <c r="P323" i="108"/>
  <c r="Q323" i="108" s="1"/>
  <c r="P291" i="108"/>
  <c r="Q291" i="108" s="1"/>
  <c r="P259" i="108"/>
  <c r="Q259" i="108" s="1"/>
  <c r="P227" i="108"/>
  <c r="Q227" i="108" s="1"/>
  <c r="P195" i="108"/>
  <c r="Q195" i="108" s="1"/>
  <c r="P163" i="108"/>
  <c r="Q163" i="108" s="1"/>
  <c r="P131" i="108"/>
  <c r="Q131" i="108" s="1"/>
  <c r="P102" i="108"/>
  <c r="Q102" i="108" s="1"/>
  <c r="P86" i="108"/>
  <c r="Q86" i="108" s="1"/>
  <c r="P70" i="108"/>
  <c r="Q70" i="108" s="1"/>
  <c r="P54" i="108"/>
  <c r="Q54" i="108" s="1"/>
  <c r="P945" i="108"/>
  <c r="Q945" i="108" s="1"/>
  <c r="P929" i="108"/>
  <c r="Q929" i="108" s="1"/>
  <c r="P913" i="108"/>
  <c r="Q913" i="108" s="1"/>
  <c r="P897" i="108"/>
  <c r="Q897" i="108" s="1"/>
  <c r="P881" i="108"/>
  <c r="Q881" i="108" s="1"/>
  <c r="P865" i="108"/>
  <c r="Q865" i="108" s="1"/>
  <c r="P849" i="108"/>
  <c r="Q849" i="108" s="1"/>
  <c r="P833" i="108"/>
  <c r="Q833" i="108" s="1"/>
  <c r="P817" i="108"/>
  <c r="Q817" i="108" s="1"/>
  <c r="P801" i="108"/>
  <c r="Q801" i="108" s="1"/>
  <c r="P785" i="108"/>
  <c r="Q785" i="108" s="1"/>
  <c r="P769" i="108"/>
  <c r="Q769" i="108" s="1"/>
  <c r="P753" i="108"/>
  <c r="Q753" i="108" s="1"/>
  <c r="P737" i="108"/>
  <c r="Q737" i="108" s="1"/>
  <c r="P721" i="108"/>
  <c r="Q721" i="108" s="1"/>
  <c r="P705" i="108"/>
  <c r="Q705" i="108" s="1"/>
  <c r="P689" i="108"/>
  <c r="Q689" i="108" s="1"/>
  <c r="P673" i="108"/>
  <c r="Q673" i="108" s="1"/>
  <c r="P657" i="108"/>
  <c r="Q657" i="108" s="1"/>
  <c r="P641" i="108"/>
  <c r="Q641" i="108" s="1"/>
  <c r="P625" i="108"/>
  <c r="Q625" i="108" s="1"/>
  <c r="P609" i="108"/>
  <c r="Q609" i="108" s="1"/>
  <c r="P593" i="108"/>
  <c r="Q593" i="108" s="1"/>
  <c r="P577" i="108"/>
  <c r="Q577" i="108" s="1"/>
  <c r="P561" i="108"/>
  <c r="Q561" i="108" s="1"/>
  <c r="P545" i="108"/>
  <c r="Q545" i="108" s="1"/>
  <c r="P529" i="108"/>
  <c r="Q529" i="108" s="1"/>
  <c r="P513" i="108"/>
  <c r="Q513" i="108" s="1"/>
  <c r="P497" i="108"/>
  <c r="Q497" i="108" s="1"/>
  <c r="P481" i="108"/>
  <c r="Q481" i="108" s="1"/>
  <c r="P465" i="108"/>
  <c r="Q465" i="108" s="1"/>
  <c r="P449" i="108"/>
  <c r="Q449" i="108" s="1"/>
  <c r="P433" i="108"/>
  <c r="Q433" i="108" s="1"/>
  <c r="P408" i="108"/>
  <c r="Q408" i="108" s="1"/>
  <c r="P397" i="108"/>
  <c r="Q397" i="108" s="1"/>
  <c r="P365" i="108"/>
  <c r="Q365" i="108" s="1"/>
  <c r="P333" i="108"/>
  <c r="Q333" i="108" s="1"/>
  <c r="P301" i="108"/>
  <c r="Q301" i="108" s="1"/>
  <c r="P269" i="108"/>
  <c r="Q269" i="108" s="1"/>
  <c r="P944" i="108"/>
  <c r="Q944" i="108" s="1"/>
  <c r="P928" i="108"/>
  <c r="Q928" i="108" s="1"/>
  <c r="P912" i="108"/>
  <c r="Q912" i="108" s="1"/>
  <c r="P896" i="108"/>
  <c r="Q896" i="108" s="1"/>
  <c r="P880" i="108"/>
  <c r="Q880" i="108" s="1"/>
  <c r="P864" i="108"/>
  <c r="Q864" i="108" s="1"/>
  <c r="P848" i="108"/>
  <c r="Q848" i="108" s="1"/>
  <c r="P832" i="108"/>
  <c r="Q832" i="108" s="1"/>
  <c r="P816" i="108"/>
  <c r="Q816" i="108" s="1"/>
  <c r="P800" i="108"/>
  <c r="Q800" i="108" s="1"/>
  <c r="P784" i="108"/>
  <c r="Q784" i="108" s="1"/>
  <c r="P768" i="108"/>
  <c r="Q768" i="108" s="1"/>
  <c r="P407" i="108"/>
  <c r="Q407" i="108" s="1"/>
  <c r="P375" i="108"/>
  <c r="Q375" i="108" s="1"/>
  <c r="P343" i="108"/>
  <c r="Q343" i="108" s="1"/>
  <c r="P311" i="108"/>
  <c r="Q311" i="108" s="1"/>
  <c r="P279" i="108"/>
  <c r="Q279" i="108" s="1"/>
  <c r="P943" i="108"/>
  <c r="Q943" i="108" s="1"/>
  <c r="P927" i="108"/>
  <c r="Q927" i="108" s="1"/>
  <c r="P911" i="108"/>
  <c r="Q911" i="108" s="1"/>
  <c r="P895" i="108"/>
  <c r="Q895" i="108" s="1"/>
  <c r="P879" i="108"/>
  <c r="Q879" i="108" s="1"/>
  <c r="P863" i="108"/>
  <c r="Q863" i="108" s="1"/>
  <c r="P847" i="108"/>
  <c r="Q847" i="108" s="1"/>
  <c r="P831" i="108"/>
  <c r="Q831" i="108" s="1"/>
  <c r="P815" i="108"/>
  <c r="Q815" i="108" s="1"/>
  <c r="P799" i="108"/>
  <c r="Q799" i="108" s="1"/>
  <c r="P783" i="108"/>
  <c r="Q783" i="108" s="1"/>
  <c r="P767" i="108"/>
  <c r="Q767" i="108" s="1"/>
  <c r="P942" i="108"/>
  <c r="Q942" i="108" s="1"/>
  <c r="P941" i="108"/>
  <c r="Q941" i="108" s="1"/>
  <c r="P925" i="108"/>
  <c r="Q925" i="108" s="1"/>
  <c r="P909" i="108"/>
  <c r="Q909" i="108" s="1"/>
  <c r="P893" i="108"/>
  <c r="Q893" i="108" s="1"/>
  <c r="P877" i="108"/>
  <c r="Q877" i="108" s="1"/>
  <c r="P861" i="108"/>
  <c r="Q861" i="108" s="1"/>
  <c r="P845" i="108"/>
  <c r="Q845" i="108" s="1"/>
  <c r="P829" i="108"/>
  <c r="Q829" i="108" s="1"/>
  <c r="P813" i="108"/>
  <c r="Q813" i="108" s="1"/>
  <c r="P797" i="108"/>
  <c r="Q797" i="108" s="1"/>
  <c r="P781" i="108"/>
  <c r="Q781" i="108" s="1"/>
  <c r="P765" i="108"/>
  <c r="Q765" i="108" s="1"/>
  <c r="P940" i="108"/>
  <c r="Q940" i="108" s="1"/>
  <c r="P924" i="108"/>
  <c r="Q924" i="108" s="1"/>
  <c r="P908" i="108"/>
  <c r="Q908" i="108" s="1"/>
  <c r="P892" i="108"/>
  <c r="Q892" i="108" s="1"/>
  <c r="P876" i="108"/>
  <c r="Q876" i="108" s="1"/>
  <c r="P860" i="108"/>
  <c r="Q860" i="108" s="1"/>
  <c r="P844" i="108"/>
  <c r="Q844" i="108" s="1"/>
  <c r="P828" i="108"/>
  <c r="Q828" i="108" s="1"/>
  <c r="P812" i="108"/>
  <c r="Q812" i="108" s="1"/>
  <c r="P796" i="108"/>
  <c r="Q796" i="108" s="1"/>
  <c r="P780" i="108"/>
  <c r="Q780" i="108" s="1"/>
  <c r="P764" i="108"/>
  <c r="Q764" i="108" s="1"/>
  <c r="P939" i="108"/>
  <c r="Q939" i="108" s="1"/>
  <c r="P937" i="108"/>
  <c r="Q937" i="108" s="1"/>
  <c r="P921" i="108"/>
  <c r="Q921" i="108" s="1"/>
  <c r="P905" i="108"/>
  <c r="Q905" i="108" s="1"/>
  <c r="P889" i="108"/>
  <c r="Q889" i="108" s="1"/>
  <c r="P873" i="108"/>
  <c r="Q873" i="108" s="1"/>
  <c r="P857" i="108"/>
  <c r="Q857" i="108" s="1"/>
  <c r="P841" i="108"/>
  <c r="Q841" i="108" s="1"/>
  <c r="P825" i="108"/>
  <c r="Q825" i="108" s="1"/>
  <c r="P809" i="108"/>
  <c r="Q809" i="108" s="1"/>
  <c r="P793" i="108"/>
  <c r="Q793" i="108" s="1"/>
  <c r="P777" i="108"/>
  <c r="Q777" i="108" s="1"/>
  <c r="P761" i="108"/>
  <c r="Q761" i="108" s="1"/>
  <c r="P745" i="108"/>
  <c r="Q745" i="108" s="1"/>
  <c r="P729" i="108"/>
  <c r="Q729" i="108" s="1"/>
  <c r="P713" i="108"/>
  <c r="Q713" i="108" s="1"/>
  <c r="P697" i="108"/>
  <c r="Q697" i="108" s="1"/>
  <c r="P681" i="108"/>
  <c r="Q681" i="108" s="1"/>
  <c r="P665" i="108"/>
  <c r="Q665" i="108" s="1"/>
  <c r="P649" i="108"/>
  <c r="Q649" i="108" s="1"/>
  <c r="P633" i="108"/>
  <c r="Q633" i="108" s="1"/>
  <c r="P617" i="108"/>
  <c r="Q617" i="108" s="1"/>
  <c r="P601" i="108"/>
  <c r="Q601" i="108" s="1"/>
  <c r="P585" i="108"/>
  <c r="Q585" i="108" s="1"/>
  <c r="P891" i="108"/>
  <c r="Q891" i="108" s="1"/>
  <c r="P869" i="108"/>
  <c r="Q869" i="108" s="1"/>
  <c r="P795" i="108"/>
  <c r="Q795" i="108" s="1"/>
  <c r="P774" i="108"/>
  <c r="Q774" i="108" s="1"/>
  <c r="P752" i="108"/>
  <c r="Q752" i="108" s="1"/>
  <c r="P733" i="108"/>
  <c r="Q733" i="108" s="1"/>
  <c r="P677" i="108"/>
  <c r="Q677" i="108" s="1"/>
  <c r="P638" i="108"/>
  <c r="Q638" i="108" s="1"/>
  <c r="P582" i="108"/>
  <c r="Q582" i="108" s="1"/>
  <c r="P564" i="108"/>
  <c r="Q564" i="108" s="1"/>
  <c r="P546" i="108"/>
  <c r="Q546" i="108" s="1"/>
  <c r="P526" i="108"/>
  <c r="Q526" i="108" s="1"/>
  <c r="P508" i="108"/>
  <c r="Q508" i="108" s="1"/>
  <c r="P490" i="108"/>
  <c r="Q490" i="108" s="1"/>
  <c r="P472" i="108"/>
  <c r="Q472" i="108" s="1"/>
  <c r="P454" i="108"/>
  <c r="Q454" i="108" s="1"/>
  <c r="P436" i="108"/>
  <c r="Q436" i="108" s="1"/>
  <c r="P406" i="108"/>
  <c r="Q406" i="108" s="1"/>
  <c r="P371" i="108"/>
  <c r="Q371" i="108" s="1"/>
  <c r="P336" i="108"/>
  <c r="Q336" i="108" s="1"/>
  <c r="P300" i="108"/>
  <c r="Q300" i="108" s="1"/>
  <c r="P265" i="108"/>
  <c r="Q265" i="108" s="1"/>
  <c r="P917" i="108"/>
  <c r="Q917" i="108" s="1"/>
  <c r="P842" i="108"/>
  <c r="Q842" i="108" s="1"/>
  <c r="P820" i="108"/>
  <c r="Q820" i="108" s="1"/>
  <c r="P751" i="108"/>
  <c r="Q751" i="108" s="1"/>
  <c r="P714" i="108"/>
  <c r="Q714" i="108" s="1"/>
  <c r="P695" i="108"/>
  <c r="Q695" i="108" s="1"/>
  <c r="P658" i="108"/>
  <c r="Q658" i="108" s="1"/>
  <c r="P619" i="108"/>
  <c r="Q619" i="108" s="1"/>
  <c r="P600" i="108"/>
  <c r="Q600" i="108" s="1"/>
  <c r="P544" i="108"/>
  <c r="Q544" i="108" s="1"/>
  <c r="P418" i="108"/>
  <c r="Q418" i="108" s="1"/>
  <c r="P394" i="108"/>
  <c r="Q394" i="108" s="1"/>
  <c r="P359" i="108"/>
  <c r="Q359" i="108" s="1"/>
  <c r="P324" i="108"/>
  <c r="Q324" i="108" s="1"/>
  <c r="P312" i="108"/>
  <c r="Q312" i="108" s="1"/>
  <c r="P288" i="108"/>
  <c r="Q288" i="108" s="1"/>
  <c r="P115" i="108"/>
  <c r="Q115" i="108" s="1"/>
  <c r="P105" i="108"/>
  <c r="Q105" i="108" s="1"/>
  <c r="P72" i="108"/>
  <c r="Q72" i="108" s="1"/>
  <c r="P890" i="108"/>
  <c r="Q890" i="108" s="1"/>
  <c r="P868" i="108"/>
  <c r="Q868" i="108" s="1"/>
  <c r="P794" i="108"/>
  <c r="Q794" i="108" s="1"/>
  <c r="P773" i="108"/>
  <c r="Q773" i="108" s="1"/>
  <c r="P732" i="108"/>
  <c r="Q732" i="108" s="1"/>
  <c r="P676" i="108"/>
  <c r="Q676" i="108" s="1"/>
  <c r="P656" i="108"/>
  <c r="Q656" i="108" s="1"/>
  <c r="P637" i="108"/>
  <c r="Q637" i="108" s="1"/>
  <c r="P581" i="108"/>
  <c r="Q581" i="108" s="1"/>
  <c r="P563" i="108"/>
  <c r="Q563" i="108" s="1"/>
  <c r="P543" i="108"/>
  <c r="Q543" i="108" s="1"/>
  <c r="P525" i="108"/>
  <c r="Q525" i="108" s="1"/>
  <c r="P507" i="108"/>
  <c r="Q507" i="108" s="1"/>
  <c r="P489" i="108"/>
  <c r="Q489" i="108" s="1"/>
  <c r="P471" i="108"/>
  <c r="Q471" i="108" s="1"/>
  <c r="P453" i="108"/>
  <c r="Q453" i="108" s="1"/>
  <c r="P435" i="108"/>
  <c r="Q435" i="108" s="1"/>
  <c r="P382" i="108"/>
  <c r="Q382" i="108" s="1"/>
  <c r="P347" i="108"/>
  <c r="Q347" i="108" s="1"/>
  <c r="P276" i="108"/>
  <c r="Q276" i="108" s="1"/>
  <c r="P253" i="108"/>
  <c r="Q253" i="108" s="1"/>
  <c r="P242" i="108"/>
  <c r="Q242" i="108" s="1"/>
  <c r="P231" i="108"/>
  <c r="Q231" i="108" s="1"/>
  <c r="P220" i="108"/>
  <c r="Q220" i="108" s="1"/>
  <c r="P209" i="108"/>
  <c r="Q209" i="108" s="1"/>
  <c r="P198" i="108"/>
  <c r="Q198" i="108" s="1"/>
  <c r="P187" i="108"/>
  <c r="Q187" i="108" s="1"/>
  <c r="P176" i="108"/>
  <c r="Q176" i="108" s="1"/>
  <c r="P165" i="108"/>
  <c r="Q165" i="108" s="1"/>
  <c r="P154" i="108"/>
  <c r="Q154" i="108" s="1"/>
  <c r="P938" i="108"/>
  <c r="Q938" i="108" s="1"/>
  <c r="P916" i="108"/>
  <c r="Q916" i="108" s="1"/>
  <c r="P819" i="108"/>
  <c r="Q819" i="108" s="1"/>
  <c r="P750" i="108"/>
  <c r="Q750" i="108" s="1"/>
  <c r="P694" i="108"/>
  <c r="Q694" i="108" s="1"/>
  <c r="P655" i="108"/>
  <c r="Q655" i="108" s="1"/>
  <c r="P618" i="108"/>
  <c r="Q618" i="108" s="1"/>
  <c r="P599" i="108"/>
  <c r="Q599" i="108" s="1"/>
  <c r="P417" i="108"/>
  <c r="Q417" i="108" s="1"/>
  <c r="P405" i="108"/>
  <c r="Q405" i="108" s="1"/>
  <c r="P370" i="108"/>
  <c r="Q370" i="108" s="1"/>
  <c r="P335" i="108"/>
  <c r="Q335" i="108" s="1"/>
  <c r="P299" i="108"/>
  <c r="Q299" i="108" s="1"/>
  <c r="P264" i="108"/>
  <c r="Q264" i="108" s="1"/>
  <c r="P85" i="108"/>
  <c r="Q85" i="108" s="1"/>
  <c r="P867" i="108"/>
  <c r="Q867" i="108" s="1"/>
  <c r="P840" i="108"/>
  <c r="Q840" i="108" s="1"/>
  <c r="P772" i="108"/>
  <c r="Q772" i="108" s="1"/>
  <c r="P731" i="108"/>
  <c r="Q731" i="108" s="1"/>
  <c r="P712" i="108"/>
  <c r="Q712" i="108" s="1"/>
  <c r="P675" i="108"/>
  <c r="Q675" i="108" s="1"/>
  <c r="P636" i="108"/>
  <c r="Q636" i="108" s="1"/>
  <c r="P580" i="108"/>
  <c r="Q580" i="108" s="1"/>
  <c r="P562" i="108"/>
  <c r="Q562" i="108" s="1"/>
  <c r="P542" i="108"/>
  <c r="Q542" i="108" s="1"/>
  <c r="P524" i="108"/>
  <c r="Q524" i="108" s="1"/>
  <c r="P506" i="108"/>
  <c r="Q506" i="108" s="1"/>
  <c r="P488" i="108"/>
  <c r="Q488" i="108" s="1"/>
  <c r="P470" i="108"/>
  <c r="Q470" i="108" s="1"/>
  <c r="P452" i="108"/>
  <c r="Q452" i="108" s="1"/>
  <c r="P434" i="108"/>
  <c r="Q434" i="108" s="1"/>
  <c r="P393" i="108"/>
  <c r="Q393" i="108" s="1"/>
  <c r="P358" i="108"/>
  <c r="Q358" i="108" s="1"/>
  <c r="P287" i="108"/>
  <c r="Q287" i="108" s="1"/>
  <c r="P120" i="108"/>
  <c r="Q120" i="108" s="1"/>
  <c r="P108" i="108"/>
  <c r="Q108" i="108" s="1"/>
  <c r="P75" i="108"/>
  <c r="Q75" i="108" s="1"/>
  <c r="P915" i="108"/>
  <c r="Q915" i="108" s="1"/>
  <c r="P888" i="108"/>
  <c r="Q888" i="108" s="1"/>
  <c r="P818" i="108"/>
  <c r="Q818" i="108" s="1"/>
  <c r="P792" i="108"/>
  <c r="Q792" i="108" s="1"/>
  <c r="P749" i="108"/>
  <c r="Q749" i="108" s="1"/>
  <c r="P693" i="108"/>
  <c r="Q693" i="108" s="1"/>
  <c r="P654" i="108"/>
  <c r="Q654" i="108" s="1"/>
  <c r="P598" i="108"/>
  <c r="Q598" i="108" s="1"/>
  <c r="P560" i="108"/>
  <c r="Q560" i="108" s="1"/>
  <c r="P432" i="108"/>
  <c r="Q432" i="108" s="1"/>
  <c r="P381" i="108"/>
  <c r="Q381" i="108" s="1"/>
  <c r="P346" i="108"/>
  <c r="Q346" i="108" s="1"/>
  <c r="P322" i="108"/>
  <c r="Q322" i="108" s="1"/>
  <c r="P310" i="108"/>
  <c r="Q310" i="108" s="1"/>
  <c r="P275" i="108"/>
  <c r="Q275" i="108" s="1"/>
  <c r="P252" i="108"/>
  <c r="Q252" i="108" s="1"/>
  <c r="P241" i="108"/>
  <c r="Q241" i="108" s="1"/>
  <c r="P230" i="108"/>
  <c r="Q230" i="108" s="1"/>
  <c r="P219" i="108"/>
  <c r="Q219" i="108" s="1"/>
  <c r="P208" i="108"/>
  <c r="Q208" i="108" s="1"/>
  <c r="P197" i="108"/>
  <c r="Q197" i="108" s="1"/>
  <c r="P186" i="108"/>
  <c r="Q186" i="108" s="1"/>
  <c r="P175" i="108"/>
  <c r="Q175" i="108" s="1"/>
  <c r="P164" i="108"/>
  <c r="Q164" i="108" s="1"/>
  <c r="P153" i="108"/>
  <c r="Q153" i="108" s="1"/>
  <c r="P142" i="108"/>
  <c r="Q142" i="108" s="1"/>
  <c r="P930" i="108"/>
  <c r="Q930" i="108" s="1"/>
  <c r="P903" i="108"/>
  <c r="Q903" i="108" s="1"/>
  <c r="P830" i="108"/>
  <c r="Q830" i="108" s="1"/>
  <c r="P806" i="108"/>
  <c r="Q806" i="108" s="1"/>
  <c r="P742" i="108"/>
  <c r="Q742" i="108" s="1"/>
  <c r="P703" i="108"/>
  <c r="Q703" i="108" s="1"/>
  <c r="P666" i="108"/>
  <c r="Q666" i="108" s="1"/>
  <c r="P647" i="108"/>
  <c r="Q647" i="108" s="1"/>
  <c r="P610" i="108"/>
  <c r="Q610" i="108" s="1"/>
  <c r="P571" i="108"/>
  <c r="Q571" i="108" s="1"/>
  <c r="P936" i="108"/>
  <c r="Q936" i="108" s="1"/>
  <c r="P906" i="108"/>
  <c r="Q906" i="108" s="1"/>
  <c r="P875" i="108"/>
  <c r="Q875" i="108" s="1"/>
  <c r="P811" i="108"/>
  <c r="Q811" i="108" s="1"/>
  <c r="P708" i="108"/>
  <c r="Q708" i="108" s="1"/>
  <c r="P661" i="108"/>
  <c r="Q661" i="108" s="1"/>
  <c r="P634" i="108"/>
  <c r="Q634" i="108" s="1"/>
  <c r="P587" i="108"/>
  <c r="Q587" i="108" s="1"/>
  <c r="P565" i="108"/>
  <c r="Q565" i="108" s="1"/>
  <c r="P539" i="108"/>
  <c r="Q539" i="108" s="1"/>
  <c r="P518" i="108"/>
  <c r="Q518" i="108" s="1"/>
  <c r="P495" i="108"/>
  <c r="Q495" i="108" s="1"/>
  <c r="P474" i="108"/>
  <c r="Q474" i="108" s="1"/>
  <c r="P450" i="108"/>
  <c r="Q450" i="108" s="1"/>
  <c r="P427" i="108"/>
  <c r="Q427" i="108" s="1"/>
  <c r="P367" i="108"/>
  <c r="Q367" i="108" s="1"/>
  <c r="P325" i="108"/>
  <c r="Q325" i="108" s="1"/>
  <c r="P281" i="108"/>
  <c r="Q281" i="108" s="1"/>
  <c r="P251" i="108"/>
  <c r="Q251" i="108" s="1"/>
  <c r="P238" i="108"/>
  <c r="Q238" i="108" s="1"/>
  <c r="P106" i="108"/>
  <c r="Q106" i="108" s="1"/>
  <c r="P80" i="108"/>
  <c r="Q80" i="108" s="1"/>
  <c r="P846" i="108"/>
  <c r="Q846" i="108" s="1"/>
  <c r="P786" i="108"/>
  <c r="Q786" i="108" s="1"/>
  <c r="P757" i="108"/>
  <c r="Q757" i="108" s="1"/>
  <c r="P730" i="108"/>
  <c r="Q730" i="108" s="1"/>
  <c r="P683" i="108"/>
  <c r="Q683" i="108" s="1"/>
  <c r="P611" i="108"/>
  <c r="Q611" i="108" s="1"/>
  <c r="P448" i="108"/>
  <c r="Q448" i="108" s="1"/>
  <c r="P411" i="108"/>
  <c r="Q411" i="108" s="1"/>
  <c r="P396" i="108"/>
  <c r="Q396" i="108" s="1"/>
  <c r="P352" i="108"/>
  <c r="Q352" i="108" s="1"/>
  <c r="P308" i="108"/>
  <c r="Q308" i="108" s="1"/>
  <c r="P266" i="108"/>
  <c r="Q266" i="108" s="1"/>
  <c r="P183" i="108"/>
  <c r="Q183" i="108" s="1"/>
  <c r="P170" i="108"/>
  <c r="Q170" i="108" s="1"/>
  <c r="P157" i="108"/>
  <c r="Q157" i="108" s="1"/>
  <c r="P144" i="108"/>
  <c r="Q144" i="108" s="1"/>
  <c r="P117" i="108"/>
  <c r="Q117" i="108" s="1"/>
  <c r="P98" i="108"/>
  <c r="Q98" i="108" s="1"/>
  <c r="P935" i="108"/>
  <c r="Q935" i="108" s="1"/>
  <c r="P874" i="108"/>
  <c r="Q874" i="108" s="1"/>
  <c r="P810" i="108"/>
  <c r="Q810" i="108" s="1"/>
  <c r="P782" i="108"/>
  <c r="Q782" i="108" s="1"/>
  <c r="P707" i="108"/>
  <c r="Q707" i="108" s="1"/>
  <c r="P660" i="108"/>
  <c r="Q660" i="108" s="1"/>
  <c r="P586" i="108"/>
  <c r="Q586" i="108" s="1"/>
  <c r="P559" i="108"/>
  <c r="Q559" i="108" s="1"/>
  <c r="P538" i="108"/>
  <c r="Q538" i="108" s="1"/>
  <c r="P517" i="108"/>
  <c r="Q517" i="108" s="1"/>
  <c r="P494" i="108"/>
  <c r="Q494" i="108" s="1"/>
  <c r="P473" i="108"/>
  <c r="Q473" i="108" s="1"/>
  <c r="P447" i="108"/>
  <c r="Q447" i="108" s="1"/>
  <c r="P426" i="108"/>
  <c r="Q426" i="108" s="1"/>
  <c r="P380" i="108"/>
  <c r="Q380" i="108" s="1"/>
  <c r="P338" i="108"/>
  <c r="Q338" i="108" s="1"/>
  <c r="P294" i="108"/>
  <c r="Q294" i="108" s="1"/>
  <c r="P280" i="108"/>
  <c r="Q280" i="108" s="1"/>
  <c r="P237" i="108"/>
  <c r="Q237" i="108" s="1"/>
  <c r="P224" i="108"/>
  <c r="Q224" i="108" s="1"/>
  <c r="P211" i="108"/>
  <c r="Q211" i="108" s="1"/>
  <c r="P196" i="108"/>
  <c r="Q196" i="108" s="1"/>
  <c r="P143" i="108"/>
  <c r="Q143" i="108" s="1"/>
  <c r="P129" i="108"/>
  <c r="Q129" i="108" s="1"/>
  <c r="P904" i="108"/>
  <c r="Q904" i="108" s="1"/>
  <c r="P843" i="108"/>
  <c r="Q843" i="108" s="1"/>
  <c r="P756" i="108"/>
  <c r="Q756" i="108" s="1"/>
  <c r="P682" i="108"/>
  <c r="Q682" i="108" s="1"/>
  <c r="P632" i="108"/>
  <c r="Q632" i="108" s="1"/>
  <c r="P608" i="108"/>
  <c r="Q608" i="108" s="1"/>
  <c r="P366" i="108"/>
  <c r="Q366" i="108" s="1"/>
  <c r="P321" i="108"/>
  <c r="Q321" i="108" s="1"/>
  <c r="P250" i="108"/>
  <c r="Q250" i="108" s="1"/>
  <c r="P76" i="108"/>
  <c r="Q76" i="108" s="1"/>
  <c r="P169" i="108"/>
  <c r="Q169" i="108" s="1"/>
  <c r="P141" i="108"/>
  <c r="Q141" i="108" s="1"/>
  <c r="P94" i="108"/>
  <c r="Q94" i="108" s="1"/>
  <c r="P934" i="108"/>
  <c r="Q934" i="108" s="1"/>
  <c r="P839" i="108"/>
  <c r="Q839" i="108" s="1"/>
  <c r="P728" i="108"/>
  <c r="Q728" i="108" s="1"/>
  <c r="P706" i="108"/>
  <c r="Q706" i="108" s="1"/>
  <c r="P659" i="108"/>
  <c r="Q659" i="108" s="1"/>
  <c r="P607" i="108"/>
  <c r="Q607" i="108" s="1"/>
  <c r="P558" i="108"/>
  <c r="Q558" i="108" s="1"/>
  <c r="P537" i="108"/>
  <c r="Q537" i="108" s="1"/>
  <c r="P516" i="108"/>
  <c r="Q516" i="108" s="1"/>
  <c r="P493" i="108"/>
  <c r="Q493" i="108" s="1"/>
  <c r="P469" i="108"/>
  <c r="Q469" i="108" s="1"/>
  <c r="P446" i="108"/>
  <c r="Q446" i="108" s="1"/>
  <c r="P425" i="108"/>
  <c r="Q425" i="108" s="1"/>
  <c r="P410" i="108"/>
  <c r="Q410" i="108" s="1"/>
  <c r="P395" i="108"/>
  <c r="Q395" i="108" s="1"/>
  <c r="P351" i="108"/>
  <c r="Q351" i="108" s="1"/>
  <c r="P307" i="108"/>
  <c r="Q307" i="108" s="1"/>
  <c r="P263" i="108"/>
  <c r="Q263" i="108" s="1"/>
  <c r="P182" i="108"/>
  <c r="Q182" i="108" s="1"/>
  <c r="P156" i="108"/>
  <c r="Q156" i="108" s="1"/>
  <c r="P113" i="108"/>
  <c r="Q113" i="108" s="1"/>
  <c r="P872" i="108"/>
  <c r="Q872" i="108" s="1"/>
  <c r="P808" i="108"/>
  <c r="Q808" i="108" s="1"/>
  <c r="P755" i="108"/>
  <c r="Q755" i="108" s="1"/>
  <c r="P704" i="108"/>
  <c r="Q704" i="108" s="1"/>
  <c r="P631" i="108"/>
  <c r="Q631" i="108" s="1"/>
  <c r="P584" i="108"/>
  <c r="Q584" i="108" s="1"/>
  <c r="P379" i="108"/>
  <c r="Q379" i="108" s="1"/>
  <c r="P337" i="108"/>
  <c r="Q337" i="108" s="1"/>
  <c r="P293" i="108"/>
  <c r="Q293" i="108" s="1"/>
  <c r="P236" i="108"/>
  <c r="Q236" i="108" s="1"/>
  <c r="P223" i="108"/>
  <c r="Q223" i="108" s="1"/>
  <c r="P210" i="108"/>
  <c r="Q210" i="108" s="1"/>
  <c r="P128" i="108"/>
  <c r="Q128" i="108" s="1"/>
  <c r="P922" i="108"/>
  <c r="Q922" i="108" s="1"/>
  <c r="P858" i="108"/>
  <c r="Q858" i="108" s="1"/>
  <c r="P827" i="108"/>
  <c r="Q827" i="108" s="1"/>
  <c r="P770" i="108"/>
  <c r="Q770" i="108" s="1"/>
  <c r="P719" i="108"/>
  <c r="Q719" i="108" s="1"/>
  <c r="P597" i="108"/>
  <c r="Q597" i="108" s="1"/>
  <c r="P933" i="108"/>
  <c r="Q933" i="108" s="1"/>
  <c r="P821" i="108"/>
  <c r="Q821" i="108" s="1"/>
  <c r="P744" i="108"/>
  <c r="Q744" i="108" s="1"/>
  <c r="P684" i="108"/>
  <c r="Q684" i="108" s="1"/>
  <c r="P650" i="108"/>
  <c r="Q650" i="108" s="1"/>
  <c r="P621" i="108"/>
  <c r="Q621" i="108" s="1"/>
  <c r="P590" i="108"/>
  <c r="Q590" i="108" s="1"/>
  <c r="P386" i="108"/>
  <c r="Q386" i="108" s="1"/>
  <c r="P368" i="108"/>
  <c r="Q368" i="108" s="1"/>
  <c r="P315" i="108"/>
  <c r="Q315" i="108" s="1"/>
  <c r="P260" i="108"/>
  <c r="Q260" i="108" s="1"/>
  <c r="P212" i="108"/>
  <c r="Q212" i="108" s="1"/>
  <c r="P93" i="108"/>
  <c r="Q93" i="108" s="1"/>
  <c r="P741" i="108"/>
  <c r="Q741" i="108" s="1"/>
  <c r="P159" i="108"/>
  <c r="Q159" i="108" s="1"/>
  <c r="P101" i="108"/>
  <c r="Q101" i="108" s="1"/>
  <c r="P615" i="108"/>
  <c r="Q615" i="108" s="1"/>
  <c r="P501" i="108"/>
  <c r="Q501" i="108" s="1"/>
  <c r="P420" i="108"/>
  <c r="Q420" i="108" s="1"/>
  <c r="P174" i="108"/>
  <c r="Q174" i="108" s="1"/>
  <c r="P898" i="108"/>
  <c r="Q898" i="108" s="1"/>
  <c r="P855" i="108"/>
  <c r="Q855" i="108" s="1"/>
  <c r="P743" i="108"/>
  <c r="Q743" i="108" s="1"/>
  <c r="P715" i="108"/>
  <c r="Q715" i="108" s="1"/>
  <c r="P680" i="108"/>
  <c r="Q680" i="108" s="1"/>
  <c r="P589" i="108"/>
  <c r="Q589" i="108" s="1"/>
  <c r="P556" i="108"/>
  <c r="Q556" i="108" s="1"/>
  <c r="P532" i="108"/>
  <c r="Q532" i="108" s="1"/>
  <c r="P503" i="108"/>
  <c r="Q503" i="108" s="1"/>
  <c r="P477" i="108"/>
  <c r="Q477" i="108" s="1"/>
  <c r="P445" i="108"/>
  <c r="Q445" i="108" s="1"/>
  <c r="P402" i="108"/>
  <c r="Q402" i="108" s="1"/>
  <c r="P349" i="108"/>
  <c r="Q349" i="108" s="1"/>
  <c r="P296" i="108"/>
  <c r="Q296" i="108" s="1"/>
  <c r="P244" i="108"/>
  <c r="Q244" i="108" s="1"/>
  <c r="P160" i="108"/>
  <c r="Q160" i="108" s="1"/>
  <c r="P145" i="108"/>
  <c r="Q145" i="108" s="1"/>
  <c r="P68" i="108"/>
  <c r="Q68" i="108" s="1"/>
  <c r="P775" i="108"/>
  <c r="Q775" i="108" s="1"/>
  <c r="P710" i="108"/>
  <c r="Q710" i="108" s="1"/>
  <c r="P348" i="108"/>
  <c r="Q348" i="108" s="1"/>
  <c r="P807" i="108"/>
  <c r="Q807" i="108" s="1"/>
  <c r="P554" i="108"/>
  <c r="Q554" i="108" s="1"/>
  <c r="P443" i="108"/>
  <c r="Q443" i="108" s="1"/>
  <c r="P384" i="108"/>
  <c r="Q384" i="108" s="1"/>
  <c r="P258" i="108"/>
  <c r="Q258" i="108" s="1"/>
  <c r="P932" i="108"/>
  <c r="Q932" i="108" s="1"/>
  <c r="P854" i="108"/>
  <c r="Q854" i="108" s="1"/>
  <c r="P814" i="108"/>
  <c r="Q814" i="108" s="1"/>
  <c r="P776" i="108"/>
  <c r="Q776" i="108" s="1"/>
  <c r="P711" i="108"/>
  <c r="Q711" i="108" s="1"/>
  <c r="P620" i="108"/>
  <c r="Q620" i="108" s="1"/>
  <c r="P421" i="108"/>
  <c r="Q421" i="108" s="1"/>
  <c r="P385" i="108"/>
  <c r="Q385" i="108" s="1"/>
  <c r="P330" i="108"/>
  <c r="Q330" i="108" s="1"/>
  <c r="P277" i="108"/>
  <c r="Q277" i="108" s="1"/>
  <c r="P192" i="108"/>
  <c r="Q192" i="108" s="1"/>
  <c r="P177" i="108"/>
  <c r="Q177" i="108" s="1"/>
  <c r="P126" i="108"/>
  <c r="Q126" i="108" s="1"/>
  <c r="P97" i="108"/>
  <c r="Q97" i="108" s="1"/>
  <c r="P64" i="108"/>
  <c r="Q64" i="108" s="1"/>
  <c r="P60" i="108"/>
  <c r="Q60" i="108" s="1"/>
  <c r="P931" i="108"/>
  <c r="Q931" i="108" s="1"/>
  <c r="P243" i="108"/>
  <c r="Q243" i="108" s="1"/>
  <c r="P646" i="108"/>
  <c r="Q646" i="108" s="1"/>
  <c r="P475" i="108"/>
  <c r="Q475" i="108" s="1"/>
  <c r="P274" i="108"/>
  <c r="Q274" i="108" s="1"/>
  <c r="P894" i="108"/>
  <c r="Q894" i="108" s="1"/>
  <c r="P679" i="108"/>
  <c r="Q679" i="108" s="1"/>
  <c r="P648" i="108"/>
  <c r="Q648" i="108" s="1"/>
  <c r="P616" i="108"/>
  <c r="Q616" i="108" s="1"/>
  <c r="P588" i="108"/>
  <c r="Q588" i="108" s="1"/>
  <c r="P555" i="108"/>
  <c r="Q555" i="108" s="1"/>
  <c r="P531" i="108"/>
  <c r="Q531" i="108" s="1"/>
  <c r="P502" i="108"/>
  <c r="Q502" i="108" s="1"/>
  <c r="P476" i="108"/>
  <c r="Q476" i="108" s="1"/>
  <c r="P444" i="108"/>
  <c r="Q444" i="108" s="1"/>
  <c r="P364" i="108"/>
  <c r="Q364" i="108" s="1"/>
  <c r="P314" i="108"/>
  <c r="Q314" i="108" s="1"/>
  <c r="P226" i="108"/>
  <c r="Q226" i="108" s="1"/>
  <c r="P207" i="108"/>
  <c r="Q207" i="108" s="1"/>
  <c r="P56" i="108"/>
  <c r="Q56" i="108" s="1"/>
  <c r="P853" i="108"/>
  <c r="Q853" i="108" s="1"/>
  <c r="P401" i="108"/>
  <c r="Q401" i="108" s="1"/>
  <c r="P295" i="108"/>
  <c r="Q295" i="108" s="1"/>
  <c r="P140" i="108"/>
  <c r="Q140" i="108" s="1"/>
  <c r="P887" i="108"/>
  <c r="Q887" i="108" s="1"/>
  <c r="P530" i="108"/>
  <c r="Q530" i="108" s="1"/>
  <c r="P329" i="108"/>
  <c r="Q329" i="108" s="1"/>
  <c r="P191" i="108"/>
  <c r="Q191" i="108" s="1"/>
  <c r="P125" i="108"/>
  <c r="Q125" i="108" s="1"/>
  <c r="P678" i="108"/>
  <c r="Q678" i="108" s="1"/>
  <c r="P852" i="108"/>
  <c r="Q852" i="108" s="1"/>
  <c r="P926" i="108"/>
  <c r="Q926" i="108" s="1"/>
  <c r="P886" i="108"/>
  <c r="Q886" i="108" s="1"/>
  <c r="P851" i="108"/>
  <c r="Q851" i="108" s="1"/>
  <c r="P805" i="108"/>
  <c r="Q805" i="108" s="1"/>
  <c r="P923" i="108"/>
  <c r="Q923" i="108" s="1"/>
  <c r="P885" i="108"/>
  <c r="Q885" i="108" s="1"/>
  <c r="P850" i="108"/>
  <c r="Q850" i="108" s="1"/>
  <c r="P804" i="108"/>
  <c r="Q804" i="108" s="1"/>
  <c r="P738" i="108"/>
  <c r="Q738" i="108" s="1"/>
  <c r="P578" i="108"/>
  <c r="Q578" i="108" s="1"/>
  <c r="P415" i="108"/>
  <c r="Q415" i="108" s="1"/>
  <c r="P399" i="108"/>
  <c r="Q399" i="108" s="1"/>
  <c r="P256" i="108"/>
  <c r="Q256" i="108" s="1"/>
  <c r="P239" i="108"/>
  <c r="Q239" i="108" s="1"/>
  <c r="P172" i="108"/>
  <c r="Q172" i="108" s="1"/>
  <c r="P155" i="108"/>
  <c r="Q155" i="108" s="1"/>
  <c r="P138" i="108"/>
  <c r="Q138" i="108" s="1"/>
  <c r="P71" i="108"/>
  <c r="Q71" i="108" s="1"/>
  <c r="P55" i="108"/>
  <c r="Q55" i="108" s="1"/>
  <c r="P838" i="108"/>
  <c r="Q838" i="108" s="1"/>
  <c r="P701" i="108"/>
  <c r="Q701" i="108" s="1"/>
  <c r="P670" i="108"/>
  <c r="Q670" i="108" s="1"/>
  <c r="P643" i="108"/>
  <c r="Q643" i="108" s="1"/>
  <c r="P612" i="108"/>
  <c r="Q612" i="108" s="1"/>
  <c r="P576" i="108"/>
  <c r="Q576" i="108" s="1"/>
  <c r="P522" i="108"/>
  <c r="Q522" i="108" s="1"/>
  <c r="P498" i="108"/>
  <c r="Q498" i="108" s="1"/>
  <c r="P466" i="108"/>
  <c r="Q466" i="108" s="1"/>
  <c r="P440" i="108"/>
  <c r="Q440" i="108" s="1"/>
  <c r="P378" i="108"/>
  <c r="Q378" i="108" s="1"/>
  <c r="P327" i="108"/>
  <c r="Q327" i="108" s="1"/>
  <c r="P272" i="108"/>
  <c r="Q272" i="108" s="1"/>
  <c r="P204" i="108"/>
  <c r="Q204" i="108" s="1"/>
  <c r="P189" i="108"/>
  <c r="Q189" i="108" s="1"/>
  <c r="P884" i="108"/>
  <c r="Q884" i="108" s="1"/>
  <c r="P736" i="108"/>
  <c r="Q736" i="108" s="1"/>
  <c r="P551" i="108"/>
  <c r="Q551" i="108" s="1"/>
  <c r="P290" i="108"/>
  <c r="Q290" i="108" s="1"/>
  <c r="P803" i="108"/>
  <c r="Q803" i="108" s="1"/>
  <c r="P735" i="108"/>
  <c r="Q735" i="108" s="1"/>
  <c r="P669" i="108"/>
  <c r="Q669" i="108" s="1"/>
  <c r="P606" i="108"/>
  <c r="Q606" i="108" s="1"/>
  <c r="P575" i="108"/>
  <c r="Q575" i="108" s="1"/>
  <c r="P496" i="108"/>
  <c r="Q496" i="108" s="1"/>
  <c r="P464" i="108"/>
  <c r="Q464" i="108" s="1"/>
  <c r="P361" i="108"/>
  <c r="Q361" i="108" s="1"/>
  <c r="P920" i="108"/>
  <c r="Q920" i="108" s="1"/>
  <c r="P883" i="108"/>
  <c r="Q883" i="108" s="1"/>
  <c r="P837" i="108"/>
  <c r="Q837" i="108" s="1"/>
  <c r="P763" i="108"/>
  <c r="Q763" i="108" s="1"/>
  <c r="P791" i="108"/>
  <c r="Q791" i="108" s="1"/>
  <c r="P534" i="108"/>
  <c r="Q534" i="108" s="1"/>
  <c r="P491" i="108"/>
  <c r="Q491" i="108" s="1"/>
  <c r="P416" i="108"/>
  <c r="Q416" i="108" s="1"/>
  <c r="P391" i="108"/>
  <c r="Q391" i="108" s="1"/>
  <c r="P318" i="108"/>
  <c r="Q318" i="108" s="1"/>
  <c r="P161" i="108"/>
  <c r="Q161" i="108" s="1"/>
  <c r="P486" i="108"/>
  <c r="Q486" i="108" s="1"/>
  <c r="P136" i="108"/>
  <c r="Q136" i="108" s="1"/>
  <c r="P59" i="108"/>
  <c r="Q59" i="108" s="1"/>
  <c r="P651" i="108"/>
  <c r="Q651" i="108" s="1"/>
  <c r="P340" i="108"/>
  <c r="Q340" i="108" s="1"/>
  <c r="P179" i="108"/>
  <c r="Q179" i="108" s="1"/>
  <c r="P603" i="108"/>
  <c r="Q603" i="108" s="1"/>
  <c r="P919" i="108"/>
  <c r="Q919" i="108" s="1"/>
  <c r="P698" i="108"/>
  <c r="Q698" i="108" s="1"/>
  <c r="P653" i="108"/>
  <c r="Q653" i="108" s="1"/>
  <c r="P613" i="108"/>
  <c r="Q613" i="108" s="1"/>
  <c r="P570" i="108"/>
  <c r="Q570" i="108" s="1"/>
  <c r="P457" i="108"/>
  <c r="Q457" i="108" s="1"/>
  <c r="P369" i="108"/>
  <c r="Q369" i="108" s="1"/>
  <c r="P247" i="108"/>
  <c r="Q247" i="108" s="1"/>
  <c r="P225" i="108"/>
  <c r="Q225" i="108" s="1"/>
  <c r="P137" i="108"/>
  <c r="Q137" i="108" s="1"/>
  <c r="P95" i="108"/>
  <c r="Q95" i="108" s="1"/>
  <c r="P79" i="108"/>
  <c r="Q79" i="108" s="1"/>
  <c r="P363" i="108"/>
  <c r="Q363" i="108" s="1"/>
  <c r="P222" i="108"/>
  <c r="Q222" i="108" s="1"/>
  <c r="P604" i="108"/>
  <c r="Q604" i="108" s="1"/>
  <c r="P268" i="108"/>
  <c r="Q268" i="108" s="1"/>
  <c r="P201" i="108"/>
  <c r="Q201" i="108" s="1"/>
  <c r="P521" i="108"/>
  <c r="Q521" i="108" s="1"/>
  <c r="P152" i="108"/>
  <c r="Q152" i="108" s="1"/>
  <c r="P89" i="108"/>
  <c r="Q89" i="108" s="1"/>
  <c r="P790" i="108"/>
  <c r="Q790" i="108" s="1"/>
  <c r="P740" i="108"/>
  <c r="Q740" i="108" s="1"/>
  <c r="P533" i="108"/>
  <c r="Q533" i="108" s="1"/>
  <c r="P487" i="108"/>
  <c r="Q487" i="108" s="1"/>
  <c r="P341" i="108"/>
  <c r="Q341" i="108" s="1"/>
  <c r="P292" i="108"/>
  <c r="Q292" i="108" s="1"/>
  <c r="P270" i="108"/>
  <c r="Q270" i="108" s="1"/>
  <c r="P202" i="108"/>
  <c r="Q202" i="108" s="1"/>
  <c r="P180" i="108"/>
  <c r="Q180" i="108" s="1"/>
  <c r="P118" i="108"/>
  <c r="Q118" i="108" s="1"/>
  <c r="P100" i="108"/>
  <c r="Q100" i="108" s="1"/>
  <c r="P789" i="108"/>
  <c r="Q789" i="108" s="1"/>
  <c r="P246" i="108"/>
  <c r="Q246" i="108" s="1"/>
  <c r="P914" i="108"/>
  <c r="Q914" i="108" s="1"/>
  <c r="P221" i="108"/>
  <c r="Q221" i="108" s="1"/>
  <c r="P567" i="108"/>
  <c r="Q567" i="108" s="1"/>
  <c r="P918" i="108"/>
  <c r="Q918" i="108" s="1"/>
  <c r="P856" i="108"/>
  <c r="Q856" i="108" s="1"/>
  <c r="P696" i="108"/>
  <c r="Q696" i="108" s="1"/>
  <c r="P652" i="108"/>
  <c r="Q652" i="108" s="1"/>
  <c r="P605" i="108"/>
  <c r="Q605" i="108" s="1"/>
  <c r="P569" i="108"/>
  <c r="Q569" i="108" s="1"/>
  <c r="P528" i="108"/>
  <c r="Q528" i="108" s="1"/>
  <c r="P456" i="108"/>
  <c r="Q456" i="108" s="1"/>
  <c r="P414" i="108"/>
  <c r="Q414" i="108" s="1"/>
  <c r="P390" i="108"/>
  <c r="Q390" i="108" s="1"/>
  <c r="P317" i="108"/>
  <c r="Q317" i="108" s="1"/>
  <c r="P158" i="108"/>
  <c r="Q158" i="108" s="1"/>
  <c r="P84" i="108"/>
  <c r="Q84" i="108" s="1"/>
  <c r="P74" i="108"/>
  <c r="Q74" i="108" s="1"/>
  <c r="P739" i="108"/>
  <c r="Q739" i="108" s="1"/>
  <c r="P527" i="108"/>
  <c r="Q527" i="108" s="1"/>
  <c r="P111" i="108"/>
  <c r="Q111" i="108" s="1"/>
  <c r="P568" i="108"/>
  <c r="Q568" i="108" s="1"/>
  <c r="P455" i="108"/>
  <c r="Q455" i="108" s="1"/>
  <c r="P135" i="108"/>
  <c r="Q135" i="108" s="1"/>
  <c r="P69" i="108"/>
  <c r="Q69" i="108" s="1"/>
  <c r="P245" i="108"/>
  <c r="Q245" i="108" s="1"/>
  <c r="P692" i="108"/>
  <c r="Q692" i="108" s="1"/>
  <c r="P836" i="108"/>
  <c r="Q836" i="108" s="1"/>
  <c r="P788" i="108"/>
  <c r="Q788" i="108" s="1"/>
  <c r="P523" i="108"/>
  <c r="Q523" i="108" s="1"/>
  <c r="P485" i="108"/>
  <c r="Q485" i="108" s="1"/>
  <c r="P413" i="108"/>
  <c r="Q413" i="108" s="1"/>
  <c r="P389" i="108"/>
  <c r="Q389" i="108" s="1"/>
  <c r="P316" i="108"/>
  <c r="Q316" i="108" s="1"/>
  <c r="P289" i="108"/>
  <c r="Q289" i="108" s="1"/>
  <c r="P362" i="108"/>
  <c r="Q362" i="108" s="1"/>
  <c r="P910" i="108"/>
  <c r="Q910" i="108" s="1"/>
  <c r="P734" i="108"/>
  <c r="Q734" i="108" s="1"/>
  <c r="P691" i="108"/>
  <c r="Q691" i="108" s="1"/>
  <c r="P451" i="108"/>
  <c r="Q451" i="108" s="1"/>
  <c r="P835" i="108"/>
  <c r="Q835" i="108" s="1"/>
  <c r="P787" i="108"/>
  <c r="Q787" i="108" s="1"/>
  <c r="P727" i="108"/>
  <c r="Q727" i="108" s="1"/>
  <c r="P645" i="108"/>
  <c r="Q645" i="108" s="1"/>
  <c r="P484" i="108"/>
  <c r="Q484" i="108" s="1"/>
  <c r="P907" i="108"/>
  <c r="Q907" i="108" s="1"/>
  <c r="P779" i="108"/>
  <c r="Q779" i="108" s="1"/>
  <c r="P690" i="108"/>
  <c r="Q690" i="108" s="1"/>
  <c r="P602" i="108"/>
  <c r="Q602" i="108" s="1"/>
  <c r="P566" i="108"/>
  <c r="Q566" i="108" s="1"/>
  <c r="P520" i="108"/>
  <c r="Q520" i="108" s="1"/>
  <c r="P442" i="108"/>
  <c r="Q442" i="108" s="1"/>
  <c r="P412" i="108"/>
  <c r="Q412" i="108" s="1"/>
  <c r="P388" i="108"/>
  <c r="Q388" i="108" s="1"/>
  <c r="P313" i="108"/>
  <c r="Q313" i="108" s="1"/>
  <c r="P286" i="108"/>
  <c r="Q286" i="108" s="1"/>
  <c r="P834" i="108"/>
  <c r="Q834" i="108" s="1"/>
  <c r="P726" i="108"/>
  <c r="Q726" i="108" s="1"/>
  <c r="P688" i="108"/>
  <c r="Q688" i="108" s="1"/>
  <c r="P644" i="108"/>
  <c r="Q644" i="108" s="1"/>
  <c r="P483" i="108"/>
  <c r="Q483" i="108" s="1"/>
  <c r="P902" i="108"/>
  <c r="Q902" i="108" s="1"/>
  <c r="P778" i="108"/>
  <c r="Q778" i="108" s="1"/>
  <c r="P771" i="108"/>
  <c r="Q771" i="108" s="1"/>
  <c r="P725" i="108"/>
  <c r="Q725" i="108" s="1"/>
  <c r="P640" i="108"/>
  <c r="Q640" i="108" s="1"/>
  <c r="P482" i="108"/>
  <c r="Q482" i="108" s="1"/>
  <c r="P439" i="108"/>
  <c r="Q439" i="108" s="1"/>
  <c r="P409" i="108"/>
  <c r="Q409" i="108" s="1"/>
  <c r="P309" i="108"/>
  <c r="Q309" i="108" s="1"/>
  <c r="P285" i="108"/>
  <c r="Q285" i="108" s="1"/>
  <c r="P99" i="108"/>
  <c r="Q99" i="108" s="1"/>
  <c r="P73" i="108"/>
  <c r="Q73" i="108" s="1"/>
  <c r="P901" i="108"/>
  <c r="Q901" i="108" s="1"/>
  <c r="P686" i="108"/>
  <c r="Q686" i="108" s="1"/>
  <c r="P639" i="108"/>
  <c r="Q639" i="108" s="1"/>
  <c r="P596" i="108"/>
  <c r="Q596" i="108" s="1"/>
  <c r="P553" i="108"/>
  <c r="Q553" i="108" s="1"/>
  <c r="P515" i="108"/>
  <c r="Q515" i="108" s="1"/>
  <c r="P480" i="108"/>
  <c r="Q480" i="108" s="1"/>
  <c r="P357" i="108"/>
  <c r="Q357" i="108" s="1"/>
  <c r="P306" i="108"/>
  <c r="Q306" i="108" s="1"/>
  <c r="P216" i="108"/>
  <c r="Q216" i="108" s="1"/>
  <c r="P194" i="108"/>
  <c r="Q194" i="108" s="1"/>
  <c r="P150" i="108"/>
  <c r="Q150" i="108" s="1"/>
  <c r="P133" i="108"/>
  <c r="Q133" i="108" s="1"/>
  <c r="P109" i="108"/>
  <c r="Q109" i="108" s="1"/>
  <c r="P899" i="108"/>
  <c r="Q899" i="108" s="1"/>
  <c r="P824" i="108"/>
  <c r="Q824" i="108" s="1"/>
  <c r="P762" i="108"/>
  <c r="Q762" i="108" s="1"/>
  <c r="P722" i="108"/>
  <c r="Q722" i="108" s="1"/>
  <c r="P674" i="108"/>
  <c r="Q674" i="108" s="1"/>
  <c r="P594" i="108"/>
  <c r="Q594" i="108" s="1"/>
  <c r="P511" i="108"/>
  <c r="Q511" i="108" s="1"/>
  <c r="P404" i="108"/>
  <c r="Q404" i="108" s="1"/>
  <c r="P331" i="108"/>
  <c r="Q331" i="108" s="1"/>
  <c r="P114" i="108"/>
  <c r="Q114" i="108" s="1"/>
  <c r="P87" i="108"/>
  <c r="Q87" i="108" s="1"/>
  <c r="P82" i="108"/>
  <c r="Q82" i="108" s="1"/>
  <c r="P57" i="108"/>
  <c r="Q57" i="108" s="1"/>
  <c r="P720" i="108"/>
  <c r="Q720" i="108" s="1"/>
  <c r="P766" i="108"/>
  <c r="Q766" i="108" s="1"/>
  <c r="P687" i="108"/>
  <c r="Q687" i="108" s="1"/>
  <c r="P622" i="108"/>
  <c r="Q622" i="108" s="1"/>
  <c r="P541" i="108"/>
  <c r="Q541" i="108" s="1"/>
  <c r="P467" i="108"/>
  <c r="Q467" i="108" s="1"/>
  <c r="P297" i="108"/>
  <c r="Q297" i="108" s="1"/>
  <c r="P149" i="108"/>
  <c r="Q149" i="108" s="1"/>
  <c r="P121" i="108"/>
  <c r="Q121" i="108" s="1"/>
  <c r="P249" i="108"/>
  <c r="Q249" i="108" s="1"/>
  <c r="P91" i="108"/>
  <c r="Q91" i="108" s="1"/>
  <c r="P248" i="108"/>
  <c r="Q248" i="108" s="1"/>
  <c r="P592" i="108"/>
  <c r="Q592" i="108" s="1"/>
  <c r="P667" i="108"/>
  <c r="Q667" i="108" s="1"/>
  <c r="P319" i="108"/>
  <c r="Q319" i="108" s="1"/>
  <c r="P171" i="108"/>
  <c r="Q171" i="108" s="1"/>
  <c r="P107" i="108"/>
  <c r="Q107" i="108" s="1"/>
  <c r="P900" i="108"/>
  <c r="Q900" i="108" s="1"/>
  <c r="P463" i="108"/>
  <c r="Q463" i="108" s="1"/>
  <c r="P373" i="108"/>
  <c r="Q373" i="108" s="1"/>
  <c r="P328" i="108"/>
  <c r="Q328" i="108" s="1"/>
  <c r="P184" i="108"/>
  <c r="Q184" i="108" s="1"/>
  <c r="P671" i="108"/>
  <c r="Q671" i="108" s="1"/>
  <c r="P147" i="108"/>
  <c r="Q147" i="108" s="1"/>
  <c r="P668" i="108"/>
  <c r="Q668" i="108" s="1"/>
  <c r="P320" i="108"/>
  <c r="Q320" i="108" s="1"/>
  <c r="P870" i="108"/>
  <c r="Q870" i="108" s="1"/>
  <c r="P400" i="108"/>
  <c r="Q400" i="108" s="1"/>
  <c r="P356" i="108"/>
  <c r="Q356" i="108" s="1"/>
  <c r="P168" i="108"/>
  <c r="Q168" i="108" s="1"/>
  <c r="P579" i="108"/>
  <c r="Q579" i="108" s="1"/>
  <c r="P760" i="108"/>
  <c r="Q760" i="108" s="1"/>
  <c r="P685" i="108"/>
  <c r="Q685" i="108" s="1"/>
  <c r="P540" i="108"/>
  <c r="Q540" i="108" s="1"/>
  <c r="P254" i="108"/>
  <c r="Q254" i="108" s="1"/>
  <c r="P215" i="108"/>
  <c r="Q215" i="108" s="1"/>
  <c r="P148" i="108"/>
  <c r="Q148" i="108" s="1"/>
  <c r="P83" i="108"/>
  <c r="Q83" i="108" s="1"/>
  <c r="P178" i="108"/>
  <c r="Q178" i="108" s="1"/>
  <c r="P67" i="108"/>
  <c r="Q67" i="108" s="1"/>
  <c r="P213" i="108"/>
  <c r="Q213" i="108" s="1"/>
  <c r="P519" i="108"/>
  <c r="Q519" i="108" s="1"/>
  <c r="P882" i="108"/>
  <c r="Q882" i="108" s="1"/>
  <c r="P614" i="108"/>
  <c r="Q614" i="108" s="1"/>
  <c r="P462" i="108"/>
  <c r="Q462" i="108" s="1"/>
  <c r="P119" i="108"/>
  <c r="Q119" i="108" s="1"/>
  <c r="P61" i="108"/>
  <c r="Q61" i="108" s="1"/>
  <c r="P284" i="108"/>
  <c r="Q284" i="108" s="1"/>
  <c r="P116" i="108"/>
  <c r="Q116" i="108" s="1"/>
  <c r="P878" i="108"/>
  <c r="Q878" i="108" s="1"/>
  <c r="P759" i="108"/>
  <c r="Q759" i="108" s="1"/>
  <c r="P672" i="108"/>
  <c r="Q672" i="108" s="1"/>
  <c r="P536" i="108"/>
  <c r="Q536" i="108" s="1"/>
  <c r="P372" i="108"/>
  <c r="Q372" i="108" s="1"/>
  <c r="P326" i="108"/>
  <c r="Q326" i="108" s="1"/>
  <c r="P214" i="108"/>
  <c r="Q214" i="108" s="1"/>
  <c r="P181" i="108"/>
  <c r="Q181" i="108" s="1"/>
  <c r="P461" i="108"/>
  <c r="Q461" i="108" s="1"/>
  <c r="P460" i="108"/>
  <c r="Q460" i="108" s="1"/>
  <c r="P283" i="108"/>
  <c r="Q283" i="108" s="1"/>
  <c r="P754" i="108"/>
  <c r="Q754" i="108" s="1"/>
  <c r="P146" i="108"/>
  <c r="Q146" i="108" s="1"/>
  <c r="P591" i="108"/>
  <c r="Q591" i="108" s="1"/>
  <c r="P748" i="108"/>
  <c r="Q748" i="108" s="1"/>
  <c r="P206" i="108"/>
  <c r="Q206" i="108" s="1"/>
  <c r="P664" i="108"/>
  <c r="Q664" i="108" s="1"/>
  <c r="P278" i="108"/>
  <c r="Q278" i="108" s="1"/>
  <c r="P282" i="108"/>
  <c r="Q282" i="108" s="1"/>
  <c r="P871" i="108"/>
  <c r="Q871" i="108" s="1"/>
  <c r="P758" i="108"/>
  <c r="Q758" i="108" s="1"/>
  <c r="P595" i="108"/>
  <c r="Q595" i="108" s="1"/>
  <c r="P535" i="108"/>
  <c r="Q535" i="108" s="1"/>
  <c r="P403" i="108"/>
  <c r="Q403" i="108" s="1"/>
  <c r="P360" i="108"/>
  <c r="Q360" i="108" s="1"/>
  <c r="P173" i="108"/>
  <c r="Q173" i="108" s="1"/>
  <c r="P240" i="108"/>
  <c r="Q240" i="108" s="1"/>
  <c r="P514" i="108"/>
  <c r="Q514" i="108" s="1"/>
  <c r="P459" i="108"/>
  <c r="Q459" i="108" s="1"/>
  <c r="P441" i="108"/>
  <c r="Q441" i="108" s="1"/>
  <c r="P866" i="108"/>
  <c r="Q866" i="108" s="1"/>
  <c r="P354" i="108"/>
  <c r="Q354" i="108" s="1"/>
  <c r="P583" i="108"/>
  <c r="Q583" i="108" s="1"/>
  <c r="P512" i="108"/>
  <c r="Q512" i="108" s="1"/>
  <c r="P458" i="108"/>
  <c r="Q458" i="108" s="1"/>
  <c r="P139" i="108"/>
  <c r="Q139" i="108" s="1"/>
  <c r="P90" i="108"/>
  <c r="Q90" i="108" s="1"/>
  <c r="P747" i="108"/>
  <c r="Q747" i="108" s="1"/>
  <c r="P510" i="108"/>
  <c r="Q510" i="108" s="1"/>
  <c r="P862" i="108"/>
  <c r="Q862" i="108" s="1"/>
  <c r="P398" i="108"/>
  <c r="Q398" i="108" s="1"/>
  <c r="P205" i="108"/>
  <c r="Q205" i="108" s="1"/>
  <c r="P826" i="108"/>
  <c r="Q826" i="108" s="1"/>
  <c r="P663" i="108"/>
  <c r="Q663" i="108" s="1"/>
  <c r="P509" i="108"/>
  <c r="Q509" i="108" s="1"/>
  <c r="P392" i="108"/>
  <c r="Q392" i="108" s="1"/>
  <c r="P353" i="108"/>
  <c r="Q353" i="108" s="1"/>
  <c r="P723" i="108"/>
  <c r="Q723" i="108" s="1"/>
  <c r="P662" i="108"/>
  <c r="Q662" i="108" s="1"/>
  <c r="P505" i="108"/>
  <c r="Q505" i="108" s="1"/>
  <c r="P431" i="108"/>
  <c r="Q431" i="108" s="1"/>
  <c r="P200" i="108"/>
  <c r="Q200" i="108" s="1"/>
  <c r="P134" i="108"/>
  <c r="Q134" i="108" s="1"/>
  <c r="P823" i="108"/>
  <c r="Q823" i="108" s="1"/>
  <c r="P642" i="108"/>
  <c r="Q642" i="108" s="1"/>
  <c r="P350" i="108"/>
  <c r="Q350" i="108" s="1"/>
  <c r="P305" i="108"/>
  <c r="Q305" i="108" s="1"/>
  <c r="P166" i="108"/>
  <c r="Q166" i="108" s="1"/>
  <c r="P96" i="108"/>
  <c r="Q96" i="108" s="1"/>
  <c r="P430" i="108"/>
  <c r="Q430" i="108" s="1"/>
  <c r="P199" i="108"/>
  <c r="Q199" i="108" s="1"/>
  <c r="P822" i="108"/>
  <c r="Q822" i="108" s="1"/>
  <c r="P635" i="108"/>
  <c r="Q635" i="108" s="1"/>
  <c r="P573" i="108"/>
  <c r="Q573" i="108" s="1"/>
  <c r="P504" i="108"/>
  <c r="Q504" i="108" s="1"/>
  <c r="P132" i="108"/>
  <c r="Q132" i="108" s="1"/>
  <c r="P718" i="108"/>
  <c r="Q718" i="108" s="1"/>
  <c r="P233" i="108"/>
  <c r="Q233" i="108" s="1"/>
  <c r="P500" i="108"/>
  <c r="Q500" i="108" s="1"/>
  <c r="P624" i="108"/>
  <c r="Q624" i="108" s="1"/>
  <c r="P859" i="108"/>
  <c r="Q859" i="108" s="1"/>
  <c r="P623" i="108"/>
  <c r="Q623" i="108" s="1"/>
  <c r="P428" i="108"/>
  <c r="Q428" i="108" s="1"/>
  <c r="P334" i="108"/>
  <c r="Q334" i="108" s="1"/>
  <c r="P185" i="108"/>
  <c r="Q185" i="108" s="1"/>
  <c r="P424" i="108"/>
  <c r="Q424" i="108" s="1"/>
  <c r="P255" i="108"/>
  <c r="Q255" i="108" s="1"/>
  <c r="P167" i="108"/>
  <c r="Q167" i="108" s="1"/>
  <c r="P65" i="108"/>
  <c r="Q65" i="108" s="1"/>
  <c r="P802" i="108"/>
  <c r="Q802" i="108" s="1"/>
  <c r="P63" i="108"/>
  <c r="Q63" i="108" s="1"/>
  <c r="P304" i="108"/>
  <c r="Q304" i="108" s="1"/>
  <c r="P62" i="108"/>
  <c r="Q62" i="108" s="1"/>
  <c r="P724" i="108"/>
  <c r="Q724" i="108" s="1"/>
  <c r="P228" i="108"/>
  <c r="Q228" i="108" s="1"/>
  <c r="P218" i="108"/>
  <c r="Q218" i="108" s="1"/>
  <c r="P479" i="108"/>
  <c r="Q479" i="108" s="1"/>
  <c r="P630" i="108"/>
  <c r="Q630" i="108" s="1"/>
  <c r="P122" i="108"/>
  <c r="Q122" i="108" s="1"/>
  <c r="P332" i="108"/>
  <c r="Q332" i="108" s="1"/>
  <c r="P423" i="108"/>
  <c r="Q423" i="108" s="1"/>
  <c r="P550" i="108"/>
  <c r="Q550" i="108" s="1"/>
  <c r="P232" i="108"/>
  <c r="Q232" i="108" s="1"/>
  <c r="P548" i="108"/>
  <c r="Q548" i="108" s="1"/>
  <c r="P717" i="108"/>
  <c r="Q717" i="108" s="1"/>
  <c r="P716" i="108"/>
  <c r="Q716" i="108" s="1"/>
  <c r="P58" i="108"/>
  <c r="Q58" i="108" s="1"/>
  <c r="P273" i="108"/>
  <c r="Q273" i="108" s="1"/>
  <c r="P262" i="108"/>
  <c r="Q262" i="108" s="1"/>
  <c r="P574" i="108"/>
  <c r="Q574" i="108" s="1"/>
  <c r="P557" i="108"/>
  <c r="Q557" i="108" s="1"/>
  <c r="P78" i="108"/>
  <c r="Q78" i="108" s="1"/>
  <c r="P234" i="108"/>
  <c r="Q234" i="108" s="1"/>
  <c r="P162" i="108"/>
  <c r="Q162" i="108" s="1"/>
  <c r="P549" i="108"/>
  <c r="Q549" i="108" s="1"/>
  <c r="P110" i="108"/>
  <c r="Q110" i="108" s="1"/>
  <c r="P77" i="108"/>
  <c r="Q77" i="108" s="1"/>
  <c r="P547" i="108"/>
  <c r="Q547" i="108" s="1"/>
  <c r="P92" i="108"/>
  <c r="Q92" i="108" s="1"/>
  <c r="P302" i="108"/>
  <c r="Q302" i="108" s="1"/>
  <c r="P377" i="108"/>
  <c r="Q377" i="108" s="1"/>
  <c r="P271" i="108"/>
  <c r="Q271" i="108" s="1"/>
  <c r="P437" i="108"/>
  <c r="Q437" i="108" s="1"/>
  <c r="P572" i="108"/>
  <c r="Q572" i="108" s="1"/>
  <c r="P235" i="108"/>
  <c r="Q235" i="108" s="1"/>
  <c r="P112" i="108"/>
  <c r="Q112" i="108" s="1"/>
  <c r="P746" i="108"/>
  <c r="Q746" i="108" s="1"/>
  <c r="P151" i="108"/>
  <c r="Q151" i="108" s="1"/>
  <c r="P383" i="108"/>
  <c r="Q383" i="108" s="1"/>
  <c r="P217" i="108"/>
  <c r="Q217" i="108" s="1"/>
  <c r="P267" i="108"/>
  <c r="Q267" i="108" s="1"/>
  <c r="P124" i="108"/>
  <c r="Q124" i="108" s="1"/>
  <c r="P628" i="108"/>
  <c r="Q628" i="108" s="1"/>
  <c r="P229" i="108"/>
  <c r="Q229" i="108" s="1"/>
  <c r="P298" i="108"/>
  <c r="Q298" i="108" s="1"/>
  <c r="P478" i="108"/>
  <c r="Q478" i="108" s="1"/>
  <c r="P345" i="108"/>
  <c r="Q345" i="108" s="1"/>
  <c r="P429" i="108"/>
  <c r="Q429" i="108" s="1"/>
  <c r="P88" i="108"/>
  <c r="Q88" i="108" s="1"/>
  <c r="P376" i="108"/>
  <c r="Q376" i="108" s="1"/>
  <c r="P190" i="108"/>
  <c r="Q190" i="108" s="1"/>
  <c r="P344" i="108"/>
  <c r="Q344" i="108" s="1"/>
  <c r="P66" i="108"/>
  <c r="Q66" i="108" s="1"/>
  <c r="P798" i="108"/>
  <c r="Q798" i="108" s="1"/>
  <c r="P552" i="108"/>
  <c r="Q552" i="108" s="1"/>
  <c r="P422" i="108"/>
  <c r="Q422" i="108" s="1"/>
  <c r="P303" i="108"/>
  <c r="Q303" i="108" s="1"/>
  <c r="P709" i="108"/>
  <c r="Q709" i="108" s="1"/>
  <c r="P104" i="108"/>
  <c r="Q104" i="108" s="1"/>
  <c r="P127" i="108"/>
  <c r="Q127" i="108" s="1"/>
  <c r="P468" i="108"/>
  <c r="Q468" i="108" s="1"/>
  <c r="P627" i="108"/>
  <c r="Q627" i="108" s="1"/>
  <c r="P81" i="108"/>
  <c r="Q81" i="108" s="1"/>
  <c r="P339" i="108"/>
  <c r="Q339" i="108" s="1"/>
  <c r="P261" i="108"/>
  <c r="Q261" i="108" s="1"/>
  <c r="P257" i="108"/>
  <c r="Q257" i="108" s="1"/>
  <c r="P438" i="108"/>
  <c r="Q438" i="108" s="1"/>
  <c r="P123" i="108"/>
  <c r="Q123" i="108" s="1"/>
  <c r="P188" i="108"/>
  <c r="Q188" i="108" s="1"/>
  <c r="P626" i="108"/>
  <c r="Q626" i="108" s="1"/>
  <c r="P499" i="108"/>
  <c r="Q499" i="108" s="1"/>
  <c r="P702" i="108"/>
  <c r="Q702" i="108" s="1"/>
  <c r="P492" i="108"/>
  <c r="Q492" i="108" s="1"/>
  <c r="P700" i="108"/>
  <c r="Q700" i="108" s="1"/>
  <c r="P203" i="108"/>
  <c r="Q203" i="108" s="1"/>
  <c r="P130" i="108"/>
  <c r="Q130" i="108" s="1"/>
  <c r="P699" i="108"/>
  <c r="Q699" i="108" s="1"/>
  <c r="P374" i="108"/>
  <c r="Q374" i="108" s="1"/>
  <c r="P103" i="108"/>
  <c r="Q103" i="108" s="1"/>
  <c r="P193" i="108"/>
  <c r="Q193" i="108" s="1"/>
  <c r="P342" i="108"/>
  <c r="Q342" i="108" s="1"/>
  <c r="P629" i="108"/>
  <c r="Q629" i="108" s="1"/>
  <c r="AB397" i="108"/>
  <c r="AB365" i="108"/>
  <c r="AB333" i="108"/>
  <c r="AB301" i="108"/>
  <c r="AB269" i="108"/>
  <c r="AB237" i="108"/>
  <c r="AB205" i="108"/>
  <c r="AB173" i="108"/>
  <c r="AB141" i="108"/>
  <c r="AB105" i="108"/>
  <c r="AB89" i="108"/>
  <c r="AB73" i="108"/>
  <c r="AB57" i="108"/>
  <c r="AB418" i="108"/>
  <c r="AB407" i="108"/>
  <c r="AB375" i="108"/>
  <c r="AB343" i="108"/>
  <c r="AB311" i="108"/>
  <c r="AB279" i="108"/>
  <c r="AB417" i="108"/>
  <c r="AB385" i="108"/>
  <c r="AB353" i="108"/>
  <c r="AB321" i="108"/>
  <c r="AB289" i="108"/>
  <c r="AB257" i="108"/>
  <c r="AB382" i="108"/>
  <c r="AB347" i="108"/>
  <c r="AB312" i="108"/>
  <c r="AB276" i="108"/>
  <c r="AB253" i="108"/>
  <c r="AB242" i="108"/>
  <c r="AB231" i="108"/>
  <c r="AB220" i="108"/>
  <c r="AB209" i="108"/>
  <c r="AB198" i="108"/>
  <c r="AB187" i="108"/>
  <c r="AB176" i="108"/>
  <c r="AB165" i="108"/>
  <c r="AB154" i="108"/>
  <c r="AB143" i="108"/>
  <c r="AB132" i="108"/>
  <c r="AB121" i="108"/>
  <c r="AB95" i="108"/>
  <c r="AB405" i="108"/>
  <c r="AB370" i="108"/>
  <c r="AB335" i="108"/>
  <c r="AB299" i="108"/>
  <c r="AB264" i="108"/>
  <c r="AB85" i="108"/>
  <c r="AB52" i="108"/>
  <c r="AB393" i="108"/>
  <c r="AB358" i="108"/>
  <c r="AB323" i="108"/>
  <c r="AB287" i="108"/>
  <c r="AB381" i="108"/>
  <c r="AB346" i="108"/>
  <c r="AB310" i="108"/>
  <c r="AB275" i="108"/>
  <c r="AB252" i="108"/>
  <c r="AB241" i="108"/>
  <c r="AB230" i="108"/>
  <c r="AB219" i="108"/>
  <c r="AB208" i="108"/>
  <c r="AB197" i="108"/>
  <c r="AB186" i="108"/>
  <c r="AB175" i="108"/>
  <c r="AB164" i="108"/>
  <c r="AB153" i="108"/>
  <c r="AB142" i="108"/>
  <c r="AB131" i="108"/>
  <c r="AB120" i="108"/>
  <c r="AB98" i="108"/>
  <c r="AB65" i="108"/>
  <c r="AB416" i="108"/>
  <c r="AB404" i="108"/>
  <c r="AB369" i="108"/>
  <c r="AB334" i="108"/>
  <c r="AB322" i="108"/>
  <c r="AB298" i="108"/>
  <c r="AB263" i="108"/>
  <c r="AB88" i="108"/>
  <c r="AB55" i="108"/>
  <c r="AB392" i="108"/>
  <c r="AB357" i="108"/>
  <c r="AB286" i="108"/>
  <c r="AB130" i="108"/>
  <c r="AB396" i="108"/>
  <c r="AB380" i="108"/>
  <c r="AB338" i="108"/>
  <c r="AB294" i="108"/>
  <c r="AB224" i="108"/>
  <c r="AB211" i="108"/>
  <c r="AB196" i="108"/>
  <c r="AB129" i="108"/>
  <c r="AB87" i="108"/>
  <c r="AB366" i="108"/>
  <c r="AB324" i="108"/>
  <c r="AB280" i="108"/>
  <c r="AB250" i="108"/>
  <c r="AB102" i="108"/>
  <c r="AB410" i="108"/>
  <c r="AB395" i="108"/>
  <c r="AB351" i="108"/>
  <c r="AB307" i="108"/>
  <c r="AB265" i="108"/>
  <c r="AB182" i="108"/>
  <c r="AB169" i="108"/>
  <c r="AB156" i="108"/>
  <c r="AB113" i="108"/>
  <c r="AB379" i="108"/>
  <c r="AB337" i="108"/>
  <c r="AB293" i="108"/>
  <c r="AB236" i="108"/>
  <c r="AB223" i="108"/>
  <c r="AB210" i="108"/>
  <c r="AB195" i="108"/>
  <c r="AB128" i="108"/>
  <c r="AB61" i="108"/>
  <c r="AB320" i="108"/>
  <c r="AB278" i="108"/>
  <c r="AB249" i="108"/>
  <c r="AB83" i="108"/>
  <c r="AB409" i="108"/>
  <c r="AB394" i="108"/>
  <c r="AB364" i="108"/>
  <c r="AB350" i="108"/>
  <c r="AB306" i="108"/>
  <c r="AB262" i="108"/>
  <c r="AB194" i="108"/>
  <c r="AB181" i="108"/>
  <c r="AB168" i="108"/>
  <c r="AB155" i="108"/>
  <c r="AB140" i="108"/>
  <c r="AB109" i="108"/>
  <c r="AB72" i="108"/>
  <c r="AB421" i="108"/>
  <c r="AB330" i="108"/>
  <c r="AB277" i="108"/>
  <c r="AB192" i="108"/>
  <c r="AB177" i="108"/>
  <c r="AB126" i="108"/>
  <c r="AB97" i="108"/>
  <c r="AB64" i="108"/>
  <c r="AB60" i="108"/>
  <c r="AB34" i="108"/>
  <c r="AB313" i="108"/>
  <c r="AB206" i="108"/>
  <c r="AB292" i="108"/>
  <c r="AB367" i="108"/>
  <c r="AB314" i="108"/>
  <c r="AB259" i="108"/>
  <c r="AB226" i="108"/>
  <c r="AB207" i="108"/>
  <c r="AB56" i="108"/>
  <c r="AB41" i="108"/>
  <c r="AB225" i="108"/>
  <c r="AB106" i="108"/>
  <c r="AB80" i="108"/>
  <c r="AB158" i="108"/>
  <c r="AB401" i="108"/>
  <c r="AB348" i="108"/>
  <c r="AB295" i="108"/>
  <c r="AB243" i="108"/>
  <c r="AB159" i="108"/>
  <c r="AB144" i="108"/>
  <c r="AB101" i="108"/>
  <c r="AB27" i="108"/>
  <c r="AB363" i="108"/>
  <c r="AB115" i="108"/>
  <c r="AB84" i="108"/>
  <c r="AB48" i="108"/>
  <c r="AB400" i="108"/>
  <c r="AB345" i="108"/>
  <c r="AB139" i="108"/>
  <c r="AB420" i="108"/>
  <c r="AB384" i="108"/>
  <c r="AB329" i="108"/>
  <c r="AB274" i="108"/>
  <c r="AB258" i="108"/>
  <c r="AB191" i="108"/>
  <c r="AB174" i="108"/>
  <c r="AB125" i="108"/>
  <c r="AB76" i="108"/>
  <c r="AB240" i="108"/>
  <c r="AB361" i="108"/>
  <c r="AB308" i="108"/>
  <c r="AB290" i="108"/>
  <c r="AB221" i="108"/>
  <c r="AB96" i="108"/>
  <c r="AB59" i="108"/>
  <c r="AB26" i="108"/>
  <c r="AB414" i="108"/>
  <c r="AB398" i="108"/>
  <c r="AB342" i="108"/>
  <c r="AB255" i="108"/>
  <c r="AB238" i="108"/>
  <c r="AB377" i="108"/>
  <c r="AB326" i="108"/>
  <c r="AB341" i="108"/>
  <c r="AB296" i="108"/>
  <c r="AB270" i="108"/>
  <c r="AB227" i="108"/>
  <c r="AB202" i="108"/>
  <c r="AB180" i="108"/>
  <c r="AB118" i="108"/>
  <c r="AB100" i="108"/>
  <c r="AB79" i="108"/>
  <c r="AB28" i="108"/>
  <c r="AB268" i="108"/>
  <c r="AB78" i="108"/>
  <c r="AB315" i="108"/>
  <c r="AB116" i="108"/>
  <c r="AB415" i="108"/>
  <c r="AB390" i="108"/>
  <c r="AB317" i="108"/>
  <c r="AB160" i="108"/>
  <c r="AB74" i="108"/>
  <c r="AB413" i="108"/>
  <c r="AB54" i="108"/>
  <c r="AB94" i="108"/>
  <c r="AB200" i="108"/>
  <c r="AB288" i="108"/>
  <c r="AB368" i="108"/>
  <c r="AB246" i="108"/>
  <c r="AB222" i="108"/>
  <c r="AB136" i="108"/>
  <c r="AB111" i="108"/>
  <c r="AB36" i="108"/>
  <c r="AB45" i="108"/>
  <c r="AB389" i="108"/>
  <c r="AB316" i="108"/>
  <c r="AB362" i="108"/>
  <c r="AB69" i="108"/>
  <c r="AB178" i="108"/>
  <c r="AB388" i="108"/>
  <c r="AB110" i="108"/>
  <c r="AB44" i="108"/>
  <c r="AB340" i="108"/>
  <c r="AB291" i="108"/>
  <c r="AB201" i="108"/>
  <c r="AB179" i="108"/>
  <c r="AB117" i="108"/>
  <c r="AB157" i="108"/>
  <c r="AB245" i="108"/>
  <c r="AB135" i="108"/>
  <c r="AB40" i="108"/>
  <c r="AB218" i="108"/>
  <c r="AB412" i="108"/>
  <c r="AB339" i="108"/>
  <c r="AB267" i="108"/>
  <c r="AB152" i="108"/>
  <c r="AB360" i="108"/>
  <c r="AB336" i="108"/>
  <c r="AB266" i="108"/>
  <c r="AB217" i="108"/>
  <c r="AB199" i="108"/>
  <c r="AB411" i="108"/>
  <c r="AB386" i="108"/>
  <c r="AB261" i="108"/>
  <c r="AB216" i="108"/>
  <c r="AB93" i="108"/>
  <c r="AB408" i="108"/>
  <c r="AB383" i="108"/>
  <c r="AB332" i="108"/>
  <c r="AB284" i="108"/>
  <c r="AB171" i="108"/>
  <c r="AB355" i="108"/>
  <c r="AB304" i="108"/>
  <c r="AB234" i="108"/>
  <c r="AB214" i="108"/>
  <c r="AB190" i="108"/>
  <c r="AB148" i="108"/>
  <c r="AB127" i="108"/>
  <c r="AB62" i="108"/>
  <c r="AB254" i="108"/>
  <c r="AB215" i="108"/>
  <c r="AB184" i="108"/>
  <c r="AB108" i="108"/>
  <c r="AB33" i="108"/>
  <c r="AB46" i="108"/>
  <c r="AB402" i="108"/>
  <c r="AB82" i="108"/>
  <c r="AB212" i="108"/>
  <c r="AB90" i="108"/>
  <c r="AB119" i="108"/>
  <c r="AB283" i="108"/>
  <c r="AB247" i="108"/>
  <c r="AB244" i="108"/>
  <c r="AB114" i="108"/>
  <c r="AB32" i="108"/>
  <c r="AB167" i="108"/>
  <c r="AB406" i="108"/>
  <c r="AB372" i="108"/>
  <c r="AB327" i="108"/>
  <c r="AB285" i="108"/>
  <c r="AB183" i="108"/>
  <c r="AB68" i="108"/>
  <c r="AB371" i="108"/>
  <c r="AB67" i="108"/>
  <c r="AB248" i="108"/>
  <c r="AB359" i="108"/>
  <c r="AB282" i="108"/>
  <c r="AB172" i="108"/>
  <c r="AB107" i="108"/>
  <c r="AB251" i="108"/>
  <c r="AB147" i="108"/>
  <c r="AB91" i="108"/>
  <c r="AB75" i="108"/>
  <c r="AB403" i="108"/>
  <c r="AB53" i="108"/>
  <c r="AB325" i="108"/>
  <c r="AB213" i="108"/>
  <c r="AB99" i="108"/>
  <c r="AB39" i="108"/>
  <c r="AB356" i="108"/>
  <c r="AB38" i="108"/>
  <c r="AB146" i="108"/>
  <c r="AB319" i="108"/>
  <c r="AB145" i="108"/>
  <c r="AB204" i="108"/>
  <c r="AB138" i="108"/>
  <c r="AB399" i="108"/>
  <c r="AB318" i="108"/>
  <c r="AB281" i="108"/>
  <c r="AB239" i="108"/>
  <c r="AB170" i="108"/>
  <c r="AB354" i="108"/>
  <c r="AB235" i="108"/>
  <c r="AB66" i="108"/>
  <c r="AB272" i="108"/>
  <c r="AB233" i="108"/>
  <c r="AB43" i="108"/>
  <c r="AB37" i="108"/>
  <c r="AB271" i="108"/>
  <c r="AB133" i="108"/>
  <c r="AB30" i="108"/>
  <c r="AB387" i="108"/>
  <c r="AB349" i="108"/>
  <c r="AB163" i="108"/>
  <c r="AB50" i="108"/>
  <c r="AB331" i="108"/>
  <c r="AB35" i="108"/>
  <c r="AB305" i="108"/>
  <c r="AB77" i="108"/>
  <c r="AB58" i="108"/>
  <c r="AB300" i="108"/>
  <c r="AB49" i="108"/>
  <c r="AB303" i="108"/>
  <c r="AB92" i="108"/>
  <c r="AB228" i="108"/>
  <c r="AB149" i="108"/>
  <c r="AB134" i="108"/>
  <c r="AB29" i="108"/>
  <c r="AB81" i="108"/>
  <c r="AB256" i="108"/>
  <c r="AB391" i="108"/>
  <c r="AB47" i="108"/>
  <c r="AB376" i="108"/>
  <c r="AB71" i="108"/>
  <c r="AB373" i="108"/>
  <c r="AB42" i="108"/>
  <c r="AB123" i="108"/>
  <c r="AB166" i="108"/>
  <c r="AB328" i="108"/>
  <c r="AB63" i="108"/>
  <c r="AB309" i="108"/>
  <c r="AB162" i="108"/>
  <c r="AB232" i="108"/>
  <c r="AB419" i="108"/>
  <c r="AB161" i="108"/>
  <c r="AB229" i="108"/>
  <c r="AB151" i="108"/>
  <c r="AB302" i="108"/>
  <c r="AB378" i="108"/>
  <c r="AB185" i="108"/>
  <c r="AB104" i="108"/>
  <c r="AB137" i="108"/>
  <c r="AB260" i="108"/>
  <c r="AB112" i="108"/>
  <c r="AB352" i="108"/>
  <c r="AB70" i="108"/>
  <c r="AB150" i="108"/>
  <c r="AB31" i="108"/>
  <c r="AB124" i="108"/>
  <c r="AB344" i="108"/>
  <c r="AB188" i="108"/>
  <c r="AB297" i="108"/>
  <c r="AB203" i="108"/>
  <c r="AB374" i="108"/>
  <c r="AB103" i="108"/>
  <c r="AB273" i="108"/>
  <c r="AB193" i="108"/>
  <c r="AB86" i="108"/>
  <c r="AB189" i="108"/>
  <c r="AB122" i="108"/>
  <c r="AB51" i="108"/>
  <c r="B104" i="109" l="1"/>
  <c r="I104" i="109" s="1"/>
  <c r="E104" i="109"/>
  <c r="R2" i="108" a="1"/>
  <c r="AD1" i="108" a="1"/>
  <c r="AD1" i="108" s="1"/>
  <c r="G104" i="109" l="1"/>
  <c r="C104" i="109"/>
  <c r="A105" i="109" s="1"/>
  <c r="F104" i="109"/>
  <c r="R2" i="108"/>
  <c r="R1" i="108" s="1" a="1"/>
  <c r="R1" i="108" s="1"/>
  <c r="A15" i="108" s="1"/>
  <c r="AD3" i="108"/>
  <c r="AD2" i="108"/>
  <c r="AD4" i="108"/>
  <c r="E105" i="109" l="1"/>
  <c r="B105" i="109"/>
  <c r="I105" i="109" s="1"/>
  <c r="E15" i="108"/>
  <c r="B15" i="108"/>
  <c r="B10" i="108"/>
  <c r="G105" i="109" l="1"/>
  <c r="F105" i="109"/>
  <c r="C105" i="109"/>
  <c r="A106" i="109" s="1"/>
  <c r="F15" i="108"/>
  <c r="G15" i="108"/>
  <c r="C15" i="108"/>
  <c r="B106" i="109" l="1"/>
  <c r="I106" i="109" s="1"/>
  <c r="E106" i="109"/>
  <c r="I15" i="108"/>
  <c r="A16" i="108"/>
  <c r="C106" i="109" l="1"/>
  <c r="A107" i="109" s="1"/>
  <c r="F106" i="109"/>
  <c r="G106" i="109"/>
  <c r="B16" i="108"/>
  <c r="E16" i="108"/>
  <c r="B107" i="109" l="1"/>
  <c r="I107" i="109" s="1"/>
  <c r="E107" i="109"/>
  <c r="C16" i="108"/>
  <c r="A17" i="108" s="1"/>
  <c r="F16" i="108"/>
  <c r="G16" i="108"/>
  <c r="G107" i="109" l="1"/>
  <c r="F107" i="109"/>
  <c r="C107" i="109"/>
  <c r="A108" i="109" s="1"/>
  <c r="I16" i="108"/>
  <c r="E17" i="108"/>
  <c r="B17" i="108"/>
  <c r="E108" i="109" l="1"/>
  <c r="B108" i="109"/>
  <c r="I108" i="109" s="1"/>
  <c r="G17" i="108"/>
  <c r="F17" i="108"/>
  <c r="C17" i="108"/>
  <c r="F108" i="109" l="1"/>
  <c r="C108" i="109"/>
  <c r="A109" i="109" s="1"/>
  <c r="G108" i="109"/>
  <c r="I17" i="108"/>
  <c r="A18" i="108"/>
  <c r="E109" i="109" l="1"/>
  <c r="B109" i="109"/>
  <c r="I109" i="109" s="1"/>
  <c r="B18" i="108"/>
  <c r="E18" i="108"/>
  <c r="C109" i="109" l="1"/>
  <c r="A110" i="109" s="1"/>
  <c r="F109" i="109"/>
  <c r="G109" i="109"/>
  <c r="C18" i="108"/>
  <c r="A19" i="108" s="1"/>
  <c r="G18" i="108"/>
  <c r="F18" i="108"/>
  <c r="B110" i="109" l="1"/>
  <c r="I110" i="109" s="1"/>
  <c r="E110" i="109"/>
  <c r="I18" i="108"/>
  <c r="E19" i="108"/>
  <c r="B19" i="108"/>
  <c r="G110" i="109" l="1"/>
  <c r="F110" i="109"/>
  <c r="C110" i="109"/>
  <c r="A111" i="109" s="1"/>
  <c r="C19" i="108"/>
  <c r="A20" i="108" s="1"/>
  <c r="F19" i="108"/>
  <c r="G19" i="108"/>
  <c r="I19" i="108" l="1"/>
  <c r="E111" i="109"/>
  <c r="B111" i="109"/>
  <c r="I111" i="109" s="1"/>
  <c r="B20" i="108"/>
  <c r="E20" i="108"/>
  <c r="G111" i="109" l="1"/>
  <c r="F111" i="109"/>
  <c r="C111" i="109"/>
  <c r="A112" i="109" s="1"/>
  <c r="G20" i="108"/>
  <c r="F20" i="108"/>
  <c r="C20" i="108"/>
  <c r="A21" i="108" s="1"/>
  <c r="I20" i="108" l="1"/>
  <c r="B112" i="109"/>
  <c r="I112" i="109" s="1"/>
  <c r="E112" i="109"/>
  <c r="B21" i="108"/>
  <c r="E21" i="108"/>
  <c r="F112" i="109" l="1"/>
  <c r="C112" i="109"/>
  <c r="A113" i="109" s="1"/>
  <c r="G112" i="109"/>
  <c r="C21" i="108"/>
  <c r="A22" i="108" s="1"/>
  <c r="F21" i="108"/>
  <c r="G21" i="108"/>
  <c r="I21" i="108" l="1"/>
  <c r="E113" i="109"/>
  <c r="B113" i="109"/>
  <c r="I113" i="109" s="1"/>
  <c r="B22" i="108"/>
  <c r="E22" i="108"/>
  <c r="F113" i="109" l="1"/>
  <c r="G113" i="109"/>
  <c r="C113" i="109"/>
  <c r="A114" i="109" s="1"/>
  <c r="G22" i="108"/>
  <c r="C22" i="108"/>
  <c r="A23" i="108" s="1"/>
  <c r="F22" i="108"/>
  <c r="I22" i="108" l="1"/>
  <c r="E114" i="109"/>
  <c r="B114" i="109"/>
  <c r="I114" i="109" s="1"/>
  <c r="E23" i="108"/>
  <c r="B23" i="108"/>
  <c r="F114" i="109" l="1"/>
  <c r="G114" i="109"/>
  <c r="C114" i="109"/>
  <c r="A115" i="109" s="1"/>
  <c r="G23" i="108"/>
  <c r="F23" i="108"/>
  <c r="C23" i="108"/>
  <c r="A24" i="108" s="1"/>
  <c r="I23" i="108" l="1"/>
  <c r="E115" i="109"/>
  <c r="B115" i="109"/>
  <c r="I115" i="109" s="1"/>
  <c r="E24" i="108"/>
  <c r="B24" i="108"/>
  <c r="G115" i="109" l="1"/>
  <c r="F115" i="109"/>
  <c r="C115" i="109"/>
  <c r="A116" i="109" s="1"/>
  <c r="G24" i="108"/>
  <c r="F24" i="108"/>
  <c r="C24" i="108"/>
  <c r="A25" i="108" s="1"/>
  <c r="E25" i="108" s="1"/>
  <c r="I24" i="108" l="1"/>
  <c r="E116" i="109"/>
  <c r="B116" i="109"/>
  <c r="I116" i="109" s="1"/>
  <c r="B25" i="108"/>
  <c r="G25" i="108" s="1"/>
  <c r="G116" i="109" l="1"/>
  <c r="F116" i="109"/>
  <c r="C116" i="109"/>
  <c r="A117" i="109" s="1"/>
  <c r="F25" i="108"/>
  <c r="C25" i="108"/>
  <c r="A26" i="108" s="1"/>
  <c r="I25" i="108" l="1"/>
  <c r="B117" i="109"/>
  <c r="I117" i="109" s="1"/>
  <c r="E117" i="109"/>
  <c r="E26" i="108"/>
  <c r="B26" i="108"/>
  <c r="E3" i="113" a="1"/>
  <c r="E3" i="113" l="1"/>
  <c r="F117" i="109"/>
  <c r="C117" i="109"/>
  <c r="G117" i="109"/>
  <c r="G26" i="108"/>
  <c r="F26" i="108"/>
  <c r="C26" i="108"/>
  <c r="I26" i="108" l="1"/>
  <c r="A27" i="108"/>
  <c r="B27" i="108" l="1"/>
  <c r="E27" i="108"/>
  <c r="F27" i="108" l="1"/>
  <c r="G27" i="108"/>
  <c r="C27" i="108"/>
  <c r="I27" i="108" l="1"/>
  <c r="A28" i="108"/>
  <c r="B28" i="108" l="1"/>
  <c r="E28" i="108"/>
  <c r="F28" i="108" l="1"/>
  <c r="C28" i="108"/>
  <c r="G28" i="108"/>
  <c r="I28" i="108" l="1"/>
  <c r="A29" i="108"/>
  <c r="E29" i="108" l="1"/>
  <c r="B29" i="108"/>
  <c r="C29" i="108" l="1"/>
  <c r="A30" i="108" s="1"/>
  <c r="G29" i="108"/>
  <c r="F29" i="108"/>
  <c r="I29" i="108" s="1"/>
  <c r="E30" i="108" l="1"/>
  <c r="B30" i="108"/>
  <c r="G30" i="108" l="1"/>
  <c r="F30" i="108"/>
  <c r="C30" i="108"/>
  <c r="I30" i="108" l="1"/>
  <c r="A31" i="108"/>
  <c r="E31" i="108" l="1"/>
  <c r="B31" i="108"/>
  <c r="C31" i="108" l="1"/>
  <c r="G31" i="108"/>
  <c r="F31" i="108"/>
  <c r="I31" i="108" l="1"/>
  <c r="A32" i="108"/>
  <c r="E32" i="108" l="1"/>
  <c r="B32" i="108"/>
  <c r="G32" i="108" l="1"/>
  <c r="F32" i="108"/>
  <c r="C32" i="108"/>
  <c r="I32" i="108" l="1"/>
  <c r="A33" i="108"/>
  <c r="E33" i="108" l="1"/>
  <c r="B33" i="108"/>
  <c r="F33" i="108" l="1"/>
  <c r="C33" i="108"/>
  <c r="A34" i="108" s="1"/>
  <c r="G33" i="108"/>
  <c r="I33" i="108"/>
  <c r="E34" i="108" l="1"/>
  <c r="B34" i="108"/>
  <c r="G34" i="108" l="1"/>
  <c r="F34" i="108"/>
  <c r="C34" i="108"/>
  <c r="A35" i="108" s="1"/>
  <c r="I34" i="108"/>
  <c r="E35" i="108" l="1"/>
  <c r="B35" i="108"/>
  <c r="C35" i="108" l="1"/>
  <c r="A36" i="108" s="1"/>
  <c r="G35" i="108"/>
  <c r="F35" i="108"/>
  <c r="I35" i="108" s="1"/>
  <c r="E36" i="108" l="1"/>
  <c r="B36" i="108"/>
  <c r="G36" i="108" l="1"/>
  <c r="F36" i="108"/>
  <c r="C36" i="108"/>
  <c r="A37" i="108" s="1"/>
  <c r="I36" i="108"/>
  <c r="E37" i="108" l="1"/>
  <c r="B37" i="108"/>
  <c r="F37" i="108" l="1"/>
  <c r="I37" i="108"/>
  <c r="C37" i="108"/>
  <c r="A38" i="108" s="1"/>
  <c r="G37" i="108"/>
  <c r="B38" i="108" l="1"/>
  <c r="E38" i="108"/>
  <c r="F38" i="108" l="1"/>
  <c r="G38" i="108"/>
  <c r="I38" i="108"/>
  <c r="C38" i="108"/>
  <c r="A39" i="108" s="1"/>
  <c r="E39" i="108" l="1"/>
  <c r="B39" i="108"/>
  <c r="F39" i="108" l="1"/>
  <c r="C39" i="108"/>
  <c r="A40" i="108" s="1"/>
  <c r="G39" i="108"/>
  <c r="I39" i="108"/>
  <c r="B40" i="108" l="1"/>
  <c r="E40" i="108"/>
  <c r="G40" i="108" l="1"/>
  <c r="F40" i="108"/>
  <c r="C40" i="108"/>
  <c r="A41" i="108" s="1"/>
  <c r="I40" i="108"/>
  <c r="E41" i="108" l="1"/>
  <c r="B41" i="108"/>
  <c r="I41" i="108" l="1"/>
  <c r="F41" i="108"/>
  <c r="C41" i="108"/>
  <c r="A42" i="108" s="1"/>
  <c r="G41" i="108"/>
  <c r="B42" i="108" l="1"/>
  <c r="E42" i="108"/>
  <c r="G42" i="108" l="1"/>
  <c r="C42" i="108"/>
  <c r="A43" i="108" s="1"/>
  <c r="I42" i="108"/>
  <c r="F42" i="108"/>
  <c r="E43" i="108" l="1"/>
  <c r="B43" i="108"/>
  <c r="G43" i="108" l="1"/>
  <c r="F43" i="108"/>
  <c r="C43" i="108"/>
  <c r="A44" i="108" s="1"/>
  <c r="I43" i="108"/>
  <c r="E44" i="108" l="1"/>
  <c r="B44" i="108"/>
  <c r="C44" i="108" l="1"/>
  <c r="A45" i="108" s="1"/>
  <c r="G44" i="108"/>
  <c r="I44" i="108"/>
  <c r="F44" i="108"/>
  <c r="E45" i="108" l="1"/>
  <c r="B45" i="108"/>
  <c r="I45" i="108" l="1"/>
  <c r="G45" i="108"/>
  <c r="C45" i="108"/>
  <c r="A46" i="108" s="1"/>
  <c r="F45" i="108"/>
  <c r="E46" i="108" l="1"/>
  <c r="B46" i="108"/>
  <c r="F46" i="108" l="1"/>
  <c r="C46" i="108"/>
  <c r="A47" i="108" s="1"/>
  <c r="I46" i="108"/>
  <c r="G46" i="108"/>
  <c r="E47" i="108" l="1"/>
  <c r="B47" i="108"/>
  <c r="I47" i="108" l="1"/>
  <c r="G47" i="108"/>
  <c r="F47" i="108"/>
  <c r="C47" i="108"/>
  <c r="A48" i="108" s="1"/>
  <c r="E48" i="108" l="1"/>
  <c r="B48" i="108"/>
  <c r="C48" i="108" l="1"/>
  <c r="A49" i="108" s="1"/>
  <c r="I48" i="108"/>
  <c r="F48" i="108"/>
  <c r="G48" i="108"/>
  <c r="E49" i="108" l="1"/>
  <c r="B49" i="108"/>
  <c r="C49" i="108" l="1"/>
  <c r="A50" i="108" s="1"/>
  <c r="I49" i="108"/>
  <c r="F49" i="108"/>
  <c r="G49" i="108"/>
  <c r="E50" i="108" l="1"/>
  <c r="B50" i="108"/>
  <c r="G50" i="108" l="1"/>
  <c r="I50" i="108"/>
  <c r="F50" i="108"/>
  <c r="C50" i="108"/>
  <c r="A51" i="108" s="1"/>
  <c r="B51" i="108" l="1"/>
  <c r="E51" i="108"/>
  <c r="G51" i="108" l="1"/>
  <c r="F51" i="108"/>
  <c r="C51" i="108"/>
  <c r="A52" i="108" s="1"/>
  <c r="I51" i="108"/>
  <c r="E52" i="108" l="1"/>
  <c r="B52" i="108"/>
  <c r="I52" i="108" l="1"/>
  <c r="F52" i="108"/>
  <c r="C52" i="108"/>
  <c r="A53" i="108" s="1"/>
  <c r="G52" i="108"/>
  <c r="B53" i="108" l="1"/>
  <c r="E53" i="108"/>
  <c r="G53" i="108" l="1"/>
  <c r="F53" i="108"/>
  <c r="C53" i="108"/>
  <c r="A54" i="108" s="1"/>
  <c r="I53" i="108"/>
  <c r="E54" i="108" l="1"/>
  <c r="B54" i="108"/>
  <c r="I54" i="108" l="1"/>
  <c r="F54" i="108"/>
  <c r="C54" i="108"/>
  <c r="A55" i="108" s="1"/>
  <c r="G54" i="108"/>
  <c r="E55" i="108" l="1"/>
  <c r="B55" i="108"/>
  <c r="F55" i="108" l="1"/>
  <c r="I55" i="108"/>
  <c r="C55" i="108"/>
  <c r="A56" i="108" s="1"/>
  <c r="G55" i="108"/>
  <c r="B56" i="108" l="1"/>
  <c r="E56" i="108"/>
  <c r="G56" i="108" l="1"/>
  <c r="F56" i="108"/>
  <c r="I56" i="108"/>
  <c r="C56" i="108"/>
  <c r="A57" i="108" s="1"/>
  <c r="E57" i="108" l="1"/>
  <c r="B57" i="108"/>
  <c r="I57" i="108" l="1"/>
  <c r="G57" i="108"/>
  <c r="C57" i="108"/>
  <c r="A58" i="108" s="1"/>
  <c r="F57" i="108"/>
  <c r="E58" i="108" l="1"/>
  <c r="B58" i="108"/>
  <c r="C58" i="108" l="1"/>
  <c r="A59" i="108" s="1"/>
  <c r="F58" i="108"/>
  <c r="G58" i="108"/>
  <c r="I58" i="108"/>
  <c r="E59" i="108" l="1"/>
  <c r="B59" i="108"/>
  <c r="G59" i="108" l="1"/>
  <c r="C59" i="108"/>
  <c r="A60" i="108" s="1"/>
  <c r="I59" i="108"/>
  <c r="F59" i="108"/>
  <c r="B60" i="108" l="1"/>
  <c r="E60" i="108"/>
  <c r="I60" i="108" l="1"/>
  <c r="C60" i="108"/>
  <c r="A61" i="108" s="1"/>
  <c r="G60" i="108"/>
  <c r="F60" i="108"/>
  <c r="B61" i="108" l="1"/>
  <c r="E61" i="108"/>
  <c r="C61" i="108" l="1"/>
  <c r="A62" i="108" s="1"/>
  <c r="F61" i="108"/>
  <c r="G61" i="108"/>
  <c r="I61" i="108"/>
  <c r="E62" i="108" l="1"/>
  <c r="B62" i="108"/>
  <c r="C62" i="108" l="1"/>
  <c r="A63" i="108" s="1"/>
  <c r="G62" i="108"/>
  <c r="F62" i="108"/>
  <c r="I62" i="108"/>
  <c r="E63" i="108" l="1"/>
  <c r="B63" i="108"/>
  <c r="I63" i="108" l="1"/>
  <c r="G63" i="108"/>
  <c r="C63" i="108"/>
  <c r="A64" i="108" s="1"/>
  <c r="F63" i="108"/>
  <c r="E64" i="108" l="1"/>
  <c r="B64" i="108"/>
  <c r="G64" i="108" l="1"/>
  <c r="I64" i="108"/>
  <c r="F64" i="108"/>
  <c r="C64" i="108"/>
  <c r="A65" i="108" s="1"/>
  <c r="E65" i="108" l="1"/>
  <c r="B65" i="108"/>
  <c r="I65" i="108" l="1"/>
  <c r="G65" i="108"/>
  <c r="F65" i="108"/>
  <c r="C65" i="108"/>
  <c r="A66" i="108" s="1"/>
  <c r="B66" i="108" l="1"/>
  <c r="E66" i="108"/>
  <c r="F66" i="108" l="1"/>
  <c r="C66" i="108"/>
  <c r="A67" i="108" s="1"/>
  <c r="G66" i="108"/>
  <c r="I66" i="108"/>
  <c r="E67" i="108" l="1"/>
  <c r="B67" i="108"/>
  <c r="I67" i="108" l="1"/>
  <c r="F67" i="108"/>
  <c r="C67" i="108"/>
  <c r="A68" i="108" s="1"/>
  <c r="G67" i="108"/>
  <c r="B68" i="108" l="1"/>
  <c r="E68" i="108"/>
  <c r="F68" i="108" l="1"/>
  <c r="G68" i="108"/>
  <c r="C68" i="108"/>
  <c r="A69" i="108" s="1"/>
  <c r="I68" i="108"/>
  <c r="B69" i="108" l="1"/>
  <c r="E69" i="108"/>
  <c r="F69" i="108" l="1"/>
  <c r="G69" i="108"/>
  <c r="I69" i="108"/>
  <c r="C69" i="108"/>
  <c r="A70" i="108" s="1"/>
  <c r="E70" i="108" l="1"/>
  <c r="B70" i="108"/>
  <c r="F70" i="108" l="1"/>
  <c r="I70" i="108"/>
  <c r="C70" i="108"/>
  <c r="A71" i="108" s="1"/>
  <c r="G70" i="108"/>
  <c r="B71" i="108" l="1"/>
  <c r="E71" i="108"/>
  <c r="C71" i="108" l="1"/>
  <c r="A72" i="108" s="1"/>
  <c r="I71" i="108"/>
  <c r="F71" i="108"/>
  <c r="G71" i="108"/>
  <c r="E72" i="108" l="1"/>
  <c r="B72" i="108"/>
  <c r="I72" i="108" l="1"/>
  <c r="G72" i="108"/>
  <c r="F72" i="108"/>
  <c r="C72" i="108"/>
  <c r="A73" i="108" s="1"/>
  <c r="B73" i="108" l="1"/>
  <c r="E73" i="108"/>
  <c r="C73" i="108" l="1"/>
  <c r="A74" i="108" s="1"/>
  <c r="I73" i="108"/>
  <c r="G73" i="108"/>
  <c r="F73" i="108"/>
  <c r="E74" i="108" l="1"/>
  <c r="B74" i="108"/>
  <c r="G74" i="108" l="1"/>
  <c r="I74" i="108"/>
  <c r="F74" i="108"/>
  <c r="C74" i="108"/>
  <c r="A75" i="108" s="1"/>
  <c r="E75" i="108" l="1"/>
  <c r="B75" i="108"/>
  <c r="G75" i="108" l="1"/>
  <c r="F75" i="108"/>
  <c r="C75" i="108"/>
  <c r="A76" i="108" s="1"/>
  <c r="I75" i="108"/>
  <c r="E76" i="108" l="1"/>
  <c r="B76" i="108"/>
  <c r="G76" i="108" l="1"/>
  <c r="F76" i="108"/>
  <c r="C76" i="108"/>
  <c r="A77" i="108" s="1"/>
  <c r="I76" i="108"/>
  <c r="B77" i="108" l="1"/>
  <c r="E77" i="108"/>
  <c r="C77" i="108" l="1"/>
  <c r="A78" i="108" s="1"/>
  <c r="F77" i="108"/>
  <c r="I77" i="108"/>
  <c r="G77" i="108"/>
  <c r="E78" i="108" l="1"/>
  <c r="B78" i="108"/>
  <c r="C78" i="108" l="1"/>
  <c r="A79" i="108" s="1"/>
  <c r="F78" i="108"/>
  <c r="G78" i="108"/>
  <c r="I78" i="108"/>
  <c r="E79" i="108" l="1"/>
  <c r="B79" i="108"/>
  <c r="I79" i="108" l="1"/>
  <c r="C79" i="108"/>
  <c r="A80" i="108" s="1"/>
  <c r="F79" i="108"/>
  <c r="G79" i="108"/>
  <c r="E80" i="108" l="1"/>
  <c r="B80" i="108"/>
  <c r="C80" i="108" l="1"/>
  <c r="A81" i="108" s="1"/>
  <c r="G80" i="108"/>
  <c r="F80" i="108"/>
  <c r="I80" i="108"/>
  <c r="E81" i="108" l="1"/>
  <c r="B81" i="108"/>
  <c r="C81" i="108" l="1"/>
  <c r="A82" i="108" s="1"/>
  <c r="G81" i="108"/>
  <c r="F81" i="108"/>
  <c r="I81" i="108"/>
  <c r="E82" i="108" l="1"/>
  <c r="B82" i="108"/>
  <c r="F82" i="108" l="1"/>
  <c r="G82" i="108"/>
  <c r="C82" i="108"/>
  <c r="A83" i="108" s="1"/>
  <c r="I82" i="108"/>
  <c r="B83" i="108" l="1"/>
  <c r="E83" i="108"/>
  <c r="G83" i="108" l="1"/>
  <c r="C83" i="108"/>
  <c r="A84" i="108" s="1"/>
  <c r="I83" i="108"/>
  <c r="F83" i="108"/>
  <c r="E84" i="108" l="1"/>
  <c r="B84" i="108"/>
  <c r="F84" i="108" l="1"/>
  <c r="G84" i="108"/>
  <c r="C84" i="108"/>
  <c r="A85" i="108" s="1"/>
  <c r="I84" i="108"/>
  <c r="E85" i="108" l="1"/>
  <c r="B85" i="108"/>
  <c r="I85" i="108" l="1"/>
  <c r="C85" i="108"/>
  <c r="A86" i="108" s="1"/>
  <c r="G85" i="108"/>
  <c r="F85" i="108"/>
  <c r="E86" i="108" l="1"/>
  <c r="B86" i="108"/>
  <c r="I86" i="108" l="1"/>
  <c r="G86" i="108"/>
  <c r="C86" i="108"/>
  <c r="A87" i="108" s="1"/>
  <c r="F86" i="108"/>
  <c r="E87" i="108" l="1"/>
  <c r="B87" i="108"/>
  <c r="F87" i="108" l="1"/>
  <c r="C87" i="108"/>
  <c r="A88" i="108" s="1"/>
  <c r="G87" i="108"/>
  <c r="I87" i="108"/>
  <c r="E88" i="108" l="1"/>
  <c r="B88" i="108"/>
  <c r="C88" i="108" l="1"/>
  <c r="A89" i="108" s="1"/>
  <c r="G88" i="108"/>
  <c r="F88" i="108"/>
  <c r="I88" i="108"/>
  <c r="B89" i="108" l="1"/>
  <c r="E89" i="108"/>
  <c r="I89" i="108" l="1"/>
  <c r="G89" i="108"/>
  <c r="C89" i="108"/>
  <c r="A90" i="108" s="1"/>
  <c r="F89" i="108"/>
  <c r="B90" i="108" l="1"/>
  <c r="E90" i="108"/>
  <c r="G90" i="108" l="1"/>
  <c r="C90" i="108"/>
  <c r="A91" i="108" s="1"/>
  <c r="I90" i="108"/>
  <c r="F90" i="108"/>
  <c r="B91" i="108" l="1"/>
  <c r="E91" i="108"/>
  <c r="C91" i="108" l="1"/>
  <c r="A92" i="108" s="1"/>
  <c r="F91" i="108"/>
  <c r="I91" i="108"/>
  <c r="G91" i="108"/>
  <c r="E92" i="108" l="1"/>
  <c r="B92" i="108"/>
  <c r="G92" i="108" l="1"/>
  <c r="I92" i="108"/>
  <c r="F92" i="108"/>
  <c r="C92" i="108"/>
  <c r="A93" i="108" s="1"/>
  <c r="B93" i="108" l="1"/>
  <c r="E93" i="108"/>
  <c r="I93" i="108" l="1"/>
  <c r="C93" i="108"/>
  <c r="A94" i="108" s="1"/>
  <c r="F93" i="108"/>
  <c r="G93" i="108"/>
  <c r="E94" i="108" l="1"/>
  <c r="B94" i="108"/>
  <c r="I94" i="108" l="1"/>
  <c r="G94" i="108"/>
  <c r="C94" i="108"/>
  <c r="A95" i="108" s="1"/>
  <c r="F94" i="108"/>
  <c r="B95" i="108" l="1"/>
  <c r="E95" i="108"/>
  <c r="C95" i="108" l="1"/>
  <c r="A96" i="108" s="1"/>
  <c r="G95" i="108"/>
  <c r="F95" i="108"/>
  <c r="I95" i="108"/>
  <c r="E96" i="108" l="1"/>
  <c r="B96" i="108"/>
  <c r="I96" i="108" l="1"/>
  <c r="G96" i="108"/>
  <c r="C96" i="108"/>
  <c r="A97" i="108" s="1"/>
  <c r="F96" i="108"/>
  <c r="E97" i="108" l="1"/>
  <c r="B97" i="108"/>
  <c r="G97" i="108" l="1"/>
  <c r="I97" i="108"/>
  <c r="C97" i="108"/>
  <c r="A98" i="108" s="1"/>
  <c r="F97" i="108"/>
  <c r="B98" i="108" l="1"/>
  <c r="E98" i="108"/>
  <c r="G98" i="108" l="1"/>
  <c r="F98" i="108"/>
  <c r="C98" i="108"/>
  <c r="A99" i="108" s="1"/>
  <c r="I98" i="108"/>
  <c r="B99" i="108" l="1"/>
  <c r="E99" i="108"/>
  <c r="I99" i="108" l="1"/>
  <c r="C99" i="108"/>
  <c r="A100" i="108" s="1"/>
  <c r="F99" i="108"/>
  <c r="G99" i="108"/>
  <c r="E100" i="108" l="1"/>
  <c r="B100" i="108"/>
  <c r="G100" i="108" l="1"/>
  <c r="I100" i="108"/>
  <c r="F100" i="108"/>
  <c r="C100" i="108"/>
  <c r="A101" i="108" s="1"/>
  <c r="B101" i="108" l="1"/>
  <c r="E101" i="108"/>
  <c r="G101" i="108" l="1"/>
  <c r="I101" i="108"/>
  <c r="C101" i="108"/>
  <c r="A102" i="108" s="1"/>
  <c r="F101" i="108"/>
  <c r="B102" i="108" l="1"/>
  <c r="E102" i="108"/>
  <c r="G102" i="108" l="1"/>
  <c r="F102" i="108"/>
  <c r="C102" i="108"/>
  <c r="A103" i="108" s="1"/>
  <c r="I102" i="108"/>
  <c r="B103" i="108" l="1"/>
  <c r="E103" i="108"/>
  <c r="G103" i="108" l="1"/>
  <c r="C103" i="108"/>
  <c r="A104" i="108" s="1"/>
  <c r="I103" i="108"/>
  <c r="F103" i="108"/>
  <c r="E104" i="108" l="1"/>
  <c r="B104" i="108"/>
  <c r="G104" i="108" l="1"/>
  <c r="I104" i="108"/>
  <c r="C104" i="108"/>
  <c r="A105" i="108" s="1"/>
  <c r="F104" i="108"/>
  <c r="E105" i="108" l="1"/>
  <c r="B105" i="108"/>
  <c r="G105" i="108" l="1"/>
  <c r="F105" i="108"/>
  <c r="C105" i="108"/>
  <c r="A106" i="108" s="1"/>
  <c r="I105" i="108"/>
  <c r="E106" i="108" l="1"/>
  <c r="B106" i="108"/>
  <c r="F106" i="108" l="1"/>
  <c r="C106" i="108"/>
  <c r="A107" i="108" s="1"/>
  <c r="I106" i="108"/>
  <c r="G106" i="108"/>
  <c r="E107" i="108" l="1"/>
  <c r="B107" i="108"/>
  <c r="I107" i="108" l="1"/>
  <c r="F107" i="108"/>
  <c r="G107" i="108"/>
  <c r="C107" i="108"/>
  <c r="A108" i="108" s="1"/>
  <c r="E108" i="108" l="1"/>
  <c r="B108" i="108"/>
  <c r="C108" i="108" l="1"/>
  <c r="A109" i="108" s="1"/>
  <c r="I108" i="108"/>
  <c r="G108" i="108"/>
  <c r="F108" i="108"/>
  <c r="B109" i="108" l="1"/>
  <c r="E109" i="108"/>
  <c r="I109" i="108" l="1"/>
  <c r="C109" i="108"/>
  <c r="A110" i="108" s="1"/>
  <c r="G109" i="108"/>
  <c r="F109" i="108"/>
  <c r="E110" i="108" l="1"/>
  <c r="B110" i="108"/>
  <c r="I110" i="108" l="1"/>
  <c r="F110" i="108"/>
  <c r="G110" i="108"/>
  <c r="C110" i="108"/>
  <c r="A111" i="108" s="1"/>
  <c r="B111" i="108" l="1"/>
  <c r="E111" i="108"/>
  <c r="G111" i="108" l="1"/>
  <c r="C111" i="108"/>
  <c r="A112" i="108" s="1"/>
  <c r="I111" i="108"/>
  <c r="F111" i="108"/>
  <c r="E112" i="108" l="1"/>
  <c r="B112" i="108"/>
  <c r="G112" i="108" l="1"/>
  <c r="I112" i="108"/>
  <c r="F112" i="108"/>
  <c r="C112" i="108"/>
  <c r="A113" i="108" s="1"/>
  <c r="E113" i="108" l="1"/>
  <c r="B113" i="108"/>
  <c r="G113" i="108" l="1"/>
  <c r="I113" i="108"/>
  <c r="F113" i="108"/>
  <c r="C113" i="108"/>
  <c r="A114" i="108" s="1"/>
  <c r="B114" i="108" l="1"/>
  <c r="E114" i="108"/>
  <c r="I114" i="108" l="1"/>
  <c r="F114" i="108"/>
  <c r="G114" i="108"/>
  <c r="C114" i="108"/>
  <c r="A115" i="108" s="1"/>
  <c r="E115" i="108" l="1"/>
  <c r="B115" i="108"/>
  <c r="I115" i="108" l="1"/>
  <c r="F115" i="108"/>
  <c r="G115" i="108"/>
  <c r="C115" i="108"/>
  <c r="A116" i="108" s="1"/>
  <c r="E116" i="108" l="1"/>
  <c r="B116" i="108"/>
  <c r="C116" i="108" l="1"/>
  <c r="A117" i="108" s="1"/>
  <c r="G116" i="108"/>
  <c r="I116" i="108"/>
  <c r="F116" i="108"/>
  <c r="B117" i="108" l="1"/>
  <c r="E117" i="108"/>
  <c r="C117" i="108" l="1"/>
  <c r="I117" i="108"/>
  <c r="F117" i="108"/>
  <c r="G117" i="108"/>
  <c r="E2" i="113" a="1"/>
  <c r="E2" i="113" l="1"/>
  <c r="J4" i="104"/>
  <c r="J3" i="104"/>
  <c r="I4" i="104"/>
  <c r="I3" i="104"/>
  <c r="D5" i="104"/>
  <c r="C5" i="104"/>
  <c r="B5" i="104"/>
  <c r="J14" i="104" l="1"/>
  <c r="AD220" i="104" l="1"/>
  <c r="AD253" i="104"/>
  <c r="AD221" i="104"/>
  <c r="AD165" i="104"/>
  <c r="AD133" i="104"/>
  <c r="AD101" i="104"/>
  <c r="AD263" i="104"/>
  <c r="AD231" i="104"/>
  <c r="AD199" i="104"/>
  <c r="AD167" i="104"/>
  <c r="AD135" i="104"/>
  <c r="AD248" i="104"/>
  <c r="AD214" i="104"/>
  <c r="AD180" i="104"/>
  <c r="AD140" i="104"/>
  <c r="AD124" i="104"/>
  <c r="AD72" i="104"/>
  <c r="AD259" i="104"/>
  <c r="AD225" i="104"/>
  <c r="AD191" i="104"/>
  <c r="AD149" i="104"/>
  <c r="AD74" i="104"/>
  <c r="AD257" i="104"/>
  <c r="AD223" i="104"/>
  <c r="AD177" i="104"/>
  <c r="AD266" i="104"/>
  <c r="AD232" i="104"/>
  <c r="AD276" i="104"/>
  <c r="AD250" i="104"/>
  <c r="AD224" i="104"/>
  <c r="AD211" i="104"/>
  <c r="AD83" i="104"/>
  <c r="AD46" i="104"/>
  <c r="AD12" i="104"/>
  <c r="AD275" i="104"/>
  <c r="AD249" i="104"/>
  <c r="AD171" i="104"/>
  <c r="AD130" i="104"/>
  <c r="AD96" i="104"/>
  <c r="AD209" i="104"/>
  <c r="AD196" i="104"/>
  <c r="AD125" i="104"/>
  <c r="AD120" i="104"/>
  <c r="AD76" i="104"/>
  <c r="AD272" i="104"/>
  <c r="AD229" i="104"/>
  <c r="AD201" i="104"/>
  <c r="AD92" i="104"/>
  <c r="AD75" i="104"/>
  <c r="AD58" i="104"/>
  <c r="AD29" i="104"/>
  <c r="AD243" i="104"/>
  <c r="AD215" i="104"/>
  <c r="AD154" i="104"/>
  <c r="AD143" i="104"/>
  <c r="AD87" i="104"/>
  <c r="AD51" i="104"/>
  <c r="AD42" i="104"/>
  <c r="AD200" i="104"/>
  <c r="AD82" i="104"/>
  <c r="AD65" i="104"/>
  <c r="AD31" i="104"/>
  <c r="AD7" i="104"/>
  <c r="AD270" i="104"/>
  <c r="AD256" i="104"/>
  <c r="AD170" i="104"/>
  <c r="AD151" i="104"/>
  <c r="AD118" i="104"/>
  <c r="AD33" i="104"/>
  <c r="AD240" i="104"/>
  <c r="AD268" i="104"/>
  <c r="AD265" i="104"/>
  <c r="AD236" i="104"/>
  <c r="AD193" i="104"/>
  <c r="AD251" i="104"/>
  <c r="AD153" i="104"/>
  <c r="AD63" i="104"/>
  <c r="AD39" i="104"/>
  <c r="AD27" i="104"/>
  <c r="AD269" i="104"/>
  <c r="AD195" i="104"/>
  <c r="AD179" i="104"/>
  <c r="AD163" i="104"/>
  <c r="AD22" i="104"/>
  <c r="AD15" i="104"/>
  <c r="AD117" i="104"/>
  <c r="AD213" i="104"/>
  <c r="AD166" i="104"/>
  <c r="AD105" i="104"/>
  <c r="AD71" i="104"/>
  <c r="AD267" i="104"/>
  <c r="AD156" i="104"/>
  <c r="AD44" i="104"/>
  <c r="AD194" i="104"/>
  <c r="AD108" i="104"/>
  <c r="AD34" i="104"/>
  <c r="AD114" i="104"/>
  <c r="AD111" i="104"/>
  <c r="AD93" i="104"/>
  <c r="AD230" i="104"/>
  <c r="AD212" i="104"/>
  <c r="AD159" i="104"/>
  <c r="AD228" i="104"/>
  <c r="AD264" i="104"/>
  <c r="AD227" i="104"/>
  <c r="AD245" i="104"/>
  <c r="AD174" i="104"/>
  <c r="AD155" i="104"/>
  <c r="AD226" i="104"/>
  <c r="AD207" i="104"/>
  <c r="AD145" i="104"/>
  <c r="AD205" i="104"/>
  <c r="AD148" i="104"/>
  <c r="AD113" i="104"/>
  <c r="AD89" i="104"/>
  <c r="AD13" i="104"/>
  <c r="AD184" i="104"/>
  <c r="AD67" i="104"/>
  <c r="AD38" i="104"/>
  <c r="AD23" i="104"/>
  <c r="AD238" i="104"/>
  <c r="AD208" i="104"/>
  <c r="AD141" i="104"/>
  <c r="AD210" i="104"/>
  <c r="AD183" i="104"/>
  <c r="AD146" i="104"/>
  <c r="AD32" i="104"/>
  <c r="AD17" i="104"/>
  <c r="AD261" i="104"/>
  <c r="AD235" i="104"/>
  <c r="AD84" i="104"/>
  <c r="AD234" i="104"/>
  <c r="AD181" i="104"/>
  <c r="AD150" i="104"/>
  <c r="AD131" i="104"/>
  <c r="AD164" i="104"/>
  <c r="AD204" i="104"/>
  <c r="AD37" i="104"/>
  <c r="AD28" i="104"/>
  <c r="AD98" i="104"/>
  <c r="AD91" i="104"/>
  <c r="AD173" i="104"/>
  <c r="AD144" i="104"/>
  <c r="AD94" i="104"/>
  <c r="AD66" i="104"/>
  <c r="AD198" i="104"/>
  <c r="AD169" i="104"/>
  <c r="AD129" i="104"/>
  <c r="AD121" i="104"/>
  <c r="AD24" i="104"/>
  <c r="AD278" i="104"/>
  <c r="AD197" i="104"/>
  <c r="AD78" i="104"/>
  <c r="AD273" i="104"/>
  <c r="AD187" i="104"/>
  <c r="AD142" i="104"/>
  <c r="AD128" i="104"/>
  <c r="AD122" i="104"/>
  <c r="AD30" i="104"/>
  <c r="AD271" i="104"/>
  <c r="AD50" i="104"/>
  <c r="AD26" i="104"/>
  <c r="AD6" i="104"/>
  <c r="AD41" i="104"/>
  <c r="AD262" i="104"/>
  <c r="AD88" i="104"/>
  <c r="AD5" i="104"/>
  <c r="AD64" i="104"/>
  <c r="AD104" i="104"/>
  <c r="AD185" i="104"/>
  <c r="AD162" i="104"/>
  <c r="AD59" i="104"/>
  <c r="AD219" i="104"/>
  <c r="AD182" i="104"/>
  <c r="AD134" i="104"/>
  <c r="AD73" i="104"/>
  <c r="AD258" i="104"/>
  <c r="AD218" i="104"/>
  <c r="AD175" i="104"/>
  <c r="AD68" i="104"/>
  <c r="AD45" i="104"/>
  <c r="AD109" i="104"/>
  <c r="AD49" i="104"/>
  <c r="AD255" i="104"/>
  <c r="AD217" i="104"/>
  <c r="AD127" i="104"/>
  <c r="AD115" i="104"/>
  <c r="AD216" i="104"/>
  <c r="AD40" i="104"/>
  <c r="AD4" i="104"/>
  <c r="AD14" i="104"/>
  <c r="AD247" i="104"/>
  <c r="AD206" i="104"/>
  <c r="AD160" i="104"/>
  <c r="AD132" i="104"/>
  <c r="AD86" i="104"/>
  <c r="AD202" i="104"/>
  <c r="AD119" i="104"/>
  <c r="AD81" i="104"/>
  <c r="AD157" i="104"/>
  <c r="AD60" i="104"/>
  <c r="AD274" i="104"/>
  <c r="AD8" i="104"/>
  <c r="AD239" i="104"/>
  <c r="AD254" i="104"/>
  <c r="AD106" i="104"/>
  <c r="AD242" i="104"/>
  <c r="AD69" i="104"/>
  <c r="AD138" i="104"/>
  <c r="AD18" i="104"/>
  <c r="AD25" i="104"/>
  <c r="AD147" i="104"/>
  <c r="AD43" i="104"/>
  <c r="AD152" i="104"/>
  <c r="AD10" i="104"/>
  <c r="AD246" i="104"/>
  <c r="AD241" i="104"/>
  <c r="AD80" i="104"/>
  <c r="AD158" i="104"/>
  <c r="AD90" i="104"/>
  <c r="AD48" i="104"/>
  <c r="AD77" i="104"/>
  <c r="AD11" i="104"/>
  <c r="AD161" i="104"/>
  <c r="AD79" i="104"/>
  <c r="AD188" i="104"/>
  <c r="AD9" i="104"/>
  <c r="AD137" i="104"/>
  <c r="AD95" i="104"/>
  <c r="AD47" i="104"/>
  <c r="AD190" i="104"/>
  <c r="AD16" i="104"/>
  <c r="AD277" i="104"/>
  <c r="AD55" i="104"/>
  <c r="AD36" i="104"/>
  <c r="AD53" i="104"/>
  <c r="AD192" i="104"/>
  <c r="AD35" i="104"/>
  <c r="AD112" i="104"/>
  <c r="AD100" i="104"/>
  <c r="AD62" i="104"/>
  <c r="AD123" i="104"/>
  <c r="AD21" i="104"/>
  <c r="AD136" i="104"/>
  <c r="AD61" i="104"/>
  <c r="AD107" i="104"/>
  <c r="U68" i="104"/>
  <c r="V68" i="104" s="1"/>
  <c r="U70" i="104"/>
  <c r="V70" i="104" s="1"/>
  <c r="U72" i="104"/>
  <c r="V72" i="104" s="1"/>
  <c r="U44" i="104"/>
  <c r="V44" i="104" s="1"/>
  <c r="U74" i="104"/>
  <c r="V74" i="104" s="1"/>
  <c r="U63" i="104"/>
  <c r="V63" i="104" s="1"/>
  <c r="U27" i="104"/>
  <c r="V27" i="104" s="1"/>
  <c r="U65" i="104"/>
  <c r="V65" i="104" s="1"/>
  <c r="U12" i="104"/>
  <c r="V12" i="104" s="1"/>
  <c r="U85" i="104" l="1"/>
  <c r="V85" i="104" s="1"/>
  <c r="U25" i="104"/>
  <c r="V25" i="104" s="1"/>
  <c r="U36" i="104"/>
  <c r="V36" i="104" s="1"/>
  <c r="U62" i="104"/>
  <c r="V62" i="104" s="1"/>
  <c r="AD168" i="104"/>
  <c r="AD70" i="104"/>
  <c r="AD54" i="104"/>
  <c r="AD252" i="104"/>
  <c r="AD20" i="104"/>
  <c r="AD57" i="104"/>
  <c r="AD126" i="104"/>
  <c r="AD85" i="104"/>
  <c r="AD103" i="104"/>
  <c r="U53" i="104"/>
  <c r="V53" i="104" s="1"/>
  <c r="U87" i="104"/>
  <c r="V87" i="104" s="1"/>
  <c r="U78" i="104"/>
  <c r="V78" i="104" s="1"/>
  <c r="U37" i="104"/>
  <c r="V37" i="104" s="1"/>
  <c r="U42" i="104"/>
  <c r="V42" i="104" s="1"/>
  <c r="AD139" i="104"/>
  <c r="AD56" i="104"/>
  <c r="AD178" i="104"/>
  <c r="AD102" i="104"/>
  <c r="AD172" i="104"/>
  <c r="AD189" i="104"/>
  <c r="U83" i="104"/>
  <c r="V83" i="104" s="1"/>
  <c r="U40" i="104"/>
  <c r="V40" i="104" s="1"/>
  <c r="U45" i="104"/>
  <c r="V45" i="104" s="1"/>
  <c r="U30" i="104"/>
  <c r="V30" i="104" s="1"/>
  <c r="U76" i="104"/>
  <c r="V76" i="104" s="1"/>
  <c r="U59" i="104"/>
  <c r="V59" i="104" s="1"/>
  <c r="U69" i="104"/>
  <c r="V69" i="104" s="1"/>
  <c r="U46" i="104"/>
  <c r="V46" i="104" s="1"/>
  <c r="U77" i="104"/>
  <c r="V77" i="104" s="1"/>
  <c r="AD237" i="104"/>
  <c r="AD244" i="104"/>
  <c r="AD116" i="104"/>
  <c r="AD176" i="104"/>
  <c r="AD222" i="104"/>
  <c r="AD52" i="104"/>
  <c r="AD97" i="104"/>
  <c r="AD186" i="104"/>
  <c r="AD3" i="104"/>
  <c r="AD203" i="104"/>
  <c r="AD19" i="104"/>
  <c r="AD233" i="104"/>
  <c r="AD260" i="104"/>
  <c r="AD99" i="104"/>
  <c r="AD110" i="104"/>
  <c r="U33" i="104"/>
  <c r="V33" i="104" s="1"/>
  <c r="U67" i="104"/>
  <c r="V67" i="104" s="1"/>
  <c r="U79" i="104"/>
  <c r="V79" i="104" s="1"/>
  <c r="U23" i="104"/>
  <c r="V23" i="104" s="1"/>
  <c r="U56" i="104"/>
  <c r="V56" i="104" s="1"/>
  <c r="U38" i="104"/>
  <c r="V38" i="104" s="1"/>
  <c r="U26" i="104"/>
  <c r="V26" i="104" s="1"/>
  <c r="U11" i="104"/>
  <c r="V11" i="104" s="1"/>
  <c r="U57" i="104"/>
  <c r="V57" i="104" s="1"/>
  <c r="U35" i="104"/>
  <c r="V35" i="104" s="1"/>
  <c r="U81" i="104"/>
  <c r="V81" i="104" s="1"/>
  <c r="U4" i="104"/>
  <c r="V4" i="104" s="1"/>
  <c r="U17" i="104"/>
  <c r="V17" i="104" s="1"/>
  <c r="U61" i="104"/>
  <c r="V61" i="104" s="1"/>
  <c r="U71" i="104"/>
  <c r="V71" i="104" s="1"/>
  <c r="U13" i="104"/>
  <c r="V13" i="104" s="1"/>
  <c r="U60" i="104"/>
  <c r="V60" i="104" s="1"/>
  <c r="U24" i="104"/>
  <c r="V24" i="104" s="1"/>
  <c r="U32" i="104"/>
  <c r="V32" i="104" s="1"/>
  <c r="U84" i="104"/>
  <c r="V84" i="104" s="1"/>
  <c r="U51" i="104"/>
  <c r="V51" i="104" s="1"/>
  <c r="U28" i="104"/>
  <c r="V28" i="104" s="1"/>
  <c r="U66" i="104"/>
  <c r="V66" i="104" s="1"/>
  <c r="U47" i="104"/>
  <c r="V47" i="104" s="1"/>
  <c r="U48" i="104"/>
  <c r="V48" i="104" s="1"/>
  <c r="U7" i="104"/>
  <c r="V7" i="104" s="1"/>
  <c r="U54" i="104"/>
  <c r="V54" i="104" s="1"/>
  <c r="U5" i="104"/>
  <c r="V5" i="104" s="1"/>
  <c r="U64" i="104"/>
  <c r="V64" i="104" s="1"/>
  <c r="U43" i="104"/>
  <c r="V43" i="104" s="1"/>
  <c r="U21" i="104"/>
  <c r="V21" i="104" s="1"/>
  <c r="U41" i="104"/>
  <c r="V41" i="104" s="1"/>
  <c r="U403" i="104"/>
  <c r="V403" i="104" s="1"/>
  <c r="U371" i="104"/>
  <c r="V371" i="104" s="1"/>
  <c r="U339" i="104"/>
  <c r="V339" i="104" s="1"/>
  <c r="U307" i="104"/>
  <c r="V307" i="104" s="1"/>
  <c r="U275" i="104"/>
  <c r="V275" i="104" s="1"/>
  <c r="U243" i="104"/>
  <c r="V243" i="104" s="1"/>
  <c r="U211" i="104"/>
  <c r="V211" i="104" s="1"/>
  <c r="U179" i="104"/>
  <c r="V179" i="104" s="1"/>
  <c r="U163" i="104"/>
  <c r="V163" i="104" s="1"/>
  <c r="U131" i="104"/>
  <c r="V131" i="104" s="1"/>
  <c r="U99" i="104"/>
  <c r="V99" i="104" s="1"/>
  <c r="U569" i="104"/>
  <c r="V569" i="104" s="1"/>
  <c r="U553" i="104"/>
  <c r="V553" i="104" s="1"/>
  <c r="U537" i="104"/>
  <c r="V537" i="104" s="1"/>
  <c r="U521" i="104"/>
  <c r="V521" i="104" s="1"/>
  <c r="U505" i="104"/>
  <c r="V505" i="104" s="1"/>
  <c r="U489" i="104"/>
  <c r="V489" i="104" s="1"/>
  <c r="U473" i="104"/>
  <c r="V473" i="104" s="1"/>
  <c r="U457" i="104"/>
  <c r="V457" i="104" s="1"/>
  <c r="U441" i="104"/>
  <c r="V441" i="104" s="1"/>
  <c r="U425" i="104"/>
  <c r="V425" i="104" s="1"/>
  <c r="U413" i="104"/>
  <c r="V413" i="104" s="1"/>
  <c r="U381" i="104"/>
  <c r="V381" i="104" s="1"/>
  <c r="U349" i="104"/>
  <c r="V349" i="104" s="1"/>
  <c r="U317" i="104"/>
  <c r="V317" i="104" s="1"/>
  <c r="U285" i="104"/>
  <c r="V285" i="104" s="1"/>
  <c r="U253" i="104"/>
  <c r="V253" i="104" s="1"/>
  <c r="U221" i="104"/>
  <c r="V221" i="104" s="1"/>
  <c r="U189" i="104"/>
  <c r="V189" i="104" s="1"/>
  <c r="U165" i="104"/>
  <c r="V165" i="104" s="1"/>
  <c r="U133" i="104"/>
  <c r="V133" i="104" s="1"/>
  <c r="U568" i="104"/>
  <c r="V568" i="104" s="1"/>
  <c r="U552" i="104"/>
  <c r="V552" i="104" s="1"/>
  <c r="U536" i="104"/>
  <c r="V536" i="104" s="1"/>
  <c r="U520" i="104"/>
  <c r="V520" i="104" s="1"/>
  <c r="U504" i="104"/>
  <c r="V504" i="104" s="1"/>
  <c r="U488" i="104"/>
  <c r="V488" i="104" s="1"/>
  <c r="U472" i="104"/>
  <c r="V472" i="104" s="1"/>
  <c r="U456" i="104"/>
  <c r="V456" i="104" s="1"/>
  <c r="U440" i="104"/>
  <c r="V440" i="104" s="1"/>
  <c r="U424" i="104"/>
  <c r="V424" i="104" s="1"/>
  <c r="U402" i="104"/>
  <c r="V402" i="104" s="1"/>
  <c r="U370" i="104"/>
  <c r="V370" i="104" s="1"/>
  <c r="U338" i="104"/>
  <c r="V338" i="104" s="1"/>
  <c r="U391" i="104"/>
  <c r="V391" i="104" s="1"/>
  <c r="U359" i="104"/>
  <c r="V359" i="104" s="1"/>
  <c r="U567" i="104"/>
  <c r="V567" i="104" s="1"/>
  <c r="U551" i="104"/>
  <c r="V551" i="104" s="1"/>
  <c r="U535" i="104"/>
  <c r="V535" i="104" s="1"/>
  <c r="U519" i="104"/>
  <c r="V519" i="104" s="1"/>
  <c r="U503" i="104"/>
  <c r="V503" i="104" s="1"/>
  <c r="U487" i="104"/>
  <c r="V487" i="104" s="1"/>
  <c r="U471" i="104"/>
  <c r="V471" i="104" s="1"/>
  <c r="U455" i="104"/>
  <c r="V455" i="104" s="1"/>
  <c r="U439" i="104"/>
  <c r="V439" i="104" s="1"/>
  <c r="U423" i="104"/>
  <c r="V423" i="104" s="1"/>
  <c r="U412" i="104"/>
  <c r="V412" i="104" s="1"/>
  <c r="U380" i="104"/>
  <c r="V380" i="104" s="1"/>
  <c r="U348" i="104"/>
  <c r="V348" i="104" s="1"/>
  <c r="U316" i="104"/>
  <c r="V316" i="104" s="1"/>
  <c r="U284" i="104"/>
  <c r="V284" i="104" s="1"/>
  <c r="U566" i="104"/>
  <c r="V566" i="104" s="1"/>
  <c r="U550" i="104"/>
  <c r="V550" i="104" s="1"/>
  <c r="U534" i="104"/>
  <c r="V534" i="104" s="1"/>
  <c r="U518" i="104"/>
  <c r="V518" i="104" s="1"/>
  <c r="U502" i="104"/>
  <c r="V502" i="104" s="1"/>
  <c r="U486" i="104"/>
  <c r="V486" i="104" s="1"/>
  <c r="U470" i="104"/>
  <c r="V470" i="104" s="1"/>
  <c r="U454" i="104"/>
  <c r="V454" i="104" s="1"/>
  <c r="U438" i="104"/>
  <c r="V438" i="104" s="1"/>
  <c r="U411" i="104"/>
  <c r="V411" i="104" s="1"/>
  <c r="U379" i="104"/>
  <c r="V379" i="104" s="1"/>
  <c r="U347" i="104"/>
  <c r="V347" i="104" s="1"/>
  <c r="U565" i="104"/>
  <c r="V565" i="104" s="1"/>
  <c r="U549" i="104"/>
  <c r="V549" i="104" s="1"/>
  <c r="U533" i="104"/>
  <c r="V533" i="104" s="1"/>
  <c r="U517" i="104"/>
  <c r="V517" i="104" s="1"/>
  <c r="U501" i="104"/>
  <c r="V501" i="104" s="1"/>
  <c r="U421" i="104"/>
  <c r="V421" i="104" s="1"/>
  <c r="U389" i="104"/>
  <c r="V389" i="104" s="1"/>
  <c r="U357" i="104"/>
  <c r="V357" i="104" s="1"/>
  <c r="U325" i="104"/>
  <c r="V325" i="104" s="1"/>
  <c r="U561" i="104"/>
  <c r="V561" i="104" s="1"/>
  <c r="U545" i="104"/>
  <c r="V545" i="104" s="1"/>
  <c r="U397" i="104"/>
  <c r="V397" i="104" s="1"/>
  <c r="U365" i="104"/>
  <c r="V365" i="104" s="1"/>
  <c r="U554" i="104"/>
  <c r="V554" i="104" s="1"/>
  <c r="U564" i="104"/>
  <c r="V564" i="104" s="1"/>
  <c r="U540" i="104"/>
  <c r="V540" i="104" s="1"/>
  <c r="U512" i="104"/>
  <c r="V512" i="104" s="1"/>
  <c r="U490" i="104"/>
  <c r="V490" i="104" s="1"/>
  <c r="U463" i="104"/>
  <c r="V463" i="104" s="1"/>
  <c r="U437" i="104"/>
  <c r="V437" i="104" s="1"/>
  <c r="U360" i="104"/>
  <c r="V360" i="104" s="1"/>
  <c r="U345" i="104"/>
  <c r="V345" i="104" s="1"/>
  <c r="U260" i="104"/>
  <c r="V260" i="104" s="1"/>
  <c r="U226" i="104"/>
  <c r="V226" i="104" s="1"/>
  <c r="U192" i="104"/>
  <c r="V192" i="104" s="1"/>
  <c r="U156" i="104"/>
  <c r="V156" i="104" s="1"/>
  <c r="U106" i="104"/>
  <c r="V106" i="104" s="1"/>
  <c r="U485" i="104"/>
  <c r="V485" i="104" s="1"/>
  <c r="U436" i="104"/>
  <c r="V436" i="104" s="1"/>
  <c r="U417" i="104"/>
  <c r="V417" i="104" s="1"/>
  <c r="U401" i="104"/>
  <c r="V401" i="104" s="1"/>
  <c r="U387" i="104"/>
  <c r="V387" i="104" s="1"/>
  <c r="U332" i="104"/>
  <c r="V332" i="104" s="1"/>
  <c r="U294" i="104"/>
  <c r="V294" i="104" s="1"/>
  <c r="U271" i="104"/>
  <c r="V271" i="104" s="1"/>
  <c r="U237" i="104"/>
  <c r="V237" i="104" s="1"/>
  <c r="U203" i="104"/>
  <c r="V203" i="104" s="1"/>
  <c r="U169" i="104"/>
  <c r="V169" i="104" s="1"/>
  <c r="U115" i="104"/>
  <c r="V115" i="104" s="1"/>
  <c r="U97" i="104"/>
  <c r="V97" i="104" s="1"/>
  <c r="U563" i="104"/>
  <c r="V563" i="104" s="1"/>
  <c r="U532" i="104"/>
  <c r="V532" i="104" s="1"/>
  <c r="U434" i="104"/>
  <c r="V434" i="104" s="1"/>
  <c r="U399" i="104"/>
  <c r="V399" i="104" s="1"/>
  <c r="U531" i="104"/>
  <c r="V531" i="104" s="1"/>
  <c r="U433" i="104"/>
  <c r="V433" i="104" s="1"/>
  <c r="U415" i="104"/>
  <c r="V415" i="104" s="1"/>
  <c r="U330" i="104"/>
  <c r="V330" i="104" s="1"/>
  <c r="U304" i="104"/>
  <c r="V304" i="104" s="1"/>
  <c r="U292" i="104"/>
  <c r="V292" i="104" s="1"/>
  <c r="U269" i="104"/>
  <c r="V269" i="104" s="1"/>
  <c r="U235" i="104"/>
  <c r="V235" i="104" s="1"/>
  <c r="U201" i="104"/>
  <c r="V201" i="104" s="1"/>
  <c r="U151" i="104"/>
  <c r="V151" i="104" s="1"/>
  <c r="U135" i="104"/>
  <c r="V135" i="104" s="1"/>
  <c r="U558" i="104"/>
  <c r="V558" i="104" s="1"/>
  <c r="U507" i="104"/>
  <c r="V507" i="104" s="1"/>
  <c r="U458" i="104"/>
  <c r="V458" i="104" s="1"/>
  <c r="U556" i="104"/>
  <c r="V556" i="104" s="1"/>
  <c r="U527" i="104"/>
  <c r="V527" i="104" s="1"/>
  <c r="U451" i="104"/>
  <c r="V451" i="104" s="1"/>
  <c r="U429" i="104"/>
  <c r="V429" i="104" s="1"/>
  <c r="U278" i="104"/>
  <c r="V278" i="104" s="1"/>
  <c r="U244" i="104"/>
  <c r="V244" i="104" s="1"/>
  <c r="U198" i="104"/>
  <c r="V198" i="104" s="1"/>
  <c r="U528" i="104"/>
  <c r="V528" i="104" s="1"/>
  <c r="U497" i="104"/>
  <c r="V497" i="104" s="1"/>
  <c r="U467" i="104"/>
  <c r="V467" i="104" s="1"/>
  <c r="U442" i="104"/>
  <c r="V442" i="104" s="1"/>
  <c r="U396" i="104"/>
  <c r="V396" i="104" s="1"/>
  <c r="U333" i="104"/>
  <c r="V333" i="104" s="1"/>
  <c r="U303" i="104"/>
  <c r="V303" i="104" s="1"/>
  <c r="U290" i="104"/>
  <c r="V290" i="104" s="1"/>
  <c r="U238" i="104"/>
  <c r="V238" i="104" s="1"/>
  <c r="U158" i="104"/>
  <c r="V158" i="104" s="1"/>
  <c r="U153" i="104"/>
  <c r="V153" i="104" s="1"/>
  <c r="U148" i="104"/>
  <c r="V148" i="104" s="1"/>
  <c r="U143" i="104"/>
  <c r="V143" i="104" s="1"/>
  <c r="U118" i="104"/>
  <c r="V118" i="104" s="1"/>
  <c r="U101" i="104"/>
  <c r="V101" i="104" s="1"/>
  <c r="U562" i="104"/>
  <c r="V562" i="104" s="1"/>
  <c r="U559" i="104"/>
  <c r="V559" i="104" s="1"/>
  <c r="U526" i="104"/>
  <c r="V526" i="104" s="1"/>
  <c r="U495" i="104"/>
  <c r="V495" i="104" s="1"/>
  <c r="U346" i="104"/>
  <c r="V346" i="104" s="1"/>
  <c r="U302" i="104"/>
  <c r="V302" i="104" s="1"/>
  <c r="U210" i="104"/>
  <c r="V210" i="104" s="1"/>
  <c r="U197" i="104"/>
  <c r="V197" i="104" s="1"/>
  <c r="U113" i="104"/>
  <c r="V113" i="104" s="1"/>
  <c r="U465" i="104"/>
  <c r="V465" i="104" s="1"/>
  <c r="U331" i="104"/>
  <c r="V331" i="104" s="1"/>
  <c r="U262" i="104"/>
  <c r="V262" i="104" s="1"/>
  <c r="U236" i="104"/>
  <c r="V236" i="104" s="1"/>
  <c r="U223" i="104"/>
  <c r="V223" i="104" s="1"/>
  <c r="U184" i="104"/>
  <c r="V184" i="104" s="1"/>
  <c r="U108" i="104"/>
  <c r="V108" i="104" s="1"/>
  <c r="U524" i="104"/>
  <c r="V524" i="104" s="1"/>
  <c r="U493" i="104"/>
  <c r="V493" i="104" s="1"/>
  <c r="U462" i="104"/>
  <c r="V462" i="104" s="1"/>
  <c r="U393" i="104"/>
  <c r="V393" i="104" s="1"/>
  <c r="U555" i="104"/>
  <c r="V555" i="104" s="1"/>
  <c r="U523" i="104"/>
  <c r="V523" i="104" s="1"/>
  <c r="U492" i="104"/>
  <c r="V492" i="104" s="1"/>
  <c r="U461" i="104"/>
  <c r="V461" i="104" s="1"/>
  <c r="U430" i="104"/>
  <c r="V430" i="104" s="1"/>
  <c r="U460" i="104"/>
  <c r="V460" i="104" s="1"/>
  <c r="U516" i="104"/>
  <c r="V516" i="104" s="1"/>
  <c r="U513" i="104"/>
  <c r="V513" i="104" s="1"/>
  <c r="U480" i="104"/>
  <c r="V480" i="104" s="1"/>
  <c r="U405" i="104"/>
  <c r="V405" i="104" s="1"/>
  <c r="U560" i="104"/>
  <c r="V560" i="104" s="1"/>
  <c r="U511" i="104"/>
  <c r="V511" i="104" s="1"/>
  <c r="U352" i="104"/>
  <c r="V352" i="104" s="1"/>
  <c r="U319" i="104"/>
  <c r="V319" i="104" s="1"/>
  <c r="U216" i="104"/>
  <c r="V216" i="104" s="1"/>
  <c r="U187" i="104"/>
  <c r="V187" i="104" s="1"/>
  <c r="U173" i="104"/>
  <c r="V173" i="104" s="1"/>
  <c r="U157" i="104"/>
  <c r="V157" i="104" s="1"/>
  <c r="U146" i="104"/>
  <c r="V146" i="104" s="1"/>
  <c r="U132" i="104"/>
  <c r="V132" i="104" s="1"/>
  <c r="U474" i="104"/>
  <c r="V474" i="104" s="1"/>
  <c r="U431" i="104"/>
  <c r="V431" i="104" s="1"/>
  <c r="U386" i="104"/>
  <c r="V386" i="104" s="1"/>
  <c r="U368" i="104"/>
  <c r="V368" i="104" s="1"/>
  <c r="U301" i="104"/>
  <c r="V301" i="104" s="1"/>
  <c r="U287" i="104"/>
  <c r="V287" i="104" s="1"/>
  <c r="U258" i="104"/>
  <c r="V258" i="104" s="1"/>
  <c r="U121" i="104"/>
  <c r="V121" i="104" s="1"/>
  <c r="U548" i="104"/>
  <c r="V548" i="104" s="1"/>
  <c r="U557" i="104"/>
  <c r="V557" i="104" s="1"/>
  <c r="U510" i="104"/>
  <c r="V510" i="104" s="1"/>
  <c r="U469" i="104"/>
  <c r="V469" i="104" s="1"/>
  <c r="U406" i="104"/>
  <c r="V406" i="104" s="1"/>
  <c r="U334" i="104"/>
  <c r="V334" i="104" s="1"/>
  <c r="U318" i="104"/>
  <c r="V318" i="104" s="1"/>
  <c r="U272" i="104"/>
  <c r="V272" i="104" s="1"/>
  <c r="U229" i="104"/>
  <c r="V229" i="104" s="1"/>
  <c r="U186" i="104"/>
  <c r="V186" i="104" s="1"/>
  <c r="U172" i="104"/>
  <c r="V172" i="104" s="1"/>
  <c r="U92" i="104"/>
  <c r="V92" i="104" s="1"/>
  <c r="U509" i="104"/>
  <c r="V509" i="104" s="1"/>
  <c r="U468" i="104"/>
  <c r="V468" i="104" s="1"/>
  <c r="U547" i="104"/>
  <c r="V547" i="104" s="1"/>
  <c r="U508" i="104"/>
  <c r="V508" i="104" s="1"/>
  <c r="U428" i="104"/>
  <c r="V428" i="104" s="1"/>
  <c r="U385" i="104"/>
  <c r="V385" i="104" s="1"/>
  <c r="U315" i="104"/>
  <c r="V315" i="104" s="1"/>
  <c r="U300" i="104"/>
  <c r="V300" i="104" s="1"/>
  <c r="U286" i="104"/>
  <c r="V286" i="104" s="1"/>
  <c r="U242" i="104"/>
  <c r="V242" i="104" s="1"/>
  <c r="U214" i="104"/>
  <c r="V214" i="104" s="1"/>
  <c r="U185" i="104"/>
  <c r="V185" i="104" s="1"/>
  <c r="U102" i="104"/>
  <c r="V102" i="104" s="1"/>
  <c r="U546" i="104"/>
  <c r="V546" i="104" s="1"/>
  <c r="U506" i="104"/>
  <c r="V506" i="104" s="1"/>
  <c r="U544" i="104"/>
  <c r="V544" i="104" s="1"/>
  <c r="U500" i="104"/>
  <c r="V500" i="104" s="1"/>
  <c r="U426" i="104"/>
  <c r="V426" i="104" s="1"/>
  <c r="U313" i="104"/>
  <c r="V313" i="104" s="1"/>
  <c r="U255" i="104"/>
  <c r="V255" i="104" s="1"/>
  <c r="U227" i="104"/>
  <c r="V227" i="104" s="1"/>
  <c r="U543" i="104"/>
  <c r="V543" i="104" s="1"/>
  <c r="U499" i="104"/>
  <c r="V499" i="104" s="1"/>
  <c r="U459" i="104"/>
  <c r="V459" i="104" s="1"/>
  <c r="U422" i="104"/>
  <c r="V422" i="104" s="1"/>
  <c r="U383" i="104"/>
  <c r="V383" i="104" s="1"/>
  <c r="U400" i="104"/>
  <c r="V400" i="104" s="1"/>
  <c r="U364" i="104"/>
  <c r="V364" i="104" s="1"/>
  <c r="U298" i="104"/>
  <c r="V298" i="104" s="1"/>
  <c r="U283" i="104"/>
  <c r="V283" i="104" s="1"/>
  <c r="U240" i="104"/>
  <c r="V240" i="104" s="1"/>
  <c r="U196" i="104"/>
  <c r="V196" i="104" s="1"/>
  <c r="U542" i="104"/>
  <c r="V542" i="104" s="1"/>
  <c r="U498" i="104"/>
  <c r="V498" i="104" s="1"/>
  <c r="U453" i="104"/>
  <c r="V453" i="104" s="1"/>
  <c r="U382" i="104"/>
  <c r="V382" i="104" s="1"/>
  <c r="U329" i="104"/>
  <c r="V329" i="104" s="1"/>
  <c r="U312" i="104"/>
  <c r="V312" i="104" s="1"/>
  <c r="U282" i="104"/>
  <c r="V282" i="104" s="1"/>
  <c r="U541" i="104"/>
  <c r="V541" i="104" s="1"/>
  <c r="U496" i="104"/>
  <c r="V496" i="104" s="1"/>
  <c r="U398" i="104"/>
  <c r="V398" i="104" s="1"/>
  <c r="U362" i="104"/>
  <c r="V362" i="104" s="1"/>
  <c r="U328" i="104"/>
  <c r="V328" i="104" s="1"/>
  <c r="U538" i="104"/>
  <c r="V538" i="104" s="1"/>
  <c r="U491" i="104"/>
  <c r="V491" i="104" s="1"/>
  <c r="U448" i="104"/>
  <c r="V448" i="104" s="1"/>
  <c r="U418" i="104"/>
  <c r="V418" i="104" s="1"/>
  <c r="U342" i="104"/>
  <c r="V342" i="104" s="1"/>
  <c r="U310" i="104"/>
  <c r="V310" i="104" s="1"/>
  <c r="U295" i="104"/>
  <c r="V295" i="104" s="1"/>
  <c r="U222" i="104"/>
  <c r="V222" i="104" s="1"/>
  <c r="U514" i="104"/>
  <c r="V514" i="104" s="1"/>
  <c r="U475" i="104"/>
  <c r="V475" i="104" s="1"/>
  <c r="U336" i="104"/>
  <c r="V336" i="104" s="1"/>
  <c r="U291" i="104"/>
  <c r="V291" i="104" s="1"/>
  <c r="U270" i="104"/>
  <c r="V270" i="104" s="1"/>
  <c r="U180" i="104"/>
  <c r="V180" i="104" s="1"/>
  <c r="U130" i="104"/>
  <c r="V130" i="104" s="1"/>
  <c r="U195" i="104"/>
  <c r="V195" i="104" s="1"/>
  <c r="U476" i="104"/>
  <c r="V476" i="104" s="1"/>
  <c r="U416" i="104"/>
  <c r="V416" i="104" s="1"/>
  <c r="U251" i="104"/>
  <c r="V251" i="104" s="1"/>
  <c r="U233" i="104"/>
  <c r="V233" i="104" s="1"/>
  <c r="U215" i="104"/>
  <c r="V215" i="104" s="1"/>
  <c r="U127" i="104"/>
  <c r="V127" i="104" s="1"/>
  <c r="U464" i="104"/>
  <c r="V464" i="104" s="1"/>
  <c r="U178" i="104"/>
  <c r="V178" i="104" s="1"/>
  <c r="U539" i="104"/>
  <c r="V539" i="104" s="1"/>
  <c r="U466" i="104"/>
  <c r="V466" i="104" s="1"/>
  <c r="U335" i="104"/>
  <c r="V335" i="104" s="1"/>
  <c r="U268" i="104"/>
  <c r="V268" i="104" s="1"/>
  <c r="U232" i="104"/>
  <c r="V232" i="104" s="1"/>
  <c r="U96" i="104"/>
  <c r="V96" i="104" s="1"/>
  <c r="U384" i="104"/>
  <c r="V384" i="104" s="1"/>
  <c r="U356" i="104"/>
  <c r="V356" i="104" s="1"/>
  <c r="U250" i="104"/>
  <c r="V250" i="104" s="1"/>
  <c r="U452" i="104"/>
  <c r="V452" i="104" s="1"/>
  <c r="U414" i="104"/>
  <c r="V414" i="104" s="1"/>
  <c r="U309" i="104"/>
  <c r="V309" i="104" s="1"/>
  <c r="U289" i="104"/>
  <c r="V289" i="104" s="1"/>
  <c r="U249" i="104"/>
  <c r="V249" i="104" s="1"/>
  <c r="U231" i="104"/>
  <c r="V231" i="104" s="1"/>
  <c r="U213" i="104"/>
  <c r="V213" i="104" s="1"/>
  <c r="U166" i="104"/>
  <c r="V166" i="104" s="1"/>
  <c r="U105" i="104"/>
  <c r="V105" i="104" s="1"/>
  <c r="U410" i="104"/>
  <c r="V410" i="104" s="1"/>
  <c r="U355" i="104"/>
  <c r="V355" i="104" s="1"/>
  <c r="U288" i="104"/>
  <c r="V288" i="104" s="1"/>
  <c r="U267" i="104"/>
  <c r="V267" i="104" s="1"/>
  <c r="U248" i="104"/>
  <c r="V248" i="104" s="1"/>
  <c r="U177" i="104"/>
  <c r="V177" i="104" s="1"/>
  <c r="U120" i="104"/>
  <c r="V120" i="104" s="1"/>
  <c r="U117" i="104"/>
  <c r="V117" i="104" s="1"/>
  <c r="U530" i="104"/>
  <c r="V530" i="104" s="1"/>
  <c r="U529" i="104"/>
  <c r="V529" i="104" s="1"/>
  <c r="U377" i="104"/>
  <c r="V377" i="104" s="1"/>
  <c r="U354" i="104"/>
  <c r="V354" i="104" s="1"/>
  <c r="U327" i="104"/>
  <c r="V327" i="104" s="1"/>
  <c r="U247" i="104"/>
  <c r="V247" i="104" s="1"/>
  <c r="U209" i="104"/>
  <c r="V209" i="104" s="1"/>
  <c r="U193" i="104"/>
  <c r="V193" i="104" s="1"/>
  <c r="U176" i="104"/>
  <c r="V176" i="104" s="1"/>
  <c r="U136" i="104"/>
  <c r="V136" i="104" s="1"/>
  <c r="U126" i="104"/>
  <c r="V126" i="104" s="1"/>
  <c r="U447" i="104"/>
  <c r="V447" i="104" s="1"/>
  <c r="U525" i="104"/>
  <c r="V525" i="104" s="1"/>
  <c r="U376" i="104"/>
  <c r="V376" i="104" s="1"/>
  <c r="U353" i="104"/>
  <c r="V353" i="104" s="1"/>
  <c r="U246" i="104"/>
  <c r="V246" i="104" s="1"/>
  <c r="U175" i="104"/>
  <c r="V175" i="104" s="1"/>
  <c r="U446" i="104"/>
  <c r="V446" i="104" s="1"/>
  <c r="U407" i="104"/>
  <c r="V407" i="104" s="1"/>
  <c r="U305" i="104"/>
  <c r="V305" i="104" s="1"/>
  <c r="U264" i="104"/>
  <c r="V264" i="104" s="1"/>
  <c r="U208" i="104"/>
  <c r="V208" i="104" s="1"/>
  <c r="U152" i="104"/>
  <c r="V152" i="104" s="1"/>
  <c r="U129" i="104"/>
  <c r="V129" i="104" s="1"/>
  <c r="U522" i="104"/>
  <c r="V522" i="104" s="1"/>
  <c r="U375" i="104"/>
  <c r="V375" i="104" s="1"/>
  <c r="U324" i="104"/>
  <c r="V324" i="104" s="1"/>
  <c r="U263" i="104"/>
  <c r="V263" i="104" s="1"/>
  <c r="U191" i="104"/>
  <c r="V191" i="104" s="1"/>
  <c r="U142" i="104"/>
  <c r="V142" i="104" s="1"/>
  <c r="U443" i="104"/>
  <c r="V443" i="104" s="1"/>
  <c r="U344" i="104"/>
  <c r="V344" i="104" s="1"/>
  <c r="U279" i="104"/>
  <c r="V279" i="104" s="1"/>
  <c r="U95" i="104"/>
  <c r="V95" i="104" s="1"/>
  <c r="U478" i="104"/>
  <c r="V478" i="104" s="1"/>
  <c r="U477" i="104"/>
  <c r="V477" i="104" s="1"/>
  <c r="U419" i="104"/>
  <c r="V419" i="104" s="1"/>
  <c r="U372" i="104"/>
  <c r="V372" i="104" s="1"/>
  <c r="U337" i="104"/>
  <c r="V337" i="104" s="1"/>
  <c r="U212" i="104"/>
  <c r="V212" i="104" s="1"/>
  <c r="U119" i="104"/>
  <c r="V119" i="104" s="1"/>
  <c r="U107" i="104"/>
  <c r="V107" i="104" s="1"/>
  <c r="U266" i="104"/>
  <c r="V266" i="104" s="1"/>
  <c r="U103" i="104"/>
  <c r="V103" i="104" s="1"/>
  <c r="U515" i="104"/>
  <c r="V515" i="104" s="1"/>
  <c r="U297" i="104"/>
  <c r="V297" i="104" s="1"/>
  <c r="U239" i="104"/>
  <c r="V239" i="104" s="1"/>
  <c r="U111" i="104"/>
  <c r="V111" i="104" s="1"/>
  <c r="U369" i="104"/>
  <c r="V369" i="104" s="1"/>
  <c r="U408" i="104"/>
  <c r="V408" i="104" s="1"/>
  <c r="U366" i="104"/>
  <c r="V366" i="104" s="1"/>
  <c r="U160" i="104"/>
  <c r="V160" i="104" s="1"/>
  <c r="U404" i="104"/>
  <c r="V404" i="104" s="1"/>
  <c r="U323" i="104"/>
  <c r="V323" i="104" s="1"/>
  <c r="U293" i="104"/>
  <c r="V293" i="104" s="1"/>
  <c r="U261" i="104"/>
  <c r="V261" i="104" s="1"/>
  <c r="U122" i="104"/>
  <c r="V122" i="104" s="1"/>
  <c r="U363" i="104"/>
  <c r="V363" i="104" s="1"/>
  <c r="U205" i="104"/>
  <c r="V205" i="104" s="1"/>
  <c r="U150" i="104"/>
  <c r="V150" i="104" s="1"/>
  <c r="U114" i="104"/>
  <c r="V114" i="104" s="1"/>
  <c r="U110" i="104"/>
  <c r="V110" i="104" s="1"/>
  <c r="U484" i="104"/>
  <c r="V484" i="104" s="1"/>
  <c r="U322" i="104"/>
  <c r="V322" i="104" s="1"/>
  <c r="U234" i="104"/>
  <c r="V234" i="104" s="1"/>
  <c r="U181" i="104"/>
  <c r="V181" i="104" s="1"/>
  <c r="U164" i="104"/>
  <c r="V164" i="104" s="1"/>
  <c r="U259" i="104"/>
  <c r="V259" i="104" s="1"/>
  <c r="U159" i="104"/>
  <c r="V159" i="104" s="1"/>
  <c r="U479" i="104"/>
  <c r="V479" i="104" s="1"/>
  <c r="U256" i="104"/>
  <c r="V256" i="104" s="1"/>
  <c r="U445" i="104"/>
  <c r="V445" i="104" s="1"/>
  <c r="U350" i="104"/>
  <c r="V350" i="104" s="1"/>
  <c r="U314" i="104"/>
  <c r="V314" i="104" s="1"/>
  <c r="U390" i="104"/>
  <c r="V390" i="104" s="1"/>
  <c r="U274" i="104"/>
  <c r="V274" i="104" s="1"/>
  <c r="U225" i="104"/>
  <c r="V225" i="104" s="1"/>
  <c r="U188" i="104"/>
  <c r="V188" i="104" s="1"/>
  <c r="U149" i="104"/>
  <c r="V149" i="104" s="1"/>
  <c r="U481" i="104"/>
  <c r="V481" i="104" s="1"/>
  <c r="U162" i="104"/>
  <c r="V162" i="104" s="1"/>
  <c r="U311" i="104"/>
  <c r="V311" i="104" s="1"/>
  <c r="U93" i="104"/>
  <c r="V93" i="104" s="1"/>
  <c r="U494" i="104"/>
  <c r="V494" i="104" s="1"/>
  <c r="U378" i="104"/>
  <c r="V378" i="104" s="1"/>
  <c r="U320" i="104"/>
  <c r="V320" i="104" s="1"/>
  <c r="U100" i="104"/>
  <c r="V100" i="104" s="1"/>
  <c r="U220" i="104"/>
  <c r="V220" i="104" s="1"/>
  <c r="U134" i="104"/>
  <c r="V134" i="104" s="1"/>
  <c r="U483" i="104"/>
  <c r="V483" i="104" s="1"/>
  <c r="U224" i="104"/>
  <c r="V224" i="104" s="1"/>
  <c r="U482" i="104"/>
  <c r="V482" i="104" s="1"/>
  <c r="U273" i="104"/>
  <c r="V273" i="104" s="1"/>
  <c r="U128" i="104"/>
  <c r="V128" i="104" s="1"/>
  <c r="U183" i="104"/>
  <c r="V183" i="104" s="1"/>
  <c r="U374" i="104"/>
  <c r="V374" i="104" s="1"/>
  <c r="U265" i="104"/>
  <c r="V265" i="104" s="1"/>
  <c r="U155" i="104"/>
  <c r="V155" i="104" s="1"/>
  <c r="U116" i="104"/>
  <c r="V116" i="104" s="1"/>
  <c r="U450" i="104"/>
  <c r="V450" i="104" s="1"/>
  <c r="U373" i="104"/>
  <c r="V373" i="104" s="1"/>
  <c r="U182" i="104"/>
  <c r="V182" i="104" s="1"/>
  <c r="U449" i="104"/>
  <c r="V449" i="104" s="1"/>
  <c r="U219" i="104"/>
  <c r="V219" i="104" s="1"/>
  <c r="U98" i="104"/>
  <c r="V98" i="104" s="1"/>
  <c r="U444" i="104"/>
  <c r="V444" i="104" s="1"/>
  <c r="U367" i="104"/>
  <c r="V367" i="104" s="1"/>
  <c r="U308" i="104"/>
  <c r="V308" i="104" s="1"/>
  <c r="U141" i="104"/>
  <c r="V141" i="104" s="1"/>
  <c r="U104" i="104"/>
  <c r="V104" i="104" s="1"/>
  <c r="U306" i="104"/>
  <c r="V306" i="104" s="1"/>
  <c r="U257" i="104"/>
  <c r="V257" i="104" s="1"/>
  <c r="U174" i="104"/>
  <c r="V174" i="104" s="1"/>
  <c r="U154" i="104"/>
  <c r="V154" i="104" s="1"/>
  <c r="U171" i="104"/>
  <c r="V171" i="104" s="1"/>
  <c r="U361" i="104"/>
  <c r="V361" i="104" s="1"/>
  <c r="U218" i="104"/>
  <c r="V218" i="104" s="1"/>
  <c r="U140" i="104"/>
  <c r="V140" i="104" s="1"/>
  <c r="U109" i="104"/>
  <c r="V109" i="104" s="1"/>
  <c r="U358" i="104"/>
  <c r="V358" i="104" s="1"/>
  <c r="U432" i="104"/>
  <c r="V432" i="104" s="1"/>
  <c r="U351" i="104"/>
  <c r="V351" i="104" s="1"/>
  <c r="U168" i="104"/>
  <c r="V168" i="104" s="1"/>
  <c r="U147" i="104"/>
  <c r="V147" i="104" s="1"/>
  <c r="U299" i="104"/>
  <c r="V299" i="104" s="1"/>
  <c r="U252" i="104"/>
  <c r="V252" i="104" s="1"/>
  <c r="U207" i="104"/>
  <c r="V207" i="104" s="1"/>
  <c r="U125" i="104"/>
  <c r="V125" i="104" s="1"/>
  <c r="U427" i="104"/>
  <c r="V427" i="104" s="1"/>
  <c r="U296" i="104"/>
  <c r="V296" i="104" s="1"/>
  <c r="U167" i="104"/>
  <c r="V167" i="104" s="1"/>
  <c r="U343" i="104"/>
  <c r="V343" i="104" s="1"/>
  <c r="U206" i="104"/>
  <c r="V206" i="104" s="1"/>
  <c r="U420" i="104"/>
  <c r="V420" i="104" s="1"/>
  <c r="U245" i="104"/>
  <c r="V245" i="104" s="1"/>
  <c r="U145" i="104"/>
  <c r="V145" i="104" s="1"/>
  <c r="U91" i="104"/>
  <c r="V91" i="104" s="1"/>
  <c r="U409" i="104"/>
  <c r="V409" i="104" s="1"/>
  <c r="U341" i="104"/>
  <c r="V341" i="104" s="1"/>
  <c r="U276" i="104"/>
  <c r="V276" i="104" s="1"/>
  <c r="U230" i="104"/>
  <c r="V230" i="104" s="1"/>
  <c r="U190" i="104"/>
  <c r="V190" i="104" s="1"/>
  <c r="U435" i="104"/>
  <c r="V435" i="104" s="1"/>
  <c r="U94" i="104"/>
  <c r="V94" i="104" s="1"/>
  <c r="U241" i="104"/>
  <c r="V241" i="104" s="1"/>
  <c r="U144" i="104"/>
  <c r="V144" i="104" s="1"/>
  <c r="U340" i="104"/>
  <c r="V340" i="104" s="1"/>
  <c r="U139" i="104"/>
  <c r="V139" i="104" s="1"/>
  <c r="U170" i="104"/>
  <c r="V170" i="104" s="1"/>
  <c r="U395" i="104"/>
  <c r="V395" i="104" s="1"/>
  <c r="U254" i="104"/>
  <c r="V254" i="104" s="1"/>
  <c r="U204" i="104"/>
  <c r="V204" i="104" s="1"/>
  <c r="U394" i="104"/>
  <c r="V394" i="104" s="1"/>
  <c r="U392" i="104"/>
  <c r="V392" i="104" s="1"/>
  <c r="U90" i="104"/>
  <c r="V90" i="104" s="1"/>
  <c r="U388" i="104"/>
  <c r="V388" i="104" s="1"/>
  <c r="U161" i="104"/>
  <c r="V161" i="104" s="1"/>
  <c r="U228" i="104"/>
  <c r="V228" i="104" s="1"/>
  <c r="U138" i="104"/>
  <c r="V138" i="104" s="1"/>
  <c r="U137" i="104"/>
  <c r="V137" i="104" s="1"/>
  <c r="U281" i="104"/>
  <c r="V281" i="104" s="1"/>
  <c r="U217" i="104"/>
  <c r="V217" i="104" s="1"/>
  <c r="U124" i="104"/>
  <c r="V124" i="104" s="1"/>
  <c r="U280" i="104"/>
  <c r="V280" i="104" s="1"/>
  <c r="U326" i="104"/>
  <c r="V326" i="104" s="1"/>
  <c r="U202" i="104"/>
  <c r="V202" i="104" s="1"/>
  <c r="U199" i="104"/>
  <c r="V199" i="104" s="1"/>
  <c r="U200" i="104"/>
  <c r="V200" i="104" s="1"/>
  <c r="U123" i="104"/>
  <c r="V123" i="104" s="1"/>
  <c r="U321" i="104"/>
  <c r="V321" i="104" s="1"/>
  <c r="U194" i="104"/>
  <c r="V194" i="104" s="1"/>
  <c r="U112" i="104"/>
  <c r="V112" i="104" s="1"/>
  <c r="U277" i="104"/>
  <c r="V277" i="104" s="1"/>
  <c r="U52" i="104"/>
  <c r="V52" i="104" s="1"/>
  <c r="U34" i="104"/>
  <c r="V34" i="104" s="1"/>
  <c r="U73" i="104"/>
  <c r="V73" i="104" s="1"/>
  <c r="U39" i="104"/>
  <c r="V39" i="104" s="1"/>
  <c r="U86" i="104"/>
  <c r="V86" i="104" s="1"/>
  <c r="U50" i="104"/>
  <c r="V50" i="104" s="1"/>
  <c r="U15" i="104"/>
  <c r="V15" i="104" s="1"/>
  <c r="U14" i="104"/>
  <c r="V14" i="104" s="1"/>
  <c r="U6" i="104"/>
  <c r="V6" i="104" s="1"/>
  <c r="U88" i="104"/>
  <c r="V88" i="104" s="1"/>
  <c r="U3" i="104"/>
  <c r="V3" i="104" s="1"/>
  <c r="U55" i="104"/>
  <c r="V55" i="104" s="1"/>
  <c r="U31" i="104"/>
  <c r="V31" i="104" s="1"/>
  <c r="U20" i="104"/>
  <c r="V20" i="104" s="1"/>
  <c r="U10" i="104"/>
  <c r="V10" i="104" s="1"/>
  <c r="U89" i="104"/>
  <c r="V89" i="104" s="1"/>
  <c r="U29" i="104"/>
  <c r="V29" i="104" s="1"/>
  <c r="U49" i="104"/>
  <c r="V49" i="104" s="1"/>
  <c r="U9" i="104"/>
  <c r="V9" i="104" s="1"/>
  <c r="U58" i="104"/>
  <c r="V58" i="104" s="1"/>
  <c r="U22" i="104"/>
  <c r="V22" i="104" s="1"/>
  <c r="U80" i="104"/>
  <c r="V80" i="104" s="1"/>
  <c r="U16" i="104"/>
  <c r="V16" i="104" s="1"/>
  <c r="U75" i="104"/>
  <c r="V75" i="104" s="1"/>
  <c r="U82" i="104"/>
  <c r="V82" i="104" s="1"/>
  <c r="U18" i="104"/>
  <c r="V18" i="104" s="1"/>
  <c r="U19" i="104"/>
  <c r="V19" i="104" s="1"/>
  <c r="U8" i="104"/>
  <c r="V8" i="104" s="1"/>
  <c r="AD413" i="104"/>
  <c r="AD381" i="104"/>
  <c r="AD349" i="104"/>
  <c r="AD317" i="104"/>
  <c r="AD285" i="104"/>
  <c r="AD402" i="104"/>
  <c r="AD391" i="104"/>
  <c r="AD359" i="104"/>
  <c r="AD327" i="104"/>
  <c r="AD295" i="104"/>
  <c r="AD412" i="104"/>
  <c r="AD380" i="104"/>
  <c r="AD348" i="104"/>
  <c r="AD316" i="104"/>
  <c r="AD401" i="104"/>
  <c r="AD369" i="104"/>
  <c r="AD390" i="104"/>
  <c r="AD358" i="104"/>
  <c r="AD326" i="104"/>
  <c r="AD294" i="104"/>
  <c r="AD411" i="104"/>
  <c r="AD421" i="104"/>
  <c r="AD389" i="104"/>
  <c r="AD357" i="104"/>
  <c r="AD325" i="104"/>
  <c r="AD399" i="104"/>
  <c r="AD367" i="104"/>
  <c r="AD335" i="104"/>
  <c r="AD303" i="104"/>
  <c r="AD407" i="104"/>
  <c r="AD375" i="104"/>
  <c r="AD373" i="104"/>
  <c r="AD319" i="104"/>
  <c r="AD282" i="104"/>
  <c r="AD344" i="104"/>
  <c r="AD306" i="104"/>
  <c r="AD415" i="104"/>
  <c r="AD384" i="104"/>
  <c r="AD355" i="104"/>
  <c r="AD342" i="104"/>
  <c r="AD409" i="104"/>
  <c r="AD395" i="104"/>
  <c r="AD366" i="104"/>
  <c r="AD289" i="104"/>
  <c r="AD414" i="104"/>
  <c r="AD363" i="104"/>
  <c r="AD347" i="104"/>
  <c r="AD394" i="104"/>
  <c r="AD377" i="104"/>
  <c r="AD362" i="104"/>
  <c r="AD315" i="104"/>
  <c r="AD288" i="104"/>
  <c r="AD410" i="104"/>
  <c r="AD345" i="104"/>
  <c r="AD301" i="104"/>
  <c r="AD408" i="104"/>
  <c r="AD406" i="104"/>
  <c r="AD386" i="104"/>
  <c r="AD368" i="104"/>
  <c r="AD334" i="104"/>
  <c r="AD351" i="104"/>
  <c r="AD318" i="104"/>
  <c r="AD405" i="104"/>
  <c r="AD385" i="104"/>
  <c r="AD300" i="104"/>
  <c r="AD286" i="104"/>
  <c r="AD350" i="104"/>
  <c r="AD403" i="104"/>
  <c r="AD364" i="104"/>
  <c r="AD298" i="104"/>
  <c r="AD283" i="104"/>
  <c r="AD400" i="104"/>
  <c r="AD346" i="104"/>
  <c r="AD329" i="104"/>
  <c r="AD312" i="104"/>
  <c r="AD420" i="104"/>
  <c r="AD382" i="104"/>
  <c r="AD297" i="104"/>
  <c r="AD419" i="104"/>
  <c r="AD379" i="104"/>
  <c r="AD343" i="104"/>
  <c r="AD376" i="104"/>
  <c r="AD360" i="104"/>
  <c r="AD324" i="104"/>
  <c r="AD279" i="104"/>
  <c r="AD387" i="104"/>
  <c r="AD310" i="104"/>
  <c r="AD356" i="104"/>
  <c r="AD290" i="104"/>
  <c r="AD333" i="104"/>
  <c r="AD309" i="104"/>
  <c r="AD383" i="104"/>
  <c r="AD332" i="104"/>
  <c r="AD331" i="104"/>
  <c r="AD308" i="104"/>
  <c r="AD307" i="104"/>
  <c r="AD305" i="104"/>
  <c r="AD352" i="104"/>
  <c r="AD281" i="104"/>
  <c r="AD404" i="104"/>
  <c r="AD304" i="104"/>
  <c r="AD372" i="104"/>
  <c r="AD299" i="104"/>
  <c r="AD416" i="104"/>
  <c r="AD330" i="104"/>
  <c r="AD296" i="104"/>
  <c r="AD418" i="104"/>
  <c r="AD371" i="104"/>
  <c r="AD336" i="104"/>
  <c r="AD417" i="104"/>
  <c r="AD370" i="104"/>
  <c r="AD328" i="104"/>
  <c r="AD323" i="104"/>
  <c r="AD293" i="104"/>
  <c r="AD398" i="104"/>
  <c r="AD322" i="104"/>
  <c r="AD292" i="104"/>
  <c r="AD397" i="104"/>
  <c r="AD361" i="104"/>
  <c r="AD291" i="104"/>
  <c r="AD396" i="104"/>
  <c r="AD321" i="104"/>
  <c r="AD393" i="104"/>
  <c r="AD284" i="104"/>
  <c r="AD313" i="104"/>
  <c r="AD378" i="104"/>
  <c r="AD320" i="104"/>
  <c r="AD311" i="104"/>
  <c r="AD374" i="104"/>
  <c r="AD314" i="104"/>
  <c r="AD365" i="104"/>
  <c r="AD353" i="104"/>
  <c r="AD341" i="104"/>
  <c r="AD287" i="104"/>
  <c r="AD339" i="104"/>
  <c r="AD392" i="104"/>
  <c r="AD388" i="104"/>
  <c r="AD280" i="104"/>
  <c r="AD354" i="104"/>
  <c r="AD340" i="104"/>
  <c r="AD337" i="104"/>
  <c r="AD338" i="104"/>
  <c r="AD302" i="104"/>
  <c r="AF1" i="104" l="1" a="1"/>
  <c r="AF1" i="104" s="1"/>
  <c r="AF2" i="104" s="1"/>
  <c r="W2" i="104" a="1"/>
  <c r="AF4" i="104" l="1"/>
  <c r="AF3" i="104"/>
  <c r="W2" i="104"/>
  <c r="W1" i="104" a="1"/>
  <c r="W1" i="104" s="1"/>
  <c r="A15" i="104" s="1"/>
  <c r="E15" i="104" l="1"/>
  <c r="B15" i="104"/>
  <c r="G15" i="104" s="1"/>
  <c r="H15" i="104"/>
  <c r="I15" i="104" s="1"/>
  <c r="A16" i="104"/>
  <c r="C15" i="104" l="1"/>
  <c r="F15" i="104"/>
  <c r="E16" i="104"/>
  <c r="H16" i="104"/>
  <c r="I16" i="104" s="1"/>
  <c r="B16" i="104"/>
  <c r="G16" i="104" s="1"/>
  <c r="A17" i="104"/>
  <c r="J15" i="104"/>
  <c r="K15" i="104" s="1"/>
  <c r="C16" i="104" l="1"/>
  <c r="F16" i="104"/>
  <c r="H17" i="104"/>
  <c r="I17" i="104" s="1"/>
  <c r="E17" i="104"/>
  <c r="B17" i="104"/>
  <c r="G17" i="104" s="1"/>
  <c r="A18" i="104"/>
  <c r="J16" i="104"/>
  <c r="K16" i="104" s="1"/>
  <c r="C17" i="104" l="1"/>
  <c r="F17" i="104"/>
  <c r="E18" i="104"/>
  <c r="B18" i="104"/>
  <c r="G18" i="104" s="1"/>
  <c r="L18" i="104"/>
  <c r="H18" i="104"/>
  <c r="I18" i="104" s="1"/>
  <c r="A19" i="104"/>
  <c r="J17" i="104"/>
  <c r="K17" i="104" s="1"/>
  <c r="C18" i="104" l="1"/>
  <c r="F18" i="104"/>
  <c r="H19" i="104"/>
  <c r="I19" i="104" s="1"/>
  <c r="E19" i="104"/>
  <c r="L19" i="104"/>
  <c r="B19" i="104"/>
  <c r="G19" i="104" s="1"/>
  <c r="A20" i="104"/>
  <c r="J18" i="104"/>
  <c r="K18" i="104" s="1"/>
  <c r="C19" i="104" l="1"/>
  <c r="F19" i="104"/>
  <c r="M18" i="104"/>
  <c r="L20" i="104"/>
  <c r="H20" i="104"/>
  <c r="I20" i="104" s="1"/>
  <c r="B20" i="104"/>
  <c r="G20" i="104" s="1"/>
  <c r="E20" i="104"/>
  <c r="A21" i="104"/>
  <c r="J19" i="104"/>
  <c r="K19" i="104" s="1"/>
  <c r="C20" i="104" l="1"/>
  <c r="F20" i="104"/>
  <c r="M19" i="104"/>
  <c r="H21" i="104"/>
  <c r="I21" i="104" s="1"/>
  <c r="B21" i="104"/>
  <c r="G21" i="104" s="1"/>
  <c r="L21" i="104"/>
  <c r="E21" i="104"/>
  <c r="A22" i="104"/>
  <c r="J20" i="104"/>
  <c r="K20" i="104" s="1"/>
  <c r="C21" i="104" l="1"/>
  <c r="F21" i="104"/>
  <c r="M20" i="104"/>
  <c r="E22" i="104"/>
  <c r="L22" i="104"/>
  <c r="H22" i="104"/>
  <c r="I22" i="104" s="1"/>
  <c r="B22" i="104"/>
  <c r="G22" i="104" s="1"/>
  <c r="A23" i="104"/>
  <c r="J21" i="104"/>
  <c r="K21" i="104" s="1"/>
  <c r="C22" i="104" l="1"/>
  <c r="F22" i="104"/>
  <c r="M21" i="104"/>
  <c r="B23" i="104"/>
  <c r="G23" i="104" s="1"/>
  <c r="L23" i="104"/>
  <c r="H23" i="104"/>
  <c r="I23" i="104" s="1"/>
  <c r="E23" i="104"/>
  <c r="A24" i="104"/>
  <c r="J22" i="104"/>
  <c r="K22" i="104" s="1"/>
  <c r="C23" i="104" l="1"/>
  <c r="F23" i="104"/>
  <c r="M22" i="104"/>
  <c r="L24" i="104"/>
  <c r="H24" i="104"/>
  <c r="I24" i="104" s="1"/>
  <c r="E24" i="104"/>
  <c r="B24" i="104"/>
  <c r="G24" i="104" s="1"/>
  <c r="A25" i="104"/>
  <c r="J23" i="104"/>
  <c r="K23" i="104" s="1"/>
  <c r="C24" i="104" l="1"/>
  <c r="F24" i="104"/>
  <c r="M23" i="104"/>
  <c r="L25" i="104"/>
  <c r="H25" i="104"/>
  <c r="I25" i="104" s="1"/>
  <c r="E25" i="104"/>
  <c r="B25" i="104"/>
  <c r="G25" i="104" s="1"/>
  <c r="A26" i="104"/>
  <c r="J24" i="104"/>
  <c r="K24" i="104" s="1"/>
  <c r="C25" i="104" l="1"/>
  <c r="F25" i="104"/>
  <c r="M24" i="104"/>
  <c r="L26" i="104"/>
  <c r="B26" i="104"/>
  <c r="G26" i="104" s="1"/>
  <c r="H26" i="104"/>
  <c r="I26" i="104" s="1"/>
  <c r="E26" i="104"/>
  <c r="A27" i="104"/>
  <c r="J25" i="104"/>
  <c r="K25" i="104" s="1"/>
  <c r="C26" i="104" l="1"/>
  <c r="F26" i="104"/>
  <c r="M25" i="104"/>
  <c r="J26" i="104"/>
  <c r="K26" i="104" s="1"/>
  <c r="L27" i="104"/>
  <c r="H27" i="104"/>
  <c r="I27" i="104" s="1"/>
  <c r="B27" i="104"/>
  <c r="G27" i="104" s="1"/>
  <c r="E27" i="104"/>
  <c r="A28" i="104"/>
  <c r="C27" i="104" l="1"/>
  <c r="F27" i="104"/>
  <c r="M26" i="104"/>
  <c r="E28" i="104"/>
  <c r="B28" i="104"/>
  <c r="G28" i="104" s="1"/>
  <c r="H28" i="104"/>
  <c r="I28" i="104" s="1"/>
  <c r="L28" i="104"/>
  <c r="A29" i="104"/>
  <c r="J27" i="104"/>
  <c r="K27" i="104" s="1"/>
  <c r="C28" i="104" l="1"/>
  <c r="F28" i="104"/>
  <c r="M27" i="104"/>
  <c r="L29" i="104"/>
  <c r="H29" i="104"/>
  <c r="I29" i="104" s="1"/>
  <c r="E29" i="104"/>
  <c r="B29" i="104"/>
  <c r="G29" i="104" s="1"/>
  <c r="A30" i="104"/>
  <c r="J28" i="104"/>
  <c r="K28" i="104" s="1"/>
  <c r="C29" i="104" l="1"/>
  <c r="F29" i="104"/>
  <c r="M28" i="104"/>
  <c r="E30" i="104"/>
  <c r="B30" i="104"/>
  <c r="G30" i="104" s="1"/>
  <c r="L30" i="104"/>
  <c r="H30" i="104"/>
  <c r="I30" i="104" s="1"/>
  <c r="A31" i="104"/>
  <c r="J29" i="104"/>
  <c r="K29" i="104" s="1"/>
  <c r="C30" i="104" l="1"/>
  <c r="F30" i="104"/>
  <c r="M29" i="104"/>
  <c r="H31" i="104"/>
  <c r="I31" i="104" s="1"/>
  <c r="L31" i="104"/>
  <c r="E31" i="104"/>
  <c r="B31" i="104"/>
  <c r="G31" i="104" s="1"/>
  <c r="A32" i="104"/>
  <c r="J30" i="104"/>
  <c r="K30" i="104" s="1"/>
  <c r="C31" i="104" l="1"/>
  <c r="F31" i="104"/>
  <c r="M30" i="104"/>
  <c r="B32" i="104"/>
  <c r="G32" i="104" s="1"/>
  <c r="L32" i="104"/>
  <c r="E32" i="104"/>
  <c r="H32" i="104"/>
  <c r="I32" i="104" s="1"/>
  <c r="A33" i="104"/>
  <c r="J31" i="104"/>
  <c r="K31" i="104" s="1"/>
  <c r="C32" i="104" l="1"/>
  <c r="F32" i="104"/>
  <c r="M31" i="104"/>
  <c r="J32" i="104"/>
  <c r="K32" i="104" s="1"/>
  <c r="L33" i="104"/>
  <c r="H33" i="104"/>
  <c r="I33" i="104" s="1"/>
  <c r="B33" i="104"/>
  <c r="G33" i="104" s="1"/>
  <c r="E33" i="104"/>
  <c r="A34" i="104"/>
  <c r="C33" i="104" l="1"/>
  <c r="F33" i="104"/>
  <c r="M32" i="104"/>
  <c r="B34" i="104"/>
  <c r="G34" i="104" s="1"/>
  <c r="H34" i="104"/>
  <c r="I34" i="104" s="1"/>
  <c r="E34" i="104"/>
  <c r="L34" i="104"/>
  <c r="A35" i="104"/>
  <c r="J33" i="104"/>
  <c r="K33" i="104" s="1"/>
  <c r="C34" i="104" l="1"/>
  <c r="F34" i="104"/>
  <c r="M33" i="104"/>
  <c r="B35" i="104"/>
  <c r="G35" i="104" s="1"/>
  <c r="L35" i="104"/>
  <c r="H35" i="104"/>
  <c r="I35" i="104" s="1"/>
  <c r="E35" i="104"/>
  <c r="A36" i="104"/>
  <c r="J34" i="104"/>
  <c r="K34" i="104" s="1"/>
  <c r="C35" i="104" l="1"/>
  <c r="F35" i="104"/>
  <c r="M34" i="104"/>
  <c r="E36" i="104"/>
  <c r="B36" i="104"/>
  <c r="G36" i="104" s="1"/>
  <c r="H36" i="104"/>
  <c r="I36" i="104" s="1"/>
  <c r="L36" i="104"/>
  <c r="A37" i="104"/>
  <c r="J35" i="104"/>
  <c r="K35" i="104" s="1"/>
  <c r="C36" i="104" l="1"/>
  <c r="F36" i="104"/>
  <c r="M35" i="104"/>
  <c r="H37" i="104"/>
  <c r="I37" i="104" s="1"/>
  <c r="B37" i="104"/>
  <c r="G37" i="104" s="1"/>
  <c r="L37" i="104"/>
  <c r="E37" i="104"/>
  <c r="A38" i="104"/>
  <c r="J36" i="104"/>
  <c r="K36" i="104" s="1"/>
  <c r="C37" i="104" l="1"/>
  <c r="F37" i="104"/>
  <c r="M36" i="104"/>
  <c r="H38" i="104"/>
  <c r="I38" i="104" s="1"/>
  <c r="E38" i="104"/>
  <c r="B38" i="104"/>
  <c r="G38" i="104" s="1"/>
  <c r="L38" i="104"/>
  <c r="A39" i="104"/>
  <c r="J37" i="104"/>
  <c r="K37" i="104" s="1"/>
  <c r="C38" i="104" l="1"/>
  <c r="F38" i="104"/>
  <c r="M37" i="104"/>
  <c r="J38" i="104"/>
  <c r="K38" i="104" s="1"/>
  <c r="L39" i="104"/>
  <c r="E39" i="104"/>
  <c r="H39" i="104"/>
  <c r="I39" i="104" s="1"/>
  <c r="B39" i="104"/>
  <c r="G39" i="104" s="1"/>
  <c r="A40" i="104"/>
  <c r="C39" i="104" l="1"/>
  <c r="F39" i="104"/>
  <c r="M38" i="104"/>
  <c r="J39" i="104"/>
  <c r="K39" i="104"/>
  <c r="L40" i="104"/>
  <c r="H40" i="104"/>
  <c r="I40" i="104" s="1"/>
  <c r="B40" i="104"/>
  <c r="G40" i="104" s="1"/>
  <c r="E40" i="104"/>
  <c r="A41" i="104"/>
  <c r="C40" i="104" l="1"/>
  <c r="F40" i="104"/>
  <c r="M39" i="104"/>
  <c r="J40" i="104"/>
  <c r="K40" i="104"/>
  <c r="L41" i="104"/>
  <c r="H41" i="104"/>
  <c r="I41" i="104" s="1"/>
  <c r="E41" i="104"/>
  <c r="B41" i="104"/>
  <c r="G41" i="104" s="1"/>
  <c r="A42" i="104"/>
  <c r="C41" i="104" l="1"/>
  <c r="F41" i="104"/>
  <c r="M40" i="104"/>
  <c r="L42" i="104"/>
  <c r="H42" i="104"/>
  <c r="I42" i="104" s="1"/>
  <c r="E42" i="104"/>
  <c r="B42" i="104"/>
  <c r="G42" i="104" s="1"/>
  <c r="A43" i="104"/>
  <c r="J41" i="104"/>
  <c r="K41" i="104" s="1"/>
  <c r="C42" i="104" l="1"/>
  <c r="F42" i="104"/>
  <c r="M41" i="104"/>
  <c r="L43" i="104"/>
  <c r="H43" i="104"/>
  <c r="I43" i="104" s="1"/>
  <c r="B43" i="104"/>
  <c r="G43" i="104" s="1"/>
  <c r="E43" i="104"/>
  <c r="A44" i="104"/>
  <c r="J42" i="104"/>
  <c r="K42" i="104" s="1"/>
  <c r="C43" i="104" l="1"/>
  <c r="F43" i="104"/>
  <c r="M42" i="104"/>
  <c r="L44" i="104"/>
  <c r="B44" i="104"/>
  <c r="G44" i="104" s="1"/>
  <c r="H44" i="104"/>
  <c r="I44" i="104" s="1"/>
  <c r="E44" i="104"/>
  <c r="A45" i="104"/>
  <c r="J43" i="104"/>
  <c r="K43" i="104" s="1"/>
  <c r="C44" i="104" l="1"/>
  <c r="F44" i="104"/>
  <c r="M43" i="104"/>
  <c r="E45" i="104"/>
  <c r="B45" i="104"/>
  <c r="G45" i="104" s="1"/>
  <c r="H45" i="104"/>
  <c r="I45" i="104" s="1"/>
  <c r="L45" i="104"/>
  <c r="A46" i="104"/>
  <c r="J44" i="104"/>
  <c r="K44" i="104" s="1"/>
  <c r="C45" i="104" l="1"/>
  <c r="F45" i="104"/>
  <c r="M44" i="104"/>
  <c r="L46" i="104"/>
  <c r="E46" i="104"/>
  <c r="B46" i="104"/>
  <c r="G46" i="104" s="1"/>
  <c r="H46" i="104"/>
  <c r="I46" i="104" s="1"/>
  <c r="A47" i="104"/>
  <c r="J45" i="104"/>
  <c r="K45" i="104" s="1"/>
  <c r="C46" i="104" l="1"/>
  <c r="F46" i="104"/>
  <c r="M45" i="104"/>
  <c r="J46" i="104"/>
  <c r="K46" i="104" s="1"/>
  <c r="H47" i="104"/>
  <c r="I47" i="104" s="1"/>
  <c r="E47" i="104"/>
  <c r="L47" i="104"/>
  <c r="B47" i="104"/>
  <c r="G47" i="104" s="1"/>
  <c r="A48" i="104"/>
  <c r="C47" i="104" l="1"/>
  <c r="F47" i="104"/>
  <c r="M46" i="104"/>
  <c r="E48" i="104"/>
  <c r="B48" i="104"/>
  <c r="G48" i="104" s="1"/>
  <c r="L48" i="104"/>
  <c r="H48" i="104"/>
  <c r="I48" i="104" s="1"/>
  <c r="A49" i="104"/>
  <c r="J47" i="104"/>
  <c r="K47" i="104" s="1"/>
  <c r="C48" i="104" l="1"/>
  <c r="F48" i="104"/>
  <c r="M47" i="104"/>
  <c r="B49" i="104"/>
  <c r="G49" i="104" s="1"/>
  <c r="L49" i="104"/>
  <c r="E49" i="104"/>
  <c r="H49" i="104"/>
  <c r="I49" i="104" s="1"/>
  <c r="A50" i="104"/>
  <c r="J48" i="104"/>
  <c r="K48" i="104" s="1"/>
  <c r="C49" i="104" l="1"/>
  <c r="F49" i="104"/>
  <c r="M48" i="104"/>
  <c r="J49" i="104"/>
  <c r="K49" i="104" s="1"/>
  <c r="E50" i="104"/>
  <c r="L50" i="104"/>
  <c r="H50" i="104"/>
  <c r="I50" i="104" s="1"/>
  <c r="B50" i="104"/>
  <c r="G50" i="104" s="1"/>
  <c r="A51" i="104"/>
  <c r="C50" i="104" l="1"/>
  <c r="F50" i="104"/>
  <c r="M49" i="104"/>
  <c r="H51" i="104"/>
  <c r="I51" i="104" s="1"/>
  <c r="B51" i="104"/>
  <c r="G51" i="104" s="1"/>
  <c r="E51" i="104"/>
  <c r="L51" i="104"/>
  <c r="A52" i="104"/>
  <c r="J50" i="104"/>
  <c r="K50" i="104" s="1"/>
  <c r="C51" i="104" l="1"/>
  <c r="F51" i="104"/>
  <c r="M50" i="104"/>
  <c r="B52" i="104"/>
  <c r="G52" i="104" s="1"/>
  <c r="L52" i="104"/>
  <c r="H52" i="104"/>
  <c r="I52" i="104" s="1"/>
  <c r="E52" i="104"/>
  <c r="A53" i="104"/>
  <c r="J51" i="104"/>
  <c r="K51" i="104" s="1"/>
  <c r="C52" i="104" l="1"/>
  <c r="F52" i="104"/>
  <c r="M51" i="104"/>
  <c r="L53" i="104"/>
  <c r="H53" i="104"/>
  <c r="I53" i="104" s="1"/>
  <c r="B53" i="104"/>
  <c r="G53" i="104" s="1"/>
  <c r="E53" i="104"/>
  <c r="A54" i="104"/>
  <c r="J52" i="104"/>
  <c r="K52" i="104" s="1"/>
  <c r="C53" i="104" l="1"/>
  <c r="F53" i="104"/>
  <c r="M52" i="104"/>
  <c r="E54" i="104"/>
  <c r="L54" i="104"/>
  <c r="B54" i="104"/>
  <c r="G54" i="104" s="1"/>
  <c r="H54" i="104"/>
  <c r="I54" i="104" s="1"/>
  <c r="A55" i="104"/>
  <c r="J53" i="104"/>
  <c r="K53" i="104" s="1"/>
  <c r="C54" i="104" l="1"/>
  <c r="F54" i="104"/>
  <c r="M53" i="104"/>
  <c r="H55" i="104"/>
  <c r="I55" i="104" s="1"/>
  <c r="E55" i="104"/>
  <c r="B55" i="104"/>
  <c r="G55" i="104" s="1"/>
  <c r="L55" i="104"/>
  <c r="A56" i="104"/>
  <c r="J54" i="104"/>
  <c r="K54" i="104" s="1"/>
  <c r="C55" i="104" l="1"/>
  <c r="F55" i="104"/>
  <c r="M54" i="104"/>
  <c r="H56" i="104"/>
  <c r="I56" i="104" s="1"/>
  <c r="E56" i="104"/>
  <c r="L56" i="104"/>
  <c r="B56" i="104"/>
  <c r="G56" i="104" s="1"/>
  <c r="A57" i="104"/>
  <c r="J55" i="104"/>
  <c r="K55" i="104" s="1"/>
  <c r="C56" i="104" l="1"/>
  <c r="F56" i="104"/>
  <c r="M55" i="104"/>
  <c r="L57" i="104"/>
  <c r="H57" i="104"/>
  <c r="I57" i="104" s="1"/>
  <c r="B57" i="104"/>
  <c r="G57" i="104" s="1"/>
  <c r="E57" i="104"/>
  <c r="A58" i="104"/>
  <c r="J56" i="104"/>
  <c r="K56" i="104"/>
  <c r="C57" i="104" l="1"/>
  <c r="F57" i="104"/>
  <c r="M56" i="104"/>
  <c r="L58" i="104"/>
  <c r="B58" i="104"/>
  <c r="G58" i="104" s="1"/>
  <c r="H58" i="104"/>
  <c r="I58" i="104" s="1"/>
  <c r="E58" i="104"/>
  <c r="A59" i="104"/>
  <c r="J57" i="104"/>
  <c r="K57" i="104" s="1"/>
  <c r="C58" i="104" l="1"/>
  <c r="F58" i="104"/>
  <c r="M57" i="104"/>
  <c r="L59" i="104"/>
  <c r="H59" i="104"/>
  <c r="I59" i="104" s="1"/>
  <c r="E59" i="104"/>
  <c r="B59" i="104"/>
  <c r="G59" i="104" s="1"/>
  <c r="A60" i="104"/>
  <c r="J58" i="104"/>
  <c r="K58" i="104"/>
  <c r="C59" i="104" l="1"/>
  <c r="F59" i="104"/>
  <c r="M58" i="104"/>
  <c r="L60" i="104"/>
  <c r="H60" i="104"/>
  <c r="I60" i="104" s="1"/>
  <c r="E60" i="104"/>
  <c r="B60" i="104"/>
  <c r="G60" i="104" s="1"/>
  <c r="A61" i="104"/>
  <c r="J59" i="104"/>
  <c r="K59" i="104" s="1"/>
  <c r="C60" i="104" l="1"/>
  <c r="F60" i="104"/>
  <c r="M59" i="104"/>
  <c r="L61" i="104"/>
  <c r="E61" i="104"/>
  <c r="H61" i="104"/>
  <c r="I61" i="104" s="1"/>
  <c r="B61" i="104"/>
  <c r="G61" i="104" s="1"/>
  <c r="A62" i="104"/>
  <c r="J60" i="104"/>
  <c r="K60" i="104" s="1"/>
  <c r="C61" i="104" l="1"/>
  <c r="F61" i="104"/>
  <c r="M60" i="104"/>
  <c r="J61" i="104"/>
  <c r="K61" i="104" s="1"/>
  <c r="L62" i="104"/>
  <c r="E62" i="104"/>
  <c r="H62" i="104"/>
  <c r="I62" i="104" s="1"/>
  <c r="B62" i="104"/>
  <c r="G62" i="104" s="1"/>
  <c r="A63" i="104"/>
  <c r="C62" i="104" l="1"/>
  <c r="F62" i="104"/>
  <c r="M61" i="104"/>
  <c r="L63" i="104"/>
  <c r="H63" i="104"/>
  <c r="I63" i="104" s="1"/>
  <c r="E63" i="104"/>
  <c r="B63" i="104"/>
  <c r="G63" i="104" s="1"/>
  <c r="A64" i="104"/>
  <c r="J62" i="104"/>
  <c r="K62" i="104" s="1"/>
  <c r="C63" i="104" l="1"/>
  <c r="F63" i="104"/>
  <c r="M62" i="104"/>
  <c r="J63" i="104"/>
  <c r="K63" i="104" s="1"/>
  <c r="L64" i="104"/>
  <c r="B64" i="104"/>
  <c r="G64" i="104" s="1"/>
  <c r="E64" i="104"/>
  <c r="H64" i="104"/>
  <c r="I64" i="104" s="1"/>
  <c r="A65" i="104"/>
  <c r="C64" i="104" l="1"/>
  <c r="F64" i="104"/>
  <c r="M63" i="104"/>
  <c r="J64" i="104"/>
  <c r="K64" i="104" s="1"/>
  <c r="B65" i="104"/>
  <c r="G65" i="104" s="1"/>
  <c r="E65" i="104"/>
  <c r="L65" i="104"/>
  <c r="H65" i="104"/>
  <c r="I65" i="104" s="1"/>
  <c r="A66" i="104"/>
  <c r="C65" i="104" l="1"/>
  <c r="F65" i="104"/>
  <c r="M64" i="104"/>
  <c r="J65" i="104"/>
  <c r="K65" i="104" s="1"/>
  <c r="L66" i="104"/>
  <c r="E66" i="104"/>
  <c r="B66" i="104"/>
  <c r="G66" i="104" s="1"/>
  <c r="H66" i="104"/>
  <c r="I66" i="104" s="1"/>
  <c r="A67" i="104"/>
  <c r="C66" i="104" l="1"/>
  <c r="F66" i="104"/>
  <c r="M65" i="104"/>
  <c r="E67" i="104"/>
  <c r="L67" i="104"/>
  <c r="B67" i="104"/>
  <c r="G67" i="104" s="1"/>
  <c r="H67" i="104"/>
  <c r="I67" i="104" s="1"/>
  <c r="A68" i="104"/>
  <c r="J66" i="104"/>
  <c r="K66" i="104" s="1"/>
  <c r="C67" i="104" l="1"/>
  <c r="F67" i="104"/>
  <c r="M66" i="104"/>
  <c r="H68" i="104"/>
  <c r="I68" i="104" s="1"/>
  <c r="E68" i="104"/>
  <c r="L68" i="104"/>
  <c r="B68" i="104"/>
  <c r="G68" i="104" s="1"/>
  <c r="A69" i="104"/>
  <c r="J67" i="104"/>
  <c r="K67" i="104" s="1"/>
  <c r="C68" i="104" l="1"/>
  <c r="F68" i="104"/>
  <c r="M67" i="104"/>
  <c r="E69" i="104"/>
  <c r="B69" i="104"/>
  <c r="G69" i="104" s="1"/>
  <c r="L69" i="104"/>
  <c r="H69" i="104"/>
  <c r="I69" i="104" s="1"/>
  <c r="A70" i="104"/>
  <c r="J68" i="104"/>
  <c r="K68" i="104" s="1"/>
  <c r="C69" i="104" l="1"/>
  <c r="F69" i="104"/>
  <c r="M68" i="104"/>
  <c r="H70" i="104"/>
  <c r="I70" i="104" s="1"/>
  <c r="L70" i="104"/>
  <c r="E70" i="104"/>
  <c r="B70" i="104"/>
  <c r="G70" i="104" s="1"/>
  <c r="A71" i="104"/>
  <c r="J69" i="104"/>
  <c r="K69" i="104" s="1"/>
  <c r="C70" i="104" l="1"/>
  <c r="F70" i="104"/>
  <c r="M69" i="104"/>
  <c r="B71" i="104"/>
  <c r="G71" i="104" s="1"/>
  <c r="H71" i="104"/>
  <c r="I71" i="104" s="1"/>
  <c r="E71" i="104"/>
  <c r="L71" i="104"/>
  <c r="A72" i="104"/>
  <c r="J70" i="104"/>
  <c r="K70" i="104" s="1"/>
  <c r="C71" i="104" l="1"/>
  <c r="F71" i="104"/>
  <c r="M70" i="104"/>
  <c r="B72" i="104"/>
  <c r="G72" i="104" s="1"/>
  <c r="L72" i="104"/>
  <c r="H72" i="104"/>
  <c r="I72" i="104" s="1"/>
  <c r="E72" i="104"/>
  <c r="A73" i="104"/>
  <c r="J71" i="104"/>
  <c r="K71" i="104" s="1"/>
  <c r="C72" i="104" l="1"/>
  <c r="F72" i="104"/>
  <c r="M71" i="104"/>
  <c r="J72" i="104"/>
  <c r="K72" i="104" s="1"/>
  <c r="H73" i="104"/>
  <c r="I73" i="104" s="1"/>
  <c r="E73" i="104"/>
  <c r="L73" i="104"/>
  <c r="B73" i="104"/>
  <c r="G73" i="104" s="1"/>
  <c r="A74" i="104"/>
  <c r="C73" i="104" l="1"/>
  <c r="F73" i="104"/>
  <c r="M72" i="104"/>
  <c r="L74" i="104"/>
  <c r="H74" i="104"/>
  <c r="I74" i="104" s="1"/>
  <c r="B74" i="104"/>
  <c r="G74" i="104" s="1"/>
  <c r="E74" i="104"/>
  <c r="A75" i="104"/>
  <c r="J73" i="104"/>
  <c r="K73" i="104"/>
  <c r="C74" i="104" l="1"/>
  <c r="F74" i="104"/>
  <c r="M73" i="104"/>
  <c r="L75" i="104"/>
  <c r="E75" i="104"/>
  <c r="B75" i="104"/>
  <c r="G75" i="104" s="1"/>
  <c r="H75" i="104"/>
  <c r="I75" i="104" s="1"/>
  <c r="A76" i="104"/>
  <c r="J74" i="104"/>
  <c r="K74" i="104" s="1"/>
  <c r="C75" i="104" l="1"/>
  <c r="F75" i="104"/>
  <c r="M74" i="104"/>
  <c r="E76" i="104"/>
  <c r="L76" i="104"/>
  <c r="H76" i="104"/>
  <c r="I76" i="104" s="1"/>
  <c r="B76" i="104"/>
  <c r="G76" i="104" s="1"/>
  <c r="A77" i="104"/>
  <c r="J75" i="104"/>
  <c r="K75" i="104" s="1"/>
  <c r="C76" i="104" l="1"/>
  <c r="F76" i="104"/>
  <c r="M75" i="104"/>
  <c r="J76" i="104"/>
  <c r="K76" i="104" s="1"/>
  <c r="B77" i="104"/>
  <c r="G77" i="104" s="1"/>
  <c r="L77" i="104"/>
  <c r="H77" i="104"/>
  <c r="I77" i="104" s="1"/>
  <c r="E77" i="104"/>
  <c r="A78" i="104"/>
  <c r="C77" i="104" l="1"/>
  <c r="F77" i="104"/>
  <c r="M76" i="104"/>
  <c r="E78" i="104"/>
  <c r="B78" i="104"/>
  <c r="G78" i="104" s="1"/>
  <c r="L78" i="104"/>
  <c r="H78" i="104"/>
  <c r="I78" i="104" s="1"/>
  <c r="A79" i="104"/>
  <c r="J77" i="104"/>
  <c r="K77" i="104" s="1"/>
  <c r="C78" i="104" l="1"/>
  <c r="F78" i="104"/>
  <c r="M77" i="104"/>
  <c r="B79" i="104"/>
  <c r="G79" i="104" s="1"/>
  <c r="E79" i="104"/>
  <c r="L79" i="104"/>
  <c r="H79" i="104"/>
  <c r="I79" i="104" s="1"/>
  <c r="A80" i="104"/>
  <c r="J78" i="104"/>
  <c r="K78" i="104" s="1"/>
  <c r="C79" i="104" l="1"/>
  <c r="F79" i="104"/>
  <c r="M78" i="104"/>
  <c r="L80" i="104"/>
  <c r="H80" i="104"/>
  <c r="I80" i="104" s="1"/>
  <c r="E80" i="104"/>
  <c r="B80" i="104"/>
  <c r="G80" i="104" s="1"/>
  <c r="A81" i="104"/>
  <c r="J79" i="104"/>
  <c r="K79" i="104" s="1"/>
  <c r="C80" i="104" l="1"/>
  <c r="F80" i="104"/>
  <c r="M79" i="104"/>
  <c r="H81" i="104"/>
  <c r="I81" i="104" s="1"/>
  <c r="E81" i="104"/>
  <c r="B81" i="104"/>
  <c r="G81" i="104" s="1"/>
  <c r="L81" i="104"/>
  <c r="A82" i="104"/>
  <c r="J80" i="104"/>
  <c r="K80" i="104" s="1"/>
  <c r="C81" i="104" l="1"/>
  <c r="F81" i="104"/>
  <c r="M80" i="104"/>
  <c r="L82" i="104"/>
  <c r="B82" i="104"/>
  <c r="G82" i="104" s="1"/>
  <c r="H82" i="104"/>
  <c r="I82" i="104" s="1"/>
  <c r="E82" i="104"/>
  <c r="A83" i="104"/>
  <c r="J81" i="104"/>
  <c r="K81" i="104" s="1"/>
  <c r="C82" i="104" l="1"/>
  <c r="F82" i="104"/>
  <c r="M81" i="104"/>
  <c r="E83" i="104"/>
  <c r="L83" i="104"/>
  <c r="B83" i="104"/>
  <c r="G83" i="104" s="1"/>
  <c r="H83" i="104"/>
  <c r="I83" i="104" s="1"/>
  <c r="A84" i="104"/>
  <c r="J82" i="104"/>
  <c r="K82" i="104" s="1"/>
  <c r="C83" i="104" l="1"/>
  <c r="F83" i="104"/>
  <c r="M82" i="104"/>
  <c r="J83" i="104"/>
  <c r="K83" i="104"/>
  <c r="L84" i="104"/>
  <c r="B84" i="104"/>
  <c r="G84" i="104" s="1"/>
  <c r="H84" i="104"/>
  <c r="I84" i="104" s="1"/>
  <c r="E84" i="104"/>
  <c r="A85" i="104"/>
  <c r="C84" i="104" l="1"/>
  <c r="F84" i="104"/>
  <c r="M83" i="104"/>
  <c r="E85" i="104"/>
  <c r="H85" i="104"/>
  <c r="I85" i="104" s="1"/>
  <c r="L85" i="104"/>
  <c r="B85" i="104"/>
  <c r="G85" i="104" s="1"/>
  <c r="A86" i="104"/>
  <c r="J84" i="104"/>
  <c r="K84" i="104" s="1"/>
  <c r="C85" i="104" l="1"/>
  <c r="F85" i="104"/>
  <c r="M84" i="104"/>
  <c r="B86" i="104"/>
  <c r="G86" i="104" s="1"/>
  <c r="E86" i="104"/>
  <c r="L86" i="104"/>
  <c r="H86" i="104"/>
  <c r="I86" i="104" s="1"/>
  <c r="A87" i="104"/>
  <c r="J85" i="104"/>
  <c r="K85" i="104" s="1"/>
  <c r="C86" i="104" l="1"/>
  <c r="F86" i="104"/>
  <c r="M85" i="104"/>
  <c r="J86" i="104"/>
  <c r="K86" i="104" s="1"/>
  <c r="L87" i="104"/>
  <c r="B87" i="104"/>
  <c r="G87" i="104" s="1"/>
  <c r="H87" i="104"/>
  <c r="I87" i="104" s="1"/>
  <c r="E87" i="104"/>
  <c r="A88" i="104"/>
  <c r="C87" i="104" l="1"/>
  <c r="F87" i="104"/>
  <c r="M86" i="104"/>
  <c r="B88" i="104"/>
  <c r="G88" i="104" s="1"/>
  <c r="L88" i="104"/>
  <c r="H88" i="104"/>
  <c r="I88" i="104" s="1"/>
  <c r="E88" i="104"/>
  <c r="A89" i="104"/>
  <c r="J87" i="104"/>
  <c r="K87" i="104" s="1"/>
  <c r="C88" i="104" l="1"/>
  <c r="F88" i="104"/>
  <c r="M87" i="104"/>
  <c r="J88" i="104"/>
  <c r="K88" i="104" s="1"/>
  <c r="H89" i="104"/>
  <c r="I89" i="104" s="1"/>
  <c r="E89" i="104"/>
  <c r="L89" i="104"/>
  <c r="B89" i="104"/>
  <c r="G89" i="104" s="1"/>
  <c r="A90" i="104"/>
  <c r="C89" i="104" l="1"/>
  <c r="F89" i="104"/>
  <c r="M88" i="104"/>
  <c r="E90" i="104"/>
  <c r="H90" i="104"/>
  <c r="I90" i="104" s="1"/>
  <c r="B90" i="104"/>
  <c r="G90" i="104" s="1"/>
  <c r="L90" i="104"/>
  <c r="A91" i="104"/>
  <c r="J89" i="104"/>
  <c r="K89" i="104" s="1"/>
  <c r="C90" i="104" l="1"/>
  <c r="F90" i="104"/>
  <c r="M89" i="104"/>
  <c r="J90" i="104"/>
  <c r="K90" i="104" s="1"/>
  <c r="H91" i="104"/>
  <c r="I91" i="104" s="1"/>
  <c r="E91" i="104"/>
  <c r="L91" i="104"/>
  <c r="B91" i="104"/>
  <c r="G91" i="104" s="1"/>
  <c r="A92" i="104"/>
  <c r="C91" i="104" l="1"/>
  <c r="F91" i="104"/>
  <c r="M90" i="104"/>
  <c r="L92" i="104"/>
  <c r="H92" i="104"/>
  <c r="I92" i="104" s="1"/>
  <c r="E92" i="104"/>
  <c r="B92" i="104"/>
  <c r="G92" i="104" s="1"/>
  <c r="A93" i="104"/>
  <c r="J91" i="104"/>
  <c r="K91" i="104" s="1"/>
  <c r="C92" i="104" l="1"/>
  <c r="F92" i="104"/>
  <c r="M91" i="104"/>
  <c r="B93" i="104"/>
  <c r="G93" i="104" s="1"/>
  <c r="L93" i="104"/>
  <c r="H93" i="104"/>
  <c r="I93" i="104" s="1"/>
  <c r="E93" i="104"/>
  <c r="A94" i="104"/>
  <c r="J92" i="104"/>
  <c r="K92" i="104" s="1"/>
  <c r="C93" i="104" l="1"/>
  <c r="F93" i="104"/>
  <c r="M92" i="104"/>
  <c r="J93" i="104"/>
  <c r="K93" i="104" s="1"/>
  <c r="L94" i="104"/>
  <c r="E94" i="104"/>
  <c r="B94" i="104"/>
  <c r="G94" i="104" s="1"/>
  <c r="H94" i="104"/>
  <c r="I94" i="104" s="1"/>
  <c r="A95" i="104"/>
  <c r="C94" i="104" l="1"/>
  <c r="F94" i="104"/>
  <c r="M93" i="104"/>
  <c r="L95" i="104"/>
  <c r="E95" i="104"/>
  <c r="B95" i="104"/>
  <c r="G95" i="104" s="1"/>
  <c r="H95" i="104"/>
  <c r="I95" i="104" s="1"/>
  <c r="A96" i="104"/>
  <c r="J94" i="104"/>
  <c r="K94" i="104" s="1"/>
  <c r="C95" i="104" l="1"/>
  <c r="F95" i="104"/>
  <c r="M94" i="104"/>
  <c r="E96" i="104"/>
  <c r="B96" i="104"/>
  <c r="G96" i="104" s="1"/>
  <c r="H96" i="104"/>
  <c r="I96" i="104" s="1"/>
  <c r="A97" i="104"/>
  <c r="J95" i="104"/>
  <c r="K95" i="104" s="1"/>
  <c r="C96" i="104" l="1"/>
  <c r="F96" i="104"/>
  <c r="M95" i="104"/>
  <c r="B97" i="104"/>
  <c r="G97" i="104" s="1"/>
  <c r="H97" i="104"/>
  <c r="I97" i="104" s="1"/>
  <c r="E97" i="104"/>
  <c r="A98" i="104"/>
  <c r="J96" i="104"/>
  <c r="K96" i="104" s="1"/>
  <c r="C97" i="104" l="1"/>
  <c r="F97" i="104"/>
  <c r="M96" i="104"/>
  <c r="H98" i="104"/>
  <c r="I98" i="104" s="1"/>
  <c r="B98" i="104"/>
  <c r="G98" i="104" s="1"/>
  <c r="E98" i="104"/>
  <c r="A99" i="104"/>
  <c r="J97" i="104"/>
  <c r="K97" i="104" s="1"/>
  <c r="C98" i="104" l="1"/>
  <c r="F98" i="104"/>
  <c r="M97" i="104"/>
  <c r="J98" i="104"/>
  <c r="K98" i="104" s="1"/>
  <c r="A100" i="104"/>
  <c r="H99" i="104"/>
  <c r="I99" i="104" s="1"/>
  <c r="E99" i="104"/>
  <c r="B99" i="104"/>
  <c r="G99" i="104" s="1"/>
  <c r="C99" i="104" l="1"/>
  <c r="F99" i="104"/>
  <c r="M98" i="104"/>
  <c r="J99" i="104"/>
  <c r="K99" i="104" s="1"/>
  <c r="B100" i="104"/>
  <c r="G100" i="104" s="1"/>
  <c r="H100" i="104"/>
  <c r="I100" i="104" s="1"/>
  <c r="E100" i="104"/>
  <c r="A101" i="104"/>
  <c r="C100" i="104" l="1"/>
  <c r="F100" i="104"/>
  <c r="M99" i="104"/>
  <c r="A102" i="104"/>
  <c r="H101" i="104"/>
  <c r="E101" i="104"/>
  <c r="B101" i="104"/>
  <c r="G101" i="104" s="1"/>
  <c r="J100" i="104"/>
  <c r="K100" i="104" s="1"/>
  <c r="C101" i="104" l="1"/>
  <c r="F101" i="104"/>
  <c r="M100" i="104"/>
  <c r="M101" i="104"/>
  <c r="J101" i="104"/>
  <c r="K101" i="104"/>
  <c r="I101" i="104"/>
  <c r="E102" i="104"/>
  <c r="A103" i="104"/>
  <c r="H102" i="104"/>
  <c r="I102" i="104" s="1"/>
  <c r="B102" i="104"/>
  <c r="G102" i="104" s="1"/>
  <c r="C102" i="104" l="1"/>
  <c r="F102" i="104"/>
  <c r="M102" i="104"/>
  <c r="A104" i="104"/>
  <c r="B103" i="104"/>
  <c r="G103" i="104" s="1"/>
  <c r="H103" i="104"/>
  <c r="I103" i="104" s="1"/>
  <c r="E103" i="104"/>
  <c r="K102" i="104"/>
  <c r="J102" i="104"/>
  <c r="C103" i="104" l="1"/>
  <c r="F103" i="104"/>
  <c r="B104" i="104"/>
  <c r="G104" i="104" s="1"/>
  <c r="H104" i="104"/>
  <c r="E104" i="104"/>
  <c r="A105" i="104"/>
  <c r="J103" i="104"/>
  <c r="K103" i="104"/>
  <c r="M103" i="104"/>
  <c r="C104" i="104" l="1"/>
  <c r="F104" i="104"/>
  <c r="K104" i="104"/>
  <c r="J104" i="104"/>
  <c r="A106" i="104"/>
  <c r="H105" i="104"/>
  <c r="I105" i="104" s="1"/>
  <c r="E105" i="104"/>
  <c r="B105" i="104"/>
  <c r="G105" i="104" s="1"/>
  <c r="I104" i="104"/>
  <c r="M104" i="104"/>
  <c r="C105" i="104" l="1"/>
  <c r="F105" i="104"/>
  <c r="M105" i="104"/>
  <c r="K105" i="104"/>
  <c r="J105" i="104"/>
  <c r="B106" i="104"/>
  <c r="G106" i="104" s="1"/>
  <c r="H106" i="104"/>
  <c r="A107" i="104"/>
  <c r="E106" i="104"/>
  <c r="C106" i="104" l="1"/>
  <c r="F106" i="104"/>
  <c r="K106" i="104"/>
  <c r="J106" i="104"/>
  <c r="I106" i="104"/>
  <c r="A108" i="104"/>
  <c r="E107" i="104"/>
  <c r="B107" i="104"/>
  <c r="G107" i="104" s="1"/>
  <c r="H107" i="104"/>
  <c r="M106" i="104"/>
  <c r="C107" i="104" l="1"/>
  <c r="F107" i="104"/>
  <c r="M107" i="104"/>
  <c r="K107" i="104"/>
  <c r="J107" i="104"/>
  <c r="I107" i="104"/>
  <c r="A109" i="104"/>
  <c r="E108" i="104"/>
  <c r="H108" i="104"/>
  <c r="I108" i="104" s="1"/>
  <c r="B108" i="104"/>
  <c r="G108" i="104" s="1"/>
  <c r="C108" i="104" l="1"/>
  <c r="F108" i="104"/>
  <c r="M108" i="104"/>
  <c r="K108" i="104"/>
  <c r="J108" i="104"/>
  <c r="B109" i="104"/>
  <c r="G109" i="104" s="1"/>
  <c r="E109" i="104"/>
  <c r="A110" i="104"/>
  <c r="H109" i="104"/>
  <c r="C109" i="104" l="1"/>
  <c r="F109" i="104"/>
  <c r="K109" i="104"/>
  <c r="J109" i="104"/>
  <c r="M109" i="104"/>
  <c r="I109" i="104"/>
  <c r="H110" i="104"/>
  <c r="I110" i="104" s="1"/>
  <c r="A111" i="104"/>
  <c r="E110" i="104"/>
  <c r="B110" i="104"/>
  <c r="G110" i="104" s="1"/>
  <c r="C110" i="104" l="1"/>
  <c r="F110" i="104"/>
  <c r="M110" i="104"/>
  <c r="E111" i="104"/>
  <c r="A112" i="104"/>
  <c r="H111" i="104"/>
  <c r="I111" i="104" s="1"/>
  <c r="B111" i="104"/>
  <c r="G111" i="104" s="1"/>
  <c r="K110" i="104"/>
  <c r="J110" i="104"/>
  <c r="C111" i="104" l="1"/>
  <c r="F111" i="104"/>
  <c r="J111" i="104"/>
  <c r="K111" i="104"/>
  <c r="M111" i="104"/>
  <c r="H112" i="104"/>
  <c r="I112" i="104" s="1"/>
  <c r="E112" i="104"/>
  <c r="B112" i="104"/>
  <c r="G112" i="104" s="1"/>
  <c r="A113" i="104"/>
  <c r="C112" i="104" l="1"/>
  <c r="F112" i="104"/>
  <c r="A114" i="104"/>
  <c r="H113" i="104"/>
  <c r="E113" i="104"/>
  <c r="B113" i="104"/>
  <c r="G113" i="104" s="1"/>
  <c r="M112" i="104"/>
  <c r="J112" i="104"/>
  <c r="K112" i="104"/>
  <c r="C113" i="104" l="1"/>
  <c r="F113" i="104"/>
  <c r="J113" i="104"/>
  <c r="K113" i="104"/>
  <c r="M113" i="104"/>
  <c r="A115" i="104"/>
  <c r="E114" i="104"/>
  <c r="H114" i="104"/>
  <c r="B114" i="104"/>
  <c r="G114" i="104" s="1"/>
  <c r="I113" i="104"/>
  <c r="C114" i="104" l="1"/>
  <c r="F114" i="104"/>
  <c r="J114" i="104"/>
  <c r="K114" i="104"/>
  <c r="E115" i="104"/>
  <c r="B115" i="104"/>
  <c r="G115" i="104" s="1"/>
  <c r="A116" i="104"/>
  <c r="H115" i="104"/>
  <c r="M114" i="104"/>
  <c r="I114" i="104"/>
  <c r="C115" i="104" l="1"/>
  <c r="F115" i="104"/>
  <c r="J115" i="104"/>
  <c r="K115" i="104"/>
  <c r="M115" i="104"/>
  <c r="I115" i="104"/>
  <c r="H116" i="104"/>
  <c r="B116" i="104"/>
  <c r="G116" i="104" s="1"/>
  <c r="A117" i="104"/>
  <c r="E116" i="104"/>
  <c r="C116" i="104" l="1"/>
  <c r="F116" i="104"/>
  <c r="A118" i="104"/>
  <c r="H117" i="104"/>
  <c r="I117" i="104" s="1"/>
  <c r="E117" i="104"/>
  <c r="B117" i="104"/>
  <c r="G117" i="104" s="1"/>
  <c r="K116" i="104"/>
  <c r="J116" i="104"/>
  <c r="I116" i="104"/>
  <c r="M116" i="104"/>
  <c r="C117" i="104" l="1"/>
  <c r="F117" i="104"/>
  <c r="K117" i="104"/>
  <c r="J117" i="104"/>
  <c r="M117" i="104"/>
  <c r="A119" i="104"/>
  <c r="B118" i="104"/>
  <c r="G118" i="104" s="1"/>
  <c r="E118" i="104"/>
  <c r="H118" i="104"/>
  <c r="I118" i="104" s="1"/>
  <c r="C118" i="104" l="1"/>
  <c r="F118" i="104"/>
  <c r="J118" i="104"/>
  <c r="K118" i="104"/>
  <c r="E119" i="104"/>
  <c r="H119" i="104"/>
  <c r="I119" i="104" s="1"/>
  <c r="B119" i="104"/>
  <c r="G119" i="104" s="1"/>
  <c r="A120" i="104"/>
  <c r="M118" i="104"/>
  <c r="C119" i="104" l="1"/>
  <c r="F119" i="104"/>
  <c r="A121" i="104"/>
  <c r="H120" i="104"/>
  <c r="I120" i="104" s="1"/>
  <c r="E120" i="104"/>
  <c r="B120" i="104"/>
  <c r="G120" i="104" s="1"/>
  <c r="K119" i="104"/>
  <c r="J119" i="104"/>
  <c r="M119" i="104"/>
  <c r="C120" i="104" l="1"/>
  <c r="F120" i="104"/>
  <c r="M120" i="104"/>
  <c r="K120" i="104"/>
  <c r="J120" i="104"/>
  <c r="B121" i="104"/>
  <c r="G121" i="104" s="1"/>
  <c r="H121" i="104"/>
  <c r="I121" i="104" s="1"/>
  <c r="E121" i="104"/>
  <c r="A122" i="104"/>
  <c r="C121" i="104" l="1"/>
  <c r="F121" i="104"/>
  <c r="A123" i="104"/>
  <c r="H122" i="104"/>
  <c r="I122" i="104" s="1"/>
  <c r="E122" i="104"/>
  <c r="B122" i="104"/>
  <c r="G122" i="104" s="1"/>
  <c r="J121" i="104"/>
  <c r="K121" i="104"/>
  <c r="M121" i="104"/>
  <c r="C122" i="104" l="1"/>
  <c r="F122" i="104"/>
  <c r="M122" i="104"/>
  <c r="K122" i="104"/>
  <c r="J122" i="104"/>
  <c r="E123" i="104"/>
  <c r="H123" i="104"/>
  <c r="A124" i="104"/>
  <c r="B123" i="104"/>
  <c r="G123" i="104" s="1"/>
  <c r="C123" i="104" l="1"/>
  <c r="F123" i="104"/>
  <c r="J123" i="104"/>
  <c r="K123" i="104"/>
  <c r="H124" i="104"/>
  <c r="I124" i="104" s="1"/>
  <c r="E124" i="104"/>
  <c r="B124" i="104"/>
  <c r="G124" i="104" s="1"/>
  <c r="A125" i="104"/>
  <c r="M123" i="104"/>
  <c r="I123" i="104"/>
  <c r="C124" i="104" l="1"/>
  <c r="F124" i="104"/>
  <c r="E125" i="104"/>
  <c r="A126" i="104"/>
  <c r="H125" i="104"/>
  <c r="B125" i="104"/>
  <c r="G125" i="104" s="1"/>
  <c r="M124" i="104"/>
  <c r="K124" i="104"/>
  <c r="J124" i="104"/>
  <c r="C125" i="104" l="1"/>
  <c r="F125" i="104"/>
  <c r="M125" i="104"/>
  <c r="J125" i="104"/>
  <c r="K125" i="104"/>
  <c r="I125" i="104"/>
  <c r="H126" i="104"/>
  <c r="B126" i="104"/>
  <c r="G126" i="104" s="1"/>
  <c r="A127" i="104"/>
  <c r="E126" i="104"/>
  <c r="C126" i="104" l="1"/>
  <c r="F126" i="104"/>
  <c r="K126" i="104"/>
  <c r="J126" i="104"/>
  <c r="I126" i="104"/>
  <c r="M126" i="104"/>
  <c r="E127" i="104"/>
  <c r="B127" i="104"/>
  <c r="G127" i="104" s="1"/>
  <c r="H127" i="104"/>
  <c r="A128" i="104"/>
  <c r="C127" i="104" l="1"/>
  <c r="F127" i="104"/>
  <c r="A129" i="104"/>
  <c r="H128" i="104"/>
  <c r="I128" i="104" s="1"/>
  <c r="B128" i="104"/>
  <c r="G128" i="104" s="1"/>
  <c r="E128" i="104"/>
  <c r="K127" i="104"/>
  <c r="J127" i="104"/>
  <c r="M127" i="104"/>
  <c r="I127" i="104"/>
  <c r="C128" i="104" l="1"/>
  <c r="F128" i="104"/>
  <c r="K128" i="104"/>
  <c r="J128" i="104"/>
  <c r="M128" i="104"/>
  <c r="H129" i="104"/>
  <c r="A130" i="104"/>
  <c r="B129" i="104"/>
  <c r="G129" i="104" s="1"/>
  <c r="E129" i="104"/>
  <c r="C129" i="104" l="1"/>
  <c r="F129" i="104"/>
  <c r="B130" i="104"/>
  <c r="G130" i="104" s="1"/>
  <c r="H130" i="104"/>
  <c r="E130" i="104"/>
  <c r="A131" i="104"/>
  <c r="K129" i="104"/>
  <c r="J129" i="104"/>
  <c r="M129" i="104"/>
  <c r="I129" i="104"/>
  <c r="C130" i="104" l="1"/>
  <c r="F130" i="104"/>
  <c r="J130" i="104"/>
  <c r="K130" i="104"/>
  <c r="E131" i="104"/>
  <c r="H131" i="104"/>
  <c r="A132" i="104"/>
  <c r="B131" i="104"/>
  <c r="G131" i="104" s="1"/>
  <c r="I130" i="104"/>
  <c r="M130" i="104"/>
  <c r="C131" i="104" l="1"/>
  <c r="F131" i="104"/>
  <c r="M131" i="104"/>
  <c r="A133" i="104"/>
  <c r="H132" i="104"/>
  <c r="E132" i="104"/>
  <c r="B132" i="104"/>
  <c r="G132" i="104" s="1"/>
  <c r="K131" i="104"/>
  <c r="J131" i="104"/>
  <c r="I131" i="104"/>
  <c r="C132" i="104" l="1"/>
  <c r="F132" i="104"/>
  <c r="A134" i="104"/>
  <c r="E133" i="104"/>
  <c r="B133" i="104"/>
  <c r="G133" i="104" s="1"/>
  <c r="H133" i="104"/>
  <c r="M132" i="104"/>
  <c r="K132" i="104"/>
  <c r="J132" i="104"/>
  <c r="I132" i="104"/>
  <c r="C133" i="104" l="1"/>
  <c r="F133" i="104"/>
  <c r="K133" i="104"/>
  <c r="J133" i="104"/>
  <c r="B134" i="104"/>
  <c r="G134" i="104" s="1"/>
  <c r="E134" i="104"/>
  <c r="A135" i="104"/>
  <c r="H134" i="104"/>
  <c r="I134" i="104" s="1"/>
  <c r="M133" i="104"/>
  <c r="I133" i="104"/>
  <c r="C134" i="104" l="1"/>
  <c r="F134" i="104"/>
  <c r="K134" i="104"/>
  <c r="J134" i="104"/>
  <c r="A136" i="104"/>
  <c r="H135" i="104"/>
  <c r="I135" i="104" s="1"/>
  <c r="E135" i="104"/>
  <c r="B135" i="104"/>
  <c r="G135" i="104" s="1"/>
  <c r="M134" i="104"/>
  <c r="C135" i="104" l="1"/>
  <c r="F135" i="104"/>
  <c r="M135" i="104"/>
  <c r="K135" i="104"/>
  <c r="J135" i="104"/>
  <c r="B136" i="104"/>
  <c r="G136" i="104" s="1"/>
  <c r="E136" i="104"/>
  <c r="A137" i="104"/>
  <c r="H136" i="104"/>
  <c r="I136" i="104" s="1"/>
  <c r="C136" i="104" l="1"/>
  <c r="F136" i="104"/>
  <c r="J136" i="104"/>
  <c r="K136" i="104"/>
  <c r="A138" i="104"/>
  <c r="E137" i="104"/>
  <c r="B137" i="104"/>
  <c r="G137" i="104" s="1"/>
  <c r="H137" i="104"/>
  <c r="M136" i="104"/>
  <c r="C137" i="104" l="1"/>
  <c r="F137" i="104"/>
  <c r="J137" i="104"/>
  <c r="K137" i="104"/>
  <c r="M137" i="104"/>
  <c r="I137" i="104"/>
  <c r="B138" i="104"/>
  <c r="G138" i="104" s="1"/>
  <c r="H138" i="104"/>
  <c r="E138" i="104"/>
  <c r="A139" i="104"/>
  <c r="C138" i="104" l="1"/>
  <c r="F138" i="104"/>
  <c r="K138" i="104"/>
  <c r="J138" i="104"/>
  <c r="M138" i="104"/>
  <c r="H139" i="104"/>
  <c r="E139" i="104"/>
  <c r="B139" i="104"/>
  <c r="G139" i="104" s="1"/>
  <c r="A140" i="104"/>
  <c r="I138" i="104"/>
  <c r="C139" i="104" l="1"/>
  <c r="F139" i="104"/>
  <c r="H140" i="104"/>
  <c r="I140" i="104" s="1"/>
  <c r="A141" i="104"/>
  <c r="E140" i="104"/>
  <c r="B140" i="104"/>
  <c r="G140" i="104" s="1"/>
  <c r="K139" i="104"/>
  <c r="J139" i="104"/>
  <c r="M139" i="104"/>
  <c r="I139" i="104"/>
  <c r="C140" i="104" l="1"/>
  <c r="F140" i="104"/>
  <c r="M140" i="104"/>
  <c r="B141" i="104"/>
  <c r="G141" i="104" s="1"/>
  <c r="E141" i="104"/>
  <c r="A142" i="104"/>
  <c r="H141" i="104"/>
  <c r="I141" i="104" s="1"/>
  <c r="J140" i="104"/>
  <c r="K140" i="104"/>
  <c r="C141" i="104" l="1"/>
  <c r="F141" i="104"/>
  <c r="M141" i="104"/>
  <c r="J141" i="104"/>
  <c r="K141" i="104"/>
  <c r="H142" i="104"/>
  <c r="I142" i="104" s="1"/>
  <c r="B142" i="104"/>
  <c r="G142" i="104" s="1"/>
  <c r="A143" i="104"/>
  <c r="E142" i="104"/>
  <c r="C142" i="104" l="1"/>
  <c r="F142" i="104"/>
  <c r="A144" i="104"/>
  <c r="H143" i="104"/>
  <c r="B143" i="104"/>
  <c r="G143" i="104" s="1"/>
  <c r="E143" i="104"/>
  <c r="M142" i="104"/>
  <c r="K142" i="104"/>
  <c r="J142" i="104"/>
  <c r="C143" i="104" l="1"/>
  <c r="F143" i="104"/>
  <c r="J143" i="104"/>
  <c r="K143" i="104"/>
  <c r="H144" i="104"/>
  <c r="A145" i="104"/>
  <c r="B144" i="104"/>
  <c r="G144" i="104" s="1"/>
  <c r="E144" i="104"/>
  <c r="M143" i="104"/>
  <c r="I143" i="104"/>
  <c r="C144" i="104" l="1"/>
  <c r="F144" i="104"/>
  <c r="J144" i="104"/>
  <c r="K144" i="104"/>
  <c r="I144" i="104"/>
  <c r="M144" i="104"/>
  <c r="H145" i="104"/>
  <c r="I145" i="104" s="1"/>
  <c r="A146" i="104"/>
  <c r="E145" i="104"/>
  <c r="B145" i="104"/>
  <c r="G145" i="104" s="1"/>
  <c r="C145" i="104" l="1"/>
  <c r="F145" i="104"/>
  <c r="M145" i="104"/>
  <c r="E146" i="104"/>
  <c r="B146" i="104"/>
  <c r="G146" i="104" s="1"/>
  <c r="A147" i="104"/>
  <c r="H146" i="104"/>
  <c r="J145" i="104"/>
  <c r="K145" i="104"/>
  <c r="C146" i="104" l="1"/>
  <c r="F146" i="104"/>
  <c r="J146" i="104"/>
  <c r="K146" i="104"/>
  <c r="E147" i="104"/>
  <c r="A148" i="104"/>
  <c r="B147" i="104"/>
  <c r="G147" i="104" s="1"/>
  <c r="H147" i="104"/>
  <c r="I147" i="104" s="1"/>
  <c r="I146" i="104"/>
  <c r="M146" i="104"/>
  <c r="C147" i="104" l="1"/>
  <c r="F147" i="104"/>
  <c r="K147" i="104"/>
  <c r="J147" i="104"/>
  <c r="H148" i="104"/>
  <c r="A149" i="104"/>
  <c r="E148" i="104"/>
  <c r="B148" i="104"/>
  <c r="G148" i="104" s="1"/>
  <c r="M147" i="104"/>
  <c r="C148" i="104" l="1"/>
  <c r="F148" i="104"/>
  <c r="M148" i="104"/>
  <c r="K148" i="104"/>
  <c r="J148" i="104"/>
  <c r="A150" i="104"/>
  <c r="H149" i="104"/>
  <c r="E149" i="104"/>
  <c r="B149" i="104"/>
  <c r="G149" i="104" s="1"/>
  <c r="I148" i="104"/>
  <c r="C149" i="104" l="1"/>
  <c r="F149" i="104"/>
  <c r="K149" i="104"/>
  <c r="J149" i="104"/>
  <c r="M149" i="104"/>
  <c r="A151" i="104"/>
  <c r="H150" i="104"/>
  <c r="E150" i="104"/>
  <c r="B150" i="104"/>
  <c r="G150" i="104" s="1"/>
  <c r="I149" i="104"/>
  <c r="C150" i="104" l="1"/>
  <c r="F150" i="104"/>
  <c r="M150" i="104"/>
  <c r="K150" i="104"/>
  <c r="J150" i="104"/>
  <c r="B151" i="104"/>
  <c r="G151" i="104" s="1"/>
  <c r="E151" i="104"/>
  <c r="H151" i="104"/>
  <c r="A152" i="104"/>
  <c r="I150" i="104"/>
  <c r="C151" i="104" l="1"/>
  <c r="F151" i="104"/>
  <c r="A153" i="104"/>
  <c r="E152" i="104"/>
  <c r="B152" i="104"/>
  <c r="G152" i="104" s="1"/>
  <c r="H152" i="104"/>
  <c r="I152" i="104" s="1"/>
  <c r="K151" i="104"/>
  <c r="J151" i="104"/>
  <c r="I151" i="104"/>
  <c r="M151" i="104"/>
  <c r="C152" i="104" l="1"/>
  <c r="F152" i="104"/>
  <c r="K152" i="104"/>
  <c r="J152" i="104"/>
  <c r="M152" i="104"/>
  <c r="H153" i="104"/>
  <c r="B153" i="104"/>
  <c r="G153" i="104" s="1"/>
  <c r="A154" i="104"/>
  <c r="E153" i="104"/>
  <c r="C153" i="104" l="1"/>
  <c r="F153" i="104"/>
  <c r="M153" i="104"/>
  <c r="J153" i="104"/>
  <c r="K153" i="104"/>
  <c r="H154" i="104"/>
  <c r="I154" i="104" s="1"/>
  <c r="B154" i="104"/>
  <c r="G154" i="104" s="1"/>
  <c r="A155" i="104"/>
  <c r="E154" i="104"/>
  <c r="I153" i="104"/>
  <c r="C154" i="104" l="1"/>
  <c r="F154" i="104"/>
  <c r="M154" i="104"/>
  <c r="E155" i="104"/>
  <c r="A156" i="104"/>
  <c r="H155" i="104"/>
  <c r="B155" i="104"/>
  <c r="G155" i="104" s="1"/>
  <c r="J154" i="104"/>
  <c r="K154" i="104"/>
  <c r="C155" i="104" l="1"/>
  <c r="F155" i="104"/>
  <c r="K155" i="104"/>
  <c r="J155" i="104"/>
  <c r="M155" i="104"/>
  <c r="E156" i="104"/>
  <c r="B156" i="104"/>
  <c r="G156" i="104" s="1"/>
  <c r="A157" i="104"/>
  <c r="H156" i="104"/>
  <c r="I156" i="104" s="1"/>
  <c r="I155" i="104"/>
  <c r="C156" i="104" l="1"/>
  <c r="F156" i="104"/>
  <c r="E157" i="104"/>
  <c r="B157" i="104"/>
  <c r="G157" i="104" s="1"/>
  <c r="H157" i="104"/>
  <c r="A158" i="104"/>
  <c r="K156" i="104"/>
  <c r="J156" i="104"/>
  <c r="M156" i="104"/>
  <c r="C157" i="104" l="1"/>
  <c r="F157" i="104"/>
  <c r="K157" i="104"/>
  <c r="J157" i="104"/>
  <c r="M157" i="104"/>
  <c r="A159" i="104"/>
  <c r="H158" i="104"/>
  <c r="E158" i="104"/>
  <c r="B158" i="104"/>
  <c r="G158" i="104" s="1"/>
  <c r="I157" i="104"/>
  <c r="C158" i="104" l="1"/>
  <c r="F158" i="104"/>
  <c r="M158" i="104"/>
  <c r="J158" i="104"/>
  <c r="K158" i="104"/>
  <c r="B159" i="104"/>
  <c r="G159" i="104" s="1"/>
  <c r="A160" i="104"/>
  <c r="H159" i="104"/>
  <c r="E159" i="104"/>
  <c r="I158" i="104"/>
  <c r="C159" i="104" l="1"/>
  <c r="F159" i="104"/>
  <c r="A161" i="104"/>
  <c r="H160" i="104"/>
  <c r="E160" i="104"/>
  <c r="B160" i="104"/>
  <c r="G160" i="104" s="1"/>
  <c r="J159" i="104"/>
  <c r="K159" i="104"/>
  <c r="I159" i="104"/>
  <c r="M159" i="104"/>
  <c r="C160" i="104" l="1"/>
  <c r="F160" i="104"/>
  <c r="K160" i="104"/>
  <c r="J160" i="104"/>
  <c r="M160" i="104"/>
  <c r="I160" i="104"/>
  <c r="E161" i="104"/>
  <c r="B161" i="104"/>
  <c r="G161" i="104" s="1"/>
  <c r="A162" i="104"/>
  <c r="H161" i="104"/>
  <c r="C161" i="104" l="1"/>
  <c r="F161" i="104"/>
  <c r="K161" i="104"/>
  <c r="J161" i="104"/>
  <c r="A163" i="104"/>
  <c r="H162" i="104"/>
  <c r="E162" i="104"/>
  <c r="B162" i="104"/>
  <c r="G162" i="104" s="1"/>
  <c r="M161" i="104"/>
  <c r="I161" i="104"/>
  <c r="C162" i="104" l="1"/>
  <c r="F162" i="104"/>
  <c r="J162" i="104"/>
  <c r="K162" i="104"/>
  <c r="M162" i="104"/>
  <c r="I162" i="104"/>
  <c r="A164" i="104"/>
  <c r="H163" i="104"/>
  <c r="B163" i="104"/>
  <c r="G163" i="104" s="1"/>
  <c r="E163" i="104"/>
  <c r="C163" i="104" l="1"/>
  <c r="F163" i="104"/>
  <c r="B164" i="104"/>
  <c r="G164" i="104" s="1"/>
  <c r="A165" i="104"/>
  <c r="H164" i="104"/>
  <c r="I164" i="104" s="1"/>
  <c r="E164" i="104"/>
  <c r="K163" i="104"/>
  <c r="J163" i="104"/>
  <c r="M163" i="104"/>
  <c r="I163" i="104"/>
  <c r="C164" i="104" l="1"/>
  <c r="F164" i="104"/>
  <c r="K164" i="104"/>
  <c r="J164" i="104"/>
  <c r="A166" i="104"/>
  <c r="H165" i="104"/>
  <c r="B165" i="104"/>
  <c r="G165" i="104" s="1"/>
  <c r="E165" i="104"/>
  <c r="M164" i="104"/>
  <c r="C165" i="104" l="1"/>
  <c r="F165" i="104"/>
  <c r="J165" i="104"/>
  <c r="K165" i="104"/>
  <c r="M165" i="104"/>
  <c r="I165" i="104"/>
  <c r="H166" i="104"/>
  <c r="I166" i="104" s="1"/>
  <c r="E166" i="104"/>
  <c r="B166" i="104"/>
  <c r="G166" i="104" s="1"/>
  <c r="A167" i="104"/>
  <c r="C166" i="104" l="1"/>
  <c r="F166" i="104"/>
  <c r="M166" i="104"/>
  <c r="J166" i="104"/>
  <c r="K166" i="104"/>
  <c r="B167" i="104"/>
  <c r="G167" i="104" s="1"/>
  <c r="H167" i="104"/>
  <c r="E167" i="104"/>
  <c r="C167" i="104" l="1"/>
  <c r="F167" i="104"/>
  <c r="K167" i="104"/>
  <c r="J167" i="104"/>
  <c r="M167" i="104"/>
  <c r="I167" i="104"/>
  <c r="C5" i="102" l="1"/>
  <c r="AB68" i="102" l="1"/>
  <c r="AB6" i="102"/>
  <c r="AB36" i="102"/>
  <c r="AB62" i="102"/>
  <c r="AB47" i="102"/>
  <c r="AB60" i="102"/>
  <c r="AB8" i="102"/>
  <c r="AB51" i="102"/>
  <c r="AB67" i="102"/>
  <c r="AB35" i="102"/>
  <c r="AB16" i="102"/>
  <c r="AB66" i="102"/>
  <c r="AB44" i="102"/>
  <c r="AB57" i="102"/>
  <c r="AB25" i="102"/>
  <c r="AB31" i="102"/>
  <c r="AB52" i="102"/>
  <c r="AB20" i="102"/>
  <c r="AB23" i="102"/>
  <c r="AB19" i="102"/>
  <c r="AB32" i="102"/>
  <c r="AB11" i="102"/>
  <c r="AB9" i="102"/>
  <c r="AB40" i="102"/>
  <c r="AB49" i="102"/>
  <c r="AB10" i="102"/>
  <c r="AB3" i="102"/>
  <c r="AB4" i="102"/>
  <c r="AB65" i="102"/>
  <c r="AB33" i="102"/>
  <c r="AB63" i="102"/>
  <c r="AB30" i="102"/>
  <c r="AB18" i="102"/>
  <c r="AB15" i="102"/>
  <c r="AB42" i="102"/>
  <c r="AB29" i="102"/>
  <c r="AB28" i="102"/>
  <c r="AB64" i="102"/>
  <c r="AB61" i="102"/>
  <c r="AB24" i="102"/>
  <c r="AB39" i="102"/>
  <c r="AB50" i="102"/>
  <c r="AB7" i="102"/>
  <c r="AB14" i="102"/>
  <c r="AB17" i="102"/>
  <c r="AB48" i="102"/>
  <c r="AB46" i="102"/>
  <c r="AB34" i="102"/>
  <c r="AB56" i="102"/>
  <c r="AB22" i="102"/>
  <c r="AB53" i="102"/>
  <c r="AB27" i="102"/>
  <c r="AB41" i="102"/>
  <c r="AB55" i="102"/>
  <c r="AB26" i="102"/>
  <c r="AB12" i="102"/>
  <c r="AB58" i="102"/>
  <c r="AB54" i="102"/>
  <c r="AB38" i="102"/>
  <c r="AB421" i="102"/>
  <c r="AB389" i="102"/>
  <c r="AB357" i="102"/>
  <c r="AB325" i="102"/>
  <c r="AB293" i="102"/>
  <c r="AB261" i="102"/>
  <c r="AB229" i="102"/>
  <c r="AB197" i="102"/>
  <c r="AB165" i="102"/>
  <c r="AB133" i="102"/>
  <c r="AB101" i="102"/>
  <c r="AB69" i="102"/>
  <c r="AB100" i="102"/>
  <c r="AB155" i="102"/>
  <c r="AB122" i="102"/>
  <c r="AB372" i="102"/>
  <c r="AB83" i="102"/>
  <c r="AB114" i="102"/>
  <c r="AB177" i="102"/>
  <c r="AB367" i="102"/>
  <c r="AB238" i="102"/>
  <c r="AB300" i="102"/>
  <c r="AB75" i="102"/>
  <c r="AB265" i="102"/>
  <c r="AB104" i="102"/>
  <c r="AB390" i="102"/>
  <c r="AB420" i="102"/>
  <c r="AB388" i="102"/>
  <c r="AB356" i="102"/>
  <c r="AB324" i="102"/>
  <c r="AB292" i="102"/>
  <c r="AB260" i="102"/>
  <c r="AB228" i="102"/>
  <c r="AB196" i="102"/>
  <c r="AB164" i="102"/>
  <c r="AB132" i="102"/>
  <c r="AB219" i="102"/>
  <c r="AB218" i="102"/>
  <c r="AB149" i="102"/>
  <c r="AB84" i="102"/>
  <c r="AB147" i="102"/>
  <c r="AB273" i="102"/>
  <c r="AB144" i="102"/>
  <c r="AB334" i="102"/>
  <c r="AB364" i="102"/>
  <c r="AB394" i="102"/>
  <c r="AB327" i="102"/>
  <c r="AB419" i="102"/>
  <c r="AB387" i="102"/>
  <c r="AB355" i="102"/>
  <c r="AB323" i="102"/>
  <c r="AB291" i="102"/>
  <c r="AB259" i="102"/>
  <c r="AB227" i="102"/>
  <c r="AB195" i="102"/>
  <c r="AB163" i="102"/>
  <c r="AB131" i="102"/>
  <c r="AB99" i="102"/>
  <c r="AB386" i="102"/>
  <c r="AB322" i="102"/>
  <c r="AB290" i="102"/>
  <c r="AB226" i="102"/>
  <c r="AB194" i="102"/>
  <c r="AB130" i="102"/>
  <c r="AB98" i="102"/>
  <c r="AB385" i="102"/>
  <c r="AB321" i="102"/>
  <c r="AB289" i="102"/>
  <c r="AB225" i="102"/>
  <c r="AB193" i="102"/>
  <c r="AB161" i="102"/>
  <c r="AB222" i="102"/>
  <c r="AB158" i="102"/>
  <c r="AB93" i="102"/>
  <c r="AB188" i="102"/>
  <c r="AB124" i="102"/>
  <c r="AB347" i="102"/>
  <c r="AB123" i="102"/>
  <c r="AB378" i="102"/>
  <c r="AB90" i="102"/>
  <c r="AB245" i="102"/>
  <c r="AB276" i="102"/>
  <c r="AB307" i="102"/>
  <c r="AB306" i="102"/>
  <c r="AB146" i="102"/>
  <c r="AB368" i="102"/>
  <c r="AB80" i="102"/>
  <c r="AB175" i="102"/>
  <c r="AB206" i="102"/>
  <c r="AB141" i="102"/>
  <c r="AB204" i="102"/>
  <c r="AB171" i="102"/>
  <c r="AB393" i="102"/>
  <c r="AB200" i="102"/>
  <c r="AB103" i="102"/>
  <c r="AB230" i="102"/>
  <c r="AB418" i="102"/>
  <c r="AB354" i="102"/>
  <c r="AB258" i="102"/>
  <c r="AB162" i="102"/>
  <c r="AB353" i="102"/>
  <c r="AB257" i="102"/>
  <c r="AB97" i="102"/>
  <c r="AB190" i="102"/>
  <c r="AB348" i="102"/>
  <c r="AB156" i="102"/>
  <c r="AB187" i="102"/>
  <c r="AB186" i="102"/>
  <c r="AB117" i="102"/>
  <c r="AB371" i="102"/>
  <c r="AB113" i="102"/>
  <c r="AB143" i="102"/>
  <c r="AB237" i="102"/>
  <c r="AB267" i="102"/>
  <c r="AB74" i="102"/>
  <c r="AB73" i="102"/>
  <c r="AB167" i="102"/>
  <c r="AB417" i="102"/>
  <c r="AB129" i="102"/>
  <c r="AB126" i="102"/>
  <c r="AB316" i="102"/>
  <c r="AB283" i="102"/>
  <c r="AB86" i="102"/>
  <c r="AB181" i="102"/>
  <c r="AB403" i="102"/>
  <c r="AB82" i="102"/>
  <c r="AB272" i="102"/>
  <c r="AB207" i="102"/>
  <c r="AB142" i="102"/>
  <c r="AB332" i="102"/>
  <c r="AB362" i="102"/>
  <c r="AB168" i="102"/>
  <c r="AB294" i="102"/>
  <c r="AB416" i="102"/>
  <c r="AB384" i="102"/>
  <c r="AB352" i="102"/>
  <c r="AB320" i="102"/>
  <c r="AB288" i="102"/>
  <c r="AB256" i="102"/>
  <c r="AB224" i="102"/>
  <c r="AB192" i="102"/>
  <c r="AB160" i="102"/>
  <c r="AB128" i="102"/>
  <c r="AB96" i="102"/>
  <c r="AB415" i="102"/>
  <c r="AB351" i="102"/>
  <c r="AB319" i="102"/>
  <c r="AB287" i="102"/>
  <c r="AB255" i="102"/>
  <c r="AB223" i="102"/>
  <c r="AB191" i="102"/>
  <c r="AB159" i="102"/>
  <c r="AB95" i="102"/>
  <c r="AB94" i="102"/>
  <c r="AB380" i="102"/>
  <c r="AB252" i="102"/>
  <c r="AB315" i="102"/>
  <c r="AB91" i="102"/>
  <c r="AB314" i="102"/>
  <c r="AB250" i="102"/>
  <c r="AB405" i="102"/>
  <c r="AB213" i="102"/>
  <c r="AB212" i="102"/>
  <c r="AB179" i="102"/>
  <c r="AB274" i="102"/>
  <c r="AB400" i="102"/>
  <c r="AB398" i="102"/>
  <c r="AB174" i="102"/>
  <c r="AB396" i="102"/>
  <c r="AB172" i="102"/>
  <c r="AB331" i="102"/>
  <c r="AB298" i="102"/>
  <c r="AB361" i="102"/>
  <c r="AB137" i="102"/>
  <c r="AB136" i="102"/>
  <c r="AB263" i="102"/>
  <c r="AB71" i="102"/>
  <c r="AB102" i="102"/>
  <c r="AB383" i="102"/>
  <c r="AB127" i="102"/>
  <c r="AB412" i="102"/>
  <c r="AB92" i="102"/>
  <c r="AB346" i="102"/>
  <c r="AB277" i="102"/>
  <c r="AB116" i="102"/>
  <c r="AB402" i="102"/>
  <c r="AB304" i="102"/>
  <c r="AB303" i="102"/>
  <c r="AB365" i="102"/>
  <c r="AB140" i="102"/>
  <c r="AB139" i="102"/>
  <c r="AB201" i="102"/>
  <c r="AB359" i="102"/>
  <c r="AB414" i="102"/>
  <c r="AB382" i="102"/>
  <c r="AB350" i="102"/>
  <c r="AB318" i="102"/>
  <c r="AB286" i="102"/>
  <c r="AB254" i="102"/>
  <c r="AB379" i="102"/>
  <c r="AB282" i="102"/>
  <c r="AB154" i="102"/>
  <c r="AB340" i="102"/>
  <c r="AB370" i="102"/>
  <c r="AB336" i="102"/>
  <c r="AB239" i="102"/>
  <c r="AB301" i="102"/>
  <c r="AB235" i="102"/>
  <c r="AB138" i="102"/>
  <c r="AB360" i="102"/>
  <c r="AB262" i="102"/>
  <c r="AB413" i="102"/>
  <c r="AB381" i="102"/>
  <c r="AB349" i="102"/>
  <c r="AB317" i="102"/>
  <c r="AB285" i="102"/>
  <c r="AB253" i="102"/>
  <c r="AB221" i="102"/>
  <c r="AB189" i="102"/>
  <c r="AB157" i="102"/>
  <c r="AB125" i="102"/>
  <c r="AB284" i="102"/>
  <c r="AB251" i="102"/>
  <c r="AB341" i="102"/>
  <c r="AB244" i="102"/>
  <c r="AB242" i="102"/>
  <c r="AB209" i="102"/>
  <c r="AB335" i="102"/>
  <c r="AB269" i="102"/>
  <c r="AB108" i="102"/>
  <c r="AB266" i="102"/>
  <c r="AB392" i="102"/>
  <c r="AB134" i="102"/>
  <c r="AB220" i="102"/>
  <c r="AB308" i="102"/>
  <c r="AB401" i="102"/>
  <c r="AB208" i="102"/>
  <c r="AB111" i="102"/>
  <c r="AB333" i="102"/>
  <c r="AB203" i="102"/>
  <c r="AB105" i="102"/>
  <c r="AB231" i="102"/>
  <c r="AB411" i="102"/>
  <c r="AB243" i="102"/>
  <c r="AB241" i="102"/>
  <c r="AB399" i="102"/>
  <c r="AB397" i="102"/>
  <c r="AB395" i="102"/>
  <c r="AB106" i="102"/>
  <c r="AB264" i="102"/>
  <c r="AB198" i="102"/>
  <c r="AB410" i="102"/>
  <c r="AB409" i="102"/>
  <c r="AB377" i="102"/>
  <c r="AB345" i="102"/>
  <c r="AB313" i="102"/>
  <c r="AB281" i="102"/>
  <c r="AB249" i="102"/>
  <c r="AB217" i="102"/>
  <c r="AB185" i="102"/>
  <c r="AB153" i="102"/>
  <c r="AB121" i="102"/>
  <c r="AB89" i="102"/>
  <c r="AB408" i="102"/>
  <c r="AB376" i="102"/>
  <c r="AB344" i="102"/>
  <c r="AB280" i="102"/>
  <c r="AB248" i="102"/>
  <c r="AB216" i="102"/>
  <c r="AB184" i="102"/>
  <c r="AB152" i="102"/>
  <c r="AB120" i="102"/>
  <c r="AB88" i="102"/>
  <c r="AB373" i="102"/>
  <c r="AB404" i="102"/>
  <c r="AB180" i="102"/>
  <c r="AB275" i="102"/>
  <c r="AB115" i="102"/>
  <c r="AB210" i="102"/>
  <c r="AB337" i="102"/>
  <c r="AB81" i="102"/>
  <c r="AB366" i="102"/>
  <c r="AB78" i="102"/>
  <c r="AB109" i="102"/>
  <c r="AB236" i="102"/>
  <c r="AB107" i="102"/>
  <c r="AB170" i="102"/>
  <c r="AB297" i="102"/>
  <c r="AB328" i="102"/>
  <c r="AB72" i="102"/>
  <c r="AB135" i="102"/>
  <c r="AB358" i="102"/>
  <c r="AB70" i="102"/>
  <c r="AB312" i="102"/>
  <c r="AB339" i="102"/>
  <c r="AB305" i="102"/>
  <c r="AB176" i="102"/>
  <c r="AB270" i="102"/>
  <c r="AB77" i="102"/>
  <c r="AB76" i="102"/>
  <c r="AB202" i="102"/>
  <c r="AB169" i="102"/>
  <c r="AB391" i="102"/>
  <c r="AB407" i="102"/>
  <c r="AB375" i="102"/>
  <c r="AB343" i="102"/>
  <c r="AB311" i="102"/>
  <c r="AB279" i="102"/>
  <c r="AB247" i="102"/>
  <c r="AB215" i="102"/>
  <c r="AB183" i="102"/>
  <c r="AB151" i="102"/>
  <c r="AB119" i="102"/>
  <c r="AB87" i="102"/>
  <c r="AB406" i="102"/>
  <c r="AB374" i="102"/>
  <c r="AB342" i="102"/>
  <c r="AB310" i="102"/>
  <c r="AB278" i="102"/>
  <c r="AB246" i="102"/>
  <c r="AB214" i="102"/>
  <c r="AB182" i="102"/>
  <c r="AB150" i="102"/>
  <c r="AB118" i="102"/>
  <c r="AB309" i="102"/>
  <c r="AB85" i="102"/>
  <c r="AB148" i="102"/>
  <c r="AB211" i="102"/>
  <c r="AB338" i="102"/>
  <c r="AB369" i="102"/>
  <c r="AB145" i="102"/>
  <c r="AB240" i="102"/>
  <c r="AB112" i="102"/>
  <c r="AB271" i="102"/>
  <c r="AB79" i="102"/>
  <c r="AB205" i="102"/>
  <c r="AB268" i="102"/>
  <c r="AB363" i="102"/>
  <c r="AB330" i="102"/>
  <c r="AB329" i="102"/>
  <c r="AB296" i="102"/>
  <c r="AB199" i="102"/>
  <c r="AB166" i="102"/>
  <c r="AB178" i="102"/>
  <c r="AB302" i="102"/>
  <c r="AB110" i="102"/>
  <c r="AB173" i="102"/>
  <c r="AB299" i="102"/>
  <c r="AB234" i="102"/>
  <c r="AB233" i="102"/>
  <c r="AB232" i="102"/>
  <c r="AB295" i="102"/>
  <c r="AB326" i="102"/>
  <c r="AB13" i="102"/>
  <c r="AB21" i="102"/>
  <c r="AB45" i="102"/>
  <c r="AB5" i="102"/>
  <c r="AB37" i="102"/>
  <c r="B5" i="102"/>
  <c r="AB59" i="102" l="1"/>
  <c r="AB43" i="102"/>
  <c r="B14" i="102"/>
  <c r="AD1" i="102" a="1"/>
  <c r="AD1" i="102" s="1"/>
  <c r="Q3" i="102"/>
  <c r="AD4" i="102" l="1"/>
  <c r="AD3" i="102"/>
  <c r="AD2" i="102"/>
  <c r="C5" i="101"/>
  <c r="B5" i="101"/>
  <c r="B10" i="102" l="1"/>
  <c r="M891" i="102"/>
  <c r="N891" i="102" s="1"/>
  <c r="M875" i="102"/>
  <c r="N875" i="102" s="1"/>
  <c r="M859" i="102"/>
  <c r="N859" i="102" s="1"/>
  <c r="M843" i="102"/>
  <c r="N843" i="102" s="1"/>
  <c r="M827" i="102"/>
  <c r="N827" i="102" s="1"/>
  <c r="M811" i="102"/>
  <c r="N811" i="102" s="1"/>
  <c r="M795" i="102"/>
  <c r="N795" i="102" s="1"/>
  <c r="M779" i="102"/>
  <c r="N779" i="102" s="1"/>
  <c r="M763" i="102"/>
  <c r="N763" i="102" s="1"/>
  <c r="M747" i="102"/>
  <c r="N747" i="102" s="1"/>
  <c r="M731" i="102"/>
  <c r="N731" i="102" s="1"/>
  <c r="M715" i="102"/>
  <c r="N715" i="102" s="1"/>
  <c r="M699" i="102"/>
  <c r="N699" i="102" s="1"/>
  <c r="M683" i="102"/>
  <c r="N683" i="102" s="1"/>
  <c r="M667" i="102"/>
  <c r="N667" i="102" s="1"/>
  <c r="M651" i="102"/>
  <c r="N651" i="102" s="1"/>
  <c r="M635" i="102"/>
  <c r="N635" i="102" s="1"/>
  <c r="M619" i="102"/>
  <c r="N619" i="102" s="1"/>
  <c r="M603" i="102"/>
  <c r="N603" i="102" s="1"/>
  <c r="M587" i="102"/>
  <c r="N587" i="102" s="1"/>
  <c r="M571" i="102"/>
  <c r="N571" i="102" s="1"/>
  <c r="M555" i="102"/>
  <c r="N555" i="102" s="1"/>
  <c r="M539" i="102"/>
  <c r="N539" i="102" s="1"/>
  <c r="M523" i="102"/>
  <c r="N523" i="102" s="1"/>
  <c r="M507" i="102"/>
  <c r="N507" i="102" s="1"/>
  <c r="M491" i="102"/>
  <c r="N491" i="102" s="1"/>
  <c r="M475" i="102"/>
  <c r="N475" i="102" s="1"/>
  <c r="M459" i="102"/>
  <c r="N459" i="102" s="1"/>
  <c r="M443" i="102"/>
  <c r="N443" i="102" s="1"/>
  <c r="M119" i="102"/>
  <c r="N119" i="102" s="1"/>
  <c r="M87" i="102"/>
  <c r="N87" i="102" s="1"/>
  <c r="M55" i="102"/>
  <c r="N55" i="102" s="1"/>
  <c r="M890" i="102"/>
  <c r="N890" i="102" s="1"/>
  <c r="M874" i="102"/>
  <c r="N874" i="102" s="1"/>
  <c r="M858" i="102"/>
  <c r="N858" i="102" s="1"/>
  <c r="M842" i="102"/>
  <c r="N842" i="102" s="1"/>
  <c r="M826" i="102"/>
  <c r="N826" i="102" s="1"/>
  <c r="M810" i="102"/>
  <c r="N810" i="102" s="1"/>
  <c r="M794" i="102"/>
  <c r="N794" i="102" s="1"/>
  <c r="M778" i="102"/>
  <c r="N778" i="102" s="1"/>
  <c r="M762" i="102"/>
  <c r="N762" i="102" s="1"/>
  <c r="M746" i="102"/>
  <c r="N746" i="102" s="1"/>
  <c r="M730" i="102"/>
  <c r="N730" i="102" s="1"/>
  <c r="M714" i="102"/>
  <c r="N714" i="102" s="1"/>
  <c r="M698" i="102"/>
  <c r="N698" i="102" s="1"/>
  <c r="M682" i="102"/>
  <c r="N682" i="102" s="1"/>
  <c r="M666" i="102"/>
  <c r="N666" i="102" s="1"/>
  <c r="M650" i="102"/>
  <c r="N650" i="102" s="1"/>
  <c r="M634" i="102"/>
  <c r="N634" i="102" s="1"/>
  <c r="M618" i="102"/>
  <c r="N618" i="102" s="1"/>
  <c r="M602" i="102"/>
  <c r="N602" i="102" s="1"/>
  <c r="M586" i="102"/>
  <c r="N586" i="102" s="1"/>
  <c r="M570" i="102"/>
  <c r="N570" i="102" s="1"/>
  <c r="M554" i="102"/>
  <c r="N554" i="102" s="1"/>
  <c r="M538" i="102"/>
  <c r="N538" i="102" s="1"/>
  <c r="M522" i="102"/>
  <c r="N522" i="102" s="1"/>
  <c r="M506" i="102"/>
  <c r="N506" i="102" s="1"/>
  <c r="M490" i="102"/>
  <c r="N490" i="102" s="1"/>
  <c r="M474" i="102"/>
  <c r="N474" i="102" s="1"/>
  <c r="M889" i="102"/>
  <c r="N889" i="102" s="1"/>
  <c r="M883" i="102"/>
  <c r="N883" i="102" s="1"/>
  <c r="M867" i="102"/>
  <c r="N867" i="102" s="1"/>
  <c r="M851" i="102"/>
  <c r="N851" i="102" s="1"/>
  <c r="M835" i="102"/>
  <c r="N835" i="102" s="1"/>
  <c r="M819" i="102"/>
  <c r="N819" i="102" s="1"/>
  <c r="M803" i="102"/>
  <c r="N803" i="102" s="1"/>
  <c r="M787" i="102"/>
  <c r="N787" i="102" s="1"/>
  <c r="M771" i="102"/>
  <c r="N771" i="102" s="1"/>
  <c r="M852" i="102"/>
  <c r="N852" i="102" s="1"/>
  <c r="M833" i="102"/>
  <c r="N833" i="102" s="1"/>
  <c r="M796" i="102"/>
  <c r="N796" i="102" s="1"/>
  <c r="M757" i="102"/>
  <c r="N757" i="102" s="1"/>
  <c r="M739" i="102"/>
  <c r="N739" i="102" s="1"/>
  <c r="M721" i="102"/>
  <c r="N721" i="102" s="1"/>
  <c r="M703" i="102"/>
  <c r="N703" i="102" s="1"/>
  <c r="M685" i="102"/>
  <c r="N685" i="102" s="1"/>
  <c r="M665" i="102"/>
  <c r="N665" i="102" s="1"/>
  <c r="M647" i="102"/>
  <c r="N647" i="102" s="1"/>
  <c r="M629" i="102"/>
  <c r="N629" i="102" s="1"/>
  <c r="M611" i="102"/>
  <c r="N611" i="102" s="1"/>
  <c r="M593" i="102"/>
  <c r="N593" i="102" s="1"/>
  <c r="M575" i="102"/>
  <c r="N575" i="102" s="1"/>
  <c r="M557" i="102"/>
  <c r="N557" i="102" s="1"/>
  <c r="M537" i="102"/>
  <c r="N537" i="102" s="1"/>
  <c r="M519" i="102"/>
  <c r="N519" i="102" s="1"/>
  <c r="M501" i="102"/>
  <c r="N501" i="102" s="1"/>
  <c r="M483" i="102"/>
  <c r="N483" i="102" s="1"/>
  <c r="M465" i="102"/>
  <c r="N465" i="102" s="1"/>
  <c r="M430" i="102"/>
  <c r="N430" i="102" s="1"/>
  <c r="M413" i="102"/>
  <c r="N413" i="102" s="1"/>
  <c r="M396" i="102"/>
  <c r="N396" i="102" s="1"/>
  <c r="M379" i="102"/>
  <c r="N379" i="102" s="1"/>
  <c r="M361" i="102"/>
  <c r="N361" i="102" s="1"/>
  <c r="M344" i="102"/>
  <c r="N344" i="102" s="1"/>
  <c r="M327" i="102"/>
  <c r="N327" i="102" s="1"/>
  <c r="M310" i="102"/>
  <c r="N310" i="102" s="1"/>
  <c r="M293" i="102"/>
  <c r="N293" i="102" s="1"/>
  <c r="M276" i="102"/>
  <c r="N276" i="102" s="1"/>
  <c r="M259" i="102"/>
  <c r="N259" i="102" s="1"/>
  <c r="M242" i="102"/>
  <c r="N242" i="102" s="1"/>
  <c r="M225" i="102"/>
  <c r="N225" i="102" s="1"/>
  <c r="M208" i="102"/>
  <c r="N208" i="102" s="1"/>
  <c r="M175" i="102"/>
  <c r="N175" i="102" s="1"/>
  <c r="M870" i="102"/>
  <c r="N870" i="102" s="1"/>
  <c r="M814" i="102"/>
  <c r="N814" i="102" s="1"/>
  <c r="M775" i="102"/>
  <c r="N775" i="102" s="1"/>
  <c r="M447" i="102"/>
  <c r="N447" i="102" s="1"/>
  <c r="M378" i="102"/>
  <c r="N378" i="102" s="1"/>
  <c r="M191" i="102"/>
  <c r="N191" i="102" s="1"/>
  <c r="M158" i="102"/>
  <c r="N158" i="102" s="1"/>
  <c r="M134" i="102"/>
  <c r="N134" i="102" s="1"/>
  <c r="M131" i="102"/>
  <c r="N131" i="102" s="1"/>
  <c r="M128" i="102"/>
  <c r="N128" i="102" s="1"/>
  <c r="M125" i="102"/>
  <c r="N125" i="102" s="1"/>
  <c r="M122" i="102"/>
  <c r="N122" i="102" s="1"/>
  <c r="M888" i="102"/>
  <c r="N888" i="102" s="1"/>
  <c r="M832" i="102"/>
  <c r="N832" i="102" s="1"/>
  <c r="M793" i="102"/>
  <c r="N793" i="102" s="1"/>
  <c r="M756" i="102"/>
  <c r="N756" i="102" s="1"/>
  <c r="M738" i="102"/>
  <c r="N738" i="102" s="1"/>
  <c r="M720" i="102"/>
  <c r="N720" i="102" s="1"/>
  <c r="M702" i="102"/>
  <c r="N702" i="102" s="1"/>
  <c r="M684" i="102"/>
  <c r="N684" i="102" s="1"/>
  <c r="M664" i="102"/>
  <c r="N664" i="102" s="1"/>
  <c r="M646" i="102"/>
  <c r="N646" i="102" s="1"/>
  <c r="M628" i="102"/>
  <c r="N628" i="102" s="1"/>
  <c r="M610" i="102"/>
  <c r="N610" i="102" s="1"/>
  <c r="M592" i="102"/>
  <c r="N592" i="102" s="1"/>
  <c r="M574" i="102"/>
  <c r="N574" i="102" s="1"/>
  <c r="M556" i="102"/>
  <c r="N556" i="102" s="1"/>
  <c r="M536" i="102"/>
  <c r="N536" i="102" s="1"/>
  <c r="M518" i="102"/>
  <c r="N518" i="102" s="1"/>
  <c r="M500" i="102"/>
  <c r="N500" i="102" s="1"/>
  <c r="M482" i="102"/>
  <c r="N482" i="102" s="1"/>
  <c r="M464" i="102"/>
  <c r="N464" i="102" s="1"/>
  <c r="M429" i="102"/>
  <c r="N429" i="102" s="1"/>
  <c r="M412" i="102"/>
  <c r="N412" i="102" s="1"/>
  <c r="M395" i="102"/>
  <c r="N395" i="102" s="1"/>
  <c r="M377" i="102"/>
  <c r="N377" i="102" s="1"/>
  <c r="M360" i="102"/>
  <c r="N360" i="102" s="1"/>
  <c r="M343" i="102"/>
  <c r="N343" i="102" s="1"/>
  <c r="M326" i="102"/>
  <c r="N326" i="102" s="1"/>
  <c r="M309" i="102"/>
  <c r="N309" i="102" s="1"/>
  <c r="M292" i="102"/>
  <c r="N292" i="102" s="1"/>
  <c r="M275" i="102"/>
  <c r="N275" i="102" s="1"/>
  <c r="M258" i="102"/>
  <c r="N258" i="102" s="1"/>
  <c r="M241" i="102"/>
  <c r="N241" i="102" s="1"/>
  <c r="M224" i="102"/>
  <c r="N224" i="102" s="1"/>
  <c r="M207" i="102"/>
  <c r="N207" i="102" s="1"/>
  <c r="M174" i="102"/>
  <c r="N174" i="102" s="1"/>
  <c r="M141" i="102"/>
  <c r="N141" i="102" s="1"/>
  <c r="M869" i="102"/>
  <c r="N869" i="102" s="1"/>
  <c r="M850" i="102"/>
  <c r="N850" i="102" s="1"/>
  <c r="M813" i="102"/>
  <c r="N813" i="102" s="1"/>
  <c r="M774" i="102"/>
  <c r="N774" i="102" s="1"/>
  <c r="M446" i="102"/>
  <c r="N446" i="102" s="1"/>
  <c r="M394" i="102"/>
  <c r="N394" i="102" s="1"/>
  <c r="M190" i="102"/>
  <c r="N190" i="102" s="1"/>
  <c r="M157" i="102"/>
  <c r="N157" i="102" s="1"/>
  <c r="M887" i="102"/>
  <c r="N887" i="102" s="1"/>
  <c r="M861" i="102"/>
  <c r="N861" i="102" s="1"/>
  <c r="M865" i="102"/>
  <c r="N865" i="102" s="1"/>
  <c r="M844" i="102"/>
  <c r="N844" i="102" s="1"/>
  <c r="M780" i="102"/>
  <c r="N780" i="102" s="1"/>
  <c r="M444" i="102"/>
  <c r="N444" i="102" s="1"/>
  <c r="M192" i="102"/>
  <c r="N192" i="102" s="1"/>
  <c r="M153" i="102"/>
  <c r="N153" i="102" s="1"/>
  <c r="M126" i="102"/>
  <c r="N126" i="102" s="1"/>
  <c r="M100" i="102"/>
  <c r="N100" i="102" s="1"/>
  <c r="M84" i="102"/>
  <c r="N84" i="102" s="1"/>
  <c r="M56" i="102"/>
  <c r="N56" i="102" s="1"/>
  <c r="M886" i="102"/>
  <c r="N886" i="102" s="1"/>
  <c r="M821" i="102"/>
  <c r="N821" i="102" s="1"/>
  <c r="M800" i="102"/>
  <c r="N800" i="102" s="1"/>
  <c r="M755" i="102"/>
  <c r="N755" i="102" s="1"/>
  <c r="M735" i="102"/>
  <c r="N735" i="102" s="1"/>
  <c r="M713" i="102"/>
  <c r="N713" i="102" s="1"/>
  <c r="M693" i="102"/>
  <c r="N693" i="102" s="1"/>
  <c r="M673" i="102"/>
  <c r="N673" i="102" s="1"/>
  <c r="M653" i="102"/>
  <c r="N653" i="102" s="1"/>
  <c r="M631" i="102"/>
  <c r="N631" i="102" s="1"/>
  <c r="M609" i="102"/>
  <c r="N609" i="102" s="1"/>
  <c r="M589" i="102"/>
  <c r="N589" i="102" s="1"/>
  <c r="M567" i="102"/>
  <c r="N567" i="102" s="1"/>
  <c r="M547" i="102"/>
  <c r="N547" i="102" s="1"/>
  <c r="M527" i="102"/>
  <c r="N527" i="102" s="1"/>
  <c r="M505" i="102"/>
  <c r="N505" i="102" s="1"/>
  <c r="M485" i="102"/>
  <c r="N485" i="102" s="1"/>
  <c r="M463" i="102"/>
  <c r="N463" i="102" s="1"/>
  <c r="M423" i="102"/>
  <c r="N423" i="102" s="1"/>
  <c r="M404" i="102"/>
  <c r="N404" i="102" s="1"/>
  <c r="M385" i="102"/>
  <c r="N385" i="102" s="1"/>
  <c r="M366" i="102"/>
  <c r="N366" i="102" s="1"/>
  <c r="M347" i="102"/>
  <c r="N347" i="102" s="1"/>
  <c r="M325" i="102"/>
  <c r="N325" i="102" s="1"/>
  <c r="M306" i="102"/>
  <c r="N306" i="102" s="1"/>
  <c r="M287" i="102"/>
  <c r="N287" i="102" s="1"/>
  <c r="M268" i="102"/>
  <c r="N268" i="102" s="1"/>
  <c r="M248" i="102"/>
  <c r="N248" i="102" s="1"/>
  <c r="M229" i="102"/>
  <c r="N229" i="102" s="1"/>
  <c r="M210" i="102"/>
  <c r="N210" i="102" s="1"/>
  <c r="M171" i="102"/>
  <c r="N171" i="102" s="1"/>
  <c r="M116" i="102"/>
  <c r="N116" i="102" s="1"/>
  <c r="M59" i="102"/>
  <c r="N59" i="102" s="1"/>
  <c r="M864" i="102"/>
  <c r="N864" i="102" s="1"/>
  <c r="M841" i="102"/>
  <c r="N841" i="102" s="1"/>
  <c r="M777" i="102"/>
  <c r="N777" i="102" s="1"/>
  <c r="M442" i="102"/>
  <c r="N442" i="102" s="1"/>
  <c r="M346" i="102"/>
  <c r="N346" i="102" s="1"/>
  <c r="M189" i="102"/>
  <c r="N189" i="102" s="1"/>
  <c r="M170" i="102"/>
  <c r="N170" i="102" s="1"/>
  <c r="M152" i="102"/>
  <c r="N152" i="102" s="1"/>
  <c r="M103" i="102"/>
  <c r="N103" i="102" s="1"/>
  <c r="M62" i="102"/>
  <c r="N62" i="102" s="1"/>
  <c r="M267" i="102"/>
  <c r="N267" i="102" s="1"/>
  <c r="M885" i="102"/>
  <c r="N885" i="102" s="1"/>
  <c r="M820" i="102"/>
  <c r="N820" i="102" s="1"/>
  <c r="M799" i="102"/>
  <c r="N799" i="102" s="1"/>
  <c r="M754" i="102"/>
  <c r="N754" i="102" s="1"/>
  <c r="M734" i="102"/>
  <c r="N734" i="102" s="1"/>
  <c r="M712" i="102"/>
  <c r="N712" i="102" s="1"/>
  <c r="M692" i="102"/>
  <c r="N692" i="102" s="1"/>
  <c r="M672" i="102"/>
  <c r="N672" i="102" s="1"/>
  <c r="M652" i="102"/>
  <c r="N652" i="102" s="1"/>
  <c r="M630" i="102"/>
  <c r="N630" i="102" s="1"/>
  <c r="M608" i="102"/>
  <c r="N608" i="102" s="1"/>
  <c r="M588" i="102"/>
  <c r="N588" i="102" s="1"/>
  <c r="M566" i="102"/>
  <c r="N566" i="102" s="1"/>
  <c r="M546" i="102"/>
  <c r="N546" i="102" s="1"/>
  <c r="M526" i="102"/>
  <c r="N526" i="102" s="1"/>
  <c r="M504" i="102"/>
  <c r="N504" i="102" s="1"/>
  <c r="M484" i="102"/>
  <c r="N484" i="102" s="1"/>
  <c r="M462" i="102"/>
  <c r="N462" i="102" s="1"/>
  <c r="M441" i="102"/>
  <c r="N441" i="102" s="1"/>
  <c r="M422" i="102"/>
  <c r="N422" i="102" s="1"/>
  <c r="M403" i="102"/>
  <c r="N403" i="102" s="1"/>
  <c r="M384" i="102"/>
  <c r="N384" i="102" s="1"/>
  <c r="M365" i="102"/>
  <c r="N365" i="102" s="1"/>
  <c r="M345" i="102"/>
  <c r="N345" i="102" s="1"/>
  <c r="M324" i="102"/>
  <c r="N324" i="102" s="1"/>
  <c r="M305" i="102"/>
  <c r="N305" i="102" s="1"/>
  <c r="M286" i="102"/>
  <c r="N286" i="102" s="1"/>
  <c r="M247" i="102"/>
  <c r="N247" i="102" s="1"/>
  <c r="M228" i="102"/>
  <c r="N228" i="102" s="1"/>
  <c r="M209" i="102"/>
  <c r="N209" i="102" s="1"/>
  <c r="M129" i="102"/>
  <c r="N129" i="102" s="1"/>
  <c r="M65" i="102"/>
  <c r="N65" i="102" s="1"/>
  <c r="M812" i="102"/>
  <c r="N812" i="102" s="1"/>
  <c r="M455" i="102"/>
  <c r="N455" i="102" s="1"/>
  <c r="M808" i="102"/>
  <c r="N808" i="102" s="1"/>
  <c r="M453" i="102"/>
  <c r="N453" i="102" s="1"/>
  <c r="M218" i="102"/>
  <c r="N218" i="102" s="1"/>
  <c r="M199" i="102"/>
  <c r="N199" i="102" s="1"/>
  <c r="M162" i="102"/>
  <c r="N162" i="102" s="1"/>
  <c r="M144" i="102"/>
  <c r="N144" i="102" s="1"/>
  <c r="M124" i="102"/>
  <c r="N124" i="102" s="1"/>
  <c r="M79" i="102"/>
  <c r="N79" i="102" s="1"/>
  <c r="M831" i="102"/>
  <c r="N831" i="102" s="1"/>
  <c r="M805" i="102"/>
  <c r="N805" i="102" s="1"/>
  <c r="M781" i="102"/>
  <c r="N781" i="102" s="1"/>
  <c r="M726" i="102"/>
  <c r="N726" i="102" s="1"/>
  <c r="M495" i="102"/>
  <c r="N495" i="102" s="1"/>
  <c r="M445" i="102"/>
  <c r="N445" i="102" s="1"/>
  <c r="M420" i="102"/>
  <c r="N420" i="102" s="1"/>
  <c r="M374" i="102"/>
  <c r="N374" i="102" s="1"/>
  <c r="M352" i="102"/>
  <c r="N352" i="102" s="1"/>
  <c r="M330" i="102"/>
  <c r="N330" i="102" s="1"/>
  <c r="M304" i="102"/>
  <c r="N304" i="102" s="1"/>
  <c r="M282" i="102"/>
  <c r="N282" i="102" s="1"/>
  <c r="M260" i="102"/>
  <c r="N260" i="102" s="1"/>
  <c r="M236" i="102"/>
  <c r="N236" i="102" s="1"/>
  <c r="M167" i="102"/>
  <c r="N167" i="102" s="1"/>
  <c r="M130" i="102"/>
  <c r="N130" i="102" s="1"/>
  <c r="M107" i="102"/>
  <c r="N107" i="102" s="1"/>
  <c r="M73" i="102"/>
  <c r="N73" i="102" s="1"/>
  <c r="M66" i="102"/>
  <c r="N66" i="102" s="1"/>
  <c r="M773" i="102"/>
  <c r="N773" i="102" s="1"/>
  <c r="M671" i="102"/>
  <c r="N671" i="102" s="1"/>
  <c r="M568" i="102"/>
  <c r="N568" i="102" s="1"/>
  <c r="M884" i="102"/>
  <c r="N884" i="102" s="1"/>
  <c r="M857" i="102"/>
  <c r="N857" i="102" s="1"/>
  <c r="M830" i="102"/>
  <c r="N830" i="102" s="1"/>
  <c r="M751" i="102"/>
  <c r="N751" i="102" s="1"/>
  <c r="M700" i="102"/>
  <c r="N700" i="102" s="1"/>
  <c r="M675" i="102"/>
  <c r="N675" i="102" s="1"/>
  <c r="M648" i="102"/>
  <c r="N648" i="102" s="1"/>
  <c r="M623" i="102"/>
  <c r="N623" i="102" s="1"/>
  <c r="M597" i="102"/>
  <c r="N597" i="102" s="1"/>
  <c r="M572" i="102"/>
  <c r="N572" i="102" s="1"/>
  <c r="M545" i="102"/>
  <c r="N545" i="102" s="1"/>
  <c r="M520" i="102"/>
  <c r="N520" i="102" s="1"/>
  <c r="M494" i="102"/>
  <c r="N494" i="102" s="1"/>
  <c r="M469" i="102"/>
  <c r="N469" i="102" s="1"/>
  <c r="M398" i="102"/>
  <c r="N398" i="102" s="1"/>
  <c r="M373" i="102"/>
  <c r="N373" i="102" s="1"/>
  <c r="M329" i="102"/>
  <c r="N329" i="102" s="1"/>
  <c r="M281" i="102"/>
  <c r="N281" i="102" s="1"/>
  <c r="M213" i="102"/>
  <c r="N213" i="102" s="1"/>
  <c r="M188" i="102"/>
  <c r="N188" i="102" s="1"/>
  <c r="M146" i="102"/>
  <c r="N146" i="102" s="1"/>
  <c r="M118" i="102"/>
  <c r="N118" i="102" s="1"/>
  <c r="M855" i="102"/>
  <c r="N855" i="102" s="1"/>
  <c r="M186" i="102"/>
  <c r="N186" i="102" s="1"/>
  <c r="M95" i="102"/>
  <c r="N95" i="102" s="1"/>
  <c r="M802" i="102"/>
  <c r="N802" i="102" s="1"/>
  <c r="M595" i="102"/>
  <c r="N595" i="102" s="1"/>
  <c r="M804" i="102"/>
  <c r="N804" i="102" s="1"/>
  <c r="M776" i="102"/>
  <c r="N776" i="102" s="1"/>
  <c r="M725" i="102"/>
  <c r="N725" i="102" s="1"/>
  <c r="M622" i="102"/>
  <c r="N622" i="102" s="1"/>
  <c r="M419" i="102"/>
  <c r="N419" i="102" s="1"/>
  <c r="M351" i="102"/>
  <c r="N351" i="102" s="1"/>
  <c r="M303" i="102"/>
  <c r="N303" i="102" s="1"/>
  <c r="M257" i="102"/>
  <c r="N257" i="102" s="1"/>
  <c r="M235" i="102"/>
  <c r="N235" i="102" s="1"/>
  <c r="M166" i="102"/>
  <c r="N166" i="102" s="1"/>
  <c r="M99" i="102"/>
  <c r="N99" i="102" s="1"/>
  <c r="M80" i="102"/>
  <c r="N80" i="102" s="1"/>
  <c r="M48" i="102"/>
  <c r="N48" i="102" s="1"/>
  <c r="M38" i="102"/>
  <c r="N38" i="102" s="1"/>
  <c r="M516" i="102"/>
  <c r="N516" i="102" s="1"/>
  <c r="M418" i="102"/>
  <c r="N418" i="102" s="1"/>
  <c r="M302" i="102"/>
  <c r="N302" i="102" s="1"/>
  <c r="M165" i="102"/>
  <c r="N165" i="102" s="1"/>
  <c r="M749" i="102"/>
  <c r="N749" i="102" s="1"/>
  <c r="M723" i="102"/>
  <c r="N723" i="102" s="1"/>
  <c r="M696" i="102"/>
  <c r="N696" i="102" s="1"/>
  <c r="M620" i="102"/>
  <c r="N620" i="102" s="1"/>
  <c r="M856" i="102"/>
  <c r="N856" i="102" s="1"/>
  <c r="M829" i="102"/>
  <c r="N829" i="102" s="1"/>
  <c r="M750" i="102"/>
  <c r="N750" i="102" s="1"/>
  <c r="M724" i="102"/>
  <c r="N724" i="102" s="1"/>
  <c r="M697" i="102"/>
  <c r="N697" i="102" s="1"/>
  <c r="M674" i="102"/>
  <c r="N674" i="102" s="1"/>
  <c r="M645" i="102"/>
  <c r="N645" i="102" s="1"/>
  <c r="M596" i="102"/>
  <c r="N596" i="102" s="1"/>
  <c r="M569" i="102"/>
  <c r="N569" i="102" s="1"/>
  <c r="M544" i="102"/>
  <c r="N544" i="102" s="1"/>
  <c r="M517" i="102"/>
  <c r="N517" i="102" s="1"/>
  <c r="M493" i="102"/>
  <c r="N493" i="102" s="1"/>
  <c r="M468" i="102"/>
  <c r="N468" i="102" s="1"/>
  <c r="M440" i="102"/>
  <c r="N440" i="102" s="1"/>
  <c r="M397" i="102"/>
  <c r="N397" i="102" s="1"/>
  <c r="M372" i="102"/>
  <c r="N372" i="102" s="1"/>
  <c r="M328" i="102"/>
  <c r="N328" i="102" s="1"/>
  <c r="M280" i="102"/>
  <c r="N280" i="102" s="1"/>
  <c r="M256" i="102"/>
  <c r="N256" i="102" s="1"/>
  <c r="M234" i="102"/>
  <c r="N234" i="102" s="1"/>
  <c r="M212" i="102"/>
  <c r="N212" i="102" s="1"/>
  <c r="M187" i="102"/>
  <c r="N187" i="102" s="1"/>
  <c r="M145" i="102"/>
  <c r="N145" i="102" s="1"/>
  <c r="M621" i="102"/>
  <c r="N621" i="102" s="1"/>
  <c r="M350" i="102"/>
  <c r="N350" i="102" s="1"/>
  <c r="M233" i="102"/>
  <c r="N233" i="102" s="1"/>
  <c r="M828" i="102"/>
  <c r="N828" i="102" s="1"/>
  <c r="M644" i="102"/>
  <c r="N644" i="102" s="1"/>
  <c r="M882" i="102"/>
  <c r="N882" i="102" s="1"/>
  <c r="M114" i="102"/>
  <c r="N114" i="102" s="1"/>
  <c r="M881" i="102"/>
  <c r="N881" i="102" s="1"/>
  <c r="M853" i="102"/>
  <c r="N853" i="102" s="1"/>
  <c r="M878" i="102"/>
  <c r="N878" i="102" s="1"/>
  <c r="M847" i="102"/>
  <c r="N847" i="102" s="1"/>
  <c r="M767" i="102"/>
  <c r="N767" i="102" s="1"/>
  <c r="M662" i="102"/>
  <c r="N662" i="102" s="1"/>
  <c r="M457" i="102"/>
  <c r="N457" i="102" s="1"/>
  <c r="M410" i="102"/>
  <c r="N410" i="102" s="1"/>
  <c r="M388" i="102"/>
  <c r="N388" i="102" s="1"/>
  <c r="M340" i="102"/>
  <c r="N340" i="102" s="1"/>
  <c r="M272" i="102"/>
  <c r="N272" i="102" s="1"/>
  <c r="M250" i="102"/>
  <c r="N250" i="102" s="1"/>
  <c r="M226" i="102"/>
  <c r="N226" i="102" s="1"/>
  <c r="M202" i="102"/>
  <c r="N202" i="102" s="1"/>
  <c r="M181" i="102"/>
  <c r="N181" i="102" s="1"/>
  <c r="M137" i="102"/>
  <c r="N137" i="102" s="1"/>
  <c r="M113" i="102"/>
  <c r="N113" i="102" s="1"/>
  <c r="M845" i="102"/>
  <c r="N845" i="102" s="1"/>
  <c r="M817" i="102"/>
  <c r="N817" i="102" s="1"/>
  <c r="M789" i="102"/>
  <c r="N789" i="102" s="1"/>
  <c r="M559" i="102"/>
  <c r="N559" i="102" s="1"/>
  <c r="M432" i="102"/>
  <c r="N432" i="102" s="1"/>
  <c r="M386" i="102"/>
  <c r="N386" i="102" s="1"/>
  <c r="M362" i="102"/>
  <c r="N362" i="102" s="1"/>
  <c r="M338" i="102"/>
  <c r="N338" i="102" s="1"/>
  <c r="M316" i="102"/>
  <c r="N316" i="102" s="1"/>
  <c r="M270" i="102"/>
  <c r="N270" i="102" s="1"/>
  <c r="M222" i="102"/>
  <c r="N222" i="102" s="1"/>
  <c r="M200" i="102"/>
  <c r="N200" i="102" s="1"/>
  <c r="M156" i="102"/>
  <c r="N156" i="102" s="1"/>
  <c r="M101" i="102"/>
  <c r="N101" i="102" s="1"/>
  <c r="M50" i="102"/>
  <c r="N50" i="102" s="1"/>
  <c r="M871" i="102"/>
  <c r="N871" i="102" s="1"/>
  <c r="M764" i="102"/>
  <c r="N764" i="102" s="1"/>
  <c r="M737" i="102"/>
  <c r="N737" i="102" s="1"/>
  <c r="M710" i="102"/>
  <c r="N710" i="102" s="1"/>
  <c r="M687" i="102"/>
  <c r="N687" i="102" s="1"/>
  <c r="M659" i="102"/>
  <c r="N659" i="102" s="1"/>
  <c r="M636" i="102"/>
  <c r="N636" i="102" s="1"/>
  <c r="M607" i="102"/>
  <c r="N607" i="102" s="1"/>
  <c r="M582" i="102"/>
  <c r="N582" i="102" s="1"/>
  <c r="M558" i="102"/>
  <c r="N558" i="102" s="1"/>
  <c r="M531" i="102"/>
  <c r="N531" i="102" s="1"/>
  <c r="M508" i="102"/>
  <c r="N508" i="102" s="1"/>
  <c r="M479" i="102"/>
  <c r="N479" i="102" s="1"/>
  <c r="M454" i="102"/>
  <c r="N454" i="102" s="1"/>
  <c r="M407" i="102"/>
  <c r="N407" i="102" s="1"/>
  <c r="M840" i="102"/>
  <c r="N840" i="102" s="1"/>
  <c r="M880" i="102"/>
  <c r="N880" i="102" s="1"/>
  <c r="M838" i="102"/>
  <c r="N838" i="102" s="1"/>
  <c r="M801" i="102"/>
  <c r="N801" i="102" s="1"/>
  <c r="M765" i="102"/>
  <c r="N765" i="102" s="1"/>
  <c r="M691" i="102"/>
  <c r="N691" i="102" s="1"/>
  <c r="M657" i="102"/>
  <c r="N657" i="102" s="1"/>
  <c r="M550" i="102"/>
  <c r="N550" i="102" s="1"/>
  <c r="M480" i="102"/>
  <c r="N480" i="102" s="1"/>
  <c r="M416" i="102"/>
  <c r="N416" i="102" s="1"/>
  <c r="M296" i="102"/>
  <c r="N296" i="102" s="1"/>
  <c r="M265" i="102"/>
  <c r="N265" i="102" s="1"/>
  <c r="M238" i="102"/>
  <c r="N238" i="102" s="1"/>
  <c r="M205" i="102"/>
  <c r="N205" i="102" s="1"/>
  <c r="M179" i="102"/>
  <c r="N179" i="102" s="1"/>
  <c r="M150" i="102"/>
  <c r="N150" i="102" s="1"/>
  <c r="M75" i="102"/>
  <c r="N75" i="102" s="1"/>
  <c r="M52" i="102"/>
  <c r="N52" i="102" s="1"/>
  <c r="M381" i="102"/>
  <c r="N381" i="102" s="1"/>
  <c r="M123" i="102"/>
  <c r="N123" i="102" s="1"/>
  <c r="M614" i="102"/>
  <c r="N614" i="102" s="1"/>
  <c r="M438" i="102"/>
  <c r="N438" i="102" s="1"/>
  <c r="M868" i="102"/>
  <c r="N868" i="102" s="1"/>
  <c r="M408" i="102"/>
  <c r="N408" i="102" s="1"/>
  <c r="M879" i="102"/>
  <c r="N879" i="102" s="1"/>
  <c r="M728" i="102"/>
  <c r="N728" i="102" s="1"/>
  <c r="M617" i="102"/>
  <c r="N617" i="102" s="1"/>
  <c r="M583" i="102"/>
  <c r="N583" i="102" s="1"/>
  <c r="M513" i="102"/>
  <c r="N513" i="102" s="1"/>
  <c r="M449" i="102"/>
  <c r="N449" i="102" s="1"/>
  <c r="M383" i="102"/>
  <c r="N383" i="102" s="1"/>
  <c r="M355" i="102"/>
  <c r="N355" i="102" s="1"/>
  <c r="M322" i="102"/>
  <c r="N322" i="102" s="1"/>
  <c r="M295" i="102"/>
  <c r="N295" i="102" s="1"/>
  <c r="M237" i="102"/>
  <c r="N237" i="102" s="1"/>
  <c r="M178" i="102"/>
  <c r="N178" i="102" s="1"/>
  <c r="M104" i="102"/>
  <c r="N104" i="102" s="1"/>
  <c r="M39" i="102"/>
  <c r="N39" i="102" s="1"/>
  <c r="M94" i="102"/>
  <c r="N94" i="102" s="1"/>
  <c r="M43" i="102"/>
  <c r="N43" i="102" s="1"/>
  <c r="M411" i="102"/>
  <c r="N411" i="102" s="1"/>
  <c r="M147" i="102"/>
  <c r="N147" i="102" s="1"/>
  <c r="M872" i="102"/>
  <c r="N872" i="102" s="1"/>
  <c r="M473" i="102"/>
  <c r="N473" i="102" s="1"/>
  <c r="M93" i="102"/>
  <c r="N93" i="102" s="1"/>
  <c r="M509" i="102"/>
  <c r="N509" i="102" s="1"/>
  <c r="M289" i="102"/>
  <c r="N289" i="102" s="1"/>
  <c r="M837" i="102"/>
  <c r="N837" i="102" s="1"/>
  <c r="M798" i="102"/>
  <c r="N798" i="102" s="1"/>
  <c r="M761" i="102"/>
  <c r="N761" i="102" s="1"/>
  <c r="M690" i="102"/>
  <c r="N690" i="102" s="1"/>
  <c r="M656" i="102"/>
  <c r="N656" i="102" s="1"/>
  <c r="M549" i="102"/>
  <c r="N549" i="102" s="1"/>
  <c r="M478" i="102"/>
  <c r="N478" i="102" s="1"/>
  <c r="M415" i="102"/>
  <c r="N415" i="102" s="1"/>
  <c r="M354" i="102"/>
  <c r="N354" i="102" s="1"/>
  <c r="M264" i="102"/>
  <c r="N264" i="102" s="1"/>
  <c r="M204" i="102"/>
  <c r="N204" i="102" s="1"/>
  <c r="M149" i="102"/>
  <c r="N149" i="102" s="1"/>
  <c r="M61" i="102"/>
  <c r="N61" i="102" s="1"/>
  <c r="M176" i="102"/>
  <c r="N176" i="102" s="1"/>
  <c r="M262" i="102"/>
  <c r="N262" i="102" s="1"/>
  <c r="M108" i="102"/>
  <c r="N108" i="102" s="1"/>
  <c r="M578" i="102"/>
  <c r="N578" i="102" s="1"/>
  <c r="M349" i="102"/>
  <c r="N349" i="102" s="1"/>
  <c r="M173" i="102"/>
  <c r="N173" i="102" s="1"/>
  <c r="M649" i="102"/>
  <c r="N649" i="102" s="1"/>
  <c r="M230" i="102"/>
  <c r="N230" i="102" s="1"/>
  <c r="M877" i="102"/>
  <c r="N877" i="102" s="1"/>
  <c r="M727" i="102"/>
  <c r="N727" i="102" s="1"/>
  <c r="M689" i="102"/>
  <c r="N689" i="102" s="1"/>
  <c r="M616" i="102"/>
  <c r="N616" i="102" s="1"/>
  <c r="M581" i="102"/>
  <c r="N581" i="102" s="1"/>
  <c r="M512" i="102"/>
  <c r="N512" i="102" s="1"/>
  <c r="M448" i="102"/>
  <c r="N448" i="102" s="1"/>
  <c r="M414" i="102"/>
  <c r="N414" i="102" s="1"/>
  <c r="M382" i="102"/>
  <c r="N382" i="102" s="1"/>
  <c r="M321" i="102"/>
  <c r="N321" i="102" s="1"/>
  <c r="M294" i="102"/>
  <c r="N294" i="102" s="1"/>
  <c r="M177" i="102"/>
  <c r="N177" i="102" s="1"/>
  <c r="M133" i="102"/>
  <c r="N133" i="102" s="1"/>
  <c r="M89" i="102"/>
  <c r="N89" i="102" s="1"/>
  <c r="M873" i="102"/>
  <c r="N873" i="102" s="1"/>
  <c r="M688" i="102"/>
  <c r="N688" i="102" s="1"/>
  <c r="M543" i="102"/>
  <c r="N543" i="102" s="1"/>
  <c r="M476" i="102"/>
  <c r="N476" i="102" s="1"/>
  <c r="M290" i="102"/>
  <c r="N290" i="102" s="1"/>
  <c r="M791" i="102"/>
  <c r="N791" i="102" s="1"/>
  <c r="M542" i="102"/>
  <c r="N542" i="102" s="1"/>
  <c r="M319" i="102"/>
  <c r="N319" i="102" s="1"/>
  <c r="M47" i="102"/>
  <c r="N47" i="102" s="1"/>
  <c r="M613" i="102"/>
  <c r="N613" i="102" s="1"/>
  <c r="M472" i="102"/>
  <c r="N472" i="102" s="1"/>
  <c r="M261" i="102"/>
  <c r="N261" i="102" s="1"/>
  <c r="M876" i="102"/>
  <c r="N876" i="102" s="1"/>
  <c r="M836" i="102"/>
  <c r="N836" i="102" s="1"/>
  <c r="M797" i="102"/>
  <c r="N797" i="102" s="1"/>
  <c r="M760" i="102"/>
  <c r="N760" i="102" s="1"/>
  <c r="M655" i="102"/>
  <c r="N655" i="102" s="1"/>
  <c r="M580" i="102"/>
  <c r="N580" i="102" s="1"/>
  <c r="M548" i="102"/>
  <c r="N548" i="102" s="1"/>
  <c r="M477" i="102"/>
  <c r="N477" i="102" s="1"/>
  <c r="M353" i="102"/>
  <c r="N353" i="102" s="1"/>
  <c r="M291" i="102"/>
  <c r="N291" i="102" s="1"/>
  <c r="M263" i="102"/>
  <c r="N263" i="102" s="1"/>
  <c r="M232" i="102"/>
  <c r="N232" i="102" s="1"/>
  <c r="M203" i="102"/>
  <c r="N203" i="102" s="1"/>
  <c r="M148" i="102"/>
  <c r="N148" i="102" s="1"/>
  <c r="M70" i="102"/>
  <c r="N70" i="102" s="1"/>
  <c r="M722" i="102"/>
  <c r="N722" i="102" s="1"/>
  <c r="M615" i="102"/>
  <c r="N615" i="102" s="1"/>
  <c r="M511" i="102"/>
  <c r="N511" i="102" s="1"/>
  <c r="M439" i="102"/>
  <c r="N439" i="102" s="1"/>
  <c r="M320" i="102"/>
  <c r="N320" i="102" s="1"/>
  <c r="M201" i="102"/>
  <c r="N201" i="102" s="1"/>
  <c r="M74" i="102"/>
  <c r="N74" i="102" s="1"/>
  <c r="M719" i="102"/>
  <c r="N719" i="102" s="1"/>
  <c r="M380" i="102"/>
  <c r="N380" i="102" s="1"/>
  <c r="M98" i="102"/>
  <c r="N98" i="102" s="1"/>
  <c r="M758" i="102"/>
  <c r="N758" i="102" s="1"/>
  <c r="M318" i="102"/>
  <c r="N318" i="102" s="1"/>
  <c r="M834" i="102"/>
  <c r="N834" i="102" s="1"/>
  <c r="M792" i="102"/>
  <c r="N792" i="102" s="1"/>
  <c r="M759" i="102"/>
  <c r="N759" i="102" s="1"/>
  <c r="M686" i="102"/>
  <c r="N686" i="102" s="1"/>
  <c r="M654" i="102"/>
  <c r="N654" i="102" s="1"/>
  <c r="M579" i="102"/>
  <c r="N579" i="102" s="1"/>
  <c r="M510" i="102"/>
  <c r="N510" i="102" s="1"/>
  <c r="M409" i="102"/>
  <c r="N409" i="102" s="1"/>
  <c r="M231" i="102"/>
  <c r="N231" i="102" s="1"/>
  <c r="M825" i="102"/>
  <c r="N825" i="102" s="1"/>
  <c r="M788" i="102"/>
  <c r="N788" i="102" s="1"/>
  <c r="M753" i="102"/>
  <c r="N753" i="102" s="1"/>
  <c r="M818" i="102"/>
  <c r="N818" i="102" s="1"/>
  <c r="M676" i="102"/>
  <c r="N676" i="102" s="1"/>
  <c r="M638" i="102"/>
  <c r="N638" i="102" s="1"/>
  <c r="M564" i="102"/>
  <c r="N564" i="102" s="1"/>
  <c r="M461" i="102"/>
  <c r="N461" i="102" s="1"/>
  <c r="M431" i="102"/>
  <c r="N431" i="102" s="1"/>
  <c r="M369" i="102"/>
  <c r="N369" i="102" s="1"/>
  <c r="M279" i="102"/>
  <c r="N279" i="102" s="1"/>
  <c r="M163" i="102"/>
  <c r="N163" i="102" s="1"/>
  <c r="M136" i="102"/>
  <c r="N136" i="102" s="1"/>
  <c r="M92" i="102"/>
  <c r="N92" i="102" s="1"/>
  <c r="M860" i="102"/>
  <c r="N860" i="102" s="1"/>
  <c r="M783" i="102"/>
  <c r="N783" i="102" s="1"/>
  <c r="M743" i="102"/>
  <c r="N743" i="102" s="1"/>
  <c r="M708" i="102"/>
  <c r="N708" i="102" s="1"/>
  <c r="M601" i="102"/>
  <c r="N601" i="102" s="1"/>
  <c r="M530" i="102"/>
  <c r="N530" i="102" s="1"/>
  <c r="M497" i="102"/>
  <c r="N497" i="102" s="1"/>
  <c r="M400" i="102"/>
  <c r="N400" i="102" s="1"/>
  <c r="M311" i="102"/>
  <c r="N311" i="102" s="1"/>
  <c r="M251" i="102"/>
  <c r="N251" i="102" s="1"/>
  <c r="M220" i="102"/>
  <c r="N220" i="102" s="1"/>
  <c r="M194" i="102"/>
  <c r="N194" i="102" s="1"/>
  <c r="M77" i="102"/>
  <c r="N77" i="102" s="1"/>
  <c r="M854" i="102"/>
  <c r="N854" i="102" s="1"/>
  <c r="M815" i="102"/>
  <c r="N815" i="102" s="1"/>
  <c r="M866" i="102"/>
  <c r="N866" i="102" s="1"/>
  <c r="M806" i="102"/>
  <c r="N806" i="102" s="1"/>
  <c r="M741" i="102"/>
  <c r="N741" i="102" s="1"/>
  <c r="M681" i="102"/>
  <c r="N681" i="102" s="1"/>
  <c r="M633" i="102"/>
  <c r="N633" i="102" s="1"/>
  <c r="M577" i="102"/>
  <c r="N577" i="102" s="1"/>
  <c r="M528" i="102"/>
  <c r="N528" i="102" s="1"/>
  <c r="M471" i="102"/>
  <c r="N471" i="102" s="1"/>
  <c r="M425" i="102"/>
  <c r="N425" i="102" s="1"/>
  <c r="M375" i="102"/>
  <c r="N375" i="102" s="1"/>
  <c r="M334" i="102"/>
  <c r="N334" i="102" s="1"/>
  <c r="M285" i="102"/>
  <c r="N285" i="102" s="1"/>
  <c r="M117" i="102"/>
  <c r="N117" i="102" s="1"/>
  <c r="M82" i="102"/>
  <c r="N82" i="102" s="1"/>
  <c r="M786" i="102"/>
  <c r="N786" i="102" s="1"/>
  <c r="M733" i="102"/>
  <c r="N733" i="102" s="1"/>
  <c r="M277" i="102"/>
  <c r="N277" i="102" s="1"/>
  <c r="M677" i="102"/>
  <c r="N677" i="102" s="1"/>
  <c r="M109" i="102"/>
  <c r="N109" i="102" s="1"/>
  <c r="M625" i="102"/>
  <c r="N625" i="102" s="1"/>
  <c r="M182" i="102"/>
  <c r="N182" i="102" s="1"/>
  <c r="M680" i="102"/>
  <c r="N680" i="102" s="1"/>
  <c r="M243" i="102"/>
  <c r="N243" i="102" s="1"/>
  <c r="M196" i="102"/>
  <c r="N196" i="102" s="1"/>
  <c r="M155" i="102"/>
  <c r="N155" i="102" s="1"/>
  <c r="M96" i="102"/>
  <c r="N96" i="102" s="1"/>
  <c r="M44" i="102"/>
  <c r="N44" i="102" s="1"/>
  <c r="M278" i="102"/>
  <c r="N278" i="102" s="1"/>
  <c r="M565" i="102"/>
  <c r="N565" i="102" s="1"/>
  <c r="M785" i="102"/>
  <c r="N785" i="102" s="1"/>
  <c r="M323" i="102"/>
  <c r="N323" i="102" s="1"/>
  <c r="M367" i="102"/>
  <c r="N367" i="102" s="1"/>
  <c r="M142" i="102"/>
  <c r="N142" i="102" s="1"/>
  <c r="M364" i="102"/>
  <c r="N364" i="102" s="1"/>
  <c r="M314" i="102"/>
  <c r="N314" i="102" s="1"/>
  <c r="M313" i="102"/>
  <c r="N313" i="102" s="1"/>
  <c r="M863" i="102"/>
  <c r="N863" i="102" s="1"/>
  <c r="M740" i="102"/>
  <c r="N740" i="102" s="1"/>
  <c r="M632" i="102"/>
  <c r="N632" i="102" s="1"/>
  <c r="M576" i="102"/>
  <c r="N576" i="102" s="1"/>
  <c r="M525" i="102"/>
  <c r="N525" i="102" s="1"/>
  <c r="M470" i="102"/>
  <c r="N470" i="102" s="1"/>
  <c r="M424" i="102"/>
  <c r="N424" i="102" s="1"/>
  <c r="M371" i="102"/>
  <c r="N371" i="102" s="1"/>
  <c r="M333" i="102"/>
  <c r="N333" i="102" s="1"/>
  <c r="M284" i="102"/>
  <c r="N284" i="102" s="1"/>
  <c r="M154" i="102"/>
  <c r="N154" i="102" s="1"/>
  <c r="M110" i="102"/>
  <c r="N110" i="102" s="1"/>
  <c r="M239" i="102"/>
  <c r="N239" i="102" s="1"/>
  <c r="M88" i="102"/>
  <c r="N88" i="102" s="1"/>
  <c r="M626" i="102"/>
  <c r="N626" i="102" s="1"/>
  <c r="M331" i="102"/>
  <c r="N331" i="102" s="1"/>
  <c r="M460" i="102"/>
  <c r="N460" i="102" s="1"/>
  <c r="M185" i="102"/>
  <c r="N185" i="102" s="1"/>
  <c r="M563" i="102"/>
  <c r="N563" i="102" s="1"/>
  <c r="M670" i="102"/>
  <c r="N670" i="102" s="1"/>
  <c r="M140" i="102"/>
  <c r="N140" i="102" s="1"/>
  <c r="M717" i="102"/>
  <c r="N717" i="102" s="1"/>
  <c r="M790" i="102"/>
  <c r="N790" i="102" s="1"/>
  <c r="M679" i="102"/>
  <c r="N679" i="102" s="1"/>
  <c r="M467" i="102"/>
  <c r="N467" i="102" s="1"/>
  <c r="M240" i="102"/>
  <c r="N240" i="102" s="1"/>
  <c r="M195" i="102"/>
  <c r="N195" i="102" s="1"/>
  <c r="M68" i="102"/>
  <c r="N68" i="102" s="1"/>
  <c r="M49" i="102"/>
  <c r="N49" i="102" s="1"/>
  <c r="M678" i="102"/>
  <c r="N678" i="102" s="1"/>
  <c r="M193" i="102"/>
  <c r="N193" i="102" s="1"/>
  <c r="M368" i="102"/>
  <c r="N368" i="102" s="1"/>
  <c r="M143" i="102"/>
  <c r="N143" i="102" s="1"/>
  <c r="M417" i="102"/>
  <c r="N417" i="102" s="1"/>
  <c r="M81" i="102"/>
  <c r="N81" i="102" s="1"/>
  <c r="M732" i="102"/>
  <c r="N732" i="102" s="1"/>
  <c r="M227" i="102"/>
  <c r="N227" i="102" s="1"/>
  <c r="M458" i="102"/>
  <c r="N458" i="102" s="1"/>
  <c r="M668" i="102"/>
  <c r="N668" i="102" s="1"/>
  <c r="M271" i="102"/>
  <c r="N271" i="102" s="1"/>
  <c r="M862" i="102"/>
  <c r="N862" i="102" s="1"/>
  <c r="M736" i="102"/>
  <c r="N736" i="102" s="1"/>
  <c r="M627" i="102"/>
  <c r="N627" i="102" s="1"/>
  <c r="M573" i="102"/>
  <c r="N573" i="102" s="1"/>
  <c r="M524" i="102"/>
  <c r="N524" i="102" s="1"/>
  <c r="M421" i="102"/>
  <c r="N421" i="102" s="1"/>
  <c r="M370" i="102"/>
  <c r="N370" i="102" s="1"/>
  <c r="M332" i="102"/>
  <c r="N332" i="102" s="1"/>
  <c r="M283" i="102"/>
  <c r="N283" i="102" s="1"/>
  <c r="M151" i="102"/>
  <c r="N151" i="102" s="1"/>
  <c r="M102" i="102"/>
  <c r="N102" i="102" s="1"/>
  <c r="M466" i="102"/>
  <c r="N466" i="102" s="1"/>
  <c r="M521" i="102"/>
  <c r="N521" i="102" s="1"/>
  <c r="M849" i="102"/>
  <c r="N849" i="102" s="1"/>
  <c r="M274" i="102"/>
  <c r="N274" i="102" s="1"/>
  <c r="M184" i="102"/>
  <c r="N184" i="102" s="1"/>
  <c r="M42" i="102"/>
  <c r="N42" i="102" s="1"/>
  <c r="M772" i="102"/>
  <c r="N772" i="102" s="1"/>
  <c r="M317" i="102"/>
  <c r="N317" i="102" s="1"/>
  <c r="M515" i="102"/>
  <c r="N515" i="102" s="1"/>
  <c r="M848" i="102"/>
  <c r="N848" i="102" s="1"/>
  <c r="M784" i="102"/>
  <c r="N784" i="102" s="1"/>
  <c r="M514" i="102"/>
  <c r="N514" i="102" s="1"/>
  <c r="M729" i="102"/>
  <c r="N729" i="102" s="1"/>
  <c r="M624" i="102"/>
  <c r="N624" i="102" s="1"/>
  <c r="M562" i="102"/>
  <c r="N562" i="102" s="1"/>
  <c r="M406" i="102"/>
  <c r="N406" i="102" s="1"/>
  <c r="M273" i="102"/>
  <c r="N273" i="102" s="1"/>
  <c r="M67" i="102"/>
  <c r="N67" i="102" s="1"/>
  <c r="M782" i="102"/>
  <c r="N782" i="102" s="1"/>
  <c r="M718" i="102"/>
  <c r="N718" i="102" s="1"/>
  <c r="M669" i="102"/>
  <c r="N669" i="102" s="1"/>
  <c r="M561" i="102"/>
  <c r="N561" i="102" s="1"/>
  <c r="M503" i="102"/>
  <c r="N503" i="102" s="1"/>
  <c r="M456" i="102"/>
  <c r="N456" i="102" s="1"/>
  <c r="M363" i="102"/>
  <c r="N363" i="102" s="1"/>
  <c r="M315" i="102"/>
  <c r="N315" i="102" s="1"/>
  <c r="M223" i="102"/>
  <c r="N223" i="102" s="1"/>
  <c r="M183" i="102"/>
  <c r="N183" i="102" s="1"/>
  <c r="M139" i="102"/>
  <c r="N139" i="102" s="1"/>
  <c r="M115" i="102"/>
  <c r="N115" i="102" s="1"/>
  <c r="M60" i="102"/>
  <c r="N60" i="102" s="1"/>
  <c r="M54" i="102"/>
  <c r="N54" i="102" s="1"/>
  <c r="M846" i="102"/>
  <c r="N846" i="102" s="1"/>
  <c r="M612" i="102"/>
  <c r="N612" i="102" s="1"/>
  <c r="M560" i="102"/>
  <c r="N560" i="102" s="1"/>
  <c r="M405" i="102"/>
  <c r="N405" i="102" s="1"/>
  <c r="M359" i="102"/>
  <c r="N359" i="102" s="1"/>
  <c r="M138" i="102"/>
  <c r="N138" i="102" s="1"/>
  <c r="M502" i="102"/>
  <c r="N502" i="102" s="1"/>
  <c r="M839" i="102"/>
  <c r="N839" i="102" s="1"/>
  <c r="M663" i="102"/>
  <c r="N663" i="102" s="1"/>
  <c r="M553" i="102"/>
  <c r="N553" i="102" s="1"/>
  <c r="M499" i="102"/>
  <c r="N499" i="102" s="1"/>
  <c r="M452" i="102"/>
  <c r="N452" i="102" s="1"/>
  <c r="M312" i="102"/>
  <c r="N312" i="102" s="1"/>
  <c r="M180" i="102"/>
  <c r="N180" i="102" s="1"/>
  <c r="M824" i="102"/>
  <c r="N824" i="102" s="1"/>
  <c r="M661" i="102"/>
  <c r="N661" i="102" s="1"/>
  <c r="M552" i="102"/>
  <c r="N552" i="102" s="1"/>
  <c r="M498" i="102"/>
  <c r="N498" i="102" s="1"/>
  <c r="M451" i="102"/>
  <c r="N451" i="102" s="1"/>
  <c r="M308" i="102"/>
  <c r="N308" i="102" s="1"/>
  <c r="M266" i="102"/>
  <c r="N266" i="102" s="1"/>
  <c r="M217" i="102"/>
  <c r="N217" i="102" s="1"/>
  <c r="M172" i="102"/>
  <c r="N172" i="102" s="1"/>
  <c r="M106" i="102"/>
  <c r="N106" i="102" s="1"/>
  <c r="M78" i="102"/>
  <c r="N78" i="102" s="1"/>
  <c r="M769" i="102"/>
  <c r="N769" i="102" s="1"/>
  <c r="M709" i="102"/>
  <c r="N709" i="102" s="1"/>
  <c r="M660" i="102"/>
  <c r="N660" i="102" s="1"/>
  <c r="M604" i="102"/>
  <c r="N604" i="102" s="1"/>
  <c r="M496" i="102"/>
  <c r="N496" i="102" s="1"/>
  <c r="M399" i="102"/>
  <c r="N399" i="102" s="1"/>
  <c r="M356" i="102"/>
  <c r="N356" i="102" s="1"/>
  <c r="M169" i="102"/>
  <c r="N169" i="102" s="1"/>
  <c r="M46" i="102"/>
  <c r="N46" i="102" s="1"/>
  <c r="M823" i="102"/>
  <c r="N823" i="102" s="1"/>
  <c r="M600" i="102"/>
  <c r="N600" i="102" s="1"/>
  <c r="M551" i="102"/>
  <c r="N551" i="102" s="1"/>
  <c r="M450" i="102"/>
  <c r="N450" i="102" s="1"/>
  <c r="M393" i="102"/>
  <c r="N393" i="102" s="1"/>
  <c r="M348" i="102"/>
  <c r="N348" i="102" s="1"/>
  <c r="M307" i="102"/>
  <c r="N307" i="102" s="1"/>
  <c r="M255" i="102"/>
  <c r="N255" i="102" s="1"/>
  <c r="M216" i="102"/>
  <c r="N216" i="102" s="1"/>
  <c r="M135" i="102"/>
  <c r="N135" i="102" s="1"/>
  <c r="M768" i="102"/>
  <c r="N768" i="102" s="1"/>
  <c r="M822" i="102"/>
  <c r="N822" i="102" s="1"/>
  <c r="M705" i="102"/>
  <c r="N705" i="102" s="1"/>
  <c r="M249" i="102"/>
  <c r="N249" i="102" s="1"/>
  <c r="M64" i="102"/>
  <c r="N64" i="102" s="1"/>
  <c r="M51" i="102"/>
  <c r="N51" i="102" s="1"/>
  <c r="M244" i="102"/>
  <c r="N244" i="102" s="1"/>
  <c r="M435" i="102"/>
  <c r="N435" i="102" s="1"/>
  <c r="M336" i="102"/>
  <c r="N336" i="102" s="1"/>
  <c r="M433" i="102"/>
  <c r="N433" i="102" s="1"/>
  <c r="M540" i="102"/>
  <c r="N540" i="102" s="1"/>
  <c r="M807" i="102"/>
  <c r="N807" i="102" s="1"/>
  <c r="M72" i="102"/>
  <c r="N72" i="102" s="1"/>
  <c r="M770" i="102"/>
  <c r="N770" i="102" s="1"/>
  <c r="M532" i="102"/>
  <c r="N532" i="102" s="1"/>
  <c r="M392" i="102"/>
  <c r="N392" i="102" s="1"/>
  <c r="M489" i="102"/>
  <c r="N489" i="102" s="1"/>
  <c r="M605" i="102"/>
  <c r="N605" i="102" s="1"/>
  <c r="M387" i="102"/>
  <c r="N387" i="102" s="1"/>
  <c r="M598" i="102"/>
  <c r="N598" i="102" s="1"/>
  <c r="M707" i="102"/>
  <c r="N707" i="102" s="1"/>
  <c r="M160" i="102"/>
  <c r="N160" i="102" s="1"/>
  <c r="M704" i="102"/>
  <c r="N704" i="102" s="1"/>
  <c r="M590" i="102"/>
  <c r="N590" i="102" s="1"/>
  <c r="M341" i="102"/>
  <c r="N341" i="102" s="1"/>
  <c r="M121" i="102"/>
  <c r="N121" i="102" s="1"/>
  <c r="M91" i="102"/>
  <c r="N91" i="102" s="1"/>
  <c r="M695" i="102"/>
  <c r="N695" i="102" s="1"/>
  <c r="M105" i="102"/>
  <c r="N105" i="102" s="1"/>
  <c r="M809" i="102"/>
  <c r="N809" i="102" s="1"/>
  <c r="M215" i="102"/>
  <c r="N215" i="102" s="1"/>
  <c r="M428" i="102"/>
  <c r="N428" i="102" s="1"/>
  <c r="M86" i="102"/>
  <c r="N86" i="102" s="1"/>
  <c r="M533" i="102"/>
  <c r="N533" i="102" s="1"/>
  <c r="M206" i="102"/>
  <c r="N206" i="102" s="1"/>
  <c r="M642" i="102"/>
  <c r="N642" i="102" s="1"/>
  <c r="M288" i="102"/>
  <c r="N288" i="102" s="1"/>
  <c r="M57" i="102"/>
  <c r="N57" i="102" s="1"/>
  <c r="M269" i="102"/>
  <c r="N269" i="102" s="1"/>
  <c r="M357" i="102"/>
  <c r="N357" i="102" s="1"/>
  <c r="M437" i="102"/>
  <c r="N437" i="102" s="1"/>
  <c r="M246" i="102"/>
  <c r="N246" i="102" s="1"/>
  <c r="M219" i="102"/>
  <c r="N219" i="102" s="1"/>
  <c r="M335" i="102"/>
  <c r="N335" i="102" s="1"/>
  <c r="M63" i="102"/>
  <c r="N63" i="102" s="1"/>
  <c r="M535" i="102"/>
  <c r="N535" i="102" s="1"/>
  <c r="M427" i="102"/>
  <c r="N427" i="102" s="1"/>
  <c r="M643" i="102"/>
  <c r="N643" i="102" s="1"/>
  <c r="M132" i="102"/>
  <c r="N132" i="102" s="1"/>
  <c r="M85" i="102"/>
  <c r="N85" i="102" s="1"/>
  <c r="M529" i="102"/>
  <c r="N529" i="102" s="1"/>
  <c r="M389" i="102"/>
  <c r="N389" i="102" s="1"/>
  <c r="M488" i="102"/>
  <c r="N488" i="102" s="1"/>
  <c r="M41" i="102"/>
  <c r="N41" i="102" s="1"/>
  <c r="M358" i="102"/>
  <c r="N358" i="102" s="1"/>
  <c r="M40" i="102"/>
  <c r="N40" i="102" s="1"/>
  <c r="M701" i="102"/>
  <c r="N701" i="102" s="1"/>
  <c r="M585" i="102"/>
  <c r="N585" i="102" s="1"/>
  <c r="M245" i="102"/>
  <c r="N245" i="102" s="1"/>
  <c r="M221" i="102"/>
  <c r="N221" i="102" s="1"/>
  <c r="M434" i="102"/>
  <c r="N434" i="102" s="1"/>
  <c r="M90" i="102"/>
  <c r="N90" i="102" s="1"/>
  <c r="M658" i="102"/>
  <c r="N658" i="102" s="1"/>
  <c r="M534" i="102"/>
  <c r="N534" i="102" s="1"/>
  <c r="M301" i="102"/>
  <c r="N301" i="102" s="1"/>
  <c r="M401" i="102"/>
  <c r="N401" i="102" s="1"/>
  <c r="M641" i="102"/>
  <c r="N641" i="102" s="1"/>
  <c r="M606" i="102"/>
  <c r="N606" i="102" s="1"/>
  <c r="M164" i="102"/>
  <c r="N164" i="102" s="1"/>
  <c r="M487" i="102"/>
  <c r="N487" i="102" s="1"/>
  <c r="M706" i="102"/>
  <c r="N706" i="102" s="1"/>
  <c r="M816" i="102"/>
  <c r="N816" i="102" s="1"/>
  <c r="M584" i="102"/>
  <c r="N584" i="102" s="1"/>
  <c r="M436" i="102"/>
  <c r="N436" i="102" s="1"/>
  <c r="M339" i="102"/>
  <c r="N339" i="102" s="1"/>
  <c r="M120" i="102"/>
  <c r="N120" i="102" s="1"/>
  <c r="M76" i="102"/>
  <c r="N76" i="102" s="1"/>
  <c r="M337" i="102"/>
  <c r="N337" i="102" s="1"/>
  <c r="M694" i="102"/>
  <c r="N694" i="102" s="1"/>
  <c r="M541" i="102"/>
  <c r="N541" i="102" s="1"/>
  <c r="M214" i="102"/>
  <c r="N214" i="102" s="1"/>
  <c r="M211" i="102"/>
  <c r="N211" i="102" s="1"/>
  <c r="M426" i="102"/>
  <c r="N426" i="102" s="1"/>
  <c r="M402" i="102"/>
  <c r="N402" i="102" s="1"/>
  <c r="M58" i="102"/>
  <c r="N58" i="102" s="1"/>
  <c r="M300" i="102"/>
  <c r="N300" i="102" s="1"/>
  <c r="M766" i="102"/>
  <c r="N766" i="102" s="1"/>
  <c r="M486" i="102"/>
  <c r="N486" i="102" s="1"/>
  <c r="M711" i="102"/>
  <c r="N711" i="102" s="1"/>
  <c r="M599" i="102"/>
  <c r="N599" i="102" s="1"/>
  <c r="M198" i="102"/>
  <c r="N198" i="102" s="1"/>
  <c r="M376" i="102"/>
  <c r="N376" i="102" s="1"/>
  <c r="M253" i="102"/>
  <c r="N253" i="102" s="1"/>
  <c r="M71" i="102"/>
  <c r="N71" i="102" s="1"/>
  <c r="M745" i="102"/>
  <c r="N745" i="102" s="1"/>
  <c r="M594" i="102"/>
  <c r="N594" i="102" s="1"/>
  <c r="M481" i="102"/>
  <c r="N481" i="102" s="1"/>
  <c r="M716" i="102"/>
  <c r="N716" i="102" s="1"/>
  <c r="M640" i="102"/>
  <c r="N640" i="102" s="1"/>
  <c r="M391" i="102"/>
  <c r="N391" i="102" s="1"/>
  <c r="M299" i="102"/>
  <c r="N299" i="102" s="1"/>
  <c r="Q2" i="102"/>
  <c r="M752" i="102"/>
  <c r="N752" i="102" s="1"/>
  <c r="M639" i="102"/>
  <c r="N639" i="102" s="1"/>
  <c r="M492" i="102"/>
  <c r="N492" i="102" s="1"/>
  <c r="M390" i="102"/>
  <c r="N390" i="102" s="1"/>
  <c r="M297" i="102"/>
  <c r="N297" i="102" s="1"/>
  <c r="M127" i="102"/>
  <c r="N127" i="102" s="1"/>
  <c r="M748" i="102"/>
  <c r="N748" i="102" s="1"/>
  <c r="M637" i="102"/>
  <c r="N637" i="102" s="1"/>
  <c r="M69" i="102"/>
  <c r="N69" i="102" s="1"/>
  <c r="M45" i="102"/>
  <c r="N45" i="102" s="1"/>
  <c r="M168" i="102"/>
  <c r="N168" i="102" s="1"/>
  <c r="M744" i="102"/>
  <c r="N744" i="102" s="1"/>
  <c r="M97" i="102"/>
  <c r="N97" i="102" s="1"/>
  <c r="M742" i="102"/>
  <c r="N742" i="102" s="1"/>
  <c r="M111" i="102"/>
  <c r="N111" i="102" s="1"/>
  <c r="M161" i="102"/>
  <c r="N161" i="102" s="1"/>
  <c r="M53" i="102"/>
  <c r="N53" i="102" s="1"/>
  <c r="M298" i="102"/>
  <c r="N298" i="102" s="1"/>
  <c r="M197" i="102"/>
  <c r="N197" i="102" s="1"/>
  <c r="M112" i="102"/>
  <c r="N112" i="102" s="1"/>
  <c r="M83" i="102"/>
  <c r="N83" i="102" s="1"/>
  <c r="M254" i="102"/>
  <c r="N254" i="102" s="1"/>
  <c r="M342" i="102"/>
  <c r="N342" i="102" s="1"/>
  <c r="M591" i="102"/>
  <c r="N591" i="102" s="1"/>
  <c r="M159" i="102"/>
  <c r="N159" i="102" s="1"/>
  <c r="M252" i="102"/>
  <c r="N252" i="102" s="1"/>
  <c r="Q3" i="101"/>
  <c r="Q3" i="100"/>
  <c r="C5" i="100"/>
  <c r="B5" i="100"/>
  <c r="J3" i="102" a="1"/>
  <c r="M37" i="102" l="1"/>
  <c r="N37" i="102" s="1"/>
  <c r="M34" i="102"/>
  <c r="N34" i="102" s="1"/>
  <c r="M31" i="102"/>
  <c r="N31" i="102" s="1"/>
  <c r="M36" i="102"/>
  <c r="N36" i="102" s="1"/>
  <c r="M33" i="102"/>
  <c r="N33" i="102" s="1"/>
  <c r="M35" i="102"/>
  <c r="N35" i="102" s="1"/>
  <c r="M32" i="102"/>
  <c r="N32" i="102" s="1"/>
  <c r="M30" i="102"/>
  <c r="N30" i="102" s="1"/>
  <c r="M29" i="102"/>
  <c r="N29" i="102" s="1"/>
  <c r="M28" i="102"/>
  <c r="N28" i="102" s="1"/>
  <c r="M17" i="102"/>
  <c r="N17" i="102" s="1"/>
  <c r="M25" i="102"/>
  <c r="N25" i="102" s="1"/>
  <c r="M22" i="102"/>
  <c r="N22" i="102" s="1"/>
  <c r="M19" i="102"/>
  <c r="N19" i="102" s="1"/>
  <c r="M16" i="102"/>
  <c r="N16" i="102" s="1"/>
  <c r="M6" i="102"/>
  <c r="N6" i="102" s="1"/>
  <c r="M15" i="102"/>
  <c r="N15" i="102" s="1"/>
  <c r="M5" i="102"/>
  <c r="N5" i="102" s="1"/>
  <c r="M18" i="102"/>
  <c r="N18" i="102" s="1"/>
  <c r="M12" i="102"/>
  <c r="N12" i="102" s="1"/>
  <c r="M14" i="102"/>
  <c r="N14" i="102" s="1"/>
  <c r="M26" i="102"/>
  <c r="N26" i="102" s="1"/>
  <c r="M13" i="102"/>
  <c r="N13" i="102" s="1"/>
  <c r="M11" i="102"/>
  <c r="N11" i="102" s="1"/>
  <c r="M24" i="102"/>
  <c r="N24" i="102" s="1"/>
  <c r="M20" i="102"/>
  <c r="N20" i="102" s="1"/>
  <c r="M10" i="102"/>
  <c r="N10" i="102" s="1"/>
  <c r="M8" i="102"/>
  <c r="N8" i="102" s="1"/>
  <c r="M9" i="102"/>
  <c r="N9" i="102" s="1"/>
  <c r="M23" i="102"/>
  <c r="N23" i="102" s="1"/>
  <c r="M4" i="102"/>
  <c r="N4" i="102" s="1"/>
  <c r="M27" i="102"/>
  <c r="N27" i="102" s="1"/>
  <c r="J3" i="102"/>
  <c r="M3" i="102" s="1"/>
  <c r="N3" i="102" s="1"/>
  <c r="M21" i="102"/>
  <c r="N21" i="102" s="1"/>
  <c r="M7" i="102"/>
  <c r="N7" i="102" s="1"/>
  <c r="E14" i="100"/>
  <c r="W87" i="100"/>
  <c r="W53" i="100"/>
  <c r="W61" i="100"/>
  <c r="W75" i="100"/>
  <c r="W84" i="100"/>
  <c r="W52" i="100"/>
  <c r="W60" i="100" l="1"/>
  <c r="W92" i="100"/>
  <c r="W106" i="100"/>
  <c r="W78" i="100"/>
  <c r="W71" i="100"/>
  <c r="W103" i="100"/>
  <c r="W44" i="100"/>
  <c r="W14" i="100"/>
  <c r="W15" i="100"/>
  <c r="W57" i="100"/>
  <c r="W49" i="100"/>
  <c r="W25" i="100"/>
  <c r="W56" i="100"/>
  <c r="W47" i="100"/>
  <c r="W11" i="100"/>
  <c r="W95" i="100"/>
  <c r="W29" i="100"/>
  <c r="W32" i="100"/>
  <c r="W79" i="100"/>
  <c r="W80" i="100"/>
  <c r="W89" i="100"/>
  <c r="W27" i="100"/>
  <c r="W31" i="100"/>
  <c r="W64" i="100"/>
  <c r="O2" i="102" a="1"/>
  <c r="O2" i="102" s="1"/>
  <c r="M125" i="101"/>
  <c r="N125" i="101" s="1"/>
  <c r="M93" i="101"/>
  <c r="N93" i="101" s="1"/>
  <c r="M61" i="101"/>
  <c r="N61" i="101" s="1"/>
  <c r="M891" i="101"/>
  <c r="N891" i="101" s="1"/>
  <c r="M875" i="101"/>
  <c r="N875" i="101" s="1"/>
  <c r="M859" i="101"/>
  <c r="N859" i="101" s="1"/>
  <c r="M843" i="101"/>
  <c r="N843" i="101" s="1"/>
  <c r="M827" i="101"/>
  <c r="N827" i="101" s="1"/>
  <c r="M811" i="101"/>
  <c r="N811" i="101" s="1"/>
  <c r="M119" i="101"/>
  <c r="N119" i="101" s="1"/>
  <c r="M890" i="101"/>
  <c r="N890" i="101" s="1"/>
  <c r="M874" i="101"/>
  <c r="N874" i="101" s="1"/>
  <c r="M858" i="101"/>
  <c r="N858" i="101" s="1"/>
  <c r="M842" i="101"/>
  <c r="N842" i="101" s="1"/>
  <c r="M826" i="101"/>
  <c r="N826" i="101" s="1"/>
  <c r="M810" i="101"/>
  <c r="N810" i="101" s="1"/>
  <c r="M121" i="101"/>
  <c r="N121" i="101" s="1"/>
  <c r="M884" i="101"/>
  <c r="N884" i="101" s="1"/>
  <c r="M868" i="101"/>
  <c r="N868" i="101" s="1"/>
  <c r="M882" i="101"/>
  <c r="N882" i="101" s="1"/>
  <c r="M870" i="101"/>
  <c r="N870" i="101" s="1"/>
  <c r="M832" i="101"/>
  <c r="N832" i="101" s="1"/>
  <c r="M794" i="101"/>
  <c r="N794" i="101" s="1"/>
  <c r="M759" i="101"/>
  <c r="N759" i="101" s="1"/>
  <c r="M741" i="101"/>
  <c r="N741" i="101" s="1"/>
  <c r="M706" i="101"/>
  <c r="N706" i="101" s="1"/>
  <c r="M671" i="101"/>
  <c r="N671" i="101" s="1"/>
  <c r="M636" i="101"/>
  <c r="N636" i="101" s="1"/>
  <c r="M600" i="101"/>
  <c r="N600" i="101" s="1"/>
  <c r="M547" i="101"/>
  <c r="N547" i="101" s="1"/>
  <c r="M512" i="101"/>
  <c r="N512" i="101" s="1"/>
  <c r="M477" i="101"/>
  <c r="N477" i="101" s="1"/>
  <c r="M459" i="101"/>
  <c r="N459" i="101" s="1"/>
  <c r="M441" i="101"/>
  <c r="N441" i="101" s="1"/>
  <c r="M406" i="101"/>
  <c r="N406" i="101" s="1"/>
  <c r="M388" i="101"/>
  <c r="N388" i="101" s="1"/>
  <c r="M353" i="101"/>
  <c r="N353" i="101" s="1"/>
  <c r="M318" i="101"/>
  <c r="N318" i="101" s="1"/>
  <c r="M282" i="101"/>
  <c r="N282" i="101" s="1"/>
  <c r="M247" i="101"/>
  <c r="N247" i="101" s="1"/>
  <c r="M229" i="101"/>
  <c r="N229" i="101" s="1"/>
  <c r="M194" i="101"/>
  <c r="N194" i="101" s="1"/>
  <c r="M159" i="101"/>
  <c r="N159" i="101" s="1"/>
  <c r="M300" i="101"/>
  <c r="N300" i="101" s="1"/>
  <c r="M176" i="101"/>
  <c r="N176" i="101" s="1"/>
  <c r="M141" i="101"/>
  <c r="N141" i="101" s="1"/>
  <c r="M740" i="101"/>
  <c r="N740" i="101" s="1"/>
  <c r="M670" i="101"/>
  <c r="N670" i="101" s="1"/>
  <c r="M581" i="101"/>
  <c r="N581" i="101" s="1"/>
  <c r="M511" i="101"/>
  <c r="N511" i="101" s="1"/>
  <c r="M387" i="101"/>
  <c r="N387" i="101" s="1"/>
  <c r="M299" i="101"/>
  <c r="N299" i="101" s="1"/>
  <c r="M889" i="101"/>
  <c r="N889" i="101" s="1"/>
  <c r="M869" i="101"/>
  <c r="N869" i="101" s="1"/>
  <c r="M850" i="101"/>
  <c r="N850" i="101" s="1"/>
  <c r="M813" i="101"/>
  <c r="N813" i="101" s="1"/>
  <c r="M776" i="101"/>
  <c r="N776" i="101" s="1"/>
  <c r="M723" i="101"/>
  <c r="N723" i="101" s="1"/>
  <c r="M688" i="101"/>
  <c r="N688" i="101" s="1"/>
  <c r="M653" i="101"/>
  <c r="N653" i="101" s="1"/>
  <c r="M635" i="101"/>
  <c r="N635" i="101" s="1"/>
  <c r="M617" i="101"/>
  <c r="N617" i="101" s="1"/>
  <c r="M582" i="101"/>
  <c r="N582" i="101" s="1"/>
  <c r="M564" i="101"/>
  <c r="N564" i="101" s="1"/>
  <c r="M529" i="101"/>
  <c r="N529" i="101" s="1"/>
  <c r="M494" i="101"/>
  <c r="N494" i="101" s="1"/>
  <c r="M458" i="101"/>
  <c r="N458" i="101" s="1"/>
  <c r="M423" i="101"/>
  <c r="N423" i="101" s="1"/>
  <c r="M405" i="101"/>
  <c r="N405" i="101" s="1"/>
  <c r="M370" i="101"/>
  <c r="N370" i="101" s="1"/>
  <c r="M335" i="101"/>
  <c r="N335" i="101" s="1"/>
  <c r="M264" i="101"/>
  <c r="N264" i="101" s="1"/>
  <c r="M211" i="101"/>
  <c r="N211" i="101" s="1"/>
  <c r="M124" i="101"/>
  <c r="N124" i="101" s="1"/>
  <c r="M793" i="101"/>
  <c r="N793" i="101" s="1"/>
  <c r="M599" i="101"/>
  <c r="N599" i="101" s="1"/>
  <c r="M546" i="101"/>
  <c r="N546" i="101" s="1"/>
  <c r="M440" i="101"/>
  <c r="N440" i="101" s="1"/>
  <c r="M352" i="101"/>
  <c r="N352" i="101" s="1"/>
  <c r="M281" i="101"/>
  <c r="N281" i="101" s="1"/>
  <c r="M831" i="101"/>
  <c r="N831" i="101" s="1"/>
  <c r="M758" i="101"/>
  <c r="N758" i="101" s="1"/>
  <c r="M705" i="101"/>
  <c r="N705" i="101" s="1"/>
  <c r="M634" i="101"/>
  <c r="N634" i="101" s="1"/>
  <c r="M476" i="101"/>
  <c r="N476" i="101" s="1"/>
  <c r="M317" i="101"/>
  <c r="N317" i="101" s="1"/>
  <c r="M246" i="101"/>
  <c r="N246" i="101" s="1"/>
  <c r="M888" i="101"/>
  <c r="N888" i="101" s="1"/>
  <c r="M849" i="101"/>
  <c r="N849" i="101" s="1"/>
  <c r="M812" i="101"/>
  <c r="N812" i="101" s="1"/>
  <c r="M775" i="101"/>
  <c r="N775" i="101" s="1"/>
  <c r="M757" i="101"/>
  <c r="N757" i="101" s="1"/>
  <c r="M722" i="101"/>
  <c r="N722" i="101" s="1"/>
  <c r="M687" i="101"/>
  <c r="N687" i="101" s="1"/>
  <c r="M652" i="101"/>
  <c r="N652" i="101" s="1"/>
  <c r="M616" i="101"/>
  <c r="N616" i="101" s="1"/>
  <c r="M563" i="101"/>
  <c r="N563" i="101" s="1"/>
  <c r="M528" i="101"/>
  <c r="N528" i="101" s="1"/>
  <c r="M493" i="101"/>
  <c r="N493" i="101" s="1"/>
  <c r="M475" i="101"/>
  <c r="N475" i="101" s="1"/>
  <c r="M457" i="101"/>
  <c r="N457" i="101" s="1"/>
  <c r="M422" i="101"/>
  <c r="N422" i="101" s="1"/>
  <c r="M404" i="101"/>
  <c r="N404" i="101" s="1"/>
  <c r="M369" i="101"/>
  <c r="N369" i="101" s="1"/>
  <c r="M334" i="101"/>
  <c r="N334" i="101" s="1"/>
  <c r="M298" i="101"/>
  <c r="N298" i="101" s="1"/>
  <c r="M263" i="101"/>
  <c r="N263" i="101" s="1"/>
  <c r="M245" i="101"/>
  <c r="N245" i="101" s="1"/>
  <c r="M210" i="101"/>
  <c r="N210" i="101" s="1"/>
  <c r="M175" i="101"/>
  <c r="N175" i="101" s="1"/>
  <c r="M140" i="101"/>
  <c r="N140" i="101" s="1"/>
  <c r="M127" i="101"/>
  <c r="N127" i="101" s="1"/>
  <c r="M105" i="101"/>
  <c r="N105" i="101" s="1"/>
  <c r="M102" i="101"/>
  <c r="N102" i="101" s="1"/>
  <c r="M99" i="101"/>
  <c r="N99" i="101" s="1"/>
  <c r="M96" i="101"/>
  <c r="N96" i="101" s="1"/>
  <c r="M439" i="101"/>
  <c r="N439" i="101" s="1"/>
  <c r="M867" i="101"/>
  <c r="N867" i="101" s="1"/>
  <c r="M830" i="101"/>
  <c r="N830" i="101" s="1"/>
  <c r="M792" i="101"/>
  <c r="N792" i="101" s="1"/>
  <c r="M739" i="101"/>
  <c r="N739" i="101" s="1"/>
  <c r="M704" i="101"/>
  <c r="N704" i="101" s="1"/>
  <c r="M669" i="101"/>
  <c r="N669" i="101" s="1"/>
  <c r="M651" i="101"/>
  <c r="N651" i="101" s="1"/>
  <c r="M633" i="101"/>
  <c r="N633" i="101" s="1"/>
  <c r="M598" i="101"/>
  <c r="N598" i="101" s="1"/>
  <c r="M580" i="101"/>
  <c r="N580" i="101" s="1"/>
  <c r="M545" i="101"/>
  <c r="N545" i="101" s="1"/>
  <c r="M510" i="101"/>
  <c r="N510" i="101" s="1"/>
  <c r="M474" i="101"/>
  <c r="N474" i="101" s="1"/>
  <c r="M421" i="101"/>
  <c r="N421" i="101" s="1"/>
  <c r="M386" i="101"/>
  <c r="N386" i="101" s="1"/>
  <c r="M887" i="101"/>
  <c r="N887" i="101" s="1"/>
  <c r="M848" i="101"/>
  <c r="N848" i="101" s="1"/>
  <c r="M809" i="101"/>
  <c r="N809" i="101" s="1"/>
  <c r="M774" i="101"/>
  <c r="N774" i="101" s="1"/>
  <c r="M756" i="101"/>
  <c r="N756" i="101" s="1"/>
  <c r="M721" i="101"/>
  <c r="N721" i="101" s="1"/>
  <c r="M686" i="101"/>
  <c r="N686" i="101" s="1"/>
  <c r="M650" i="101"/>
  <c r="N650" i="101" s="1"/>
  <c r="M615" i="101"/>
  <c r="N615" i="101" s="1"/>
  <c r="M597" i="101"/>
  <c r="N597" i="101" s="1"/>
  <c r="M562" i="101"/>
  <c r="N562" i="101" s="1"/>
  <c r="M527" i="101"/>
  <c r="N527" i="101" s="1"/>
  <c r="M492" i="101"/>
  <c r="N492" i="101" s="1"/>
  <c r="M456" i="101"/>
  <c r="N456" i="101" s="1"/>
  <c r="M866" i="101"/>
  <c r="N866" i="101" s="1"/>
  <c r="M829" i="101"/>
  <c r="N829" i="101" s="1"/>
  <c r="M791" i="101"/>
  <c r="N791" i="101" s="1"/>
  <c r="M773" i="101"/>
  <c r="N773" i="101" s="1"/>
  <c r="M738" i="101"/>
  <c r="N738" i="101" s="1"/>
  <c r="M703" i="101"/>
  <c r="N703" i="101" s="1"/>
  <c r="M668" i="101"/>
  <c r="N668" i="101" s="1"/>
  <c r="M632" i="101"/>
  <c r="N632" i="101" s="1"/>
  <c r="M579" i="101"/>
  <c r="N579" i="101" s="1"/>
  <c r="M544" i="101"/>
  <c r="N544" i="101" s="1"/>
  <c r="M509" i="101"/>
  <c r="N509" i="101" s="1"/>
  <c r="M491" i="101"/>
  <c r="N491" i="101" s="1"/>
  <c r="M473" i="101"/>
  <c r="N473" i="101" s="1"/>
  <c r="M886" i="101"/>
  <c r="N886" i="101" s="1"/>
  <c r="M847" i="101"/>
  <c r="N847" i="101" s="1"/>
  <c r="M808" i="101"/>
  <c r="N808" i="101" s="1"/>
  <c r="M755" i="101"/>
  <c r="N755" i="101" s="1"/>
  <c r="M720" i="101"/>
  <c r="N720" i="101" s="1"/>
  <c r="M685" i="101"/>
  <c r="N685" i="101" s="1"/>
  <c r="M667" i="101"/>
  <c r="N667" i="101" s="1"/>
  <c r="M649" i="101"/>
  <c r="N649" i="101" s="1"/>
  <c r="M883" i="101"/>
  <c r="N883" i="101" s="1"/>
  <c r="M845" i="101"/>
  <c r="N845" i="101" s="1"/>
  <c r="M806" i="101"/>
  <c r="N806" i="101" s="1"/>
  <c r="M788" i="101"/>
  <c r="N788" i="101" s="1"/>
  <c r="M753" i="101"/>
  <c r="N753" i="101" s="1"/>
  <c r="M718" i="101"/>
  <c r="N718" i="101" s="1"/>
  <c r="M682" i="101"/>
  <c r="N682" i="101" s="1"/>
  <c r="M647" i="101"/>
  <c r="N647" i="101" s="1"/>
  <c r="M629" i="101"/>
  <c r="N629" i="101" s="1"/>
  <c r="M594" i="101"/>
  <c r="N594" i="101" s="1"/>
  <c r="M879" i="101"/>
  <c r="N879" i="101" s="1"/>
  <c r="M860" i="101"/>
  <c r="N860" i="101" s="1"/>
  <c r="M802" i="101"/>
  <c r="N802" i="101" s="1"/>
  <c r="M767" i="101"/>
  <c r="N767" i="101" s="1"/>
  <c r="M732" i="101"/>
  <c r="N732" i="101" s="1"/>
  <c r="M696" i="101"/>
  <c r="N696" i="101" s="1"/>
  <c r="M643" i="101"/>
  <c r="N643" i="101" s="1"/>
  <c r="M608" i="101"/>
  <c r="N608" i="101" s="1"/>
  <c r="M573" i="101"/>
  <c r="N573" i="101" s="1"/>
  <c r="M555" i="101"/>
  <c r="N555" i="101" s="1"/>
  <c r="M537" i="101"/>
  <c r="N537" i="101" s="1"/>
  <c r="M502" i="101"/>
  <c r="N502" i="101" s="1"/>
  <c r="M484" i="101"/>
  <c r="N484" i="101" s="1"/>
  <c r="M449" i="101"/>
  <c r="N449" i="101" s="1"/>
  <c r="M414" i="101"/>
  <c r="N414" i="101" s="1"/>
  <c r="M378" i="101"/>
  <c r="N378" i="101" s="1"/>
  <c r="M343" i="101"/>
  <c r="N343" i="101" s="1"/>
  <c r="M325" i="101"/>
  <c r="N325" i="101" s="1"/>
  <c r="M290" i="101"/>
  <c r="N290" i="101" s="1"/>
  <c r="M255" i="101"/>
  <c r="N255" i="101" s="1"/>
  <c r="M885" i="101"/>
  <c r="N885" i="101" s="1"/>
  <c r="M857" i="101"/>
  <c r="N857" i="101" s="1"/>
  <c r="M833" i="101"/>
  <c r="N833" i="101" s="1"/>
  <c r="M779" i="101"/>
  <c r="N779" i="101" s="1"/>
  <c r="M751" i="101"/>
  <c r="N751" i="101" s="1"/>
  <c r="M727" i="101"/>
  <c r="N727" i="101" s="1"/>
  <c r="M699" i="101"/>
  <c r="N699" i="101" s="1"/>
  <c r="M675" i="101"/>
  <c r="N675" i="101" s="1"/>
  <c r="M624" i="101"/>
  <c r="N624" i="101" s="1"/>
  <c r="M601" i="101"/>
  <c r="N601" i="101" s="1"/>
  <c r="M575" i="101"/>
  <c r="N575" i="101" s="1"/>
  <c r="M552" i="101"/>
  <c r="N552" i="101" s="1"/>
  <c r="M530" i="101"/>
  <c r="N530" i="101" s="1"/>
  <c r="M504" i="101"/>
  <c r="N504" i="101" s="1"/>
  <c r="M460" i="101"/>
  <c r="N460" i="101" s="1"/>
  <c r="M435" i="101"/>
  <c r="N435" i="101" s="1"/>
  <c r="M308" i="101"/>
  <c r="N308" i="101" s="1"/>
  <c r="M267" i="101"/>
  <c r="N267" i="101" s="1"/>
  <c r="M244" i="101"/>
  <c r="N244" i="101" s="1"/>
  <c r="M225" i="101"/>
  <c r="N225" i="101" s="1"/>
  <c r="M206" i="101"/>
  <c r="N206" i="101" s="1"/>
  <c r="M186" i="101"/>
  <c r="N186" i="101" s="1"/>
  <c r="M167" i="101"/>
  <c r="N167" i="101" s="1"/>
  <c r="M110" i="101"/>
  <c r="N110" i="101" s="1"/>
  <c r="M100" i="101"/>
  <c r="N100" i="101" s="1"/>
  <c r="M80" i="101"/>
  <c r="N80" i="101" s="1"/>
  <c r="M778" i="101"/>
  <c r="N778" i="101" s="1"/>
  <c r="M698" i="101"/>
  <c r="N698" i="101" s="1"/>
  <c r="M526" i="101"/>
  <c r="N526" i="101" s="1"/>
  <c r="M481" i="101"/>
  <c r="N481" i="101" s="1"/>
  <c r="M392" i="101"/>
  <c r="N392" i="101" s="1"/>
  <c r="M349" i="101"/>
  <c r="N349" i="101" s="1"/>
  <c r="M328" i="101"/>
  <c r="N328" i="101" s="1"/>
  <c r="M307" i="101"/>
  <c r="N307" i="101" s="1"/>
  <c r="M287" i="101"/>
  <c r="N287" i="101" s="1"/>
  <c r="M371" i="101"/>
  <c r="N371" i="101" s="1"/>
  <c r="M856" i="101"/>
  <c r="N856" i="101" s="1"/>
  <c r="M828" i="101"/>
  <c r="N828" i="101" s="1"/>
  <c r="M801" i="101"/>
  <c r="N801" i="101" s="1"/>
  <c r="M750" i="101"/>
  <c r="N750" i="101" s="1"/>
  <c r="M726" i="101"/>
  <c r="N726" i="101" s="1"/>
  <c r="M674" i="101"/>
  <c r="N674" i="101" s="1"/>
  <c r="M646" i="101"/>
  <c r="N646" i="101" s="1"/>
  <c r="M623" i="101"/>
  <c r="N623" i="101" s="1"/>
  <c r="M596" i="101"/>
  <c r="N596" i="101" s="1"/>
  <c r="M574" i="101"/>
  <c r="N574" i="101" s="1"/>
  <c r="M551" i="101"/>
  <c r="N551" i="101" s="1"/>
  <c r="M503" i="101"/>
  <c r="N503" i="101" s="1"/>
  <c r="M455" i="101"/>
  <c r="N455" i="101" s="1"/>
  <c r="M434" i="101"/>
  <c r="N434" i="101" s="1"/>
  <c r="M413" i="101"/>
  <c r="N413" i="101" s="1"/>
  <c r="M243" i="101"/>
  <c r="N243" i="101" s="1"/>
  <c r="M224" i="101"/>
  <c r="N224" i="101" s="1"/>
  <c r="M205" i="101"/>
  <c r="N205" i="101" s="1"/>
  <c r="M185" i="101"/>
  <c r="N185" i="101" s="1"/>
  <c r="M166" i="101"/>
  <c r="N166" i="101" s="1"/>
  <c r="M131" i="101"/>
  <c r="N131" i="101" s="1"/>
  <c r="M70" i="101"/>
  <c r="N70" i="101" s="1"/>
  <c r="M50" i="101"/>
  <c r="N50" i="101" s="1"/>
  <c r="M368" i="101"/>
  <c r="N368" i="101" s="1"/>
  <c r="M306" i="101"/>
  <c r="N306" i="101" s="1"/>
  <c r="M286" i="101"/>
  <c r="N286" i="101" s="1"/>
  <c r="M265" i="101"/>
  <c r="N265" i="101" s="1"/>
  <c r="M146" i="101"/>
  <c r="N146" i="101" s="1"/>
  <c r="M120" i="101"/>
  <c r="N120" i="101" s="1"/>
  <c r="M777" i="101"/>
  <c r="N777" i="101" s="1"/>
  <c r="M749" i="101"/>
  <c r="N749" i="101" s="1"/>
  <c r="M725" i="101"/>
  <c r="N725" i="101" s="1"/>
  <c r="M697" i="101"/>
  <c r="N697" i="101" s="1"/>
  <c r="M645" i="101"/>
  <c r="N645" i="101" s="1"/>
  <c r="M525" i="101"/>
  <c r="N525" i="101" s="1"/>
  <c r="M480" i="101"/>
  <c r="N480" i="101" s="1"/>
  <c r="M391" i="101"/>
  <c r="N391" i="101" s="1"/>
  <c r="M348" i="101"/>
  <c r="N348" i="101" s="1"/>
  <c r="M327" i="101"/>
  <c r="N327" i="101" s="1"/>
  <c r="M165" i="101"/>
  <c r="N165" i="101" s="1"/>
  <c r="M855" i="101"/>
  <c r="N855" i="101" s="1"/>
  <c r="M825" i="101"/>
  <c r="N825" i="101" s="1"/>
  <c r="M800" i="101"/>
  <c r="N800" i="101" s="1"/>
  <c r="M772" i="101"/>
  <c r="N772" i="101" s="1"/>
  <c r="M673" i="101"/>
  <c r="N673" i="101" s="1"/>
  <c r="M622" i="101"/>
  <c r="N622" i="101" s="1"/>
  <c r="M595" i="101"/>
  <c r="N595" i="101" s="1"/>
  <c r="M550" i="101"/>
  <c r="N550" i="101" s="1"/>
  <c r="M501" i="101"/>
  <c r="N501" i="101" s="1"/>
  <c r="M454" i="101"/>
  <c r="N454" i="101" s="1"/>
  <c r="M881" i="101"/>
  <c r="N881" i="101" s="1"/>
  <c r="M824" i="101"/>
  <c r="N824" i="101" s="1"/>
  <c r="M748" i="101"/>
  <c r="N748" i="101" s="1"/>
  <c r="M724" i="101"/>
  <c r="N724" i="101" s="1"/>
  <c r="M644" i="101"/>
  <c r="N644" i="101" s="1"/>
  <c r="M572" i="101"/>
  <c r="N572" i="101" s="1"/>
  <c r="M549" i="101"/>
  <c r="N549" i="101" s="1"/>
  <c r="M524" i="101"/>
  <c r="N524" i="101" s="1"/>
  <c r="M479" i="101"/>
  <c r="N479" i="101" s="1"/>
  <c r="M453" i="101"/>
  <c r="N453" i="101" s="1"/>
  <c r="M411" i="101"/>
  <c r="N411" i="101" s="1"/>
  <c r="M880" i="101"/>
  <c r="N880" i="101" s="1"/>
  <c r="M853" i="101"/>
  <c r="N853" i="101" s="1"/>
  <c r="M823" i="101"/>
  <c r="N823" i="101" s="1"/>
  <c r="M770" i="101"/>
  <c r="N770" i="101" s="1"/>
  <c r="M746" i="101"/>
  <c r="N746" i="101" s="1"/>
  <c r="M719" i="101"/>
  <c r="N719" i="101" s="1"/>
  <c r="M593" i="101"/>
  <c r="N593" i="101" s="1"/>
  <c r="M570" i="101"/>
  <c r="N570" i="101" s="1"/>
  <c r="M548" i="101"/>
  <c r="N548" i="101" s="1"/>
  <c r="M522" i="101"/>
  <c r="N522" i="101" s="1"/>
  <c r="M478" i="101"/>
  <c r="N478" i="101" s="1"/>
  <c r="M452" i="101"/>
  <c r="N452" i="101" s="1"/>
  <c r="M431" i="101"/>
  <c r="N431" i="101" s="1"/>
  <c r="M366" i="101"/>
  <c r="N366" i="101" s="1"/>
  <c r="M345" i="101"/>
  <c r="N345" i="101" s="1"/>
  <c r="M324" i="101"/>
  <c r="N324" i="101" s="1"/>
  <c r="M304" i="101"/>
  <c r="N304" i="101" s="1"/>
  <c r="M284" i="101"/>
  <c r="N284" i="101" s="1"/>
  <c r="M163" i="101"/>
  <c r="N163" i="101" s="1"/>
  <c r="M144" i="101"/>
  <c r="N144" i="101" s="1"/>
  <c r="M134" i="101"/>
  <c r="N134" i="101" s="1"/>
  <c r="M66" i="101"/>
  <c r="N66" i="101" s="1"/>
  <c r="M798" i="101"/>
  <c r="N798" i="101" s="1"/>
  <c r="M694" i="101"/>
  <c r="N694" i="101" s="1"/>
  <c r="M876" i="101"/>
  <c r="N876" i="101" s="1"/>
  <c r="M790" i="101"/>
  <c r="N790" i="101" s="1"/>
  <c r="M766" i="101"/>
  <c r="N766" i="101" s="1"/>
  <c r="M841" i="101"/>
  <c r="N841" i="101" s="1"/>
  <c r="M805" i="101"/>
  <c r="N805" i="101" s="1"/>
  <c r="M734" i="101"/>
  <c r="N734" i="101" s="1"/>
  <c r="M605" i="101"/>
  <c r="N605" i="101" s="1"/>
  <c r="M483" i="101"/>
  <c r="N483" i="101" s="1"/>
  <c r="M450" i="101"/>
  <c r="N450" i="101" s="1"/>
  <c r="M425" i="101"/>
  <c r="N425" i="101" s="1"/>
  <c r="M374" i="101"/>
  <c r="N374" i="101" s="1"/>
  <c r="M346" i="101"/>
  <c r="N346" i="101" s="1"/>
  <c r="M322" i="101"/>
  <c r="N322" i="101" s="1"/>
  <c r="M250" i="101"/>
  <c r="N250" i="101" s="1"/>
  <c r="M204" i="101"/>
  <c r="N204" i="101" s="1"/>
  <c r="M181" i="101"/>
  <c r="N181" i="101" s="1"/>
  <c r="M160" i="101"/>
  <c r="N160" i="101" s="1"/>
  <c r="M101" i="101"/>
  <c r="N101" i="101" s="1"/>
  <c r="M701" i="101"/>
  <c r="N701" i="101" s="1"/>
  <c r="M663" i="101"/>
  <c r="N663" i="101" s="1"/>
  <c r="M569" i="101"/>
  <c r="N569" i="101" s="1"/>
  <c r="M540" i="101"/>
  <c r="N540" i="101" s="1"/>
  <c r="M513" i="101"/>
  <c r="N513" i="101" s="1"/>
  <c r="M398" i="101"/>
  <c r="N398" i="101" s="1"/>
  <c r="M373" i="101"/>
  <c r="N373" i="101" s="1"/>
  <c r="M296" i="101"/>
  <c r="N296" i="101" s="1"/>
  <c r="M273" i="101"/>
  <c r="N273" i="101" s="1"/>
  <c r="M226" i="101"/>
  <c r="N226" i="101" s="1"/>
  <c r="M203" i="101"/>
  <c r="N203" i="101" s="1"/>
  <c r="M136" i="101"/>
  <c r="N136" i="101" s="1"/>
  <c r="M90" i="101"/>
  <c r="N90" i="101" s="1"/>
  <c r="M79" i="101"/>
  <c r="N79" i="101" s="1"/>
  <c r="M68" i="101"/>
  <c r="N68" i="101" s="1"/>
  <c r="M46" i="101"/>
  <c r="N46" i="101" s="1"/>
  <c r="M75" i="101"/>
  <c r="N75" i="101" s="1"/>
  <c r="M367" i="101"/>
  <c r="N367" i="101" s="1"/>
  <c r="M97" i="101"/>
  <c r="N97" i="101" s="1"/>
  <c r="M60" i="101"/>
  <c r="N60" i="101" s="1"/>
  <c r="M565" i="101"/>
  <c r="N565" i="101" s="1"/>
  <c r="M316" i="101"/>
  <c r="N316" i="101" s="1"/>
  <c r="M177" i="101"/>
  <c r="N177" i="101" s="1"/>
  <c r="M49" i="101"/>
  <c r="N49" i="101" s="1"/>
  <c r="M242" i="101"/>
  <c r="N242" i="101" s="1"/>
  <c r="M878" i="101"/>
  <c r="N878" i="101" s="1"/>
  <c r="M840" i="101"/>
  <c r="N840" i="101" s="1"/>
  <c r="M804" i="101"/>
  <c r="N804" i="101" s="1"/>
  <c r="M733" i="101"/>
  <c r="N733" i="101" s="1"/>
  <c r="M700" i="101"/>
  <c r="N700" i="101" s="1"/>
  <c r="M631" i="101"/>
  <c r="N631" i="101" s="1"/>
  <c r="M604" i="101"/>
  <c r="N604" i="101" s="1"/>
  <c r="M539" i="101"/>
  <c r="N539" i="101" s="1"/>
  <c r="M482" i="101"/>
  <c r="N482" i="101" s="1"/>
  <c r="M424" i="101"/>
  <c r="N424" i="101" s="1"/>
  <c r="M321" i="101"/>
  <c r="N321" i="101" s="1"/>
  <c r="M272" i="101"/>
  <c r="N272" i="101" s="1"/>
  <c r="M249" i="101"/>
  <c r="N249" i="101" s="1"/>
  <c r="M202" i="101"/>
  <c r="N202" i="101" s="1"/>
  <c r="M180" i="101"/>
  <c r="N180" i="101" s="1"/>
  <c r="M158" i="101"/>
  <c r="N158" i="101" s="1"/>
  <c r="M132" i="101"/>
  <c r="N132" i="101" s="1"/>
  <c r="M112" i="101"/>
  <c r="N112" i="101" s="1"/>
  <c r="M57" i="101"/>
  <c r="N57" i="101" s="1"/>
  <c r="M839" i="101"/>
  <c r="N839" i="101" s="1"/>
  <c r="M765" i="101"/>
  <c r="N765" i="101" s="1"/>
  <c r="M695" i="101"/>
  <c r="N695" i="101" s="1"/>
  <c r="M662" i="101"/>
  <c r="N662" i="101" s="1"/>
  <c r="M603" i="101"/>
  <c r="N603" i="101" s="1"/>
  <c r="M568" i="101"/>
  <c r="N568" i="101" s="1"/>
  <c r="M538" i="101"/>
  <c r="N538" i="101" s="1"/>
  <c r="M448" i="101"/>
  <c r="N448" i="101" s="1"/>
  <c r="M397" i="101"/>
  <c r="N397" i="101" s="1"/>
  <c r="M372" i="101"/>
  <c r="N372" i="101" s="1"/>
  <c r="M344" i="101"/>
  <c r="N344" i="101" s="1"/>
  <c r="M295" i="101"/>
  <c r="N295" i="101" s="1"/>
  <c r="M201" i="101"/>
  <c r="N201" i="101" s="1"/>
  <c r="M157" i="101"/>
  <c r="N157" i="101" s="1"/>
  <c r="M108" i="101"/>
  <c r="N108" i="101" s="1"/>
  <c r="M86" i="101"/>
  <c r="N86" i="101" s="1"/>
  <c r="M200" i="101"/>
  <c r="N200" i="101" s="1"/>
  <c r="M365" i="101"/>
  <c r="N365" i="101" s="1"/>
  <c r="M269" i="101"/>
  <c r="N269" i="101" s="1"/>
  <c r="M89" i="101"/>
  <c r="N89" i="101" s="1"/>
  <c r="M877" i="101"/>
  <c r="N877" i="101" s="1"/>
  <c r="M803" i="101"/>
  <c r="N803" i="101" s="1"/>
  <c r="M731" i="101"/>
  <c r="N731" i="101" s="1"/>
  <c r="M693" i="101"/>
  <c r="N693" i="101" s="1"/>
  <c r="M661" i="101"/>
  <c r="N661" i="101" s="1"/>
  <c r="M630" i="101"/>
  <c r="N630" i="101" s="1"/>
  <c r="M602" i="101"/>
  <c r="N602" i="101" s="1"/>
  <c r="M508" i="101"/>
  <c r="N508" i="101" s="1"/>
  <c r="M420" i="101"/>
  <c r="N420" i="101" s="1"/>
  <c r="M396" i="101"/>
  <c r="N396" i="101" s="1"/>
  <c r="M320" i="101"/>
  <c r="N320" i="101" s="1"/>
  <c r="M271" i="101"/>
  <c r="N271" i="101" s="1"/>
  <c r="M248" i="101"/>
  <c r="N248" i="101" s="1"/>
  <c r="M223" i="101"/>
  <c r="N223" i="101" s="1"/>
  <c r="M179" i="101"/>
  <c r="N179" i="101" s="1"/>
  <c r="M128" i="101"/>
  <c r="N128" i="101" s="1"/>
  <c r="M53" i="101"/>
  <c r="N53" i="101" s="1"/>
  <c r="M42" i="101"/>
  <c r="N42" i="101" s="1"/>
  <c r="M395" i="101"/>
  <c r="N395" i="101" s="1"/>
  <c r="M294" i="101"/>
  <c r="N294" i="101" s="1"/>
  <c r="M592" i="101"/>
  <c r="N592" i="101" s="1"/>
  <c r="M838" i="101"/>
  <c r="N838" i="101" s="1"/>
  <c r="M799" i="101"/>
  <c r="N799" i="101" s="1"/>
  <c r="M764" i="101"/>
  <c r="N764" i="101" s="1"/>
  <c r="M730" i="101"/>
  <c r="N730" i="101" s="1"/>
  <c r="M660" i="101"/>
  <c r="N660" i="101" s="1"/>
  <c r="M567" i="101"/>
  <c r="N567" i="101" s="1"/>
  <c r="M507" i="101"/>
  <c r="N507" i="101" s="1"/>
  <c r="M447" i="101"/>
  <c r="N447" i="101" s="1"/>
  <c r="M156" i="101"/>
  <c r="N156" i="101" s="1"/>
  <c r="M505" i="101"/>
  <c r="N505" i="101" s="1"/>
  <c r="M837" i="101"/>
  <c r="N837" i="101" s="1"/>
  <c r="M763" i="101"/>
  <c r="N763" i="101" s="1"/>
  <c r="M692" i="101"/>
  <c r="N692" i="101" s="1"/>
  <c r="M628" i="101"/>
  <c r="N628" i="101" s="1"/>
  <c r="M536" i="101"/>
  <c r="N536" i="101" s="1"/>
  <c r="M506" i="101"/>
  <c r="N506" i="101" s="1"/>
  <c r="M472" i="101"/>
  <c r="N472" i="101" s="1"/>
  <c r="M419" i="101"/>
  <c r="N419" i="101" s="1"/>
  <c r="M394" i="101"/>
  <c r="N394" i="101" s="1"/>
  <c r="M342" i="101"/>
  <c r="N342" i="101" s="1"/>
  <c r="M319" i="101"/>
  <c r="N319" i="101" s="1"/>
  <c r="M293" i="101"/>
  <c r="N293" i="101" s="1"/>
  <c r="M270" i="101"/>
  <c r="N270" i="101" s="1"/>
  <c r="M222" i="101"/>
  <c r="N222" i="101" s="1"/>
  <c r="M178" i="101"/>
  <c r="N178" i="101" s="1"/>
  <c r="M155" i="101"/>
  <c r="N155" i="101" s="1"/>
  <c r="M104" i="101"/>
  <c r="N104" i="101" s="1"/>
  <c r="M64" i="101"/>
  <c r="N64" i="101" s="1"/>
  <c r="M393" i="101"/>
  <c r="N393" i="101" s="1"/>
  <c r="M873" i="101"/>
  <c r="N873" i="101" s="1"/>
  <c r="M797" i="101"/>
  <c r="N797" i="101" s="1"/>
  <c r="M762" i="101"/>
  <c r="N762" i="101" s="1"/>
  <c r="M729" i="101"/>
  <c r="N729" i="101" s="1"/>
  <c r="M659" i="101"/>
  <c r="N659" i="101" s="1"/>
  <c r="M566" i="101"/>
  <c r="N566" i="101" s="1"/>
  <c r="M446" i="101"/>
  <c r="N446" i="101" s="1"/>
  <c r="M341" i="101"/>
  <c r="N341" i="101" s="1"/>
  <c r="M221" i="101"/>
  <c r="N221" i="101" s="1"/>
  <c r="M199" i="101"/>
  <c r="N199" i="101" s="1"/>
  <c r="M154" i="101"/>
  <c r="N154" i="101" s="1"/>
  <c r="M123" i="101"/>
  <c r="N123" i="101" s="1"/>
  <c r="M82" i="101"/>
  <c r="N82" i="101" s="1"/>
  <c r="M71" i="101"/>
  <c r="N71" i="101" s="1"/>
  <c r="M418" i="101"/>
  <c r="N418" i="101" s="1"/>
  <c r="M836" i="101"/>
  <c r="N836" i="101" s="1"/>
  <c r="M691" i="101"/>
  <c r="N691" i="101" s="1"/>
  <c r="M627" i="101"/>
  <c r="N627" i="101" s="1"/>
  <c r="M471" i="101"/>
  <c r="N471" i="101" s="1"/>
  <c r="M292" i="101"/>
  <c r="N292" i="101" s="1"/>
  <c r="M872" i="101"/>
  <c r="N872" i="101" s="1"/>
  <c r="M796" i="101"/>
  <c r="N796" i="101" s="1"/>
  <c r="M761" i="101"/>
  <c r="N761" i="101" s="1"/>
  <c r="M728" i="101"/>
  <c r="N728" i="101" s="1"/>
  <c r="M658" i="101"/>
  <c r="N658" i="101" s="1"/>
  <c r="M561" i="101"/>
  <c r="N561" i="101" s="1"/>
  <c r="M445" i="101"/>
  <c r="N445" i="101" s="1"/>
  <c r="M835" i="101"/>
  <c r="N835" i="101" s="1"/>
  <c r="M795" i="101"/>
  <c r="N795" i="101" s="1"/>
  <c r="M690" i="101"/>
  <c r="N690" i="101" s="1"/>
  <c r="M626" i="101"/>
  <c r="N626" i="101" s="1"/>
  <c r="M591" i="101"/>
  <c r="N591" i="101" s="1"/>
  <c r="M871" i="101"/>
  <c r="N871" i="101" s="1"/>
  <c r="M789" i="101"/>
  <c r="N789" i="101" s="1"/>
  <c r="M865" i="101"/>
  <c r="N865" i="101" s="1"/>
  <c r="M717" i="101"/>
  <c r="N717" i="101" s="1"/>
  <c r="M656" i="101"/>
  <c r="N656" i="101" s="1"/>
  <c r="M621" i="101"/>
  <c r="N621" i="101" s="1"/>
  <c r="M589" i="101"/>
  <c r="N589" i="101" s="1"/>
  <c r="M559" i="101"/>
  <c r="N559" i="101" s="1"/>
  <c r="M532" i="101"/>
  <c r="N532" i="101" s="1"/>
  <c r="M498" i="101"/>
  <c r="N498" i="101" s="1"/>
  <c r="M468" i="101"/>
  <c r="N468" i="101" s="1"/>
  <c r="M442" i="101"/>
  <c r="N442" i="101" s="1"/>
  <c r="M385" i="101"/>
  <c r="N385" i="101" s="1"/>
  <c r="M338" i="101"/>
  <c r="N338" i="101" s="1"/>
  <c r="M289" i="101"/>
  <c r="N289" i="101" s="1"/>
  <c r="M262" i="101"/>
  <c r="N262" i="101" s="1"/>
  <c r="M239" i="101"/>
  <c r="N239" i="101" s="1"/>
  <c r="M217" i="101"/>
  <c r="N217" i="101" s="1"/>
  <c r="M173" i="101"/>
  <c r="N173" i="101" s="1"/>
  <c r="M151" i="101"/>
  <c r="N151" i="101" s="1"/>
  <c r="M107" i="101"/>
  <c r="N107" i="101" s="1"/>
  <c r="M85" i="101"/>
  <c r="N85" i="101" s="1"/>
  <c r="M74" i="101"/>
  <c r="N74" i="101" s="1"/>
  <c r="M52" i="101"/>
  <c r="N52" i="101" s="1"/>
  <c r="M787" i="101"/>
  <c r="N787" i="101" s="1"/>
  <c r="M754" i="101"/>
  <c r="N754" i="101" s="1"/>
  <c r="M684" i="101"/>
  <c r="N684" i="101" s="1"/>
  <c r="M620" i="101"/>
  <c r="N620" i="101" s="1"/>
  <c r="M415" i="101"/>
  <c r="N415" i="101" s="1"/>
  <c r="M361" i="101"/>
  <c r="N361" i="101" s="1"/>
  <c r="M312" i="101"/>
  <c r="N312" i="101" s="1"/>
  <c r="M261" i="101"/>
  <c r="N261" i="101" s="1"/>
  <c r="M820" i="101"/>
  <c r="N820" i="101" s="1"/>
  <c r="M752" i="101"/>
  <c r="N752" i="101" s="1"/>
  <c r="M714" i="101"/>
  <c r="N714" i="101" s="1"/>
  <c r="M681" i="101"/>
  <c r="N681" i="101" s="1"/>
  <c r="M654" i="101"/>
  <c r="N654" i="101" s="1"/>
  <c r="M614" i="101"/>
  <c r="N614" i="101" s="1"/>
  <c r="M862" i="101"/>
  <c r="N862" i="101" s="1"/>
  <c r="M785" i="101"/>
  <c r="N785" i="101" s="1"/>
  <c r="M713" i="101"/>
  <c r="N713" i="101" s="1"/>
  <c r="M613" i="101"/>
  <c r="N613" i="101" s="1"/>
  <c r="M465" i="101"/>
  <c r="N465" i="101" s="1"/>
  <c r="M310" i="101"/>
  <c r="N310" i="101" s="1"/>
  <c r="M148" i="101"/>
  <c r="N148" i="101" s="1"/>
  <c r="M819" i="101"/>
  <c r="N819" i="101" s="1"/>
  <c r="M784" i="101"/>
  <c r="N784" i="101" s="1"/>
  <c r="M747" i="101"/>
  <c r="N747" i="101" s="1"/>
  <c r="M680" i="101"/>
  <c r="N680" i="101" s="1"/>
  <c r="M648" i="101"/>
  <c r="N648" i="101" s="1"/>
  <c r="M585" i="101"/>
  <c r="N585" i="101" s="1"/>
  <c r="M556" i="101"/>
  <c r="N556" i="101" s="1"/>
  <c r="M521" i="101"/>
  <c r="N521" i="101" s="1"/>
  <c r="M495" i="101"/>
  <c r="N495" i="101" s="1"/>
  <c r="M436" i="101"/>
  <c r="N436" i="101" s="1"/>
  <c r="M408" i="101"/>
  <c r="N408" i="101" s="1"/>
  <c r="M382" i="101"/>
  <c r="N382" i="101" s="1"/>
  <c r="M358" i="101"/>
  <c r="N358" i="101" s="1"/>
  <c r="M333" i="101"/>
  <c r="N333" i="101" s="1"/>
  <c r="M309" i="101"/>
  <c r="N309" i="101" s="1"/>
  <c r="M283" i="101"/>
  <c r="N283" i="101" s="1"/>
  <c r="M783" i="101"/>
  <c r="N783" i="101" s="1"/>
  <c r="M851" i="101"/>
  <c r="N851" i="101" s="1"/>
  <c r="M815" i="101"/>
  <c r="N815" i="101" s="1"/>
  <c r="M844" i="101"/>
  <c r="N844" i="101" s="1"/>
  <c r="M807" i="101"/>
  <c r="N807" i="101" s="1"/>
  <c r="M735" i="101"/>
  <c r="N735" i="101" s="1"/>
  <c r="M665" i="101"/>
  <c r="N665" i="101" s="1"/>
  <c r="M606" i="101"/>
  <c r="N606" i="101" s="1"/>
  <c r="M451" i="101"/>
  <c r="N451" i="101" s="1"/>
  <c r="M768" i="101"/>
  <c r="N768" i="101" s="1"/>
  <c r="M702" i="101"/>
  <c r="N702" i="101" s="1"/>
  <c r="M664" i="101"/>
  <c r="N664" i="101" s="1"/>
  <c r="M637" i="101"/>
  <c r="N637" i="101" s="1"/>
  <c r="M571" i="101"/>
  <c r="N571" i="101" s="1"/>
  <c r="M541" i="101"/>
  <c r="N541" i="101" s="1"/>
  <c r="M514" i="101"/>
  <c r="N514" i="101" s="1"/>
  <c r="M399" i="101"/>
  <c r="N399" i="101" s="1"/>
  <c r="M347" i="101"/>
  <c r="N347" i="101" s="1"/>
  <c r="M297" i="101"/>
  <c r="N297" i="101" s="1"/>
  <c r="M771" i="101"/>
  <c r="N771" i="101" s="1"/>
  <c r="M683" i="101"/>
  <c r="N683" i="101" s="1"/>
  <c r="M489" i="101"/>
  <c r="N489" i="101" s="1"/>
  <c r="M432" i="101"/>
  <c r="N432" i="101" s="1"/>
  <c r="M219" i="101"/>
  <c r="N219" i="101" s="1"/>
  <c r="M189" i="101"/>
  <c r="N189" i="101" s="1"/>
  <c r="M152" i="101"/>
  <c r="N152" i="101" s="1"/>
  <c r="M133" i="101"/>
  <c r="N133" i="101" s="1"/>
  <c r="M103" i="101"/>
  <c r="N103" i="101" s="1"/>
  <c r="M54" i="101"/>
  <c r="N54" i="101" s="1"/>
  <c r="M48" i="101"/>
  <c r="N48" i="101" s="1"/>
  <c r="M863" i="101"/>
  <c r="N863" i="101" s="1"/>
  <c r="M430" i="101"/>
  <c r="N430" i="101" s="1"/>
  <c r="M533" i="101"/>
  <c r="N533" i="101" s="1"/>
  <c r="M864" i="101"/>
  <c r="N864" i="101" s="1"/>
  <c r="M769" i="101"/>
  <c r="N769" i="101" s="1"/>
  <c r="M610" i="101"/>
  <c r="N610" i="101" s="1"/>
  <c r="M383" i="101"/>
  <c r="N383" i="101" s="1"/>
  <c r="M339" i="101"/>
  <c r="N339" i="101" s="1"/>
  <c r="M301" i="101"/>
  <c r="N301" i="101" s="1"/>
  <c r="M256" i="101"/>
  <c r="N256" i="101" s="1"/>
  <c r="M218" i="101"/>
  <c r="N218" i="101" s="1"/>
  <c r="M109" i="101"/>
  <c r="N109" i="101" s="1"/>
  <c r="M43" i="101"/>
  <c r="N43" i="101" s="1"/>
  <c r="M760" i="101"/>
  <c r="N760" i="101" s="1"/>
  <c r="M488" i="101"/>
  <c r="N488" i="101" s="1"/>
  <c r="M188" i="101"/>
  <c r="N188" i="101" s="1"/>
  <c r="M58" i="101"/>
  <c r="N58" i="101" s="1"/>
  <c r="M846" i="101"/>
  <c r="N846" i="101" s="1"/>
  <c r="M285" i="101"/>
  <c r="N285" i="101" s="1"/>
  <c r="M861" i="101"/>
  <c r="N861" i="101" s="1"/>
  <c r="M679" i="101"/>
  <c r="N679" i="101" s="1"/>
  <c r="M609" i="101"/>
  <c r="N609" i="101" s="1"/>
  <c r="M381" i="101"/>
  <c r="N381" i="101" s="1"/>
  <c r="M337" i="101"/>
  <c r="N337" i="101" s="1"/>
  <c r="M187" i="101"/>
  <c r="N187" i="101" s="1"/>
  <c r="M150" i="101"/>
  <c r="N150" i="101" s="1"/>
  <c r="M126" i="101"/>
  <c r="N126" i="101" s="1"/>
  <c r="M114" i="101"/>
  <c r="N114" i="101" s="1"/>
  <c r="M678" i="101"/>
  <c r="N678" i="101" s="1"/>
  <c r="M543" i="101"/>
  <c r="N543" i="101" s="1"/>
  <c r="M487" i="101"/>
  <c r="N487" i="101" s="1"/>
  <c r="M429" i="101"/>
  <c r="N429" i="101" s="1"/>
  <c r="M291" i="101"/>
  <c r="N291" i="101" s="1"/>
  <c r="M254" i="101"/>
  <c r="N254" i="101" s="1"/>
  <c r="M216" i="101"/>
  <c r="N216" i="101" s="1"/>
  <c r="M149" i="101"/>
  <c r="N149" i="101" s="1"/>
  <c r="Q2" i="101"/>
  <c r="M63" i="101"/>
  <c r="N63" i="101" s="1"/>
  <c r="M469" i="101"/>
  <c r="N469" i="101" s="1"/>
  <c r="M330" i="101"/>
  <c r="N330" i="101" s="1"/>
  <c r="M251" i="101"/>
  <c r="N251" i="101" s="1"/>
  <c r="M854" i="101"/>
  <c r="N854" i="101" s="1"/>
  <c r="M677" i="101"/>
  <c r="N677" i="101" s="1"/>
  <c r="M380" i="101"/>
  <c r="N380" i="101" s="1"/>
  <c r="M336" i="101"/>
  <c r="N336" i="101" s="1"/>
  <c r="M184" i="101"/>
  <c r="N184" i="101" s="1"/>
  <c r="M69" i="101"/>
  <c r="N69" i="101" s="1"/>
  <c r="M672" i="101"/>
  <c r="N672" i="101" s="1"/>
  <c r="M852" i="101"/>
  <c r="N852" i="101" s="1"/>
  <c r="M745" i="101"/>
  <c r="N745" i="101" s="1"/>
  <c r="M607" i="101"/>
  <c r="N607" i="101" s="1"/>
  <c r="M542" i="101"/>
  <c r="N542" i="101" s="1"/>
  <c r="M486" i="101"/>
  <c r="N486" i="101" s="1"/>
  <c r="M428" i="101"/>
  <c r="N428" i="101" s="1"/>
  <c r="M379" i="101"/>
  <c r="N379" i="101" s="1"/>
  <c r="M253" i="101"/>
  <c r="N253" i="101" s="1"/>
  <c r="M215" i="101"/>
  <c r="N215" i="101" s="1"/>
  <c r="M147" i="101"/>
  <c r="N147" i="101" s="1"/>
  <c r="M676" i="101"/>
  <c r="N676" i="101" s="1"/>
  <c r="M535" i="101"/>
  <c r="N535" i="101" s="1"/>
  <c r="M485" i="101"/>
  <c r="N485" i="101" s="1"/>
  <c r="M427" i="101"/>
  <c r="N427" i="101" s="1"/>
  <c r="M332" i="101"/>
  <c r="N332" i="101" s="1"/>
  <c r="M288" i="101"/>
  <c r="N288" i="101" s="1"/>
  <c r="M214" i="101"/>
  <c r="N214" i="101" s="1"/>
  <c r="M183" i="101"/>
  <c r="N183" i="101" s="1"/>
  <c r="M744" i="101"/>
  <c r="N744" i="101" s="1"/>
  <c r="M590" i="101"/>
  <c r="N590" i="101" s="1"/>
  <c r="M534" i="101"/>
  <c r="N534" i="101" s="1"/>
  <c r="M470" i="101"/>
  <c r="N470" i="101" s="1"/>
  <c r="M426" i="101"/>
  <c r="N426" i="101" s="1"/>
  <c r="M377" i="101"/>
  <c r="N377" i="101" s="1"/>
  <c r="M331" i="101"/>
  <c r="N331" i="101" s="1"/>
  <c r="M252" i="101"/>
  <c r="N252" i="101" s="1"/>
  <c r="M213" i="101"/>
  <c r="N213" i="101" s="1"/>
  <c r="M182" i="101"/>
  <c r="N182" i="101" s="1"/>
  <c r="M145" i="101"/>
  <c r="N145" i="101" s="1"/>
  <c r="M91" i="101"/>
  <c r="N91" i="101" s="1"/>
  <c r="M822" i="101"/>
  <c r="N822" i="101" s="1"/>
  <c r="M742" i="101"/>
  <c r="N742" i="101" s="1"/>
  <c r="M657" i="101"/>
  <c r="N657" i="101" s="1"/>
  <c r="M586" i="101"/>
  <c r="N586" i="101" s="1"/>
  <c r="M466" i="101"/>
  <c r="N466" i="101" s="1"/>
  <c r="M416" i="101"/>
  <c r="N416" i="101" s="1"/>
  <c r="M375" i="101"/>
  <c r="N375" i="101" s="1"/>
  <c r="M279" i="101"/>
  <c r="N279" i="101" s="1"/>
  <c r="M240" i="101"/>
  <c r="N240" i="101" s="1"/>
  <c r="M821" i="101"/>
  <c r="N821" i="101" s="1"/>
  <c r="M737" i="101"/>
  <c r="N737" i="101" s="1"/>
  <c r="M523" i="101"/>
  <c r="N523" i="101" s="1"/>
  <c r="M412" i="101"/>
  <c r="N412" i="101" s="1"/>
  <c r="M326" i="101"/>
  <c r="N326" i="101" s="1"/>
  <c r="M209" i="101"/>
  <c r="N209" i="101" s="1"/>
  <c r="M142" i="101"/>
  <c r="N142" i="101" s="1"/>
  <c r="M130" i="101"/>
  <c r="N130" i="101" s="1"/>
  <c r="M715" i="101"/>
  <c r="N715" i="101" s="1"/>
  <c r="M641" i="101"/>
  <c r="N641" i="101" s="1"/>
  <c r="M517" i="101"/>
  <c r="N517" i="101" s="1"/>
  <c r="M403" i="101"/>
  <c r="N403" i="101" s="1"/>
  <c r="M359" i="101"/>
  <c r="N359" i="101" s="1"/>
  <c r="M275" i="101"/>
  <c r="N275" i="101" s="1"/>
  <c r="M235" i="101"/>
  <c r="N235" i="101" s="1"/>
  <c r="M168" i="101"/>
  <c r="N168" i="101" s="1"/>
  <c r="M640" i="101"/>
  <c r="N640" i="101" s="1"/>
  <c r="M516" i="101"/>
  <c r="N516" i="101" s="1"/>
  <c r="M402" i="101"/>
  <c r="N402" i="101" s="1"/>
  <c r="M274" i="101"/>
  <c r="N274" i="101" s="1"/>
  <c r="M197" i="101"/>
  <c r="N197" i="101" s="1"/>
  <c r="M135" i="101"/>
  <c r="N135" i="101" s="1"/>
  <c r="M117" i="101"/>
  <c r="N117" i="101" s="1"/>
  <c r="M612" i="101"/>
  <c r="N612" i="101" s="1"/>
  <c r="M707" i="101"/>
  <c r="N707" i="101" s="1"/>
  <c r="M362" i="101"/>
  <c r="N362" i="101" s="1"/>
  <c r="M280" i="101"/>
  <c r="N280" i="101" s="1"/>
  <c r="M230" i="101"/>
  <c r="N230" i="101" s="1"/>
  <c r="M277" i="101"/>
  <c r="N277" i="101" s="1"/>
  <c r="M76" i="101"/>
  <c r="N76" i="101" s="1"/>
  <c r="M56" i="101"/>
  <c r="N56" i="101" s="1"/>
  <c r="M519" i="101"/>
  <c r="N519" i="101" s="1"/>
  <c r="M266" i="101"/>
  <c r="N266" i="101" s="1"/>
  <c r="M834" i="101"/>
  <c r="N834" i="101" s="1"/>
  <c r="M689" i="101"/>
  <c r="N689" i="101" s="1"/>
  <c r="M557" i="101"/>
  <c r="N557" i="101" s="1"/>
  <c r="M360" i="101"/>
  <c r="N360" i="101" s="1"/>
  <c r="M228" i="101"/>
  <c r="N228" i="101" s="1"/>
  <c r="M67" i="101"/>
  <c r="N67" i="101" s="1"/>
  <c r="M59" i="101"/>
  <c r="N59" i="101" s="1"/>
  <c r="M443" i="101"/>
  <c r="N443" i="101" s="1"/>
  <c r="M220" i="101"/>
  <c r="N220" i="101" s="1"/>
  <c r="M642" i="101"/>
  <c r="N642" i="101" s="1"/>
  <c r="M354" i="101"/>
  <c r="N354" i="101" s="1"/>
  <c r="M40" i="101"/>
  <c r="N40" i="101" s="1"/>
  <c r="M138" i="101"/>
  <c r="N138" i="101" s="1"/>
  <c r="M818" i="101"/>
  <c r="N818" i="101" s="1"/>
  <c r="M666" i="101"/>
  <c r="N666" i="101" s="1"/>
  <c r="M554" i="101"/>
  <c r="N554" i="101" s="1"/>
  <c r="M444" i="101"/>
  <c r="N444" i="101" s="1"/>
  <c r="M278" i="101"/>
  <c r="N278" i="101" s="1"/>
  <c r="M227" i="101"/>
  <c r="N227" i="101" s="1"/>
  <c r="M162" i="101"/>
  <c r="N162" i="101" s="1"/>
  <c r="M129" i="101"/>
  <c r="N129" i="101" s="1"/>
  <c r="M118" i="101"/>
  <c r="N118" i="101" s="1"/>
  <c r="M357" i="101"/>
  <c r="N357" i="101" s="1"/>
  <c r="M92" i="101"/>
  <c r="N92" i="101" s="1"/>
  <c r="M41" i="101"/>
  <c r="N41" i="101" s="1"/>
  <c r="M207" i="101"/>
  <c r="N207" i="101" s="1"/>
  <c r="M786" i="101"/>
  <c r="N786" i="101" s="1"/>
  <c r="M817" i="101"/>
  <c r="N817" i="101" s="1"/>
  <c r="M351" i="101"/>
  <c r="N351" i="101" s="1"/>
  <c r="M139" i="101"/>
  <c r="N139" i="101" s="1"/>
  <c r="M260" i="101"/>
  <c r="N260" i="101" s="1"/>
  <c r="M655" i="101"/>
  <c r="N655" i="101" s="1"/>
  <c r="M553" i="101"/>
  <c r="N553" i="101" s="1"/>
  <c r="M356" i="101"/>
  <c r="N356" i="101" s="1"/>
  <c r="M212" i="101"/>
  <c r="N212" i="101" s="1"/>
  <c r="M161" i="101"/>
  <c r="N161" i="101" s="1"/>
  <c r="M433" i="101"/>
  <c r="N433" i="101" s="1"/>
  <c r="M198" i="101"/>
  <c r="N198" i="101" s="1"/>
  <c r="M816" i="101"/>
  <c r="N816" i="101" s="1"/>
  <c r="M438" i="101"/>
  <c r="N438" i="101" s="1"/>
  <c r="M276" i="101"/>
  <c r="N276" i="101" s="1"/>
  <c r="M83" i="101"/>
  <c r="N83" i="101" s="1"/>
  <c r="M531" i="101"/>
  <c r="N531" i="101" s="1"/>
  <c r="M437" i="101"/>
  <c r="N437" i="101" s="1"/>
  <c r="M355" i="101"/>
  <c r="N355" i="101" s="1"/>
  <c r="M153" i="101"/>
  <c r="N153" i="101" s="1"/>
  <c r="M208" i="101"/>
  <c r="N208" i="101" s="1"/>
  <c r="M520" i="101"/>
  <c r="N520" i="101" s="1"/>
  <c r="M268" i="101"/>
  <c r="N268" i="101" s="1"/>
  <c r="M73" i="101"/>
  <c r="N73" i="101" s="1"/>
  <c r="M417" i="101"/>
  <c r="N417" i="101" s="1"/>
  <c r="M518" i="101"/>
  <c r="N518" i="101" s="1"/>
  <c r="M410" i="101"/>
  <c r="N410" i="101" s="1"/>
  <c r="M350" i="101"/>
  <c r="N350" i="101" s="1"/>
  <c r="M814" i="101"/>
  <c r="N814" i="101" s="1"/>
  <c r="M143" i="101"/>
  <c r="N143" i="101" s="1"/>
  <c r="M639" i="101"/>
  <c r="N639" i="101" s="1"/>
  <c r="M106" i="101"/>
  <c r="N106" i="101" s="1"/>
  <c r="M782" i="101"/>
  <c r="N782" i="101" s="1"/>
  <c r="M638" i="101"/>
  <c r="N638" i="101" s="1"/>
  <c r="M409" i="101"/>
  <c r="N409" i="101" s="1"/>
  <c r="M340" i="101"/>
  <c r="N340" i="101" s="1"/>
  <c r="M196" i="101"/>
  <c r="N196" i="101" s="1"/>
  <c r="M116" i="101"/>
  <c r="N116" i="101" s="1"/>
  <c r="M65" i="101"/>
  <c r="N65" i="101" s="1"/>
  <c r="M47" i="101"/>
  <c r="N47" i="101" s="1"/>
  <c r="M781" i="101"/>
  <c r="N781" i="101" s="1"/>
  <c r="M500" i="101"/>
  <c r="N500" i="101" s="1"/>
  <c r="M407" i="101"/>
  <c r="N407" i="101" s="1"/>
  <c r="M329" i="101"/>
  <c r="N329" i="101" s="1"/>
  <c r="M258" i="101"/>
  <c r="N258" i="101" s="1"/>
  <c r="M98" i="101"/>
  <c r="N98" i="101" s="1"/>
  <c r="M72" i="101"/>
  <c r="N72" i="101" s="1"/>
  <c r="M55" i="101"/>
  <c r="N55" i="101" s="1"/>
  <c r="M780" i="101"/>
  <c r="N780" i="101" s="1"/>
  <c r="M619" i="101"/>
  <c r="N619" i="101" s="1"/>
  <c r="M499" i="101"/>
  <c r="N499" i="101" s="1"/>
  <c r="M193" i="101"/>
  <c r="N193" i="101" s="1"/>
  <c r="M39" i="101"/>
  <c r="N39" i="101" s="1"/>
  <c r="M743" i="101"/>
  <c r="N743" i="101" s="1"/>
  <c r="M618" i="101"/>
  <c r="N618" i="101" s="1"/>
  <c r="M257" i="101"/>
  <c r="N257" i="101" s="1"/>
  <c r="M192" i="101"/>
  <c r="N192" i="101" s="1"/>
  <c r="M611" i="101"/>
  <c r="N611" i="101" s="1"/>
  <c r="M497" i="101"/>
  <c r="N497" i="101" s="1"/>
  <c r="M323" i="101"/>
  <c r="N323" i="101" s="1"/>
  <c r="M191" i="101"/>
  <c r="N191" i="101" s="1"/>
  <c r="M62" i="101"/>
  <c r="N62" i="101" s="1"/>
  <c r="M38" i="101"/>
  <c r="N38" i="101" s="1"/>
  <c r="M588" i="101"/>
  <c r="N588" i="101" s="1"/>
  <c r="M401" i="101"/>
  <c r="N401" i="101" s="1"/>
  <c r="M315" i="101"/>
  <c r="N315" i="101" s="1"/>
  <c r="M241" i="101"/>
  <c r="N241" i="101" s="1"/>
  <c r="M113" i="101"/>
  <c r="N113" i="101" s="1"/>
  <c r="M736" i="101"/>
  <c r="N736" i="101" s="1"/>
  <c r="M587" i="101"/>
  <c r="N587" i="101" s="1"/>
  <c r="M496" i="101"/>
  <c r="N496" i="101" s="1"/>
  <c r="M314" i="101"/>
  <c r="N314" i="101" s="1"/>
  <c r="M190" i="101"/>
  <c r="N190" i="101" s="1"/>
  <c r="M95" i="101"/>
  <c r="N95" i="101" s="1"/>
  <c r="M78" i="101"/>
  <c r="N78" i="101" s="1"/>
  <c r="M45" i="101"/>
  <c r="N45" i="101" s="1"/>
  <c r="M584" i="101"/>
  <c r="N584" i="101" s="1"/>
  <c r="M490" i="101"/>
  <c r="N490" i="101" s="1"/>
  <c r="M400" i="101"/>
  <c r="N400" i="101" s="1"/>
  <c r="M313" i="101"/>
  <c r="N313" i="101" s="1"/>
  <c r="M238" i="101"/>
  <c r="N238" i="101" s="1"/>
  <c r="M560" i="101"/>
  <c r="N560" i="101" s="1"/>
  <c r="M195" i="101"/>
  <c r="N195" i="101" s="1"/>
  <c r="M51" i="101"/>
  <c r="N51" i="101" s="1"/>
  <c r="M716" i="101"/>
  <c r="N716" i="101" s="1"/>
  <c r="M390" i="101"/>
  <c r="N390" i="101" s="1"/>
  <c r="M174" i="101"/>
  <c r="N174" i="101" s="1"/>
  <c r="M376" i="101"/>
  <c r="N376" i="101" s="1"/>
  <c r="M708" i="101"/>
  <c r="N708" i="101" s="1"/>
  <c r="M111" i="101"/>
  <c r="N111" i="101" s="1"/>
  <c r="M164" i="101"/>
  <c r="N164" i="101" s="1"/>
  <c r="M137" i="101"/>
  <c r="N137" i="101" s="1"/>
  <c r="M578" i="101"/>
  <c r="N578" i="101" s="1"/>
  <c r="M84" i="101"/>
  <c r="N84" i="101" s="1"/>
  <c r="M464" i="101"/>
  <c r="N464" i="101" s="1"/>
  <c r="M233" i="101"/>
  <c r="N233" i="101" s="1"/>
  <c r="M122" i="101"/>
  <c r="N122" i="101" s="1"/>
  <c r="M461" i="101"/>
  <c r="N461" i="101" s="1"/>
  <c r="M558" i="101"/>
  <c r="N558" i="101" s="1"/>
  <c r="M712" i="101"/>
  <c r="N712" i="101" s="1"/>
  <c r="M389" i="101"/>
  <c r="N389" i="101" s="1"/>
  <c r="M172" i="101"/>
  <c r="N172" i="101" s="1"/>
  <c r="M115" i="101"/>
  <c r="N115" i="101" s="1"/>
  <c r="M711" i="101"/>
  <c r="N711" i="101" s="1"/>
  <c r="M171" i="101"/>
  <c r="N171" i="101" s="1"/>
  <c r="M169" i="101"/>
  <c r="N169" i="101" s="1"/>
  <c r="M364" i="101"/>
  <c r="N364" i="101" s="1"/>
  <c r="M625" i="101"/>
  <c r="N625" i="101" s="1"/>
  <c r="M44" i="101"/>
  <c r="N44" i="101" s="1"/>
  <c r="M583" i="101"/>
  <c r="N583" i="101" s="1"/>
  <c r="M576" i="101"/>
  <c r="N576" i="101" s="1"/>
  <c r="M303" i="101"/>
  <c r="N303" i="101" s="1"/>
  <c r="M81" i="101"/>
  <c r="N81" i="101" s="1"/>
  <c r="M467" i="101"/>
  <c r="N467" i="101" s="1"/>
  <c r="M463" i="101"/>
  <c r="N463" i="101" s="1"/>
  <c r="M232" i="101"/>
  <c r="N232" i="101" s="1"/>
  <c r="M384" i="101"/>
  <c r="N384" i="101" s="1"/>
  <c r="M170" i="101"/>
  <c r="N170" i="101" s="1"/>
  <c r="M94" i="101"/>
  <c r="N94" i="101" s="1"/>
  <c r="M710" i="101"/>
  <c r="N710" i="101" s="1"/>
  <c r="M709" i="101"/>
  <c r="N709" i="101" s="1"/>
  <c r="M88" i="101"/>
  <c r="N88" i="101" s="1"/>
  <c r="M363" i="101"/>
  <c r="N363" i="101" s="1"/>
  <c r="M311" i="101"/>
  <c r="N311" i="101" s="1"/>
  <c r="M87" i="101"/>
  <c r="N87" i="101" s="1"/>
  <c r="M515" i="101"/>
  <c r="N515" i="101" s="1"/>
  <c r="M237" i="101"/>
  <c r="N237" i="101" s="1"/>
  <c r="M234" i="101"/>
  <c r="N234" i="101" s="1"/>
  <c r="M77" i="101"/>
  <c r="N77" i="101" s="1"/>
  <c r="M302" i="101"/>
  <c r="N302" i="101" s="1"/>
  <c r="M462" i="101"/>
  <c r="N462" i="101" s="1"/>
  <c r="M577" i="101"/>
  <c r="N577" i="101" s="1"/>
  <c r="M305" i="101"/>
  <c r="N305" i="101" s="1"/>
  <c r="M259" i="101"/>
  <c r="N259" i="101" s="1"/>
  <c r="M236" i="101"/>
  <c r="N236" i="101" s="1"/>
  <c r="M231" i="101"/>
  <c r="N231" i="101" s="1"/>
  <c r="W67" i="100"/>
  <c r="W88" i="100"/>
  <c r="W96" i="100"/>
  <c r="W16" i="100"/>
  <c r="W99" i="100"/>
  <c r="W43" i="100"/>
  <c r="W68" i="100"/>
  <c r="W30" i="100"/>
  <c r="W12" i="100"/>
  <c r="W76" i="100"/>
  <c r="W6" i="100"/>
  <c r="W63" i="100"/>
  <c r="W70" i="100"/>
  <c r="W45" i="100"/>
  <c r="W33" i="100"/>
  <c r="W4" i="100"/>
  <c r="W35" i="100"/>
  <c r="W24" i="100"/>
  <c r="W48" i="100"/>
  <c r="W36" i="100"/>
  <c r="W3" i="100"/>
  <c r="W107" i="100"/>
  <c r="W100" i="100"/>
  <c r="W62" i="100"/>
  <c r="W37" i="100"/>
  <c r="W94" i="100"/>
  <c r="W13" i="100"/>
  <c r="W102" i="100"/>
  <c r="W77" i="100"/>
  <c r="W65" i="100"/>
  <c r="W97" i="100"/>
  <c r="W104" i="100"/>
  <c r="W28" i="100"/>
  <c r="W19" i="100"/>
  <c r="W66" i="100"/>
  <c r="W8" i="100"/>
  <c r="W17" i="100"/>
  <c r="W72" i="100"/>
  <c r="W81" i="100"/>
  <c r="W18" i="100"/>
  <c r="W41" i="100"/>
  <c r="W91" i="100"/>
  <c r="W105" i="100"/>
  <c r="W69" i="100"/>
  <c r="W21" i="100"/>
  <c r="W51" i="100"/>
  <c r="W98" i="100"/>
  <c r="W40" i="100"/>
  <c r="W58" i="100"/>
  <c r="W90" i="100"/>
  <c r="W93" i="100"/>
  <c r="W5" i="100"/>
  <c r="W38" i="100"/>
  <c r="W10" i="100"/>
  <c r="W54" i="100"/>
  <c r="W86" i="100"/>
  <c r="W46" i="100"/>
  <c r="W26" i="100"/>
  <c r="W85" i="100"/>
  <c r="W23" i="100"/>
  <c r="W9" i="100"/>
  <c r="W59" i="100"/>
  <c r="W50" i="100"/>
  <c r="W73" i="100"/>
  <c r="W82" i="100"/>
  <c r="W34" i="100"/>
  <c r="W101" i="100"/>
  <c r="W22" i="100"/>
  <c r="W83" i="100"/>
  <c r="W20" i="100"/>
  <c r="W7" i="100"/>
  <c r="W42" i="100"/>
  <c r="W55" i="100"/>
  <c r="W39" i="100"/>
  <c r="W74" i="100"/>
  <c r="W314" i="100"/>
  <c r="W311" i="100"/>
  <c r="W119" i="100"/>
  <c r="W341" i="100"/>
  <c r="W227" i="100"/>
  <c r="W279" i="100"/>
  <c r="W310" i="100"/>
  <c r="W404" i="100"/>
  <c r="W418" i="100"/>
  <c r="W386" i="100"/>
  <c r="W354" i="100"/>
  <c r="W322" i="100"/>
  <c r="W290" i="100"/>
  <c r="W258" i="100"/>
  <c r="W226" i="100"/>
  <c r="W194" i="100"/>
  <c r="W162" i="100"/>
  <c r="W130" i="100"/>
  <c r="W221" i="100"/>
  <c r="W315" i="100"/>
  <c r="W218" i="100"/>
  <c r="W313" i="100"/>
  <c r="W153" i="100"/>
  <c r="W248" i="100"/>
  <c r="W247" i="100"/>
  <c r="W342" i="100"/>
  <c r="W340" i="100"/>
  <c r="W417" i="100"/>
  <c r="W385" i="100"/>
  <c r="W353" i="100"/>
  <c r="W321" i="100"/>
  <c r="W289" i="100"/>
  <c r="W257" i="100"/>
  <c r="W225" i="100"/>
  <c r="W193" i="100"/>
  <c r="W161" i="100"/>
  <c r="W129" i="100"/>
  <c r="W159" i="100"/>
  <c r="W414" i="100"/>
  <c r="W382" i="100"/>
  <c r="W350" i="100"/>
  <c r="W318" i="100"/>
  <c r="W254" i="100"/>
  <c r="W222" i="100"/>
  <c r="W158" i="100"/>
  <c r="W413" i="100"/>
  <c r="W349" i="100"/>
  <c r="W285" i="100"/>
  <c r="W157" i="100"/>
  <c r="W412" i="100"/>
  <c r="W284" i="100"/>
  <c r="W156" i="100"/>
  <c r="W347" i="100"/>
  <c r="W251" i="100"/>
  <c r="W123" i="100"/>
  <c r="W282" i="100"/>
  <c r="W122" i="100"/>
  <c r="W377" i="100"/>
  <c r="W249" i="100"/>
  <c r="W121" i="100"/>
  <c r="W344" i="100"/>
  <c r="W280" i="100"/>
  <c r="W184" i="100"/>
  <c r="W343" i="100"/>
  <c r="W183" i="100"/>
  <c r="W278" i="100"/>
  <c r="W182" i="100"/>
  <c r="W213" i="100"/>
  <c r="W276" i="100"/>
  <c r="W116" i="100"/>
  <c r="W416" i="100"/>
  <c r="W384" i="100"/>
  <c r="W352" i="100"/>
  <c r="W320" i="100"/>
  <c r="W288" i="100"/>
  <c r="W256" i="100"/>
  <c r="W224" i="100"/>
  <c r="W192" i="100"/>
  <c r="W160" i="100"/>
  <c r="W128" i="100"/>
  <c r="W415" i="100"/>
  <c r="W383" i="100"/>
  <c r="W351" i="100"/>
  <c r="W319" i="100"/>
  <c r="W287" i="100"/>
  <c r="W255" i="100"/>
  <c r="W223" i="100"/>
  <c r="W191" i="100"/>
  <c r="W127" i="100"/>
  <c r="W286" i="100"/>
  <c r="W190" i="100"/>
  <c r="W126" i="100"/>
  <c r="W381" i="100"/>
  <c r="W317" i="100"/>
  <c r="W253" i="100"/>
  <c r="W189" i="100"/>
  <c r="W125" i="100"/>
  <c r="W380" i="100"/>
  <c r="W220" i="100"/>
  <c r="W283" i="100"/>
  <c r="W155" i="100"/>
  <c r="W378" i="100"/>
  <c r="W186" i="100"/>
  <c r="W409" i="100"/>
  <c r="W217" i="100"/>
  <c r="W376" i="100"/>
  <c r="W312" i="100"/>
  <c r="W216" i="100"/>
  <c r="W120" i="100"/>
  <c r="W375" i="100"/>
  <c r="W215" i="100"/>
  <c r="W406" i="100"/>
  <c r="W246" i="100"/>
  <c r="W277" i="100"/>
  <c r="W117" i="100"/>
  <c r="W148" i="100"/>
  <c r="W405" i="100"/>
  <c r="W403" i="100"/>
  <c r="W371" i="100"/>
  <c r="W339" i="100"/>
  <c r="W307" i="100"/>
  <c r="W275" i="100"/>
  <c r="W243" i="100"/>
  <c r="W211" i="100"/>
  <c r="W179" i="100"/>
  <c r="W147" i="100"/>
  <c r="W115" i="100"/>
  <c r="W402" i="100"/>
  <c r="W370" i="100"/>
  <c r="W338" i="100"/>
  <c r="W306" i="100"/>
  <c r="W274" i="100"/>
  <c r="W242" i="100"/>
  <c r="W210" i="100"/>
  <c r="W178" i="100"/>
  <c r="W146" i="100"/>
  <c r="W114" i="100"/>
  <c r="W401" i="100"/>
  <c r="W369" i="100"/>
  <c r="W337" i="100"/>
  <c r="W305" i="100"/>
  <c r="W273" i="100"/>
  <c r="W241" i="100"/>
  <c r="W209" i="100"/>
  <c r="W177" i="100"/>
  <c r="W145" i="100"/>
  <c r="W113" i="100"/>
  <c r="W206" i="100"/>
  <c r="W110" i="100"/>
  <c r="W365" i="100"/>
  <c r="W269" i="100"/>
  <c r="W205" i="100"/>
  <c r="W173" i="100"/>
  <c r="W332" i="100"/>
  <c r="W236" i="100"/>
  <c r="W172" i="100"/>
  <c r="W363" i="100"/>
  <c r="W267" i="100"/>
  <c r="W203" i="100"/>
  <c r="W330" i="100"/>
  <c r="W234" i="100"/>
  <c r="W138" i="100"/>
  <c r="W149" i="100"/>
  <c r="W180" i="100"/>
  <c r="W400" i="100"/>
  <c r="W368" i="100"/>
  <c r="W336" i="100"/>
  <c r="W304" i="100"/>
  <c r="W272" i="100"/>
  <c r="W240" i="100"/>
  <c r="W208" i="100"/>
  <c r="W176" i="100"/>
  <c r="W144" i="100"/>
  <c r="W112" i="100"/>
  <c r="W399" i="100"/>
  <c r="W367" i="100"/>
  <c r="W335" i="100"/>
  <c r="W303" i="100"/>
  <c r="W271" i="100"/>
  <c r="W239" i="100"/>
  <c r="W207" i="100"/>
  <c r="W175" i="100"/>
  <c r="W143" i="100"/>
  <c r="W111" i="100"/>
  <c r="W398" i="100"/>
  <c r="W366" i="100"/>
  <c r="W334" i="100"/>
  <c r="W302" i="100"/>
  <c r="W270" i="100"/>
  <c r="W238" i="100"/>
  <c r="W174" i="100"/>
  <c r="W142" i="100"/>
  <c r="W397" i="100"/>
  <c r="W333" i="100"/>
  <c r="W301" i="100"/>
  <c r="W237" i="100"/>
  <c r="W141" i="100"/>
  <c r="W109" i="100"/>
  <c r="W300" i="100"/>
  <c r="W204" i="100"/>
  <c r="W140" i="100"/>
  <c r="W395" i="100"/>
  <c r="W299" i="100"/>
  <c r="W235" i="100"/>
  <c r="W171" i="100"/>
  <c r="W394" i="100"/>
  <c r="W266" i="100"/>
  <c r="W202" i="100"/>
  <c r="W214" i="100"/>
  <c r="W245" i="100"/>
  <c r="W244" i="100"/>
  <c r="W372" i="100"/>
  <c r="W396" i="100"/>
  <c r="W364" i="100"/>
  <c r="W268" i="100"/>
  <c r="W108" i="100"/>
  <c r="W331" i="100"/>
  <c r="W139" i="100"/>
  <c r="W362" i="100"/>
  <c r="W298" i="100"/>
  <c r="W170" i="100"/>
  <c r="W309" i="100"/>
  <c r="W308" i="100"/>
  <c r="W393" i="100"/>
  <c r="W361" i="100"/>
  <c r="W329" i="100"/>
  <c r="W297" i="100"/>
  <c r="W265" i="100"/>
  <c r="W233" i="100"/>
  <c r="W201" i="100"/>
  <c r="W169" i="100"/>
  <c r="W137" i="100"/>
  <c r="W392" i="100"/>
  <c r="W360" i="100"/>
  <c r="W328" i="100"/>
  <c r="W296" i="100"/>
  <c r="W264" i="100"/>
  <c r="W232" i="100"/>
  <c r="W200" i="100"/>
  <c r="W168" i="100"/>
  <c r="W136" i="100"/>
  <c r="W389" i="100"/>
  <c r="W357" i="100"/>
  <c r="W293" i="100"/>
  <c r="W197" i="100"/>
  <c r="W133" i="100"/>
  <c r="W388" i="100"/>
  <c r="W324" i="100"/>
  <c r="W260" i="100"/>
  <c r="W228" i="100"/>
  <c r="W164" i="100"/>
  <c r="W419" i="100"/>
  <c r="W355" i="100"/>
  <c r="W291" i="100"/>
  <c r="W163" i="100"/>
  <c r="W348" i="100"/>
  <c r="W188" i="100"/>
  <c r="W379" i="100"/>
  <c r="W187" i="100"/>
  <c r="W346" i="100"/>
  <c r="W154" i="100"/>
  <c r="W345" i="100"/>
  <c r="W281" i="100"/>
  <c r="W185" i="100"/>
  <c r="W408" i="100"/>
  <c r="W152" i="100"/>
  <c r="W407" i="100"/>
  <c r="W151" i="100"/>
  <c r="W374" i="100"/>
  <c r="W150" i="100"/>
  <c r="W181" i="100"/>
  <c r="W212" i="100"/>
  <c r="W373" i="100"/>
  <c r="W391" i="100"/>
  <c r="W359" i="100"/>
  <c r="W327" i="100"/>
  <c r="W295" i="100"/>
  <c r="W263" i="100"/>
  <c r="W231" i="100"/>
  <c r="W199" i="100"/>
  <c r="W167" i="100"/>
  <c r="W135" i="100"/>
  <c r="W390" i="100"/>
  <c r="W358" i="100"/>
  <c r="W326" i="100"/>
  <c r="W294" i="100"/>
  <c r="W262" i="100"/>
  <c r="W230" i="100"/>
  <c r="W198" i="100"/>
  <c r="W166" i="100"/>
  <c r="W134" i="100"/>
  <c r="W421" i="100"/>
  <c r="W325" i="100"/>
  <c r="W261" i="100"/>
  <c r="W229" i="100"/>
  <c r="W165" i="100"/>
  <c r="W420" i="100"/>
  <c r="W356" i="100"/>
  <c r="W292" i="100"/>
  <c r="W196" i="100"/>
  <c r="W132" i="100"/>
  <c r="W387" i="100"/>
  <c r="W323" i="100"/>
  <c r="W259" i="100"/>
  <c r="W195" i="100"/>
  <c r="W131" i="100"/>
  <c r="W316" i="100"/>
  <c r="W252" i="100"/>
  <c r="W124" i="100"/>
  <c r="W411" i="100"/>
  <c r="W219" i="100"/>
  <c r="W410" i="100"/>
  <c r="W250" i="100"/>
  <c r="W118" i="100"/>
  <c r="M125" i="100"/>
  <c r="N125" i="100" s="1"/>
  <c r="M93" i="100"/>
  <c r="N93" i="100" s="1"/>
  <c r="M61" i="100"/>
  <c r="N61" i="100" s="1"/>
  <c r="M891" i="100"/>
  <c r="N891" i="100" s="1"/>
  <c r="M875" i="100"/>
  <c r="N875" i="100" s="1"/>
  <c r="M859" i="100"/>
  <c r="N859" i="100" s="1"/>
  <c r="M843" i="100"/>
  <c r="N843" i="100" s="1"/>
  <c r="M827" i="100"/>
  <c r="N827" i="100" s="1"/>
  <c r="M811" i="100"/>
  <c r="N811" i="100" s="1"/>
  <c r="M795" i="100"/>
  <c r="N795" i="100" s="1"/>
  <c r="M779" i="100"/>
  <c r="N779" i="100" s="1"/>
  <c r="M763" i="100"/>
  <c r="N763" i="100" s="1"/>
  <c r="M747" i="100"/>
  <c r="N747" i="100" s="1"/>
  <c r="M731" i="100"/>
  <c r="N731" i="100" s="1"/>
  <c r="M715" i="100"/>
  <c r="N715" i="100" s="1"/>
  <c r="M699" i="100"/>
  <c r="N699" i="100" s="1"/>
  <c r="M119" i="100"/>
  <c r="N119" i="100" s="1"/>
  <c r="M87" i="100"/>
  <c r="N87" i="100" s="1"/>
  <c r="M55" i="100"/>
  <c r="N55" i="100" s="1"/>
  <c r="M890" i="100"/>
  <c r="N890" i="100" s="1"/>
  <c r="M874" i="100"/>
  <c r="N874" i="100" s="1"/>
  <c r="M858" i="100"/>
  <c r="N858" i="100" s="1"/>
  <c r="M842" i="100"/>
  <c r="N842" i="100" s="1"/>
  <c r="M826" i="100"/>
  <c r="N826" i="100" s="1"/>
  <c r="M810" i="100"/>
  <c r="N810" i="100" s="1"/>
  <c r="M794" i="100"/>
  <c r="N794" i="100" s="1"/>
  <c r="M778" i="100"/>
  <c r="N778" i="100" s="1"/>
  <c r="M762" i="100"/>
  <c r="N762" i="100" s="1"/>
  <c r="M746" i="100"/>
  <c r="N746" i="100" s="1"/>
  <c r="M730" i="100"/>
  <c r="N730" i="100" s="1"/>
  <c r="M714" i="100"/>
  <c r="N714" i="100" s="1"/>
  <c r="M113" i="100"/>
  <c r="N113" i="100" s="1"/>
  <c r="M81" i="100"/>
  <c r="N81" i="100" s="1"/>
  <c r="M49" i="100"/>
  <c r="N49" i="100" s="1"/>
  <c r="M889" i="100"/>
  <c r="N889" i="100" s="1"/>
  <c r="M873" i="100"/>
  <c r="N873" i="100" s="1"/>
  <c r="M857" i="100"/>
  <c r="N857" i="100" s="1"/>
  <c r="M841" i="100"/>
  <c r="N841" i="100" s="1"/>
  <c r="M825" i="100"/>
  <c r="N825" i="100" s="1"/>
  <c r="M107" i="100"/>
  <c r="N107" i="100" s="1"/>
  <c r="M127" i="100"/>
  <c r="N127" i="100" s="1"/>
  <c r="M886" i="100"/>
  <c r="N886" i="100" s="1"/>
  <c r="M870" i="100"/>
  <c r="N870" i="100" s="1"/>
  <c r="M854" i="100"/>
  <c r="N854" i="100" s="1"/>
  <c r="M838" i="100"/>
  <c r="N838" i="100" s="1"/>
  <c r="M822" i="100"/>
  <c r="N822" i="100" s="1"/>
  <c r="M806" i="100"/>
  <c r="N806" i="100" s="1"/>
  <c r="M790" i="100"/>
  <c r="N790" i="100" s="1"/>
  <c r="M774" i="100"/>
  <c r="N774" i="100" s="1"/>
  <c r="M758" i="100"/>
  <c r="N758" i="100" s="1"/>
  <c r="M742" i="100"/>
  <c r="N742" i="100" s="1"/>
  <c r="M115" i="100"/>
  <c r="N115" i="100" s="1"/>
  <c r="M884" i="100"/>
  <c r="N884" i="100" s="1"/>
  <c r="M868" i="100"/>
  <c r="N868" i="100" s="1"/>
  <c r="M888" i="100"/>
  <c r="N888" i="100" s="1"/>
  <c r="M837" i="100"/>
  <c r="N837" i="100" s="1"/>
  <c r="M815" i="100"/>
  <c r="N815" i="100" s="1"/>
  <c r="M791" i="100"/>
  <c r="N791" i="100" s="1"/>
  <c r="M768" i="100"/>
  <c r="N768" i="100" s="1"/>
  <c r="M744" i="100"/>
  <c r="N744" i="100" s="1"/>
  <c r="M701" i="100"/>
  <c r="N701" i="100" s="1"/>
  <c r="M679" i="100"/>
  <c r="N679" i="100" s="1"/>
  <c r="M658" i="100"/>
  <c r="N658" i="100" s="1"/>
  <c r="M618" i="100"/>
  <c r="N618" i="100" s="1"/>
  <c r="M578" i="100"/>
  <c r="N578" i="100" s="1"/>
  <c r="M559" i="100"/>
  <c r="N559" i="100" s="1"/>
  <c r="M540" i="100"/>
  <c r="N540" i="100" s="1"/>
  <c r="M519" i="100"/>
  <c r="N519" i="100" s="1"/>
  <c r="M499" i="100"/>
  <c r="N499" i="100" s="1"/>
  <c r="M480" i="100"/>
  <c r="N480" i="100" s="1"/>
  <c r="M461" i="100"/>
  <c r="N461" i="100" s="1"/>
  <c r="M440" i="100"/>
  <c r="N440" i="100" s="1"/>
  <c r="M420" i="100"/>
  <c r="N420" i="100" s="1"/>
  <c r="M401" i="100"/>
  <c r="N401" i="100" s="1"/>
  <c r="M382" i="100"/>
  <c r="N382" i="100" s="1"/>
  <c r="M362" i="100"/>
  <c r="N362" i="100" s="1"/>
  <c r="M322" i="100"/>
  <c r="N322" i="100" s="1"/>
  <c r="M303" i="100"/>
  <c r="N303" i="100" s="1"/>
  <c r="M284" i="100"/>
  <c r="N284" i="100" s="1"/>
  <c r="M263" i="100"/>
  <c r="N263" i="100" s="1"/>
  <c r="M243" i="100"/>
  <c r="N243" i="100" s="1"/>
  <c r="M224" i="100"/>
  <c r="N224" i="100" s="1"/>
  <c r="M205" i="100"/>
  <c r="N205" i="100" s="1"/>
  <c r="M184" i="100"/>
  <c r="N184" i="100" s="1"/>
  <c r="M164" i="100"/>
  <c r="N164" i="100" s="1"/>
  <c r="M145" i="100"/>
  <c r="N145" i="100" s="1"/>
  <c r="M120" i="100"/>
  <c r="N120" i="100" s="1"/>
  <c r="M100" i="100"/>
  <c r="N100" i="100" s="1"/>
  <c r="M863" i="100"/>
  <c r="N863" i="100" s="1"/>
  <c r="M836" i="100"/>
  <c r="N836" i="100" s="1"/>
  <c r="M789" i="100"/>
  <c r="N789" i="100" s="1"/>
  <c r="M721" i="100"/>
  <c r="N721" i="100" s="1"/>
  <c r="M678" i="100"/>
  <c r="N678" i="100" s="1"/>
  <c r="M638" i="100"/>
  <c r="N638" i="100" s="1"/>
  <c r="M617" i="100"/>
  <c r="N617" i="100" s="1"/>
  <c r="M597" i="100"/>
  <c r="N597" i="100" s="1"/>
  <c r="M539" i="100"/>
  <c r="N539" i="100" s="1"/>
  <c r="M518" i="100"/>
  <c r="N518" i="100" s="1"/>
  <c r="M361" i="100"/>
  <c r="N361" i="100" s="1"/>
  <c r="M341" i="100"/>
  <c r="N341" i="100" s="1"/>
  <c r="M283" i="100"/>
  <c r="N283" i="100" s="1"/>
  <c r="M262" i="100"/>
  <c r="N262" i="100" s="1"/>
  <c r="M71" i="100"/>
  <c r="N71" i="100" s="1"/>
  <c r="M887" i="100"/>
  <c r="N887" i="100" s="1"/>
  <c r="M788" i="100"/>
  <c r="N788" i="100" s="1"/>
  <c r="M767" i="100"/>
  <c r="N767" i="100" s="1"/>
  <c r="M743" i="100"/>
  <c r="N743" i="100" s="1"/>
  <c r="M700" i="100"/>
  <c r="N700" i="100" s="1"/>
  <c r="M677" i="100"/>
  <c r="N677" i="100" s="1"/>
  <c r="M616" i="100"/>
  <c r="N616" i="100" s="1"/>
  <c r="M814" i="100"/>
  <c r="N814" i="100" s="1"/>
  <c r="M657" i="100"/>
  <c r="N657" i="100" s="1"/>
  <c r="M885" i="100"/>
  <c r="N885" i="100" s="1"/>
  <c r="M862" i="100"/>
  <c r="N862" i="100" s="1"/>
  <c r="M835" i="100"/>
  <c r="N835" i="100" s="1"/>
  <c r="M741" i="100"/>
  <c r="N741" i="100" s="1"/>
  <c r="M720" i="100"/>
  <c r="N720" i="100" s="1"/>
  <c r="M698" i="100"/>
  <c r="N698" i="100" s="1"/>
  <c r="M676" i="100"/>
  <c r="N676" i="100" s="1"/>
  <c r="M637" i="100"/>
  <c r="N637" i="100" s="1"/>
  <c r="M537" i="100"/>
  <c r="N537" i="100" s="1"/>
  <c r="M517" i="100"/>
  <c r="N517" i="100" s="1"/>
  <c r="M459" i="100"/>
  <c r="N459" i="100" s="1"/>
  <c r="M438" i="100"/>
  <c r="N438" i="100" s="1"/>
  <c r="M812" i="100"/>
  <c r="N812" i="100" s="1"/>
  <c r="M786" i="100"/>
  <c r="N786" i="100" s="1"/>
  <c r="M765" i="100"/>
  <c r="N765" i="100" s="1"/>
  <c r="M739" i="100"/>
  <c r="N739" i="100" s="1"/>
  <c r="M655" i="100"/>
  <c r="N655" i="100" s="1"/>
  <c r="M635" i="100"/>
  <c r="N635" i="100" s="1"/>
  <c r="M594" i="100"/>
  <c r="N594" i="100" s="1"/>
  <c r="M575" i="100"/>
  <c r="N575" i="100" s="1"/>
  <c r="M556" i="100"/>
  <c r="N556" i="100" s="1"/>
  <c r="M881" i="100"/>
  <c r="N881" i="100" s="1"/>
  <c r="M832" i="100"/>
  <c r="N832" i="100" s="1"/>
  <c r="M761" i="100"/>
  <c r="N761" i="100" s="1"/>
  <c r="M717" i="100"/>
  <c r="N717" i="100" s="1"/>
  <c r="M693" i="100"/>
  <c r="N693" i="100" s="1"/>
  <c r="M673" i="100"/>
  <c r="N673" i="100" s="1"/>
  <c r="M632" i="100"/>
  <c r="N632" i="100" s="1"/>
  <c r="M855" i="100"/>
  <c r="N855" i="100" s="1"/>
  <c r="M807" i="100"/>
  <c r="N807" i="100" s="1"/>
  <c r="M784" i="100"/>
  <c r="N784" i="100" s="1"/>
  <c r="M760" i="100"/>
  <c r="N760" i="100" s="1"/>
  <c r="M737" i="100"/>
  <c r="N737" i="100" s="1"/>
  <c r="M692" i="100"/>
  <c r="N692" i="100" s="1"/>
  <c r="M653" i="100"/>
  <c r="N653" i="100" s="1"/>
  <c r="M611" i="100"/>
  <c r="N611" i="100" s="1"/>
  <c r="M592" i="100"/>
  <c r="N592" i="100" s="1"/>
  <c r="M573" i="100"/>
  <c r="N573" i="100" s="1"/>
  <c r="M552" i="100"/>
  <c r="N552" i="100" s="1"/>
  <c r="M532" i="100"/>
  <c r="N532" i="100" s="1"/>
  <c r="M513" i="100"/>
  <c r="N513" i="100" s="1"/>
  <c r="M494" i="100"/>
  <c r="N494" i="100" s="1"/>
  <c r="M474" i="100"/>
  <c r="N474" i="100" s="1"/>
  <c r="M434" i="100"/>
  <c r="N434" i="100" s="1"/>
  <c r="M415" i="100"/>
  <c r="N415" i="100" s="1"/>
  <c r="M396" i="100"/>
  <c r="N396" i="100" s="1"/>
  <c r="M375" i="100"/>
  <c r="N375" i="100" s="1"/>
  <c r="M355" i="100"/>
  <c r="N355" i="100" s="1"/>
  <c r="M336" i="100"/>
  <c r="N336" i="100" s="1"/>
  <c r="M317" i="100"/>
  <c r="N317" i="100" s="1"/>
  <c r="M296" i="100"/>
  <c r="N296" i="100" s="1"/>
  <c r="M276" i="100"/>
  <c r="N276" i="100" s="1"/>
  <c r="M257" i="100"/>
  <c r="N257" i="100" s="1"/>
  <c r="M238" i="100"/>
  <c r="N238" i="100" s="1"/>
  <c r="M218" i="100"/>
  <c r="N218" i="100" s="1"/>
  <c r="M879" i="100"/>
  <c r="N879" i="100" s="1"/>
  <c r="M851" i="100"/>
  <c r="N851" i="100" s="1"/>
  <c r="M803" i="100"/>
  <c r="N803" i="100" s="1"/>
  <c r="M782" i="100"/>
  <c r="N782" i="100" s="1"/>
  <c r="M756" i="100"/>
  <c r="N756" i="100" s="1"/>
  <c r="M735" i="100"/>
  <c r="N735" i="100" s="1"/>
  <c r="M690" i="100"/>
  <c r="N690" i="100" s="1"/>
  <c r="M650" i="100"/>
  <c r="N650" i="100" s="1"/>
  <c r="M628" i="100"/>
  <c r="N628" i="100" s="1"/>
  <c r="M849" i="100"/>
  <c r="N849" i="100" s="1"/>
  <c r="M824" i="100"/>
  <c r="N824" i="100" s="1"/>
  <c r="M801" i="100"/>
  <c r="N801" i="100" s="1"/>
  <c r="M780" i="100"/>
  <c r="N780" i="100" s="1"/>
  <c r="M754" i="100"/>
  <c r="N754" i="100" s="1"/>
  <c r="M733" i="100"/>
  <c r="N733" i="100" s="1"/>
  <c r="M708" i="100"/>
  <c r="N708" i="100" s="1"/>
  <c r="M688" i="100"/>
  <c r="N688" i="100" s="1"/>
  <c r="M821" i="100"/>
  <c r="N821" i="100" s="1"/>
  <c r="M847" i="100"/>
  <c r="N847" i="100" s="1"/>
  <c r="M813" i="100"/>
  <c r="N813" i="100" s="1"/>
  <c r="M716" i="100"/>
  <c r="N716" i="100" s="1"/>
  <c r="M686" i="100"/>
  <c r="N686" i="100" s="1"/>
  <c r="M659" i="100"/>
  <c r="N659" i="100" s="1"/>
  <c r="M629" i="100"/>
  <c r="N629" i="100" s="1"/>
  <c r="M606" i="100"/>
  <c r="N606" i="100" s="1"/>
  <c r="M582" i="100"/>
  <c r="N582" i="100" s="1"/>
  <c r="M560" i="100"/>
  <c r="N560" i="100" s="1"/>
  <c r="M535" i="100"/>
  <c r="N535" i="100" s="1"/>
  <c r="M491" i="100"/>
  <c r="N491" i="100" s="1"/>
  <c r="M378" i="100"/>
  <c r="N378" i="100" s="1"/>
  <c r="M310" i="100"/>
  <c r="N310" i="100" s="1"/>
  <c r="M289" i="100"/>
  <c r="N289" i="100" s="1"/>
  <c r="M202" i="100"/>
  <c r="N202" i="100" s="1"/>
  <c r="M180" i="100"/>
  <c r="N180" i="100" s="1"/>
  <c r="M160" i="100"/>
  <c r="N160" i="100" s="1"/>
  <c r="M140" i="100"/>
  <c r="N140" i="100" s="1"/>
  <c r="M42" i="100"/>
  <c r="N42" i="100" s="1"/>
  <c r="M69" i="100"/>
  <c r="N69" i="100" s="1"/>
  <c r="M748" i="100"/>
  <c r="N748" i="100" s="1"/>
  <c r="M580" i="100"/>
  <c r="N580" i="100" s="1"/>
  <c r="M466" i="100"/>
  <c r="N466" i="100" s="1"/>
  <c r="M353" i="100"/>
  <c r="N353" i="100" s="1"/>
  <c r="M266" i="100"/>
  <c r="N266" i="100" s="1"/>
  <c r="M883" i="100"/>
  <c r="N883" i="100" s="1"/>
  <c r="M777" i="100"/>
  <c r="N777" i="100" s="1"/>
  <c r="M749" i="100"/>
  <c r="N749" i="100" s="1"/>
  <c r="M713" i="100"/>
  <c r="N713" i="100" s="1"/>
  <c r="M534" i="100"/>
  <c r="N534" i="100" s="1"/>
  <c r="M512" i="100"/>
  <c r="N512" i="100" s="1"/>
  <c r="M490" i="100"/>
  <c r="N490" i="100" s="1"/>
  <c r="M467" i="100"/>
  <c r="N467" i="100" s="1"/>
  <c r="M446" i="100"/>
  <c r="N446" i="100" s="1"/>
  <c r="M423" i="100"/>
  <c r="N423" i="100" s="1"/>
  <c r="M400" i="100"/>
  <c r="N400" i="100" s="1"/>
  <c r="M377" i="100"/>
  <c r="N377" i="100" s="1"/>
  <c r="M354" i="100"/>
  <c r="N354" i="100" s="1"/>
  <c r="M333" i="100"/>
  <c r="N333" i="100" s="1"/>
  <c r="M268" i="100"/>
  <c r="N268" i="100" s="1"/>
  <c r="M245" i="100"/>
  <c r="N245" i="100" s="1"/>
  <c r="M223" i="100"/>
  <c r="N223" i="100" s="1"/>
  <c r="M201" i="100"/>
  <c r="N201" i="100" s="1"/>
  <c r="M139" i="100"/>
  <c r="N139" i="100" s="1"/>
  <c r="M59" i="100"/>
  <c r="N59" i="100" s="1"/>
  <c r="M711" i="100"/>
  <c r="N711" i="100" s="1"/>
  <c r="M557" i="100"/>
  <c r="N557" i="100" s="1"/>
  <c r="M488" i="100"/>
  <c r="N488" i="100" s="1"/>
  <c r="M332" i="100"/>
  <c r="N332" i="100" s="1"/>
  <c r="M222" i="100"/>
  <c r="N222" i="100" s="1"/>
  <c r="M882" i="100"/>
  <c r="N882" i="100" s="1"/>
  <c r="M846" i="100"/>
  <c r="N846" i="100" s="1"/>
  <c r="M809" i="100"/>
  <c r="N809" i="100" s="1"/>
  <c r="M776" i="100"/>
  <c r="N776" i="100" s="1"/>
  <c r="M712" i="100"/>
  <c r="N712" i="100" s="1"/>
  <c r="M685" i="100"/>
  <c r="N685" i="100" s="1"/>
  <c r="M656" i="100"/>
  <c r="N656" i="100" s="1"/>
  <c r="M627" i="100"/>
  <c r="N627" i="100" s="1"/>
  <c r="M605" i="100"/>
  <c r="N605" i="100" s="1"/>
  <c r="M581" i="100"/>
  <c r="N581" i="100" s="1"/>
  <c r="M558" i="100"/>
  <c r="N558" i="100" s="1"/>
  <c r="M489" i="100"/>
  <c r="N489" i="100" s="1"/>
  <c r="M422" i="100"/>
  <c r="N422" i="100" s="1"/>
  <c r="M399" i="100"/>
  <c r="N399" i="100" s="1"/>
  <c r="M376" i="100"/>
  <c r="N376" i="100" s="1"/>
  <c r="M309" i="100"/>
  <c r="N309" i="100" s="1"/>
  <c r="M288" i="100"/>
  <c r="N288" i="100" s="1"/>
  <c r="M267" i="100"/>
  <c r="N267" i="100" s="1"/>
  <c r="M244" i="100"/>
  <c r="N244" i="100" s="1"/>
  <c r="M200" i="100"/>
  <c r="N200" i="100" s="1"/>
  <c r="M179" i="100"/>
  <c r="N179" i="100" s="1"/>
  <c r="M159" i="100"/>
  <c r="N159" i="100" s="1"/>
  <c r="M138" i="100"/>
  <c r="N138" i="100" s="1"/>
  <c r="M114" i="100"/>
  <c r="N114" i="100" s="1"/>
  <c r="M76" i="100"/>
  <c r="N76" i="100" s="1"/>
  <c r="M52" i="100"/>
  <c r="N52" i="100" s="1"/>
  <c r="M808" i="100"/>
  <c r="N808" i="100" s="1"/>
  <c r="M533" i="100"/>
  <c r="N533" i="100" s="1"/>
  <c r="M511" i="100"/>
  <c r="N511" i="100" s="1"/>
  <c r="M445" i="100"/>
  <c r="N445" i="100" s="1"/>
  <c r="M308" i="100"/>
  <c r="N308" i="100" s="1"/>
  <c r="M804" i="100"/>
  <c r="N804" i="100" s="1"/>
  <c r="M773" i="100"/>
  <c r="N773" i="100" s="1"/>
  <c r="M740" i="100"/>
  <c r="N740" i="100" s="1"/>
  <c r="M709" i="100"/>
  <c r="N709" i="100" s="1"/>
  <c r="M683" i="100"/>
  <c r="N683" i="100" s="1"/>
  <c r="M654" i="100"/>
  <c r="N654" i="100" s="1"/>
  <c r="M603" i="100"/>
  <c r="N603" i="100" s="1"/>
  <c r="M579" i="100"/>
  <c r="N579" i="100" s="1"/>
  <c r="M555" i="100"/>
  <c r="N555" i="100" s="1"/>
  <c r="M531" i="100"/>
  <c r="N531" i="100" s="1"/>
  <c r="M510" i="100"/>
  <c r="N510" i="100" s="1"/>
  <c r="M487" i="100"/>
  <c r="N487" i="100" s="1"/>
  <c r="M465" i="100"/>
  <c r="N465" i="100" s="1"/>
  <c r="M444" i="100"/>
  <c r="N444" i="100" s="1"/>
  <c r="M419" i="100"/>
  <c r="N419" i="100" s="1"/>
  <c r="M352" i="100"/>
  <c r="N352" i="100" s="1"/>
  <c r="M330" i="100"/>
  <c r="N330" i="100" s="1"/>
  <c r="M307" i="100"/>
  <c r="N307" i="100" s="1"/>
  <c r="M264" i="100"/>
  <c r="N264" i="100" s="1"/>
  <c r="M221" i="100"/>
  <c r="N221" i="100" s="1"/>
  <c r="M198" i="100"/>
  <c r="N198" i="100" s="1"/>
  <c r="M110" i="100"/>
  <c r="N110" i="100" s="1"/>
  <c r="M62" i="100"/>
  <c r="N62" i="100" s="1"/>
  <c r="M840" i="100"/>
  <c r="N840" i="100" s="1"/>
  <c r="M707" i="100"/>
  <c r="N707" i="100" s="1"/>
  <c r="M681" i="100"/>
  <c r="N681" i="100" s="1"/>
  <c r="M652" i="100"/>
  <c r="N652" i="100" s="1"/>
  <c r="M601" i="100"/>
  <c r="N601" i="100" s="1"/>
  <c r="M577" i="100"/>
  <c r="N577" i="100" s="1"/>
  <c r="M553" i="100"/>
  <c r="N553" i="100" s="1"/>
  <c r="M530" i="100"/>
  <c r="N530" i="100" s="1"/>
  <c r="M509" i="100"/>
  <c r="N509" i="100" s="1"/>
  <c r="M464" i="100"/>
  <c r="N464" i="100" s="1"/>
  <c r="M442" i="100"/>
  <c r="N442" i="100" s="1"/>
  <c r="M877" i="100"/>
  <c r="N877" i="100" s="1"/>
  <c r="M802" i="100"/>
  <c r="N802" i="100" s="1"/>
  <c r="M771" i="100"/>
  <c r="N771" i="100" s="1"/>
  <c r="M738" i="100"/>
  <c r="N738" i="100" s="1"/>
  <c r="M680" i="100"/>
  <c r="N680" i="100" s="1"/>
  <c r="M651" i="100"/>
  <c r="N651" i="100" s="1"/>
  <c r="M624" i="100"/>
  <c r="N624" i="100" s="1"/>
  <c r="M600" i="100"/>
  <c r="N600" i="100" s="1"/>
  <c r="M576" i="100"/>
  <c r="N576" i="100" s="1"/>
  <c r="M485" i="100"/>
  <c r="N485" i="100" s="1"/>
  <c r="M441" i="100"/>
  <c r="N441" i="100" s="1"/>
  <c r="M871" i="100"/>
  <c r="N871" i="100" s="1"/>
  <c r="M834" i="100"/>
  <c r="N834" i="100" s="1"/>
  <c r="M800" i="100"/>
  <c r="N800" i="100" s="1"/>
  <c r="M705" i="100"/>
  <c r="N705" i="100" s="1"/>
  <c r="M675" i="100"/>
  <c r="N675" i="100" s="1"/>
  <c r="M598" i="100"/>
  <c r="N598" i="100" s="1"/>
  <c r="M574" i="100"/>
  <c r="N574" i="100" s="1"/>
  <c r="M528" i="100"/>
  <c r="N528" i="100" s="1"/>
  <c r="M869" i="100"/>
  <c r="N869" i="100" s="1"/>
  <c r="M833" i="100"/>
  <c r="N833" i="100" s="1"/>
  <c r="M769" i="100"/>
  <c r="N769" i="100" s="1"/>
  <c r="M674" i="100"/>
  <c r="N674" i="100" s="1"/>
  <c r="M647" i="100"/>
  <c r="N647" i="100" s="1"/>
  <c r="M622" i="100"/>
  <c r="N622" i="100" s="1"/>
  <c r="M596" i="100"/>
  <c r="N596" i="100" s="1"/>
  <c r="M549" i="100"/>
  <c r="N549" i="100" s="1"/>
  <c r="M505" i="100"/>
  <c r="N505" i="100" s="1"/>
  <c r="M436" i="100"/>
  <c r="N436" i="100" s="1"/>
  <c r="M325" i="100"/>
  <c r="N325" i="100" s="1"/>
  <c r="M280" i="100"/>
  <c r="N280" i="100" s="1"/>
  <c r="M215" i="100"/>
  <c r="N215" i="100" s="1"/>
  <c r="M194" i="100"/>
  <c r="N194" i="100" s="1"/>
  <c r="M174" i="100"/>
  <c r="N174" i="100" s="1"/>
  <c r="M152" i="100"/>
  <c r="N152" i="100" s="1"/>
  <c r="M867" i="100"/>
  <c r="N867" i="100" s="1"/>
  <c r="M831" i="100"/>
  <c r="N831" i="100" s="1"/>
  <c r="M766" i="100"/>
  <c r="N766" i="100" s="1"/>
  <c r="M672" i="100"/>
  <c r="N672" i="100" s="1"/>
  <c r="M645" i="100"/>
  <c r="N645" i="100" s="1"/>
  <c r="M621" i="100"/>
  <c r="N621" i="100" s="1"/>
  <c r="M572" i="100"/>
  <c r="N572" i="100" s="1"/>
  <c r="M458" i="100"/>
  <c r="N458" i="100" s="1"/>
  <c r="M435" i="100"/>
  <c r="N435" i="100" s="1"/>
  <c r="M390" i="100"/>
  <c r="N390" i="100" s="1"/>
  <c r="M347" i="100"/>
  <c r="N347" i="100" s="1"/>
  <c r="M279" i="100"/>
  <c r="N279" i="100" s="1"/>
  <c r="M193" i="100"/>
  <c r="N193" i="100" s="1"/>
  <c r="M173" i="100"/>
  <c r="N173" i="100" s="1"/>
  <c r="M151" i="100"/>
  <c r="N151" i="100" s="1"/>
  <c r="M85" i="100"/>
  <c r="N85" i="100" s="1"/>
  <c r="M829" i="100"/>
  <c r="N829" i="100" s="1"/>
  <c r="M797" i="100"/>
  <c r="N797" i="100" s="1"/>
  <c r="M764" i="100"/>
  <c r="N764" i="100" s="1"/>
  <c r="M729" i="100"/>
  <c r="N729" i="100" s="1"/>
  <c r="M702" i="100"/>
  <c r="N702" i="100" s="1"/>
  <c r="M670" i="100"/>
  <c r="N670" i="100" s="1"/>
  <c r="M643" i="100"/>
  <c r="N643" i="100" s="1"/>
  <c r="M880" i="100"/>
  <c r="N880" i="100" s="1"/>
  <c r="M639" i="100"/>
  <c r="N639" i="100" s="1"/>
  <c r="M599" i="100"/>
  <c r="N599" i="100" s="1"/>
  <c r="M565" i="100"/>
  <c r="N565" i="100" s="1"/>
  <c r="M381" i="100"/>
  <c r="N381" i="100" s="1"/>
  <c r="M350" i="100"/>
  <c r="N350" i="100" s="1"/>
  <c r="M320" i="100"/>
  <c r="N320" i="100" s="1"/>
  <c r="M293" i="100"/>
  <c r="N293" i="100" s="1"/>
  <c r="M265" i="100"/>
  <c r="N265" i="100" s="1"/>
  <c r="M237" i="100"/>
  <c r="N237" i="100" s="1"/>
  <c r="M183" i="100"/>
  <c r="N183" i="100" s="1"/>
  <c r="M121" i="100"/>
  <c r="N121" i="100" s="1"/>
  <c r="M50" i="100"/>
  <c r="N50" i="100" s="1"/>
  <c r="M46" i="100"/>
  <c r="N46" i="100" s="1"/>
  <c r="M38" i="100"/>
  <c r="N38" i="100" s="1"/>
  <c r="M878" i="100"/>
  <c r="N878" i="100" s="1"/>
  <c r="M819" i="100"/>
  <c r="N819" i="100" s="1"/>
  <c r="M770" i="100"/>
  <c r="N770" i="100" s="1"/>
  <c r="M723" i="100"/>
  <c r="N723" i="100" s="1"/>
  <c r="M595" i="100"/>
  <c r="N595" i="100" s="1"/>
  <c r="M564" i="100"/>
  <c r="N564" i="100" s="1"/>
  <c r="M529" i="100"/>
  <c r="N529" i="100" s="1"/>
  <c r="M498" i="100"/>
  <c r="N498" i="100" s="1"/>
  <c r="M469" i="100"/>
  <c r="N469" i="100" s="1"/>
  <c r="M407" i="100"/>
  <c r="N407" i="100" s="1"/>
  <c r="M380" i="100"/>
  <c r="N380" i="100" s="1"/>
  <c r="M292" i="100"/>
  <c r="N292" i="100" s="1"/>
  <c r="M236" i="100"/>
  <c r="N236" i="100" s="1"/>
  <c r="M209" i="100"/>
  <c r="N209" i="100" s="1"/>
  <c r="M182" i="100"/>
  <c r="N182" i="100" s="1"/>
  <c r="M156" i="100"/>
  <c r="N156" i="100" s="1"/>
  <c r="M130" i="100"/>
  <c r="N130" i="100" s="1"/>
  <c r="M78" i="100"/>
  <c r="N78" i="100" s="1"/>
  <c r="M74" i="100"/>
  <c r="N74" i="100" s="1"/>
  <c r="M527" i="100"/>
  <c r="N527" i="100" s="1"/>
  <c r="M260" i="100"/>
  <c r="N260" i="100" s="1"/>
  <c r="M233" i="100"/>
  <c r="N233" i="100" s="1"/>
  <c r="M153" i="100"/>
  <c r="N153" i="100" s="1"/>
  <c r="M372" i="100"/>
  <c r="N372" i="100" s="1"/>
  <c r="M232" i="100"/>
  <c r="N232" i="100" s="1"/>
  <c r="M561" i="100"/>
  <c r="N561" i="100" s="1"/>
  <c r="M258" i="100"/>
  <c r="N258" i="100" s="1"/>
  <c r="M876" i="100"/>
  <c r="N876" i="100" s="1"/>
  <c r="M636" i="100"/>
  <c r="N636" i="100" s="1"/>
  <c r="M497" i="100"/>
  <c r="N497" i="100" s="1"/>
  <c r="M468" i="100"/>
  <c r="N468" i="100" s="1"/>
  <c r="M433" i="100"/>
  <c r="N433" i="100" s="1"/>
  <c r="M406" i="100"/>
  <c r="N406" i="100" s="1"/>
  <c r="M379" i="100"/>
  <c r="N379" i="100" s="1"/>
  <c r="M349" i="100"/>
  <c r="N349" i="100" s="1"/>
  <c r="M319" i="100"/>
  <c r="N319" i="100" s="1"/>
  <c r="M235" i="100"/>
  <c r="N235" i="100" s="1"/>
  <c r="M155" i="100"/>
  <c r="N155" i="100" s="1"/>
  <c r="M116" i="100"/>
  <c r="N116" i="100" s="1"/>
  <c r="M103" i="100"/>
  <c r="N103" i="100" s="1"/>
  <c r="M99" i="100"/>
  <c r="N99" i="100" s="1"/>
  <c r="M66" i="100"/>
  <c r="N66" i="100" s="1"/>
  <c r="M348" i="100"/>
  <c r="N348" i="100" s="1"/>
  <c r="M291" i="100"/>
  <c r="N291" i="100" s="1"/>
  <c r="M234" i="100"/>
  <c r="N234" i="100" s="1"/>
  <c r="M208" i="100"/>
  <c r="N208" i="100" s="1"/>
  <c r="M154" i="100"/>
  <c r="N154" i="100" s="1"/>
  <c r="M82" i="100"/>
  <c r="N82" i="100" s="1"/>
  <c r="M70" i="100"/>
  <c r="N70" i="100" s="1"/>
  <c r="M526" i="100"/>
  <c r="N526" i="100" s="1"/>
  <c r="M496" i="100"/>
  <c r="N496" i="100" s="1"/>
  <c r="M432" i="100"/>
  <c r="N432" i="100" s="1"/>
  <c r="M405" i="100"/>
  <c r="N405" i="100" s="1"/>
  <c r="M373" i="100"/>
  <c r="N373" i="100" s="1"/>
  <c r="M318" i="100"/>
  <c r="N318" i="100" s="1"/>
  <c r="M463" i="100"/>
  <c r="N463" i="100" s="1"/>
  <c r="M290" i="100"/>
  <c r="N290" i="100" s="1"/>
  <c r="M207" i="100"/>
  <c r="N207" i="100" s="1"/>
  <c r="M316" i="100"/>
  <c r="N316" i="100" s="1"/>
  <c r="M206" i="100"/>
  <c r="N206" i="100" s="1"/>
  <c r="M872" i="100"/>
  <c r="N872" i="100" s="1"/>
  <c r="M818" i="100"/>
  <c r="N818" i="100" s="1"/>
  <c r="M722" i="100"/>
  <c r="N722" i="100" s="1"/>
  <c r="M671" i="100"/>
  <c r="N671" i="100" s="1"/>
  <c r="M634" i="100"/>
  <c r="N634" i="100" s="1"/>
  <c r="M593" i="100"/>
  <c r="N593" i="100" s="1"/>
  <c r="M563" i="100"/>
  <c r="N563" i="100" s="1"/>
  <c r="M374" i="100"/>
  <c r="N374" i="100" s="1"/>
  <c r="M261" i="100"/>
  <c r="N261" i="100" s="1"/>
  <c r="M181" i="100"/>
  <c r="N181" i="100" s="1"/>
  <c r="M86" i="100"/>
  <c r="N86" i="100" s="1"/>
  <c r="M346" i="100"/>
  <c r="N346" i="100" s="1"/>
  <c r="M178" i="100"/>
  <c r="N178" i="100" s="1"/>
  <c r="M345" i="100"/>
  <c r="N345" i="100" s="1"/>
  <c r="M633" i="100"/>
  <c r="N633" i="100" s="1"/>
  <c r="M817" i="100"/>
  <c r="N817" i="100" s="1"/>
  <c r="M719" i="100"/>
  <c r="N719" i="100" s="1"/>
  <c r="M669" i="100"/>
  <c r="N669" i="100" s="1"/>
  <c r="M631" i="100"/>
  <c r="N631" i="100" s="1"/>
  <c r="M562" i="100"/>
  <c r="N562" i="100" s="1"/>
  <c r="M404" i="100"/>
  <c r="N404" i="100" s="1"/>
  <c r="M177" i="100"/>
  <c r="N177" i="100" s="1"/>
  <c r="M866" i="100"/>
  <c r="N866" i="100" s="1"/>
  <c r="M759" i="100"/>
  <c r="N759" i="100" s="1"/>
  <c r="M718" i="100"/>
  <c r="N718" i="100" s="1"/>
  <c r="M630" i="100"/>
  <c r="N630" i="100" s="1"/>
  <c r="M591" i="100"/>
  <c r="N591" i="100" s="1"/>
  <c r="M525" i="100"/>
  <c r="N525" i="100" s="1"/>
  <c r="M495" i="100"/>
  <c r="N495" i="100" s="1"/>
  <c r="M431" i="100"/>
  <c r="N431" i="100" s="1"/>
  <c r="M344" i="100"/>
  <c r="N344" i="100" s="1"/>
  <c r="M259" i="100"/>
  <c r="N259" i="100" s="1"/>
  <c r="M150" i="100"/>
  <c r="N150" i="100" s="1"/>
  <c r="M45" i="100"/>
  <c r="N45" i="100" s="1"/>
  <c r="M757" i="100"/>
  <c r="N757" i="100" s="1"/>
  <c r="M462" i="100"/>
  <c r="N462" i="100" s="1"/>
  <c r="M865" i="100"/>
  <c r="N865" i="100" s="1"/>
  <c r="M816" i="100"/>
  <c r="N816" i="100" s="1"/>
  <c r="M668" i="100"/>
  <c r="N668" i="100" s="1"/>
  <c r="M626" i="100"/>
  <c r="N626" i="100" s="1"/>
  <c r="M403" i="100"/>
  <c r="N403" i="100" s="1"/>
  <c r="M287" i="100"/>
  <c r="N287" i="100" s="1"/>
  <c r="M710" i="100"/>
  <c r="N710" i="100" s="1"/>
  <c r="M667" i="100"/>
  <c r="N667" i="100" s="1"/>
  <c r="M625" i="100"/>
  <c r="N625" i="100" s="1"/>
  <c r="M590" i="100"/>
  <c r="N590" i="100" s="1"/>
  <c r="M524" i="100"/>
  <c r="N524" i="100" s="1"/>
  <c r="M864" i="100"/>
  <c r="N864" i="100" s="1"/>
  <c r="M805" i="100"/>
  <c r="N805" i="100" s="1"/>
  <c r="M755" i="100"/>
  <c r="N755" i="100" s="1"/>
  <c r="M666" i="100"/>
  <c r="N666" i="100" s="1"/>
  <c r="M523" i="100"/>
  <c r="N523" i="100" s="1"/>
  <c r="M706" i="100"/>
  <c r="N706" i="100" s="1"/>
  <c r="M665" i="100"/>
  <c r="N665" i="100" s="1"/>
  <c r="M623" i="100"/>
  <c r="N623" i="100" s="1"/>
  <c r="M589" i="100"/>
  <c r="N589" i="100" s="1"/>
  <c r="M554" i="100"/>
  <c r="N554" i="100" s="1"/>
  <c r="M522" i="100"/>
  <c r="N522" i="100" s="1"/>
  <c r="M456" i="100"/>
  <c r="N456" i="100" s="1"/>
  <c r="M429" i="100"/>
  <c r="N429" i="100" s="1"/>
  <c r="M398" i="100"/>
  <c r="N398" i="100" s="1"/>
  <c r="M369" i="100"/>
  <c r="N369" i="100" s="1"/>
  <c r="M340" i="100"/>
  <c r="N340" i="100" s="1"/>
  <c r="M313" i="100"/>
  <c r="N313" i="100" s="1"/>
  <c r="M285" i="100"/>
  <c r="N285" i="100" s="1"/>
  <c r="M229" i="100"/>
  <c r="N229" i="100" s="1"/>
  <c r="M203" i="100"/>
  <c r="N203" i="100" s="1"/>
  <c r="M129" i="100"/>
  <c r="N129" i="100" s="1"/>
  <c r="M111" i="100"/>
  <c r="N111" i="100" s="1"/>
  <c r="M102" i="100"/>
  <c r="N102" i="100" s="1"/>
  <c r="M861" i="100"/>
  <c r="N861" i="100" s="1"/>
  <c r="M664" i="100"/>
  <c r="N664" i="100" s="1"/>
  <c r="M551" i="100"/>
  <c r="N551" i="100" s="1"/>
  <c r="M521" i="100"/>
  <c r="N521" i="100" s="1"/>
  <c r="M492" i="100"/>
  <c r="N492" i="100" s="1"/>
  <c r="M397" i="100"/>
  <c r="N397" i="100" s="1"/>
  <c r="M853" i="100"/>
  <c r="N853" i="100" s="1"/>
  <c r="M798" i="100"/>
  <c r="N798" i="100" s="1"/>
  <c r="M752" i="100"/>
  <c r="N752" i="100" s="1"/>
  <c r="M662" i="100"/>
  <c r="N662" i="100" s="1"/>
  <c r="M619" i="100"/>
  <c r="N619" i="100" s="1"/>
  <c r="M586" i="100"/>
  <c r="N586" i="100" s="1"/>
  <c r="M547" i="100"/>
  <c r="N547" i="100" s="1"/>
  <c r="M484" i="100"/>
  <c r="N484" i="100" s="1"/>
  <c r="M453" i="100"/>
  <c r="N453" i="100" s="1"/>
  <c r="M426" i="100"/>
  <c r="N426" i="100" s="1"/>
  <c r="M394" i="100"/>
  <c r="N394" i="100" s="1"/>
  <c r="M196" i="100"/>
  <c r="N196" i="100" s="1"/>
  <c r="M171" i="100"/>
  <c r="N171" i="100" s="1"/>
  <c r="M133" i="100"/>
  <c r="N133" i="100" s="1"/>
  <c r="M852" i="100"/>
  <c r="N852" i="100" s="1"/>
  <c r="M661" i="100"/>
  <c r="N661" i="100" s="1"/>
  <c r="M615" i="100"/>
  <c r="N615" i="100" s="1"/>
  <c r="M585" i="100"/>
  <c r="N585" i="100" s="1"/>
  <c r="M516" i="100"/>
  <c r="N516" i="100" s="1"/>
  <c r="M452" i="100"/>
  <c r="N452" i="100" s="1"/>
  <c r="M425" i="100"/>
  <c r="N425" i="100" s="1"/>
  <c r="M393" i="100"/>
  <c r="N393" i="100" s="1"/>
  <c r="M366" i="100"/>
  <c r="N366" i="100" s="1"/>
  <c r="M337" i="100"/>
  <c r="N337" i="100" s="1"/>
  <c r="M278" i="100"/>
  <c r="N278" i="100" s="1"/>
  <c r="M253" i="100"/>
  <c r="N253" i="100" s="1"/>
  <c r="M226" i="100"/>
  <c r="N226" i="100" s="1"/>
  <c r="M170" i="100"/>
  <c r="N170" i="100" s="1"/>
  <c r="M850" i="100"/>
  <c r="N850" i="100" s="1"/>
  <c r="M796" i="100"/>
  <c r="N796" i="100" s="1"/>
  <c r="M696" i="100"/>
  <c r="N696" i="100" s="1"/>
  <c r="M613" i="100"/>
  <c r="N613" i="100" s="1"/>
  <c r="M515" i="100"/>
  <c r="N515" i="100" s="1"/>
  <c r="M482" i="100"/>
  <c r="N482" i="100" s="1"/>
  <c r="M451" i="100"/>
  <c r="N451" i="100" s="1"/>
  <c r="M421" i="100"/>
  <c r="N421" i="100" s="1"/>
  <c r="M391" i="100"/>
  <c r="N391" i="100" s="1"/>
  <c r="M365" i="100"/>
  <c r="N365" i="100" s="1"/>
  <c r="M277" i="100"/>
  <c r="N277" i="100" s="1"/>
  <c r="M252" i="100"/>
  <c r="N252" i="100" s="1"/>
  <c r="M225" i="100"/>
  <c r="N225" i="100" s="1"/>
  <c r="M168" i="100"/>
  <c r="N168" i="100" s="1"/>
  <c r="M143" i="100"/>
  <c r="N143" i="100" s="1"/>
  <c r="M128" i="100"/>
  <c r="N128" i="100" s="1"/>
  <c r="M123" i="100"/>
  <c r="N123" i="100" s="1"/>
  <c r="M68" i="100"/>
  <c r="N68" i="100" s="1"/>
  <c r="M64" i="100"/>
  <c r="N64" i="100" s="1"/>
  <c r="M793" i="100"/>
  <c r="N793" i="100" s="1"/>
  <c r="M750" i="100"/>
  <c r="N750" i="100" s="1"/>
  <c r="M695" i="100"/>
  <c r="N695" i="100" s="1"/>
  <c r="M612" i="100"/>
  <c r="N612" i="100" s="1"/>
  <c r="M583" i="100"/>
  <c r="N583" i="100" s="1"/>
  <c r="M848" i="100"/>
  <c r="N848" i="100" s="1"/>
  <c r="M792" i="100"/>
  <c r="N792" i="100" s="1"/>
  <c r="M745" i="100"/>
  <c r="N745" i="100" s="1"/>
  <c r="M694" i="100"/>
  <c r="N694" i="100" s="1"/>
  <c r="M514" i="100"/>
  <c r="N514" i="100" s="1"/>
  <c r="M450" i="100"/>
  <c r="N450" i="100" s="1"/>
  <c r="M389" i="100"/>
  <c r="N389" i="100" s="1"/>
  <c r="M364" i="100"/>
  <c r="N364" i="100" s="1"/>
  <c r="M275" i="100"/>
  <c r="N275" i="100" s="1"/>
  <c r="M250" i="100"/>
  <c r="N250" i="100" s="1"/>
  <c r="M167" i="100"/>
  <c r="N167" i="100" s="1"/>
  <c r="M142" i="100"/>
  <c r="N142" i="100" s="1"/>
  <c r="M132" i="100"/>
  <c r="N132" i="100" s="1"/>
  <c r="M97" i="100"/>
  <c r="N97" i="100" s="1"/>
  <c r="M80" i="100"/>
  <c r="N80" i="100" s="1"/>
  <c r="M844" i="100"/>
  <c r="N844" i="100" s="1"/>
  <c r="M691" i="100"/>
  <c r="N691" i="100" s="1"/>
  <c r="M610" i="100"/>
  <c r="N610" i="100" s="1"/>
  <c r="M449" i="100"/>
  <c r="N449" i="100" s="1"/>
  <c r="M331" i="100"/>
  <c r="N331" i="100" s="1"/>
  <c r="M248" i="100"/>
  <c r="N248" i="100" s="1"/>
  <c r="M88" i="100"/>
  <c r="N88" i="100" s="1"/>
  <c r="M845" i="100"/>
  <c r="N845" i="100" s="1"/>
  <c r="M649" i="100"/>
  <c r="N649" i="100" s="1"/>
  <c r="M544" i="100"/>
  <c r="N544" i="100" s="1"/>
  <c r="M479" i="100"/>
  <c r="N479" i="100" s="1"/>
  <c r="M417" i="100"/>
  <c r="N417" i="100" s="1"/>
  <c r="M388" i="100"/>
  <c r="N388" i="100" s="1"/>
  <c r="M363" i="100"/>
  <c r="N363" i="100" s="1"/>
  <c r="M334" i="100"/>
  <c r="N334" i="100" s="1"/>
  <c r="M304" i="100"/>
  <c r="N304" i="100" s="1"/>
  <c r="M249" i="100"/>
  <c r="N249" i="100" s="1"/>
  <c r="M220" i="100"/>
  <c r="N220" i="100" s="1"/>
  <c r="M192" i="100"/>
  <c r="N192" i="100" s="1"/>
  <c r="M166" i="100"/>
  <c r="N166" i="100" s="1"/>
  <c r="M105" i="100"/>
  <c r="N105" i="100" s="1"/>
  <c r="M84" i="100"/>
  <c r="N84" i="100" s="1"/>
  <c r="M787" i="100"/>
  <c r="N787" i="100" s="1"/>
  <c r="M648" i="100"/>
  <c r="N648" i="100" s="1"/>
  <c r="M478" i="100"/>
  <c r="N478" i="100" s="1"/>
  <c r="M360" i="100"/>
  <c r="N360" i="100" s="1"/>
  <c r="M302" i="100"/>
  <c r="N302" i="100" s="1"/>
  <c r="M274" i="100"/>
  <c r="N274" i="100" s="1"/>
  <c r="M141" i="100"/>
  <c r="N141" i="100" s="1"/>
  <c r="M109" i="100"/>
  <c r="N109" i="100" s="1"/>
  <c r="M219" i="100"/>
  <c r="N219" i="100" s="1"/>
  <c r="M830" i="100"/>
  <c r="N830" i="100" s="1"/>
  <c r="M783" i="100"/>
  <c r="N783" i="100" s="1"/>
  <c r="M728" i="100"/>
  <c r="N728" i="100" s="1"/>
  <c r="M642" i="100"/>
  <c r="N642" i="100" s="1"/>
  <c r="M569" i="100"/>
  <c r="N569" i="100" s="1"/>
  <c r="M541" i="100"/>
  <c r="N541" i="100" s="1"/>
  <c r="M504" i="100"/>
  <c r="N504" i="100" s="1"/>
  <c r="M475" i="100"/>
  <c r="N475" i="100" s="1"/>
  <c r="M385" i="100"/>
  <c r="N385" i="100" s="1"/>
  <c r="M356" i="100"/>
  <c r="N356" i="100" s="1"/>
  <c r="M326" i="100"/>
  <c r="N326" i="100" s="1"/>
  <c r="M298" i="100"/>
  <c r="N298" i="100" s="1"/>
  <c r="M241" i="100"/>
  <c r="N241" i="100" s="1"/>
  <c r="M213" i="100"/>
  <c r="N213" i="100" s="1"/>
  <c r="M189" i="100"/>
  <c r="N189" i="100" s="1"/>
  <c r="M79" i="100"/>
  <c r="N79" i="100" s="1"/>
  <c r="M67" i="100"/>
  <c r="N67" i="100" s="1"/>
  <c r="M823" i="100"/>
  <c r="N823" i="100" s="1"/>
  <c r="M820" i="100"/>
  <c r="N820" i="100" s="1"/>
  <c r="M860" i="100"/>
  <c r="N860" i="100" s="1"/>
  <c r="M725" i="100"/>
  <c r="N725" i="100" s="1"/>
  <c r="M608" i="100"/>
  <c r="N608" i="100" s="1"/>
  <c r="M335" i="100"/>
  <c r="N335" i="100" s="1"/>
  <c r="M172" i="100"/>
  <c r="N172" i="100" s="1"/>
  <c r="M40" i="100"/>
  <c r="N40" i="100" s="1"/>
  <c r="M607" i="100"/>
  <c r="N607" i="100" s="1"/>
  <c r="M169" i="100"/>
  <c r="N169" i="100" s="1"/>
  <c r="M53" i="100"/>
  <c r="N53" i="100" s="1"/>
  <c r="M101" i="100"/>
  <c r="N101" i="100" s="1"/>
  <c r="M39" i="100"/>
  <c r="N39" i="100" s="1"/>
  <c r="M506" i="100"/>
  <c r="N506" i="100" s="1"/>
  <c r="M503" i="100"/>
  <c r="N503" i="100" s="1"/>
  <c r="M44" i="100"/>
  <c r="N44" i="100" s="1"/>
  <c r="M427" i="100"/>
  <c r="N427" i="100" s="1"/>
  <c r="M254" i="100"/>
  <c r="N254" i="100" s="1"/>
  <c r="M856" i="100"/>
  <c r="N856" i="100" s="1"/>
  <c r="M724" i="100"/>
  <c r="N724" i="100" s="1"/>
  <c r="M386" i="100"/>
  <c r="N386" i="100" s="1"/>
  <c r="M329" i="100"/>
  <c r="N329" i="100" s="1"/>
  <c r="M60" i="100"/>
  <c r="N60" i="100" s="1"/>
  <c r="M327" i="100"/>
  <c r="N327" i="100" s="1"/>
  <c r="M443" i="100"/>
  <c r="N443" i="100" s="1"/>
  <c r="M124" i="100"/>
  <c r="N124" i="100" s="1"/>
  <c r="M439" i="100"/>
  <c r="N439" i="100" s="1"/>
  <c r="M162" i="100"/>
  <c r="N162" i="100" s="1"/>
  <c r="M323" i="100"/>
  <c r="N323" i="100" s="1"/>
  <c r="M704" i="100"/>
  <c r="N704" i="100" s="1"/>
  <c r="M448" i="100"/>
  <c r="N448" i="100" s="1"/>
  <c r="M328" i="100"/>
  <c r="N328" i="100" s="1"/>
  <c r="M273" i="100"/>
  <c r="N273" i="100" s="1"/>
  <c r="M217" i="100"/>
  <c r="N217" i="100" s="1"/>
  <c r="M272" i="100"/>
  <c r="N272" i="100" s="1"/>
  <c r="M214" i="100"/>
  <c r="N214" i="100" s="1"/>
  <c r="M324" i="100"/>
  <c r="N324" i="100" s="1"/>
  <c r="M587" i="100"/>
  <c r="N587" i="100" s="1"/>
  <c r="M161" i="100"/>
  <c r="N161" i="100" s="1"/>
  <c r="M57" i="100"/>
  <c r="N57" i="100" s="1"/>
  <c r="M493" i="100"/>
  <c r="N493" i="100" s="1"/>
  <c r="M148" i="100"/>
  <c r="N148" i="100" s="1"/>
  <c r="M839" i="100"/>
  <c r="N839" i="100" s="1"/>
  <c r="M703" i="100"/>
  <c r="N703" i="100" s="1"/>
  <c r="M604" i="100"/>
  <c r="N604" i="100" s="1"/>
  <c r="M216" i="100"/>
  <c r="N216" i="100" s="1"/>
  <c r="M165" i="100"/>
  <c r="N165" i="100" s="1"/>
  <c r="M117" i="100"/>
  <c r="N117" i="100" s="1"/>
  <c r="M94" i="100"/>
  <c r="N94" i="100" s="1"/>
  <c r="M163" i="100"/>
  <c r="N163" i="100" s="1"/>
  <c r="M271" i="100"/>
  <c r="N271" i="100" s="1"/>
  <c r="M73" i="100"/>
  <c r="N73" i="100" s="1"/>
  <c r="M588" i="100"/>
  <c r="N588" i="100" s="1"/>
  <c r="M212" i="100"/>
  <c r="N212" i="100" s="1"/>
  <c r="M270" i="100"/>
  <c r="N270" i="100" s="1"/>
  <c r="M199" i="100"/>
  <c r="N199" i="100" s="1"/>
  <c r="M311" i="100"/>
  <c r="N311" i="100" s="1"/>
  <c r="M697" i="100"/>
  <c r="N697" i="100" s="1"/>
  <c r="M602" i="100"/>
  <c r="N602" i="100" s="1"/>
  <c r="M508" i="100"/>
  <c r="N508" i="100" s="1"/>
  <c r="M447" i="100"/>
  <c r="N447" i="100" s="1"/>
  <c r="M384" i="100"/>
  <c r="N384" i="100" s="1"/>
  <c r="M383" i="100"/>
  <c r="N383" i="100" s="1"/>
  <c r="M689" i="100"/>
  <c r="N689" i="100" s="1"/>
  <c r="M37" i="100"/>
  <c r="N37" i="100" s="1"/>
  <c r="M367" i="100"/>
  <c r="N367" i="100" s="1"/>
  <c r="M424" i="100"/>
  <c r="N424" i="100" s="1"/>
  <c r="M507" i="100"/>
  <c r="N507" i="100" s="1"/>
  <c r="M828" i="100"/>
  <c r="N828" i="100" s="1"/>
  <c r="M584" i="100"/>
  <c r="N584" i="100" s="1"/>
  <c r="M502" i="100"/>
  <c r="N502" i="100" s="1"/>
  <c r="M437" i="100"/>
  <c r="N437" i="100" s="1"/>
  <c r="M371" i="100"/>
  <c r="N371" i="100" s="1"/>
  <c r="M211" i="100"/>
  <c r="N211" i="100" s="1"/>
  <c r="M72" i="100"/>
  <c r="N72" i="100" s="1"/>
  <c r="M65" i="100"/>
  <c r="N65" i="100" s="1"/>
  <c r="M430" i="100"/>
  <c r="N430" i="100" s="1"/>
  <c r="M315" i="100"/>
  <c r="N315" i="100" s="1"/>
  <c r="M158" i="100"/>
  <c r="N158" i="100" s="1"/>
  <c r="M131" i="100"/>
  <c r="N131" i="100" s="1"/>
  <c r="M687" i="100"/>
  <c r="N687" i="100" s="1"/>
  <c r="M321" i="100"/>
  <c r="N321" i="100" s="1"/>
  <c r="M269" i="100"/>
  <c r="N269" i="100" s="1"/>
  <c r="M108" i="100"/>
  <c r="N108" i="100" s="1"/>
  <c r="M51" i="100"/>
  <c r="N51" i="100" s="1"/>
  <c r="M370" i="100"/>
  <c r="N370" i="100" s="1"/>
  <c r="M210" i="100"/>
  <c r="N210" i="100" s="1"/>
  <c r="M204" i="100"/>
  <c r="N204" i="100" s="1"/>
  <c r="M501" i="100"/>
  <c r="N501" i="100" s="1"/>
  <c r="M106" i="100"/>
  <c r="N106" i="100" s="1"/>
  <c r="M799" i="100"/>
  <c r="N799" i="100" s="1"/>
  <c r="M684" i="100"/>
  <c r="N684" i="100" s="1"/>
  <c r="M571" i="100"/>
  <c r="N571" i="100" s="1"/>
  <c r="M500" i="100"/>
  <c r="N500" i="100" s="1"/>
  <c r="M368" i="100"/>
  <c r="N368" i="100" s="1"/>
  <c r="M314" i="100"/>
  <c r="N314" i="100" s="1"/>
  <c r="M256" i="100"/>
  <c r="N256" i="100" s="1"/>
  <c r="M157" i="100"/>
  <c r="N157" i="100" s="1"/>
  <c r="M92" i="100"/>
  <c r="N92" i="100" s="1"/>
  <c r="M58" i="100"/>
  <c r="N58" i="100" s="1"/>
  <c r="M682" i="100"/>
  <c r="N682" i="100" s="1"/>
  <c r="M570" i="100"/>
  <c r="N570" i="100" s="1"/>
  <c r="M428" i="100"/>
  <c r="N428" i="100" s="1"/>
  <c r="M312" i="100"/>
  <c r="N312" i="100" s="1"/>
  <c r="M255" i="100"/>
  <c r="N255" i="100" s="1"/>
  <c r="M568" i="100"/>
  <c r="N568" i="100" s="1"/>
  <c r="M149" i="100"/>
  <c r="N149" i="100" s="1"/>
  <c r="M646" i="100"/>
  <c r="N646" i="100" s="1"/>
  <c r="M481" i="100"/>
  <c r="N481" i="100" s="1"/>
  <c r="M358" i="100"/>
  <c r="N358" i="100" s="1"/>
  <c r="M301" i="100"/>
  <c r="N301" i="100" s="1"/>
  <c r="M146" i="100"/>
  <c r="N146" i="100" s="1"/>
  <c r="M43" i="100"/>
  <c r="N43" i="100" s="1"/>
  <c r="M644" i="100"/>
  <c r="N644" i="100" s="1"/>
  <c r="M550" i="100"/>
  <c r="N550" i="100" s="1"/>
  <c r="M414" i="100"/>
  <c r="N414" i="100" s="1"/>
  <c r="M247" i="100"/>
  <c r="N247" i="100" s="1"/>
  <c r="M191" i="100"/>
  <c r="N191" i="100" s="1"/>
  <c r="M144" i="100"/>
  <c r="N144" i="100" s="1"/>
  <c r="M781" i="100"/>
  <c r="N781" i="100" s="1"/>
  <c r="M548" i="100"/>
  <c r="N548" i="100" s="1"/>
  <c r="M477" i="100"/>
  <c r="N477" i="100" s="1"/>
  <c r="M413" i="100"/>
  <c r="N413" i="100" s="1"/>
  <c r="M357" i="100"/>
  <c r="N357" i="100" s="1"/>
  <c r="M300" i="100"/>
  <c r="N300" i="100" s="1"/>
  <c r="M246" i="100"/>
  <c r="N246" i="100" s="1"/>
  <c r="M91" i="100"/>
  <c r="N91" i="100" s="1"/>
  <c r="M63" i="100"/>
  <c r="N63" i="100" s="1"/>
  <c r="M775" i="100"/>
  <c r="N775" i="100" s="1"/>
  <c r="M751" i="100"/>
  <c r="N751" i="100" s="1"/>
  <c r="M640" i="100"/>
  <c r="N640" i="100" s="1"/>
  <c r="M542" i="100"/>
  <c r="N542" i="100" s="1"/>
  <c r="M734" i="100"/>
  <c r="N734" i="100" s="1"/>
  <c r="M470" i="100"/>
  <c r="N470" i="100" s="1"/>
  <c r="M402" i="100"/>
  <c r="N402" i="100" s="1"/>
  <c r="M785" i="100"/>
  <c r="N785" i="100" s="1"/>
  <c r="M135" i="100"/>
  <c r="N135" i="100" s="1"/>
  <c r="M772" i="100"/>
  <c r="N772" i="100" s="1"/>
  <c r="M520" i="100"/>
  <c r="N520" i="100" s="1"/>
  <c r="M351" i="100"/>
  <c r="N351" i="100" s="1"/>
  <c r="M230" i="100"/>
  <c r="N230" i="100" s="1"/>
  <c r="Q2" i="100"/>
  <c r="M473" i="100"/>
  <c r="N473" i="100" s="1"/>
  <c r="M727" i="100"/>
  <c r="N727" i="100" s="1"/>
  <c r="M457" i="100"/>
  <c r="N457" i="100" s="1"/>
  <c r="M455" i="100"/>
  <c r="N455" i="100" s="1"/>
  <c r="M454" i="100"/>
  <c r="N454" i="100" s="1"/>
  <c r="M176" i="100"/>
  <c r="N176" i="100" s="1"/>
  <c r="M122" i="100"/>
  <c r="N122" i="100" s="1"/>
  <c r="M282" i="100"/>
  <c r="N282" i="100" s="1"/>
  <c r="M566" i="100"/>
  <c r="N566" i="100" s="1"/>
  <c r="M545" i="100"/>
  <c r="N545" i="100" s="1"/>
  <c r="M118" i="100"/>
  <c r="N118" i="100" s="1"/>
  <c r="M239" i="100"/>
  <c r="N239" i="100" s="1"/>
  <c r="M231" i="100"/>
  <c r="N231" i="100" s="1"/>
  <c r="M134" i="100"/>
  <c r="N134" i="100" s="1"/>
  <c r="M732" i="100"/>
  <c r="N732" i="100" s="1"/>
  <c r="M95" i="100"/>
  <c r="N95" i="100" s="1"/>
  <c r="M338" i="100"/>
  <c r="N338" i="100" s="1"/>
  <c r="M47" i="100"/>
  <c r="N47" i="100" s="1"/>
  <c r="M663" i="100"/>
  <c r="N663" i="100" s="1"/>
  <c r="M299" i="100"/>
  <c r="N299" i="100" s="1"/>
  <c r="M75" i="100"/>
  <c r="N75" i="100" s="1"/>
  <c r="M641" i="100"/>
  <c r="N641" i="100" s="1"/>
  <c r="M126" i="100"/>
  <c r="N126" i="100" s="1"/>
  <c r="M409" i="100"/>
  <c r="N409" i="100" s="1"/>
  <c r="M567" i="100"/>
  <c r="N567" i="100" s="1"/>
  <c r="M546" i="100"/>
  <c r="N546" i="100" s="1"/>
  <c r="M543" i="100"/>
  <c r="N543" i="100" s="1"/>
  <c r="M251" i="100"/>
  <c r="N251" i="100" s="1"/>
  <c r="M753" i="100"/>
  <c r="N753" i="100" s="1"/>
  <c r="M486" i="100"/>
  <c r="N486" i="100" s="1"/>
  <c r="M96" i="100"/>
  <c r="N96" i="100" s="1"/>
  <c r="M483" i="100"/>
  <c r="N483" i="100" s="1"/>
  <c r="M228" i="100"/>
  <c r="N228" i="100" s="1"/>
  <c r="M112" i="100"/>
  <c r="N112" i="100" s="1"/>
  <c r="M342" i="100"/>
  <c r="N342" i="100" s="1"/>
  <c r="M77" i="100"/>
  <c r="N77" i="100" s="1"/>
  <c r="M197" i="100"/>
  <c r="N197" i="100" s="1"/>
  <c r="M472" i="100"/>
  <c r="N472" i="100" s="1"/>
  <c r="M190" i="100"/>
  <c r="N190" i="100" s="1"/>
  <c r="M306" i="100"/>
  <c r="N306" i="100" s="1"/>
  <c r="M188" i="100"/>
  <c r="N188" i="100" s="1"/>
  <c r="M660" i="100"/>
  <c r="N660" i="100" s="1"/>
  <c r="M295" i="100"/>
  <c r="N295" i="100" s="1"/>
  <c r="M416" i="100"/>
  <c r="N416" i="100" s="1"/>
  <c r="M609" i="100"/>
  <c r="N609" i="100" s="1"/>
  <c r="M281" i="100"/>
  <c r="N281" i="100" s="1"/>
  <c r="M736" i="100"/>
  <c r="N736" i="100" s="1"/>
  <c r="M343" i="100"/>
  <c r="N343" i="100" s="1"/>
  <c r="M48" i="100"/>
  <c r="N48" i="100" s="1"/>
  <c r="M476" i="100"/>
  <c r="N476" i="100" s="1"/>
  <c r="M227" i="100"/>
  <c r="N227" i="100" s="1"/>
  <c r="M339" i="100"/>
  <c r="N339" i="100" s="1"/>
  <c r="M195" i="100"/>
  <c r="N195" i="100" s="1"/>
  <c r="M90" i="100"/>
  <c r="N90" i="100" s="1"/>
  <c r="M305" i="100"/>
  <c r="N305" i="100" s="1"/>
  <c r="M187" i="100"/>
  <c r="N187" i="100" s="1"/>
  <c r="M186" i="100"/>
  <c r="N186" i="100" s="1"/>
  <c r="M418" i="100"/>
  <c r="N418" i="100" s="1"/>
  <c r="M294" i="100"/>
  <c r="N294" i="100" s="1"/>
  <c r="M147" i="100"/>
  <c r="N147" i="100" s="1"/>
  <c r="M395" i="100"/>
  <c r="N395" i="100" s="1"/>
  <c r="M387" i="100"/>
  <c r="N387" i="100" s="1"/>
  <c r="M359" i="100"/>
  <c r="N359" i="100" s="1"/>
  <c r="M98" i="100"/>
  <c r="N98" i="100" s="1"/>
  <c r="M54" i="100"/>
  <c r="N54" i="100" s="1"/>
  <c r="M83" i="100"/>
  <c r="N83" i="100" s="1"/>
  <c r="M726" i="100"/>
  <c r="N726" i="100" s="1"/>
  <c r="M471" i="100"/>
  <c r="N471" i="100" s="1"/>
  <c r="M297" i="100"/>
  <c r="N297" i="100" s="1"/>
  <c r="M89" i="100"/>
  <c r="N89" i="100" s="1"/>
  <c r="M136" i="100"/>
  <c r="N136" i="100" s="1"/>
  <c r="M240" i="100"/>
  <c r="N240" i="100" s="1"/>
  <c r="M460" i="100"/>
  <c r="N460" i="100" s="1"/>
  <c r="M185" i="100"/>
  <c r="N185" i="100" s="1"/>
  <c r="M41" i="100"/>
  <c r="N41" i="100" s="1"/>
  <c r="M392" i="100"/>
  <c r="N392" i="100" s="1"/>
  <c r="M538" i="100"/>
  <c r="N538" i="100" s="1"/>
  <c r="M620" i="100"/>
  <c r="N620" i="100" s="1"/>
  <c r="M412" i="100"/>
  <c r="N412" i="100" s="1"/>
  <c r="M175" i="100"/>
  <c r="N175" i="100" s="1"/>
  <c r="M614" i="100"/>
  <c r="N614" i="100" s="1"/>
  <c r="M411" i="100"/>
  <c r="N411" i="100" s="1"/>
  <c r="M286" i="100"/>
  <c r="N286" i="100" s="1"/>
  <c r="M104" i="100"/>
  <c r="N104" i="100" s="1"/>
  <c r="M56" i="100"/>
  <c r="N56" i="100" s="1"/>
  <c r="M410" i="100"/>
  <c r="N410" i="100" s="1"/>
  <c r="M408" i="100"/>
  <c r="N408" i="100" s="1"/>
  <c r="M137" i="100"/>
  <c r="N137" i="100" s="1"/>
  <c r="M242" i="100"/>
  <c r="N242" i="100" s="1"/>
  <c r="M536" i="100"/>
  <c r="N536" i="100" s="1"/>
  <c r="J3" i="100" a="1"/>
  <c r="J3" i="101" a="1"/>
  <c r="M37" i="101" l="1"/>
  <c r="N37" i="101" s="1"/>
  <c r="M36" i="100"/>
  <c r="N36" i="100" s="1"/>
  <c r="M35" i="101"/>
  <c r="N35" i="101" s="1"/>
  <c r="M36" i="101"/>
  <c r="N36" i="101" s="1"/>
  <c r="M33" i="101"/>
  <c r="N33" i="101" s="1"/>
  <c r="M31" i="101"/>
  <c r="N31" i="101" s="1"/>
  <c r="M32" i="101"/>
  <c r="N32" i="101" s="1"/>
  <c r="M34" i="101"/>
  <c r="N34" i="101" s="1"/>
  <c r="M35" i="100"/>
  <c r="N35" i="100" s="1"/>
  <c r="M33" i="100"/>
  <c r="N33" i="100" s="1"/>
  <c r="M32" i="100"/>
  <c r="N32" i="100" s="1"/>
  <c r="M31" i="100"/>
  <c r="N31" i="100" s="1"/>
  <c r="M30" i="100"/>
  <c r="N30" i="100" s="1"/>
  <c r="M34" i="100"/>
  <c r="N34" i="100" s="1"/>
  <c r="M30" i="101"/>
  <c r="N30" i="101" s="1"/>
  <c r="M29" i="100"/>
  <c r="N29" i="100" s="1"/>
  <c r="M29" i="101"/>
  <c r="N29" i="101" s="1"/>
  <c r="M28" i="101"/>
  <c r="N28" i="101" s="1"/>
  <c r="M28" i="100"/>
  <c r="N28" i="100" s="1"/>
  <c r="M8" i="101"/>
  <c r="N8" i="101" s="1"/>
  <c r="M24" i="101"/>
  <c r="N24" i="101" s="1"/>
  <c r="M7" i="101"/>
  <c r="N7" i="101" s="1"/>
  <c r="M27" i="101"/>
  <c r="N27" i="101" s="1"/>
  <c r="M14" i="101"/>
  <c r="N14" i="101" s="1"/>
  <c r="M12" i="101"/>
  <c r="N12" i="101" s="1"/>
  <c r="M17" i="101"/>
  <c r="N17" i="101" s="1"/>
  <c r="M11" i="101"/>
  <c r="N11" i="101" s="1"/>
  <c r="M20" i="101"/>
  <c r="N20" i="101" s="1"/>
  <c r="M10" i="101"/>
  <c r="N10" i="101" s="1"/>
  <c r="M6" i="101"/>
  <c r="N6" i="101" s="1"/>
  <c r="M26" i="101"/>
  <c r="N26" i="101" s="1"/>
  <c r="M21" i="101"/>
  <c r="N21" i="101" s="1"/>
  <c r="M16" i="101"/>
  <c r="N16" i="101" s="1"/>
  <c r="J3" i="101"/>
  <c r="M3" i="101" s="1"/>
  <c r="N3" i="101" s="1"/>
  <c r="M18" i="101"/>
  <c r="N18" i="101" s="1"/>
  <c r="M15" i="101"/>
  <c r="N15" i="101" s="1"/>
  <c r="M23" i="101"/>
  <c r="N23" i="101" s="1"/>
  <c r="M25" i="101"/>
  <c r="N25" i="101" s="1"/>
  <c r="M13" i="101"/>
  <c r="N13" i="101" s="1"/>
  <c r="M19" i="101"/>
  <c r="N19" i="101" s="1"/>
  <c r="M9" i="101"/>
  <c r="N9" i="101" s="1"/>
  <c r="M4" i="101"/>
  <c r="N4" i="101" s="1"/>
  <c r="M22" i="101"/>
  <c r="N22" i="101" s="1"/>
  <c r="M5" i="101"/>
  <c r="N5" i="101" s="1"/>
  <c r="Y1" i="100" a="1"/>
  <c r="Y1" i="100" s="1"/>
  <c r="M27" i="100"/>
  <c r="N27" i="100" s="1"/>
  <c r="M24" i="100"/>
  <c r="N24" i="100" s="1"/>
  <c r="M7" i="100"/>
  <c r="N7" i="100" s="1"/>
  <c r="M10" i="100"/>
  <c r="N10" i="100" s="1"/>
  <c r="M4" i="100"/>
  <c r="N4" i="100" s="1"/>
  <c r="M23" i="100"/>
  <c r="N23" i="100" s="1"/>
  <c r="M6" i="100"/>
  <c r="N6" i="100" s="1"/>
  <c r="M5" i="100"/>
  <c r="N5" i="100" s="1"/>
  <c r="M19" i="100"/>
  <c r="N19" i="100" s="1"/>
  <c r="M14" i="100"/>
  <c r="N14" i="100" s="1"/>
  <c r="M13" i="100"/>
  <c r="N13" i="100" s="1"/>
  <c r="M21" i="100"/>
  <c r="N21" i="100" s="1"/>
  <c r="M15" i="100"/>
  <c r="N15" i="100" s="1"/>
  <c r="M20" i="100"/>
  <c r="N20" i="100" s="1"/>
  <c r="M26" i="100"/>
  <c r="N26" i="100" s="1"/>
  <c r="M11" i="100"/>
  <c r="N11" i="100" s="1"/>
  <c r="M12" i="100"/>
  <c r="N12" i="100" s="1"/>
  <c r="M25" i="100"/>
  <c r="N25" i="100" s="1"/>
  <c r="M8" i="100"/>
  <c r="N8" i="100" s="1"/>
  <c r="J3" i="100"/>
  <c r="M3" i="100" s="1"/>
  <c r="N3" i="100" s="1"/>
  <c r="M17" i="100"/>
  <c r="N17" i="100" s="1"/>
  <c r="M16" i="100"/>
  <c r="N16" i="100" s="1"/>
  <c r="M9" i="100"/>
  <c r="N9" i="100" s="1"/>
  <c r="M22" i="100"/>
  <c r="N22" i="100" s="1"/>
  <c r="M18" i="100"/>
  <c r="N18" i="100" s="1"/>
  <c r="O2" i="101" l="1" a="1"/>
  <c r="Y3" i="100"/>
  <c r="Y2" i="100"/>
  <c r="Y4" i="100"/>
  <c r="O2" i="100" a="1"/>
  <c r="C10" i="100" l="1"/>
  <c r="O2" i="101"/>
  <c r="O2" i="100"/>
  <c r="B5" i="99" l="1"/>
  <c r="C5" i="99"/>
  <c r="B5" i="97"/>
  <c r="N7" i="99" l="1"/>
  <c r="O7" i="99" s="1"/>
  <c r="N3" i="99"/>
  <c r="O3" i="99" s="1"/>
  <c r="N20" i="99"/>
  <c r="O20" i="99" s="1"/>
  <c r="N15" i="99"/>
  <c r="O15" i="99" s="1"/>
  <c r="N21" i="99"/>
  <c r="O21" i="99" s="1"/>
  <c r="N13" i="99"/>
  <c r="O13" i="99" s="1"/>
  <c r="N12" i="99"/>
  <c r="O12" i="99" s="1"/>
  <c r="N19" i="99"/>
  <c r="O19" i="99" s="1"/>
  <c r="N11" i="99"/>
  <c r="O11" i="99" s="1"/>
  <c r="N10" i="99"/>
  <c r="O10" i="99" s="1"/>
  <c r="N18" i="99"/>
  <c r="O18" i="99" s="1"/>
  <c r="N6" i="99"/>
  <c r="O6" i="99" s="1"/>
  <c r="N4" i="99"/>
  <c r="O4" i="99" s="1"/>
  <c r="N17" i="99"/>
  <c r="O17" i="99" s="1"/>
  <c r="N16" i="99"/>
  <c r="O16" i="99" s="1"/>
  <c r="C5" i="97"/>
  <c r="N5" i="99" l="1"/>
  <c r="O5" i="99" s="1"/>
  <c r="N9" i="99"/>
  <c r="O9" i="99" s="1"/>
  <c r="N14" i="99"/>
  <c r="O14" i="99" s="1"/>
  <c r="N8" i="99"/>
  <c r="O8" i="99" s="1"/>
  <c r="N1032" i="99"/>
  <c r="O1032" i="99" s="1"/>
  <c r="N1031" i="99"/>
  <c r="O1031" i="99" s="1"/>
  <c r="N998" i="99"/>
  <c r="O998" i="99" s="1"/>
  <c r="N965" i="99"/>
  <c r="O965" i="99" s="1"/>
  <c r="N932" i="99"/>
  <c r="O932" i="99" s="1"/>
  <c r="N899" i="99"/>
  <c r="O899" i="99" s="1"/>
  <c r="N866" i="99"/>
  <c r="O866" i="99" s="1"/>
  <c r="N833" i="99"/>
  <c r="O833" i="99" s="1"/>
  <c r="N800" i="99"/>
  <c r="O800" i="99" s="1"/>
  <c r="N767" i="99"/>
  <c r="O767" i="99" s="1"/>
  <c r="N734" i="99"/>
  <c r="O734" i="99" s="1"/>
  <c r="N701" i="99"/>
  <c r="O701" i="99" s="1"/>
  <c r="N668" i="99"/>
  <c r="O668" i="99" s="1"/>
  <c r="N635" i="99"/>
  <c r="O635" i="99" s="1"/>
  <c r="N1014" i="99"/>
  <c r="O1014" i="99" s="1"/>
  <c r="N981" i="99"/>
  <c r="O981" i="99" s="1"/>
  <c r="N948" i="99"/>
  <c r="O948" i="99" s="1"/>
  <c r="N915" i="99"/>
  <c r="O915" i="99" s="1"/>
  <c r="N882" i="99"/>
  <c r="O882" i="99" s="1"/>
  <c r="N849" i="99"/>
  <c r="O849" i="99" s="1"/>
  <c r="N816" i="99"/>
  <c r="O816" i="99" s="1"/>
  <c r="N783" i="99"/>
  <c r="O783" i="99" s="1"/>
  <c r="N750" i="99"/>
  <c r="O750" i="99" s="1"/>
  <c r="N717" i="99"/>
  <c r="O717" i="99" s="1"/>
  <c r="N684" i="99"/>
  <c r="O684" i="99" s="1"/>
  <c r="N651" i="99"/>
  <c r="O651" i="99" s="1"/>
  <c r="N618" i="99"/>
  <c r="O618" i="99" s="1"/>
  <c r="N1030" i="99"/>
  <c r="O1030" i="99" s="1"/>
  <c r="N997" i="99"/>
  <c r="O997" i="99" s="1"/>
  <c r="N964" i="99"/>
  <c r="O964" i="99" s="1"/>
  <c r="N931" i="99"/>
  <c r="O931" i="99" s="1"/>
  <c r="N898" i="99"/>
  <c r="O898" i="99" s="1"/>
  <c r="N865" i="99"/>
  <c r="O865" i="99" s="1"/>
  <c r="N832" i="99"/>
  <c r="O832" i="99" s="1"/>
  <c r="N799" i="99"/>
  <c r="O799" i="99" s="1"/>
  <c r="N766" i="99"/>
  <c r="O766" i="99" s="1"/>
  <c r="N733" i="99"/>
  <c r="O733" i="99" s="1"/>
  <c r="N700" i="99"/>
  <c r="O700" i="99" s="1"/>
  <c r="N667" i="99"/>
  <c r="O667" i="99" s="1"/>
  <c r="N634" i="99"/>
  <c r="O634" i="99" s="1"/>
  <c r="N601" i="99"/>
  <c r="O601" i="99" s="1"/>
  <c r="N584" i="99"/>
  <c r="O584" i="99" s="1"/>
  <c r="N543" i="99"/>
  <c r="O543" i="99" s="1"/>
  <c r="N510" i="99"/>
  <c r="O510" i="99" s="1"/>
  <c r="N477" i="99"/>
  <c r="O477" i="99" s="1"/>
  <c r="N467" i="99"/>
  <c r="O467" i="99" s="1"/>
  <c r="N434" i="99"/>
  <c r="O434" i="99" s="1"/>
  <c r="N401" i="99"/>
  <c r="O401" i="99" s="1"/>
  <c r="N388" i="99"/>
  <c r="O388" i="99" s="1"/>
  <c r="N1013" i="99"/>
  <c r="O1013" i="99" s="1"/>
  <c r="N980" i="99"/>
  <c r="O980" i="99" s="1"/>
  <c r="N947" i="99"/>
  <c r="O947" i="99" s="1"/>
  <c r="N1029" i="99"/>
  <c r="O1029" i="99" s="1"/>
  <c r="N996" i="99"/>
  <c r="O996" i="99" s="1"/>
  <c r="N963" i="99"/>
  <c r="O963" i="99" s="1"/>
  <c r="N930" i="99"/>
  <c r="O930" i="99" s="1"/>
  <c r="N897" i="99"/>
  <c r="O897" i="99" s="1"/>
  <c r="N1028" i="99"/>
  <c r="O1028" i="99" s="1"/>
  <c r="N995" i="99"/>
  <c r="O995" i="99" s="1"/>
  <c r="N962" i="99"/>
  <c r="O962" i="99" s="1"/>
  <c r="N929" i="99"/>
  <c r="O929" i="99" s="1"/>
  <c r="N896" i="99"/>
  <c r="O896" i="99" s="1"/>
  <c r="N863" i="99"/>
  <c r="O863" i="99" s="1"/>
  <c r="N830" i="99"/>
  <c r="O830" i="99" s="1"/>
  <c r="N1020" i="99"/>
  <c r="O1020" i="99" s="1"/>
  <c r="N1008" i="99"/>
  <c r="O1008" i="99" s="1"/>
  <c r="N969" i="99"/>
  <c r="O969" i="99" s="1"/>
  <c r="N949" i="99"/>
  <c r="O949" i="99" s="1"/>
  <c r="N927" i="99"/>
  <c r="O927" i="99" s="1"/>
  <c r="N908" i="99"/>
  <c r="O908" i="99" s="1"/>
  <c r="N889" i="99"/>
  <c r="O889" i="99" s="1"/>
  <c r="N870" i="99"/>
  <c r="O870" i="99" s="1"/>
  <c r="N813" i="99"/>
  <c r="O813" i="99" s="1"/>
  <c r="N795" i="99"/>
  <c r="O795" i="99" s="1"/>
  <c r="N777" i="99"/>
  <c r="O777" i="99" s="1"/>
  <c r="N649" i="99"/>
  <c r="O649" i="99" s="1"/>
  <c r="N613" i="99"/>
  <c r="O613" i="99" s="1"/>
  <c r="N596" i="99"/>
  <c r="O596" i="99" s="1"/>
  <c r="N579" i="99"/>
  <c r="O579" i="99" s="1"/>
  <c r="N558" i="99"/>
  <c r="O558" i="99" s="1"/>
  <c r="N541" i="99"/>
  <c r="O541" i="99" s="1"/>
  <c r="N500" i="99"/>
  <c r="O500" i="99" s="1"/>
  <c r="N425" i="99"/>
  <c r="O425" i="99" s="1"/>
  <c r="N408" i="99"/>
  <c r="O408" i="99" s="1"/>
  <c r="N391" i="99"/>
  <c r="O391" i="99" s="1"/>
  <c r="N988" i="99"/>
  <c r="O988" i="99" s="1"/>
  <c r="N968" i="99"/>
  <c r="O968" i="99" s="1"/>
  <c r="N946" i="99"/>
  <c r="O946" i="99" s="1"/>
  <c r="N888" i="99"/>
  <c r="O888" i="99" s="1"/>
  <c r="N851" i="99"/>
  <c r="O851" i="99" s="1"/>
  <c r="N831" i="99"/>
  <c r="O831" i="99" s="1"/>
  <c r="N776" i="99"/>
  <c r="O776" i="99" s="1"/>
  <c r="N758" i="99"/>
  <c r="O758" i="99" s="1"/>
  <c r="N740" i="99"/>
  <c r="O740" i="99" s="1"/>
  <c r="N722" i="99"/>
  <c r="O722" i="99" s="1"/>
  <c r="N704" i="99"/>
  <c r="O704" i="99" s="1"/>
  <c r="N686" i="99"/>
  <c r="O686" i="99" s="1"/>
  <c r="N648" i="99"/>
  <c r="O648" i="99" s="1"/>
  <c r="N630" i="99"/>
  <c r="O630" i="99" s="1"/>
  <c r="N534" i="99"/>
  <c r="O534" i="99" s="1"/>
  <c r="N517" i="99"/>
  <c r="O517" i="99" s="1"/>
  <c r="N476" i="99"/>
  <c r="O476" i="99" s="1"/>
  <c r="N459" i="99"/>
  <c r="O459" i="99" s="1"/>
  <c r="N1027" i="99"/>
  <c r="O1027" i="99" s="1"/>
  <c r="N1007" i="99"/>
  <c r="O1007" i="99" s="1"/>
  <c r="N945" i="99"/>
  <c r="O945" i="99" s="1"/>
  <c r="N926" i="99"/>
  <c r="O926" i="99" s="1"/>
  <c r="N907" i="99"/>
  <c r="O907" i="99" s="1"/>
  <c r="N869" i="99"/>
  <c r="O869" i="99" s="1"/>
  <c r="N812" i="99"/>
  <c r="O812" i="99" s="1"/>
  <c r="N794" i="99"/>
  <c r="O794" i="99" s="1"/>
  <c r="N666" i="99"/>
  <c r="O666" i="99" s="1"/>
  <c r="N612" i="99"/>
  <c r="O612" i="99" s="1"/>
  <c r="N595" i="99"/>
  <c r="O595" i="99" s="1"/>
  <c r="N578" i="99"/>
  <c r="O578" i="99" s="1"/>
  <c r="N568" i="99"/>
  <c r="O568" i="99" s="1"/>
  <c r="N551" i="99"/>
  <c r="O551" i="99" s="1"/>
  <c r="N1025" i="99"/>
  <c r="O1025" i="99" s="1"/>
  <c r="N1005" i="99"/>
  <c r="O1005" i="99" s="1"/>
  <c r="N943" i="99"/>
  <c r="O943" i="99" s="1"/>
  <c r="N924" i="99"/>
  <c r="O924" i="99" s="1"/>
  <c r="N905" i="99"/>
  <c r="O905" i="99" s="1"/>
  <c r="N867" i="99"/>
  <c r="O867" i="99" s="1"/>
  <c r="N847" i="99"/>
  <c r="O847" i="99" s="1"/>
  <c r="N828" i="99"/>
  <c r="O828" i="99" s="1"/>
  <c r="N1021" i="99"/>
  <c r="O1021" i="99" s="1"/>
  <c r="N1001" i="99"/>
  <c r="O1001" i="99" s="1"/>
  <c r="N978" i="99"/>
  <c r="O978" i="99" s="1"/>
  <c r="N939" i="99"/>
  <c r="O939" i="99" s="1"/>
  <c r="N880" i="99"/>
  <c r="O880" i="99" s="1"/>
  <c r="N861" i="99"/>
  <c r="O861" i="99" s="1"/>
  <c r="N732" i="99"/>
  <c r="O732" i="99" s="1"/>
  <c r="N714" i="99"/>
  <c r="O714" i="99" s="1"/>
  <c r="N606" i="99"/>
  <c r="O606" i="99" s="1"/>
  <c r="N589" i="99"/>
  <c r="O589" i="99" s="1"/>
  <c r="N536" i="99"/>
  <c r="O536" i="99" s="1"/>
  <c r="N519" i="99"/>
  <c r="O519" i="99" s="1"/>
  <c r="N444" i="99"/>
  <c r="O444" i="99" s="1"/>
  <c r="N403" i="99"/>
  <c r="O403" i="99" s="1"/>
  <c r="N1000" i="99"/>
  <c r="O1000" i="99" s="1"/>
  <c r="N958" i="99"/>
  <c r="O958" i="99" s="1"/>
  <c r="N976" i="99"/>
  <c r="O976" i="99" s="1"/>
  <c r="N937" i="99"/>
  <c r="O937" i="99" s="1"/>
  <c r="N859" i="99"/>
  <c r="O859" i="99" s="1"/>
  <c r="N840" i="99"/>
  <c r="O840" i="99" s="1"/>
  <c r="N748" i="99"/>
  <c r="O748" i="99" s="1"/>
  <c r="N730" i="99"/>
  <c r="O730" i="99" s="1"/>
  <c r="N604" i="99"/>
  <c r="O604" i="99" s="1"/>
  <c r="N587" i="99"/>
  <c r="O587" i="99" s="1"/>
  <c r="N556" i="99"/>
  <c r="O556" i="99" s="1"/>
  <c r="N539" i="99"/>
  <c r="O539" i="99" s="1"/>
  <c r="N522" i="99"/>
  <c r="O522" i="99" s="1"/>
  <c r="N464" i="99"/>
  <c r="O464" i="99" s="1"/>
  <c r="N1009" i="99"/>
  <c r="O1009" i="99" s="1"/>
  <c r="N973" i="99"/>
  <c r="O973" i="99" s="1"/>
  <c r="N875" i="99"/>
  <c r="O875" i="99" s="1"/>
  <c r="N853" i="99"/>
  <c r="O853" i="99" s="1"/>
  <c r="N785" i="99"/>
  <c r="O785" i="99" s="1"/>
  <c r="N763" i="99"/>
  <c r="O763" i="99" s="1"/>
  <c r="N742" i="99"/>
  <c r="O742" i="99" s="1"/>
  <c r="N720" i="99"/>
  <c r="O720" i="99" s="1"/>
  <c r="N698" i="99"/>
  <c r="O698" i="99" s="1"/>
  <c r="N592" i="99"/>
  <c r="O592" i="99" s="1"/>
  <c r="N526" i="99"/>
  <c r="O526" i="99" s="1"/>
  <c r="N437" i="99"/>
  <c r="O437" i="99" s="1"/>
  <c r="N415" i="99"/>
  <c r="O415" i="99" s="1"/>
  <c r="N404" i="99"/>
  <c r="O404" i="99" s="1"/>
  <c r="N336" i="99"/>
  <c r="O336" i="99" s="1"/>
  <c r="N303" i="99"/>
  <c r="O303" i="99" s="1"/>
  <c r="N270" i="99"/>
  <c r="O270" i="99" s="1"/>
  <c r="N227" i="99"/>
  <c r="O227" i="99" s="1"/>
  <c r="N194" i="99"/>
  <c r="O194" i="99" s="1"/>
  <c r="N161" i="99"/>
  <c r="O161" i="99" s="1"/>
  <c r="N148" i="99"/>
  <c r="O148" i="99" s="1"/>
  <c r="N132" i="99"/>
  <c r="O132" i="99" s="1"/>
  <c r="N116" i="99"/>
  <c r="O116" i="99" s="1"/>
  <c r="N100" i="99"/>
  <c r="O100" i="99" s="1"/>
  <c r="N84" i="99"/>
  <c r="O84" i="99" s="1"/>
  <c r="N1026" i="99"/>
  <c r="O1026" i="99" s="1"/>
  <c r="N999" i="99"/>
  <c r="O999" i="99" s="1"/>
  <c r="N922" i="99"/>
  <c r="O922" i="99" s="1"/>
  <c r="N972" i="99"/>
  <c r="O972" i="99" s="1"/>
  <c r="N944" i="99"/>
  <c r="O944" i="99" s="1"/>
  <c r="N874" i="99"/>
  <c r="O874" i="99" s="1"/>
  <c r="N852" i="99"/>
  <c r="O852" i="99" s="1"/>
  <c r="N805" i="99"/>
  <c r="O805" i="99" s="1"/>
  <c r="N784" i="99"/>
  <c r="O784" i="99" s="1"/>
  <c r="N762" i="99"/>
  <c r="O762" i="99" s="1"/>
  <c r="N741" i="99"/>
  <c r="O741" i="99" s="1"/>
  <c r="N719" i="99"/>
  <c r="O719" i="99" s="1"/>
  <c r="N697" i="99"/>
  <c r="O697" i="99" s="1"/>
  <c r="N675" i="99"/>
  <c r="O675" i="99" s="1"/>
  <c r="N632" i="99"/>
  <c r="O632" i="99" s="1"/>
  <c r="N591" i="99"/>
  <c r="O591" i="99" s="1"/>
  <c r="N549" i="99"/>
  <c r="O549" i="99" s="1"/>
  <c r="N1024" i="99"/>
  <c r="O1024" i="99" s="1"/>
  <c r="N921" i="99"/>
  <c r="O921" i="99" s="1"/>
  <c r="N895" i="99"/>
  <c r="O895" i="99" s="1"/>
  <c r="N850" i="99"/>
  <c r="O850" i="99" s="1"/>
  <c r="N826" i="99"/>
  <c r="O826" i="99" s="1"/>
  <c r="N782" i="99"/>
  <c r="O782" i="99" s="1"/>
  <c r="N739" i="99"/>
  <c r="O739" i="99" s="1"/>
  <c r="N696" i="99"/>
  <c r="O696" i="99" s="1"/>
  <c r="N654" i="99"/>
  <c r="O654" i="99" s="1"/>
  <c r="N610" i="99"/>
  <c r="O610" i="99" s="1"/>
  <c r="N561" i="99"/>
  <c r="O561" i="99" s="1"/>
  <c r="N553" i="99"/>
  <c r="O553" i="99" s="1"/>
  <c r="N514" i="99"/>
  <c r="O514" i="99" s="1"/>
  <c r="N993" i="99"/>
  <c r="O993" i="99" s="1"/>
  <c r="N970" i="99"/>
  <c r="O970" i="99" s="1"/>
  <c r="N846" i="99"/>
  <c r="O846" i="99" s="1"/>
  <c r="N824" i="99"/>
  <c r="O824" i="99" s="1"/>
  <c r="N694" i="99"/>
  <c r="O694" i="99" s="1"/>
  <c r="N673" i="99"/>
  <c r="O673" i="99" s="1"/>
  <c r="N533" i="99"/>
  <c r="O533" i="99" s="1"/>
  <c r="N1017" i="99"/>
  <c r="O1017" i="99" s="1"/>
  <c r="N961" i="99"/>
  <c r="O961" i="99" s="1"/>
  <c r="N912" i="99"/>
  <c r="O912" i="99" s="1"/>
  <c r="N890" i="99"/>
  <c r="O890" i="99" s="1"/>
  <c r="N842" i="99"/>
  <c r="O842" i="99" s="1"/>
  <c r="N775" i="99"/>
  <c r="O775" i="99" s="1"/>
  <c r="N690" i="99"/>
  <c r="O690" i="99" s="1"/>
  <c r="N625" i="99"/>
  <c r="O625" i="99" s="1"/>
  <c r="N572" i="99"/>
  <c r="O572" i="99" s="1"/>
  <c r="N540" i="99"/>
  <c r="O540" i="99" s="1"/>
  <c r="N1012" i="99"/>
  <c r="O1012" i="99" s="1"/>
  <c r="N986" i="99"/>
  <c r="O986" i="99" s="1"/>
  <c r="N959" i="99"/>
  <c r="O959" i="99" s="1"/>
  <c r="N910" i="99"/>
  <c r="O910" i="99" s="1"/>
  <c r="N886" i="99"/>
  <c r="O886" i="99" s="1"/>
  <c r="N862" i="99"/>
  <c r="O862" i="99" s="1"/>
  <c r="N839" i="99"/>
  <c r="O839" i="99" s="1"/>
  <c r="N773" i="99"/>
  <c r="O773" i="99" s="1"/>
  <c r="N688" i="99"/>
  <c r="O688" i="99" s="1"/>
  <c r="N664" i="99"/>
  <c r="O664" i="99" s="1"/>
  <c r="N602" i="99"/>
  <c r="O602" i="99" s="1"/>
  <c r="N524" i="99"/>
  <c r="O524" i="99" s="1"/>
  <c r="N520" i="99"/>
  <c r="O520" i="99" s="1"/>
  <c r="N485" i="99"/>
  <c r="O485" i="99" s="1"/>
  <c r="N481" i="99"/>
  <c r="O481" i="99" s="1"/>
  <c r="N450" i="99"/>
  <c r="O450" i="99" s="1"/>
  <c r="N435" i="99"/>
  <c r="O435" i="99" s="1"/>
  <c r="N413" i="99"/>
  <c r="O413" i="99" s="1"/>
  <c r="N1011" i="99"/>
  <c r="O1011" i="99" s="1"/>
  <c r="N985" i="99"/>
  <c r="O985" i="99" s="1"/>
  <c r="N934" i="99"/>
  <c r="O934" i="99" s="1"/>
  <c r="N885" i="99"/>
  <c r="O885" i="99" s="1"/>
  <c r="N817" i="99"/>
  <c r="O817" i="99" s="1"/>
  <c r="N752" i="99"/>
  <c r="O752" i="99" s="1"/>
  <c r="N729" i="99"/>
  <c r="O729" i="99" s="1"/>
  <c r="N708" i="99"/>
  <c r="O708" i="99" s="1"/>
  <c r="N643" i="99"/>
  <c r="O643" i="99" s="1"/>
  <c r="N622" i="99"/>
  <c r="O622" i="99" s="1"/>
  <c r="N581" i="99"/>
  <c r="O581" i="99" s="1"/>
  <c r="N516" i="99"/>
  <c r="O516" i="99" s="1"/>
  <c r="N512" i="99"/>
  <c r="O512" i="99" s="1"/>
  <c r="N402" i="99"/>
  <c r="O402" i="99" s="1"/>
  <c r="N374" i="99"/>
  <c r="O374" i="99" s="1"/>
  <c r="N354" i="99"/>
  <c r="O354" i="99" s="1"/>
  <c r="N989" i="99"/>
  <c r="O989" i="99" s="1"/>
  <c r="N954" i="99"/>
  <c r="O954" i="99" s="1"/>
  <c r="N1023" i="99"/>
  <c r="O1023" i="99" s="1"/>
  <c r="N987" i="99"/>
  <c r="O987" i="99" s="1"/>
  <c r="N919" i="99"/>
  <c r="O919" i="99" s="1"/>
  <c r="N858" i="99"/>
  <c r="O858" i="99" s="1"/>
  <c r="N829" i="99"/>
  <c r="O829" i="99" s="1"/>
  <c r="N801" i="99"/>
  <c r="O801" i="99" s="1"/>
  <c r="N772" i="99"/>
  <c r="O772" i="99" s="1"/>
  <c r="N718" i="99"/>
  <c r="O718" i="99" s="1"/>
  <c r="N582" i="99"/>
  <c r="O582" i="99" s="1"/>
  <c r="N530" i="99"/>
  <c r="O530" i="99" s="1"/>
  <c r="N506" i="99"/>
  <c r="O506" i="99" s="1"/>
  <c r="N497" i="99"/>
  <c r="O497" i="99" s="1"/>
  <c r="N483" i="99"/>
  <c r="O483" i="99" s="1"/>
  <c r="N1022" i="99"/>
  <c r="O1022" i="99" s="1"/>
  <c r="N953" i="99"/>
  <c r="O953" i="99" s="1"/>
  <c r="N984" i="99"/>
  <c r="O984" i="99" s="1"/>
  <c r="N952" i="99"/>
  <c r="O952" i="99" s="1"/>
  <c r="N917" i="99"/>
  <c r="O917" i="99" s="1"/>
  <c r="N857" i="99"/>
  <c r="O857" i="99" s="1"/>
  <c r="N827" i="99"/>
  <c r="O827" i="99" s="1"/>
  <c r="N771" i="99"/>
  <c r="O771" i="99" s="1"/>
  <c r="N744" i="99"/>
  <c r="O744" i="99" s="1"/>
  <c r="N715" i="99"/>
  <c r="O715" i="99" s="1"/>
  <c r="N689" i="99"/>
  <c r="O689" i="99" s="1"/>
  <c r="N580" i="99"/>
  <c r="O580" i="99" s="1"/>
  <c r="N565" i="99"/>
  <c r="O565" i="99" s="1"/>
  <c r="N515" i="99"/>
  <c r="O515" i="99" s="1"/>
  <c r="N478" i="99"/>
  <c r="O478" i="99" s="1"/>
  <c r="N856" i="99"/>
  <c r="O856" i="99" s="1"/>
  <c r="N798" i="99"/>
  <c r="O798" i="99" s="1"/>
  <c r="N1018" i="99"/>
  <c r="O1018" i="99" s="1"/>
  <c r="N914" i="99"/>
  <c r="O914" i="99" s="1"/>
  <c r="N855" i="99"/>
  <c r="O855" i="99" s="1"/>
  <c r="N823" i="99"/>
  <c r="O823" i="99" s="1"/>
  <c r="N769" i="99"/>
  <c r="O769" i="99" s="1"/>
  <c r="N713" i="99"/>
  <c r="O713" i="99" s="1"/>
  <c r="N685" i="99"/>
  <c r="O685" i="99" s="1"/>
  <c r="N629" i="99"/>
  <c r="O629" i="99" s="1"/>
  <c r="N577" i="99"/>
  <c r="O577" i="99" s="1"/>
  <c r="N559" i="99"/>
  <c r="O559" i="99" s="1"/>
  <c r="N877" i="99"/>
  <c r="O877" i="99" s="1"/>
  <c r="N790" i="99"/>
  <c r="O790" i="99" s="1"/>
  <c r="N707" i="99"/>
  <c r="O707" i="99" s="1"/>
  <c r="N653" i="99"/>
  <c r="O653" i="99" s="1"/>
  <c r="N598" i="99"/>
  <c r="O598" i="99" s="1"/>
  <c r="N548" i="99"/>
  <c r="O548" i="99" s="1"/>
  <c r="N528" i="99"/>
  <c r="O528" i="99" s="1"/>
  <c r="N509" i="99"/>
  <c r="O509" i="99" s="1"/>
  <c r="N472" i="99"/>
  <c r="O472" i="99" s="1"/>
  <c r="N974" i="99"/>
  <c r="O974" i="99" s="1"/>
  <c r="N906" i="99"/>
  <c r="O906" i="99" s="1"/>
  <c r="N845" i="99"/>
  <c r="O845" i="99" s="1"/>
  <c r="N818" i="99"/>
  <c r="O818" i="99" s="1"/>
  <c r="N735" i="99"/>
  <c r="O735" i="99" s="1"/>
  <c r="N679" i="99"/>
  <c r="O679" i="99" s="1"/>
  <c r="N652" i="99"/>
  <c r="O652" i="99" s="1"/>
  <c r="N624" i="99"/>
  <c r="O624" i="99" s="1"/>
  <c r="N563" i="99"/>
  <c r="O563" i="99" s="1"/>
  <c r="N538" i="99"/>
  <c r="O538" i="99" s="1"/>
  <c r="N523" i="99"/>
  <c r="O523" i="99" s="1"/>
  <c r="N495" i="99"/>
  <c r="O495" i="99" s="1"/>
  <c r="N357" i="99"/>
  <c r="O357" i="99" s="1"/>
  <c r="N350" i="99"/>
  <c r="O350" i="99" s="1"/>
  <c r="N343" i="99"/>
  <c r="O343" i="99" s="1"/>
  <c r="N814" i="99"/>
  <c r="O814" i="99" s="1"/>
  <c r="N788" i="99"/>
  <c r="O788" i="99" s="1"/>
  <c r="N759" i="99"/>
  <c r="O759" i="99" s="1"/>
  <c r="N731" i="99"/>
  <c r="O731" i="99" s="1"/>
  <c r="N705" i="99"/>
  <c r="O705" i="99" s="1"/>
  <c r="N677" i="99"/>
  <c r="O677" i="99" s="1"/>
  <c r="N647" i="99"/>
  <c r="O647" i="99" s="1"/>
  <c r="N573" i="99"/>
  <c r="O573" i="99" s="1"/>
  <c r="N547" i="99"/>
  <c r="O547" i="99" s="1"/>
  <c r="N339" i="99"/>
  <c r="O339" i="99" s="1"/>
  <c r="N332" i="99"/>
  <c r="O332" i="99" s="1"/>
  <c r="N315" i="99"/>
  <c r="O315" i="99" s="1"/>
  <c r="N1004" i="99"/>
  <c r="O1004" i="99" s="1"/>
  <c r="N935" i="99"/>
  <c r="O935" i="99" s="1"/>
  <c r="N903" i="99"/>
  <c r="O903" i="99" s="1"/>
  <c r="N873" i="99"/>
  <c r="O873" i="99" s="1"/>
  <c r="N843" i="99"/>
  <c r="O843" i="99" s="1"/>
  <c r="N787" i="99"/>
  <c r="O787" i="99" s="1"/>
  <c r="N757" i="99"/>
  <c r="O757" i="99" s="1"/>
  <c r="N703" i="99"/>
  <c r="O703" i="99" s="1"/>
  <c r="N676" i="99"/>
  <c r="O676" i="99" s="1"/>
  <c r="N620" i="99"/>
  <c r="O620" i="99" s="1"/>
  <c r="N594" i="99"/>
  <c r="O594" i="99" s="1"/>
  <c r="N537" i="99"/>
  <c r="O537" i="99" s="1"/>
  <c r="N532" i="99"/>
  <c r="O532" i="99" s="1"/>
  <c r="N508" i="99"/>
  <c r="O508" i="99" s="1"/>
  <c r="N499" i="99"/>
  <c r="O499" i="99" s="1"/>
  <c r="N458" i="99"/>
  <c r="O458" i="99" s="1"/>
  <c r="N445" i="99"/>
  <c r="O445" i="99" s="1"/>
  <c r="N420" i="99"/>
  <c r="O420" i="99" s="1"/>
  <c r="N416" i="99"/>
  <c r="O416" i="99" s="1"/>
  <c r="N389" i="99"/>
  <c r="O389" i="99" s="1"/>
  <c r="N378" i="99"/>
  <c r="O378" i="99" s="1"/>
  <c r="N1019" i="99"/>
  <c r="O1019" i="99" s="1"/>
  <c r="N879" i="99"/>
  <c r="O879" i="99" s="1"/>
  <c r="N838" i="99"/>
  <c r="O838" i="99" s="1"/>
  <c r="N966" i="99"/>
  <c r="O966" i="99" s="1"/>
  <c r="N923" i="99"/>
  <c r="O923" i="99" s="1"/>
  <c r="N802" i="99"/>
  <c r="O802" i="99" s="1"/>
  <c r="N765" i="99"/>
  <c r="O765" i="99" s="1"/>
  <c r="N727" i="99"/>
  <c r="O727" i="99" s="1"/>
  <c r="N693" i="99"/>
  <c r="O693" i="99" s="1"/>
  <c r="N659" i="99"/>
  <c r="O659" i="99" s="1"/>
  <c r="N623" i="99"/>
  <c r="O623" i="99" s="1"/>
  <c r="N564" i="99"/>
  <c r="O564" i="99" s="1"/>
  <c r="N557" i="99"/>
  <c r="O557" i="99" s="1"/>
  <c r="N456" i="99"/>
  <c r="O456" i="99" s="1"/>
  <c r="N421" i="99"/>
  <c r="O421" i="99" s="1"/>
  <c r="N359" i="99"/>
  <c r="O359" i="99" s="1"/>
  <c r="N344" i="99"/>
  <c r="O344" i="99" s="1"/>
  <c r="N300" i="99"/>
  <c r="O300" i="99" s="1"/>
  <c r="N279" i="99"/>
  <c r="O279" i="99" s="1"/>
  <c r="N1016" i="99"/>
  <c r="O1016" i="99" s="1"/>
  <c r="N920" i="99"/>
  <c r="O920" i="99" s="1"/>
  <c r="N878" i="99"/>
  <c r="O878" i="99" s="1"/>
  <c r="N837" i="99"/>
  <c r="O837" i="99" s="1"/>
  <c r="N658" i="99"/>
  <c r="O658" i="99" s="1"/>
  <c r="N621" i="99"/>
  <c r="O621" i="99" s="1"/>
  <c r="N588" i="99"/>
  <c r="O588" i="99" s="1"/>
  <c r="N544" i="99"/>
  <c r="O544" i="99" s="1"/>
  <c r="N501" i="99"/>
  <c r="O501" i="99" s="1"/>
  <c r="N489" i="99"/>
  <c r="O489" i="99" s="1"/>
  <c r="N461" i="99"/>
  <c r="O461" i="99" s="1"/>
  <c r="N430" i="99"/>
  <c r="O430" i="99" s="1"/>
  <c r="N329" i="99"/>
  <c r="O329" i="99" s="1"/>
  <c r="N918" i="99"/>
  <c r="O918" i="99" s="1"/>
  <c r="N876" i="99"/>
  <c r="O876" i="99" s="1"/>
  <c r="N764" i="99"/>
  <c r="O764" i="99" s="1"/>
  <c r="N726" i="99"/>
  <c r="O726" i="99" s="1"/>
  <c r="N960" i="99"/>
  <c r="O960" i="99" s="1"/>
  <c r="N913" i="99"/>
  <c r="O913" i="99" s="1"/>
  <c r="N872" i="99"/>
  <c r="O872" i="99" s="1"/>
  <c r="N1010" i="99"/>
  <c r="O1010" i="99" s="1"/>
  <c r="N871" i="99"/>
  <c r="O871" i="99" s="1"/>
  <c r="N835" i="99"/>
  <c r="O835" i="99" s="1"/>
  <c r="N793" i="99"/>
  <c r="O793" i="99" s="1"/>
  <c r="N655" i="99"/>
  <c r="O655" i="99" s="1"/>
  <c r="N617" i="99"/>
  <c r="O617" i="99" s="1"/>
  <c r="N550" i="99"/>
  <c r="O550" i="99" s="1"/>
  <c r="N494" i="99"/>
  <c r="O494" i="99" s="1"/>
  <c r="N455" i="99"/>
  <c r="O455" i="99" s="1"/>
  <c r="N950" i="99"/>
  <c r="O950" i="99" s="1"/>
  <c r="N751" i="99"/>
  <c r="O751" i="99" s="1"/>
  <c r="N716" i="99"/>
  <c r="O716" i="99" s="1"/>
  <c r="N681" i="99"/>
  <c r="O681" i="99" s="1"/>
  <c r="N644" i="99"/>
  <c r="O644" i="99" s="1"/>
  <c r="N611" i="99"/>
  <c r="O611" i="99" s="1"/>
  <c r="N555" i="99"/>
  <c r="O555" i="99" s="1"/>
  <c r="N529" i="99"/>
  <c r="O529" i="99" s="1"/>
  <c r="N511" i="99"/>
  <c r="O511" i="99" s="1"/>
  <c r="N493" i="99"/>
  <c r="O493" i="99" s="1"/>
  <c r="N470" i="99"/>
  <c r="O470" i="99" s="1"/>
  <c r="N419" i="99"/>
  <c r="O419" i="99" s="1"/>
  <c r="N393" i="99"/>
  <c r="O393" i="99" s="1"/>
  <c r="N335" i="99"/>
  <c r="O335" i="99" s="1"/>
  <c r="N994" i="99"/>
  <c r="O994" i="99" s="1"/>
  <c r="N902" i="99"/>
  <c r="O902" i="99" s="1"/>
  <c r="N822" i="99"/>
  <c r="O822" i="99" s="1"/>
  <c r="N786" i="99"/>
  <c r="O786" i="99" s="1"/>
  <c r="N749" i="99"/>
  <c r="O749" i="99" s="1"/>
  <c r="N680" i="99"/>
  <c r="O680" i="99" s="1"/>
  <c r="N576" i="99"/>
  <c r="O576" i="99" s="1"/>
  <c r="N438" i="99"/>
  <c r="O438" i="99" s="1"/>
  <c r="N428" i="99"/>
  <c r="O428" i="99" s="1"/>
  <c r="N410" i="99"/>
  <c r="O410" i="99" s="1"/>
  <c r="N365" i="99"/>
  <c r="O365" i="99" s="1"/>
  <c r="N324" i="99"/>
  <c r="O324" i="99" s="1"/>
  <c r="N295" i="99"/>
  <c r="O295" i="99" s="1"/>
  <c r="N281" i="99"/>
  <c r="O281" i="99" s="1"/>
  <c r="N264" i="99"/>
  <c r="O264" i="99" s="1"/>
  <c r="N247" i="99"/>
  <c r="O247" i="99" s="1"/>
  <c r="N240" i="99"/>
  <c r="O240" i="99" s="1"/>
  <c r="N223" i="99"/>
  <c r="O223" i="99" s="1"/>
  <c r="N206" i="99"/>
  <c r="O206" i="99" s="1"/>
  <c r="N145" i="99"/>
  <c r="O145" i="99" s="1"/>
  <c r="N992" i="99"/>
  <c r="O992" i="99" s="1"/>
  <c r="N900" i="99"/>
  <c r="O900" i="99" s="1"/>
  <c r="N820" i="99"/>
  <c r="O820" i="99" s="1"/>
  <c r="N781" i="99"/>
  <c r="O781" i="99" s="1"/>
  <c r="N747" i="99"/>
  <c r="O747" i="99" s="1"/>
  <c r="N711" i="99"/>
  <c r="O711" i="99" s="1"/>
  <c r="N674" i="99"/>
  <c r="O674" i="99" s="1"/>
  <c r="N607" i="99"/>
  <c r="O607" i="99" s="1"/>
  <c r="N567" i="99"/>
  <c r="O567" i="99" s="1"/>
  <c r="N554" i="99"/>
  <c r="O554" i="99" s="1"/>
  <c r="N504" i="99"/>
  <c r="O504" i="99" s="1"/>
  <c r="N498" i="99"/>
  <c r="O498" i="99" s="1"/>
  <c r="N475" i="99"/>
  <c r="O475" i="99" s="1"/>
  <c r="N423" i="99"/>
  <c r="O423" i="99" s="1"/>
  <c r="N361" i="99"/>
  <c r="O361" i="99" s="1"/>
  <c r="N342" i="99"/>
  <c r="O342" i="99" s="1"/>
  <c r="N320" i="99"/>
  <c r="O320" i="99" s="1"/>
  <c r="N940" i="99"/>
  <c r="O940" i="99" s="1"/>
  <c r="N819" i="99"/>
  <c r="O819" i="99" s="1"/>
  <c r="N780" i="99"/>
  <c r="O780" i="99" s="1"/>
  <c r="N710" i="99"/>
  <c r="O710" i="99" s="1"/>
  <c r="N640" i="99"/>
  <c r="O640" i="99" s="1"/>
  <c r="N574" i="99"/>
  <c r="O574" i="99" s="1"/>
  <c r="N384" i="99"/>
  <c r="O384" i="99" s="1"/>
  <c r="N309" i="99"/>
  <c r="O309" i="99" s="1"/>
  <c r="N298" i="99"/>
  <c r="O298" i="99" s="1"/>
  <c r="N284" i="99"/>
  <c r="O284" i="99" s="1"/>
  <c r="N267" i="99"/>
  <c r="O267" i="99" s="1"/>
  <c r="N243" i="99"/>
  <c r="O243" i="99" s="1"/>
  <c r="N226" i="99"/>
  <c r="O226" i="99" s="1"/>
  <c r="N209" i="99"/>
  <c r="O209" i="99" s="1"/>
  <c r="N128" i="99"/>
  <c r="O128" i="99" s="1"/>
  <c r="N936" i="99"/>
  <c r="O936" i="99" s="1"/>
  <c r="N894" i="99"/>
  <c r="O894" i="99" s="1"/>
  <c r="N779" i="99"/>
  <c r="O779" i="99" s="1"/>
  <c r="N745" i="99"/>
  <c r="O745" i="99" s="1"/>
  <c r="N709" i="99"/>
  <c r="O709" i="99" s="1"/>
  <c r="N672" i="99"/>
  <c r="O672" i="99" s="1"/>
  <c r="N603" i="99"/>
  <c r="O603" i="99" s="1"/>
  <c r="N480" i="99"/>
  <c r="O480" i="99" s="1"/>
  <c r="N442" i="99"/>
  <c r="O442" i="99" s="1"/>
  <c r="N432" i="99"/>
  <c r="O432" i="99" s="1"/>
  <c r="N418" i="99"/>
  <c r="O418" i="99" s="1"/>
  <c r="N405" i="99"/>
  <c r="O405" i="99" s="1"/>
  <c r="N396" i="99"/>
  <c r="O396" i="99" s="1"/>
  <c r="N392" i="99"/>
  <c r="O392" i="99" s="1"/>
  <c r="N971" i="99"/>
  <c r="O971" i="99" s="1"/>
  <c r="N925" i="99"/>
  <c r="O925" i="99" s="1"/>
  <c r="N881" i="99"/>
  <c r="O881" i="99" s="1"/>
  <c r="N841" i="99"/>
  <c r="O841" i="99" s="1"/>
  <c r="N1015" i="99"/>
  <c r="O1015" i="99" s="1"/>
  <c r="N809" i="99"/>
  <c r="O809" i="99" s="1"/>
  <c r="N756" i="99"/>
  <c r="O756" i="99" s="1"/>
  <c r="N490" i="99"/>
  <c r="O490" i="99" s="1"/>
  <c r="N460" i="99"/>
  <c r="O460" i="99" s="1"/>
  <c r="N446" i="99"/>
  <c r="O446" i="99" s="1"/>
  <c r="N373" i="99"/>
  <c r="O373" i="99" s="1"/>
  <c r="N368" i="99"/>
  <c r="O368" i="99" s="1"/>
  <c r="N318" i="99"/>
  <c r="O318" i="99" s="1"/>
  <c r="N305" i="99"/>
  <c r="O305" i="99" s="1"/>
  <c r="N280" i="99"/>
  <c r="O280" i="99" s="1"/>
  <c r="N276" i="99"/>
  <c r="O276" i="99" s="1"/>
  <c r="N1006" i="99"/>
  <c r="O1006" i="99" s="1"/>
  <c r="N808" i="99"/>
  <c r="O808" i="99" s="1"/>
  <c r="N706" i="99"/>
  <c r="O706" i="99" s="1"/>
  <c r="N662" i="99"/>
  <c r="O662" i="99" s="1"/>
  <c r="N615" i="99"/>
  <c r="O615" i="99" s="1"/>
  <c r="N864" i="99"/>
  <c r="O864" i="99" s="1"/>
  <c r="N755" i="99"/>
  <c r="O755" i="99" s="1"/>
  <c r="N661" i="99"/>
  <c r="O661" i="99" s="1"/>
  <c r="N521" i="99"/>
  <c r="O521" i="99" s="1"/>
  <c r="N482" i="99"/>
  <c r="O482" i="99" s="1"/>
  <c r="N349" i="99"/>
  <c r="O349" i="99" s="1"/>
  <c r="N288" i="99"/>
  <c r="O288" i="99" s="1"/>
  <c r="N260" i="99"/>
  <c r="O260" i="99" s="1"/>
  <c r="N241" i="99"/>
  <c r="O241" i="99" s="1"/>
  <c r="N222" i="99"/>
  <c r="O222" i="99" s="1"/>
  <c r="N207" i="99"/>
  <c r="O207" i="99" s="1"/>
  <c r="N807" i="99"/>
  <c r="O807" i="99" s="1"/>
  <c r="N754" i="99"/>
  <c r="O754" i="99" s="1"/>
  <c r="N660" i="99"/>
  <c r="O660" i="99" s="1"/>
  <c r="N614" i="99"/>
  <c r="O614" i="99" s="1"/>
  <c r="N546" i="99"/>
  <c r="O546" i="99" s="1"/>
  <c r="N1003" i="99"/>
  <c r="O1003" i="99" s="1"/>
  <c r="N804" i="99"/>
  <c r="O804" i="99" s="1"/>
  <c r="N753" i="99"/>
  <c r="O753" i="99" s="1"/>
  <c r="N609" i="99"/>
  <c r="O609" i="99" s="1"/>
  <c r="N426" i="99"/>
  <c r="O426" i="99" s="1"/>
  <c r="N377" i="99"/>
  <c r="O377" i="99" s="1"/>
  <c r="N372" i="99"/>
  <c r="O372" i="99" s="1"/>
  <c r="N326" i="99"/>
  <c r="O326" i="99" s="1"/>
  <c r="N991" i="99"/>
  <c r="O991" i="99" s="1"/>
  <c r="N979" i="99"/>
  <c r="O979" i="99" s="1"/>
  <c r="N844" i="99"/>
  <c r="O844" i="99" s="1"/>
  <c r="N789" i="99"/>
  <c r="O789" i="99" s="1"/>
  <c r="N738" i="99"/>
  <c r="O738" i="99" s="1"/>
  <c r="N642" i="99"/>
  <c r="O642" i="99" s="1"/>
  <c r="N597" i="99"/>
  <c r="O597" i="99" s="1"/>
  <c r="N487" i="99"/>
  <c r="O487" i="99" s="1"/>
  <c r="N407" i="99"/>
  <c r="O407" i="99" s="1"/>
  <c r="N371" i="99"/>
  <c r="O371" i="99" s="1"/>
  <c r="N312" i="99"/>
  <c r="O312" i="99" s="1"/>
  <c r="N255" i="99"/>
  <c r="O255" i="99" s="1"/>
  <c r="N232" i="99"/>
  <c r="O232" i="99" s="1"/>
  <c r="N217" i="99"/>
  <c r="O217" i="99" s="1"/>
  <c r="N180" i="99"/>
  <c r="O180" i="99" s="1"/>
  <c r="N90" i="99"/>
  <c r="O90" i="99" s="1"/>
  <c r="N977" i="99"/>
  <c r="O977" i="99" s="1"/>
  <c r="N904" i="99"/>
  <c r="O904" i="99" s="1"/>
  <c r="N737" i="99"/>
  <c r="O737" i="99" s="1"/>
  <c r="N691" i="99"/>
  <c r="O691" i="99" s="1"/>
  <c r="N641" i="99"/>
  <c r="O641" i="99" s="1"/>
  <c r="N570" i="99"/>
  <c r="O570" i="99" s="1"/>
  <c r="N535" i="99"/>
  <c r="O535" i="99" s="1"/>
  <c r="N479" i="99"/>
  <c r="O479" i="99" s="1"/>
  <c r="N316" i="99"/>
  <c r="O316" i="99" s="1"/>
  <c r="N198" i="99"/>
  <c r="O198" i="99" s="1"/>
  <c r="N169" i="99"/>
  <c r="O169" i="99" s="1"/>
  <c r="N137" i="99"/>
  <c r="O137" i="99" s="1"/>
  <c r="N120" i="99"/>
  <c r="O120" i="99" s="1"/>
  <c r="N80" i="99"/>
  <c r="O80" i="99" s="1"/>
  <c r="N975" i="99"/>
  <c r="O975" i="99" s="1"/>
  <c r="N683" i="99"/>
  <c r="O683" i="99" s="1"/>
  <c r="N385" i="99"/>
  <c r="O385" i="99" s="1"/>
  <c r="N294" i="99"/>
  <c r="O294" i="99" s="1"/>
  <c r="N290" i="99"/>
  <c r="O290" i="99" s="1"/>
  <c r="N286" i="99"/>
  <c r="O286" i="99" s="1"/>
  <c r="N278" i="99"/>
  <c r="O278" i="99" s="1"/>
  <c r="N274" i="99"/>
  <c r="O274" i="99" s="1"/>
  <c r="N266" i="99"/>
  <c r="O266" i="99" s="1"/>
  <c r="N239" i="99"/>
  <c r="O239" i="99" s="1"/>
  <c r="N893" i="99"/>
  <c r="O893" i="99" s="1"/>
  <c r="N637" i="99"/>
  <c r="O637" i="99" s="1"/>
  <c r="N463" i="99"/>
  <c r="O463" i="99" s="1"/>
  <c r="N449" i="99"/>
  <c r="O449" i="99" s="1"/>
  <c r="N370" i="99"/>
  <c r="O370" i="99" s="1"/>
  <c r="N307" i="99"/>
  <c r="O307" i="99" s="1"/>
  <c r="N892" i="99"/>
  <c r="O892" i="99" s="1"/>
  <c r="N633" i="99"/>
  <c r="O633" i="99" s="1"/>
  <c r="N525" i="99"/>
  <c r="O525" i="99" s="1"/>
  <c r="N400" i="99"/>
  <c r="O400" i="99" s="1"/>
  <c r="N356" i="99"/>
  <c r="O356" i="99" s="1"/>
  <c r="N333" i="99"/>
  <c r="O333" i="99" s="1"/>
  <c r="N235" i="99"/>
  <c r="O235" i="99" s="1"/>
  <c r="N220" i="99"/>
  <c r="O220" i="99" s="1"/>
  <c r="N1002" i="99"/>
  <c r="O1002" i="99" s="1"/>
  <c r="N887" i="99"/>
  <c r="O887" i="99" s="1"/>
  <c r="N797" i="99"/>
  <c r="O797" i="99" s="1"/>
  <c r="N725" i="99"/>
  <c r="O725" i="99" s="1"/>
  <c r="N657" i="99"/>
  <c r="O657" i="99" s="1"/>
  <c r="N590" i="99"/>
  <c r="O590" i="99" s="1"/>
  <c r="N466" i="99"/>
  <c r="O466" i="99" s="1"/>
  <c r="N414" i="99"/>
  <c r="O414" i="99" s="1"/>
  <c r="N323" i="99"/>
  <c r="O323" i="99" s="1"/>
  <c r="N306" i="99"/>
  <c r="O306" i="99" s="1"/>
  <c r="N259" i="99"/>
  <c r="O259" i="99" s="1"/>
  <c r="N212" i="99"/>
  <c r="O212" i="99" s="1"/>
  <c r="N155" i="99"/>
  <c r="O155" i="99" s="1"/>
  <c r="N151" i="99"/>
  <c r="O151" i="99" s="1"/>
  <c r="N129" i="99"/>
  <c r="O129" i="99" s="1"/>
  <c r="N118" i="99"/>
  <c r="O118" i="99" s="1"/>
  <c r="N93" i="99"/>
  <c r="O93" i="99" s="1"/>
  <c r="N86" i="99"/>
  <c r="O86" i="99" s="1"/>
  <c r="N79" i="99"/>
  <c r="O79" i="99" s="1"/>
  <c r="N72" i="99"/>
  <c r="O72" i="99" s="1"/>
  <c r="N62" i="99"/>
  <c r="O62" i="99" s="1"/>
  <c r="N36" i="99"/>
  <c r="O36" i="99" s="1"/>
  <c r="N796" i="99"/>
  <c r="O796" i="99" s="1"/>
  <c r="N353" i="99"/>
  <c r="O353" i="99" s="1"/>
  <c r="N341" i="99"/>
  <c r="O341" i="99" s="1"/>
  <c r="N990" i="99"/>
  <c r="O990" i="99" s="1"/>
  <c r="N884" i="99"/>
  <c r="O884" i="99" s="1"/>
  <c r="N724" i="99"/>
  <c r="O724" i="99" s="1"/>
  <c r="N656" i="99"/>
  <c r="O656" i="99" s="1"/>
  <c r="N507" i="99"/>
  <c r="O507" i="99" s="1"/>
  <c r="N496" i="99"/>
  <c r="O496" i="99" s="1"/>
  <c r="N983" i="99"/>
  <c r="O983" i="99" s="1"/>
  <c r="N883" i="99"/>
  <c r="O883" i="99" s="1"/>
  <c r="N792" i="99"/>
  <c r="O792" i="99" s="1"/>
  <c r="N586" i="99"/>
  <c r="O586" i="99" s="1"/>
  <c r="N982" i="99"/>
  <c r="O982" i="99" s="1"/>
  <c r="N723" i="99"/>
  <c r="O723" i="99" s="1"/>
  <c r="N650" i="99"/>
  <c r="O650" i="99" s="1"/>
  <c r="N585" i="99"/>
  <c r="O585" i="99" s="1"/>
  <c r="N527" i="99"/>
  <c r="O527" i="99" s="1"/>
  <c r="N317" i="99"/>
  <c r="O317" i="99" s="1"/>
  <c r="N221" i="99"/>
  <c r="O221" i="99" s="1"/>
  <c r="N186" i="99"/>
  <c r="O186" i="99" s="1"/>
  <c r="N125" i="99"/>
  <c r="O125" i="99" s="1"/>
  <c r="N107" i="99"/>
  <c r="O107" i="99" s="1"/>
  <c r="N791" i="99"/>
  <c r="O791" i="99" s="1"/>
  <c r="N721" i="99"/>
  <c r="O721" i="99" s="1"/>
  <c r="N583" i="99"/>
  <c r="O583" i="99" s="1"/>
  <c r="N429" i="99"/>
  <c r="O429" i="99" s="1"/>
  <c r="N328" i="99"/>
  <c r="O328" i="99" s="1"/>
  <c r="N216" i="99"/>
  <c r="O216" i="99" s="1"/>
  <c r="N203" i="99"/>
  <c r="O203" i="99" s="1"/>
  <c r="N190" i="99"/>
  <c r="O190" i="99" s="1"/>
  <c r="N166" i="99"/>
  <c r="O166" i="99" s="1"/>
  <c r="N143" i="99"/>
  <c r="O143" i="99" s="1"/>
  <c r="N114" i="99"/>
  <c r="O114" i="99" s="1"/>
  <c r="N646" i="99"/>
  <c r="O646" i="99" s="1"/>
  <c r="N465" i="99"/>
  <c r="O465" i="99" s="1"/>
  <c r="N346" i="99"/>
  <c r="O346" i="99" s="1"/>
  <c r="N334" i="99"/>
  <c r="O334" i="99" s="1"/>
  <c r="N273" i="99"/>
  <c r="O273" i="99" s="1"/>
  <c r="N253" i="99"/>
  <c r="O253" i="99" s="1"/>
  <c r="N244" i="99"/>
  <c r="O244" i="99" s="1"/>
  <c r="N230" i="99"/>
  <c r="O230" i="99" s="1"/>
  <c r="N158" i="99"/>
  <c r="O158" i="99" s="1"/>
  <c r="N967" i="99"/>
  <c r="O967" i="99" s="1"/>
  <c r="N645" i="99"/>
  <c r="O645" i="99" s="1"/>
  <c r="N474" i="99"/>
  <c r="O474" i="99" s="1"/>
  <c r="N957" i="99"/>
  <c r="O957" i="99" s="1"/>
  <c r="N956" i="99"/>
  <c r="O956" i="99" s="1"/>
  <c r="N638" i="99"/>
  <c r="O638" i="99" s="1"/>
  <c r="N942" i="99"/>
  <c r="O942" i="99" s="1"/>
  <c r="N848" i="99"/>
  <c r="O848" i="99" s="1"/>
  <c r="N321" i="99"/>
  <c r="O321" i="99" s="1"/>
  <c r="N282" i="99"/>
  <c r="O282" i="99" s="1"/>
  <c r="N272" i="99"/>
  <c r="O272" i="99" s="1"/>
  <c r="N252" i="99"/>
  <c r="O252" i="99" s="1"/>
  <c r="N238" i="99"/>
  <c r="O238" i="99" s="1"/>
  <c r="N224" i="99"/>
  <c r="O224" i="99" s="1"/>
  <c r="N189" i="99"/>
  <c r="O189" i="99" s="1"/>
  <c r="N64" i="99"/>
  <c r="O64" i="99" s="1"/>
  <c r="N54" i="99"/>
  <c r="O54" i="99" s="1"/>
  <c r="N193" i="99"/>
  <c r="O193" i="99" s="1"/>
  <c r="N142" i="99"/>
  <c r="O142" i="99" s="1"/>
  <c r="N74" i="99"/>
  <c r="O74" i="99" s="1"/>
  <c r="N941" i="99"/>
  <c r="O941" i="99" s="1"/>
  <c r="N770" i="99"/>
  <c r="O770" i="99" s="1"/>
  <c r="N627" i="99"/>
  <c r="O627" i="99" s="1"/>
  <c r="N513" i="99"/>
  <c r="O513" i="99" s="1"/>
  <c r="N452" i="99"/>
  <c r="O452" i="99" s="1"/>
  <c r="N287" i="99"/>
  <c r="O287" i="99" s="1"/>
  <c r="N257" i="99"/>
  <c r="O257" i="99" s="1"/>
  <c r="N197" i="99"/>
  <c r="O197" i="99" s="1"/>
  <c r="N131" i="99"/>
  <c r="O131" i="99" s="1"/>
  <c r="N41" i="99"/>
  <c r="O41" i="99" s="1"/>
  <c r="N938" i="99"/>
  <c r="O938" i="99" s="1"/>
  <c r="N695" i="99"/>
  <c r="O695" i="99" s="1"/>
  <c r="N471" i="99"/>
  <c r="O471" i="99" s="1"/>
  <c r="N443" i="99"/>
  <c r="O443" i="99" s="1"/>
  <c r="N382" i="99"/>
  <c r="O382" i="99" s="1"/>
  <c r="N363" i="99"/>
  <c r="O363" i="99" s="1"/>
  <c r="N338" i="99"/>
  <c r="O338" i="99" s="1"/>
  <c r="N233" i="99"/>
  <c r="O233" i="99" s="1"/>
  <c r="N219" i="99"/>
  <c r="O219" i="99" s="1"/>
  <c r="N933" i="99"/>
  <c r="O933" i="99" s="1"/>
  <c r="N836" i="99"/>
  <c r="O836" i="99" s="1"/>
  <c r="N692" i="99"/>
  <c r="O692" i="99" s="1"/>
  <c r="N491" i="99"/>
  <c r="O491" i="99" s="1"/>
  <c r="N375" i="99"/>
  <c r="O375" i="99" s="1"/>
  <c r="N292" i="99"/>
  <c r="O292" i="99" s="1"/>
  <c r="N210" i="99"/>
  <c r="O210" i="99" s="1"/>
  <c r="N176" i="99"/>
  <c r="O176" i="99" s="1"/>
  <c r="N138" i="99"/>
  <c r="O138" i="99" s="1"/>
  <c r="N928" i="99"/>
  <c r="O928" i="99" s="1"/>
  <c r="N834" i="99"/>
  <c r="O834" i="99" s="1"/>
  <c r="N761" i="99"/>
  <c r="O761" i="99" s="1"/>
  <c r="N395" i="99"/>
  <c r="O395" i="99" s="1"/>
  <c r="N256" i="99"/>
  <c r="O256" i="99" s="1"/>
  <c r="N228" i="99"/>
  <c r="O228" i="99" s="1"/>
  <c r="N205" i="99"/>
  <c r="O205" i="99" s="1"/>
  <c r="N172" i="99"/>
  <c r="O172" i="99" s="1"/>
  <c r="N168" i="99"/>
  <c r="O168" i="99" s="1"/>
  <c r="N149" i="99"/>
  <c r="O149" i="99" s="1"/>
  <c r="N127" i="99"/>
  <c r="O127" i="99" s="1"/>
  <c r="N70" i="99"/>
  <c r="O70" i="99" s="1"/>
  <c r="N47" i="99"/>
  <c r="O47" i="99" s="1"/>
  <c r="N31" i="99"/>
  <c r="O31" i="99" s="1"/>
  <c r="N760" i="99"/>
  <c r="O760" i="99" s="1"/>
  <c r="N619" i="99"/>
  <c r="O619" i="99" s="1"/>
  <c r="N916" i="99"/>
  <c r="O916" i="99" s="1"/>
  <c r="N911" i="99"/>
  <c r="O911" i="99" s="1"/>
  <c r="N891" i="99"/>
  <c r="O891" i="99" s="1"/>
  <c r="N955" i="99"/>
  <c r="O955" i="99" s="1"/>
  <c r="N778" i="99"/>
  <c r="O778" i="99" s="1"/>
  <c r="N669" i="99"/>
  <c r="O669" i="99" s="1"/>
  <c r="N448" i="99"/>
  <c r="O448" i="99" s="1"/>
  <c r="N422" i="99"/>
  <c r="O422" i="99" s="1"/>
  <c r="N351" i="99"/>
  <c r="O351" i="99" s="1"/>
  <c r="N308" i="99"/>
  <c r="O308" i="99" s="1"/>
  <c r="N293" i="99"/>
  <c r="O293" i="99" s="1"/>
  <c r="N218" i="99"/>
  <c r="O218" i="99" s="1"/>
  <c r="N188" i="99"/>
  <c r="O188" i="99" s="1"/>
  <c r="N160" i="99"/>
  <c r="O160" i="99" s="1"/>
  <c r="N113" i="99"/>
  <c r="O113" i="99" s="1"/>
  <c r="N75" i="99"/>
  <c r="O75" i="99" s="1"/>
  <c r="N59" i="99"/>
  <c r="O59" i="99" s="1"/>
  <c r="N171" i="99"/>
  <c r="O171" i="99" s="1"/>
  <c r="N83" i="99"/>
  <c r="O83" i="99" s="1"/>
  <c r="N55" i="99"/>
  <c r="O55" i="99" s="1"/>
  <c r="N25" i="99"/>
  <c r="O25" i="99" s="1"/>
  <c r="N122" i="99"/>
  <c r="O122" i="99" s="1"/>
  <c r="N104" i="99"/>
  <c r="O104" i="99" s="1"/>
  <c r="N774" i="99"/>
  <c r="O774" i="99" s="1"/>
  <c r="N462" i="99"/>
  <c r="O462" i="99" s="1"/>
  <c r="N409" i="99"/>
  <c r="O409" i="99" s="1"/>
  <c r="N399" i="99"/>
  <c r="O399" i="99" s="1"/>
  <c r="N951" i="99"/>
  <c r="O951" i="99" s="1"/>
  <c r="N665" i="99"/>
  <c r="O665" i="99" s="1"/>
  <c r="N433" i="99"/>
  <c r="O433" i="99" s="1"/>
  <c r="N398" i="99"/>
  <c r="O398" i="99" s="1"/>
  <c r="N387" i="99"/>
  <c r="O387" i="99" s="1"/>
  <c r="N271" i="99"/>
  <c r="O271" i="99" s="1"/>
  <c r="N250" i="99"/>
  <c r="O250" i="99" s="1"/>
  <c r="N237" i="99"/>
  <c r="O237" i="99" s="1"/>
  <c r="N231" i="99"/>
  <c r="O231" i="99" s="1"/>
  <c r="N150" i="99"/>
  <c r="O150" i="99" s="1"/>
  <c r="N136" i="99"/>
  <c r="O136" i="99" s="1"/>
  <c r="N663" i="99"/>
  <c r="O663" i="99" s="1"/>
  <c r="N285" i="99"/>
  <c r="O285" i="99" s="1"/>
  <c r="N182" i="99"/>
  <c r="O182" i="99" s="1"/>
  <c r="N108" i="99"/>
  <c r="O108" i="99" s="1"/>
  <c r="N87" i="99"/>
  <c r="O87" i="99" s="1"/>
  <c r="N768" i="99"/>
  <c r="O768" i="99" s="1"/>
  <c r="N545" i="99"/>
  <c r="O545" i="99" s="1"/>
  <c r="N639" i="99"/>
  <c r="O639" i="99" s="1"/>
  <c r="N909" i="99"/>
  <c r="O909" i="99" s="1"/>
  <c r="N636" i="99"/>
  <c r="O636" i="99" s="1"/>
  <c r="N566" i="99"/>
  <c r="O566" i="99" s="1"/>
  <c r="N746" i="99"/>
  <c r="O746" i="99" s="1"/>
  <c r="N628" i="99"/>
  <c r="O628" i="99" s="1"/>
  <c r="N376" i="99"/>
  <c r="O376" i="99" s="1"/>
  <c r="N314" i="99"/>
  <c r="O314" i="99" s="1"/>
  <c r="N236" i="99"/>
  <c r="O236" i="99" s="1"/>
  <c r="N901" i="99"/>
  <c r="O901" i="99" s="1"/>
  <c r="N626" i="99"/>
  <c r="O626" i="99" s="1"/>
  <c r="N868" i="99"/>
  <c r="O868" i="99" s="1"/>
  <c r="N608" i="99"/>
  <c r="O608" i="99" s="1"/>
  <c r="N505" i="99"/>
  <c r="O505" i="99" s="1"/>
  <c r="N457" i="99"/>
  <c r="O457" i="99" s="1"/>
  <c r="N394" i="99"/>
  <c r="O394" i="99" s="1"/>
  <c r="N348" i="99"/>
  <c r="O348" i="99" s="1"/>
  <c r="N313" i="99"/>
  <c r="O313" i="99" s="1"/>
  <c r="N297" i="99"/>
  <c r="O297" i="99" s="1"/>
  <c r="N139" i="99"/>
  <c r="O139" i="99" s="1"/>
  <c r="N73" i="99"/>
  <c r="O73" i="99" s="1"/>
  <c r="N42" i="99"/>
  <c r="O42" i="99" s="1"/>
  <c r="N860" i="99"/>
  <c r="O860" i="99" s="1"/>
  <c r="N736" i="99"/>
  <c r="O736" i="99" s="1"/>
  <c r="N605" i="99"/>
  <c r="O605" i="99" s="1"/>
  <c r="N560" i="99"/>
  <c r="O560" i="99" s="1"/>
  <c r="N441" i="99"/>
  <c r="O441" i="99" s="1"/>
  <c r="N248" i="99"/>
  <c r="O248" i="99" s="1"/>
  <c r="N153" i="99"/>
  <c r="O153" i="99" s="1"/>
  <c r="N134" i="99"/>
  <c r="O134" i="99" s="1"/>
  <c r="N111" i="99"/>
  <c r="O111" i="99" s="1"/>
  <c r="N98" i="99"/>
  <c r="O98" i="99" s="1"/>
  <c r="N94" i="99"/>
  <c r="O94" i="99" s="1"/>
  <c r="N69" i="99"/>
  <c r="O69" i="99" s="1"/>
  <c r="N854" i="99"/>
  <c r="O854" i="99" s="1"/>
  <c r="N728" i="99"/>
  <c r="O728" i="99" s="1"/>
  <c r="N347" i="99"/>
  <c r="O347" i="99" s="1"/>
  <c r="N77" i="99"/>
  <c r="O77" i="99" s="1"/>
  <c r="N65" i="99"/>
  <c r="O65" i="99" s="1"/>
  <c r="N27" i="99"/>
  <c r="O27" i="99" s="1"/>
  <c r="N503" i="99"/>
  <c r="O503" i="99" s="1"/>
  <c r="N469" i="99"/>
  <c r="O469" i="99" s="1"/>
  <c r="N427" i="99"/>
  <c r="O427" i="99" s="1"/>
  <c r="N383" i="99"/>
  <c r="O383" i="99" s="1"/>
  <c r="N364" i="99"/>
  <c r="O364" i="99" s="1"/>
  <c r="N337" i="99"/>
  <c r="O337" i="99" s="1"/>
  <c r="N163" i="99"/>
  <c r="O163" i="99" s="1"/>
  <c r="N61" i="99"/>
  <c r="O61" i="99" s="1"/>
  <c r="N34" i="99"/>
  <c r="O34" i="99" s="1"/>
  <c r="N702" i="99"/>
  <c r="O702" i="99" s="1"/>
  <c r="N502" i="99"/>
  <c r="O502" i="99" s="1"/>
  <c r="N454" i="99"/>
  <c r="O454" i="99" s="1"/>
  <c r="N296" i="99"/>
  <c r="O296" i="99" s="1"/>
  <c r="N246" i="99"/>
  <c r="O246" i="99" s="1"/>
  <c r="N234" i="99"/>
  <c r="O234" i="99" s="1"/>
  <c r="N191" i="99"/>
  <c r="O191" i="99" s="1"/>
  <c r="N825" i="99"/>
  <c r="O825" i="99" s="1"/>
  <c r="N486" i="99"/>
  <c r="O486" i="99" s="1"/>
  <c r="N319" i="99"/>
  <c r="O319" i="99" s="1"/>
  <c r="N157" i="99"/>
  <c r="O157" i="99" s="1"/>
  <c r="N552" i="99"/>
  <c r="O552" i="99" s="1"/>
  <c r="N386" i="99"/>
  <c r="O386" i="99" s="1"/>
  <c r="N261" i="99"/>
  <c r="O261" i="99" s="1"/>
  <c r="N251" i="99"/>
  <c r="O251" i="99" s="1"/>
  <c r="N178" i="99"/>
  <c r="O178" i="99" s="1"/>
  <c r="N670" i="99"/>
  <c r="O670" i="99" s="1"/>
  <c r="N195" i="99"/>
  <c r="O195" i="99" s="1"/>
  <c r="N170" i="99"/>
  <c r="O170" i="99" s="1"/>
  <c r="N154" i="99"/>
  <c r="O154" i="99" s="1"/>
  <c r="N147" i="99"/>
  <c r="O147" i="99" s="1"/>
  <c r="N133" i="99"/>
  <c r="O133" i="99" s="1"/>
  <c r="N119" i="99"/>
  <c r="O119" i="99" s="1"/>
  <c r="N631" i="99"/>
  <c r="O631" i="99" s="1"/>
  <c r="N518" i="99"/>
  <c r="O518" i="99" s="1"/>
  <c r="N440" i="99"/>
  <c r="O440" i="99" s="1"/>
  <c r="N330" i="99"/>
  <c r="O330" i="99" s="1"/>
  <c r="N78" i="99"/>
  <c r="O78" i="99" s="1"/>
  <c r="N67" i="99"/>
  <c r="O67" i="99" s="1"/>
  <c r="N56" i="99"/>
  <c r="O56" i="99" s="1"/>
  <c r="N51" i="99"/>
  <c r="O51" i="99" s="1"/>
  <c r="N46" i="99"/>
  <c r="O46" i="99" s="1"/>
  <c r="N26" i="99"/>
  <c r="O26" i="99" s="1"/>
  <c r="N304" i="99"/>
  <c r="O304" i="99" s="1"/>
  <c r="N140" i="99"/>
  <c r="O140" i="99" s="1"/>
  <c r="N616" i="99"/>
  <c r="O616" i="99" s="1"/>
  <c r="N355" i="99"/>
  <c r="O355" i="99" s="1"/>
  <c r="N202" i="99"/>
  <c r="O202" i="99" s="1"/>
  <c r="N488" i="99"/>
  <c r="O488" i="99" s="1"/>
  <c r="N211" i="99"/>
  <c r="O211" i="99" s="1"/>
  <c r="N185" i="99"/>
  <c r="O185" i="99" s="1"/>
  <c r="N126" i="99"/>
  <c r="O126" i="99" s="1"/>
  <c r="N821" i="99"/>
  <c r="O821" i="99" s="1"/>
  <c r="N600" i="99"/>
  <c r="O600" i="99" s="1"/>
  <c r="N542" i="99"/>
  <c r="O542" i="99" s="1"/>
  <c r="N439" i="99"/>
  <c r="O439" i="99" s="1"/>
  <c r="N369" i="99"/>
  <c r="O369" i="99" s="1"/>
  <c r="N249" i="99"/>
  <c r="O249" i="99" s="1"/>
  <c r="N177" i="99"/>
  <c r="O177" i="99" s="1"/>
  <c r="N112" i="99"/>
  <c r="O112" i="99" s="1"/>
  <c r="N66" i="99"/>
  <c r="O66" i="99" s="1"/>
  <c r="N599" i="99"/>
  <c r="O599" i="99" s="1"/>
  <c r="N484" i="99"/>
  <c r="O484" i="99" s="1"/>
  <c r="N417" i="99"/>
  <c r="O417" i="99" s="1"/>
  <c r="N327" i="99"/>
  <c r="O327" i="99" s="1"/>
  <c r="N291" i="99"/>
  <c r="O291" i="99" s="1"/>
  <c r="N201" i="99"/>
  <c r="O201" i="99" s="1"/>
  <c r="N184" i="99"/>
  <c r="O184" i="99" s="1"/>
  <c r="N45" i="99"/>
  <c r="O45" i="99" s="1"/>
  <c r="N367" i="99"/>
  <c r="O367" i="99" s="1"/>
  <c r="N146" i="99"/>
  <c r="O146" i="99" s="1"/>
  <c r="N815" i="99"/>
  <c r="O815" i="99" s="1"/>
  <c r="N593" i="99"/>
  <c r="O593" i="99" s="1"/>
  <c r="N436" i="99"/>
  <c r="O436" i="99" s="1"/>
  <c r="N381" i="99"/>
  <c r="O381" i="99" s="1"/>
  <c r="N302" i="99"/>
  <c r="O302" i="99" s="1"/>
  <c r="N229" i="99"/>
  <c r="O229" i="99" s="1"/>
  <c r="N88" i="99"/>
  <c r="O88" i="99" s="1"/>
  <c r="N50" i="99"/>
  <c r="O50" i="99" s="1"/>
  <c r="N40" i="99"/>
  <c r="O40" i="99" s="1"/>
  <c r="N30" i="99"/>
  <c r="O30" i="99" s="1"/>
  <c r="N340" i="99"/>
  <c r="O340" i="99" s="1"/>
  <c r="N105" i="99"/>
  <c r="O105" i="99" s="1"/>
  <c r="N811" i="99"/>
  <c r="O811" i="99" s="1"/>
  <c r="N269" i="99"/>
  <c r="O269" i="99" s="1"/>
  <c r="N258" i="99"/>
  <c r="O258" i="99" s="1"/>
  <c r="N82" i="99"/>
  <c r="O82" i="99" s="1"/>
  <c r="N76" i="99"/>
  <c r="O76" i="99" s="1"/>
  <c r="N397" i="99"/>
  <c r="O397" i="99" s="1"/>
  <c r="N380" i="99"/>
  <c r="O380" i="99" s="1"/>
  <c r="N268" i="99"/>
  <c r="O268" i="99" s="1"/>
  <c r="N192" i="99"/>
  <c r="O192" i="99" s="1"/>
  <c r="N152" i="99"/>
  <c r="O152" i="99" s="1"/>
  <c r="N806" i="99"/>
  <c r="O806" i="99" s="1"/>
  <c r="N803" i="99"/>
  <c r="O803" i="99" s="1"/>
  <c r="N571" i="99"/>
  <c r="O571" i="99" s="1"/>
  <c r="N453" i="99"/>
  <c r="O453" i="99" s="1"/>
  <c r="N412" i="99"/>
  <c r="O412" i="99" s="1"/>
  <c r="N159" i="99"/>
  <c r="O159" i="99" s="1"/>
  <c r="N44" i="99"/>
  <c r="O44" i="99" s="1"/>
  <c r="N379" i="99"/>
  <c r="O379" i="99" s="1"/>
  <c r="N311" i="99"/>
  <c r="O311" i="99" s="1"/>
  <c r="N810" i="99"/>
  <c r="O810" i="99" s="1"/>
  <c r="N289" i="99"/>
  <c r="O289" i="99" s="1"/>
  <c r="N92" i="99"/>
  <c r="O92" i="99" s="1"/>
  <c r="N33" i="99"/>
  <c r="O33" i="99" s="1"/>
  <c r="N492" i="99"/>
  <c r="O492" i="99" s="1"/>
  <c r="N38" i="99"/>
  <c r="O38" i="99" s="1"/>
  <c r="N58" i="99"/>
  <c r="O58" i="99" s="1"/>
  <c r="N682" i="99"/>
  <c r="O682" i="99" s="1"/>
  <c r="N200" i="99"/>
  <c r="O200" i="99" s="1"/>
  <c r="N310" i="99"/>
  <c r="O310" i="99" s="1"/>
  <c r="N121" i="99"/>
  <c r="O121" i="99" s="1"/>
  <c r="N39" i="99"/>
  <c r="O39" i="99" s="1"/>
  <c r="N81" i="99"/>
  <c r="O81" i="99" s="1"/>
  <c r="N32" i="99"/>
  <c r="O32" i="99" s="1"/>
  <c r="N431" i="99"/>
  <c r="O431" i="99" s="1"/>
  <c r="N89" i="99"/>
  <c r="O89" i="99" s="1"/>
  <c r="N254" i="99"/>
  <c r="O254" i="99" s="1"/>
  <c r="N164" i="99"/>
  <c r="O164" i="99" s="1"/>
  <c r="N130" i="99"/>
  <c r="O130" i="99" s="1"/>
  <c r="N91" i="99"/>
  <c r="O91" i="99" s="1"/>
  <c r="N352" i="99"/>
  <c r="O352" i="99" s="1"/>
  <c r="N204" i="99"/>
  <c r="O204" i="99" s="1"/>
  <c r="N743" i="99"/>
  <c r="O743" i="99" s="1"/>
  <c r="N447" i="99"/>
  <c r="O447" i="99" s="1"/>
  <c r="N358" i="99"/>
  <c r="O358" i="99" s="1"/>
  <c r="N101" i="99"/>
  <c r="O101" i="99" s="1"/>
  <c r="N175" i="99"/>
  <c r="O175" i="99" s="1"/>
  <c r="N109" i="99"/>
  <c r="O109" i="99" s="1"/>
  <c r="N52" i="99"/>
  <c r="O52" i="99" s="1"/>
  <c r="N687" i="99"/>
  <c r="O687" i="99" s="1"/>
  <c r="N162" i="99"/>
  <c r="O162" i="99" s="1"/>
  <c r="N678" i="99"/>
  <c r="O678" i="99" s="1"/>
  <c r="N37" i="99"/>
  <c r="O37" i="99" s="1"/>
  <c r="N99" i="99"/>
  <c r="O99" i="99" s="1"/>
  <c r="N331" i="99"/>
  <c r="O331" i="99" s="1"/>
  <c r="N141" i="99"/>
  <c r="O141" i="99" s="1"/>
  <c r="N173" i="99"/>
  <c r="O173" i="99" s="1"/>
  <c r="N301" i="99"/>
  <c r="O301" i="99" s="1"/>
  <c r="N712" i="99"/>
  <c r="O712" i="99" s="1"/>
  <c r="N531" i="99"/>
  <c r="O531" i="99" s="1"/>
  <c r="N174" i="99"/>
  <c r="O174" i="99" s="1"/>
  <c r="N325" i="99"/>
  <c r="O325" i="99" s="1"/>
  <c r="N24" i="99"/>
  <c r="O24" i="99" s="1"/>
  <c r="N699" i="99"/>
  <c r="O699" i="99" s="1"/>
  <c r="N406" i="99"/>
  <c r="O406" i="99" s="1"/>
  <c r="N117" i="99"/>
  <c r="O117" i="99" s="1"/>
  <c r="N473" i="99"/>
  <c r="O473" i="99" s="1"/>
  <c r="N322" i="99"/>
  <c r="O322" i="99" s="1"/>
  <c r="N97" i="99"/>
  <c r="O97" i="99" s="1"/>
  <c r="N71" i="99"/>
  <c r="O71" i="99" s="1"/>
  <c r="N57" i="99"/>
  <c r="O57" i="99" s="1"/>
  <c r="N43" i="99"/>
  <c r="O43" i="99" s="1"/>
  <c r="N671" i="99"/>
  <c r="O671" i="99" s="1"/>
  <c r="N265" i="99"/>
  <c r="O265" i="99" s="1"/>
  <c r="N215" i="99"/>
  <c r="O215" i="99" s="1"/>
  <c r="N187" i="99"/>
  <c r="O187" i="99" s="1"/>
  <c r="N106" i="99"/>
  <c r="O106" i="99" s="1"/>
  <c r="N575" i="99"/>
  <c r="O575" i="99" s="1"/>
  <c r="N299" i="99"/>
  <c r="O299" i="99" s="1"/>
  <c r="N283" i="99"/>
  <c r="O283" i="99" s="1"/>
  <c r="N411" i="99"/>
  <c r="O411" i="99" s="1"/>
  <c r="N103" i="99"/>
  <c r="O103" i="99" s="1"/>
  <c r="N144" i="99"/>
  <c r="O144" i="99" s="1"/>
  <c r="N569" i="99"/>
  <c r="O569" i="99" s="1"/>
  <c r="N366" i="99"/>
  <c r="O366" i="99" s="1"/>
  <c r="N199" i="99"/>
  <c r="O199" i="99" s="1"/>
  <c r="N123" i="99"/>
  <c r="O123" i="99" s="1"/>
  <c r="N85" i="99"/>
  <c r="O85" i="99" s="1"/>
  <c r="N23" i="99"/>
  <c r="O23" i="99" s="1"/>
  <c r="N63" i="99"/>
  <c r="O63" i="99" s="1"/>
  <c r="N451" i="99"/>
  <c r="O451" i="99" s="1"/>
  <c r="N275" i="99"/>
  <c r="O275" i="99" s="1"/>
  <c r="N167" i="99"/>
  <c r="O167" i="99" s="1"/>
  <c r="N424" i="99"/>
  <c r="O424" i="99" s="1"/>
  <c r="N48" i="99"/>
  <c r="O48" i="99" s="1"/>
  <c r="N262" i="99"/>
  <c r="O262" i="99" s="1"/>
  <c r="N225" i="99"/>
  <c r="O225" i="99" s="1"/>
  <c r="N245" i="99"/>
  <c r="O245" i="99" s="1"/>
  <c r="N562" i="99"/>
  <c r="O562" i="99" s="1"/>
  <c r="N68" i="99"/>
  <c r="O68" i="99" s="1"/>
  <c r="N53" i="99"/>
  <c r="O53" i="99" s="1"/>
  <c r="N102" i="99"/>
  <c r="O102" i="99" s="1"/>
  <c r="N115" i="99"/>
  <c r="O115" i="99" s="1"/>
  <c r="N183" i="99"/>
  <c r="O183" i="99" s="1"/>
  <c r="N49" i="99"/>
  <c r="O49" i="99" s="1"/>
  <c r="N35" i="99"/>
  <c r="O35" i="99" s="1"/>
  <c r="N96" i="99"/>
  <c r="O96" i="99" s="1"/>
  <c r="N165" i="99"/>
  <c r="O165" i="99" s="1"/>
  <c r="N345" i="99"/>
  <c r="O345" i="99" s="1"/>
  <c r="N135" i="99"/>
  <c r="O135" i="99" s="1"/>
  <c r="N156" i="99"/>
  <c r="O156" i="99" s="1"/>
  <c r="N213" i="99"/>
  <c r="O213" i="99" s="1"/>
  <c r="N362" i="99"/>
  <c r="O362" i="99" s="1"/>
  <c r="N22" i="99"/>
  <c r="O22" i="99" s="1"/>
  <c r="N29" i="99"/>
  <c r="O29" i="99" s="1"/>
  <c r="N263" i="99"/>
  <c r="O263" i="99" s="1"/>
  <c r="N360" i="99"/>
  <c r="O360" i="99" s="1"/>
  <c r="N214" i="99"/>
  <c r="O214" i="99" s="1"/>
  <c r="N196" i="99"/>
  <c r="O196" i="99" s="1"/>
  <c r="N60" i="99"/>
  <c r="O60" i="99" s="1"/>
  <c r="N110" i="99"/>
  <c r="O110" i="99" s="1"/>
  <c r="N95" i="99"/>
  <c r="O95" i="99" s="1"/>
  <c r="N390" i="99"/>
  <c r="O390" i="99" s="1"/>
  <c r="N181" i="99"/>
  <c r="O181" i="99" s="1"/>
  <c r="N242" i="99"/>
  <c r="O242" i="99" s="1"/>
  <c r="N468" i="99"/>
  <c r="O468" i="99" s="1"/>
  <c r="N124" i="99"/>
  <c r="O124" i="99" s="1"/>
  <c r="N28" i="99"/>
  <c r="O28" i="99" s="1"/>
  <c r="N277" i="99"/>
  <c r="O277" i="99" s="1"/>
  <c r="N208" i="99"/>
  <c r="O208" i="99" s="1"/>
  <c r="N179" i="99"/>
  <c r="O179" i="99" s="1"/>
  <c r="N117" i="97"/>
  <c r="O117" i="97" s="1"/>
  <c r="N23" i="97"/>
  <c r="O23" i="97" s="1"/>
  <c r="N143" i="97"/>
  <c r="O143" i="97" s="1"/>
  <c r="N53" i="97"/>
  <c r="O53" i="97" s="1"/>
  <c r="N9" i="97"/>
  <c r="O9" i="97" s="1"/>
  <c r="N152" i="97"/>
  <c r="O152" i="97" s="1"/>
  <c r="N94" i="97"/>
  <c r="O94" i="97" s="1"/>
  <c r="P2" i="99" l="1" a="1"/>
  <c r="P2" i="99" s="1"/>
  <c r="N154" i="97"/>
  <c r="O154" i="97" s="1"/>
  <c r="N141" i="97"/>
  <c r="O141" i="97" s="1"/>
  <c r="N173" i="97"/>
  <c r="O173" i="97" s="1"/>
  <c r="N19" i="97"/>
  <c r="O19" i="97" s="1"/>
  <c r="N91" i="97"/>
  <c r="O91" i="97" s="1"/>
  <c r="N109" i="97"/>
  <c r="O109" i="97" s="1"/>
  <c r="N31" i="97"/>
  <c r="O31" i="97" s="1"/>
  <c r="N92" i="97"/>
  <c r="O92" i="97" s="1"/>
  <c r="N118" i="97"/>
  <c r="O118" i="97" s="1"/>
  <c r="N74" i="97"/>
  <c r="O74" i="97" s="1"/>
  <c r="N100" i="97"/>
  <c r="O100" i="97" s="1"/>
  <c r="N189" i="97"/>
  <c r="O189" i="97" s="1"/>
  <c r="N128" i="97"/>
  <c r="O128" i="97" s="1"/>
  <c r="N86" i="97"/>
  <c r="O86" i="97" s="1"/>
  <c r="N107" i="97"/>
  <c r="O107" i="97" s="1"/>
  <c r="N6" i="97"/>
  <c r="O6" i="97" s="1"/>
  <c r="N178" i="97"/>
  <c r="O178" i="97" s="1"/>
  <c r="N60" i="97"/>
  <c r="O60" i="97" s="1"/>
  <c r="N30" i="97"/>
  <c r="O30" i="97" s="1"/>
  <c r="N161" i="97"/>
  <c r="O161" i="97" s="1"/>
  <c r="N84" i="97"/>
  <c r="O84" i="97" s="1"/>
  <c r="N148" i="97"/>
  <c r="O148" i="97" s="1"/>
  <c r="N188" i="97"/>
  <c r="O188" i="97" s="1"/>
  <c r="N40" i="97"/>
  <c r="O40" i="97" s="1"/>
  <c r="N159" i="97"/>
  <c r="O159" i="97" s="1"/>
  <c r="N46" i="97"/>
  <c r="O46" i="97" s="1"/>
  <c r="N64" i="97"/>
  <c r="O64" i="97" s="1"/>
  <c r="N170" i="97"/>
  <c r="O170" i="97" s="1"/>
  <c r="N21" i="97"/>
  <c r="O21" i="97" s="1"/>
  <c r="N164" i="97"/>
  <c r="O164" i="97" s="1"/>
  <c r="N127" i="97"/>
  <c r="O127" i="97" s="1"/>
  <c r="N13" i="97"/>
  <c r="O13" i="97" s="1"/>
  <c r="N26" i="97"/>
  <c r="O26" i="97" s="1"/>
  <c r="N121" i="97"/>
  <c r="O121" i="97" s="1"/>
  <c r="N171" i="97"/>
  <c r="O171" i="97" s="1"/>
  <c r="N181" i="97"/>
  <c r="O181" i="97" s="1"/>
  <c r="N116" i="97"/>
  <c r="O116" i="97" s="1"/>
  <c r="N180" i="97"/>
  <c r="O180" i="97" s="1"/>
  <c r="N47" i="97"/>
  <c r="O47" i="97" s="1"/>
  <c r="N88" i="97"/>
  <c r="O88" i="97" s="1"/>
  <c r="N89" i="97"/>
  <c r="O89" i="97" s="1"/>
  <c r="N82" i="97"/>
  <c r="O82" i="97" s="1"/>
  <c r="N186" i="97"/>
  <c r="O186" i="97" s="1"/>
  <c r="N1032" i="97"/>
  <c r="O1032" i="97" s="1"/>
  <c r="N1016" i="97"/>
  <c r="O1016" i="97" s="1"/>
  <c r="N1000" i="97"/>
  <c r="O1000" i="97" s="1"/>
  <c r="N984" i="97"/>
  <c r="O984" i="97" s="1"/>
  <c r="N968" i="97"/>
  <c r="O968" i="97" s="1"/>
  <c r="N952" i="97"/>
  <c r="O952" i="97" s="1"/>
  <c r="N936" i="97"/>
  <c r="O936" i="97" s="1"/>
  <c r="N920" i="97"/>
  <c r="O920" i="97" s="1"/>
  <c r="N904" i="97"/>
  <c r="O904" i="97" s="1"/>
  <c r="N888" i="97"/>
  <c r="O888" i="97" s="1"/>
  <c r="N872" i="97"/>
  <c r="O872" i="97" s="1"/>
  <c r="N1031" i="97"/>
  <c r="O1031" i="97" s="1"/>
  <c r="N1015" i="97"/>
  <c r="O1015" i="97" s="1"/>
  <c r="N999" i="97"/>
  <c r="O999" i="97" s="1"/>
  <c r="N983" i="97"/>
  <c r="O983" i="97" s="1"/>
  <c r="N967" i="97"/>
  <c r="O967" i="97" s="1"/>
  <c r="N951" i="97"/>
  <c r="O951" i="97" s="1"/>
  <c r="N935" i="97"/>
  <c r="O935" i="97" s="1"/>
  <c r="N919" i="97"/>
  <c r="O919" i="97" s="1"/>
  <c r="N903" i="97"/>
  <c r="O903" i="97" s="1"/>
  <c r="N887" i="97"/>
  <c r="O887" i="97" s="1"/>
  <c r="N871" i="97"/>
  <c r="O871" i="97" s="1"/>
  <c r="N855" i="97"/>
  <c r="O855" i="97" s="1"/>
  <c r="N1030" i="97"/>
  <c r="O1030" i="97" s="1"/>
  <c r="N1014" i="97"/>
  <c r="O1014" i="97" s="1"/>
  <c r="N998" i="97"/>
  <c r="O998" i="97" s="1"/>
  <c r="N982" i="97"/>
  <c r="O982" i="97" s="1"/>
  <c r="N966" i="97"/>
  <c r="O966" i="97" s="1"/>
  <c r="N950" i="97"/>
  <c r="O950" i="97" s="1"/>
  <c r="N934" i="97"/>
  <c r="O934" i="97" s="1"/>
  <c r="N918" i="97"/>
  <c r="O918" i="97" s="1"/>
  <c r="N902" i="97"/>
  <c r="O902" i="97" s="1"/>
  <c r="N886" i="97"/>
  <c r="O886" i="97" s="1"/>
  <c r="N870" i="97"/>
  <c r="O870" i="97" s="1"/>
  <c r="N854" i="97"/>
  <c r="O854" i="97" s="1"/>
  <c r="N1029" i="97"/>
  <c r="O1029" i="97" s="1"/>
  <c r="N1027" i="97"/>
  <c r="O1027" i="97" s="1"/>
  <c r="N1025" i="97"/>
  <c r="O1025" i="97" s="1"/>
  <c r="N1028" i="97"/>
  <c r="O1028" i="97" s="1"/>
  <c r="N1007" i="97"/>
  <c r="O1007" i="97" s="1"/>
  <c r="N987" i="97"/>
  <c r="O987" i="97" s="1"/>
  <c r="N963" i="97"/>
  <c r="O963" i="97" s="1"/>
  <c r="N943" i="97"/>
  <c r="O943" i="97" s="1"/>
  <c r="N923" i="97"/>
  <c r="O923" i="97" s="1"/>
  <c r="N899" i="97"/>
  <c r="O899" i="97" s="1"/>
  <c r="N879" i="97"/>
  <c r="O879" i="97" s="1"/>
  <c r="N859" i="97"/>
  <c r="O859" i="97" s="1"/>
  <c r="N838" i="97"/>
  <c r="O838" i="97" s="1"/>
  <c r="N800" i="97"/>
  <c r="O800" i="97" s="1"/>
  <c r="N763" i="97"/>
  <c r="O763" i="97" s="1"/>
  <c r="N744" i="97"/>
  <c r="O744" i="97" s="1"/>
  <c r="N705" i="97"/>
  <c r="O705" i="97" s="1"/>
  <c r="N668" i="97"/>
  <c r="O668" i="97" s="1"/>
  <c r="N629" i="97"/>
  <c r="O629" i="97" s="1"/>
  <c r="N610" i="97"/>
  <c r="O610" i="97" s="1"/>
  <c r="N837" i="97"/>
  <c r="O837" i="97" s="1"/>
  <c r="N818" i="97"/>
  <c r="O818" i="97" s="1"/>
  <c r="N781" i="97"/>
  <c r="O781" i="97" s="1"/>
  <c r="N743" i="97"/>
  <c r="O743" i="97" s="1"/>
  <c r="N723" i="97"/>
  <c r="O723" i="97" s="1"/>
  <c r="N686" i="97"/>
  <c r="O686" i="97" s="1"/>
  <c r="N649" i="97"/>
  <c r="O649" i="97" s="1"/>
  <c r="N628" i="97"/>
  <c r="O628" i="97" s="1"/>
  <c r="N591" i="97"/>
  <c r="O591" i="97" s="1"/>
  <c r="N570" i="97"/>
  <c r="O570" i="97" s="1"/>
  <c r="N566" i="97"/>
  <c r="O566" i="97" s="1"/>
  <c r="N551" i="97"/>
  <c r="O551" i="97" s="1"/>
  <c r="N532" i="97"/>
  <c r="O532" i="97" s="1"/>
  <c r="N513" i="97"/>
  <c r="O513" i="97" s="1"/>
  <c r="N494" i="97"/>
  <c r="O494" i="97" s="1"/>
  <c r="N475" i="97"/>
  <c r="O475" i="97" s="1"/>
  <c r="N1006" i="97"/>
  <c r="O1006" i="97" s="1"/>
  <c r="N986" i="97"/>
  <c r="O986" i="97" s="1"/>
  <c r="N962" i="97"/>
  <c r="O962" i="97" s="1"/>
  <c r="N942" i="97"/>
  <c r="O942" i="97" s="1"/>
  <c r="N922" i="97"/>
  <c r="O922" i="97" s="1"/>
  <c r="N898" i="97"/>
  <c r="O898" i="97" s="1"/>
  <c r="N878" i="97"/>
  <c r="O878" i="97" s="1"/>
  <c r="N858" i="97"/>
  <c r="O858" i="97" s="1"/>
  <c r="N836" i="97"/>
  <c r="O836" i="97" s="1"/>
  <c r="N799" i="97"/>
  <c r="O799" i="97" s="1"/>
  <c r="N762" i="97"/>
  <c r="O762" i="97" s="1"/>
  <c r="N742" i="97"/>
  <c r="O742" i="97" s="1"/>
  <c r="N704" i="97"/>
  <c r="O704" i="97" s="1"/>
  <c r="N667" i="97"/>
  <c r="O667" i="97" s="1"/>
  <c r="N648" i="97"/>
  <c r="O648" i="97" s="1"/>
  <c r="N609" i="97"/>
  <c r="O609" i="97" s="1"/>
  <c r="N1026" i="97"/>
  <c r="O1026" i="97" s="1"/>
  <c r="N817" i="97"/>
  <c r="O817" i="97" s="1"/>
  <c r="N780" i="97"/>
  <c r="O780" i="97" s="1"/>
  <c r="N741" i="97"/>
  <c r="O741" i="97" s="1"/>
  <c r="N722" i="97"/>
  <c r="O722" i="97" s="1"/>
  <c r="N685" i="97"/>
  <c r="O685" i="97" s="1"/>
  <c r="N647" i="97"/>
  <c r="O647" i="97" s="1"/>
  <c r="N627" i="97"/>
  <c r="O627" i="97" s="1"/>
  <c r="N590" i="97"/>
  <c r="O590" i="97" s="1"/>
  <c r="N528" i="97"/>
  <c r="O528" i="97" s="1"/>
  <c r="N981" i="97"/>
  <c r="O981" i="97" s="1"/>
  <c r="N917" i="97"/>
  <c r="O917" i="97" s="1"/>
  <c r="N852" i="97"/>
  <c r="O852" i="97" s="1"/>
  <c r="N815" i="97"/>
  <c r="O815" i="97" s="1"/>
  <c r="N851" i="97"/>
  <c r="O851" i="97" s="1"/>
  <c r="N1022" i="97"/>
  <c r="O1022" i="97" s="1"/>
  <c r="N972" i="97"/>
  <c r="O972" i="97" s="1"/>
  <c r="N841" i="97"/>
  <c r="O841" i="97" s="1"/>
  <c r="N751" i="97"/>
  <c r="O751" i="97" s="1"/>
  <c r="N687" i="97"/>
  <c r="O687" i="97" s="1"/>
  <c r="N664" i="97"/>
  <c r="O664" i="97" s="1"/>
  <c r="N621" i="97"/>
  <c r="O621" i="97" s="1"/>
  <c r="N600" i="97"/>
  <c r="O600" i="97" s="1"/>
  <c r="N508" i="97"/>
  <c r="O508" i="97" s="1"/>
  <c r="N488" i="97"/>
  <c r="O488" i="97" s="1"/>
  <c r="N472" i="97"/>
  <c r="O472" i="97" s="1"/>
  <c r="N449" i="97"/>
  <c r="O449" i="97" s="1"/>
  <c r="N356" i="97"/>
  <c r="O356" i="97" s="1"/>
  <c r="N340" i="97"/>
  <c r="O340" i="97" s="1"/>
  <c r="N324" i="97"/>
  <c r="O324" i="97" s="1"/>
  <c r="N308" i="97"/>
  <c r="O308" i="97" s="1"/>
  <c r="N292" i="97"/>
  <c r="O292" i="97" s="1"/>
  <c r="N276" i="97"/>
  <c r="O276" i="97" s="1"/>
  <c r="N260" i="97"/>
  <c r="O260" i="97" s="1"/>
  <c r="N1024" i="97"/>
  <c r="O1024" i="97" s="1"/>
  <c r="N1023" i="97"/>
  <c r="O1023" i="97" s="1"/>
  <c r="N971" i="97"/>
  <c r="O971" i="97" s="1"/>
  <c r="N839" i="97"/>
  <c r="O839" i="97" s="1"/>
  <c r="N814" i="97"/>
  <c r="O814" i="97" s="1"/>
  <c r="N750" i="97"/>
  <c r="O750" i="97" s="1"/>
  <c r="N684" i="97"/>
  <c r="O684" i="97" s="1"/>
  <c r="N662" i="97"/>
  <c r="O662" i="97" s="1"/>
  <c r="N620" i="97"/>
  <c r="O620" i="97" s="1"/>
  <c r="N598" i="97"/>
  <c r="O598" i="97" s="1"/>
  <c r="N520" i="97"/>
  <c r="O520" i="97" s="1"/>
  <c r="N500" i="97"/>
  <c r="O500" i="97" s="1"/>
  <c r="N496" i="97"/>
  <c r="O496" i="97" s="1"/>
  <c r="N468" i="97"/>
  <c r="O468" i="97" s="1"/>
  <c r="N406" i="97"/>
  <c r="O406" i="97" s="1"/>
  <c r="N399" i="97"/>
  <c r="O399" i="97" s="1"/>
  <c r="N379" i="97"/>
  <c r="O379" i="97" s="1"/>
  <c r="N369" i="97"/>
  <c r="O369" i="97" s="1"/>
  <c r="N343" i="97"/>
  <c r="O343" i="97" s="1"/>
  <c r="N327" i="97"/>
  <c r="O327" i="97" s="1"/>
  <c r="N994" i="97"/>
  <c r="O994" i="97" s="1"/>
  <c r="N941" i="97"/>
  <c r="O941" i="97" s="1"/>
  <c r="N912" i="97"/>
  <c r="O912" i="97" s="1"/>
  <c r="N889" i="97"/>
  <c r="O889" i="97" s="1"/>
  <c r="N862" i="97"/>
  <c r="O862" i="97" s="1"/>
  <c r="N835" i="97"/>
  <c r="O835" i="97" s="1"/>
  <c r="N793" i="97"/>
  <c r="O793" i="97" s="1"/>
  <c r="N770" i="97"/>
  <c r="O770" i="97" s="1"/>
  <c r="N729" i="97"/>
  <c r="O729" i="97" s="1"/>
  <c r="N706" i="97"/>
  <c r="O706" i="97" s="1"/>
  <c r="N661" i="97"/>
  <c r="O661" i="97" s="1"/>
  <c r="N640" i="97"/>
  <c r="O640" i="97" s="1"/>
  <c r="N597" i="97"/>
  <c r="O597" i="97" s="1"/>
  <c r="N576" i="97"/>
  <c r="O576" i="97" s="1"/>
  <c r="N549" i="97"/>
  <c r="O549" i="97" s="1"/>
  <c r="N545" i="97"/>
  <c r="O545" i="97" s="1"/>
  <c r="N541" i="97"/>
  <c r="O541" i="97" s="1"/>
  <c r="N516" i="97"/>
  <c r="O516" i="97" s="1"/>
  <c r="N512" i="97"/>
  <c r="O512" i="97" s="1"/>
  <c r="N1021" i="97"/>
  <c r="O1021" i="97" s="1"/>
  <c r="N970" i="97"/>
  <c r="O970" i="97" s="1"/>
  <c r="N940" i="97"/>
  <c r="O940" i="97" s="1"/>
  <c r="N885" i="97"/>
  <c r="O885" i="97" s="1"/>
  <c r="N813" i="97"/>
  <c r="O813" i="97" s="1"/>
  <c r="N792" i="97"/>
  <c r="O792" i="97" s="1"/>
  <c r="N749" i="97"/>
  <c r="O749" i="97" s="1"/>
  <c r="N728" i="97"/>
  <c r="O728" i="97" s="1"/>
  <c r="N683" i="97"/>
  <c r="O683" i="97" s="1"/>
  <c r="N660" i="97"/>
  <c r="O660" i="97" s="1"/>
  <c r="N619" i="97"/>
  <c r="O619" i="97" s="1"/>
  <c r="N596" i="97"/>
  <c r="O596" i="97" s="1"/>
  <c r="N553" i="97"/>
  <c r="O553" i="97" s="1"/>
  <c r="N456" i="97"/>
  <c r="O456" i="97" s="1"/>
  <c r="N445" i="97"/>
  <c r="O445" i="97" s="1"/>
  <c r="N434" i="97"/>
  <c r="O434" i="97" s="1"/>
  <c r="N427" i="97"/>
  <c r="O427" i="97" s="1"/>
  <c r="N993" i="97"/>
  <c r="O993" i="97" s="1"/>
  <c r="N939" i="97"/>
  <c r="O939" i="97" s="1"/>
  <c r="N911" i="97"/>
  <c r="O911" i="97" s="1"/>
  <c r="N884" i="97"/>
  <c r="O884" i="97" s="1"/>
  <c r="N861" i="97"/>
  <c r="O861" i="97" s="1"/>
  <c r="N834" i="97"/>
  <c r="O834" i="97" s="1"/>
  <c r="N791" i="97"/>
  <c r="O791" i="97" s="1"/>
  <c r="N769" i="97"/>
  <c r="O769" i="97" s="1"/>
  <c r="N727" i="97"/>
  <c r="O727" i="97" s="1"/>
  <c r="N703" i="97"/>
  <c r="O703" i="97" s="1"/>
  <c r="N639" i="97"/>
  <c r="O639" i="97" s="1"/>
  <c r="N575" i="97"/>
  <c r="O575" i="97" s="1"/>
  <c r="N441" i="97"/>
  <c r="O441" i="97" s="1"/>
  <c r="N372" i="97"/>
  <c r="O372" i="97" s="1"/>
  <c r="N992" i="97"/>
  <c r="O992" i="97" s="1"/>
  <c r="N965" i="97"/>
  <c r="O965" i="97" s="1"/>
  <c r="N910" i="97"/>
  <c r="O910" i="97" s="1"/>
  <c r="N883" i="97"/>
  <c r="O883" i="97" s="1"/>
  <c r="N860" i="97"/>
  <c r="O860" i="97" s="1"/>
  <c r="N789" i="97"/>
  <c r="O789" i="97" s="1"/>
  <c r="N768" i="97"/>
  <c r="O768" i="97" s="1"/>
  <c r="N1019" i="97"/>
  <c r="O1019" i="97" s="1"/>
  <c r="N964" i="97"/>
  <c r="O964" i="97" s="1"/>
  <c r="N937" i="97"/>
  <c r="O937" i="97" s="1"/>
  <c r="N832" i="97"/>
  <c r="O832" i="97" s="1"/>
  <c r="N811" i="97"/>
  <c r="O811" i="97" s="1"/>
  <c r="N788" i="97"/>
  <c r="O788" i="97" s="1"/>
  <c r="N990" i="97"/>
  <c r="O990" i="97" s="1"/>
  <c r="N960" i="97"/>
  <c r="O960" i="97" s="1"/>
  <c r="N1010" i="97"/>
  <c r="O1010" i="97" s="1"/>
  <c r="N1020" i="97"/>
  <c r="O1020" i="97" s="1"/>
  <c r="N980" i="97"/>
  <c r="O980" i="97" s="1"/>
  <c r="N909" i="97"/>
  <c r="O909" i="97" s="1"/>
  <c r="N786" i="97"/>
  <c r="O786" i="97" s="1"/>
  <c r="N760" i="97"/>
  <c r="O760" i="97" s="1"/>
  <c r="N735" i="97"/>
  <c r="O735" i="97" s="1"/>
  <c r="N711" i="97"/>
  <c r="O711" i="97" s="1"/>
  <c r="N682" i="97"/>
  <c r="O682" i="97" s="1"/>
  <c r="N606" i="97"/>
  <c r="O606" i="97" s="1"/>
  <c r="N581" i="97"/>
  <c r="O581" i="97" s="1"/>
  <c r="N521" i="97"/>
  <c r="O521" i="97" s="1"/>
  <c r="N497" i="97"/>
  <c r="O497" i="97" s="1"/>
  <c r="N459" i="97"/>
  <c r="O459" i="97" s="1"/>
  <c r="N446" i="97"/>
  <c r="O446" i="97" s="1"/>
  <c r="N437" i="97"/>
  <c r="O437" i="97" s="1"/>
  <c r="N433" i="97"/>
  <c r="O433" i="97" s="1"/>
  <c r="N389" i="97"/>
  <c r="O389" i="97" s="1"/>
  <c r="N307" i="97"/>
  <c r="O307" i="97" s="1"/>
  <c r="N274" i="97"/>
  <c r="O274" i="97" s="1"/>
  <c r="N979" i="97"/>
  <c r="O979" i="97" s="1"/>
  <c r="N947" i="97"/>
  <c r="O947" i="97" s="1"/>
  <c r="N876" i="97"/>
  <c r="O876" i="97" s="1"/>
  <c r="N845" i="97"/>
  <c r="O845" i="97" s="1"/>
  <c r="N816" i="97"/>
  <c r="O816" i="97" s="1"/>
  <c r="N759" i="97"/>
  <c r="O759" i="97" s="1"/>
  <c r="N710" i="97"/>
  <c r="O710" i="97" s="1"/>
  <c r="N656" i="97"/>
  <c r="O656" i="97" s="1"/>
  <c r="N1018" i="97"/>
  <c r="O1018" i="97" s="1"/>
  <c r="N978" i="97"/>
  <c r="O978" i="97" s="1"/>
  <c r="N908" i="97"/>
  <c r="O908" i="97" s="1"/>
  <c r="N875" i="97"/>
  <c r="O875" i="97" s="1"/>
  <c r="N785" i="97"/>
  <c r="O785" i="97" s="1"/>
  <c r="N758" i="97"/>
  <c r="O758" i="97" s="1"/>
  <c r="N734" i="97"/>
  <c r="O734" i="97" s="1"/>
  <c r="N709" i="97"/>
  <c r="O709" i="97" s="1"/>
  <c r="N681" i="97"/>
  <c r="O681" i="97" s="1"/>
  <c r="N632" i="97"/>
  <c r="O632" i="97" s="1"/>
  <c r="N605" i="97"/>
  <c r="O605" i="97" s="1"/>
  <c r="N487" i="97"/>
  <c r="O487" i="97" s="1"/>
  <c r="N463" i="97"/>
  <c r="O463" i="97" s="1"/>
  <c r="N381" i="97"/>
  <c r="O381" i="97" s="1"/>
  <c r="N320" i="97"/>
  <c r="O320" i="97" s="1"/>
  <c r="N287" i="97"/>
  <c r="O287" i="97" s="1"/>
  <c r="N1017" i="97"/>
  <c r="O1017" i="97" s="1"/>
  <c r="N946" i="97"/>
  <c r="O946" i="97" s="1"/>
  <c r="N874" i="97"/>
  <c r="O874" i="97" s="1"/>
  <c r="N844" i="97"/>
  <c r="O844" i="97" s="1"/>
  <c r="N812" i="97"/>
  <c r="O812" i="97" s="1"/>
  <c r="N757" i="97"/>
  <c r="O757" i="97" s="1"/>
  <c r="N708" i="97"/>
  <c r="O708" i="97" s="1"/>
  <c r="N680" i="97"/>
  <c r="O680" i="97" s="1"/>
  <c r="N655" i="97"/>
  <c r="O655" i="97" s="1"/>
  <c r="N631" i="97"/>
  <c r="O631" i="97" s="1"/>
  <c r="N579" i="97"/>
  <c r="O579" i="97" s="1"/>
  <c r="N560" i="97"/>
  <c r="O560" i="97" s="1"/>
  <c r="N550" i="97"/>
  <c r="O550" i="97" s="1"/>
  <c r="N535" i="97"/>
  <c r="O535" i="97" s="1"/>
  <c r="N530" i="97"/>
  <c r="O530" i="97" s="1"/>
  <c r="N450" i="97"/>
  <c r="O450" i="97" s="1"/>
  <c r="N366" i="97"/>
  <c r="O366" i="97" s="1"/>
  <c r="N362" i="97"/>
  <c r="O362" i="97" s="1"/>
  <c r="N310" i="97"/>
  <c r="O310" i="97" s="1"/>
  <c r="N1013" i="97"/>
  <c r="O1013" i="97" s="1"/>
  <c r="N977" i="97"/>
  <c r="O977" i="97" s="1"/>
  <c r="N907" i="97"/>
  <c r="O907" i="97" s="1"/>
  <c r="N784" i="97"/>
  <c r="O784" i="97" s="1"/>
  <c r="N756" i="97"/>
  <c r="O756" i="97" s="1"/>
  <c r="N733" i="97"/>
  <c r="O733" i="97" s="1"/>
  <c r="N707" i="97"/>
  <c r="O707" i="97" s="1"/>
  <c r="N679" i="97"/>
  <c r="O679" i="97" s="1"/>
  <c r="N630" i="97"/>
  <c r="O630" i="97" s="1"/>
  <c r="N604" i="97"/>
  <c r="O604" i="97" s="1"/>
  <c r="N555" i="97"/>
  <c r="O555" i="97" s="1"/>
  <c r="N501" i="97"/>
  <c r="O501" i="97" s="1"/>
  <c r="N416" i="97"/>
  <c r="O416" i="97" s="1"/>
  <c r="N412" i="97"/>
  <c r="O412" i="97" s="1"/>
  <c r="N408" i="97"/>
  <c r="O408" i="97" s="1"/>
  <c r="N330" i="97"/>
  <c r="O330" i="97" s="1"/>
  <c r="N300" i="97"/>
  <c r="O300" i="97" s="1"/>
  <c r="N1012" i="97"/>
  <c r="O1012" i="97" s="1"/>
  <c r="N945" i="97"/>
  <c r="O945" i="97" s="1"/>
  <c r="N873" i="97"/>
  <c r="O873" i="97" s="1"/>
  <c r="N843" i="97"/>
  <c r="O843" i="97" s="1"/>
  <c r="N810" i="97"/>
  <c r="O810" i="97" s="1"/>
  <c r="N678" i="97"/>
  <c r="O678" i="97" s="1"/>
  <c r="N654" i="97"/>
  <c r="O654" i="97" s="1"/>
  <c r="N578" i="97"/>
  <c r="O578" i="97" s="1"/>
  <c r="N569" i="97"/>
  <c r="O569" i="97" s="1"/>
  <c r="N506" i="97"/>
  <c r="O506" i="97" s="1"/>
  <c r="N454" i="97"/>
  <c r="O454" i="97" s="1"/>
  <c r="N420" i="97"/>
  <c r="O420" i="97" s="1"/>
  <c r="N404" i="97"/>
  <c r="O404" i="97" s="1"/>
  <c r="N400" i="97"/>
  <c r="O400" i="97" s="1"/>
  <c r="N396" i="97"/>
  <c r="O396" i="97" s="1"/>
  <c r="N392" i="97"/>
  <c r="O392" i="97" s="1"/>
  <c r="N377" i="97"/>
  <c r="O377" i="97" s="1"/>
  <c r="N290" i="97"/>
  <c r="O290" i="97" s="1"/>
  <c r="N976" i="97"/>
  <c r="O976" i="97" s="1"/>
  <c r="N944" i="97"/>
  <c r="O944" i="97" s="1"/>
  <c r="N906" i="97"/>
  <c r="O906" i="97" s="1"/>
  <c r="N869" i="97"/>
  <c r="O869" i="97" s="1"/>
  <c r="N783" i="97"/>
  <c r="O783" i="97" s="1"/>
  <c r="N755" i="97"/>
  <c r="O755" i="97" s="1"/>
  <c r="N732" i="97"/>
  <c r="O732" i="97" s="1"/>
  <c r="N702" i="97"/>
  <c r="O702" i="97" s="1"/>
  <c r="N677" i="97"/>
  <c r="O677" i="97" s="1"/>
  <c r="N626" i="97"/>
  <c r="O626" i="97" s="1"/>
  <c r="N603" i="97"/>
  <c r="O603" i="97" s="1"/>
  <c r="N577" i="97"/>
  <c r="O577" i="97" s="1"/>
  <c r="N515" i="97"/>
  <c r="O515" i="97" s="1"/>
  <c r="N491" i="97"/>
  <c r="O491" i="97" s="1"/>
  <c r="N1011" i="97"/>
  <c r="O1011" i="97" s="1"/>
  <c r="N938" i="97"/>
  <c r="O938" i="97" s="1"/>
  <c r="N868" i="97"/>
  <c r="O868" i="97" s="1"/>
  <c r="N842" i="97"/>
  <c r="O842" i="97" s="1"/>
  <c r="N809" i="97"/>
  <c r="O809" i="97" s="1"/>
  <c r="N676" i="97"/>
  <c r="O676" i="97" s="1"/>
  <c r="N1009" i="97"/>
  <c r="O1009" i="97" s="1"/>
  <c r="N974" i="97"/>
  <c r="O974" i="97" s="1"/>
  <c r="N959" i="97"/>
  <c r="O959" i="97" s="1"/>
  <c r="N927" i="97"/>
  <c r="O927" i="97" s="1"/>
  <c r="N893" i="97"/>
  <c r="O893" i="97" s="1"/>
  <c r="N914" i="97"/>
  <c r="O914" i="97" s="1"/>
  <c r="N826" i="97"/>
  <c r="O826" i="97" s="1"/>
  <c r="N787" i="97"/>
  <c r="O787" i="97" s="1"/>
  <c r="N717" i="97"/>
  <c r="O717" i="97" s="1"/>
  <c r="N650" i="97"/>
  <c r="O650" i="97" s="1"/>
  <c r="N617" i="97"/>
  <c r="O617" i="97" s="1"/>
  <c r="N431" i="97"/>
  <c r="O431" i="97" s="1"/>
  <c r="N426" i="97"/>
  <c r="O426" i="97" s="1"/>
  <c r="N393" i="97"/>
  <c r="O393" i="97" s="1"/>
  <c r="N353" i="97"/>
  <c r="O353" i="97" s="1"/>
  <c r="N328" i="97"/>
  <c r="O328" i="97" s="1"/>
  <c r="N289" i="97"/>
  <c r="O289" i="97" s="1"/>
  <c r="N957" i="97"/>
  <c r="O957" i="97" s="1"/>
  <c r="N913" i="97"/>
  <c r="O913" i="97" s="1"/>
  <c r="N864" i="97"/>
  <c r="O864" i="97" s="1"/>
  <c r="N748" i="97"/>
  <c r="O748" i="97" s="1"/>
  <c r="N646" i="97"/>
  <c r="O646" i="97" s="1"/>
  <c r="N616" i="97"/>
  <c r="O616" i="97" s="1"/>
  <c r="N586" i="97"/>
  <c r="O586" i="97" s="1"/>
  <c r="N492" i="97"/>
  <c r="O492" i="97" s="1"/>
  <c r="N357" i="97"/>
  <c r="O357" i="97" s="1"/>
  <c r="N264" i="97"/>
  <c r="O264" i="97" s="1"/>
  <c r="N863" i="97"/>
  <c r="O863" i="97" s="1"/>
  <c r="N825" i="97"/>
  <c r="O825" i="97" s="1"/>
  <c r="N782" i="97"/>
  <c r="O782" i="97" s="1"/>
  <c r="N716" i="97"/>
  <c r="O716" i="97" s="1"/>
  <c r="N645" i="97"/>
  <c r="O645" i="97" s="1"/>
  <c r="N615" i="97"/>
  <c r="O615" i="97" s="1"/>
  <c r="N480" i="97"/>
  <c r="O480" i="97" s="1"/>
  <c r="N474" i="97"/>
  <c r="O474" i="97" s="1"/>
  <c r="N457" i="97"/>
  <c r="O457" i="97" s="1"/>
  <c r="N361" i="97"/>
  <c r="O361" i="97" s="1"/>
  <c r="N344" i="97"/>
  <c r="O344" i="97" s="1"/>
  <c r="N304" i="97"/>
  <c r="O304" i="97" s="1"/>
  <c r="N1008" i="97"/>
  <c r="O1008" i="97" s="1"/>
  <c r="N901" i="97"/>
  <c r="O901" i="97" s="1"/>
  <c r="N857" i="97"/>
  <c r="O857" i="97" s="1"/>
  <c r="N823" i="97"/>
  <c r="O823" i="97" s="1"/>
  <c r="N779" i="97"/>
  <c r="O779" i="97" s="1"/>
  <c r="N715" i="97"/>
  <c r="O715" i="97" s="1"/>
  <c r="N613" i="97"/>
  <c r="O613" i="97" s="1"/>
  <c r="N584" i="97"/>
  <c r="O584" i="97" s="1"/>
  <c r="N557" i="97"/>
  <c r="O557" i="97" s="1"/>
  <c r="N509" i="97"/>
  <c r="O509" i="97" s="1"/>
  <c r="N503" i="97"/>
  <c r="O503" i="97" s="1"/>
  <c r="N485" i="97"/>
  <c r="O485" i="97" s="1"/>
  <c r="N479" i="97"/>
  <c r="O479" i="97" s="1"/>
  <c r="N467" i="97"/>
  <c r="O467" i="97" s="1"/>
  <c r="N1005" i="97"/>
  <c r="O1005" i="97" s="1"/>
  <c r="N955" i="97"/>
  <c r="O955" i="97" s="1"/>
  <c r="N900" i="97"/>
  <c r="O900" i="97" s="1"/>
  <c r="N1004" i="97"/>
  <c r="O1004" i="97" s="1"/>
  <c r="N853" i="97"/>
  <c r="O853" i="97" s="1"/>
  <c r="N821" i="97"/>
  <c r="O821" i="97" s="1"/>
  <c r="N778" i="97"/>
  <c r="O778" i="97" s="1"/>
  <c r="N714" i="97"/>
  <c r="O714" i="97" s="1"/>
  <c r="N582" i="97"/>
  <c r="O582" i="97" s="1"/>
  <c r="N563" i="97"/>
  <c r="O563" i="97" s="1"/>
  <c r="N514" i="97"/>
  <c r="O514" i="97" s="1"/>
  <c r="N383" i="97"/>
  <c r="O383" i="97" s="1"/>
  <c r="N1002" i="97"/>
  <c r="O1002" i="97" s="1"/>
  <c r="N777" i="97"/>
  <c r="O777" i="97" s="1"/>
  <c r="N740" i="97"/>
  <c r="O740" i="97" s="1"/>
  <c r="N1001" i="97"/>
  <c r="O1001" i="97" s="1"/>
  <c r="N1003" i="97"/>
  <c r="O1003" i="97" s="1"/>
  <c r="N930" i="97"/>
  <c r="O930" i="97" s="1"/>
  <c r="N880" i="97"/>
  <c r="O880" i="97" s="1"/>
  <c r="N776" i="97"/>
  <c r="O776" i="97" s="1"/>
  <c r="N695" i="97"/>
  <c r="O695" i="97" s="1"/>
  <c r="N657" i="97"/>
  <c r="O657" i="97" s="1"/>
  <c r="N618" i="97"/>
  <c r="O618" i="97" s="1"/>
  <c r="N388" i="97"/>
  <c r="O388" i="97" s="1"/>
  <c r="N206" i="97"/>
  <c r="O206" i="97" s="1"/>
  <c r="N997" i="97"/>
  <c r="O997" i="97" s="1"/>
  <c r="N827" i="97"/>
  <c r="O827" i="97" s="1"/>
  <c r="N775" i="97"/>
  <c r="O775" i="97" s="1"/>
  <c r="N736" i="97"/>
  <c r="O736" i="97" s="1"/>
  <c r="N694" i="97"/>
  <c r="O694" i="97" s="1"/>
  <c r="N653" i="97"/>
  <c r="O653" i="97" s="1"/>
  <c r="N574" i="97"/>
  <c r="O574" i="97" s="1"/>
  <c r="N489" i="97"/>
  <c r="O489" i="97" s="1"/>
  <c r="N226" i="97"/>
  <c r="O226" i="97" s="1"/>
  <c r="N996" i="97"/>
  <c r="O996" i="97" s="1"/>
  <c r="N929" i="97"/>
  <c r="O929" i="97" s="1"/>
  <c r="N877" i="97"/>
  <c r="O877" i="97" s="1"/>
  <c r="N774" i="97"/>
  <c r="O774" i="97" s="1"/>
  <c r="N693" i="97"/>
  <c r="O693" i="97" s="1"/>
  <c r="N614" i="97"/>
  <c r="O614" i="97" s="1"/>
  <c r="N531" i="97"/>
  <c r="O531" i="97" s="1"/>
  <c r="N510" i="97"/>
  <c r="O510" i="97" s="1"/>
  <c r="N495" i="97"/>
  <c r="O495" i="97" s="1"/>
  <c r="N482" i="97"/>
  <c r="O482" i="97" s="1"/>
  <c r="N469" i="97"/>
  <c r="O469" i="97" s="1"/>
  <c r="N363" i="97"/>
  <c r="O363" i="97" s="1"/>
  <c r="N339" i="97"/>
  <c r="O339" i="97" s="1"/>
  <c r="N317" i="97"/>
  <c r="O317" i="97" s="1"/>
  <c r="N261" i="97"/>
  <c r="O261" i="97" s="1"/>
  <c r="N219" i="97"/>
  <c r="O219" i="97" s="1"/>
  <c r="N209" i="97"/>
  <c r="O209" i="97" s="1"/>
  <c r="N193" i="97"/>
  <c r="O193" i="97" s="1"/>
  <c r="N995" i="97"/>
  <c r="O995" i="97" s="1"/>
  <c r="N928" i="97"/>
  <c r="O928" i="97" s="1"/>
  <c r="N867" i="97"/>
  <c r="O867" i="97" s="1"/>
  <c r="N822" i="97"/>
  <c r="O822" i="97" s="1"/>
  <c r="N772" i="97"/>
  <c r="O772" i="97" s="1"/>
  <c r="N730" i="97"/>
  <c r="O730" i="97" s="1"/>
  <c r="N611" i="97"/>
  <c r="O611" i="97" s="1"/>
  <c r="N398" i="97"/>
  <c r="O398" i="97" s="1"/>
  <c r="N257" i="97"/>
  <c r="O257" i="97" s="1"/>
  <c r="N212" i="97"/>
  <c r="O212" i="97" s="1"/>
  <c r="N196" i="97"/>
  <c r="O196" i="97" s="1"/>
  <c r="N991" i="97"/>
  <c r="O991" i="97" s="1"/>
  <c r="N820" i="97"/>
  <c r="O820" i="97" s="1"/>
  <c r="N771" i="97"/>
  <c r="O771" i="97" s="1"/>
  <c r="N726" i="97"/>
  <c r="O726" i="97" s="1"/>
  <c r="N691" i="97"/>
  <c r="O691" i="97" s="1"/>
  <c r="N651" i="97"/>
  <c r="O651" i="97" s="1"/>
  <c r="N523" i="97"/>
  <c r="O523" i="97" s="1"/>
  <c r="N517" i="97"/>
  <c r="O517" i="97" s="1"/>
  <c r="N866" i="97"/>
  <c r="O866" i="97" s="1"/>
  <c r="N819" i="97"/>
  <c r="O819" i="97" s="1"/>
  <c r="N725" i="97"/>
  <c r="O725" i="97" s="1"/>
  <c r="N608" i="97"/>
  <c r="O608" i="97" s="1"/>
  <c r="N567" i="97"/>
  <c r="O567" i="97" s="1"/>
  <c r="N559" i="97"/>
  <c r="O559" i="97" s="1"/>
  <c r="N544" i="97"/>
  <c r="O544" i="97" s="1"/>
  <c r="N448" i="97"/>
  <c r="O448" i="97" s="1"/>
  <c r="N419" i="97"/>
  <c r="O419" i="97" s="1"/>
  <c r="N387" i="97"/>
  <c r="O387" i="97" s="1"/>
  <c r="N382" i="97"/>
  <c r="O382" i="97" s="1"/>
  <c r="N312" i="97"/>
  <c r="O312" i="97" s="1"/>
  <c r="N303" i="97"/>
  <c r="O303" i="97" s="1"/>
  <c r="N299" i="97"/>
  <c r="O299" i="97" s="1"/>
  <c r="N268" i="97"/>
  <c r="O268" i="97" s="1"/>
  <c r="N989" i="97"/>
  <c r="O989" i="97" s="1"/>
  <c r="N865" i="97"/>
  <c r="O865" i="97" s="1"/>
  <c r="N985" i="97"/>
  <c r="O985" i="97" s="1"/>
  <c r="N896" i="97"/>
  <c r="O896" i="97" s="1"/>
  <c r="N897" i="97"/>
  <c r="O897" i="97" s="1"/>
  <c r="N831" i="97"/>
  <c r="O831" i="97" s="1"/>
  <c r="N720" i="97"/>
  <c r="O720" i="97" s="1"/>
  <c r="N625" i="97"/>
  <c r="O625" i="97" s="1"/>
  <c r="N585" i="97"/>
  <c r="O585" i="97" s="1"/>
  <c r="N895" i="97"/>
  <c r="O895" i="97" s="1"/>
  <c r="N773" i="97"/>
  <c r="O773" i="97" s="1"/>
  <c r="N671" i="97"/>
  <c r="O671" i="97" s="1"/>
  <c r="N583" i="97"/>
  <c r="O583" i="97" s="1"/>
  <c r="N540" i="97"/>
  <c r="O540" i="97" s="1"/>
  <c r="N471" i="97"/>
  <c r="O471" i="97" s="1"/>
  <c r="N395" i="97"/>
  <c r="O395" i="97" s="1"/>
  <c r="N354" i="97"/>
  <c r="O354" i="97" s="1"/>
  <c r="N296" i="97"/>
  <c r="O296" i="97" s="1"/>
  <c r="N291" i="97"/>
  <c r="O291" i="97" s="1"/>
  <c r="N273" i="97"/>
  <c r="O273" i="97" s="1"/>
  <c r="N203" i="97"/>
  <c r="O203" i="97" s="1"/>
  <c r="N988" i="97"/>
  <c r="O988" i="97" s="1"/>
  <c r="N894" i="97"/>
  <c r="O894" i="97" s="1"/>
  <c r="N830" i="97"/>
  <c r="O830" i="97" s="1"/>
  <c r="N719" i="97"/>
  <c r="O719" i="97" s="1"/>
  <c r="N624" i="97"/>
  <c r="O624" i="97" s="1"/>
  <c r="N580" i="97"/>
  <c r="O580" i="97" s="1"/>
  <c r="N548" i="97"/>
  <c r="O548" i="97" s="1"/>
  <c r="N522" i="97"/>
  <c r="O522" i="97" s="1"/>
  <c r="N442" i="97"/>
  <c r="O442" i="97" s="1"/>
  <c r="N371" i="97"/>
  <c r="O371" i="97" s="1"/>
  <c r="N348" i="97"/>
  <c r="O348" i="97" s="1"/>
  <c r="N332" i="97"/>
  <c r="O332" i="97" s="1"/>
  <c r="N222" i="97"/>
  <c r="O222" i="97" s="1"/>
  <c r="N218" i="97"/>
  <c r="O218" i="97" s="1"/>
  <c r="N767" i="97"/>
  <c r="O767" i="97" s="1"/>
  <c r="N670" i="97"/>
  <c r="O670" i="97" s="1"/>
  <c r="N556" i="97"/>
  <c r="O556" i="97" s="1"/>
  <c r="N539" i="97"/>
  <c r="O539" i="97" s="1"/>
  <c r="N337" i="97"/>
  <c r="O337" i="97" s="1"/>
  <c r="N301" i="97"/>
  <c r="O301" i="97" s="1"/>
  <c r="N286" i="97"/>
  <c r="O286" i="97" s="1"/>
  <c r="N277" i="97"/>
  <c r="O277" i="97" s="1"/>
  <c r="N247" i="97"/>
  <c r="O247" i="97" s="1"/>
  <c r="N214" i="97"/>
  <c r="O214" i="97" s="1"/>
  <c r="N975" i="97"/>
  <c r="O975" i="97" s="1"/>
  <c r="N829" i="97"/>
  <c r="O829" i="97" s="1"/>
  <c r="N718" i="97"/>
  <c r="O718" i="97" s="1"/>
  <c r="N623" i="97"/>
  <c r="O623" i="97" s="1"/>
  <c r="N573" i="97"/>
  <c r="O573" i="97" s="1"/>
  <c r="N565" i="97"/>
  <c r="O565" i="97" s="1"/>
  <c r="N828" i="97"/>
  <c r="O828" i="97" s="1"/>
  <c r="N622" i="97"/>
  <c r="O622" i="97" s="1"/>
  <c r="N529" i="97"/>
  <c r="O529" i="97" s="1"/>
  <c r="N455" i="97"/>
  <c r="O455" i="97" s="1"/>
  <c r="N359" i="97"/>
  <c r="O359" i="97" s="1"/>
  <c r="N342" i="97"/>
  <c r="O342" i="97" s="1"/>
  <c r="N295" i="97"/>
  <c r="O295" i="97" s="1"/>
  <c r="N263" i="97"/>
  <c r="O263" i="97" s="1"/>
  <c r="N230" i="97"/>
  <c r="O230" i="97" s="1"/>
  <c r="N202" i="97"/>
  <c r="O202" i="97" s="1"/>
  <c r="N958" i="97"/>
  <c r="O958" i="97" s="1"/>
  <c r="N881" i="97"/>
  <c r="O881" i="97" s="1"/>
  <c r="N804" i="97"/>
  <c r="O804" i="97" s="1"/>
  <c r="N754" i="97"/>
  <c r="O754" i="97" s="1"/>
  <c r="N933" i="97"/>
  <c r="O933" i="97" s="1"/>
  <c r="N801" i="97"/>
  <c r="O801" i="97" s="1"/>
  <c r="N747" i="97"/>
  <c r="O747" i="97" s="1"/>
  <c r="N642" i="97"/>
  <c r="O642" i="97" s="1"/>
  <c r="N599" i="97"/>
  <c r="O599" i="97" s="1"/>
  <c r="N932" i="97"/>
  <c r="O932" i="97" s="1"/>
  <c r="N850" i="97"/>
  <c r="O850" i="97" s="1"/>
  <c r="N746" i="97"/>
  <c r="O746" i="97" s="1"/>
  <c r="N697" i="97"/>
  <c r="O697" i="97" s="1"/>
  <c r="N641" i="97"/>
  <c r="O641" i="97" s="1"/>
  <c r="N595" i="97"/>
  <c r="O595" i="97" s="1"/>
  <c r="N794" i="97"/>
  <c r="O794" i="97" s="1"/>
  <c r="N712" i="97"/>
  <c r="O712" i="97" s="1"/>
  <c r="N490" i="97"/>
  <c r="O490" i="97" s="1"/>
  <c r="N414" i="97"/>
  <c r="O414" i="97" s="1"/>
  <c r="N407" i="97"/>
  <c r="O407" i="97" s="1"/>
  <c r="N321" i="97"/>
  <c r="O321" i="97" s="1"/>
  <c r="N271" i="97"/>
  <c r="O271" i="97" s="1"/>
  <c r="N205" i="97"/>
  <c r="O205" i="97" s="1"/>
  <c r="N973" i="97"/>
  <c r="O973" i="97" s="1"/>
  <c r="N856" i="97"/>
  <c r="O856" i="97" s="1"/>
  <c r="N790" i="97"/>
  <c r="O790" i="97" s="1"/>
  <c r="N701" i="97"/>
  <c r="O701" i="97" s="1"/>
  <c r="N638" i="97"/>
  <c r="O638" i="97" s="1"/>
  <c r="N588" i="97"/>
  <c r="O588" i="97" s="1"/>
  <c r="N519" i="97"/>
  <c r="O519" i="97" s="1"/>
  <c r="N453" i="97"/>
  <c r="O453" i="97" s="1"/>
  <c r="N422" i="97"/>
  <c r="O422" i="97" s="1"/>
  <c r="N358" i="97"/>
  <c r="O358" i="97" s="1"/>
  <c r="N266" i="97"/>
  <c r="O266" i="97" s="1"/>
  <c r="N197" i="97"/>
  <c r="O197" i="97" s="1"/>
  <c r="N552" i="97"/>
  <c r="O552" i="97" s="1"/>
  <c r="N542" i="97"/>
  <c r="O542" i="97" s="1"/>
  <c r="N351" i="97"/>
  <c r="O351" i="97" s="1"/>
  <c r="N309" i="97"/>
  <c r="O309" i="97" s="1"/>
  <c r="N281" i="97"/>
  <c r="O281" i="97" s="1"/>
  <c r="N256" i="97"/>
  <c r="O256" i="97" s="1"/>
  <c r="N246" i="97"/>
  <c r="O246" i="97" s="1"/>
  <c r="N237" i="97"/>
  <c r="O237" i="97" s="1"/>
  <c r="N969" i="97"/>
  <c r="O969" i="97" s="1"/>
  <c r="N849" i="97"/>
  <c r="O849" i="97" s="1"/>
  <c r="N700" i="97"/>
  <c r="O700" i="97" s="1"/>
  <c r="N637" i="97"/>
  <c r="O637" i="97" s="1"/>
  <c r="N587" i="97"/>
  <c r="O587" i="97" s="1"/>
  <c r="N499" i="97"/>
  <c r="O499" i="97" s="1"/>
  <c r="N470" i="97"/>
  <c r="O470" i="97" s="1"/>
  <c r="N461" i="97"/>
  <c r="O461" i="97" s="1"/>
  <c r="N444" i="97"/>
  <c r="O444" i="97" s="1"/>
  <c r="N429" i="97"/>
  <c r="O429" i="97" s="1"/>
  <c r="N364" i="97"/>
  <c r="O364" i="97" s="1"/>
  <c r="N961" i="97"/>
  <c r="O961" i="97" s="1"/>
  <c r="N848" i="97"/>
  <c r="O848" i="97" s="1"/>
  <c r="N766" i="97"/>
  <c r="O766" i="97" s="1"/>
  <c r="N699" i="97"/>
  <c r="O699" i="97" s="1"/>
  <c r="N636" i="97"/>
  <c r="O636" i="97" s="1"/>
  <c r="N421" i="97"/>
  <c r="O421" i="97" s="1"/>
  <c r="N378" i="97"/>
  <c r="O378" i="97" s="1"/>
  <c r="N956" i="97"/>
  <c r="O956" i="97" s="1"/>
  <c r="N765" i="97"/>
  <c r="O765" i="97" s="1"/>
  <c r="N452" i="97"/>
  <c r="O452" i="97" s="1"/>
  <c r="N428" i="97"/>
  <c r="O428" i="97" s="1"/>
  <c r="N413" i="97"/>
  <c r="O413" i="97" s="1"/>
  <c r="N241" i="97"/>
  <c r="O241" i="97" s="1"/>
  <c r="N833" i="97"/>
  <c r="O833" i="97" s="1"/>
  <c r="N753" i="97"/>
  <c r="O753" i="97" s="1"/>
  <c r="N689" i="97"/>
  <c r="O689" i="97" s="1"/>
  <c r="N537" i="97"/>
  <c r="O537" i="97" s="1"/>
  <c r="N397" i="97"/>
  <c r="O397" i="97" s="1"/>
  <c r="N350" i="97"/>
  <c r="O350" i="97" s="1"/>
  <c r="N331" i="97"/>
  <c r="O331" i="97" s="1"/>
  <c r="N313" i="97"/>
  <c r="O313" i="97" s="1"/>
  <c r="N806" i="97"/>
  <c r="O806" i="97" s="1"/>
  <c r="N739" i="97"/>
  <c r="O739" i="97" s="1"/>
  <c r="N547" i="97"/>
  <c r="O547" i="97" s="1"/>
  <c r="N355" i="97"/>
  <c r="O355" i="97" s="1"/>
  <c r="N318" i="97"/>
  <c r="O318" i="97" s="1"/>
  <c r="N306" i="97"/>
  <c r="O306" i="97" s="1"/>
  <c r="N921" i="97"/>
  <c r="O921" i="97" s="1"/>
  <c r="N805" i="97"/>
  <c r="O805" i="97" s="1"/>
  <c r="N672" i="97"/>
  <c r="O672" i="97" s="1"/>
  <c r="N504" i="97"/>
  <c r="O504" i="97" s="1"/>
  <c r="N349" i="97"/>
  <c r="O349" i="97" s="1"/>
  <c r="N323" i="97"/>
  <c r="O323" i="97" s="1"/>
  <c r="N284" i="97"/>
  <c r="O284" i="97" s="1"/>
  <c r="N808" i="97"/>
  <c r="O808" i="97" s="1"/>
  <c r="N633" i="97"/>
  <c r="O633" i="97" s="1"/>
  <c r="N568" i="97"/>
  <c r="O568" i="97" s="1"/>
  <c r="N507" i="97"/>
  <c r="O507" i="97" s="1"/>
  <c r="N481" i="97"/>
  <c r="O481" i="97" s="1"/>
  <c r="N338" i="97"/>
  <c r="O338" i="97" s="1"/>
  <c r="N255" i="97"/>
  <c r="O255" i="97" s="1"/>
  <c r="N215" i="97"/>
  <c r="O215" i="97" s="1"/>
  <c r="N210" i="97"/>
  <c r="O210" i="97" s="1"/>
  <c r="N478" i="97"/>
  <c r="O478" i="97" s="1"/>
  <c r="N954" i="97"/>
  <c r="O954" i="97" s="1"/>
  <c r="N807" i="97"/>
  <c r="O807" i="97" s="1"/>
  <c r="N536" i="97"/>
  <c r="O536" i="97" s="1"/>
  <c r="N466" i="97"/>
  <c r="O466" i="97" s="1"/>
  <c r="N432" i="97"/>
  <c r="O432" i="97" s="1"/>
  <c r="N402" i="97"/>
  <c r="O402" i="97" s="1"/>
  <c r="N391" i="97"/>
  <c r="O391" i="97" s="1"/>
  <c r="N373" i="97"/>
  <c r="O373" i="97" s="1"/>
  <c r="N329" i="97"/>
  <c r="O329" i="97" s="1"/>
  <c r="N293" i="97"/>
  <c r="O293" i="97" s="1"/>
  <c r="N249" i="97"/>
  <c r="O249" i="97" s="1"/>
  <c r="N803" i="97"/>
  <c r="O803" i="97" s="1"/>
  <c r="N401" i="97"/>
  <c r="O401" i="97" s="1"/>
  <c r="N322" i="97"/>
  <c r="O322" i="97" s="1"/>
  <c r="N243" i="97"/>
  <c r="O243" i="97" s="1"/>
  <c r="N953" i="97"/>
  <c r="O953" i="97" s="1"/>
  <c r="N443" i="97"/>
  <c r="O443" i="97" s="1"/>
  <c r="N346" i="97"/>
  <c r="O346" i="97" s="1"/>
  <c r="N314" i="97"/>
  <c r="O314" i="97" s="1"/>
  <c r="N949" i="97"/>
  <c r="O949" i="97" s="1"/>
  <c r="N411" i="97"/>
  <c r="O411" i="97" s="1"/>
  <c r="N279" i="97"/>
  <c r="O279" i="97" s="1"/>
  <c r="N948" i="97"/>
  <c r="O948" i="97" s="1"/>
  <c r="N713" i="97"/>
  <c r="O713" i="97" s="1"/>
  <c r="N612" i="97"/>
  <c r="O612" i="97" s="1"/>
  <c r="N493" i="97"/>
  <c r="O493" i="97" s="1"/>
  <c r="N285" i="97"/>
  <c r="O285" i="97" s="1"/>
  <c r="N231" i="97"/>
  <c r="O231" i="97" s="1"/>
  <c r="N225" i="97"/>
  <c r="O225" i="97" s="1"/>
  <c r="N204" i="97"/>
  <c r="O204" i="97" s="1"/>
  <c r="N199" i="97"/>
  <c r="O199" i="97" s="1"/>
  <c r="N931" i="97"/>
  <c r="O931" i="97" s="1"/>
  <c r="N802" i="97"/>
  <c r="O802" i="97" s="1"/>
  <c r="N220" i="97"/>
  <c r="O220" i="97" s="1"/>
  <c r="N698" i="97"/>
  <c r="O698" i="97" s="1"/>
  <c r="N607" i="97"/>
  <c r="O607" i="97" s="1"/>
  <c r="N345" i="97"/>
  <c r="O345" i="97" s="1"/>
  <c r="N370" i="97"/>
  <c r="O370" i="97" s="1"/>
  <c r="N272" i="97"/>
  <c r="O272" i="97" s="1"/>
  <c r="N254" i="97"/>
  <c r="O254" i="97" s="1"/>
  <c r="N242" i="97"/>
  <c r="O242" i="97" s="1"/>
  <c r="N926" i="97"/>
  <c r="O926" i="97" s="1"/>
  <c r="N798" i="97"/>
  <c r="O798" i="97" s="1"/>
  <c r="N696" i="97"/>
  <c r="O696" i="97" s="1"/>
  <c r="N534" i="97"/>
  <c r="O534" i="97" s="1"/>
  <c r="N505" i="97"/>
  <c r="O505" i="97" s="1"/>
  <c r="N477" i="97"/>
  <c r="O477" i="97" s="1"/>
  <c r="N430" i="97"/>
  <c r="O430" i="97" s="1"/>
  <c r="N336" i="97"/>
  <c r="O336" i="97" s="1"/>
  <c r="N892" i="97"/>
  <c r="O892" i="97" s="1"/>
  <c r="N674" i="97"/>
  <c r="O674" i="97" s="1"/>
  <c r="N593" i="97"/>
  <c r="O593" i="97" s="1"/>
  <c r="N561" i="97"/>
  <c r="O561" i="97" s="1"/>
  <c r="N360" i="97"/>
  <c r="O360" i="97" s="1"/>
  <c r="N265" i="97"/>
  <c r="O265" i="97" s="1"/>
  <c r="N235" i="97"/>
  <c r="O235" i="97" s="1"/>
  <c r="N229" i="97"/>
  <c r="O229" i="97" s="1"/>
  <c r="N882" i="97"/>
  <c r="O882" i="97" s="1"/>
  <c r="N761" i="97"/>
  <c r="O761" i="97" s="1"/>
  <c r="N589" i="97"/>
  <c r="O589" i="97" s="1"/>
  <c r="N473" i="97"/>
  <c r="O473" i="97" s="1"/>
  <c r="N325" i="97"/>
  <c r="O325" i="97" s="1"/>
  <c r="N234" i="97"/>
  <c r="O234" i="97" s="1"/>
  <c r="N925" i="97"/>
  <c r="O925" i="97" s="1"/>
  <c r="N538" i="97"/>
  <c r="O538" i="97" s="1"/>
  <c r="N298" i="97"/>
  <c r="O298" i="97" s="1"/>
  <c r="N192" i="97"/>
  <c r="O192" i="97" s="1"/>
  <c r="N752" i="97"/>
  <c r="O752" i="97" s="1"/>
  <c r="N634" i="97"/>
  <c r="O634" i="97" s="1"/>
  <c r="N424" i="97"/>
  <c r="O424" i="97" s="1"/>
  <c r="N367" i="97"/>
  <c r="O367" i="97" s="1"/>
  <c r="N278" i="97"/>
  <c r="O278" i="97" s="1"/>
  <c r="N252" i="97"/>
  <c r="O252" i="97" s="1"/>
  <c r="N244" i="97"/>
  <c r="O244" i="97" s="1"/>
  <c r="N198" i="97"/>
  <c r="O198" i="97" s="1"/>
  <c r="N288" i="97"/>
  <c r="O288" i="97" s="1"/>
  <c r="N438" i="97"/>
  <c r="O438" i="97" s="1"/>
  <c r="N924" i="97"/>
  <c r="O924" i="97" s="1"/>
  <c r="N602" i="97"/>
  <c r="O602" i="97" s="1"/>
  <c r="N458" i="97"/>
  <c r="O458" i="97" s="1"/>
  <c r="N410" i="97"/>
  <c r="O410" i="97" s="1"/>
  <c r="N731" i="97"/>
  <c r="O731" i="97" s="1"/>
  <c r="N916" i="97"/>
  <c r="O916" i="97" s="1"/>
  <c r="N745" i="97"/>
  <c r="O745" i="97" s="1"/>
  <c r="N558" i="97"/>
  <c r="O558" i="97" s="1"/>
  <c r="N439" i="97"/>
  <c r="O439" i="97" s="1"/>
  <c r="N409" i="97"/>
  <c r="O409" i="97" s="1"/>
  <c r="N380" i="97"/>
  <c r="O380" i="97" s="1"/>
  <c r="N227" i="97"/>
  <c r="O227" i="97" s="1"/>
  <c r="N365" i="97"/>
  <c r="O365" i="97" s="1"/>
  <c r="N915" i="97"/>
  <c r="O915" i="97" s="1"/>
  <c r="N601" i="97"/>
  <c r="O601" i="97" s="1"/>
  <c r="N297" i="97"/>
  <c r="O297" i="97" s="1"/>
  <c r="N259" i="97"/>
  <c r="O259" i="97" s="1"/>
  <c r="N251" i="97"/>
  <c r="O251" i="97" s="1"/>
  <c r="N533" i="97"/>
  <c r="O533" i="97" s="1"/>
  <c r="N905" i="97"/>
  <c r="O905" i="97" s="1"/>
  <c r="N738" i="97"/>
  <c r="O738" i="97" s="1"/>
  <c r="N352" i="97"/>
  <c r="O352" i="97" s="1"/>
  <c r="N891" i="97"/>
  <c r="O891" i="97" s="1"/>
  <c r="N594" i="97"/>
  <c r="O594" i="97" s="1"/>
  <c r="N394" i="97"/>
  <c r="O394" i="97" s="1"/>
  <c r="N341" i="97"/>
  <c r="O341" i="97" s="1"/>
  <c r="N269" i="97"/>
  <c r="O269" i="97" s="1"/>
  <c r="N890" i="97"/>
  <c r="O890" i="97" s="1"/>
  <c r="N737" i="97"/>
  <c r="O737" i="97" s="1"/>
  <c r="N423" i="97"/>
  <c r="O423" i="97" s="1"/>
  <c r="N250" i="97"/>
  <c r="O250" i="97" s="1"/>
  <c r="N211" i="97"/>
  <c r="O211" i="97" s="1"/>
  <c r="N724" i="97"/>
  <c r="O724" i="97" s="1"/>
  <c r="N692" i="97"/>
  <c r="O692" i="97" s="1"/>
  <c r="N690" i="97"/>
  <c r="O690" i="97" s="1"/>
  <c r="N554" i="97"/>
  <c r="O554" i="97" s="1"/>
  <c r="N275" i="97"/>
  <c r="O275" i="97" s="1"/>
  <c r="N847" i="97"/>
  <c r="O847" i="97" s="1"/>
  <c r="N224" i="97"/>
  <c r="O224" i="97" s="1"/>
  <c r="N527" i="97"/>
  <c r="O527" i="97" s="1"/>
  <c r="N232" i="97"/>
  <c r="O232" i="97" s="1"/>
  <c r="N846" i="97"/>
  <c r="O846" i="97" s="1"/>
  <c r="N688" i="97"/>
  <c r="O688" i="97" s="1"/>
  <c r="N675" i="97"/>
  <c r="O675" i="97" s="1"/>
  <c r="N239" i="97"/>
  <c r="O239" i="97" s="1"/>
  <c r="N208" i="97"/>
  <c r="O208" i="97" s="1"/>
  <c r="N840" i="97"/>
  <c r="O840" i="97" s="1"/>
  <c r="N673" i="97"/>
  <c r="O673" i="97" s="1"/>
  <c r="N824" i="97"/>
  <c r="O824" i="97" s="1"/>
  <c r="N333" i="97"/>
  <c r="O333" i="97" s="1"/>
  <c r="N253" i="97"/>
  <c r="O253" i="97" s="1"/>
  <c r="N228" i="97"/>
  <c r="O228" i="97" s="1"/>
  <c r="N390" i="97"/>
  <c r="O390" i="97" s="1"/>
  <c r="N294" i="97"/>
  <c r="O294" i="97" s="1"/>
  <c r="N201" i="97"/>
  <c r="O201" i="97" s="1"/>
  <c r="N795" i="97"/>
  <c r="O795" i="97" s="1"/>
  <c r="N572" i="97"/>
  <c r="O572" i="97" s="1"/>
  <c r="N267" i="97"/>
  <c r="O267" i="97" s="1"/>
  <c r="N347" i="97"/>
  <c r="O347" i="97" s="1"/>
  <c r="N464" i="97"/>
  <c r="O464" i="97" s="1"/>
  <c r="N223" i="97"/>
  <c r="O223" i="97" s="1"/>
  <c r="N282" i="97"/>
  <c r="O282" i="97" s="1"/>
  <c r="N311" i="97"/>
  <c r="O311" i="97" s="1"/>
  <c r="N498" i="97"/>
  <c r="O498" i="97" s="1"/>
  <c r="N236" i="97"/>
  <c r="O236" i="97" s="1"/>
  <c r="N280" i="97"/>
  <c r="O280" i="97" s="1"/>
  <c r="N213" i="97"/>
  <c r="O213" i="97" s="1"/>
  <c r="N526" i="97"/>
  <c r="O526" i="97" s="1"/>
  <c r="N564" i="97"/>
  <c r="O564" i="97" s="1"/>
  <c r="N417" i="97"/>
  <c r="O417" i="97" s="1"/>
  <c r="N796" i="97"/>
  <c r="O796" i="97" s="1"/>
  <c r="N415" i="97"/>
  <c r="O415" i="97" s="1"/>
  <c r="N368" i="97"/>
  <c r="O368" i="97" s="1"/>
  <c r="N797" i="97"/>
  <c r="O797" i="97" s="1"/>
  <c r="N571" i="97"/>
  <c r="O571" i="97" s="1"/>
  <c r="N440" i="97"/>
  <c r="O440" i="97" s="1"/>
  <c r="N238" i="97"/>
  <c r="O238" i="97" s="1"/>
  <c r="N436" i="97"/>
  <c r="O436" i="97" s="1"/>
  <c r="N435" i="97"/>
  <c r="O435" i="97" s="1"/>
  <c r="N465" i="97"/>
  <c r="O465" i="97" s="1"/>
  <c r="N764" i="97"/>
  <c r="O764" i="97" s="1"/>
  <c r="N525" i="97"/>
  <c r="O525" i="97" s="1"/>
  <c r="N462" i="97"/>
  <c r="O462" i="97" s="1"/>
  <c r="N248" i="97"/>
  <c r="O248" i="97" s="1"/>
  <c r="N562" i="97"/>
  <c r="O562" i="97" s="1"/>
  <c r="N524" i="97"/>
  <c r="O524" i="97" s="1"/>
  <c r="N663" i="97"/>
  <c r="O663" i="97" s="1"/>
  <c r="N592" i="97"/>
  <c r="O592" i="97" s="1"/>
  <c r="N721" i="97"/>
  <c r="O721" i="97" s="1"/>
  <c r="N385" i="97"/>
  <c r="O385" i="97" s="1"/>
  <c r="N270" i="97"/>
  <c r="O270" i="97" s="1"/>
  <c r="N200" i="97"/>
  <c r="O200" i="97" s="1"/>
  <c r="N644" i="97"/>
  <c r="O644" i="97" s="1"/>
  <c r="N375" i="97"/>
  <c r="O375" i="97" s="1"/>
  <c r="N518" i="97"/>
  <c r="O518" i="97" s="1"/>
  <c r="N476" i="97"/>
  <c r="O476" i="97" s="1"/>
  <c r="N384" i="97"/>
  <c r="O384" i="97" s="1"/>
  <c r="N240" i="97"/>
  <c r="O240" i="97" s="1"/>
  <c r="N376" i="97"/>
  <c r="O376" i="97" s="1"/>
  <c r="N643" i="97"/>
  <c r="O643" i="97" s="1"/>
  <c r="N635" i="97"/>
  <c r="O635" i="97" s="1"/>
  <c r="N374" i="97"/>
  <c r="O374" i="97" s="1"/>
  <c r="N546" i="97"/>
  <c r="O546" i="97" s="1"/>
  <c r="N669" i="97"/>
  <c r="O669" i="97" s="1"/>
  <c r="N319" i="97"/>
  <c r="O319" i="97" s="1"/>
  <c r="N221" i="97"/>
  <c r="O221" i="97" s="1"/>
  <c r="N425" i="97"/>
  <c r="O425" i="97" s="1"/>
  <c r="N511" i="97"/>
  <c r="O511" i="97" s="1"/>
  <c r="N217" i="97"/>
  <c r="O217" i="97" s="1"/>
  <c r="N502" i="97"/>
  <c r="O502" i="97" s="1"/>
  <c r="N405" i="97"/>
  <c r="O405" i="97" s="1"/>
  <c r="N666" i="97"/>
  <c r="O666" i="97" s="1"/>
  <c r="N460" i="97"/>
  <c r="O460" i="97" s="1"/>
  <c r="N258" i="97"/>
  <c r="O258" i="97" s="1"/>
  <c r="N486" i="97"/>
  <c r="O486" i="97" s="1"/>
  <c r="N665" i="97"/>
  <c r="O665" i="97" s="1"/>
  <c r="N262" i="97"/>
  <c r="O262" i="97" s="1"/>
  <c r="N652" i="97"/>
  <c r="O652" i="97" s="1"/>
  <c r="N451" i="97"/>
  <c r="O451" i="97" s="1"/>
  <c r="N245" i="97"/>
  <c r="O245" i="97" s="1"/>
  <c r="N659" i="97"/>
  <c r="O659" i="97" s="1"/>
  <c r="N418" i="97"/>
  <c r="O418" i="97" s="1"/>
  <c r="N283" i="97"/>
  <c r="O283" i="97" s="1"/>
  <c r="N447" i="97"/>
  <c r="O447" i="97" s="1"/>
  <c r="N484" i="97"/>
  <c r="O484" i="97" s="1"/>
  <c r="N315" i="97"/>
  <c r="O315" i="97" s="1"/>
  <c r="N326" i="97"/>
  <c r="O326" i="97" s="1"/>
  <c r="N658" i="97"/>
  <c r="O658" i="97" s="1"/>
  <c r="N316" i="97"/>
  <c r="O316" i="97" s="1"/>
  <c r="N305" i="97"/>
  <c r="O305" i="97" s="1"/>
  <c r="N386" i="97"/>
  <c r="O386" i="97" s="1"/>
  <c r="N233" i="97"/>
  <c r="O233" i="97" s="1"/>
  <c r="N216" i="97"/>
  <c r="O216" i="97" s="1"/>
  <c r="N335" i="97"/>
  <c r="O335" i="97" s="1"/>
  <c r="N195" i="97"/>
  <c r="O195" i="97" s="1"/>
  <c r="N403" i="97"/>
  <c r="O403" i="97" s="1"/>
  <c r="N334" i="97"/>
  <c r="O334" i="97" s="1"/>
  <c r="N194" i="97"/>
  <c r="O194" i="97" s="1"/>
  <c r="N302" i="97"/>
  <c r="O302" i="97" s="1"/>
  <c r="N543" i="97"/>
  <c r="O543" i="97" s="1"/>
  <c r="N483" i="97"/>
  <c r="O483" i="97" s="1"/>
  <c r="N207" i="97"/>
  <c r="O207" i="97" s="1"/>
  <c r="N55" i="97"/>
  <c r="O55" i="97" s="1"/>
  <c r="N150" i="97"/>
  <c r="O150" i="97" s="1"/>
  <c r="N70" i="97"/>
  <c r="O70" i="97" s="1"/>
  <c r="N75" i="97"/>
  <c r="O75" i="97" s="1"/>
  <c r="N32" i="97"/>
  <c r="O32" i="97" s="1"/>
  <c r="N168" i="97"/>
  <c r="O168" i="97" s="1"/>
  <c r="N93" i="97"/>
  <c r="O93" i="97" s="1"/>
  <c r="N24" i="97"/>
  <c r="O24" i="97" s="1"/>
  <c r="N11" i="97"/>
  <c r="O11" i="97" s="1"/>
  <c r="N81" i="97"/>
  <c r="O81" i="97" s="1"/>
  <c r="N3" i="97"/>
  <c r="O3" i="97" s="1"/>
  <c r="N157" i="97"/>
  <c r="O157" i="97" s="1"/>
  <c r="N17" i="97"/>
  <c r="O17" i="97" s="1"/>
  <c r="N95" i="97"/>
  <c r="O95" i="97" s="1"/>
  <c r="N129" i="97"/>
  <c r="O129" i="97" s="1"/>
  <c r="N187" i="97"/>
  <c r="O187" i="97" s="1"/>
  <c r="N36" i="97"/>
  <c r="O36" i="97" s="1"/>
  <c r="N134" i="97"/>
  <c r="O134" i="97" s="1"/>
  <c r="N149" i="97"/>
  <c r="O149" i="97" s="1"/>
  <c r="N101" i="97"/>
  <c r="O101" i="97" s="1"/>
  <c r="N176" i="97"/>
  <c r="O176" i="97" s="1"/>
  <c r="N112" i="97"/>
  <c r="O112" i="97" s="1"/>
  <c r="N28" i="97"/>
  <c r="O28" i="97" s="1"/>
  <c r="N50" i="97"/>
  <c r="O50" i="97" s="1"/>
  <c r="N4" i="97"/>
  <c r="O4" i="97" s="1"/>
  <c r="N73" i="97"/>
  <c r="O73" i="97" s="1"/>
  <c r="N122" i="97"/>
  <c r="O122" i="97" s="1"/>
  <c r="N33" i="97"/>
  <c r="O33" i="97" s="1"/>
  <c r="N54" i="97"/>
  <c r="O54" i="97" s="1"/>
  <c r="N25" i="97"/>
  <c r="O25" i="97" s="1"/>
  <c r="N27" i="97"/>
  <c r="O27" i="97" s="1"/>
  <c r="N87" i="97"/>
  <c r="O87" i="97" s="1"/>
  <c r="N155" i="97"/>
  <c r="O155" i="97" s="1"/>
  <c r="N126" i="97"/>
  <c r="O126" i="97" s="1"/>
  <c r="N166" i="97"/>
  <c r="O166" i="97" s="1"/>
  <c r="N69" i="97"/>
  <c r="O69" i="97" s="1"/>
  <c r="N130" i="97"/>
  <c r="O130" i="97" s="1"/>
  <c r="N71" i="97"/>
  <c r="O71" i="97" s="1"/>
  <c r="N103" i="97"/>
  <c r="O103" i="97" s="1"/>
  <c r="N59" i="97"/>
  <c r="O59" i="97" s="1"/>
  <c r="N124" i="97"/>
  <c r="O124" i="97" s="1"/>
  <c r="N175" i="97"/>
  <c r="O175" i="97" s="1"/>
  <c r="N43" i="97"/>
  <c r="O43" i="97" s="1"/>
  <c r="N162" i="97"/>
  <c r="O162" i="97" s="1"/>
  <c r="N98" i="97"/>
  <c r="O98" i="97" s="1"/>
  <c r="N52" i="97"/>
  <c r="O52" i="97" s="1"/>
  <c r="N160" i="97"/>
  <c r="O160" i="97" s="1"/>
  <c r="N83" i="97"/>
  <c r="O83" i="97" s="1"/>
  <c r="N123" i="97"/>
  <c r="O123" i="97" s="1"/>
  <c r="N131" i="97"/>
  <c r="O131" i="97" s="1"/>
  <c r="N153" i="97"/>
  <c r="O153" i="97" s="1"/>
  <c r="N72" i="97"/>
  <c r="O72" i="97" s="1"/>
  <c r="N66" i="97"/>
  <c r="O66" i="97" s="1"/>
  <c r="N110" i="97"/>
  <c r="O110" i="97" s="1"/>
  <c r="N14" i="97"/>
  <c r="O14" i="97" s="1"/>
  <c r="N44" i="97"/>
  <c r="O44" i="97" s="1"/>
  <c r="N76" i="97"/>
  <c r="O76" i="97" s="1"/>
  <c r="N96" i="97"/>
  <c r="O96" i="97" s="1"/>
  <c r="N29" i="97"/>
  <c r="O29" i="97" s="1"/>
  <c r="N142" i="97"/>
  <c r="O142" i="97" s="1"/>
  <c r="N132" i="97"/>
  <c r="O132" i="97" s="1"/>
  <c r="N5" i="97"/>
  <c r="O5" i="97" s="1"/>
  <c r="N80" i="97"/>
  <c r="O80" i="97" s="1"/>
  <c r="N140" i="97"/>
  <c r="O140" i="97" s="1"/>
  <c r="N42" i="97"/>
  <c r="O42" i="97" s="1"/>
  <c r="N136" i="97"/>
  <c r="O136" i="97" s="1"/>
  <c r="N144" i="97"/>
  <c r="O144" i="97" s="1"/>
  <c r="N125" i="97"/>
  <c r="O125" i="97" s="1"/>
  <c r="N38" i="97"/>
  <c r="O38" i="97" s="1"/>
  <c r="N165" i="97"/>
  <c r="O165" i="97" s="1"/>
  <c r="N22" i="97"/>
  <c r="O22" i="97" s="1"/>
  <c r="N10" i="97"/>
  <c r="O10" i="97" s="1"/>
  <c r="N41" i="97"/>
  <c r="O41" i="97" s="1"/>
  <c r="N183" i="97"/>
  <c r="O183" i="97" s="1"/>
  <c r="N146" i="97"/>
  <c r="O146" i="97" s="1"/>
  <c r="N78" i="97"/>
  <c r="O78" i="97" s="1"/>
  <c r="N115" i="97"/>
  <c r="O115" i="97" s="1"/>
  <c r="N177" i="97"/>
  <c r="O177" i="97" s="1"/>
  <c r="N135" i="97"/>
  <c r="O135" i="97" s="1"/>
  <c r="N34" i="97"/>
  <c r="O34" i="97" s="1"/>
  <c r="N147" i="97"/>
  <c r="O147" i="97" s="1"/>
  <c r="N85" i="97"/>
  <c r="O85" i="97" s="1"/>
  <c r="N179" i="97"/>
  <c r="O179" i="97" s="1"/>
  <c r="N45" i="97"/>
  <c r="O45" i="97" s="1"/>
  <c r="N158" i="97"/>
  <c r="O158" i="97" s="1"/>
  <c r="N111" i="97"/>
  <c r="O111" i="97" s="1"/>
  <c r="N138" i="97"/>
  <c r="O138" i="97" s="1"/>
  <c r="N167" i="97"/>
  <c r="O167" i="97" s="1"/>
  <c r="N119" i="97"/>
  <c r="O119" i="97" s="1"/>
  <c r="N114" i="97"/>
  <c r="O114" i="97" s="1"/>
  <c r="N56" i="97"/>
  <c r="O56" i="97" s="1"/>
  <c r="N133" i="97"/>
  <c r="O133" i="97" s="1"/>
  <c r="N106" i="97"/>
  <c r="O106" i="97" s="1"/>
  <c r="N58" i="97"/>
  <c r="O58" i="97" s="1"/>
  <c r="N35" i="97"/>
  <c r="O35" i="97" s="1"/>
  <c r="N57" i="97"/>
  <c r="O57" i="97" s="1"/>
  <c r="N20" i="97"/>
  <c r="O20" i="97" s="1"/>
  <c r="N169" i="97"/>
  <c r="O169" i="97" s="1"/>
  <c r="N51" i="97"/>
  <c r="O51" i="97" s="1"/>
  <c r="N16" i="97"/>
  <c r="O16" i="97" s="1"/>
  <c r="N104" i="97"/>
  <c r="O104" i="97" s="1"/>
  <c r="N137" i="97"/>
  <c r="O137" i="97" s="1"/>
  <c r="N65" i="97"/>
  <c r="O65" i="97" s="1"/>
  <c r="N48" i="97"/>
  <c r="O48" i="97" s="1"/>
  <c r="N62" i="97"/>
  <c r="O62" i="97" s="1"/>
  <c r="N182" i="97"/>
  <c r="O182" i="97" s="1"/>
  <c r="N63" i="97"/>
  <c r="O63" i="97" s="1"/>
  <c r="N61" i="97"/>
  <c r="O61" i="97" s="1"/>
  <c r="N174" i="97"/>
  <c r="O174" i="97" s="1"/>
  <c r="N49" i="97"/>
  <c r="O49" i="97" s="1"/>
  <c r="N145" i="97"/>
  <c r="O145" i="97" s="1"/>
  <c r="N97" i="97"/>
  <c r="O97" i="97" s="1"/>
  <c r="N105" i="97"/>
  <c r="O105" i="97" s="1"/>
  <c r="N15" i="97"/>
  <c r="O15" i="97" s="1"/>
  <c r="N185" i="97"/>
  <c r="O185" i="97" s="1"/>
  <c r="N7" i="97"/>
  <c r="O7" i="97" s="1"/>
  <c r="N151" i="97"/>
  <c r="O151" i="97" s="1"/>
  <c r="N39" i="97"/>
  <c r="O39" i="97" s="1"/>
  <c r="N12" i="97"/>
  <c r="O12" i="97" s="1"/>
  <c r="N79" i="97"/>
  <c r="O79" i="97" s="1"/>
  <c r="N120" i="97"/>
  <c r="O120" i="97" s="1"/>
  <c r="N108" i="97"/>
  <c r="O108" i="97" s="1"/>
  <c r="N156" i="97"/>
  <c r="O156" i="97" s="1"/>
  <c r="N163" i="97"/>
  <c r="O163" i="97" s="1"/>
  <c r="N68" i="97"/>
  <c r="O68" i="97" s="1"/>
  <c r="N191" i="97"/>
  <c r="O191" i="97" s="1"/>
  <c r="N67" i="97"/>
  <c r="O67" i="97" s="1"/>
  <c r="N37" i="97"/>
  <c r="O37" i="97" s="1"/>
  <c r="N18" i="97"/>
  <c r="O18" i="97" s="1"/>
  <c r="N102" i="97"/>
  <c r="O102" i="97" s="1"/>
  <c r="N113" i="97"/>
  <c r="O113" i="97" s="1"/>
  <c r="N90" i="97"/>
  <c r="O90" i="97" s="1"/>
  <c r="N99" i="97"/>
  <c r="O99" i="97" s="1"/>
  <c r="N139" i="97"/>
  <c r="O139" i="97" s="1"/>
  <c r="N8" i="97"/>
  <c r="O8" i="97" s="1"/>
  <c r="N172" i="97"/>
  <c r="O172" i="97" s="1"/>
  <c r="N184" i="97"/>
  <c r="O184" i="97" s="1"/>
  <c r="N77" i="97"/>
  <c r="O77" i="97" s="1"/>
  <c r="N190" i="97"/>
  <c r="O190" i="97" s="1"/>
  <c r="P2" i="97" l="1" a="1"/>
  <c r="P2" i="97" l="1"/>
  <c r="N102" i="61" l="1"/>
  <c r="O102" i="61" s="1"/>
  <c r="N70" i="61"/>
  <c r="O70" i="61" s="1"/>
  <c r="N38" i="61"/>
  <c r="O38" i="61" s="1"/>
  <c r="N10" i="61"/>
  <c r="O10" i="61" s="1"/>
  <c r="N116" i="61"/>
  <c r="O116" i="61" s="1"/>
  <c r="N84" i="61"/>
  <c r="O84" i="61" s="1"/>
  <c r="N52" i="61"/>
  <c r="O52" i="61" s="1"/>
  <c r="N20" i="61"/>
  <c r="O20" i="61" s="1"/>
  <c r="N98" i="61"/>
  <c r="O98" i="61" s="1"/>
  <c r="N66" i="61"/>
  <c r="O66" i="61" s="1"/>
  <c r="N34" i="61"/>
  <c r="O34" i="61" s="1"/>
  <c r="N112" i="61"/>
  <c r="O112" i="61" s="1"/>
  <c r="N80" i="61"/>
  <c r="O80" i="61" s="1"/>
  <c r="N48" i="61"/>
  <c r="O48" i="61" s="1"/>
  <c r="N16" i="61"/>
  <c r="O16" i="61" s="1"/>
  <c r="N152" i="61"/>
  <c r="O152" i="61" s="1"/>
  <c r="N134" i="61"/>
  <c r="O134" i="61" s="1"/>
  <c r="N23" i="61"/>
  <c r="O23" i="61" s="1"/>
  <c r="N19" i="61"/>
  <c r="O19" i="61" s="1"/>
  <c r="N15" i="61"/>
  <c r="O15" i="61" s="1"/>
  <c r="N169" i="61"/>
  <c r="O169" i="61" s="1"/>
  <c r="N151" i="61"/>
  <c r="O151" i="61" s="1"/>
  <c r="N133" i="61"/>
  <c r="O133" i="61" s="1"/>
  <c r="N108" i="61"/>
  <c r="O108" i="61" s="1"/>
  <c r="N104" i="61"/>
  <c r="O104" i="61" s="1"/>
  <c r="N100" i="61"/>
  <c r="O100" i="61" s="1"/>
  <c r="N96" i="61"/>
  <c r="O96" i="61" s="1"/>
  <c r="N92" i="61"/>
  <c r="O92" i="61" s="1"/>
  <c r="N88" i="61"/>
  <c r="O88" i="61" s="1"/>
  <c r="N167" i="61"/>
  <c r="O167" i="61" s="1"/>
  <c r="N149" i="61"/>
  <c r="O149" i="61" s="1"/>
  <c r="N131" i="61"/>
  <c r="O131" i="61" s="1"/>
  <c r="N59" i="61"/>
  <c r="O59" i="61" s="1"/>
  <c r="N159" i="61"/>
  <c r="O159" i="61" s="1"/>
  <c r="N41" i="61"/>
  <c r="O41" i="61" s="1"/>
  <c r="N118" i="61"/>
  <c r="O118" i="61" s="1"/>
  <c r="N35" i="61"/>
  <c r="O35" i="61" s="1"/>
  <c r="N163" i="61"/>
  <c r="O163" i="61" s="1"/>
  <c r="N139" i="61"/>
  <c r="O139" i="61" s="1"/>
  <c r="N26" i="61"/>
  <c r="O26" i="61" s="1"/>
  <c r="N21" i="61"/>
  <c r="O21" i="61" s="1"/>
  <c r="N158" i="61"/>
  <c r="O158" i="61" s="1"/>
  <c r="N40" i="61"/>
  <c r="O40" i="61" s="1"/>
  <c r="N117" i="61"/>
  <c r="O117" i="61" s="1"/>
  <c r="N91" i="61"/>
  <c r="O91" i="61" s="1"/>
  <c r="N71" i="61"/>
  <c r="O71" i="61" s="1"/>
  <c r="N51" i="61"/>
  <c r="O51" i="61" s="1"/>
  <c r="N56" i="61"/>
  <c r="O56" i="61" s="1"/>
  <c r="N50" i="61"/>
  <c r="O50" i="61" s="1"/>
  <c r="N156" i="61"/>
  <c r="O156" i="61" s="1"/>
  <c r="N60" i="61"/>
  <c r="O60" i="61" s="1"/>
  <c r="N162" i="61"/>
  <c r="O162" i="61" s="1"/>
  <c r="N138" i="61"/>
  <c r="O138" i="61" s="1"/>
  <c r="N111" i="61"/>
  <c r="O111" i="61" s="1"/>
  <c r="N101" i="61"/>
  <c r="O101" i="61" s="1"/>
  <c r="N86" i="61"/>
  <c r="O86" i="61" s="1"/>
  <c r="N61" i="61"/>
  <c r="O61" i="61" s="1"/>
  <c r="N46" i="61"/>
  <c r="O46" i="61" s="1"/>
  <c r="N136" i="61"/>
  <c r="O136" i="61" s="1"/>
  <c r="N105" i="61"/>
  <c r="O105" i="61" s="1"/>
  <c r="N161" i="61"/>
  <c r="O161" i="61" s="1"/>
  <c r="N106" i="61"/>
  <c r="O106" i="61" s="1"/>
  <c r="N76" i="61"/>
  <c r="O76" i="61" s="1"/>
  <c r="N36" i="61"/>
  <c r="O36" i="61" s="1"/>
  <c r="N31" i="61"/>
  <c r="O31" i="61" s="1"/>
  <c r="N55" i="61"/>
  <c r="O55" i="61" s="1"/>
  <c r="N45" i="61"/>
  <c r="O45" i="61" s="1"/>
  <c r="N155" i="61"/>
  <c r="O155" i="61" s="1"/>
  <c r="N160" i="61"/>
  <c r="O160" i="61" s="1"/>
  <c r="N137" i="61"/>
  <c r="O137" i="61" s="1"/>
  <c r="N81" i="61"/>
  <c r="O81" i="61" s="1"/>
  <c r="N30" i="61"/>
  <c r="O30" i="61" s="1"/>
  <c r="N157" i="61"/>
  <c r="O157" i="61" s="1"/>
  <c r="N75" i="61"/>
  <c r="O75" i="61" s="1"/>
  <c r="N90" i="61"/>
  <c r="O90" i="61" s="1"/>
  <c r="N65" i="61"/>
  <c r="O65" i="61" s="1"/>
  <c r="N110" i="61"/>
  <c r="O110" i="61" s="1"/>
  <c r="N135" i="61"/>
  <c r="O135" i="61" s="1"/>
  <c r="N25" i="61"/>
  <c r="O25" i="61" s="1"/>
  <c r="N132" i="61"/>
  <c r="O132" i="61" s="1"/>
  <c r="N85" i="61"/>
  <c r="O85" i="61" s="1"/>
  <c r="N115" i="61"/>
  <c r="O115" i="61" s="1"/>
  <c r="N95" i="61"/>
  <c r="O95" i="61" s="1"/>
  <c r="N130" i="61"/>
  <c r="O130" i="61" s="1"/>
  <c r="N125" i="61"/>
  <c r="O125" i="61" s="1"/>
  <c r="N109" i="61"/>
  <c r="O109" i="61" s="1"/>
  <c r="N12" i="61"/>
  <c r="O12" i="61" s="1"/>
  <c r="N148" i="61"/>
  <c r="O148" i="61" s="1"/>
  <c r="N83" i="61"/>
  <c r="O83" i="61" s="1"/>
  <c r="N124" i="61"/>
  <c r="O124" i="61" s="1"/>
  <c r="N144" i="61"/>
  <c r="O144" i="61" s="1"/>
  <c r="N121" i="61"/>
  <c r="O121" i="61" s="1"/>
  <c r="N87" i="61"/>
  <c r="O87" i="61" s="1"/>
  <c r="N143" i="61"/>
  <c r="O143" i="61" s="1"/>
  <c r="N22" i="61"/>
  <c r="O22" i="61" s="1"/>
  <c r="N166" i="61"/>
  <c r="O166" i="61" s="1"/>
  <c r="N113" i="61"/>
  <c r="O113" i="61" s="1"/>
  <c r="N62" i="61"/>
  <c r="O62" i="61" s="1"/>
  <c r="N127" i="61"/>
  <c r="O127" i="61" s="1"/>
  <c r="N94" i="61"/>
  <c r="O94" i="61" s="1"/>
  <c r="N58" i="61"/>
  <c r="O58" i="61" s="1"/>
  <c r="N123" i="61"/>
  <c r="O123" i="61" s="1"/>
  <c r="N44" i="61"/>
  <c r="O44" i="61" s="1"/>
  <c r="N126" i="61"/>
  <c r="O126" i="61" s="1"/>
  <c r="N107" i="61"/>
  <c r="O107" i="61" s="1"/>
  <c r="N69" i="61"/>
  <c r="O69" i="61" s="1"/>
  <c r="N47" i="61"/>
  <c r="O47" i="61" s="1"/>
  <c r="N93" i="61"/>
  <c r="O93" i="61" s="1"/>
  <c r="N68" i="61"/>
  <c r="O68" i="61" s="1"/>
  <c r="N103" i="61"/>
  <c r="O103" i="61" s="1"/>
  <c r="N43" i="61"/>
  <c r="O43" i="61" s="1"/>
  <c r="N128" i="61"/>
  <c r="O128" i="61" s="1"/>
  <c r="N24" i="61"/>
  <c r="O24" i="61" s="1"/>
  <c r="N33" i="61"/>
  <c r="O33" i="61" s="1"/>
  <c r="N165" i="61"/>
  <c r="O165" i="61" s="1"/>
  <c r="N154" i="61"/>
  <c r="O154" i="61" s="1"/>
  <c r="N77" i="61"/>
  <c r="O77" i="61" s="1"/>
  <c r="N18" i="61"/>
  <c r="O18" i="61" s="1"/>
  <c r="N72" i="61"/>
  <c r="O72" i="61" s="1"/>
  <c r="N82" i="61"/>
  <c r="O82" i="61" s="1"/>
  <c r="N122" i="61"/>
  <c r="O122" i="61" s="1"/>
  <c r="N79" i="61"/>
  <c r="O79" i="61" s="1"/>
  <c r="N57" i="61"/>
  <c r="O57" i="61" s="1"/>
  <c r="N120" i="61"/>
  <c r="O120" i="61" s="1"/>
  <c r="N54" i="61"/>
  <c r="O54" i="61" s="1"/>
  <c r="N32" i="61"/>
  <c r="O32" i="61" s="1"/>
  <c r="N64" i="61"/>
  <c r="O64" i="61" s="1"/>
  <c r="N74" i="61"/>
  <c r="O74" i="61" s="1"/>
  <c r="N119" i="61"/>
  <c r="O119" i="61" s="1"/>
  <c r="N67" i="61"/>
  <c r="O67" i="61" s="1"/>
  <c r="N73" i="61"/>
  <c r="O73" i="61" s="1"/>
  <c r="N17" i="61"/>
  <c r="O17" i="61" s="1"/>
  <c r="N142" i="61"/>
  <c r="O142" i="61" s="1"/>
  <c r="N27" i="61"/>
  <c r="O27" i="61" s="1"/>
  <c r="N11" i="61"/>
  <c r="O11" i="61" s="1"/>
  <c r="N146" i="61"/>
  <c r="O146" i="61" s="1"/>
  <c r="N168" i="61"/>
  <c r="O168" i="61" s="1"/>
  <c r="N78" i="61"/>
  <c r="O78" i="61" s="1"/>
  <c r="N29" i="61"/>
  <c r="O29" i="61" s="1"/>
  <c r="N153" i="61"/>
  <c r="O153" i="61" s="1"/>
  <c r="N63" i="61"/>
  <c r="O63" i="61" s="1"/>
  <c r="N39" i="61"/>
  <c r="O39" i="61" s="1"/>
  <c r="N28" i="61"/>
  <c r="O28" i="61" s="1"/>
  <c r="N97" i="61"/>
  <c r="O97" i="61" s="1"/>
  <c r="N140" i="61"/>
  <c r="O140" i="61" s="1"/>
  <c r="N99" i="61"/>
  <c r="O99" i="61" s="1"/>
  <c r="N147" i="61"/>
  <c r="O147" i="61" s="1"/>
  <c r="N37" i="61"/>
  <c r="O37" i="61" s="1"/>
  <c r="N114" i="61"/>
  <c r="O114" i="61" s="1"/>
  <c r="N89" i="61"/>
  <c r="O89" i="61" s="1"/>
  <c r="N53" i="61"/>
  <c r="O53" i="61" s="1"/>
  <c r="N164" i="61"/>
  <c r="O164" i="61" s="1"/>
  <c r="N42" i="61"/>
  <c r="O42" i="61" s="1"/>
  <c r="N150" i="61"/>
  <c r="O150" i="61" s="1"/>
  <c r="N129" i="61"/>
  <c r="O129" i="61" s="1"/>
  <c r="N13" i="61"/>
  <c r="O13" i="61" s="1"/>
  <c r="N14" i="61"/>
  <c r="O14" i="61" s="1"/>
  <c r="N141" i="61"/>
  <c r="O141" i="61" s="1"/>
  <c r="N145" i="61"/>
  <c r="O145" i="61" s="1"/>
  <c r="N49" i="61"/>
  <c r="O49" i="61" s="1"/>
  <c r="N9" i="61"/>
  <c r="O9" i="61" s="1"/>
  <c r="N8" i="61"/>
  <c r="O8" i="61" s="1"/>
  <c r="N6" i="61"/>
  <c r="O6" i="61" s="1"/>
  <c r="N5" i="61"/>
  <c r="O5" i="61" s="1"/>
  <c r="N4" i="61"/>
  <c r="O4" i="61" s="1"/>
  <c r="N7" i="61"/>
  <c r="O7" i="61" s="1"/>
  <c r="N3" i="61"/>
  <c r="O3" i="61" s="1"/>
  <c r="N929" i="61"/>
  <c r="O929" i="61" s="1"/>
  <c r="N769" i="61"/>
  <c r="O769" i="61" s="1"/>
  <c r="N705" i="61"/>
  <c r="O705" i="61" s="1"/>
  <c r="N945" i="61"/>
  <c r="O945" i="61" s="1"/>
  <c r="N913" i="61"/>
  <c r="O913" i="61" s="1"/>
  <c r="N897" i="61"/>
  <c r="O897" i="61" s="1"/>
  <c r="N881" i="61"/>
  <c r="O881" i="61" s="1"/>
  <c r="N865" i="61"/>
  <c r="O865" i="61" s="1"/>
  <c r="N849" i="61"/>
  <c r="O849" i="61" s="1"/>
  <c r="N833" i="61"/>
  <c r="O833" i="61" s="1"/>
  <c r="N817" i="61"/>
  <c r="O817" i="61" s="1"/>
  <c r="N801" i="61"/>
  <c r="O801" i="61" s="1"/>
  <c r="N785" i="61"/>
  <c r="O785" i="61" s="1"/>
  <c r="N753" i="61"/>
  <c r="O753" i="61" s="1"/>
  <c r="N737" i="61"/>
  <c r="O737" i="61" s="1"/>
  <c r="N721" i="61"/>
  <c r="O721" i="61" s="1"/>
  <c r="N689" i="61"/>
  <c r="O689" i="61" s="1"/>
  <c r="N673" i="61"/>
  <c r="O673" i="61" s="1"/>
  <c r="N928" i="61"/>
  <c r="O928" i="61" s="1"/>
  <c r="N736" i="61"/>
  <c r="O736" i="61" s="1"/>
  <c r="N704" i="61"/>
  <c r="O704" i="61" s="1"/>
  <c r="N944" i="61"/>
  <c r="O944" i="61" s="1"/>
  <c r="N912" i="61"/>
  <c r="O912" i="61" s="1"/>
  <c r="N896" i="61"/>
  <c r="O896" i="61" s="1"/>
  <c r="N880" i="61"/>
  <c r="O880" i="61" s="1"/>
  <c r="N864" i="61"/>
  <c r="O864" i="61" s="1"/>
  <c r="N848" i="61"/>
  <c r="O848" i="61" s="1"/>
  <c r="N832" i="61"/>
  <c r="O832" i="61" s="1"/>
  <c r="N816" i="61"/>
  <c r="O816" i="61" s="1"/>
  <c r="N800" i="61"/>
  <c r="O800" i="61" s="1"/>
  <c r="N784" i="61"/>
  <c r="O784" i="61" s="1"/>
  <c r="N768" i="61"/>
  <c r="O768" i="61" s="1"/>
  <c r="N752" i="61"/>
  <c r="O752" i="61" s="1"/>
  <c r="N720" i="61"/>
  <c r="O720" i="61" s="1"/>
  <c r="N688" i="61"/>
  <c r="O688" i="61" s="1"/>
  <c r="N943" i="61"/>
  <c r="O943" i="61" s="1"/>
  <c r="N927" i="61"/>
  <c r="O927" i="61" s="1"/>
  <c r="N911" i="61"/>
  <c r="O911" i="61" s="1"/>
  <c r="N895" i="61"/>
  <c r="O895" i="61" s="1"/>
  <c r="N942" i="61"/>
  <c r="O942" i="61" s="1"/>
  <c r="N926" i="61"/>
  <c r="O926" i="61" s="1"/>
  <c r="N910" i="61"/>
  <c r="O910" i="61" s="1"/>
  <c r="N894" i="61"/>
  <c r="O894" i="61" s="1"/>
  <c r="N879" i="61"/>
  <c r="O879" i="61" s="1"/>
  <c r="N664" i="61"/>
  <c r="O664" i="61" s="1"/>
  <c r="N646" i="61"/>
  <c r="O646" i="61" s="1"/>
  <c r="N628" i="61"/>
  <c r="O628" i="61" s="1"/>
  <c r="N610" i="61"/>
  <c r="O610" i="61" s="1"/>
  <c r="N590" i="61"/>
  <c r="O590" i="61" s="1"/>
  <c r="N572" i="61"/>
  <c r="O572" i="61" s="1"/>
  <c r="N554" i="61"/>
  <c r="O554" i="61" s="1"/>
  <c r="N536" i="61"/>
  <c r="O536" i="61" s="1"/>
  <c r="N518" i="61"/>
  <c r="O518" i="61" s="1"/>
  <c r="N500" i="61"/>
  <c r="O500" i="61" s="1"/>
  <c r="N482" i="61"/>
  <c r="O482" i="61" s="1"/>
  <c r="N462" i="61"/>
  <c r="O462" i="61" s="1"/>
  <c r="N444" i="61"/>
  <c r="O444" i="61" s="1"/>
  <c r="N426" i="61"/>
  <c r="O426" i="61" s="1"/>
  <c r="N408" i="61"/>
  <c r="O408" i="61" s="1"/>
  <c r="N390" i="61"/>
  <c r="O390" i="61" s="1"/>
  <c r="N372" i="61"/>
  <c r="O372" i="61" s="1"/>
  <c r="N354" i="61"/>
  <c r="O354" i="61" s="1"/>
  <c r="N334" i="61"/>
  <c r="O334" i="61" s="1"/>
  <c r="N316" i="61"/>
  <c r="O316" i="61" s="1"/>
  <c r="N298" i="61"/>
  <c r="O298" i="61" s="1"/>
  <c r="N280" i="61"/>
  <c r="O280" i="61" s="1"/>
  <c r="N262" i="61"/>
  <c r="O262" i="61" s="1"/>
  <c r="N244" i="61"/>
  <c r="O244" i="61" s="1"/>
  <c r="N226" i="61"/>
  <c r="O226" i="61" s="1"/>
  <c r="N206" i="61"/>
  <c r="O206" i="61" s="1"/>
  <c r="N188" i="61"/>
  <c r="O188" i="61" s="1"/>
  <c r="N170" i="61"/>
  <c r="O170" i="61" s="1"/>
  <c r="N941" i="61"/>
  <c r="O941" i="61" s="1"/>
  <c r="N921" i="61"/>
  <c r="O921" i="61" s="1"/>
  <c r="N901" i="61"/>
  <c r="O901" i="61" s="1"/>
  <c r="N878" i="61"/>
  <c r="O878" i="61" s="1"/>
  <c r="N859" i="61"/>
  <c r="O859" i="61" s="1"/>
  <c r="N840" i="61"/>
  <c r="O840" i="61" s="1"/>
  <c r="N821" i="61"/>
  <c r="O821" i="61" s="1"/>
  <c r="N802" i="61"/>
  <c r="O802" i="61" s="1"/>
  <c r="N780" i="61"/>
  <c r="O780" i="61" s="1"/>
  <c r="N761" i="61"/>
  <c r="O761" i="61" s="1"/>
  <c r="N742" i="61"/>
  <c r="O742" i="61" s="1"/>
  <c r="N723" i="61"/>
  <c r="O723" i="61" s="1"/>
  <c r="N701" i="61"/>
  <c r="O701" i="61" s="1"/>
  <c r="N682" i="61"/>
  <c r="O682" i="61" s="1"/>
  <c r="N609" i="61"/>
  <c r="O609" i="61" s="1"/>
  <c r="N481" i="61"/>
  <c r="O481" i="61" s="1"/>
  <c r="N353" i="61"/>
  <c r="O353" i="61" s="1"/>
  <c r="N225" i="61"/>
  <c r="O225" i="61" s="1"/>
  <c r="N571" i="61"/>
  <c r="O571" i="61" s="1"/>
  <c r="N499" i="61"/>
  <c r="O499" i="61" s="1"/>
  <c r="N461" i="61"/>
  <c r="O461" i="61" s="1"/>
  <c r="N407" i="61"/>
  <c r="O407" i="61" s="1"/>
  <c r="N333" i="61"/>
  <c r="O333" i="61" s="1"/>
  <c r="N279" i="61"/>
  <c r="O279" i="61" s="1"/>
  <c r="N243" i="61"/>
  <c r="O243" i="61" s="1"/>
  <c r="N205" i="61"/>
  <c r="O205" i="61" s="1"/>
  <c r="N187" i="61"/>
  <c r="O187" i="61" s="1"/>
  <c r="N799" i="61"/>
  <c r="O799" i="61" s="1"/>
  <c r="N663" i="61"/>
  <c r="O663" i="61" s="1"/>
  <c r="N645" i="61"/>
  <c r="O645" i="61" s="1"/>
  <c r="N627" i="61"/>
  <c r="O627" i="61" s="1"/>
  <c r="N608" i="61"/>
  <c r="O608" i="61" s="1"/>
  <c r="N589" i="61"/>
  <c r="O589" i="61" s="1"/>
  <c r="N553" i="61"/>
  <c r="O553" i="61" s="1"/>
  <c r="N535" i="61"/>
  <c r="O535" i="61" s="1"/>
  <c r="N517" i="61"/>
  <c r="O517" i="61" s="1"/>
  <c r="N480" i="61"/>
  <c r="O480" i="61" s="1"/>
  <c r="N443" i="61"/>
  <c r="O443" i="61" s="1"/>
  <c r="N425" i="61"/>
  <c r="O425" i="61" s="1"/>
  <c r="N389" i="61"/>
  <c r="O389" i="61" s="1"/>
  <c r="N371" i="61"/>
  <c r="O371" i="61" s="1"/>
  <c r="N352" i="61"/>
  <c r="O352" i="61" s="1"/>
  <c r="N315" i="61"/>
  <c r="O315" i="61" s="1"/>
  <c r="N297" i="61"/>
  <c r="O297" i="61" s="1"/>
  <c r="N261" i="61"/>
  <c r="O261" i="61" s="1"/>
  <c r="N224" i="61"/>
  <c r="O224" i="61" s="1"/>
  <c r="N940" i="61"/>
  <c r="O940" i="61" s="1"/>
  <c r="N920" i="61"/>
  <c r="O920" i="61" s="1"/>
  <c r="N900" i="61"/>
  <c r="O900" i="61" s="1"/>
  <c r="N877" i="61"/>
  <c r="O877" i="61" s="1"/>
  <c r="N858" i="61"/>
  <c r="O858" i="61" s="1"/>
  <c r="N839" i="61"/>
  <c r="O839" i="61" s="1"/>
  <c r="N820" i="61"/>
  <c r="O820" i="61" s="1"/>
  <c r="N798" i="61"/>
  <c r="O798" i="61" s="1"/>
  <c r="N779" i="61"/>
  <c r="O779" i="61" s="1"/>
  <c r="N760" i="61"/>
  <c r="O760" i="61" s="1"/>
  <c r="N741" i="61"/>
  <c r="O741" i="61" s="1"/>
  <c r="N722" i="61"/>
  <c r="O722" i="61" s="1"/>
  <c r="N700" i="61"/>
  <c r="O700" i="61" s="1"/>
  <c r="N681" i="61"/>
  <c r="O681" i="61" s="1"/>
  <c r="N607" i="61"/>
  <c r="O607" i="61" s="1"/>
  <c r="N479" i="61"/>
  <c r="O479" i="61" s="1"/>
  <c r="N351" i="61"/>
  <c r="O351" i="61" s="1"/>
  <c r="N223" i="61"/>
  <c r="O223" i="61" s="1"/>
  <c r="N552" i="61"/>
  <c r="O552" i="61" s="1"/>
  <c r="N478" i="61"/>
  <c r="O478" i="61" s="1"/>
  <c r="N460" i="61"/>
  <c r="O460" i="61" s="1"/>
  <c r="N424" i="61"/>
  <c r="O424" i="61" s="1"/>
  <c r="N406" i="61"/>
  <c r="O406" i="61" s="1"/>
  <c r="N314" i="61"/>
  <c r="O314" i="61" s="1"/>
  <c r="N278" i="61"/>
  <c r="O278" i="61" s="1"/>
  <c r="N260" i="61"/>
  <c r="O260" i="61" s="1"/>
  <c r="N719" i="61"/>
  <c r="O719" i="61" s="1"/>
  <c r="N662" i="61"/>
  <c r="O662" i="61" s="1"/>
  <c r="N644" i="61"/>
  <c r="O644" i="61" s="1"/>
  <c r="N626" i="61"/>
  <c r="O626" i="61" s="1"/>
  <c r="N606" i="61"/>
  <c r="O606" i="61" s="1"/>
  <c r="N588" i="61"/>
  <c r="O588" i="61" s="1"/>
  <c r="N570" i="61"/>
  <c r="O570" i="61" s="1"/>
  <c r="N534" i="61"/>
  <c r="O534" i="61" s="1"/>
  <c r="N516" i="61"/>
  <c r="O516" i="61" s="1"/>
  <c r="N498" i="61"/>
  <c r="O498" i="61" s="1"/>
  <c r="N442" i="61"/>
  <c r="O442" i="61" s="1"/>
  <c r="N388" i="61"/>
  <c r="O388" i="61" s="1"/>
  <c r="N370" i="61"/>
  <c r="O370" i="61" s="1"/>
  <c r="N350" i="61"/>
  <c r="O350" i="61" s="1"/>
  <c r="N332" i="61"/>
  <c r="O332" i="61" s="1"/>
  <c r="N296" i="61"/>
  <c r="O296" i="61" s="1"/>
  <c r="N242" i="61"/>
  <c r="O242" i="61" s="1"/>
  <c r="N222" i="61"/>
  <c r="O222" i="61" s="1"/>
  <c r="N939" i="61"/>
  <c r="O939" i="61" s="1"/>
  <c r="N919" i="61"/>
  <c r="O919" i="61" s="1"/>
  <c r="N899" i="61"/>
  <c r="O899" i="61" s="1"/>
  <c r="N876" i="61"/>
  <c r="O876" i="61" s="1"/>
  <c r="N857" i="61"/>
  <c r="O857" i="61" s="1"/>
  <c r="N838" i="61"/>
  <c r="O838" i="61" s="1"/>
  <c r="N819" i="61"/>
  <c r="O819" i="61" s="1"/>
  <c r="N797" i="61"/>
  <c r="O797" i="61" s="1"/>
  <c r="N778" i="61"/>
  <c r="O778" i="61" s="1"/>
  <c r="N759" i="61"/>
  <c r="O759" i="61" s="1"/>
  <c r="N740" i="61"/>
  <c r="O740" i="61" s="1"/>
  <c r="N718" i="61"/>
  <c r="O718" i="61" s="1"/>
  <c r="N699" i="61"/>
  <c r="O699" i="61" s="1"/>
  <c r="N680" i="61"/>
  <c r="O680" i="61" s="1"/>
  <c r="N625" i="61"/>
  <c r="O625" i="61" s="1"/>
  <c r="N497" i="61"/>
  <c r="O497" i="61" s="1"/>
  <c r="N369" i="61"/>
  <c r="O369" i="61" s="1"/>
  <c r="N241" i="61"/>
  <c r="O241" i="61" s="1"/>
  <c r="N661" i="61"/>
  <c r="O661" i="61" s="1"/>
  <c r="N643" i="61"/>
  <c r="O643" i="61" s="1"/>
  <c r="N624" i="61"/>
  <c r="O624" i="61" s="1"/>
  <c r="N605" i="61"/>
  <c r="O605" i="61" s="1"/>
  <c r="N587" i="61"/>
  <c r="O587" i="61" s="1"/>
  <c r="N569" i="61"/>
  <c r="O569" i="61" s="1"/>
  <c r="N551" i="61"/>
  <c r="O551" i="61" s="1"/>
  <c r="N533" i="61"/>
  <c r="O533" i="61" s="1"/>
  <c r="N515" i="61"/>
  <c r="O515" i="61" s="1"/>
  <c r="N496" i="61"/>
  <c r="O496" i="61" s="1"/>
  <c r="N477" i="61"/>
  <c r="O477" i="61" s="1"/>
  <c r="N459" i="61"/>
  <c r="O459" i="61" s="1"/>
  <c r="N441" i="61"/>
  <c r="O441" i="61" s="1"/>
  <c r="N423" i="61"/>
  <c r="O423" i="61" s="1"/>
  <c r="N405" i="61"/>
  <c r="O405" i="61" s="1"/>
  <c r="N387" i="61"/>
  <c r="O387" i="61" s="1"/>
  <c r="N368" i="61"/>
  <c r="O368" i="61" s="1"/>
  <c r="N349" i="61"/>
  <c r="O349" i="61" s="1"/>
  <c r="N331" i="61"/>
  <c r="O331" i="61" s="1"/>
  <c r="N313" i="61"/>
  <c r="O313" i="61" s="1"/>
  <c r="N295" i="61"/>
  <c r="O295" i="61" s="1"/>
  <c r="N277" i="61"/>
  <c r="O277" i="61" s="1"/>
  <c r="N259" i="61"/>
  <c r="O259" i="61" s="1"/>
  <c r="N240" i="61"/>
  <c r="O240" i="61" s="1"/>
  <c r="N221" i="61"/>
  <c r="O221" i="61" s="1"/>
  <c r="N203" i="61"/>
  <c r="O203" i="61" s="1"/>
  <c r="N185" i="61"/>
  <c r="O185" i="61" s="1"/>
  <c r="N717" i="61"/>
  <c r="O717" i="61" s="1"/>
  <c r="N698" i="61"/>
  <c r="O698" i="61" s="1"/>
  <c r="N938" i="61"/>
  <c r="O938" i="61" s="1"/>
  <c r="N918" i="61"/>
  <c r="O918" i="61" s="1"/>
  <c r="N898" i="61"/>
  <c r="O898" i="61" s="1"/>
  <c r="N875" i="61"/>
  <c r="O875" i="61" s="1"/>
  <c r="N856" i="61"/>
  <c r="O856" i="61" s="1"/>
  <c r="N837" i="61"/>
  <c r="O837" i="61" s="1"/>
  <c r="N818" i="61"/>
  <c r="O818" i="61" s="1"/>
  <c r="N796" i="61"/>
  <c r="O796" i="61" s="1"/>
  <c r="N777" i="61"/>
  <c r="O777" i="61" s="1"/>
  <c r="N758" i="61"/>
  <c r="O758" i="61" s="1"/>
  <c r="N739" i="61"/>
  <c r="O739" i="61" s="1"/>
  <c r="N815" i="61"/>
  <c r="O815" i="61" s="1"/>
  <c r="N660" i="61"/>
  <c r="O660" i="61" s="1"/>
  <c r="N642" i="61"/>
  <c r="O642" i="61" s="1"/>
  <c r="N622" i="61"/>
  <c r="O622" i="61" s="1"/>
  <c r="N604" i="61"/>
  <c r="O604" i="61" s="1"/>
  <c r="N586" i="61"/>
  <c r="O586" i="61" s="1"/>
  <c r="N568" i="61"/>
  <c r="O568" i="61" s="1"/>
  <c r="N550" i="61"/>
  <c r="O550" i="61" s="1"/>
  <c r="N532" i="61"/>
  <c r="O532" i="61" s="1"/>
  <c r="N514" i="61"/>
  <c r="O514" i="61" s="1"/>
  <c r="N494" i="61"/>
  <c r="O494" i="61" s="1"/>
  <c r="N476" i="61"/>
  <c r="O476" i="61" s="1"/>
  <c r="N937" i="61"/>
  <c r="O937" i="61" s="1"/>
  <c r="N917" i="61"/>
  <c r="O917" i="61" s="1"/>
  <c r="N893" i="61"/>
  <c r="O893" i="61" s="1"/>
  <c r="N735" i="61"/>
  <c r="O735" i="61" s="1"/>
  <c r="N659" i="61"/>
  <c r="O659" i="61" s="1"/>
  <c r="N640" i="61"/>
  <c r="O640" i="61" s="1"/>
  <c r="N621" i="61"/>
  <c r="O621" i="61" s="1"/>
  <c r="N603" i="61"/>
  <c r="O603" i="61" s="1"/>
  <c r="N585" i="61"/>
  <c r="O585" i="61" s="1"/>
  <c r="N567" i="61"/>
  <c r="O567" i="61" s="1"/>
  <c r="N549" i="61"/>
  <c r="O549" i="61" s="1"/>
  <c r="N531" i="61"/>
  <c r="O531" i="61" s="1"/>
  <c r="N512" i="61"/>
  <c r="O512" i="61" s="1"/>
  <c r="N936" i="61"/>
  <c r="O936" i="61" s="1"/>
  <c r="N916" i="61"/>
  <c r="O916" i="61" s="1"/>
  <c r="N892" i="61"/>
  <c r="O892" i="61" s="1"/>
  <c r="N873" i="61"/>
  <c r="O873" i="61" s="1"/>
  <c r="N854" i="61"/>
  <c r="O854" i="61" s="1"/>
  <c r="N835" i="61"/>
  <c r="O835" i="61" s="1"/>
  <c r="N813" i="61"/>
  <c r="O813" i="61" s="1"/>
  <c r="N794" i="61"/>
  <c r="O794" i="61" s="1"/>
  <c r="N775" i="61"/>
  <c r="O775" i="61" s="1"/>
  <c r="N756" i="61"/>
  <c r="O756" i="61" s="1"/>
  <c r="N734" i="61"/>
  <c r="O734" i="61" s="1"/>
  <c r="N715" i="61"/>
  <c r="O715" i="61" s="1"/>
  <c r="N658" i="61"/>
  <c r="O658" i="61" s="1"/>
  <c r="N638" i="61"/>
  <c r="O638" i="61" s="1"/>
  <c r="N620" i="61"/>
  <c r="O620" i="61" s="1"/>
  <c r="N602" i="61"/>
  <c r="O602" i="61" s="1"/>
  <c r="N935" i="61"/>
  <c r="O935" i="61" s="1"/>
  <c r="N915" i="61"/>
  <c r="O915" i="61" s="1"/>
  <c r="N891" i="61"/>
  <c r="O891" i="61" s="1"/>
  <c r="N872" i="61"/>
  <c r="O872" i="61" s="1"/>
  <c r="N853" i="61"/>
  <c r="O853" i="61" s="1"/>
  <c r="N834" i="61"/>
  <c r="O834" i="61" s="1"/>
  <c r="N812" i="61"/>
  <c r="O812" i="61" s="1"/>
  <c r="N793" i="61"/>
  <c r="O793" i="61" s="1"/>
  <c r="N831" i="61"/>
  <c r="O831" i="61" s="1"/>
  <c r="N656" i="61"/>
  <c r="O656" i="61" s="1"/>
  <c r="N637" i="61"/>
  <c r="O637" i="61" s="1"/>
  <c r="N934" i="61"/>
  <c r="O934" i="61" s="1"/>
  <c r="N914" i="61"/>
  <c r="O914" i="61" s="1"/>
  <c r="N890" i="61"/>
  <c r="O890" i="61" s="1"/>
  <c r="N871" i="61"/>
  <c r="O871" i="61" s="1"/>
  <c r="N852" i="61"/>
  <c r="O852" i="61" s="1"/>
  <c r="N751" i="61"/>
  <c r="O751" i="61" s="1"/>
  <c r="N654" i="61"/>
  <c r="O654" i="61" s="1"/>
  <c r="N636" i="61"/>
  <c r="O636" i="61" s="1"/>
  <c r="N618" i="61"/>
  <c r="O618" i="61" s="1"/>
  <c r="N933" i="61"/>
  <c r="O933" i="61" s="1"/>
  <c r="N909" i="61"/>
  <c r="O909" i="61" s="1"/>
  <c r="N889" i="61"/>
  <c r="O889" i="61" s="1"/>
  <c r="N870" i="61"/>
  <c r="O870" i="61" s="1"/>
  <c r="N851" i="61"/>
  <c r="O851" i="61" s="1"/>
  <c r="N672" i="61"/>
  <c r="O672" i="61" s="1"/>
  <c r="N653" i="61"/>
  <c r="O653" i="61" s="1"/>
  <c r="N635" i="61"/>
  <c r="O635" i="61" s="1"/>
  <c r="N617" i="61"/>
  <c r="O617" i="61" s="1"/>
  <c r="N599" i="61"/>
  <c r="O599" i="61" s="1"/>
  <c r="N581" i="61"/>
  <c r="O581" i="61" s="1"/>
  <c r="N563" i="61"/>
  <c r="O563" i="61" s="1"/>
  <c r="N544" i="61"/>
  <c r="O544" i="61" s="1"/>
  <c r="N525" i="61"/>
  <c r="O525" i="61" s="1"/>
  <c r="N507" i="61"/>
  <c r="O507" i="61" s="1"/>
  <c r="N489" i="61"/>
  <c r="O489" i="61" s="1"/>
  <c r="N471" i="61"/>
  <c r="O471" i="61" s="1"/>
  <c r="N453" i="61"/>
  <c r="O453" i="61" s="1"/>
  <c r="N435" i="61"/>
  <c r="O435" i="61" s="1"/>
  <c r="N932" i="61"/>
  <c r="O932" i="61" s="1"/>
  <c r="N908" i="61"/>
  <c r="O908" i="61" s="1"/>
  <c r="N888" i="61"/>
  <c r="O888" i="61" s="1"/>
  <c r="N869" i="61"/>
  <c r="O869" i="61" s="1"/>
  <c r="N850" i="61"/>
  <c r="O850" i="61" s="1"/>
  <c r="N828" i="61"/>
  <c r="O828" i="61" s="1"/>
  <c r="N809" i="61"/>
  <c r="O809" i="61" s="1"/>
  <c r="N790" i="61"/>
  <c r="O790" i="61" s="1"/>
  <c r="N771" i="61"/>
  <c r="O771" i="61" s="1"/>
  <c r="N749" i="61"/>
  <c r="O749" i="61" s="1"/>
  <c r="N730" i="61"/>
  <c r="O730" i="61" s="1"/>
  <c r="N711" i="61"/>
  <c r="O711" i="61" s="1"/>
  <c r="N692" i="61"/>
  <c r="O692" i="61" s="1"/>
  <c r="N671" i="61"/>
  <c r="O671" i="61" s="1"/>
  <c r="N543" i="61"/>
  <c r="O543" i="61" s="1"/>
  <c r="N415" i="61"/>
  <c r="O415" i="61" s="1"/>
  <c r="N287" i="61"/>
  <c r="O287" i="61" s="1"/>
  <c r="N580" i="61"/>
  <c r="O580" i="61" s="1"/>
  <c r="N562" i="61"/>
  <c r="O562" i="61" s="1"/>
  <c r="N542" i="61"/>
  <c r="O542" i="61" s="1"/>
  <c r="N524" i="61"/>
  <c r="O524" i="61" s="1"/>
  <c r="N847" i="61"/>
  <c r="O847" i="61" s="1"/>
  <c r="N670" i="61"/>
  <c r="O670" i="61" s="1"/>
  <c r="N652" i="61"/>
  <c r="O652" i="61" s="1"/>
  <c r="N634" i="61"/>
  <c r="O634" i="61" s="1"/>
  <c r="N616" i="61"/>
  <c r="O616" i="61" s="1"/>
  <c r="N598" i="61"/>
  <c r="O598" i="61" s="1"/>
  <c r="N931" i="61"/>
  <c r="O931" i="61" s="1"/>
  <c r="N907" i="61"/>
  <c r="O907" i="61" s="1"/>
  <c r="N887" i="61"/>
  <c r="O887" i="61" s="1"/>
  <c r="N868" i="61"/>
  <c r="O868" i="61" s="1"/>
  <c r="N846" i="61"/>
  <c r="O846" i="61" s="1"/>
  <c r="N767" i="61"/>
  <c r="O767" i="61" s="1"/>
  <c r="N669" i="61"/>
  <c r="O669" i="61" s="1"/>
  <c r="N651" i="61"/>
  <c r="O651" i="61" s="1"/>
  <c r="N930" i="61"/>
  <c r="O930" i="61" s="1"/>
  <c r="N906" i="61"/>
  <c r="O906" i="61" s="1"/>
  <c r="N886" i="61"/>
  <c r="O886" i="61" s="1"/>
  <c r="N867" i="61"/>
  <c r="O867" i="61" s="1"/>
  <c r="N845" i="61"/>
  <c r="O845" i="61" s="1"/>
  <c r="N687" i="61"/>
  <c r="O687" i="61" s="1"/>
  <c r="N668" i="61"/>
  <c r="O668" i="61" s="1"/>
  <c r="N650" i="61"/>
  <c r="O650" i="61" s="1"/>
  <c r="N632" i="61"/>
  <c r="O632" i="61" s="1"/>
  <c r="N614" i="61"/>
  <c r="O614" i="61" s="1"/>
  <c r="N596" i="61"/>
  <c r="O596" i="61" s="1"/>
  <c r="N578" i="61"/>
  <c r="O578" i="61" s="1"/>
  <c r="N925" i="61"/>
  <c r="O925" i="61" s="1"/>
  <c r="N905" i="61"/>
  <c r="O905" i="61" s="1"/>
  <c r="N863" i="61"/>
  <c r="O863" i="61" s="1"/>
  <c r="N667" i="61"/>
  <c r="O667" i="61" s="1"/>
  <c r="N924" i="61"/>
  <c r="O924" i="61" s="1"/>
  <c r="N904" i="61"/>
  <c r="O904" i="61" s="1"/>
  <c r="N884" i="61"/>
  <c r="O884" i="61" s="1"/>
  <c r="N862" i="61"/>
  <c r="O862" i="61" s="1"/>
  <c r="N843" i="61"/>
  <c r="O843" i="61" s="1"/>
  <c r="N824" i="61"/>
  <c r="O824" i="61" s="1"/>
  <c r="N805" i="61"/>
  <c r="O805" i="61" s="1"/>
  <c r="N786" i="61"/>
  <c r="O786" i="61" s="1"/>
  <c r="N764" i="61"/>
  <c r="O764" i="61" s="1"/>
  <c r="N745" i="61"/>
  <c r="O745" i="61" s="1"/>
  <c r="N783" i="61"/>
  <c r="O783" i="61" s="1"/>
  <c r="N666" i="61"/>
  <c r="O666" i="61" s="1"/>
  <c r="N648" i="61"/>
  <c r="O648" i="61" s="1"/>
  <c r="N630" i="61"/>
  <c r="O630" i="61" s="1"/>
  <c r="N612" i="61"/>
  <c r="O612" i="61" s="1"/>
  <c r="N594" i="61"/>
  <c r="O594" i="61" s="1"/>
  <c r="N574" i="61"/>
  <c r="O574" i="61" s="1"/>
  <c r="N556" i="61"/>
  <c r="O556" i="61" s="1"/>
  <c r="N538" i="61"/>
  <c r="O538" i="61" s="1"/>
  <c r="N520" i="61"/>
  <c r="O520" i="61" s="1"/>
  <c r="N502" i="61"/>
  <c r="O502" i="61" s="1"/>
  <c r="N484" i="61"/>
  <c r="O484" i="61" s="1"/>
  <c r="N923" i="61"/>
  <c r="O923" i="61" s="1"/>
  <c r="N903" i="61"/>
  <c r="O903" i="61" s="1"/>
  <c r="N883" i="61"/>
  <c r="O883" i="61" s="1"/>
  <c r="N703" i="61"/>
  <c r="O703" i="61" s="1"/>
  <c r="N665" i="61"/>
  <c r="O665" i="61" s="1"/>
  <c r="N647" i="61"/>
  <c r="O647" i="61" s="1"/>
  <c r="N629" i="61"/>
  <c r="O629" i="61" s="1"/>
  <c r="N611" i="61"/>
  <c r="O611" i="61" s="1"/>
  <c r="N592" i="61"/>
  <c r="O592" i="61" s="1"/>
  <c r="N573" i="61"/>
  <c r="O573" i="61" s="1"/>
  <c r="N555" i="61"/>
  <c r="O555" i="61" s="1"/>
  <c r="N537" i="61"/>
  <c r="O537" i="61" s="1"/>
  <c r="N519" i="61"/>
  <c r="O519" i="61" s="1"/>
  <c r="N922" i="61"/>
  <c r="O922" i="61" s="1"/>
  <c r="N902" i="61"/>
  <c r="O902" i="61" s="1"/>
  <c r="N882" i="61"/>
  <c r="O882" i="61" s="1"/>
  <c r="N860" i="61"/>
  <c r="O860" i="61" s="1"/>
  <c r="N841" i="61"/>
  <c r="O841" i="61" s="1"/>
  <c r="N822" i="61"/>
  <c r="O822" i="61" s="1"/>
  <c r="N803" i="61"/>
  <c r="O803" i="61" s="1"/>
  <c r="N781" i="61"/>
  <c r="O781" i="61" s="1"/>
  <c r="N885" i="61"/>
  <c r="O885" i="61" s="1"/>
  <c r="N770" i="61"/>
  <c r="O770" i="61" s="1"/>
  <c r="N706" i="61"/>
  <c r="O706" i="61" s="1"/>
  <c r="N576" i="61"/>
  <c r="O576" i="61" s="1"/>
  <c r="N541" i="61"/>
  <c r="O541" i="61" s="1"/>
  <c r="N455" i="61"/>
  <c r="O455" i="61" s="1"/>
  <c r="N404" i="61"/>
  <c r="O404" i="61" s="1"/>
  <c r="N380" i="61"/>
  <c r="O380" i="61" s="1"/>
  <c r="N330" i="61"/>
  <c r="O330" i="61" s="1"/>
  <c r="N308" i="61"/>
  <c r="O308" i="61" s="1"/>
  <c r="N258" i="61"/>
  <c r="O258" i="61" s="1"/>
  <c r="N234" i="61"/>
  <c r="O234" i="61" s="1"/>
  <c r="N186" i="61"/>
  <c r="O186" i="61" s="1"/>
  <c r="N693" i="61"/>
  <c r="O693" i="61" s="1"/>
  <c r="N303" i="61"/>
  <c r="O303" i="61" s="1"/>
  <c r="N252" i="61"/>
  <c r="O252" i="61" s="1"/>
  <c r="N374" i="61"/>
  <c r="O374" i="61" s="1"/>
  <c r="N179" i="61"/>
  <c r="O179" i="61" s="1"/>
  <c r="N227" i="61"/>
  <c r="O227" i="61" s="1"/>
  <c r="N874" i="61"/>
  <c r="O874" i="61" s="1"/>
  <c r="N766" i="61"/>
  <c r="O766" i="61" s="1"/>
  <c r="N702" i="61"/>
  <c r="O702" i="61" s="1"/>
  <c r="N575" i="61"/>
  <c r="O575" i="61" s="1"/>
  <c r="N508" i="61"/>
  <c r="O508" i="61" s="1"/>
  <c r="N483" i="61"/>
  <c r="O483" i="61" s="1"/>
  <c r="N429" i="61"/>
  <c r="O429" i="61" s="1"/>
  <c r="N357" i="61"/>
  <c r="O357" i="61" s="1"/>
  <c r="N283" i="61"/>
  <c r="O283" i="61" s="1"/>
  <c r="N257" i="61"/>
  <c r="O257" i="61" s="1"/>
  <c r="N211" i="61"/>
  <c r="O211" i="61" s="1"/>
  <c r="N327" i="61"/>
  <c r="O327" i="61" s="1"/>
  <c r="N204" i="61"/>
  <c r="O204" i="61" s="1"/>
  <c r="N202" i="61"/>
  <c r="O202" i="61" s="1"/>
  <c r="N396" i="61"/>
  <c r="O396" i="61" s="1"/>
  <c r="N201" i="61"/>
  <c r="O201" i="61" s="1"/>
  <c r="N299" i="61"/>
  <c r="O299" i="61" s="1"/>
  <c r="N866" i="61"/>
  <c r="O866" i="61" s="1"/>
  <c r="N765" i="61"/>
  <c r="O765" i="61" s="1"/>
  <c r="N697" i="61"/>
  <c r="O697" i="61" s="1"/>
  <c r="N649" i="61"/>
  <c r="O649" i="61" s="1"/>
  <c r="N540" i="61"/>
  <c r="O540" i="61" s="1"/>
  <c r="N454" i="61"/>
  <c r="O454" i="61" s="1"/>
  <c r="N403" i="61"/>
  <c r="O403" i="61" s="1"/>
  <c r="N379" i="61"/>
  <c r="O379" i="61" s="1"/>
  <c r="N329" i="61"/>
  <c r="O329" i="61" s="1"/>
  <c r="N307" i="61"/>
  <c r="O307" i="61" s="1"/>
  <c r="N256" i="61"/>
  <c r="O256" i="61" s="1"/>
  <c r="N233" i="61"/>
  <c r="O233" i="61" s="1"/>
  <c r="N184" i="61"/>
  <c r="O184" i="61" s="1"/>
  <c r="N755" i="61"/>
  <c r="O755" i="61" s="1"/>
  <c r="N207" i="61"/>
  <c r="O207" i="61" s="1"/>
  <c r="N230" i="61"/>
  <c r="O230" i="61" s="1"/>
  <c r="N826" i="61"/>
  <c r="O826" i="61" s="1"/>
  <c r="N323" i="61"/>
  <c r="O323" i="61" s="1"/>
  <c r="N861" i="61"/>
  <c r="O861" i="61" s="1"/>
  <c r="N763" i="61"/>
  <c r="O763" i="61" s="1"/>
  <c r="N696" i="61"/>
  <c r="O696" i="61" s="1"/>
  <c r="N506" i="61"/>
  <c r="O506" i="61" s="1"/>
  <c r="N428" i="61"/>
  <c r="O428" i="61" s="1"/>
  <c r="N378" i="61"/>
  <c r="O378" i="61" s="1"/>
  <c r="N356" i="61"/>
  <c r="O356" i="61" s="1"/>
  <c r="N306" i="61"/>
  <c r="O306" i="61" s="1"/>
  <c r="N282" i="61"/>
  <c r="O282" i="61" s="1"/>
  <c r="N255" i="61"/>
  <c r="O255" i="61" s="1"/>
  <c r="N232" i="61"/>
  <c r="O232" i="61" s="1"/>
  <c r="N210" i="61"/>
  <c r="O210" i="61" s="1"/>
  <c r="N451" i="61"/>
  <c r="O451" i="61" s="1"/>
  <c r="N253" i="61"/>
  <c r="O253" i="61" s="1"/>
  <c r="N181" i="61"/>
  <c r="O181" i="61" s="1"/>
  <c r="N684" i="61"/>
  <c r="O684" i="61" s="1"/>
  <c r="N228" i="61"/>
  <c r="O228" i="61" s="1"/>
  <c r="N373" i="61"/>
  <c r="O373" i="61" s="1"/>
  <c r="N855" i="61"/>
  <c r="O855" i="61" s="1"/>
  <c r="N762" i="61"/>
  <c r="O762" i="61" s="1"/>
  <c r="N695" i="61"/>
  <c r="O695" i="61" s="1"/>
  <c r="N539" i="61"/>
  <c r="O539" i="61" s="1"/>
  <c r="N452" i="61"/>
  <c r="O452" i="61" s="1"/>
  <c r="N402" i="61"/>
  <c r="O402" i="61" s="1"/>
  <c r="N328" i="61"/>
  <c r="O328" i="61" s="1"/>
  <c r="N305" i="61"/>
  <c r="O305" i="61" s="1"/>
  <c r="N254" i="61"/>
  <c r="O254" i="61" s="1"/>
  <c r="N209" i="61"/>
  <c r="O209" i="61" s="1"/>
  <c r="N183" i="61"/>
  <c r="O183" i="61" s="1"/>
  <c r="N842" i="61"/>
  <c r="O842" i="61" s="1"/>
  <c r="N376" i="61"/>
  <c r="O376" i="61" s="1"/>
  <c r="N276" i="61"/>
  <c r="O276" i="61" s="1"/>
  <c r="N746" i="61"/>
  <c r="O746" i="61" s="1"/>
  <c r="N324" i="61"/>
  <c r="O324" i="61" s="1"/>
  <c r="N273" i="61"/>
  <c r="O273" i="61" s="1"/>
  <c r="N844" i="61"/>
  <c r="O844" i="61" s="1"/>
  <c r="N757" i="61"/>
  <c r="O757" i="61" s="1"/>
  <c r="N694" i="61"/>
  <c r="O694" i="61" s="1"/>
  <c r="N505" i="61"/>
  <c r="O505" i="61" s="1"/>
  <c r="N475" i="61"/>
  <c r="O475" i="61" s="1"/>
  <c r="N427" i="61"/>
  <c r="O427" i="61" s="1"/>
  <c r="N401" i="61"/>
  <c r="O401" i="61" s="1"/>
  <c r="N377" i="61"/>
  <c r="O377" i="61" s="1"/>
  <c r="N355" i="61"/>
  <c r="O355" i="61" s="1"/>
  <c r="N304" i="61"/>
  <c r="O304" i="61" s="1"/>
  <c r="N281" i="61"/>
  <c r="O281" i="61" s="1"/>
  <c r="N231" i="61"/>
  <c r="O231" i="61" s="1"/>
  <c r="N208" i="61"/>
  <c r="O208" i="61" s="1"/>
  <c r="N400" i="61"/>
  <c r="O400" i="61" s="1"/>
  <c r="N182" i="61"/>
  <c r="O182" i="61" s="1"/>
  <c r="N399" i="61"/>
  <c r="O399" i="61" s="1"/>
  <c r="N180" i="61"/>
  <c r="O180" i="61" s="1"/>
  <c r="N530" i="61"/>
  <c r="O530" i="61" s="1"/>
  <c r="N300" i="61"/>
  <c r="O300" i="61" s="1"/>
  <c r="N178" i="61"/>
  <c r="O178" i="61" s="1"/>
  <c r="N447" i="61"/>
  <c r="O447" i="61" s="1"/>
  <c r="N836" i="61"/>
  <c r="O836" i="61" s="1"/>
  <c r="N754" i="61"/>
  <c r="O754" i="61" s="1"/>
  <c r="N691" i="61"/>
  <c r="O691" i="61" s="1"/>
  <c r="N641" i="61"/>
  <c r="O641" i="61" s="1"/>
  <c r="N601" i="61"/>
  <c r="O601" i="61" s="1"/>
  <c r="N566" i="61"/>
  <c r="O566" i="61" s="1"/>
  <c r="N504" i="61"/>
  <c r="O504" i="61" s="1"/>
  <c r="N474" i="61"/>
  <c r="O474" i="61" s="1"/>
  <c r="N302" i="61"/>
  <c r="O302" i="61" s="1"/>
  <c r="N564" i="61"/>
  <c r="O564" i="61" s="1"/>
  <c r="N830" i="61"/>
  <c r="O830" i="61" s="1"/>
  <c r="N750" i="61"/>
  <c r="O750" i="61" s="1"/>
  <c r="N690" i="61"/>
  <c r="O690" i="61" s="1"/>
  <c r="N639" i="61"/>
  <c r="O639" i="61" s="1"/>
  <c r="N450" i="61"/>
  <c r="O450" i="61" s="1"/>
  <c r="N422" i="61"/>
  <c r="O422" i="61" s="1"/>
  <c r="N398" i="61"/>
  <c r="O398" i="61" s="1"/>
  <c r="N348" i="61"/>
  <c r="O348" i="61" s="1"/>
  <c r="N326" i="61"/>
  <c r="O326" i="61" s="1"/>
  <c r="N250" i="61"/>
  <c r="O250" i="61" s="1"/>
  <c r="N395" i="61"/>
  <c r="O395" i="61" s="1"/>
  <c r="N829" i="61"/>
  <c r="O829" i="61" s="1"/>
  <c r="N748" i="61"/>
  <c r="O748" i="61" s="1"/>
  <c r="N686" i="61"/>
  <c r="O686" i="61" s="1"/>
  <c r="N600" i="61"/>
  <c r="O600" i="61" s="1"/>
  <c r="N565" i="61"/>
  <c r="O565" i="61" s="1"/>
  <c r="N503" i="61"/>
  <c r="O503" i="61" s="1"/>
  <c r="N473" i="61"/>
  <c r="O473" i="61" s="1"/>
  <c r="N449" i="61"/>
  <c r="O449" i="61" s="1"/>
  <c r="N375" i="61"/>
  <c r="O375" i="61" s="1"/>
  <c r="N301" i="61"/>
  <c r="O301" i="61" s="1"/>
  <c r="N229" i="61"/>
  <c r="O229" i="61" s="1"/>
  <c r="N249" i="61"/>
  <c r="O249" i="61" s="1"/>
  <c r="N827" i="61"/>
  <c r="O827" i="61" s="1"/>
  <c r="N747" i="61"/>
  <c r="O747" i="61" s="1"/>
  <c r="N685" i="61"/>
  <c r="O685" i="61" s="1"/>
  <c r="N448" i="61"/>
  <c r="O448" i="61" s="1"/>
  <c r="N421" i="61"/>
  <c r="O421" i="61" s="1"/>
  <c r="N397" i="61"/>
  <c r="O397" i="61" s="1"/>
  <c r="N347" i="61"/>
  <c r="O347" i="61" s="1"/>
  <c r="N325" i="61"/>
  <c r="O325" i="61" s="1"/>
  <c r="N275" i="61"/>
  <c r="O275" i="61" s="1"/>
  <c r="N251" i="61"/>
  <c r="O251" i="61" s="1"/>
  <c r="N472" i="61"/>
  <c r="O472" i="61" s="1"/>
  <c r="N825" i="61"/>
  <c r="O825" i="61" s="1"/>
  <c r="N744" i="61"/>
  <c r="O744" i="61" s="1"/>
  <c r="N683" i="61"/>
  <c r="O683" i="61" s="1"/>
  <c r="N597" i="61"/>
  <c r="O597" i="61" s="1"/>
  <c r="N529" i="61"/>
  <c r="O529" i="61" s="1"/>
  <c r="N501" i="61"/>
  <c r="O501" i="61" s="1"/>
  <c r="N446" i="61"/>
  <c r="O446" i="61" s="1"/>
  <c r="N420" i="61"/>
  <c r="O420" i="61" s="1"/>
  <c r="N346" i="61"/>
  <c r="O346" i="61" s="1"/>
  <c r="N274" i="61"/>
  <c r="O274" i="61" s="1"/>
  <c r="N200" i="61"/>
  <c r="O200" i="61" s="1"/>
  <c r="N527" i="61"/>
  <c r="O527" i="61" s="1"/>
  <c r="N823" i="61"/>
  <c r="O823" i="61" s="1"/>
  <c r="N743" i="61"/>
  <c r="O743" i="61" s="1"/>
  <c r="N679" i="61"/>
  <c r="O679" i="61" s="1"/>
  <c r="N633" i="61"/>
  <c r="O633" i="61" s="1"/>
  <c r="N561" i="61"/>
  <c r="O561" i="61" s="1"/>
  <c r="N528" i="61"/>
  <c r="O528" i="61" s="1"/>
  <c r="N470" i="61"/>
  <c r="O470" i="61" s="1"/>
  <c r="N814" i="61"/>
  <c r="O814" i="61" s="1"/>
  <c r="N738" i="61"/>
  <c r="O738" i="61" s="1"/>
  <c r="N811" i="61"/>
  <c r="O811" i="61" s="1"/>
  <c r="N733" i="61"/>
  <c r="O733" i="61" s="1"/>
  <c r="N677" i="61"/>
  <c r="O677" i="61" s="1"/>
  <c r="N595" i="61"/>
  <c r="O595" i="61" s="1"/>
  <c r="N559" i="61"/>
  <c r="O559" i="61" s="1"/>
  <c r="N526" i="61"/>
  <c r="O526" i="61" s="1"/>
  <c r="N469" i="61"/>
  <c r="O469" i="61" s="1"/>
  <c r="N394" i="61"/>
  <c r="O394" i="61" s="1"/>
  <c r="N367" i="61"/>
  <c r="O367" i="61" s="1"/>
  <c r="N810" i="61"/>
  <c r="O810" i="61" s="1"/>
  <c r="N732" i="61"/>
  <c r="O732" i="61" s="1"/>
  <c r="N676" i="61"/>
  <c r="O676" i="61" s="1"/>
  <c r="N631" i="61"/>
  <c r="O631" i="61" s="1"/>
  <c r="N558" i="61"/>
  <c r="O558" i="61" s="1"/>
  <c r="N493" i="61"/>
  <c r="O493" i="61" s="1"/>
  <c r="N418" i="61"/>
  <c r="O418" i="61" s="1"/>
  <c r="N366" i="61"/>
  <c r="O366" i="61" s="1"/>
  <c r="N808" i="61"/>
  <c r="O808" i="61" s="1"/>
  <c r="N731" i="61"/>
  <c r="O731" i="61" s="1"/>
  <c r="N675" i="61"/>
  <c r="O675" i="61" s="1"/>
  <c r="N807" i="61"/>
  <c r="O807" i="61" s="1"/>
  <c r="N806" i="61"/>
  <c r="O806" i="61" s="1"/>
  <c r="N728" i="61"/>
  <c r="O728" i="61" s="1"/>
  <c r="N467" i="61"/>
  <c r="O467" i="61" s="1"/>
  <c r="N439" i="61"/>
  <c r="O439" i="61" s="1"/>
  <c r="N414" i="61"/>
  <c r="O414" i="61" s="1"/>
  <c r="N392" i="61"/>
  <c r="O392" i="61" s="1"/>
  <c r="N342" i="61"/>
  <c r="O342" i="61" s="1"/>
  <c r="N318" i="61"/>
  <c r="O318" i="61" s="1"/>
  <c r="N268" i="61"/>
  <c r="O268" i="61" s="1"/>
  <c r="N246" i="61"/>
  <c r="O246" i="61" s="1"/>
  <c r="N197" i="61"/>
  <c r="O197" i="61" s="1"/>
  <c r="N173" i="61"/>
  <c r="O173" i="61" s="1"/>
  <c r="N196" i="61"/>
  <c r="O196" i="61" s="1"/>
  <c r="N795" i="61"/>
  <c r="O795" i="61" s="1"/>
  <c r="N438" i="61"/>
  <c r="O438" i="61" s="1"/>
  <c r="N341" i="61"/>
  <c r="O341" i="61" s="1"/>
  <c r="N267" i="61"/>
  <c r="O267" i="61" s="1"/>
  <c r="N172" i="61"/>
  <c r="O172" i="61" s="1"/>
  <c r="N804" i="61"/>
  <c r="O804" i="61" s="1"/>
  <c r="N727" i="61"/>
  <c r="O727" i="61" s="1"/>
  <c r="N623" i="61"/>
  <c r="O623" i="61" s="1"/>
  <c r="N522" i="61"/>
  <c r="O522" i="61" s="1"/>
  <c r="N491" i="61"/>
  <c r="O491" i="61" s="1"/>
  <c r="N364" i="61"/>
  <c r="O364" i="61" s="1"/>
  <c r="N292" i="61"/>
  <c r="O292" i="61" s="1"/>
  <c r="N218" i="61"/>
  <c r="O218" i="61" s="1"/>
  <c r="N726" i="61"/>
  <c r="O726" i="61" s="1"/>
  <c r="N466" i="61"/>
  <c r="O466" i="61" s="1"/>
  <c r="N391" i="61"/>
  <c r="O391" i="61" s="1"/>
  <c r="N317" i="61"/>
  <c r="O317" i="61" s="1"/>
  <c r="N245" i="61"/>
  <c r="O245" i="61" s="1"/>
  <c r="N413" i="61"/>
  <c r="O413" i="61" s="1"/>
  <c r="N792" i="61"/>
  <c r="O792" i="61" s="1"/>
  <c r="N725" i="61"/>
  <c r="O725" i="61" s="1"/>
  <c r="N584" i="61"/>
  <c r="O584" i="61" s="1"/>
  <c r="N791" i="61"/>
  <c r="O791" i="61" s="1"/>
  <c r="N724" i="61"/>
  <c r="O724" i="61" s="1"/>
  <c r="N464" i="61"/>
  <c r="O464" i="61" s="1"/>
  <c r="N789" i="61"/>
  <c r="O789" i="61" s="1"/>
  <c r="N716" i="61"/>
  <c r="O716" i="61" s="1"/>
  <c r="N788" i="61"/>
  <c r="O788" i="61" s="1"/>
  <c r="N787" i="61"/>
  <c r="O787" i="61" s="1"/>
  <c r="N713" i="61"/>
  <c r="O713" i="61" s="1"/>
  <c r="N582" i="61"/>
  <c r="O582" i="61" s="1"/>
  <c r="N487" i="61"/>
  <c r="O487" i="61" s="1"/>
  <c r="N458" i="61"/>
  <c r="O458" i="61" s="1"/>
  <c r="N384" i="61"/>
  <c r="O384" i="61" s="1"/>
  <c r="N361" i="61"/>
  <c r="O361" i="61" s="1"/>
  <c r="N311" i="61"/>
  <c r="O311" i="61" s="1"/>
  <c r="N288" i="61"/>
  <c r="O288" i="61" s="1"/>
  <c r="N237" i="61"/>
  <c r="O237" i="61" s="1"/>
  <c r="N215" i="61"/>
  <c r="O215" i="61" s="1"/>
  <c r="N192" i="61"/>
  <c r="O192" i="61" s="1"/>
  <c r="N782" i="61"/>
  <c r="O782" i="61" s="1"/>
  <c r="N712" i="61"/>
  <c r="O712" i="61" s="1"/>
  <c r="N547" i="61"/>
  <c r="O547" i="61" s="1"/>
  <c r="N513" i="61"/>
  <c r="O513" i="61" s="1"/>
  <c r="N434" i="61"/>
  <c r="O434" i="61" s="1"/>
  <c r="N410" i="61"/>
  <c r="O410" i="61" s="1"/>
  <c r="N383" i="61"/>
  <c r="O383" i="61" s="1"/>
  <c r="N360" i="61"/>
  <c r="O360" i="61" s="1"/>
  <c r="N338" i="61"/>
  <c r="O338" i="61" s="1"/>
  <c r="N286" i="61"/>
  <c r="O286" i="61" s="1"/>
  <c r="N264" i="61"/>
  <c r="O264" i="61" s="1"/>
  <c r="N214" i="61"/>
  <c r="O214" i="61" s="1"/>
  <c r="N191" i="61"/>
  <c r="O191" i="61" s="1"/>
  <c r="N776" i="61"/>
  <c r="O776" i="61" s="1"/>
  <c r="N710" i="61"/>
  <c r="O710" i="61" s="1"/>
  <c r="N657" i="61"/>
  <c r="O657" i="61" s="1"/>
  <c r="N615" i="61"/>
  <c r="O615" i="61" s="1"/>
  <c r="N511" i="61"/>
  <c r="O511" i="61" s="1"/>
  <c r="N486" i="61"/>
  <c r="O486" i="61" s="1"/>
  <c r="N457" i="61"/>
  <c r="O457" i="61" s="1"/>
  <c r="N433" i="61"/>
  <c r="O433" i="61" s="1"/>
  <c r="N382" i="61"/>
  <c r="O382" i="61" s="1"/>
  <c r="N337" i="61"/>
  <c r="O337" i="61" s="1"/>
  <c r="N310" i="61"/>
  <c r="O310" i="61" s="1"/>
  <c r="N236" i="61"/>
  <c r="O236" i="61" s="1"/>
  <c r="N774" i="61"/>
  <c r="O774" i="61" s="1"/>
  <c r="N709" i="61"/>
  <c r="O709" i="61" s="1"/>
  <c r="N655" i="61"/>
  <c r="O655" i="61" s="1"/>
  <c r="N579" i="61"/>
  <c r="O579" i="61" s="1"/>
  <c r="N546" i="61"/>
  <c r="O546" i="61" s="1"/>
  <c r="N510" i="61"/>
  <c r="O510" i="61" s="1"/>
  <c r="N773" i="61"/>
  <c r="O773" i="61" s="1"/>
  <c r="N708" i="61"/>
  <c r="O708" i="61" s="1"/>
  <c r="N545" i="61"/>
  <c r="O545" i="61" s="1"/>
  <c r="N485" i="61"/>
  <c r="O485" i="61" s="1"/>
  <c r="N456" i="61"/>
  <c r="O456" i="61" s="1"/>
  <c r="N431" i="61"/>
  <c r="O431" i="61" s="1"/>
  <c r="N381" i="61"/>
  <c r="O381" i="61" s="1"/>
  <c r="N335" i="61"/>
  <c r="O335" i="61" s="1"/>
  <c r="N772" i="61"/>
  <c r="O772" i="61" s="1"/>
  <c r="N707" i="61"/>
  <c r="O707" i="61" s="1"/>
  <c r="N613" i="61"/>
  <c r="O613" i="61" s="1"/>
  <c r="N577" i="61"/>
  <c r="O577" i="61" s="1"/>
  <c r="N729" i="61"/>
  <c r="O729" i="61" s="1"/>
  <c r="N190" i="61"/>
  <c r="O190" i="61" s="1"/>
  <c r="N176" i="61"/>
  <c r="O176" i="61" s="1"/>
  <c r="N365" i="61"/>
  <c r="O365" i="61" s="1"/>
  <c r="N362" i="61"/>
  <c r="O362" i="61" s="1"/>
  <c r="N560" i="61"/>
  <c r="O560" i="61" s="1"/>
  <c r="N269" i="61"/>
  <c r="O269" i="61" s="1"/>
  <c r="N714" i="61"/>
  <c r="O714" i="61" s="1"/>
  <c r="N312" i="61"/>
  <c r="O312" i="61" s="1"/>
  <c r="N247" i="61"/>
  <c r="O247" i="61" s="1"/>
  <c r="N468" i="61"/>
  <c r="O468" i="61" s="1"/>
  <c r="N175" i="61"/>
  <c r="O175" i="61" s="1"/>
  <c r="N619" i="61"/>
  <c r="O619" i="61" s="1"/>
  <c r="N291" i="61"/>
  <c r="O291" i="61" s="1"/>
  <c r="N358" i="61"/>
  <c r="O358" i="61" s="1"/>
  <c r="N432" i="61"/>
  <c r="O432" i="61" s="1"/>
  <c r="N419" i="61"/>
  <c r="O419" i="61" s="1"/>
  <c r="N411" i="61"/>
  <c r="O411" i="61" s="1"/>
  <c r="N678" i="61"/>
  <c r="O678" i="61" s="1"/>
  <c r="N386" i="61"/>
  <c r="O386" i="61" s="1"/>
  <c r="N189" i="61"/>
  <c r="O189" i="61" s="1"/>
  <c r="N177" i="61"/>
  <c r="O177" i="61" s="1"/>
  <c r="N465" i="61"/>
  <c r="O465" i="61" s="1"/>
  <c r="N270" i="61"/>
  <c r="O270" i="61" s="1"/>
  <c r="N416" i="61"/>
  <c r="O416" i="61" s="1"/>
  <c r="N266" i="61"/>
  <c r="O266" i="61" s="1"/>
  <c r="N322" i="61"/>
  <c r="O322" i="61" s="1"/>
  <c r="N674" i="61"/>
  <c r="O674" i="61" s="1"/>
  <c r="N385" i="61"/>
  <c r="O385" i="61" s="1"/>
  <c r="N309" i="61"/>
  <c r="O309" i="61" s="1"/>
  <c r="N239" i="61"/>
  <c r="O239" i="61" s="1"/>
  <c r="N294" i="61"/>
  <c r="O294" i="61" s="1"/>
  <c r="N445" i="61"/>
  <c r="O445" i="61" s="1"/>
  <c r="N213" i="61"/>
  <c r="O213" i="61" s="1"/>
  <c r="N393" i="61"/>
  <c r="O393" i="61" s="1"/>
  <c r="N238" i="61"/>
  <c r="O238" i="61" s="1"/>
  <c r="N235" i="61"/>
  <c r="O235" i="61" s="1"/>
  <c r="N509" i="61"/>
  <c r="O509" i="61" s="1"/>
  <c r="N463" i="61"/>
  <c r="O463" i="61" s="1"/>
  <c r="N174" i="61"/>
  <c r="O174" i="61" s="1"/>
  <c r="N171" i="61"/>
  <c r="O171" i="61" s="1"/>
  <c r="N219" i="61"/>
  <c r="O219" i="61" s="1"/>
  <c r="N430" i="61"/>
  <c r="O430" i="61" s="1"/>
  <c r="N199" i="61"/>
  <c r="O199" i="61" s="1"/>
  <c r="N321" i="61"/>
  <c r="O321" i="61" s="1"/>
  <c r="N363" i="61"/>
  <c r="O363" i="61" s="1"/>
  <c r="N591" i="61"/>
  <c r="O591" i="61" s="1"/>
  <c r="N272" i="61"/>
  <c r="O272" i="61" s="1"/>
  <c r="N593" i="61"/>
  <c r="O593" i="61" s="1"/>
  <c r="N293" i="61"/>
  <c r="O293" i="61" s="1"/>
  <c r="N289" i="61"/>
  <c r="O289" i="61" s="1"/>
  <c r="N198" i="61"/>
  <c r="O198" i="61" s="1"/>
  <c r="N194" i="61"/>
  <c r="O194" i="61" s="1"/>
  <c r="N583" i="61"/>
  <c r="O583" i="61" s="1"/>
  <c r="N440" i="61"/>
  <c r="O440" i="61" s="1"/>
  <c r="N220" i="61"/>
  <c r="O220" i="61" s="1"/>
  <c r="N290" i="61"/>
  <c r="O290" i="61" s="1"/>
  <c r="N359" i="61"/>
  <c r="O359" i="61" s="1"/>
  <c r="N265" i="61"/>
  <c r="O265" i="61" s="1"/>
  <c r="N437" i="61"/>
  <c r="O437" i="61" s="1"/>
  <c r="N345" i="61"/>
  <c r="O345" i="61" s="1"/>
  <c r="N285" i="61"/>
  <c r="O285" i="61" s="1"/>
  <c r="N217" i="61"/>
  <c r="O217" i="61" s="1"/>
  <c r="N344" i="61"/>
  <c r="O344" i="61" s="1"/>
  <c r="N343" i="61"/>
  <c r="O343" i="61" s="1"/>
  <c r="N340" i="61"/>
  <c r="O340" i="61" s="1"/>
  <c r="N336" i="61"/>
  <c r="O336" i="61" s="1"/>
  <c r="N195" i="61"/>
  <c r="O195" i="61" s="1"/>
  <c r="N490" i="61"/>
  <c r="O490" i="61" s="1"/>
  <c r="N557" i="61"/>
  <c r="O557" i="61" s="1"/>
  <c r="N216" i="61"/>
  <c r="O216" i="61" s="1"/>
  <c r="N548" i="61"/>
  <c r="O548" i="61" s="1"/>
  <c r="N339" i="61"/>
  <c r="O339" i="61" s="1"/>
  <c r="N263" i="61"/>
  <c r="O263" i="61" s="1"/>
  <c r="N319" i="61"/>
  <c r="O319" i="61" s="1"/>
  <c r="N436" i="61"/>
  <c r="O436" i="61" s="1"/>
  <c r="N284" i="61"/>
  <c r="O284" i="61" s="1"/>
  <c r="N271" i="61"/>
  <c r="O271" i="61" s="1"/>
  <c r="N417" i="61"/>
  <c r="O417" i="61" s="1"/>
  <c r="N412" i="61"/>
  <c r="O412" i="61" s="1"/>
  <c r="N495" i="61"/>
  <c r="O495" i="61" s="1"/>
  <c r="N212" i="61"/>
  <c r="O212" i="61" s="1"/>
  <c r="N409" i="61"/>
  <c r="O409" i="61" s="1"/>
  <c r="N488" i="61"/>
  <c r="O488" i="61" s="1"/>
  <c r="N248" i="61"/>
  <c r="O248" i="61" s="1"/>
  <c r="N523" i="61"/>
  <c r="O523" i="61" s="1"/>
  <c r="N521" i="61"/>
  <c r="O521" i="61" s="1"/>
  <c r="N320" i="61"/>
  <c r="O320" i="61" s="1"/>
  <c r="N492" i="61"/>
  <c r="O492" i="61" s="1"/>
  <c r="N193" i="61"/>
  <c r="O193" i="61" s="1"/>
  <c r="J1" i="61"/>
  <c r="P2" i="61" l="1" a="1"/>
  <c r="P2" i="61" s="1"/>
  <c r="P1" i="61" s="1" a="1"/>
  <c r="P1" i="61" s="1"/>
  <c r="A15" i="61" s="1"/>
  <c r="L15" i="104" l="1"/>
  <c r="L16" i="104"/>
  <c r="L17" i="104"/>
  <c r="E15" i="61"/>
  <c r="B15" i="61"/>
  <c r="B7" i="45"/>
  <c r="C5" i="45"/>
  <c r="C7" i="45" s="1"/>
  <c r="M15" i="104" l="1"/>
  <c r="M16" i="104"/>
  <c r="M17" i="104"/>
  <c r="C15" i="61"/>
  <c r="A16" i="61" s="1"/>
  <c r="F15" i="61"/>
  <c r="D15" i="61"/>
  <c r="G15" i="61" l="1"/>
  <c r="N126" i="45"/>
  <c r="O126" i="45" s="1"/>
  <c r="N97" i="45"/>
  <c r="O97" i="45" s="1"/>
  <c r="N66" i="45"/>
  <c r="O66" i="45" s="1"/>
  <c r="N31" i="45"/>
  <c r="O31" i="45" s="1"/>
  <c r="N10" i="45"/>
  <c r="O10" i="45" s="1"/>
  <c r="N124" i="45"/>
  <c r="O124" i="45" s="1"/>
  <c r="N114" i="45"/>
  <c r="O114" i="45" s="1"/>
  <c r="N48" i="45"/>
  <c r="O48" i="45" s="1"/>
  <c r="N110" i="45"/>
  <c r="O110" i="45" s="1"/>
  <c r="N75" i="45"/>
  <c r="O75" i="45" s="1"/>
  <c r="N44" i="45"/>
  <c r="O44" i="45" s="1"/>
  <c r="N125" i="45"/>
  <c r="O125" i="45" s="1"/>
  <c r="N88" i="45"/>
  <c r="O88" i="45" s="1"/>
  <c r="N57" i="45"/>
  <c r="O57" i="45" s="1"/>
  <c r="N26" i="45"/>
  <c r="O26" i="45" s="1"/>
  <c r="N17" i="45"/>
  <c r="O17" i="45" s="1"/>
  <c r="N101" i="45"/>
  <c r="O101" i="45" s="1"/>
  <c r="N70" i="45"/>
  <c r="O70" i="45" s="1"/>
  <c r="N35" i="45"/>
  <c r="O35" i="45" s="1"/>
  <c r="N123" i="45"/>
  <c r="O123" i="45" s="1"/>
  <c r="N79" i="45"/>
  <c r="O79" i="45" s="1"/>
  <c r="N104" i="45"/>
  <c r="O104" i="45" s="1"/>
  <c r="N130" i="45"/>
  <c r="O130" i="45" s="1"/>
  <c r="N115" i="45"/>
  <c r="O115" i="45" s="1"/>
  <c r="N92" i="45"/>
  <c r="O92" i="45" s="1"/>
  <c r="N87" i="45"/>
  <c r="O87" i="45" s="1"/>
  <c r="N76" i="45"/>
  <c r="O76" i="45" s="1"/>
  <c r="N13" i="45"/>
  <c r="O13" i="45" s="1"/>
  <c r="N71" i="45"/>
  <c r="O71" i="45" s="1"/>
  <c r="N129" i="45"/>
  <c r="O129" i="45" s="1"/>
  <c r="N103" i="45"/>
  <c r="O103" i="45" s="1"/>
  <c r="N50" i="45"/>
  <c r="O50" i="45" s="1"/>
  <c r="N45" i="45"/>
  <c r="O45" i="45" s="1"/>
  <c r="N40" i="45"/>
  <c r="O40" i="45" s="1"/>
  <c r="N34" i="45"/>
  <c r="O34" i="45" s="1"/>
  <c r="N29" i="45"/>
  <c r="O29" i="45" s="1"/>
  <c r="N24" i="45"/>
  <c r="O24" i="45" s="1"/>
  <c r="N19" i="45"/>
  <c r="O19" i="45" s="1"/>
  <c r="N60" i="45"/>
  <c r="O60" i="45" s="1"/>
  <c r="N12" i="45"/>
  <c r="O12" i="45" s="1"/>
  <c r="N81" i="45"/>
  <c r="O81" i="45" s="1"/>
  <c r="N11" i="45"/>
  <c r="O11" i="45" s="1"/>
  <c r="N128" i="45"/>
  <c r="O128" i="45" s="1"/>
  <c r="N108" i="45"/>
  <c r="O108" i="45" s="1"/>
  <c r="N86" i="45"/>
  <c r="O86" i="45" s="1"/>
  <c r="N65" i="45"/>
  <c r="O65" i="45" s="1"/>
  <c r="N55" i="45"/>
  <c r="O55" i="45" s="1"/>
  <c r="N39" i="45"/>
  <c r="O39" i="45" s="1"/>
  <c r="N113" i="45"/>
  <c r="O113" i="45" s="1"/>
  <c r="N102" i="45"/>
  <c r="O102" i="45" s="1"/>
  <c r="N18" i="45"/>
  <c r="O18" i="45" s="1"/>
  <c r="N116" i="45"/>
  <c r="O116" i="45" s="1"/>
  <c r="N27" i="45"/>
  <c r="O27" i="45" s="1"/>
  <c r="N80" i="45"/>
  <c r="O80" i="45" s="1"/>
  <c r="N20" i="45"/>
  <c r="O20" i="45" s="1"/>
  <c r="N78" i="45"/>
  <c r="O78" i="45" s="1"/>
  <c r="N127" i="45"/>
  <c r="O127" i="45" s="1"/>
  <c r="N120" i="45"/>
  <c r="O120" i="45" s="1"/>
  <c r="N100" i="45"/>
  <c r="O100" i="45" s="1"/>
  <c r="N73" i="45"/>
  <c r="O73" i="45" s="1"/>
  <c r="N38" i="45"/>
  <c r="O38" i="45" s="1"/>
  <c r="N83" i="45"/>
  <c r="O83" i="45" s="1"/>
  <c r="N67" i="45"/>
  <c r="O67" i="45" s="1"/>
  <c r="N53" i="45"/>
  <c r="O53" i="45" s="1"/>
  <c r="N46" i="45"/>
  <c r="O46" i="45" s="1"/>
  <c r="N30" i="45"/>
  <c r="O30" i="45" s="1"/>
  <c r="N84" i="45"/>
  <c r="O84" i="45" s="1"/>
  <c r="N107" i="45"/>
  <c r="O107" i="45" s="1"/>
  <c r="N59" i="45"/>
  <c r="O59" i="45" s="1"/>
  <c r="N93" i="45"/>
  <c r="O93" i="45" s="1"/>
  <c r="N52" i="45"/>
  <c r="O52" i="45" s="1"/>
  <c r="N58" i="45"/>
  <c r="O58" i="45" s="1"/>
  <c r="N64" i="45"/>
  <c r="O64" i="45" s="1"/>
  <c r="N112" i="45"/>
  <c r="O112" i="45" s="1"/>
  <c r="N98" i="45"/>
  <c r="O98" i="45" s="1"/>
  <c r="N43" i="45"/>
  <c r="O43" i="45" s="1"/>
  <c r="N16" i="45"/>
  <c r="O16" i="45" s="1"/>
  <c r="N106" i="45"/>
  <c r="O106" i="45" s="1"/>
  <c r="N90" i="45"/>
  <c r="O90" i="45" s="1"/>
  <c r="N36" i="45"/>
  <c r="O36" i="45" s="1"/>
  <c r="N99" i="45"/>
  <c r="O99" i="45" s="1"/>
  <c r="N72" i="45"/>
  <c r="O72" i="45" s="1"/>
  <c r="N51" i="45"/>
  <c r="O51" i="45" s="1"/>
  <c r="N122" i="45"/>
  <c r="O122" i="45" s="1"/>
  <c r="N32" i="45"/>
  <c r="O32" i="45" s="1"/>
  <c r="N85" i="45"/>
  <c r="O85" i="45" s="1"/>
  <c r="N25" i="45"/>
  <c r="O25" i="45" s="1"/>
  <c r="N105" i="45"/>
  <c r="O105" i="45" s="1"/>
  <c r="N69" i="45"/>
  <c r="O69" i="45" s="1"/>
  <c r="N63" i="45"/>
  <c r="O63" i="45" s="1"/>
  <c r="N82" i="45"/>
  <c r="O82" i="45" s="1"/>
  <c r="N91" i="45"/>
  <c r="O91" i="45" s="1"/>
  <c r="N96" i="45"/>
  <c r="O96" i="45" s="1"/>
  <c r="N37" i="45"/>
  <c r="O37" i="45" s="1"/>
  <c r="N109" i="45"/>
  <c r="O109" i="45" s="1"/>
  <c r="N49" i="45"/>
  <c r="O49" i="45" s="1"/>
  <c r="N111" i="45"/>
  <c r="O111" i="45" s="1"/>
  <c r="N121" i="45"/>
  <c r="O121" i="45" s="1"/>
  <c r="N77" i="45"/>
  <c r="O77" i="45" s="1"/>
  <c r="N23" i="45"/>
  <c r="O23" i="45" s="1"/>
  <c r="N22" i="45"/>
  <c r="O22" i="45" s="1"/>
  <c r="N28" i="45"/>
  <c r="O28" i="45" s="1"/>
  <c r="N117" i="45"/>
  <c r="O117" i="45" s="1"/>
  <c r="N95" i="45"/>
  <c r="O95" i="45" s="1"/>
  <c r="N61" i="45"/>
  <c r="O61" i="45" s="1"/>
  <c r="N118" i="45"/>
  <c r="O118" i="45" s="1"/>
  <c r="N89" i="45"/>
  <c r="O89" i="45" s="1"/>
  <c r="N119" i="45"/>
  <c r="O119" i="45" s="1"/>
  <c r="N56" i="45"/>
  <c r="O56" i="45" s="1"/>
  <c r="N42" i="45"/>
  <c r="O42" i="45" s="1"/>
  <c r="N54" i="45"/>
  <c r="O54" i="45" s="1"/>
  <c r="N62" i="45"/>
  <c r="O62" i="45" s="1"/>
  <c r="N21" i="45"/>
  <c r="O21" i="45" s="1"/>
  <c r="N68" i="45"/>
  <c r="O68" i="45" s="1"/>
  <c r="N15" i="45"/>
  <c r="O15" i="45" s="1"/>
  <c r="N41" i="45"/>
  <c r="O41" i="45" s="1"/>
  <c r="N94" i="45"/>
  <c r="O94" i="45" s="1"/>
  <c r="N74" i="45"/>
  <c r="O74" i="45" s="1"/>
  <c r="N47" i="45"/>
  <c r="O47" i="45" s="1"/>
  <c r="N33" i="45"/>
  <c r="O33" i="45" s="1"/>
  <c r="N14" i="45"/>
  <c r="O14" i="45" s="1"/>
  <c r="N9" i="45"/>
  <c r="O9" i="45" s="1"/>
  <c r="N8" i="45"/>
  <c r="O8" i="45" s="1"/>
  <c r="N5" i="45"/>
  <c r="O5" i="45" s="1"/>
  <c r="N4" i="45"/>
  <c r="O4" i="45" s="1"/>
  <c r="N7" i="45"/>
  <c r="O7" i="45" s="1"/>
  <c r="N6" i="45"/>
  <c r="O6" i="45" s="1"/>
  <c r="N3" i="45"/>
  <c r="O3" i="45" s="1"/>
  <c r="E16" i="61"/>
  <c r="B16" i="61"/>
  <c r="N747" i="45"/>
  <c r="O747" i="45" s="1"/>
  <c r="N635" i="45"/>
  <c r="O635" i="45" s="1"/>
  <c r="N603" i="45"/>
  <c r="O603" i="45" s="1"/>
  <c r="N555" i="45"/>
  <c r="O555" i="45" s="1"/>
  <c r="N523" i="45"/>
  <c r="O523" i="45" s="1"/>
  <c r="N491" i="45"/>
  <c r="O491" i="45" s="1"/>
  <c r="N459" i="45"/>
  <c r="O459" i="45" s="1"/>
  <c r="N939" i="45"/>
  <c r="O939" i="45" s="1"/>
  <c r="N923" i="45"/>
  <c r="O923" i="45" s="1"/>
  <c r="N907" i="45"/>
  <c r="O907" i="45" s="1"/>
  <c r="N891" i="45"/>
  <c r="O891" i="45" s="1"/>
  <c r="N875" i="45"/>
  <c r="O875" i="45" s="1"/>
  <c r="N859" i="45"/>
  <c r="O859" i="45" s="1"/>
  <c r="N843" i="45"/>
  <c r="O843" i="45" s="1"/>
  <c r="N827" i="45"/>
  <c r="O827" i="45" s="1"/>
  <c r="N811" i="45"/>
  <c r="O811" i="45" s="1"/>
  <c r="N795" i="45"/>
  <c r="O795" i="45" s="1"/>
  <c r="N779" i="45"/>
  <c r="O779" i="45" s="1"/>
  <c r="N763" i="45"/>
  <c r="O763" i="45" s="1"/>
  <c r="N731" i="45"/>
  <c r="O731" i="45" s="1"/>
  <c r="N715" i="45"/>
  <c r="O715" i="45" s="1"/>
  <c r="N699" i="45"/>
  <c r="O699" i="45" s="1"/>
  <c r="N683" i="45"/>
  <c r="O683" i="45" s="1"/>
  <c r="N667" i="45"/>
  <c r="O667" i="45" s="1"/>
  <c r="N651" i="45"/>
  <c r="O651" i="45" s="1"/>
  <c r="N619" i="45"/>
  <c r="O619" i="45" s="1"/>
  <c r="N587" i="45"/>
  <c r="O587" i="45" s="1"/>
  <c r="N571" i="45"/>
  <c r="O571" i="45" s="1"/>
  <c r="N539" i="45"/>
  <c r="O539" i="45" s="1"/>
  <c r="N507" i="45"/>
  <c r="O507" i="45" s="1"/>
  <c r="N475" i="45"/>
  <c r="O475" i="45" s="1"/>
  <c r="N443" i="45"/>
  <c r="O443" i="45" s="1"/>
  <c r="N682" i="45"/>
  <c r="O682" i="45" s="1"/>
  <c r="N602" i="45"/>
  <c r="O602" i="45" s="1"/>
  <c r="N570" i="45"/>
  <c r="O570" i="45" s="1"/>
  <c r="N538" i="45"/>
  <c r="O538" i="45" s="1"/>
  <c r="N506" i="45"/>
  <c r="O506" i="45" s="1"/>
  <c r="N474" i="45"/>
  <c r="O474" i="45" s="1"/>
  <c r="N426" i="45"/>
  <c r="O426" i="45" s="1"/>
  <c r="N938" i="45"/>
  <c r="O938" i="45" s="1"/>
  <c r="N922" i="45"/>
  <c r="O922" i="45" s="1"/>
  <c r="N906" i="45"/>
  <c r="O906" i="45" s="1"/>
  <c r="N890" i="45"/>
  <c r="O890" i="45" s="1"/>
  <c r="N874" i="45"/>
  <c r="O874" i="45" s="1"/>
  <c r="N858" i="45"/>
  <c r="O858" i="45" s="1"/>
  <c r="N842" i="45"/>
  <c r="O842" i="45" s="1"/>
  <c r="N826" i="45"/>
  <c r="O826" i="45" s="1"/>
  <c r="N810" i="45"/>
  <c r="O810" i="45" s="1"/>
  <c r="N794" i="45"/>
  <c r="O794" i="45" s="1"/>
  <c r="N778" i="45"/>
  <c r="O778" i="45" s="1"/>
  <c r="N762" i="45"/>
  <c r="O762" i="45" s="1"/>
  <c r="N746" i="45"/>
  <c r="O746" i="45" s="1"/>
  <c r="N730" i="45"/>
  <c r="O730" i="45" s="1"/>
  <c r="N714" i="45"/>
  <c r="O714" i="45" s="1"/>
  <c r="N698" i="45"/>
  <c r="O698" i="45" s="1"/>
  <c r="N666" i="45"/>
  <c r="O666" i="45" s="1"/>
  <c r="N650" i="45"/>
  <c r="O650" i="45" s="1"/>
  <c r="N634" i="45"/>
  <c r="O634" i="45" s="1"/>
  <c r="N618" i="45"/>
  <c r="O618" i="45" s="1"/>
  <c r="N586" i="45"/>
  <c r="O586" i="45" s="1"/>
  <c r="N554" i="45"/>
  <c r="O554" i="45" s="1"/>
  <c r="N522" i="45"/>
  <c r="O522" i="45" s="1"/>
  <c r="N490" i="45"/>
  <c r="O490" i="45" s="1"/>
  <c r="N458" i="45"/>
  <c r="O458" i="45" s="1"/>
  <c r="N442" i="45"/>
  <c r="O442" i="45" s="1"/>
  <c r="N410" i="45"/>
  <c r="O410" i="45" s="1"/>
  <c r="N932" i="45"/>
  <c r="O932" i="45" s="1"/>
  <c r="N916" i="45"/>
  <c r="O916" i="45" s="1"/>
  <c r="N900" i="45"/>
  <c r="O900" i="45" s="1"/>
  <c r="N884" i="45"/>
  <c r="O884" i="45" s="1"/>
  <c r="N868" i="45"/>
  <c r="O868" i="45" s="1"/>
  <c r="N852" i="45"/>
  <c r="O852" i="45" s="1"/>
  <c r="N836" i="45"/>
  <c r="O836" i="45" s="1"/>
  <c r="N820" i="45"/>
  <c r="O820" i="45" s="1"/>
  <c r="N804" i="45"/>
  <c r="O804" i="45" s="1"/>
  <c r="N788" i="45"/>
  <c r="O788" i="45" s="1"/>
  <c r="N772" i="45"/>
  <c r="O772" i="45" s="1"/>
  <c r="N756" i="45"/>
  <c r="O756" i="45" s="1"/>
  <c r="N740" i="45"/>
  <c r="O740" i="45" s="1"/>
  <c r="N724" i="45"/>
  <c r="O724" i="45" s="1"/>
  <c r="N708" i="45"/>
  <c r="O708" i="45" s="1"/>
  <c r="N692" i="45"/>
  <c r="O692" i="45" s="1"/>
  <c r="N676" i="45"/>
  <c r="O676" i="45" s="1"/>
  <c r="N660" i="45"/>
  <c r="O660" i="45" s="1"/>
  <c r="N644" i="45"/>
  <c r="O644" i="45" s="1"/>
  <c r="N628" i="45"/>
  <c r="O628" i="45" s="1"/>
  <c r="N612" i="45"/>
  <c r="O612" i="45" s="1"/>
  <c r="N596" i="45"/>
  <c r="O596" i="45" s="1"/>
  <c r="N580" i="45"/>
  <c r="O580" i="45" s="1"/>
  <c r="N564" i="45"/>
  <c r="O564" i="45" s="1"/>
  <c r="N548" i="45"/>
  <c r="O548" i="45" s="1"/>
  <c r="N931" i="45"/>
  <c r="O931" i="45" s="1"/>
  <c r="N915" i="45"/>
  <c r="O915" i="45" s="1"/>
  <c r="N899" i="45"/>
  <c r="O899" i="45" s="1"/>
  <c r="N883" i="45"/>
  <c r="O883" i="45" s="1"/>
  <c r="N867" i="45"/>
  <c r="O867" i="45" s="1"/>
  <c r="N936" i="45"/>
  <c r="O936" i="45" s="1"/>
  <c r="N896" i="45"/>
  <c r="O896" i="45" s="1"/>
  <c r="N835" i="45"/>
  <c r="O835" i="45" s="1"/>
  <c r="N816" i="45"/>
  <c r="O816" i="45" s="1"/>
  <c r="N797" i="45"/>
  <c r="O797" i="45" s="1"/>
  <c r="N737" i="45"/>
  <c r="O737" i="45" s="1"/>
  <c r="N718" i="45"/>
  <c r="O718" i="45" s="1"/>
  <c r="N658" i="45"/>
  <c r="O658" i="45" s="1"/>
  <c r="N639" i="45"/>
  <c r="O639" i="45" s="1"/>
  <c r="N620" i="45"/>
  <c r="O620" i="45" s="1"/>
  <c r="N579" i="45"/>
  <c r="O579" i="45" s="1"/>
  <c r="N560" i="45"/>
  <c r="O560" i="45" s="1"/>
  <c r="N541" i="45"/>
  <c r="O541" i="45" s="1"/>
  <c r="N520" i="45"/>
  <c r="O520" i="45" s="1"/>
  <c r="N483" i="45"/>
  <c r="O483" i="45" s="1"/>
  <c r="N446" i="45"/>
  <c r="O446" i="45" s="1"/>
  <c r="N427" i="45"/>
  <c r="O427" i="45" s="1"/>
  <c r="N390" i="45"/>
  <c r="O390" i="45" s="1"/>
  <c r="N355" i="45"/>
  <c r="O355" i="45" s="1"/>
  <c r="N320" i="45"/>
  <c r="O320" i="45" s="1"/>
  <c r="N285" i="45"/>
  <c r="O285" i="45" s="1"/>
  <c r="N267" i="45"/>
  <c r="O267" i="45" s="1"/>
  <c r="N231" i="45"/>
  <c r="O231" i="45" s="1"/>
  <c r="N196" i="45"/>
  <c r="O196" i="45" s="1"/>
  <c r="N161" i="45"/>
  <c r="O161" i="45" s="1"/>
  <c r="N637" i="45"/>
  <c r="O637" i="45" s="1"/>
  <c r="N518" i="45"/>
  <c r="O518" i="45" s="1"/>
  <c r="N388" i="45"/>
  <c r="O388" i="45" s="1"/>
  <c r="N229" i="45"/>
  <c r="O229" i="45" s="1"/>
  <c r="N615" i="45"/>
  <c r="O615" i="45" s="1"/>
  <c r="N462" i="45"/>
  <c r="O462" i="45" s="1"/>
  <c r="N405" i="45"/>
  <c r="O405" i="45" s="1"/>
  <c r="N335" i="45"/>
  <c r="O335" i="45" s="1"/>
  <c r="N141" i="45"/>
  <c r="O141" i="45" s="1"/>
  <c r="N876" i="45"/>
  <c r="O876" i="45" s="1"/>
  <c r="N854" i="45"/>
  <c r="O854" i="45" s="1"/>
  <c r="N775" i="45"/>
  <c r="O775" i="45" s="1"/>
  <c r="N696" i="45"/>
  <c r="O696" i="45" s="1"/>
  <c r="N677" i="45"/>
  <c r="O677" i="45" s="1"/>
  <c r="N617" i="45"/>
  <c r="O617" i="45" s="1"/>
  <c r="N598" i="45"/>
  <c r="O598" i="45" s="1"/>
  <c r="N501" i="45"/>
  <c r="O501" i="45" s="1"/>
  <c r="N464" i="45"/>
  <c r="O464" i="45" s="1"/>
  <c r="N425" i="45"/>
  <c r="O425" i="45" s="1"/>
  <c r="N407" i="45"/>
  <c r="O407" i="45" s="1"/>
  <c r="N372" i="45"/>
  <c r="O372" i="45" s="1"/>
  <c r="N337" i="45"/>
  <c r="O337" i="45" s="1"/>
  <c r="N302" i="45"/>
  <c r="O302" i="45" s="1"/>
  <c r="N266" i="45"/>
  <c r="O266" i="45" s="1"/>
  <c r="N248" i="45"/>
  <c r="O248" i="45" s="1"/>
  <c r="N213" i="45"/>
  <c r="O213" i="45" s="1"/>
  <c r="N178" i="45"/>
  <c r="O178" i="45" s="1"/>
  <c r="N143" i="45"/>
  <c r="O143" i="45" s="1"/>
  <c r="N656" i="45"/>
  <c r="O656" i="45" s="1"/>
  <c r="N353" i="45"/>
  <c r="O353" i="45" s="1"/>
  <c r="N913" i="45"/>
  <c r="O913" i="45" s="1"/>
  <c r="N935" i="45"/>
  <c r="O935" i="45" s="1"/>
  <c r="N895" i="45"/>
  <c r="O895" i="45" s="1"/>
  <c r="N873" i="45"/>
  <c r="O873" i="45" s="1"/>
  <c r="N834" i="45"/>
  <c r="O834" i="45" s="1"/>
  <c r="N815" i="45"/>
  <c r="O815" i="45" s="1"/>
  <c r="N796" i="45"/>
  <c r="O796" i="45" s="1"/>
  <c r="N755" i="45"/>
  <c r="O755" i="45" s="1"/>
  <c r="N736" i="45"/>
  <c r="O736" i="45" s="1"/>
  <c r="N717" i="45"/>
  <c r="O717" i="45" s="1"/>
  <c r="N657" i="45"/>
  <c r="O657" i="45" s="1"/>
  <c r="N638" i="45"/>
  <c r="O638" i="45" s="1"/>
  <c r="N578" i="45"/>
  <c r="O578" i="45" s="1"/>
  <c r="N559" i="45"/>
  <c r="O559" i="45" s="1"/>
  <c r="N540" i="45"/>
  <c r="O540" i="45" s="1"/>
  <c r="N519" i="45"/>
  <c r="O519" i="45" s="1"/>
  <c r="N482" i="45"/>
  <c r="O482" i="45" s="1"/>
  <c r="N445" i="45"/>
  <c r="O445" i="45" s="1"/>
  <c r="N389" i="45"/>
  <c r="O389" i="45" s="1"/>
  <c r="N354" i="45"/>
  <c r="O354" i="45" s="1"/>
  <c r="N319" i="45"/>
  <c r="O319" i="45" s="1"/>
  <c r="N284" i="45"/>
  <c r="O284" i="45" s="1"/>
  <c r="N265" i="45"/>
  <c r="O265" i="45" s="1"/>
  <c r="N230" i="45"/>
  <c r="O230" i="45" s="1"/>
  <c r="N195" i="45"/>
  <c r="O195" i="45" s="1"/>
  <c r="N160" i="45"/>
  <c r="O160" i="45" s="1"/>
  <c r="N558" i="45"/>
  <c r="O558" i="45" s="1"/>
  <c r="N481" i="45"/>
  <c r="O481" i="45" s="1"/>
  <c r="N282" i="45"/>
  <c r="O282" i="45" s="1"/>
  <c r="N194" i="45"/>
  <c r="O194" i="45" s="1"/>
  <c r="N773" i="45"/>
  <c r="O773" i="45" s="1"/>
  <c r="N713" i="45"/>
  <c r="O713" i="45" s="1"/>
  <c r="N536" i="45"/>
  <c r="O536" i="45" s="1"/>
  <c r="N441" i="45"/>
  <c r="O441" i="45" s="1"/>
  <c r="N423" i="45"/>
  <c r="O423" i="45" s="1"/>
  <c r="N281" i="45"/>
  <c r="O281" i="45" s="1"/>
  <c r="N176" i="45"/>
  <c r="O176" i="45" s="1"/>
  <c r="N914" i="45"/>
  <c r="O914" i="45" s="1"/>
  <c r="N853" i="45"/>
  <c r="O853" i="45" s="1"/>
  <c r="N793" i="45"/>
  <c r="O793" i="45" s="1"/>
  <c r="N774" i="45"/>
  <c r="O774" i="45" s="1"/>
  <c r="N695" i="45"/>
  <c r="O695" i="45" s="1"/>
  <c r="N616" i="45"/>
  <c r="O616" i="45" s="1"/>
  <c r="N597" i="45"/>
  <c r="O597" i="45" s="1"/>
  <c r="N537" i="45"/>
  <c r="O537" i="45" s="1"/>
  <c r="N500" i="45"/>
  <c r="O500" i="45" s="1"/>
  <c r="N463" i="45"/>
  <c r="O463" i="45" s="1"/>
  <c r="N424" i="45"/>
  <c r="O424" i="45" s="1"/>
  <c r="N406" i="45"/>
  <c r="O406" i="45" s="1"/>
  <c r="N371" i="45"/>
  <c r="O371" i="45" s="1"/>
  <c r="N336" i="45"/>
  <c r="O336" i="45" s="1"/>
  <c r="N301" i="45"/>
  <c r="O301" i="45" s="1"/>
  <c r="N283" i="45"/>
  <c r="O283" i="45" s="1"/>
  <c r="N247" i="45"/>
  <c r="O247" i="45" s="1"/>
  <c r="N212" i="45"/>
  <c r="O212" i="45" s="1"/>
  <c r="N177" i="45"/>
  <c r="O177" i="45" s="1"/>
  <c r="N142" i="45"/>
  <c r="O142" i="45" s="1"/>
  <c r="N716" i="45"/>
  <c r="O716" i="45" s="1"/>
  <c r="N444" i="45"/>
  <c r="O444" i="45" s="1"/>
  <c r="N264" i="45"/>
  <c r="O264" i="45" s="1"/>
  <c r="N159" i="45"/>
  <c r="O159" i="45" s="1"/>
  <c r="N792" i="45"/>
  <c r="O792" i="45" s="1"/>
  <c r="N499" i="45"/>
  <c r="O499" i="45" s="1"/>
  <c r="N370" i="45"/>
  <c r="O370" i="45" s="1"/>
  <c r="N934" i="45"/>
  <c r="O934" i="45" s="1"/>
  <c r="N894" i="45"/>
  <c r="O894" i="45" s="1"/>
  <c r="N872" i="45"/>
  <c r="O872" i="45" s="1"/>
  <c r="N833" i="45"/>
  <c r="O833" i="45" s="1"/>
  <c r="N814" i="45"/>
  <c r="O814" i="45" s="1"/>
  <c r="N754" i="45"/>
  <c r="O754" i="45" s="1"/>
  <c r="N735" i="45"/>
  <c r="O735" i="45" s="1"/>
  <c r="N675" i="45"/>
  <c r="O675" i="45" s="1"/>
  <c r="N577" i="45"/>
  <c r="O577" i="45" s="1"/>
  <c r="N318" i="45"/>
  <c r="O318" i="45" s="1"/>
  <c r="N694" i="45"/>
  <c r="O694" i="45" s="1"/>
  <c r="N300" i="45"/>
  <c r="O300" i="45" s="1"/>
  <c r="N912" i="45"/>
  <c r="O912" i="45" s="1"/>
  <c r="N791" i="45"/>
  <c r="O791" i="45" s="1"/>
  <c r="N712" i="45"/>
  <c r="O712" i="45" s="1"/>
  <c r="N693" i="45"/>
  <c r="O693" i="45" s="1"/>
  <c r="N633" i="45"/>
  <c r="O633" i="45" s="1"/>
  <c r="N614" i="45"/>
  <c r="O614" i="45" s="1"/>
  <c r="N535" i="45"/>
  <c r="O535" i="45" s="1"/>
  <c r="N498" i="45"/>
  <c r="O498" i="45" s="1"/>
  <c r="N461" i="45"/>
  <c r="O461" i="45" s="1"/>
  <c r="N440" i="45"/>
  <c r="O440" i="45" s="1"/>
  <c r="N422" i="45"/>
  <c r="O422" i="45" s="1"/>
  <c r="N404" i="45"/>
  <c r="O404" i="45" s="1"/>
  <c r="N369" i="45"/>
  <c r="O369" i="45" s="1"/>
  <c r="N334" i="45"/>
  <c r="O334" i="45" s="1"/>
  <c r="N298" i="45"/>
  <c r="O298" i="45" s="1"/>
  <c r="N280" i="45"/>
  <c r="O280" i="45" s="1"/>
  <c r="N245" i="45"/>
  <c r="O245" i="45" s="1"/>
  <c r="N210" i="45"/>
  <c r="O210" i="45" s="1"/>
  <c r="N175" i="45"/>
  <c r="O175" i="45" s="1"/>
  <c r="N911" i="45"/>
  <c r="O911" i="45" s="1"/>
  <c r="N929" i="45"/>
  <c r="O929" i="45" s="1"/>
  <c r="N928" i="45"/>
  <c r="O928" i="45" s="1"/>
  <c r="N866" i="45"/>
  <c r="O866" i="45" s="1"/>
  <c r="N847" i="45"/>
  <c r="O847" i="45" s="1"/>
  <c r="N828" i="45"/>
  <c r="O828" i="45" s="1"/>
  <c r="N787" i="45"/>
  <c r="O787" i="45" s="1"/>
  <c r="N768" i="45"/>
  <c r="O768" i="45" s="1"/>
  <c r="N749" i="45"/>
  <c r="O749" i="45" s="1"/>
  <c r="N689" i="45"/>
  <c r="O689" i="45" s="1"/>
  <c r="N670" i="45"/>
  <c r="O670" i="45" s="1"/>
  <c r="N610" i="45"/>
  <c r="O610" i="45" s="1"/>
  <c r="N591" i="45"/>
  <c r="O591" i="45" s="1"/>
  <c r="N572" i="45"/>
  <c r="O572" i="45" s="1"/>
  <c r="N513" i="45"/>
  <c r="O513" i="45" s="1"/>
  <c r="N476" i="45"/>
  <c r="O476" i="45" s="1"/>
  <c r="N455" i="45"/>
  <c r="O455" i="45" s="1"/>
  <c r="N383" i="45"/>
  <c r="O383" i="45" s="1"/>
  <c r="N348" i="45"/>
  <c r="O348" i="45" s="1"/>
  <c r="N329" i="45"/>
  <c r="O329" i="45" s="1"/>
  <c r="N294" i="45"/>
  <c r="O294" i="45" s="1"/>
  <c r="N259" i="45"/>
  <c r="O259" i="45" s="1"/>
  <c r="N224" i="45"/>
  <c r="O224" i="45" s="1"/>
  <c r="N189" i="45"/>
  <c r="O189" i="45" s="1"/>
  <c r="N171" i="45"/>
  <c r="O171" i="45" s="1"/>
  <c r="N135" i="45"/>
  <c r="O135" i="45" s="1"/>
  <c r="N903" i="45"/>
  <c r="O903" i="45" s="1"/>
  <c r="N799" i="45"/>
  <c r="O799" i="45" s="1"/>
  <c r="N720" i="45"/>
  <c r="O720" i="45" s="1"/>
  <c r="N641" i="45"/>
  <c r="O641" i="45" s="1"/>
  <c r="N588" i="45"/>
  <c r="O588" i="45" s="1"/>
  <c r="N562" i="45"/>
  <c r="O562" i="45" s="1"/>
  <c r="N533" i="45"/>
  <c r="O533" i="45" s="1"/>
  <c r="N510" i="45"/>
  <c r="O510" i="45" s="1"/>
  <c r="N485" i="45"/>
  <c r="O485" i="45" s="1"/>
  <c r="N411" i="45"/>
  <c r="O411" i="45" s="1"/>
  <c r="N361" i="45"/>
  <c r="O361" i="45" s="1"/>
  <c r="N313" i="45"/>
  <c r="O313" i="45" s="1"/>
  <c r="N291" i="45"/>
  <c r="O291" i="45" s="1"/>
  <c r="N199" i="45"/>
  <c r="O199" i="45" s="1"/>
  <c r="N174" i="45"/>
  <c r="O174" i="45" s="1"/>
  <c r="N151" i="45"/>
  <c r="O151" i="45" s="1"/>
  <c r="N878" i="45"/>
  <c r="O878" i="45" s="1"/>
  <c r="N848" i="45"/>
  <c r="O848" i="45" s="1"/>
  <c r="N822" i="45"/>
  <c r="O822" i="45" s="1"/>
  <c r="N769" i="45"/>
  <c r="O769" i="45" s="1"/>
  <c r="N690" i="45"/>
  <c r="O690" i="45" s="1"/>
  <c r="N611" i="45"/>
  <c r="O611" i="45" s="1"/>
  <c r="N456" i="45"/>
  <c r="O456" i="45" s="1"/>
  <c r="N433" i="45"/>
  <c r="O433" i="45" s="1"/>
  <c r="N409" i="45"/>
  <c r="O409" i="45" s="1"/>
  <c r="N339" i="45"/>
  <c r="O339" i="45" s="1"/>
  <c r="N269" i="45"/>
  <c r="O269" i="45" s="1"/>
  <c r="N221" i="45"/>
  <c r="O221" i="45" s="1"/>
  <c r="N505" i="45"/>
  <c r="O505" i="45" s="1"/>
  <c r="N687" i="45"/>
  <c r="O687" i="45" s="1"/>
  <c r="N358" i="45"/>
  <c r="O358" i="45" s="1"/>
  <c r="N930" i="45"/>
  <c r="O930" i="45" s="1"/>
  <c r="N743" i="45"/>
  <c r="O743" i="45" s="1"/>
  <c r="N664" i="45"/>
  <c r="O664" i="45" s="1"/>
  <c r="N585" i="45"/>
  <c r="O585" i="45" s="1"/>
  <c r="N384" i="45"/>
  <c r="O384" i="45" s="1"/>
  <c r="N243" i="45"/>
  <c r="O243" i="45" s="1"/>
  <c r="N845" i="45"/>
  <c r="O845" i="45" s="1"/>
  <c r="N608" i="45"/>
  <c r="O608" i="45" s="1"/>
  <c r="N403" i="45"/>
  <c r="O403" i="45" s="1"/>
  <c r="N902" i="45"/>
  <c r="O902" i="45" s="1"/>
  <c r="N798" i="45"/>
  <c r="O798" i="45" s="1"/>
  <c r="N719" i="45"/>
  <c r="O719" i="45" s="1"/>
  <c r="N640" i="45"/>
  <c r="O640" i="45" s="1"/>
  <c r="N561" i="45"/>
  <c r="O561" i="45" s="1"/>
  <c r="N532" i="45"/>
  <c r="O532" i="45" s="1"/>
  <c r="N509" i="45"/>
  <c r="O509" i="45" s="1"/>
  <c r="N484" i="45"/>
  <c r="O484" i="45" s="1"/>
  <c r="N360" i="45"/>
  <c r="O360" i="45" s="1"/>
  <c r="N312" i="45"/>
  <c r="O312" i="45" s="1"/>
  <c r="N290" i="45"/>
  <c r="O290" i="45" s="1"/>
  <c r="N198" i="45"/>
  <c r="O198" i="45" s="1"/>
  <c r="N173" i="45"/>
  <c r="O173" i="45" s="1"/>
  <c r="N150" i="45"/>
  <c r="O150" i="45" s="1"/>
  <c r="N149" i="45"/>
  <c r="O149" i="45" s="1"/>
  <c r="N870" i="45"/>
  <c r="O870" i="45" s="1"/>
  <c r="N583" i="45"/>
  <c r="O583" i="45" s="1"/>
  <c r="N479" i="45"/>
  <c r="O479" i="45" s="1"/>
  <c r="N218" i="45"/>
  <c r="O218" i="45" s="1"/>
  <c r="N766" i="45"/>
  <c r="O766" i="45" s="1"/>
  <c r="N632" i="45"/>
  <c r="O632" i="45" s="1"/>
  <c r="N333" i="45"/>
  <c r="O333" i="45" s="1"/>
  <c r="N877" i="45"/>
  <c r="O877" i="45" s="1"/>
  <c r="N821" i="45"/>
  <c r="O821" i="45" s="1"/>
  <c r="N742" i="45"/>
  <c r="O742" i="45" s="1"/>
  <c r="N663" i="45"/>
  <c r="O663" i="45" s="1"/>
  <c r="N584" i="45"/>
  <c r="O584" i="45" s="1"/>
  <c r="N531" i="45"/>
  <c r="O531" i="45" s="1"/>
  <c r="N432" i="45"/>
  <c r="O432" i="45" s="1"/>
  <c r="N408" i="45"/>
  <c r="O408" i="45" s="1"/>
  <c r="N338" i="45"/>
  <c r="O338" i="45" s="1"/>
  <c r="N311" i="45"/>
  <c r="O311" i="45" s="1"/>
  <c r="N268" i="45"/>
  <c r="O268" i="45" s="1"/>
  <c r="N242" i="45"/>
  <c r="O242" i="45" s="1"/>
  <c r="N220" i="45"/>
  <c r="O220" i="45" s="1"/>
  <c r="N197" i="45"/>
  <c r="O197" i="45" s="1"/>
  <c r="N662" i="45"/>
  <c r="O662" i="45" s="1"/>
  <c r="N556" i="45"/>
  <c r="O556" i="45" s="1"/>
  <c r="N310" i="45"/>
  <c r="O310" i="45" s="1"/>
  <c r="N170" i="45"/>
  <c r="O170" i="45" s="1"/>
  <c r="N819" i="45"/>
  <c r="O819" i="45" s="1"/>
  <c r="N381" i="45"/>
  <c r="O381" i="45" s="1"/>
  <c r="N901" i="45"/>
  <c r="O901" i="45" s="1"/>
  <c r="N871" i="45"/>
  <c r="O871" i="45" s="1"/>
  <c r="N846" i="45"/>
  <c r="O846" i="45" s="1"/>
  <c r="N767" i="45"/>
  <c r="O767" i="45" s="1"/>
  <c r="N688" i="45"/>
  <c r="O688" i="45" s="1"/>
  <c r="N636" i="45"/>
  <c r="O636" i="45" s="1"/>
  <c r="N609" i="45"/>
  <c r="O609" i="45" s="1"/>
  <c r="N557" i="45"/>
  <c r="O557" i="45" s="1"/>
  <c r="N508" i="45"/>
  <c r="O508" i="45" s="1"/>
  <c r="N480" i="45"/>
  <c r="O480" i="45" s="1"/>
  <c r="N454" i="45"/>
  <c r="O454" i="45" s="1"/>
  <c r="N382" i="45"/>
  <c r="O382" i="45" s="1"/>
  <c r="N359" i="45"/>
  <c r="O359" i="45" s="1"/>
  <c r="N289" i="45"/>
  <c r="O289" i="45" s="1"/>
  <c r="N263" i="45"/>
  <c r="O263" i="45" s="1"/>
  <c r="N241" i="45"/>
  <c r="O241" i="45" s="1"/>
  <c r="N219" i="45"/>
  <c r="O219" i="45" s="1"/>
  <c r="N172" i="45"/>
  <c r="O172" i="45" s="1"/>
  <c r="N741" i="45"/>
  <c r="O741" i="45" s="1"/>
  <c r="N530" i="45"/>
  <c r="O530" i="45" s="1"/>
  <c r="N431" i="45"/>
  <c r="O431" i="45" s="1"/>
  <c r="N262" i="45"/>
  <c r="O262" i="45" s="1"/>
  <c r="N790" i="45"/>
  <c r="O790" i="45" s="1"/>
  <c r="N553" i="45"/>
  <c r="O553" i="45" s="1"/>
  <c r="N453" i="45"/>
  <c r="O453" i="45" s="1"/>
  <c r="N240" i="45"/>
  <c r="O240" i="45" s="1"/>
  <c r="N927" i="45"/>
  <c r="O927" i="45" s="1"/>
  <c r="N711" i="45"/>
  <c r="O711" i="45" s="1"/>
  <c r="N926" i="45"/>
  <c r="O926" i="45" s="1"/>
  <c r="N869" i="45"/>
  <c r="O869" i="45" s="1"/>
  <c r="N661" i="45"/>
  <c r="O661" i="45" s="1"/>
  <c r="N582" i="45"/>
  <c r="O582" i="45" s="1"/>
  <c r="N529" i="45"/>
  <c r="O529" i="45" s="1"/>
  <c r="N504" i="45"/>
  <c r="O504" i="45" s="1"/>
  <c r="N478" i="45"/>
  <c r="O478" i="45" s="1"/>
  <c r="N430" i="45"/>
  <c r="O430" i="45" s="1"/>
  <c r="N309" i="45"/>
  <c r="O309" i="45" s="1"/>
  <c r="N261" i="45"/>
  <c r="O261" i="45" s="1"/>
  <c r="N192" i="45"/>
  <c r="O192" i="45" s="1"/>
  <c r="N898" i="45"/>
  <c r="O898" i="45" s="1"/>
  <c r="N844" i="45"/>
  <c r="O844" i="45" s="1"/>
  <c r="N818" i="45"/>
  <c r="O818" i="45" s="1"/>
  <c r="N789" i="45"/>
  <c r="O789" i="45" s="1"/>
  <c r="N765" i="45"/>
  <c r="O765" i="45" s="1"/>
  <c r="N739" i="45"/>
  <c r="O739" i="45" s="1"/>
  <c r="N710" i="45"/>
  <c r="O710" i="45" s="1"/>
  <c r="N686" i="45"/>
  <c r="O686" i="45" s="1"/>
  <c r="N631" i="45"/>
  <c r="O631" i="45" s="1"/>
  <c r="N552" i="45"/>
  <c r="O552" i="45" s="1"/>
  <c r="N452" i="45"/>
  <c r="O452" i="45" s="1"/>
  <c r="N402" i="45"/>
  <c r="O402" i="45" s="1"/>
  <c r="N380" i="45"/>
  <c r="O380" i="45" s="1"/>
  <c r="N357" i="45"/>
  <c r="O357" i="45" s="1"/>
  <c r="N332" i="45"/>
  <c r="O332" i="45" s="1"/>
  <c r="N287" i="45"/>
  <c r="O287" i="45" s="1"/>
  <c r="N239" i="45"/>
  <c r="O239" i="45" s="1"/>
  <c r="N216" i="45"/>
  <c r="O216" i="45" s="1"/>
  <c r="N168" i="45"/>
  <c r="O168" i="45" s="1"/>
  <c r="N147" i="45"/>
  <c r="O147" i="45" s="1"/>
  <c r="N607" i="45"/>
  <c r="O607" i="45" s="1"/>
  <c r="N925" i="45"/>
  <c r="O925" i="45" s="1"/>
  <c r="N921" i="45"/>
  <c r="O921" i="45" s="1"/>
  <c r="N920" i="45"/>
  <c r="O920" i="45" s="1"/>
  <c r="N889" i="45"/>
  <c r="O889" i="45" s="1"/>
  <c r="N864" i="45"/>
  <c r="O864" i="45" s="1"/>
  <c r="N809" i="45"/>
  <c r="O809" i="45" s="1"/>
  <c r="N785" i="45"/>
  <c r="O785" i="45" s="1"/>
  <c r="N706" i="45"/>
  <c r="O706" i="45" s="1"/>
  <c r="N627" i="45"/>
  <c r="O627" i="45" s="1"/>
  <c r="N604" i="45"/>
  <c r="O604" i="45" s="1"/>
  <c r="N497" i="45"/>
  <c r="O497" i="45" s="1"/>
  <c r="N449" i="45"/>
  <c r="O449" i="45" s="1"/>
  <c r="N421" i="45"/>
  <c r="O421" i="45" s="1"/>
  <c r="N841" i="45"/>
  <c r="O841" i="45" s="1"/>
  <c r="N728" i="45"/>
  <c r="O728" i="45" s="1"/>
  <c r="N621" i="45"/>
  <c r="O621" i="45" s="1"/>
  <c r="N575" i="45"/>
  <c r="O575" i="45" s="1"/>
  <c r="N543" i="45"/>
  <c r="O543" i="45" s="1"/>
  <c r="N502" i="45"/>
  <c r="O502" i="45" s="1"/>
  <c r="N429" i="45"/>
  <c r="O429" i="45" s="1"/>
  <c r="N396" i="45"/>
  <c r="O396" i="45" s="1"/>
  <c r="N327" i="45"/>
  <c r="O327" i="45" s="1"/>
  <c r="N296" i="45"/>
  <c r="O296" i="45" s="1"/>
  <c r="N270" i="45"/>
  <c r="O270" i="45" s="1"/>
  <c r="N233" i="45"/>
  <c r="O233" i="45" s="1"/>
  <c r="N204" i="45"/>
  <c r="O204" i="45" s="1"/>
  <c r="N139" i="45"/>
  <c r="O139" i="45" s="1"/>
  <c r="N924" i="45"/>
  <c r="O924" i="45" s="1"/>
  <c r="N805" i="45"/>
  <c r="O805" i="45" s="1"/>
  <c r="N770" i="45"/>
  <c r="O770" i="45" s="1"/>
  <c r="N727" i="45"/>
  <c r="O727" i="45" s="1"/>
  <c r="N652" i="45"/>
  <c r="O652" i="45" s="1"/>
  <c r="N574" i="45"/>
  <c r="O574" i="45" s="1"/>
  <c r="N467" i="45"/>
  <c r="O467" i="45" s="1"/>
  <c r="N395" i="45"/>
  <c r="O395" i="45" s="1"/>
  <c r="N364" i="45"/>
  <c r="O364" i="45" s="1"/>
  <c r="N260" i="45"/>
  <c r="O260" i="45" s="1"/>
  <c r="N203" i="45"/>
  <c r="O203" i="45" s="1"/>
  <c r="N167" i="45"/>
  <c r="O167" i="45" s="1"/>
  <c r="N138" i="45"/>
  <c r="O138" i="45" s="1"/>
  <c r="N493" i="45"/>
  <c r="O493" i="45" s="1"/>
  <c r="N288" i="45"/>
  <c r="O288" i="45" s="1"/>
  <c r="N451" i="45"/>
  <c r="O451" i="45" s="1"/>
  <c r="N526" i="45"/>
  <c r="O526" i="45" s="1"/>
  <c r="N223" i="45"/>
  <c r="O223" i="45" s="1"/>
  <c r="N187" i="45"/>
  <c r="O187" i="45" s="1"/>
  <c r="N673" i="45"/>
  <c r="O673" i="45" s="1"/>
  <c r="N217" i="45"/>
  <c r="O217" i="45" s="1"/>
  <c r="N521" i="45"/>
  <c r="O521" i="45" s="1"/>
  <c r="N517" i="45"/>
  <c r="O517" i="45" s="1"/>
  <c r="N344" i="45"/>
  <c r="O344" i="45" s="1"/>
  <c r="N154" i="45"/>
  <c r="O154" i="45" s="1"/>
  <c r="N705" i="45"/>
  <c r="O705" i="45" s="1"/>
  <c r="N144" i="45"/>
  <c r="O144" i="45" s="1"/>
  <c r="N645" i="45"/>
  <c r="O645" i="45" s="1"/>
  <c r="N385" i="45"/>
  <c r="O385" i="45" s="1"/>
  <c r="N829" i="45"/>
  <c r="O829" i="45" s="1"/>
  <c r="N904" i="45"/>
  <c r="O904" i="45" s="1"/>
  <c r="N155" i="45"/>
  <c r="O155" i="45" s="1"/>
  <c r="N783" i="45"/>
  <c r="O783" i="45" s="1"/>
  <c r="N703" i="45"/>
  <c r="O703" i="45" s="1"/>
  <c r="N812" i="45"/>
  <c r="O812" i="45" s="1"/>
  <c r="N180" i="45"/>
  <c r="O180" i="45" s="1"/>
  <c r="N367" i="45"/>
  <c r="O367" i="45" s="1"/>
  <c r="N840" i="45"/>
  <c r="O840" i="45" s="1"/>
  <c r="N649" i="45"/>
  <c r="O649" i="45" s="1"/>
  <c r="N542" i="45"/>
  <c r="O542" i="45" s="1"/>
  <c r="N428" i="45"/>
  <c r="O428" i="45" s="1"/>
  <c r="N394" i="45"/>
  <c r="O394" i="45" s="1"/>
  <c r="N363" i="45"/>
  <c r="O363" i="45" s="1"/>
  <c r="N326" i="45"/>
  <c r="O326" i="45" s="1"/>
  <c r="N295" i="45"/>
  <c r="O295" i="45" s="1"/>
  <c r="N232" i="45"/>
  <c r="O232" i="45" s="1"/>
  <c r="N202" i="45"/>
  <c r="O202" i="45" s="1"/>
  <c r="N137" i="45"/>
  <c r="O137" i="45" s="1"/>
  <c r="N725" i="45"/>
  <c r="O725" i="45" s="1"/>
  <c r="N569" i="45"/>
  <c r="O569" i="45" s="1"/>
  <c r="N392" i="45"/>
  <c r="O392" i="45" s="1"/>
  <c r="N227" i="45"/>
  <c r="O227" i="45" s="1"/>
  <c r="N760" i="45"/>
  <c r="O760" i="45" s="1"/>
  <c r="N420" i="45"/>
  <c r="O420" i="45" s="1"/>
  <c r="N457" i="45"/>
  <c r="O457" i="45" s="1"/>
  <c r="N225" i="45"/>
  <c r="O225" i="45" s="1"/>
  <c r="N132" i="45"/>
  <c r="O132" i="45" s="1"/>
  <c r="N349" i="45"/>
  <c r="O349" i="45" s="1"/>
  <c r="N379" i="45"/>
  <c r="O379" i="45" s="1"/>
  <c r="N253" i="45"/>
  <c r="O253" i="45" s="1"/>
  <c r="N415" i="45"/>
  <c r="O415" i="45" s="1"/>
  <c r="N595" i="45"/>
  <c r="O595" i="45" s="1"/>
  <c r="N784" i="45"/>
  <c r="O784" i="45" s="1"/>
  <c r="N447" i="45"/>
  <c r="O447" i="45" s="1"/>
  <c r="N375" i="45"/>
  <c r="O375" i="45" s="1"/>
  <c r="N882" i="45"/>
  <c r="O882" i="45" s="1"/>
  <c r="N764" i="45"/>
  <c r="O764" i="45" s="1"/>
  <c r="N726" i="45"/>
  <c r="O726" i="45" s="1"/>
  <c r="N691" i="45"/>
  <c r="O691" i="45" s="1"/>
  <c r="N648" i="45"/>
  <c r="O648" i="45" s="1"/>
  <c r="N573" i="45"/>
  <c r="O573" i="45" s="1"/>
  <c r="N466" i="45"/>
  <c r="O466" i="45" s="1"/>
  <c r="N393" i="45"/>
  <c r="O393" i="45" s="1"/>
  <c r="N362" i="45"/>
  <c r="O362" i="45" s="1"/>
  <c r="N201" i="45"/>
  <c r="O201" i="45" s="1"/>
  <c r="N166" i="45"/>
  <c r="O166" i="45" s="1"/>
  <c r="N685" i="45"/>
  <c r="O685" i="45" s="1"/>
  <c r="N465" i="45"/>
  <c r="O465" i="45" s="1"/>
  <c r="N356" i="45"/>
  <c r="O356" i="45" s="1"/>
  <c r="N165" i="45"/>
  <c r="O165" i="45" s="1"/>
  <c r="N918" i="45"/>
  <c r="O918" i="45" s="1"/>
  <c r="N495" i="45"/>
  <c r="O495" i="45" s="1"/>
  <c r="N257" i="45"/>
  <c r="O257" i="45" s="1"/>
  <c r="N567" i="45"/>
  <c r="O567" i="45" s="1"/>
  <c r="N387" i="45"/>
  <c r="O387" i="45" s="1"/>
  <c r="N162" i="45"/>
  <c r="O162" i="45" s="1"/>
  <c r="N254" i="45"/>
  <c r="O254" i="45" s="1"/>
  <c r="N600" i="45"/>
  <c r="O600" i="45" s="1"/>
  <c r="N188" i="45"/>
  <c r="O188" i="45" s="1"/>
  <c r="N378" i="45"/>
  <c r="O378" i="45" s="1"/>
  <c r="N524" i="45"/>
  <c r="O524" i="45" s="1"/>
  <c r="N186" i="45"/>
  <c r="O186" i="45" s="1"/>
  <c r="N487" i="45"/>
  <c r="O487" i="45" s="1"/>
  <c r="N945" i="45"/>
  <c r="O945" i="45" s="1"/>
  <c r="N629" i="45"/>
  <c r="O629" i="45" s="1"/>
  <c r="N249" i="45"/>
  <c r="O249" i="45" s="1"/>
  <c r="N919" i="45"/>
  <c r="O919" i="45" s="1"/>
  <c r="N839" i="45"/>
  <c r="O839" i="45" s="1"/>
  <c r="N803" i="45"/>
  <c r="O803" i="45" s="1"/>
  <c r="N761" i="45"/>
  <c r="O761" i="45" s="1"/>
  <c r="N613" i="45"/>
  <c r="O613" i="45" s="1"/>
  <c r="N496" i="45"/>
  <c r="O496" i="45" s="1"/>
  <c r="N325" i="45"/>
  <c r="O325" i="45" s="1"/>
  <c r="N258" i="45"/>
  <c r="O258" i="45" s="1"/>
  <c r="N228" i="45"/>
  <c r="O228" i="45" s="1"/>
  <c r="N136" i="45"/>
  <c r="O136" i="45" s="1"/>
  <c r="N838" i="45"/>
  <c r="O838" i="45" s="1"/>
  <c r="N647" i="45"/>
  <c r="O647" i="45" s="1"/>
  <c r="N293" i="45"/>
  <c r="O293" i="45" s="1"/>
  <c r="N200" i="45"/>
  <c r="O200" i="45" s="1"/>
  <c r="N802" i="45"/>
  <c r="O802" i="45" s="1"/>
  <c r="N534" i="45"/>
  <c r="O534" i="45" s="1"/>
  <c r="N324" i="45"/>
  <c r="O324" i="45" s="1"/>
  <c r="N758" i="45"/>
  <c r="O758" i="45" s="1"/>
  <c r="N418" i="45"/>
  <c r="O418" i="45" s="1"/>
  <c r="N133" i="45"/>
  <c r="O133" i="45" s="1"/>
  <c r="N417" i="45"/>
  <c r="O417" i="45" s="1"/>
  <c r="N753" i="45"/>
  <c r="O753" i="45" s="1"/>
  <c r="N416" i="45"/>
  <c r="O416" i="45" s="1"/>
  <c r="N131" i="45"/>
  <c r="O131" i="45" s="1"/>
  <c r="N908" i="45"/>
  <c r="O908" i="45" s="1"/>
  <c r="N377" i="45"/>
  <c r="O377" i="45" s="1"/>
  <c r="N905" i="45"/>
  <c r="O905" i="45" s="1"/>
  <c r="N863" i="45"/>
  <c r="O863" i="45" s="1"/>
  <c r="N448" i="45"/>
  <c r="O448" i="45" s="1"/>
  <c r="N862" i="45"/>
  <c r="O862" i="45" s="1"/>
  <c r="N486" i="45"/>
  <c r="O486" i="45" s="1"/>
  <c r="N250" i="45"/>
  <c r="O250" i="45" s="1"/>
  <c r="N413" i="45"/>
  <c r="O413" i="45" s="1"/>
  <c r="N748" i="45"/>
  <c r="O748" i="45" s="1"/>
  <c r="N886" i="45"/>
  <c r="O886" i="45" s="1"/>
  <c r="N236" i="45"/>
  <c r="O236" i="45" s="1"/>
  <c r="N881" i="45"/>
  <c r="O881" i="45" s="1"/>
  <c r="N211" i="45"/>
  <c r="O211" i="45" s="1"/>
  <c r="N286" i="45"/>
  <c r="O286" i="45" s="1"/>
  <c r="N865" i="45"/>
  <c r="O865" i="45" s="1"/>
  <c r="N525" i="45"/>
  <c r="O525" i="45" s="1"/>
  <c r="N786" i="45"/>
  <c r="O786" i="45" s="1"/>
  <c r="N665" i="45"/>
  <c r="O665" i="45" s="1"/>
  <c r="N206" i="45"/>
  <c r="O206" i="45" s="1"/>
  <c r="N299" i="45"/>
  <c r="O299" i="45" s="1"/>
  <c r="N880" i="45"/>
  <c r="O880" i="45" s="1"/>
  <c r="N837" i="45"/>
  <c r="O837" i="45" s="1"/>
  <c r="N759" i="45"/>
  <c r="O759" i="45" s="1"/>
  <c r="N684" i="45"/>
  <c r="O684" i="45" s="1"/>
  <c r="N646" i="45"/>
  <c r="O646" i="45" s="1"/>
  <c r="N606" i="45"/>
  <c r="O606" i="45" s="1"/>
  <c r="N568" i="45"/>
  <c r="O568" i="45" s="1"/>
  <c r="N494" i="45"/>
  <c r="O494" i="45" s="1"/>
  <c r="N391" i="45"/>
  <c r="O391" i="45" s="1"/>
  <c r="N352" i="45"/>
  <c r="O352" i="45" s="1"/>
  <c r="N292" i="45"/>
  <c r="O292" i="45" s="1"/>
  <c r="N226" i="45"/>
  <c r="O226" i="45" s="1"/>
  <c r="N193" i="45"/>
  <c r="O193" i="45" s="1"/>
  <c r="N164" i="45"/>
  <c r="O164" i="45" s="1"/>
  <c r="N134" i="45"/>
  <c r="O134" i="45" s="1"/>
  <c r="N917" i="45"/>
  <c r="O917" i="45" s="1"/>
  <c r="N801" i="45"/>
  <c r="O801" i="45" s="1"/>
  <c r="N723" i="45"/>
  <c r="O723" i="45" s="1"/>
  <c r="N681" i="45"/>
  <c r="O681" i="45" s="1"/>
  <c r="N528" i="45"/>
  <c r="O528" i="45" s="1"/>
  <c r="N460" i="45"/>
  <c r="O460" i="45" s="1"/>
  <c r="N419" i="45"/>
  <c r="O419" i="45" s="1"/>
  <c r="N351" i="45"/>
  <c r="O351" i="45" s="1"/>
  <c r="N323" i="45"/>
  <c r="O323" i="45" s="1"/>
  <c r="N256" i="45"/>
  <c r="O256" i="45" s="1"/>
  <c r="N191" i="45"/>
  <c r="O191" i="45" s="1"/>
  <c r="N680" i="45"/>
  <c r="O680" i="45" s="1"/>
  <c r="N163" i="45"/>
  <c r="O163" i="45" s="1"/>
  <c r="N321" i="45"/>
  <c r="O321" i="45" s="1"/>
  <c r="N222" i="45"/>
  <c r="O222" i="45" s="1"/>
  <c r="N599" i="45"/>
  <c r="O599" i="45" s="1"/>
  <c r="N316" i="45"/>
  <c r="O316" i="45" s="1"/>
  <c r="N563" i="45"/>
  <c r="O563" i="45" s="1"/>
  <c r="N252" i="45"/>
  <c r="O252" i="45" s="1"/>
  <c r="N308" i="45"/>
  <c r="O308" i="45" s="1"/>
  <c r="N824" i="45"/>
  <c r="O824" i="45" s="1"/>
  <c r="N593" i="45"/>
  <c r="O593" i="45" s="1"/>
  <c r="N277" i="45"/>
  <c r="O277" i="45" s="1"/>
  <c r="N861" i="45"/>
  <c r="O861" i="45" s="1"/>
  <c r="N550" i="45"/>
  <c r="O550" i="45" s="1"/>
  <c r="N343" i="45"/>
  <c r="O343" i="45" s="1"/>
  <c r="N549" i="45"/>
  <c r="O549" i="45" s="1"/>
  <c r="N342" i="45"/>
  <c r="O342" i="45" s="1"/>
  <c r="N275" i="45"/>
  <c r="O275" i="45" s="1"/>
  <c r="N244" i="45"/>
  <c r="O244" i="45" s="1"/>
  <c r="N942" i="45"/>
  <c r="O942" i="45" s="1"/>
  <c r="N668" i="45"/>
  <c r="O668" i="45" s="1"/>
  <c r="N547" i="45"/>
  <c r="O547" i="45" s="1"/>
  <c r="N438" i="45"/>
  <c r="O438" i="45" s="1"/>
  <c r="N341" i="45"/>
  <c r="O341" i="45" s="1"/>
  <c r="N589" i="45"/>
  <c r="O589" i="45" s="1"/>
  <c r="N659" i="45"/>
  <c r="O659" i="45" s="1"/>
  <c r="N436" i="45"/>
  <c r="O436" i="45" s="1"/>
  <c r="N237" i="45"/>
  <c r="O237" i="45" s="1"/>
  <c r="N643" i="45"/>
  <c r="O643" i="45" s="1"/>
  <c r="N158" i="45"/>
  <c r="O158" i="45" s="1"/>
  <c r="N709" i="45"/>
  <c r="O709" i="45" s="1"/>
  <c r="N307" i="45"/>
  <c r="O307" i="45" s="1"/>
  <c r="N701" i="45"/>
  <c r="O701" i="45" s="1"/>
  <c r="N879" i="45"/>
  <c r="O879" i="45" s="1"/>
  <c r="N605" i="45"/>
  <c r="O605" i="45" s="1"/>
  <c r="N721" i="45"/>
  <c r="O721" i="45" s="1"/>
  <c r="N830" i="45"/>
  <c r="O830" i="45" s="1"/>
  <c r="N346" i="45"/>
  <c r="O346" i="45" s="1"/>
  <c r="N185" i="45"/>
  <c r="O185" i="45" s="1"/>
  <c r="N516" i="45"/>
  <c r="O516" i="45" s="1"/>
  <c r="N183" i="45"/>
  <c r="O183" i="45" s="1"/>
  <c r="N734" i="45"/>
  <c r="O734" i="45" s="1"/>
  <c r="N832" i="45"/>
  <c r="O832" i="45" s="1"/>
  <c r="N800" i="45"/>
  <c r="O800" i="45" s="1"/>
  <c r="N722" i="45"/>
  <c r="O722" i="45" s="1"/>
  <c r="N527" i="45"/>
  <c r="O527" i="45" s="1"/>
  <c r="N386" i="45"/>
  <c r="O386" i="45" s="1"/>
  <c r="N350" i="45"/>
  <c r="O350" i="45" s="1"/>
  <c r="N322" i="45"/>
  <c r="O322" i="45" s="1"/>
  <c r="N255" i="45"/>
  <c r="O255" i="45" s="1"/>
  <c r="N190" i="45"/>
  <c r="O190" i="45" s="1"/>
  <c r="N279" i="45"/>
  <c r="O279" i="45" s="1"/>
  <c r="N813" i="45"/>
  <c r="O813" i="45" s="1"/>
  <c r="N623" i="45"/>
  <c r="O623" i="45" s="1"/>
  <c r="N831" i="45"/>
  <c r="O831" i="45" s="1"/>
  <c r="N757" i="45"/>
  <c r="O757" i="45" s="1"/>
  <c r="N679" i="45"/>
  <c r="O679" i="45" s="1"/>
  <c r="N601" i="45"/>
  <c r="O601" i="45" s="1"/>
  <c r="N566" i="45"/>
  <c r="O566" i="45" s="1"/>
  <c r="N492" i="45"/>
  <c r="O492" i="45" s="1"/>
  <c r="N489" i="45"/>
  <c r="O489" i="45" s="1"/>
  <c r="N752" i="45"/>
  <c r="O752" i="45" s="1"/>
  <c r="N565" i="45"/>
  <c r="O565" i="45" s="1"/>
  <c r="N751" i="45"/>
  <c r="O751" i="45" s="1"/>
  <c r="N345" i="45"/>
  <c r="O345" i="45" s="1"/>
  <c r="N184" i="45"/>
  <c r="O184" i="45" s="1"/>
  <c r="N551" i="45"/>
  <c r="O551" i="45" s="1"/>
  <c r="N276" i="45"/>
  <c r="O276" i="45" s="1"/>
  <c r="N471" i="45"/>
  <c r="O471" i="45" s="1"/>
  <c r="N581" i="45"/>
  <c r="O581" i="45" s="1"/>
  <c r="N910" i="45"/>
  <c r="O910" i="45" s="1"/>
  <c r="N678" i="45"/>
  <c r="O678" i="45" s="1"/>
  <c r="N317" i="45"/>
  <c r="O317" i="45" s="1"/>
  <c r="N153" i="45"/>
  <c r="O153" i="45" s="1"/>
  <c r="N738" i="45"/>
  <c r="O738" i="45" s="1"/>
  <c r="N179" i="45"/>
  <c r="O179" i="45" s="1"/>
  <c r="N450" i="45"/>
  <c r="O450" i="45" s="1"/>
  <c r="N157" i="45"/>
  <c r="O157" i="45" s="1"/>
  <c r="N315" i="45"/>
  <c r="O315" i="45" s="1"/>
  <c r="N671" i="45"/>
  <c r="O671" i="45" s="1"/>
  <c r="N944" i="45"/>
  <c r="O944" i="45" s="1"/>
  <c r="N246" i="45"/>
  <c r="O246" i="45" s="1"/>
  <c r="N469" i="45"/>
  <c r="O469" i="45" s="1"/>
  <c r="N909" i="45"/>
  <c r="O909" i="45" s="1"/>
  <c r="N674" i="45"/>
  <c r="O674" i="45" s="1"/>
  <c r="N642" i="45"/>
  <c r="O642" i="45" s="1"/>
  <c r="N488" i="45"/>
  <c r="O488" i="45" s="1"/>
  <c r="N347" i="45"/>
  <c r="O347" i="45" s="1"/>
  <c r="N941" i="45"/>
  <c r="O941" i="45" s="1"/>
  <c r="N340" i="45"/>
  <c r="O340" i="45" s="1"/>
  <c r="N303" i="45"/>
  <c r="O303" i="45" s="1"/>
  <c r="N208" i="45"/>
  <c r="O208" i="45" s="1"/>
  <c r="N825" i="45"/>
  <c r="O825" i="45" s="1"/>
  <c r="N750" i="45"/>
  <c r="O750" i="45" s="1"/>
  <c r="N707" i="45"/>
  <c r="O707" i="45" s="1"/>
  <c r="N672" i="45"/>
  <c r="O672" i="45" s="1"/>
  <c r="N630" i="45"/>
  <c r="O630" i="45" s="1"/>
  <c r="N594" i="45"/>
  <c r="O594" i="45" s="1"/>
  <c r="N414" i="45"/>
  <c r="O414" i="45" s="1"/>
  <c r="N376" i="45"/>
  <c r="O376" i="45" s="1"/>
  <c r="N314" i="45"/>
  <c r="O314" i="45" s="1"/>
  <c r="N278" i="45"/>
  <c r="O278" i="45" s="1"/>
  <c r="N251" i="45"/>
  <c r="O251" i="45" s="1"/>
  <c r="N215" i="45"/>
  <c r="O215" i="45" s="1"/>
  <c r="N156" i="45"/>
  <c r="O156" i="45" s="1"/>
  <c r="N477" i="45"/>
  <c r="O477" i="45" s="1"/>
  <c r="N888" i="45"/>
  <c r="O888" i="45" s="1"/>
  <c r="N304" i="45"/>
  <c r="O304" i="45" s="1"/>
  <c r="N272" i="45"/>
  <c r="O272" i="45" s="1"/>
  <c r="N182" i="45"/>
  <c r="O182" i="45" s="1"/>
  <c r="N546" i="45"/>
  <c r="O546" i="45" s="1"/>
  <c r="N851" i="45"/>
  <c r="O851" i="45" s="1"/>
  <c r="N893" i="45"/>
  <c r="O893" i="45" s="1"/>
  <c r="N744" i="45"/>
  <c r="O744" i="45" s="1"/>
  <c r="N401" i="45"/>
  <c r="O401" i="45" s="1"/>
  <c r="N209" i="45"/>
  <c r="O209" i="45" s="1"/>
  <c r="N781" i="45"/>
  <c r="O781" i="45" s="1"/>
  <c r="N625" i="45"/>
  <c r="O625" i="45" s="1"/>
  <c r="N590" i="45"/>
  <c r="O590" i="45" s="1"/>
  <c r="N472" i="45"/>
  <c r="O472" i="45" s="1"/>
  <c r="N400" i="45"/>
  <c r="O400" i="45" s="1"/>
  <c r="N305" i="45"/>
  <c r="O305" i="45" s="1"/>
  <c r="N181" i="45"/>
  <c r="O181" i="45" s="1"/>
  <c r="N437" i="45"/>
  <c r="O437" i="45" s="1"/>
  <c r="N887" i="45"/>
  <c r="O887" i="45" s="1"/>
  <c r="N808" i="45"/>
  <c r="O808" i="45" s="1"/>
  <c r="N733" i="45"/>
  <c r="O733" i="45" s="1"/>
  <c r="N545" i="45"/>
  <c r="O545" i="45" s="1"/>
  <c r="N857" i="45"/>
  <c r="O857" i="45" s="1"/>
  <c r="N373" i="45"/>
  <c r="O373" i="45" s="1"/>
  <c r="N274" i="45"/>
  <c r="O274" i="45" s="1"/>
  <c r="N702" i="45"/>
  <c r="O702" i="45" s="1"/>
  <c r="N897" i="45"/>
  <c r="O897" i="45" s="1"/>
  <c r="N823" i="45"/>
  <c r="O823" i="45" s="1"/>
  <c r="N745" i="45"/>
  <c r="O745" i="45" s="1"/>
  <c r="N592" i="45"/>
  <c r="O592" i="45" s="1"/>
  <c r="N515" i="45"/>
  <c r="O515" i="45" s="1"/>
  <c r="N412" i="45"/>
  <c r="O412" i="45" s="1"/>
  <c r="N374" i="45"/>
  <c r="O374" i="45" s="1"/>
  <c r="N152" i="45"/>
  <c r="O152" i="45" s="1"/>
  <c r="N943" i="45"/>
  <c r="O943" i="45" s="1"/>
  <c r="N860" i="45"/>
  <c r="O860" i="45" s="1"/>
  <c r="N782" i="45"/>
  <c r="O782" i="45" s="1"/>
  <c r="N704" i="45"/>
  <c r="O704" i="45" s="1"/>
  <c r="N669" i="45"/>
  <c r="O669" i="45" s="1"/>
  <c r="N626" i="45"/>
  <c r="O626" i="45" s="1"/>
  <c r="N439" i="45"/>
  <c r="O439" i="45" s="1"/>
  <c r="N306" i="45"/>
  <c r="O306" i="45" s="1"/>
  <c r="N856" i="45"/>
  <c r="O856" i="45" s="1"/>
  <c r="N146" i="45"/>
  <c r="O146" i="45" s="1"/>
  <c r="N780" i="45"/>
  <c r="O780" i="45" s="1"/>
  <c r="N399" i="45"/>
  <c r="O399" i="45" s="1"/>
  <c r="N470" i="45"/>
  <c r="O470" i="45" s="1"/>
  <c r="N207" i="45"/>
  <c r="O207" i="45" s="1"/>
  <c r="N940" i="45"/>
  <c r="O940" i="45" s="1"/>
  <c r="N511" i="45"/>
  <c r="O511" i="45" s="1"/>
  <c r="N817" i="45"/>
  <c r="O817" i="45" s="1"/>
  <c r="N514" i="45"/>
  <c r="O514" i="45" s="1"/>
  <c r="N148" i="45"/>
  <c r="O148" i="45" s="1"/>
  <c r="N273" i="45"/>
  <c r="O273" i="45" s="1"/>
  <c r="N850" i="45"/>
  <c r="O850" i="45" s="1"/>
  <c r="N238" i="45"/>
  <c r="O238" i="45" s="1"/>
  <c r="N624" i="45"/>
  <c r="O624" i="45" s="1"/>
  <c r="N855" i="45"/>
  <c r="O855" i="45" s="1"/>
  <c r="N331" i="45"/>
  <c r="O331" i="45" s="1"/>
  <c r="N145" i="45"/>
  <c r="O145" i="45" s="1"/>
  <c r="N777" i="45"/>
  <c r="O777" i="45" s="1"/>
  <c r="N398" i="45"/>
  <c r="O398" i="45" s="1"/>
  <c r="N937" i="45"/>
  <c r="O937" i="45" s="1"/>
  <c r="N776" i="45"/>
  <c r="O776" i="45" s="1"/>
  <c r="N732" i="45"/>
  <c r="O732" i="45" s="1"/>
  <c r="N655" i="45"/>
  <c r="O655" i="45" s="1"/>
  <c r="N435" i="45"/>
  <c r="O435" i="45" s="1"/>
  <c r="N807" i="45"/>
  <c r="O807" i="45" s="1"/>
  <c r="N729" i="45"/>
  <c r="O729" i="45" s="1"/>
  <c r="N700" i="45"/>
  <c r="O700" i="45" s="1"/>
  <c r="N654" i="45"/>
  <c r="O654" i="45" s="1"/>
  <c r="N622" i="45"/>
  <c r="O622" i="45" s="1"/>
  <c r="N544" i="45"/>
  <c r="O544" i="45" s="1"/>
  <c r="N503" i="45"/>
  <c r="O503" i="45" s="1"/>
  <c r="N397" i="45"/>
  <c r="O397" i="45" s="1"/>
  <c r="N366" i="45"/>
  <c r="O366" i="45" s="1"/>
  <c r="N328" i="45"/>
  <c r="O328" i="45" s="1"/>
  <c r="N297" i="45"/>
  <c r="O297" i="45" s="1"/>
  <c r="N271" i="45"/>
  <c r="O271" i="45" s="1"/>
  <c r="N235" i="45"/>
  <c r="O235" i="45" s="1"/>
  <c r="N205" i="45"/>
  <c r="O205" i="45" s="1"/>
  <c r="N473" i="45"/>
  <c r="O473" i="45" s="1"/>
  <c r="N512" i="45"/>
  <c r="O512" i="45" s="1"/>
  <c r="N330" i="45"/>
  <c r="O330" i="45" s="1"/>
  <c r="N933" i="45"/>
  <c r="O933" i="45" s="1"/>
  <c r="N885" i="45"/>
  <c r="O885" i="45" s="1"/>
  <c r="N849" i="45"/>
  <c r="O849" i="45" s="1"/>
  <c r="N806" i="45"/>
  <c r="O806" i="45" s="1"/>
  <c r="N771" i="45"/>
  <c r="O771" i="45" s="1"/>
  <c r="N697" i="45"/>
  <c r="O697" i="45" s="1"/>
  <c r="N653" i="45"/>
  <c r="O653" i="45" s="1"/>
  <c r="N576" i="45"/>
  <c r="O576" i="45" s="1"/>
  <c r="N468" i="45"/>
  <c r="O468" i="45" s="1"/>
  <c r="N434" i="45"/>
  <c r="O434" i="45" s="1"/>
  <c r="N365" i="45"/>
  <c r="O365" i="45" s="1"/>
  <c r="N234" i="45"/>
  <c r="O234" i="45" s="1"/>
  <c r="N169" i="45"/>
  <c r="O169" i="45" s="1"/>
  <c r="N140" i="45"/>
  <c r="O140" i="45" s="1"/>
  <c r="N214" i="45"/>
  <c r="O214" i="45" s="1"/>
  <c r="N892" i="45"/>
  <c r="O892" i="45" s="1"/>
  <c r="N368" i="45"/>
  <c r="O368" i="45" s="1"/>
  <c r="J1" i="45"/>
  <c r="P2" i="45" l="1" a="1"/>
  <c r="P2" i="45" s="1"/>
  <c r="P1" i="45" s="1" a="1"/>
  <c r="P1" i="45" s="1"/>
  <c r="A15" i="45" s="1"/>
  <c r="D16" i="61"/>
  <c r="F16" i="61"/>
  <c r="G16" i="61"/>
  <c r="C16" i="61"/>
  <c r="A17" i="61" s="1"/>
  <c r="D15" i="45" l="1"/>
  <c r="B15" i="45"/>
  <c r="E17" i="61"/>
  <c r="B17" i="61"/>
  <c r="C17" i="61" l="1"/>
  <c r="A18" i="61" s="1"/>
  <c r="G17" i="61"/>
  <c r="D17" i="61"/>
  <c r="F17" i="61"/>
  <c r="C15" i="45"/>
  <c r="A16" i="45" s="1"/>
  <c r="F15" i="45"/>
  <c r="E15" i="45"/>
  <c r="N100" i="63" l="1"/>
  <c r="O100" i="63" s="1"/>
  <c r="N68" i="63"/>
  <c r="O68" i="63" s="1"/>
  <c r="N36" i="63"/>
  <c r="O36" i="63" s="1"/>
  <c r="N114" i="63"/>
  <c r="O114" i="63" s="1"/>
  <c r="N82" i="63"/>
  <c r="O82" i="63" s="1"/>
  <c r="N50" i="63"/>
  <c r="O50" i="63" s="1"/>
  <c r="N18" i="63"/>
  <c r="O18" i="63" s="1"/>
  <c r="N92" i="63"/>
  <c r="O92" i="63" s="1"/>
  <c r="N60" i="63"/>
  <c r="O60" i="63" s="1"/>
  <c r="N28" i="63"/>
  <c r="O28" i="63" s="1"/>
  <c r="N168" i="63"/>
  <c r="O168" i="63" s="1"/>
  <c r="N150" i="63"/>
  <c r="O150" i="63" s="1"/>
  <c r="N132" i="63"/>
  <c r="O132" i="63" s="1"/>
  <c r="N97" i="63"/>
  <c r="O97" i="63" s="1"/>
  <c r="N89" i="63"/>
  <c r="O89" i="63" s="1"/>
  <c r="N38" i="63"/>
  <c r="O38" i="63" s="1"/>
  <c r="N167" i="63"/>
  <c r="O167" i="63" s="1"/>
  <c r="N93" i="63"/>
  <c r="O93" i="63" s="1"/>
  <c r="N85" i="63"/>
  <c r="O85" i="63" s="1"/>
  <c r="N34" i="63"/>
  <c r="O34" i="63" s="1"/>
  <c r="N81" i="63"/>
  <c r="O81" i="63" s="1"/>
  <c r="N149" i="63"/>
  <c r="O149" i="63" s="1"/>
  <c r="N131" i="63"/>
  <c r="O131" i="63" s="1"/>
  <c r="N77" i="63"/>
  <c r="O77" i="63" s="1"/>
  <c r="N30" i="63"/>
  <c r="O30" i="63" s="1"/>
  <c r="N148" i="63"/>
  <c r="O148" i="63" s="1"/>
  <c r="N26" i="63"/>
  <c r="O26" i="63" s="1"/>
  <c r="N130" i="63"/>
  <c r="O130" i="63" s="1"/>
  <c r="N22" i="63"/>
  <c r="O22" i="63" s="1"/>
  <c r="N166" i="63"/>
  <c r="O166" i="63" s="1"/>
  <c r="N73" i="63"/>
  <c r="O73" i="63" s="1"/>
  <c r="N116" i="63"/>
  <c r="O116" i="63" s="1"/>
  <c r="N69" i="63"/>
  <c r="O69" i="63" s="1"/>
  <c r="N164" i="63"/>
  <c r="O164" i="63" s="1"/>
  <c r="N129" i="63"/>
  <c r="O129" i="63" s="1"/>
  <c r="N108" i="63"/>
  <c r="O108" i="63" s="1"/>
  <c r="N61" i="63"/>
  <c r="O61" i="63" s="1"/>
  <c r="N53" i="63"/>
  <c r="O53" i="63" s="1"/>
  <c r="N49" i="63"/>
  <c r="O49" i="63" s="1"/>
  <c r="N144" i="63"/>
  <c r="O144" i="63" s="1"/>
  <c r="N76" i="63"/>
  <c r="O76" i="63" s="1"/>
  <c r="N29" i="63"/>
  <c r="O29" i="63" s="1"/>
  <c r="N21" i="63"/>
  <c r="O21" i="63" s="1"/>
  <c r="N11" i="63"/>
  <c r="O11" i="63" s="1"/>
  <c r="N17" i="63"/>
  <c r="O17" i="63" s="1"/>
  <c r="N10" i="63"/>
  <c r="O10" i="63" s="1"/>
  <c r="N161" i="63"/>
  <c r="O161" i="63" s="1"/>
  <c r="N126" i="63"/>
  <c r="O126" i="63" s="1"/>
  <c r="N72" i="63"/>
  <c r="O72" i="63" s="1"/>
  <c r="N64" i="63"/>
  <c r="O64" i="63" s="1"/>
  <c r="N143" i="63"/>
  <c r="O143" i="63" s="1"/>
  <c r="N115" i="63"/>
  <c r="O115" i="63" s="1"/>
  <c r="N56" i="63"/>
  <c r="O56" i="63" s="1"/>
  <c r="N128" i="63"/>
  <c r="O128" i="63" s="1"/>
  <c r="N109" i="63"/>
  <c r="O109" i="63" s="1"/>
  <c r="N65" i="63"/>
  <c r="O65" i="63" s="1"/>
  <c r="N32" i="63"/>
  <c r="O32" i="63" s="1"/>
  <c r="N27" i="63"/>
  <c r="O27" i="63" s="1"/>
  <c r="N16" i="63"/>
  <c r="O16" i="63" s="1"/>
  <c r="N153" i="63"/>
  <c r="O153" i="63" s="1"/>
  <c r="N154" i="63"/>
  <c r="O154" i="63" s="1"/>
  <c r="N127" i="63"/>
  <c r="O127" i="63" s="1"/>
  <c r="N48" i="63"/>
  <c r="O48" i="63" s="1"/>
  <c r="N43" i="63"/>
  <c r="O43" i="63" s="1"/>
  <c r="N175" i="63"/>
  <c r="O175" i="63" s="1"/>
  <c r="N125" i="63"/>
  <c r="O125" i="63" s="1"/>
  <c r="N59" i="63"/>
  <c r="O59" i="63" s="1"/>
  <c r="N174" i="63"/>
  <c r="O174" i="63" s="1"/>
  <c r="N151" i="63"/>
  <c r="O151" i="63" s="1"/>
  <c r="N124" i="63"/>
  <c r="O124" i="63" s="1"/>
  <c r="N75" i="63"/>
  <c r="O75" i="63" s="1"/>
  <c r="N91" i="63"/>
  <c r="O91" i="63" s="1"/>
  <c r="N173" i="63"/>
  <c r="O173" i="63" s="1"/>
  <c r="N102" i="63"/>
  <c r="O102" i="63" s="1"/>
  <c r="N86" i="63"/>
  <c r="O86" i="63" s="1"/>
  <c r="N123" i="63"/>
  <c r="O123" i="63" s="1"/>
  <c r="N147" i="63"/>
  <c r="O147" i="63" s="1"/>
  <c r="N171" i="63"/>
  <c r="O171" i="63" s="1"/>
  <c r="N121" i="63"/>
  <c r="O121" i="63" s="1"/>
  <c r="N63" i="63"/>
  <c r="O63" i="63" s="1"/>
  <c r="N47" i="63"/>
  <c r="O47" i="63" s="1"/>
  <c r="N14" i="63"/>
  <c r="O14" i="63" s="1"/>
  <c r="N120" i="63"/>
  <c r="O120" i="63" s="1"/>
  <c r="N112" i="63"/>
  <c r="O112" i="63" s="1"/>
  <c r="N74" i="63"/>
  <c r="O74" i="63" s="1"/>
  <c r="N58" i="63"/>
  <c r="O58" i="63" s="1"/>
  <c r="N41" i="63"/>
  <c r="O41" i="63" s="1"/>
  <c r="N13" i="63"/>
  <c r="O13" i="63" s="1"/>
  <c r="N170" i="63"/>
  <c r="O170" i="63" s="1"/>
  <c r="N142" i="63"/>
  <c r="O142" i="63" s="1"/>
  <c r="N119" i="63"/>
  <c r="O119" i="63" s="1"/>
  <c r="N95" i="63"/>
  <c r="O95" i="63" s="1"/>
  <c r="N79" i="63"/>
  <c r="O79" i="63" s="1"/>
  <c r="N57" i="63"/>
  <c r="O57" i="63" s="1"/>
  <c r="N165" i="63"/>
  <c r="O165" i="63" s="1"/>
  <c r="N101" i="63"/>
  <c r="O101" i="63" s="1"/>
  <c r="N84" i="63"/>
  <c r="O84" i="63" s="1"/>
  <c r="N35" i="63"/>
  <c r="O35" i="63" s="1"/>
  <c r="N163" i="63"/>
  <c r="O163" i="63" s="1"/>
  <c r="N46" i="63"/>
  <c r="O46" i="63" s="1"/>
  <c r="N40" i="63"/>
  <c r="O40" i="63" s="1"/>
  <c r="N45" i="63"/>
  <c r="O45" i="63" s="1"/>
  <c r="N139" i="63"/>
  <c r="O139" i="63" s="1"/>
  <c r="N67" i="63"/>
  <c r="O67" i="63" s="1"/>
  <c r="N51" i="63"/>
  <c r="O51" i="63" s="1"/>
  <c r="N162" i="63"/>
  <c r="O162" i="63" s="1"/>
  <c r="N62" i="63"/>
  <c r="O62" i="63" s="1"/>
  <c r="N160" i="63"/>
  <c r="O160" i="63" s="1"/>
  <c r="N138" i="63"/>
  <c r="O138" i="63" s="1"/>
  <c r="N78" i="63"/>
  <c r="O78" i="63" s="1"/>
  <c r="N172" i="63"/>
  <c r="O172" i="63" s="1"/>
  <c r="N122" i="63"/>
  <c r="O122" i="63" s="1"/>
  <c r="N96" i="63"/>
  <c r="O96" i="63" s="1"/>
  <c r="N105" i="63"/>
  <c r="O105" i="63" s="1"/>
  <c r="N134" i="63"/>
  <c r="O134" i="63" s="1"/>
  <c r="N37" i="63"/>
  <c r="O37" i="63" s="1"/>
  <c r="N44" i="63"/>
  <c r="O44" i="63" s="1"/>
  <c r="N25" i="63"/>
  <c r="O25" i="63" s="1"/>
  <c r="N83" i="63"/>
  <c r="O83" i="63" s="1"/>
  <c r="N159" i="63"/>
  <c r="O159" i="63" s="1"/>
  <c r="N94" i="63"/>
  <c r="O94" i="63" s="1"/>
  <c r="N169" i="63"/>
  <c r="O169" i="63" s="1"/>
  <c r="N118" i="63"/>
  <c r="O118" i="63" s="1"/>
  <c r="N106" i="63"/>
  <c r="O106" i="63" s="1"/>
  <c r="N117" i="63"/>
  <c r="O117" i="63" s="1"/>
  <c r="N24" i="63"/>
  <c r="O24" i="63" s="1"/>
  <c r="N54" i="63"/>
  <c r="O54" i="63" s="1"/>
  <c r="N33" i="63"/>
  <c r="O33" i="63" s="1"/>
  <c r="N158" i="63"/>
  <c r="O158" i="63" s="1"/>
  <c r="N52" i="63"/>
  <c r="O52" i="63" s="1"/>
  <c r="N23" i="63"/>
  <c r="O23" i="63" s="1"/>
  <c r="N12" i="63"/>
  <c r="O12" i="63" s="1"/>
  <c r="N99" i="63"/>
  <c r="O99" i="63" s="1"/>
  <c r="N157" i="63"/>
  <c r="O157" i="63" s="1"/>
  <c r="N104" i="63"/>
  <c r="O104" i="63" s="1"/>
  <c r="N42" i="63"/>
  <c r="O42" i="63" s="1"/>
  <c r="N155" i="63"/>
  <c r="O155" i="63" s="1"/>
  <c r="N103" i="63"/>
  <c r="O103" i="63" s="1"/>
  <c r="N140" i="63"/>
  <c r="O140" i="63" s="1"/>
  <c r="N135" i="63"/>
  <c r="O135" i="63" s="1"/>
  <c r="N156" i="63"/>
  <c r="O156" i="63" s="1"/>
  <c r="N71" i="63"/>
  <c r="O71" i="63" s="1"/>
  <c r="N145" i="63"/>
  <c r="O145" i="63" s="1"/>
  <c r="N137" i="63"/>
  <c r="O137" i="63" s="1"/>
  <c r="N98" i="63"/>
  <c r="O98" i="63" s="1"/>
  <c r="N31" i="63"/>
  <c r="O31" i="63" s="1"/>
  <c r="N19" i="63"/>
  <c r="O19" i="63" s="1"/>
  <c r="N87" i="63"/>
  <c r="O87" i="63" s="1"/>
  <c r="N80" i="63"/>
  <c r="O80" i="63" s="1"/>
  <c r="N152" i="63"/>
  <c r="O152" i="63" s="1"/>
  <c r="N146" i="63"/>
  <c r="O146" i="63" s="1"/>
  <c r="N20" i="63"/>
  <c r="O20" i="63" s="1"/>
  <c r="N88" i="63"/>
  <c r="O88" i="63" s="1"/>
  <c r="N113" i="63"/>
  <c r="O113" i="63" s="1"/>
  <c r="N110" i="63"/>
  <c r="O110" i="63" s="1"/>
  <c r="N136" i="63"/>
  <c r="O136" i="63" s="1"/>
  <c r="N70" i="63"/>
  <c r="O70" i="63" s="1"/>
  <c r="N111" i="63"/>
  <c r="O111" i="63" s="1"/>
  <c r="N133" i="63"/>
  <c r="O133" i="63" s="1"/>
  <c r="N141" i="63"/>
  <c r="O141" i="63" s="1"/>
  <c r="N90" i="63"/>
  <c r="O90" i="63" s="1"/>
  <c r="N39" i="63"/>
  <c r="O39" i="63" s="1"/>
  <c r="N66" i="63"/>
  <c r="O66" i="63" s="1"/>
  <c r="N107" i="63"/>
  <c r="O107" i="63" s="1"/>
  <c r="N55" i="63"/>
  <c r="O55" i="63" s="1"/>
  <c r="N15" i="63"/>
  <c r="O15" i="63" s="1"/>
  <c r="N6" i="63"/>
  <c r="O6" i="63" s="1"/>
  <c r="N8" i="63"/>
  <c r="O8" i="63" s="1"/>
  <c r="N7" i="63"/>
  <c r="O7" i="63" s="1"/>
  <c r="N5" i="63"/>
  <c r="O5" i="63" s="1"/>
  <c r="N4" i="63"/>
  <c r="O4" i="63" s="1"/>
  <c r="N9" i="63"/>
  <c r="O9" i="63" s="1"/>
  <c r="N3" i="63"/>
  <c r="O3" i="63" s="1"/>
  <c r="D16" i="45"/>
  <c r="B16" i="45"/>
  <c r="B18" i="61"/>
  <c r="E18" i="61"/>
  <c r="N941" i="63"/>
  <c r="O941" i="63" s="1"/>
  <c r="N925" i="63"/>
  <c r="O925" i="63" s="1"/>
  <c r="N909" i="63"/>
  <c r="O909" i="63" s="1"/>
  <c r="N893" i="63"/>
  <c r="O893" i="63" s="1"/>
  <c r="N877" i="63"/>
  <c r="O877" i="63" s="1"/>
  <c r="N861" i="63"/>
  <c r="O861" i="63" s="1"/>
  <c r="N845" i="63"/>
  <c r="O845" i="63" s="1"/>
  <c r="N829" i="63"/>
  <c r="O829" i="63" s="1"/>
  <c r="N813" i="63"/>
  <c r="O813" i="63" s="1"/>
  <c r="N797" i="63"/>
  <c r="O797" i="63" s="1"/>
  <c r="N781" i="63"/>
  <c r="O781" i="63" s="1"/>
  <c r="N765" i="63"/>
  <c r="O765" i="63" s="1"/>
  <c r="N749" i="63"/>
  <c r="O749" i="63" s="1"/>
  <c r="N733" i="63"/>
  <c r="O733" i="63" s="1"/>
  <c r="N717" i="63"/>
  <c r="O717" i="63" s="1"/>
  <c r="N701" i="63"/>
  <c r="O701" i="63" s="1"/>
  <c r="N685" i="63"/>
  <c r="O685" i="63" s="1"/>
  <c r="N669" i="63"/>
  <c r="O669" i="63" s="1"/>
  <c r="N653" i="63"/>
  <c r="O653" i="63" s="1"/>
  <c r="N637" i="63"/>
  <c r="O637" i="63" s="1"/>
  <c r="N621" i="63"/>
  <c r="O621" i="63" s="1"/>
  <c r="N605" i="63"/>
  <c r="O605" i="63" s="1"/>
  <c r="N589" i="63"/>
  <c r="O589" i="63" s="1"/>
  <c r="N573" i="63"/>
  <c r="O573" i="63" s="1"/>
  <c r="N557" i="63"/>
  <c r="O557" i="63" s="1"/>
  <c r="N541" i="63"/>
  <c r="O541" i="63" s="1"/>
  <c r="N525" i="63"/>
  <c r="O525" i="63" s="1"/>
  <c r="N509" i="63"/>
  <c r="O509" i="63" s="1"/>
  <c r="N440" i="63"/>
  <c r="O440" i="63" s="1"/>
  <c r="N360" i="63"/>
  <c r="O360" i="63" s="1"/>
  <c r="N312" i="63"/>
  <c r="O312" i="63" s="1"/>
  <c r="N280" i="63"/>
  <c r="O280" i="63" s="1"/>
  <c r="N936" i="63"/>
  <c r="O936" i="63" s="1"/>
  <c r="N920" i="63"/>
  <c r="O920" i="63" s="1"/>
  <c r="N904" i="63"/>
  <c r="O904" i="63" s="1"/>
  <c r="N888" i="63"/>
  <c r="O888" i="63" s="1"/>
  <c r="N872" i="63"/>
  <c r="O872" i="63" s="1"/>
  <c r="N856" i="63"/>
  <c r="O856" i="63" s="1"/>
  <c r="N840" i="63"/>
  <c r="O840" i="63" s="1"/>
  <c r="N824" i="63"/>
  <c r="O824" i="63" s="1"/>
  <c r="N808" i="63"/>
  <c r="O808" i="63" s="1"/>
  <c r="N792" i="63"/>
  <c r="O792" i="63" s="1"/>
  <c r="N776" i="63"/>
  <c r="O776" i="63" s="1"/>
  <c r="N760" i="63"/>
  <c r="O760" i="63" s="1"/>
  <c r="N744" i="63"/>
  <c r="O744" i="63" s="1"/>
  <c r="N728" i="63"/>
  <c r="O728" i="63" s="1"/>
  <c r="N712" i="63"/>
  <c r="O712" i="63" s="1"/>
  <c r="N696" i="63"/>
  <c r="O696" i="63" s="1"/>
  <c r="N680" i="63"/>
  <c r="O680" i="63" s="1"/>
  <c r="N664" i="63"/>
  <c r="O664" i="63" s="1"/>
  <c r="N648" i="63"/>
  <c r="O648" i="63" s="1"/>
  <c r="N632" i="63"/>
  <c r="O632" i="63" s="1"/>
  <c r="N616" i="63"/>
  <c r="O616" i="63" s="1"/>
  <c r="N600" i="63"/>
  <c r="O600" i="63" s="1"/>
  <c r="N584" i="63"/>
  <c r="O584" i="63" s="1"/>
  <c r="N568" i="63"/>
  <c r="O568" i="63" s="1"/>
  <c r="N552" i="63"/>
  <c r="O552" i="63" s="1"/>
  <c r="N536" i="63"/>
  <c r="O536" i="63" s="1"/>
  <c r="N520" i="63"/>
  <c r="O520" i="63" s="1"/>
  <c r="N504" i="63"/>
  <c r="O504" i="63" s="1"/>
  <c r="N488" i="63"/>
  <c r="O488" i="63" s="1"/>
  <c r="N472" i="63"/>
  <c r="O472" i="63" s="1"/>
  <c r="N456" i="63"/>
  <c r="O456" i="63" s="1"/>
  <c r="N424" i="63"/>
  <c r="O424" i="63" s="1"/>
  <c r="N408" i="63"/>
  <c r="O408" i="63" s="1"/>
  <c r="N392" i="63"/>
  <c r="O392" i="63" s="1"/>
  <c r="N376" i="63"/>
  <c r="O376" i="63" s="1"/>
  <c r="N344" i="63"/>
  <c r="O344" i="63" s="1"/>
  <c r="N328" i="63"/>
  <c r="O328" i="63" s="1"/>
  <c r="N296" i="63"/>
  <c r="O296" i="63" s="1"/>
  <c r="N264" i="63"/>
  <c r="O264" i="63" s="1"/>
  <c r="N232" i="63"/>
  <c r="O232" i="63" s="1"/>
  <c r="N935" i="63"/>
  <c r="O935" i="63" s="1"/>
  <c r="N919" i="63"/>
  <c r="O919" i="63" s="1"/>
  <c r="N903" i="63"/>
  <c r="O903" i="63" s="1"/>
  <c r="N887" i="63"/>
  <c r="O887" i="63" s="1"/>
  <c r="N871" i="63"/>
  <c r="O871" i="63" s="1"/>
  <c r="N855" i="63"/>
  <c r="O855" i="63" s="1"/>
  <c r="N839" i="63"/>
  <c r="O839" i="63" s="1"/>
  <c r="N934" i="63"/>
  <c r="O934" i="63" s="1"/>
  <c r="N918" i="63"/>
  <c r="O918" i="63" s="1"/>
  <c r="N902" i="63"/>
  <c r="O902" i="63" s="1"/>
  <c r="N886" i="63"/>
  <c r="O886" i="63" s="1"/>
  <c r="N870" i="63"/>
  <c r="O870" i="63" s="1"/>
  <c r="N854" i="63"/>
  <c r="O854" i="63" s="1"/>
  <c r="N838" i="63"/>
  <c r="O838" i="63" s="1"/>
  <c r="N822" i="63"/>
  <c r="O822" i="63" s="1"/>
  <c r="N806" i="63"/>
  <c r="O806" i="63" s="1"/>
  <c r="N790" i="63"/>
  <c r="O790" i="63" s="1"/>
  <c r="N774" i="63"/>
  <c r="O774" i="63" s="1"/>
  <c r="N758" i="63"/>
  <c r="O758" i="63" s="1"/>
  <c r="N742" i="63"/>
  <c r="O742" i="63" s="1"/>
  <c r="N932" i="63"/>
  <c r="O932" i="63" s="1"/>
  <c r="N916" i="63"/>
  <c r="O916" i="63" s="1"/>
  <c r="N900" i="63"/>
  <c r="O900" i="63" s="1"/>
  <c r="N884" i="63"/>
  <c r="O884" i="63" s="1"/>
  <c r="N868" i="63"/>
  <c r="O868" i="63" s="1"/>
  <c r="N852" i="63"/>
  <c r="O852" i="63" s="1"/>
  <c r="N836" i="63"/>
  <c r="O836" i="63" s="1"/>
  <c r="N820" i="63"/>
  <c r="O820" i="63" s="1"/>
  <c r="N804" i="63"/>
  <c r="O804" i="63" s="1"/>
  <c r="N788" i="63"/>
  <c r="O788" i="63" s="1"/>
  <c r="N772" i="63"/>
  <c r="O772" i="63" s="1"/>
  <c r="N756" i="63"/>
  <c r="O756" i="63" s="1"/>
  <c r="N931" i="63"/>
  <c r="O931" i="63" s="1"/>
  <c r="N915" i="63"/>
  <c r="O915" i="63" s="1"/>
  <c r="N899" i="63"/>
  <c r="O899" i="63" s="1"/>
  <c r="N883" i="63"/>
  <c r="O883" i="63" s="1"/>
  <c r="N867" i="63"/>
  <c r="O867" i="63" s="1"/>
  <c r="N933" i="63"/>
  <c r="O933" i="63" s="1"/>
  <c r="N911" i="63"/>
  <c r="O911" i="63" s="1"/>
  <c r="N890" i="63"/>
  <c r="O890" i="63" s="1"/>
  <c r="N825" i="63"/>
  <c r="O825" i="63" s="1"/>
  <c r="N783" i="63"/>
  <c r="O783" i="63" s="1"/>
  <c r="N763" i="63"/>
  <c r="O763" i="63" s="1"/>
  <c r="N704" i="63"/>
  <c r="O704" i="63" s="1"/>
  <c r="N609" i="63"/>
  <c r="O609" i="63" s="1"/>
  <c r="N553" i="63"/>
  <c r="O553" i="63" s="1"/>
  <c r="N533" i="63"/>
  <c r="O533" i="63" s="1"/>
  <c r="N514" i="63"/>
  <c r="O514" i="63" s="1"/>
  <c r="N422" i="63"/>
  <c r="O422" i="63" s="1"/>
  <c r="N294" i="63"/>
  <c r="O294" i="63" s="1"/>
  <c r="N240" i="63"/>
  <c r="O240" i="63" s="1"/>
  <c r="N222" i="63"/>
  <c r="O222" i="63" s="1"/>
  <c r="N910" i="63"/>
  <c r="O910" i="63" s="1"/>
  <c r="N889" i="63"/>
  <c r="O889" i="63" s="1"/>
  <c r="N844" i="63"/>
  <c r="O844" i="63" s="1"/>
  <c r="N782" i="63"/>
  <c r="O782" i="63" s="1"/>
  <c r="N762" i="63"/>
  <c r="O762" i="63" s="1"/>
  <c r="N740" i="63"/>
  <c r="O740" i="63" s="1"/>
  <c r="N703" i="63"/>
  <c r="O703" i="63" s="1"/>
  <c r="N684" i="63"/>
  <c r="O684" i="63" s="1"/>
  <c r="N608" i="63"/>
  <c r="O608" i="63" s="1"/>
  <c r="N513" i="63"/>
  <c r="O513" i="63" s="1"/>
  <c r="N439" i="63"/>
  <c r="O439" i="63" s="1"/>
  <c r="N421" i="63"/>
  <c r="O421" i="63" s="1"/>
  <c r="N311" i="63"/>
  <c r="O311" i="63" s="1"/>
  <c r="N293" i="63"/>
  <c r="O293" i="63" s="1"/>
  <c r="N239" i="63"/>
  <c r="O239" i="63" s="1"/>
  <c r="N221" i="63"/>
  <c r="O221" i="63" s="1"/>
  <c r="N186" i="63"/>
  <c r="O186" i="63" s="1"/>
  <c r="N531" i="63"/>
  <c r="O531" i="63" s="1"/>
  <c r="N458" i="63"/>
  <c r="O458" i="63" s="1"/>
  <c r="N420" i="63"/>
  <c r="O420" i="63" s="1"/>
  <c r="N384" i="63"/>
  <c r="O384" i="63" s="1"/>
  <c r="N348" i="63"/>
  <c r="O348" i="63" s="1"/>
  <c r="N292" i="63"/>
  <c r="O292" i="63" s="1"/>
  <c r="N274" i="63"/>
  <c r="O274" i="63" s="1"/>
  <c r="N203" i="63"/>
  <c r="O203" i="63" s="1"/>
  <c r="N779" i="63"/>
  <c r="O779" i="63" s="1"/>
  <c r="N529" i="63"/>
  <c r="O529" i="63" s="1"/>
  <c r="N474" i="63"/>
  <c r="O474" i="63" s="1"/>
  <c r="N400" i="63"/>
  <c r="O400" i="63" s="1"/>
  <c r="N930" i="63"/>
  <c r="O930" i="63" s="1"/>
  <c r="N864" i="63"/>
  <c r="O864" i="63" s="1"/>
  <c r="N801" i="63"/>
  <c r="O801" i="63" s="1"/>
  <c r="N721" i="63"/>
  <c r="O721" i="63" s="1"/>
  <c r="N665" i="63"/>
  <c r="O665" i="63" s="1"/>
  <c r="N645" i="63"/>
  <c r="O645" i="63" s="1"/>
  <c r="N626" i="63"/>
  <c r="O626" i="63" s="1"/>
  <c r="N570" i="63"/>
  <c r="O570" i="63" s="1"/>
  <c r="N550" i="63"/>
  <c r="O550" i="63" s="1"/>
  <c r="N494" i="63"/>
  <c r="O494" i="63" s="1"/>
  <c r="N476" i="63"/>
  <c r="O476" i="63" s="1"/>
  <c r="N402" i="63"/>
  <c r="O402" i="63" s="1"/>
  <c r="N366" i="63"/>
  <c r="O366" i="63" s="1"/>
  <c r="N330" i="63"/>
  <c r="O330" i="63" s="1"/>
  <c r="N256" i="63"/>
  <c r="O256" i="63" s="1"/>
  <c r="N843" i="63"/>
  <c r="O843" i="63" s="1"/>
  <c r="N821" i="63"/>
  <c r="O821" i="63" s="1"/>
  <c r="N761" i="63"/>
  <c r="O761" i="63" s="1"/>
  <c r="N739" i="63"/>
  <c r="O739" i="63" s="1"/>
  <c r="N702" i="63"/>
  <c r="O702" i="63" s="1"/>
  <c r="N683" i="63"/>
  <c r="O683" i="63" s="1"/>
  <c r="N663" i="63"/>
  <c r="O663" i="63" s="1"/>
  <c r="N644" i="63"/>
  <c r="O644" i="63" s="1"/>
  <c r="N607" i="63"/>
  <c r="O607" i="63" s="1"/>
  <c r="N588" i="63"/>
  <c r="O588" i="63" s="1"/>
  <c r="N512" i="63"/>
  <c r="O512" i="63" s="1"/>
  <c r="N438" i="63"/>
  <c r="O438" i="63" s="1"/>
  <c r="N310" i="63"/>
  <c r="O310" i="63" s="1"/>
  <c r="N238" i="63"/>
  <c r="O238" i="63" s="1"/>
  <c r="N220" i="63"/>
  <c r="O220" i="63" s="1"/>
  <c r="N185" i="63"/>
  <c r="O185" i="63" s="1"/>
  <c r="N327" i="63"/>
  <c r="O327" i="63" s="1"/>
  <c r="N219" i="63"/>
  <c r="O219" i="63" s="1"/>
  <c r="N907" i="63"/>
  <c r="O907" i="63" s="1"/>
  <c r="N799" i="63"/>
  <c r="O799" i="63" s="1"/>
  <c r="N624" i="63"/>
  <c r="O624" i="63" s="1"/>
  <c r="N436" i="63"/>
  <c r="O436" i="63" s="1"/>
  <c r="N929" i="63"/>
  <c r="O929" i="63" s="1"/>
  <c r="N908" i="63"/>
  <c r="O908" i="63" s="1"/>
  <c r="N885" i="63"/>
  <c r="O885" i="63" s="1"/>
  <c r="N863" i="63"/>
  <c r="O863" i="63" s="1"/>
  <c r="N800" i="63"/>
  <c r="O800" i="63" s="1"/>
  <c r="N780" i="63"/>
  <c r="O780" i="63" s="1"/>
  <c r="N759" i="63"/>
  <c r="O759" i="63" s="1"/>
  <c r="N720" i="63"/>
  <c r="O720" i="63" s="1"/>
  <c r="N625" i="63"/>
  <c r="O625" i="63" s="1"/>
  <c r="N569" i="63"/>
  <c r="O569" i="63" s="1"/>
  <c r="N549" i="63"/>
  <c r="O549" i="63" s="1"/>
  <c r="N530" i="63"/>
  <c r="O530" i="63" s="1"/>
  <c r="N493" i="63"/>
  <c r="O493" i="63" s="1"/>
  <c r="N475" i="63"/>
  <c r="O475" i="63" s="1"/>
  <c r="N457" i="63"/>
  <c r="O457" i="63" s="1"/>
  <c r="N419" i="63"/>
  <c r="O419" i="63" s="1"/>
  <c r="N401" i="63"/>
  <c r="O401" i="63" s="1"/>
  <c r="N383" i="63"/>
  <c r="O383" i="63" s="1"/>
  <c r="N365" i="63"/>
  <c r="O365" i="63" s="1"/>
  <c r="N347" i="63"/>
  <c r="O347" i="63" s="1"/>
  <c r="N329" i="63"/>
  <c r="O329" i="63" s="1"/>
  <c r="N291" i="63"/>
  <c r="O291" i="63" s="1"/>
  <c r="N273" i="63"/>
  <c r="O273" i="63" s="1"/>
  <c r="N255" i="63"/>
  <c r="O255" i="63" s="1"/>
  <c r="N202" i="63"/>
  <c r="O202" i="63" s="1"/>
  <c r="N184" i="63"/>
  <c r="O184" i="63" s="1"/>
  <c r="N237" i="63"/>
  <c r="O237" i="63" s="1"/>
  <c r="N183" i="63"/>
  <c r="O183" i="63" s="1"/>
  <c r="N862" i="63"/>
  <c r="O862" i="63" s="1"/>
  <c r="N719" i="63"/>
  <c r="O719" i="63" s="1"/>
  <c r="N492" i="63"/>
  <c r="O492" i="63" s="1"/>
  <c r="N418" i="63"/>
  <c r="O418" i="63" s="1"/>
  <c r="N842" i="63"/>
  <c r="O842" i="63" s="1"/>
  <c r="N819" i="63"/>
  <c r="O819" i="63" s="1"/>
  <c r="N738" i="63"/>
  <c r="O738" i="63" s="1"/>
  <c r="N682" i="63"/>
  <c r="O682" i="63" s="1"/>
  <c r="N662" i="63"/>
  <c r="O662" i="63" s="1"/>
  <c r="N643" i="63"/>
  <c r="O643" i="63" s="1"/>
  <c r="N606" i="63"/>
  <c r="O606" i="63" s="1"/>
  <c r="N587" i="63"/>
  <c r="O587" i="63" s="1"/>
  <c r="N567" i="63"/>
  <c r="O567" i="63" s="1"/>
  <c r="N548" i="63"/>
  <c r="O548" i="63" s="1"/>
  <c r="N511" i="63"/>
  <c r="O511" i="63" s="1"/>
  <c r="N455" i="63"/>
  <c r="O455" i="63" s="1"/>
  <c r="N437" i="63"/>
  <c r="O437" i="63" s="1"/>
  <c r="N309" i="63"/>
  <c r="O309" i="63" s="1"/>
  <c r="N928" i="63"/>
  <c r="O928" i="63" s="1"/>
  <c r="N700" i="63"/>
  <c r="O700" i="63" s="1"/>
  <c r="N882" i="63"/>
  <c r="O882" i="63" s="1"/>
  <c r="N841" i="63"/>
  <c r="O841" i="63" s="1"/>
  <c r="N818" i="63"/>
  <c r="O818" i="63" s="1"/>
  <c r="N757" i="63"/>
  <c r="O757" i="63" s="1"/>
  <c r="N737" i="63"/>
  <c r="O737" i="63" s="1"/>
  <c r="N681" i="63"/>
  <c r="O681" i="63" s="1"/>
  <c r="N661" i="63"/>
  <c r="O661" i="63" s="1"/>
  <c r="N642" i="63"/>
  <c r="O642" i="63" s="1"/>
  <c r="N586" i="63"/>
  <c r="O586" i="63" s="1"/>
  <c r="N566" i="63"/>
  <c r="O566" i="63" s="1"/>
  <c r="N547" i="63"/>
  <c r="O547" i="63" s="1"/>
  <c r="N510" i="63"/>
  <c r="O510" i="63" s="1"/>
  <c r="N454" i="63"/>
  <c r="O454" i="63" s="1"/>
  <c r="N326" i="63"/>
  <c r="O326" i="63" s="1"/>
  <c r="N236" i="63"/>
  <c r="O236" i="63" s="1"/>
  <c r="N218" i="63"/>
  <c r="O218" i="63" s="1"/>
  <c r="N200" i="63"/>
  <c r="O200" i="63" s="1"/>
  <c r="N182" i="63"/>
  <c r="O182" i="63" s="1"/>
  <c r="N835" i="63"/>
  <c r="O835" i="63" s="1"/>
  <c r="N697" i="63"/>
  <c r="O697" i="63" s="1"/>
  <c r="N677" i="63"/>
  <c r="O677" i="63" s="1"/>
  <c r="N658" i="63"/>
  <c r="O658" i="63" s="1"/>
  <c r="N602" i="63"/>
  <c r="O602" i="63" s="1"/>
  <c r="N582" i="63"/>
  <c r="O582" i="63" s="1"/>
  <c r="N563" i="63"/>
  <c r="O563" i="63" s="1"/>
  <c r="N526" i="63"/>
  <c r="O526" i="63" s="1"/>
  <c r="N507" i="63"/>
  <c r="O507" i="63" s="1"/>
  <c r="N489" i="63"/>
  <c r="O489" i="63" s="1"/>
  <c r="N451" i="63"/>
  <c r="O451" i="63" s="1"/>
  <c r="N433" i="63"/>
  <c r="O433" i="63" s="1"/>
  <c r="N415" i="63"/>
  <c r="O415" i="63" s="1"/>
  <c r="N397" i="63"/>
  <c r="O397" i="63" s="1"/>
  <c r="N379" i="63"/>
  <c r="O379" i="63" s="1"/>
  <c r="N361" i="63"/>
  <c r="O361" i="63" s="1"/>
  <c r="N323" i="63"/>
  <c r="O323" i="63" s="1"/>
  <c r="N305" i="63"/>
  <c r="O305" i="63" s="1"/>
  <c r="N287" i="63"/>
  <c r="O287" i="63" s="1"/>
  <c r="N269" i="63"/>
  <c r="O269" i="63" s="1"/>
  <c r="N251" i="63"/>
  <c r="O251" i="63" s="1"/>
  <c r="N197" i="63"/>
  <c r="O197" i="63" s="1"/>
  <c r="N179" i="63"/>
  <c r="O179" i="63" s="1"/>
  <c r="N794" i="63"/>
  <c r="O794" i="63" s="1"/>
  <c r="N694" i="63"/>
  <c r="O694" i="63" s="1"/>
  <c r="N619" i="63"/>
  <c r="O619" i="63" s="1"/>
  <c r="N580" i="63"/>
  <c r="O580" i="63" s="1"/>
  <c r="N486" i="63"/>
  <c r="O486" i="63" s="1"/>
  <c r="N945" i="63"/>
  <c r="O945" i="63" s="1"/>
  <c r="N924" i="63"/>
  <c r="O924" i="63" s="1"/>
  <c r="N901" i="63"/>
  <c r="O901" i="63" s="1"/>
  <c r="N879" i="63"/>
  <c r="O879" i="63" s="1"/>
  <c r="N858" i="63"/>
  <c r="O858" i="63" s="1"/>
  <c r="N815" i="63"/>
  <c r="O815" i="63" s="1"/>
  <c r="N795" i="63"/>
  <c r="O795" i="63" s="1"/>
  <c r="N753" i="63"/>
  <c r="O753" i="63" s="1"/>
  <c r="N734" i="63"/>
  <c r="O734" i="63" s="1"/>
  <c r="N715" i="63"/>
  <c r="O715" i="63" s="1"/>
  <c r="N695" i="63"/>
  <c r="O695" i="63" s="1"/>
  <c r="N676" i="63"/>
  <c r="O676" i="63" s="1"/>
  <c r="N639" i="63"/>
  <c r="O639" i="63" s="1"/>
  <c r="N620" i="63"/>
  <c r="O620" i="63" s="1"/>
  <c r="N544" i="63"/>
  <c r="O544" i="63" s="1"/>
  <c r="N487" i="63"/>
  <c r="O487" i="63" s="1"/>
  <c r="N469" i="63"/>
  <c r="O469" i="63" s="1"/>
  <c r="N359" i="63"/>
  <c r="O359" i="63" s="1"/>
  <c r="N341" i="63"/>
  <c r="O341" i="63" s="1"/>
  <c r="N233" i="63"/>
  <c r="O233" i="63" s="1"/>
  <c r="N214" i="63"/>
  <c r="O214" i="63" s="1"/>
  <c r="N196" i="63"/>
  <c r="O196" i="63" s="1"/>
  <c r="N923" i="63"/>
  <c r="O923" i="63" s="1"/>
  <c r="N878" i="63"/>
  <c r="O878" i="63" s="1"/>
  <c r="N814" i="63"/>
  <c r="O814" i="63" s="1"/>
  <c r="N714" i="63"/>
  <c r="O714" i="63" s="1"/>
  <c r="N638" i="63"/>
  <c r="O638" i="63" s="1"/>
  <c r="N543" i="63"/>
  <c r="O543" i="63" s="1"/>
  <c r="N358" i="63"/>
  <c r="O358" i="63" s="1"/>
  <c r="N834" i="63"/>
  <c r="O834" i="63" s="1"/>
  <c r="N773" i="63"/>
  <c r="O773" i="63" s="1"/>
  <c r="N657" i="63"/>
  <c r="O657" i="63" s="1"/>
  <c r="N601" i="63"/>
  <c r="O601" i="63" s="1"/>
  <c r="N581" i="63"/>
  <c r="O581" i="63" s="1"/>
  <c r="N562" i="63"/>
  <c r="O562" i="63" s="1"/>
  <c r="N506" i="63"/>
  <c r="O506" i="63" s="1"/>
  <c r="N468" i="63"/>
  <c r="O468" i="63" s="1"/>
  <c r="N450" i="63"/>
  <c r="O450" i="63" s="1"/>
  <c r="N432" i="63"/>
  <c r="O432" i="63" s="1"/>
  <c r="N414" i="63"/>
  <c r="O414" i="63" s="1"/>
  <c r="N396" i="63"/>
  <c r="O396" i="63" s="1"/>
  <c r="N378" i="63"/>
  <c r="O378" i="63" s="1"/>
  <c r="N340" i="63"/>
  <c r="O340" i="63" s="1"/>
  <c r="N322" i="63"/>
  <c r="O322" i="63" s="1"/>
  <c r="N304" i="63"/>
  <c r="O304" i="63" s="1"/>
  <c r="N286" i="63"/>
  <c r="O286" i="63" s="1"/>
  <c r="N268" i="63"/>
  <c r="O268" i="63" s="1"/>
  <c r="N250" i="63"/>
  <c r="O250" i="63" s="1"/>
  <c r="N231" i="63"/>
  <c r="O231" i="63" s="1"/>
  <c r="N178" i="63"/>
  <c r="O178" i="63" s="1"/>
  <c r="N944" i="63"/>
  <c r="O944" i="63" s="1"/>
  <c r="N857" i="63"/>
  <c r="O857" i="63" s="1"/>
  <c r="N752" i="63"/>
  <c r="O752" i="63" s="1"/>
  <c r="N675" i="63"/>
  <c r="O675" i="63" s="1"/>
  <c r="N599" i="63"/>
  <c r="O599" i="63" s="1"/>
  <c r="N524" i="63"/>
  <c r="O524" i="63" s="1"/>
  <c r="N914" i="63"/>
  <c r="O914" i="63" s="1"/>
  <c r="N828" i="63"/>
  <c r="O828" i="63" s="1"/>
  <c r="N807" i="63"/>
  <c r="O807" i="63" s="1"/>
  <c r="N786" i="63"/>
  <c r="O786" i="63" s="1"/>
  <c r="N726" i="63"/>
  <c r="O726" i="63" s="1"/>
  <c r="N707" i="63"/>
  <c r="O707" i="63" s="1"/>
  <c r="N670" i="63"/>
  <c r="O670" i="63" s="1"/>
  <c r="N651" i="63"/>
  <c r="O651" i="63" s="1"/>
  <c r="N631" i="63"/>
  <c r="O631" i="63" s="1"/>
  <c r="N612" i="63"/>
  <c r="O612" i="63" s="1"/>
  <c r="N575" i="63"/>
  <c r="O575" i="63" s="1"/>
  <c r="N556" i="63"/>
  <c r="O556" i="63" s="1"/>
  <c r="N407" i="63"/>
  <c r="O407" i="63" s="1"/>
  <c r="N389" i="63"/>
  <c r="O389" i="63" s="1"/>
  <c r="N279" i="63"/>
  <c r="O279" i="63" s="1"/>
  <c r="N261" i="63"/>
  <c r="O261" i="63" s="1"/>
  <c r="N894" i="63"/>
  <c r="O894" i="63" s="1"/>
  <c r="N853" i="63"/>
  <c r="O853" i="63" s="1"/>
  <c r="N750" i="63"/>
  <c r="O750" i="63" s="1"/>
  <c r="N654" i="63"/>
  <c r="O654" i="63" s="1"/>
  <c r="N622" i="63"/>
  <c r="O622" i="63" s="1"/>
  <c r="N592" i="63"/>
  <c r="O592" i="63" s="1"/>
  <c r="N464" i="63"/>
  <c r="O464" i="63" s="1"/>
  <c r="N431" i="63"/>
  <c r="O431" i="63" s="1"/>
  <c r="N404" i="63"/>
  <c r="O404" i="63" s="1"/>
  <c r="N372" i="63"/>
  <c r="O372" i="63" s="1"/>
  <c r="N284" i="63"/>
  <c r="O284" i="63" s="1"/>
  <c r="N257" i="63"/>
  <c r="O257" i="63" s="1"/>
  <c r="N205" i="63"/>
  <c r="O205" i="63" s="1"/>
  <c r="N926" i="63"/>
  <c r="O926" i="63" s="1"/>
  <c r="N816" i="63"/>
  <c r="O816" i="63" s="1"/>
  <c r="N686" i="63"/>
  <c r="O686" i="63" s="1"/>
  <c r="N370" i="63"/>
  <c r="O370" i="63" s="1"/>
  <c r="N226" i="63"/>
  <c r="O226" i="63" s="1"/>
  <c r="N927" i="63"/>
  <c r="O927" i="63" s="1"/>
  <c r="N817" i="63"/>
  <c r="O817" i="63" s="1"/>
  <c r="N785" i="63"/>
  <c r="O785" i="63" s="1"/>
  <c r="N687" i="63"/>
  <c r="O687" i="63" s="1"/>
  <c r="N558" i="63"/>
  <c r="O558" i="63" s="1"/>
  <c r="N496" i="63"/>
  <c r="O496" i="63" s="1"/>
  <c r="N403" i="63"/>
  <c r="O403" i="63" s="1"/>
  <c r="N342" i="63"/>
  <c r="O342" i="63" s="1"/>
  <c r="N315" i="63"/>
  <c r="O315" i="63" s="1"/>
  <c r="N254" i="63"/>
  <c r="O254" i="63" s="1"/>
  <c r="N227" i="63"/>
  <c r="O227" i="63" s="1"/>
  <c r="N204" i="63"/>
  <c r="O204" i="63" s="1"/>
  <c r="N176" i="63"/>
  <c r="O176" i="63" s="1"/>
  <c r="N748" i="63"/>
  <c r="O748" i="63" s="1"/>
  <c r="N590" i="63"/>
  <c r="O590" i="63" s="1"/>
  <c r="N462" i="63"/>
  <c r="O462" i="63" s="1"/>
  <c r="N199" i="63"/>
  <c r="O199" i="63" s="1"/>
  <c r="N892" i="63"/>
  <c r="O892" i="63" s="1"/>
  <c r="N851" i="63"/>
  <c r="O851" i="63" s="1"/>
  <c r="N716" i="63"/>
  <c r="O716" i="63" s="1"/>
  <c r="N591" i="63"/>
  <c r="O591" i="63" s="1"/>
  <c r="N523" i="63"/>
  <c r="O523" i="63" s="1"/>
  <c r="N495" i="63"/>
  <c r="O495" i="63" s="1"/>
  <c r="N463" i="63"/>
  <c r="O463" i="63" s="1"/>
  <c r="N430" i="63"/>
  <c r="O430" i="63" s="1"/>
  <c r="N399" i="63"/>
  <c r="O399" i="63" s="1"/>
  <c r="N371" i="63"/>
  <c r="O371" i="63" s="1"/>
  <c r="N339" i="63"/>
  <c r="O339" i="63" s="1"/>
  <c r="N283" i="63"/>
  <c r="O283" i="63" s="1"/>
  <c r="N253" i="63"/>
  <c r="O253" i="63" s="1"/>
  <c r="N201" i="63"/>
  <c r="O201" i="63" s="1"/>
  <c r="N784" i="63"/>
  <c r="O784" i="63" s="1"/>
  <c r="N652" i="63"/>
  <c r="O652" i="63" s="1"/>
  <c r="N491" i="63"/>
  <c r="O491" i="63" s="1"/>
  <c r="N314" i="63"/>
  <c r="O314" i="63" s="1"/>
  <c r="N618" i="63"/>
  <c r="O618" i="63" s="1"/>
  <c r="N891" i="63"/>
  <c r="O891" i="63" s="1"/>
  <c r="N747" i="63"/>
  <c r="O747" i="63" s="1"/>
  <c r="N711" i="63"/>
  <c r="O711" i="63" s="1"/>
  <c r="N679" i="63"/>
  <c r="O679" i="63" s="1"/>
  <c r="N617" i="63"/>
  <c r="O617" i="63" s="1"/>
  <c r="N585" i="63"/>
  <c r="O585" i="63" s="1"/>
  <c r="N555" i="63"/>
  <c r="O555" i="63" s="1"/>
  <c r="N490" i="63"/>
  <c r="O490" i="63" s="1"/>
  <c r="N461" i="63"/>
  <c r="O461" i="63" s="1"/>
  <c r="N369" i="63"/>
  <c r="O369" i="63" s="1"/>
  <c r="N308" i="63"/>
  <c r="O308" i="63" s="1"/>
  <c r="N225" i="63"/>
  <c r="O225" i="63" s="1"/>
  <c r="N198" i="63"/>
  <c r="O198" i="63" s="1"/>
  <c r="N812" i="63"/>
  <c r="O812" i="63" s="1"/>
  <c r="N778" i="63"/>
  <c r="O778" i="63" s="1"/>
  <c r="N650" i="63"/>
  <c r="O650" i="63" s="1"/>
  <c r="N583" i="63"/>
  <c r="O583" i="63" s="1"/>
  <c r="N521" i="63"/>
  <c r="O521" i="63" s="1"/>
  <c r="N428" i="63"/>
  <c r="O428" i="63" s="1"/>
  <c r="N337" i="63"/>
  <c r="O337" i="63" s="1"/>
  <c r="N307" i="63"/>
  <c r="O307" i="63" s="1"/>
  <c r="N249" i="63"/>
  <c r="O249" i="63" s="1"/>
  <c r="N922" i="63"/>
  <c r="O922" i="63" s="1"/>
  <c r="N849" i="63"/>
  <c r="O849" i="63" s="1"/>
  <c r="N746" i="63"/>
  <c r="O746" i="63" s="1"/>
  <c r="N615" i="63"/>
  <c r="O615" i="63" s="1"/>
  <c r="N395" i="63"/>
  <c r="O395" i="63" s="1"/>
  <c r="N281" i="63"/>
  <c r="O281" i="63" s="1"/>
  <c r="N848" i="63"/>
  <c r="O848" i="63" s="1"/>
  <c r="N710" i="63"/>
  <c r="O710" i="63" s="1"/>
  <c r="N678" i="63"/>
  <c r="O678" i="63" s="1"/>
  <c r="N554" i="63"/>
  <c r="O554" i="63" s="1"/>
  <c r="N519" i="63"/>
  <c r="O519" i="63" s="1"/>
  <c r="N460" i="63"/>
  <c r="O460" i="63" s="1"/>
  <c r="N368" i="63"/>
  <c r="O368" i="63" s="1"/>
  <c r="N248" i="63"/>
  <c r="O248" i="63" s="1"/>
  <c r="N224" i="63"/>
  <c r="O224" i="63" s="1"/>
  <c r="N195" i="63"/>
  <c r="O195" i="63" s="1"/>
  <c r="N921" i="63"/>
  <c r="O921" i="63" s="1"/>
  <c r="N881" i="63"/>
  <c r="O881" i="63" s="1"/>
  <c r="N811" i="63"/>
  <c r="O811" i="63" s="1"/>
  <c r="N777" i="63"/>
  <c r="O777" i="63" s="1"/>
  <c r="N745" i="63"/>
  <c r="O745" i="63" s="1"/>
  <c r="N649" i="63"/>
  <c r="O649" i="63" s="1"/>
  <c r="N614" i="63"/>
  <c r="O614" i="63" s="1"/>
  <c r="N485" i="63"/>
  <c r="O485" i="63" s="1"/>
  <c r="N459" i="63"/>
  <c r="O459" i="63" s="1"/>
  <c r="N427" i="63"/>
  <c r="O427" i="63" s="1"/>
  <c r="N394" i="63"/>
  <c r="O394" i="63" s="1"/>
  <c r="N367" i="63"/>
  <c r="O367" i="63" s="1"/>
  <c r="N336" i="63"/>
  <c r="O336" i="63" s="1"/>
  <c r="N847" i="63"/>
  <c r="O847" i="63" s="1"/>
  <c r="N775" i="63"/>
  <c r="O775" i="63" s="1"/>
  <c r="N743" i="63"/>
  <c r="O743" i="63" s="1"/>
  <c r="N709" i="63"/>
  <c r="O709" i="63" s="1"/>
  <c r="N647" i="63"/>
  <c r="O647" i="63" s="1"/>
  <c r="N880" i="63"/>
  <c r="O880" i="63" s="1"/>
  <c r="N810" i="63"/>
  <c r="O810" i="63" s="1"/>
  <c r="N771" i="63"/>
  <c r="O771" i="63" s="1"/>
  <c r="N708" i="63"/>
  <c r="O708" i="63" s="1"/>
  <c r="N674" i="63"/>
  <c r="O674" i="63" s="1"/>
  <c r="N646" i="63"/>
  <c r="O646" i="63" s="1"/>
  <c r="N613" i="63"/>
  <c r="O613" i="63" s="1"/>
  <c r="N517" i="63"/>
  <c r="O517" i="63" s="1"/>
  <c r="N453" i="63"/>
  <c r="O453" i="63" s="1"/>
  <c r="N393" i="63"/>
  <c r="O393" i="63" s="1"/>
  <c r="N363" i="63"/>
  <c r="O363" i="63" s="1"/>
  <c r="N335" i="63"/>
  <c r="O335" i="63" s="1"/>
  <c r="N303" i="63"/>
  <c r="O303" i="63" s="1"/>
  <c r="N277" i="63"/>
  <c r="O277" i="63" s="1"/>
  <c r="N246" i="63"/>
  <c r="O246" i="63" s="1"/>
  <c r="N917" i="63"/>
  <c r="O917" i="63" s="1"/>
  <c r="N846" i="63"/>
  <c r="O846" i="63" s="1"/>
  <c r="N741" i="63"/>
  <c r="O741" i="63" s="1"/>
  <c r="N578" i="63"/>
  <c r="O578" i="63" s="1"/>
  <c r="N546" i="63"/>
  <c r="O546" i="63" s="1"/>
  <c r="N516" i="63"/>
  <c r="O516" i="63" s="1"/>
  <c r="N483" i="63"/>
  <c r="O483" i="63" s="1"/>
  <c r="N452" i="63"/>
  <c r="O452" i="63" s="1"/>
  <c r="N425" i="63"/>
  <c r="O425" i="63" s="1"/>
  <c r="N391" i="63"/>
  <c r="O391" i="63" s="1"/>
  <c r="N334" i="63"/>
  <c r="O334" i="63" s="1"/>
  <c r="N276" i="63"/>
  <c r="O276" i="63" s="1"/>
  <c r="N193" i="63"/>
  <c r="O193" i="63" s="1"/>
  <c r="N672" i="63"/>
  <c r="O672" i="63" s="1"/>
  <c r="N301" i="63"/>
  <c r="O301" i="63" s="1"/>
  <c r="N809" i="63"/>
  <c r="O809" i="63" s="1"/>
  <c r="N770" i="63"/>
  <c r="O770" i="63" s="1"/>
  <c r="N673" i="63"/>
  <c r="O673" i="63" s="1"/>
  <c r="N641" i="63"/>
  <c r="O641" i="63" s="1"/>
  <c r="N611" i="63"/>
  <c r="O611" i="63" s="1"/>
  <c r="N423" i="63"/>
  <c r="O423" i="63" s="1"/>
  <c r="N362" i="63"/>
  <c r="O362" i="63" s="1"/>
  <c r="N302" i="63"/>
  <c r="O302" i="63" s="1"/>
  <c r="N275" i="63"/>
  <c r="O275" i="63" s="1"/>
  <c r="N245" i="63"/>
  <c r="O245" i="63" s="1"/>
  <c r="N610" i="63"/>
  <c r="O610" i="63" s="1"/>
  <c r="N217" i="63"/>
  <c r="O217" i="63" s="1"/>
  <c r="N876" i="63"/>
  <c r="O876" i="63" s="1"/>
  <c r="N736" i="63"/>
  <c r="O736" i="63" s="1"/>
  <c r="N706" i="63"/>
  <c r="O706" i="63" s="1"/>
  <c r="N577" i="63"/>
  <c r="O577" i="63" s="1"/>
  <c r="N545" i="63"/>
  <c r="O545" i="63" s="1"/>
  <c r="N515" i="63"/>
  <c r="O515" i="63" s="1"/>
  <c r="N482" i="63"/>
  <c r="O482" i="63" s="1"/>
  <c r="N449" i="63"/>
  <c r="O449" i="63" s="1"/>
  <c r="N390" i="63"/>
  <c r="O390" i="63" s="1"/>
  <c r="N333" i="63"/>
  <c r="O333" i="63" s="1"/>
  <c r="N272" i="63"/>
  <c r="O272" i="63" s="1"/>
  <c r="N244" i="63"/>
  <c r="O244" i="63" s="1"/>
  <c r="N192" i="63"/>
  <c r="O192" i="63" s="1"/>
  <c r="N769" i="63"/>
  <c r="O769" i="63" s="1"/>
  <c r="N271" i="63"/>
  <c r="O271" i="63" s="1"/>
  <c r="N640" i="63"/>
  <c r="O640" i="63" s="1"/>
  <c r="N913" i="63"/>
  <c r="O913" i="63" s="1"/>
  <c r="N875" i="63"/>
  <c r="O875" i="63" s="1"/>
  <c r="N837" i="63"/>
  <c r="O837" i="63" s="1"/>
  <c r="N805" i="63"/>
  <c r="O805" i="63" s="1"/>
  <c r="N735" i="63"/>
  <c r="O735" i="63" s="1"/>
  <c r="N705" i="63"/>
  <c r="O705" i="63" s="1"/>
  <c r="N576" i="63"/>
  <c r="O576" i="63" s="1"/>
  <c r="N542" i="63"/>
  <c r="O542" i="63" s="1"/>
  <c r="N481" i="63"/>
  <c r="O481" i="63" s="1"/>
  <c r="N448" i="63"/>
  <c r="O448" i="63" s="1"/>
  <c r="N768" i="63"/>
  <c r="O768" i="63" s="1"/>
  <c r="N732" i="63"/>
  <c r="O732" i="63" s="1"/>
  <c r="N671" i="63"/>
  <c r="O671" i="63" s="1"/>
  <c r="N480" i="63"/>
  <c r="O480" i="63" s="1"/>
  <c r="N356" i="63"/>
  <c r="O356" i="63" s="1"/>
  <c r="N331" i="63"/>
  <c r="O331" i="63" s="1"/>
  <c r="N300" i="63"/>
  <c r="O300" i="63" s="1"/>
  <c r="N270" i="63"/>
  <c r="O270" i="63" s="1"/>
  <c r="N215" i="63"/>
  <c r="O215" i="63" s="1"/>
  <c r="N802" i="63"/>
  <c r="O802" i="63" s="1"/>
  <c r="N767" i="63"/>
  <c r="O767" i="63" s="1"/>
  <c r="N731" i="63"/>
  <c r="O731" i="63" s="1"/>
  <c r="N699" i="63"/>
  <c r="O699" i="63" s="1"/>
  <c r="N574" i="63"/>
  <c r="O574" i="63" s="1"/>
  <c r="N540" i="63"/>
  <c r="O540" i="63" s="1"/>
  <c r="N508" i="63"/>
  <c r="O508" i="63" s="1"/>
  <c r="N479" i="63"/>
  <c r="O479" i="63" s="1"/>
  <c r="N355" i="63"/>
  <c r="O355" i="63" s="1"/>
  <c r="N299" i="63"/>
  <c r="O299" i="63" s="1"/>
  <c r="N267" i="63"/>
  <c r="O267" i="63" s="1"/>
  <c r="N212" i="63"/>
  <c r="O212" i="63" s="1"/>
  <c r="N189" i="63"/>
  <c r="O189" i="63" s="1"/>
  <c r="N943" i="63"/>
  <c r="O943" i="63" s="1"/>
  <c r="N873" i="63"/>
  <c r="O873" i="63" s="1"/>
  <c r="N832" i="63"/>
  <c r="O832" i="63" s="1"/>
  <c r="N798" i="63"/>
  <c r="O798" i="63" s="1"/>
  <c r="N766" i="63"/>
  <c r="O766" i="63" s="1"/>
  <c r="N635" i="63"/>
  <c r="O635" i="63" s="1"/>
  <c r="N603" i="63"/>
  <c r="O603" i="63" s="1"/>
  <c r="N446" i="63"/>
  <c r="O446" i="63" s="1"/>
  <c r="N413" i="63"/>
  <c r="O413" i="63" s="1"/>
  <c r="N386" i="63"/>
  <c r="O386" i="63" s="1"/>
  <c r="N325" i="63"/>
  <c r="O325" i="63" s="1"/>
  <c r="N298" i="63"/>
  <c r="O298" i="63" s="1"/>
  <c r="N241" i="63"/>
  <c r="O241" i="63" s="1"/>
  <c r="N906" i="63"/>
  <c r="O906" i="63" s="1"/>
  <c r="N730" i="63"/>
  <c r="O730" i="63" s="1"/>
  <c r="N698" i="63"/>
  <c r="O698" i="63" s="1"/>
  <c r="N668" i="63"/>
  <c r="O668" i="63" s="1"/>
  <c r="N539" i="63"/>
  <c r="O539" i="63" s="1"/>
  <c r="N505" i="63"/>
  <c r="O505" i="63" s="1"/>
  <c r="N478" i="63"/>
  <c r="O478" i="63" s="1"/>
  <c r="N385" i="63"/>
  <c r="O385" i="63" s="1"/>
  <c r="N354" i="63"/>
  <c r="O354" i="63" s="1"/>
  <c r="N324" i="63"/>
  <c r="O324" i="63" s="1"/>
  <c r="N266" i="63"/>
  <c r="O266" i="63" s="1"/>
  <c r="N211" i="63"/>
  <c r="O211" i="63" s="1"/>
  <c r="N942" i="63"/>
  <c r="O942" i="63" s="1"/>
  <c r="N869" i="63"/>
  <c r="O869" i="63" s="1"/>
  <c r="N831" i="63"/>
  <c r="O831" i="63" s="1"/>
  <c r="N634" i="63"/>
  <c r="O634" i="63" s="1"/>
  <c r="N572" i="63"/>
  <c r="O572" i="63" s="1"/>
  <c r="N503" i="63"/>
  <c r="O503" i="63" s="1"/>
  <c r="N477" i="63"/>
  <c r="O477" i="63" s="1"/>
  <c r="N445" i="63"/>
  <c r="O445" i="63" s="1"/>
  <c r="N412" i="63"/>
  <c r="O412" i="63" s="1"/>
  <c r="N382" i="63"/>
  <c r="O382" i="63" s="1"/>
  <c r="N297" i="63"/>
  <c r="O297" i="63" s="1"/>
  <c r="N188" i="63"/>
  <c r="O188" i="63" s="1"/>
  <c r="N895" i="63"/>
  <c r="O895" i="63" s="1"/>
  <c r="N787" i="63"/>
  <c r="O787" i="63" s="1"/>
  <c r="N751" i="63"/>
  <c r="O751" i="63" s="1"/>
  <c r="N722" i="63"/>
  <c r="O722" i="63" s="1"/>
  <c r="N689" i="63"/>
  <c r="O689" i="63" s="1"/>
  <c r="N655" i="63"/>
  <c r="O655" i="63" s="1"/>
  <c r="N623" i="63"/>
  <c r="O623" i="63" s="1"/>
  <c r="N823" i="63"/>
  <c r="O823" i="63" s="1"/>
  <c r="N718" i="63"/>
  <c r="O718" i="63" s="1"/>
  <c r="N688" i="63"/>
  <c r="O688" i="63" s="1"/>
  <c r="N559" i="63"/>
  <c r="O559" i="63" s="1"/>
  <c r="N527" i="63"/>
  <c r="O527" i="63" s="1"/>
  <c r="N497" i="63"/>
  <c r="O497" i="63" s="1"/>
  <c r="N405" i="63"/>
  <c r="O405" i="63" s="1"/>
  <c r="N667" i="63"/>
  <c r="O667" i="63" s="1"/>
  <c r="N498" i="63"/>
  <c r="O498" i="63" s="1"/>
  <c r="N346" i="63"/>
  <c r="O346" i="63" s="1"/>
  <c r="N282" i="63"/>
  <c r="O282" i="63" s="1"/>
  <c r="N223" i="63"/>
  <c r="O223" i="63" s="1"/>
  <c r="N561" i="63"/>
  <c r="O561" i="63" s="1"/>
  <c r="N321" i="63"/>
  <c r="O321" i="63" s="1"/>
  <c r="N434" i="63"/>
  <c r="O434" i="63" s="1"/>
  <c r="N290" i="63"/>
  <c r="O290" i="63" s="1"/>
  <c r="N595" i="63"/>
  <c r="O595" i="63" s="1"/>
  <c r="N896" i="63"/>
  <c r="O896" i="63" s="1"/>
  <c r="N666" i="63"/>
  <c r="O666" i="63" s="1"/>
  <c r="N571" i="63"/>
  <c r="O571" i="63" s="1"/>
  <c r="N410" i="63"/>
  <c r="O410" i="63" s="1"/>
  <c r="N345" i="63"/>
  <c r="O345" i="63" s="1"/>
  <c r="N278" i="63"/>
  <c r="O278" i="63" s="1"/>
  <c r="N409" i="63"/>
  <c r="O409" i="63" s="1"/>
  <c r="N564" i="63"/>
  <c r="O564" i="63" s="1"/>
  <c r="N473" i="63"/>
  <c r="O473" i="63" s="1"/>
  <c r="N866" i="63"/>
  <c r="O866" i="63" s="1"/>
  <c r="N263" i="63"/>
  <c r="O263" i="63" s="1"/>
  <c r="N594" i="63"/>
  <c r="O594" i="63" s="1"/>
  <c r="N764" i="63"/>
  <c r="O764" i="63" s="1"/>
  <c r="N660" i="63"/>
  <c r="O660" i="63" s="1"/>
  <c r="N343" i="63"/>
  <c r="O343" i="63" s="1"/>
  <c r="N216" i="63"/>
  <c r="O216" i="63" s="1"/>
  <c r="N484" i="63"/>
  <c r="O484" i="63" s="1"/>
  <c r="N213" i="63"/>
  <c r="O213" i="63" s="1"/>
  <c r="N659" i="63"/>
  <c r="O659" i="63" s="1"/>
  <c r="N210" i="63"/>
  <c r="O210" i="63" s="1"/>
  <c r="N406" i="63"/>
  <c r="O406" i="63" s="1"/>
  <c r="N656" i="63"/>
  <c r="O656" i="63" s="1"/>
  <c r="N209" i="63"/>
  <c r="O209" i="63" s="1"/>
  <c r="N793" i="63"/>
  <c r="O793" i="63" s="1"/>
  <c r="N289" i="63"/>
  <c r="O289" i="63" s="1"/>
  <c r="N874" i="63"/>
  <c r="O874" i="63" s="1"/>
  <c r="N565" i="63"/>
  <c r="O565" i="63" s="1"/>
  <c r="N338" i="63"/>
  <c r="O338" i="63" s="1"/>
  <c r="N471" i="63"/>
  <c r="O471" i="63" s="1"/>
  <c r="N398" i="63"/>
  <c r="O398" i="63" s="1"/>
  <c r="N905" i="63"/>
  <c r="O905" i="63" s="1"/>
  <c r="N500" i="63"/>
  <c r="O500" i="63" s="1"/>
  <c r="N265" i="63"/>
  <c r="O265" i="63" s="1"/>
  <c r="N912" i="63"/>
  <c r="O912" i="63" s="1"/>
  <c r="N416" i="63"/>
  <c r="O416" i="63" s="1"/>
  <c r="N332" i="63"/>
  <c r="O332" i="63" s="1"/>
  <c r="N593" i="63"/>
  <c r="O593" i="63" s="1"/>
  <c r="N755" i="63"/>
  <c r="O755" i="63" s="1"/>
  <c r="N937" i="63"/>
  <c r="O937" i="63" s="1"/>
  <c r="N353" i="63"/>
  <c r="O353" i="63" s="1"/>
  <c r="N181" i="63"/>
  <c r="O181" i="63" s="1"/>
  <c r="N429" i="63"/>
  <c r="O429" i="63" s="1"/>
  <c r="N898" i="63"/>
  <c r="O898" i="63" s="1"/>
  <c r="N865" i="63"/>
  <c r="O865" i="63" s="1"/>
  <c r="N754" i="63"/>
  <c r="O754" i="63" s="1"/>
  <c r="N560" i="63"/>
  <c r="O560" i="63" s="1"/>
  <c r="N470" i="63"/>
  <c r="O470" i="63" s="1"/>
  <c r="N262" i="63"/>
  <c r="O262" i="63" s="1"/>
  <c r="N208" i="63"/>
  <c r="O208" i="63" s="1"/>
  <c r="N860" i="63"/>
  <c r="O860" i="63" s="1"/>
  <c r="N636" i="63"/>
  <c r="O636" i="63" s="1"/>
  <c r="N467" i="63"/>
  <c r="O467" i="63" s="1"/>
  <c r="N388" i="63"/>
  <c r="O388" i="63" s="1"/>
  <c r="N320" i="63"/>
  <c r="O320" i="63" s="1"/>
  <c r="N295" i="63"/>
  <c r="O295" i="63" s="1"/>
  <c r="N501" i="63"/>
  <c r="O501" i="63" s="1"/>
  <c r="N387" i="63"/>
  <c r="O387" i="63" s="1"/>
  <c r="N260" i="63"/>
  <c r="O260" i="63" s="1"/>
  <c r="N207" i="63"/>
  <c r="O207" i="63" s="1"/>
  <c r="N380" i="63"/>
  <c r="O380" i="63" s="1"/>
  <c r="N373" i="63"/>
  <c r="O373" i="63" s="1"/>
  <c r="N187" i="63"/>
  <c r="O187" i="63" s="1"/>
  <c r="N859" i="63"/>
  <c r="O859" i="63" s="1"/>
  <c r="N633" i="63"/>
  <c r="O633" i="63" s="1"/>
  <c r="N551" i="63"/>
  <c r="O551" i="63" s="1"/>
  <c r="N466" i="63"/>
  <c r="O466" i="63" s="1"/>
  <c r="N381" i="63"/>
  <c r="O381" i="63" s="1"/>
  <c r="N319" i="63"/>
  <c r="O319" i="63" s="1"/>
  <c r="N604" i="63"/>
  <c r="O604" i="63" s="1"/>
  <c r="N228" i="63"/>
  <c r="O228" i="63" s="1"/>
  <c r="N850" i="63"/>
  <c r="O850" i="63" s="1"/>
  <c r="N729" i="63"/>
  <c r="O729" i="63" s="1"/>
  <c r="N259" i="63"/>
  <c r="O259" i="63" s="1"/>
  <c r="N206" i="63"/>
  <c r="O206" i="63" s="1"/>
  <c r="N532" i="63"/>
  <c r="O532" i="63" s="1"/>
  <c r="N235" i="63"/>
  <c r="O235" i="63" s="1"/>
  <c r="N938" i="63"/>
  <c r="O938" i="63" s="1"/>
  <c r="N803" i="63"/>
  <c r="O803" i="63" s="1"/>
  <c r="N518" i="63"/>
  <c r="O518" i="63" s="1"/>
  <c r="N691" i="63"/>
  <c r="O691" i="63" s="1"/>
  <c r="N230" i="63"/>
  <c r="O230" i="63" s="1"/>
  <c r="N833" i="63"/>
  <c r="O833" i="63" s="1"/>
  <c r="N727" i="63"/>
  <c r="O727" i="63" s="1"/>
  <c r="N630" i="63"/>
  <c r="O630" i="63" s="1"/>
  <c r="N538" i="63"/>
  <c r="O538" i="63" s="1"/>
  <c r="N465" i="63"/>
  <c r="O465" i="63" s="1"/>
  <c r="N318" i="63"/>
  <c r="O318" i="63" s="1"/>
  <c r="N242" i="63"/>
  <c r="O242" i="63" s="1"/>
  <c r="N940" i="63"/>
  <c r="O940" i="63" s="1"/>
  <c r="N522" i="63"/>
  <c r="O522" i="63" s="1"/>
  <c r="N693" i="63"/>
  <c r="O693" i="63" s="1"/>
  <c r="N596" i="63"/>
  <c r="O596" i="63" s="1"/>
  <c r="N351" i="63"/>
  <c r="O351" i="63" s="1"/>
  <c r="N537" i="63"/>
  <c r="O537" i="63" s="1"/>
  <c r="N258" i="63"/>
  <c r="O258" i="63" s="1"/>
  <c r="N528" i="63"/>
  <c r="O528" i="63" s="1"/>
  <c r="N357" i="63"/>
  <c r="O357" i="63" s="1"/>
  <c r="N234" i="63"/>
  <c r="O234" i="63" s="1"/>
  <c r="N830" i="63"/>
  <c r="O830" i="63" s="1"/>
  <c r="N629" i="63"/>
  <c r="O629" i="63" s="1"/>
  <c r="N535" i="63"/>
  <c r="O535" i="63" s="1"/>
  <c r="N377" i="63"/>
  <c r="O377" i="63" s="1"/>
  <c r="N317" i="63"/>
  <c r="O317" i="63" s="1"/>
  <c r="N252" i="63"/>
  <c r="O252" i="63" s="1"/>
  <c r="N725" i="63"/>
  <c r="O725" i="63" s="1"/>
  <c r="N628" i="63"/>
  <c r="O628" i="63" s="1"/>
  <c r="N447" i="63"/>
  <c r="O447" i="63" s="1"/>
  <c r="N375" i="63"/>
  <c r="O375" i="63" s="1"/>
  <c r="N316" i="63"/>
  <c r="O316" i="63" s="1"/>
  <c r="N247" i="63"/>
  <c r="O247" i="63" s="1"/>
  <c r="N194" i="63"/>
  <c r="O194" i="63" s="1"/>
  <c r="N190" i="63"/>
  <c r="O190" i="63" s="1"/>
  <c r="N826" i="63"/>
  <c r="O826" i="63" s="1"/>
  <c r="N597" i="63"/>
  <c r="O597" i="63" s="1"/>
  <c r="N692" i="63"/>
  <c r="O692" i="63" s="1"/>
  <c r="N417" i="63"/>
  <c r="O417" i="63" s="1"/>
  <c r="N724" i="63"/>
  <c r="O724" i="63" s="1"/>
  <c r="N627" i="63"/>
  <c r="O627" i="63" s="1"/>
  <c r="N534" i="63"/>
  <c r="O534" i="63" s="1"/>
  <c r="N444" i="63"/>
  <c r="O444" i="63" s="1"/>
  <c r="N313" i="63"/>
  <c r="O313" i="63" s="1"/>
  <c r="N598" i="63"/>
  <c r="O598" i="63" s="1"/>
  <c r="N796" i="63"/>
  <c r="O796" i="63" s="1"/>
  <c r="N502" i="63"/>
  <c r="O502" i="63" s="1"/>
  <c r="N180" i="63"/>
  <c r="O180" i="63" s="1"/>
  <c r="N791" i="63"/>
  <c r="O791" i="63" s="1"/>
  <c r="N374" i="63"/>
  <c r="O374" i="63" s="1"/>
  <c r="N306" i="63"/>
  <c r="O306" i="63" s="1"/>
  <c r="N243" i="63"/>
  <c r="O243" i="63" s="1"/>
  <c r="N191" i="63"/>
  <c r="O191" i="63" s="1"/>
  <c r="N443" i="63"/>
  <c r="O443" i="63" s="1"/>
  <c r="N364" i="63"/>
  <c r="O364" i="63" s="1"/>
  <c r="N435" i="63"/>
  <c r="O435" i="63" s="1"/>
  <c r="N229" i="63"/>
  <c r="O229" i="63" s="1"/>
  <c r="N827" i="63"/>
  <c r="O827" i="63" s="1"/>
  <c r="N723" i="63"/>
  <c r="O723" i="63" s="1"/>
  <c r="N713" i="63"/>
  <c r="O713" i="63" s="1"/>
  <c r="N442" i="63"/>
  <c r="O442" i="63" s="1"/>
  <c r="N939" i="63"/>
  <c r="O939" i="63" s="1"/>
  <c r="N352" i="63"/>
  <c r="O352" i="63" s="1"/>
  <c r="N426" i="63"/>
  <c r="O426" i="63" s="1"/>
  <c r="N690" i="63"/>
  <c r="O690" i="63" s="1"/>
  <c r="N288" i="63"/>
  <c r="O288" i="63" s="1"/>
  <c r="N789" i="63"/>
  <c r="O789" i="63" s="1"/>
  <c r="N350" i="63"/>
  <c r="O350" i="63" s="1"/>
  <c r="N285" i="63"/>
  <c r="O285" i="63" s="1"/>
  <c r="N441" i="63"/>
  <c r="O441" i="63" s="1"/>
  <c r="N897" i="63"/>
  <c r="O897" i="63" s="1"/>
  <c r="N579" i="63"/>
  <c r="O579" i="63" s="1"/>
  <c r="N499" i="63"/>
  <c r="O499" i="63" s="1"/>
  <c r="N411" i="63"/>
  <c r="O411" i="63" s="1"/>
  <c r="N349" i="63"/>
  <c r="O349" i="63" s="1"/>
  <c r="N177" i="63"/>
  <c r="O177" i="63" s="1"/>
  <c r="J1" i="6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P2" i="63" l="1" a="1"/>
  <c r="P2" i="63" s="1"/>
  <c r="P1" i="63" s="1" a="1"/>
  <c r="P1" i="63" s="1"/>
  <c r="A15" i="63" s="1"/>
  <c r="C18" i="61"/>
  <c r="A19" i="61" s="1"/>
  <c r="F18" i="61"/>
  <c r="G18" i="61"/>
  <c r="D18" i="61"/>
  <c r="F16" i="45"/>
  <c r="C16" i="45"/>
  <c r="A17" i="45" s="1"/>
  <c r="E16" i="45"/>
  <c r="E15" i="63" l="1"/>
  <c r="B15" i="63"/>
  <c r="E19" i="61"/>
  <c r="B19" i="61"/>
  <c r="D17" i="45"/>
  <c r="B17" i="45"/>
  <c r="G19" i="61" l="1"/>
  <c r="C19" i="61"/>
  <c r="A20" i="61" s="1"/>
  <c r="F19" i="61"/>
  <c r="D19" i="61"/>
  <c r="C15" i="63"/>
  <c r="A16" i="63" s="1"/>
  <c r="F15" i="63"/>
  <c r="D15" i="63"/>
  <c r="E17" i="45"/>
  <c r="F17" i="45"/>
  <c r="C17" i="45"/>
  <c r="A18" i="45" s="1"/>
  <c r="U9" i="2"/>
  <c r="U8" i="2"/>
  <c r="U7" i="2"/>
  <c r="U6" i="2"/>
  <c r="U5" i="2"/>
  <c r="D5" i="2"/>
  <c r="C5" i="2"/>
  <c r="B5" i="2"/>
  <c r="G15" i="63" l="1"/>
  <c r="E20" i="61"/>
  <c r="B20" i="61"/>
  <c r="B18" i="45"/>
  <c r="D18" i="45"/>
  <c r="E16" i="63"/>
  <c r="B16" i="63"/>
  <c r="F20" i="61" l="1"/>
  <c r="D20" i="61"/>
  <c r="C20" i="61"/>
  <c r="A21" i="61" s="1"/>
  <c r="G20" i="61"/>
  <c r="G16" i="63"/>
  <c r="F16" i="63"/>
  <c r="C16" i="63"/>
  <c r="A17" i="63" s="1"/>
  <c r="D16" i="63"/>
  <c r="C18" i="45"/>
  <c r="A19" i="45" s="1"/>
  <c r="E18" i="45"/>
  <c r="F18" i="45"/>
  <c r="S3" i="2" l="1"/>
  <c r="D19" i="45"/>
  <c r="B19" i="45"/>
  <c r="B17" i="63"/>
  <c r="E17" i="63"/>
  <c r="E21" i="61"/>
  <c r="B21" i="61"/>
  <c r="S140" i="2"/>
  <c r="S108" i="2"/>
  <c r="S76" i="2"/>
  <c r="S44" i="2"/>
  <c r="S619" i="2"/>
  <c r="S571" i="2"/>
  <c r="S539" i="2"/>
  <c r="S507" i="2"/>
  <c r="S475" i="2"/>
  <c r="S443" i="2"/>
  <c r="S411" i="2"/>
  <c r="S363" i="2"/>
  <c r="S331" i="2"/>
  <c r="S299" i="2"/>
  <c r="S267" i="2"/>
  <c r="S235" i="2"/>
  <c r="S203" i="2"/>
  <c r="S171" i="2"/>
  <c r="S135" i="2"/>
  <c r="S71" i="2"/>
  <c r="S39" i="2"/>
  <c r="S763" i="2"/>
  <c r="S747" i="2"/>
  <c r="S731" i="2"/>
  <c r="S715" i="2"/>
  <c r="S699" i="2"/>
  <c r="S683" i="2"/>
  <c r="S667" i="2"/>
  <c r="S651" i="2"/>
  <c r="S635" i="2"/>
  <c r="S603" i="2"/>
  <c r="S587" i="2"/>
  <c r="S555" i="2"/>
  <c r="S523" i="2"/>
  <c r="S491" i="2"/>
  <c r="S459" i="2"/>
  <c r="S427" i="2"/>
  <c r="S395" i="2"/>
  <c r="S379" i="2"/>
  <c r="S347" i="2"/>
  <c r="S315" i="2"/>
  <c r="S283" i="2"/>
  <c r="S251" i="2"/>
  <c r="S219" i="2"/>
  <c r="S187" i="2"/>
  <c r="S155" i="2"/>
  <c r="S103" i="2"/>
  <c r="S130" i="2"/>
  <c r="S98" i="2"/>
  <c r="S66" i="2"/>
  <c r="S34" i="2"/>
  <c r="S112" i="2"/>
  <c r="S80" i="2"/>
  <c r="S48" i="2"/>
  <c r="S16" i="2"/>
  <c r="S11" i="2"/>
  <c r="S134" i="2"/>
  <c r="S102" i="2"/>
  <c r="S70" i="2"/>
  <c r="S38" i="2"/>
  <c r="S10" i="2"/>
  <c r="S755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82" i="2"/>
  <c r="S466" i="2"/>
  <c r="S450" i="2"/>
  <c r="S434" i="2"/>
  <c r="S418" i="2"/>
  <c r="S402" i="2"/>
  <c r="S386" i="2"/>
  <c r="S370" i="2"/>
  <c r="S354" i="2"/>
  <c r="S338" i="2"/>
  <c r="S322" i="2"/>
  <c r="S306" i="2"/>
  <c r="S290" i="2"/>
  <c r="S274" i="2"/>
  <c r="S258" i="2"/>
  <c r="S242" i="2"/>
  <c r="S226" i="2"/>
  <c r="S210" i="2"/>
  <c r="S194" i="2"/>
  <c r="S178" i="2"/>
  <c r="S162" i="2"/>
  <c r="S146" i="2"/>
  <c r="S141" i="2"/>
  <c r="S109" i="2"/>
  <c r="S77" i="2"/>
  <c r="S45" i="2"/>
  <c r="S762" i="2"/>
  <c r="S625" i="2"/>
  <c r="S608" i="2"/>
  <c r="S591" i="2"/>
  <c r="S574" i="2"/>
  <c r="S557" i="2"/>
  <c r="S540" i="2"/>
  <c r="S369" i="2"/>
  <c r="S352" i="2"/>
  <c r="S335" i="2"/>
  <c r="S318" i="2"/>
  <c r="S301" i="2"/>
  <c r="S284" i="2"/>
  <c r="S129" i="2"/>
  <c r="S126" i="2"/>
  <c r="S120" i="2"/>
  <c r="S114" i="2"/>
  <c r="S111" i="2"/>
  <c r="S105" i="2"/>
  <c r="S727" i="2"/>
  <c r="S710" i="2"/>
  <c r="S744" i="2"/>
  <c r="S757" i="2"/>
  <c r="S705" i="2"/>
  <c r="S688" i="2"/>
  <c r="S671" i="2"/>
  <c r="S654" i="2"/>
  <c r="S637" i="2"/>
  <c r="S620" i="2"/>
  <c r="S449" i="2"/>
  <c r="S432" i="2"/>
  <c r="S415" i="2"/>
  <c r="S398" i="2"/>
  <c r="S381" i="2"/>
  <c r="S364" i="2"/>
  <c r="S193" i="2"/>
  <c r="S176" i="2"/>
  <c r="S159" i="2"/>
  <c r="S110" i="2"/>
  <c r="S27" i="2"/>
  <c r="S15" i="2"/>
  <c r="S634" i="2"/>
  <c r="S617" i="2"/>
  <c r="S600" i="2"/>
  <c r="S583" i="2"/>
  <c r="S566" i="2"/>
  <c r="S549" i="2"/>
  <c r="S532" i="2"/>
  <c r="S515" i="2"/>
  <c r="S378" i="2"/>
  <c r="S361" i="2"/>
  <c r="S344" i="2"/>
  <c r="S327" i="2"/>
  <c r="S310" i="2"/>
  <c r="S293" i="2"/>
  <c r="S276" i="2"/>
  <c r="S259" i="2"/>
  <c r="S86" i="2"/>
  <c r="S68" i="2"/>
  <c r="S753" i="2"/>
  <c r="S736" i="2"/>
  <c r="S719" i="2"/>
  <c r="S702" i="2"/>
  <c r="S685" i="2"/>
  <c r="S668" i="2"/>
  <c r="S497" i="2"/>
  <c r="S480" i="2"/>
  <c r="S463" i="2"/>
  <c r="S446" i="2"/>
  <c r="S429" i="2"/>
  <c r="S412" i="2"/>
  <c r="S241" i="2"/>
  <c r="S224" i="2"/>
  <c r="S207" i="2"/>
  <c r="S190" i="2"/>
  <c r="S173" i="2"/>
  <c r="S156" i="2"/>
  <c r="S650" i="2"/>
  <c r="S633" i="2"/>
  <c r="S616" i="2"/>
  <c r="S599" i="2"/>
  <c r="S582" i="2"/>
  <c r="S565" i="2"/>
  <c r="S548" i="2"/>
  <c r="S531" i="2"/>
  <c r="S394" i="2"/>
  <c r="S377" i="2"/>
  <c r="S360" i="2"/>
  <c r="S343" i="2"/>
  <c r="S326" i="2"/>
  <c r="S309" i="2"/>
  <c r="S292" i="2"/>
  <c r="S275" i="2"/>
  <c r="S53" i="2"/>
  <c r="S35" i="2"/>
  <c r="S632" i="2"/>
  <c r="S613" i="2"/>
  <c r="S502" i="2"/>
  <c r="S467" i="2"/>
  <c r="S375" i="2"/>
  <c r="S356" i="2"/>
  <c r="S337" i="2"/>
  <c r="S245" i="2"/>
  <c r="S87" i="2"/>
  <c r="S37" i="2"/>
  <c r="S50" i="2"/>
  <c r="S317" i="2"/>
  <c r="S73" i="2"/>
  <c r="S23" i="2"/>
  <c r="S761" i="2"/>
  <c r="S742" i="2"/>
  <c r="S724" i="2"/>
  <c r="S687" i="2"/>
  <c r="S669" i="2"/>
  <c r="S575" i="2"/>
  <c r="S556" i="2"/>
  <c r="S537" i="2"/>
  <c r="S519" i="2"/>
  <c r="S484" i="2"/>
  <c r="S448" i="2"/>
  <c r="S430" i="2"/>
  <c r="S393" i="2"/>
  <c r="S280" i="2"/>
  <c r="S262" i="2"/>
  <c r="S227" i="2"/>
  <c r="S209" i="2"/>
  <c r="S191" i="2"/>
  <c r="S154" i="2"/>
  <c r="S128" i="2"/>
  <c r="S40" i="2"/>
  <c r="S336" i="2"/>
  <c r="S244" i="2"/>
  <c r="S97" i="2"/>
  <c r="S631" i="2"/>
  <c r="S612" i="2"/>
  <c r="S593" i="2"/>
  <c r="S501" i="2"/>
  <c r="S374" i="2"/>
  <c r="S355" i="2"/>
  <c r="S298" i="2"/>
  <c r="S172" i="2"/>
  <c r="S60" i="2"/>
  <c r="S30" i="2"/>
  <c r="S721" i="2"/>
  <c r="S756" i="2"/>
  <c r="S737" i="2"/>
  <c r="S700" i="2"/>
  <c r="S627" i="2"/>
  <c r="S607" i="2"/>
  <c r="S551" i="2"/>
  <c r="S496" i="2"/>
  <c r="S461" i="2"/>
  <c r="S350" i="2"/>
  <c r="S294" i="2"/>
  <c r="S239" i="2"/>
  <c r="S204" i="2"/>
  <c r="S79" i="2"/>
  <c r="S29" i="2"/>
  <c r="S645" i="2"/>
  <c r="S424" i="2"/>
  <c r="S406" i="2"/>
  <c r="S312" i="2"/>
  <c r="S221" i="2"/>
  <c r="S167" i="2"/>
  <c r="S106" i="2"/>
  <c r="S718" i="2"/>
  <c r="S681" i="2"/>
  <c r="S663" i="2"/>
  <c r="S588" i="2"/>
  <c r="S569" i="2"/>
  <c r="S513" i="2"/>
  <c r="S478" i="2"/>
  <c r="S442" i="2"/>
  <c r="S388" i="2"/>
  <c r="S256" i="2"/>
  <c r="S185" i="2"/>
  <c r="S149" i="2"/>
  <c r="S69" i="2"/>
  <c r="S606" i="2"/>
  <c r="S550" i="2"/>
  <c r="S495" i="2"/>
  <c r="S460" i="2"/>
  <c r="S368" i="2"/>
  <c r="S349" i="2"/>
  <c r="S330" i="2"/>
  <c r="S273" i="2"/>
  <c r="S238" i="2"/>
  <c r="S113" i="2"/>
  <c r="S72" i="2"/>
  <c r="S59" i="2"/>
  <c r="S49" i="2"/>
  <c r="S624" i="2"/>
  <c r="S605" i="2"/>
  <c r="S586" i="2"/>
  <c r="S529" i="2"/>
  <c r="S494" i="2"/>
  <c r="S367" i="2"/>
  <c r="S348" i="2"/>
  <c r="S329" i="2"/>
  <c r="S291" i="2"/>
  <c r="S272" i="2"/>
  <c r="S237" i="2"/>
  <c r="S99" i="2"/>
  <c r="S89" i="2"/>
  <c r="S82" i="2"/>
  <c r="S62" i="2"/>
  <c r="S52" i="2"/>
  <c r="S42" i="2"/>
  <c r="S22" i="2"/>
  <c r="S216" i="2"/>
  <c r="S419" i="2"/>
  <c r="S180" i="2"/>
  <c r="S752" i="2"/>
  <c r="S734" i="2"/>
  <c r="S716" i="2"/>
  <c r="S697" i="2"/>
  <c r="S679" i="2"/>
  <c r="S661" i="2"/>
  <c r="S643" i="2"/>
  <c r="S567" i="2"/>
  <c r="S511" i="2"/>
  <c r="S476" i="2"/>
  <c r="S458" i="2"/>
  <c r="S440" i="2"/>
  <c r="S422" i="2"/>
  <c r="S404" i="2"/>
  <c r="S254" i="2"/>
  <c r="S201" i="2"/>
  <c r="S183" i="2"/>
  <c r="S165" i="2"/>
  <c r="S147" i="2"/>
  <c r="S123" i="2"/>
  <c r="S32" i="2"/>
  <c r="S622" i="2"/>
  <c r="S384" i="2"/>
  <c r="S217" i="2"/>
  <c r="S92" i="2"/>
  <c r="S18" i="2"/>
  <c r="S750" i="2"/>
  <c r="S732" i="2"/>
  <c r="S695" i="2"/>
  <c r="S677" i="2"/>
  <c r="S659" i="2"/>
  <c r="S564" i="2"/>
  <c r="S509" i="2"/>
  <c r="S456" i="2"/>
  <c r="S199" i="2"/>
  <c r="S713" i="2"/>
  <c r="S383" i="2"/>
  <c r="S269" i="2"/>
  <c r="S544" i="2"/>
  <c r="S639" i="2"/>
  <c r="S623" i="2"/>
  <c r="S604" i="2"/>
  <c r="S585" i="2"/>
  <c r="S547" i="2"/>
  <c r="S528" i="2"/>
  <c r="S493" i="2"/>
  <c r="S385" i="2"/>
  <c r="S366" i="2"/>
  <c r="S328" i="2"/>
  <c r="S271" i="2"/>
  <c r="S236" i="2"/>
  <c r="S218" i="2"/>
  <c r="S116" i="2"/>
  <c r="S75" i="2"/>
  <c r="S492" i="2"/>
  <c r="S438" i="2"/>
  <c r="S307" i="2"/>
  <c r="S234" i="2"/>
  <c r="S119" i="2"/>
  <c r="S473" i="2"/>
  <c r="S144" i="2"/>
  <c r="S563" i="2"/>
  <c r="S712" i="2"/>
  <c r="S751" i="2"/>
  <c r="S733" i="2"/>
  <c r="S696" i="2"/>
  <c r="S678" i="2"/>
  <c r="S660" i="2"/>
  <c r="S510" i="2"/>
  <c r="S457" i="2"/>
  <c r="S439" i="2"/>
  <c r="S421" i="2"/>
  <c r="S403" i="2"/>
  <c r="S346" i="2"/>
  <c r="S308" i="2"/>
  <c r="S289" i="2"/>
  <c r="S253" i="2"/>
  <c r="S200" i="2"/>
  <c r="S182" i="2"/>
  <c r="S164" i="2"/>
  <c r="S133" i="2"/>
  <c r="S65" i="2"/>
  <c r="S25" i="2"/>
  <c r="S584" i="2"/>
  <c r="S365" i="2"/>
  <c r="S145" i="2"/>
  <c r="S55" i="2"/>
  <c r="S545" i="2"/>
  <c r="S420" i="2"/>
  <c r="S288" i="2"/>
  <c r="S181" i="2"/>
  <c r="S78" i="2"/>
  <c r="S640" i="2"/>
  <c r="S401" i="2"/>
  <c r="S287" i="2"/>
  <c r="S714" i="2"/>
  <c r="S641" i="2"/>
  <c r="S527" i="2"/>
  <c r="S474" i="2"/>
  <c r="S270" i="2"/>
  <c r="S345" i="2"/>
  <c r="S252" i="2"/>
  <c r="S163" i="2"/>
  <c r="S85" i="2"/>
  <c r="S621" i="2"/>
  <c r="S198" i="2"/>
  <c r="S28" i="2"/>
  <c r="S657" i="2"/>
  <c r="S602" i="2"/>
  <c r="S526" i="2"/>
  <c r="S325" i="2"/>
  <c r="S136" i="2"/>
  <c r="S490" i="2"/>
  <c r="S233" i="2"/>
  <c r="S749" i="2"/>
  <c r="S694" i="2"/>
  <c r="S676" i="2"/>
  <c r="S601" i="2"/>
  <c r="S508" i="2"/>
  <c r="S455" i="2"/>
  <c r="S437" i="2"/>
  <c r="S730" i="2"/>
  <c r="S689" i="2"/>
  <c r="S614" i="2"/>
  <c r="S558" i="2"/>
  <c r="S503" i="2"/>
  <c r="S468" i="2"/>
  <c r="S376" i="2"/>
  <c r="S357" i="2"/>
  <c r="S246" i="2"/>
  <c r="S211" i="2"/>
  <c r="S94" i="2"/>
  <c r="S47" i="2"/>
  <c r="S691" i="2"/>
  <c r="S596" i="2"/>
  <c r="S483" i="2"/>
  <c r="S232" i="2"/>
  <c r="S212" i="2"/>
  <c r="S189" i="2"/>
  <c r="S132" i="2"/>
  <c r="S711" i="2"/>
  <c r="S595" i="2"/>
  <c r="S414" i="2"/>
  <c r="S321" i="2"/>
  <c r="S255" i="2"/>
  <c r="S231" i="2"/>
  <c r="S166" i="2"/>
  <c r="S67" i="2"/>
  <c r="S524" i="2"/>
  <c r="S391" i="2"/>
  <c r="S208" i="2"/>
  <c r="S131" i="2"/>
  <c r="S107" i="2"/>
  <c r="S410" i="2"/>
  <c r="S161" i="2"/>
  <c r="S543" i="2"/>
  <c r="S248" i="2"/>
  <c r="S21" i="2"/>
  <c r="S122" i="2"/>
  <c r="S115" i="2"/>
  <c r="S12" i="2"/>
  <c r="S693" i="2"/>
  <c r="S647" i="2"/>
  <c r="S168" i="2"/>
  <c r="S759" i="2"/>
  <c r="S646" i="2"/>
  <c r="S573" i="2"/>
  <c r="S505" i="2"/>
  <c r="S371" i="2"/>
  <c r="S278" i="2"/>
  <c r="S91" i="2"/>
  <c r="S666" i="2"/>
  <c r="S436" i="2"/>
  <c r="S300" i="2"/>
  <c r="S188" i="2"/>
  <c r="S61" i="2"/>
  <c r="S392" i="2"/>
  <c r="S56" i="2"/>
  <c r="S665" i="2"/>
  <c r="S644" i="2"/>
  <c r="S413" i="2"/>
  <c r="S342" i="2"/>
  <c r="S230" i="2"/>
  <c r="S186" i="2"/>
  <c r="S96" i="2"/>
  <c r="S296" i="2"/>
  <c r="S477" i="2"/>
  <c r="S95" i="2"/>
  <c r="S704" i="2"/>
  <c r="S88" i="2"/>
  <c r="S58" i="2"/>
  <c r="S397" i="2"/>
  <c r="S735" i="2"/>
  <c r="S758" i="2"/>
  <c r="S572" i="2"/>
  <c r="S525" i="2"/>
  <c r="S504" i="2"/>
  <c r="S481" i="2"/>
  <c r="S277" i="2"/>
  <c r="S143" i="2"/>
  <c r="S435" i="2"/>
  <c r="S320" i="2"/>
  <c r="S228" i="2"/>
  <c r="S389" i="2"/>
  <c r="S225" i="2"/>
  <c r="S268" i="2"/>
  <c r="S618" i="2"/>
  <c r="S33" i="2"/>
  <c r="S152" i="2"/>
  <c r="S709" i="2"/>
  <c r="S250" i="2"/>
  <c r="S43" i="2"/>
  <c r="S158" i="2"/>
  <c r="S417" i="2"/>
  <c r="S686" i="2"/>
  <c r="S664" i="2"/>
  <c r="S592" i="2"/>
  <c r="S570" i="2"/>
  <c r="S479" i="2"/>
  <c r="S341" i="2"/>
  <c r="S319" i="2"/>
  <c r="S297" i="2"/>
  <c r="S229" i="2"/>
  <c r="S137" i="2"/>
  <c r="S125" i="2"/>
  <c r="S90" i="2"/>
  <c r="S84" i="2"/>
  <c r="S17" i="2"/>
  <c r="S708" i="2"/>
  <c r="S433" i="2"/>
  <c r="S390" i="2"/>
  <c r="S184" i="2"/>
  <c r="S568" i="2"/>
  <c r="S314" i="2"/>
  <c r="S487" i="2"/>
  <c r="S214" i="2"/>
  <c r="S303" i="2"/>
  <c r="S462" i="2"/>
  <c r="S576" i="2"/>
  <c r="S615" i="2"/>
  <c r="S522" i="2"/>
  <c r="S500" i="2"/>
  <c r="S454" i="2"/>
  <c r="S340" i="2"/>
  <c r="S206" i="2"/>
  <c r="S611" i="2"/>
  <c r="S153" i="2"/>
  <c r="S399" i="2"/>
  <c r="S57" i="2"/>
  <c r="S729" i="2"/>
  <c r="S707" i="2"/>
  <c r="S684" i="2"/>
  <c r="S662" i="2"/>
  <c r="S590" i="2"/>
  <c r="S521" i="2"/>
  <c r="S499" i="2"/>
  <c r="S453" i="2"/>
  <c r="S431" i="2"/>
  <c r="S409" i="2"/>
  <c r="S339" i="2"/>
  <c r="S316" i="2"/>
  <c r="S295" i="2"/>
  <c r="S249" i="2"/>
  <c r="S205" i="2"/>
  <c r="S160" i="2"/>
  <c r="S142" i="2"/>
  <c r="S124" i="2"/>
  <c r="S101" i="2"/>
  <c r="S553" i="2"/>
  <c r="S728" i="2"/>
  <c r="S638" i="2"/>
  <c r="S589" i="2"/>
  <c r="S542" i="2"/>
  <c r="S362" i="2"/>
  <c r="S118" i="2"/>
  <c r="S83" i="2"/>
  <c r="S387" i="2"/>
  <c r="S243" i="2"/>
  <c r="S682" i="2"/>
  <c r="S520" i="2"/>
  <c r="S452" i="2"/>
  <c r="S408" i="2"/>
  <c r="S14" i="2"/>
  <c r="S46" i="2"/>
  <c r="S541" i="2"/>
  <c r="S174" i="2"/>
  <c r="S192" i="2"/>
  <c r="S748" i="2"/>
  <c r="S726" i="2"/>
  <c r="S636" i="2"/>
  <c r="S451" i="2"/>
  <c r="S428" i="2"/>
  <c r="S407" i="2"/>
  <c r="S247" i="2"/>
  <c r="S202" i="2"/>
  <c r="S179" i="2"/>
  <c r="S100" i="2"/>
  <c r="S54" i="2"/>
  <c r="S405" i="2"/>
  <c r="S117" i="2"/>
  <c r="S81" i="2"/>
  <c r="S324" i="2"/>
  <c r="S416" i="2"/>
  <c r="S703" i="2"/>
  <c r="S680" i="2"/>
  <c r="S518" i="2"/>
  <c r="S472" i="2"/>
  <c r="S359" i="2"/>
  <c r="S313" i="2"/>
  <c r="S223" i="2"/>
  <c r="S157" i="2"/>
  <c r="S222" i="2"/>
  <c r="S725" i="2"/>
  <c r="S656" i="2"/>
  <c r="S609" i="2"/>
  <c r="S334" i="2"/>
  <c r="S266" i="2"/>
  <c r="S358" i="2"/>
  <c r="S177" i="2"/>
  <c r="S305" i="2"/>
  <c r="S552" i="2"/>
  <c r="S746" i="2"/>
  <c r="S561" i="2"/>
  <c r="S538" i="2"/>
  <c r="S517" i="2"/>
  <c r="S471" i="2"/>
  <c r="S426" i="2"/>
  <c r="S701" i="2"/>
  <c r="S655" i="2"/>
  <c r="S382" i="2"/>
  <c r="S333" i="2"/>
  <c r="S311" i="2"/>
  <c r="S265" i="2"/>
  <c r="S41" i="2"/>
  <c r="S31" i="2"/>
  <c r="S26" i="2"/>
  <c r="S745" i="2"/>
  <c r="S723" i="2"/>
  <c r="S560" i="2"/>
  <c r="S516" i="2"/>
  <c r="S470" i="2"/>
  <c r="S447" i="2"/>
  <c r="S425" i="2"/>
  <c r="S261" i="2"/>
  <c r="S441" i="2"/>
  <c r="S127" i="2"/>
  <c r="S24" i="2"/>
  <c r="S279" i="2"/>
  <c r="S581" i="2"/>
  <c r="S536" i="2"/>
  <c r="S332" i="2"/>
  <c r="S286" i="2"/>
  <c r="S264" i="2"/>
  <c r="S220" i="2"/>
  <c r="S197" i="2"/>
  <c r="S175" i="2"/>
  <c r="S20" i="2"/>
  <c r="S670" i="2"/>
  <c r="S373" i="2"/>
  <c r="S506" i="2"/>
  <c r="S675" i="2"/>
  <c r="S653" i="2"/>
  <c r="S630" i="2"/>
  <c r="S559" i="2"/>
  <c r="S489" i="2"/>
  <c r="S469" i="2"/>
  <c r="S380" i="2"/>
  <c r="S64" i="2"/>
  <c r="S766" i="2"/>
  <c r="S743" i="2"/>
  <c r="S698" i="2"/>
  <c r="S580" i="2"/>
  <c r="S535" i="2"/>
  <c r="S445" i="2"/>
  <c r="S423" i="2"/>
  <c r="S285" i="2"/>
  <c r="S263" i="2"/>
  <c r="S196" i="2"/>
  <c r="S741" i="2"/>
  <c r="S739" i="2"/>
  <c r="S485" i="2"/>
  <c r="S148" i="2"/>
  <c r="S372" i="2"/>
  <c r="S720" i="2"/>
  <c r="S652" i="2"/>
  <c r="S629" i="2"/>
  <c r="S488" i="2"/>
  <c r="S400" i="2"/>
  <c r="S353" i="2"/>
  <c r="S240" i="2"/>
  <c r="S93" i="2"/>
  <c r="S36" i="2"/>
  <c r="S13" i="2"/>
  <c r="S139" i="2"/>
  <c r="S51" i="2"/>
  <c r="S648" i="2"/>
  <c r="S169" i="2"/>
  <c r="S302" i="2"/>
  <c r="S138" i="2"/>
  <c r="S765" i="2"/>
  <c r="S673" i="2"/>
  <c r="S579" i="2"/>
  <c r="S534" i="2"/>
  <c r="S512" i="2"/>
  <c r="S444" i="2"/>
  <c r="S195" i="2"/>
  <c r="S151" i="2"/>
  <c r="S323" i="2"/>
  <c r="S628" i="2"/>
  <c r="S598" i="2"/>
  <c r="S764" i="2"/>
  <c r="S672" i="2"/>
  <c r="S533" i="2"/>
  <c r="S465" i="2"/>
  <c r="S351" i="2"/>
  <c r="S282" i="2"/>
  <c r="S215" i="2"/>
  <c r="S150" i="2"/>
  <c r="S104" i="2"/>
  <c r="S74" i="2"/>
  <c r="S63" i="2"/>
  <c r="S464" i="2"/>
  <c r="S281" i="2"/>
  <c r="S740" i="2"/>
  <c r="S717" i="2"/>
  <c r="S649" i="2"/>
  <c r="S577" i="2"/>
  <c r="S554" i="2"/>
  <c r="S486" i="2"/>
  <c r="S304" i="2"/>
  <c r="S260" i="2"/>
  <c r="S170" i="2"/>
  <c r="S121" i="2"/>
  <c r="S19" i="2"/>
  <c r="S760" i="2"/>
  <c r="S257" i="2"/>
  <c r="S692" i="2"/>
  <c r="S597" i="2"/>
  <c r="S396" i="2"/>
  <c r="S213" i="2"/>
  <c r="S8" i="2"/>
  <c r="S7" i="2"/>
  <c r="S4" i="2"/>
  <c r="S6" i="2"/>
  <c r="S9" i="2"/>
  <c r="S5" i="2"/>
  <c r="T2" i="2" l="1" a="1"/>
  <c r="U3" i="2" s="1"/>
  <c r="G21" i="61"/>
  <c r="D21" i="61"/>
  <c r="C21" i="61"/>
  <c r="A22" i="61" s="1"/>
  <c r="F21" i="61"/>
  <c r="G17" i="63"/>
  <c r="F17" i="63"/>
  <c r="D17" i="63"/>
  <c r="C17" i="63"/>
  <c r="A18" i="63" s="1"/>
  <c r="C19" i="45"/>
  <c r="A20" i="45" s="1"/>
  <c r="F19" i="45"/>
  <c r="E19" i="45"/>
  <c r="U4" i="2" l="1"/>
  <c r="V2" i="2" s="1" a="1"/>
  <c r="V2" i="2" s="1"/>
  <c r="V1" i="2" s="1" a="1"/>
  <c r="V1" i="2" s="1"/>
  <c r="A15" i="2" s="1"/>
  <c r="T2" i="2"/>
  <c r="B20" i="45"/>
  <c r="D20" i="45"/>
  <c r="B22" i="61"/>
  <c r="E22" i="61"/>
  <c r="E18" i="63"/>
  <c r="B18" i="63"/>
  <c r="C5" i="3"/>
  <c r="B5" i="3"/>
  <c r="E15" i="2" l="1"/>
  <c r="B15" i="2"/>
  <c r="A16" i="2"/>
  <c r="H15" i="2"/>
  <c r="G18" i="63"/>
  <c r="F18" i="63"/>
  <c r="D18" i="63"/>
  <c r="C18" i="63"/>
  <c r="A19" i="63" s="1"/>
  <c r="C22" i="61"/>
  <c r="A23" i="61" s="1"/>
  <c r="F22" i="61"/>
  <c r="D22" i="61"/>
  <c r="G22" i="61"/>
  <c r="F20" i="45"/>
  <c r="C20" i="45"/>
  <c r="A21" i="45" s="1"/>
  <c r="E20" i="45"/>
  <c r="N3" i="3" l="1"/>
  <c r="O3" i="3" s="1"/>
  <c r="B19" i="63"/>
  <c r="E19" i="63"/>
  <c r="D21" i="45"/>
  <c r="B21" i="45"/>
  <c r="D15" i="2"/>
  <c r="C15" i="2"/>
  <c r="G15" i="2"/>
  <c r="K15" i="2"/>
  <c r="I15" i="2"/>
  <c r="F15" i="2"/>
  <c r="J15" i="2"/>
  <c r="E23" i="61"/>
  <c r="B23" i="61"/>
  <c r="E16" i="2"/>
  <c r="A17" i="2"/>
  <c r="H16" i="2"/>
  <c r="B16" i="2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431" i="3"/>
  <c r="O431" i="3" s="1"/>
  <c r="N415" i="3"/>
  <c r="O415" i="3" s="1"/>
  <c r="N399" i="3"/>
  <c r="O399" i="3" s="1"/>
  <c r="N383" i="3"/>
  <c r="O383" i="3" s="1"/>
  <c r="N367" i="3"/>
  <c r="O367" i="3" s="1"/>
  <c r="N351" i="3"/>
  <c r="O351" i="3" s="1"/>
  <c r="N335" i="3"/>
  <c r="O335" i="3" s="1"/>
  <c r="N319" i="3"/>
  <c r="O319" i="3" s="1"/>
  <c r="N303" i="3"/>
  <c r="O303" i="3" s="1"/>
  <c r="N287" i="3"/>
  <c r="O287" i="3" s="1"/>
  <c r="N271" i="3"/>
  <c r="O271" i="3" s="1"/>
  <c r="N255" i="3"/>
  <c r="O255" i="3" s="1"/>
  <c r="N239" i="3"/>
  <c r="O239" i="3" s="1"/>
  <c r="N223" i="3"/>
  <c r="O223" i="3" s="1"/>
  <c r="N207" i="3"/>
  <c r="O207" i="3" s="1"/>
  <c r="N191" i="3"/>
  <c r="O191" i="3" s="1"/>
  <c r="N175" i="3"/>
  <c r="O175" i="3" s="1"/>
  <c r="N159" i="3"/>
  <c r="O159" i="3" s="1"/>
  <c r="N143" i="3"/>
  <c r="O143" i="3" s="1"/>
  <c r="N139" i="3"/>
  <c r="O139" i="3" s="1"/>
  <c r="N123" i="3"/>
  <c r="O123" i="3" s="1"/>
  <c r="N107" i="3"/>
  <c r="O107" i="3" s="1"/>
  <c r="N91" i="3"/>
  <c r="O91" i="3" s="1"/>
  <c r="N75" i="3"/>
  <c r="O75" i="3" s="1"/>
  <c r="N59" i="3"/>
  <c r="O59" i="3" s="1"/>
  <c r="N43" i="3"/>
  <c r="O43" i="3" s="1"/>
  <c r="N27" i="3"/>
  <c r="O27" i="3" s="1"/>
  <c r="N745" i="3"/>
  <c r="O745" i="3" s="1"/>
  <c r="N729" i="3"/>
  <c r="O729" i="3" s="1"/>
  <c r="N713" i="3"/>
  <c r="O713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69" i="3"/>
  <c r="O569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77" i="3"/>
  <c r="O377" i="3" s="1"/>
  <c r="N361" i="3"/>
  <c r="O361" i="3" s="1"/>
  <c r="N345" i="3"/>
  <c r="O345" i="3" s="1"/>
  <c r="N329" i="3"/>
  <c r="O329" i="3" s="1"/>
  <c r="N313" i="3"/>
  <c r="O313" i="3" s="1"/>
  <c r="N297" i="3"/>
  <c r="O297" i="3" s="1"/>
  <c r="N281" i="3"/>
  <c r="O281" i="3" s="1"/>
  <c r="N265" i="3"/>
  <c r="O265" i="3" s="1"/>
  <c r="N249" i="3"/>
  <c r="O249" i="3" s="1"/>
  <c r="N233" i="3"/>
  <c r="O233" i="3" s="1"/>
  <c r="N217" i="3"/>
  <c r="O217" i="3" s="1"/>
  <c r="N201" i="3"/>
  <c r="O201" i="3" s="1"/>
  <c r="N185" i="3"/>
  <c r="O185" i="3" s="1"/>
  <c r="N169" i="3"/>
  <c r="O169" i="3" s="1"/>
  <c r="N153" i="3"/>
  <c r="O153" i="3" s="1"/>
  <c r="N141" i="3"/>
  <c r="O141" i="3" s="1"/>
  <c r="N125" i="3"/>
  <c r="O125" i="3" s="1"/>
  <c r="N109" i="3"/>
  <c r="O109" i="3" s="1"/>
  <c r="N93" i="3"/>
  <c r="O93" i="3" s="1"/>
  <c r="N77" i="3"/>
  <c r="O77" i="3" s="1"/>
  <c r="N61" i="3"/>
  <c r="O61" i="3" s="1"/>
  <c r="N45" i="3"/>
  <c r="O45" i="3" s="1"/>
  <c r="N29" i="3"/>
  <c r="O29" i="3" s="1"/>
  <c r="N712" i="3"/>
  <c r="O712" i="3" s="1"/>
  <c r="N696" i="3"/>
  <c r="O696" i="3" s="1"/>
  <c r="N680" i="3"/>
  <c r="O680" i="3" s="1"/>
  <c r="N648" i="3"/>
  <c r="O648" i="3" s="1"/>
  <c r="N616" i="3"/>
  <c r="O616" i="3" s="1"/>
  <c r="N584" i="3"/>
  <c r="O584" i="3" s="1"/>
  <c r="N568" i="3"/>
  <c r="O568" i="3" s="1"/>
  <c r="N728" i="3"/>
  <c r="O728" i="3" s="1"/>
  <c r="N632" i="3"/>
  <c r="O632" i="3" s="1"/>
  <c r="N744" i="3"/>
  <c r="O744" i="3" s="1"/>
  <c r="N664" i="3"/>
  <c r="O664" i="3" s="1"/>
  <c r="N600" i="3"/>
  <c r="O600" i="3" s="1"/>
  <c r="N552" i="3"/>
  <c r="O552" i="3" s="1"/>
  <c r="N743" i="3"/>
  <c r="O743" i="3" s="1"/>
  <c r="N727" i="3"/>
  <c r="O727" i="3" s="1"/>
  <c r="N711" i="3"/>
  <c r="O711" i="3" s="1"/>
  <c r="N695" i="3"/>
  <c r="O695" i="3" s="1"/>
  <c r="N679" i="3"/>
  <c r="O679" i="3" s="1"/>
  <c r="N663" i="3"/>
  <c r="O663" i="3" s="1"/>
  <c r="N647" i="3"/>
  <c r="O647" i="3" s="1"/>
  <c r="N631" i="3"/>
  <c r="O631" i="3" s="1"/>
  <c r="N615" i="3"/>
  <c r="O615" i="3" s="1"/>
  <c r="N599" i="3"/>
  <c r="O599" i="3" s="1"/>
  <c r="N583" i="3"/>
  <c r="O583" i="3" s="1"/>
  <c r="N567" i="3"/>
  <c r="O567" i="3" s="1"/>
  <c r="N551" i="3"/>
  <c r="O551" i="3" s="1"/>
  <c r="N535" i="3"/>
  <c r="O535" i="3" s="1"/>
  <c r="N519" i="3"/>
  <c r="O519" i="3" s="1"/>
  <c r="N503" i="3"/>
  <c r="O503" i="3" s="1"/>
  <c r="N487" i="3"/>
  <c r="O487" i="3" s="1"/>
  <c r="N471" i="3"/>
  <c r="O471" i="3" s="1"/>
  <c r="N455" i="3"/>
  <c r="O455" i="3" s="1"/>
  <c r="N439" i="3"/>
  <c r="O439" i="3" s="1"/>
  <c r="N423" i="3"/>
  <c r="O423" i="3" s="1"/>
  <c r="N407" i="3"/>
  <c r="O407" i="3" s="1"/>
  <c r="N391" i="3"/>
  <c r="O391" i="3" s="1"/>
  <c r="N375" i="3"/>
  <c r="O375" i="3" s="1"/>
  <c r="N359" i="3"/>
  <c r="O359" i="3" s="1"/>
  <c r="N343" i="3"/>
  <c r="O343" i="3" s="1"/>
  <c r="N327" i="3"/>
  <c r="O327" i="3" s="1"/>
  <c r="N311" i="3"/>
  <c r="O311" i="3" s="1"/>
  <c r="N295" i="3"/>
  <c r="O295" i="3" s="1"/>
  <c r="N279" i="3"/>
  <c r="O279" i="3" s="1"/>
  <c r="N263" i="3"/>
  <c r="O263" i="3" s="1"/>
  <c r="N247" i="3"/>
  <c r="O247" i="3" s="1"/>
  <c r="N231" i="3"/>
  <c r="O231" i="3" s="1"/>
  <c r="N215" i="3"/>
  <c r="O215" i="3" s="1"/>
  <c r="N199" i="3"/>
  <c r="O199" i="3" s="1"/>
  <c r="N183" i="3"/>
  <c r="O183" i="3" s="1"/>
  <c r="N167" i="3"/>
  <c r="O167" i="3" s="1"/>
  <c r="N151" i="3"/>
  <c r="O151" i="3" s="1"/>
  <c r="N131" i="3"/>
  <c r="O131" i="3" s="1"/>
  <c r="N115" i="3"/>
  <c r="O115" i="3" s="1"/>
  <c r="N99" i="3"/>
  <c r="O99" i="3" s="1"/>
  <c r="N83" i="3"/>
  <c r="O83" i="3" s="1"/>
  <c r="N67" i="3"/>
  <c r="O67" i="3" s="1"/>
  <c r="N51" i="3"/>
  <c r="O51" i="3" s="1"/>
  <c r="N35" i="3"/>
  <c r="O35" i="3" s="1"/>
  <c r="N19" i="3"/>
  <c r="O19" i="3" s="1"/>
  <c r="N709" i="3"/>
  <c r="O709" i="3" s="1"/>
  <c r="N608" i="3"/>
  <c r="O608" i="3" s="1"/>
  <c r="N587" i="3"/>
  <c r="O587" i="3" s="1"/>
  <c r="N546" i="3"/>
  <c r="O546" i="3" s="1"/>
  <c r="N486" i="3"/>
  <c r="O486" i="3" s="1"/>
  <c r="N467" i="3"/>
  <c r="O467" i="3" s="1"/>
  <c r="N448" i="3"/>
  <c r="O448" i="3" s="1"/>
  <c r="N388" i="3"/>
  <c r="O388" i="3" s="1"/>
  <c r="N369" i="3"/>
  <c r="O369" i="3" s="1"/>
  <c r="N309" i="3"/>
  <c r="O309" i="3" s="1"/>
  <c r="N290" i="3"/>
  <c r="O290" i="3" s="1"/>
  <c r="N230" i="3"/>
  <c r="O230" i="3" s="1"/>
  <c r="N211" i="3"/>
  <c r="O211" i="3" s="1"/>
  <c r="N192" i="3"/>
  <c r="O192" i="3" s="1"/>
  <c r="N140" i="3"/>
  <c r="O140" i="3" s="1"/>
  <c r="N85" i="3"/>
  <c r="O85" i="3" s="1"/>
  <c r="N73" i="3"/>
  <c r="O73" i="3" s="1"/>
  <c r="N18" i="3"/>
  <c r="O18" i="3" s="1"/>
  <c r="N730" i="3"/>
  <c r="O730" i="3" s="1"/>
  <c r="N689" i="3"/>
  <c r="O689" i="3" s="1"/>
  <c r="N668" i="3"/>
  <c r="O668" i="3" s="1"/>
  <c r="N627" i="3"/>
  <c r="O627" i="3" s="1"/>
  <c r="N606" i="3"/>
  <c r="O606" i="3" s="1"/>
  <c r="N565" i="3"/>
  <c r="O565" i="3" s="1"/>
  <c r="N525" i="3"/>
  <c r="O525" i="3" s="1"/>
  <c r="N506" i="3"/>
  <c r="O506" i="3" s="1"/>
  <c r="N446" i="3"/>
  <c r="O446" i="3" s="1"/>
  <c r="N427" i="3"/>
  <c r="O427" i="3" s="1"/>
  <c r="N348" i="3"/>
  <c r="O348" i="3" s="1"/>
  <c r="N328" i="3"/>
  <c r="O328" i="3" s="1"/>
  <c r="N269" i="3"/>
  <c r="O269" i="3" s="1"/>
  <c r="N250" i="3"/>
  <c r="O250" i="3" s="1"/>
  <c r="N190" i="3"/>
  <c r="O190" i="3" s="1"/>
  <c r="N171" i="3"/>
  <c r="O171" i="3" s="1"/>
  <c r="N132" i="3"/>
  <c r="O132" i="3" s="1"/>
  <c r="N128" i="3"/>
  <c r="O128" i="3" s="1"/>
  <c r="N65" i="3"/>
  <c r="O65" i="3" s="1"/>
  <c r="N13" i="3"/>
  <c r="O13" i="3" s="1"/>
  <c r="N708" i="3"/>
  <c r="O708" i="3" s="1"/>
  <c r="N646" i="3"/>
  <c r="O646" i="3" s="1"/>
  <c r="N586" i="3"/>
  <c r="O586" i="3" s="1"/>
  <c r="N545" i="3"/>
  <c r="O545" i="3" s="1"/>
  <c r="N485" i="3"/>
  <c r="O485" i="3" s="1"/>
  <c r="N466" i="3"/>
  <c r="O466" i="3" s="1"/>
  <c r="N406" i="3"/>
  <c r="O406" i="3" s="1"/>
  <c r="N387" i="3"/>
  <c r="O387" i="3" s="1"/>
  <c r="N368" i="3"/>
  <c r="O368" i="3" s="1"/>
  <c r="N308" i="3"/>
  <c r="O308" i="3" s="1"/>
  <c r="N289" i="3"/>
  <c r="O289" i="3" s="1"/>
  <c r="N229" i="3"/>
  <c r="O229" i="3" s="1"/>
  <c r="N210" i="3"/>
  <c r="O210" i="3" s="1"/>
  <c r="N150" i="3"/>
  <c r="O150" i="3" s="1"/>
  <c r="N136" i="3"/>
  <c r="O136" i="3" s="1"/>
  <c r="N124" i="3"/>
  <c r="O124" i="3" s="1"/>
  <c r="N69" i="3"/>
  <c r="O69" i="3" s="1"/>
  <c r="N57" i="3"/>
  <c r="O57" i="3" s="1"/>
  <c r="N742" i="3"/>
  <c r="O742" i="3" s="1"/>
  <c r="N722" i="3"/>
  <c r="O722" i="3" s="1"/>
  <c r="N701" i="3"/>
  <c r="O701" i="3" s="1"/>
  <c r="N660" i="3"/>
  <c r="O660" i="3" s="1"/>
  <c r="N598" i="3"/>
  <c r="O598" i="3" s="1"/>
  <c r="N538" i="3"/>
  <c r="O538" i="3" s="1"/>
  <c r="N478" i="3"/>
  <c r="O478" i="3" s="1"/>
  <c r="N459" i="3"/>
  <c r="O459" i="3" s="1"/>
  <c r="N380" i="3"/>
  <c r="O380" i="3" s="1"/>
  <c r="N360" i="3"/>
  <c r="O360" i="3" s="1"/>
  <c r="N301" i="3"/>
  <c r="O301" i="3" s="1"/>
  <c r="N282" i="3"/>
  <c r="O282" i="3" s="1"/>
  <c r="N222" i="3"/>
  <c r="O222" i="3" s="1"/>
  <c r="N203" i="3"/>
  <c r="O203" i="3" s="1"/>
  <c r="N103" i="3"/>
  <c r="O103" i="3" s="1"/>
  <c r="N36" i="3"/>
  <c r="O36" i="3" s="1"/>
  <c r="N32" i="3"/>
  <c r="O32" i="3" s="1"/>
  <c r="N640" i="3"/>
  <c r="O640" i="3" s="1"/>
  <c r="N578" i="3"/>
  <c r="O578" i="3" s="1"/>
  <c r="N517" i="3"/>
  <c r="O517" i="3" s="1"/>
  <c r="N438" i="3"/>
  <c r="O438" i="3" s="1"/>
  <c r="N400" i="3"/>
  <c r="O400" i="3" s="1"/>
  <c r="N321" i="3"/>
  <c r="O321" i="3" s="1"/>
  <c r="N242" i="3"/>
  <c r="O242" i="3" s="1"/>
  <c r="N163" i="3"/>
  <c r="O163" i="3" s="1"/>
  <c r="N144" i="3"/>
  <c r="O144" i="3" s="1"/>
  <c r="N741" i="3"/>
  <c r="O741" i="3" s="1"/>
  <c r="N619" i="3"/>
  <c r="O619" i="3" s="1"/>
  <c r="N557" i="3"/>
  <c r="O557" i="3" s="1"/>
  <c r="N498" i="3"/>
  <c r="O498" i="3" s="1"/>
  <c r="N419" i="3"/>
  <c r="O419" i="3" s="1"/>
  <c r="N340" i="3"/>
  <c r="O340" i="3" s="1"/>
  <c r="N261" i="3"/>
  <c r="O261" i="3" s="1"/>
  <c r="N182" i="3"/>
  <c r="O182" i="3" s="1"/>
  <c r="N721" i="3"/>
  <c r="O721" i="3" s="1"/>
  <c r="N700" i="3"/>
  <c r="O700" i="3" s="1"/>
  <c r="N659" i="3"/>
  <c r="O659" i="3" s="1"/>
  <c r="N638" i="3"/>
  <c r="O638" i="3" s="1"/>
  <c r="N597" i="3"/>
  <c r="O597" i="3" s="1"/>
  <c r="N536" i="3"/>
  <c r="O536" i="3" s="1"/>
  <c r="N477" i="3"/>
  <c r="O477" i="3" s="1"/>
  <c r="N458" i="3"/>
  <c r="O458" i="3" s="1"/>
  <c r="N398" i="3"/>
  <c r="O398" i="3" s="1"/>
  <c r="N379" i="3"/>
  <c r="O379" i="3" s="1"/>
  <c r="N300" i="3"/>
  <c r="O300" i="3" s="1"/>
  <c r="N280" i="3"/>
  <c r="O280" i="3" s="1"/>
  <c r="N221" i="3"/>
  <c r="O221" i="3" s="1"/>
  <c r="N202" i="3"/>
  <c r="O202" i="3" s="1"/>
  <c r="N142" i="3"/>
  <c r="O142" i="3" s="1"/>
  <c r="N87" i="3"/>
  <c r="O87" i="3" s="1"/>
  <c r="N20" i="3"/>
  <c r="O20" i="3" s="1"/>
  <c r="N16" i="3"/>
  <c r="O16" i="3" s="1"/>
  <c r="N516" i="3"/>
  <c r="O516" i="3" s="1"/>
  <c r="N418" i="3"/>
  <c r="O418" i="3" s="1"/>
  <c r="N358" i="3"/>
  <c r="O358" i="3" s="1"/>
  <c r="N320" i="3"/>
  <c r="O320" i="3" s="1"/>
  <c r="N241" i="3"/>
  <c r="O241" i="3" s="1"/>
  <c r="N181" i="3"/>
  <c r="O181" i="3" s="1"/>
  <c r="N134" i="3"/>
  <c r="O134" i="3" s="1"/>
  <c r="N79" i="3"/>
  <c r="O79" i="3" s="1"/>
  <c r="N24" i="3"/>
  <c r="O24" i="3" s="1"/>
  <c r="N740" i="3"/>
  <c r="O740" i="3" s="1"/>
  <c r="N678" i="3"/>
  <c r="O678" i="3" s="1"/>
  <c r="N618" i="3"/>
  <c r="O618" i="3" s="1"/>
  <c r="N577" i="3"/>
  <c r="O577" i="3" s="1"/>
  <c r="N556" i="3"/>
  <c r="O556" i="3" s="1"/>
  <c r="N497" i="3"/>
  <c r="O497" i="3" s="1"/>
  <c r="N437" i="3"/>
  <c r="O437" i="3" s="1"/>
  <c r="N339" i="3"/>
  <c r="O339" i="3" s="1"/>
  <c r="N260" i="3"/>
  <c r="O260" i="3" s="1"/>
  <c r="N162" i="3"/>
  <c r="O162" i="3" s="1"/>
  <c r="N698" i="3"/>
  <c r="O698" i="3" s="1"/>
  <c r="N657" i="3"/>
  <c r="O657" i="3" s="1"/>
  <c r="N636" i="3"/>
  <c r="O636" i="3" s="1"/>
  <c r="N595" i="3"/>
  <c r="O595" i="3" s="1"/>
  <c r="N574" i="3"/>
  <c r="O574" i="3" s="1"/>
  <c r="N494" i="3"/>
  <c r="O494" i="3" s="1"/>
  <c r="N475" i="3"/>
  <c r="O475" i="3" s="1"/>
  <c r="N396" i="3"/>
  <c r="O396" i="3" s="1"/>
  <c r="N376" i="3"/>
  <c r="O376" i="3" s="1"/>
  <c r="N317" i="3"/>
  <c r="O317" i="3" s="1"/>
  <c r="N298" i="3"/>
  <c r="O298" i="3" s="1"/>
  <c r="N238" i="3"/>
  <c r="O238" i="3" s="1"/>
  <c r="N219" i="3"/>
  <c r="O219" i="3" s="1"/>
  <c r="N122" i="3"/>
  <c r="O122" i="3" s="1"/>
  <c r="N110" i="3"/>
  <c r="O110" i="3" s="1"/>
  <c r="N55" i="3"/>
  <c r="O55" i="3" s="1"/>
  <c r="N47" i="3"/>
  <c r="O47" i="3" s="1"/>
  <c r="N738" i="3"/>
  <c r="O738" i="3" s="1"/>
  <c r="N717" i="3"/>
  <c r="O717" i="3" s="1"/>
  <c r="N676" i="3"/>
  <c r="O676" i="3" s="1"/>
  <c r="N614" i="3"/>
  <c r="O614" i="3" s="1"/>
  <c r="N554" i="3"/>
  <c r="O554" i="3" s="1"/>
  <c r="N533" i="3"/>
  <c r="O533" i="3" s="1"/>
  <c r="N514" i="3"/>
  <c r="O514" i="3" s="1"/>
  <c r="N454" i="3"/>
  <c r="O454" i="3" s="1"/>
  <c r="N435" i="3"/>
  <c r="O435" i="3" s="1"/>
  <c r="N416" i="3"/>
  <c r="O416" i="3" s="1"/>
  <c r="N356" i="3"/>
  <c r="O356" i="3" s="1"/>
  <c r="N337" i="3"/>
  <c r="O337" i="3" s="1"/>
  <c r="N277" i="3"/>
  <c r="O277" i="3" s="1"/>
  <c r="N258" i="3"/>
  <c r="O258" i="3" s="1"/>
  <c r="N198" i="3"/>
  <c r="O198" i="3" s="1"/>
  <c r="N179" i="3"/>
  <c r="O179" i="3" s="1"/>
  <c r="N160" i="3"/>
  <c r="O160" i="3" s="1"/>
  <c r="N114" i="3"/>
  <c r="O114" i="3" s="1"/>
  <c r="N102" i="3"/>
  <c r="O102" i="3" s="1"/>
  <c r="N732" i="3"/>
  <c r="O732" i="3" s="1"/>
  <c r="N691" i="3"/>
  <c r="O691" i="3" s="1"/>
  <c r="N670" i="3"/>
  <c r="O670" i="3" s="1"/>
  <c r="N629" i="3"/>
  <c r="O629" i="3" s="1"/>
  <c r="N508" i="3"/>
  <c r="O508" i="3" s="1"/>
  <c r="N488" i="3"/>
  <c r="O488" i="3" s="1"/>
  <c r="N710" i="3"/>
  <c r="O710" i="3" s="1"/>
  <c r="N731" i="3"/>
  <c r="O731" i="3" s="1"/>
  <c r="N716" i="3"/>
  <c r="O716" i="3" s="1"/>
  <c r="N656" i="3"/>
  <c r="O656" i="3" s="1"/>
  <c r="N626" i="3"/>
  <c r="O626" i="3" s="1"/>
  <c r="N596" i="3"/>
  <c r="O596" i="3" s="1"/>
  <c r="N539" i="3"/>
  <c r="O539" i="3" s="1"/>
  <c r="N509" i="3"/>
  <c r="O509" i="3" s="1"/>
  <c r="N424" i="3"/>
  <c r="O424" i="3" s="1"/>
  <c r="N288" i="3"/>
  <c r="O288" i="3" s="1"/>
  <c r="N106" i="3"/>
  <c r="O106" i="3" s="1"/>
  <c r="N38" i="3"/>
  <c r="O38" i="3" s="1"/>
  <c r="N17" i="3"/>
  <c r="O17" i="3" s="1"/>
  <c r="N715" i="3"/>
  <c r="O715" i="3" s="1"/>
  <c r="N594" i="3"/>
  <c r="O594" i="3" s="1"/>
  <c r="N90" i="3"/>
  <c r="O90" i="3" s="1"/>
  <c r="N22" i="3"/>
  <c r="O22" i="3" s="1"/>
  <c r="N422" i="3"/>
  <c r="O422" i="3" s="1"/>
  <c r="N285" i="3"/>
  <c r="O285" i="3" s="1"/>
  <c r="N176" i="3"/>
  <c r="O176" i="3" s="1"/>
  <c r="N127" i="3"/>
  <c r="O127" i="3" s="1"/>
  <c r="N714" i="3"/>
  <c r="O714" i="3" s="1"/>
  <c r="N581" i="3"/>
  <c r="O581" i="3" s="1"/>
  <c r="N273" i="3"/>
  <c r="O273" i="3" s="1"/>
  <c r="N685" i="3"/>
  <c r="O685" i="3" s="1"/>
  <c r="N654" i="3"/>
  <c r="O654" i="3" s="1"/>
  <c r="N566" i="3"/>
  <c r="O566" i="3" s="1"/>
  <c r="N481" i="3"/>
  <c r="O481" i="3" s="1"/>
  <c r="N451" i="3"/>
  <c r="O451" i="3" s="1"/>
  <c r="N395" i="3"/>
  <c r="O395" i="3" s="1"/>
  <c r="N370" i="3"/>
  <c r="O370" i="3" s="1"/>
  <c r="N342" i="3"/>
  <c r="O342" i="3" s="1"/>
  <c r="N314" i="3"/>
  <c r="O314" i="3" s="1"/>
  <c r="N286" i="3"/>
  <c r="O286" i="3" s="1"/>
  <c r="N259" i="3"/>
  <c r="O259" i="3" s="1"/>
  <c r="N232" i="3"/>
  <c r="O232" i="3" s="1"/>
  <c r="N205" i="3"/>
  <c r="O205" i="3" s="1"/>
  <c r="N177" i="3"/>
  <c r="O177" i="3" s="1"/>
  <c r="N149" i="3"/>
  <c r="O149" i="3" s="1"/>
  <c r="N138" i="3"/>
  <c r="O138" i="3" s="1"/>
  <c r="N101" i="3"/>
  <c r="O101" i="3" s="1"/>
  <c r="N64" i="3"/>
  <c r="O64" i="3" s="1"/>
  <c r="N625" i="3"/>
  <c r="O625" i="3" s="1"/>
  <c r="N564" i="3"/>
  <c r="O564" i="3" s="1"/>
  <c r="N653" i="3"/>
  <c r="O653" i="3" s="1"/>
  <c r="N534" i="3"/>
  <c r="O534" i="3" s="1"/>
  <c r="N507" i="3"/>
  <c r="O507" i="3" s="1"/>
  <c r="N480" i="3"/>
  <c r="O480" i="3" s="1"/>
  <c r="N450" i="3"/>
  <c r="O450" i="3" s="1"/>
  <c r="N394" i="3"/>
  <c r="O394" i="3" s="1"/>
  <c r="N366" i="3"/>
  <c r="O366" i="3" s="1"/>
  <c r="N341" i="3"/>
  <c r="O341" i="3" s="1"/>
  <c r="N312" i="3"/>
  <c r="O312" i="3" s="1"/>
  <c r="N204" i="3"/>
  <c r="O204" i="3" s="1"/>
  <c r="N148" i="3"/>
  <c r="O148" i="3" s="1"/>
  <c r="N116" i="3"/>
  <c r="O116" i="3" s="1"/>
  <c r="N48" i="3"/>
  <c r="O48" i="3" s="1"/>
  <c r="N624" i="3"/>
  <c r="O624" i="3" s="1"/>
  <c r="N593" i="3"/>
  <c r="O593" i="3" s="1"/>
  <c r="N563" i="3"/>
  <c r="O563" i="3" s="1"/>
  <c r="N504" i="3"/>
  <c r="O504" i="3" s="1"/>
  <c r="N111" i="3"/>
  <c r="O111" i="3" s="1"/>
  <c r="N74" i="3"/>
  <c r="O74" i="3" s="1"/>
  <c r="N53" i="3"/>
  <c r="O53" i="3" s="1"/>
  <c r="N421" i="3"/>
  <c r="O421" i="3" s="1"/>
  <c r="N284" i="3"/>
  <c r="O284" i="3" s="1"/>
  <c r="N256" i="3"/>
  <c r="O256" i="3" s="1"/>
  <c r="N147" i="3"/>
  <c r="O147" i="3" s="1"/>
  <c r="N95" i="3"/>
  <c r="O95" i="3" s="1"/>
  <c r="N733" i="3"/>
  <c r="O733" i="3" s="1"/>
  <c r="N214" i="3"/>
  <c r="O214" i="3" s="1"/>
  <c r="N490" i="3"/>
  <c r="O490" i="3" s="1"/>
  <c r="N684" i="3"/>
  <c r="O684" i="3" s="1"/>
  <c r="N257" i="3"/>
  <c r="O257" i="3" s="1"/>
  <c r="N476" i="3"/>
  <c r="O476" i="3" s="1"/>
  <c r="N174" i="3"/>
  <c r="O174" i="3" s="1"/>
  <c r="N392" i="3"/>
  <c r="O392" i="3" s="1"/>
  <c r="N200" i="3"/>
  <c r="O200" i="3" s="1"/>
  <c r="N121" i="3"/>
  <c r="O121" i="3" s="1"/>
  <c r="N72" i="3"/>
  <c r="O72" i="3" s="1"/>
  <c r="N605" i="3"/>
  <c r="O605" i="3" s="1"/>
  <c r="N683" i="3"/>
  <c r="O683" i="3" s="1"/>
  <c r="N652" i="3"/>
  <c r="O652" i="3" s="1"/>
  <c r="N622" i="3"/>
  <c r="O622" i="3" s="1"/>
  <c r="N532" i="3"/>
  <c r="O532" i="3" s="1"/>
  <c r="N449" i="3"/>
  <c r="O449" i="3" s="1"/>
  <c r="N365" i="3"/>
  <c r="O365" i="3" s="1"/>
  <c r="N338" i="3"/>
  <c r="O338" i="3" s="1"/>
  <c r="N228" i="3"/>
  <c r="O228" i="3" s="1"/>
  <c r="N100" i="3"/>
  <c r="O100" i="3" s="1"/>
  <c r="N592" i="3"/>
  <c r="O592" i="3" s="1"/>
  <c r="N562" i="3"/>
  <c r="O562" i="3" s="1"/>
  <c r="N474" i="3"/>
  <c r="O474" i="3" s="1"/>
  <c r="N310" i="3"/>
  <c r="O310" i="3" s="1"/>
  <c r="N254" i="3"/>
  <c r="O254" i="3" s="1"/>
  <c r="N173" i="3"/>
  <c r="O173" i="3" s="1"/>
  <c r="N137" i="3"/>
  <c r="O137" i="3" s="1"/>
  <c r="N126" i="3"/>
  <c r="O126" i="3" s="1"/>
  <c r="N58" i="3"/>
  <c r="O58" i="3" s="1"/>
  <c r="N492" i="3"/>
  <c r="O492" i="3" s="1"/>
  <c r="N158" i="3"/>
  <c r="O158" i="3" s="1"/>
  <c r="N746" i="3"/>
  <c r="O746" i="3" s="1"/>
  <c r="N682" i="3"/>
  <c r="O682" i="3" s="1"/>
  <c r="N651" i="3"/>
  <c r="O651" i="3" s="1"/>
  <c r="N621" i="3"/>
  <c r="O621" i="3" s="1"/>
  <c r="N590" i="3"/>
  <c r="O590" i="3" s="1"/>
  <c r="N531" i="3"/>
  <c r="O531" i="3" s="1"/>
  <c r="N502" i="3"/>
  <c r="O502" i="3" s="1"/>
  <c r="N445" i="3"/>
  <c r="O445" i="3" s="1"/>
  <c r="N420" i="3"/>
  <c r="O420" i="3" s="1"/>
  <c r="N364" i="3"/>
  <c r="O364" i="3" s="1"/>
  <c r="N336" i="3"/>
  <c r="O336" i="3" s="1"/>
  <c r="N283" i="3"/>
  <c r="O283" i="3" s="1"/>
  <c r="N227" i="3"/>
  <c r="O227" i="3" s="1"/>
  <c r="N146" i="3"/>
  <c r="O146" i="3" s="1"/>
  <c r="N105" i="3"/>
  <c r="O105" i="3" s="1"/>
  <c r="N84" i="3"/>
  <c r="O84" i="3" s="1"/>
  <c r="N63" i="3"/>
  <c r="O63" i="3" s="1"/>
  <c r="N37" i="3"/>
  <c r="O37" i="3" s="1"/>
  <c r="N650" i="3"/>
  <c r="O650" i="3" s="1"/>
  <c r="N561" i="3"/>
  <c r="O561" i="3" s="1"/>
  <c r="N472" i="3"/>
  <c r="O472" i="3" s="1"/>
  <c r="N390" i="3"/>
  <c r="O390" i="3" s="1"/>
  <c r="N334" i="3"/>
  <c r="O334" i="3" s="1"/>
  <c r="N253" i="3"/>
  <c r="O253" i="3" s="1"/>
  <c r="N197" i="3"/>
  <c r="O197" i="3" s="1"/>
  <c r="N172" i="3"/>
  <c r="O172" i="3" s="1"/>
  <c r="N94" i="3"/>
  <c r="O94" i="3" s="1"/>
  <c r="N42" i="3"/>
  <c r="O42" i="3" s="1"/>
  <c r="N707" i="3"/>
  <c r="O707" i="3" s="1"/>
  <c r="N677" i="3"/>
  <c r="O677" i="3" s="1"/>
  <c r="N620" i="3"/>
  <c r="O620" i="3" s="1"/>
  <c r="N589" i="3"/>
  <c r="O589" i="3" s="1"/>
  <c r="N530" i="3"/>
  <c r="O530" i="3" s="1"/>
  <c r="N501" i="3"/>
  <c r="O501" i="3" s="1"/>
  <c r="N444" i="3"/>
  <c r="O444" i="3" s="1"/>
  <c r="N417" i="3"/>
  <c r="O417" i="3" s="1"/>
  <c r="N363" i="3"/>
  <c r="O363" i="3" s="1"/>
  <c r="N307" i="3"/>
  <c r="O307" i="3" s="1"/>
  <c r="N170" i="3"/>
  <c r="O170" i="3" s="1"/>
  <c r="N145" i="3"/>
  <c r="O145" i="3" s="1"/>
  <c r="N89" i="3"/>
  <c r="O89" i="3" s="1"/>
  <c r="N68" i="3"/>
  <c r="O68" i="3" s="1"/>
  <c r="N21" i="3"/>
  <c r="O21" i="3" s="1"/>
  <c r="N389" i="3"/>
  <c r="O389" i="3" s="1"/>
  <c r="N252" i="3"/>
  <c r="O252" i="3" s="1"/>
  <c r="N41" i="3"/>
  <c r="O41" i="3" s="1"/>
  <c r="N226" i="3"/>
  <c r="O226" i="3" s="1"/>
  <c r="N442" i="3"/>
  <c r="O442" i="3" s="1"/>
  <c r="N46" i="3"/>
  <c r="O46" i="3" s="1"/>
  <c r="N550" i="3"/>
  <c r="O550" i="3" s="1"/>
  <c r="N326" i="3"/>
  <c r="O326" i="3" s="1"/>
  <c r="N469" i="3"/>
  <c r="O469" i="3" s="1"/>
  <c r="N642" i="3"/>
  <c r="O642" i="3" s="1"/>
  <c r="N352" i="3"/>
  <c r="O352" i="3" s="1"/>
  <c r="N739" i="3"/>
  <c r="O739" i="3" s="1"/>
  <c r="N588" i="3"/>
  <c r="O588" i="3" s="1"/>
  <c r="N560" i="3"/>
  <c r="O560" i="3" s="1"/>
  <c r="N414" i="3"/>
  <c r="O414" i="3" s="1"/>
  <c r="N333" i="3"/>
  <c r="O333" i="3" s="1"/>
  <c r="N278" i="3"/>
  <c r="O278" i="3" s="1"/>
  <c r="N196" i="3"/>
  <c r="O196" i="3" s="1"/>
  <c r="N78" i="3"/>
  <c r="O78" i="3" s="1"/>
  <c r="N31" i="3"/>
  <c r="O31" i="3" s="1"/>
  <c r="N248" i="3"/>
  <c r="O248" i="3" s="1"/>
  <c r="N98" i="3"/>
  <c r="O98" i="3" s="1"/>
  <c r="N436" i="3"/>
  <c r="O436" i="3" s="1"/>
  <c r="N726" i="3"/>
  <c r="O726" i="3" s="1"/>
  <c r="N66" i="3"/>
  <c r="O66" i="3" s="1"/>
  <c r="N378" i="3"/>
  <c r="O378" i="3" s="1"/>
  <c r="N113" i="3"/>
  <c r="O113" i="3" s="1"/>
  <c r="N706" i="3"/>
  <c r="O706" i="3" s="1"/>
  <c r="N675" i="3"/>
  <c r="O675" i="3" s="1"/>
  <c r="N645" i="3"/>
  <c r="O645" i="3" s="1"/>
  <c r="N558" i="3"/>
  <c r="O558" i="3" s="1"/>
  <c r="N529" i="3"/>
  <c r="O529" i="3" s="1"/>
  <c r="N500" i="3"/>
  <c r="O500" i="3" s="1"/>
  <c r="N470" i="3"/>
  <c r="O470" i="3" s="1"/>
  <c r="N443" i="3"/>
  <c r="O443" i="3" s="1"/>
  <c r="N362" i="3"/>
  <c r="O362" i="3" s="1"/>
  <c r="N306" i="3"/>
  <c r="O306" i="3" s="1"/>
  <c r="N225" i="3"/>
  <c r="O225" i="3" s="1"/>
  <c r="N168" i="3"/>
  <c r="O168" i="3" s="1"/>
  <c r="N52" i="3"/>
  <c r="O52" i="3" s="1"/>
  <c r="N26" i="3"/>
  <c r="O26" i="3" s="1"/>
  <c r="N499" i="3"/>
  <c r="O499" i="3" s="1"/>
  <c r="N245" i="3"/>
  <c r="O245" i="3" s="1"/>
  <c r="N243" i="3"/>
  <c r="O243" i="3" s="1"/>
  <c r="N737" i="3"/>
  <c r="O737" i="3" s="1"/>
  <c r="N528" i="3"/>
  <c r="O528" i="3" s="1"/>
  <c r="N413" i="3"/>
  <c r="O413" i="3" s="1"/>
  <c r="N332" i="3"/>
  <c r="O332" i="3" s="1"/>
  <c r="N276" i="3"/>
  <c r="O276" i="3" s="1"/>
  <c r="N251" i="3"/>
  <c r="O251" i="3" s="1"/>
  <c r="N195" i="3"/>
  <c r="O195" i="3" s="1"/>
  <c r="N120" i="3"/>
  <c r="O120" i="3" s="1"/>
  <c r="N62" i="3"/>
  <c r="O62" i="3" s="1"/>
  <c r="N15" i="3"/>
  <c r="O15" i="3" s="1"/>
  <c r="N613" i="3"/>
  <c r="O613" i="3" s="1"/>
  <c r="N305" i="3"/>
  <c r="O305" i="3" s="1"/>
  <c r="N672" i="3"/>
  <c r="O672" i="3" s="1"/>
  <c r="N410" i="3"/>
  <c r="O410" i="3" s="1"/>
  <c r="N548" i="3"/>
  <c r="O548" i="3" s="1"/>
  <c r="N705" i="3"/>
  <c r="O705" i="3" s="1"/>
  <c r="N674" i="3"/>
  <c r="O674" i="3" s="1"/>
  <c r="N644" i="3"/>
  <c r="O644" i="3" s="1"/>
  <c r="N555" i="3"/>
  <c r="O555" i="3" s="1"/>
  <c r="N526" i="3"/>
  <c r="O526" i="3" s="1"/>
  <c r="N386" i="3"/>
  <c r="O386" i="3" s="1"/>
  <c r="N224" i="3"/>
  <c r="O224" i="3" s="1"/>
  <c r="N736" i="3"/>
  <c r="O736" i="3" s="1"/>
  <c r="N524" i="3"/>
  <c r="O524" i="3" s="1"/>
  <c r="N468" i="3"/>
  <c r="O468" i="3" s="1"/>
  <c r="N412" i="3"/>
  <c r="O412" i="3" s="1"/>
  <c r="N357" i="3"/>
  <c r="O357" i="3" s="1"/>
  <c r="N331" i="3"/>
  <c r="O331" i="3" s="1"/>
  <c r="N275" i="3"/>
  <c r="O275" i="3" s="1"/>
  <c r="N220" i="3"/>
  <c r="O220" i="3" s="1"/>
  <c r="N194" i="3"/>
  <c r="O194" i="3" s="1"/>
  <c r="N166" i="3"/>
  <c r="O166" i="3" s="1"/>
  <c r="N104" i="3"/>
  <c r="O104" i="3" s="1"/>
  <c r="N465" i="3"/>
  <c r="O465" i="3" s="1"/>
  <c r="N699" i="3"/>
  <c r="O699" i="3" s="1"/>
  <c r="N189" i="3"/>
  <c r="O189" i="3" s="1"/>
  <c r="N734" i="3"/>
  <c r="O734" i="3" s="1"/>
  <c r="N704" i="3"/>
  <c r="O704" i="3" s="1"/>
  <c r="N673" i="3"/>
  <c r="O673" i="3" s="1"/>
  <c r="N643" i="3"/>
  <c r="O643" i="3" s="1"/>
  <c r="N612" i="3"/>
  <c r="O612" i="3" s="1"/>
  <c r="N582" i="3"/>
  <c r="O582" i="3" s="1"/>
  <c r="N496" i="3"/>
  <c r="O496" i="3" s="1"/>
  <c r="N440" i="3"/>
  <c r="O440" i="3" s="1"/>
  <c r="N385" i="3"/>
  <c r="O385" i="3" s="1"/>
  <c r="N304" i="3"/>
  <c r="O304" i="3" s="1"/>
  <c r="N25" i="3"/>
  <c r="O25" i="3" s="1"/>
  <c r="N274" i="3"/>
  <c r="O274" i="3" s="1"/>
  <c r="N193" i="3"/>
  <c r="O193" i="3" s="1"/>
  <c r="N384" i="3"/>
  <c r="O384" i="3" s="1"/>
  <c r="N30" i="3"/>
  <c r="O30" i="3" s="1"/>
  <c r="N522" i="3"/>
  <c r="O522" i="3" s="1"/>
  <c r="N216" i="3"/>
  <c r="O216" i="3" s="1"/>
  <c r="N270" i="3"/>
  <c r="O270" i="3" s="1"/>
  <c r="N129" i="3"/>
  <c r="O129" i="3" s="1"/>
  <c r="N461" i="3"/>
  <c r="O461" i="3" s="1"/>
  <c r="N92" i="3"/>
  <c r="O92" i="3" s="1"/>
  <c r="N702" i="3"/>
  <c r="O702" i="3" s="1"/>
  <c r="N523" i="3"/>
  <c r="O523" i="3" s="1"/>
  <c r="N493" i="3"/>
  <c r="O493" i="3" s="1"/>
  <c r="N411" i="3"/>
  <c r="O411" i="3" s="1"/>
  <c r="N355" i="3"/>
  <c r="O355" i="3" s="1"/>
  <c r="N330" i="3"/>
  <c r="O330" i="3" s="1"/>
  <c r="N302" i="3"/>
  <c r="O302" i="3" s="1"/>
  <c r="N246" i="3"/>
  <c r="O246" i="3" s="1"/>
  <c r="N218" i="3"/>
  <c r="O218" i="3" s="1"/>
  <c r="N165" i="3"/>
  <c r="O165" i="3" s="1"/>
  <c r="N130" i="3"/>
  <c r="O130" i="3" s="1"/>
  <c r="N88" i="3"/>
  <c r="O88" i="3" s="1"/>
  <c r="N382" i="3"/>
  <c r="O382" i="3" s="1"/>
  <c r="N299" i="3"/>
  <c r="O299" i="3" s="1"/>
  <c r="N164" i="3"/>
  <c r="O164" i="3" s="1"/>
  <c r="N324" i="3"/>
  <c r="O324" i="3" s="1"/>
  <c r="N611" i="3"/>
  <c r="O611" i="3" s="1"/>
  <c r="N354" i="3"/>
  <c r="O354" i="3" s="1"/>
  <c r="N547" i="3"/>
  <c r="O547" i="3" s="1"/>
  <c r="N669" i="3"/>
  <c r="O669" i="3" s="1"/>
  <c r="N641" i="3"/>
  <c r="O641" i="3" s="1"/>
  <c r="N610" i="3"/>
  <c r="O610" i="3" s="1"/>
  <c r="N580" i="3"/>
  <c r="O580" i="3" s="1"/>
  <c r="N549" i="3"/>
  <c r="O549" i="3" s="1"/>
  <c r="N464" i="3"/>
  <c r="O464" i="3" s="1"/>
  <c r="N119" i="3"/>
  <c r="O119" i="3" s="1"/>
  <c r="N82" i="3"/>
  <c r="O82" i="3" s="1"/>
  <c r="N14" i="3"/>
  <c r="O14" i="3" s="1"/>
  <c r="N637" i="3"/>
  <c r="O637" i="3" s="1"/>
  <c r="N609" i="3"/>
  <c r="O609" i="3" s="1"/>
  <c r="N520" i="3"/>
  <c r="O520" i="3" s="1"/>
  <c r="N491" i="3"/>
  <c r="O491" i="3" s="1"/>
  <c r="N462" i="3"/>
  <c r="O462" i="3" s="1"/>
  <c r="N434" i="3"/>
  <c r="O434" i="3" s="1"/>
  <c r="N408" i="3"/>
  <c r="O408" i="3" s="1"/>
  <c r="N381" i="3"/>
  <c r="O381" i="3" s="1"/>
  <c r="N353" i="3"/>
  <c r="O353" i="3" s="1"/>
  <c r="N296" i="3"/>
  <c r="O296" i="3" s="1"/>
  <c r="N272" i="3"/>
  <c r="O272" i="3" s="1"/>
  <c r="N244" i="3"/>
  <c r="O244" i="3" s="1"/>
  <c r="N188" i="3"/>
  <c r="O188" i="3" s="1"/>
  <c r="N161" i="3"/>
  <c r="O161" i="3" s="1"/>
  <c r="N135" i="3"/>
  <c r="O135" i="3" s="1"/>
  <c r="N108" i="3"/>
  <c r="O108" i="3" s="1"/>
  <c r="N56" i="3"/>
  <c r="O56" i="3" s="1"/>
  <c r="N268" i="3"/>
  <c r="O268" i="3" s="1"/>
  <c r="N667" i="3"/>
  <c r="O667" i="3" s="1"/>
  <c r="N325" i="3"/>
  <c r="O325" i="3" s="1"/>
  <c r="N12" i="3"/>
  <c r="O12" i="3" s="1"/>
  <c r="N579" i="3"/>
  <c r="O579" i="3" s="1"/>
  <c r="N405" i="3"/>
  <c r="O405" i="3" s="1"/>
  <c r="N694" i="3"/>
  <c r="O694" i="3" s="1"/>
  <c r="N666" i="3"/>
  <c r="O666" i="3" s="1"/>
  <c r="N635" i="3"/>
  <c r="O635" i="3" s="1"/>
  <c r="N433" i="3"/>
  <c r="O433" i="3" s="1"/>
  <c r="N187" i="3"/>
  <c r="O187" i="3" s="1"/>
  <c r="N725" i="3"/>
  <c r="O725" i="3" s="1"/>
  <c r="N576" i="3"/>
  <c r="O576" i="3" s="1"/>
  <c r="N518" i="3"/>
  <c r="O518" i="3" s="1"/>
  <c r="N350" i="3"/>
  <c r="O350" i="3" s="1"/>
  <c r="N294" i="3"/>
  <c r="O294" i="3" s="1"/>
  <c r="N213" i="3"/>
  <c r="O213" i="3" s="1"/>
  <c r="N157" i="3"/>
  <c r="O157" i="3" s="1"/>
  <c r="N118" i="3"/>
  <c r="O118" i="3" s="1"/>
  <c r="N50" i="3"/>
  <c r="O50" i="3" s="1"/>
  <c r="N718" i="3"/>
  <c r="O718" i="3" s="1"/>
  <c r="N688" i="3"/>
  <c r="O688" i="3" s="1"/>
  <c r="N658" i="3"/>
  <c r="O658" i="3" s="1"/>
  <c r="N570" i="3"/>
  <c r="O570" i="3" s="1"/>
  <c r="N540" i="3"/>
  <c r="O540" i="3" s="1"/>
  <c r="N510" i="3"/>
  <c r="O510" i="3" s="1"/>
  <c r="N426" i="3"/>
  <c r="O426" i="3" s="1"/>
  <c r="N401" i="3"/>
  <c r="O401" i="3" s="1"/>
  <c r="N344" i="3"/>
  <c r="O344" i="3" s="1"/>
  <c r="N208" i="3"/>
  <c r="O208" i="3" s="1"/>
  <c r="N33" i="3"/>
  <c r="O33" i="3" s="1"/>
  <c r="N28" i="3"/>
  <c r="O28" i="3" s="1"/>
  <c r="N686" i="3"/>
  <c r="O686" i="3" s="1"/>
  <c r="N628" i="3"/>
  <c r="O628" i="3" s="1"/>
  <c r="N482" i="3"/>
  <c r="O482" i="3" s="1"/>
  <c r="N452" i="3"/>
  <c r="O452" i="3" s="1"/>
  <c r="N397" i="3"/>
  <c r="O397" i="3" s="1"/>
  <c r="N371" i="3"/>
  <c r="O371" i="3" s="1"/>
  <c r="N315" i="3"/>
  <c r="O315" i="3" s="1"/>
  <c r="N262" i="3"/>
  <c r="O262" i="3" s="1"/>
  <c r="N234" i="3"/>
  <c r="O234" i="3" s="1"/>
  <c r="N206" i="3"/>
  <c r="O206" i="3" s="1"/>
  <c r="N178" i="3"/>
  <c r="O178" i="3" s="1"/>
  <c r="N152" i="3"/>
  <c r="O152" i="3" s="1"/>
  <c r="N133" i="3"/>
  <c r="O133" i="3" s="1"/>
  <c r="N117" i="3"/>
  <c r="O117" i="3" s="1"/>
  <c r="N80" i="3"/>
  <c r="O80" i="3" s="1"/>
  <c r="N573" i="3"/>
  <c r="O573" i="3" s="1"/>
  <c r="N11" i="3"/>
  <c r="O11" i="3" s="1"/>
  <c r="N724" i="3"/>
  <c r="O724" i="3" s="1"/>
  <c r="N720" i="3"/>
  <c r="O720" i="3" s="1"/>
  <c r="N542" i="3"/>
  <c r="O542" i="3" s="1"/>
  <c r="N692" i="3"/>
  <c r="O692" i="3" s="1"/>
  <c r="N604" i="3"/>
  <c r="O604" i="3" s="1"/>
  <c r="N603" i="3"/>
  <c r="O603" i="3" s="1"/>
  <c r="N429" i="3"/>
  <c r="O429" i="3" s="1"/>
  <c r="N291" i="3"/>
  <c r="O291" i="3" s="1"/>
  <c r="N112" i="3"/>
  <c r="O112" i="3" s="1"/>
  <c r="N10" i="3"/>
  <c r="O10" i="3" s="1"/>
  <c r="N60" i="3"/>
  <c r="O60" i="3" s="1"/>
  <c r="N403" i="3"/>
  <c r="O403" i="3" s="1"/>
  <c r="N34" i="3"/>
  <c r="O34" i="3" s="1"/>
  <c r="N693" i="3"/>
  <c r="O693" i="3" s="1"/>
  <c r="N541" i="3"/>
  <c r="O541" i="3" s="1"/>
  <c r="N373" i="3"/>
  <c r="O373" i="3" s="1"/>
  <c r="N54" i="3"/>
  <c r="O54" i="3" s="1"/>
  <c r="N572" i="3"/>
  <c r="O572" i="3" s="1"/>
  <c r="N267" i="3"/>
  <c r="O267" i="3" s="1"/>
  <c r="N428" i="3"/>
  <c r="O428" i="3" s="1"/>
  <c r="N264" i="3"/>
  <c r="O264" i="3" s="1"/>
  <c r="N81" i="3"/>
  <c r="O81" i="3" s="1"/>
  <c r="N402" i="3"/>
  <c r="O402" i="3" s="1"/>
  <c r="N236" i="3"/>
  <c r="O236" i="3" s="1"/>
  <c r="N690" i="3"/>
  <c r="O690" i="3" s="1"/>
  <c r="N318" i="3"/>
  <c r="O318" i="3" s="1"/>
  <c r="N40" i="3"/>
  <c r="O40" i="3" s="1"/>
  <c r="N571" i="3"/>
  <c r="O571" i="3" s="1"/>
  <c r="N404" i="3"/>
  <c r="O404" i="3" s="1"/>
  <c r="N266" i="3"/>
  <c r="O266" i="3" s="1"/>
  <c r="N723" i="3"/>
  <c r="O723" i="3" s="1"/>
  <c r="N544" i="3"/>
  <c r="O544" i="3" s="1"/>
  <c r="N240" i="3"/>
  <c r="O240" i="3" s="1"/>
  <c r="N237" i="3"/>
  <c r="O237" i="3" s="1"/>
  <c r="N374" i="3"/>
  <c r="O374" i="3" s="1"/>
  <c r="N235" i="3"/>
  <c r="O235" i="3" s="1"/>
  <c r="N76" i="3"/>
  <c r="O76" i="3" s="1"/>
  <c r="N513" i="3"/>
  <c r="O513" i="3" s="1"/>
  <c r="N349" i="3"/>
  <c r="O349" i="3" s="1"/>
  <c r="N346" i="3"/>
  <c r="O346" i="3" s="1"/>
  <c r="N23" i="3"/>
  <c r="O23" i="3" s="1"/>
  <c r="N156" i="3"/>
  <c r="O156" i="3" s="1"/>
  <c r="N372" i="3"/>
  <c r="O372" i="3" s="1"/>
  <c r="N212" i="3"/>
  <c r="O212" i="3" s="1"/>
  <c r="N186" i="3"/>
  <c r="O186" i="3" s="1"/>
  <c r="N293" i="3"/>
  <c r="O293" i="3" s="1"/>
  <c r="N662" i="3"/>
  <c r="O662" i="3" s="1"/>
  <c r="N97" i="3"/>
  <c r="O97" i="3" s="1"/>
  <c r="N484" i="3"/>
  <c r="O484" i="3" s="1"/>
  <c r="N180" i="3"/>
  <c r="O180" i="3" s="1"/>
  <c r="N316" i="3"/>
  <c r="O316" i="3" s="1"/>
  <c r="N512" i="3"/>
  <c r="O512" i="3" s="1"/>
  <c r="N630" i="3"/>
  <c r="O630" i="3" s="1"/>
  <c r="N460" i="3"/>
  <c r="O460" i="3" s="1"/>
  <c r="N322" i="3"/>
  <c r="O322" i="3" s="1"/>
  <c r="N456" i="3"/>
  <c r="O456" i="3" s="1"/>
  <c r="N453" i="3"/>
  <c r="O453" i="3" s="1"/>
  <c r="N661" i="3"/>
  <c r="O661" i="3" s="1"/>
  <c r="N347" i="3"/>
  <c r="O347" i="3" s="1"/>
  <c r="N209" i="3"/>
  <c r="O209" i="3" s="1"/>
  <c r="N71" i="3"/>
  <c r="O71" i="3" s="1"/>
  <c r="N49" i="3"/>
  <c r="O49" i="3" s="1"/>
  <c r="N634" i="3"/>
  <c r="O634" i="3" s="1"/>
  <c r="N44" i="3"/>
  <c r="O44" i="3" s="1"/>
  <c r="N323" i="3"/>
  <c r="O323" i="3" s="1"/>
  <c r="N184" i="3"/>
  <c r="O184" i="3" s="1"/>
  <c r="N96" i="3"/>
  <c r="O96" i="3" s="1"/>
  <c r="N70" i="3"/>
  <c r="O70" i="3" s="1"/>
  <c r="N483" i="3"/>
  <c r="O483" i="3" s="1"/>
  <c r="N602" i="3"/>
  <c r="O602" i="3" s="1"/>
  <c r="N432" i="3"/>
  <c r="O432" i="3" s="1"/>
  <c r="N39" i="3"/>
  <c r="O39" i="3" s="1"/>
  <c r="N155" i="3"/>
  <c r="O155" i="3" s="1"/>
  <c r="N430" i="3"/>
  <c r="O430" i="3" s="1"/>
  <c r="N292" i="3"/>
  <c r="O292" i="3" s="1"/>
  <c r="N154" i="3"/>
  <c r="O154" i="3" s="1"/>
  <c r="N86" i="3"/>
  <c r="O86" i="3" s="1"/>
  <c r="N515" i="3"/>
  <c r="O515" i="3" s="1"/>
  <c r="N9" i="3"/>
  <c r="O9" i="3" s="1"/>
  <c r="N7" i="3"/>
  <c r="O7" i="3" s="1"/>
  <c r="N6" i="3"/>
  <c r="O6" i="3" s="1"/>
  <c r="N8" i="3"/>
  <c r="O8" i="3" s="1"/>
  <c r="N5" i="3"/>
  <c r="O5" i="3" s="1"/>
  <c r="N4" i="3"/>
  <c r="O4" i="3" s="1"/>
  <c r="P2" i="3" l="1" a="1"/>
  <c r="P2" i="3" s="1"/>
  <c r="J16" i="2"/>
  <c r="I16" i="2"/>
  <c r="C16" i="2"/>
  <c r="K16" i="2"/>
  <c r="G16" i="2"/>
  <c r="D16" i="2"/>
  <c r="F16" i="2"/>
  <c r="E17" i="2"/>
  <c r="H17" i="2"/>
  <c r="B17" i="2"/>
  <c r="A18" i="2"/>
  <c r="G23" i="61"/>
  <c r="C23" i="61"/>
  <c r="A24" i="61" s="1"/>
  <c r="D23" i="61"/>
  <c r="F23" i="61"/>
  <c r="F21" i="45"/>
  <c r="C21" i="45"/>
  <c r="A22" i="45" s="1"/>
  <c r="E21" i="45"/>
  <c r="D19" i="63"/>
  <c r="C19" i="63"/>
  <c r="A20" i="63" s="1"/>
  <c r="F19" i="63"/>
  <c r="G19" i="63"/>
  <c r="P1" i="3" l="1" a="1"/>
  <c r="P1" i="3" s="1"/>
  <c r="A15" i="3" s="1"/>
  <c r="B15" i="3" s="1"/>
  <c r="D22" i="45"/>
  <c r="B22" i="45"/>
  <c r="B24" i="61"/>
  <c r="E24" i="61"/>
  <c r="K17" i="2"/>
  <c r="J17" i="2"/>
  <c r="I17" i="2"/>
  <c r="D17" i="2"/>
  <c r="C17" i="2"/>
  <c r="G17" i="2"/>
  <c r="F17" i="2"/>
  <c r="B20" i="63"/>
  <c r="E20" i="63"/>
  <c r="E18" i="2"/>
  <c r="A19" i="2"/>
  <c r="H18" i="2"/>
  <c r="B18" i="2"/>
  <c r="E15" i="3" l="1"/>
  <c r="G15" i="3" s="1"/>
  <c r="A16" i="3"/>
  <c r="A17" i="3" s="1"/>
  <c r="E19" i="2"/>
  <c r="B19" i="2"/>
  <c r="A20" i="2"/>
  <c r="H19" i="2"/>
  <c r="D20" i="63"/>
  <c r="C20" i="63"/>
  <c r="A21" i="63" s="1"/>
  <c r="F20" i="63"/>
  <c r="G20" i="63"/>
  <c r="J18" i="2"/>
  <c r="C18" i="2"/>
  <c r="I18" i="2"/>
  <c r="K18" i="2"/>
  <c r="G18" i="2"/>
  <c r="D18" i="2"/>
  <c r="F18" i="2"/>
  <c r="F24" i="61"/>
  <c r="D24" i="61"/>
  <c r="G24" i="61"/>
  <c r="C24" i="61"/>
  <c r="A25" i="61" s="1"/>
  <c r="D15" i="3"/>
  <c r="H15" i="3"/>
  <c r="C15" i="3"/>
  <c r="F22" i="45"/>
  <c r="E22" i="45"/>
  <c r="C22" i="45"/>
  <c r="A23" i="45" s="1"/>
  <c r="E16" i="3" l="1"/>
  <c r="G16" i="3" s="1"/>
  <c r="F15" i="3"/>
  <c r="B16" i="3"/>
  <c r="H16" i="3" s="1"/>
  <c r="D23" i="45"/>
  <c r="B23" i="45"/>
  <c r="E21" i="63"/>
  <c r="B21" i="63"/>
  <c r="E25" i="61"/>
  <c r="B25" i="61"/>
  <c r="C19" i="2"/>
  <c r="I19" i="2"/>
  <c r="J19" i="2"/>
  <c r="G19" i="2"/>
  <c r="D19" i="2"/>
  <c r="K19" i="2"/>
  <c r="F19" i="2"/>
  <c r="E17" i="3"/>
  <c r="B17" i="3"/>
  <c r="A18" i="3"/>
  <c r="B20" i="2"/>
  <c r="A21" i="2"/>
  <c r="H20" i="2"/>
  <c r="E20" i="2"/>
  <c r="F16" i="3" l="1"/>
  <c r="D16" i="3"/>
  <c r="C16" i="3"/>
  <c r="A22" i="2"/>
  <c r="E21" i="2"/>
  <c r="H21" i="2"/>
  <c r="B21" i="2"/>
  <c r="G21" i="63"/>
  <c r="F21" i="63"/>
  <c r="C21" i="63"/>
  <c r="A22" i="63" s="1"/>
  <c r="D21" i="63"/>
  <c r="C17" i="3"/>
  <c r="H17" i="3"/>
  <c r="D17" i="3"/>
  <c r="G25" i="61"/>
  <c r="F25" i="61"/>
  <c r="D25" i="61"/>
  <c r="C25" i="61"/>
  <c r="A26" i="61" s="1"/>
  <c r="F17" i="3"/>
  <c r="G17" i="3"/>
  <c r="E23" i="45"/>
  <c r="C23" i="45"/>
  <c r="A24" i="45" s="1"/>
  <c r="F23" i="45"/>
  <c r="D20" i="2"/>
  <c r="C20" i="2"/>
  <c r="J20" i="2"/>
  <c r="I20" i="2"/>
  <c r="K20" i="2"/>
  <c r="G20" i="2"/>
  <c r="F20" i="2"/>
  <c r="B18" i="3"/>
  <c r="A19" i="3"/>
  <c r="E18" i="3"/>
  <c r="G18" i="3" l="1"/>
  <c r="F18" i="3"/>
  <c r="B26" i="61"/>
  <c r="E26" i="61"/>
  <c r="E22" i="63"/>
  <c r="B22" i="63"/>
  <c r="K21" i="2"/>
  <c r="I21" i="2"/>
  <c r="D21" i="2"/>
  <c r="J21" i="2"/>
  <c r="C21" i="2"/>
  <c r="G21" i="2"/>
  <c r="F21" i="2"/>
  <c r="D18" i="3"/>
  <c r="C18" i="3"/>
  <c r="H18" i="3"/>
  <c r="A20" i="3"/>
  <c r="B19" i="3"/>
  <c r="E19" i="3"/>
  <c r="D24" i="45"/>
  <c r="B24" i="45"/>
  <c r="H22" i="2"/>
  <c r="A23" i="2"/>
  <c r="E22" i="2"/>
  <c r="B22" i="2"/>
  <c r="F24" i="45" l="1"/>
  <c r="E24" i="45"/>
  <c r="C24" i="45"/>
  <c r="A25" i="45" s="1"/>
  <c r="F19" i="3"/>
  <c r="G19" i="3"/>
  <c r="H19" i="3"/>
  <c r="D19" i="3"/>
  <c r="C19" i="3"/>
  <c r="B20" i="3"/>
  <c r="A21" i="3"/>
  <c r="E20" i="3"/>
  <c r="F22" i="63"/>
  <c r="D22" i="63"/>
  <c r="G22" i="63"/>
  <c r="C22" i="63"/>
  <c r="A23" i="63" s="1"/>
  <c r="G26" i="61"/>
  <c r="F26" i="61"/>
  <c r="D26" i="61"/>
  <c r="C26" i="61"/>
  <c r="A27" i="61" s="1"/>
  <c r="J22" i="2"/>
  <c r="I22" i="2"/>
  <c r="K22" i="2"/>
  <c r="G22" i="2"/>
  <c r="F22" i="2"/>
  <c r="D22" i="2"/>
  <c r="C22" i="2"/>
  <c r="A24" i="2"/>
  <c r="H23" i="2"/>
  <c r="B23" i="2"/>
  <c r="E23" i="2"/>
  <c r="E27" i="61" l="1"/>
  <c r="B27" i="61"/>
  <c r="B23" i="63"/>
  <c r="E23" i="63"/>
  <c r="G20" i="3"/>
  <c r="F20" i="3"/>
  <c r="E21" i="3"/>
  <c r="A22" i="3"/>
  <c r="B21" i="3"/>
  <c r="C20" i="3"/>
  <c r="H20" i="3"/>
  <c r="D20" i="3"/>
  <c r="J23" i="2"/>
  <c r="C23" i="2"/>
  <c r="F23" i="2"/>
  <c r="D23" i="2"/>
  <c r="I23" i="2"/>
  <c r="K23" i="2"/>
  <c r="G23" i="2"/>
  <c r="A25" i="2"/>
  <c r="B24" i="2"/>
  <c r="E24" i="2"/>
  <c r="H24" i="2"/>
  <c r="B25" i="45"/>
  <c r="D25" i="45"/>
  <c r="E25" i="45" l="1"/>
  <c r="C25" i="45"/>
  <c r="A26" i="45" s="1"/>
  <c r="F25" i="45"/>
  <c r="F21" i="3"/>
  <c r="G21" i="3"/>
  <c r="D21" i="3"/>
  <c r="H21" i="3"/>
  <c r="C21" i="3"/>
  <c r="C23" i="63"/>
  <c r="A24" i="63" s="1"/>
  <c r="G23" i="63"/>
  <c r="F23" i="63"/>
  <c r="D23" i="63"/>
  <c r="D24" i="2"/>
  <c r="J24" i="2"/>
  <c r="C24" i="2"/>
  <c r="G24" i="2"/>
  <c r="F24" i="2"/>
  <c r="K24" i="2"/>
  <c r="I24" i="2"/>
  <c r="B25" i="2"/>
  <c r="H25" i="2"/>
  <c r="A26" i="2"/>
  <c r="E25" i="2"/>
  <c r="A23" i="3"/>
  <c r="E22" i="3"/>
  <c r="B22" i="3"/>
  <c r="G27" i="61"/>
  <c r="F27" i="61"/>
  <c r="C27" i="61"/>
  <c r="A28" i="61" s="1"/>
  <c r="D27" i="61"/>
  <c r="E24" i="63" l="1"/>
  <c r="B24" i="63"/>
  <c r="D26" i="45"/>
  <c r="B26" i="45"/>
  <c r="G22" i="3"/>
  <c r="F22" i="3"/>
  <c r="B28" i="61"/>
  <c r="E28" i="61"/>
  <c r="C25" i="2"/>
  <c r="J25" i="2"/>
  <c r="K25" i="2"/>
  <c r="I25" i="2"/>
  <c r="G25" i="2"/>
  <c r="F25" i="2"/>
  <c r="D25" i="2"/>
  <c r="H22" i="3"/>
  <c r="D22" i="3"/>
  <c r="C22" i="3"/>
  <c r="E23" i="3"/>
  <c r="B23" i="3"/>
  <c r="A24" i="3"/>
  <c r="H26" i="2"/>
  <c r="E26" i="2"/>
  <c r="B26" i="2"/>
  <c r="A27" i="2"/>
  <c r="B24" i="3" l="1"/>
  <c r="E24" i="3"/>
  <c r="A25" i="3"/>
  <c r="F23" i="3"/>
  <c r="G23" i="3"/>
  <c r="D23" i="3"/>
  <c r="C23" i="3"/>
  <c r="H23" i="3"/>
  <c r="C28" i="61"/>
  <c r="A29" i="61" s="1"/>
  <c r="F28" i="61"/>
  <c r="G28" i="61"/>
  <c r="D28" i="61"/>
  <c r="J26" i="2"/>
  <c r="C26" i="2"/>
  <c r="G26" i="2"/>
  <c r="D26" i="2"/>
  <c r="F26" i="2"/>
  <c r="K26" i="2"/>
  <c r="I26" i="2"/>
  <c r="E26" i="45"/>
  <c r="F26" i="45"/>
  <c r="C26" i="45"/>
  <c r="A27" i="45" s="1"/>
  <c r="D24" i="63"/>
  <c r="C24" i="63"/>
  <c r="A25" i="63" s="1"/>
  <c r="F24" i="63"/>
  <c r="G24" i="63"/>
  <c r="H27" i="2"/>
  <c r="B27" i="2"/>
  <c r="A28" i="2"/>
  <c r="E27" i="2"/>
  <c r="B29" i="61" l="1"/>
  <c r="E29" i="61"/>
  <c r="A29" i="2"/>
  <c r="E28" i="2"/>
  <c r="H28" i="2"/>
  <c r="B28" i="2"/>
  <c r="I27" i="2"/>
  <c r="G27" i="2"/>
  <c r="D27" i="2"/>
  <c r="K27" i="2"/>
  <c r="J27" i="2"/>
  <c r="F27" i="2"/>
  <c r="C27" i="2"/>
  <c r="B25" i="3"/>
  <c r="A26" i="3"/>
  <c r="E25" i="3"/>
  <c r="G24" i="3"/>
  <c r="F24" i="3"/>
  <c r="H24" i="3"/>
  <c r="C24" i="3"/>
  <c r="D24" i="3"/>
  <c r="E25" i="63"/>
  <c r="B25" i="63"/>
  <c r="D27" i="45"/>
  <c r="B27" i="45"/>
  <c r="E26" i="3" l="1"/>
  <c r="A27" i="3"/>
  <c r="B26" i="3"/>
  <c r="G25" i="3"/>
  <c r="F25" i="3"/>
  <c r="I28" i="2"/>
  <c r="J28" i="2"/>
  <c r="K28" i="2"/>
  <c r="F28" i="2"/>
  <c r="C28" i="2"/>
  <c r="G28" i="2"/>
  <c r="D28" i="2"/>
  <c r="A30" i="2"/>
  <c r="H29" i="2"/>
  <c r="E29" i="2"/>
  <c r="B29" i="2"/>
  <c r="C25" i="63"/>
  <c r="A26" i="63" s="1"/>
  <c r="G25" i="63"/>
  <c r="F25" i="63"/>
  <c r="D25" i="63"/>
  <c r="C27" i="45"/>
  <c r="A28" i="45" s="1"/>
  <c r="F27" i="45"/>
  <c r="E27" i="45"/>
  <c r="G29" i="61"/>
  <c r="D29" i="61"/>
  <c r="C29" i="61"/>
  <c r="A30" i="61" s="1"/>
  <c r="F29" i="61"/>
  <c r="C25" i="3"/>
  <c r="H25" i="3"/>
  <c r="D25" i="3"/>
  <c r="B26" i="63" l="1"/>
  <c r="E26" i="63"/>
  <c r="C26" i="3"/>
  <c r="H26" i="3"/>
  <c r="D26" i="3"/>
  <c r="C29" i="2"/>
  <c r="J29" i="2"/>
  <c r="G29" i="2"/>
  <c r="F29" i="2"/>
  <c r="D29" i="2"/>
  <c r="K29" i="2"/>
  <c r="I29" i="2"/>
  <c r="B30" i="2"/>
  <c r="E30" i="2"/>
  <c r="A31" i="2"/>
  <c r="H30" i="2"/>
  <c r="G26" i="3"/>
  <c r="F26" i="3"/>
  <c r="E30" i="61"/>
  <c r="B30" i="61"/>
  <c r="A28" i="3"/>
  <c r="E27" i="3"/>
  <c r="B27" i="3"/>
  <c r="D28" i="45"/>
  <c r="B28" i="45"/>
  <c r="C28" i="45" l="1"/>
  <c r="A29" i="45" s="1"/>
  <c r="F28" i="45"/>
  <c r="E28" i="45"/>
  <c r="H27" i="3"/>
  <c r="D27" i="3"/>
  <c r="C27" i="3"/>
  <c r="G27" i="3"/>
  <c r="F27" i="3"/>
  <c r="E28" i="3"/>
  <c r="B28" i="3"/>
  <c r="A29" i="3"/>
  <c r="F30" i="61"/>
  <c r="G30" i="61"/>
  <c r="C30" i="61"/>
  <c r="A31" i="61" s="1"/>
  <c r="D30" i="61"/>
  <c r="G26" i="63"/>
  <c r="F26" i="63"/>
  <c r="D26" i="63"/>
  <c r="C26" i="63"/>
  <c r="A27" i="63" s="1"/>
  <c r="B31" i="2"/>
  <c r="H31" i="2"/>
  <c r="E31" i="2"/>
  <c r="A32" i="2"/>
  <c r="J30" i="2"/>
  <c r="C30" i="2"/>
  <c r="G30" i="2"/>
  <c r="D30" i="2"/>
  <c r="K30" i="2"/>
  <c r="I30" i="2"/>
  <c r="F30" i="2"/>
  <c r="D29" i="45" l="1"/>
  <c r="B29" i="45"/>
  <c r="I31" i="2"/>
  <c r="G31" i="2"/>
  <c r="J31" i="2"/>
  <c r="F31" i="2"/>
  <c r="K31" i="2"/>
  <c r="C31" i="2"/>
  <c r="D31" i="2"/>
  <c r="B27" i="63"/>
  <c r="E27" i="63"/>
  <c r="H32" i="2"/>
  <c r="E32" i="2"/>
  <c r="A33" i="2"/>
  <c r="B32" i="2"/>
  <c r="E31" i="61"/>
  <c r="B31" i="61"/>
  <c r="E29" i="3"/>
  <c r="A30" i="3"/>
  <c r="B29" i="3"/>
  <c r="G28" i="3"/>
  <c r="F28" i="3"/>
  <c r="H28" i="3"/>
  <c r="D28" i="3"/>
  <c r="C28" i="3"/>
  <c r="G31" i="61" l="1"/>
  <c r="C31" i="61"/>
  <c r="A32" i="61" s="1"/>
  <c r="F31" i="61"/>
  <c r="D31" i="61"/>
  <c r="E29" i="45"/>
  <c r="F29" i="45"/>
  <c r="C29" i="45"/>
  <c r="A30" i="45" s="1"/>
  <c r="H29" i="3"/>
  <c r="C29" i="3"/>
  <c r="D29" i="3"/>
  <c r="A31" i="3"/>
  <c r="E30" i="3"/>
  <c r="B30" i="3"/>
  <c r="G27" i="63"/>
  <c r="F27" i="63"/>
  <c r="C27" i="63"/>
  <c r="A28" i="63" s="1"/>
  <c r="D27" i="63"/>
  <c r="G29" i="3"/>
  <c r="F29" i="3"/>
  <c r="G32" i="2"/>
  <c r="F32" i="2"/>
  <c r="K32" i="2"/>
  <c r="D32" i="2"/>
  <c r="J32" i="2"/>
  <c r="C32" i="2"/>
  <c r="I32" i="2"/>
  <c r="H33" i="2"/>
  <c r="B33" i="2"/>
  <c r="A34" i="2"/>
  <c r="E33" i="2"/>
  <c r="J33" i="2" l="1"/>
  <c r="D33" i="2"/>
  <c r="F33" i="2"/>
  <c r="C33" i="2"/>
  <c r="I33" i="2"/>
  <c r="K33" i="2"/>
  <c r="G33" i="2"/>
  <c r="D30" i="3"/>
  <c r="H30" i="3"/>
  <c r="C30" i="3"/>
  <c r="F30" i="3"/>
  <c r="G30" i="3"/>
  <c r="A35" i="2"/>
  <c r="B34" i="2"/>
  <c r="H34" i="2"/>
  <c r="E34" i="2"/>
  <c r="E28" i="63"/>
  <c r="B28" i="63"/>
  <c r="D30" i="45"/>
  <c r="B30" i="45"/>
  <c r="B32" i="61"/>
  <c r="E32" i="61"/>
  <c r="B31" i="3"/>
  <c r="A32" i="3"/>
  <c r="E31" i="3"/>
  <c r="F31" i="3" l="1"/>
  <c r="G31" i="3"/>
  <c r="F30" i="45"/>
  <c r="C30" i="45"/>
  <c r="A31" i="45" s="1"/>
  <c r="E30" i="45"/>
  <c r="A33" i="3"/>
  <c r="E32" i="3"/>
  <c r="B32" i="3"/>
  <c r="F34" i="2"/>
  <c r="D34" i="2"/>
  <c r="J34" i="2"/>
  <c r="K34" i="2"/>
  <c r="G34" i="2"/>
  <c r="C34" i="2"/>
  <c r="I34" i="2"/>
  <c r="A36" i="2"/>
  <c r="H35" i="2"/>
  <c r="E35" i="2"/>
  <c r="B35" i="2"/>
  <c r="C28" i="63"/>
  <c r="A29" i="63" s="1"/>
  <c r="G28" i="63"/>
  <c r="D28" i="63"/>
  <c r="F28" i="63"/>
  <c r="C32" i="61"/>
  <c r="A33" i="61" s="1"/>
  <c r="F32" i="61"/>
  <c r="D32" i="61"/>
  <c r="G32" i="61"/>
  <c r="H31" i="3"/>
  <c r="D31" i="3"/>
  <c r="C31" i="3"/>
  <c r="H36" i="2" l="1"/>
  <c r="B36" i="2"/>
  <c r="E36" i="2"/>
  <c r="A37" i="2"/>
  <c r="J35" i="2"/>
  <c r="G35" i="2"/>
  <c r="K35" i="2"/>
  <c r="I35" i="2"/>
  <c r="D35" i="2"/>
  <c r="F35" i="2"/>
  <c r="C35" i="2"/>
  <c r="G32" i="3"/>
  <c r="F32" i="3"/>
  <c r="H32" i="3"/>
  <c r="D32" i="3"/>
  <c r="C32" i="3"/>
  <c r="B33" i="3"/>
  <c r="E33" i="3"/>
  <c r="A34" i="3"/>
  <c r="E29" i="63"/>
  <c r="B29" i="63"/>
  <c r="B33" i="61"/>
  <c r="E33" i="61"/>
  <c r="D31" i="45"/>
  <c r="B31" i="45"/>
  <c r="F31" i="45" l="1"/>
  <c r="E31" i="45"/>
  <c r="C31" i="45"/>
  <c r="A32" i="45" s="1"/>
  <c r="E37" i="2"/>
  <c r="H37" i="2"/>
  <c r="B37" i="2"/>
  <c r="A38" i="2"/>
  <c r="G33" i="61"/>
  <c r="C33" i="61"/>
  <c r="A34" i="61" s="1"/>
  <c r="F33" i="61"/>
  <c r="D33" i="61"/>
  <c r="F36" i="2"/>
  <c r="I36" i="2"/>
  <c r="K36" i="2"/>
  <c r="G36" i="2"/>
  <c r="D36" i="2"/>
  <c r="C36" i="2"/>
  <c r="J36" i="2"/>
  <c r="G29" i="63"/>
  <c r="F29" i="63"/>
  <c r="D29" i="63"/>
  <c r="C29" i="63"/>
  <c r="A30" i="63" s="1"/>
  <c r="B34" i="3"/>
  <c r="E34" i="3"/>
  <c r="A35" i="3"/>
  <c r="G33" i="3"/>
  <c r="F33" i="3"/>
  <c r="D33" i="3"/>
  <c r="C33" i="3"/>
  <c r="H33" i="3"/>
  <c r="D34" i="3" l="1"/>
  <c r="C34" i="3"/>
  <c r="H34" i="3"/>
  <c r="G34" i="3"/>
  <c r="F34" i="3"/>
  <c r="A39" i="2"/>
  <c r="H38" i="2"/>
  <c r="E38" i="2"/>
  <c r="B38" i="2"/>
  <c r="A36" i="3"/>
  <c r="E35" i="3"/>
  <c r="B35" i="3"/>
  <c r="G37" i="2"/>
  <c r="F37" i="2"/>
  <c r="I37" i="2"/>
  <c r="K37" i="2"/>
  <c r="J37" i="2"/>
  <c r="C37" i="2"/>
  <c r="D37" i="2"/>
  <c r="B32" i="45"/>
  <c r="D32" i="45"/>
  <c r="E30" i="63"/>
  <c r="B30" i="63"/>
  <c r="B34" i="61"/>
  <c r="E34" i="61"/>
  <c r="G35" i="3" l="1"/>
  <c r="F35" i="3"/>
  <c r="B36" i="3"/>
  <c r="A37" i="3"/>
  <c r="E36" i="3"/>
  <c r="H39" i="2"/>
  <c r="B39" i="2"/>
  <c r="E39" i="2"/>
  <c r="A40" i="2"/>
  <c r="F30" i="63"/>
  <c r="G30" i="63"/>
  <c r="D30" i="63"/>
  <c r="C30" i="63"/>
  <c r="A31" i="63" s="1"/>
  <c r="F34" i="61"/>
  <c r="D34" i="61"/>
  <c r="C34" i="61"/>
  <c r="A35" i="61" s="1"/>
  <c r="G34" i="61"/>
  <c r="H35" i="3"/>
  <c r="D35" i="3"/>
  <c r="C35" i="3"/>
  <c r="F32" i="45"/>
  <c r="C32" i="45"/>
  <c r="A33" i="45" s="1"/>
  <c r="E32" i="45"/>
  <c r="G38" i="2"/>
  <c r="K38" i="2"/>
  <c r="F38" i="2"/>
  <c r="I38" i="2"/>
  <c r="J38" i="2"/>
  <c r="D38" i="2"/>
  <c r="C38" i="2"/>
  <c r="B35" i="61" l="1"/>
  <c r="E35" i="61"/>
  <c r="E31" i="63"/>
  <c r="B31" i="63"/>
  <c r="B40" i="2"/>
  <c r="E40" i="2"/>
  <c r="A41" i="2"/>
  <c r="H40" i="2"/>
  <c r="E37" i="3"/>
  <c r="A38" i="3"/>
  <c r="B37" i="3"/>
  <c r="C36" i="3"/>
  <c r="H36" i="3"/>
  <c r="D36" i="3"/>
  <c r="G36" i="3"/>
  <c r="F36" i="3"/>
  <c r="K39" i="2"/>
  <c r="C39" i="2"/>
  <c r="I39" i="2"/>
  <c r="G39" i="2"/>
  <c r="F39" i="2"/>
  <c r="D39" i="2"/>
  <c r="J39" i="2"/>
  <c r="D33" i="45"/>
  <c r="B33" i="45"/>
  <c r="A39" i="3" l="1"/>
  <c r="E38" i="3"/>
  <c r="B38" i="3"/>
  <c r="F37" i="3"/>
  <c r="G37" i="3"/>
  <c r="D37" i="3"/>
  <c r="H37" i="3"/>
  <c r="C37" i="3"/>
  <c r="C35" i="61"/>
  <c r="A36" i="61" s="1"/>
  <c r="G35" i="61"/>
  <c r="F35" i="61"/>
  <c r="D35" i="61"/>
  <c r="E41" i="2"/>
  <c r="A42" i="2"/>
  <c r="B41" i="2"/>
  <c r="H41" i="2"/>
  <c r="F33" i="45"/>
  <c r="E33" i="45"/>
  <c r="C33" i="45"/>
  <c r="A34" i="45" s="1"/>
  <c r="G40" i="2"/>
  <c r="K40" i="2"/>
  <c r="D40" i="2"/>
  <c r="C40" i="2"/>
  <c r="J40" i="2"/>
  <c r="F40" i="2"/>
  <c r="I40" i="2"/>
  <c r="D31" i="63"/>
  <c r="C31" i="63"/>
  <c r="A32" i="63" s="1"/>
  <c r="G31" i="63"/>
  <c r="F31" i="63"/>
  <c r="B36" i="61" l="1"/>
  <c r="E36" i="61"/>
  <c r="E32" i="63"/>
  <c r="B32" i="63"/>
  <c r="G41" i="2"/>
  <c r="K41" i="2"/>
  <c r="I41" i="2"/>
  <c r="F41" i="2"/>
  <c r="J41" i="2"/>
  <c r="C41" i="2"/>
  <c r="D41" i="2"/>
  <c r="D34" i="45"/>
  <c r="B34" i="45"/>
  <c r="D38" i="3"/>
  <c r="C38" i="3"/>
  <c r="H38" i="3"/>
  <c r="F38" i="3"/>
  <c r="G38" i="3"/>
  <c r="E42" i="2"/>
  <c r="H42" i="2"/>
  <c r="A43" i="2"/>
  <c r="B42" i="2"/>
  <c r="E39" i="3"/>
  <c r="A40" i="3"/>
  <c r="B39" i="3"/>
  <c r="F34" i="45" l="1"/>
  <c r="E34" i="45"/>
  <c r="C34" i="45"/>
  <c r="A35" i="45" s="1"/>
  <c r="C36" i="61"/>
  <c r="A37" i="61" s="1"/>
  <c r="F36" i="61"/>
  <c r="G36" i="61"/>
  <c r="D36" i="61"/>
  <c r="D39" i="3"/>
  <c r="C39" i="3"/>
  <c r="H39" i="3"/>
  <c r="E40" i="3"/>
  <c r="A41" i="3"/>
  <c r="B40" i="3"/>
  <c r="G39" i="3"/>
  <c r="F39" i="3"/>
  <c r="D32" i="63"/>
  <c r="G32" i="63"/>
  <c r="F32" i="63"/>
  <c r="C32" i="63"/>
  <c r="A33" i="63" s="1"/>
  <c r="F42" i="2"/>
  <c r="D42" i="2"/>
  <c r="K42" i="2"/>
  <c r="J42" i="2"/>
  <c r="G42" i="2"/>
  <c r="I42" i="2"/>
  <c r="C42" i="2"/>
  <c r="E43" i="2"/>
  <c r="A44" i="2"/>
  <c r="H43" i="2"/>
  <c r="B43" i="2"/>
  <c r="D35" i="45" l="1"/>
  <c r="B35" i="45"/>
  <c r="A45" i="2"/>
  <c r="B44" i="2"/>
  <c r="H44" i="2"/>
  <c r="E44" i="2"/>
  <c r="K43" i="2"/>
  <c r="F43" i="2"/>
  <c r="C43" i="2"/>
  <c r="J43" i="2"/>
  <c r="G43" i="2"/>
  <c r="I43" i="2"/>
  <c r="D43" i="2"/>
  <c r="H40" i="3"/>
  <c r="D40" i="3"/>
  <c r="C40" i="3"/>
  <c r="E33" i="63"/>
  <c r="B33" i="63"/>
  <c r="G40" i="3"/>
  <c r="F40" i="3"/>
  <c r="B37" i="61"/>
  <c r="E37" i="61"/>
  <c r="A42" i="3"/>
  <c r="E41" i="3"/>
  <c r="B41" i="3"/>
  <c r="G37" i="61" l="1"/>
  <c r="C37" i="61"/>
  <c r="A38" i="61" s="1"/>
  <c r="D37" i="61"/>
  <c r="F37" i="61"/>
  <c r="K44" i="2"/>
  <c r="J44" i="2"/>
  <c r="I44" i="2"/>
  <c r="C44" i="2"/>
  <c r="D44" i="2"/>
  <c r="G44" i="2"/>
  <c r="F44" i="2"/>
  <c r="A46" i="2"/>
  <c r="H45" i="2"/>
  <c r="B45" i="2"/>
  <c r="E45" i="2"/>
  <c r="C33" i="63"/>
  <c r="A34" i="63" s="1"/>
  <c r="G33" i="63"/>
  <c r="F33" i="63"/>
  <c r="D33" i="63"/>
  <c r="F35" i="45"/>
  <c r="C35" i="45"/>
  <c r="A36" i="45" s="1"/>
  <c r="E35" i="45"/>
  <c r="D41" i="3"/>
  <c r="H41" i="3"/>
  <c r="C41" i="3"/>
  <c r="G41" i="3"/>
  <c r="F41" i="3"/>
  <c r="A43" i="3"/>
  <c r="E42" i="3"/>
  <c r="B42" i="3"/>
  <c r="G42" i="3" l="1"/>
  <c r="F42" i="3"/>
  <c r="C42" i="3"/>
  <c r="D42" i="3"/>
  <c r="H42" i="3"/>
  <c r="A44" i="3"/>
  <c r="E43" i="3"/>
  <c r="B43" i="3"/>
  <c r="F45" i="2"/>
  <c r="I45" i="2"/>
  <c r="J45" i="2"/>
  <c r="K45" i="2"/>
  <c r="G45" i="2"/>
  <c r="C45" i="2"/>
  <c r="D45" i="2"/>
  <c r="E34" i="63"/>
  <c r="B34" i="63"/>
  <c r="B38" i="61"/>
  <c r="E38" i="61"/>
  <c r="E46" i="2"/>
  <c r="H46" i="2"/>
  <c r="B46" i="2"/>
  <c r="A47" i="2"/>
  <c r="B36" i="45"/>
  <c r="D36" i="45"/>
  <c r="H43" i="3" l="1"/>
  <c r="D43" i="3"/>
  <c r="C43" i="3"/>
  <c r="E44" i="3"/>
  <c r="B44" i="3"/>
  <c r="A45" i="3"/>
  <c r="G43" i="3"/>
  <c r="F43" i="3"/>
  <c r="F38" i="61"/>
  <c r="D38" i="61"/>
  <c r="G38" i="61"/>
  <c r="C38" i="61"/>
  <c r="A39" i="61" s="1"/>
  <c r="F36" i="45"/>
  <c r="C36" i="45"/>
  <c r="A37" i="45" s="1"/>
  <c r="E36" i="45"/>
  <c r="G34" i="63"/>
  <c r="F34" i="63"/>
  <c r="C34" i="63"/>
  <c r="A35" i="63" s="1"/>
  <c r="D34" i="63"/>
  <c r="E47" i="2"/>
  <c r="H47" i="2"/>
  <c r="B47" i="2"/>
  <c r="A48" i="2"/>
  <c r="F46" i="2"/>
  <c r="D46" i="2"/>
  <c r="I46" i="2"/>
  <c r="G46" i="2"/>
  <c r="K46" i="2"/>
  <c r="C46" i="2"/>
  <c r="J46" i="2"/>
  <c r="D47" i="2" l="1"/>
  <c r="C47" i="2"/>
  <c r="K47" i="2"/>
  <c r="I47" i="2"/>
  <c r="G47" i="2"/>
  <c r="F47" i="2"/>
  <c r="J47" i="2"/>
  <c r="E48" i="2"/>
  <c r="A49" i="2"/>
  <c r="B48" i="2"/>
  <c r="H48" i="2"/>
  <c r="F44" i="3"/>
  <c r="G44" i="3"/>
  <c r="E35" i="63"/>
  <c r="B35" i="63"/>
  <c r="B37" i="45"/>
  <c r="D37" i="45"/>
  <c r="E45" i="3"/>
  <c r="A46" i="3"/>
  <c r="B45" i="3"/>
  <c r="B39" i="61"/>
  <c r="E39" i="61"/>
  <c r="H44" i="3"/>
  <c r="D44" i="3"/>
  <c r="C44" i="3"/>
  <c r="J48" i="2" l="1"/>
  <c r="F48" i="2"/>
  <c r="K48" i="2"/>
  <c r="I48" i="2"/>
  <c r="G48" i="2"/>
  <c r="D48" i="2"/>
  <c r="C48" i="2"/>
  <c r="A47" i="3"/>
  <c r="B46" i="3"/>
  <c r="E46" i="3"/>
  <c r="G45" i="3"/>
  <c r="F45" i="3"/>
  <c r="F35" i="63"/>
  <c r="D35" i="63"/>
  <c r="C35" i="63"/>
  <c r="A36" i="63" s="1"/>
  <c r="G35" i="63"/>
  <c r="G39" i="61"/>
  <c r="F39" i="61"/>
  <c r="C39" i="61"/>
  <c r="A40" i="61" s="1"/>
  <c r="D39" i="61"/>
  <c r="H45" i="3"/>
  <c r="D45" i="3"/>
  <c r="C45" i="3"/>
  <c r="E49" i="2"/>
  <c r="A50" i="2"/>
  <c r="B49" i="2"/>
  <c r="H49" i="2"/>
  <c r="E37" i="45"/>
  <c r="F37" i="45"/>
  <c r="C37" i="45"/>
  <c r="A38" i="45" s="1"/>
  <c r="E36" i="63" l="1"/>
  <c r="B36" i="63"/>
  <c r="B40" i="61"/>
  <c r="E40" i="61"/>
  <c r="F46" i="3"/>
  <c r="G46" i="3"/>
  <c r="D46" i="3"/>
  <c r="C46" i="3"/>
  <c r="H46" i="3"/>
  <c r="B47" i="3"/>
  <c r="A48" i="3"/>
  <c r="E47" i="3"/>
  <c r="K49" i="2"/>
  <c r="J49" i="2"/>
  <c r="I49" i="2"/>
  <c r="G49" i="2"/>
  <c r="F49" i="2"/>
  <c r="D49" i="2"/>
  <c r="C49" i="2"/>
  <c r="A51" i="2"/>
  <c r="E50" i="2"/>
  <c r="H50" i="2"/>
  <c r="B50" i="2"/>
  <c r="D38" i="45"/>
  <c r="B38" i="45"/>
  <c r="E38" i="45" l="1"/>
  <c r="C38" i="45"/>
  <c r="A39" i="45" s="1"/>
  <c r="F38" i="45"/>
  <c r="K50" i="2"/>
  <c r="J50" i="2"/>
  <c r="I50" i="2"/>
  <c r="G50" i="2"/>
  <c r="F50" i="2"/>
  <c r="C50" i="2"/>
  <c r="D50" i="2"/>
  <c r="E51" i="2"/>
  <c r="A52" i="2"/>
  <c r="B51" i="2"/>
  <c r="H51" i="2"/>
  <c r="A49" i="3"/>
  <c r="E48" i="3"/>
  <c r="B48" i="3"/>
  <c r="G47" i="3"/>
  <c r="F47" i="3"/>
  <c r="C40" i="61"/>
  <c r="A41" i="61" s="1"/>
  <c r="F40" i="61"/>
  <c r="G40" i="61"/>
  <c r="D40" i="61"/>
  <c r="F36" i="63"/>
  <c r="D36" i="63"/>
  <c r="C36" i="63"/>
  <c r="A37" i="63" s="1"/>
  <c r="G36" i="63"/>
  <c r="H47" i="3"/>
  <c r="C47" i="3"/>
  <c r="D47" i="3"/>
  <c r="B52" i="2" l="1"/>
  <c r="A53" i="2"/>
  <c r="H52" i="2"/>
  <c r="E52" i="2"/>
  <c r="B41" i="61"/>
  <c r="E41" i="61"/>
  <c r="G48" i="3"/>
  <c r="F48" i="3"/>
  <c r="D48" i="3"/>
  <c r="C48" i="3"/>
  <c r="H48" i="3"/>
  <c r="A50" i="3"/>
  <c r="B49" i="3"/>
  <c r="E49" i="3"/>
  <c r="E37" i="63"/>
  <c r="B37" i="63"/>
  <c r="D39" i="45"/>
  <c r="B39" i="45"/>
  <c r="C51" i="2"/>
  <c r="G51" i="2"/>
  <c r="I51" i="2"/>
  <c r="D51" i="2"/>
  <c r="K51" i="2"/>
  <c r="J51" i="2"/>
  <c r="F51" i="2"/>
  <c r="A54" i="2" l="1"/>
  <c r="B53" i="2"/>
  <c r="H53" i="2"/>
  <c r="E53" i="2"/>
  <c r="E39" i="45"/>
  <c r="F39" i="45"/>
  <c r="C39" i="45"/>
  <c r="A40" i="45" s="1"/>
  <c r="D52" i="2"/>
  <c r="C52" i="2"/>
  <c r="G52" i="2"/>
  <c r="K52" i="2"/>
  <c r="F52" i="2"/>
  <c r="J52" i="2"/>
  <c r="I52" i="2"/>
  <c r="G41" i="61"/>
  <c r="D41" i="61"/>
  <c r="F41" i="61"/>
  <c r="C41" i="61"/>
  <c r="A42" i="61" s="1"/>
  <c r="F37" i="63"/>
  <c r="D37" i="63"/>
  <c r="G37" i="63"/>
  <c r="C37" i="63"/>
  <c r="A38" i="63" s="1"/>
  <c r="F49" i="3"/>
  <c r="G49" i="3"/>
  <c r="D49" i="3"/>
  <c r="C49" i="3"/>
  <c r="H49" i="3"/>
  <c r="B50" i="3"/>
  <c r="E50" i="3"/>
  <c r="A51" i="3"/>
  <c r="E51" i="3" l="1"/>
  <c r="A52" i="3"/>
  <c r="B51" i="3"/>
  <c r="B42" i="61"/>
  <c r="E42" i="61"/>
  <c r="D50" i="3"/>
  <c r="C50" i="3"/>
  <c r="H50" i="3"/>
  <c r="K53" i="2"/>
  <c r="I53" i="2"/>
  <c r="D53" i="2"/>
  <c r="C53" i="2"/>
  <c r="F53" i="2"/>
  <c r="J53" i="2"/>
  <c r="G53" i="2"/>
  <c r="F50" i="3"/>
  <c r="G50" i="3"/>
  <c r="H54" i="2"/>
  <c r="E54" i="2"/>
  <c r="A55" i="2"/>
  <c r="B54" i="2"/>
  <c r="E38" i="63"/>
  <c r="B38" i="63"/>
  <c r="D40" i="45"/>
  <c r="B40" i="45"/>
  <c r="E40" i="45" l="1"/>
  <c r="C40" i="45"/>
  <c r="A41" i="45" s="1"/>
  <c r="F40" i="45"/>
  <c r="D42" i="61"/>
  <c r="C42" i="61"/>
  <c r="A43" i="61" s="1"/>
  <c r="F42" i="61"/>
  <c r="G42" i="61"/>
  <c r="J54" i="2"/>
  <c r="I54" i="2"/>
  <c r="F54" i="2"/>
  <c r="D54" i="2"/>
  <c r="C54" i="2"/>
  <c r="K54" i="2"/>
  <c r="G54" i="2"/>
  <c r="H51" i="3"/>
  <c r="D51" i="3"/>
  <c r="C51" i="3"/>
  <c r="B52" i="3"/>
  <c r="E52" i="3"/>
  <c r="A53" i="3"/>
  <c r="G51" i="3"/>
  <c r="F51" i="3"/>
  <c r="G38" i="63"/>
  <c r="F38" i="63"/>
  <c r="D38" i="63"/>
  <c r="C38" i="63"/>
  <c r="A39" i="63" s="1"/>
  <c r="A56" i="2"/>
  <c r="H55" i="2"/>
  <c r="E55" i="2"/>
  <c r="B55" i="2"/>
  <c r="J55" i="2" l="1"/>
  <c r="F55" i="2"/>
  <c r="K55" i="2"/>
  <c r="I55" i="2"/>
  <c r="G55" i="2"/>
  <c r="C55" i="2"/>
  <c r="D55" i="2"/>
  <c r="E39" i="63"/>
  <c r="B39" i="63"/>
  <c r="B43" i="61"/>
  <c r="E43" i="61"/>
  <c r="A57" i="2"/>
  <c r="B56" i="2"/>
  <c r="H56" i="2"/>
  <c r="E56" i="2"/>
  <c r="E53" i="3"/>
  <c r="A54" i="3"/>
  <c r="B53" i="3"/>
  <c r="G52" i="3"/>
  <c r="F52" i="3"/>
  <c r="C52" i="3"/>
  <c r="D52" i="3"/>
  <c r="H52" i="3"/>
  <c r="D41" i="45"/>
  <c r="B41" i="45"/>
  <c r="F39" i="63" l="1"/>
  <c r="G39" i="63"/>
  <c r="D39" i="63"/>
  <c r="C39" i="63"/>
  <c r="A40" i="63" s="1"/>
  <c r="A55" i="3"/>
  <c r="B54" i="3"/>
  <c r="E54" i="3"/>
  <c r="D56" i="2"/>
  <c r="K56" i="2"/>
  <c r="I56" i="2"/>
  <c r="G56" i="2"/>
  <c r="C56" i="2"/>
  <c r="J56" i="2"/>
  <c r="F56" i="2"/>
  <c r="B57" i="2"/>
  <c r="H57" i="2"/>
  <c r="E57" i="2"/>
  <c r="A58" i="2"/>
  <c r="C41" i="45"/>
  <c r="A42" i="45" s="1"/>
  <c r="F41" i="45"/>
  <c r="E41" i="45"/>
  <c r="F53" i="3"/>
  <c r="G53" i="3"/>
  <c r="G43" i="61"/>
  <c r="F43" i="61"/>
  <c r="C43" i="61"/>
  <c r="A44" i="61" s="1"/>
  <c r="D43" i="61"/>
  <c r="D53" i="3"/>
  <c r="H53" i="3"/>
  <c r="C53" i="3"/>
  <c r="C54" i="3" l="1"/>
  <c r="D54" i="3"/>
  <c r="H54" i="3"/>
  <c r="B44" i="61"/>
  <c r="E44" i="61"/>
  <c r="D42" i="45"/>
  <c r="B42" i="45"/>
  <c r="H58" i="2"/>
  <c r="A59" i="2"/>
  <c r="E58" i="2"/>
  <c r="B58" i="2"/>
  <c r="B40" i="63"/>
  <c r="E40" i="63"/>
  <c r="F54" i="3"/>
  <c r="G54" i="3"/>
  <c r="C57" i="2"/>
  <c r="K57" i="2"/>
  <c r="I57" i="2"/>
  <c r="J57" i="2"/>
  <c r="D57" i="2"/>
  <c r="F57" i="2"/>
  <c r="G57" i="2"/>
  <c r="E55" i="3"/>
  <c r="B55" i="3"/>
  <c r="A56" i="3"/>
  <c r="E56" i="3" l="1"/>
  <c r="B56" i="3"/>
  <c r="A57" i="3"/>
  <c r="F55" i="3"/>
  <c r="G55" i="3"/>
  <c r="E42" i="45"/>
  <c r="C42" i="45"/>
  <c r="A43" i="45" s="1"/>
  <c r="F42" i="45"/>
  <c r="D55" i="3"/>
  <c r="H55" i="3"/>
  <c r="C55" i="3"/>
  <c r="C44" i="61"/>
  <c r="A45" i="61" s="1"/>
  <c r="D44" i="61"/>
  <c r="G44" i="61"/>
  <c r="F44" i="61"/>
  <c r="H59" i="2"/>
  <c r="A60" i="2"/>
  <c r="B59" i="2"/>
  <c r="E59" i="2"/>
  <c r="D40" i="63"/>
  <c r="G40" i="63"/>
  <c r="F40" i="63"/>
  <c r="C40" i="63"/>
  <c r="A41" i="63" s="1"/>
  <c r="J58" i="2"/>
  <c r="C58" i="2"/>
  <c r="F58" i="2"/>
  <c r="K58" i="2"/>
  <c r="I58" i="2"/>
  <c r="D58" i="2"/>
  <c r="G58" i="2"/>
  <c r="D43" i="45" l="1"/>
  <c r="B43" i="45"/>
  <c r="E41" i="63"/>
  <c r="B41" i="63"/>
  <c r="I59" i="2"/>
  <c r="G59" i="2"/>
  <c r="J59" i="2"/>
  <c r="F59" i="2"/>
  <c r="C59" i="2"/>
  <c r="D59" i="2"/>
  <c r="K59" i="2"/>
  <c r="A61" i="2"/>
  <c r="B60" i="2"/>
  <c r="H60" i="2"/>
  <c r="E60" i="2"/>
  <c r="A58" i="3"/>
  <c r="E57" i="3"/>
  <c r="B57" i="3"/>
  <c r="H56" i="3"/>
  <c r="C56" i="3"/>
  <c r="D56" i="3"/>
  <c r="E45" i="61"/>
  <c r="B45" i="61"/>
  <c r="G56" i="3"/>
  <c r="F56" i="3"/>
  <c r="E43" i="45" l="1"/>
  <c r="C43" i="45"/>
  <c r="A44" i="45" s="1"/>
  <c r="F43" i="45"/>
  <c r="I60" i="2"/>
  <c r="G60" i="2"/>
  <c r="K60" i="2"/>
  <c r="J60" i="2"/>
  <c r="F60" i="2"/>
  <c r="D60" i="2"/>
  <c r="C60" i="2"/>
  <c r="D41" i="63"/>
  <c r="C41" i="63"/>
  <c r="A42" i="63" s="1"/>
  <c r="G41" i="63"/>
  <c r="F41" i="63"/>
  <c r="A62" i="2"/>
  <c r="B61" i="2"/>
  <c r="E61" i="2"/>
  <c r="H61" i="2"/>
  <c r="H57" i="3"/>
  <c r="D57" i="3"/>
  <c r="C57" i="3"/>
  <c r="G45" i="61"/>
  <c r="C45" i="61"/>
  <c r="A46" i="61" s="1"/>
  <c r="F45" i="61"/>
  <c r="D45" i="61"/>
  <c r="F57" i="3"/>
  <c r="G57" i="3"/>
  <c r="A59" i="3"/>
  <c r="E58" i="3"/>
  <c r="B58" i="3"/>
  <c r="G58" i="3" l="1"/>
  <c r="F58" i="3"/>
  <c r="E42" i="63"/>
  <c r="B42" i="63"/>
  <c r="D44" i="45"/>
  <c r="B44" i="45"/>
  <c r="B46" i="61"/>
  <c r="E46" i="61"/>
  <c r="E59" i="3"/>
  <c r="B59" i="3"/>
  <c r="A60" i="3"/>
  <c r="C61" i="2"/>
  <c r="G61" i="2"/>
  <c r="J61" i="2"/>
  <c r="F61" i="2"/>
  <c r="K61" i="2"/>
  <c r="I61" i="2"/>
  <c r="D61" i="2"/>
  <c r="B62" i="2"/>
  <c r="A63" i="2"/>
  <c r="E62" i="2"/>
  <c r="H62" i="2"/>
  <c r="C58" i="3"/>
  <c r="H58" i="3"/>
  <c r="D58" i="3"/>
  <c r="K62" i="2" l="1"/>
  <c r="J62" i="2"/>
  <c r="F62" i="2"/>
  <c r="D62" i="2"/>
  <c r="I62" i="2"/>
  <c r="G62" i="2"/>
  <c r="C62" i="2"/>
  <c r="G59" i="3"/>
  <c r="F59" i="3"/>
  <c r="H59" i="3"/>
  <c r="D59" i="3"/>
  <c r="C59" i="3"/>
  <c r="B60" i="3"/>
  <c r="E60" i="3"/>
  <c r="A61" i="3"/>
  <c r="F46" i="61"/>
  <c r="C46" i="61"/>
  <c r="A47" i="61" s="1"/>
  <c r="G46" i="61"/>
  <c r="D46" i="61"/>
  <c r="G42" i="63"/>
  <c r="F42" i="63"/>
  <c r="D42" i="63"/>
  <c r="C42" i="63"/>
  <c r="A43" i="63" s="1"/>
  <c r="F44" i="45"/>
  <c r="E44" i="45"/>
  <c r="C44" i="45"/>
  <c r="A45" i="45" s="1"/>
  <c r="B63" i="2"/>
  <c r="H63" i="2"/>
  <c r="A64" i="2"/>
  <c r="E63" i="2"/>
  <c r="I63" i="2" l="1"/>
  <c r="G63" i="2"/>
  <c r="F63" i="2"/>
  <c r="D63" i="2"/>
  <c r="C63" i="2"/>
  <c r="J63" i="2"/>
  <c r="K63" i="2"/>
  <c r="E61" i="3"/>
  <c r="A62" i="3"/>
  <c r="B61" i="3"/>
  <c r="B47" i="61"/>
  <c r="E47" i="61"/>
  <c r="H64" i="2"/>
  <c r="E64" i="2"/>
  <c r="B64" i="2"/>
  <c r="A65" i="2"/>
  <c r="F60" i="3"/>
  <c r="G60" i="3"/>
  <c r="D45" i="45"/>
  <c r="B45" i="45"/>
  <c r="D60" i="3"/>
  <c r="C60" i="3"/>
  <c r="H60" i="3"/>
  <c r="E43" i="63"/>
  <c r="B43" i="63"/>
  <c r="G43" i="63" l="1"/>
  <c r="F43" i="63"/>
  <c r="D43" i="63"/>
  <c r="C43" i="63"/>
  <c r="A44" i="63" s="1"/>
  <c r="H65" i="2"/>
  <c r="A66" i="2"/>
  <c r="E65" i="2"/>
  <c r="B65" i="2"/>
  <c r="G64" i="2"/>
  <c r="F64" i="2"/>
  <c r="D64" i="2"/>
  <c r="C64" i="2"/>
  <c r="J64" i="2"/>
  <c r="K64" i="2"/>
  <c r="I64" i="2"/>
  <c r="G47" i="61"/>
  <c r="F47" i="61"/>
  <c r="D47" i="61"/>
  <c r="C47" i="61"/>
  <c r="A48" i="61" s="1"/>
  <c r="H61" i="3"/>
  <c r="D61" i="3"/>
  <c r="C61" i="3"/>
  <c r="A63" i="3"/>
  <c r="B62" i="3"/>
  <c r="E62" i="3"/>
  <c r="G61" i="3"/>
  <c r="F61" i="3"/>
  <c r="E45" i="45"/>
  <c r="F45" i="45"/>
  <c r="C45" i="45"/>
  <c r="A46" i="45" s="1"/>
  <c r="B46" i="45" l="1"/>
  <c r="D46" i="45"/>
  <c r="K65" i="2"/>
  <c r="J65" i="2"/>
  <c r="G65" i="2"/>
  <c r="I65" i="2"/>
  <c r="F65" i="2"/>
  <c r="C65" i="2"/>
  <c r="D65" i="2"/>
  <c r="B48" i="61"/>
  <c r="E48" i="61"/>
  <c r="G62" i="3"/>
  <c r="F62" i="3"/>
  <c r="B44" i="63"/>
  <c r="E44" i="63"/>
  <c r="B63" i="3"/>
  <c r="A64" i="3"/>
  <c r="E63" i="3"/>
  <c r="A67" i="2"/>
  <c r="B66" i="2"/>
  <c r="H66" i="2"/>
  <c r="E66" i="2"/>
  <c r="D62" i="3"/>
  <c r="C62" i="3"/>
  <c r="H62" i="3"/>
  <c r="C48" i="61" l="1"/>
  <c r="A49" i="61" s="1"/>
  <c r="D48" i="61"/>
  <c r="F48" i="61"/>
  <c r="G48" i="61"/>
  <c r="G63" i="3"/>
  <c r="F63" i="3"/>
  <c r="F66" i="2"/>
  <c r="G66" i="2"/>
  <c r="C66" i="2"/>
  <c r="K66" i="2"/>
  <c r="D66" i="2"/>
  <c r="I66" i="2"/>
  <c r="J66" i="2"/>
  <c r="F46" i="45"/>
  <c r="C46" i="45"/>
  <c r="A47" i="45" s="1"/>
  <c r="E46" i="45"/>
  <c r="A68" i="2"/>
  <c r="E67" i="2"/>
  <c r="H67" i="2"/>
  <c r="B67" i="2"/>
  <c r="A65" i="3"/>
  <c r="B64" i="3"/>
  <c r="E64" i="3"/>
  <c r="G44" i="63"/>
  <c r="F44" i="63"/>
  <c r="D44" i="63"/>
  <c r="C44" i="63"/>
  <c r="A45" i="63" s="1"/>
  <c r="H63" i="3"/>
  <c r="D63" i="3"/>
  <c r="C63" i="3"/>
  <c r="B45" i="63" l="1"/>
  <c r="E45" i="63"/>
  <c r="B65" i="3"/>
  <c r="A66" i="3"/>
  <c r="E65" i="3"/>
  <c r="G64" i="3"/>
  <c r="F64" i="3"/>
  <c r="D64" i="3"/>
  <c r="H64" i="3"/>
  <c r="C64" i="3"/>
  <c r="E49" i="61"/>
  <c r="B49" i="61"/>
  <c r="G67" i="2"/>
  <c r="F67" i="2"/>
  <c r="J67" i="2"/>
  <c r="K67" i="2"/>
  <c r="I67" i="2"/>
  <c r="C67" i="2"/>
  <c r="D67" i="2"/>
  <c r="H68" i="2"/>
  <c r="A69" i="2"/>
  <c r="B68" i="2"/>
  <c r="E68" i="2"/>
  <c r="D47" i="45"/>
  <c r="B47" i="45"/>
  <c r="F47" i="45" l="1"/>
  <c r="E47" i="45"/>
  <c r="C47" i="45"/>
  <c r="A48" i="45" s="1"/>
  <c r="F68" i="2"/>
  <c r="J68" i="2"/>
  <c r="I68" i="2"/>
  <c r="K68" i="2"/>
  <c r="C68" i="2"/>
  <c r="D68" i="2"/>
  <c r="G68" i="2"/>
  <c r="B66" i="3"/>
  <c r="A67" i="3"/>
  <c r="E66" i="3"/>
  <c r="G65" i="3"/>
  <c r="F65" i="3"/>
  <c r="E69" i="2"/>
  <c r="H69" i="2"/>
  <c r="B69" i="2"/>
  <c r="A70" i="2"/>
  <c r="H65" i="3"/>
  <c r="D65" i="3"/>
  <c r="C65" i="3"/>
  <c r="D45" i="63"/>
  <c r="C45" i="63"/>
  <c r="A46" i="63" s="1"/>
  <c r="G45" i="63"/>
  <c r="F45" i="63"/>
  <c r="C49" i="61"/>
  <c r="A50" i="61" s="1"/>
  <c r="F49" i="61"/>
  <c r="D49" i="61"/>
  <c r="G49" i="61"/>
  <c r="G66" i="3" l="1"/>
  <c r="F66" i="3"/>
  <c r="A68" i="3"/>
  <c r="E67" i="3"/>
  <c r="B67" i="3"/>
  <c r="D48" i="45"/>
  <c r="B48" i="45"/>
  <c r="G69" i="2"/>
  <c r="F69" i="2"/>
  <c r="D69" i="2"/>
  <c r="K69" i="2"/>
  <c r="I69" i="2"/>
  <c r="C69" i="2"/>
  <c r="J69" i="2"/>
  <c r="D66" i="3"/>
  <c r="C66" i="3"/>
  <c r="H66" i="3"/>
  <c r="E46" i="63"/>
  <c r="B46" i="63"/>
  <c r="A71" i="2"/>
  <c r="E70" i="2"/>
  <c r="H70" i="2"/>
  <c r="B70" i="2"/>
  <c r="B50" i="61"/>
  <c r="E50" i="61"/>
  <c r="E48" i="45" l="1"/>
  <c r="F48" i="45"/>
  <c r="C48" i="45"/>
  <c r="A49" i="45" s="1"/>
  <c r="G70" i="2"/>
  <c r="D70" i="2"/>
  <c r="K70" i="2"/>
  <c r="J70" i="2"/>
  <c r="I70" i="2"/>
  <c r="F70" i="2"/>
  <c r="C70" i="2"/>
  <c r="F50" i="61"/>
  <c r="D50" i="61"/>
  <c r="G50" i="61"/>
  <c r="C50" i="61"/>
  <c r="A51" i="61" s="1"/>
  <c r="A72" i="2"/>
  <c r="H71" i="2"/>
  <c r="B71" i="2"/>
  <c r="E71" i="2"/>
  <c r="C67" i="3"/>
  <c r="H67" i="3"/>
  <c r="D67" i="3"/>
  <c r="F67" i="3"/>
  <c r="G67" i="3"/>
  <c r="B68" i="3"/>
  <c r="E68" i="3"/>
  <c r="A69" i="3"/>
  <c r="F46" i="63"/>
  <c r="G46" i="63"/>
  <c r="D46" i="63"/>
  <c r="C46" i="63"/>
  <c r="A47" i="63" s="1"/>
  <c r="B49" i="45" l="1"/>
  <c r="D49" i="45"/>
  <c r="E69" i="3"/>
  <c r="A70" i="3"/>
  <c r="B69" i="3"/>
  <c r="G68" i="3"/>
  <c r="F68" i="3"/>
  <c r="C68" i="3"/>
  <c r="H68" i="3"/>
  <c r="D68" i="3"/>
  <c r="E47" i="63"/>
  <c r="B47" i="63"/>
  <c r="K71" i="2"/>
  <c r="I71" i="2"/>
  <c r="C71" i="2"/>
  <c r="J71" i="2"/>
  <c r="G71" i="2"/>
  <c r="F71" i="2"/>
  <c r="D71" i="2"/>
  <c r="E72" i="2"/>
  <c r="A73" i="2"/>
  <c r="H72" i="2"/>
  <c r="B72" i="2"/>
  <c r="E51" i="61"/>
  <c r="B51" i="61"/>
  <c r="G51" i="61" l="1"/>
  <c r="F51" i="61"/>
  <c r="D51" i="61"/>
  <c r="C51" i="61"/>
  <c r="A52" i="61" s="1"/>
  <c r="E73" i="2"/>
  <c r="B73" i="2"/>
  <c r="A74" i="2"/>
  <c r="H73" i="2"/>
  <c r="D69" i="3"/>
  <c r="H69" i="3"/>
  <c r="C69" i="3"/>
  <c r="J72" i="2"/>
  <c r="I72" i="2"/>
  <c r="F72" i="2"/>
  <c r="D72" i="2"/>
  <c r="G72" i="2"/>
  <c r="C72" i="2"/>
  <c r="K72" i="2"/>
  <c r="A71" i="3"/>
  <c r="B70" i="3"/>
  <c r="E70" i="3"/>
  <c r="F69" i="3"/>
  <c r="G69" i="3"/>
  <c r="C49" i="45"/>
  <c r="A50" i="45" s="1"/>
  <c r="E49" i="45"/>
  <c r="F49" i="45"/>
  <c r="C47" i="63"/>
  <c r="A48" i="63" s="1"/>
  <c r="G47" i="63"/>
  <c r="F47" i="63"/>
  <c r="D47" i="63"/>
  <c r="G73" i="2" l="1"/>
  <c r="K73" i="2"/>
  <c r="F73" i="2"/>
  <c r="J73" i="2"/>
  <c r="I73" i="2"/>
  <c r="D73" i="2"/>
  <c r="C73" i="2"/>
  <c r="B52" i="61"/>
  <c r="E52" i="61"/>
  <c r="E74" i="2"/>
  <c r="A75" i="2"/>
  <c r="H74" i="2"/>
  <c r="B74" i="2"/>
  <c r="E48" i="63"/>
  <c r="B48" i="63"/>
  <c r="F70" i="3"/>
  <c r="G70" i="3"/>
  <c r="E71" i="3"/>
  <c r="A72" i="3"/>
  <c r="B71" i="3"/>
  <c r="D70" i="3"/>
  <c r="C70" i="3"/>
  <c r="H70" i="3"/>
  <c r="D50" i="45"/>
  <c r="B50" i="45"/>
  <c r="D71" i="3" l="1"/>
  <c r="H71" i="3"/>
  <c r="C71" i="3"/>
  <c r="A73" i="3"/>
  <c r="E72" i="3"/>
  <c r="B72" i="3"/>
  <c r="G71" i="3"/>
  <c r="F71" i="3"/>
  <c r="G48" i="63"/>
  <c r="D48" i="63"/>
  <c r="C48" i="63"/>
  <c r="A49" i="63" s="1"/>
  <c r="F48" i="63"/>
  <c r="F74" i="2"/>
  <c r="D74" i="2"/>
  <c r="K74" i="2"/>
  <c r="I74" i="2"/>
  <c r="C74" i="2"/>
  <c r="G74" i="2"/>
  <c r="J74" i="2"/>
  <c r="A76" i="2"/>
  <c r="H75" i="2"/>
  <c r="E75" i="2"/>
  <c r="B75" i="2"/>
  <c r="F50" i="45"/>
  <c r="E50" i="45"/>
  <c r="C50" i="45"/>
  <c r="A51" i="45" s="1"/>
  <c r="F52" i="61"/>
  <c r="D52" i="61"/>
  <c r="C52" i="61"/>
  <c r="A53" i="61" s="1"/>
  <c r="G52" i="61"/>
  <c r="H72" i="3" l="1"/>
  <c r="C72" i="3"/>
  <c r="D72" i="3"/>
  <c r="G72" i="3"/>
  <c r="F72" i="3"/>
  <c r="A74" i="3"/>
  <c r="E73" i="3"/>
  <c r="B73" i="3"/>
  <c r="K75" i="2"/>
  <c r="F75" i="2"/>
  <c r="C75" i="2"/>
  <c r="G75" i="2"/>
  <c r="I75" i="2"/>
  <c r="J75" i="2"/>
  <c r="D75" i="2"/>
  <c r="E53" i="61"/>
  <c r="B53" i="61"/>
  <c r="B76" i="2"/>
  <c r="E76" i="2"/>
  <c r="A77" i="2"/>
  <c r="H76" i="2"/>
  <c r="D51" i="45"/>
  <c r="B51" i="45"/>
  <c r="B49" i="63"/>
  <c r="E49" i="63"/>
  <c r="C51" i="45" l="1"/>
  <c r="A52" i="45" s="1"/>
  <c r="E51" i="45"/>
  <c r="F51" i="45"/>
  <c r="C49" i="63"/>
  <c r="A50" i="63" s="1"/>
  <c r="D49" i="63"/>
  <c r="F49" i="63"/>
  <c r="G49" i="63"/>
  <c r="H73" i="3"/>
  <c r="D73" i="3"/>
  <c r="C73" i="3"/>
  <c r="G73" i="3"/>
  <c r="F73" i="3"/>
  <c r="A75" i="3"/>
  <c r="E74" i="3"/>
  <c r="B74" i="3"/>
  <c r="K76" i="2"/>
  <c r="J76" i="2"/>
  <c r="F76" i="2"/>
  <c r="D76" i="2"/>
  <c r="C76" i="2"/>
  <c r="I76" i="2"/>
  <c r="G76" i="2"/>
  <c r="E77" i="2"/>
  <c r="A78" i="2"/>
  <c r="H77" i="2"/>
  <c r="B77" i="2"/>
  <c r="D53" i="61"/>
  <c r="C53" i="61"/>
  <c r="A54" i="61" s="1"/>
  <c r="G53" i="61"/>
  <c r="F53" i="61"/>
  <c r="A79" i="2" l="1"/>
  <c r="B78" i="2"/>
  <c r="H78" i="2"/>
  <c r="E78" i="2"/>
  <c r="B50" i="63"/>
  <c r="E50" i="63"/>
  <c r="I77" i="2"/>
  <c r="G77" i="2"/>
  <c r="F77" i="2"/>
  <c r="D77" i="2"/>
  <c r="J77" i="2"/>
  <c r="C77" i="2"/>
  <c r="K77" i="2"/>
  <c r="D52" i="45"/>
  <c r="B52" i="45"/>
  <c r="G74" i="3"/>
  <c r="F74" i="3"/>
  <c r="C74" i="3"/>
  <c r="H74" i="3"/>
  <c r="D74" i="3"/>
  <c r="B54" i="61"/>
  <c r="E54" i="61"/>
  <c r="A76" i="3"/>
  <c r="E75" i="3"/>
  <c r="B75" i="3"/>
  <c r="C52" i="45" l="1"/>
  <c r="A53" i="45" s="1"/>
  <c r="F52" i="45"/>
  <c r="E52" i="45"/>
  <c r="F78" i="2"/>
  <c r="D78" i="2"/>
  <c r="K78" i="2"/>
  <c r="J78" i="2"/>
  <c r="I78" i="2"/>
  <c r="C78" i="2"/>
  <c r="G78" i="2"/>
  <c r="E79" i="2"/>
  <c r="H79" i="2"/>
  <c r="B79" i="2"/>
  <c r="A80" i="2"/>
  <c r="F50" i="63"/>
  <c r="D50" i="63"/>
  <c r="C50" i="63"/>
  <c r="A51" i="63" s="1"/>
  <c r="G50" i="63"/>
  <c r="H75" i="3"/>
  <c r="D75" i="3"/>
  <c r="C75" i="3"/>
  <c r="G75" i="3"/>
  <c r="F75" i="3"/>
  <c r="B76" i="3"/>
  <c r="A77" i="3"/>
  <c r="E76" i="3"/>
  <c r="D54" i="61"/>
  <c r="C54" i="61"/>
  <c r="A55" i="61" s="1"/>
  <c r="G54" i="61"/>
  <c r="F54" i="61"/>
  <c r="E51" i="63" l="1"/>
  <c r="B51" i="63"/>
  <c r="E55" i="61"/>
  <c r="B55" i="61"/>
  <c r="E80" i="2"/>
  <c r="A81" i="2"/>
  <c r="B80" i="2"/>
  <c r="H80" i="2"/>
  <c r="E77" i="3"/>
  <c r="B77" i="3"/>
  <c r="A78" i="3"/>
  <c r="D79" i="2"/>
  <c r="C79" i="2"/>
  <c r="K79" i="2"/>
  <c r="J79" i="2"/>
  <c r="G79" i="2"/>
  <c r="F79" i="2"/>
  <c r="I79" i="2"/>
  <c r="D53" i="45"/>
  <c r="B53" i="45"/>
  <c r="G76" i="3"/>
  <c r="F76" i="3"/>
  <c r="D76" i="3"/>
  <c r="H76" i="3"/>
  <c r="C76" i="3"/>
  <c r="F53" i="45" l="1"/>
  <c r="E53" i="45"/>
  <c r="C53" i="45"/>
  <c r="A54" i="45" s="1"/>
  <c r="A79" i="3"/>
  <c r="E78" i="3"/>
  <c r="B78" i="3"/>
  <c r="H77" i="3"/>
  <c r="D77" i="3"/>
  <c r="C77" i="3"/>
  <c r="G77" i="3"/>
  <c r="F77" i="3"/>
  <c r="J80" i="2"/>
  <c r="I80" i="2"/>
  <c r="G80" i="2"/>
  <c r="K80" i="2"/>
  <c r="D80" i="2"/>
  <c r="F80" i="2"/>
  <c r="C80" i="2"/>
  <c r="E81" i="2"/>
  <c r="A82" i="2"/>
  <c r="H81" i="2"/>
  <c r="B81" i="2"/>
  <c r="G51" i="63"/>
  <c r="F51" i="63"/>
  <c r="C51" i="63"/>
  <c r="A52" i="63" s="1"/>
  <c r="D51" i="63"/>
  <c r="G55" i="61"/>
  <c r="F55" i="61"/>
  <c r="C55" i="61"/>
  <c r="A56" i="61" s="1"/>
  <c r="D55" i="61"/>
  <c r="B54" i="45" l="1"/>
  <c r="D54" i="45"/>
  <c r="F78" i="3"/>
  <c r="G78" i="3"/>
  <c r="H78" i="3"/>
  <c r="D78" i="3"/>
  <c r="C78" i="3"/>
  <c r="B79" i="3"/>
  <c r="E79" i="3"/>
  <c r="A80" i="3"/>
  <c r="E52" i="63"/>
  <c r="B52" i="63"/>
  <c r="A83" i="2"/>
  <c r="H82" i="2"/>
  <c r="E82" i="2"/>
  <c r="B82" i="2"/>
  <c r="K81" i="2"/>
  <c r="J81" i="2"/>
  <c r="I81" i="2"/>
  <c r="C81" i="2"/>
  <c r="D81" i="2"/>
  <c r="G81" i="2"/>
  <c r="F81" i="2"/>
  <c r="B56" i="61"/>
  <c r="E56" i="61"/>
  <c r="F56" i="61" l="1"/>
  <c r="D56" i="61"/>
  <c r="G56" i="61"/>
  <c r="C56" i="61"/>
  <c r="A57" i="61" s="1"/>
  <c r="K82" i="2"/>
  <c r="C82" i="2"/>
  <c r="J82" i="2"/>
  <c r="F82" i="2"/>
  <c r="I82" i="2"/>
  <c r="G82" i="2"/>
  <c r="D82" i="2"/>
  <c r="F54" i="45"/>
  <c r="E54" i="45"/>
  <c r="C54" i="45"/>
  <c r="A55" i="45" s="1"/>
  <c r="G52" i="63"/>
  <c r="F52" i="63"/>
  <c r="D52" i="63"/>
  <c r="C52" i="63"/>
  <c r="A53" i="63" s="1"/>
  <c r="A81" i="3"/>
  <c r="B80" i="3"/>
  <c r="E80" i="3"/>
  <c r="E83" i="2"/>
  <c r="H83" i="2"/>
  <c r="B83" i="2"/>
  <c r="A84" i="2"/>
  <c r="F79" i="3"/>
  <c r="G79" i="3"/>
  <c r="H79" i="3"/>
  <c r="D79" i="3"/>
  <c r="C79" i="3"/>
  <c r="G80" i="3" l="1"/>
  <c r="F80" i="3"/>
  <c r="B81" i="3"/>
  <c r="E81" i="3"/>
  <c r="A82" i="3"/>
  <c r="H80" i="3"/>
  <c r="D80" i="3"/>
  <c r="C80" i="3"/>
  <c r="B53" i="63"/>
  <c r="E53" i="63"/>
  <c r="E57" i="61"/>
  <c r="B57" i="61"/>
  <c r="D55" i="45"/>
  <c r="B55" i="45"/>
  <c r="B84" i="2"/>
  <c r="E84" i="2"/>
  <c r="H84" i="2"/>
  <c r="A85" i="2"/>
  <c r="C83" i="2"/>
  <c r="J83" i="2"/>
  <c r="D83" i="2"/>
  <c r="K83" i="2"/>
  <c r="I83" i="2"/>
  <c r="G83" i="2"/>
  <c r="F83" i="2"/>
  <c r="E55" i="45" l="1"/>
  <c r="F55" i="45"/>
  <c r="C55" i="45"/>
  <c r="A56" i="45" s="1"/>
  <c r="B82" i="3"/>
  <c r="A83" i="3"/>
  <c r="E82" i="3"/>
  <c r="G81" i="3"/>
  <c r="F81" i="3"/>
  <c r="B85" i="2"/>
  <c r="H85" i="2"/>
  <c r="A86" i="2"/>
  <c r="E85" i="2"/>
  <c r="G53" i="63"/>
  <c r="F53" i="63"/>
  <c r="D53" i="63"/>
  <c r="C53" i="63"/>
  <c r="A54" i="63" s="1"/>
  <c r="D57" i="61"/>
  <c r="C57" i="61"/>
  <c r="A58" i="61" s="1"/>
  <c r="G57" i="61"/>
  <c r="F57" i="61"/>
  <c r="D84" i="2"/>
  <c r="C84" i="2"/>
  <c r="G84" i="2"/>
  <c r="F84" i="2"/>
  <c r="J84" i="2"/>
  <c r="K84" i="2"/>
  <c r="I84" i="2"/>
  <c r="H81" i="3"/>
  <c r="D81" i="3"/>
  <c r="C81" i="3"/>
  <c r="A84" i="3" l="1"/>
  <c r="E83" i="3"/>
  <c r="B83" i="3"/>
  <c r="H86" i="2"/>
  <c r="B86" i="2"/>
  <c r="A87" i="2"/>
  <c r="E86" i="2"/>
  <c r="G82" i="3"/>
  <c r="F82" i="3"/>
  <c r="D56" i="45"/>
  <c r="B56" i="45"/>
  <c r="B58" i="61"/>
  <c r="E58" i="61"/>
  <c r="K85" i="2"/>
  <c r="I85" i="2"/>
  <c r="D85" i="2"/>
  <c r="J85" i="2"/>
  <c r="G85" i="2"/>
  <c r="F85" i="2"/>
  <c r="C85" i="2"/>
  <c r="D82" i="3"/>
  <c r="C82" i="3"/>
  <c r="H82" i="3"/>
  <c r="E54" i="63"/>
  <c r="B54" i="63"/>
  <c r="G83" i="3" l="1"/>
  <c r="F83" i="3"/>
  <c r="H83" i="3"/>
  <c r="D83" i="3"/>
  <c r="C83" i="3"/>
  <c r="B84" i="3"/>
  <c r="A85" i="3"/>
  <c r="E84" i="3"/>
  <c r="C58" i="61"/>
  <c r="A59" i="61" s="1"/>
  <c r="G58" i="61"/>
  <c r="D58" i="61"/>
  <c r="F58" i="61"/>
  <c r="A88" i="2"/>
  <c r="E87" i="2"/>
  <c r="H87" i="2"/>
  <c r="B87" i="2"/>
  <c r="J86" i="2"/>
  <c r="I86" i="2"/>
  <c r="G86" i="2"/>
  <c r="K86" i="2"/>
  <c r="F86" i="2"/>
  <c r="D86" i="2"/>
  <c r="C86" i="2"/>
  <c r="C56" i="45"/>
  <c r="A57" i="45" s="1"/>
  <c r="F56" i="45"/>
  <c r="E56" i="45"/>
  <c r="F54" i="63"/>
  <c r="D54" i="63"/>
  <c r="G54" i="63"/>
  <c r="C54" i="63"/>
  <c r="A55" i="63" s="1"/>
  <c r="J87" i="2" l="1"/>
  <c r="D87" i="2"/>
  <c r="I87" i="2"/>
  <c r="K87" i="2"/>
  <c r="F87" i="2"/>
  <c r="G87" i="2"/>
  <c r="C87" i="2"/>
  <c r="G84" i="3"/>
  <c r="F84" i="3"/>
  <c r="E85" i="3"/>
  <c r="A86" i="3"/>
  <c r="B85" i="3"/>
  <c r="A89" i="2"/>
  <c r="B88" i="2"/>
  <c r="E88" i="2"/>
  <c r="H88" i="2"/>
  <c r="D57" i="45"/>
  <c r="B57" i="45"/>
  <c r="C84" i="3"/>
  <c r="H84" i="3"/>
  <c r="D84" i="3"/>
  <c r="B55" i="63"/>
  <c r="E55" i="63"/>
  <c r="E59" i="61"/>
  <c r="B59" i="61"/>
  <c r="D88" i="2" l="1"/>
  <c r="C88" i="2"/>
  <c r="F88" i="2"/>
  <c r="K88" i="2"/>
  <c r="J88" i="2"/>
  <c r="I88" i="2"/>
  <c r="G88" i="2"/>
  <c r="B89" i="2"/>
  <c r="A90" i="2"/>
  <c r="E89" i="2"/>
  <c r="H89" i="2"/>
  <c r="D85" i="3"/>
  <c r="H85" i="3"/>
  <c r="C85" i="3"/>
  <c r="C55" i="63"/>
  <c r="A56" i="63" s="1"/>
  <c r="G55" i="63"/>
  <c r="F55" i="63"/>
  <c r="D55" i="63"/>
  <c r="E57" i="45"/>
  <c r="F57" i="45"/>
  <c r="C57" i="45"/>
  <c r="A58" i="45" s="1"/>
  <c r="A87" i="3"/>
  <c r="B86" i="3"/>
  <c r="E86" i="3"/>
  <c r="F85" i="3"/>
  <c r="G85" i="3"/>
  <c r="G59" i="61"/>
  <c r="F59" i="61"/>
  <c r="C59" i="61"/>
  <c r="A60" i="61" s="1"/>
  <c r="D59" i="61"/>
  <c r="B58" i="45" l="1"/>
  <c r="D58" i="45"/>
  <c r="B60" i="61"/>
  <c r="E60" i="61"/>
  <c r="H90" i="2"/>
  <c r="E90" i="2"/>
  <c r="B90" i="2"/>
  <c r="A91" i="2"/>
  <c r="G86" i="3"/>
  <c r="F86" i="3"/>
  <c r="C89" i="2"/>
  <c r="K89" i="2"/>
  <c r="I89" i="2"/>
  <c r="J89" i="2"/>
  <c r="D89" i="2"/>
  <c r="F89" i="2"/>
  <c r="G89" i="2"/>
  <c r="E56" i="63"/>
  <c r="B56" i="63"/>
  <c r="E87" i="3"/>
  <c r="A88" i="3"/>
  <c r="B87" i="3"/>
  <c r="D86" i="3"/>
  <c r="C86" i="3"/>
  <c r="H86" i="3"/>
  <c r="D87" i="3" l="1"/>
  <c r="H87" i="3"/>
  <c r="C87" i="3"/>
  <c r="A89" i="3"/>
  <c r="E88" i="3"/>
  <c r="B88" i="3"/>
  <c r="G60" i="61"/>
  <c r="F60" i="61"/>
  <c r="D60" i="61"/>
  <c r="C60" i="61"/>
  <c r="A61" i="61" s="1"/>
  <c r="F87" i="3"/>
  <c r="G87" i="3"/>
  <c r="F58" i="45"/>
  <c r="E58" i="45"/>
  <c r="C58" i="45"/>
  <c r="A59" i="45" s="1"/>
  <c r="H91" i="2"/>
  <c r="E91" i="2"/>
  <c r="B91" i="2"/>
  <c r="A92" i="2"/>
  <c r="J90" i="2"/>
  <c r="C90" i="2"/>
  <c r="D90" i="2"/>
  <c r="F90" i="2"/>
  <c r="I90" i="2"/>
  <c r="K90" i="2"/>
  <c r="G90" i="2"/>
  <c r="G56" i="63"/>
  <c r="F56" i="63"/>
  <c r="D56" i="63"/>
  <c r="C56" i="63"/>
  <c r="A57" i="63" s="1"/>
  <c r="E61" i="61" l="1"/>
  <c r="B61" i="61"/>
  <c r="E89" i="3"/>
  <c r="A90" i="3"/>
  <c r="B89" i="3"/>
  <c r="I91" i="2"/>
  <c r="G91" i="2"/>
  <c r="C91" i="2"/>
  <c r="D91" i="2"/>
  <c r="J91" i="2"/>
  <c r="F91" i="2"/>
  <c r="K91" i="2"/>
  <c r="G88" i="3"/>
  <c r="F88" i="3"/>
  <c r="D59" i="45"/>
  <c r="B59" i="45"/>
  <c r="H88" i="3"/>
  <c r="D88" i="3"/>
  <c r="C88" i="3"/>
  <c r="A93" i="2"/>
  <c r="H92" i="2"/>
  <c r="E92" i="2"/>
  <c r="B92" i="2"/>
  <c r="E57" i="63"/>
  <c r="B57" i="63"/>
  <c r="H89" i="3" l="1"/>
  <c r="D89" i="3"/>
  <c r="C89" i="3"/>
  <c r="G89" i="3"/>
  <c r="F89" i="3"/>
  <c r="F59" i="45"/>
  <c r="C59" i="45"/>
  <c r="A60" i="45" s="1"/>
  <c r="E59" i="45"/>
  <c r="A91" i="3"/>
  <c r="E90" i="3"/>
  <c r="B90" i="3"/>
  <c r="C57" i="63"/>
  <c r="A58" i="63" s="1"/>
  <c r="G57" i="63"/>
  <c r="F57" i="63"/>
  <c r="D57" i="63"/>
  <c r="I92" i="2"/>
  <c r="K92" i="2"/>
  <c r="F92" i="2"/>
  <c r="G92" i="2"/>
  <c r="J92" i="2"/>
  <c r="C92" i="2"/>
  <c r="D92" i="2"/>
  <c r="F61" i="61"/>
  <c r="D61" i="61"/>
  <c r="G61" i="61"/>
  <c r="C61" i="61"/>
  <c r="A62" i="61" s="1"/>
  <c r="A94" i="2"/>
  <c r="E93" i="2"/>
  <c r="H93" i="2"/>
  <c r="B93" i="2"/>
  <c r="B62" i="61" l="1"/>
  <c r="E62" i="61"/>
  <c r="D60" i="45"/>
  <c r="B60" i="45"/>
  <c r="C93" i="2"/>
  <c r="J93" i="2"/>
  <c r="I93" i="2"/>
  <c r="F93" i="2"/>
  <c r="D93" i="2"/>
  <c r="K93" i="2"/>
  <c r="G93" i="2"/>
  <c r="B58" i="63"/>
  <c r="E58" i="63"/>
  <c r="C90" i="3"/>
  <c r="H90" i="3"/>
  <c r="D90" i="3"/>
  <c r="B91" i="3"/>
  <c r="E91" i="3"/>
  <c r="A92" i="3"/>
  <c r="B94" i="2"/>
  <c r="H94" i="2"/>
  <c r="E94" i="2"/>
  <c r="A95" i="2"/>
  <c r="G90" i="3"/>
  <c r="F90" i="3"/>
  <c r="E60" i="45" l="1"/>
  <c r="C60" i="45"/>
  <c r="A61" i="45" s="1"/>
  <c r="F60" i="45"/>
  <c r="C62" i="61"/>
  <c r="A63" i="61" s="1"/>
  <c r="F62" i="61"/>
  <c r="G62" i="61"/>
  <c r="D62" i="61"/>
  <c r="F58" i="63"/>
  <c r="D58" i="63"/>
  <c r="C58" i="63"/>
  <c r="A59" i="63" s="1"/>
  <c r="G58" i="63"/>
  <c r="B95" i="2"/>
  <c r="H95" i="2"/>
  <c r="A96" i="2"/>
  <c r="E95" i="2"/>
  <c r="D94" i="2"/>
  <c r="J94" i="2"/>
  <c r="I94" i="2"/>
  <c r="K94" i="2"/>
  <c r="F94" i="2"/>
  <c r="G94" i="2"/>
  <c r="C94" i="2"/>
  <c r="B92" i="3"/>
  <c r="A93" i="3"/>
  <c r="E92" i="3"/>
  <c r="G91" i="3"/>
  <c r="F91" i="3"/>
  <c r="H91" i="3"/>
  <c r="C91" i="3"/>
  <c r="D91" i="3"/>
  <c r="H96" i="2" l="1"/>
  <c r="A97" i="2"/>
  <c r="B96" i="2"/>
  <c r="E96" i="2"/>
  <c r="E63" i="61"/>
  <c r="B63" i="61"/>
  <c r="G92" i="3"/>
  <c r="F92" i="3"/>
  <c r="D61" i="45"/>
  <c r="B61" i="45"/>
  <c r="E59" i="63"/>
  <c r="B59" i="63"/>
  <c r="E93" i="3"/>
  <c r="A94" i="3"/>
  <c r="B93" i="3"/>
  <c r="H92" i="3"/>
  <c r="D92" i="3"/>
  <c r="C92" i="3"/>
  <c r="I95" i="2"/>
  <c r="G95" i="2"/>
  <c r="K95" i="2"/>
  <c r="D95" i="2"/>
  <c r="J95" i="2"/>
  <c r="F95" i="2"/>
  <c r="C95" i="2"/>
  <c r="G96" i="2" l="1"/>
  <c r="F96" i="2"/>
  <c r="C96" i="2"/>
  <c r="K96" i="2"/>
  <c r="J96" i="2"/>
  <c r="I96" i="2"/>
  <c r="D96" i="2"/>
  <c r="H97" i="2"/>
  <c r="A98" i="2"/>
  <c r="B97" i="2"/>
  <c r="E97" i="2"/>
  <c r="F93" i="3"/>
  <c r="G93" i="3"/>
  <c r="G63" i="61"/>
  <c r="C63" i="61"/>
  <c r="A64" i="61" s="1"/>
  <c r="D63" i="61"/>
  <c r="F63" i="61"/>
  <c r="A95" i="3"/>
  <c r="E94" i="3"/>
  <c r="B94" i="3"/>
  <c r="F59" i="63"/>
  <c r="G59" i="63"/>
  <c r="C59" i="63"/>
  <c r="A60" i="63" s="1"/>
  <c r="D59" i="63"/>
  <c r="H93" i="3"/>
  <c r="D93" i="3"/>
  <c r="C93" i="3"/>
  <c r="C61" i="45"/>
  <c r="A62" i="45" s="1"/>
  <c r="F61" i="45"/>
  <c r="E61" i="45"/>
  <c r="C97" i="2" l="1"/>
  <c r="J97" i="2"/>
  <c r="G97" i="2"/>
  <c r="F97" i="2"/>
  <c r="I97" i="2"/>
  <c r="K97" i="2"/>
  <c r="D97" i="2"/>
  <c r="A99" i="2"/>
  <c r="B98" i="2"/>
  <c r="E98" i="2"/>
  <c r="H98" i="2"/>
  <c r="B60" i="63"/>
  <c r="E60" i="63"/>
  <c r="D62" i="45"/>
  <c r="B62" i="45"/>
  <c r="H94" i="3"/>
  <c r="D94" i="3"/>
  <c r="C94" i="3"/>
  <c r="G94" i="3"/>
  <c r="F94" i="3"/>
  <c r="B95" i="3"/>
  <c r="A96" i="3"/>
  <c r="E95" i="3"/>
  <c r="B64" i="61"/>
  <c r="E64" i="61"/>
  <c r="C62" i="45" l="1"/>
  <c r="A63" i="45" s="1"/>
  <c r="E62" i="45"/>
  <c r="F62" i="45"/>
  <c r="G60" i="63"/>
  <c r="F60" i="63"/>
  <c r="D60" i="63"/>
  <c r="C60" i="63"/>
  <c r="A61" i="63" s="1"/>
  <c r="I98" i="2"/>
  <c r="G98" i="2"/>
  <c r="D98" i="2"/>
  <c r="K98" i="2"/>
  <c r="J98" i="2"/>
  <c r="C98" i="2"/>
  <c r="F98" i="2"/>
  <c r="G95" i="3"/>
  <c r="F95" i="3"/>
  <c r="A100" i="2"/>
  <c r="H99" i="2"/>
  <c r="E99" i="2"/>
  <c r="B99" i="2"/>
  <c r="A97" i="3"/>
  <c r="E96" i="3"/>
  <c r="B96" i="3"/>
  <c r="G64" i="61"/>
  <c r="F64" i="61"/>
  <c r="D64" i="61"/>
  <c r="C64" i="61"/>
  <c r="A65" i="61" s="1"/>
  <c r="H95" i="3"/>
  <c r="D95" i="3"/>
  <c r="C95" i="3"/>
  <c r="E61" i="63" l="1"/>
  <c r="B61" i="63"/>
  <c r="E65" i="61"/>
  <c r="B65" i="61"/>
  <c r="C96" i="3"/>
  <c r="D96" i="3"/>
  <c r="H96" i="3"/>
  <c r="E97" i="3"/>
  <c r="A98" i="3"/>
  <c r="B97" i="3"/>
  <c r="G96" i="3"/>
  <c r="F96" i="3"/>
  <c r="D63" i="45"/>
  <c r="B63" i="45"/>
  <c r="C99" i="2"/>
  <c r="K99" i="2"/>
  <c r="J99" i="2"/>
  <c r="I99" i="2"/>
  <c r="G99" i="2"/>
  <c r="F99" i="2"/>
  <c r="D99" i="2"/>
  <c r="H100" i="2"/>
  <c r="A101" i="2"/>
  <c r="B100" i="2"/>
  <c r="E100" i="2"/>
  <c r="D97" i="3" l="1"/>
  <c r="H97" i="3"/>
  <c r="C97" i="3"/>
  <c r="B98" i="3"/>
  <c r="A99" i="3"/>
  <c r="E98" i="3"/>
  <c r="E63" i="45"/>
  <c r="C63" i="45"/>
  <c r="A64" i="45" s="1"/>
  <c r="F63" i="45"/>
  <c r="G61" i="63"/>
  <c r="D61" i="63"/>
  <c r="F61" i="63"/>
  <c r="C61" i="63"/>
  <c r="A62" i="63" s="1"/>
  <c r="F97" i="3"/>
  <c r="G97" i="3"/>
  <c r="D65" i="61"/>
  <c r="G65" i="61"/>
  <c r="F65" i="61"/>
  <c r="C65" i="61"/>
  <c r="A66" i="61" s="1"/>
  <c r="F100" i="2"/>
  <c r="D100" i="2"/>
  <c r="C100" i="2"/>
  <c r="I100" i="2"/>
  <c r="K100" i="2"/>
  <c r="J100" i="2"/>
  <c r="G100" i="2"/>
  <c r="E101" i="2"/>
  <c r="H101" i="2"/>
  <c r="B101" i="2"/>
  <c r="A102" i="2"/>
  <c r="E62" i="63" l="1"/>
  <c r="B62" i="63"/>
  <c r="G101" i="2"/>
  <c r="F101" i="2"/>
  <c r="J101" i="2"/>
  <c r="C101" i="2"/>
  <c r="I101" i="2"/>
  <c r="D101" i="2"/>
  <c r="K101" i="2"/>
  <c r="D64" i="45"/>
  <c r="B64" i="45"/>
  <c r="G98" i="3"/>
  <c r="F98" i="3"/>
  <c r="E99" i="3"/>
  <c r="B99" i="3"/>
  <c r="A100" i="3"/>
  <c r="D98" i="3"/>
  <c r="C98" i="3"/>
  <c r="H98" i="3"/>
  <c r="B66" i="61"/>
  <c r="E66" i="61"/>
  <c r="A103" i="2"/>
  <c r="B102" i="2"/>
  <c r="H102" i="2"/>
  <c r="E102" i="2"/>
  <c r="B100" i="3" l="1"/>
  <c r="A101" i="3"/>
  <c r="E100" i="3"/>
  <c r="F99" i="3"/>
  <c r="G99" i="3"/>
  <c r="H99" i="3"/>
  <c r="D99" i="3"/>
  <c r="C99" i="3"/>
  <c r="E64" i="45"/>
  <c r="F64" i="45"/>
  <c r="C64" i="45"/>
  <c r="A65" i="45" s="1"/>
  <c r="D62" i="63"/>
  <c r="C62" i="63"/>
  <c r="A63" i="63" s="1"/>
  <c r="G62" i="63"/>
  <c r="F62" i="63"/>
  <c r="G102" i="2"/>
  <c r="K102" i="2"/>
  <c r="J102" i="2"/>
  <c r="I102" i="2"/>
  <c r="F102" i="2"/>
  <c r="C102" i="2"/>
  <c r="D102" i="2"/>
  <c r="B103" i="2"/>
  <c r="H103" i="2"/>
  <c r="E103" i="2"/>
  <c r="A104" i="2"/>
  <c r="F66" i="61"/>
  <c r="C66" i="61"/>
  <c r="A67" i="61" s="1"/>
  <c r="G66" i="61"/>
  <c r="D66" i="61"/>
  <c r="E63" i="63" l="1"/>
  <c r="B63" i="63"/>
  <c r="B67" i="61"/>
  <c r="E67" i="61"/>
  <c r="H104" i="2"/>
  <c r="A105" i="2"/>
  <c r="E104" i="2"/>
  <c r="B104" i="2"/>
  <c r="B65" i="45"/>
  <c r="D65" i="45"/>
  <c r="G100" i="3"/>
  <c r="F100" i="3"/>
  <c r="K103" i="2"/>
  <c r="I103" i="2"/>
  <c r="G103" i="2"/>
  <c r="D103" i="2"/>
  <c r="C103" i="2"/>
  <c r="J103" i="2"/>
  <c r="F103" i="2"/>
  <c r="E101" i="3"/>
  <c r="B101" i="3"/>
  <c r="A102" i="3"/>
  <c r="C100" i="3"/>
  <c r="H100" i="3"/>
  <c r="D100" i="3"/>
  <c r="E105" i="2" l="1"/>
  <c r="A106" i="2"/>
  <c r="H105" i="2"/>
  <c r="B105" i="2"/>
  <c r="C67" i="61"/>
  <c r="A68" i="61" s="1"/>
  <c r="D67" i="61"/>
  <c r="G67" i="61"/>
  <c r="F67" i="61"/>
  <c r="A103" i="3"/>
  <c r="B102" i="3"/>
  <c r="E102" i="3"/>
  <c r="D101" i="3"/>
  <c r="C101" i="3"/>
  <c r="H101" i="3"/>
  <c r="F101" i="3"/>
  <c r="G101" i="3"/>
  <c r="G63" i="63"/>
  <c r="F63" i="63"/>
  <c r="C63" i="63"/>
  <c r="A64" i="63" s="1"/>
  <c r="D63" i="63"/>
  <c r="E65" i="45"/>
  <c r="F65" i="45"/>
  <c r="C65" i="45"/>
  <c r="A66" i="45" s="1"/>
  <c r="G104" i="2"/>
  <c r="F104" i="2"/>
  <c r="K104" i="2"/>
  <c r="I104" i="2"/>
  <c r="J104" i="2"/>
  <c r="D104" i="2"/>
  <c r="C104" i="2"/>
  <c r="H102" i="3" l="1"/>
  <c r="D102" i="3"/>
  <c r="C102" i="3"/>
  <c r="D66" i="45"/>
  <c r="B66" i="45"/>
  <c r="E103" i="3"/>
  <c r="A104" i="3"/>
  <c r="B103" i="3"/>
  <c r="B68" i="61"/>
  <c r="E68" i="61"/>
  <c r="G105" i="2"/>
  <c r="K105" i="2"/>
  <c r="F105" i="2"/>
  <c r="C105" i="2"/>
  <c r="J105" i="2"/>
  <c r="I105" i="2"/>
  <c r="D105" i="2"/>
  <c r="E106" i="2"/>
  <c r="H106" i="2"/>
  <c r="B106" i="2"/>
  <c r="A107" i="2"/>
  <c r="E64" i="63"/>
  <c r="B64" i="63"/>
  <c r="G102" i="3"/>
  <c r="F102" i="3"/>
  <c r="D103" i="3" l="1"/>
  <c r="C103" i="3"/>
  <c r="H103" i="3"/>
  <c r="B104" i="3"/>
  <c r="A105" i="3"/>
  <c r="E104" i="3"/>
  <c r="G103" i="3"/>
  <c r="F103" i="3"/>
  <c r="C66" i="45"/>
  <c r="A67" i="45" s="1"/>
  <c r="F66" i="45"/>
  <c r="E66" i="45"/>
  <c r="G68" i="61"/>
  <c r="F68" i="61"/>
  <c r="D68" i="61"/>
  <c r="C68" i="61"/>
  <c r="A69" i="61" s="1"/>
  <c r="D64" i="63"/>
  <c r="G64" i="63"/>
  <c r="F64" i="63"/>
  <c r="C64" i="63"/>
  <c r="A65" i="63" s="1"/>
  <c r="E107" i="2"/>
  <c r="A108" i="2"/>
  <c r="B107" i="2"/>
  <c r="H107" i="2"/>
  <c r="F106" i="2"/>
  <c r="D106" i="2"/>
  <c r="K106" i="2"/>
  <c r="I106" i="2"/>
  <c r="G106" i="2"/>
  <c r="C106" i="2"/>
  <c r="J106" i="2"/>
  <c r="K107" i="2" l="1"/>
  <c r="F107" i="2"/>
  <c r="G107" i="2"/>
  <c r="D107" i="2"/>
  <c r="J107" i="2"/>
  <c r="I107" i="2"/>
  <c r="C107" i="2"/>
  <c r="G104" i="3"/>
  <c r="F104" i="3"/>
  <c r="H104" i="3"/>
  <c r="C104" i="3"/>
  <c r="D104" i="3"/>
  <c r="B108" i="2"/>
  <c r="H108" i="2"/>
  <c r="E108" i="2"/>
  <c r="A109" i="2"/>
  <c r="B69" i="61"/>
  <c r="E69" i="61"/>
  <c r="E105" i="3"/>
  <c r="A106" i="3"/>
  <c r="B105" i="3"/>
  <c r="D67" i="45"/>
  <c r="B67" i="45"/>
  <c r="E65" i="63"/>
  <c r="B65" i="63"/>
  <c r="A110" i="2" l="1"/>
  <c r="H109" i="2"/>
  <c r="E109" i="2"/>
  <c r="B109" i="2"/>
  <c r="K108" i="2"/>
  <c r="J108" i="2"/>
  <c r="D108" i="2"/>
  <c r="I108" i="2"/>
  <c r="F108" i="2"/>
  <c r="G108" i="2"/>
  <c r="C108" i="2"/>
  <c r="G105" i="3"/>
  <c r="F105" i="3"/>
  <c r="D69" i="61"/>
  <c r="C69" i="61"/>
  <c r="A70" i="61" s="1"/>
  <c r="G69" i="61"/>
  <c r="F69" i="61"/>
  <c r="A107" i="3"/>
  <c r="E106" i="3"/>
  <c r="B106" i="3"/>
  <c r="D105" i="3"/>
  <c r="C105" i="3"/>
  <c r="H105" i="3"/>
  <c r="C65" i="63"/>
  <c r="A66" i="63" s="1"/>
  <c r="G65" i="63"/>
  <c r="F65" i="63"/>
  <c r="D65" i="63"/>
  <c r="C67" i="45"/>
  <c r="A68" i="45" s="1"/>
  <c r="E67" i="45"/>
  <c r="F67" i="45"/>
  <c r="C106" i="3" l="1"/>
  <c r="D106" i="3"/>
  <c r="H106" i="3"/>
  <c r="J109" i="2"/>
  <c r="I109" i="2"/>
  <c r="F109" i="2"/>
  <c r="C109" i="2"/>
  <c r="G109" i="2"/>
  <c r="D109" i="2"/>
  <c r="K109" i="2"/>
  <c r="E110" i="2"/>
  <c r="B110" i="2"/>
  <c r="A111" i="2"/>
  <c r="H110" i="2"/>
  <c r="G106" i="3"/>
  <c r="F106" i="3"/>
  <c r="B68" i="45"/>
  <c r="D68" i="45"/>
  <c r="E107" i="3"/>
  <c r="B107" i="3"/>
  <c r="A108" i="3"/>
  <c r="B70" i="61"/>
  <c r="E70" i="61"/>
  <c r="B66" i="63"/>
  <c r="E66" i="63"/>
  <c r="A109" i="3" l="1"/>
  <c r="B108" i="3"/>
  <c r="E108" i="3"/>
  <c r="E111" i="2"/>
  <c r="H111" i="2"/>
  <c r="A112" i="2"/>
  <c r="B111" i="2"/>
  <c r="F110" i="2"/>
  <c r="D110" i="2"/>
  <c r="G110" i="2"/>
  <c r="C110" i="2"/>
  <c r="J110" i="2"/>
  <c r="I110" i="2"/>
  <c r="K110" i="2"/>
  <c r="G107" i="3"/>
  <c r="F107" i="3"/>
  <c r="F70" i="61"/>
  <c r="D70" i="61"/>
  <c r="C70" i="61"/>
  <c r="A71" i="61" s="1"/>
  <c r="G70" i="61"/>
  <c r="E68" i="45"/>
  <c r="F68" i="45"/>
  <c r="C68" i="45"/>
  <c r="A69" i="45" s="1"/>
  <c r="H107" i="3"/>
  <c r="D107" i="3"/>
  <c r="C107" i="3"/>
  <c r="D66" i="63"/>
  <c r="C66" i="63"/>
  <c r="A67" i="63" s="1"/>
  <c r="F66" i="63"/>
  <c r="G66" i="63"/>
  <c r="H108" i="3" l="1"/>
  <c r="D108" i="3"/>
  <c r="C108" i="3"/>
  <c r="D69" i="45"/>
  <c r="B69" i="45"/>
  <c r="E109" i="3"/>
  <c r="B109" i="3"/>
  <c r="A110" i="3"/>
  <c r="E67" i="63"/>
  <c r="B67" i="63"/>
  <c r="F108" i="3"/>
  <c r="G108" i="3"/>
  <c r="B71" i="61"/>
  <c r="E71" i="61"/>
  <c r="E112" i="2"/>
  <c r="H112" i="2"/>
  <c r="A113" i="2"/>
  <c r="B112" i="2"/>
  <c r="D111" i="2"/>
  <c r="C111" i="2"/>
  <c r="G111" i="2"/>
  <c r="F111" i="2"/>
  <c r="J111" i="2"/>
  <c r="I111" i="2"/>
  <c r="K111" i="2"/>
  <c r="H109" i="3" l="1"/>
  <c r="C109" i="3"/>
  <c r="D109" i="3"/>
  <c r="G109" i="3"/>
  <c r="F109" i="3"/>
  <c r="F69" i="45"/>
  <c r="C69" i="45"/>
  <c r="A70" i="45" s="1"/>
  <c r="E69" i="45"/>
  <c r="A114" i="2"/>
  <c r="E113" i="2"/>
  <c r="B113" i="2"/>
  <c r="H113" i="2"/>
  <c r="G67" i="63"/>
  <c r="F67" i="63"/>
  <c r="C67" i="63"/>
  <c r="A68" i="63" s="1"/>
  <c r="D67" i="63"/>
  <c r="J112" i="2"/>
  <c r="K112" i="2"/>
  <c r="I112" i="2"/>
  <c r="D112" i="2"/>
  <c r="F112" i="2"/>
  <c r="G112" i="2"/>
  <c r="C112" i="2"/>
  <c r="C71" i="61"/>
  <c r="A72" i="61" s="1"/>
  <c r="G71" i="61"/>
  <c r="F71" i="61"/>
  <c r="D71" i="61"/>
  <c r="A111" i="3"/>
  <c r="E110" i="3"/>
  <c r="B110" i="3"/>
  <c r="B70" i="45" l="1"/>
  <c r="D70" i="45"/>
  <c r="E68" i="63"/>
  <c r="B68" i="63"/>
  <c r="B72" i="61"/>
  <c r="E72" i="61"/>
  <c r="K113" i="2"/>
  <c r="J113" i="2"/>
  <c r="I113" i="2"/>
  <c r="F113" i="2"/>
  <c r="D113" i="2"/>
  <c r="G113" i="2"/>
  <c r="C113" i="2"/>
  <c r="G110" i="3"/>
  <c r="F110" i="3"/>
  <c r="H110" i="3"/>
  <c r="D110" i="3"/>
  <c r="C110" i="3"/>
  <c r="A115" i="2"/>
  <c r="B114" i="2"/>
  <c r="H114" i="2"/>
  <c r="E114" i="2"/>
  <c r="B111" i="3"/>
  <c r="E111" i="3"/>
  <c r="A112" i="3"/>
  <c r="G72" i="61" l="1"/>
  <c r="F72" i="61"/>
  <c r="D72" i="61"/>
  <c r="C72" i="61"/>
  <c r="A73" i="61" s="1"/>
  <c r="F68" i="63"/>
  <c r="G68" i="63"/>
  <c r="C68" i="63"/>
  <c r="A69" i="63" s="1"/>
  <c r="D68" i="63"/>
  <c r="A113" i="3"/>
  <c r="B112" i="3"/>
  <c r="E112" i="3"/>
  <c r="F111" i="3"/>
  <c r="G111" i="3"/>
  <c r="H111" i="3"/>
  <c r="D111" i="3"/>
  <c r="C111" i="3"/>
  <c r="F70" i="45"/>
  <c r="E70" i="45"/>
  <c r="C70" i="45"/>
  <c r="A71" i="45" s="1"/>
  <c r="K114" i="2"/>
  <c r="J114" i="2"/>
  <c r="I114" i="2"/>
  <c r="G114" i="2"/>
  <c r="F114" i="2"/>
  <c r="C114" i="2"/>
  <c r="D114" i="2"/>
  <c r="E115" i="2"/>
  <c r="A116" i="2"/>
  <c r="B115" i="2"/>
  <c r="H115" i="2"/>
  <c r="D71" i="45" l="1"/>
  <c r="B71" i="45"/>
  <c r="C115" i="2"/>
  <c r="D115" i="2"/>
  <c r="G115" i="2"/>
  <c r="K115" i="2"/>
  <c r="J115" i="2"/>
  <c r="I115" i="2"/>
  <c r="F115" i="2"/>
  <c r="B116" i="2"/>
  <c r="H116" i="2"/>
  <c r="A117" i="2"/>
  <c r="E116" i="2"/>
  <c r="G112" i="3"/>
  <c r="F112" i="3"/>
  <c r="C112" i="3"/>
  <c r="D112" i="3"/>
  <c r="H112" i="3"/>
  <c r="B113" i="3"/>
  <c r="A114" i="3"/>
  <c r="E113" i="3"/>
  <c r="B69" i="63"/>
  <c r="E69" i="63"/>
  <c r="B73" i="61"/>
  <c r="E73" i="61"/>
  <c r="E117" i="2" l="1"/>
  <c r="H117" i="2"/>
  <c r="A118" i="2"/>
  <c r="B117" i="2"/>
  <c r="D116" i="2"/>
  <c r="C116" i="2"/>
  <c r="G116" i="2"/>
  <c r="F116" i="2"/>
  <c r="J116" i="2"/>
  <c r="K116" i="2"/>
  <c r="I116" i="2"/>
  <c r="G113" i="3"/>
  <c r="F113" i="3"/>
  <c r="B114" i="3"/>
  <c r="A115" i="3"/>
  <c r="E114" i="3"/>
  <c r="D113" i="3"/>
  <c r="C113" i="3"/>
  <c r="H113" i="3"/>
  <c r="G73" i="61"/>
  <c r="C73" i="61"/>
  <c r="A74" i="61" s="1"/>
  <c r="F73" i="61"/>
  <c r="D73" i="61"/>
  <c r="E71" i="45"/>
  <c r="C71" i="45"/>
  <c r="A72" i="45" s="1"/>
  <c r="F71" i="45"/>
  <c r="F69" i="63"/>
  <c r="D69" i="63"/>
  <c r="C69" i="63"/>
  <c r="A70" i="63" s="1"/>
  <c r="G69" i="63"/>
  <c r="K117" i="2" l="1"/>
  <c r="I117" i="2"/>
  <c r="D117" i="2"/>
  <c r="F117" i="2"/>
  <c r="C117" i="2"/>
  <c r="J117" i="2"/>
  <c r="G117" i="2"/>
  <c r="H118" i="2"/>
  <c r="E118" i="2"/>
  <c r="A119" i="2"/>
  <c r="B118" i="2"/>
  <c r="D72" i="45"/>
  <c r="B72" i="45"/>
  <c r="G114" i="3"/>
  <c r="F114" i="3"/>
  <c r="B70" i="63"/>
  <c r="E70" i="63"/>
  <c r="B74" i="61"/>
  <c r="E74" i="61"/>
  <c r="A116" i="3"/>
  <c r="E115" i="3"/>
  <c r="B115" i="3"/>
  <c r="D114" i="3"/>
  <c r="C114" i="3"/>
  <c r="H114" i="3"/>
  <c r="D115" i="3" l="1"/>
  <c r="C115" i="3"/>
  <c r="H115" i="3"/>
  <c r="F115" i="3"/>
  <c r="G115" i="3"/>
  <c r="C72" i="45"/>
  <c r="A73" i="45" s="1"/>
  <c r="F72" i="45"/>
  <c r="E72" i="45"/>
  <c r="B116" i="3"/>
  <c r="A117" i="3"/>
  <c r="E116" i="3"/>
  <c r="D74" i="61"/>
  <c r="F74" i="61"/>
  <c r="C74" i="61"/>
  <c r="A75" i="61" s="1"/>
  <c r="G74" i="61"/>
  <c r="J118" i="2"/>
  <c r="I118" i="2"/>
  <c r="D118" i="2"/>
  <c r="C118" i="2"/>
  <c r="G118" i="2"/>
  <c r="F118" i="2"/>
  <c r="K118" i="2"/>
  <c r="E119" i="2"/>
  <c r="A120" i="2"/>
  <c r="H119" i="2"/>
  <c r="B119" i="2"/>
  <c r="C70" i="63"/>
  <c r="A71" i="63" s="1"/>
  <c r="G70" i="63"/>
  <c r="F70" i="63"/>
  <c r="D70" i="63"/>
  <c r="E71" i="63" l="1"/>
  <c r="B71" i="63"/>
  <c r="G116" i="3"/>
  <c r="F116" i="3"/>
  <c r="E117" i="3"/>
  <c r="B117" i="3"/>
  <c r="A118" i="3"/>
  <c r="C116" i="3"/>
  <c r="H116" i="3"/>
  <c r="D116" i="3"/>
  <c r="J119" i="2"/>
  <c r="G119" i="2"/>
  <c r="F119" i="2"/>
  <c r="I119" i="2"/>
  <c r="K119" i="2"/>
  <c r="D119" i="2"/>
  <c r="C119" i="2"/>
  <c r="A121" i="2"/>
  <c r="B120" i="2"/>
  <c r="H120" i="2"/>
  <c r="E120" i="2"/>
  <c r="E75" i="61"/>
  <c r="B75" i="61"/>
  <c r="D73" i="45"/>
  <c r="B73" i="45"/>
  <c r="A119" i="3" l="1"/>
  <c r="E118" i="3"/>
  <c r="B118" i="3"/>
  <c r="D117" i="3"/>
  <c r="H117" i="3"/>
  <c r="C117" i="3"/>
  <c r="F117" i="3"/>
  <c r="G117" i="3"/>
  <c r="D120" i="2"/>
  <c r="J120" i="2"/>
  <c r="I120" i="2"/>
  <c r="F120" i="2"/>
  <c r="C120" i="2"/>
  <c r="K120" i="2"/>
  <c r="G120" i="2"/>
  <c r="B121" i="2"/>
  <c r="E121" i="2"/>
  <c r="H121" i="2"/>
  <c r="A122" i="2"/>
  <c r="F73" i="45"/>
  <c r="E73" i="45"/>
  <c r="C73" i="45"/>
  <c r="A74" i="45" s="1"/>
  <c r="G75" i="61"/>
  <c r="C75" i="61"/>
  <c r="A76" i="61" s="1"/>
  <c r="F75" i="61"/>
  <c r="D75" i="61"/>
  <c r="C71" i="63"/>
  <c r="A72" i="63" s="1"/>
  <c r="G71" i="63"/>
  <c r="F71" i="63"/>
  <c r="D71" i="63"/>
  <c r="G118" i="3" l="1"/>
  <c r="F118" i="3"/>
  <c r="E119" i="3"/>
  <c r="B119" i="3"/>
  <c r="A120" i="3"/>
  <c r="H122" i="2"/>
  <c r="A123" i="2"/>
  <c r="E122" i="2"/>
  <c r="B122" i="2"/>
  <c r="C121" i="2"/>
  <c r="K121" i="2"/>
  <c r="I121" i="2"/>
  <c r="J121" i="2"/>
  <c r="D121" i="2"/>
  <c r="G121" i="2"/>
  <c r="F121" i="2"/>
  <c r="B76" i="61"/>
  <c r="E76" i="61"/>
  <c r="D74" i="45"/>
  <c r="B74" i="45"/>
  <c r="B72" i="63"/>
  <c r="E72" i="63"/>
  <c r="H118" i="3"/>
  <c r="C118" i="3"/>
  <c r="D118" i="3"/>
  <c r="H123" i="2" l="1"/>
  <c r="A124" i="2"/>
  <c r="E123" i="2"/>
  <c r="B123" i="2"/>
  <c r="A121" i="3"/>
  <c r="E120" i="3"/>
  <c r="B120" i="3"/>
  <c r="J122" i="2"/>
  <c r="C122" i="2"/>
  <c r="G122" i="2"/>
  <c r="F122" i="2"/>
  <c r="I122" i="2"/>
  <c r="K122" i="2"/>
  <c r="D122" i="2"/>
  <c r="D119" i="3"/>
  <c r="C119" i="3"/>
  <c r="H119" i="3"/>
  <c r="G119" i="3"/>
  <c r="F119" i="3"/>
  <c r="D72" i="63"/>
  <c r="G72" i="63"/>
  <c r="F72" i="63"/>
  <c r="C72" i="63"/>
  <c r="A73" i="63" s="1"/>
  <c r="E74" i="45"/>
  <c r="F74" i="45"/>
  <c r="C74" i="45"/>
  <c r="A75" i="45" s="1"/>
  <c r="G76" i="61"/>
  <c r="F76" i="61"/>
  <c r="D76" i="61"/>
  <c r="C76" i="61"/>
  <c r="A77" i="61" s="1"/>
  <c r="D75" i="45" l="1"/>
  <c r="B75" i="45"/>
  <c r="H120" i="3"/>
  <c r="D120" i="3"/>
  <c r="C120" i="3"/>
  <c r="E73" i="63"/>
  <c r="B73" i="63"/>
  <c r="G120" i="3"/>
  <c r="F120" i="3"/>
  <c r="B121" i="3"/>
  <c r="A122" i="3"/>
  <c r="E121" i="3"/>
  <c r="E77" i="61"/>
  <c r="B77" i="61"/>
  <c r="I123" i="2"/>
  <c r="G123" i="2"/>
  <c r="F123" i="2"/>
  <c r="K123" i="2"/>
  <c r="J123" i="2"/>
  <c r="C123" i="2"/>
  <c r="D123" i="2"/>
  <c r="A125" i="2"/>
  <c r="E124" i="2"/>
  <c r="H124" i="2"/>
  <c r="B124" i="2"/>
  <c r="G77" i="61" l="1"/>
  <c r="C77" i="61"/>
  <c r="A78" i="61" s="1"/>
  <c r="D77" i="61"/>
  <c r="F77" i="61"/>
  <c r="G121" i="3"/>
  <c r="F121" i="3"/>
  <c r="E122" i="3"/>
  <c r="B122" i="3"/>
  <c r="A123" i="3"/>
  <c r="C75" i="45"/>
  <c r="A76" i="45" s="1"/>
  <c r="F75" i="45"/>
  <c r="E75" i="45"/>
  <c r="C121" i="3"/>
  <c r="H121" i="3"/>
  <c r="D121" i="3"/>
  <c r="I124" i="2"/>
  <c r="D124" i="2"/>
  <c r="C124" i="2"/>
  <c r="J124" i="2"/>
  <c r="K124" i="2"/>
  <c r="G124" i="2"/>
  <c r="F124" i="2"/>
  <c r="G73" i="63"/>
  <c r="F73" i="63"/>
  <c r="D73" i="63"/>
  <c r="C73" i="63"/>
  <c r="A74" i="63" s="1"/>
  <c r="A126" i="2"/>
  <c r="H125" i="2"/>
  <c r="E125" i="2"/>
  <c r="B125" i="2"/>
  <c r="E78" i="61" l="1"/>
  <c r="B78" i="61"/>
  <c r="B126" i="2"/>
  <c r="A127" i="2"/>
  <c r="H126" i="2"/>
  <c r="E126" i="2"/>
  <c r="C125" i="2"/>
  <c r="G125" i="2"/>
  <c r="F125" i="2"/>
  <c r="D125" i="2"/>
  <c r="J125" i="2"/>
  <c r="K125" i="2"/>
  <c r="I125" i="2"/>
  <c r="B74" i="63"/>
  <c r="E74" i="63"/>
  <c r="D76" i="45"/>
  <c r="B76" i="45"/>
  <c r="C122" i="3"/>
  <c r="H122" i="3"/>
  <c r="D122" i="3"/>
  <c r="E123" i="3"/>
  <c r="B123" i="3"/>
  <c r="A124" i="3"/>
  <c r="G122" i="3"/>
  <c r="F122" i="3"/>
  <c r="F78" i="61" l="1"/>
  <c r="D78" i="61"/>
  <c r="C78" i="61"/>
  <c r="A79" i="61" s="1"/>
  <c r="G78" i="61"/>
  <c r="F74" i="63"/>
  <c r="G74" i="63"/>
  <c r="D74" i="63"/>
  <c r="C74" i="63"/>
  <c r="A75" i="63" s="1"/>
  <c r="A125" i="3"/>
  <c r="E124" i="3"/>
  <c r="B124" i="3"/>
  <c r="B127" i="2"/>
  <c r="H127" i="2"/>
  <c r="A128" i="2"/>
  <c r="E127" i="2"/>
  <c r="K126" i="2"/>
  <c r="J126" i="2"/>
  <c r="I126" i="2"/>
  <c r="G126" i="2"/>
  <c r="F126" i="2"/>
  <c r="D126" i="2"/>
  <c r="C126" i="2"/>
  <c r="H123" i="3"/>
  <c r="C123" i="3"/>
  <c r="D123" i="3"/>
  <c r="E76" i="45"/>
  <c r="C76" i="45"/>
  <c r="A77" i="45" s="1"/>
  <c r="F76" i="45"/>
  <c r="G123" i="3"/>
  <c r="F123" i="3"/>
  <c r="B79" i="61" l="1"/>
  <c r="E79" i="61"/>
  <c r="H128" i="2"/>
  <c r="A129" i="2"/>
  <c r="E128" i="2"/>
  <c r="B128" i="2"/>
  <c r="I127" i="2"/>
  <c r="G127" i="2"/>
  <c r="J127" i="2"/>
  <c r="F127" i="2"/>
  <c r="D127" i="2"/>
  <c r="C127" i="2"/>
  <c r="K127" i="2"/>
  <c r="H124" i="3"/>
  <c r="D124" i="3"/>
  <c r="C124" i="3"/>
  <c r="F124" i="3"/>
  <c r="G124" i="3"/>
  <c r="D77" i="45"/>
  <c r="B77" i="45"/>
  <c r="E125" i="3"/>
  <c r="B125" i="3"/>
  <c r="A126" i="3"/>
  <c r="E75" i="63"/>
  <c r="B75" i="63"/>
  <c r="H129" i="2" l="1"/>
  <c r="A130" i="2"/>
  <c r="E129" i="2"/>
  <c r="B129" i="2"/>
  <c r="A127" i="3"/>
  <c r="E126" i="3"/>
  <c r="B126" i="3"/>
  <c r="H125" i="3"/>
  <c r="C125" i="3"/>
  <c r="D125" i="3"/>
  <c r="G128" i="2"/>
  <c r="F128" i="2"/>
  <c r="I128" i="2"/>
  <c r="D128" i="2"/>
  <c r="K128" i="2"/>
  <c r="C128" i="2"/>
  <c r="J128" i="2"/>
  <c r="G125" i="3"/>
  <c r="F125" i="3"/>
  <c r="C79" i="61"/>
  <c r="A80" i="61" s="1"/>
  <c r="D79" i="61"/>
  <c r="G79" i="61"/>
  <c r="F79" i="61"/>
  <c r="G75" i="63"/>
  <c r="F75" i="63"/>
  <c r="D75" i="63"/>
  <c r="C75" i="63"/>
  <c r="A76" i="63" s="1"/>
  <c r="C77" i="45"/>
  <c r="A78" i="45" s="1"/>
  <c r="F77" i="45"/>
  <c r="E77" i="45"/>
  <c r="B80" i="61" l="1"/>
  <c r="E80" i="61"/>
  <c r="H126" i="3"/>
  <c r="D126" i="3"/>
  <c r="C126" i="3"/>
  <c r="G126" i="3"/>
  <c r="F126" i="3"/>
  <c r="B78" i="45"/>
  <c r="D78" i="45"/>
  <c r="A131" i="2"/>
  <c r="B130" i="2"/>
  <c r="H130" i="2"/>
  <c r="E130" i="2"/>
  <c r="B127" i="3"/>
  <c r="E127" i="3"/>
  <c r="A128" i="3"/>
  <c r="E76" i="63"/>
  <c r="B76" i="63"/>
  <c r="C129" i="2"/>
  <c r="D129" i="2"/>
  <c r="K129" i="2"/>
  <c r="G129" i="2"/>
  <c r="J129" i="2"/>
  <c r="I129" i="2"/>
  <c r="F129" i="2"/>
  <c r="G80" i="61" l="1"/>
  <c r="F80" i="61"/>
  <c r="D80" i="61"/>
  <c r="C80" i="61"/>
  <c r="A81" i="61" s="1"/>
  <c r="G76" i="63"/>
  <c r="F76" i="63"/>
  <c r="D76" i="63"/>
  <c r="C76" i="63"/>
  <c r="A77" i="63" s="1"/>
  <c r="K130" i="2"/>
  <c r="I130" i="2"/>
  <c r="G130" i="2"/>
  <c r="D130" i="2"/>
  <c r="F130" i="2"/>
  <c r="C130" i="2"/>
  <c r="J130" i="2"/>
  <c r="A132" i="2"/>
  <c r="E131" i="2"/>
  <c r="B131" i="2"/>
  <c r="H131" i="2"/>
  <c r="A129" i="3"/>
  <c r="B128" i="3"/>
  <c r="E128" i="3"/>
  <c r="D127" i="3"/>
  <c r="C127" i="3"/>
  <c r="H127" i="3"/>
  <c r="F78" i="45"/>
  <c r="C78" i="45"/>
  <c r="A79" i="45" s="1"/>
  <c r="E78" i="45"/>
  <c r="F127" i="3"/>
  <c r="G127" i="3"/>
  <c r="D79" i="45" l="1"/>
  <c r="B79" i="45"/>
  <c r="E77" i="63"/>
  <c r="B77" i="63"/>
  <c r="E81" i="61"/>
  <c r="B81" i="61"/>
  <c r="H128" i="3"/>
  <c r="D128" i="3"/>
  <c r="C128" i="3"/>
  <c r="B129" i="3"/>
  <c r="A130" i="3"/>
  <c r="E129" i="3"/>
  <c r="G128" i="3"/>
  <c r="F128" i="3"/>
  <c r="K131" i="2"/>
  <c r="F131" i="2"/>
  <c r="D131" i="2"/>
  <c r="I131" i="2"/>
  <c r="G131" i="2"/>
  <c r="J131" i="2"/>
  <c r="C131" i="2"/>
  <c r="H132" i="2"/>
  <c r="B132" i="2"/>
  <c r="E132" i="2"/>
  <c r="A133" i="2"/>
  <c r="C81" i="61" l="1"/>
  <c r="A82" i="61" s="1"/>
  <c r="D81" i="61"/>
  <c r="F81" i="61"/>
  <c r="G81" i="61"/>
  <c r="F132" i="2"/>
  <c r="K132" i="2"/>
  <c r="D132" i="2"/>
  <c r="C132" i="2"/>
  <c r="G132" i="2"/>
  <c r="J132" i="2"/>
  <c r="I132" i="2"/>
  <c r="G77" i="63"/>
  <c r="F77" i="63"/>
  <c r="D77" i="63"/>
  <c r="C77" i="63"/>
  <c r="A78" i="63" s="1"/>
  <c r="E79" i="45"/>
  <c r="F79" i="45"/>
  <c r="C79" i="45"/>
  <c r="A80" i="45" s="1"/>
  <c r="G129" i="3"/>
  <c r="F129" i="3"/>
  <c r="E133" i="2"/>
  <c r="A134" i="2"/>
  <c r="H133" i="2"/>
  <c r="B133" i="2"/>
  <c r="H129" i="3"/>
  <c r="D129" i="3"/>
  <c r="C129" i="3"/>
  <c r="B130" i="3"/>
  <c r="A131" i="3"/>
  <c r="E130" i="3"/>
  <c r="G133" i="2" l="1"/>
  <c r="F133" i="2"/>
  <c r="J133" i="2"/>
  <c r="I133" i="2"/>
  <c r="K133" i="2"/>
  <c r="C133" i="2"/>
  <c r="D133" i="2"/>
  <c r="G130" i="3"/>
  <c r="F130" i="3"/>
  <c r="B131" i="3"/>
  <c r="A132" i="3"/>
  <c r="E131" i="3"/>
  <c r="B80" i="45"/>
  <c r="D80" i="45"/>
  <c r="A135" i="2"/>
  <c r="E134" i="2"/>
  <c r="H134" i="2"/>
  <c r="B134" i="2"/>
  <c r="B78" i="63"/>
  <c r="E78" i="63"/>
  <c r="D130" i="3"/>
  <c r="C130" i="3"/>
  <c r="H130" i="3"/>
  <c r="B82" i="61"/>
  <c r="E82" i="61"/>
  <c r="F78" i="63" l="1"/>
  <c r="D78" i="63"/>
  <c r="C78" i="63"/>
  <c r="A79" i="63" s="1"/>
  <c r="G78" i="63"/>
  <c r="G134" i="2"/>
  <c r="K134" i="2"/>
  <c r="D134" i="2"/>
  <c r="C134" i="2"/>
  <c r="J134" i="2"/>
  <c r="I134" i="2"/>
  <c r="F134" i="2"/>
  <c r="H135" i="2"/>
  <c r="E135" i="2"/>
  <c r="A136" i="2"/>
  <c r="B135" i="2"/>
  <c r="F82" i="61"/>
  <c r="D82" i="61"/>
  <c r="C82" i="61"/>
  <c r="A83" i="61" s="1"/>
  <c r="G82" i="61"/>
  <c r="C80" i="45"/>
  <c r="A81" i="45" s="1"/>
  <c r="F80" i="45"/>
  <c r="E80" i="45"/>
  <c r="F131" i="3"/>
  <c r="G131" i="3"/>
  <c r="B132" i="3"/>
  <c r="A133" i="3"/>
  <c r="E132" i="3"/>
  <c r="D131" i="3"/>
  <c r="C131" i="3"/>
  <c r="H131" i="3"/>
  <c r="B83" i="61" l="1"/>
  <c r="E83" i="61"/>
  <c r="D81" i="45"/>
  <c r="B81" i="45"/>
  <c r="C132" i="3"/>
  <c r="H132" i="3"/>
  <c r="D132" i="3"/>
  <c r="E79" i="63"/>
  <c r="B79" i="63"/>
  <c r="G132" i="3"/>
  <c r="F132" i="3"/>
  <c r="E133" i="3"/>
  <c r="B133" i="3"/>
  <c r="A134" i="3"/>
  <c r="K135" i="2"/>
  <c r="J135" i="2"/>
  <c r="I135" i="2"/>
  <c r="F135" i="2"/>
  <c r="G135" i="2"/>
  <c r="C135" i="2"/>
  <c r="D135" i="2"/>
  <c r="A137" i="2"/>
  <c r="B136" i="2"/>
  <c r="E136" i="2"/>
  <c r="H136" i="2"/>
  <c r="E81" i="45" l="1"/>
  <c r="F81" i="45"/>
  <c r="C81" i="45"/>
  <c r="A82" i="45" s="1"/>
  <c r="D133" i="3"/>
  <c r="H133" i="3"/>
  <c r="C133" i="3"/>
  <c r="E137" i="2"/>
  <c r="B137" i="2"/>
  <c r="A138" i="2"/>
  <c r="H137" i="2"/>
  <c r="A135" i="3"/>
  <c r="E134" i="3"/>
  <c r="B134" i="3"/>
  <c r="F133" i="3"/>
  <c r="G133" i="3"/>
  <c r="G83" i="61"/>
  <c r="D83" i="61"/>
  <c r="F83" i="61"/>
  <c r="C83" i="61"/>
  <c r="A84" i="61" s="1"/>
  <c r="K136" i="2"/>
  <c r="J136" i="2"/>
  <c r="I136" i="2"/>
  <c r="F136" i="2"/>
  <c r="G136" i="2"/>
  <c r="D136" i="2"/>
  <c r="C136" i="2"/>
  <c r="C79" i="63"/>
  <c r="A80" i="63" s="1"/>
  <c r="F79" i="63"/>
  <c r="D79" i="63"/>
  <c r="G79" i="63"/>
  <c r="D82" i="45" l="1"/>
  <c r="B82" i="45"/>
  <c r="G137" i="2"/>
  <c r="J137" i="2"/>
  <c r="C137" i="2"/>
  <c r="K137" i="2"/>
  <c r="I137" i="2"/>
  <c r="D137" i="2"/>
  <c r="F137" i="2"/>
  <c r="E80" i="63"/>
  <c r="B80" i="63"/>
  <c r="E84" i="61"/>
  <c r="B84" i="61"/>
  <c r="F134" i="3"/>
  <c r="G134" i="3"/>
  <c r="C134" i="3"/>
  <c r="D134" i="3"/>
  <c r="H134" i="3"/>
  <c r="E135" i="3"/>
  <c r="B135" i="3"/>
  <c r="A136" i="3"/>
  <c r="E138" i="2"/>
  <c r="A139" i="2"/>
  <c r="B138" i="2"/>
  <c r="H138" i="2"/>
  <c r="F138" i="2" l="1"/>
  <c r="D138" i="2"/>
  <c r="J138" i="2"/>
  <c r="K138" i="2"/>
  <c r="G138" i="2"/>
  <c r="I138" i="2"/>
  <c r="C138" i="2"/>
  <c r="A140" i="2"/>
  <c r="B139" i="2"/>
  <c r="E139" i="2"/>
  <c r="H139" i="2"/>
  <c r="F84" i="61"/>
  <c r="D84" i="61"/>
  <c r="G84" i="61"/>
  <c r="C84" i="61"/>
  <c r="A85" i="61" s="1"/>
  <c r="G80" i="63"/>
  <c r="F80" i="63"/>
  <c r="D80" i="63"/>
  <c r="C80" i="63"/>
  <c r="A81" i="63" s="1"/>
  <c r="G135" i="3"/>
  <c r="F135" i="3"/>
  <c r="A137" i="3"/>
  <c r="B136" i="3"/>
  <c r="E136" i="3"/>
  <c r="D135" i="3"/>
  <c r="C135" i="3"/>
  <c r="H135" i="3"/>
  <c r="C82" i="45"/>
  <c r="A83" i="45" s="1"/>
  <c r="E82" i="45"/>
  <c r="F82" i="45"/>
  <c r="G136" i="3" l="1"/>
  <c r="F136" i="3"/>
  <c r="H136" i="3"/>
  <c r="D136" i="3"/>
  <c r="C136" i="3"/>
  <c r="A138" i="3"/>
  <c r="E137" i="3"/>
  <c r="B137" i="3"/>
  <c r="E81" i="63"/>
  <c r="B81" i="63"/>
  <c r="D83" i="45"/>
  <c r="B83" i="45"/>
  <c r="K139" i="2"/>
  <c r="F139" i="2"/>
  <c r="C139" i="2"/>
  <c r="G139" i="2"/>
  <c r="D139" i="2"/>
  <c r="J139" i="2"/>
  <c r="I139" i="2"/>
  <c r="H140" i="2"/>
  <c r="B140" i="2"/>
  <c r="A141" i="2"/>
  <c r="E140" i="2"/>
  <c r="B85" i="61"/>
  <c r="E85" i="61"/>
  <c r="G137" i="3" l="1"/>
  <c r="F137" i="3"/>
  <c r="H137" i="3"/>
  <c r="D137" i="3"/>
  <c r="C137" i="3"/>
  <c r="A139" i="3"/>
  <c r="E138" i="3"/>
  <c r="B138" i="3"/>
  <c r="G81" i="63"/>
  <c r="F81" i="63"/>
  <c r="C81" i="63"/>
  <c r="A82" i="63" s="1"/>
  <c r="D81" i="63"/>
  <c r="F83" i="45"/>
  <c r="C83" i="45"/>
  <c r="A84" i="45" s="1"/>
  <c r="E83" i="45"/>
  <c r="F85" i="61"/>
  <c r="G85" i="61"/>
  <c r="D85" i="61"/>
  <c r="C85" i="61"/>
  <c r="A86" i="61" s="1"/>
  <c r="H141" i="2"/>
  <c r="B141" i="2"/>
  <c r="E141" i="2"/>
  <c r="A142" i="2"/>
  <c r="K140" i="2"/>
  <c r="J140" i="2"/>
  <c r="C140" i="2"/>
  <c r="I140" i="2"/>
  <c r="F140" i="2"/>
  <c r="G140" i="2"/>
  <c r="D140" i="2"/>
  <c r="B82" i="63" l="1"/>
  <c r="E82" i="63"/>
  <c r="C138" i="3"/>
  <c r="D138" i="3"/>
  <c r="H138" i="3"/>
  <c r="A143" i="2"/>
  <c r="H142" i="2"/>
  <c r="E142" i="2"/>
  <c r="B142" i="2"/>
  <c r="G138" i="3"/>
  <c r="F138" i="3"/>
  <c r="I141" i="2"/>
  <c r="G141" i="2"/>
  <c r="F141" i="2"/>
  <c r="D141" i="2"/>
  <c r="C141" i="2"/>
  <c r="K141" i="2"/>
  <c r="J141" i="2"/>
  <c r="D84" i="45"/>
  <c r="B84" i="45"/>
  <c r="E86" i="61"/>
  <c r="B86" i="61"/>
  <c r="B139" i="3"/>
  <c r="E139" i="3"/>
  <c r="A140" i="3"/>
  <c r="F84" i="45" l="1"/>
  <c r="E84" i="45"/>
  <c r="C84" i="45"/>
  <c r="A85" i="45" s="1"/>
  <c r="A141" i="3"/>
  <c r="E140" i="3"/>
  <c r="B140" i="3"/>
  <c r="F139" i="3"/>
  <c r="G139" i="3"/>
  <c r="E143" i="2"/>
  <c r="B143" i="2"/>
  <c r="H143" i="2"/>
  <c r="F142" i="2"/>
  <c r="D142" i="2"/>
  <c r="I142" i="2"/>
  <c r="G142" i="2"/>
  <c r="K142" i="2"/>
  <c r="C142" i="2"/>
  <c r="J142" i="2"/>
  <c r="D82" i="63"/>
  <c r="C82" i="63"/>
  <c r="A83" i="63" s="1"/>
  <c r="G82" i="63"/>
  <c r="F82" i="63"/>
  <c r="F86" i="61"/>
  <c r="D86" i="61"/>
  <c r="G86" i="61"/>
  <c r="C86" i="61"/>
  <c r="A87" i="61" s="1"/>
  <c r="H139" i="3"/>
  <c r="C139" i="3"/>
  <c r="D139" i="3"/>
  <c r="E141" i="3" l="1"/>
  <c r="A142" i="3"/>
  <c r="B141" i="3"/>
  <c r="D143" i="2"/>
  <c r="C143" i="2"/>
  <c r="J143" i="2"/>
  <c r="G143" i="2"/>
  <c r="F143" i="2"/>
  <c r="K143" i="2"/>
  <c r="I143" i="2"/>
  <c r="H140" i="3"/>
  <c r="C140" i="3"/>
  <c r="D140" i="3"/>
  <c r="G140" i="3"/>
  <c r="F140" i="3"/>
  <c r="B85" i="45"/>
  <c r="D85" i="45"/>
  <c r="B87" i="61"/>
  <c r="E87" i="61"/>
  <c r="E83" i="63"/>
  <c r="B83" i="63"/>
  <c r="E85" i="45" l="1"/>
  <c r="C85" i="45"/>
  <c r="A86" i="45" s="1"/>
  <c r="F85" i="45"/>
  <c r="F141" i="3"/>
  <c r="G141" i="3"/>
  <c r="F83" i="63"/>
  <c r="G83" i="63"/>
  <c r="D83" i="63"/>
  <c r="C83" i="63"/>
  <c r="A84" i="63" s="1"/>
  <c r="H141" i="3"/>
  <c r="D141" i="3"/>
  <c r="C141" i="3"/>
  <c r="E142" i="3"/>
  <c r="B142" i="3"/>
  <c r="G87" i="61"/>
  <c r="C87" i="61"/>
  <c r="A88" i="61" s="1"/>
  <c r="F87" i="61"/>
  <c r="D87" i="61"/>
  <c r="G142" i="3" l="1"/>
  <c r="F142" i="3"/>
  <c r="H142" i="3"/>
  <c r="D142" i="3"/>
  <c r="C142" i="3"/>
  <c r="D86" i="45"/>
  <c r="B86" i="45"/>
  <c r="B88" i="61"/>
  <c r="E88" i="61"/>
  <c r="E84" i="63"/>
  <c r="B84" i="63"/>
  <c r="E86" i="45" l="1"/>
  <c r="F86" i="45"/>
  <c r="C86" i="45"/>
  <c r="A87" i="45" s="1"/>
  <c r="F84" i="63"/>
  <c r="D84" i="63"/>
  <c r="C84" i="63"/>
  <c r="A85" i="63" s="1"/>
  <c r="G84" i="63"/>
  <c r="F88" i="61"/>
  <c r="D88" i="61"/>
  <c r="C88" i="61"/>
  <c r="A89" i="61" s="1"/>
  <c r="G88" i="61"/>
  <c r="B89" i="61" l="1"/>
  <c r="E89" i="61"/>
  <c r="E85" i="63"/>
  <c r="B85" i="63"/>
  <c r="D87" i="45"/>
  <c r="B87" i="45"/>
  <c r="F87" i="45" l="1"/>
  <c r="E87" i="45"/>
  <c r="C87" i="45"/>
  <c r="A88" i="45" s="1"/>
  <c r="G85" i="63"/>
  <c r="F85" i="63"/>
  <c r="D85" i="63"/>
  <c r="C85" i="63"/>
  <c r="A86" i="63" s="1"/>
  <c r="F89" i="61"/>
  <c r="D89" i="61"/>
  <c r="C89" i="61"/>
  <c r="A90" i="61" s="1"/>
  <c r="G89" i="61"/>
  <c r="D88" i="45" l="1"/>
  <c r="B88" i="45"/>
  <c r="B86" i="63"/>
  <c r="E86" i="63"/>
  <c r="E90" i="61"/>
  <c r="B90" i="61"/>
  <c r="E88" i="45" l="1"/>
  <c r="F88" i="45"/>
  <c r="C88" i="45"/>
  <c r="A89" i="45" s="1"/>
  <c r="F90" i="61"/>
  <c r="D90" i="61"/>
  <c r="G90" i="61"/>
  <c r="C90" i="61"/>
  <c r="A91" i="61" s="1"/>
  <c r="F86" i="63"/>
  <c r="D86" i="63"/>
  <c r="C86" i="63"/>
  <c r="A87" i="63" s="1"/>
  <c r="G86" i="63"/>
  <c r="E91" i="61" l="1"/>
  <c r="B91" i="61"/>
  <c r="E87" i="63"/>
  <c r="B87" i="63"/>
  <c r="D89" i="45"/>
  <c r="B89" i="45"/>
  <c r="F87" i="63" l="1"/>
  <c r="D87" i="63"/>
  <c r="C87" i="63"/>
  <c r="A88" i="63" s="1"/>
  <c r="G87" i="63"/>
  <c r="F89" i="45"/>
  <c r="E89" i="45"/>
  <c r="C89" i="45"/>
  <c r="A90" i="45" s="1"/>
  <c r="G91" i="61"/>
  <c r="F91" i="61"/>
  <c r="D91" i="61"/>
  <c r="C91" i="61"/>
  <c r="A92" i="61" s="1"/>
  <c r="B90" i="45" l="1"/>
  <c r="D90" i="45"/>
  <c r="B92" i="61"/>
  <c r="E92" i="61"/>
  <c r="E88" i="63"/>
  <c r="B88" i="63"/>
  <c r="D88" i="63" l="1"/>
  <c r="C88" i="63"/>
  <c r="A89" i="63" s="1"/>
  <c r="G88" i="63"/>
  <c r="F88" i="63"/>
  <c r="F92" i="61"/>
  <c r="C92" i="61"/>
  <c r="A93" i="61" s="1"/>
  <c r="D92" i="61"/>
  <c r="G92" i="61"/>
  <c r="C90" i="45"/>
  <c r="A91" i="45" s="1"/>
  <c r="F90" i="45"/>
  <c r="E90" i="45"/>
  <c r="B93" i="61" l="1"/>
  <c r="E93" i="61"/>
  <c r="E89" i="63"/>
  <c r="B89" i="63"/>
  <c r="D91" i="45"/>
  <c r="B91" i="45"/>
  <c r="E91" i="45" l="1"/>
  <c r="C91" i="45"/>
  <c r="A92" i="45" s="1"/>
  <c r="F91" i="45"/>
  <c r="D93" i="61"/>
  <c r="G93" i="61"/>
  <c r="F93" i="61"/>
  <c r="C93" i="61"/>
  <c r="A94" i="61" s="1"/>
  <c r="C89" i="63"/>
  <c r="A90" i="63" s="1"/>
  <c r="G89" i="63"/>
  <c r="F89" i="63"/>
  <c r="D89" i="63"/>
  <c r="B94" i="61" l="1"/>
  <c r="E94" i="61"/>
  <c r="B92" i="45"/>
  <c r="D92" i="45"/>
  <c r="B90" i="63"/>
  <c r="E90" i="63"/>
  <c r="F94" i="61" l="1"/>
  <c r="C94" i="61"/>
  <c r="A95" i="61" s="1"/>
  <c r="G94" i="61"/>
  <c r="D94" i="61"/>
  <c r="G90" i="63"/>
  <c r="D90" i="63"/>
  <c r="C90" i="63"/>
  <c r="A91" i="63" s="1"/>
  <c r="F90" i="63"/>
  <c r="F92" i="45"/>
  <c r="E92" i="45"/>
  <c r="C92" i="45"/>
  <c r="A93" i="45" s="1"/>
  <c r="B91" i="63" l="1"/>
  <c r="E91" i="63"/>
  <c r="D93" i="45"/>
  <c r="B93" i="45"/>
  <c r="E95" i="61"/>
  <c r="B95" i="61"/>
  <c r="G95" i="61" l="1"/>
  <c r="C95" i="61"/>
  <c r="A96" i="61" s="1"/>
  <c r="F95" i="61"/>
  <c r="D95" i="61"/>
  <c r="C93" i="45"/>
  <c r="A94" i="45" s="1"/>
  <c r="F93" i="45"/>
  <c r="E93" i="45"/>
  <c r="G91" i="63"/>
  <c r="C91" i="63"/>
  <c r="A92" i="63" s="1"/>
  <c r="F91" i="63"/>
  <c r="D91" i="63"/>
  <c r="B92" i="63" l="1"/>
  <c r="E92" i="63"/>
  <c r="E96" i="61"/>
  <c r="B96" i="61"/>
  <c r="D94" i="45"/>
  <c r="B94" i="45"/>
  <c r="D92" i="63" l="1"/>
  <c r="C92" i="63"/>
  <c r="A93" i="63" s="1"/>
  <c r="G92" i="63"/>
  <c r="F92" i="63"/>
  <c r="F96" i="61"/>
  <c r="C96" i="61"/>
  <c r="A97" i="61" s="1"/>
  <c r="G96" i="61"/>
  <c r="D96" i="61"/>
  <c r="E94" i="45"/>
  <c r="C94" i="45"/>
  <c r="A95" i="45" s="1"/>
  <c r="F94" i="45"/>
  <c r="B97" i="61" l="1"/>
  <c r="E97" i="61"/>
  <c r="E93" i="63"/>
  <c r="B93" i="63"/>
  <c r="D95" i="45"/>
  <c r="B95" i="45"/>
  <c r="D97" i="61" l="1"/>
  <c r="C97" i="61"/>
  <c r="A98" i="61" s="1"/>
  <c r="F97" i="61"/>
  <c r="G97" i="61"/>
  <c r="G93" i="63"/>
  <c r="F93" i="63"/>
  <c r="C93" i="63"/>
  <c r="A94" i="63" s="1"/>
  <c r="D93" i="63"/>
  <c r="E95" i="45"/>
  <c r="F95" i="45"/>
  <c r="C95" i="45"/>
  <c r="A96" i="45" s="1"/>
  <c r="B98" i="61" l="1"/>
  <c r="E98" i="61"/>
  <c r="B96" i="45"/>
  <c r="D96" i="45"/>
  <c r="E94" i="63"/>
  <c r="B94" i="63"/>
  <c r="F98" i="61" l="1"/>
  <c r="G98" i="61"/>
  <c r="C98" i="61"/>
  <c r="A99" i="61" s="1"/>
  <c r="D98" i="61"/>
  <c r="F96" i="45"/>
  <c r="E96" i="45"/>
  <c r="C96" i="45"/>
  <c r="A97" i="45" s="1"/>
  <c r="G94" i="63"/>
  <c r="D94" i="63"/>
  <c r="C94" i="63"/>
  <c r="A95" i="63" s="1"/>
  <c r="F94" i="63"/>
  <c r="B95" i="63" l="1"/>
  <c r="E95" i="63"/>
  <c r="D97" i="45"/>
  <c r="B97" i="45"/>
  <c r="E99" i="61"/>
  <c r="B99" i="61"/>
  <c r="F97" i="45" l="1"/>
  <c r="E97" i="45"/>
  <c r="C97" i="45"/>
  <c r="A98" i="45" s="1"/>
  <c r="C99" i="61"/>
  <c r="A100" i="61" s="1"/>
  <c r="D99" i="61"/>
  <c r="F99" i="61"/>
  <c r="G99" i="61"/>
  <c r="F95" i="63"/>
  <c r="D95" i="63"/>
  <c r="C95" i="63"/>
  <c r="A96" i="63" s="1"/>
  <c r="G95" i="63"/>
  <c r="B96" i="63" l="1"/>
  <c r="E96" i="63"/>
  <c r="D98" i="45"/>
  <c r="B98" i="45"/>
  <c r="E100" i="61"/>
  <c r="B100" i="61"/>
  <c r="D96" i="63" l="1"/>
  <c r="C96" i="63"/>
  <c r="A97" i="63" s="1"/>
  <c r="F96" i="63"/>
  <c r="G96" i="63"/>
  <c r="E98" i="45"/>
  <c r="C98" i="45"/>
  <c r="A99" i="45" s="1"/>
  <c r="F98" i="45"/>
  <c r="F100" i="61"/>
  <c r="D100" i="61"/>
  <c r="G100" i="61"/>
  <c r="C100" i="61"/>
  <c r="A101" i="61" s="1"/>
  <c r="D99" i="45" l="1"/>
  <c r="B99" i="45"/>
  <c r="E97" i="63"/>
  <c r="B97" i="63"/>
  <c r="B101" i="61"/>
  <c r="E101" i="61"/>
  <c r="D101" i="61" l="1"/>
  <c r="C101" i="61"/>
  <c r="A102" i="61" s="1"/>
  <c r="G101" i="61"/>
  <c r="F101" i="61"/>
  <c r="C97" i="63"/>
  <c r="A98" i="63" s="1"/>
  <c r="G97" i="63"/>
  <c r="F97" i="63"/>
  <c r="D97" i="63"/>
  <c r="F99" i="45"/>
  <c r="E99" i="45"/>
  <c r="C99" i="45"/>
  <c r="A100" i="45" s="1"/>
  <c r="E98" i="63" l="1"/>
  <c r="B98" i="63"/>
  <c r="D100" i="45"/>
  <c r="B100" i="45"/>
  <c r="B102" i="61"/>
  <c r="E102" i="61"/>
  <c r="G98" i="63" l="1"/>
  <c r="F98" i="63"/>
  <c r="D98" i="63"/>
  <c r="C98" i="63"/>
  <c r="A99" i="63" s="1"/>
  <c r="F102" i="61"/>
  <c r="D102" i="61"/>
  <c r="C102" i="61"/>
  <c r="A103" i="61" s="1"/>
  <c r="G102" i="61"/>
  <c r="C100" i="45"/>
  <c r="A101" i="45" s="1"/>
  <c r="F100" i="45"/>
  <c r="E100" i="45"/>
  <c r="B103" i="61" l="1"/>
  <c r="E103" i="61"/>
  <c r="B99" i="63"/>
  <c r="E99" i="63"/>
  <c r="D101" i="45"/>
  <c r="B101" i="45"/>
  <c r="C99" i="63" l="1"/>
  <c r="A100" i="63" s="1"/>
  <c r="F99" i="63"/>
  <c r="G99" i="63"/>
  <c r="D99" i="63"/>
  <c r="D103" i="61"/>
  <c r="C103" i="61"/>
  <c r="A104" i="61" s="1"/>
  <c r="G103" i="61"/>
  <c r="F103" i="61"/>
  <c r="F101" i="45"/>
  <c r="E101" i="45"/>
  <c r="C101" i="45"/>
  <c r="A102" i="45" s="1"/>
  <c r="E104" i="61" l="1"/>
  <c r="B104" i="61"/>
  <c r="B102" i="45"/>
  <c r="D102" i="45"/>
  <c r="B100" i="63"/>
  <c r="E100" i="63"/>
  <c r="F102" i="45" l="1"/>
  <c r="E102" i="45"/>
  <c r="C102" i="45"/>
  <c r="A103" i="45" s="1"/>
  <c r="F100" i="63"/>
  <c r="C100" i="63"/>
  <c r="A101" i="63" s="1"/>
  <c r="G100" i="63"/>
  <c r="D100" i="63"/>
  <c r="F104" i="61"/>
  <c r="G104" i="61"/>
  <c r="D104" i="61"/>
  <c r="C104" i="61"/>
  <c r="A105" i="61" s="1"/>
  <c r="B105" i="61" l="1"/>
  <c r="E105" i="61"/>
  <c r="E101" i="63"/>
  <c r="B101" i="63"/>
  <c r="D103" i="45"/>
  <c r="B103" i="45"/>
  <c r="F103" i="45" l="1"/>
  <c r="E103" i="45"/>
  <c r="C103" i="45"/>
  <c r="A104" i="45" s="1"/>
  <c r="G101" i="63"/>
  <c r="F101" i="63"/>
  <c r="C101" i="63"/>
  <c r="A102" i="63" s="1"/>
  <c r="D101" i="63"/>
  <c r="G105" i="61"/>
  <c r="D105" i="61"/>
  <c r="F105" i="61"/>
  <c r="C105" i="61"/>
  <c r="A106" i="61" s="1"/>
  <c r="B106" i="61" l="1"/>
  <c r="E106" i="61"/>
  <c r="B102" i="63"/>
  <c r="E102" i="63"/>
  <c r="B104" i="45"/>
  <c r="D104" i="45"/>
  <c r="E104" i="45" l="1"/>
  <c r="C104" i="45"/>
  <c r="A105" i="45" s="1"/>
  <c r="F104" i="45"/>
  <c r="D102" i="63"/>
  <c r="C102" i="63"/>
  <c r="A103" i="63" s="1"/>
  <c r="G102" i="63"/>
  <c r="F102" i="63"/>
  <c r="D106" i="61"/>
  <c r="G106" i="61"/>
  <c r="F106" i="61"/>
  <c r="C106" i="61"/>
  <c r="A107" i="61" s="1"/>
  <c r="B105" i="45" l="1"/>
  <c r="D105" i="45"/>
  <c r="B107" i="61"/>
  <c r="E107" i="61"/>
  <c r="E103" i="63"/>
  <c r="B103" i="63"/>
  <c r="F105" i="45" l="1"/>
  <c r="E105" i="45"/>
  <c r="C105" i="45"/>
  <c r="A106" i="45" s="1"/>
  <c r="D107" i="61"/>
  <c r="C107" i="61"/>
  <c r="A108" i="61" s="1"/>
  <c r="G107" i="61"/>
  <c r="F107" i="61"/>
  <c r="G103" i="63"/>
  <c r="F103" i="63"/>
  <c r="D103" i="63"/>
  <c r="C103" i="63"/>
  <c r="A104" i="63" s="1"/>
  <c r="E108" i="61" l="1"/>
  <c r="B108" i="61"/>
  <c r="B104" i="63"/>
  <c r="E104" i="63"/>
  <c r="D106" i="45"/>
  <c r="B106" i="45"/>
  <c r="D104" i="63" l="1"/>
  <c r="C104" i="63"/>
  <c r="A105" i="63" s="1"/>
  <c r="G104" i="63"/>
  <c r="F104" i="63"/>
  <c r="E106" i="45"/>
  <c r="C106" i="45"/>
  <c r="A107" i="45" s="1"/>
  <c r="F106" i="45"/>
  <c r="F108" i="61"/>
  <c r="G108" i="61"/>
  <c r="C108" i="61"/>
  <c r="A109" i="61" s="1"/>
  <c r="D108" i="61"/>
  <c r="E109" i="61" l="1"/>
  <c r="B109" i="61"/>
  <c r="E105" i="63"/>
  <c r="B105" i="63"/>
  <c r="D107" i="45"/>
  <c r="B107" i="45"/>
  <c r="E107" i="45" l="1"/>
  <c r="F107" i="45"/>
  <c r="C107" i="45"/>
  <c r="A108" i="45" s="1"/>
  <c r="G109" i="61"/>
  <c r="C109" i="61"/>
  <c r="A110" i="61" s="1"/>
  <c r="F109" i="61"/>
  <c r="D109" i="61"/>
  <c r="F105" i="63"/>
  <c r="D105" i="63"/>
  <c r="C105" i="63"/>
  <c r="A106" i="63" s="1"/>
  <c r="G105" i="63"/>
  <c r="E110" i="61" l="1"/>
  <c r="B110" i="61"/>
  <c r="E106" i="63"/>
  <c r="B106" i="63"/>
  <c r="D108" i="45"/>
  <c r="B108" i="45"/>
  <c r="G106" i="63" l="1"/>
  <c r="D106" i="63"/>
  <c r="C106" i="63"/>
  <c r="A107" i="63" s="1"/>
  <c r="F106" i="63"/>
  <c r="F110" i="61"/>
  <c r="G110" i="61"/>
  <c r="D110" i="61"/>
  <c r="C110" i="61"/>
  <c r="A111" i="61" s="1"/>
  <c r="F108" i="45"/>
  <c r="C108" i="45"/>
  <c r="A109" i="45" s="1"/>
  <c r="E108" i="45"/>
  <c r="B107" i="63" l="1"/>
  <c r="E107" i="63"/>
  <c r="E111" i="61"/>
  <c r="B111" i="61"/>
  <c r="B109" i="45"/>
  <c r="D109" i="45"/>
  <c r="D111" i="61" l="1"/>
  <c r="C111" i="61"/>
  <c r="A112" i="61" s="1"/>
  <c r="G111" i="61"/>
  <c r="F111" i="61"/>
  <c r="G107" i="63"/>
  <c r="D107" i="63"/>
  <c r="C107" i="63"/>
  <c r="A108" i="63" s="1"/>
  <c r="F107" i="63"/>
  <c r="C109" i="45"/>
  <c r="A110" i="45" s="1"/>
  <c r="F109" i="45"/>
  <c r="E109" i="45"/>
  <c r="B108" i="63" l="1"/>
  <c r="E108" i="63"/>
  <c r="D110" i="45"/>
  <c r="B110" i="45"/>
  <c r="E112" i="61"/>
  <c r="B112" i="61"/>
  <c r="F110" i="45" l="1"/>
  <c r="E110" i="45"/>
  <c r="C110" i="45"/>
  <c r="A111" i="45" s="1"/>
  <c r="C108" i="63"/>
  <c r="A109" i="63" s="1"/>
  <c r="F108" i="63"/>
  <c r="D108" i="63"/>
  <c r="G108" i="63"/>
  <c r="F112" i="61"/>
  <c r="G112" i="61"/>
  <c r="D112" i="61"/>
  <c r="C112" i="61"/>
  <c r="A113" i="61" s="1"/>
  <c r="E113" i="61" l="1"/>
  <c r="B113" i="61"/>
  <c r="E109" i="63"/>
  <c r="B109" i="63"/>
  <c r="D111" i="45"/>
  <c r="B111" i="45"/>
  <c r="C113" i="61" l="1"/>
  <c r="A114" i="61" s="1"/>
  <c r="F113" i="61"/>
  <c r="D113" i="61"/>
  <c r="G113" i="61"/>
  <c r="D109" i="63"/>
  <c r="C109" i="63"/>
  <c r="A110" i="63" s="1"/>
  <c r="G109" i="63"/>
  <c r="F109" i="63"/>
  <c r="C111" i="45"/>
  <c r="A112" i="45" s="1"/>
  <c r="F111" i="45"/>
  <c r="E111" i="45"/>
  <c r="E114" i="61" l="1"/>
  <c r="B114" i="61"/>
  <c r="B110" i="63"/>
  <c r="E110" i="63"/>
  <c r="B112" i="45"/>
  <c r="D112" i="45"/>
  <c r="G114" i="61" l="1"/>
  <c r="F114" i="61"/>
  <c r="C114" i="61"/>
  <c r="A115" i="61" s="1"/>
  <c r="D114" i="61"/>
  <c r="F110" i="63"/>
  <c r="D110" i="63"/>
  <c r="G110" i="63"/>
  <c r="C110" i="63"/>
  <c r="A111" i="63" s="1"/>
  <c r="F112" i="45"/>
  <c r="C112" i="45"/>
  <c r="A113" i="45" s="1"/>
  <c r="E112" i="45"/>
  <c r="E115" i="61" l="1"/>
  <c r="B115" i="61"/>
  <c r="D113" i="45"/>
  <c r="B113" i="45"/>
  <c r="E111" i="63"/>
  <c r="B111" i="63"/>
  <c r="G115" i="61" l="1"/>
  <c r="F115" i="61"/>
  <c r="D115" i="61"/>
  <c r="C115" i="61"/>
  <c r="A116" i="61" s="1"/>
  <c r="E113" i="45"/>
  <c r="F113" i="45"/>
  <c r="C113" i="45"/>
  <c r="A114" i="45" s="1"/>
  <c r="C111" i="63"/>
  <c r="A112" i="63" s="1"/>
  <c r="G111" i="63"/>
  <c r="F111" i="63"/>
  <c r="D111" i="63"/>
  <c r="B112" i="63" l="1"/>
  <c r="E112" i="63"/>
  <c r="D114" i="45"/>
  <c r="B114" i="45"/>
  <c r="B116" i="61"/>
  <c r="E116" i="61"/>
  <c r="F114" i="45" l="1"/>
  <c r="E114" i="45"/>
  <c r="C114" i="45"/>
  <c r="A115" i="45" s="1"/>
  <c r="F116" i="61"/>
  <c r="D116" i="61"/>
  <c r="G116" i="61"/>
  <c r="C116" i="61"/>
  <c r="A117" i="61" s="1"/>
  <c r="G112" i="63"/>
  <c r="F112" i="63"/>
  <c r="C112" i="63"/>
  <c r="A113" i="63" s="1"/>
  <c r="D112" i="63"/>
  <c r="D115" i="45" l="1"/>
  <c r="B115" i="45"/>
  <c r="E117" i="61"/>
  <c r="B117" i="61"/>
  <c r="B113" i="63"/>
  <c r="E113" i="63"/>
  <c r="F117" i="61" l="1"/>
  <c r="D117" i="61"/>
  <c r="C117" i="61"/>
  <c r="G117" i="61"/>
  <c r="D113" i="63"/>
  <c r="C113" i="63"/>
  <c r="A114" i="63" s="1"/>
  <c r="F113" i="63"/>
  <c r="G113" i="63"/>
  <c r="F115" i="45"/>
  <c r="E115" i="45"/>
  <c r="C115" i="45"/>
  <c r="A116" i="45" s="1"/>
  <c r="B114" i="63" l="1"/>
  <c r="E114" i="63"/>
  <c r="D116" i="45"/>
  <c r="B116" i="45"/>
  <c r="G114" i="63" l="1"/>
  <c r="F114" i="63"/>
  <c r="C114" i="63"/>
  <c r="A115" i="63" s="1"/>
  <c r="D114" i="63"/>
  <c r="F116" i="45"/>
  <c r="E116" i="45"/>
  <c r="C116" i="45"/>
  <c r="A117" i="45" s="1"/>
  <c r="D117" i="45" l="1"/>
  <c r="B117" i="45"/>
  <c r="B115" i="63"/>
  <c r="E115" i="63"/>
  <c r="G115" i="63" l="1"/>
  <c r="F115" i="63"/>
  <c r="D115" i="63"/>
  <c r="C115" i="63"/>
  <c r="A116" i="63" s="1"/>
  <c r="F117" i="45"/>
  <c r="E117" i="45"/>
  <c r="C117" i="45"/>
  <c r="B116" i="63" l="1"/>
  <c r="E116" i="63"/>
  <c r="F116" i="63" l="1"/>
  <c r="G116" i="63"/>
  <c r="C116" i="63"/>
  <c r="A117" i="63" s="1"/>
  <c r="D116" i="63"/>
  <c r="B117" i="63" l="1"/>
  <c r="E117" i="63"/>
  <c r="G117" i="63" l="1"/>
  <c r="C117" i="63"/>
  <c r="F117" i="63"/>
  <c r="D117" i="63"/>
  <c r="K16" i="110" l="1"/>
  <c r="B15" i="110" l="1"/>
  <c r="D15" i="110" s="1"/>
  <c r="E15" i="110"/>
  <c r="H15" i="110"/>
  <c r="E16" i="110"/>
  <c r="H16" i="110"/>
  <c r="B16" i="110"/>
  <c r="K15" i="110"/>
  <c r="G15" i="110" l="1"/>
  <c r="F15" i="110"/>
  <c r="I15" i="110"/>
  <c r="C15" i="110"/>
  <c r="E17" i="110"/>
  <c r="B17" i="110"/>
  <c r="H17" i="110"/>
  <c r="K17" i="110"/>
  <c r="D16" i="110"/>
  <c r="I16" i="110"/>
  <c r="C16" i="110"/>
  <c r="F16" i="110"/>
  <c r="G16" i="110"/>
  <c r="L15" i="110" l="1"/>
  <c r="L16" i="110"/>
  <c r="F17" i="110"/>
  <c r="I17" i="110"/>
  <c r="G17" i="110"/>
  <c r="D17" i="110"/>
  <c r="C17" i="110"/>
  <c r="B18" i="110"/>
  <c r="K18" i="110"/>
  <c r="E18" i="110"/>
  <c r="H18" i="110"/>
  <c r="F18" i="110" l="1"/>
  <c r="C18" i="110"/>
  <c r="D18" i="110"/>
  <c r="I18" i="110"/>
  <c r="G18" i="110"/>
  <c r="H19" i="110"/>
  <c r="E19" i="110"/>
  <c r="K19" i="110"/>
  <c r="B19" i="110"/>
  <c r="L17" i="110"/>
  <c r="L18" i="110" l="1"/>
  <c r="G19" i="110"/>
  <c r="I19" i="110"/>
  <c r="F19" i="110"/>
  <c r="C19" i="110"/>
  <c r="D19" i="110"/>
  <c r="H20" i="110"/>
  <c r="K20" i="110"/>
  <c r="B20" i="110"/>
  <c r="E20" i="110"/>
  <c r="L19" i="110" l="1"/>
  <c r="D20" i="110"/>
  <c r="F20" i="110"/>
  <c r="G20" i="110"/>
  <c r="C20" i="110"/>
  <c r="I20" i="110"/>
  <c r="B21" i="110"/>
  <c r="H21" i="110"/>
  <c r="K21" i="110"/>
  <c r="E21" i="110"/>
  <c r="F21" i="110" l="1"/>
  <c r="I21" i="110"/>
  <c r="E22" i="110"/>
  <c r="K22" i="110"/>
  <c r="H22" i="110"/>
  <c r="B22" i="110"/>
  <c r="L20" i="110"/>
  <c r="G21" i="110"/>
  <c r="D21" i="110"/>
  <c r="C21" i="110"/>
  <c r="L21" i="110" l="1"/>
  <c r="C22" i="110"/>
  <c r="G22" i="110"/>
  <c r="I22" i="110"/>
  <c r="D22" i="110"/>
  <c r="F22" i="110"/>
  <c r="K23" i="110"/>
  <c r="E23" i="110"/>
  <c r="H23" i="110"/>
  <c r="B23" i="110"/>
  <c r="H24" i="110" l="1"/>
  <c r="K24" i="110"/>
  <c r="E24" i="110"/>
  <c r="B24" i="110"/>
  <c r="G23" i="110"/>
  <c r="F23" i="110"/>
  <c r="C23" i="110"/>
  <c r="I23" i="110"/>
  <c r="D23" i="110"/>
  <c r="L22" i="110"/>
  <c r="L23" i="110" l="1"/>
  <c r="B25" i="110"/>
  <c r="E25" i="110"/>
  <c r="H25" i="110"/>
  <c r="K25" i="110"/>
  <c r="F24" i="110"/>
  <c r="G24" i="110"/>
  <c r="D24" i="110"/>
  <c r="C24" i="110"/>
  <c r="I24" i="110"/>
  <c r="L24" i="110" l="1"/>
  <c r="E26" i="110"/>
  <c r="K26" i="110"/>
  <c r="H26" i="110"/>
  <c r="B26" i="110"/>
  <c r="I25" i="110"/>
  <c r="G25" i="110"/>
  <c r="F25" i="110"/>
  <c r="C25" i="110"/>
  <c r="D25" i="110"/>
  <c r="L25" i="110" l="1"/>
  <c r="G26" i="110"/>
  <c r="C26" i="110"/>
  <c r="F26" i="110"/>
  <c r="I26" i="110"/>
  <c r="D26" i="110"/>
  <c r="B27" i="110"/>
  <c r="K27" i="110"/>
  <c r="H27" i="110"/>
  <c r="E27" i="110"/>
  <c r="L26" i="110" l="1"/>
  <c r="H28" i="110"/>
  <c r="K28" i="110"/>
  <c r="B28" i="110"/>
  <c r="E28" i="110"/>
  <c r="I27" i="110"/>
  <c r="F27" i="110"/>
  <c r="C27" i="110"/>
  <c r="D27" i="110"/>
  <c r="G27" i="110"/>
  <c r="L27" i="110" l="1"/>
  <c r="C28" i="110"/>
  <c r="D28" i="110"/>
  <c r="F28" i="110"/>
  <c r="I28" i="110"/>
  <c r="G28" i="110"/>
  <c r="B29" i="110"/>
  <c r="K29" i="110"/>
  <c r="E29" i="110"/>
  <c r="H29" i="110"/>
  <c r="D29" i="110" l="1"/>
  <c r="G29" i="110"/>
  <c r="F29" i="110"/>
  <c r="I29" i="110"/>
  <c r="C29" i="110"/>
  <c r="H30" i="110"/>
  <c r="E30" i="110"/>
  <c r="K30" i="110"/>
  <c r="B30" i="110"/>
  <c r="L28" i="110"/>
  <c r="G30" i="110" l="1"/>
  <c r="D30" i="110"/>
  <c r="F30" i="110"/>
  <c r="I30" i="110"/>
  <c r="C30" i="110"/>
  <c r="B31" i="110"/>
  <c r="K31" i="110"/>
  <c r="E31" i="110"/>
  <c r="H31" i="110"/>
  <c r="L29" i="110"/>
  <c r="B32" i="110" l="1"/>
  <c r="H32" i="110"/>
  <c r="E32" i="110"/>
  <c r="K32" i="110"/>
  <c r="C31" i="110"/>
  <c r="F31" i="110"/>
  <c r="D31" i="110"/>
  <c r="G31" i="110"/>
  <c r="I31" i="110"/>
  <c r="L30" i="110"/>
  <c r="G32" i="110" l="1"/>
  <c r="D32" i="110"/>
  <c r="C32" i="110"/>
  <c r="F32" i="110"/>
  <c r="I32" i="110"/>
  <c r="L31" i="110"/>
  <c r="K33" i="110"/>
  <c r="H33" i="110"/>
  <c r="B33" i="110"/>
  <c r="E33" i="110"/>
  <c r="L32" i="110" l="1"/>
  <c r="H34" i="110"/>
  <c r="K34" i="110"/>
  <c r="E34" i="110"/>
  <c r="B34" i="110"/>
  <c r="F33" i="110"/>
  <c r="C33" i="110"/>
  <c r="I33" i="110"/>
  <c r="D33" i="110"/>
  <c r="G33" i="110"/>
  <c r="B35" i="110" l="1"/>
  <c r="K35" i="110"/>
  <c r="E35" i="110"/>
  <c r="H35" i="110"/>
  <c r="L33" i="110"/>
  <c r="F34" i="110"/>
  <c r="G34" i="110"/>
  <c r="C34" i="110"/>
  <c r="D34" i="110"/>
  <c r="I34" i="110"/>
  <c r="L34" i="110" l="1"/>
  <c r="H36" i="110"/>
  <c r="K36" i="110"/>
  <c r="B36" i="110"/>
  <c r="E36" i="110"/>
  <c r="F35" i="110"/>
  <c r="G35" i="110"/>
  <c r="C35" i="110"/>
  <c r="D35" i="110"/>
  <c r="I35" i="110"/>
  <c r="L35" i="110" l="1"/>
  <c r="H37" i="110"/>
  <c r="B37" i="110"/>
  <c r="E37" i="110"/>
  <c r="K37" i="110"/>
  <c r="C36" i="110"/>
  <c r="I36" i="110"/>
  <c r="F36" i="110"/>
  <c r="G36" i="110"/>
  <c r="D36" i="110"/>
  <c r="L36" i="110" l="1"/>
  <c r="C37" i="110"/>
  <c r="D37" i="110"/>
  <c r="G37" i="110"/>
  <c r="F37" i="110"/>
  <c r="I37" i="110"/>
  <c r="K38" i="110"/>
  <c r="B38" i="110"/>
  <c r="H38" i="110"/>
  <c r="E38" i="110"/>
  <c r="H39" i="110" l="1"/>
  <c r="B39" i="110"/>
  <c r="E39" i="110"/>
  <c r="K39" i="110"/>
  <c r="G38" i="110"/>
  <c r="C38" i="110"/>
  <c r="D38" i="110"/>
  <c r="F38" i="110"/>
  <c r="I38" i="110"/>
  <c r="L37" i="110"/>
  <c r="L38" i="110" l="1"/>
  <c r="H40" i="110"/>
  <c r="E40" i="110"/>
  <c r="K40" i="110"/>
  <c r="B40" i="110"/>
  <c r="G39" i="110"/>
  <c r="F39" i="110"/>
  <c r="I39" i="110"/>
  <c r="C39" i="110"/>
  <c r="D39" i="110"/>
  <c r="F40" i="110" l="1"/>
  <c r="G40" i="110"/>
  <c r="D40" i="110"/>
  <c r="I40" i="110"/>
  <c r="C40" i="110"/>
  <c r="H41" i="110"/>
  <c r="B41" i="110"/>
  <c r="E41" i="110"/>
  <c r="K41" i="110"/>
  <c r="L39" i="110"/>
  <c r="L40" i="110" l="1"/>
  <c r="K42" i="110"/>
  <c r="B42" i="110"/>
  <c r="E42" i="110"/>
  <c r="H42" i="110"/>
  <c r="F41" i="110"/>
  <c r="C41" i="110"/>
  <c r="D41" i="110"/>
  <c r="I41" i="110"/>
  <c r="G41" i="110"/>
  <c r="L41" i="110" l="1"/>
  <c r="D42" i="110"/>
  <c r="C42" i="110"/>
  <c r="I42" i="110"/>
  <c r="G42" i="110"/>
  <c r="F42" i="110"/>
  <c r="H43" i="110"/>
  <c r="E43" i="110"/>
  <c r="B43" i="110"/>
  <c r="K43" i="110"/>
  <c r="B44" i="110" l="1"/>
  <c r="E44" i="110"/>
  <c r="K44" i="110"/>
  <c r="H44" i="110"/>
  <c r="F43" i="110"/>
  <c r="G43" i="110"/>
  <c r="D43" i="110"/>
  <c r="C43" i="110"/>
  <c r="I43" i="110"/>
  <c r="L42" i="110"/>
  <c r="L43" i="110" l="1"/>
  <c r="H45" i="110"/>
  <c r="K45" i="110"/>
  <c r="E45" i="110"/>
  <c r="B45" i="110"/>
  <c r="I44" i="110"/>
  <c r="G44" i="110"/>
  <c r="C44" i="110"/>
  <c r="D44" i="110"/>
  <c r="F44" i="110"/>
  <c r="L44" i="110" l="1"/>
  <c r="G45" i="110"/>
  <c r="D45" i="110"/>
  <c r="I45" i="110"/>
  <c r="C45" i="110"/>
  <c r="F45" i="110"/>
  <c r="H46" i="110"/>
  <c r="B46" i="110"/>
  <c r="E46" i="110"/>
  <c r="K46" i="110"/>
  <c r="D46" i="110" l="1"/>
  <c r="C46" i="110"/>
  <c r="F46" i="110"/>
  <c r="G46" i="110"/>
  <c r="I46" i="110"/>
  <c r="L45" i="110"/>
  <c r="B47" i="110"/>
  <c r="H47" i="110"/>
  <c r="E47" i="110"/>
  <c r="K47" i="110"/>
  <c r="B48" i="110" l="1"/>
  <c r="H48" i="110"/>
  <c r="K48" i="110"/>
  <c r="E48" i="110"/>
  <c r="L46" i="110"/>
  <c r="C47" i="110"/>
  <c r="F47" i="110"/>
  <c r="D47" i="110"/>
  <c r="G47" i="110"/>
  <c r="I47" i="110"/>
  <c r="L47" i="110" l="1"/>
  <c r="K49" i="110"/>
  <c r="B49" i="110"/>
  <c r="H49" i="110"/>
  <c r="E49" i="110"/>
  <c r="C48" i="110"/>
  <c r="G48" i="110"/>
  <c r="D48" i="110"/>
  <c r="F48" i="110"/>
  <c r="I48" i="110"/>
  <c r="L48" i="110" l="1"/>
  <c r="E50" i="110"/>
  <c r="K50" i="110"/>
  <c r="H50" i="110"/>
  <c r="B50" i="110"/>
  <c r="C49" i="110"/>
  <c r="D49" i="110"/>
  <c r="I49" i="110"/>
  <c r="G49" i="110"/>
  <c r="F49" i="110"/>
  <c r="B51" i="110" l="1"/>
  <c r="H51" i="110"/>
  <c r="E51" i="110"/>
  <c r="K51" i="110"/>
  <c r="L49" i="110"/>
  <c r="I50" i="110"/>
  <c r="G50" i="110"/>
  <c r="F50" i="110"/>
  <c r="C50" i="110"/>
  <c r="D50" i="110"/>
  <c r="E52" i="110" l="1"/>
  <c r="H52" i="110"/>
  <c r="K52" i="110"/>
  <c r="B52" i="110"/>
  <c r="L50" i="110"/>
  <c r="F51" i="110"/>
  <c r="C51" i="110"/>
  <c r="D51" i="110"/>
  <c r="G51" i="110"/>
  <c r="I51" i="110"/>
  <c r="L51" i="110" l="1"/>
  <c r="E53" i="110"/>
  <c r="H53" i="110"/>
  <c r="K53" i="110"/>
  <c r="B53" i="110"/>
  <c r="C52" i="110"/>
  <c r="F52" i="110"/>
  <c r="G52" i="110"/>
  <c r="D52" i="110"/>
  <c r="I52" i="110"/>
  <c r="L52" i="110" l="1"/>
  <c r="E54" i="110"/>
  <c r="K54" i="110"/>
  <c r="B54" i="110"/>
  <c r="H54" i="110"/>
  <c r="C53" i="110"/>
  <c r="I53" i="110"/>
  <c r="G53" i="110"/>
  <c r="F53" i="110"/>
  <c r="D53" i="110"/>
  <c r="B55" i="110" l="1"/>
  <c r="K55" i="110"/>
  <c r="H55" i="110"/>
  <c r="E55" i="110"/>
  <c r="G54" i="110"/>
  <c r="F54" i="110"/>
  <c r="I54" i="110"/>
  <c r="C54" i="110"/>
  <c r="D54" i="110"/>
  <c r="L53" i="110"/>
  <c r="L54" i="110" l="1"/>
  <c r="B56" i="110"/>
  <c r="E56" i="110"/>
  <c r="H56" i="110"/>
  <c r="K56" i="110"/>
  <c r="G55" i="110"/>
  <c r="F55" i="110"/>
  <c r="I55" i="110"/>
  <c r="D55" i="110"/>
  <c r="C55" i="110"/>
  <c r="L55" i="110" l="1"/>
  <c r="B57" i="110"/>
  <c r="K57" i="110"/>
  <c r="E57" i="110"/>
  <c r="H57" i="110"/>
  <c r="F56" i="110"/>
  <c r="G56" i="110"/>
  <c r="I56" i="110"/>
  <c r="D56" i="110"/>
  <c r="C56" i="110"/>
  <c r="L56" i="110" l="1"/>
  <c r="K58" i="110"/>
  <c r="E58" i="110"/>
  <c r="H58" i="110"/>
  <c r="B58" i="110"/>
  <c r="I57" i="110"/>
  <c r="F57" i="110"/>
  <c r="D57" i="110"/>
  <c r="G57" i="110"/>
  <c r="C57" i="110"/>
  <c r="L57" i="110" l="1"/>
  <c r="G58" i="110"/>
  <c r="D58" i="110"/>
  <c r="F58" i="110"/>
  <c r="C58" i="110"/>
  <c r="I58" i="110"/>
  <c r="E59" i="110"/>
  <c r="B59" i="110"/>
  <c r="H59" i="110"/>
  <c r="K59" i="110"/>
  <c r="H60" i="110" l="1"/>
  <c r="K60" i="110"/>
  <c r="E60" i="110"/>
  <c r="B60" i="110"/>
  <c r="G59" i="110"/>
  <c r="C59" i="110"/>
  <c r="F59" i="110"/>
  <c r="I59" i="110"/>
  <c r="D59" i="110"/>
  <c r="L58" i="110"/>
  <c r="L59" i="110" l="1"/>
  <c r="B61" i="110"/>
  <c r="E61" i="110"/>
  <c r="K61" i="110"/>
  <c r="H61" i="110"/>
  <c r="C60" i="110"/>
  <c r="F60" i="110"/>
  <c r="I60" i="110"/>
  <c r="G60" i="110"/>
  <c r="D60" i="110"/>
  <c r="L60" i="110" l="1"/>
  <c r="G61" i="110"/>
  <c r="I61" i="110"/>
  <c r="F61" i="110"/>
  <c r="C61" i="110"/>
  <c r="D61" i="110"/>
  <c r="K62" i="110"/>
  <c r="H62" i="110"/>
  <c r="E62" i="110"/>
  <c r="B62" i="110"/>
  <c r="I62" i="110" l="1"/>
  <c r="C62" i="110"/>
  <c r="F62" i="110"/>
  <c r="D62" i="110"/>
  <c r="G62" i="110"/>
  <c r="E63" i="110"/>
  <c r="B63" i="110"/>
  <c r="H63" i="110"/>
  <c r="K63" i="110"/>
  <c r="L61" i="110"/>
  <c r="C63" i="110" l="1"/>
  <c r="G63" i="110"/>
  <c r="F63" i="110"/>
  <c r="I63" i="110"/>
  <c r="D63" i="110"/>
  <c r="K64" i="110"/>
  <c r="B64" i="110"/>
  <c r="H64" i="110"/>
  <c r="E64" i="110"/>
  <c r="L62" i="110"/>
  <c r="L63" i="110" l="1"/>
  <c r="C64" i="110"/>
  <c r="D64" i="110"/>
  <c r="F64" i="110"/>
  <c r="I64" i="110"/>
  <c r="G64" i="110"/>
  <c r="E65" i="110"/>
  <c r="H65" i="110"/>
  <c r="K65" i="110"/>
  <c r="B65" i="110"/>
  <c r="K66" i="110" l="1"/>
  <c r="E66" i="110"/>
  <c r="H66" i="110"/>
  <c r="B66" i="110"/>
  <c r="G65" i="110"/>
  <c r="D65" i="110"/>
  <c r="C65" i="110"/>
  <c r="I65" i="110"/>
  <c r="F65" i="110"/>
  <c r="L64" i="110"/>
  <c r="L65" i="110" l="1"/>
  <c r="I66" i="110"/>
  <c r="G66" i="110"/>
  <c r="F66" i="110"/>
  <c r="D66" i="110"/>
  <c r="C66" i="110"/>
  <c r="E67" i="110"/>
  <c r="H67" i="110"/>
  <c r="B67" i="110"/>
  <c r="K67" i="110"/>
  <c r="E68" i="110" l="1"/>
  <c r="K68" i="110"/>
  <c r="H68" i="110"/>
  <c r="B68" i="110"/>
  <c r="I67" i="110"/>
  <c r="D67" i="110"/>
  <c r="G67" i="110"/>
  <c r="C67" i="110"/>
  <c r="F67" i="110"/>
  <c r="L66" i="110"/>
  <c r="L67" i="110" l="1"/>
  <c r="B69" i="110"/>
  <c r="H69" i="110"/>
  <c r="E69" i="110"/>
  <c r="K69" i="110"/>
  <c r="C68" i="110"/>
  <c r="F68" i="110"/>
  <c r="D68" i="110"/>
  <c r="I68" i="110"/>
  <c r="G68" i="110"/>
  <c r="L68" i="110" l="1"/>
  <c r="G69" i="110"/>
  <c r="I69" i="110"/>
  <c r="F69" i="110"/>
  <c r="C69" i="110"/>
  <c r="D69" i="110"/>
  <c r="E70" i="110"/>
  <c r="B70" i="110"/>
  <c r="H70" i="110"/>
  <c r="K70" i="110"/>
  <c r="L69" i="110" l="1"/>
  <c r="K71" i="110"/>
  <c r="H71" i="110"/>
  <c r="E71" i="110"/>
  <c r="B71" i="110"/>
  <c r="I70" i="110"/>
  <c r="F70" i="110"/>
  <c r="G70" i="110"/>
  <c r="C70" i="110"/>
  <c r="D70" i="110"/>
  <c r="L70" i="110" l="1"/>
  <c r="D71" i="110"/>
  <c r="C71" i="110"/>
  <c r="G71" i="110"/>
  <c r="I71" i="110"/>
  <c r="F71" i="110"/>
  <c r="E72" i="110"/>
  <c r="H72" i="110"/>
  <c r="K72" i="110"/>
  <c r="B72" i="110"/>
  <c r="G72" i="110" l="1"/>
  <c r="I72" i="110"/>
  <c r="D72" i="110"/>
  <c r="F72" i="110"/>
  <c r="C72" i="110"/>
  <c r="K73" i="110"/>
  <c r="H73" i="110"/>
  <c r="E73" i="110"/>
  <c r="B73" i="110"/>
  <c r="L71" i="110"/>
  <c r="D73" i="110" l="1"/>
  <c r="C73" i="110"/>
  <c r="G73" i="110"/>
  <c r="I73" i="110"/>
  <c r="F73" i="110"/>
  <c r="L72" i="110"/>
  <c r="B74" i="110"/>
  <c r="H74" i="110"/>
  <c r="E74" i="110"/>
  <c r="K74" i="110"/>
  <c r="G74" i="110" l="1"/>
  <c r="F74" i="110"/>
  <c r="I74" i="110"/>
  <c r="C74" i="110"/>
  <c r="D74" i="110"/>
  <c r="E75" i="110"/>
  <c r="H75" i="110"/>
  <c r="B75" i="110"/>
  <c r="K75" i="110"/>
  <c r="L73" i="110"/>
  <c r="F75" i="110" l="1"/>
  <c r="D75" i="110"/>
  <c r="I75" i="110"/>
  <c r="G75" i="110"/>
  <c r="C75" i="110"/>
  <c r="E76" i="110"/>
  <c r="H76" i="110"/>
  <c r="K76" i="110"/>
  <c r="B76" i="110"/>
  <c r="L74" i="110"/>
  <c r="G76" i="110" l="1"/>
  <c r="I76" i="110"/>
  <c r="D76" i="110"/>
  <c r="F76" i="110"/>
  <c r="C76" i="110"/>
  <c r="H77" i="110"/>
  <c r="B77" i="110"/>
  <c r="E77" i="110"/>
  <c r="K77" i="110"/>
  <c r="L75" i="110"/>
  <c r="I77" i="110" l="1"/>
  <c r="D77" i="110"/>
  <c r="G77" i="110"/>
  <c r="F77" i="110"/>
  <c r="C77" i="110"/>
  <c r="K78" i="110"/>
  <c r="H78" i="110"/>
  <c r="B78" i="110"/>
  <c r="E78" i="110"/>
  <c r="L76" i="110"/>
  <c r="L77" i="110" l="1"/>
  <c r="F78" i="110"/>
  <c r="C78" i="110"/>
  <c r="I78" i="110"/>
  <c r="G78" i="110"/>
  <c r="D78" i="110"/>
  <c r="K79" i="110"/>
  <c r="B79" i="110"/>
  <c r="H79" i="110"/>
  <c r="E79" i="110"/>
  <c r="I79" i="110" l="1"/>
  <c r="G79" i="110"/>
  <c r="F79" i="110"/>
  <c r="C79" i="110"/>
  <c r="D79" i="110"/>
  <c r="K80" i="110"/>
  <c r="E80" i="110"/>
  <c r="H80" i="110"/>
  <c r="B80" i="110"/>
  <c r="L78" i="110"/>
  <c r="L79" i="110" l="1"/>
  <c r="C80" i="110"/>
  <c r="D80" i="110"/>
  <c r="G80" i="110"/>
  <c r="I80" i="110"/>
  <c r="F80" i="110"/>
  <c r="H81" i="110"/>
  <c r="B81" i="110"/>
  <c r="K81" i="110"/>
  <c r="E81" i="110"/>
  <c r="D81" i="110" l="1"/>
  <c r="G81" i="110"/>
  <c r="I81" i="110"/>
  <c r="F81" i="110"/>
  <c r="C81" i="110"/>
  <c r="H82" i="110"/>
  <c r="K82" i="110"/>
  <c r="E82" i="110"/>
  <c r="B82" i="110"/>
  <c r="L80" i="110"/>
  <c r="F82" i="110" l="1"/>
  <c r="D82" i="110"/>
  <c r="I82" i="110"/>
  <c r="C82" i="110"/>
  <c r="G82" i="110"/>
  <c r="K83" i="110"/>
  <c r="H83" i="110"/>
  <c r="E83" i="110"/>
  <c r="B83" i="110"/>
  <c r="L81" i="110"/>
  <c r="C83" i="110" l="1"/>
  <c r="D83" i="110"/>
  <c r="G83" i="110"/>
  <c r="I83" i="110"/>
  <c r="F83" i="110"/>
  <c r="L82" i="110"/>
  <c r="K84" i="110"/>
  <c r="E84" i="110"/>
  <c r="H84" i="110"/>
  <c r="B84" i="110"/>
  <c r="B85" i="110" l="1"/>
  <c r="E85" i="110"/>
  <c r="H85" i="110"/>
  <c r="K85" i="110"/>
  <c r="D84" i="110"/>
  <c r="G84" i="110"/>
  <c r="F84" i="110"/>
  <c r="C84" i="110"/>
  <c r="I84" i="110"/>
  <c r="L83" i="110"/>
  <c r="L84" i="110" l="1"/>
  <c r="B86" i="110"/>
  <c r="E86" i="110"/>
  <c r="K86" i="110"/>
  <c r="H86" i="110"/>
  <c r="G85" i="110"/>
  <c r="C85" i="110"/>
  <c r="F85" i="110"/>
  <c r="D85" i="110"/>
  <c r="I85" i="110"/>
  <c r="L85" i="110" l="1"/>
  <c r="H87" i="110"/>
  <c r="E87" i="110"/>
  <c r="B87" i="110"/>
  <c r="K87" i="110"/>
  <c r="C86" i="110"/>
  <c r="F86" i="110"/>
  <c r="D86" i="110"/>
  <c r="I86" i="110"/>
  <c r="G86" i="110"/>
  <c r="D87" i="110" l="1"/>
  <c r="I87" i="110"/>
  <c r="F87" i="110"/>
  <c r="G87" i="110"/>
  <c r="C87" i="110"/>
  <c r="L86" i="110"/>
  <c r="K88" i="110"/>
  <c r="E88" i="110"/>
  <c r="B88" i="110"/>
  <c r="H88" i="110"/>
  <c r="L87" i="110" l="1"/>
  <c r="F88" i="110"/>
  <c r="G88" i="110"/>
  <c r="D88" i="110"/>
  <c r="I88" i="110"/>
  <c r="C88" i="110"/>
  <c r="K89" i="110"/>
  <c r="H89" i="110"/>
  <c r="E89" i="110"/>
  <c r="B89" i="110"/>
  <c r="B90" i="110" l="1"/>
  <c r="H90" i="110"/>
  <c r="E90" i="110"/>
  <c r="K90" i="110"/>
  <c r="G89" i="110"/>
  <c r="D89" i="110"/>
  <c r="C89" i="110"/>
  <c r="F89" i="110"/>
  <c r="I89" i="110"/>
  <c r="L88" i="110"/>
  <c r="K91" i="110" l="1"/>
  <c r="B91" i="110"/>
  <c r="H91" i="110"/>
  <c r="E91" i="110"/>
  <c r="L89" i="110"/>
  <c r="C90" i="110"/>
  <c r="G90" i="110"/>
  <c r="I90" i="110"/>
  <c r="F90" i="110"/>
  <c r="D90" i="110"/>
  <c r="L90" i="110" l="1"/>
  <c r="H92" i="110"/>
  <c r="B92" i="110"/>
  <c r="K92" i="110"/>
  <c r="E92" i="110"/>
  <c r="G91" i="110"/>
  <c r="C91" i="110"/>
  <c r="F91" i="110"/>
  <c r="D91" i="110"/>
  <c r="I91" i="110"/>
  <c r="L91" i="110" l="1"/>
  <c r="D92" i="110"/>
  <c r="G92" i="110"/>
  <c r="I92" i="110"/>
  <c r="C92" i="110"/>
  <c r="F92" i="110"/>
  <c r="K93" i="110"/>
  <c r="E93" i="110"/>
  <c r="H93" i="110"/>
  <c r="B93" i="110"/>
  <c r="D93" i="110" l="1"/>
  <c r="F93" i="110"/>
  <c r="I93" i="110"/>
  <c r="C93" i="110"/>
  <c r="G93" i="110"/>
  <c r="L93" i="110" s="1"/>
  <c r="K94" i="110"/>
  <c r="H94" i="110"/>
  <c r="E94" i="110"/>
  <c r="B94" i="110"/>
  <c r="L92" i="110"/>
  <c r="I94" i="110" l="1"/>
  <c r="F94" i="110"/>
  <c r="D94" i="110"/>
  <c r="G94" i="110"/>
  <c r="C94" i="110"/>
  <c r="B95" i="110"/>
  <c r="E95" i="110"/>
  <c r="H95" i="110"/>
  <c r="K95" i="110"/>
  <c r="L94" i="110" l="1"/>
  <c r="B96" i="110"/>
  <c r="K96" i="110"/>
  <c r="H96" i="110"/>
  <c r="E96" i="110"/>
  <c r="I95" i="110"/>
  <c r="D95" i="110"/>
  <c r="G95" i="110"/>
  <c r="C95" i="110"/>
  <c r="F95" i="110"/>
  <c r="L95" i="110" l="1"/>
  <c r="B97" i="110"/>
  <c r="E97" i="110"/>
  <c r="H97" i="110"/>
  <c r="K97" i="110"/>
  <c r="F96" i="110"/>
  <c r="I96" i="110"/>
  <c r="G96" i="110"/>
  <c r="D96" i="110"/>
  <c r="C96" i="110"/>
  <c r="L96" i="110" l="1"/>
  <c r="E98" i="110"/>
  <c r="H98" i="110"/>
  <c r="B98" i="110"/>
  <c r="K98" i="110"/>
  <c r="I97" i="110"/>
  <c r="G97" i="110"/>
  <c r="D97" i="110"/>
  <c r="F97" i="110"/>
  <c r="C97" i="110"/>
  <c r="L97" i="110" l="1"/>
  <c r="B99" i="110"/>
  <c r="K99" i="110"/>
  <c r="H99" i="110"/>
  <c r="E99" i="110"/>
  <c r="I98" i="110"/>
  <c r="D98" i="110"/>
  <c r="G98" i="110"/>
  <c r="F98" i="110"/>
  <c r="C98" i="110"/>
  <c r="E100" i="110" l="1"/>
  <c r="B100" i="110"/>
  <c r="K100" i="110"/>
  <c r="H100" i="110"/>
  <c r="L98" i="110"/>
  <c r="I99" i="110"/>
  <c r="D99" i="110"/>
  <c r="F99" i="110"/>
  <c r="C99" i="110"/>
  <c r="G99" i="110"/>
  <c r="L99" i="110" l="1"/>
  <c r="G100" i="110"/>
  <c r="I100" i="110"/>
  <c r="F100" i="110"/>
  <c r="D100" i="110"/>
  <c r="C100" i="110"/>
  <c r="L100" i="110" s="1"/>
  <c r="H101" i="110"/>
  <c r="K101" i="110"/>
  <c r="E101" i="110"/>
  <c r="B101" i="110"/>
  <c r="G101" i="110" l="1"/>
  <c r="F101" i="110"/>
  <c r="I101" i="110"/>
  <c r="C101" i="110"/>
  <c r="D101" i="110"/>
  <c r="K102" i="110"/>
  <c r="H102" i="110"/>
  <c r="E102" i="110"/>
  <c r="B102" i="110"/>
  <c r="L101" i="110" l="1"/>
  <c r="B103" i="110"/>
  <c r="H103" i="110"/>
  <c r="K103" i="110"/>
  <c r="E103" i="110"/>
  <c r="I102" i="110"/>
  <c r="D102" i="110"/>
  <c r="F102" i="110"/>
  <c r="G102" i="110"/>
  <c r="C102" i="110"/>
  <c r="L102" i="110" l="1"/>
  <c r="H104" i="110"/>
  <c r="E104" i="110"/>
  <c r="K104" i="110"/>
  <c r="B104" i="110"/>
  <c r="G103" i="110"/>
  <c r="C103" i="110"/>
  <c r="I103" i="110"/>
  <c r="F103" i="110"/>
  <c r="D103" i="110"/>
  <c r="L103" i="110" l="1"/>
  <c r="G104" i="110"/>
  <c r="I104" i="110"/>
  <c r="D104" i="110"/>
  <c r="C104" i="110"/>
  <c r="F104" i="110"/>
  <c r="B105" i="110"/>
  <c r="E105" i="110"/>
  <c r="K105" i="110"/>
  <c r="H105" i="110"/>
  <c r="H106" i="110" l="1"/>
  <c r="K106" i="110"/>
  <c r="B106" i="110"/>
  <c r="E106" i="110"/>
  <c r="C105" i="110"/>
  <c r="F105" i="110"/>
  <c r="I105" i="110"/>
  <c r="G105" i="110"/>
  <c r="D105" i="110"/>
  <c r="L104" i="110"/>
  <c r="L105" i="110" l="1"/>
  <c r="I106" i="110"/>
  <c r="F106" i="110"/>
  <c r="G106" i="110"/>
  <c r="D106" i="110"/>
  <c r="C106" i="110"/>
  <c r="E107" i="110"/>
  <c r="H107" i="110"/>
  <c r="K107" i="110"/>
  <c r="B107" i="110"/>
  <c r="L106" i="110" l="1"/>
  <c r="C107" i="110"/>
  <c r="D107" i="110"/>
  <c r="G107" i="110"/>
  <c r="I107" i="110"/>
  <c r="F107" i="110"/>
  <c r="L107" i="110" s="1"/>
  <c r="K108" i="110"/>
  <c r="H108" i="110"/>
  <c r="E108" i="110"/>
  <c r="B108" i="110"/>
  <c r="I108" i="110" l="1"/>
  <c r="F108" i="110"/>
  <c r="G108" i="110"/>
  <c r="C108" i="110"/>
  <c r="D108" i="110"/>
  <c r="B109" i="110"/>
  <c r="K109" i="110"/>
  <c r="H109" i="110"/>
  <c r="E109" i="110"/>
  <c r="L108" i="110" l="1"/>
  <c r="I109" i="110"/>
  <c r="C109" i="110"/>
  <c r="F109" i="110"/>
  <c r="D109" i="110"/>
  <c r="G109" i="110"/>
  <c r="K110" i="110"/>
  <c r="E110" i="110"/>
  <c r="H110" i="110"/>
  <c r="B110" i="110"/>
  <c r="D110" i="110" l="1"/>
  <c r="I110" i="110"/>
  <c r="C110" i="110"/>
  <c r="G110" i="110"/>
  <c r="F110" i="110"/>
  <c r="B111" i="110"/>
  <c r="E111" i="110"/>
  <c r="H111" i="110"/>
  <c r="K111" i="110"/>
  <c r="L109" i="110"/>
  <c r="L110" i="110" l="1"/>
  <c r="G111" i="110"/>
  <c r="I111" i="110"/>
  <c r="F111" i="110"/>
  <c r="C111" i="110"/>
  <c r="D111" i="110"/>
  <c r="K112" i="110"/>
  <c r="H112" i="110"/>
  <c r="E112" i="110"/>
  <c r="B112" i="110"/>
  <c r="L111" i="110" l="1"/>
  <c r="H113" i="110"/>
  <c r="E113" i="110"/>
  <c r="B113" i="110"/>
  <c r="K113" i="110"/>
  <c r="I112" i="110"/>
  <c r="D112" i="110"/>
  <c r="C112" i="110"/>
  <c r="F112" i="110"/>
  <c r="G112" i="110"/>
  <c r="L112" i="110" l="1"/>
  <c r="B114" i="110"/>
  <c r="K114" i="110"/>
  <c r="H114" i="110"/>
  <c r="E114" i="110"/>
  <c r="C113" i="110"/>
  <c r="G113" i="110"/>
  <c r="F113" i="110"/>
  <c r="D113" i="110"/>
  <c r="I113" i="110"/>
  <c r="L113" i="110" l="1"/>
  <c r="B115" i="110"/>
  <c r="H115" i="110"/>
  <c r="E115" i="110"/>
  <c r="K115" i="110"/>
  <c r="G114" i="110"/>
  <c r="I114" i="110"/>
  <c r="F114" i="110"/>
  <c r="C114" i="110"/>
  <c r="D114" i="110"/>
  <c r="L114" i="110" l="1"/>
  <c r="K116" i="110"/>
  <c r="H116" i="110"/>
  <c r="E116" i="110"/>
  <c r="B116" i="110"/>
  <c r="D115" i="110"/>
  <c r="I115" i="110"/>
  <c r="C115" i="110"/>
  <c r="G115" i="110"/>
  <c r="F115" i="110"/>
  <c r="L115" i="110" l="1"/>
  <c r="B117" i="110"/>
  <c r="K117" i="110"/>
  <c r="H117" i="110"/>
  <c r="E117" i="110"/>
  <c r="G116" i="110"/>
  <c r="I116" i="110"/>
  <c r="C116" i="110"/>
  <c r="D116" i="110"/>
  <c r="F116" i="110"/>
  <c r="L116" i="110" l="1"/>
  <c r="I117" i="110"/>
  <c r="F117" i="110"/>
  <c r="G117" i="110"/>
  <c r="D117" i="110"/>
  <c r="C117" i="110"/>
  <c r="E118" i="110"/>
  <c r="H118" i="110"/>
  <c r="B118" i="110"/>
  <c r="K118" i="110"/>
  <c r="D118" i="110" l="1"/>
  <c r="F118" i="110"/>
  <c r="C118" i="110"/>
  <c r="I118" i="110"/>
  <c r="G118" i="110"/>
  <c r="B119" i="110"/>
  <c r="H119" i="110"/>
  <c r="K119" i="110"/>
  <c r="E119" i="110"/>
  <c r="L117" i="110"/>
  <c r="L118" i="110" l="1"/>
  <c r="K120" i="110"/>
  <c r="E120" i="110"/>
  <c r="B120" i="110"/>
  <c r="H120" i="110"/>
  <c r="F119" i="110"/>
  <c r="I119" i="110"/>
  <c r="C119" i="110"/>
  <c r="D119" i="110"/>
  <c r="G119" i="110"/>
  <c r="L119" i="110" l="1"/>
  <c r="H121" i="110"/>
  <c r="K121" i="110"/>
  <c r="E121" i="110"/>
  <c r="B121" i="110"/>
  <c r="I120" i="110"/>
  <c r="F120" i="110"/>
  <c r="L120" i="110"/>
  <c r="D120" i="110"/>
  <c r="G120" i="110"/>
  <c r="C120" i="110"/>
  <c r="I121" i="110" l="1"/>
  <c r="F121" i="110"/>
  <c r="C121" i="110"/>
  <c r="L121" i="110"/>
  <c r="D121" i="110"/>
  <c r="G121" i="110"/>
  <c r="B122" i="110"/>
  <c r="K122" i="110"/>
  <c r="E122" i="110"/>
  <c r="H122" i="110"/>
  <c r="I122" i="110" l="1"/>
  <c r="G122" i="110"/>
  <c r="F122" i="110"/>
  <c r="D122" i="110"/>
  <c r="C122" i="110"/>
  <c r="L122" i="110"/>
  <c r="E123" i="110"/>
  <c r="K123" i="110"/>
  <c r="H123" i="110"/>
  <c r="B123" i="110"/>
  <c r="E124" i="110" l="1"/>
  <c r="K124" i="110"/>
  <c r="H124" i="110"/>
  <c r="B124" i="110"/>
  <c r="C123" i="110"/>
  <c r="G123" i="110"/>
  <c r="L123" i="110"/>
  <c r="I123" i="110"/>
  <c r="F123" i="110"/>
  <c r="D123" i="110"/>
  <c r="D124" i="110" l="1"/>
  <c r="C124" i="110"/>
  <c r="G124" i="110"/>
  <c r="F124" i="110"/>
  <c r="L124" i="110"/>
  <c r="I124" i="110"/>
  <c r="B125" i="110"/>
  <c r="E125" i="110"/>
  <c r="H125" i="110"/>
  <c r="K125" i="110"/>
  <c r="I125" i="110" l="1"/>
  <c r="G125" i="110"/>
  <c r="F125" i="110"/>
  <c r="L125" i="110"/>
  <c r="C125" i="110"/>
  <c r="D125" i="110"/>
  <c r="H126" i="110"/>
  <c r="B126" i="110"/>
  <c r="K126" i="110"/>
  <c r="E126" i="110"/>
  <c r="C126" i="110" l="1"/>
  <c r="F126" i="110"/>
  <c r="L126" i="110"/>
  <c r="G126" i="110"/>
  <c r="I126" i="110"/>
  <c r="D126" i="110"/>
  <c r="B127" i="110"/>
  <c r="H127" i="110"/>
  <c r="K127" i="110"/>
  <c r="E127" i="110"/>
  <c r="I127" i="110" l="1"/>
  <c r="D127" i="110"/>
  <c r="F127" i="110"/>
  <c r="L127" i="110"/>
  <c r="G127" i="110"/>
  <c r="C127" i="110"/>
  <c r="K128" i="110"/>
  <c r="B128" i="110"/>
  <c r="H128" i="110"/>
  <c r="E128" i="110"/>
  <c r="B129" i="110" l="1"/>
  <c r="E129" i="110"/>
  <c r="K129" i="110"/>
  <c r="H129" i="110"/>
  <c r="F128" i="110"/>
  <c r="D128" i="110"/>
  <c r="I128" i="110"/>
  <c r="C128" i="110"/>
  <c r="L128" i="110"/>
  <c r="G128" i="110"/>
  <c r="H130" i="110" l="1"/>
  <c r="E130" i="110"/>
  <c r="B130" i="110"/>
  <c r="K130" i="110"/>
  <c r="G129" i="110"/>
  <c r="L129" i="110"/>
  <c r="I129" i="110"/>
  <c r="C129" i="110"/>
  <c r="F129" i="110"/>
  <c r="D129" i="110"/>
  <c r="I130" i="110" l="1"/>
  <c r="D130" i="110"/>
  <c r="C130" i="110"/>
  <c r="G130" i="110"/>
  <c r="F130" i="110"/>
  <c r="L130" i="110"/>
  <c r="K131" i="110"/>
  <c r="H131" i="110"/>
  <c r="B131" i="110"/>
  <c r="E131" i="110"/>
  <c r="G131" i="110" l="1"/>
  <c r="L131" i="110"/>
  <c r="F131" i="110"/>
  <c r="I131" i="110"/>
  <c r="D131" i="110"/>
  <c r="C131" i="110"/>
  <c r="E132" i="110"/>
  <c r="H132" i="110"/>
  <c r="K132" i="110"/>
  <c r="B132" i="110"/>
  <c r="I132" i="110" l="1"/>
  <c r="G132" i="110"/>
  <c r="C132" i="110"/>
  <c r="L132" i="110"/>
  <c r="D132" i="110"/>
  <c r="F132" i="110"/>
  <c r="B133" i="110"/>
  <c r="E133" i="110"/>
  <c r="K133" i="110"/>
  <c r="H133" i="110"/>
  <c r="B134" i="110" l="1"/>
  <c r="H134" i="110"/>
  <c r="E134" i="110"/>
  <c r="K134" i="110"/>
  <c r="F133" i="110"/>
  <c r="G133" i="110"/>
  <c r="C133" i="110"/>
  <c r="L133" i="110"/>
  <c r="D133" i="110"/>
  <c r="I133" i="110"/>
  <c r="K135" i="110" l="1"/>
  <c r="E135" i="110"/>
  <c r="H135" i="110"/>
  <c r="B135" i="110"/>
  <c r="C134" i="110"/>
  <c r="I134" i="110"/>
  <c r="L134" i="110"/>
  <c r="F134" i="110"/>
  <c r="D134" i="110"/>
  <c r="G134" i="110"/>
  <c r="B136" i="110" l="1"/>
  <c r="E136" i="110"/>
  <c r="K136" i="110"/>
  <c r="H136" i="110"/>
  <c r="I135" i="110"/>
  <c r="G135" i="110"/>
  <c r="C135" i="110"/>
  <c r="F135" i="110"/>
  <c r="D135" i="110"/>
  <c r="L135" i="110"/>
  <c r="B137" i="110" l="1"/>
  <c r="E137" i="110"/>
  <c r="H137" i="110"/>
  <c r="K137" i="110"/>
  <c r="F136" i="110"/>
  <c r="C136" i="110"/>
  <c r="G136" i="110"/>
  <c r="L136" i="110"/>
  <c r="D136" i="110"/>
  <c r="I136" i="110"/>
  <c r="K138" i="110" l="1"/>
  <c r="E138" i="110"/>
  <c r="H138" i="110"/>
  <c r="B138" i="110"/>
  <c r="C137" i="110"/>
  <c r="F137" i="110"/>
  <c r="G137" i="110"/>
  <c r="D137" i="110"/>
  <c r="L137" i="110"/>
  <c r="I137" i="110"/>
  <c r="K139" i="110" l="1"/>
  <c r="E139" i="110"/>
  <c r="B139" i="110"/>
  <c r="H139" i="110"/>
  <c r="F138" i="110"/>
  <c r="D138" i="110"/>
  <c r="L138" i="110"/>
  <c r="I138" i="110"/>
  <c r="G138" i="110"/>
  <c r="C138" i="110"/>
  <c r="I139" i="110" l="1"/>
  <c r="F139" i="110"/>
  <c r="L139" i="110"/>
  <c r="G139" i="110"/>
  <c r="D139" i="110"/>
  <c r="C139" i="110"/>
  <c r="K140" i="110"/>
  <c r="H140" i="110"/>
  <c r="B140" i="110"/>
  <c r="E140" i="110"/>
  <c r="L140" i="110" l="1"/>
  <c r="C140" i="110"/>
  <c r="G140" i="110"/>
  <c r="I140" i="110"/>
  <c r="F140" i="110"/>
  <c r="D140" i="110"/>
  <c r="H141" i="110"/>
  <c r="B141" i="110"/>
  <c r="K141" i="110"/>
  <c r="E141" i="110"/>
  <c r="I141" i="110" l="1"/>
  <c r="L141" i="110"/>
  <c r="F141" i="110"/>
  <c r="C141" i="110"/>
  <c r="D141" i="110"/>
  <c r="G141" i="110"/>
  <c r="B142" i="110"/>
  <c r="K142" i="110"/>
  <c r="H142" i="110"/>
  <c r="E142" i="110"/>
  <c r="F142" i="110" l="1"/>
  <c r="G142" i="110"/>
  <c r="D142" i="110"/>
  <c r="I142" i="110"/>
  <c r="C142" i="110"/>
  <c r="L142" i="110"/>
  <c r="K143" i="110"/>
  <c r="H143" i="110"/>
  <c r="B143" i="110"/>
  <c r="E143" i="110"/>
  <c r="B144" i="110" l="1"/>
  <c r="K144" i="110"/>
  <c r="E144" i="110"/>
  <c r="H144" i="110"/>
  <c r="L143" i="110"/>
  <c r="G143" i="110"/>
  <c r="C143" i="110"/>
  <c r="D143" i="110"/>
  <c r="I143" i="110"/>
  <c r="F143" i="110"/>
  <c r="C144" i="110" l="1"/>
  <c r="L144" i="110"/>
  <c r="I144" i="110"/>
  <c r="D144" i="110"/>
  <c r="F144" i="110"/>
  <c r="G144" i="110"/>
  <c r="K145" i="110"/>
  <c r="B145" i="110"/>
  <c r="H145" i="110"/>
  <c r="E145" i="110"/>
  <c r="D145" i="110" l="1"/>
  <c r="F145" i="110"/>
  <c r="L145" i="110"/>
  <c r="C145" i="110"/>
  <c r="I145" i="110"/>
  <c r="G145" i="110"/>
  <c r="E146" i="110"/>
  <c r="B146" i="110"/>
  <c r="H146" i="110"/>
  <c r="K146" i="110"/>
  <c r="E147" i="110" l="1"/>
  <c r="B147" i="110"/>
  <c r="K147" i="110"/>
  <c r="H147" i="110"/>
  <c r="D146" i="110"/>
  <c r="G146" i="110"/>
  <c r="I146" i="110"/>
  <c r="L146" i="110"/>
  <c r="C146" i="110"/>
  <c r="F146" i="110"/>
  <c r="D147" i="110" l="1"/>
  <c r="C147" i="110"/>
  <c r="F147" i="110"/>
  <c r="I147" i="110"/>
  <c r="L147" i="110"/>
  <c r="G147" i="110"/>
  <c r="K148" i="110"/>
  <c r="E148" i="110"/>
  <c r="B148" i="110"/>
  <c r="H148" i="110"/>
  <c r="H149" i="110" l="1"/>
  <c r="K149" i="110"/>
  <c r="B149" i="110"/>
  <c r="E149" i="110"/>
  <c r="F148" i="110"/>
  <c r="C148" i="110"/>
  <c r="I148" i="110"/>
  <c r="G148" i="110"/>
  <c r="D148" i="110"/>
  <c r="L148" i="110"/>
  <c r="B150" i="110" l="1"/>
  <c r="K150" i="110"/>
  <c r="H150" i="110"/>
  <c r="E150" i="110"/>
  <c r="F149" i="110"/>
  <c r="C149" i="110"/>
  <c r="I149" i="110"/>
  <c r="G149" i="110"/>
  <c r="L149" i="110"/>
  <c r="D149" i="110"/>
  <c r="K151" i="110" l="1"/>
  <c r="B151" i="110"/>
  <c r="E151" i="110"/>
  <c r="H151" i="110"/>
  <c r="D150" i="110"/>
  <c r="C150" i="110"/>
  <c r="L150" i="110"/>
  <c r="F150" i="110"/>
  <c r="G150" i="110"/>
  <c r="I150" i="110"/>
  <c r="E152" i="110" l="1"/>
  <c r="B152" i="110"/>
  <c r="K152" i="110"/>
  <c r="H152" i="110"/>
  <c r="F151" i="110"/>
  <c r="G151" i="110"/>
  <c r="L151" i="110"/>
  <c r="D151" i="110"/>
  <c r="C151" i="110"/>
  <c r="I151" i="110"/>
  <c r="K153" i="110" l="1"/>
  <c r="B153" i="110"/>
  <c r="E153" i="110"/>
  <c r="H153" i="110"/>
  <c r="F152" i="110"/>
  <c r="L152" i="110"/>
  <c r="I152" i="110"/>
  <c r="C152" i="110"/>
  <c r="D152" i="110"/>
  <c r="G152" i="110"/>
  <c r="C153" i="110" l="1"/>
  <c r="G153" i="110"/>
  <c r="I153" i="110"/>
  <c r="F153" i="110"/>
  <c r="D153" i="110"/>
  <c r="L153" i="110"/>
  <c r="B154" i="110"/>
  <c r="K154" i="110"/>
  <c r="H154" i="110"/>
  <c r="E154" i="110"/>
  <c r="D154" i="110" l="1"/>
  <c r="I154" i="110"/>
  <c r="G154" i="110"/>
  <c r="F154" i="110"/>
  <c r="C154" i="110"/>
  <c r="L154" i="110"/>
  <c r="K155" i="110"/>
  <c r="E155" i="110"/>
  <c r="H155" i="110"/>
  <c r="B155" i="110"/>
  <c r="G155" i="110" l="1"/>
  <c r="L155" i="110"/>
  <c r="C155" i="110"/>
  <c r="I155" i="110"/>
  <c r="F155" i="110"/>
  <c r="D155" i="110"/>
  <c r="K156" i="110"/>
  <c r="H156" i="110"/>
  <c r="E156" i="110"/>
  <c r="B156" i="110"/>
  <c r="C156" i="110" l="1"/>
  <c r="F156" i="110"/>
  <c r="D156" i="110"/>
  <c r="G156" i="110"/>
  <c r="I156" i="110"/>
  <c r="L156" i="110"/>
  <c r="K157" i="110"/>
  <c r="H157" i="110"/>
  <c r="B157" i="110"/>
  <c r="E157" i="110"/>
  <c r="H158" i="110" l="1"/>
  <c r="K158" i="110"/>
  <c r="B158" i="110"/>
  <c r="E158" i="110"/>
  <c r="G157" i="110"/>
  <c r="C157" i="110"/>
  <c r="D157" i="110"/>
  <c r="I157" i="110"/>
  <c r="F157" i="110"/>
  <c r="L157" i="110"/>
  <c r="E159" i="110" l="1"/>
  <c r="K159" i="110"/>
  <c r="H159" i="110"/>
  <c r="B159" i="110"/>
  <c r="D158" i="110"/>
  <c r="I158" i="110"/>
  <c r="L158" i="110"/>
  <c r="F158" i="110"/>
  <c r="G158" i="110"/>
  <c r="C158" i="110"/>
  <c r="I159" i="110" l="1"/>
  <c r="D159" i="110"/>
  <c r="F159" i="110"/>
  <c r="L159" i="110"/>
  <c r="G159" i="110"/>
  <c r="C159" i="110"/>
  <c r="B160" i="110"/>
  <c r="H160" i="110"/>
  <c r="K160" i="110"/>
  <c r="E160" i="110"/>
  <c r="K161" i="110" l="1"/>
  <c r="B161" i="110"/>
  <c r="E161" i="110"/>
  <c r="H161" i="110"/>
  <c r="D160" i="110"/>
  <c r="I160" i="110"/>
  <c r="C160" i="110"/>
  <c r="G160" i="110"/>
  <c r="F160" i="110"/>
  <c r="L160" i="110"/>
  <c r="E162" i="110" l="1"/>
  <c r="K162" i="110"/>
  <c r="H162" i="110"/>
  <c r="B162" i="110"/>
  <c r="F161" i="110"/>
  <c r="C161" i="110"/>
  <c r="I161" i="110"/>
  <c r="G161" i="110"/>
  <c r="D161" i="110"/>
  <c r="L161" i="110"/>
  <c r="I162" i="110" l="1"/>
  <c r="L162" i="110"/>
  <c r="C162" i="110"/>
  <c r="F162" i="110"/>
  <c r="D162" i="110"/>
  <c r="G162" i="110"/>
  <c r="H163" i="110"/>
  <c r="K163" i="110"/>
  <c r="E163" i="110"/>
  <c r="B163" i="110"/>
  <c r="L163" i="110" l="1"/>
  <c r="D163" i="110"/>
  <c r="I163" i="110"/>
  <c r="F163" i="110"/>
  <c r="C163" i="110"/>
  <c r="G163" i="110"/>
  <c r="B164" i="110"/>
  <c r="H164" i="110"/>
  <c r="E164" i="110"/>
  <c r="K164" i="110"/>
  <c r="C164" i="110" l="1"/>
  <c r="G164" i="110"/>
  <c r="F164" i="110"/>
  <c r="I164" i="110"/>
  <c r="L164" i="110"/>
  <c r="D164" i="110"/>
  <c r="B165" i="110"/>
  <c r="H165" i="110"/>
  <c r="K165" i="110"/>
  <c r="E165" i="110"/>
  <c r="L165" i="110" l="1"/>
  <c r="C165" i="110"/>
  <c r="D165" i="110"/>
  <c r="I165" i="110"/>
  <c r="F165" i="110"/>
  <c r="G165" i="110"/>
  <c r="H166" i="110"/>
  <c r="K166" i="110"/>
  <c r="E166" i="110"/>
  <c r="B166" i="110"/>
  <c r="B167" i="110" l="1"/>
  <c r="E167" i="110"/>
  <c r="H167" i="110"/>
  <c r="K167" i="110"/>
  <c r="F166" i="110"/>
  <c r="L166" i="110"/>
  <c r="G166" i="110"/>
  <c r="C166" i="110"/>
  <c r="I166" i="110"/>
  <c r="D166" i="110"/>
  <c r="E168" i="110" l="1"/>
  <c r="K168" i="110"/>
  <c r="H168" i="110"/>
  <c r="B168" i="110"/>
  <c r="G167" i="110"/>
  <c r="L167" i="110"/>
  <c r="I167" i="110"/>
  <c r="C167" i="110"/>
  <c r="D167" i="110"/>
  <c r="F167" i="110"/>
  <c r="B169" i="110" l="1"/>
  <c r="H169" i="110"/>
  <c r="E169" i="110"/>
  <c r="K169" i="110"/>
  <c r="F168" i="110"/>
  <c r="C168" i="110"/>
  <c r="G168" i="110"/>
  <c r="D168" i="110"/>
  <c r="I168" i="110"/>
  <c r="L168" i="110"/>
  <c r="K170" i="110" l="1"/>
  <c r="H170" i="110"/>
  <c r="E170" i="110"/>
  <c r="B170" i="110"/>
  <c r="C169" i="110"/>
  <c r="D169" i="110"/>
  <c r="I169" i="110"/>
  <c r="L169" i="110"/>
  <c r="F169" i="110"/>
  <c r="G169" i="110"/>
  <c r="K171" i="110" l="1"/>
  <c r="B171" i="110"/>
  <c r="H171" i="110"/>
  <c r="E171" i="110"/>
  <c r="F170" i="110"/>
  <c r="I170" i="110"/>
  <c r="C170" i="110"/>
  <c r="L170" i="110"/>
  <c r="G170" i="110"/>
  <c r="D170" i="110"/>
  <c r="B172" i="110" l="1"/>
  <c r="K172" i="110"/>
  <c r="E172" i="110"/>
  <c r="H172" i="110"/>
  <c r="I171" i="110"/>
  <c r="F171" i="110"/>
  <c r="D171" i="110"/>
  <c r="G171" i="110"/>
  <c r="C171" i="110"/>
  <c r="L171" i="110"/>
  <c r="H173" i="110" l="1"/>
  <c r="B173" i="110"/>
  <c r="E173" i="110"/>
  <c r="K173" i="110"/>
  <c r="D172" i="110"/>
  <c r="G172" i="110"/>
  <c r="F172" i="110"/>
  <c r="L172" i="110"/>
  <c r="I172" i="110"/>
  <c r="C172" i="110"/>
  <c r="B174" i="110" l="1"/>
  <c r="H174" i="110"/>
  <c r="E174" i="110"/>
  <c r="K174" i="110"/>
  <c r="L173" i="110"/>
  <c r="C173" i="110"/>
  <c r="D173" i="110"/>
  <c r="I173" i="110"/>
  <c r="G173" i="110"/>
  <c r="F173" i="110"/>
  <c r="K175" i="110" l="1"/>
  <c r="B175" i="110"/>
  <c r="E175" i="110"/>
  <c r="H175" i="110"/>
  <c r="G174" i="110"/>
  <c r="I174" i="110"/>
  <c r="D174" i="110"/>
  <c r="F174" i="110"/>
  <c r="L174" i="110"/>
  <c r="C174" i="110"/>
  <c r="H176" i="110" l="1"/>
  <c r="K176" i="110"/>
  <c r="B176" i="110"/>
  <c r="E176" i="110"/>
  <c r="C175" i="110"/>
  <c r="G175" i="110"/>
  <c r="D175" i="110"/>
  <c r="L175" i="110"/>
  <c r="I175" i="110"/>
  <c r="F175" i="110"/>
  <c r="B177" i="110" l="1"/>
  <c r="K177" i="110"/>
  <c r="H177" i="110"/>
  <c r="E177" i="110"/>
  <c r="F176" i="110"/>
  <c r="D176" i="110"/>
  <c r="I176" i="110"/>
  <c r="G176" i="110"/>
  <c r="C176" i="110"/>
  <c r="L176" i="110"/>
  <c r="E178" i="110" l="1"/>
  <c r="B178" i="110"/>
  <c r="K178" i="110"/>
  <c r="H178" i="110"/>
  <c r="F177" i="110"/>
  <c r="I177" i="110"/>
  <c r="L177" i="110"/>
  <c r="G177" i="110"/>
  <c r="C177" i="110"/>
  <c r="D177" i="110"/>
  <c r="F178" i="110" l="1"/>
  <c r="C178" i="110"/>
  <c r="I178" i="110"/>
  <c r="D178" i="110"/>
  <c r="L178" i="110"/>
  <c r="G178" i="110"/>
  <c r="K179" i="110"/>
  <c r="B179" i="110"/>
  <c r="E179" i="110"/>
  <c r="H179" i="110"/>
  <c r="G179" i="110" l="1"/>
  <c r="I179" i="110"/>
  <c r="L179" i="110"/>
  <c r="D179" i="110"/>
  <c r="F179" i="110"/>
  <c r="C179" i="110"/>
  <c r="E180" i="110"/>
  <c r="K180" i="110"/>
  <c r="B180" i="110"/>
  <c r="H180" i="110"/>
  <c r="F180" i="110" l="1"/>
  <c r="C180" i="110"/>
  <c r="D180" i="110"/>
  <c r="I180" i="110"/>
  <c r="G180" i="110"/>
  <c r="L180" i="110"/>
  <c r="E181" i="110"/>
  <c r="H181" i="110"/>
  <c r="K181" i="110"/>
  <c r="B181" i="110"/>
  <c r="H182" i="110" l="1"/>
  <c r="E182" i="110"/>
  <c r="B182" i="110"/>
  <c r="K182" i="110"/>
  <c r="F181" i="110"/>
  <c r="D181" i="110"/>
  <c r="I181" i="110"/>
  <c r="G181" i="110"/>
  <c r="L181" i="110"/>
  <c r="C181" i="110"/>
  <c r="B183" i="110" l="1"/>
  <c r="H183" i="110"/>
  <c r="E183" i="110"/>
  <c r="K183" i="110"/>
  <c r="F182" i="110"/>
  <c r="G182" i="110"/>
  <c r="D182" i="110"/>
  <c r="C182" i="110"/>
  <c r="I182" i="110"/>
  <c r="L182" i="110"/>
  <c r="H184" i="110" l="1"/>
  <c r="E184" i="110"/>
  <c r="B184" i="110"/>
  <c r="K184" i="110"/>
  <c r="G183" i="110"/>
  <c r="F183" i="110"/>
  <c r="C183" i="110"/>
  <c r="D183" i="110"/>
  <c r="L183" i="110"/>
  <c r="I183" i="110"/>
  <c r="E185" i="110" l="1"/>
  <c r="K185" i="110"/>
  <c r="H185" i="110"/>
  <c r="B185" i="110"/>
  <c r="D184" i="110"/>
  <c r="C184" i="110"/>
  <c r="I184" i="110"/>
  <c r="F184" i="110"/>
  <c r="G184" i="110"/>
  <c r="L184" i="110"/>
  <c r="D185" i="110" l="1"/>
  <c r="F185" i="110"/>
  <c r="L185" i="110"/>
  <c r="G185" i="110"/>
  <c r="C185" i="110"/>
  <c r="I185" i="110"/>
  <c r="B186" i="110"/>
  <c r="H186" i="110"/>
  <c r="K186" i="110"/>
  <c r="E186" i="110"/>
  <c r="B187" i="110" l="1"/>
  <c r="H187" i="110"/>
  <c r="E187" i="110"/>
  <c r="K187" i="110"/>
  <c r="I186" i="110"/>
  <c r="G186" i="110"/>
  <c r="F186" i="110"/>
  <c r="C186" i="110"/>
  <c r="D186" i="110"/>
  <c r="L186" i="110"/>
  <c r="I187" i="110" l="1"/>
  <c r="L187" i="110"/>
  <c r="G187" i="110"/>
  <c r="F187" i="110"/>
  <c r="D187" i="110"/>
  <c r="C187" i="110"/>
  <c r="K188" i="110"/>
  <c r="H188" i="110"/>
  <c r="E188" i="110"/>
  <c r="B188" i="110"/>
  <c r="D188" i="110" l="1"/>
  <c r="I188" i="110"/>
  <c r="L188" i="110"/>
  <c r="G188" i="110"/>
  <c r="C188" i="110"/>
  <c r="F188" i="110"/>
  <c r="K189" i="110"/>
  <c r="E189" i="110"/>
  <c r="B189" i="110"/>
  <c r="H189" i="110"/>
  <c r="G189" i="110" l="1"/>
  <c r="C189" i="110"/>
  <c r="D189" i="110"/>
  <c r="F189" i="110"/>
  <c r="L189" i="110"/>
  <c r="I189" i="110"/>
  <c r="H190" i="110"/>
  <c r="B190" i="110"/>
  <c r="K190" i="110"/>
  <c r="E190" i="110"/>
  <c r="E191" i="110" l="1"/>
  <c r="H191" i="110"/>
  <c r="K191" i="110"/>
  <c r="B191" i="110"/>
  <c r="I190" i="110"/>
  <c r="L190" i="110"/>
  <c r="G190" i="110"/>
  <c r="D190" i="110"/>
  <c r="C190" i="110"/>
  <c r="F190" i="110"/>
  <c r="G191" i="110" l="1"/>
  <c r="F191" i="110"/>
  <c r="C191" i="110"/>
  <c r="D191" i="110"/>
  <c r="I191" i="110"/>
  <c r="L191" i="110"/>
  <c r="K192" i="110"/>
  <c r="H192" i="110"/>
  <c r="B192" i="110"/>
  <c r="E192" i="110"/>
  <c r="I192" i="110" l="1"/>
  <c r="L192" i="110"/>
  <c r="F192" i="110"/>
  <c r="C192" i="110"/>
  <c r="G192" i="110"/>
  <c r="D192" i="110"/>
  <c r="K193" i="110"/>
  <c r="E193" i="110"/>
  <c r="B193" i="110"/>
  <c r="H193" i="110"/>
  <c r="H194" i="110" l="1"/>
  <c r="K194" i="110"/>
  <c r="E194" i="110"/>
  <c r="B194" i="110"/>
  <c r="D193" i="110"/>
  <c r="G193" i="110"/>
  <c r="F193" i="110"/>
  <c r="L193" i="110"/>
  <c r="C193" i="110"/>
  <c r="I193" i="110"/>
  <c r="C194" i="110" l="1"/>
  <c r="L194" i="110"/>
  <c r="F194" i="110"/>
  <c r="D194" i="110"/>
  <c r="I194" i="110"/>
  <c r="G194" i="110"/>
  <c r="K195" i="110"/>
  <c r="H195" i="110"/>
  <c r="E195" i="110"/>
  <c r="B195" i="110"/>
  <c r="E196" i="110" l="1"/>
  <c r="H196" i="110"/>
  <c r="K196" i="110"/>
  <c r="B196" i="110"/>
  <c r="L195" i="110"/>
  <c r="G195" i="110"/>
  <c r="C195" i="110"/>
  <c r="F195" i="110"/>
  <c r="I195" i="110"/>
  <c r="D195" i="110"/>
  <c r="B197" i="110" l="1"/>
  <c r="E197" i="110"/>
  <c r="K197" i="110"/>
  <c r="H197" i="110"/>
  <c r="D196" i="110"/>
  <c r="I196" i="110"/>
  <c r="F196" i="110"/>
  <c r="L196" i="110"/>
  <c r="C196" i="110"/>
  <c r="G196" i="110"/>
  <c r="K198" i="110" l="1"/>
  <c r="E198" i="110"/>
  <c r="H198" i="110"/>
  <c r="B198" i="110"/>
  <c r="C197" i="110"/>
  <c r="L197" i="110"/>
  <c r="I197" i="110"/>
  <c r="G197" i="110"/>
  <c r="D197" i="110"/>
  <c r="F197" i="110"/>
  <c r="K199" i="110" l="1"/>
  <c r="H199" i="110"/>
  <c r="B199" i="110"/>
  <c r="E199" i="110"/>
  <c r="C198" i="110"/>
  <c r="D198" i="110"/>
  <c r="L198" i="110"/>
  <c r="G198" i="110"/>
  <c r="F198" i="110"/>
  <c r="I198" i="110"/>
  <c r="C199" i="110" l="1"/>
  <c r="L199" i="110"/>
  <c r="D199" i="110"/>
  <c r="I199" i="110"/>
  <c r="F199" i="110"/>
  <c r="G199" i="110"/>
  <c r="K200" i="110"/>
  <c r="E200" i="110"/>
  <c r="H200" i="110"/>
  <c r="B200" i="110"/>
  <c r="B201" i="110" l="1"/>
  <c r="H201" i="110"/>
  <c r="E201" i="110"/>
  <c r="G200" i="110"/>
  <c r="F200" i="110"/>
  <c r="I200" i="110"/>
  <c r="L200" i="110"/>
  <c r="D200" i="110"/>
  <c r="C200" i="110"/>
  <c r="E202" i="110" l="1"/>
  <c r="H202" i="110"/>
  <c r="B202" i="110"/>
  <c r="D201" i="110"/>
  <c r="I201" i="110"/>
  <c r="G201" i="110"/>
  <c r="F201" i="110"/>
  <c r="L201" i="110"/>
  <c r="C201" i="110"/>
  <c r="G202" i="110" l="1"/>
  <c r="I202" i="110"/>
  <c r="F202" i="110"/>
  <c r="L202" i="110"/>
  <c r="C202" i="110"/>
  <c r="D202" i="110"/>
  <c r="B203" i="110"/>
  <c r="H203" i="110"/>
  <c r="E203" i="110"/>
  <c r="D203" i="110" l="1"/>
  <c r="C203" i="110"/>
  <c r="I203" i="110"/>
  <c r="F203" i="110"/>
  <c r="G203" i="110"/>
  <c r="L203" i="110"/>
  <c r="H204" i="110"/>
  <c r="E204" i="110"/>
  <c r="B204" i="110"/>
  <c r="L204" i="110" l="1"/>
  <c r="D204" i="110"/>
  <c r="I204" i="110"/>
  <c r="G204" i="110"/>
  <c r="F204" i="110"/>
  <c r="C204" i="110"/>
  <c r="H205" i="110"/>
  <c r="E205" i="110"/>
  <c r="B205" i="110"/>
  <c r="L205" i="110" l="1"/>
  <c r="D205" i="110"/>
  <c r="F205" i="110"/>
  <c r="G205" i="110"/>
  <c r="C205" i="110"/>
  <c r="I205" i="110"/>
  <c r="H206" i="110"/>
  <c r="E206" i="110"/>
  <c r="B206" i="110"/>
  <c r="G206" i="110" l="1"/>
  <c r="I206" i="110"/>
  <c r="F206" i="110"/>
  <c r="L206" i="110"/>
  <c r="C206" i="110"/>
  <c r="D206" i="110"/>
  <c r="B207" i="110"/>
  <c r="H207" i="110"/>
  <c r="E207" i="110"/>
  <c r="I207" i="110" l="1"/>
  <c r="L207" i="110"/>
  <c r="F207" i="110"/>
  <c r="G207" i="110"/>
  <c r="C207" i="110"/>
  <c r="D207" i="110"/>
  <c r="E208" i="110"/>
  <c r="B208" i="110"/>
  <c r="H208" i="110"/>
  <c r="B209" i="110" l="1"/>
  <c r="E209" i="110"/>
  <c r="H209" i="110"/>
  <c r="I208" i="110"/>
  <c r="F208" i="110"/>
  <c r="D208" i="110"/>
  <c r="L208" i="110"/>
  <c r="C208" i="110"/>
  <c r="G208" i="110"/>
  <c r="L209" i="110" l="1"/>
  <c r="C209" i="110"/>
  <c r="D209" i="110"/>
  <c r="I209" i="110"/>
  <c r="F209" i="110"/>
  <c r="G209" i="110"/>
  <c r="B210" i="110"/>
  <c r="H210" i="110"/>
  <c r="E210" i="110"/>
  <c r="F210" i="110" l="1"/>
  <c r="C210" i="110"/>
  <c r="D210" i="110"/>
  <c r="I210" i="110"/>
  <c r="G210" i="110"/>
  <c r="L210" i="110"/>
  <c r="E211" i="110"/>
  <c r="H211" i="110"/>
  <c r="B211" i="110"/>
  <c r="H212" i="110" l="1"/>
  <c r="B212" i="110"/>
  <c r="E212" i="110"/>
  <c r="F211" i="110"/>
  <c r="D211" i="110"/>
  <c r="G211" i="110"/>
  <c r="C211" i="110"/>
  <c r="I211" i="110"/>
  <c r="L211" i="110"/>
  <c r="B213" i="110" l="1"/>
  <c r="H213" i="110"/>
  <c r="E213" i="110"/>
  <c r="F212" i="110"/>
  <c r="L212" i="110"/>
  <c r="G212" i="110"/>
  <c r="C212" i="110"/>
  <c r="D212" i="110"/>
  <c r="I212" i="110"/>
  <c r="H214" i="110" l="1"/>
  <c r="B214" i="110"/>
  <c r="E214" i="110"/>
  <c r="I213" i="110"/>
  <c r="C213" i="110"/>
  <c r="G213" i="110"/>
  <c r="F213" i="110"/>
  <c r="D213" i="110"/>
  <c r="L213" i="110"/>
  <c r="F214" i="110" l="1"/>
  <c r="G214" i="110"/>
  <c r="L214" i="110"/>
  <c r="I214" i="110"/>
  <c r="D214" i="110"/>
  <c r="C214" i="110"/>
  <c r="E215" i="110"/>
  <c r="B215" i="110"/>
  <c r="H215" i="110"/>
  <c r="B216" i="110" l="1"/>
  <c r="E216" i="110"/>
  <c r="H216" i="110"/>
  <c r="F215" i="110"/>
  <c r="I215" i="110"/>
  <c r="D215" i="110"/>
  <c r="L215" i="110"/>
  <c r="G215" i="110"/>
  <c r="C215" i="110"/>
  <c r="G216" i="110" l="1"/>
  <c r="F216" i="110"/>
  <c r="C216" i="110"/>
  <c r="L216" i="110"/>
  <c r="I216" i="110"/>
  <c r="D216" i="110"/>
  <c r="B217" i="110"/>
  <c r="E217" i="110"/>
  <c r="H217" i="110"/>
  <c r="B218" i="110" l="1"/>
  <c r="H218" i="110"/>
  <c r="E218" i="110"/>
  <c r="G217" i="110"/>
  <c r="D217" i="110"/>
  <c r="L217" i="110"/>
  <c r="F217" i="110"/>
  <c r="C217" i="110"/>
  <c r="I217" i="110"/>
  <c r="E219" i="110" l="1"/>
  <c r="H219" i="110"/>
  <c r="B219" i="110"/>
  <c r="L218" i="110"/>
  <c r="G218" i="110"/>
  <c r="D218" i="110"/>
  <c r="C218" i="110"/>
  <c r="I218" i="110"/>
  <c r="F218" i="110"/>
  <c r="B220" i="110" l="1"/>
  <c r="H220" i="110"/>
  <c r="E220" i="110"/>
  <c r="I219" i="110"/>
  <c r="C219" i="110"/>
  <c r="L219" i="110"/>
  <c r="G219" i="110"/>
  <c r="D219" i="110"/>
  <c r="F219" i="110"/>
  <c r="H221" i="110" l="1"/>
  <c r="E221" i="110"/>
  <c r="B221" i="110"/>
  <c r="I220" i="110"/>
  <c r="C220" i="110"/>
  <c r="L220" i="110"/>
  <c r="G220" i="110"/>
  <c r="F220" i="110"/>
  <c r="D220" i="110"/>
  <c r="E222" i="110" l="1"/>
  <c r="H222" i="110"/>
  <c r="B222" i="110"/>
  <c r="C221" i="110"/>
  <c r="I221" i="110"/>
  <c r="L221" i="110"/>
  <c r="G221" i="110"/>
  <c r="D221" i="110"/>
  <c r="F221" i="110"/>
  <c r="B223" i="110" l="1"/>
  <c r="E223" i="110"/>
  <c r="H223" i="110"/>
  <c r="I222" i="110"/>
  <c r="D222" i="110"/>
  <c r="G222" i="110"/>
  <c r="L222" i="110"/>
  <c r="F222" i="110"/>
  <c r="C222" i="110"/>
  <c r="B224" i="110" l="1"/>
  <c r="H224" i="110"/>
  <c r="E224" i="110"/>
  <c r="L223" i="110"/>
  <c r="I223" i="110"/>
  <c r="G223" i="110"/>
  <c r="F223" i="110"/>
  <c r="C223" i="110"/>
  <c r="D223" i="110"/>
  <c r="D224" i="110" l="1"/>
  <c r="C224" i="110"/>
  <c r="G224" i="110"/>
  <c r="L224" i="110"/>
  <c r="F224" i="110"/>
  <c r="I224" i="110"/>
  <c r="B225" i="110"/>
  <c r="H225" i="110"/>
  <c r="E225" i="110"/>
  <c r="G225" i="110" l="1"/>
  <c r="D225" i="110"/>
  <c r="I225" i="110"/>
  <c r="F225" i="110"/>
  <c r="L225" i="110"/>
  <c r="C225" i="110"/>
  <c r="B226" i="110"/>
  <c r="H226" i="110"/>
  <c r="E226" i="110"/>
  <c r="H227" i="110" l="1"/>
  <c r="B227" i="110"/>
  <c r="E227" i="110"/>
  <c r="I226" i="110"/>
  <c r="C226" i="110"/>
  <c r="F226" i="110"/>
  <c r="L226" i="110"/>
  <c r="G226" i="110"/>
  <c r="D226" i="110"/>
  <c r="H228" i="110" l="1"/>
  <c r="E228" i="110"/>
  <c r="B228" i="110"/>
  <c r="C227" i="110"/>
  <c r="L227" i="110"/>
  <c r="I227" i="110"/>
  <c r="F227" i="110"/>
  <c r="G227" i="110"/>
  <c r="D227" i="110"/>
  <c r="F228" i="110" l="1"/>
  <c r="C228" i="110"/>
  <c r="L228" i="110"/>
  <c r="G228" i="110"/>
  <c r="I228" i="110"/>
  <c r="D228" i="110"/>
  <c r="H229" i="110"/>
  <c r="E229" i="110"/>
  <c r="B229" i="110"/>
  <c r="D229" i="110" l="1"/>
  <c r="I229" i="110"/>
  <c r="L229" i="110"/>
  <c r="F229" i="110"/>
  <c r="G229" i="110"/>
  <c r="C229" i="110"/>
  <c r="B230" i="110"/>
  <c r="H230" i="110"/>
  <c r="E230" i="110"/>
  <c r="F230" i="110" l="1"/>
  <c r="L230" i="110"/>
  <c r="I230" i="110"/>
  <c r="D230" i="110"/>
  <c r="C230" i="110"/>
  <c r="G230" i="110"/>
  <c r="B231" i="110"/>
  <c r="E231" i="110"/>
  <c r="H231" i="110"/>
  <c r="F231" i="110" l="1"/>
  <c r="G231" i="110"/>
  <c r="C231" i="110"/>
  <c r="D231" i="110"/>
  <c r="I231" i="110"/>
  <c r="L231" i="110"/>
  <c r="E232" i="110"/>
  <c r="H232" i="110"/>
  <c r="B232" i="110"/>
  <c r="H233" i="110" l="1"/>
  <c r="E233" i="110"/>
  <c r="B233" i="110"/>
  <c r="I232" i="110"/>
  <c r="F232" i="110"/>
  <c r="C232" i="110"/>
  <c r="G232" i="110"/>
  <c r="L232" i="110"/>
  <c r="D232" i="110"/>
  <c r="L233" i="110" l="1"/>
  <c r="C233" i="110"/>
  <c r="F233" i="110"/>
  <c r="D233" i="110"/>
  <c r="I233" i="110"/>
  <c r="G233" i="110"/>
  <c r="H234" i="110"/>
  <c r="E234" i="110"/>
  <c r="B234" i="110"/>
  <c r="F234" i="110" l="1"/>
  <c r="L234" i="110"/>
  <c r="G234" i="110"/>
  <c r="C234" i="110"/>
  <c r="D234" i="110"/>
  <c r="I234" i="110"/>
  <c r="E235" i="110"/>
  <c r="H235" i="110"/>
  <c r="B235" i="110"/>
  <c r="L235" i="110" l="1"/>
  <c r="I235" i="110"/>
  <c r="G235" i="110"/>
  <c r="F235" i="110"/>
  <c r="C235" i="110"/>
  <c r="D235" i="110"/>
  <c r="E236" i="110"/>
  <c r="H236" i="110"/>
  <c r="B236" i="110"/>
  <c r="G236" i="110" l="1"/>
  <c r="F236" i="110"/>
  <c r="L236" i="110"/>
  <c r="C236" i="110"/>
  <c r="D236" i="110"/>
  <c r="I236" i="110"/>
  <c r="H237" i="110"/>
  <c r="E237" i="110"/>
  <c r="B237" i="110"/>
  <c r="H238" i="110" l="1"/>
  <c r="E238" i="110"/>
  <c r="B238" i="110"/>
  <c r="L237" i="110"/>
  <c r="I237" i="110"/>
  <c r="G237" i="110"/>
  <c r="D237" i="110"/>
  <c r="F237" i="110"/>
  <c r="C237" i="110"/>
  <c r="C238" i="110" l="1"/>
  <c r="L238" i="110"/>
  <c r="I238" i="110"/>
  <c r="G238" i="110"/>
  <c r="D238" i="110"/>
  <c r="F238" i="110"/>
  <c r="B239" i="110"/>
  <c r="E239" i="110"/>
  <c r="H239" i="110"/>
  <c r="D239" i="110" l="1"/>
  <c r="C239" i="110"/>
  <c r="G239" i="110"/>
  <c r="L239" i="110"/>
  <c r="F239" i="110"/>
  <c r="I239" i="110"/>
  <c r="B240" i="110"/>
  <c r="H240" i="110"/>
  <c r="E240" i="110"/>
  <c r="F240" i="110" l="1"/>
  <c r="G240" i="110"/>
  <c r="I240" i="110"/>
  <c r="D240" i="110"/>
  <c r="L240" i="110"/>
  <c r="C240" i="110"/>
  <c r="B241" i="110"/>
  <c r="E241" i="110"/>
  <c r="H241" i="110"/>
  <c r="H242" i="110" l="1"/>
  <c r="E242" i="110"/>
  <c r="B242" i="110"/>
  <c r="L241" i="110"/>
  <c r="G241" i="110"/>
  <c r="D241" i="110"/>
  <c r="I241" i="110"/>
  <c r="F241" i="110"/>
  <c r="C241" i="110"/>
  <c r="B243" i="110" l="1"/>
  <c r="E243" i="110"/>
  <c r="H243" i="110"/>
  <c r="C242" i="110"/>
  <c r="F242" i="110"/>
  <c r="L242" i="110"/>
  <c r="D242" i="110"/>
  <c r="G242" i="110"/>
  <c r="I242" i="110"/>
  <c r="G243" i="110" l="1"/>
  <c r="D243" i="110"/>
  <c r="C243" i="110"/>
  <c r="F243" i="110"/>
  <c r="L243" i="110"/>
  <c r="I243" i="110"/>
  <c r="E244" i="110"/>
  <c r="B244" i="110"/>
  <c r="H244" i="110"/>
  <c r="G244" i="110" l="1"/>
  <c r="D244" i="110"/>
  <c r="I244" i="110"/>
  <c r="F244" i="110"/>
  <c r="C244" i="110"/>
  <c r="L244" i="110"/>
  <c r="H245" i="110"/>
  <c r="B245" i="110"/>
  <c r="E245" i="110"/>
  <c r="B246" i="110" l="1"/>
  <c r="E246" i="110"/>
  <c r="H246" i="110"/>
  <c r="C245" i="110"/>
  <c r="I245" i="110"/>
  <c r="L245" i="110"/>
  <c r="F245" i="110"/>
  <c r="G245" i="110"/>
  <c r="D245" i="110"/>
  <c r="C246" i="110" l="1"/>
  <c r="F246" i="110"/>
  <c r="I246" i="110"/>
  <c r="D246" i="110"/>
  <c r="L246" i="110"/>
  <c r="G246" i="110"/>
  <c r="B247" i="110"/>
  <c r="E247" i="110"/>
  <c r="H247" i="110"/>
  <c r="I247" i="110" l="1"/>
  <c r="G247" i="110"/>
  <c r="C247" i="110"/>
  <c r="D247" i="110"/>
  <c r="L247" i="110"/>
  <c r="F247" i="110"/>
  <c r="E248" i="110"/>
  <c r="B248" i="110"/>
  <c r="H248" i="110"/>
  <c r="C248" i="110" l="1"/>
  <c r="L248" i="110"/>
  <c r="G248" i="110"/>
  <c r="I248" i="110"/>
  <c r="F248" i="110"/>
  <c r="D248" i="110"/>
  <c r="B249" i="110"/>
  <c r="E249" i="110"/>
  <c r="H249" i="110"/>
  <c r="B250" i="110" l="1"/>
  <c r="H250" i="110"/>
  <c r="E250" i="110"/>
  <c r="C249" i="110"/>
  <c r="I249" i="110"/>
  <c r="L249" i="110"/>
  <c r="F249" i="110"/>
  <c r="G249" i="110"/>
  <c r="D249" i="110"/>
  <c r="H251" i="110" l="1"/>
  <c r="B251" i="110"/>
  <c r="E251" i="110"/>
  <c r="L250" i="110"/>
  <c r="G250" i="110"/>
  <c r="C250" i="110"/>
  <c r="I250" i="110"/>
  <c r="F250" i="110"/>
  <c r="D250" i="110"/>
  <c r="F251" i="110" l="1"/>
  <c r="D251" i="110"/>
  <c r="G251" i="110"/>
  <c r="I251" i="110"/>
  <c r="L251" i="110"/>
  <c r="C251" i="110"/>
  <c r="H252" i="110"/>
  <c r="E252" i="110"/>
  <c r="B252" i="110"/>
  <c r="C252" i="110" l="1"/>
  <c r="L252" i="110"/>
  <c r="F252" i="110"/>
  <c r="D252" i="110"/>
  <c r="I252" i="110"/>
  <c r="G252" i="110"/>
  <c r="E9" i="113" a="1"/>
  <c r="E9" i="113" l="1"/>
  <c r="P1" i="99" a="1"/>
  <c r="P1" i="99" s="1"/>
  <c r="A15" i="99" s="1"/>
  <c r="P1" i="97" a="1"/>
  <c r="P1" i="97" s="1"/>
  <c r="A15" i="97" s="1"/>
  <c r="O1" i="102" a="1"/>
  <c r="O1" i="102" s="1"/>
  <c r="A15" i="102" s="1"/>
  <c r="O1" i="101" a="1"/>
  <c r="O1" i="101" s="1"/>
  <c r="A15" i="101" s="1"/>
  <c r="O1" i="100" a="1"/>
  <c r="O1" i="100" s="1"/>
  <c r="A15" i="100" s="1"/>
  <c r="A16" i="101" l="1"/>
  <c r="E15" i="101"/>
  <c r="E15" i="100"/>
  <c r="A16" i="100"/>
  <c r="E15" i="102"/>
  <c r="A16" i="102"/>
  <c r="B15" i="102"/>
  <c r="E15" i="97"/>
  <c r="B15" i="97"/>
  <c r="A16" i="97"/>
  <c r="A16" i="99"/>
  <c r="B15" i="99"/>
  <c r="E15" i="99"/>
  <c r="B15" i="100" a="1"/>
  <c r="B15" i="101" a="1"/>
  <c r="B15" i="100" l="1"/>
  <c r="B15" i="101"/>
  <c r="C15" i="97"/>
  <c r="D15" i="97"/>
  <c r="G15" i="97"/>
  <c r="F15" i="97"/>
  <c r="G15" i="99"/>
  <c r="F15" i="99"/>
  <c r="E16" i="99"/>
  <c r="A17" i="99"/>
  <c r="B16" i="99"/>
  <c r="B16" i="97"/>
  <c r="A17" i="97"/>
  <c r="E16" i="97"/>
  <c r="A17" i="100"/>
  <c r="E16" i="100"/>
  <c r="E16" i="101"/>
  <c r="A17" i="101"/>
  <c r="F15" i="102"/>
  <c r="G15" i="102"/>
  <c r="C15" i="102"/>
  <c r="A17" i="102"/>
  <c r="E16" i="102"/>
  <c r="B16" i="102"/>
  <c r="C15" i="99"/>
  <c r="D15" i="99"/>
  <c r="B16" i="101" a="1"/>
  <c r="B16" i="100" a="1"/>
  <c r="H15" i="102" l="1"/>
  <c r="H15" i="97"/>
  <c r="H15" i="99"/>
  <c r="B16" i="101"/>
  <c r="B16" i="100"/>
  <c r="E17" i="97"/>
  <c r="B17" i="97"/>
  <c r="A18" i="97"/>
  <c r="C16" i="99"/>
  <c r="D16" i="99"/>
  <c r="B17" i="99"/>
  <c r="E17" i="99"/>
  <c r="A18" i="99"/>
  <c r="D16" i="97"/>
  <c r="C16" i="97"/>
  <c r="F16" i="99"/>
  <c r="G16" i="99"/>
  <c r="G16" i="97"/>
  <c r="F16" i="97"/>
  <c r="C16" i="102"/>
  <c r="G16" i="102"/>
  <c r="F16" i="102"/>
  <c r="E17" i="102"/>
  <c r="A18" i="102"/>
  <c r="B17" i="102"/>
  <c r="E17" i="100"/>
  <c r="A18" i="100"/>
  <c r="A18" i="101"/>
  <c r="E17" i="101"/>
  <c r="C15" i="101"/>
  <c r="D15" i="101"/>
  <c r="F15" i="101"/>
  <c r="G15" i="101"/>
  <c r="F15" i="100"/>
  <c r="D15" i="100"/>
  <c r="C15" i="100"/>
  <c r="B17" i="101" a="1"/>
  <c r="B17" i="100" a="1"/>
  <c r="H15" i="101" l="1"/>
  <c r="H15" i="100"/>
  <c r="H16" i="97"/>
  <c r="H16" i="99"/>
  <c r="H16" i="102"/>
  <c r="B17" i="100"/>
  <c r="B17" i="101"/>
  <c r="A19" i="100"/>
  <c r="E18" i="100"/>
  <c r="A19" i="97"/>
  <c r="E18" i="97"/>
  <c r="B18" i="97"/>
  <c r="D17" i="97"/>
  <c r="C17" i="97"/>
  <c r="G17" i="97"/>
  <c r="F17" i="97"/>
  <c r="B18" i="102"/>
  <c r="E18" i="102"/>
  <c r="A19" i="102"/>
  <c r="F17" i="102"/>
  <c r="G17" i="102"/>
  <c r="C17" i="102"/>
  <c r="B18" i="99"/>
  <c r="A19" i="99"/>
  <c r="E18" i="99"/>
  <c r="F17" i="99"/>
  <c r="G17" i="99"/>
  <c r="D16" i="100"/>
  <c r="F16" i="100"/>
  <c r="C16" i="100"/>
  <c r="A19" i="101"/>
  <c r="E18" i="101"/>
  <c r="D17" i="99"/>
  <c r="C17" i="99"/>
  <c r="D16" i="101"/>
  <c r="F16" i="101"/>
  <c r="C16" i="101"/>
  <c r="G16" i="101"/>
  <c r="B18" i="101" a="1"/>
  <c r="B18" i="100" a="1"/>
  <c r="H17" i="102" l="1"/>
  <c r="H16" i="100"/>
  <c r="H16" i="101"/>
  <c r="H17" i="99"/>
  <c r="H17" i="97"/>
  <c r="B18" i="101"/>
  <c r="B18" i="100"/>
  <c r="A20" i="97"/>
  <c r="B19" i="97"/>
  <c r="E19" i="97"/>
  <c r="C18" i="99"/>
  <c r="D18" i="99"/>
  <c r="E19" i="101"/>
  <c r="A20" i="101"/>
  <c r="C18" i="97"/>
  <c r="D18" i="97"/>
  <c r="E19" i="100"/>
  <c r="A20" i="100"/>
  <c r="B19" i="99"/>
  <c r="E19" i="99"/>
  <c r="A20" i="99"/>
  <c r="A20" i="102"/>
  <c r="B19" i="102"/>
  <c r="E19" i="102"/>
  <c r="F17" i="101"/>
  <c r="D17" i="101"/>
  <c r="G17" i="101"/>
  <c r="C17" i="101"/>
  <c r="F18" i="99"/>
  <c r="G18" i="99"/>
  <c r="F18" i="102"/>
  <c r="G18" i="102"/>
  <c r="C18" i="102"/>
  <c r="C17" i="100"/>
  <c r="F17" i="100"/>
  <c r="D17" i="100"/>
  <c r="G18" i="97"/>
  <c r="F18" i="97"/>
  <c r="B19" i="100" a="1"/>
  <c r="B19" i="101" a="1"/>
  <c r="H17" i="101" l="1"/>
  <c r="H18" i="97"/>
  <c r="H18" i="99"/>
  <c r="H17" i="100"/>
  <c r="H18" i="102"/>
  <c r="B19" i="101"/>
  <c r="B19" i="100"/>
  <c r="E20" i="101"/>
  <c r="A21" i="101"/>
  <c r="A21" i="102"/>
  <c r="B20" i="102"/>
  <c r="E20" i="102"/>
  <c r="F19" i="99"/>
  <c r="G19" i="99"/>
  <c r="D19" i="99"/>
  <c r="C19" i="99"/>
  <c r="E20" i="100"/>
  <c r="A21" i="100"/>
  <c r="B20" i="99"/>
  <c r="A21" i="99"/>
  <c r="E20" i="99"/>
  <c r="F19" i="97"/>
  <c r="G19" i="97"/>
  <c r="D19" i="97"/>
  <c r="C19" i="97"/>
  <c r="C19" i="102"/>
  <c r="F19" i="102"/>
  <c r="G19" i="102"/>
  <c r="B20" i="97"/>
  <c r="A21" i="97"/>
  <c r="E20" i="97"/>
  <c r="D18" i="100"/>
  <c r="C18" i="100"/>
  <c r="F18" i="100"/>
  <c r="D18" i="101"/>
  <c r="F18" i="101"/>
  <c r="C18" i="101"/>
  <c r="G18" i="101"/>
  <c r="B20" i="100" a="1"/>
  <c r="B20" i="101" a="1"/>
  <c r="H18" i="101" l="1"/>
  <c r="H19" i="99"/>
  <c r="H18" i="100"/>
  <c r="H19" i="97"/>
  <c r="H19" i="102"/>
  <c r="B20" i="100"/>
  <c r="B20" i="101"/>
  <c r="D20" i="99"/>
  <c r="C20" i="99"/>
  <c r="F20" i="102"/>
  <c r="C20" i="102"/>
  <c r="G20" i="102"/>
  <c r="E21" i="102"/>
  <c r="B21" i="102"/>
  <c r="A22" i="102"/>
  <c r="F20" i="97"/>
  <c r="G20" i="97"/>
  <c r="E21" i="97"/>
  <c r="A22" i="97"/>
  <c r="B21" i="97"/>
  <c r="A22" i="100"/>
  <c r="E21" i="100"/>
  <c r="B21" i="99"/>
  <c r="E21" i="99"/>
  <c r="A22" i="99"/>
  <c r="A22" i="101"/>
  <c r="E21" i="101"/>
  <c r="D20" i="97"/>
  <c r="C20" i="97"/>
  <c r="F19" i="100"/>
  <c r="D19" i="100"/>
  <c r="C19" i="100"/>
  <c r="F20" i="99"/>
  <c r="G20" i="99"/>
  <c r="D19" i="101"/>
  <c r="G19" i="101"/>
  <c r="C19" i="101"/>
  <c r="F19" i="101"/>
  <c r="B21" i="100" a="1"/>
  <c r="B21" i="101" a="1"/>
  <c r="H19" i="100" l="1"/>
  <c r="H20" i="97"/>
  <c r="H19" i="101"/>
  <c r="H20" i="99"/>
  <c r="H20" i="102"/>
  <c r="B21" i="101"/>
  <c r="B21" i="100"/>
  <c r="G21" i="99"/>
  <c r="F21" i="99"/>
  <c r="D21" i="99"/>
  <c r="C21" i="99"/>
  <c r="E22" i="100"/>
  <c r="A23" i="100"/>
  <c r="D21" i="97"/>
  <c r="C21" i="97"/>
  <c r="E22" i="102"/>
  <c r="B22" i="102"/>
  <c r="A23" i="102"/>
  <c r="B22" i="97"/>
  <c r="A23" i="97"/>
  <c r="E22" i="97"/>
  <c r="E22" i="101"/>
  <c r="A23" i="101"/>
  <c r="B22" i="99"/>
  <c r="E22" i="99"/>
  <c r="A23" i="99"/>
  <c r="D20" i="101"/>
  <c r="C20" i="101"/>
  <c r="G20" i="101"/>
  <c r="F20" i="101"/>
  <c r="G21" i="102"/>
  <c r="C21" i="102"/>
  <c r="F21" i="102"/>
  <c r="G21" i="97"/>
  <c r="F21" i="97"/>
  <c r="F20" i="100"/>
  <c r="D20" i="100"/>
  <c r="C20" i="100"/>
  <c r="B22" i="100" a="1"/>
  <c r="B22" i="101" a="1"/>
  <c r="H21" i="99" l="1"/>
  <c r="H21" i="97"/>
  <c r="H20" i="101"/>
  <c r="H20" i="100"/>
  <c r="H21" i="102"/>
  <c r="B22" i="101"/>
  <c r="B22" i="100"/>
  <c r="E23" i="101"/>
  <c r="A24" i="101"/>
  <c r="B23" i="97"/>
  <c r="E23" i="97"/>
  <c r="A24" i="97"/>
  <c r="F22" i="99"/>
  <c r="G22" i="99"/>
  <c r="D22" i="99"/>
  <c r="C22" i="99"/>
  <c r="D22" i="97"/>
  <c r="C22" i="97"/>
  <c r="B23" i="102"/>
  <c r="A24" i="102"/>
  <c r="E23" i="102"/>
  <c r="B23" i="99"/>
  <c r="E23" i="99"/>
  <c r="A24" i="99"/>
  <c r="F22" i="97"/>
  <c r="G22" i="97"/>
  <c r="F22" i="102"/>
  <c r="G22" i="102"/>
  <c r="C22" i="102"/>
  <c r="A24" i="100"/>
  <c r="E23" i="100"/>
  <c r="C21" i="100"/>
  <c r="D21" i="100"/>
  <c r="F21" i="100"/>
  <c r="D21" i="101"/>
  <c r="C21" i="101"/>
  <c r="F21" i="101"/>
  <c r="G21" i="101"/>
  <c r="B23" i="100" a="1"/>
  <c r="B23" i="101" a="1"/>
  <c r="H21" i="100" l="1"/>
  <c r="H21" i="101"/>
  <c r="H22" i="99"/>
  <c r="H22" i="97"/>
  <c r="H22" i="102"/>
  <c r="B23" i="100"/>
  <c r="B23" i="101"/>
  <c r="B24" i="102"/>
  <c r="A25" i="102"/>
  <c r="E24" i="102"/>
  <c r="A25" i="97"/>
  <c r="E24" i="97"/>
  <c r="B24" i="97"/>
  <c r="F23" i="97"/>
  <c r="G23" i="97"/>
  <c r="C23" i="102"/>
  <c r="G23" i="102"/>
  <c r="F23" i="102"/>
  <c r="E24" i="99"/>
  <c r="A25" i="99"/>
  <c r="B24" i="99"/>
  <c r="A25" i="101"/>
  <c r="E24" i="101"/>
  <c r="D23" i="99"/>
  <c r="C23" i="99"/>
  <c r="C22" i="100"/>
  <c r="D22" i="100"/>
  <c r="F22" i="100"/>
  <c r="G23" i="99"/>
  <c r="F23" i="99"/>
  <c r="C23" i="97"/>
  <c r="D23" i="97"/>
  <c r="A25" i="100"/>
  <c r="E24" i="100"/>
  <c r="C22" i="101"/>
  <c r="F22" i="101"/>
  <c r="D22" i="101"/>
  <c r="G22" i="101"/>
  <c r="B24" i="100" a="1"/>
  <c r="B24" i="101" a="1"/>
  <c r="H22" i="101" l="1"/>
  <c r="H23" i="99"/>
  <c r="H22" i="100"/>
  <c r="H23" i="102"/>
  <c r="H23" i="97"/>
  <c r="B24" i="100"/>
  <c r="B24" i="101"/>
  <c r="D24" i="97"/>
  <c r="C24" i="97"/>
  <c r="F24" i="97"/>
  <c r="G24" i="97"/>
  <c r="E25" i="102"/>
  <c r="A26" i="102"/>
  <c r="B25" i="102"/>
  <c r="E25" i="101"/>
  <c r="A26" i="101"/>
  <c r="A26" i="100"/>
  <c r="D24" i="99"/>
  <c r="C24" i="99"/>
  <c r="C24" i="102"/>
  <c r="G24" i="102"/>
  <c r="F24" i="102"/>
  <c r="E25" i="99"/>
  <c r="A26" i="99"/>
  <c r="B25" i="99"/>
  <c r="B25" i="97"/>
  <c r="A26" i="97"/>
  <c r="E25" i="97"/>
  <c r="G24" i="99"/>
  <c r="F24" i="99"/>
  <c r="G23" i="101"/>
  <c r="C23" i="101"/>
  <c r="F23" i="101"/>
  <c r="D23" i="101"/>
  <c r="D23" i="100"/>
  <c r="C23" i="100"/>
  <c r="F23" i="100"/>
  <c r="B25" i="100" a="1"/>
  <c r="B25" i="101" a="1"/>
  <c r="H23" i="101" l="1"/>
  <c r="H24" i="102"/>
  <c r="H23" i="100"/>
  <c r="H24" i="99"/>
  <c r="H24" i="97"/>
  <c r="B25" i="101"/>
  <c r="B25" i="100"/>
  <c r="C25" i="99"/>
  <c r="D25" i="99"/>
  <c r="F25" i="99"/>
  <c r="G25" i="99"/>
  <c r="C25" i="97"/>
  <c r="D25" i="97"/>
  <c r="B26" i="100" a="1"/>
  <c r="B26" i="100" s="1"/>
  <c r="A27" i="100"/>
  <c r="E26" i="101"/>
  <c r="B26" i="101" a="1"/>
  <c r="B26" i="101" s="1"/>
  <c r="A27" i="101"/>
  <c r="G25" i="97"/>
  <c r="F25" i="97"/>
  <c r="B26" i="97"/>
  <c r="A27" i="97"/>
  <c r="E26" i="97"/>
  <c r="G25" i="102"/>
  <c r="C25" i="102"/>
  <c r="F25" i="102"/>
  <c r="A27" i="99"/>
  <c r="E26" i="99"/>
  <c r="B26" i="99"/>
  <c r="B26" i="102"/>
  <c r="E26" i="102"/>
  <c r="A27" i="102"/>
  <c r="F24" i="101"/>
  <c r="G24" i="101"/>
  <c r="D24" i="101"/>
  <c r="C24" i="101"/>
  <c r="F24" i="100"/>
  <c r="C24" i="100"/>
  <c r="D24" i="100"/>
  <c r="H24" i="101" l="1"/>
  <c r="H24" i="100"/>
  <c r="H25" i="97"/>
  <c r="H25" i="102"/>
  <c r="H25" i="99"/>
  <c r="C26" i="97"/>
  <c r="D26" i="97"/>
  <c r="C26" i="100"/>
  <c r="D26" i="100"/>
  <c r="G26" i="97"/>
  <c r="F26" i="97"/>
  <c r="A28" i="101"/>
  <c r="E27" i="101"/>
  <c r="B27" i="101" a="1"/>
  <c r="B27" i="101" s="1"/>
  <c r="E27" i="97"/>
  <c r="A28" i="97"/>
  <c r="B27" i="97"/>
  <c r="E27" i="99"/>
  <c r="A28" i="99"/>
  <c r="B27" i="99"/>
  <c r="C26" i="101"/>
  <c r="F26" i="101"/>
  <c r="G26" i="101"/>
  <c r="D26" i="101"/>
  <c r="D26" i="99"/>
  <c r="C26" i="99"/>
  <c r="E27" i="102"/>
  <c r="B27" i="102"/>
  <c r="A28" i="102"/>
  <c r="F26" i="99"/>
  <c r="G26" i="99"/>
  <c r="F26" i="102"/>
  <c r="G26" i="102"/>
  <c r="C26" i="102"/>
  <c r="E26" i="100"/>
  <c r="F26" i="100" s="1"/>
  <c r="D25" i="100"/>
  <c r="C25" i="100"/>
  <c r="E25" i="100"/>
  <c r="F25" i="100" s="1"/>
  <c r="B27" i="100" a="1"/>
  <c r="B27" i="100" s="1"/>
  <c r="A28" i="100"/>
  <c r="D25" i="101"/>
  <c r="G25" i="101"/>
  <c r="C25" i="101"/>
  <c r="F25" i="101"/>
  <c r="H26" i="102" l="1"/>
  <c r="H26" i="100"/>
  <c r="H25" i="101"/>
  <c r="H26" i="101"/>
  <c r="H26" i="99"/>
  <c r="H25" i="100"/>
  <c r="H26" i="97"/>
  <c r="D27" i="99"/>
  <c r="C27" i="99"/>
  <c r="B28" i="99"/>
  <c r="A29" i="99"/>
  <c r="E28" i="99"/>
  <c r="F27" i="99"/>
  <c r="G27" i="99"/>
  <c r="C27" i="97"/>
  <c r="D27" i="97"/>
  <c r="B28" i="102"/>
  <c r="E28" i="102"/>
  <c r="A29" i="102"/>
  <c r="G27" i="97"/>
  <c r="F27" i="97"/>
  <c r="C27" i="102"/>
  <c r="H27" i="102"/>
  <c r="G27" i="102"/>
  <c r="F27" i="102"/>
  <c r="F27" i="101"/>
  <c r="D27" i="101"/>
  <c r="C27" i="101"/>
  <c r="G27" i="101"/>
  <c r="H27" i="101"/>
  <c r="A29" i="97"/>
  <c r="E28" i="97"/>
  <c r="B28" i="97"/>
  <c r="E28" i="101"/>
  <c r="B28" i="101" a="1"/>
  <c r="B28" i="101" s="1"/>
  <c r="A29" i="101"/>
  <c r="C27" i="100"/>
  <c r="F27" i="100"/>
  <c r="H27" i="100"/>
  <c r="D27" i="100"/>
  <c r="E27" i="100"/>
  <c r="A29" i="100"/>
  <c r="B28" i="100" a="1"/>
  <c r="B28" i="100" s="1"/>
  <c r="E28" i="100" s="1"/>
  <c r="H27" i="97" l="1"/>
  <c r="H27" i="99"/>
  <c r="F28" i="99"/>
  <c r="G28" i="99"/>
  <c r="A30" i="99"/>
  <c r="B29" i="99"/>
  <c r="E29" i="99"/>
  <c r="D28" i="99"/>
  <c r="C28" i="99"/>
  <c r="B29" i="102"/>
  <c r="E29" i="102"/>
  <c r="A30" i="102"/>
  <c r="G28" i="102"/>
  <c r="H28" i="102"/>
  <c r="F28" i="102"/>
  <c r="C28" i="102"/>
  <c r="D28" i="97"/>
  <c r="C28" i="97"/>
  <c r="E29" i="97"/>
  <c r="A30" i="97"/>
  <c r="B29" i="97"/>
  <c r="A30" i="100"/>
  <c r="B29" i="100" a="1"/>
  <c r="B29" i="100" s="1"/>
  <c r="E29" i="100" s="1"/>
  <c r="F28" i="97"/>
  <c r="G28" i="97"/>
  <c r="H28" i="100"/>
  <c r="C28" i="100"/>
  <c r="F28" i="100"/>
  <c r="D28" i="100"/>
  <c r="E29" i="101"/>
  <c r="A30" i="101"/>
  <c r="B29" i="101" a="1"/>
  <c r="B29" i="101" s="1"/>
  <c r="G28" i="101"/>
  <c r="H28" i="101"/>
  <c r="F28" i="101"/>
  <c r="D28" i="101"/>
  <c r="C28" i="101"/>
  <c r="H28" i="97" l="1"/>
  <c r="H28" i="99"/>
  <c r="D29" i="97"/>
  <c r="C29" i="97"/>
  <c r="H29" i="99"/>
  <c r="F29" i="99"/>
  <c r="G29" i="99"/>
  <c r="G29" i="97"/>
  <c r="F29" i="97"/>
  <c r="H29" i="97"/>
  <c r="C29" i="99"/>
  <c r="D29" i="99"/>
  <c r="C29" i="101"/>
  <c r="G29" i="101"/>
  <c r="F29" i="101"/>
  <c r="H29" i="101"/>
  <c r="D29" i="101"/>
  <c r="A31" i="99"/>
  <c r="E30" i="99"/>
  <c r="B30" i="99"/>
  <c r="B30" i="101" a="1"/>
  <c r="B30" i="101" s="1"/>
  <c r="E30" i="101"/>
  <c r="A31" i="101"/>
  <c r="A31" i="97"/>
  <c r="B30" i="97"/>
  <c r="E30" i="97"/>
  <c r="D29" i="100"/>
  <c r="C29" i="100"/>
  <c r="F29" i="100"/>
  <c r="H29" i="100"/>
  <c r="G29" i="102"/>
  <c r="H29" i="102"/>
  <c r="F29" i="102"/>
  <c r="C29" i="102"/>
  <c r="B30" i="102"/>
  <c r="E30" i="102"/>
  <c r="A31" i="102"/>
  <c r="B30" i="100" a="1"/>
  <c r="B30" i="100" s="1"/>
  <c r="A31" i="100"/>
  <c r="B31" i="100" l="1" a="1"/>
  <c r="B31" i="100" s="1"/>
  <c r="A32" i="100"/>
  <c r="E31" i="100"/>
  <c r="G30" i="97"/>
  <c r="H30" i="97"/>
  <c r="F30" i="97"/>
  <c r="C30" i="102"/>
  <c r="F30" i="102"/>
  <c r="H30" i="102"/>
  <c r="G30" i="102"/>
  <c r="C30" i="97"/>
  <c r="D30" i="97"/>
  <c r="A32" i="97"/>
  <c r="E31" i="97"/>
  <c r="B31" i="97"/>
  <c r="C30" i="100"/>
  <c r="F30" i="100"/>
  <c r="H30" i="100"/>
  <c r="D30" i="100"/>
  <c r="E30" i="100"/>
  <c r="E31" i="101"/>
  <c r="B31" i="101" a="1"/>
  <c r="B31" i="101" s="1"/>
  <c r="A32" i="101"/>
  <c r="E31" i="102"/>
  <c r="A32" i="102"/>
  <c r="B31" i="102"/>
  <c r="H30" i="101"/>
  <c r="D30" i="101"/>
  <c r="F30" i="101"/>
  <c r="C30" i="101"/>
  <c r="G30" i="101"/>
  <c r="C30" i="99"/>
  <c r="D30" i="99"/>
  <c r="F30" i="99"/>
  <c r="H30" i="99"/>
  <c r="G30" i="99"/>
  <c r="A32" i="99"/>
  <c r="B31" i="99"/>
  <c r="E31" i="99"/>
  <c r="C31" i="97" l="1"/>
  <c r="D31" i="97"/>
  <c r="E32" i="99"/>
  <c r="A33" i="99"/>
  <c r="B32" i="99"/>
  <c r="B32" i="97"/>
  <c r="A33" i="97"/>
  <c r="E32" i="97"/>
  <c r="D31" i="99"/>
  <c r="C31" i="99"/>
  <c r="H31" i="101"/>
  <c r="G31" i="101"/>
  <c r="C31" i="101"/>
  <c r="D31" i="101"/>
  <c r="F31" i="101"/>
  <c r="G31" i="99"/>
  <c r="H31" i="99"/>
  <c r="F31" i="99"/>
  <c r="E32" i="101"/>
  <c r="B32" i="101" a="1"/>
  <c r="B32" i="101" s="1"/>
  <c r="A33" i="101"/>
  <c r="G31" i="97"/>
  <c r="H31" i="97"/>
  <c r="F31" i="97"/>
  <c r="B32" i="100" a="1"/>
  <c r="B32" i="100" s="1"/>
  <c r="E32" i="100" s="1"/>
  <c r="A33" i="100"/>
  <c r="H31" i="100"/>
  <c r="F31" i="100"/>
  <c r="D31" i="100"/>
  <c r="C31" i="100"/>
  <c r="B32" i="102"/>
  <c r="A33" i="102"/>
  <c r="E32" i="102"/>
  <c r="F31" i="102"/>
  <c r="G31" i="102"/>
  <c r="H31" i="102"/>
  <c r="C31" i="102"/>
  <c r="D32" i="100" l="1"/>
  <c r="C32" i="100"/>
  <c r="H32" i="100"/>
  <c r="F32" i="100"/>
  <c r="A34" i="100"/>
  <c r="B33" i="100" a="1"/>
  <c r="B33" i="100" s="1"/>
  <c r="E33" i="100" s="1"/>
  <c r="C32" i="101"/>
  <c r="D32" i="101"/>
  <c r="F32" i="101"/>
  <c r="G32" i="101"/>
  <c r="H32" i="101"/>
  <c r="B33" i="102"/>
  <c r="E33" i="102"/>
  <c r="A34" i="102"/>
  <c r="C32" i="102"/>
  <c r="G32" i="102"/>
  <c r="H32" i="102"/>
  <c r="F32" i="102"/>
  <c r="E33" i="101"/>
  <c r="A34" i="101"/>
  <c r="B33" i="101" a="1"/>
  <c r="B33" i="101" s="1"/>
  <c r="G32" i="97"/>
  <c r="F32" i="97"/>
  <c r="H32" i="97"/>
  <c r="B33" i="97"/>
  <c r="E33" i="97"/>
  <c r="A34" i="97"/>
  <c r="D32" i="97"/>
  <c r="C32" i="97"/>
  <c r="D32" i="99"/>
  <c r="C32" i="99"/>
  <c r="A34" i="99"/>
  <c r="E33" i="99"/>
  <c r="B33" i="99"/>
  <c r="H32" i="99"/>
  <c r="F32" i="99"/>
  <c r="G32" i="99"/>
  <c r="D33" i="97" l="1"/>
  <c r="C33" i="97"/>
  <c r="B34" i="97"/>
  <c r="E34" i="97"/>
  <c r="A35" i="97"/>
  <c r="A35" i="102"/>
  <c r="B34" i="102"/>
  <c r="E34" i="102"/>
  <c r="H33" i="97"/>
  <c r="F33" i="97"/>
  <c r="G33" i="97"/>
  <c r="C33" i="102"/>
  <c r="H33" i="102"/>
  <c r="G33" i="102"/>
  <c r="F33" i="102"/>
  <c r="F33" i="100"/>
  <c r="C33" i="100"/>
  <c r="H33" i="100"/>
  <c r="D33" i="100"/>
  <c r="E34" i="99"/>
  <c r="A35" i="99"/>
  <c r="B34" i="99"/>
  <c r="A35" i="100"/>
  <c r="B34" i="100" a="1"/>
  <c r="B34" i="100" s="1"/>
  <c r="E34" i="100" s="1"/>
  <c r="G33" i="101"/>
  <c r="F33" i="101"/>
  <c r="H33" i="101"/>
  <c r="D33" i="101"/>
  <c r="C33" i="101"/>
  <c r="E34" i="101"/>
  <c r="A35" i="101"/>
  <c r="B34" i="101" a="1"/>
  <c r="B34" i="101" s="1"/>
  <c r="D33" i="99"/>
  <c r="C33" i="99"/>
  <c r="G33" i="99"/>
  <c r="H33" i="99"/>
  <c r="F33" i="99"/>
  <c r="B35" i="100" l="1" a="1"/>
  <c r="B35" i="100" s="1"/>
  <c r="E35" i="100" s="1"/>
  <c r="A36" i="100"/>
  <c r="E35" i="99"/>
  <c r="B35" i="99"/>
  <c r="A36" i="99"/>
  <c r="H34" i="99"/>
  <c r="F34" i="99"/>
  <c r="G34" i="99"/>
  <c r="C34" i="99"/>
  <c r="D34" i="99"/>
  <c r="C34" i="101"/>
  <c r="H34" i="101"/>
  <c r="F34" i="101"/>
  <c r="G34" i="101"/>
  <c r="D34" i="101"/>
  <c r="D34" i="100"/>
  <c r="C34" i="100"/>
  <c r="H34" i="100"/>
  <c r="F34" i="100"/>
  <c r="B35" i="101" a="1"/>
  <c r="B35" i="101" s="1"/>
  <c r="E35" i="101"/>
  <c r="A36" i="101"/>
  <c r="C34" i="102"/>
  <c r="H34" i="102"/>
  <c r="F34" i="102"/>
  <c r="G34" i="102"/>
  <c r="E35" i="102"/>
  <c r="B35" i="102"/>
  <c r="A36" i="102"/>
  <c r="B35" i="97"/>
  <c r="A36" i="97"/>
  <c r="E35" i="97"/>
  <c r="H34" i="97"/>
  <c r="F34" i="97"/>
  <c r="G34" i="97"/>
  <c r="D34" i="97"/>
  <c r="C34" i="97"/>
  <c r="C35" i="100" l="1"/>
  <c r="F35" i="100"/>
  <c r="D35" i="100"/>
  <c r="H35" i="100"/>
  <c r="E36" i="97"/>
  <c r="A37" i="97"/>
  <c r="B36" i="97"/>
  <c r="H35" i="99"/>
  <c r="G35" i="99"/>
  <c r="F35" i="99"/>
  <c r="D35" i="97"/>
  <c r="C35" i="97"/>
  <c r="E36" i="99"/>
  <c r="B36" i="99"/>
  <c r="A37" i="99"/>
  <c r="C35" i="99"/>
  <c r="D35" i="99"/>
  <c r="E36" i="102"/>
  <c r="B36" i="102"/>
  <c r="A37" i="102"/>
  <c r="G35" i="97"/>
  <c r="F35" i="97"/>
  <c r="H35" i="97"/>
  <c r="A37" i="100"/>
  <c r="B36" i="100" a="1"/>
  <c r="B36" i="100" s="1"/>
  <c r="E36" i="100" s="1"/>
  <c r="B36" i="101" a="1"/>
  <c r="B36" i="101" s="1"/>
  <c r="E36" i="101"/>
  <c r="A37" i="101"/>
  <c r="H35" i="102"/>
  <c r="C35" i="102"/>
  <c r="F35" i="102"/>
  <c r="G35" i="102"/>
  <c r="D35" i="101"/>
  <c r="C35" i="101"/>
  <c r="G35" i="101"/>
  <c r="F35" i="101"/>
  <c r="H35" i="101"/>
  <c r="D36" i="101" l="1"/>
  <c r="F36" i="101"/>
  <c r="G36" i="101"/>
  <c r="C36" i="101"/>
  <c r="H36" i="101"/>
  <c r="B37" i="102"/>
  <c r="E37" i="102"/>
  <c r="A38" i="102"/>
  <c r="H36" i="102"/>
  <c r="G36" i="102"/>
  <c r="C36" i="102"/>
  <c r="F36" i="102"/>
  <c r="B37" i="101" a="1"/>
  <c r="B37" i="101" s="1"/>
  <c r="E37" i="101"/>
  <c r="A38" i="101"/>
  <c r="A38" i="100"/>
  <c r="B37" i="100" a="1"/>
  <c r="B37" i="100" s="1"/>
  <c r="E37" i="100" s="1"/>
  <c r="H36" i="97"/>
  <c r="G36" i="97"/>
  <c r="F36" i="97"/>
  <c r="G36" i="99"/>
  <c r="H36" i="99"/>
  <c r="F36" i="99"/>
  <c r="E37" i="97"/>
  <c r="B37" i="97"/>
  <c r="A38" i="97"/>
  <c r="D36" i="100"/>
  <c r="F36" i="100"/>
  <c r="H36" i="100"/>
  <c r="C36" i="100"/>
  <c r="D36" i="97"/>
  <c r="C36" i="97"/>
  <c r="B37" i="99"/>
  <c r="E37" i="99"/>
  <c r="A38" i="99"/>
  <c r="D36" i="99"/>
  <c r="C36" i="99"/>
  <c r="C37" i="101" l="1"/>
  <c r="H37" i="101"/>
  <c r="F37" i="101"/>
  <c r="D37" i="101"/>
  <c r="G37" i="101"/>
  <c r="E38" i="99"/>
  <c r="A39" i="99"/>
  <c r="B38" i="99"/>
  <c r="F37" i="99"/>
  <c r="H37" i="99"/>
  <c r="G37" i="99"/>
  <c r="A39" i="102"/>
  <c r="E38" i="102"/>
  <c r="B38" i="102"/>
  <c r="E38" i="97"/>
  <c r="B38" i="97"/>
  <c r="A39" i="97"/>
  <c r="D37" i="97"/>
  <c r="C37" i="97"/>
  <c r="D37" i="99"/>
  <c r="C37" i="99"/>
  <c r="G37" i="102"/>
  <c r="F37" i="102"/>
  <c r="C37" i="102"/>
  <c r="H37" i="102"/>
  <c r="F37" i="97"/>
  <c r="H37" i="97"/>
  <c r="G37" i="97"/>
  <c r="H37" i="100"/>
  <c r="D37" i="100"/>
  <c r="F37" i="100"/>
  <c r="C37" i="100"/>
  <c r="B38" i="100" a="1"/>
  <c r="B38" i="100" s="1"/>
  <c r="E38" i="100" s="1"/>
  <c r="A39" i="100"/>
  <c r="E38" i="101"/>
  <c r="B38" i="101" a="1"/>
  <c r="B38" i="101" s="1"/>
  <c r="A39" i="101"/>
  <c r="G38" i="99" l="1"/>
  <c r="F38" i="99"/>
  <c r="H38" i="99"/>
  <c r="F38" i="100"/>
  <c r="C38" i="100"/>
  <c r="H38" i="100"/>
  <c r="D38" i="100"/>
  <c r="B39" i="100" a="1"/>
  <c r="B39" i="100" s="1"/>
  <c r="E39" i="100" s="1"/>
  <c r="A40" i="100"/>
  <c r="B39" i="99"/>
  <c r="E39" i="99"/>
  <c r="A40" i="99"/>
  <c r="E39" i="97"/>
  <c r="B39" i="97"/>
  <c r="A40" i="97"/>
  <c r="C38" i="99"/>
  <c r="D38" i="99"/>
  <c r="G38" i="101"/>
  <c r="D38" i="101"/>
  <c r="C38" i="101"/>
  <c r="F38" i="101"/>
  <c r="H38" i="101"/>
  <c r="H38" i="102"/>
  <c r="F38" i="102"/>
  <c r="G38" i="102"/>
  <c r="C38" i="102"/>
  <c r="E39" i="101"/>
  <c r="B39" i="101" a="1"/>
  <c r="B39" i="101" s="1"/>
  <c r="A40" i="101"/>
  <c r="A40" i="102"/>
  <c r="E39" i="102"/>
  <c r="B39" i="102"/>
  <c r="C38" i="97"/>
  <c r="D38" i="97"/>
  <c r="H38" i="97"/>
  <c r="F38" i="97"/>
  <c r="G38" i="97"/>
  <c r="G39" i="97" l="1"/>
  <c r="F39" i="97"/>
  <c r="H39" i="97"/>
  <c r="B40" i="100" a="1"/>
  <c r="B40" i="100" s="1"/>
  <c r="E40" i="100"/>
  <c r="A41" i="100"/>
  <c r="H39" i="100"/>
  <c r="C39" i="100"/>
  <c r="F39" i="100"/>
  <c r="D39" i="100"/>
  <c r="D39" i="97"/>
  <c r="C39" i="97"/>
  <c r="B40" i="97"/>
  <c r="E40" i="97"/>
  <c r="A41" i="97"/>
  <c r="A41" i="101"/>
  <c r="E40" i="101"/>
  <c r="B40" i="101" a="1"/>
  <c r="B40" i="101" s="1"/>
  <c r="H39" i="101"/>
  <c r="F39" i="101"/>
  <c r="D39" i="101"/>
  <c r="C39" i="101"/>
  <c r="G39" i="101"/>
  <c r="B40" i="99"/>
  <c r="E40" i="99"/>
  <c r="A41" i="99"/>
  <c r="H39" i="99"/>
  <c r="F39" i="99"/>
  <c r="G39" i="99"/>
  <c r="G39" i="102"/>
  <c r="C39" i="102"/>
  <c r="H39" i="102"/>
  <c r="F39" i="102"/>
  <c r="C39" i="99"/>
  <c r="D39" i="99"/>
  <c r="B40" i="102"/>
  <c r="A41" i="102"/>
  <c r="E40" i="102"/>
  <c r="F40" i="99" l="1"/>
  <c r="G40" i="99"/>
  <c r="H40" i="99"/>
  <c r="C40" i="102"/>
  <c r="G40" i="102"/>
  <c r="H40" i="102"/>
  <c r="F40" i="102"/>
  <c r="B41" i="99"/>
  <c r="E41" i="99"/>
  <c r="A42" i="99"/>
  <c r="A42" i="102"/>
  <c r="E41" i="102"/>
  <c r="B41" i="102"/>
  <c r="D40" i="100"/>
  <c r="F40" i="100"/>
  <c r="H40" i="100"/>
  <c r="C40" i="100"/>
  <c r="C40" i="99"/>
  <c r="D40" i="99"/>
  <c r="B41" i="100" a="1"/>
  <c r="B41" i="100" s="1"/>
  <c r="E41" i="100" s="1"/>
  <c r="A42" i="100"/>
  <c r="H40" i="101"/>
  <c r="C40" i="101"/>
  <c r="D40" i="101"/>
  <c r="F40" i="101"/>
  <c r="G40" i="101"/>
  <c r="A42" i="101"/>
  <c r="B41" i="101" a="1"/>
  <c r="B41" i="101" s="1"/>
  <c r="E41" i="101"/>
  <c r="B41" i="97"/>
  <c r="E41" i="97"/>
  <c r="A42" i="97"/>
  <c r="F40" i="97"/>
  <c r="G40" i="97"/>
  <c r="H40" i="97"/>
  <c r="D40" i="97"/>
  <c r="C40" i="97"/>
  <c r="E42" i="101" l="1"/>
  <c r="A43" i="101"/>
  <c r="B42" i="101" a="1"/>
  <c r="B42" i="101" s="1"/>
  <c r="E42" i="102"/>
  <c r="A43" i="102"/>
  <c r="B42" i="102"/>
  <c r="D41" i="97"/>
  <c r="C41" i="97"/>
  <c r="F41" i="97"/>
  <c r="G41" i="97"/>
  <c r="H41" i="97"/>
  <c r="E42" i="99"/>
  <c r="B42" i="99"/>
  <c r="A43" i="99"/>
  <c r="G41" i="102"/>
  <c r="H41" i="102"/>
  <c r="C41" i="102"/>
  <c r="F41" i="102"/>
  <c r="G41" i="99"/>
  <c r="H41" i="99"/>
  <c r="F41" i="99"/>
  <c r="C41" i="99"/>
  <c r="D41" i="99"/>
  <c r="B42" i="100" a="1"/>
  <c r="B42" i="100" s="1"/>
  <c r="A43" i="100"/>
  <c r="B42" i="97"/>
  <c r="A43" i="97"/>
  <c r="E42" i="97"/>
  <c r="F41" i="100"/>
  <c r="C41" i="100"/>
  <c r="D41" i="100"/>
  <c r="H41" i="100"/>
  <c r="F41" i="101"/>
  <c r="G41" i="101"/>
  <c r="C41" i="101"/>
  <c r="D41" i="101"/>
  <c r="H41" i="101"/>
  <c r="B43" i="100" l="1" a="1"/>
  <c r="B43" i="100" s="1"/>
  <c r="A44" i="100"/>
  <c r="H42" i="100"/>
  <c r="C42" i="100"/>
  <c r="D42" i="100"/>
  <c r="F42" i="100"/>
  <c r="E43" i="102"/>
  <c r="A44" i="102"/>
  <c r="B43" i="102"/>
  <c r="F42" i="102"/>
  <c r="C42" i="102"/>
  <c r="H42" i="102"/>
  <c r="G42" i="102"/>
  <c r="H42" i="99"/>
  <c r="F42" i="99"/>
  <c r="G42" i="99"/>
  <c r="C42" i="99"/>
  <c r="D42" i="99"/>
  <c r="E43" i="97"/>
  <c r="B43" i="97"/>
  <c r="A44" i="97"/>
  <c r="E43" i="99"/>
  <c r="B43" i="99"/>
  <c r="A44" i="99"/>
  <c r="G42" i="101"/>
  <c r="H42" i="101"/>
  <c r="D42" i="101"/>
  <c r="F42" i="101"/>
  <c r="C42" i="101"/>
  <c r="E42" i="100"/>
  <c r="H42" i="97"/>
  <c r="F42" i="97"/>
  <c r="G42" i="97"/>
  <c r="D42" i="97"/>
  <c r="C42" i="97"/>
  <c r="A44" i="101"/>
  <c r="E43" i="101"/>
  <c r="B43" i="101" a="1"/>
  <c r="B43" i="101" s="1"/>
  <c r="A45" i="99" l="1"/>
  <c r="B44" i="99"/>
  <c r="E44" i="99"/>
  <c r="C43" i="99"/>
  <c r="D43" i="99"/>
  <c r="E44" i="97"/>
  <c r="A45" i="97"/>
  <c r="B44" i="97"/>
  <c r="E44" i="101"/>
  <c r="A45" i="101"/>
  <c r="B44" i="101" a="1"/>
  <c r="B44" i="101" s="1"/>
  <c r="G43" i="97"/>
  <c r="H43" i="97"/>
  <c r="F43" i="97"/>
  <c r="B44" i="100" a="1"/>
  <c r="B44" i="100" s="1"/>
  <c r="E44" i="100" s="1"/>
  <c r="A45" i="100"/>
  <c r="F43" i="99"/>
  <c r="G43" i="99"/>
  <c r="H43" i="99"/>
  <c r="F43" i="102"/>
  <c r="G43" i="102"/>
  <c r="H43" i="102"/>
  <c r="C43" i="102"/>
  <c r="C43" i="100"/>
  <c r="D43" i="100"/>
  <c r="H43" i="100"/>
  <c r="F43" i="100"/>
  <c r="E43" i="100"/>
  <c r="D43" i="97"/>
  <c r="C43" i="97"/>
  <c r="C43" i="101"/>
  <c r="D43" i="101"/>
  <c r="H43" i="101"/>
  <c r="F43" i="101"/>
  <c r="G43" i="101"/>
  <c r="E44" i="102"/>
  <c r="B44" i="102"/>
  <c r="A45" i="102"/>
  <c r="D44" i="101" l="1"/>
  <c r="F44" i="101"/>
  <c r="G44" i="101"/>
  <c r="H44" i="101"/>
  <c r="C44" i="101"/>
  <c r="B45" i="101" a="1"/>
  <c r="B45" i="101" s="1"/>
  <c r="A46" i="101"/>
  <c r="E45" i="101"/>
  <c r="A46" i="97"/>
  <c r="B45" i="97"/>
  <c r="E45" i="97"/>
  <c r="F44" i="99"/>
  <c r="H44" i="99"/>
  <c r="G44" i="99"/>
  <c r="C44" i="99"/>
  <c r="D44" i="99"/>
  <c r="G44" i="102"/>
  <c r="F44" i="102"/>
  <c r="C44" i="102"/>
  <c r="H44" i="102"/>
  <c r="B45" i="99"/>
  <c r="E45" i="99"/>
  <c r="A46" i="99"/>
  <c r="A46" i="102"/>
  <c r="E45" i="102"/>
  <c r="B45" i="102"/>
  <c r="C44" i="100"/>
  <c r="F44" i="100"/>
  <c r="D44" i="100"/>
  <c r="H44" i="100"/>
  <c r="A46" i="100"/>
  <c r="B45" i="100" a="1"/>
  <c r="B45" i="100" s="1"/>
  <c r="E45" i="100" s="1"/>
  <c r="D44" i="97"/>
  <c r="C44" i="97"/>
  <c r="G44" i="97"/>
  <c r="F44" i="97"/>
  <c r="H44" i="97"/>
  <c r="D45" i="97" l="1"/>
  <c r="C45" i="97"/>
  <c r="E46" i="102"/>
  <c r="A47" i="102"/>
  <c r="B46" i="102"/>
  <c r="E46" i="97"/>
  <c r="B46" i="97"/>
  <c r="A47" i="97"/>
  <c r="E46" i="99"/>
  <c r="A47" i="99"/>
  <c r="B46" i="99"/>
  <c r="H45" i="102"/>
  <c r="F45" i="102"/>
  <c r="C45" i="102"/>
  <c r="G45" i="102"/>
  <c r="H45" i="99"/>
  <c r="G45" i="99"/>
  <c r="F45" i="99"/>
  <c r="H45" i="101"/>
  <c r="G45" i="101"/>
  <c r="D45" i="101"/>
  <c r="F45" i="101"/>
  <c r="C45" i="101"/>
  <c r="C45" i="99"/>
  <c r="D45" i="99"/>
  <c r="G45" i="97"/>
  <c r="F45" i="97"/>
  <c r="H45" i="97"/>
  <c r="F45" i="100"/>
  <c r="D45" i="100"/>
  <c r="H45" i="100"/>
  <c r="C45" i="100"/>
  <c r="A47" i="100"/>
  <c r="B46" i="100" a="1"/>
  <c r="B46" i="100" s="1"/>
  <c r="E46" i="100" s="1"/>
  <c r="E46" i="101"/>
  <c r="A47" i="101"/>
  <c r="B46" i="101" a="1"/>
  <c r="B46" i="101" s="1"/>
  <c r="G46" i="101" l="1"/>
  <c r="D46" i="101"/>
  <c r="H46" i="101"/>
  <c r="F46" i="101"/>
  <c r="C46" i="101"/>
  <c r="A48" i="102"/>
  <c r="B47" i="102"/>
  <c r="E47" i="102"/>
  <c r="C46" i="102"/>
  <c r="G46" i="102"/>
  <c r="H46" i="102"/>
  <c r="F46" i="102"/>
  <c r="E47" i="101"/>
  <c r="A48" i="101"/>
  <c r="B47" i="101" a="1"/>
  <c r="B47" i="101" s="1"/>
  <c r="G46" i="99"/>
  <c r="F46" i="99"/>
  <c r="H46" i="99"/>
  <c r="D46" i="100"/>
  <c r="H46" i="100"/>
  <c r="F46" i="100"/>
  <c r="C46" i="100"/>
  <c r="D46" i="99"/>
  <c r="C46" i="99"/>
  <c r="B47" i="99"/>
  <c r="E47" i="99"/>
  <c r="A48" i="99"/>
  <c r="A48" i="100"/>
  <c r="B47" i="100" a="1"/>
  <c r="B47" i="100" s="1"/>
  <c r="B47" i="97"/>
  <c r="E47" i="97"/>
  <c r="A48" i="97"/>
  <c r="D46" i="97"/>
  <c r="C46" i="97"/>
  <c r="G46" i="97"/>
  <c r="H46" i="97"/>
  <c r="F46" i="97"/>
  <c r="C47" i="99" l="1"/>
  <c r="D47" i="99"/>
  <c r="E48" i="102"/>
  <c r="A49" i="102"/>
  <c r="B48" i="102"/>
  <c r="B48" i="99"/>
  <c r="A49" i="99"/>
  <c r="E48" i="99"/>
  <c r="G47" i="99"/>
  <c r="H47" i="99"/>
  <c r="F47" i="99"/>
  <c r="E48" i="97"/>
  <c r="B48" i="97"/>
  <c r="A49" i="97"/>
  <c r="F47" i="97"/>
  <c r="G47" i="97"/>
  <c r="H47" i="97"/>
  <c r="C47" i="101"/>
  <c r="F47" i="101"/>
  <c r="D47" i="101"/>
  <c r="H47" i="101"/>
  <c r="G47" i="101"/>
  <c r="D47" i="100"/>
  <c r="C47" i="100"/>
  <c r="F47" i="100"/>
  <c r="H47" i="100"/>
  <c r="E48" i="101"/>
  <c r="B48" i="101" a="1"/>
  <c r="B48" i="101" s="1"/>
  <c r="A49" i="101"/>
  <c r="C47" i="102"/>
  <c r="F47" i="102"/>
  <c r="H47" i="102"/>
  <c r="G47" i="102"/>
  <c r="A49" i="100"/>
  <c r="B48" i="100" a="1"/>
  <c r="B48" i="100" s="1"/>
  <c r="E47" i="100"/>
  <c r="C47" i="97"/>
  <c r="D47" i="97"/>
  <c r="D48" i="100" l="1"/>
  <c r="F48" i="100"/>
  <c r="H48" i="100"/>
  <c r="C48" i="100"/>
  <c r="B49" i="100" a="1"/>
  <c r="B49" i="100" s="1"/>
  <c r="E49" i="100" s="1"/>
  <c r="A50" i="100"/>
  <c r="E49" i="101"/>
  <c r="B49" i="101" a="1"/>
  <c r="B49" i="101" s="1"/>
  <c r="A50" i="101"/>
  <c r="E48" i="100"/>
  <c r="G48" i="97"/>
  <c r="H48" i="97"/>
  <c r="F48" i="97"/>
  <c r="C48" i="101"/>
  <c r="D48" i="101"/>
  <c r="G48" i="101"/>
  <c r="H48" i="101"/>
  <c r="F48" i="101"/>
  <c r="E49" i="97"/>
  <c r="B49" i="97"/>
  <c r="A50" i="97"/>
  <c r="C48" i="99"/>
  <c r="D48" i="99"/>
  <c r="F48" i="102"/>
  <c r="C48" i="102"/>
  <c r="H48" i="102"/>
  <c r="G48" i="102"/>
  <c r="E49" i="102"/>
  <c r="B49" i="102"/>
  <c r="A50" i="102"/>
  <c r="G48" i="99"/>
  <c r="F48" i="99"/>
  <c r="H48" i="99"/>
  <c r="D48" i="97"/>
  <c r="C48" i="97"/>
  <c r="E49" i="99"/>
  <c r="A50" i="99"/>
  <c r="B49" i="99"/>
  <c r="B50" i="100" l="1" a="1"/>
  <c r="B50" i="100" s="1"/>
  <c r="E50" i="100"/>
  <c r="A51" i="100"/>
  <c r="H49" i="100"/>
  <c r="F49" i="100"/>
  <c r="D49" i="100"/>
  <c r="C49" i="100"/>
  <c r="E50" i="102"/>
  <c r="B50" i="102"/>
  <c r="A51" i="102"/>
  <c r="D49" i="99"/>
  <c r="C49" i="99"/>
  <c r="F49" i="102"/>
  <c r="C49" i="102"/>
  <c r="G49" i="102"/>
  <c r="H49" i="102"/>
  <c r="F49" i="99"/>
  <c r="H49" i="99"/>
  <c r="G49" i="99"/>
  <c r="B50" i="99"/>
  <c r="A51" i="99"/>
  <c r="E50" i="99"/>
  <c r="E50" i="97"/>
  <c r="B50" i="97"/>
  <c r="A51" i="97"/>
  <c r="A51" i="101"/>
  <c r="B50" i="101" a="1"/>
  <c r="B50" i="101" s="1"/>
  <c r="E50" i="101"/>
  <c r="D49" i="97"/>
  <c r="C49" i="97"/>
  <c r="H49" i="101"/>
  <c r="F49" i="101"/>
  <c r="G49" i="101"/>
  <c r="C49" i="101"/>
  <c r="D49" i="101"/>
  <c r="H49" i="97"/>
  <c r="G49" i="97"/>
  <c r="F49" i="97"/>
  <c r="H50" i="100" l="1"/>
  <c r="C50" i="100"/>
  <c r="F50" i="100"/>
  <c r="D50" i="100"/>
  <c r="B51" i="101" a="1"/>
  <c r="B51" i="101" s="1"/>
  <c r="A52" i="101"/>
  <c r="E51" i="101"/>
  <c r="B51" i="100" a="1"/>
  <c r="B51" i="100" s="1"/>
  <c r="E51" i="100" s="1"/>
  <c r="A52" i="100"/>
  <c r="C50" i="97"/>
  <c r="D50" i="97"/>
  <c r="H50" i="99"/>
  <c r="G50" i="99"/>
  <c r="F50" i="99"/>
  <c r="E51" i="99"/>
  <c r="B51" i="99"/>
  <c r="A52" i="99"/>
  <c r="D50" i="99"/>
  <c r="C50" i="99"/>
  <c r="D50" i="101"/>
  <c r="F50" i="101"/>
  <c r="H50" i="101"/>
  <c r="G50" i="101"/>
  <c r="C50" i="101"/>
  <c r="A52" i="97"/>
  <c r="B51" i="97"/>
  <c r="E51" i="97"/>
  <c r="H50" i="102"/>
  <c r="C50" i="102"/>
  <c r="G50" i="102"/>
  <c r="F50" i="102"/>
  <c r="B51" i="102"/>
  <c r="A52" i="102"/>
  <c r="E51" i="102"/>
  <c r="F50" i="97"/>
  <c r="H50" i="97"/>
  <c r="G50" i="97"/>
  <c r="B52" i="97" l="1"/>
  <c r="E52" i="97"/>
  <c r="A53" i="97"/>
  <c r="F51" i="97"/>
  <c r="G51" i="97"/>
  <c r="H51" i="97"/>
  <c r="H51" i="99"/>
  <c r="G51" i="99"/>
  <c r="F51" i="99"/>
  <c r="G51" i="102"/>
  <c r="F51" i="102"/>
  <c r="H51" i="102"/>
  <c r="C51" i="102"/>
  <c r="D51" i="101"/>
  <c r="C51" i="101"/>
  <c r="H51" i="101"/>
  <c r="G51" i="101"/>
  <c r="F51" i="101"/>
  <c r="B52" i="99"/>
  <c r="E52" i="99"/>
  <c r="A53" i="99"/>
  <c r="B52" i="100" a="1"/>
  <c r="B52" i="100" s="1"/>
  <c r="E52" i="100" s="1"/>
  <c r="A53" i="100"/>
  <c r="C51" i="99"/>
  <c r="D51" i="99"/>
  <c r="D51" i="97"/>
  <c r="C51" i="97"/>
  <c r="H51" i="100"/>
  <c r="F51" i="100"/>
  <c r="C51" i="100"/>
  <c r="D51" i="100"/>
  <c r="B52" i="101" a="1"/>
  <c r="B52" i="101" s="1"/>
  <c r="E52" i="101"/>
  <c r="A53" i="101"/>
  <c r="E52" i="102"/>
  <c r="B52" i="102"/>
  <c r="A53" i="102"/>
  <c r="B53" i="99" l="1"/>
  <c r="E53" i="99"/>
  <c r="A54" i="99"/>
  <c r="B53" i="97"/>
  <c r="E53" i="97"/>
  <c r="A54" i="97"/>
  <c r="F52" i="97"/>
  <c r="G52" i="97"/>
  <c r="H52" i="97"/>
  <c r="A54" i="100"/>
  <c r="B53" i="100" a="1"/>
  <c r="B53" i="100" s="1"/>
  <c r="E53" i="100" s="1"/>
  <c r="D52" i="99"/>
  <c r="C52" i="99"/>
  <c r="H52" i="99"/>
  <c r="G52" i="99"/>
  <c r="F52" i="99"/>
  <c r="G52" i="101"/>
  <c r="C52" i="101"/>
  <c r="D52" i="101"/>
  <c r="F52" i="101"/>
  <c r="H52" i="101"/>
  <c r="B53" i="101" a="1"/>
  <c r="B53" i="101" s="1"/>
  <c r="E53" i="101"/>
  <c r="A54" i="101"/>
  <c r="C52" i="102"/>
  <c r="H52" i="102"/>
  <c r="G52" i="102"/>
  <c r="F52" i="102"/>
  <c r="D52" i="97"/>
  <c r="C52" i="97"/>
  <c r="B53" i="102"/>
  <c r="E53" i="102"/>
  <c r="A54" i="102"/>
  <c r="C52" i="100"/>
  <c r="F52" i="100"/>
  <c r="D52" i="100"/>
  <c r="H52" i="100"/>
  <c r="H53" i="101" l="1"/>
  <c r="G53" i="101"/>
  <c r="D53" i="101"/>
  <c r="F53" i="101"/>
  <c r="C53" i="101"/>
  <c r="H53" i="97"/>
  <c r="F53" i="97"/>
  <c r="G53" i="97"/>
  <c r="F53" i="102"/>
  <c r="G53" i="102"/>
  <c r="C53" i="102"/>
  <c r="H53" i="102"/>
  <c r="A55" i="101"/>
  <c r="E54" i="101"/>
  <c r="B54" i="101" a="1"/>
  <c r="B54" i="101" s="1"/>
  <c r="E54" i="102"/>
  <c r="B54" i="102"/>
  <c r="A55" i="102"/>
  <c r="C53" i="97"/>
  <c r="D53" i="97"/>
  <c r="B54" i="99"/>
  <c r="E54" i="99"/>
  <c r="A55" i="99"/>
  <c r="F53" i="99"/>
  <c r="G53" i="99"/>
  <c r="H53" i="99"/>
  <c r="E54" i="97"/>
  <c r="B54" i="97"/>
  <c r="A55" i="97"/>
  <c r="D53" i="99"/>
  <c r="C53" i="99"/>
  <c r="B54" i="100" a="1"/>
  <c r="B54" i="100" s="1"/>
  <c r="E54" i="100" s="1"/>
  <c r="A55" i="100"/>
  <c r="D53" i="100"/>
  <c r="H53" i="100"/>
  <c r="C53" i="100"/>
  <c r="F53" i="100"/>
  <c r="G54" i="97" l="1"/>
  <c r="H54" i="97"/>
  <c r="F54" i="97"/>
  <c r="F54" i="102"/>
  <c r="H54" i="102"/>
  <c r="G54" i="102"/>
  <c r="C54" i="102"/>
  <c r="E55" i="97"/>
  <c r="B55" i="97"/>
  <c r="A56" i="97"/>
  <c r="B55" i="100" a="1"/>
  <c r="B55" i="100" s="1"/>
  <c r="E55" i="100" s="1"/>
  <c r="A56" i="100"/>
  <c r="D54" i="99"/>
  <c r="C54" i="99"/>
  <c r="C54" i="97"/>
  <c r="D54" i="97"/>
  <c r="F54" i="101"/>
  <c r="D54" i="101"/>
  <c r="H54" i="101"/>
  <c r="C54" i="101"/>
  <c r="G54" i="101"/>
  <c r="E55" i="99"/>
  <c r="B55" i="99"/>
  <c r="A56" i="99"/>
  <c r="F54" i="100"/>
  <c r="D54" i="100"/>
  <c r="H54" i="100"/>
  <c r="C54" i="100"/>
  <c r="E55" i="101"/>
  <c r="A56" i="101"/>
  <c r="B55" i="101" a="1"/>
  <c r="B55" i="101" s="1"/>
  <c r="E55" i="102"/>
  <c r="B55" i="102"/>
  <c r="A56" i="102"/>
  <c r="G54" i="99"/>
  <c r="H54" i="99"/>
  <c r="F54" i="99"/>
  <c r="G55" i="101" l="1"/>
  <c r="D55" i="101"/>
  <c r="C55" i="101"/>
  <c r="F55" i="101"/>
  <c r="H55" i="101"/>
  <c r="H55" i="99"/>
  <c r="G55" i="99"/>
  <c r="F55" i="99"/>
  <c r="E56" i="101"/>
  <c r="A57" i="101"/>
  <c r="B56" i="101" a="1"/>
  <c r="B56" i="101" s="1"/>
  <c r="F55" i="97"/>
  <c r="H55" i="97"/>
  <c r="G55" i="97"/>
  <c r="C55" i="99"/>
  <c r="D55" i="99"/>
  <c r="B56" i="100" a="1"/>
  <c r="B56" i="100" s="1"/>
  <c r="E56" i="100" s="1"/>
  <c r="A57" i="100"/>
  <c r="C55" i="100"/>
  <c r="F55" i="100"/>
  <c r="H55" i="100"/>
  <c r="D55" i="100"/>
  <c r="E56" i="102"/>
  <c r="B56" i="102"/>
  <c r="A57" i="102"/>
  <c r="A57" i="99"/>
  <c r="B56" i="99"/>
  <c r="E56" i="99"/>
  <c r="C55" i="102"/>
  <c r="F55" i="102"/>
  <c r="H55" i="102"/>
  <c r="G55" i="102"/>
  <c r="C55" i="97"/>
  <c r="D55" i="97"/>
  <c r="B56" i="97"/>
  <c r="E56" i="97"/>
  <c r="A57" i="97"/>
  <c r="F56" i="97" l="1"/>
  <c r="G56" i="97"/>
  <c r="H56" i="97"/>
  <c r="A58" i="100"/>
  <c r="B57" i="100" a="1"/>
  <c r="B57" i="100" s="1"/>
  <c r="E57" i="100" s="1"/>
  <c r="D56" i="100"/>
  <c r="C56" i="100"/>
  <c r="H56" i="100"/>
  <c r="F56" i="100"/>
  <c r="G56" i="99"/>
  <c r="F56" i="99"/>
  <c r="H56" i="99"/>
  <c r="D56" i="101"/>
  <c r="C56" i="101"/>
  <c r="F56" i="101"/>
  <c r="H56" i="101"/>
  <c r="G56" i="101"/>
  <c r="B57" i="101" a="1"/>
  <c r="B57" i="101" s="1"/>
  <c r="E57" i="101"/>
  <c r="A58" i="101"/>
  <c r="D56" i="97"/>
  <c r="C56" i="97"/>
  <c r="E57" i="102"/>
  <c r="A58" i="102"/>
  <c r="B57" i="102"/>
  <c r="E57" i="97"/>
  <c r="B57" i="97"/>
  <c r="A58" i="97"/>
  <c r="C56" i="102"/>
  <c r="H56" i="102"/>
  <c r="G56" i="102"/>
  <c r="F56" i="102"/>
  <c r="D56" i="99"/>
  <c r="C56" i="99"/>
  <c r="B57" i="99"/>
  <c r="A58" i="99"/>
  <c r="E57" i="99"/>
  <c r="B58" i="101" l="1" a="1"/>
  <c r="B58" i="101" s="1"/>
  <c r="E58" i="101"/>
  <c r="A59" i="101"/>
  <c r="A59" i="100"/>
  <c r="B58" i="100" a="1"/>
  <c r="B58" i="100" s="1"/>
  <c r="H57" i="101"/>
  <c r="C57" i="101"/>
  <c r="G57" i="101"/>
  <c r="D57" i="101"/>
  <c r="F57" i="101"/>
  <c r="H57" i="100"/>
  <c r="D57" i="100"/>
  <c r="C57" i="100"/>
  <c r="F57" i="100"/>
  <c r="G57" i="99"/>
  <c r="H57" i="99"/>
  <c r="F57" i="99"/>
  <c r="F57" i="102"/>
  <c r="C57" i="102"/>
  <c r="G57" i="102"/>
  <c r="H57" i="102"/>
  <c r="B58" i="102"/>
  <c r="E58" i="102"/>
  <c r="A59" i="102"/>
  <c r="B58" i="99"/>
  <c r="E58" i="99"/>
  <c r="A59" i="99"/>
  <c r="D57" i="99"/>
  <c r="C57" i="99"/>
  <c r="E58" i="97"/>
  <c r="B58" i="97"/>
  <c r="A59" i="97"/>
  <c r="C57" i="97"/>
  <c r="D57" i="97"/>
  <c r="H57" i="97"/>
  <c r="G57" i="97"/>
  <c r="F57" i="97"/>
  <c r="B59" i="102" l="1"/>
  <c r="E59" i="102"/>
  <c r="A60" i="102"/>
  <c r="H58" i="100"/>
  <c r="D58" i="100"/>
  <c r="F58" i="100"/>
  <c r="C58" i="100"/>
  <c r="H58" i="99"/>
  <c r="G58" i="99"/>
  <c r="F58" i="99"/>
  <c r="A60" i="100"/>
  <c r="B59" i="100" a="1"/>
  <c r="B59" i="100" s="1"/>
  <c r="E58" i="100"/>
  <c r="D58" i="99"/>
  <c r="C58" i="99"/>
  <c r="B59" i="97"/>
  <c r="E59" i="97"/>
  <c r="A60" i="97"/>
  <c r="G58" i="97"/>
  <c r="F58" i="97"/>
  <c r="H58" i="97"/>
  <c r="B59" i="101" a="1"/>
  <c r="B59" i="101" s="1"/>
  <c r="E59" i="101"/>
  <c r="A60" i="101"/>
  <c r="D58" i="101"/>
  <c r="G58" i="101"/>
  <c r="C58" i="101"/>
  <c r="F58" i="101"/>
  <c r="H58" i="101"/>
  <c r="F58" i="102"/>
  <c r="C58" i="102"/>
  <c r="G58" i="102"/>
  <c r="H58" i="102"/>
  <c r="D58" i="97"/>
  <c r="C58" i="97"/>
  <c r="B59" i="99"/>
  <c r="E59" i="99"/>
  <c r="A60" i="99"/>
  <c r="B60" i="100" l="1" a="1"/>
  <c r="B60" i="100" s="1"/>
  <c r="E60" i="100" s="1"/>
  <c r="A61" i="100"/>
  <c r="B60" i="99"/>
  <c r="E60" i="99"/>
  <c r="A61" i="99"/>
  <c r="F59" i="99"/>
  <c r="H59" i="99"/>
  <c r="G59" i="99"/>
  <c r="E60" i="101"/>
  <c r="B60" i="101" a="1"/>
  <c r="B60" i="101" s="1"/>
  <c r="A61" i="101"/>
  <c r="H59" i="100"/>
  <c r="F59" i="100"/>
  <c r="D59" i="100"/>
  <c r="C59" i="100"/>
  <c r="E60" i="97"/>
  <c r="B60" i="97"/>
  <c r="A61" i="97"/>
  <c r="F59" i="101"/>
  <c r="C59" i="101"/>
  <c r="D59" i="101"/>
  <c r="G59" i="101"/>
  <c r="H59" i="101"/>
  <c r="E59" i="100"/>
  <c r="D59" i="99"/>
  <c r="C59" i="99"/>
  <c r="H59" i="97"/>
  <c r="G59" i="97"/>
  <c r="F59" i="97"/>
  <c r="D59" i="97"/>
  <c r="C59" i="97"/>
  <c r="E60" i="102"/>
  <c r="B60" i="102"/>
  <c r="A61" i="102"/>
  <c r="C59" i="102"/>
  <c r="F59" i="102"/>
  <c r="G59" i="102"/>
  <c r="H59" i="102"/>
  <c r="E61" i="101" l="1"/>
  <c r="A62" i="101"/>
  <c r="B61" i="101" a="1"/>
  <c r="B61" i="101" s="1"/>
  <c r="H60" i="101"/>
  <c r="F60" i="101"/>
  <c r="D60" i="101"/>
  <c r="C60" i="101"/>
  <c r="G60" i="101"/>
  <c r="B61" i="97"/>
  <c r="A62" i="97"/>
  <c r="E61" i="97"/>
  <c r="E61" i="102"/>
  <c r="B61" i="102"/>
  <c r="A62" i="102"/>
  <c r="C60" i="102"/>
  <c r="H60" i="102"/>
  <c r="F60" i="102"/>
  <c r="G60" i="102"/>
  <c r="D60" i="97"/>
  <c r="C60" i="97"/>
  <c r="A62" i="99"/>
  <c r="E61" i="99"/>
  <c r="B61" i="99"/>
  <c r="G60" i="99"/>
  <c r="H60" i="99"/>
  <c r="F60" i="99"/>
  <c r="C60" i="99"/>
  <c r="D60" i="99"/>
  <c r="H60" i="97"/>
  <c r="F60" i="97"/>
  <c r="G60" i="97"/>
  <c r="B61" i="100" a="1"/>
  <c r="B61" i="100" s="1"/>
  <c r="A62" i="100"/>
  <c r="D60" i="100"/>
  <c r="F60" i="100"/>
  <c r="H60" i="100"/>
  <c r="C60" i="100"/>
  <c r="C61" i="100" l="1"/>
  <c r="H61" i="100"/>
  <c r="D61" i="100"/>
  <c r="F61" i="100"/>
  <c r="F61" i="99"/>
  <c r="H61" i="99"/>
  <c r="G61" i="99"/>
  <c r="B62" i="100" a="1"/>
  <c r="B62" i="100" s="1"/>
  <c r="E62" i="100" s="1"/>
  <c r="A63" i="100"/>
  <c r="E62" i="99"/>
  <c r="B62" i="99"/>
  <c r="A63" i="99"/>
  <c r="E61" i="100"/>
  <c r="F61" i="97"/>
  <c r="H61" i="97"/>
  <c r="G61" i="97"/>
  <c r="A63" i="97"/>
  <c r="E62" i="97"/>
  <c r="B62" i="97"/>
  <c r="D61" i="99"/>
  <c r="C61" i="99"/>
  <c r="C61" i="102"/>
  <c r="G61" i="102"/>
  <c r="F61" i="102"/>
  <c r="H61" i="102"/>
  <c r="C61" i="97"/>
  <c r="D61" i="97"/>
  <c r="A63" i="102"/>
  <c r="B62" i="102"/>
  <c r="E62" i="102"/>
  <c r="H61" i="101"/>
  <c r="F61" i="101"/>
  <c r="G61" i="101"/>
  <c r="C61" i="101"/>
  <c r="D61" i="101"/>
  <c r="E62" i="101"/>
  <c r="B62" i="101" a="1"/>
  <c r="B62" i="101" s="1"/>
  <c r="A63" i="101"/>
  <c r="C62" i="97" l="1"/>
  <c r="D62" i="97"/>
  <c r="G62" i="97"/>
  <c r="F62" i="97"/>
  <c r="H62" i="97"/>
  <c r="F62" i="101"/>
  <c r="D62" i="101"/>
  <c r="C62" i="101"/>
  <c r="G62" i="101"/>
  <c r="H62" i="101"/>
  <c r="B63" i="99"/>
  <c r="A64" i="99"/>
  <c r="E63" i="99"/>
  <c r="D62" i="99"/>
  <c r="C62" i="99"/>
  <c r="G62" i="99"/>
  <c r="H62" i="99"/>
  <c r="F62" i="99"/>
  <c r="H62" i="102"/>
  <c r="F62" i="102"/>
  <c r="C62" i="102"/>
  <c r="G62" i="102"/>
  <c r="B63" i="100" a="1"/>
  <c r="B63" i="100" s="1"/>
  <c r="E63" i="100" s="1"/>
  <c r="A64" i="100"/>
  <c r="C62" i="100"/>
  <c r="D62" i="100"/>
  <c r="F62" i="100"/>
  <c r="H62" i="100"/>
  <c r="B63" i="101" a="1"/>
  <c r="B63" i="101" s="1"/>
  <c r="A64" i="101"/>
  <c r="E63" i="101"/>
  <c r="B63" i="97"/>
  <c r="E63" i="97"/>
  <c r="A64" i="97"/>
  <c r="E63" i="102"/>
  <c r="A64" i="102"/>
  <c r="B63" i="102"/>
  <c r="C63" i="97" l="1"/>
  <c r="D63" i="97"/>
  <c r="D63" i="99"/>
  <c r="C63" i="99"/>
  <c r="D63" i="100"/>
  <c r="C63" i="100"/>
  <c r="H63" i="100"/>
  <c r="F63" i="100"/>
  <c r="B64" i="101" a="1"/>
  <c r="B64" i="101" s="1"/>
  <c r="E64" i="101"/>
  <c r="A65" i="101"/>
  <c r="C63" i="101"/>
  <c r="H63" i="101"/>
  <c r="F63" i="101"/>
  <c r="D63" i="101"/>
  <c r="G63" i="101"/>
  <c r="H63" i="102"/>
  <c r="F63" i="102"/>
  <c r="G63" i="102"/>
  <c r="C63" i="102"/>
  <c r="E64" i="97"/>
  <c r="A65" i="97"/>
  <c r="B64" i="97"/>
  <c r="B64" i="102"/>
  <c r="E64" i="102"/>
  <c r="A65" i="102"/>
  <c r="G63" i="97"/>
  <c r="H63" i="97"/>
  <c r="F63" i="97"/>
  <c r="B64" i="100" a="1"/>
  <c r="B64" i="100" s="1"/>
  <c r="E64" i="100" s="1"/>
  <c r="A65" i="100"/>
  <c r="G63" i="99"/>
  <c r="F63" i="99"/>
  <c r="H63" i="99"/>
  <c r="E64" i="99"/>
  <c r="B64" i="99"/>
  <c r="A65" i="99"/>
  <c r="D64" i="99" l="1"/>
  <c r="C64" i="99"/>
  <c r="B65" i="99"/>
  <c r="E65" i="99"/>
  <c r="A66" i="99"/>
  <c r="B65" i="101" a="1"/>
  <c r="B65" i="101" s="1"/>
  <c r="E65" i="101"/>
  <c r="A66" i="101"/>
  <c r="C64" i="102"/>
  <c r="G64" i="102"/>
  <c r="F64" i="102"/>
  <c r="H64" i="102"/>
  <c r="F64" i="97"/>
  <c r="G64" i="97"/>
  <c r="H64" i="97"/>
  <c r="F64" i="99"/>
  <c r="H64" i="99"/>
  <c r="G64" i="99"/>
  <c r="A66" i="100"/>
  <c r="B65" i="100" a="1"/>
  <c r="B65" i="100" s="1"/>
  <c r="E65" i="97"/>
  <c r="B65" i="97"/>
  <c r="A66" i="97"/>
  <c r="F64" i="101"/>
  <c r="H64" i="101"/>
  <c r="C64" i="101"/>
  <c r="G64" i="101"/>
  <c r="D64" i="101"/>
  <c r="D64" i="97"/>
  <c r="C64" i="97"/>
  <c r="C64" i="100"/>
  <c r="F64" i="100"/>
  <c r="H64" i="100"/>
  <c r="D64" i="100"/>
  <c r="E65" i="102"/>
  <c r="B65" i="102"/>
  <c r="A66" i="102"/>
  <c r="E66" i="97" l="1"/>
  <c r="B66" i="97"/>
  <c r="A67" i="97"/>
  <c r="C65" i="97"/>
  <c r="D65" i="97"/>
  <c r="G65" i="97"/>
  <c r="F65" i="97"/>
  <c r="H65" i="97"/>
  <c r="E66" i="99"/>
  <c r="B66" i="99"/>
  <c r="A67" i="99"/>
  <c r="C65" i="99"/>
  <c r="D65" i="99"/>
  <c r="E66" i="101"/>
  <c r="B66" i="101" a="1"/>
  <c r="B66" i="101" s="1"/>
  <c r="A67" i="101"/>
  <c r="C65" i="100"/>
  <c r="F65" i="100"/>
  <c r="H65" i="100"/>
  <c r="D65" i="100"/>
  <c r="H65" i="99"/>
  <c r="F65" i="99"/>
  <c r="G65" i="99"/>
  <c r="H65" i="101"/>
  <c r="F65" i="101"/>
  <c r="C65" i="101"/>
  <c r="D65" i="101"/>
  <c r="G65" i="101"/>
  <c r="C65" i="102"/>
  <c r="F65" i="102"/>
  <c r="H65" i="102"/>
  <c r="G65" i="102"/>
  <c r="E66" i="102"/>
  <c r="A67" i="102"/>
  <c r="B66" i="102"/>
  <c r="A67" i="100"/>
  <c r="B66" i="100" a="1"/>
  <c r="B66" i="100" s="1"/>
  <c r="E66" i="100" s="1"/>
  <c r="E65" i="100"/>
  <c r="E67" i="97" l="1"/>
  <c r="B67" i="97"/>
  <c r="A68" i="97"/>
  <c r="D66" i="97"/>
  <c r="C66" i="97"/>
  <c r="B67" i="100" a="1"/>
  <c r="B67" i="100" s="1"/>
  <c r="A68" i="100"/>
  <c r="D66" i="101"/>
  <c r="C66" i="101"/>
  <c r="G66" i="101"/>
  <c r="H66" i="101"/>
  <c r="F66" i="101"/>
  <c r="D66" i="100"/>
  <c r="H66" i="100"/>
  <c r="C66" i="100"/>
  <c r="F66" i="100"/>
  <c r="F66" i="99"/>
  <c r="H66" i="99"/>
  <c r="G66" i="99"/>
  <c r="A68" i="101"/>
  <c r="B67" i="101" a="1"/>
  <c r="B67" i="101" s="1"/>
  <c r="E67" i="101"/>
  <c r="C66" i="102"/>
  <c r="G66" i="102"/>
  <c r="H66" i="102"/>
  <c r="F66" i="102"/>
  <c r="B67" i="102"/>
  <c r="E67" i="102"/>
  <c r="A68" i="102"/>
  <c r="D66" i="99"/>
  <c r="C66" i="99"/>
  <c r="A68" i="99"/>
  <c r="E67" i="99"/>
  <c r="B67" i="99"/>
  <c r="F66" i="97"/>
  <c r="G66" i="97"/>
  <c r="H66" i="97"/>
  <c r="E68" i="97" l="1"/>
  <c r="A69" i="97"/>
  <c r="B68" i="97"/>
  <c r="F67" i="102"/>
  <c r="H67" i="102"/>
  <c r="G67" i="102"/>
  <c r="C67" i="102"/>
  <c r="H67" i="97"/>
  <c r="F67" i="97"/>
  <c r="G67" i="97"/>
  <c r="C67" i="99"/>
  <c r="D67" i="99"/>
  <c r="G67" i="99"/>
  <c r="F67" i="99"/>
  <c r="H67" i="99"/>
  <c r="E68" i="101"/>
  <c r="B68" i="101" a="1"/>
  <c r="B68" i="101" s="1"/>
  <c r="A69" i="101"/>
  <c r="B68" i="102"/>
  <c r="E68" i="102"/>
  <c r="A69" i="102"/>
  <c r="C67" i="100"/>
  <c r="F67" i="100"/>
  <c r="H67" i="100"/>
  <c r="D67" i="100"/>
  <c r="C67" i="97"/>
  <c r="D67" i="97"/>
  <c r="B68" i="99"/>
  <c r="A69" i="99"/>
  <c r="E68" i="99"/>
  <c r="E67" i="100"/>
  <c r="C67" i="101"/>
  <c r="D67" i="101"/>
  <c r="H67" i="101"/>
  <c r="F67" i="101"/>
  <c r="G67" i="101"/>
  <c r="B68" i="100" a="1"/>
  <c r="B68" i="100" s="1"/>
  <c r="E68" i="100" s="1"/>
  <c r="A69" i="100"/>
  <c r="F68" i="102" l="1"/>
  <c r="C68" i="102"/>
  <c r="G68" i="102"/>
  <c r="H68" i="102"/>
  <c r="B69" i="100" a="1"/>
  <c r="B69" i="100" s="1"/>
  <c r="A70" i="100"/>
  <c r="H68" i="100"/>
  <c r="F68" i="100"/>
  <c r="C68" i="100"/>
  <c r="D68" i="100"/>
  <c r="E69" i="102"/>
  <c r="B69" i="102"/>
  <c r="A70" i="102"/>
  <c r="B69" i="101" a="1"/>
  <c r="B69" i="101" s="1"/>
  <c r="E69" i="101"/>
  <c r="A70" i="101"/>
  <c r="C68" i="101"/>
  <c r="G68" i="101"/>
  <c r="D68" i="101"/>
  <c r="H68" i="101"/>
  <c r="F68" i="101"/>
  <c r="G68" i="99"/>
  <c r="F68" i="99"/>
  <c r="H68" i="99"/>
  <c r="C68" i="97"/>
  <c r="D68" i="97"/>
  <c r="B69" i="99"/>
  <c r="E69" i="99"/>
  <c r="A70" i="99"/>
  <c r="A70" i="97"/>
  <c r="B69" i="97"/>
  <c r="E69" i="97"/>
  <c r="C68" i="99"/>
  <c r="D68" i="99"/>
  <c r="H68" i="97"/>
  <c r="G68" i="97"/>
  <c r="F68" i="97"/>
  <c r="D69" i="97" l="1"/>
  <c r="C69" i="97"/>
  <c r="D69" i="99"/>
  <c r="C69" i="99"/>
  <c r="E70" i="101"/>
  <c r="B70" i="101" a="1"/>
  <c r="B70" i="101" s="1"/>
  <c r="A71" i="101"/>
  <c r="D69" i="101"/>
  <c r="G69" i="101"/>
  <c r="H69" i="101"/>
  <c r="F69" i="101"/>
  <c r="C69" i="101"/>
  <c r="B70" i="102"/>
  <c r="E70" i="102"/>
  <c r="A71" i="102"/>
  <c r="E70" i="97"/>
  <c r="A71" i="97"/>
  <c r="B70" i="97"/>
  <c r="H69" i="102"/>
  <c r="C69" i="102"/>
  <c r="G69" i="102"/>
  <c r="F69" i="102"/>
  <c r="B70" i="100" a="1"/>
  <c r="B70" i="100" s="1"/>
  <c r="A71" i="100"/>
  <c r="H69" i="97"/>
  <c r="F69" i="97"/>
  <c r="G69" i="97"/>
  <c r="F69" i="99"/>
  <c r="H69" i="99"/>
  <c r="G69" i="99"/>
  <c r="D69" i="100"/>
  <c r="F69" i="100"/>
  <c r="H69" i="100"/>
  <c r="C69" i="100"/>
  <c r="B70" i="99"/>
  <c r="A71" i="99"/>
  <c r="E70" i="99"/>
  <c r="E69" i="100"/>
  <c r="F70" i="100" l="1"/>
  <c r="C70" i="100"/>
  <c r="D70" i="100"/>
  <c r="H70" i="100"/>
  <c r="E70" i="100"/>
  <c r="A72" i="102"/>
  <c r="E71" i="102"/>
  <c r="B71" i="102"/>
  <c r="A72" i="97"/>
  <c r="B71" i="97"/>
  <c r="E71" i="97"/>
  <c r="H70" i="102"/>
  <c r="G70" i="102"/>
  <c r="F70" i="102"/>
  <c r="C70" i="102"/>
  <c r="B71" i="101" a="1"/>
  <c r="B71" i="101" s="1"/>
  <c r="E71" i="101"/>
  <c r="A72" i="101"/>
  <c r="B71" i="100" a="1"/>
  <c r="B71" i="100" s="1"/>
  <c r="E71" i="100" s="1"/>
  <c r="A72" i="100"/>
  <c r="F70" i="101"/>
  <c r="G70" i="101"/>
  <c r="D70" i="101"/>
  <c r="C70" i="101"/>
  <c r="H70" i="101"/>
  <c r="C70" i="99"/>
  <c r="D70" i="99"/>
  <c r="C70" i="97"/>
  <c r="D70" i="97"/>
  <c r="B71" i="99"/>
  <c r="E71" i="99"/>
  <c r="A72" i="99"/>
  <c r="G70" i="97"/>
  <c r="H70" i="97"/>
  <c r="F70" i="97"/>
  <c r="G70" i="99"/>
  <c r="F70" i="99"/>
  <c r="H70" i="99"/>
  <c r="B72" i="99" l="1"/>
  <c r="E72" i="99"/>
  <c r="A73" i="99"/>
  <c r="B72" i="100" a="1"/>
  <c r="B72" i="100" s="1"/>
  <c r="E72" i="100"/>
  <c r="A73" i="100"/>
  <c r="C71" i="100"/>
  <c r="D71" i="100"/>
  <c r="H71" i="100"/>
  <c r="F71" i="100"/>
  <c r="B72" i="102"/>
  <c r="A73" i="102"/>
  <c r="E72" i="102"/>
  <c r="D71" i="99"/>
  <c r="C71" i="99"/>
  <c r="G71" i="99"/>
  <c r="H71" i="99"/>
  <c r="F71" i="99"/>
  <c r="G71" i="97"/>
  <c r="F71" i="97"/>
  <c r="H71" i="97"/>
  <c r="C71" i="102"/>
  <c r="G71" i="102"/>
  <c r="F71" i="102"/>
  <c r="H71" i="102"/>
  <c r="D71" i="97"/>
  <c r="C71" i="97"/>
  <c r="E72" i="101"/>
  <c r="A73" i="101"/>
  <c r="B72" i="101" a="1"/>
  <c r="B72" i="101" s="1"/>
  <c r="B72" i="97"/>
  <c r="A73" i="97"/>
  <c r="E72" i="97"/>
  <c r="D71" i="101"/>
  <c r="F71" i="101"/>
  <c r="C71" i="101"/>
  <c r="H71" i="101"/>
  <c r="G71" i="101"/>
  <c r="B73" i="99" l="1"/>
  <c r="A74" i="99"/>
  <c r="E73" i="99"/>
  <c r="D72" i="99"/>
  <c r="C72" i="99"/>
  <c r="H72" i="99"/>
  <c r="G72" i="99"/>
  <c r="F72" i="99"/>
  <c r="C72" i="97"/>
  <c r="D72" i="97"/>
  <c r="F72" i="97"/>
  <c r="G72" i="97"/>
  <c r="H72" i="97"/>
  <c r="E73" i="97"/>
  <c r="B73" i="97"/>
  <c r="A74" i="97"/>
  <c r="B73" i="101" a="1"/>
  <c r="B73" i="101" s="1"/>
  <c r="E73" i="101"/>
  <c r="A74" i="101"/>
  <c r="B73" i="100" a="1"/>
  <c r="B73" i="100" s="1"/>
  <c r="E73" i="100" s="1"/>
  <c r="A74" i="100"/>
  <c r="F72" i="100"/>
  <c r="H72" i="100"/>
  <c r="C72" i="100"/>
  <c r="D72" i="100"/>
  <c r="D72" i="101"/>
  <c r="G72" i="101"/>
  <c r="F72" i="101"/>
  <c r="H72" i="101"/>
  <c r="C72" i="101"/>
  <c r="B73" i="102"/>
  <c r="A74" i="102"/>
  <c r="E73" i="102"/>
  <c r="H72" i="102"/>
  <c r="F72" i="102"/>
  <c r="G72" i="102"/>
  <c r="C72" i="102"/>
  <c r="G73" i="97" l="1"/>
  <c r="H73" i="97"/>
  <c r="F73" i="97"/>
  <c r="G73" i="102"/>
  <c r="H73" i="102"/>
  <c r="F73" i="102"/>
  <c r="C73" i="102"/>
  <c r="B74" i="97"/>
  <c r="E74" i="97"/>
  <c r="A75" i="97"/>
  <c r="C73" i="100"/>
  <c r="D73" i="100"/>
  <c r="H73" i="100"/>
  <c r="F73" i="100"/>
  <c r="A75" i="102"/>
  <c r="B74" i="102"/>
  <c r="E74" i="102"/>
  <c r="D73" i="101"/>
  <c r="G73" i="101"/>
  <c r="H73" i="101"/>
  <c r="F73" i="101"/>
  <c r="C73" i="101"/>
  <c r="B74" i="100" a="1"/>
  <c r="B74" i="100" s="1"/>
  <c r="E74" i="100" s="1"/>
  <c r="A75" i="100"/>
  <c r="G73" i="99"/>
  <c r="H73" i="99"/>
  <c r="F73" i="99"/>
  <c r="C73" i="97"/>
  <c r="D73" i="97"/>
  <c r="A75" i="101"/>
  <c r="B74" i="101" a="1"/>
  <c r="B74" i="101" s="1"/>
  <c r="E74" i="101"/>
  <c r="B74" i="99"/>
  <c r="A75" i="99"/>
  <c r="E74" i="99"/>
  <c r="D73" i="99"/>
  <c r="C73" i="99"/>
  <c r="C74" i="99" l="1"/>
  <c r="D74" i="99"/>
  <c r="F74" i="100"/>
  <c r="C74" i="100"/>
  <c r="H74" i="100"/>
  <c r="D74" i="100"/>
  <c r="C74" i="101"/>
  <c r="H74" i="101"/>
  <c r="G74" i="101"/>
  <c r="D74" i="101"/>
  <c r="F74" i="101"/>
  <c r="H74" i="99"/>
  <c r="F74" i="99"/>
  <c r="G74" i="99"/>
  <c r="C74" i="102"/>
  <c r="G74" i="102"/>
  <c r="F74" i="102"/>
  <c r="H74" i="102"/>
  <c r="E75" i="102"/>
  <c r="A76" i="102"/>
  <c r="B75" i="102"/>
  <c r="E75" i="101"/>
  <c r="A76" i="101"/>
  <c r="B75" i="101" a="1"/>
  <c r="B75" i="101" s="1"/>
  <c r="D74" i="97"/>
  <c r="C74" i="97"/>
  <c r="F74" i="97"/>
  <c r="G74" i="97"/>
  <c r="H74" i="97"/>
  <c r="B75" i="97"/>
  <c r="E75" i="97"/>
  <c r="A76" i="97"/>
  <c r="B75" i="99"/>
  <c r="E75" i="99"/>
  <c r="A76" i="99"/>
  <c r="B75" i="100" a="1"/>
  <c r="B75" i="100" s="1"/>
  <c r="E75" i="100" s="1"/>
  <c r="A76" i="100"/>
  <c r="H75" i="97" l="1"/>
  <c r="F75" i="97"/>
  <c r="G75" i="97"/>
  <c r="D75" i="97"/>
  <c r="C75" i="97"/>
  <c r="H75" i="101"/>
  <c r="G75" i="101"/>
  <c r="D75" i="101"/>
  <c r="F75" i="101"/>
  <c r="C75" i="101"/>
  <c r="H75" i="102"/>
  <c r="G75" i="102"/>
  <c r="F75" i="102"/>
  <c r="C75" i="102"/>
  <c r="A77" i="100"/>
  <c r="B76" i="100" a="1"/>
  <c r="B76" i="100" s="1"/>
  <c r="E76" i="100" s="1"/>
  <c r="F75" i="100"/>
  <c r="D75" i="100"/>
  <c r="H75" i="100"/>
  <c r="C75" i="100"/>
  <c r="E76" i="99"/>
  <c r="B76" i="99"/>
  <c r="A77" i="99"/>
  <c r="B76" i="101" a="1"/>
  <c r="B76" i="101" s="1"/>
  <c r="E76" i="101"/>
  <c r="A77" i="101"/>
  <c r="E76" i="102"/>
  <c r="A77" i="102"/>
  <c r="B76" i="102"/>
  <c r="C75" i="99"/>
  <c r="D75" i="99"/>
  <c r="F75" i="99"/>
  <c r="H75" i="99"/>
  <c r="G75" i="99"/>
  <c r="E76" i="97"/>
  <c r="B76" i="97"/>
  <c r="A77" i="97"/>
  <c r="B77" i="100" l="1" a="1"/>
  <c r="B77" i="100" s="1"/>
  <c r="A78" i="100"/>
  <c r="F76" i="102"/>
  <c r="G76" i="102"/>
  <c r="H76" i="102"/>
  <c r="C76" i="102"/>
  <c r="E77" i="102"/>
  <c r="B77" i="102"/>
  <c r="A78" i="102"/>
  <c r="H76" i="97"/>
  <c r="G76" i="97"/>
  <c r="F76" i="97"/>
  <c r="B77" i="101" a="1"/>
  <c r="B77" i="101" s="1"/>
  <c r="A78" i="101"/>
  <c r="E77" i="101"/>
  <c r="D76" i="101"/>
  <c r="G76" i="101"/>
  <c r="H76" i="101"/>
  <c r="F76" i="101"/>
  <c r="C76" i="101"/>
  <c r="B77" i="97"/>
  <c r="A78" i="97"/>
  <c r="E77" i="97"/>
  <c r="D76" i="97"/>
  <c r="C76" i="97"/>
  <c r="A78" i="99"/>
  <c r="B77" i="99"/>
  <c r="E77" i="99"/>
  <c r="F76" i="100"/>
  <c r="D76" i="100"/>
  <c r="H76" i="100"/>
  <c r="C76" i="100"/>
  <c r="D76" i="99"/>
  <c r="C76" i="99"/>
  <c r="G76" i="99"/>
  <c r="F76" i="99"/>
  <c r="H76" i="99"/>
  <c r="F77" i="99" l="1"/>
  <c r="H77" i="99"/>
  <c r="G77" i="99"/>
  <c r="C77" i="99"/>
  <c r="D77" i="99"/>
  <c r="E78" i="99"/>
  <c r="B78" i="99"/>
  <c r="A79" i="99"/>
  <c r="F77" i="100"/>
  <c r="H77" i="100"/>
  <c r="D77" i="100"/>
  <c r="C77" i="100"/>
  <c r="F77" i="101"/>
  <c r="C77" i="101"/>
  <c r="H77" i="101"/>
  <c r="D77" i="101"/>
  <c r="G77" i="101"/>
  <c r="E77" i="100"/>
  <c r="C77" i="102"/>
  <c r="H77" i="102"/>
  <c r="G77" i="102"/>
  <c r="F77" i="102"/>
  <c r="G77" i="97"/>
  <c r="F77" i="97"/>
  <c r="H77" i="97"/>
  <c r="B78" i="100" a="1"/>
  <c r="B78" i="100" s="1"/>
  <c r="E78" i="100" s="1"/>
  <c r="A79" i="100"/>
  <c r="B78" i="97"/>
  <c r="A79" i="97"/>
  <c r="E78" i="97"/>
  <c r="E78" i="101"/>
  <c r="B78" i="101" a="1"/>
  <c r="B78" i="101" s="1"/>
  <c r="A79" i="101"/>
  <c r="C77" i="97"/>
  <c r="D77" i="97"/>
  <c r="E78" i="102"/>
  <c r="B78" i="102"/>
  <c r="A79" i="102"/>
  <c r="D78" i="97" l="1"/>
  <c r="C78" i="97"/>
  <c r="B79" i="100" a="1"/>
  <c r="B79" i="100" s="1"/>
  <c r="E79" i="100" s="1"/>
  <c r="A80" i="100"/>
  <c r="F78" i="97"/>
  <c r="G78" i="97"/>
  <c r="H78" i="97"/>
  <c r="E79" i="102"/>
  <c r="B79" i="102"/>
  <c r="A80" i="102"/>
  <c r="E79" i="97"/>
  <c r="B79" i="97"/>
  <c r="A80" i="97"/>
  <c r="G78" i="99"/>
  <c r="H78" i="99"/>
  <c r="F78" i="99"/>
  <c r="C78" i="102"/>
  <c r="F78" i="102"/>
  <c r="H78" i="102"/>
  <c r="G78" i="102"/>
  <c r="D78" i="99"/>
  <c r="C78" i="99"/>
  <c r="B79" i="99"/>
  <c r="E79" i="99"/>
  <c r="A80" i="99"/>
  <c r="E79" i="101"/>
  <c r="B79" i="101" a="1"/>
  <c r="B79" i="101" s="1"/>
  <c r="A80" i="101"/>
  <c r="F78" i="100"/>
  <c r="D78" i="100"/>
  <c r="C78" i="100"/>
  <c r="H78" i="100"/>
  <c r="C78" i="101"/>
  <c r="D78" i="101"/>
  <c r="G78" i="101"/>
  <c r="H78" i="101"/>
  <c r="F78" i="101"/>
  <c r="D79" i="97" l="1"/>
  <c r="C79" i="97"/>
  <c r="B80" i="100" a="1"/>
  <c r="B80" i="100" s="1"/>
  <c r="A81" i="100"/>
  <c r="C79" i="100"/>
  <c r="D79" i="100"/>
  <c r="F79" i="100"/>
  <c r="H79" i="100"/>
  <c r="G79" i="101"/>
  <c r="D79" i="101"/>
  <c r="F79" i="101"/>
  <c r="H79" i="101"/>
  <c r="C79" i="101"/>
  <c r="E80" i="101"/>
  <c r="A81" i="101"/>
  <c r="B80" i="101" a="1"/>
  <c r="B80" i="101" s="1"/>
  <c r="E80" i="102"/>
  <c r="B80" i="102"/>
  <c r="A81" i="102"/>
  <c r="G79" i="97"/>
  <c r="F79" i="97"/>
  <c r="H79" i="97"/>
  <c r="E80" i="99"/>
  <c r="B80" i="99"/>
  <c r="A81" i="99"/>
  <c r="E80" i="97"/>
  <c r="A81" i="97"/>
  <c r="B80" i="97"/>
  <c r="G79" i="99"/>
  <c r="H79" i="99"/>
  <c r="F79" i="99"/>
  <c r="G79" i="102"/>
  <c r="H79" i="102"/>
  <c r="C79" i="102"/>
  <c r="F79" i="102"/>
  <c r="D79" i="99"/>
  <c r="C79" i="99"/>
  <c r="E81" i="101" l="1"/>
  <c r="A82" i="101"/>
  <c r="B81" i="101" a="1"/>
  <c r="B81" i="101" s="1"/>
  <c r="C80" i="97"/>
  <c r="D80" i="97"/>
  <c r="B81" i="97"/>
  <c r="E81" i="97"/>
  <c r="A82" i="97"/>
  <c r="B81" i="100" a="1"/>
  <c r="B81" i="100" s="1"/>
  <c r="E81" i="100" s="1"/>
  <c r="A82" i="100"/>
  <c r="D80" i="101"/>
  <c r="F80" i="101"/>
  <c r="G80" i="101"/>
  <c r="H80" i="101"/>
  <c r="C80" i="101"/>
  <c r="G80" i="102"/>
  <c r="C80" i="102"/>
  <c r="H80" i="102"/>
  <c r="F80" i="102"/>
  <c r="H80" i="100"/>
  <c r="F80" i="100"/>
  <c r="D80" i="100"/>
  <c r="C80" i="100"/>
  <c r="G80" i="97"/>
  <c r="H80" i="97"/>
  <c r="F80" i="97"/>
  <c r="A82" i="99"/>
  <c r="E81" i="99"/>
  <c r="B81" i="99"/>
  <c r="F80" i="99"/>
  <c r="G80" i="99"/>
  <c r="H80" i="99"/>
  <c r="E80" i="100"/>
  <c r="C80" i="99"/>
  <c r="D80" i="99"/>
  <c r="E81" i="102"/>
  <c r="B81" i="102"/>
  <c r="A82" i="102"/>
  <c r="A83" i="100" l="1"/>
  <c r="B82" i="100" a="1"/>
  <c r="B82" i="100" s="1"/>
  <c r="E82" i="100" s="1"/>
  <c r="C81" i="100"/>
  <c r="D81" i="100"/>
  <c r="H81" i="100"/>
  <c r="F81" i="100"/>
  <c r="B82" i="102"/>
  <c r="E82" i="102"/>
  <c r="A83" i="102"/>
  <c r="F81" i="97"/>
  <c r="H81" i="97"/>
  <c r="G81" i="97"/>
  <c r="C81" i="97"/>
  <c r="D81" i="97"/>
  <c r="F81" i="102"/>
  <c r="C81" i="102"/>
  <c r="H81" i="102"/>
  <c r="G81" i="102"/>
  <c r="D81" i="99"/>
  <c r="C81" i="99"/>
  <c r="B82" i="99"/>
  <c r="E82" i="99"/>
  <c r="A83" i="99"/>
  <c r="G81" i="101"/>
  <c r="F81" i="101"/>
  <c r="C81" i="101"/>
  <c r="H81" i="101"/>
  <c r="D81" i="101"/>
  <c r="F81" i="99"/>
  <c r="H81" i="99"/>
  <c r="G81" i="99"/>
  <c r="A83" i="101"/>
  <c r="E82" i="101"/>
  <c r="B82" i="101" a="1"/>
  <c r="B82" i="101" s="1"/>
  <c r="A83" i="97"/>
  <c r="B82" i="97"/>
  <c r="E82" i="97"/>
  <c r="A84" i="99" l="1"/>
  <c r="B83" i="99"/>
  <c r="E83" i="99"/>
  <c r="E83" i="97"/>
  <c r="B83" i="97"/>
  <c r="A84" i="97"/>
  <c r="B83" i="100" a="1"/>
  <c r="B83" i="100" s="1"/>
  <c r="A84" i="100"/>
  <c r="C82" i="99"/>
  <c r="D82" i="99"/>
  <c r="C82" i="100"/>
  <c r="D82" i="100"/>
  <c r="F82" i="100"/>
  <c r="H82" i="100"/>
  <c r="F82" i="99"/>
  <c r="H82" i="99"/>
  <c r="G82" i="99"/>
  <c r="H82" i="97"/>
  <c r="G82" i="97"/>
  <c r="F82" i="97"/>
  <c r="B83" i="102"/>
  <c r="E83" i="102"/>
  <c r="A84" i="102"/>
  <c r="D82" i="97"/>
  <c r="C82" i="97"/>
  <c r="E83" i="101"/>
  <c r="B83" i="101" a="1"/>
  <c r="B83" i="101" s="1"/>
  <c r="A84" i="101"/>
  <c r="C82" i="102"/>
  <c r="G82" i="102"/>
  <c r="F82" i="102"/>
  <c r="H82" i="102"/>
  <c r="H82" i="101"/>
  <c r="G82" i="101"/>
  <c r="D82" i="101"/>
  <c r="F82" i="101"/>
  <c r="C82" i="101"/>
  <c r="D83" i="97" l="1"/>
  <c r="C83" i="97"/>
  <c r="G83" i="101"/>
  <c r="F83" i="101"/>
  <c r="D83" i="101"/>
  <c r="C83" i="101"/>
  <c r="H83" i="101"/>
  <c r="D83" i="100"/>
  <c r="C83" i="100"/>
  <c r="H83" i="100"/>
  <c r="F83" i="100"/>
  <c r="A85" i="97"/>
  <c r="E84" i="97"/>
  <c r="B84" i="97"/>
  <c r="A85" i="100"/>
  <c r="B84" i="100" a="1"/>
  <c r="B84" i="100" s="1"/>
  <c r="E84" i="100" s="1"/>
  <c r="A85" i="101"/>
  <c r="B84" i="101" a="1"/>
  <c r="B84" i="101" s="1"/>
  <c r="E84" i="101"/>
  <c r="G83" i="99"/>
  <c r="H83" i="99"/>
  <c r="F83" i="99"/>
  <c r="E83" i="100"/>
  <c r="H83" i="97"/>
  <c r="G83" i="97"/>
  <c r="F83" i="97"/>
  <c r="E84" i="102"/>
  <c r="A85" i="102"/>
  <c r="B84" i="102"/>
  <c r="D83" i="99"/>
  <c r="C83" i="99"/>
  <c r="C83" i="102"/>
  <c r="G83" i="102"/>
  <c r="F83" i="102"/>
  <c r="H83" i="102"/>
  <c r="E84" i="99"/>
  <c r="A85" i="99"/>
  <c r="B84" i="99"/>
  <c r="D84" i="99" l="1"/>
  <c r="C84" i="99"/>
  <c r="A86" i="100"/>
  <c r="B85" i="100" a="1"/>
  <c r="B85" i="100" s="1"/>
  <c r="E85" i="100" s="1"/>
  <c r="A86" i="99"/>
  <c r="E85" i="99"/>
  <c r="B85" i="99"/>
  <c r="C84" i="100"/>
  <c r="D84" i="100"/>
  <c r="H84" i="100"/>
  <c r="F84" i="100"/>
  <c r="E85" i="102"/>
  <c r="B85" i="102"/>
  <c r="A86" i="102"/>
  <c r="H84" i="99"/>
  <c r="F84" i="99"/>
  <c r="G84" i="99"/>
  <c r="H84" i="102"/>
  <c r="C84" i="102"/>
  <c r="G84" i="102"/>
  <c r="F84" i="102"/>
  <c r="D84" i="97"/>
  <c r="C84" i="97"/>
  <c r="F84" i="97"/>
  <c r="G84" i="97"/>
  <c r="H84" i="97"/>
  <c r="B85" i="97"/>
  <c r="E85" i="97"/>
  <c r="A86" i="97"/>
  <c r="D84" i="101"/>
  <c r="H84" i="101"/>
  <c r="G84" i="101"/>
  <c r="C84" i="101"/>
  <c r="F84" i="101"/>
  <c r="E85" i="101"/>
  <c r="B85" i="101" a="1"/>
  <c r="B85" i="101" s="1"/>
  <c r="A86" i="101"/>
  <c r="H85" i="99" l="1"/>
  <c r="F85" i="99"/>
  <c r="G85" i="99"/>
  <c r="H85" i="101"/>
  <c r="F85" i="101"/>
  <c r="D85" i="101"/>
  <c r="G85" i="101"/>
  <c r="C85" i="101"/>
  <c r="C85" i="97"/>
  <c r="D85" i="97"/>
  <c r="E86" i="101"/>
  <c r="A87" i="101"/>
  <c r="B86" i="101" a="1"/>
  <c r="B86" i="101" s="1"/>
  <c r="B86" i="99"/>
  <c r="A87" i="99"/>
  <c r="E86" i="99"/>
  <c r="D85" i="99"/>
  <c r="C85" i="99"/>
  <c r="E86" i="97"/>
  <c r="A87" i="97"/>
  <c r="B86" i="97"/>
  <c r="F85" i="102"/>
  <c r="H85" i="102"/>
  <c r="C85" i="102"/>
  <c r="G85" i="102"/>
  <c r="D85" i="100"/>
  <c r="C85" i="100"/>
  <c r="H85" i="100"/>
  <c r="F85" i="100"/>
  <c r="B86" i="100" a="1"/>
  <c r="B86" i="100" s="1"/>
  <c r="E86" i="100" s="1"/>
  <c r="A87" i="100"/>
  <c r="B86" i="102"/>
  <c r="E86" i="102"/>
  <c r="A87" i="102"/>
  <c r="H85" i="97"/>
  <c r="F85" i="97"/>
  <c r="G85" i="97"/>
  <c r="F86" i="102" l="1"/>
  <c r="G86" i="102"/>
  <c r="H86" i="102"/>
  <c r="C86" i="102"/>
  <c r="D86" i="97"/>
  <c r="C86" i="97"/>
  <c r="A88" i="97"/>
  <c r="B87" i="97"/>
  <c r="E87" i="97"/>
  <c r="H86" i="97"/>
  <c r="G86" i="97"/>
  <c r="F86" i="97"/>
  <c r="A88" i="102"/>
  <c r="B87" i="102"/>
  <c r="E87" i="102"/>
  <c r="B87" i="100" a="1"/>
  <c r="B87" i="100" s="1"/>
  <c r="E87" i="100"/>
  <c r="A88" i="100"/>
  <c r="H86" i="99"/>
  <c r="F86" i="99"/>
  <c r="G86" i="99"/>
  <c r="F86" i="100"/>
  <c r="D86" i="100"/>
  <c r="H86" i="100"/>
  <c r="C86" i="100"/>
  <c r="D86" i="99"/>
  <c r="C86" i="99"/>
  <c r="F86" i="101"/>
  <c r="H86" i="101"/>
  <c r="D86" i="101"/>
  <c r="G86" i="101"/>
  <c r="C86" i="101"/>
  <c r="E87" i="99"/>
  <c r="A88" i="99"/>
  <c r="B87" i="99"/>
  <c r="E87" i="101"/>
  <c r="B87" i="101" a="1"/>
  <c r="B87" i="101" s="1"/>
  <c r="A88" i="101"/>
  <c r="D87" i="99" l="1"/>
  <c r="C87" i="99"/>
  <c r="H87" i="97"/>
  <c r="G87" i="97"/>
  <c r="F87" i="97"/>
  <c r="E88" i="101"/>
  <c r="A89" i="101"/>
  <c r="B88" i="101" a="1"/>
  <c r="B88" i="101" s="1"/>
  <c r="G87" i="99"/>
  <c r="F87" i="99"/>
  <c r="H87" i="99"/>
  <c r="C87" i="102"/>
  <c r="G87" i="102"/>
  <c r="F87" i="102"/>
  <c r="H87" i="102"/>
  <c r="B88" i="97"/>
  <c r="E88" i="97"/>
  <c r="A89" i="97"/>
  <c r="B88" i="100" a="1"/>
  <c r="B88" i="100" s="1"/>
  <c r="E88" i="100" s="1"/>
  <c r="A89" i="100"/>
  <c r="C87" i="100"/>
  <c r="D87" i="100"/>
  <c r="F87" i="100"/>
  <c r="H87" i="100"/>
  <c r="B88" i="99"/>
  <c r="A89" i="99"/>
  <c r="E88" i="99"/>
  <c r="H87" i="101"/>
  <c r="F87" i="101"/>
  <c r="G87" i="101"/>
  <c r="C87" i="101"/>
  <c r="D87" i="101"/>
  <c r="C87" i="97"/>
  <c r="D87" i="97"/>
  <c r="A89" i="102"/>
  <c r="B88" i="102"/>
  <c r="E88" i="102"/>
  <c r="B89" i="101" l="1" a="1"/>
  <c r="B89" i="101" s="1"/>
  <c r="E89" i="101"/>
  <c r="A90" i="101"/>
  <c r="F88" i="102"/>
  <c r="G88" i="102"/>
  <c r="C88" i="102"/>
  <c r="H88" i="102"/>
  <c r="A90" i="99"/>
  <c r="B89" i="99"/>
  <c r="E89" i="99"/>
  <c r="A90" i="100"/>
  <c r="B89" i="100" a="1"/>
  <c r="B89" i="100" s="1"/>
  <c r="E89" i="100" s="1"/>
  <c r="E89" i="97"/>
  <c r="B89" i="97"/>
  <c r="A90" i="97"/>
  <c r="D88" i="101"/>
  <c r="C88" i="101"/>
  <c r="F88" i="101"/>
  <c r="G88" i="101"/>
  <c r="H88" i="101"/>
  <c r="G88" i="99"/>
  <c r="H88" i="99"/>
  <c r="F88" i="99"/>
  <c r="D88" i="100"/>
  <c r="H88" i="100"/>
  <c r="C88" i="100"/>
  <c r="F88" i="100"/>
  <c r="F88" i="97"/>
  <c r="H88" i="97"/>
  <c r="G88" i="97"/>
  <c r="A90" i="102"/>
  <c r="B89" i="102"/>
  <c r="E89" i="102"/>
  <c r="D88" i="97"/>
  <c r="C88" i="97"/>
  <c r="C88" i="99"/>
  <c r="D88" i="99"/>
  <c r="F89" i="99" l="1"/>
  <c r="G89" i="99"/>
  <c r="H89" i="99"/>
  <c r="F89" i="100"/>
  <c r="H89" i="100"/>
  <c r="D89" i="100"/>
  <c r="C89" i="100"/>
  <c r="C89" i="99"/>
  <c r="D89" i="99"/>
  <c r="A91" i="99"/>
  <c r="B90" i="99"/>
  <c r="E90" i="99"/>
  <c r="E90" i="97"/>
  <c r="B90" i="97"/>
  <c r="A91" i="97"/>
  <c r="B90" i="102"/>
  <c r="A91" i="102"/>
  <c r="E90" i="102"/>
  <c r="B90" i="101" a="1"/>
  <c r="B90" i="101" s="1"/>
  <c r="A91" i="101"/>
  <c r="E90" i="101"/>
  <c r="F89" i="97"/>
  <c r="H89" i="97"/>
  <c r="G89" i="97"/>
  <c r="D89" i="101"/>
  <c r="H89" i="101"/>
  <c r="C89" i="101"/>
  <c r="F89" i="101"/>
  <c r="G89" i="101"/>
  <c r="A91" i="100"/>
  <c r="B90" i="100" a="1"/>
  <c r="B90" i="100" s="1"/>
  <c r="C89" i="97"/>
  <c r="D89" i="97"/>
  <c r="F89" i="102"/>
  <c r="C89" i="102"/>
  <c r="H89" i="102"/>
  <c r="G89" i="102"/>
  <c r="C90" i="99" l="1"/>
  <c r="D90" i="99"/>
  <c r="E91" i="101"/>
  <c r="B91" i="101" a="1"/>
  <c r="B91" i="101" s="1"/>
  <c r="A92" i="101"/>
  <c r="F90" i="100"/>
  <c r="H90" i="100"/>
  <c r="D90" i="100"/>
  <c r="C90" i="100"/>
  <c r="A92" i="102"/>
  <c r="B91" i="102"/>
  <c r="E91" i="102"/>
  <c r="G90" i="102"/>
  <c r="C90" i="102"/>
  <c r="F90" i="102"/>
  <c r="H90" i="102"/>
  <c r="A92" i="100"/>
  <c r="B91" i="100" a="1"/>
  <c r="B91" i="100" s="1"/>
  <c r="B91" i="99"/>
  <c r="E91" i="99"/>
  <c r="A92" i="99"/>
  <c r="E90" i="100"/>
  <c r="E91" i="97"/>
  <c r="A92" i="97"/>
  <c r="B91" i="97"/>
  <c r="C90" i="97"/>
  <c r="D90" i="97"/>
  <c r="G90" i="97"/>
  <c r="F90" i="97"/>
  <c r="H90" i="97"/>
  <c r="C90" i="101"/>
  <c r="H90" i="101"/>
  <c r="F90" i="101"/>
  <c r="D90" i="101"/>
  <c r="G90" i="101"/>
  <c r="G90" i="99"/>
  <c r="H90" i="99"/>
  <c r="F90" i="99"/>
  <c r="C91" i="100" l="1"/>
  <c r="D91" i="100"/>
  <c r="F91" i="100"/>
  <c r="H91" i="100"/>
  <c r="E91" i="100"/>
  <c r="B92" i="100" a="1"/>
  <c r="B92" i="100" s="1"/>
  <c r="E92" i="100" s="1"/>
  <c r="A93" i="100"/>
  <c r="B92" i="97"/>
  <c r="E92" i="97"/>
  <c r="A93" i="97"/>
  <c r="F91" i="97"/>
  <c r="H91" i="97"/>
  <c r="G91" i="97"/>
  <c r="C91" i="97"/>
  <c r="D91" i="97"/>
  <c r="G91" i="99"/>
  <c r="F91" i="99"/>
  <c r="H91" i="99"/>
  <c r="E92" i="99"/>
  <c r="A93" i="99"/>
  <c r="B92" i="99"/>
  <c r="B92" i="101" a="1"/>
  <c r="B92" i="101" s="1"/>
  <c r="A93" i="101"/>
  <c r="E92" i="101"/>
  <c r="H91" i="102"/>
  <c r="F91" i="102"/>
  <c r="G91" i="102"/>
  <c r="C91" i="102"/>
  <c r="B92" i="102"/>
  <c r="A93" i="102"/>
  <c r="E92" i="102"/>
  <c r="D91" i="101"/>
  <c r="G91" i="101"/>
  <c r="H91" i="101"/>
  <c r="C91" i="101"/>
  <c r="F91" i="101"/>
  <c r="D91" i="99"/>
  <c r="C91" i="99"/>
  <c r="A94" i="101" l="1"/>
  <c r="E93" i="101"/>
  <c r="B93" i="101" a="1"/>
  <c r="B93" i="101" s="1"/>
  <c r="E93" i="97"/>
  <c r="B93" i="97"/>
  <c r="A94" i="97"/>
  <c r="B93" i="99"/>
  <c r="E93" i="99"/>
  <c r="A94" i="99"/>
  <c r="F92" i="100"/>
  <c r="C92" i="100"/>
  <c r="D92" i="100"/>
  <c r="H92" i="100"/>
  <c r="G92" i="99"/>
  <c r="H92" i="99"/>
  <c r="F92" i="99"/>
  <c r="G92" i="97"/>
  <c r="H92" i="97"/>
  <c r="F92" i="97"/>
  <c r="D92" i="101"/>
  <c r="H92" i="101"/>
  <c r="G92" i="101"/>
  <c r="F92" i="101"/>
  <c r="C92" i="101"/>
  <c r="B93" i="100" a="1"/>
  <c r="B93" i="100" s="1"/>
  <c r="A94" i="100"/>
  <c r="D92" i="99"/>
  <c r="C92" i="99"/>
  <c r="D92" i="97"/>
  <c r="C92" i="97"/>
  <c r="C92" i="102"/>
  <c r="F92" i="102"/>
  <c r="H92" i="102"/>
  <c r="G92" i="102"/>
  <c r="A94" i="102"/>
  <c r="E93" i="102"/>
  <c r="B93" i="102"/>
  <c r="H93" i="102" l="1"/>
  <c r="C93" i="102"/>
  <c r="G93" i="102"/>
  <c r="F93" i="102"/>
  <c r="D93" i="99"/>
  <c r="C93" i="99"/>
  <c r="A95" i="102"/>
  <c r="E94" i="102"/>
  <c r="B94" i="102"/>
  <c r="B94" i="97"/>
  <c r="E94" i="97"/>
  <c r="A95" i="97"/>
  <c r="C93" i="97"/>
  <c r="D93" i="97"/>
  <c r="E94" i="99"/>
  <c r="B94" i="99"/>
  <c r="A95" i="99"/>
  <c r="B94" i="100" a="1"/>
  <c r="B94" i="100" s="1"/>
  <c r="A95" i="100"/>
  <c r="F93" i="100"/>
  <c r="C93" i="100"/>
  <c r="D93" i="100"/>
  <c r="H93" i="100"/>
  <c r="G93" i="99"/>
  <c r="F93" i="99"/>
  <c r="H93" i="99"/>
  <c r="E93" i="100"/>
  <c r="H93" i="97"/>
  <c r="F93" i="97"/>
  <c r="G93" i="97"/>
  <c r="H93" i="101"/>
  <c r="F93" i="101"/>
  <c r="G93" i="101"/>
  <c r="C93" i="101"/>
  <c r="D93" i="101"/>
  <c r="E94" i="101"/>
  <c r="B94" i="101" a="1"/>
  <c r="B94" i="101" s="1"/>
  <c r="A95" i="101"/>
  <c r="B95" i="102" l="1"/>
  <c r="E95" i="102"/>
  <c r="A96" i="102"/>
  <c r="C94" i="101"/>
  <c r="G94" i="101"/>
  <c r="H94" i="101"/>
  <c r="F94" i="101"/>
  <c r="D94" i="101"/>
  <c r="B95" i="100" a="1"/>
  <c r="B95" i="100" s="1"/>
  <c r="E95" i="100" s="1"/>
  <c r="A96" i="100"/>
  <c r="E95" i="99"/>
  <c r="B95" i="99"/>
  <c r="A96" i="99"/>
  <c r="C94" i="99"/>
  <c r="D94" i="99"/>
  <c r="H94" i="100"/>
  <c r="F94" i="100"/>
  <c r="D94" i="100"/>
  <c r="C94" i="100"/>
  <c r="H94" i="99"/>
  <c r="F94" i="99"/>
  <c r="G94" i="99"/>
  <c r="E94" i="100"/>
  <c r="A96" i="97"/>
  <c r="B95" i="97"/>
  <c r="E95" i="97"/>
  <c r="D94" i="97"/>
  <c r="C94" i="97"/>
  <c r="F94" i="102"/>
  <c r="H94" i="102"/>
  <c r="G94" i="102"/>
  <c r="C94" i="102"/>
  <c r="F94" i="97"/>
  <c r="H94" i="97"/>
  <c r="G94" i="97"/>
  <c r="E95" i="101"/>
  <c r="A96" i="101"/>
  <c r="B95" i="101" a="1"/>
  <c r="B95" i="101" s="1"/>
  <c r="E96" i="101" l="1"/>
  <c r="B96" i="101" a="1"/>
  <c r="B96" i="101" s="1"/>
  <c r="A97" i="101"/>
  <c r="F95" i="99"/>
  <c r="G95" i="99"/>
  <c r="H95" i="99"/>
  <c r="C95" i="101"/>
  <c r="H95" i="101"/>
  <c r="D95" i="101"/>
  <c r="F95" i="101"/>
  <c r="G95" i="101"/>
  <c r="B96" i="100" a="1"/>
  <c r="B96" i="100" s="1"/>
  <c r="A97" i="100"/>
  <c r="G95" i="97"/>
  <c r="H95" i="97"/>
  <c r="F95" i="97"/>
  <c r="C95" i="97"/>
  <c r="D95" i="97"/>
  <c r="F95" i="100"/>
  <c r="C95" i="100"/>
  <c r="D95" i="100"/>
  <c r="H95" i="100"/>
  <c r="B96" i="97"/>
  <c r="A97" i="97"/>
  <c r="E96" i="97"/>
  <c r="A97" i="99"/>
  <c r="B96" i="99"/>
  <c r="E96" i="99"/>
  <c r="A97" i="102"/>
  <c r="E96" i="102"/>
  <c r="B96" i="102"/>
  <c r="C95" i="99"/>
  <c r="D95" i="99"/>
  <c r="F95" i="102"/>
  <c r="H95" i="102"/>
  <c r="G95" i="102"/>
  <c r="C95" i="102"/>
  <c r="E97" i="101" l="1"/>
  <c r="B97" i="101" a="1"/>
  <c r="B97" i="101" s="1"/>
  <c r="A98" i="101"/>
  <c r="F96" i="100"/>
  <c r="H96" i="100"/>
  <c r="C96" i="100"/>
  <c r="D96" i="100"/>
  <c r="C96" i="99"/>
  <c r="D96" i="99"/>
  <c r="G96" i="102"/>
  <c r="H96" i="102"/>
  <c r="C96" i="102"/>
  <c r="F96" i="102"/>
  <c r="E97" i="102"/>
  <c r="A98" i="102"/>
  <c r="B97" i="102"/>
  <c r="B97" i="100" a="1"/>
  <c r="B97" i="100" s="1"/>
  <c r="A98" i="100"/>
  <c r="H96" i="99"/>
  <c r="G96" i="99"/>
  <c r="F96" i="99"/>
  <c r="F96" i="97"/>
  <c r="H96" i="97"/>
  <c r="G96" i="97"/>
  <c r="B97" i="97"/>
  <c r="E97" i="97"/>
  <c r="A98" i="97"/>
  <c r="G96" i="101"/>
  <c r="C96" i="101"/>
  <c r="H96" i="101"/>
  <c r="D96" i="101"/>
  <c r="F96" i="101"/>
  <c r="E96" i="100"/>
  <c r="A98" i="99"/>
  <c r="B97" i="99"/>
  <c r="E97" i="99"/>
  <c r="D96" i="97"/>
  <c r="C96" i="97"/>
  <c r="G97" i="102" l="1"/>
  <c r="C97" i="102"/>
  <c r="F97" i="102"/>
  <c r="H97" i="102"/>
  <c r="A99" i="100"/>
  <c r="B98" i="100" a="1"/>
  <c r="B98" i="100" s="1"/>
  <c r="B98" i="102"/>
  <c r="E98" i="102"/>
  <c r="A99" i="102"/>
  <c r="B98" i="97"/>
  <c r="E98" i="97"/>
  <c r="A99" i="97"/>
  <c r="G97" i="97"/>
  <c r="H97" i="97"/>
  <c r="F97" i="97"/>
  <c r="D97" i="100"/>
  <c r="C97" i="100"/>
  <c r="H97" i="100"/>
  <c r="F97" i="100"/>
  <c r="C97" i="97"/>
  <c r="D97" i="97"/>
  <c r="E97" i="100"/>
  <c r="B98" i="101" a="1"/>
  <c r="B98" i="101" s="1"/>
  <c r="E98" i="101"/>
  <c r="A99" i="101"/>
  <c r="H97" i="101"/>
  <c r="F97" i="101"/>
  <c r="C97" i="101"/>
  <c r="G97" i="101"/>
  <c r="D97" i="101"/>
  <c r="D97" i="99"/>
  <c r="C97" i="99"/>
  <c r="A99" i="99"/>
  <c r="E98" i="99"/>
  <c r="B98" i="99"/>
  <c r="H97" i="99"/>
  <c r="G97" i="99"/>
  <c r="F97" i="99"/>
  <c r="A100" i="102" l="1"/>
  <c r="E99" i="102"/>
  <c r="B99" i="102"/>
  <c r="B99" i="100" a="1"/>
  <c r="B99" i="100" s="1"/>
  <c r="A100" i="100"/>
  <c r="D98" i="100"/>
  <c r="C98" i="100"/>
  <c r="H98" i="100"/>
  <c r="F98" i="100"/>
  <c r="H98" i="97"/>
  <c r="G98" i="97"/>
  <c r="F98" i="97"/>
  <c r="D98" i="97"/>
  <c r="C98" i="97"/>
  <c r="F98" i="99"/>
  <c r="G98" i="99"/>
  <c r="H98" i="99"/>
  <c r="B99" i="97"/>
  <c r="E99" i="97"/>
  <c r="A100" i="97"/>
  <c r="C98" i="102"/>
  <c r="H98" i="102"/>
  <c r="G98" i="102"/>
  <c r="F98" i="102"/>
  <c r="E98" i="100"/>
  <c r="H98" i="101"/>
  <c r="D98" i="101"/>
  <c r="C98" i="101"/>
  <c r="G98" i="101"/>
  <c r="F98" i="101"/>
  <c r="C98" i="99"/>
  <c r="D98" i="99"/>
  <c r="B99" i="101" a="1"/>
  <c r="B99" i="101" s="1"/>
  <c r="E99" i="101"/>
  <c r="A100" i="101"/>
  <c r="A100" i="99"/>
  <c r="B99" i="99"/>
  <c r="E99" i="99"/>
  <c r="F99" i="100" l="1"/>
  <c r="H99" i="100"/>
  <c r="C99" i="100"/>
  <c r="D99" i="100"/>
  <c r="C99" i="97"/>
  <c r="D99" i="97"/>
  <c r="E99" i="100"/>
  <c r="H99" i="99"/>
  <c r="G99" i="99"/>
  <c r="F99" i="99"/>
  <c r="A101" i="102"/>
  <c r="B100" i="102"/>
  <c r="E100" i="102"/>
  <c r="A101" i="99"/>
  <c r="B100" i="99"/>
  <c r="E100" i="99"/>
  <c r="B100" i="101" a="1"/>
  <c r="B100" i="101" s="1"/>
  <c r="E100" i="101"/>
  <c r="A101" i="101"/>
  <c r="F99" i="101"/>
  <c r="C99" i="101"/>
  <c r="H99" i="101"/>
  <c r="D99" i="101"/>
  <c r="G99" i="101"/>
  <c r="H99" i="102"/>
  <c r="F99" i="102"/>
  <c r="G99" i="102"/>
  <c r="C99" i="102"/>
  <c r="F99" i="97"/>
  <c r="H99" i="97"/>
  <c r="G99" i="97"/>
  <c r="D99" i="99"/>
  <c r="C99" i="99"/>
  <c r="B100" i="100" a="1"/>
  <c r="B100" i="100" s="1"/>
  <c r="E100" i="100" s="1"/>
  <c r="A101" i="100"/>
  <c r="E100" i="97"/>
  <c r="B100" i="97"/>
  <c r="A101" i="97"/>
  <c r="E101" i="101" l="1"/>
  <c r="A102" i="101"/>
  <c r="B101" i="101" a="1"/>
  <c r="B101" i="101" s="1"/>
  <c r="C100" i="101"/>
  <c r="F100" i="101"/>
  <c r="D100" i="101"/>
  <c r="G100" i="101"/>
  <c r="H100" i="101"/>
  <c r="A102" i="99"/>
  <c r="E101" i="99"/>
  <c r="B101" i="99"/>
  <c r="H100" i="99"/>
  <c r="F100" i="99"/>
  <c r="G100" i="99"/>
  <c r="D100" i="99"/>
  <c r="C100" i="99"/>
  <c r="C100" i="100"/>
  <c r="D100" i="100"/>
  <c r="H100" i="100"/>
  <c r="F100" i="100"/>
  <c r="F100" i="102"/>
  <c r="G100" i="102"/>
  <c r="H100" i="102"/>
  <c r="C100" i="102"/>
  <c r="A102" i="100"/>
  <c r="B101" i="100" a="1"/>
  <c r="B101" i="100" s="1"/>
  <c r="E101" i="100" s="1"/>
  <c r="A102" i="102"/>
  <c r="B101" i="102"/>
  <c r="E101" i="102"/>
  <c r="B101" i="97"/>
  <c r="A102" i="97"/>
  <c r="E101" i="97"/>
  <c r="D100" i="97"/>
  <c r="C100" i="97"/>
  <c r="H100" i="97"/>
  <c r="G100" i="97"/>
  <c r="F100" i="97"/>
  <c r="F101" i="102" l="1"/>
  <c r="C101" i="102"/>
  <c r="H101" i="102"/>
  <c r="G101" i="102"/>
  <c r="B102" i="102"/>
  <c r="A103" i="102"/>
  <c r="E102" i="102"/>
  <c r="D101" i="100"/>
  <c r="C101" i="100"/>
  <c r="H101" i="100"/>
  <c r="F101" i="100"/>
  <c r="F101" i="99"/>
  <c r="G101" i="99"/>
  <c r="H101" i="99"/>
  <c r="B102" i="99"/>
  <c r="E102" i="99"/>
  <c r="A103" i="99"/>
  <c r="D101" i="99"/>
  <c r="C101" i="99"/>
  <c r="H101" i="97"/>
  <c r="G101" i="97"/>
  <c r="F101" i="97"/>
  <c r="H101" i="101"/>
  <c r="F101" i="101"/>
  <c r="G101" i="101"/>
  <c r="D101" i="101"/>
  <c r="C101" i="101"/>
  <c r="A103" i="100"/>
  <c r="B102" i="100" a="1"/>
  <c r="B102" i="100" s="1"/>
  <c r="B102" i="97"/>
  <c r="A103" i="97"/>
  <c r="E102" i="97"/>
  <c r="B102" i="101" a="1"/>
  <c r="B102" i="101" s="1"/>
  <c r="E102" i="101"/>
  <c r="A103" i="101"/>
  <c r="C101" i="97"/>
  <c r="D101" i="97"/>
  <c r="D102" i="99" l="1"/>
  <c r="C102" i="99"/>
  <c r="H102" i="97"/>
  <c r="F102" i="97"/>
  <c r="G102" i="97"/>
  <c r="E103" i="102"/>
  <c r="B103" i="102"/>
  <c r="A104" i="102"/>
  <c r="G102" i="102"/>
  <c r="H102" i="102"/>
  <c r="F102" i="102"/>
  <c r="C102" i="102"/>
  <c r="D102" i="97"/>
  <c r="C102" i="97"/>
  <c r="F102" i="100"/>
  <c r="D102" i="100"/>
  <c r="H102" i="100"/>
  <c r="C102" i="100"/>
  <c r="E103" i="101"/>
  <c r="A104" i="101"/>
  <c r="B103" i="101" a="1"/>
  <c r="B103" i="101" s="1"/>
  <c r="D102" i="101"/>
  <c r="H102" i="101"/>
  <c r="C102" i="101"/>
  <c r="G102" i="101"/>
  <c r="F102" i="101"/>
  <c r="B103" i="97"/>
  <c r="A104" i="97"/>
  <c r="E103" i="97"/>
  <c r="E102" i="100"/>
  <c r="B103" i="100" a="1"/>
  <c r="B103" i="100" s="1"/>
  <c r="E103" i="100" s="1"/>
  <c r="A104" i="100"/>
  <c r="E103" i="99"/>
  <c r="A104" i="99"/>
  <c r="B103" i="99"/>
  <c r="H102" i="99"/>
  <c r="F102" i="99"/>
  <c r="G102" i="99"/>
  <c r="C103" i="99" l="1"/>
  <c r="D103" i="99"/>
  <c r="B104" i="99"/>
  <c r="A105" i="99"/>
  <c r="E104" i="99"/>
  <c r="G103" i="101"/>
  <c r="D103" i="101"/>
  <c r="C103" i="101"/>
  <c r="H103" i="101"/>
  <c r="F103" i="101"/>
  <c r="F103" i="99"/>
  <c r="G103" i="99"/>
  <c r="H103" i="99"/>
  <c r="H103" i="100"/>
  <c r="C103" i="100"/>
  <c r="D103" i="100"/>
  <c r="F103" i="100"/>
  <c r="E104" i="97"/>
  <c r="B104" i="97"/>
  <c r="A105" i="97"/>
  <c r="B104" i="101" a="1"/>
  <c r="B104" i="101" s="1"/>
  <c r="A105" i="101"/>
  <c r="E104" i="101"/>
  <c r="A105" i="102"/>
  <c r="B104" i="102"/>
  <c r="E104" i="102"/>
  <c r="D103" i="97"/>
  <c r="C103" i="97"/>
  <c r="F103" i="102"/>
  <c r="H103" i="102"/>
  <c r="G103" i="102"/>
  <c r="C103" i="102"/>
  <c r="G103" i="97"/>
  <c r="H103" i="97"/>
  <c r="F103" i="97"/>
  <c r="A105" i="100"/>
  <c r="B104" i="100" a="1"/>
  <c r="B104" i="100" s="1"/>
  <c r="C104" i="100" l="1"/>
  <c r="F104" i="100"/>
  <c r="D104" i="100"/>
  <c r="H104" i="100"/>
  <c r="B105" i="100" a="1"/>
  <c r="B105" i="100" s="1"/>
  <c r="E105" i="100" s="1"/>
  <c r="A106" i="100"/>
  <c r="E105" i="101"/>
  <c r="B105" i="101" a="1"/>
  <c r="B105" i="101" s="1"/>
  <c r="A106" i="101"/>
  <c r="B105" i="97"/>
  <c r="E105" i="97"/>
  <c r="A106" i="97"/>
  <c r="F104" i="99"/>
  <c r="H104" i="99"/>
  <c r="G104" i="99"/>
  <c r="C104" i="97"/>
  <c r="D104" i="97"/>
  <c r="B105" i="99"/>
  <c r="E105" i="99"/>
  <c r="A106" i="99"/>
  <c r="C104" i="102"/>
  <c r="G104" i="102"/>
  <c r="F104" i="102"/>
  <c r="H104" i="102"/>
  <c r="C104" i="99"/>
  <c r="D104" i="99"/>
  <c r="G104" i="97"/>
  <c r="H104" i="97"/>
  <c r="F104" i="97"/>
  <c r="A106" i="102"/>
  <c r="B105" i="102"/>
  <c r="E105" i="102"/>
  <c r="C104" i="101"/>
  <c r="G104" i="101"/>
  <c r="H104" i="101"/>
  <c r="D104" i="101"/>
  <c r="F104" i="101"/>
  <c r="E104" i="100"/>
  <c r="G105" i="97" l="1"/>
  <c r="H105" i="97"/>
  <c r="F105" i="97"/>
  <c r="F105" i="99"/>
  <c r="G105" i="99"/>
  <c r="H105" i="99"/>
  <c r="B106" i="100" a="1"/>
  <c r="B106" i="100" s="1"/>
  <c r="A107" i="100"/>
  <c r="C105" i="99"/>
  <c r="D105" i="99"/>
  <c r="B106" i="101" a="1"/>
  <c r="B106" i="101" s="1"/>
  <c r="E106" i="101"/>
  <c r="A107" i="101"/>
  <c r="C105" i="101"/>
  <c r="G105" i="101"/>
  <c r="F105" i="101"/>
  <c r="H105" i="101"/>
  <c r="D105" i="101"/>
  <c r="C105" i="97"/>
  <c r="D105" i="97"/>
  <c r="E106" i="97"/>
  <c r="B106" i="97"/>
  <c r="A107" i="97"/>
  <c r="H105" i="100"/>
  <c r="F105" i="100"/>
  <c r="D105" i="100"/>
  <c r="C105" i="100"/>
  <c r="B106" i="99"/>
  <c r="A107" i="99"/>
  <c r="E106" i="99"/>
  <c r="G105" i="102"/>
  <c r="C105" i="102"/>
  <c r="H105" i="102"/>
  <c r="F105" i="102"/>
  <c r="A107" i="102"/>
  <c r="B106" i="102"/>
  <c r="E106" i="102"/>
  <c r="H106" i="99" l="1"/>
  <c r="G106" i="99"/>
  <c r="F106" i="99"/>
  <c r="B107" i="99"/>
  <c r="E107" i="99"/>
  <c r="A108" i="99"/>
  <c r="A108" i="97"/>
  <c r="B107" i="97"/>
  <c r="E107" i="97"/>
  <c r="E107" i="101"/>
  <c r="B107" i="101" a="1"/>
  <c r="B107" i="101" s="1"/>
  <c r="A108" i="101"/>
  <c r="C106" i="97"/>
  <c r="D106" i="97"/>
  <c r="H106" i="97"/>
  <c r="G106" i="97"/>
  <c r="F106" i="97"/>
  <c r="C106" i="100"/>
  <c r="H106" i="100"/>
  <c r="D106" i="100"/>
  <c r="F106" i="100"/>
  <c r="E106" i="100"/>
  <c r="B107" i="100" a="1"/>
  <c r="B107" i="100" s="1"/>
  <c r="A108" i="100"/>
  <c r="C106" i="99"/>
  <c r="D106" i="99"/>
  <c r="G106" i="102"/>
  <c r="H106" i="102"/>
  <c r="C106" i="102"/>
  <c r="F106" i="102"/>
  <c r="E107" i="102"/>
  <c r="A108" i="102"/>
  <c r="B107" i="102"/>
  <c r="C106" i="101"/>
  <c r="H106" i="101"/>
  <c r="G106" i="101"/>
  <c r="F106" i="101"/>
  <c r="D106" i="101"/>
  <c r="C107" i="100" l="1"/>
  <c r="F107" i="100"/>
  <c r="H107" i="100"/>
  <c r="D107" i="100"/>
  <c r="A109" i="100"/>
  <c r="B108" i="100" a="1"/>
  <c r="B108" i="100" s="1"/>
  <c r="H107" i="97"/>
  <c r="G107" i="97"/>
  <c r="F107" i="97"/>
  <c r="A109" i="101"/>
  <c r="B108" i="101" a="1"/>
  <c r="B108" i="101" s="1"/>
  <c r="E108" i="101"/>
  <c r="E107" i="100"/>
  <c r="C107" i="101"/>
  <c r="F107" i="101"/>
  <c r="D107" i="101"/>
  <c r="G107" i="101"/>
  <c r="H107" i="101"/>
  <c r="H107" i="102"/>
  <c r="F107" i="102"/>
  <c r="G107" i="102"/>
  <c r="C107" i="102"/>
  <c r="A109" i="97"/>
  <c r="B108" i="97"/>
  <c r="E108" i="97"/>
  <c r="B108" i="102"/>
  <c r="A109" i="102"/>
  <c r="E108" i="102"/>
  <c r="E108" i="99"/>
  <c r="B108" i="99"/>
  <c r="A109" i="99"/>
  <c r="H107" i="99"/>
  <c r="G107" i="99"/>
  <c r="F107" i="99"/>
  <c r="C107" i="99"/>
  <c r="D107" i="99"/>
  <c r="D107" i="97"/>
  <c r="C107" i="97"/>
  <c r="C108" i="100" l="1"/>
  <c r="D108" i="100"/>
  <c r="F108" i="100"/>
  <c r="H108" i="100"/>
  <c r="H108" i="97"/>
  <c r="F108" i="97"/>
  <c r="G108" i="97"/>
  <c r="H108" i="102"/>
  <c r="F108" i="102"/>
  <c r="G108" i="102"/>
  <c r="C108" i="102"/>
  <c r="A110" i="102"/>
  <c r="B109" i="102"/>
  <c r="E109" i="102"/>
  <c r="A110" i="99"/>
  <c r="B109" i="99"/>
  <c r="E109" i="99"/>
  <c r="D108" i="99"/>
  <c r="C108" i="99"/>
  <c r="A110" i="100"/>
  <c r="B109" i="100" a="1"/>
  <c r="B109" i="100" s="1"/>
  <c r="E109" i="100" s="1"/>
  <c r="H108" i="99"/>
  <c r="F108" i="99"/>
  <c r="G108" i="99"/>
  <c r="D108" i="101"/>
  <c r="G108" i="101"/>
  <c r="C108" i="101"/>
  <c r="H108" i="101"/>
  <c r="F108" i="101"/>
  <c r="C108" i="97"/>
  <c r="D108" i="97"/>
  <c r="A110" i="97"/>
  <c r="B109" i="97"/>
  <c r="E109" i="97"/>
  <c r="A110" i="101"/>
  <c r="B109" i="101" a="1"/>
  <c r="B109" i="101" s="1"/>
  <c r="E109" i="101"/>
  <c r="E108" i="100"/>
  <c r="H109" i="101" l="1"/>
  <c r="C109" i="101"/>
  <c r="G109" i="101"/>
  <c r="D109" i="101"/>
  <c r="F109" i="101"/>
  <c r="G109" i="99"/>
  <c r="H109" i="99"/>
  <c r="F109" i="99"/>
  <c r="A111" i="99"/>
  <c r="E110" i="99"/>
  <c r="B110" i="99"/>
  <c r="A111" i="101"/>
  <c r="E110" i="101"/>
  <c r="B110" i="101" a="1"/>
  <c r="B110" i="101" s="1"/>
  <c r="A111" i="97"/>
  <c r="B110" i="97"/>
  <c r="E110" i="97"/>
  <c r="C109" i="97"/>
  <c r="D109" i="97"/>
  <c r="C109" i="99"/>
  <c r="D109" i="99"/>
  <c r="H109" i="102"/>
  <c r="F109" i="102"/>
  <c r="G109" i="102"/>
  <c r="C109" i="102"/>
  <c r="C109" i="100"/>
  <c r="F109" i="100"/>
  <c r="D109" i="100"/>
  <c r="H109" i="100"/>
  <c r="E110" i="102"/>
  <c r="B110" i="102"/>
  <c r="A111" i="102"/>
  <c r="H109" i="97"/>
  <c r="G109" i="97"/>
  <c r="F109" i="97"/>
  <c r="B110" i="100" a="1"/>
  <c r="B110" i="100" s="1"/>
  <c r="E110" i="100" s="1"/>
  <c r="A111" i="100"/>
  <c r="C110" i="97" l="1"/>
  <c r="D110" i="97"/>
  <c r="F110" i="102"/>
  <c r="H110" i="102"/>
  <c r="G110" i="102"/>
  <c r="C110" i="102"/>
  <c r="B111" i="101" a="1"/>
  <c r="B111" i="101" s="1"/>
  <c r="E111" i="101"/>
  <c r="A112" i="101"/>
  <c r="A112" i="100"/>
  <c r="B111" i="100" a="1"/>
  <c r="B111" i="100" s="1"/>
  <c r="E111" i="100" s="1"/>
  <c r="B111" i="97"/>
  <c r="A112" i="97"/>
  <c r="E111" i="97"/>
  <c r="G110" i="101"/>
  <c r="H110" i="101"/>
  <c r="C110" i="101"/>
  <c r="D110" i="101"/>
  <c r="F110" i="101"/>
  <c r="H110" i="97"/>
  <c r="F110" i="97"/>
  <c r="G110" i="97"/>
  <c r="D110" i="99"/>
  <c r="C110" i="99"/>
  <c r="H110" i="100"/>
  <c r="F110" i="100"/>
  <c r="C110" i="100"/>
  <c r="D110" i="100"/>
  <c r="G110" i="99"/>
  <c r="F110" i="99"/>
  <c r="H110" i="99"/>
  <c r="E111" i="99"/>
  <c r="A112" i="99"/>
  <c r="B111" i="99"/>
  <c r="E111" i="102"/>
  <c r="A112" i="102"/>
  <c r="B111" i="102"/>
  <c r="C111" i="101" l="1"/>
  <c r="D111" i="101"/>
  <c r="G111" i="101"/>
  <c r="F111" i="101"/>
  <c r="H111" i="101"/>
  <c r="A113" i="99"/>
  <c r="E112" i="99"/>
  <c r="B112" i="99"/>
  <c r="B112" i="97"/>
  <c r="A113" i="97"/>
  <c r="E112" i="97"/>
  <c r="C111" i="97"/>
  <c r="D111" i="97"/>
  <c r="C111" i="99"/>
  <c r="D111" i="99"/>
  <c r="F111" i="102"/>
  <c r="G111" i="102"/>
  <c r="C111" i="102"/>
  <c r="H111" i="102"/>
  <c r="E112" i="102"/>
  <c r="B112" i="102"/>
  <c r="A113" i="102"/>
  <c r="H111" i="97"/>
  <c r="F111" i="97"/>
  <c r="G111" i="97"/>
  <c r="F111" i="99"/>
  <c r="H111" i="99"/>
  <c r="G111" i="99"/>
  <c r="H111" i="100"/>
  <c r="F111" i="100"/>
  <c r="D111" i="100"/>
  <c r="C111" i="100"/>
  <c r="B112" i="100" a="1"/>
  <c r="B112" i="100" s="1"/>
  <c r="E112" i="100" s="1"/>
  <c r="A113" i="100"/>
  <c r="B112" i="101" a="1"/>
  <c r="B112" i="101" s="1"/>
  <c r="E112" i="101"/>
  <c r="A113" i="101"/>
  <c r="B113" i="101" l="1" a="1"/>
  <c r="B113" i="101" s="1"/>
  <c r="A114" i="101"/>
  <c r="E113" i="101"/>
  <c r="D112" i="97"/>
  <c r="C112" i="97"/>
  <c r="G112" i="97"/>
  <c r="H112" i="97"/>
  <c r="F112" i="97"/>
  <c r="C112" i="99"/>
  <c r="D112" i="99"/>
  <c r="B113" i="97"/>
  <c r="A114" i="97"/>
  <c r="E113" i="97"/>
  <c r="F112" i="99"/>
  <c r="G112" i="99"/>
  <c r="H112" i="99"/>
  <c r="B113" i="100" a="1"/>
  <c r="B113" i="100" s="1"/>
  <c r="E113" i="100" s="1"/>
  <c r="A114" i="100"/>
  <c r="B113" i="99"/>
  <c r="A114" i="99"/>
  <c r="E113" i="99"/>
  <c r="H112" i="100"/>
  <c r="D112" i="100"/>
  <c r="C112" i="100"/>
  <c r="F112" i="100"/>
  <c r="E113" i="102"/>
  <c r="A114" i="102"/>
  <c r="B113" i="102"/>
  <c r="H112" i="102"/>
  <c r="G112" i="102"/>
  <c r="C112" i="102"/>
  <c r="F112" i="102"/>
  <c r="C112" i="101"/>
  <c r="H112" i="101"/>
  <c r="G112" i="101"/>
  <c r="D112" i="101"/>
  <c r="F112" i="101"/>
  <c r="C113" i="102" l="1"/>
  <c r="H113" i="102"/>
  <c r="F113" i="102"/>
  <c r="G113" i="102"/>
  <c r="E114" i="102"/>
  <c r="A115" i="102"/>
  <c r="B114" i="102"/>
  <c r="H113" i="97"/>
  <c r="G113" i="97"/>
  <c r="F113" i="97"/>
  <c r="E114" i="97"/>
  <c r="A115" i="97"/>
  <c r="B114" i="97"/>
  <c r="C113" i="97"/>
  <c r="D113" i="97"/>
  <c r="E114" i="101"/>
  <c r="B114" i="101" a="1"/>
  <c r="B114" i="101" s="1"/>
  <c r="A115" i="101"/>
  <c r="H113" i="101"/>
  <c r="G113" i="101"/>
  <c r="F113" i="101"/>
  <c r="C113" i="101"/>
  <c r="D113" i="101"/>
  <c r="H113" i="99"/>
  <c r="G113" i="99"/>
  <c r="F113" i="99"/>
  <c r="B114" i="99"/>
  <c r="E114" i="99"/>
  <c r="A115" i="99"/>
  <c r="C113" i="99"/>
  <c r="D113" i="99"/>
  <c r="A115" i="100"/>
  <c r="B114" i="100" a="1"/>
  <c r="B114" i="100" s="1"/>
  <c r="E114" i="100" s="1"/>
  <c r="C113" i="100"/>
  <c r="D113" i="100"/>
  <c r="F113" i="100"/>
  <c r="H113" i="100"/>
  <c r="D114" i="97" l="1"/>
  <c r="C114" i="97"/>
  <c r="B115" i="97"/>
  <c r="A116" i="97"/>
  <c r="E115" i="97"/>
  <c r="G114" i="97"/>
  <c r="H114" i="97"/>
  <c r="F114" i="97"/>
  <c r="D114" i="101"/>
  <c r="F114" i="101"/>
  <c r="G114" i="101"/>
  <c r="C114" i="101"/>
  <c r="H114" i="101"/>
  <c r="A116" i="100"/>
  <c r="B115" i="100" a="1"/>
  <c r="B115" i="100" s="1"/>
  <c r="E115" i="100" s="1"/>
  <c r="F114" i="102"/>
  <c r="H114" i="102"/>
  <c r="C114" i="102"/>
  <c r="G114" i="102"/>
  <c r="E115" i="101"/>
  <c r="B115" i="101" a="1"/>
  <c r="B115" i="101" s="1"/>
  <c r="A116" i="101"/>
  <c r="B115" i="99"/>
  <c r="E115" i="99"/>
  <c r="A116" i="99"/>
  <c r="E115" i="102"/>
  <c r="A116" i="102"/>
  <c r="B115" i="102"/>
  <c r="D114" i="99"/>
  <c r="C114" i="99"/>
  <c r="D114" i="100"/>
  <c r="H114" i="100"/>
  <c r="C114" i="100"/>
  <c r="F114" i="100"/>
  <c r="F114" i="99"/>
  <c r="H114" i="99"/>
  <c r="G114" i="99"/>
  <c r="G115" i="102" l="1"/>
  <c r="H115" i="102"/>
  <c r="F115" i="102"/>
  <c r="C115" i="102"/>
  <c r="B116" i="99"/>
  <c r="E116" i="99"/>
  <c r="A117" i="99"/>
  <c r="C115" i="99"/>
  <c r="D115" i="99"/>
  <c r="H115" i="97"/>
  <c r="F115" i="97"/>
  <c r="G115" i="97"/>
  <c r="A117" i="97"/>
  <c r="E116" i="97"/>
  <c r="B116" i="97"/>
  <c r="C115" i="97"/>
  <c r="D115" i="97"/>
  <c r="G115" i="99"/>
  <c r="H115" i="99"/>
  <c r="F115" i="99"/>
  <c r="D115" i="100"/>
  <c r="C115" i="100"/>
  <c r="H115" i="100"/>
  <c r="F115" i="100"/>
  <c r="B116" i="102"/>
  <c r="A117" i="102"/>
  <c r="E116" i="102"/>
  <c r="B116" i="100" a="1"/>
  <c r="B116" i="100" s="1"/>
  <c r="E116" i="100" s="1"/>
  <c r="A117" i="100"/>
  <c r="E116" i="101"/>
  <c r="A117" i="101"/>
  <c r="B116" i="101" a="1"/>
  <c r="B116" i="101" s="1"/>
  <c r="H115" i="101"/>
  <c r="D115" i="101"/>
  <c r="G115" i="101"/>
  <c r="F115" i="101"/>
  <c r="C115" i="101"/>
  <c r="H116" i="101" l="1"/>
  <c r="D116" i="101"/>
  <c r="F116" i="101"/>
  <c r="C116" i="101"/>
  <c r="G116" i="101"/>
  <c r="C116" i="97"/>
  <c r="D116" i="97"/>
  <c r="A118" i="101"/>
  <c r="E117" i="101"/>
  <c r="B117" i="101" a="1"/>
  <c r="B117" i="101" s="1"/>
  <c r="B117" i="97"/>
  <c r="A118" i="97"/>
  <c r="E117" i="97"/>
  <c r="G116" i="97"/>
  <c r="H116" i="97"/>
  <c r="F116" i="97"/>
  <c r="B117" i="99"/>
  <c r="A118" i="99"/>
  <c r="E117" i="99"/>
  <c r="H116" i="99"/>
  <c r="G116" i="99"/>
  <c r="F116" i="99"/>
  <c r="B117" i="102"/>
  <c r="E117" i="102"/>
  <c r="A118" i="102"/>
  <c r="C116" i="99"/>
  <c r="D116" i="99"/>
  <c r="F116" i="102"/>
  <c r="G116" i="102"/>
  <c r="H116" i="102"/>
  <c r="C116" i="102"/>
  <c r="A118" i="100"/>
  <c r="B117" i="100" a="1"/>
  <c r="B117" i="100" s="1"/>
  <c r="E117" i="100" s="1"/>
  <c r="F116" i="100"/>
  <c r="C116" i="100"/>
  <c r="D116" i="100"/>
  <c r="H116" i="100"/>
  <c r="B118" i="97" l="1"/>
  <c r="E118" i="97"/>
  <c r="A119" i="97"/>
  <c r="A119" i="102"/>
  <c r="E118" i="102"/>
  <c r="B118" i="102"/>
  <c r="G117" i="102"/>
  <c r="C117" i="102"/>
  <c r="F117" i="102"/>
  <c r="H117" i="102"/>
  <c r="D117" i="97"/>
  <c r="C117" i="97"/>
  <c r="D117" i="100"/>
  <c r="H117" i="100"/>
  <c r="F117" i="100"/>
  <c r="C117" i="100"/>
  <c r="A119" i="100"/>
  <c r="B118" i="100" a="1"/>
  <c r="B118" i="100" s="1"/>
  <c r="G117" i="99"/>
  <c r="F117" i="99"/>
  <c r="H117" i="99"/>
  <c r="F117" i="101"/>
  <c r="G117" i="101"/>
  <c r="C117" i="101"/>
  <c r="H117" i="101"/>
  <c r="D117" i="101"/>
  <c r="B118" i="99"/>
  <c r="E118" i="99"/>
  <c r="A119" i="99"/>
  <c r="F117" i="97"/>
  <c r="G117" i="97"/>
  <c r="H117" i="97"/>
  <c r="D117" i="99"/>
  <c r="C117" i="99"/>
  <c r="B118" i="101" a="1"/>
  <c r="B118" i="101" s="1"/>
  <c r="E118" i="101"/>
  <c r="A119" i="101"/>
  <c r="A120" i="102" l="1"/>
  <c r="B119" i="102"/>
  <c r="E119" i="102"/>
  <c r="H118" i="100"/>
  <c r="F118" i="100"/>
  <c r="C118" i="100"/>
  <c r="D118" i="100"/>
  <c r="C118" i="97"/>
  <c r="D118" i="97"/>
  <c r="G118" i="99"/>
  <c r="F118" i="99"/>
  <c r="H118" i="99"/>
  <c r="C118" i="102"/>
  <c r="H118" i="102"/>
  <c r="G118" i="102"/>
  <c r="F118" i="102"/>
  <c r="E118" i="100"/>
  <c r="E119" i="101"/>
  <c r="A120" i="101"/>
  <c r="B119" i="101" a="1"/>
  <c r="B119" i="101" s="1"/>
  <c r="C118" i="99"/>
  <c r="D118" i="99"/>
  <c r="A120" i="97"/>
  <c r="B119" i="97"/>
  <c r="E119" i="97"/>
  <c r="B119" i="99"/>
  <c r="A120" i="99"/>
  <c r="E119" i="99"/>
  <c r="C118" i="101"/>
  <c r="D118" i="101"/>
  <c r="H118" i="101"/>
  <c r="F118" i="101"/>
  <c r="G118" i="101"/>
  <c r="B119" i="100" a="1"/>
  <c r="B119" i="100" s="1"/>
  <c r="E119" i="100" s="1"/>
  <c r="A120" i="100"/>
  <c r="F118" i="97"/>
  <c r="G118" i="97"/>
  <c r="H118" i="97"/>
  <c r="A121" i="100" l="1"/>
  <c r="B120" i="100" a="1"/>
  <c r="B120" i="100" s="1"/>
  <c r="C119" i="97"/>
  <c r="D119" i="97"/>
  <c r="E120" i="101"/>
  <c r="B120" i="101" a="1"/>
  <c r="B120" i="101" s="1"/>
  <c r="A121" i="101"/>
  <c r="H119" i="100"/>
  <c r="C119" i="100"/>
  <c r="D119" i="100"/>
  <c r="F119" i="100"/>
  <c r="G119" i="97"/>
  <c r="H119" i="97"/>
  <c r="F119" i="97"/>
  <c r="H119" i="101"/>
  <c r="C119" i="101"/>
  <c r="F119" i="101"/>
  <c r="G119" i="101"/>
  <c r="D119" i="101"/>
  <c r="F119" i="99"/>
  <c r="H119" i="99"/>
  <c r="G119" i="99"/>
  <c r="A121" i="99"/>
  <c r="B120" i="99"/>
  <c r="E120" i="99"/>
  <c r="C119" i="99"/>
  <c r="D119" i="99"/>
  <c r="F119" i="102"/>
  <c r="H119" i="102"/>
  <c r="C119" i="102"/>
  <c r="G119" i="102"/>
  <c r="A121" i="97"/>
  <c r="B120" i="97"/>
  <c r="E120" i="97"/>
  <c r="A121" i="102"/>
  <c r="E120" i="102"/>
  <c r="B120" i="102"/>
  <c r="A122" i="102" l="1"/>
  <c r="B121" i="102"/>
  <c r="E121" i="102"/>
  <c r="D120" i="99"/>
  <c r="C120" i="99"/>
  <c r="H120" i="99"/>
  <c r="G120" i="99"/>
  <c r="F120" i="99"/>
  <c r="E121" i="99"/>
  <c r="B121" i="99"/>
  <c r="A122" i="99"/>
  <c r="E121" i="97"/>
  <c r="A122" i="97"/>
  <c r="B121" i="97"/>
  <c r="G120" i="97"/>
  <c r="H120" i="97"/>
  <c r="F120" i="97"/>
  <c r="C120" i="97"/>
  <c r="D120" i="97"/>
  <c r="F120" i="100"/>
  <c r="H120" i="100"/>
  <c r="C120" i="100"/>
  <c r="D120" i="100"/>
  <c r="A122" i="100"/>
  <c r="B121" i="100" a="1"/>
  <c r="B121" i="100" s="1"/>
  <c r="E121" i="100" s="1"/>
  <c r="A122" i="101"/>
  <c r="B121" i="101" a="1"/>
  <c r="B121" i="101" s="1"/>
  <c r="E121" i="101"/>
  <c r="E120" i="100"/>
  <c r="H120" i="102"/>
  <c r="C120" i="102"/>
  <c r="F120" i="102"/>
  <c r="G120" i="102"/>
  <c r="H120" i="101"/>
  <c r="D120" i="101"/>
  <c r="G120" i="101"/>
  <c r="C120" i="101"/>
  <c r="F120" i="101"/>
  <c r="B122" i="102" l="1"/>
  <c r="E122" i="102"/>
  <c r="A123" i="102"/>
  <c r="C121" i="102"/>
  <c r="G121" i="102"/>
  <c r="H121" i="102"/>
  <c r="F121" i="102"/>
  <c r="C121" i="97"/>
  <c r="D121" i="97"/>
  <c r="F121" i="97"/>
  <c r="G121" i="97"/>
  <c r="H121" i="97"/>
  <c r="A123" i="100"/>
  <c r="B122" i="100" a="1"/>
  <c r="B122" i="100" s="1"/>
  <c r="B122" i="99"/>
  <c r="E122" i="99"/>
  <c r="A123" i="99"/>
  <c r="G121" i="101"/>
  <c r="D121" i="101"/>
  <c r="H121" i="101"/>
  <c r="C121" i="101"/>
  <c r="F121" i="101"/>
  <c r="A123" i="101"/>
  <c r="B122" i="101" a="1"/>
  <c r="B122" i="101" s="1"/>
  <c r="E122" i="101"/>
  <c r="G121" i="99"/>
  <c r="F121" i="99"/>
  <c r="H121" i="99"/>
  <c r="C121" i="100"/>
  <c r="H121" i="100"/>
  <c r="F121" i="100"/>
  <c r="D121" i="100"/>
  <c r="E122" i="97"/>
  <c r="B122" i="97"/>
  <c r="A123" i="97"/>
  <c r="D121" i="99"/>
  <c r="C121" i="99"/>
  <c r="C122" i="99" l="1"/>
  <c r="D122" i="99"/>
  <c r="F122" i="97"/>
  <c r="G122" i="97"/>
  <c r="H122" i="97"/>
  <c r="C122" i="102"/>
  <c r="H122" i="102"/>
  <c r="F122" i="102"/>
  <c r="G122" i="102"/>
  <c r="F122" i="99"/>
  <c r="H122" i="99"/>
  <c r="G122" i="99"/>
  <c r="F122" i="101"/>
  <c r="C122" i="101"/>
  <c r="G122" i="101"/>
  <c r="D122" i="101"/>
  <c r="H122" i="101"/>
  <c r="B123" i="101" a="1"/>
  <c r="B123" i="101" s="1"/>
  <c r="E123" i="101"/>
  <c r="A124" i="101"/>
  <c r="H122" i="100"/>
  <c r="C122" i="100"/>
  <c r="D122" i="100"/>
  <c r="F122" i="100"/>
  <c r="A124" i="100"/>
  <c r="B123" i="100" a="1"/>
  <c r="B123" i="100" s="1"/>
  <c r="E123" i="100" s="1"/>
  <c r="A124" i="102"/>
  <c r="E123" i="102"/>
  <c r="B123" i="102"/>
  <c r="B123" i="99"/>
  <c r="E123" i="99"/>
  <c r="A124" i="99"/>
  <c r="B123" i="97"/>
  <c r="A124" i="97"/>
  <c r="E123" i="97"/>
  <c r="C122" i="97"/>
  <c r="D122" i="97"/>
  <c r="E122" i="100"/>
  <c r="E124" i="99" l="1"/>
  <c r="B124" i="99"/>
  <c r="A125" i="99"/>
  <c r="B124" i="102"/>
  <c r="E124" i="102"/>
  <c r="A125" i="102"/>
  <c r="D123" i="97"/>
  <c r="C123" i="97"/>
  <c r="F123" i="97"/>
  <c r="H123" i="97"/>
  <c r="G123" i="97"/>
  <c r="C123" i="99"/>
  <c r="D123" i="99"/>
  <c r="E124" i="97"/>
  <c r="B124" i="97"/>
  <c r="A125" i="97"/>
  <c r="F123" i="99"/>
  <c r="G123" i="99"/>
  <c r="H123" i="99"/>
  <c r="E124" i="101"/>
  <c r="B124" i="101" a="1"/>
  <c r="B124" i="101" s="1"/>
  <c r="A125" i="101"/>
  <c r="C123" i="102"/>
  <c r="F123" i="102"/>
  <c r="G123" i="102"/>
  <c r="H123" i="102"/>
  <c r="F123" i="100"/>
  <c r="C123" i="100"/>
  <c r="H123" i="100"/>
  <c r="D123" i="100"/>
  <c r="A125" i="100"/>
  <c r="B124" i="100" a="1"/>
  <c r="B124" i="100" s="1"/>
  <c r="E124" i="100" s="1"/>
  <c r="G123" i="101"/>
  <c r="F123" i="101"/>
  <c r="D123" i="101"/>
  <c r="H123" i="101"/>
  <c r="C123" i="101"/>
  <c r="B125" i="101" l="1" a="1"/>
  <c r="B125" i="101" s="1"/>
  <c r="A126" i="101"/>
  <c r="E125" i="101"/>
  <c r="H124" i="102"/>
  <c r="G124" i="102"/>
  <c r="C124" i="102"/>
  <c r="F124" i="102"/>
  <c r="G124" i="101"/>
  <c r="F124" i="101"/>
  <c r="H124" i="101"/>
  <c r="C124" i="101"/>
  <c r="D124" i="101"/>
  <c r="B125" i="100" a="1"/>
  <c r="B125" i="100" s="1"/>
  <c r="E125" i="100" s="1"/>
  <c r="A126" i="100"/>
  <c r="C124" i="100"/>
  <c r="D124" i="100"/>
  <c r="H124" i="100"/>
  <c r="F124" i="100"/>
  <c r="B125" i="97"/>
  <c r="E125" i="97"/>
  <c r="A126" i="97"/>
  <c r="H124" i="97"/>
  <c r="G124" i="97"/>
  <c r="F124" i="97"/>
  <c r="D124" i="97"/>
  <c r="C124" i="97"/>
  <c r="E125" i="102"/>
  <c r="B125" i="102"/>
  <c r="A126" i="102"/>
  <c r="B125" i="99"/>
  <c r="E125" i="99"/>
  <c r="A126" i="99"/>
  <c r="C124" i="99"/>
  <c r="D124" i="99"/>
  <c r="F124" i="99"/>
  <c r="G124" i="99"/>
  <c r="H124" i="99"/>
  <c r="F125" i="99" l="1"/>
  <c r="H125" i="99"/>
  <c r="G125" i="99"/>
  <c r="B126" i="102"/>
  <c r="E126" i="102"/>
  <c r="A127" i="102"/>
  <c r="C125" i="102"/>
  <c r="F125" i="102"/>
  <c r="H125" i="102"/>
  <c r="G125" i="102"/>
  <c r="B126" i="100" a="1"/>
  <c r="B126" i="100" s="1"/>
  <c r="A127" i="100"/>
  <c r="A127" i="97"/>
  <c r="B126" i="97"/>
  <c r="E126" i="97"/>
  <c r="A127" i="99"/>
  <c r="B126" i="99"/>
  <c r="E126" i="99"/>
  <c r="C125" i="99"/>
  <c r="D125" i="99"/>
  <c r="H125" i="100"/>
  <c r="F125" i="100"/>
  <c r="C125" i="100"/>
  <c r="D125" i="100"/>
  <c r="F125" i="97"/>
  <c r="H125" i="97"/>
  <c r="G125" i="97"/>
  <c r="E126" i="101"/>
  <c r="B126" i="101" a="1"/>
  <c r="B126" i="101" s="1"/>
  <c r="A127" i="101"/>
  <c r="C125" i="97"/>
  <c r="D125" i="97"/>
  <c r="D125" i="101"/>
  <c r="H125" i="101"/>
  <c r="F125" i="101"/>
  <c r="G125" i="101"/>
  <c r="C125" i="101"/>
  <c r="H126" i="100" l="1"/>
  <c r="D126" i="100"/>
  <c r="C126" i="100"/>
  <c r="F126" i="100"/>
  <c r="E126" i="100"/>
  <c r="B127" i="100" a="1"/>
  <c r="B127" i="100" s="1"/>
  <c r="E127" i="100" s="1"/>
  <c r="A128" i="100"/>
  <c r="G126" i="97"/>
  <c r="F126" i="97"/>
  <c r="H126" i="97"/>
  <c r="C126" i="99"/>
  <c r="D126" i="99"/>
  <c r="E127" i="99"/>
  <c r="B127" i="99"/>
  <c r="A128" i="99"/>
  <c r="G126" i="99"/>
  <c r="F126" i="99"/>
  <c r="H126" i="99"/>
  <c r="C126" i="97"/>
  <c r="D126" i="97"/>
  <c r="E127" i="102"/>
  <c r="A128" i="102"/>
  <c r="B127" i="102"/>
  <c r="B127" i="97"/>
  <c r="A128" i="97"/>
  <c r="E127" i="97"/>
  <c r="B127" i="101" a="1"/>
  <c r="B127" i="101" s="1"/>
  <c r="E127" i="101"/>
  <c r="A128" i="101"/>
  <c r="D126" i="101"/>
  <c r="C126" i="101"/>
  <c r="G126" i="101"/>
  <c r="F126" i="101"/>
  <c r="H126" i="101"/>
  <c r="H126" i="102"/>
  <c r="F126" i="102"/>
  <c r="C126" i="102"/>
  <c r="G126" i="102"/>
  <c r="H127" i="99" l="1"/>
  <c r="F127" i="99"/>
  <c r="G127" i="99"/>
  <c r="D127" i="99"/>
  <c r="C127" i="99"/>
  <c r="E128" i="101"/>
  <c r="B128" i="101" a="1"/>
  <c r="B128" i="101" s="1"/>
  <c r="A129" i="101"/>
  <c r="F127" i="101"/>
  <c r="H127" i="101"/>
  <c r="C127" i="101"/>
  <c r="D127" i="101"/>
  <c r="G127" i="101"/>
  <c r="D127" i="100"/>
  <c r="H127" i="100"/>
  <c r="C127" i="100"/>
  <c r="F127" i="100"/>
  <c r="B128" i="100" a="1"/>
  <c r="B128" i="100" s="1"/>
  <c r="E128" i="100" s="1"/>
  <c r="A129" i="100"/>
  <c r="B128" i="102"/>
  <c r="E128" i="102"/>
  <c r="A129" i="102"/>
  <c r="C127" i="102"/>
  <c r="H127" i="102"/>
  <c r="F127" i="102"/>
  <c r="G127" i="102"/>
  <c r="A129" i="99"/>
  <c r="E128" i="99"/>
  <c r="B128" i="99"/>
  <c r="C127" i="97"/>
  <c r="D127" i="97"/>
  <c r="G127" i="97"/>
  <c r="F127" i="97"/>
  <c r="H127" i="97"/>
  <c r="B128" i="97"/>
  <c r="E128" i="97"/>
  <c r="A129" i="97"/>
  <c r="D128" i="99" l="1"/>
  <c r="C128" i="99"/>
  <c r="H128" i="101"/>
  <c r="G128" i="101"/>
  <c r="C128" i="101"/>
  <c r="F128" i="101"/>
  <c r="D128" i="101"/>
  <c r="F128" i="99"/>
  <c r="H128" i="99"/>
  <c r="G128" i="99"/>
  <c r="E129" i="102"/>
  <c r="B129" i="102"/>
  <c r="A130" i="102"/>
  <c r="H128" i="100"/>
  <c r="C128" i="100"/>
  <c r="F128" i="100"/>
  <c r="D128" i="100"/>
  <c r="H128" i="102"/>
  <c r="C128" i="102"/>
  <c r="F128" i="102"/>
  <c r="G128" i="102"/>
  <c r="B129" i="100" a="1"/>
  <c r="B129" i="100" s="1"/>
  <c r="E129" i="100" s="1"/>
  <c r="A130" i="100"/>
  <c r="B129" i="99"/>
  <c r="E129" i="99"/>
  <c r="A130" i="99"/>
  <c r="E129" i="101"/>
  <c r="B129" i="101" a="1"/>
  <c r="B129" i="101" s="1"/>
  <c r="A130" i="101"/>
  <c r="B129" i="97"/>
  <c r="E129" i="97"/>
  <c r="A130" i="97"/>
  <c r="H128" i="97"/>
  <c r="G128" i="97"/>
  <c r="F128" i="97"/>
  <c r="D128" i="97"/>
  <c r="C128" i="97"/>
  <c r="B130" i="101" l="1" a="1"/>
  <c r="B130" i="101" s="1"/>
  <c r="A131" i="101"/>
  <c r="E130" i="101"/>
  <c r="H129" i="99"/>
  <c r="G129" i="99"/>
  <c r="F129" i="99"/>
  <c r="D129" i="97"/>
  <c r="C129" i="97"/>
  <c r="C129" i="101"/>
  <c r="D129" i="101"/>
  <c r="F129" i="101"/>
  <c r="H129" i="101"/>
  <c r="G129" i="101"/>
  <c r="A131" i="97"/>
  <c r="B130" i="97"/>
  <c r="E130" i="97"/>
  <c r="B130" i="99"/>
  <c r="E130" i="99"/>
  <c r="A131" i="99"/>
  <c r="F129" i="97"/>
  <c r="G129" i="97"/>
  <c r="H129" i="97"/>
  <c r="D129" i="99"/>
  <c r="C129" i="99"/>
  <c r="C129" i="100"/>
  <c r="F129" i="100"/>
  <c r="D129" i="100"/>
  <c r="H129" i="100"/>
  <c r="H129" i="102"/>
  <c r="C129" i="102"/>
  <c r="G129" i="102"/>
  <c r="F129" i="102"/>
  <c r="A131" i="100"/>
  <c r="B130" i="100" a="1"/>
  <c r="B130" i="100" s="1"/>
  <c r="B130" i="102"/>
  <c r="A131" i="102"/>
  <c r="E130" i="102"/>
  <c r="G130" i="101" l="1"/>
  <c r="F130" i="101"/>
  <c r="H130" i="101"/>
  <c r="C130" i="101"/>
  <c r="D130" i="101"/>
  <c r="B131" i="99"/>
  <c r="A132" i="99"/>
  <c r="E131" i="99"/>
  <c r="A132" i="102"/>
  <c r="B131" i="102"/>
  <c r="E131" i="102"/>
  <c r="C130" i="99"/>
  <c r="D130" i="99"/>
  <c r="B131" i="97"/>
  <c r="E131" i="97"/>
  <c r="A132" i="97"/>
  <c r="F130" i="102"/>
  <c r="H130" i="102"/>
  <c r="G130" i="102"/>
  <c r="C130" i="102"/>
  <c r="F130" i="99"/>
  <c r="G130" i="99"/>
  <c r="H130" i="99"/>
  <c r="F130" i="97"/>
  <c r="H130" i="97"/>
  <c r="G130" i="97"/>
  <c r="C130" i="100"/>
  <c r="H130" i="100"/>
  <c r="F130" i="100"/>
  <c r="D130" i="100"/>
  <c r="B131" i="100" a="1"/>
  <c r="B131" i="100" s="1"/>
  <c r="E131" i="100" s="1"/>
  <c r="A132" i="100"/>
  <c r="E130" i="100"/>
  <c r="C130" i="97"/>
  <c r="D130" i="97"/>
  <c r="B131" i="101" a="1"/>
  <c r="B131" i="101" s="1"/>
  <c r="E131" i="101"/>
  <c r="A132" i="101"/>
  <c r="C131" i="102" l="1"/>
  <c r="G131" i="102"/>
  <c r="H131" i="102"/>
  <c r="F131" i="102"/>
  <c r="B132" i="102"/>
  <c r="A133" i="102"/>
  <c r="E132" i="102"/>
  <c r="E132" i="99"/>
  <c r="B132" i="99"/>
  <c r="A133" i="99"/>
  <c r="C131" i="99"/>
  <c r="D131" i="99"/>
  <c r="H131" i="99"/>
  <c r="G131" i="99"/>
  <c r="F131" i="99"/>
  <c r="E132" i="97"/>
  <c r="A133" i="97"/>
  <c r="B132" i="97"/>
  <c r="B132" i="100" a="1"/>
  <c r="B132" i="100" s="1"/>
  <c r="E132" i="100" s="1"/>
  <c r="A133" i="100"/>
  <c r="A133" i="101"/>
  <c r="E132" i="101"/>
  <c r="B132" i="101" a="1"/>
  <c r="B132" i="101" s="1"/>
  <c r="H131" i="97"/>
  <c r="F131" i="97"/>
  <c r="G131" i="97"/>
  <c r="C131" i="97"/>
  <c r="D131" i="97"/>
  <c r="G131" i="101"/>
  <c r="F131" i="101"/>
  <c r="D131" i="101"/>
  <c r="C131" i="101"/>
  <c r="H131" i="101"/>
  <c r="F131" i="100"/>
  <c r="C131" i="100"/>
  <c r="H131" i="100"/>
  <c r="D131" i="100"/>
  <c r="B133" i="100" l="1" a="1"/>
  <c r="B133" i="100" s="1"/>
  <c r="E133" i="100" s="1"/>
  <c r="A134" i="100"/>
  <c r="E133" i="101"/>
  <c r="B133" i="101" a="1"/>
  <c r="B133" i="101" s="1"/>
  <c r="A134" i="101"/>
  <c r="F132" i="100"/>
  <c r="C132" i="100"/>
  <c r="H132" i="100"/>
  <c r="D132" i="100"/>
  <c r="D132" i="97"/>
  <c r="C132" i="97"/>
  <c r="H132" i="97"/>
  <c r="G132" i="97"/>
  <c r="F132" i="97"/>
  <c r="B133" i="99"/>
  <c r="E133" i="99"/>
  <c r="A134" i="99"/>
  <c r="C132" i="99"/>
  <c r="D132" i="99"/>
  <c r="G132" i="99"/>
  <c r="H132" i="99"/>
  <c r="F132" i="99"/>
  <c r="B133" i="97"/>
  <c r="E133" i="97"/>
  <c r="A134" i="97"/>
  <c r="E133" i="102"/>
  <c r="A134" i="102"/>
  <c r="B133" i="102"/>
  <c r="G132" i="102"/>
  <c r="H132" i="102"/>
  <c r="C132" i="102"/>
  <c r="F132" i="102"/>
  <c r="C132" i="101"/>
  <c r="F132" i="101"/>
  <c r="D132" i="101"/>
  <c r="H132" i="101"/>
  <c r="G132" i="101"/>
  <c r="E134" i="97" l="1"/>
  <c r="A135" i="97"/>
  <c r="B134" i="97"/>
  <c r="G133" i="97"/>
  <c r="H133" i="97"/>
  <c r="F133" i="97"/>
  <c r="C133" i="102"/>
  <c r="F133" i="102"/>
  <c r="H133" i="102"/>
  <c r="G133" i="102"/>
  <c r="C133" i="97"/>
  <c r="D133" i="97"/>
  <c r="E134" i="102"/>
  <c r="B134" i="102"/>
  <c r="A135" i="102"/>
  <c r="C133" i="99"/>
  <c r="D133" i="99"/>
  <c r="F133" i="99"/>
  <c r="G133" i="99"/>
  <c r="H133" i="99"/>
  <c r="B134" i="99"/>
  <c r="E134" i="99"/>
  <c r="A135" i="99"/>
  <c r="G133" i="101"/>
  <c r="C133" i="101"/>
  <c r="F133" i="101"/>
  <c r="H133" i="101"/>
  <c r="D133" i="101"/>
  <c r="A135" i="101"/>
  <c r="B134" i="101" a="1"/>
  <c r="B134" i="101" s="1"/>
  <c r="E134" i="101"/>
  <c r="A135" i="100"/>
  <c r="B134" i="100" a="1"/>
  <c r="B134" i="100" s="1"/>
  <c r="E134" i="100" s="1"/>
  <c r="H133" i="100"/>
  <c r="F133" i="100"/>
  <c r="D133" i="100"/>
  <c r="C133" i="100"/>
  <c r="A136" i="101" l="1"/>
  <c r="E135" i="101"/>
  <c r="B135" i="101" a="1"/>
  <c r="B135" i="101" s="1"/>
  <c r="D134" i="99"/>
  <c r="C134" i="99"/>
  <c r="D134" i="97"/>
  <c r="C134" i="97"/>
  <c r="B135" i="97"/>
  <c r="E135" i="97"/>
  <c r="A136" i="97"/>
  <c r="G134" i="97"/>
  <c r="H134" i="97"/>
  <c r="F134" i="97"/>
  <c r="B135" i="102"/>
  <c r="A136" i="102"/>
  <c r="E135" i="102"/>
  <c r="C134" i="102"/>
  <c r="F134" i="102"/>
  <c r="H134" i="102"/>
  <c r="G134" i="102"/>
  <c r="F134" i="99"/>
  <c r="H134" i="99"/>
  <c r="G134" i="99"/>
  <c r="F134" i="101"/>
  <c r="C134" i="101"/>
  <c r="G134" i="101"/>
  <c r="H134" i="101"/>
  <c r="D134" i="101"/>
  <c r="B135" i="99"/>
  <c r="E135" i="99"/>
  <c r="A136" i="99"/>
  <c r="F134" i="100"/>
  <c r="C134" i="100"/>
  <c r="D134" i="100"/>
  <c r="H134" i="100"/>
  <c r="B135" i="100" a="1"/>
  <c r="B135" i="100" s="1"/>
  <c r="E135" i="100" s="1"/>
  <c r="A136" i="100"/>
  <c r="D135" i="101" l="1"/>
  <c r="G135" i="101"/>
  <c r="F135" i="101"/>
  <c r="H135" i="101"/>
  <c r="C135" i="101"/>
  <c r="E136" i="102"/>
  <c r="B136" i="102"/>
  <c r="F135" i="102"/>
  <c r="G135" i="102"/>
  <c r="C135" i="102"/>
  <c r="H135" i="102"/>
  <c r="G135" i="99"/>
  <c r="F135" i="99"/>
  <c r="H135" i="99"/>
  <c r="B136" i="99"/>
  <c r="E136" i="99"/>
  <c r="A137" i="99"/>
  <c r="D135" i="99"/>
  <c r="C135" i="99"/>
  <c r="C135" i="100"/>
  <c r="H135" i="100"/>
  <c r="F135" i="100"/>
  <c r="D135" i="100"/>
  <c r="E136" i="101"/>
  <c r="B136" i="101" a="1"/>
  <c r="B136" i="101" s="1"/>
  <c r="B136" i="100" a="1"/>
  <c r="B136" i="100" s="1"/>
  <c r="E136" i="100" s="1"/>
  <c r="C135" i="97"/>
  <c r="D135" i="97"/>
  <c r="B136" i="97"/>
  <c r="E136" i="97"/>
  <c r="A137" i="97"/>
  <c r="G135" i="97"/>
  <c r="F135" i="97"/>
  <c r="H135" i="97"/>
  <c r="H136" i="102" l="1"/>
  <c r="C136" i="102"/>
  <c r="G136" i="102"/>
  <c r="F136" i="102"/>
  <c r="D136" i="97"/>
  <c r="C136" i="97"/>
  <c r="B137" i="97"/>
  <c r="E137" i="97"/>
  <c r="A138" i="97"/>
  <c r="E137" i="99"/>
  <c r="A138" i="99"/>
  <c r="B137" i="99"/>
  <c r="F136" i="99"/>
  <c r="G136" i="99"/>
  <c r="H136" i="99"/>
  <c r="D136" i="100"/>
  <c r="H136" i="100"/>
  <c r="F136" i="100"/>
  <c r="C136" i="100"/>
  <c r="G136" i="97"/>
  <c r="F136" i="97"/>
  <c r="H136" i="97"/>
  <c r="D136" i="99"/>
  <c r="C136" i="99"/>
  <c r="F136" i="101"/>
  <c r="G136" i="101"/>
  <c r="H136" i="101"/>
  <c r="C136" i="101"/>
  <c r="D136" i="101"/>
  <c r="E8" i="113" a="1"/>
  <c r="E4" i="113" a="1"/>
  <c r="E5" i="113" a="1"/>
  <c r="E5" i="113" l="1"/>
  <c r="E4" i="113"/>
  <c r="E8" i="113"/>
  <c r="H137" i="99"/>
  <c r="G137" i="99"/>
  <c r="F137" i="99"/>
  <c r="B138" i="97"/>
  <c r="E138" i="97"/>
  <c r="A139" i="97"/>
  <c r="C137" i="97"/>
  <c r="D137" i="97"/>
  <c r="G137" i="97"/>
  <c r="H137" i="97"/>
  <c r="F137" i="97"/>
  <c r="C137" i="99"/>
  <c r="D137" i="99"/>
  <c r="B138" i="99"/>
  <c r="E138" i="99"/>
  <c r="A139" i="99"/>
  <c r="G138" i="97" l="1"/>
  <c r="F138" i="97"/>
  <c r="H138" i="97"/>
  <c r="B139" i="97"/>
  <c r="E139" i="97"/>
  <c r="A140" i="97"/>
  <c r="D138" i="97"/>
  <c r="C138" i="97"/>
  <c r="B139" i="99"/>
  <c r="E139" i="99"/>
  <c r="A140" i="99"/>
  <c r="H138" i="99"/>
  <c r="G138" i="99"/>
  <c r="F138" i="99"/>
  <c r="C138" i="99"/>
  <c r="D138" i="99"/>
  <c r="B140" i="97" l="1"/>
  <c r="E140" i="97"/>
  <c r="A141" i="97"/>
  <c r="D139" i="99"/>
  <c r="C139" i="99"/>
  <c r="C139" i="97"/>
  <c r="D139" i="97"/>
  <c r="F139" i="97"/>
  <c r="H139" i="97"/>
  <c r="G139" i="97"/>
  <c r="F139" i="99"/>
  <c r="H139" i="99"/>
  <c r="G139" i="99"/>
  <c r="B140" i="99"/>
  <c r="E140" i="99"/>
  <c r="A141" i="99"/>
  <c r="G140" i="99" l="1"/>
  <c r="H140" i="99"/>
  <c r="F140" i="99"/>
  <c r="E141" i="99"/>
  <c r="B141" i="99"/>
  <c r="A142" i="99"/>
  <c r="D140" i="99"/>
  <c r="C140" i="99"/>
  <c r="B141" i="97"/>
  <c r="A142" i="97"/>
  <c r="E141" i="97"/>
  <c r="H140" i="97"/>
  <c r="G140" i="97"/>
  <c r="F140" i="97"/>
  <c r="C140" i="97"/>
  <c r="D140" i="97"/>
  <c r="C141" i="99" l="1"/>
  <c r="D141" i="99"/>
  <c r="G141" i="97"/>
  <c r="H141" i="97"/>
  <c r="F141" i="97"/>
  <c r="B142" i="99"/>
  <c r="E142" i="99"/>
  <c r="A143" i="99"/>
  <c r="A143" i="97"/>
  <c r="B142" i="97"/>
  <c r="E142" i="97"/>
  <c r="D141" i="97"/>
  <c r="C141" i="97"/>
  <c r="H141" i="99"/>
  <c r="G141" i="99"/>
  <c r="F141" i="99"/>
  <c r="D142" i="97" l="1"/>
  <c r="C142" i="97"/>
  <c r="B143" i="97"/>
  <c r="A144" i="97"/>
  <c r="E143" i="97"/>
  <c r="B143" i="99"/>
  <c r="E143" i="99"/>
  <c r="A144" i="99"/>
  <c r="H142" i="99"/>
  <c r="F142" i="99"/>
  <c r="G142" i="99"/>
  <c r="D142" i="99"/>
  <c r="C142" i="99"/>
  <c r="F142" i="97"/>
  <c r="H142" i="97"/>
  <c r="G142" i="97"/>
  <c r="H143" i="97" l="1"/>
  <c r="G143" i="97"/>
  <c r="F143" i="97"/>
  <c r="F143" i="99"/>
  <c r="H143" i="99"/>
  <c r="G143" i="99"/>
  <c r="D143" i="97"/>
  <c r="C143" i="97"/>
  <c r="C143" i="99"/>
  <c r="D143" i="99"/>
  <c r="B144" i="97"/>
  <c r="A145" i="97"/>
  <c r="E144" i="97"/>
  <c r="B144" i="99"/>
  <c r="E144" i="99"/>
  <c r="A145" i="99"/>
  <c r="F144" i="99" l="1"/>
  <c r="H144" i="99"/>
  <c r="G144" i="99"/>
  <c r="A146" i="97"/>
  <c r="E145" i="97"/>
  <c r="B145" i="97"/>
  <c r="B145" i="99"/>
  <c r="E145" i="99"/>
  <c r="A146" i="99"/>
  <c r="D144" i="97"/>
  <c r="C144" i="97"/>
  <c r="G144" i="97"/>
  <c r="H144" i="97"/>
  <c r="F144" i="97"/>
  <c r="D144" i="99"/>
  <c r="C144" i="99"/>
  <c r="B146" i="97" l="1"/>
  <c r="A147" i="97"/>
  <c r="E146" i="97"/>
  <c r="F145" i="97"/>
  <c r="H145" i="97"/>
  <c r="G145" i="97"/>
  <c r="E146" i="99"/>
  <c r="B146" i="99"/>
  <c r="A147" i="99"/>
  <c r="F145" i="99"/>
  <c r="H145" i="99"/>
  <c r="G145" i="99"/>
  <c r="C145" i="99"/>
  <c r="D145" i="99"/>
  <c r="C145" i="97"/>
  <c r="D145" i="97"/>
  <c r="H146" i="97" l="1"/>
  <c r="G146" i="97"/>
  <c r="F146" i="97"/>
  <c r="B147" i="97"/>
  <c r="E147" i="97"/>
  <c r="A148" i="97"/>
  <c r="C146" i="97"/>
  <c r="D146" i="97"/>
  <c r="B147" i="99"/>
  <c r="E147" i="99"/>
  <c r="A148" i="99"/>
  <c r="G146" i="99"/>
  <c r="F146" i="99"/>
  <c r="H146" i="99"/>
  <c r="D146" i="99"/>
  <c r="C146" i="99"/>
  <c r="B148" i="97" l="1"/>
  <c r="E148" i="97"/>
  <c r="A149" i="97"/>
  <c r="H147" i="99"/>
  <c r="F147" i="99"/>
  <c r="G147" i="99"/>
  <c r="C147" i="99"/>
  <c r="D147" i="99"/>
  <c r="F147" i="97"/>
  <c r="H147" i="97"/>
  <c r="G147" i="97"/>
  <c r="D147" i="97"/>
  <c r="C147" i="97"/>
  <c r="E148" i="99"/>
  <c r="B148" i="99"/>
  <c r="A149" i="99"/>
  <c r="B149" i="99" l="1"/>
  <c r="A150" i="99"/>
  <c r="E149" i="99"/>
  <c r="F148" i="99"/>
  <c r="G148" i="99"/>
  <c r="H148" i="99"/>
  <c r="C148" i="99"/>
  <c r="D148" i="99"/>
  <c r="B149" i="97"/>
  <c r="E149" i="97"/>
  <c r="A150" i="97"/>
  <c r="G148" i="97"/>
  <c r="F148" i="97"/>
  <c r="H148" i="97"/>
  <c r="D148" i="97"/>
  <c r="C148" i="97"/>
  <c r="E150" i="99" l="1"/>
  <c r="B150" i="99"/>
  <c r="A151" i="99"/>
  <c r="C149" i="99"/>
  <c r="D149" i="99"/>
  <c r="H149" i="97"/>
  <c r="F149" i="97"/>
  <c r="G149" i="97"/>
  <c r="C149" i="97"/>
  <c r="D149" i="97"/>
  <c r="F149" i="99"/>
  <c r="G149" i="99"/>
  <c r="H149" i="99"/>
  <c r="A151" i="97"/>
  <c r="E150" i="97"/>
  <c r="B150" i="97"/>
  <c r="C150" i="97" l="1"/>
  <c r="D150" i="97"/>
  <c r="F150" i="97"/>
  <c r="H150" i="97"/>
  <c r="G150" i="97"/>
  <c r="C150" i="99"/>
  <c r="D150" i="99"/>
  <c r="E151" i="97"/>
  <c r="A152" i="97"/>
  <c r="B151" i="97"/>
  <c r="F150" i="99"/>
  <c r="G150" i="99"/>
  <c r="H150" i="99"/>
  <c r="B151" i="99"/>
  <c r="E151" i="99"/>
  <c r="A152" i="99"/>
  <c r="B152" i="99" l="1"/>
  <c r="A153" i="99"/>
  <c r="E152" i="99"/>
  <c r="B152" i="97"/>
  <c r="E152" i="97"/>
  <c r="A153" i="97"/>
  <c r="F151" i="99"/>
  <c r="G151" i="99"/>
  <c r="H151" i="99"/>
  <c r="C151" i="97"/>
  <c r="D151" i="97"/>
  <c r="H151" i="97"/>
  <c r="F151" i="97"/>
  <c r="G151" i="97"/>
  <c r="D151" i="99"/>
  <c r="C151" i="99"/>
  <c r="C152" i="97" l="1"/>
  <c r="D152" i="97"/>
  <c r="G152" i="99"/>
  <c r="H152" i="99"/>
  <c r="F152" i="99"/>
  <c r="D152" i="99"/>
  <c r="C152" i="99"/>
  <c r="E153" i="97"/>
  <c r="A154" i="97"/>
  <c r="B153" i="97"/>
  <c r="F152" i="97"/>
  <c r="G152" i="97"/>
  <c r="H152" i="97"/>
  <c r="B153" i="99"/>
  <c r="E153" i="99"/>
  <c r="A154" i="99"/>
  <c r="E154" i="97" l="1"/>
  <c r="B154" i="97"/>
  <c r="A155" i="97"/>
  <c r="G153" i="97"/>
  <c r="F153" i="97"/>
  <c r="H153" i="97"/>
  <c r="H153" i="99"/>
  <c r="F153" i="99"/>
  <c r="G153" i="99"/>
  <c r="D153" i="99"/>
  <c r="C153" i="99"/>
  <c r="D153" i="97"/>
  <c r="C153" i="97"/>
  <c r="E154" i="99"/>
  <c r="A155" i="99"/>
  <c r="B154" i="99"/>
  <c r="D154" i="99" l="1"/>
  <c r="C154" i="99"/>
  <c r="F154" i="99"/>
  <c r="G154" i="99"/>
  <c r="H154" i="99"/>
  <c r="E155" i="99"/>
  <c r="A156" i="99"/>
  <c r="B155" i="99"/>
  <c r="B155" i="97"/>
  <c r="A156" i="97"/>
  <c r="E155" i="97"/>
  <c r="C154" i="97"/>
  <c r="D154" i="97"/>
  <c r="F154" i="97"/>
  <c r="G154" i="97"/>
  <c r="H154" i="97"/>
  <c r="D155" i="99" l="1"/>
  <c r="C155" i="99"/>
  <c r="E156" i="99"/>
  <c r="A157" i="99"/>
  <c r="B156" i="99"/>
  <c r="E156" i="97"/>
  <c r="B156" i="97"/>
  <c r="A157" i="97"/>
  <c r="F155" i="97"/>
  <c r="G155" i="97"/>
  <c r="H155" i="97"/>
  <c r="G155" i="99"/>
  <c r="H155" i="99"/>
  <c r="F155" i="99"/>
  <c r="D155" i="97"/>
  <c r="C155" i="97"/>
  <c r="G156" i="99" l="1"/>
  <c r="H156" i="99"/>
  <c r="F156" i="99"/>
  <c r="C156" i="99"/>
  <c r="D156" i="99"/>
  <c r="C156" i="97"/>
  <c r="D156" i="97"/>
  <c r="A158" i="99"/>
  <c r="B157" i="99"/>
  <c r="E157" i="99"/>
  <c r="G156" i="97"/>
  <c r="H156" i="97"/>
  <c r="F156" i="97"/>
  <c r="B157" i="97"/>
  <c r="A158" i="97"/>
  <c r="E157" i="97"/>
  <c r="C157" i="99" l="1"/>
  <c r="D157" i="99"/>
  <c r="F157" i="99"/>
  <c r="H157" i="99"/>
  <c r="G157" i="99"/>
  <c r="H157" i="97"/>
  <c r="F157" i="97"/>
  <c r="G157" i="97"/>
  <c r="C157" i="97"/>
  <c r="D157" i="97"/>
  <c r="B158" i="97"/>
  <c r="E158" i="97"/>
  <c r="A159" i="97"/>
  <c r="B158" i="99"/>
  <c r="A159" i="99"/>
  <c r="E158" i="99"/>
  <c r="B159" i="97" l="1"/>
  <c r="E159" i="97"/>
  <c r="A160" i="97"/>
  <c r="D158" i="97"/>
  <c r="C158" i="97"/>
  <c r="H158" i="97"/>
  <c r="F158" i="97"/>
  <c r="G158" i="97"/>
  <c r="E159" i="99"/>
  <c r="B159" i="99"/>
  <c r="A160" i="99"/>
  <c r="F158" i="99"/>
  <c r="H158" i="99"/>
  <c r="G158" i="99"/>
  <c r="C158" i="99"/>
  <c r="D158" i="99"/>
  <c r="C159" i="99" l="1"/>
  <c r="D159" i="99"/>
  <c r="E160" i="99"/>
  <c r="B160" i="99"/>
  <c r="A161" i="99"/>
  <c r="B160" i="97"/>
  <c r="E160" i="97"/>
  <c r="A161" i="97"/>
  <c r="F159" i="97"/>
  <c r="G159" i="97"/>
  <c r="H159" i="97"/>
  <c r="D159" i="97"/>
  <c r="C159" i="97"/>
  <c r="G159" i="99"/>
  <c r="F159" i="99"/>
  <c r="H159" i="99"/>
  <c r="E161" i="97" l="1"/>
  <c r="B161" i="97"/>
  <c r="A162" i="97"/>
  <c r="F160" i="97"/>
  <c r="G160" i="97"/>
  <c r="H160" i="97"/>
  <c r="D160" i="99"/>
  <c r="C160" i="99"/>
  <c r="C160" i="97"/>
  <c r="D160" i="97"/>
  <c r="G160" i="99"/>
  <c r="F160" i="99"/>
  <c r="H160" i="99"/>
  <c r="E161" i="99"/>
  <c r="B161" i="99"/>
  <c r="A162" i="99"/>
  <c r="C161" i="99" l="1"/>
  <c r="D161" i="99"/>
  <c r="F161" i="99"/>
  <c r="G161" i="99"/>
  <c r="H161" i="99"/>
  <c r="B162" i="97"/>
  <c r="E162" i="97"/>
  <c r="A163" i="97"/>
  <c r="C161" i="97"/>
  <c r="D161" i="97"/>
  <c r="H161" i="97"/>
  <c r="F161" i="97"/>
  <c r="G161" i="97"/>
  <c r="A163" i="99"/>
  <c r="B162" i="99"/>
  <c r="E162" i="99"/>
  <c r="C162" i="97" l="1"/>
  <c r="D162" i="97"/>
  <c r="D162" i="99"/>
  <c r="C162" i="99"/>
  <c r="F162" i="97"/>
  <c r="H162" i="97"/>
  <c r="G162" i="97"/>
  <c r="B163" i="97"/>
  <c r="E163" i="97"/>
  <c r="A164" i="97"/>
  <c r="F162" i="99"/>
  <c r="H162" i="99"/>
  <c r="G162" i="99"/>
  <c r="E163" i="99"/>
  <c r="B163" i="99"/>
  <c r="A164" i="99"/>
  <c r="C163" i="99" l="1"/>
  <c r="D163" i="99"/>
  <c r="E164" i="97"/>
  <c r="B164" i="97"/>
  <c r="A165" i="97"/>
  <c r="F163" i="97"/>
  <c r="G163" i="97"/>
  <c r="H163" i="97"/>
  <c r="C163" i="97"/>
  <c r="D163" i="97"/>
  <c r="G163" i="99"/>
  <c r="H163" i="99"/>
  <c r="F163" i="99"/>
  <c r="B164" i="99"/>
  <c r="E164" i="99"/>
  <c r="A165" i="99"/>
  <c r="B165" i="97" l="1"/>
  <c r="E165" i="97"/>
  <c r="A166" i="97"/>
  <c r="D164" i="99"/>
  <c r="C164" i="99"/>
  <c r="G164" i="99"/>
  <c r="F164" i="99"/>
  <c r="H164" i="99"/>
  <c r="G164" i="97"/>
  <c r="F164" i="97"/>
  <c r="H164" i="97"/>
  <c r="D164" i="97"/>
  <c r="C164" i="97"/>
  <c r="E165" i="99"/>
  <c r="B165" i="99"/>
  <c r="A166" i="99"/>
  <c r="B166" i="97" l="1"/>
  <c r="E166" i="97"/>
  <c r="A167" i="97"/>
  <c r="C165" i="97"/>
  <c r="D165" i="97"/>
  <c r="D165" i="99"/>
  <c r="C165" i="99"/>
  <c r="F165" i="97"/>
  <c r="G165" i="97"/>
  <c r="H165" i="97"/>
  <c r="F165" i="99"/>
  <c r="H165" i="99"/>
  <c r="G165" i="99"/>
  <c r="E166" i="99"/>
  <c r="B166" i="99"/>
  <c r="A167" i="99"/>
  <c r="E167" i="99" l="1"/>
  <c r="B167" i="99"/>
  <c r="A168" i="99"/>
  <c r="H166" i="99"/>
  <c r="F166" i="99"/>
  <c r="G166" i="99"/>
  <c r="C166" i="99"/>
  <c r="D166" i="99"/>
  <c r="E167" i="97"/>
  <c r="B167" i="97"/>
  <c r="A168" i="97"/>
  <c r="F166" i="97"/>
  <c r="H166" i="97"/>
  <c r="G166" i="97"/>
  <c r="D166" i="97"/>
  <c r="C166" i="97"/>
  <c r="E168" i="99" l="1"/>
  <c r="B168" i="99"/>
  <c r="A169" i="99"/>
  <c r="C167" i="99"/>
  <c r="D167" i="99"/>
  <c r="G167" i="99"/>
  <c r="H167" i="99"/>
  <c r="F167" i="99"/>
  <c r="G167" i="97"/>
  <c r="F167" i="97"/>
  <c r="H167" i="97"/>
  <c r="B168" i="97"/>
  <c r="E168" i="97"/>
  <c r="A169" i="97"/>
  <c r="D167" i="97"/>
  <c r="C167" i="97"/>
  <c r="E169" i="99" l="1"/>
  <c r="B169" i="99"/>
  <c r="A170" i="99"/>
  <c r="C168" i="99"/>
  <c r="D168" i="99"/>
  <c r="H168" i="99"/>
  <c r="F168" i="99"/>
  <c r="G168" i="99"/>
  <c r="H168" i="97"/>
  <c r="G168" i="97"/>
  <c r="F168" i="97"/>
  <c r="C168" i="97"/>
  <c r="D168" i="97"/>
  <c r="E169" i="97"/>
  <c r="B169" i="97"/>
  <c r="A170" i="97"/>
  <c r="C169" i="97" l="1"/>
  <c r="D169" i="97"/>
  <c r="A171" i="99"/>
  <c r="B170" i="99"/>
  <c r="E170" i="99"/>
  <c r="F169" i="99"/>
  <c r="G169" i="99"/>
  <c r="H169" i="99"/>
  <c r="G169" i="97"/>
  <c r="H169" i="97"/>
  <c r="F169" i="97"/>
  <c r="E170" i="97"/>
  <c r="B170" i="97"/>
  <c r="A171" i="97"/>
  <c r="D169" i="99"/>
  <c r="C169" i="99"/>
  <c r="C170" i="99" l="1"/>
  <c r="D170" i="99"/>
  <c r="D170" i="97"/>
  <c r="C170" i="97"/>
  <c r="F170" i="97"/>
  <c r="G170" i="97"/>
  <c r="H170" i="97"/>
  <c r="A172" i="99"/>
  <c r="B171" i="99"/>
  <c r="E171" i="99"/>
  <c r="G170" i="99"/>
  <c r="H170" i="99"/>
  <c r="F170" i="99"/>
  <c r="B171" i="97"/>
  <c r="E171" i="97"/>
  <c r="A172" i="97"/>
  <c r="C171" i="99" l="1"/>
  <c r="D171" i="99"/>
  <c r="B172" i="99"/>
  <c r="E172" i="99"/>
  <c r="A173" i="99"/>
  <c r="F171" i="99"/>
  <c r="G171" i="99"/>
  <c r="H171" i="99"/>
  <c r="B172" i="97"/>
  <c r="A173" i="97"/>
  <c r="E172" i="97"/>
  <c r="H171" i="97"/>
  <c r="F171" i="97"/>
  <c r="G171" i="97"/>
  <c r="D171" i="97"/>
  <c r="C171" i="97"/>
  <c r="H172" i="97" l="1"/>
  <c r="F172" i="97"/>
  <c r="G172" i="97"/>
  <c r="B173" i="99"/>
  <c r="E173" i="99"/>
  <c r="A174" i="99"/>
  <c r="G172" i="99"/>
  <c r="H172" i="99"/>
  <c r="F172" i="99"/>
  <c r="D172" i="97"/>
  <c r="C172" i="97"/>
  <c r="C172" i="99"/>
  <c r="D172" i="99"/>
  <c r="E173" i="97"/>
  <c r="A174" i="97"/>
  <c r="B173" i="97"/>
  <c r="C173" i="99" l="1"/>
  <c r="D173" i="99"/>
  <c r="H173" i="97"/>
  <c r="F173" i="97"/>
  <c r="G173" i="97"/>
  <c r="G173" i="99"/>
  <c r="F173" i="99"/>
  <c r="H173" i="99"/>
  <c r="E174" i="97"/>
  <c r="B174" i="97"/>
  <c r="A175" i="97"/>
  <c r="D173" i="97"/>
  <c r="C173" i="97"/>
  <c r="B174" i="99"/>
  <c r="A175" i="99"/>
  <c r="E174" i="99"/>
  <c r="D174" i="99" l="1"/>
  <c r="C174" i="99"/>
  <c r="B175" i="97"/>
  <c r="E175" i="97"/>
  <c r="A176" i="97"/>
  <c r="C174" i="97"/>
  <c r="D174" i="97"/>
  <c r="G174" i="97"/>
  <c r="H174" i="97"/>
  <c r="F174" i="97"/>
  <c r="G174" i="99"/>
  <c r="H174" i="99"/>
  <c r="F174" i="99"/>
  <c r="B175" i="99"/>
  <c r="E175" i="99"/>
  <c r="A176" i="99"/>
  <c r="F175" i="97" l="1"/>
  <c r="G175" i="97"/>
  <c r="H175" i="97"/>
  <c r="D175" i="97"/>
  <c r="C175" i="97"/>
  <c r="B176" i="97"/>
  <c r="E176" i="97"/>
  <c r="A177" i="97"/>
  <c r="E176" i="99"/>
  <c r="B176" i="99"/>
  <c r="A177" i="99"/>
  <c r="F175" i="99"/>
  <c r="G175" i="99"/>
  <c r="H175" i="99"/>
  <c r="C175" i="99"/>
  <c r="D175" i="99"/>
  <c r="D176" i="99" l="1"/>
  <c r="C176" i="99"/>
  <c r="E177" i="99"/>
  <c r="B177" i="99"/>
  <c r="A178" i="99"/>
  <c r="F176" i="99"/>
  <c r="H176" i="99"/>
  <c r="G176" i="99"/>
  <c r="H176" i="97"/>
  <c r="F176" i="97"/>
  <c r="G176" i="97"/>
  <c r="B177" i="97"/>
  <c r="A178" i="97"/>
  <c r="E177" i="97"/>
  <c r="D176" i="97"/>
  <c r="C176" i="97"/>
  <c r="D177" i="97" l="1"/>
  <c r="C177" i="97"/>
  <c r="C177" i="99"/>
  <c r="D177" i="99"/>
  <c r="F177" i="97"/>
  <c r="G177" i="97"/>
  <c r="H177" i="97"/>
  <c r="E178" i="97"/>
  <c r="A179" i="97"/>
  <c r="B178" i="97"/>
  <c r="E178" i="99"/>
  <c r="B178" i="99"/>
  <c r="A179" i="99"/>
  <c r="G177" i="99"/>
  <c r="F177" i="99"/>
  <c r="H177" i="99"/>
  <c r="G178" i="99" l="1"/>
  <c r="F178" i="99"/>
  <c r="H178" i="99"/>
  <c r="C178" i="97"/>
  <c r="D178" i="97"/>
  <c r="E179" i="99"/>
  <c r="B179" i="99"/>
  <c r="A180" i="99"/>
  <c r="H178" i="97"/>
  <c r="G178" i="97"/>
  <c r="F178" i="97"/>
  <c r="E179" i="97"/>
  <c r="A180" i="97"/>
  <c r="B179" i="97"/>
  <c r="D178" i="99"/>
  <c r="C178" i="99"/>
  <c r="C179" i="97" l="1"/>
  <c r="D179" i="97"/>
  <c r="A181" i="97"/>
  <c r="E180" i="97"/>
  <c r="B180" i="97"/>
  <c r="H179" i="97"/>
  <c r="F179" i="97"/>
  <c r="G179" i="97"/>
  <c r="B180" i="99"/>
  <c r="E180" i="99"/>
  <c r="A181" i="99"/>
  <c r="C179" i="99"/>
  <c r="D179" i="99"/>
  <c r="H179" i="99"/>
  <c r="G179" i="99"/>
  <c r="F179" i="99"/>
  <c r="D180" i="97" l="1"/>
  <c r="C180" i="97"/>
  <c r="G180" i="99"/>
  <c r="F180" i="99"/>
  <c r="H180" i="99"/>
  <c r="A182" i="97"/>
  <c r="E181" i="97"/>
  <c r="B181" i="97"/>
  <c r="C180" i="99"/>
  <c r="D180" i="99"/>
  <c r="E181" i="99"/>
  <c r="B181" i="99"/>
  <c r="A182" i="99"/>
  <c r="G180" i="97"/>
  <c r="H180" i="97"/>
  <c r="F180" i="97"/>
  <c r="H181" i="99" l="1"/>
  <c r="G181" i="99"/>
  <c r="F181" i="99"/>
  <c r="H181" i="97"/>
  <c r="G181" i="97"/>
  <c r="F181" i="97"/>
  <c r="D181" i="99"/>
  <c r="C181" i="99"/>
  <c r="E182" i="97"/>
  <c r="B182" i="97"/>
  <c r="A183" i="97"/>
  <c r="D181" i="97"/>
  <c r="C181" i="97"/>
  <c r="B182" i="99"/>
  <c r="E182" i="99"/>
  <c r="A183" i="99"/>
  <c r="G182" i="99" l="1"/>
  <c r="H182" i="99"/>
  <c r="F182" i="99"/>
  <c r="B183" i="97"/>
  <c r="E183" i="97"/>
  <c r="A184" i="97"/>
  <c r="B183" i="99"/>
  <c r="A184" i="99"/>
  <c r="E183" i="99"/>
  <c r="D182" i="97"/>
  <c r="C182" i="97"/>
  <c r="D182" i="99"/>
  <c r="C182" i="99"/>
  <c r="H182" i="97"/>
  <c r="G182" i="97"/>
  <c r="F182" i="97"/>
  <c r="C183" i="97" l="1"/>
  <c r="D183" i="97"/>
  <c r="B184" i="97"/>
  <c r="E184" i="97"/>
  <c r="A185" i="97"/>
  <c r="H183" i="99"/>
  <c r="G183" i="99"/>
  <c r="F183" i="99"/>
  <c r="B184" i="99"/>
  <c r="A185" i="99"/>
  <c r="E184" i="99"/>
  <c r="D183" i="99"/>
  <c r="C183" i="99"/>
  <c r="F183" i="97"/>
  <c r="G183" i="97"/>
  <c r="H183" i="97"/>
  <c r="D184" i="97" l="1"/>
  <c r="C184" i="97"/>
  <c r="D184" i="99"/>
  <c r="C184" i="99"/>
  <c r="F184" i="99"/>
  <c r="G184" i="99"/>
  <c r="H184" i="99"/>
  <c r="B185" i="99"/>
  <c r="E185" i="99"/>
  <c r="A186" i="99"/>
  <c r="E185" i="97"/>
  <c r="B185" i="97"/>
  <c r="A186" i="97"/>
  <c r="G184" i="97"/>
  <c r="F184" i="97"/>
  <c r="H184" i="97"/>
  <c r="C185" i="97" l="1"/>
  <c r="D185" i="97"/>
  <c r="C185" i="99"/>
  <c r="D185" i="99"/>
  <c r="H185" i="97"/>
  <c r="G185" i="97"/>
  <c r="F185" i="97"/>
  <c r="E186" i="99"/>
  <c r="B186" i="99"/>
  <c r="A187" i="99"/>
  <c r="B186" i="97"/>
  <c r="E186" i="97"/>
  <c r="A187" i="97"/>
  <c r="H185" i="99"/>
  <c r="G185" i="99"/>
  <c r="F185" i="99"/>
  <c r="B187" i="97" l="1"/>
  <c r="E187" i="97"/>
  <c r="A188" i="97"/>
  <c r="F186" i="99"/>
  <c r="G186" i="99"/>
  <c r="H186" i="99"/>
  <c r="C186" i="97"/>
  <c r="D186" i="97"/>
  <c r="G186" i="97"/>
  <c r="F186" i="97"/>
  <c r="H186" i="97"/>
  <c r="E187" i="99"/>
  <c r="A188" i="99"/>
  <c r="B187" i="99"/>
  <c r="C186" i="99"/>
  <c r="D186" i="99"/>
  <c r="D187" i="99" l="1"/>
  <c r="C187" i="99"/>
  <c r="B188" i="99"/>
  <c r="E188" i="99"/>
  <c r="A189" i="99"/>
  <c r="G187" i="99"/>
  <c r="H187" i="99"/>
  <c r="F187" i="99"/>
  <c r="E188" i="97"/>
  <c r="B188" i="97"/>
  <c r="A189" i="97"/>
  <c r="F187" i="97"/>
  <c r="G187" i="97"/>
  <c r="H187" i="97"/>
  <c r="D187" i="97"/>
  <c r="C187" i="97"/>
  <c r="A190" i="97" l="1"/>
  <c r="B189" i="97"/>
  <c r="E189" i="97"/>
  <c r="F188" i="97"/>
  <c r="H188" i="97"/>
  <c r="G188" i="97"/>
  <c r="D188" i="97"/>
  <c r="C188" i="97"/>
  <c r="G188" i="99"/>
  <c r="H188" i="99"/>
  <c r="F188" i="99"/>
  <c r="B189" i="99"/>
  <c r="E189" i="99"/>
  <c r="A190" i="99"/>
  <c r="D188" i="99"/>
  <c r="C188" i="99"/>
  <c r="F189" i="99" l="1"/>
  <c r="G189" i="99"/>
  <c r="H189" i="99"/>
  <c r="C189" i="97"/>
  <c r="D189" i="97"/>
  <c r="D189" i="99"/>
  <c r="C189" i="99"/>
  <c r="E190" i="99"/>
  <c r="B190" i="99"/>
  <c r="A191" i="99"/>
  <c r="F189" i="97"/>
  <c r="H189" i="97"/>
  <c r="G189" i="97"/>
  <c r="B190" i="97"/>
  <c r="E190" i="97"/>
  <c r="A191" i="97"/>
  <c r="H190" i="99" l="1"/>
  <c r="G190" i="99"/>
  <c r="F190" i="99"/>
  <c r="C190" i="99"/>
  <c r="D190" i="99"/>
  <c r="B191" i="99"/>
  <c r="A192" i="99"/>
  <c r="E191" i="99"/>
  <c r="F190" i="97"/>
  <c r="G190" i="97"/>
  <c r="H190" i="97"/>
  <c r="B191" i="97"/>
  <c r="A192" i="97"/>
  <c r="E191" i="97"/>
  <c r="D190" i="97"/>
  <c r="C190" i="97"/>
  <c r="E192" i="97" l="1"/>
  <c r="B192" i="97"/>
  <c r="A193" i="97"/>
  <c r="C191" i="97"/>
  <c r="D191" i="97"/>
  <c r="F191" i="97"/>
  <c r="H191" i="97"/>
  <c r="G191" i="97"/>
  <c r="H191" i="99"/>
  <c r="G191" i="99"/>
  <c r="F191" i="99"/>
  <c r="E192" i="99"/>
  <c r="B192" i="99"/>
  <c r="A193" i="99"/>
  <c r="D191" i="99"/>
  <c r="C191" i="99"/>
  <c r="C192" i="99" l="1"/>
  <c r="D192" i="99"/>
  <c r="F192" i="99"/>
  <c r="H192" i="99"/>
  <c r="G192" i="99"/>
  <c r="E193" i="99"/>
  <c r="B193" i="99"/>
  <c r="A194" i="99"/>
  <c r="B193" i="97"/>
  <c r="A194" i="97"/>
  <c r="E193" i="97"/>
  <c r="D192" i="97"/>
  <c r="C192" i="97"/>
  <c r="F192" i="97"/>
  <c r="H192" i="97"/>
  <c r="G192" i="97"/>
  <c r="H193" i="99" l="1"/>
  <c r="G193" i="99"/>
  <c r="F193" i="99"/>
  <c r="B194" i="99"/>
  <c r="E194" i="99"/>
  <c r="A195" i="99"/>
  <c r="D193" i="99"/>
  <c r="C193" i="99"/>
  <c r="E194" i="97"/>
  <c r="B194" i="97"/>
  <c r="A195" i="97"/>
  <c r="D193" i="97"/>
  <c r="C193" i="97"/>
  <c r="G193" i="97"/>
  <c r="F193" i="97"/>
  <c r="H193" i="97"/>
  <c r="E195" i="99" l="1"/>
  <c r="A196" i="99"/>
  <c r="B195" i="99"/>
  <c r="G194" i="97"/>
  <c r="H194" i="97"/>
  <c r="F194" i="97"/>
  <c r="G194" i="99"/>
  <c r="H194" i="99"/>
  <c r="F194" i="99"/>
  <c r="E195" i="97"/>
  <c r="B195" i="97"/>
  <c r="A196" i="97"/>
  <c r="C194" i="97"/>
  <c r="D194" i="97"/>
  <c r="D194" i="99"/>
  <c r="C194" i="99"/>
  <c r="F195" i="97" l="1"/>
  <c r="H195" i="97"/>
  <c r="G195" i="97"/>
  <c r="E196" i="97"/>
  <c r="B196" i="97"/>
  <c r="A197" i="97"/>
  <c r="D195" i="97"/>
  <c r="C195" i="97"/>
  <c r="C195" i="99"/>
  <c r="D195" i="99"/>
  <c r="B196" i="99"/>
  <c r="A197" i="99"/>
  <c r="E196" i="99"/>
  <c r="H195" i="99"/>
  <c r="F195" i="99"/>
  <c r="G195" i="99"/>
  <c r="C196" i="99" l="1"/>
  <c r="D196" i="99"/>
  <c r="E197" i="97"/>
  <c r="B197" i="97"/>
  <c r="A198" i="97"/>
  <c r="D196" i="97"/>
  <c r="C196" i="97"/>
  <c r="G196" i="99"/>
  <c r="F196" i="99"/>
  <c r="H196" i="99"/>
  <c r="F196" i="97"/>
  <c r="G196" i="97"/>
  <c r="H196" i="97"/>
  <c r="E197" i="99"/>
  <c r="B197" i="99"/>
  <c r="A198" i="99"/>
  <c r="B198" i="99" l="1"/>
  <c r="A199" i="99"/>
  <c r="E198" i="99"/>
  <c r="F197" i="99"/>
  <c r="H197" i="99"/>
  <c r="G197" i="99"/>
  <c r="E198" i="97"/>
  <c r="B198" i="97"/>
  <c r="A199" i="97"/>
  <c r="C197" i="97"/>
  <c r="D197" i="97"/>
  <c r="D197" i="99"/>
  <c r="C197" i="99"/>
  <c r="F197" i="97"/>
  <c r="G197" i="97"/>
  <c r="H197" i="97"/>
  <c r="G198" i="99" l="1"/>
  <c r="F198" i="99"/>
  <c r="H198" i="99"/>
  <c r="B199" i="99"/>
  <c r="A200" i="99"/>
  <c r="E199" i="99"/>
  <c r="B199" i="97"/>
  <c r="E199" i="97"/>
  <c r="A200" i="97"/>
  <c r="D198" i="99"/>
  <c r="C198" i="99"/>
  <c r="D198" i="97"/>
  <c r="C198" i="97"/>
  <c r="H198" i="97"/>
  <c r="F198" i="97"/>
  <c r="G198" i="97"/>
  <c r="G199" i="99" l="1"/>
  <c r="F199" i="99"/>
  <c r="H199" i="99"/>
  <c r="B200" i="99"/>
  <c r="E200" i="99"/>
  <c r="A201" i="99"/>
  <c r="C199" i="99"/>
  <c r="D199" i="99"/>
  <c r="B200" i="97"/>
  <c r="E200" i="97"/>
  <c r="A201" i="97"/>
  <c r="C199" i="97"/>
  <c r="D199" i="97"/>
  <c r="G199" i="97"/>
  <c r="H199" i="97"/>
  <c r="F199" i="97"/>
  <c r="B201" i="97" l="1"/>
  <c r="E201" i="97"/>
  <c r="A202" i="97"/>
  <c r="F200" i="97"/>
  <c r="G200" i="97"/>
  <c r="H200" i="97"/>
  <c r="C200" i="97"/>
  <c r="D200" i="97"/>
  <c r="B201" i="99"/>
  <c r="E201" i="99"/>
  <c r="A202" i="99"/>
  <c r="G200" i="99"/>
  <c r="F200" i="99"/>
  <c r="H200" i="99"/>
  <c r="D200" i="99"/>
  <c r="C200" i="99"/>
  <c r="F201" i="97" l="1"/>
  <c r="H201" i="97"/>
  <c r="G201" i="97"/>
  <c r="D201" i="97"/>
  <c r="C201" i="97"/>
  <c r="B202" i="99"/>
  <c r="E202" i="99"/>
  <c r="A203" i="99"/>
  <c r="B202" i="97"/>
  <c r="E202" i="97"/>
  <c r="A203" i="97"/>
  <c r="H201" i="99"/>
  <c r="G201" i="99"/>
  <c r="F201" i="99"/>
  <c r="D201" i="99"/>
  <c r="C201" i="99"/>
  <c r="C202" i="99" l="1"/>
  <c r="D202" i="99"/>
  <c r="D202" i="97"/>
  <c r="C202" i="97"/>
  <c r="G202" i="97"/>
  <c r="F202" i="97"/>
  <c r="H202" i="97"/>
  <c r="G202" i="99"/>
  <c r="F202" i="99"/>
  <c r="H202" i="99"/>
  <c r="B203" i="97"/>
  <c r="E203" i="97"/>
  <c r="A204" i="97"/>
  <c r="B203" i="99"/>
  <c r="E203" i="99"/>
  <c r="A204" i="99"/>
  <c r="H203" i="97" l="1"/>
  <c r="F203" i="97"/>
  <c r="G203" i="97"/>
  <c r="E204" i="99"/>
  <c r="B204" i="99"/>
  <c r="A205" i="99"/>
  <c r="D203" i="99"/>
  <c r="C203" i="99"/>
  <c r="D203" i="97"/>
  <c r="C203" i="97"/>
  <c r="G203" i="99"/>
  <c r="F203" i="99"/>
  <c r="H203" i="99"/>
  <c r="E204" i="97"/>
  <c r="A205" i="97"/>
  <c r="B204" i="97"/>
  <c r="C204" i="99" l="1"/>
  <c r="D204" i="99"/>
  <c r="E205" i="99"/>
  <c r="B205" i="99"/>
  <c r="A206" i="99"/>
  <c r="G204" i="99"/>
  <c r="H204" i="99"/>
  <c r="F204" i="99"/>
  <c r="C204" i="97"/>
  <c r="D204" i="97"/>
  <c r="E205" i="97"/>
  <c r="B205" i="97"/>
  <c r="A206" i="97"/>
  <c r="G204" i="97"/>
  <c r="F204" i="97"/>
  <c r="H204" i="97"/>
  <c r="D205" i="97" l="1"/>
  <c r="C205" i="97"/>
  <c r="B206" i="99"/>
  <c r="E206" i="99"/>
  <c r="A207" i="99"/>
  <c r="D205" i="99"/>
  <c r="C205" i="99"/>
  <c r="E206" i="97"/>
  <c r="B206" i="97"/>
  <c r="A207" i="97"/>
  <c r="H205" i="97"/>
  <c r="G205" i="97"/>
  <c r="F205" i="97"/>
  <c r="G205" i="99"/>
  <c r="F205" i="99"/>
  <c r="H205" i="99"/>
  <c r="E207" i="99" l="1"/>
  <c r="B207" i="99"/>
  <c r="A208" i="99"/>
  <c r="B207" i="97"/>
  <c r="A208" i="97"/>
  <c r="E207" i="97"/>
  <c r="C206" i="99"/>
  <c r="D206" i="99"/>
  <c r="F206" i="97"/>
  <c r="H206" i="97"/>
  <c r="G206" i="97"/>
  <c r="C206" i="97"/>
  <c r="D206" i="97"/>
  <c r="F206" i="99"/>
  <c r="G206" i="99"/>
  <c r="H206" i="99"/>
  <c r="G207" i="99" l="1"/>
  <c r="H207" i="99"/>
  <c r="F207" i="99"/>
  <c r="B208" i="99"/>
  <c r="A209" i="99"/>
  <c r="E208" i="99"/>
  <c r="D207" i="99"/>
  <c r="C207" i="99"/>
  <c r="H207" i="97"/>
  <c r="F207" i="97"/>
  <c r="G207" i="97"/>
  <c r="E208" i="97"/>
  <c r="B208" i="97"/>
  <c r="A209" i="97"/>
  <c r="C207" i="97"/>
  <c r="D207" i="97"/>
  <c r="G208" i="97" l="1"/>
  <c r="H208" i="97"/>
  <c r="F208" i="97"/>
  <c r="E209" i="97"/>
  <c r="B209" i="97"/>
  <c r="A210" i="97"/>
  <c r="D208" i="97"/>
  <c r="C208" i="97"/>
  <c r="F208" i="99"/>
  <c r="G208" i="99"/>
  <c r="H208" i="99"/>
  <c r="B209" i="99"/>
  <c r="E209" i="99"/>
  <c r="A210" i="99"/>
  <c r="D208" i="99"/>
  <c r="C208" i="99"/>
  <c r="E210" i="97" l="1"/>
  <c r="B210" i="97"/>
  <c r="A211" i="97"/>
  <c r="D209" i="97"/>
  <c r="C209" i="97"/>
  <c r="H209" i="97"/>
  <c r="F209" i="97"/>
  <c r="G209" i="97"/>
  <c r="G209" i="99"/>
  <c r="F209" i="99"/>
  <c r="H209" i="99"/>
  <c r="C209" i="99"/>
  <c r="D209" i="99"/>
  <c r="E210" i="99"/>
  <c r="A211" i="99"/>
  <c r="B210" i="99"/>
  <c r="H210" i="99" l="1"/>
  <c r="F210" i="99"/>
  <c r="G210" i="99"/>
  <c r="E211" i="99"/>
  <c r="A212" i="99"/>
  <c r="B211" i="99"/>
  <c r="C210" i="99"/>
  <c r="D210" i="99"/>
  <c r="B211" i="97"/>
  <c r="E211" i="97"/>
  <c r="A212" i="97"/>
  <c r="D210" i="97"/>
  <c r="C210" i="97"/>
  <c r="H210" i="97"/>
  <c r="F210" i="97"/>
  <c r="G210" i="97"/>
  <c r="F211" i="99" l="1"/>
  <c r="H211" i="99"/>
  <c r="G211" i="99"/>
  <c r="D211" i="99"/>
  <c r="C211" i="99"/>
  <c r="B212" i="99"/>
  <c r="A213" i="99"/>
  <c r="E212" i="99"/>
  <c r="B212" i="97"/>
  <c r="E212" i="97"/>
  <c r="A213" i="97"/>
  <c r="G211" i="97"/>
  <c r="F211" i="97"/>
  <c r="H211" i="97"/>
  <c r="D211" i="97"/>
  <c r="C211" i="97"/>
  <c r="B213" i="99" l="1"/>
  <c r="E213" i="99"/>
  <c r="A214" i="99"/>
  <c r="F212" i="99"/>
  <c r="G212" i="99"/>
  <c r="H212" i="99"/>
  <c r="E213" i="97"/>
  <c r="B213" i="97"/>
  <c r="A214" i="97"/>
  <c r="C212" i="99"/>
  <c r="D212" i="99"/>
  <c r="G212" i="97"/>
  <c r="H212" i="97"/>
  <c r="F212" i="97"/>
  <c r="C212" i="97"/>
  <c r="D212" i="97"/>
  <c r="B214" i="99" l="1"/>
  <c r="E214" i="99"/>
  <c r="A215" i="99"/>
  <c r="G213" i="99"/>
  <c r="H213" i="99"/>
  <c r="F213" i="99"/>
  <c r="C213" i="99"/>
  <c r="D213" i="99"/>
  <c r="C213" i="97"/>
  <c r="D213" i="97"/>
  <c r="F213" i="97"/>
  <c r="H213" i="97"/>
  <c r="G213" i="97"/>
  <c r="B214" i="97"/>
  <c r="E214" i="97"/>
  <c r="A215" i="97"/>
  <c r="D214" i="97" l="1"/>
  <c r="C214" i="97"/>
  <c r="H214" i="97"/>
  <c r="G214" i="97"/>
  <c r="F214" i="97"/>
  <c r="E215" i="99"/>
  <c r="B215" i="99"/>
  <c r="A216" i="99"/>
  <c r="F214" i="99"/>
  <c r="H214" i="99"/>
  <c r="G214" i="99"/>
  <c r="C214" i="99"/>
  <c r="D214" i="99"/>
  <c r="B215" i="97"/>
  <c r="E215" i="97"/>
  <c r="A216" i="97"/>
  <c r="F215" i="99" l="1"/>
  <c r="G215" i="99"/>
  <c r="H215" i="99"/>
  <c r="G215" i="97"/>
  <c r="H215" i="97"/>
  <c r="F215" i="97"/>
  <c r="B216" i="97"/>
  <c r="A217" i="97"/>
  <c r="E216" i="97"/>
  <c r="C215" i="97"/>
  <c r="D215" i="97"/>
  <c r="C215" i="99"/>
  <c r="D215" i="99"/>
  <c r="B216" i="99"/>
  <c r="E216" i="99"/>
  <c r="A217" i="99"/>
  <c r="F216" i="97" l="1"/>
  <c r="G216" i="97"/>
  <c r="H216" i="97"/>
  <c r="C216" i="97"/>
  <c r="D216" i="97"/>
  <c r="C216" i="99"/>
  <c r="D216" i="99"/>
  <c r="G216" i="99"/>
  <c r="H216" i="99"/>
  <c r="F216" i="99"/>
  <c r="B217" i="97"/>
  <c r="E217" i="97"/>
  <c r="A218" i="97"/>
  <c r="B217" i="99"/>
  <c r="E217" i="99"/>
  <c r="A218" i="99"/>
  <c r="D217" i="99" l="1"/>
  <c r="C217" i="99"/>
  <c r="G217" i="97"/>
  <c r="F217" i="97"/>
  <c r="H217" i="97"/>
  <c r="B218" i="97"/>
  <c r="E218" i="97"/>
  <c r="A219" i="97"/>
  <c r="F217" i="99"/>
  <c r="G217" i="99"/>
  <c r="H217" i="99"/>
  <c r="C217" i="97"/>
  <c r="D217" i="97"/>
  <c r="E218" i="99"/>
  <c r="B218" i="99"/>
  <c r="A219" i="99"/>
  <c r="D218" i="97" l="1"/>
  <c r="C218" i="97"/>
  <c r="G218" i="97"/>
  <c r="F218" i="97"/>
  <c r="H218" i="97"/>
  <c r="E219" i="97"/>
  <c r="B219" i="97"/>
  <c r="A220" i="97"/>
  <c r="C218" i="99"/>
  <c r="D218" i="99"/>
  <c r="E219" i="99"/>
  <c r="B219" i="99"/>
  <c r="A220" i="99"/>
  <c r="F218" i="99"/>
  <c r="G218" i="99"/>
  <c r="H218" i="99"/>
  <c r="F219" i="97" l="1"/>
  <c r="G219" i="97"/>
  <c r="H219" i="97"/>
  <c r="D219" i="99"/>
  <c r="C219" i="99"/>
  <c r="H219" i="99"/>
  <c r="G219" i="99"/>
  <c r="F219" i="99"/>
  <c r="B220" i="97"/>
  <c r="A221" i="97"/>
  <c r="E220" i="97"/>
  <c r="B220" i="99"/>
  <c r="A221" i="99"/>
  <c r="E220" i="99"/>
  <c r="D219" i="97"/>
  <c r="C219" i="97"/>
  <c r="G220" i="99" l="1"/>
  <c r="F220" i="99"/>
  <c r="H220" i="99"/>
  <c r="E221" i="99"/>
  <c r="B221" i="99"/>
  <c r="A222" i="99"/>
  <c r="D220" i="99"/>
  <c r="C220" i="99"/>
  <c r="H220" i="97"/>
  <c r="F220" i="97"/>
  <c r="G220" i="97"/>
  <c r="B221" i="97"/>
  <c r="E221" i="97"/>
  <c r="A222" i="97"/>
  <c r="D220" i="97"/>
  <c r="C220" i="97"/>
  <c r="H221" i="99" l="1"/>
  <c r="F221" i="99"/>
  <c r="G221" i="99"/>
  <c r="C221" i="97"/>
  <c r="D221" i="97"/>
  <c r="G221" i="97"/>
  <c r="H221" i="97"/>
  <c r="F221" i="97"/>
  <c r="C221" i="99"/>
  <c r="D221" i="99"/>
  <c r="B222" i="99"/>
  <c r="E222" i="99"/>
  <c r="A223" i="99"/>
  <c r="B222" i="97"/>
  <c r="E222" i="97"/>
  <c r="A223" i="97"/>
  <c r="D222" i="97" l="1"/>
  <c r="C222" i="97"/>
  <c r="H222" i="97"/>
  <c r="F222" i="97"/>
  <c r="G222" i="97"/>
  <c r="E223" i="99"/>
  <c r="B223" i="99"/>
  <c r="A224" i="99"/>
  <c r="H222" i="99"/>
  <c r="F222" i="99"/>
  <c r="G222" i="99"/>
  <c r="C222" i="99"/>
  <c r="D222" i="99"/>
  <c r="B223" i="97"/>
  <c r="E223" i="97"/>
  <c r="A224" i="97"/>
  <c r="D223" i="97" l="1"/>
  <c r="C223" i="97"/>
  <c r="G223" i="97"/>
  <c r="H223" i="97"/>
  <c r="F223" i="97"/>
  <c r="E224" i="97"/>
  <c r="B224" i="97"/>
  <c r="A225" i="97"/>
  <c r="F223" i="99"/>
  <c r="G223" i="99"/>
  <c r="H223" i="99"/>
  <c r="D223" i="99"/>
  <c r="C223" i="99"/>
  <c r="E224" i="99"/>
  <c r="B224" i="99"/>
  <c r="A225" i="99"/>
  <c r="C224" i="97" l="1"/>
  <c r="D224" i="97"/>
  <c r="G224" i="97"/>
  <c r="H224" i="97"/>
  <c r="F224" i="97"/>
  <c r="H224" i="99"/>
  <c r="G224" i="99"/>
  <c r="F224" i="99"/>
  <c r="D224" i="99"/>
  <c r="C224" i="99"/>
  <c r="B225" i="97"/>
  <c r="A226" i="97"/>
  <c r="E225" i="97"/>
  <c r="E225" i="99"/>
  <c r="B225" i="99"/>
  <c r="A226" i="99"/>
  <c r="F225" i="99" l="1"/>
  <c r="H225" i="99"/>
  <c r="G225" i="99"/>
  <c r="C225" i="99"/>
  <c r="D225" i="99"/>
  <c r="C225" i="97"/>
  <c r="D225" i="97"/>
  <c r="E226" i="99"/>
  <c r="B226" i="99"/>
  <c r="A227" i="99"/>
  <c r="G225" i="97"/>
  <c r="F225" i="97"/>
  <c r="H225" i="97"/>
  <c r="A227" i="97"/>
  <c r="B226" i="97"/>
  <c r="E226" i="97"/>
  <c r="G226" i="99" l="1"/>
  <c r="H226" i="99"/>
  <c r="F226" i="99"/>
  <c r="G226" i="97"/>
  <c r="F226" i="97"/>
  <c r="H226" i="97"/>
  <c r="E227" i="99"/>
  <c r="A228" i="99"/>
  <c r="B227" i="99"/>
  <c r="C226" i="99"/>
  <c r="D226" i="99"/>
  <c r="C226" i="97"/>
  <c r="D226" i="97"/>
  <c r="B227" i="97"/>
  <c r="E227" i="97"/>
  <c r="A228" i="97"/>
  <c r="G227" i="99" l="1"/>
  <c r="H227" i="99"/>
  <c r="F227" i="99"/>
  <c r="D227" i="97"/>
  <c r="C227" i="97"/>
  <c r="H227" i="97"/>
  <c r="F227" i="97"/>
  <c r="G227" i="97"/>
  <c r="C227" i="99"/>
  <c r="D227" i="99"/>
  <c r="B228" i="99"/>
  <c r="E228" i="99"/>
  <c r="A229" i="99"/>
  <c r="B228" i="97"/>
  <c r="A229" i="97"/>
  <c r="E228" i="97"/>
  <c r="H228" i="97" l="1"/>
  <c r="F228" i="97"/>
  <c r="G228" i="97"/>
  <c r="E229" i="99"/>
  <c r="B229" i="99"/>
  <c r="A230" i="99"/>
  <c r="D228" i="99"/>
  <c r="C228" i="99"/>
  <c r="D228" i="97"/>
  <c r="C228" i="97"/>
  <c r="G228" i="99"/>
  <c r="H228" i="99"/>
  <c r="F228" i="99"/>
  <c r="E229" i="97"/>
  <c r="B229" i="97"/>
  <c r="A230" i="97"/>
  <c r="H229" i="97" l="1"/>
  <c r="F229" i="97"/>
  <c r="G229" i="97"/>
  <c r="G229" i="99"/>
  <c r="H229" i="99"/>
  <c r="F229" i="99"/>
  <c r="B230" i="99"/>
  <c r="E230" i="99"/>
  <c r="A231" i="99"/>
  <c r="D229" i="97"/>
  <c r="C229" i="97"/>
  <c r="D229" i="99"/>
  <c r="C229" i="99"/>
  <c r="E230" i="97"/>
  <c r="A231" i="97"/>
  <c r="B230" i="97"/>
  <c r="F230" i="99" l="1"/>
  <c r="H230" i="99"/>
  <c r="G230" i="99"/>
  <c r="B231" i="99"/>
  <c r="E231" i="99"/>
  <c r="A232" i="99"/>
  <c r="G230" i="97"/>
  <c r="F230" i="97"/>
  <c r="H230" i="97"/>
  <c r="D230" i="99"/>
  <c r="C230" i="99"/>
  <c r="C230" i="97"/>
  <c r="D230" i="97"/>
  <c r="E231" i="97"/>
  <c r="B231" i="97"/>
  <c r="A232" i="97"/>
  <c r="H231" i="97" l="1"/>
  <c r="G231" i="97"/>
  <c r="F231" i="97"/>
  <c r="B232" i="99"/>
  <c r="E232" i="99"/>
  <c r="A233" i="99"/>
  <c r="D231" i="99"/>
  <c r="C231" i="99"/>
  <c r="G231" i="99"/>
  <c r="F231" i="99"/>
  <c r="H231" i="99"/>
  <c r="B232" i="97"/>
  <c r="E232" i="97"/>
  <c r="A233" i="97"/>
  <c r="C231" i="97"/>
  <c r="D231" i="97"/>
  <c r="B233" i="97" l="1"/>
  <c r="A234" i="97"/>
  <c r="E233" i="97"/>
  <c r="B233" i="99"/>
  <c r="A234" i="99"/>
  <c r="E233" i="99"/>
  <c r="F232" i="99"/>
  <c r="H232" i="99"/>
  <c r="G232" i="99"/>
  <c r="C232" i="97"/>
  <c r="D232" i="97"/>
  <c r="D232" i="99"/>
  <c r="C232" i="99"/>
  <c r="G232" i="97"/>
  <c r="F232" i="97"/>
  <c r="H232" i="97"/>
  <c r="C233" i="99" l="1"/>
  <c r="D233" i="99"/>
  <c r="H233" i="97"/>
  <c r="F233" i="97"/>
  <c r="G233" i="97"/>
  <c r="G233" i="99"/>
  <c r="H233" i="99"/>
  <c r="F233" i="99"/>
  <c r="E234" i="99"/>
  <c r="A235" i="99"/>
  <c r="B234" i="99"/>
  <c r="E234" i="97"/>
  <c r="B234" i="97"/>
  <c r="A235" i="97"/>
  <c r="C233" i="97"/>
  <c r="D233" i="97"/>
  <c r="G234" i="99" l="1"/>
  <c r="F234" i="99"/>
  <c r="H234" i="99"/>
  <c r="B235" i="97"/>
  <c r="E235" i="97"/>
  <c r="A236" i="97"/>
  <c r="C234" i="99"/>
  <c r="D234" i="99"/>
  <c r="G234" i="97"/>
  <c r="F234" i="97"/>
  <c r="H234" i="97"/>
  <c r="D234" i="97"/>
  <c r="C234" i="97"/>
  <c r="E235" i="99"/>
  <c r="B235" i="99"/>
  <c r="A236" i="99"/>
  <c r="C235" i="99" l="1"/>
  <c r="D235" i="99"/>
  <c r="B236" i="97"/>
  <c r="E236" i="97"/>
  <c r="A237" i="97"/>
  <c r="F235" i="97"/>
  <c r="H235" i="97"/>
  <c r="G235" i="97"/>
  <c r="E236" i="99"/>
  <c r="B236" i="99"/>
  <c r="A237" i="99"/>
  <c r="C235" i="97"/>
  <c r="D235" i="97"/>
  <c r="F235" i="99"/>
  <c r="G235" i="99"/>
  <c r="H235" i="99"/>
  <c r="B237" i="99" l="1"/>
  <c r="E237" i="99"/>
  <c r="A238" i="99"/>
  <c r="G236" i="97"/>
  <c r="F236" i="97"/>
  <c r="H236" i="97"/>
  <c r="D236" i="99"/>
  <c r="C236" i="99"/>
  <c r="B237" i="97"/>
  <c r="E237" i="97"/>
  <c r="A238" i="97"/>
  <c r="F236" i="99"/>
  <c r="G236" i="99"/>
  <c r="H236" i="99"/>
  <c r="D236" i="97"/>
  <c r="C236" i="97"/>
  <c r="F237" i="97" l="1"/>
  <c r="H237" i="97"/>
  <c r="G237" i="97"/>
  <c r="B238" i="97"/>
  <c r="E238" i="97"/>
  <c r="A239" i="97"/>
  <c r="E238" i="99"/>
  <c r="B238" i="99"/>
  <c r="A239" i="99"/>
  <c r="G237" i="99"/>
  <c r="F237" i="99"/>
  <c r="H237" i="99"/>
  <c r="D237" i="97"/>
  <c r="C237" i="97"/>
  <c r="C237" i="99"/>
  <c r="D237" i="99"/>
  <c r="G238" i="99" l="1"/>
  <c r="H238" i="99"/>
  <c r="F238" i="99"/>
  <c r="C238" i="97"/>
  <c r="D238" i="97"/>
  <c r="G238" i="97"/>
  <c r="H238" i="97"/>
  <c r="F238" i="97"/>
  <c r="A240" i="99"/>
  <c r="E239" i="99"/>
  <c r="B239" i="99"/>
  <c r="B239" i="97"/>
  <c r="E239" i="97"/>
  <c r="A240" i="97"/>
  <c r="D238" i="99"/>
  <c r="C238" i="99"/>
  <c r="E240" i="97" l="1"/>
  <c r="B240" i="97"/>
  <c r="A241" i="97"/>
  <c r="G239" i="97"/>
  <c r="F239" i="97"/>
  <c r="H239" i="97"/>
  <c r="B240" i="99"/>
  <c r="E240" i="99"/>
  <c r="A241" i="99"/>
  <c r="G239" i="99"/>
  <c r="F239" i="99"/>
  <c r="H239" i="99"/>
  <c r="D239" i="97"/>
  <c r="C239" i="97"/>
  <c r="C239" i="99"/>
  <c r="D239" i="99"/>
  <c r="F240" i="99" l="1"/>
  <c r="H240" i="99"/>
  <c r="G240" i="99"/>
  <c r="C240" i="99"/>
  <c r="D240" i="99"/>
  <c r="E241" i="99"/>
  <c r="B241" i="99"/>
  <c r="A242" i="99"/>
  <c r="B241" i="97"/>
  <c r="E241" i="97"/>
  <c r="A242" i="97"/>
  <c r="C240" i="97"/>
  <c r="D240" i="97"/>
  <c r="F240" i="97"/>
  <c r="H240" i="97"/>
  <c r="G240" i="97"/>
  <c r="B242" i="97" l="1"/>
  <c r="E242" i="97"/>
  <c r="A243" i="97"/>
  <c r="D241" i="99"/>
  <c r="C241" i="99"/>
  <c r="F241" i="99"/>
  <c r="H241" i="99"/>
  <c r="G241" i="99"/>
  <c r="H241" i="97"/>
  <c r="F241" i="97"/>
  <c r="G241" i="97"/>
  <c r="E242" i="99"/>
  <c r="B242" i="99"/>
  <c r="A243" i="99"/>
  <c r="C241" i="97"/>
  <c r="D241" i="97"/>
  <c r="B243" i="97" l="1"/>
  <c r="E243" i="97"/>
  <c r="A244" i="97"/>
  <c r="B243" i="99"/>
  <c r="E243" i="99"/>
  <c r="A244" i="99"/>
  <c r="F242" i="97"/>
  <c r="G242" i="97"/>
  <c r="H242" i="97"/>
  <c r="F242" i="99"/>
  <c r="G242" i="99"/>
  <c r="H242" i="99"/>
  <c r="D242" i="99"/>
  <c r="C242" i="99"/>
  <c r="D242" i="97"/>
  <c r="C242" i="97"/>
  <c r="D243" i="99" l="1"/>
  <c r="C243" i="99"/>
  <c r="B244" i="97"/>
  <c r="E244" i="97"/>
  <c r="A245" i="97"/>
  <c r="G243" i="99"/>
  <c r="H243" i="99"/>
  <c r="F243" i="99"/>
  <c r="F243" i="97"/>
  <c r="G243" i="97"/>
  <c r="H243" i="97"/>
  <c r="D243" i="97"/>
  <c r="C243" i="97"/>
  <c r="E244" i="99"/>
  <c r="B244" i="99"/>
  <c r="A245" i="99"/>
  <c r="B245" i="99" l="1"/>
  <c r="A246" i="99"/>
  <c r="E245" i="99"/>
  <c r="F244" i="97"/>
  <c r="G244" i="97"/>
  <c r="H244" i="97"/>
  <c r="D244" i="97"/>
  <c r="C244" i="97"/>
  <c r="F244" i="99"/>
  <c r="G244" i="99"/>
  <c r="H244" i="99"/>
  <c r="B245" i="97"/>
  <c r="E245" i="97"/>
  <c r="A246" i="97"/>
  <c r="C244" i="99"/>
  <c r="D244" i="99"/>
  <c r="B246" i="97" l="1"/>
  <c r="E246" i="97"/>
  <c r="A247" i="97"/>
  <c r="F245" i="97"/>
  <c r="H245" i="97"/>
  <c r="G245" i="97"/>
  <c r="F245" i="99"/>
  <c r="H245" i="99"/>
  <c r="G245" i="99"/>
  <c r="B246" i="99"/>
  <c r="E246" i="99"/>
  <c r="A247" i="99"/>
  <c r="D245" i="97"/>
  <c r="C245" i="97"/>
  <c r="D245" i="99"/>
  <c r="C245" i="99"/>
  <c r="D246" i="99" l="1"/>
  <c r="C246" i="99"/>
  <c r="G246" i="99"/>
  <c r="F246" i="99"/>
  <c r="H246" i="99"/>
  <c r="E247" i="97"/>
  <c r="B247" i="97"/>
  <c r="A248" i="97"/>
  <c r="B247" i="99"/>
  <c r="A248" i="99"/>
  <c r="E247" i="99"/>
  <c r="H246" i="97"/>
  <c r="G246" i="97"/>
  <c r="F246" i="97"/>
  <c r="C246" i="97"/>
  <c r="D246" i="97"/>
  <c r="G247" i="99" l="1"/>
  <c r="F247" i="99"/>
  <c r="H247" i="99"/>
  <c r="D247" i="97"/>
  <c r="C247" i="97"/>
  <c r="B248" i="99"/>
  <c r="E248" i="99"/>
  <c r="A249" i="99"/>
  <c r="C247" i="99"/>
  <c r="D247" i="99"/>
  <c r="E248" i="97"/>
  <c r="B248" i="97"/>
  <c r="A249" i="97"/>
  <c r="H247" i="97"/>
  <c r="F247" i="97"/>
  <c r="G247" i="97"/>
  <c r="D248" i="99" l="1"/>
  <c r="C248" i="99"/>
  <c r="B249" i="97"/>
  <c r="E249" i="97"/>
  <c r="A250" i="97"/>
  <c r="C248" i="97"/>
  <c r="D248" i="97"/>
  <c r="E249" i="99"/>
  <c r="B249" i="99"/>
  <c r="A250" i="99"/>
  <c r="H248" i="99"/>
  <c r="F248" i="99"/>
  <c r="G248" i="99"/>
  <c r="G248" i="97"/>
  <c r="H248" i="97"/>
  <c r="F248" i="97"/>
  <c r="E250" i="99" l="1"/>
  <c r="B250" i="99"/>
  <c r="A251" i="99"/>
  <c r="D249" i="99"/>
  <c r="C249" i="99"/>
  <c r="B250" i="97"/>
  <c r="A251" i="97"/>
  <c r="E250" i="97"/>
  <c r="H249" i="99"/>
  <c r="F249" i="99"/>
  <c r="G249" i="99"/>
  <c r="G249" i="97"/>
  <c r="H249" i="97"/>
  <c r="F249" i="97"/>
  <c r="C249" i="97"/>
  <c r="D249" i="97"/>
  <c r="D250" i="97" l="1"/>
  <c r="C250" i="97"/>
  <c r="B251" i="97"/>
  <c r="E251" i="97"/>
  <c r="A252" i="97"/>
  <c r="H250" i="97"/>
  <c r="G250" i="97"/>
  <c r="F250" i="97"/>
  <c r="B251" i="99"/>
  <c r="E251" i="99"/>
  <c r="A252" i="99"/>
  <c r="D250" i="99"/>
  <c r="C250" i="99"/>
  <c r="G250" i="99"/>
  <c r="F250" i="99"/>
  <c r="H250" i="99"/>
  <c r="G251" i="97" l="1"/>
  <c r="F251" i="97"/>
  <c r="H251" i="97"/>
  <c r="B252" i="99"/>
  <c r="E252" i="99"/>
  <c r="A253" i="99"/>
  <c r="G251" i="99"/>
  <c r="H251" i="99"/>
  <c r="F251" i="99"/>
  <c r="D251" i="99"/>
  <c r="C251" i="99"/>
  <c r="C251" i="97"/>
  <c r="D251" i="97"/>
  <c r="B252" i="97"/>
  <c r="E252" i="97"/>
  <c r="A253" i="97"/>
  <c r="F252" i="99" l="1"/>
  <c r="H252" i="99"/>
  <c r="G252" i="99"/>
  <c r="H252" i="97"/>
  <c r="G252" i="97"/>
  <c r="F252" i="97"/>
  <c r="B253" i="97"/>
  <c r="E253" i="97"/>
  <c r="A254" i="97"/>
  <c r="C252" i="97"/>
  <c r="D252" i="97"/>
  <c r="B253" i="99"/>
  <c r="E253" i="99"/>
  <c r="A254" i="99"/>
  <c r="C252" i="99"/>
  <c r="D252" i="99"/>
  <c r="G253" i="97" l="1"/>
  <c r="F253" i="97"/>
  <c r="H253" i="97"/>
  <c r="C253" i="97"/>
  <c r="D253" i="97"/>
  <c r="E254" i="97"/>
  <c r="B254" i="97"/>
  <c r="A255" i="97"/>
  <c r="B254" i="99"/>
  <c r="E254" i="99"/>
  <c r="A255" i="99"/>
  <c r="G253" i="99"/>
  <c r="H253" i="99"/>
  <c r="F253" i="99"/>
  <c r="D253" i="99"/>
  <c r="C253" i="99"/>
  <c r="F254" i="97" l="1"/>
  <c r="G254" i="97"/>
  <c r="H254" i="97"/>
  <c r="E255" i="99"/>
  <c r="B255" i="99"/>
  <c r="A256" i="99"/>
  <c r="D254" i="97"/>
  <c r="C254" i="97"/>
  <c r="B255" i="97"/>
  <c r="A256" i="97"/>
  <c r="E255" i="97"/>
  <c r="F254" i="99"/>
  <c r="H254" i="99"/>
  <c r="G254" i="99"/>
  <c r="D254" i="99"/>
  <c r="C254" i="99"/>
  <c r="D255" i="99" l="1"/>
  <c r="C255" i="99"/>
  <c r="G255" i="97"/>
  <c r="H255" i="97"/>
  <c r="F255" i="97"/>
  <c r="H255" i="99"/>
  <c r="G255" i="99"/>
  <c r="F255" i="99"/>
  <c r="E256" i="97"/>
  <c r="B256" i="97"/>
  <c r="A257" i="97"/>
  <c r="E256" i="99"/>
  <c r="B256" i="99"/>
  <c r="A257" i="99"/>
  <c r="C255" i="97"/>
  <c r="D255" i="97"/>
  <c r="F256" i="97" l="1"/>
  <c r="H256" i="97"/>
  <c r="G256" i="97"/>
  <c r="C256" i="99"/>
  <c r="D256" i="99"/>
  <c r="H256" i="99"/>
  <c r="F256" i="99"/>
  <c r="G256" i="99"/>
  <c r="B257" i="99"/>
  <c r="E257" i="99"/>
  <c r="A258" i="99"/>
  <c r="B257" i="97"/>
  <c r="E257" i="97"/>
  <c r="A258" i="97"/>
  <c r="D256" i="97"/>
  <c r="C256" i="97"/>
  <c r="D257" i="99" l="1"/>
  <c r="C257" i="99"/>
  <c r="G257" i="99"/>
  <c r="F257" i="99"/>
  <c r="H257" i="99"/>
  <c r="F257" i="97"/>
  <c r="H257" i="97"/>
  <c r="G257" i="97"/>
  <c r="C257" i="97"/>
  <c r="D257" i="97"/>
  <c r="E258" i="97"/>
  <c r="B258" i="97"/>
  <c r="A259" i="97"/>
  <c r="E258" i="99"/>
  <c r="B258" i="99"/>
  <c r="A259" i="99"/>
  <c r="G258" i="99" l="1"/>
  <c r="F258" i="99"/>
  <c r="H258" i="99"/>
  <c r="B259" i="97"/>
  <c r="E259" i="97"/>
  <c r="A260" i="97"/>
  <c r="F258" i="97"/>
  <c r="H258" i="97"/>
  <c r="G258" i="97"/>
  <c r="D258" i="97"/>
  <c r="C258" i="97"/>
  <c r="B259" i="99"/>
  <c r="A260" i="99"/>
  <c r="E259" i="99"/>
  <c r="D258" i="99"/>
  <c r="C258" i="99"/>
  <c r="G259" i="99" l="1"/>
  <c r="H259" i="99"/>
  <c r="F259" i="99"/>
  <c r="E260" i="99"/>
  <c r="A261" i="99"/>
  <c r="B260" i="99"/>
  <c r="C259" i="99"/>
  <c r="D259" i="99"/>
  <c r="E260" i="97"/>
  <c r="B260" i="97"/>
  <c r="A261" i="97"/>
  <c r="F259" i="97"/>
  <c r="H259" i="97"/>
  <c r="G259" i="97"/>
  <c r="C259" i="97"/>
  <c r="D259" i="97"/>
  <c r="H260" i="99" l="1"/>
  <c r="F260" i="99"/>
  <c r="G260" i="99"/>
  <c r="E261" i="97"/>
  <c r="B261" i="97"/>
  <c r="A262" i="97"/>
  <c r="H260" i="97"/>
  <c r="G260" i="97"/>
  <c r="F260" i="97"/>
  <c r="C260" i="97"/>
  <c r="D260" i="97"/>
  <c r="C260" i="99"/>
  <c r="D260" i="99"/>
  <c r="B261" i="99"/>
  <c r="E261" i="99"/>
  <c r="A262" i="99"/>
  <c r="G261" i="97" l="1"/>
  <c r="H261" i="97"/>
  <c r="F261" i="97"/>
  <c r="C261" i="97"/>
  <c r="D261" i="97"/>
  <c r="D261" i="99"/>
  <c r="C261" i="99"/>
  <c r="G261" i="99"/>
  <c r="H261" i="99"/>
  <c r="F261" i="99"/>
  <c r="B262" i="97"/>
  <c r="E262" i="97"/>
  <c r="A263" i="97"/>
  <c r="B262" i="99"/>
  <c r="E262" i="99"/>
  <c r="A263" i="99"/>
  <c r="D262" i="99" l="1"/>
  <c r="C262" i="99"/>
  <c r="B263" i="97"/>
  <c r="A264" i="97"/>
  <c r="E263" i="97"/>
  <c r="B263" i="99"/>
  <c r="E263" i="99"/>
  <c r="A264" i="99"/>
  <c r="D262" i="97"/>
  <c r="C262" i="97"/>
  <c r="G262" i="97"/>
  <c r="H262" i="97"/>
  <c r="F262" i="97"/>
  <c r="F262" i="99"/>
  <c r="G262" i="99"/>
  <c r="H262" i="99"/>
  <c r="D263" i="99" l="1"/>
  <c r="C263" i="99"/>
  <c r="E264" i="99"/>
  <c r="B264" i="99"/>
  <c r="A265" i="99"/>
  <c r="G263" i="97"/>
  <c r="H263" i="97"/>
  <c r="F263" i="97"/>
  <c r="E264" i="97"/>
  <c r="B264" i="97"/>
  <c r="A265" i="97"/>
  <c r="C263" i="97"/>
  <c r="D263" i="97"/>
  <c r="F263" i="99"/>
  <c r="G263" i="99"/>
  <c r="H263" i="99"/>
  <c r="D264" i="97" l="1"/>
  <c r="C264" i="97"/>
  <c r="G264" i="97"/>
  <c r="H264" i="97"/>
  <c r="F264" i="97"/>
  <c r="B265" i="97"/>
  <c r="E265" i="97"/>
  <c r="A266" i="97"/>
  <c r="B265" i="99"/>
  <c r="E265" i="99"/>
  <c r="A266" i="99"/>
  <c r="D264" i="99"/>
  <c r="C264" i="99"/>
  <c r="F264" i="99"/>
  <c r="G264" i="99"/>
  <c r="H264" i="99"/>
  <c r="F265" i="99" l="1"/>
  <c r="G265" i="99"/>
  <c r="H265" i="99"/>
  <c r="D265" i="99"/>
  <c r="C265" i="99"/>
  <c r="F265" i="97"/>
  <c r="H265" i="97"/>
  <c r="G265" i="97"/>
  <c r="B266" i="99"/>
  <c r="E266" i="99"/>
  <c r="A267" i="99"/>
  <c r="D265" i="97"/>
  <c r="C265" i="97"/>
  <c r="E266" i="97"/>
  <c r="B266" i="97"/>
  <c r="A267" i="97"/>
  <c r="B267" i="99" l="1"/>
  <c r="E267" i="99"/>
  <c r="A268" i="99"/>
  <c r="G266" i="99"/>
  <c r="H266" i="99"/>
  <c r="F266" i="99"/>
  <c r="C266" i="99"/>
  <c r="D266" i="99"/>
  <c r="B267" i="97"/>
  <c r="E267" i="97"/>
  <c r="A268" i="97"/>
  <c r="H266" i="97"/>
  <c r="F266" i="97"/>
  <c r="G266" i="97"/>
  <c r="D266" i="97"/>
  <c r="C266" i="97"/>
  <c r="B268" i="99" l="1"/>
  <c r="E268" i="99"/>
  <c r="A269" i="99"/>
  <c r="C267" i="97"/>
  <c r="D267" i="97"/>
  <c r="F267" i="99"/>
  <c r="H267" i="99"/>
  <c r="G267" i="99"/>
  <c r="B268" i="97"/>
  <c r="A269" i="97"/>
  <c r="E268" i="97"/>
  <c r="G267" i="97"/>
  <c r="H267" i="97"/>
  <c r="F267" i="97"/>
  <c r="D267" i="99"/>
  <c r="C267" i="99"/>
  <c r="F268" i="97" l="1"/>
  <c r="H268" i="97"/>
  <c r="G268" i="97"/>
  <c r="G268" i="99"/>
  <c r="H268" i="99"/>
  <c r="F268" i="99"/>
  <c r="B269" i="99"/>
  <c r="A270" i="99"/>
  <c r="E269" i="99"/>
  <c r="D268" i="97"/>
  <c r="C268" i="97"/>
  <c r="D268" i="99"/>
  <c r="C268" i="99"/>
  <c r="E269" i="97"/>
  <c r="B269" i="97"/>
  <c r="A270" i="97"/>
  <c r="G269" i="99" l="1"/>
  <c r="F269" i="99"/>
  <c r="H269" i="99"/>
  <c r="B270" i="97"/>
  <c r="E270" i="97"/>
  <c r="A271" i="97"/>
  <c r="D269" i="99"/>
  <c r="C269" i="99"/>
  <c r="C269" i="97"/>
  <c r="D269" i="97"/>
  <c r="B270" i="99"/>
  <c r="E270" i="99"/>
  <c r="A271" i="99"/>
  <c r="G269" i="97"/>
  <c r="H269" i="97"/>
  <c r="F269" i="97"/>
  <c r="C270" i="99" l="1"/>
  <c r="D270" i="99"/>
  <c r="B271" i="99"/>
  <c r="E271" i="99"/>
  <c r="A272" i="99"/>
  <c r="C270" i="97"/>
  <c r="D270" i="97"/>
  <c r="F270" i="99"/>
  <c r="H270" i="99"/>
  <c r="G270" i="99"/>
  <c r="B271" i="97"/>
  <c r="E271" i="97"/>
  <c r="A272" i="97"/>
  <c r="F270" i="97"/>
  <c r="H270" i="97"/>
  <c r="G270" i="97"/>
  <c r="G271" i="99" l="1"/>
  <c r="F271" i="99"/>
  <c r="H271" i="99"/>
  <c r="C271" i="97"/>
  <c r="D271" i="97"/>
  <c r="B272" i="99"/>
  <c r="E272" i="99"/>
  <c r="A273" i="99"/>
  <c r="E272" i="97"/>
  <c r="B272" i="97"/>
  <c r="A273" i="97"/>
  <c r="D271" i="99"/>
  <c r="C271" i="99"/>
  <c r="F271" i="97"/>
  <c r="H271" i="97"/>
  <c r="G271" i="97"/>
  <c r="G272" i="99" l="1"/>
  <c r="F272" i="99"/>
  <c r="H272" i="99"/>
  <c r="C272" i="97"/>
  <c r="D272" i="97"/>
  <c r="E273" i="99"/>
  <c r="B273" i="99"/>
  <c r="A274" i="99"/>
  <c r="D272" i="99"/>
  <c r="C272" i="99"/>
  <c r="G272" i="97"/>
  <c r="H272" i="97"/>
  <c r="F272" i="97"/>
  <c r="B273" i="97"/>
  <c r="E273" i="97"/>
  <c r="A274" i="97"/>
  <c r="A275" i="99" l="1"/>
  <c r="B274" i="99"/>
  <c r="E274" i="99"/>
  <c r="B274" i="97"/>
  <c r="E274" i="97"/>
  <c r="A275" i="97"/>
  <c r="H273" i="99"/>
  <c r="G273" i="99"/>
  <c r="F273" i="99"/>
  <c r="C273" i="97"/>
  <c r="D273" i="97"/>
  <c r="H273" i="97"/>
  <c r="F273" i="97"/>
  <c r="G273" i="97"/>
  <c r="D273" i="99"/>
  <c r="C273" i="99"/>
  <c r="F274" i="97" l="1"/>
  <c r="H274" i="97"/>
  <c r="G274" i="97"/>
  <c r="C274" i="97"/>
  <c r="D274" i="97"/>
  <c r="G274" i="99"/>
  <c r="F274" i="99"/>
  <c r="H274" i="99"/>
  <c r="D274" i="99"/>
  <c r="C274" i="99"/>
  <c r="B275" i="99"/>
  <c r="E275" i="99"/>
  <c r="A276" i="99"/>
  <c r="A276" i="97"/>
  <c r="E275" i="97"/>
  <c r="B275" i="97"/>
  <c r="H275" i="97" l="1"/>
  <c r="G275" i="97"/>
  <c r="F275" i="97"/>
  <c r="C275" i="97"/>
  <c r="D275" i="97"/>
  <c r="D275" i="99"/>
  <c r="C275" i="99"/>
  <c r="A277" i="97"/>
  <c r="E276" i="97"/>
  <c r="B276" i="97"/>
  <c r="G275" i="99"/>
  <c r="F275" i="99"/>
  <c r="H275" i="99"/>
  <c r="E276" i="99"/>
  <c r="A277" i="99"/>
  <c r="B276" i="99"/>
  <c r="G276" i="99" l="1"/>
  <c r="H276" i="99"/>
  <c r="F276" i="99"/>
  <c r="D276" i="97"/>
  <c r="C276" i="97"/>
  <c r="H276" i="97"/>
  <c r="G276" i="97"/>
  <c r="F276" i="97"/>
  <c r="E277" i="97"/>
  <c r="A278" i="97"/>
  <c r="B277" i="97"/>
  <c r="D276" i="99"/>
  <c r="C276" i="99"/>
  <c r="E277" i="99"/>
  <c r="B277" i="99"/>
  <c r="A278" i="99"/>
  <c r="C277" i="97" l="1"/>
  <c r="D277" i="97"/>
  <c r="B278" i="97"/>
  <c r="E278" i="97"/>
  <c r="A279" i="97"/>
  <c r="G277" i="97"/>
  <c r="H277" i="97"/>
  <c r="F277" i="97"/>
  <c r="H277" i="99"/>
  <c r="F277" i="99"/>
  <c r="G277" i="99"/>
  <c r="B278" i="99"/>
  <c r="E278" i="99"/>
  <c r="A279" i="99"/>
  <c r="C277" i="99"/>
  <c r="D277" i="99"/>
  <c r="D278" i="99" l="1"/>
  <c r="C278" i="99"/>
  <c r="E279" i="99"/>
  <c r="B279" i="99"/>
  <c r="A280" i="99"/>
  <c r="G278" i="99"/>
  <c r="F278" i="99"/>
  <c r="H278" i="99"/>
  <c r="G278" i="97"/>
  <c r="F278" i="97"/>
  <c r="H278" i="97"/>
  <c r="C278" i="97"/>
  <c r="D278" i="97"/>
  <c r="B279" i="97"/>
  <c r="E279" i="97"/>
  <c r="A280" i="97"/>
  <c r="C279" i="97" l="1"/>
  <c r="D279" i="97"/>
  <c r="F279" i="97"/>
  <c r="H279" i="97"/>
  <c r="G279" i="97"/>
  <c r="B280" i="99"/>
  <c r="E280" i="99"/>
  <c r="A281" i="99"/>
  <c r="H279" i="99"/>
  <c r="G279" i="99"/>
  <c r="F279" i="99"/>
  <c r="E280" i="97"/>
  <c r="B280" i="97"/>
  <c r="A281" i="97"/>
  <c r="C279" i="99"/>
  <c r="D279" i="99"/>
  <c r="F280" i="99" l="1"/>
  <c r="G280" i="99"/>
  <c r="H280" i="99"/>
  <c r="D280" i="99"/>
  <c r="C280" i="99"/>
  <c r="B281" i="97"/>
  <c r="E281" i="97"/>
  <c r="A282" i="97"/>
  <c r="C280" i="97"/>
  <c r="D280" i="97"/>
  <c r="G280" i="97"/>
  <c r="H280" i="97"/>
  <c r="F280" i="97"/>
  <c r="B281" i="99"/>
  <c r="E281" i="99"/>
  <c r="A282" i="99"/>
  <c r="D281" i="99" l="1"/>
  <c r="C281" i="99"/>
  <c r="E282" i="97"/>
  <c r="A283" i="97"/>
  <c r="B282" i="97"/>
  <c r="F281" i="99"/>
  <c r="H281" i="99"/>
  <c r="G281" i="99"/>
  <c r="G281" i="97"/>
  <c r="H281" i="97"/>
  <c r="F281" i="97"/>
  <c r="C281" i="97"/>
  <c r="D281" i="97"/>
  <c r="B282" i="99"/>
  <c r="A283" i="99"/>
  <c r="E282" i="99"/>
  <c r="C282" i="99" l="1"/>
  <c r="D282" i="99"/>
  <c r="D282" i="97"/>
  <c r="C282" i="97"/>
  <c r="B283" i="97"/>
  <c r="E283" i="97"/>
  <c r="A284" i="97"/>
  <c r="F282" i="97"/>
  <c r="H282" i="97"/>
  <c r="G282" i="97"/>
  <c r="G282" i="99"/>
  <c r="F282" i="99"/>
  <c r="H282" i="99"/>
  <c r="B283" i="99"/>
  <c r="E283" i="99"/>
  <c r="A284" i="99"/>
  <c r="B284" i="97" l="1"/>
  <c r="E284" i="97"/>
  <c r="A285" i="97"/>
  <c r="E284" i="99"/>
  <c r="B284" i="99"/>
  <c r="A285" i="99"/>
  <c r="F283" i="99"/>
  <c r="H283" i="99"/>
  <c r="G283" i="99"/>
  <c r="H283" i="97"/>
  <c r="F283" i="97"/>
  <c r="G283" i="97"/>
  <c r="C283" i="97"/>
  <c r="D283" i="97"/>
  <c r="D283" i="99"/>
  <c r="C283" i="99"/>
  <c r="D284" i="99" l="1"/>
  <c r="C284" i="99"/>
  <c r="E285" i="99"/>
  <c r="B285" i="99"/>
  <c r="A286" i="99"/>
  <c r="F284" i="97"/>
  <c r="H284" i="97"/>
  <c r="G284" i="97"/>
  <c r="F284" i="99"/>
  <c r="H284" i="99"/>
  <c r="G284" i="99"/>
  <c r="E285" i="97"/>
  <c r="A286" i="97"/>
  <c r="B285" i="97"/>
  <c r="D284" i="97"/>
  <c r="C284" i="97"/>
  <c r="C285" i="99" l="1"/>
  <c r="D285" i="99"/>
  <c r="D285" i="97"/>
  <c r="C285" i="97"/>
  <c r="E286" i="97"/>
  <c r="B286" i="97"/>
  <c r="A287" i="97"/>
  <c r="F285" i="97"/>
  <c r="G285" i="97"/>
  <c r="H285" i="97"/>
  <c r="B286" i="99"/>
  <c r="A287" i="99"/>
  <c r="E286" i="99"/>
  <c r="F285" i="99"/>
  <c r="H285" i="99"/>
  <c r="G285" i="99"/>
  <c r="G286" i="99" l="1"/>
  <c r="H286" i="99"/>
  <c r="F286" i="99"/>
  <c r="C286" i="99"/>
  <c r="D286" i="99"/>
  <c r="G286" i="97"/>
  <c r="F286" i="97"/>
  <c r="H286" i="97"/>
  <c r="D286" i="97"/>
  <c r="C286" i="97"/>
  <c r="E287" i="99"/>
  <c r="B287" i="99"/>
  <c r="A288" i="99"/>
  <c r="E287" i="97"/>
  <c r="B287" i="97"/>
  <c r="A288" i="97"/>
  <c r="D287" i="99" l="1"/>
  <c r="C287" i="99"/>
  <c r="F287" i="99"/>
  <c r="H287" i="99"/>
  <c r="G287" i="99"/>
  <c r="D287" i="97"/>
  <c r="C287" i="97"/>
  <c r="B288" i="97"/>
  <c r="A289" i="97"/>
  <c r="E288" i="97"/>
  <c r="E288" i="99"/>
  <c r="A289" i="99"/>
  <c r="B288" i="99"/>
  <c r="G287" i="97"/>
  <c r="F287" i="97"/>
  <c r="H287" i="97"/>
  <c r="C288" i="97" l="1"/>
  <c r="D288" i="97"/>
  <c r="G288" i="99"/>
  <c r="F288" i="99"/>
  <c r="H288" i="99"/>
  <c r="H288" i="97"/>
  <c r="F288" i="97"/>
  <c r="G288" i="97"/>
  <c r="C288" i="99"/>
  <c r="D288" i="99"/>
  <c r="B289" i="99"/>
  <c r="E289" i="99"/>
  <c r="A290" i="99"/>
  <c r="A290" i="97"/>
  <c r="B289" i="97"/>
  <c r="E289" i="97"/>
  <c r="B290" i="99" l="1"/>
  <c r="E290" i="99"/>
  <c r="A291" i="99"/>
  <c r="D289" i="99"/>
  <c r="C289" i="99"/>
  <c r="G289" i="99"/>
  <c r="H289" i="99"/>
  <c r="F289" i="99"/>
  <c r="E290" i="97"/>
  <c r="A291" i="97"/>
  <c r="B290" i="97"/>
  <c r="H289" i="97"/>
  <c r="G289" i="97"/>
  <c r="F289" i="97"/>
  <c r="C289" i="97"/>
  <c r="D289" i="97"/>
  <c r="D290" i="97" l="1"/>
  <c r="C290" i="97"/>
  <c r="A292" i="97"/>
  <c r="E291" i="97"/>
  <c r="B291" i="97"/>
  <c r="A292" i="99"/>
  <c r="B291" i="99"/>
  <c r="E291" i="99"/>
  <c r="F290" i="99"/>
  <c r="G290" i="99"/>
  <c r="H290" i="99"/>
  <c r="C290" i="99"/>
  <c r="D290" i="99"/>
  <c r="F290" i="97"/>
  <c r="G290" i="97"/>
  <c r="H290" i="97"/>
  <c r="E292" i="99" l="1"/>
  <c r="B292" i="99"/>
  <c r="A293" i="99"/>
  <c r="D291" i="97"/>
  <c r="C291" i="97"/>
  <c r="C291" i="99"/>
  <c r="D291" i="99"/>
  <c r="H291" i="99"/>
  <c r="F291" i="99"/>
  <c r="G291" i="99"/>
  <c r="E292" i="97"/>
  <c r="B292" i="97"/>
  <c r="A293" i="97"/>
  <c r="G291" i="97"/>
  <c r="F291" i="97"/>
  <c r="H291" i="97"/>
  <c r="E293" i="97" l="1"/>
  <c r="A294" i="97"/>
  <c r="B293" i="97"/>
  <c r="C292" i="97"/>
  <c r="D292" i="97"/>
  <c r="B293" i="99"/>
  <c r="E293" i="99"/>
  <c r="A294" i="99"/>
  <c r="H292" i="97"/>
  <c r="G292" i="97"/>
  <c r="F292" i="97"/>
  <c r="D292" i="99"/>
  <c r="C292" i="99"/>
  <c r="F292" i="99"/>
  <c r="H292" i="99"/>
  <c r="G292" i="99"/>
  <c r="B294" i="99" l="1"/>
  <c r="A295" i="99"/>
  <c r="E294" i="99"/>
  <c r="H293" i="97"/>
  <c r="G293" i="97"/>
  <c r="F293" i="97"/>
  <c r="C293" i="97"/>
  <c r="D293" i="97"/>
  <c r="C293" i="99"/>
  <c r="D293" i="99"/>
  <c r="B294" i="97"/>
  <c r="E294" i="97"/>
  <c r="A295" i="97"/>
  <c r="G293" i="99"/>
  <c r="F293" i="99"/>
  <c r="H293" i="99"/>
  <c r="B295" i="97" l="1"/>
  <c r="E295" i="97"/>
  <c r="A296" i="97"/>
  <c r="G294" i="97"/>
  <c r="H294" i="97"/>
  <c r="F294" i="97"/>
  <c r="D294" i="97"/>
  <c r="C294" i="97"/>
  <c r="G294" i="99"/>
  <c r="F294" i="99"/>
  <c r="H294" i="99"/>
  <c r="E295" i="99"/>
  <c r="B295" i="99"/>
  <c r="A296" i="99"/>
  <c r="D294" i="99"/>
  <c r="C294" i="99"/>
  <c r="E296" i="99" l="1"/>
  <c r="A297" i="99"/>
  <c r="B296" i="99"/>
  <c r="D295" i="99"/>
  <c r="C295" i="99"/>
  <c r="F295" i="99"/>
  <c r="H295" i="99"/>
  <c r="G295" i="99"/>
  <c r="F295" i="97"/>
  <c r="H295" i="97"/>
  <c r="G295" i="97"/>
  <c r="D295" i="97"/>
  <c r="C295" i="97"/>
  <c r="B296" i="97"/>
  <c r="E296" i="97"/>
  <c r="A297" i="97"/>
  <c r="D296" i="97" l="1"/>
  <c r="C296" i="97"/>
  <c r="A298" i="97"/>
  <c r="E297" i="97"/>
  <c r="B297" i="97"/>
  <c r="F296" i="99"/>
  <c r="H296" i="99"/>
  <c r="G296" i="99"/>
  <c r="E297" i="99"/>
  <c r="B297" i="99"/>
  <c r="A298" i="99"/>
  <c r="H296" i="97"/>
  <c r="F296" i="97"/>
  <c r="G296" i="97"/>
  <c r="C296" i="99"/>
  <c r="D296" i="99"/>
  <c r="F297" i="97" l="1"/>
  <c r="H297" i="97"/>
  <c r="G297" i="97"/>
  <c r="B298" i="97"/>
  <c r="E298" i="97"/>
  <c r="A299" i="97"/>
  <c r="D297" i="97"/>
  <c r="C297" i="97"/>
  <c r="C297" i="99"/>
  <c r="D297" i="99"/>
  <c r="B298" i="99"/>
  <c r="E298" i="99"/>
  <c r="A299" i="99"/>
  <c r="H297" i="99"/>
  <c r="G297" i="99"/>
  <c r="F297" i="99"/>
  <c r="E299" i="99" l="1"/>
  <c r="B299" i="99"/>
  <c r="A300" i="99"/>
  <c r="E299" i="97"/>
  <c r="B299" i="97"/>
  <c r="A300" i="97"/>
  <c r="C298" i="97"/>
  <c r="D298" i="97"/>
  <c r="G298" i="97"/>
  <c r="F298" i="97"/>
  <c r="H298" i="97"/>
  <c r="D298" i="99"/>
  <c r="C298" i="99"/>
  <c r="G298" i="99"/>
  <c r="H298" i="99"/>
  <c r="F298" i="99"/>
  <c r="B300" i="97" l="1"/>
  <c r="E300" i="97"/>
  <c r="A301" i="97"/>
  <c r="C299" i="97"/>
  <c r="D299" i="97"/>
  <c r="C299" i="99"/>
  <c r="D299" i="99"/>
  <c r="G299" i="97"/>
  <c r="F299" i="97"/>
  <c r="H299" i="97"/>
  <c r="B300" i="99"/>
  <c r="E300" i="99"/>
  <c r="A301" i="99"/>
  <c r="F299" i="99"/>
  <c r="G299" i="99"/>
  <c r="H299" i="99"/>
  <c r="D300" i="99" l="1"/>
  <c r="C300" i="99"/>
  <c r="C300" i="97"/>
  <c r="D300" i="97"/>
  <c r="H300" i="97"/>
  <c r="G300" i="97"/>
  <c r="F300" i="97"/>
  <c r="G300" i="99"/>
  <c r="H300" i="99"/>
  <c r="F300" i="99"/>
  <c r="B301" i="99"/>
  <c r="E301" i="99"/>
  <c r="A302" i="99"/>
  <c r="B301" i="97"/>
  <c r="A302" i="97"/>
  <c r="E301" i="97"/>
  <c r="D301" i="97" l="1"/>
  <c r="C301" i="97"/>
  <c r="H301" i="97"/>
  <c r="G301" i="97"/>
  <c r="F301" i="97"/>
  <c r="B302" i="97"/>
  <c r="A303" i="97"/>
  <c r="E302" i="97"/>
  <c r="F301" i="99"/>
  <c r="G301" i="99"/>
  <c r="H301" i="99"/>
  <c r="C301" i="99"/>
  <c r="D301" i="99"/>
  <c r="E302" i="99"/>
  <c r="B302" i="99"/>
  <c r="A303" i="99"/>
  <c r="E303" i="99" l="1"/>
  <c r="B303" i="99"/>
  <c r="A304" i="99"/>
  <c r="D302" i="99"/>
  <c r="C302" i="99"/>
  <c r="F302" i="97"/>
  <c r="H302" i="97"/>
  <c r="G302" i="97"/>
  <c r="D302" i="97"/>
  <c r="C302" i="97"/>
  <c r="E303" i="97"/>
  <c r="B303" i="97"/>
  <c r="A304" i="97"/>
  <c r="H302" i="99"/>
  <c r="F302" i="99"/>
  <c r="G302" i="99"/>
  <c r="B304" i="97" l="1"/>
  <c r="E304" i="97"/>
  <c r="A305" i="97"/>
  <c r="C303" i="97"/>
  <c r="D303" i="97"/>
  <c r="F303" i="97"/>
  <c r="G303" i="97"/>
  <c r="H303" i="97"/>
  <c r="B304" i="99"/>
  <c r="A305" i="99"/>
  <c r="E304" i="99"/>
  <c r="C303" i="99"/>
  <c r="D303" i="99"/>
  <c r="G303" i="99"/>
  <c r="H303" i="99"/>
  <c r="F303" i="99"/>
  <c r="F304" i="97" l="1"/>
  <c r="H304" i="97"/>
  <c r="G304" i="97"/>
  <c r="D304" i="97"/>
  <c r="C304" i="97"/>
  <c r="G304" i="99"/>
  <c r="F304" i="99"/>
  <c r="H304" i="99"/>
  <c r="E305" i="97"/>
  <c r="B305" i="97"/>
  <c r="A306" i="97"/>
  <c r="B305" i="99"/>
  <c r="E305" i="99"/>
  <c r="A306" i="99"/>
  <c r="C304" i="99"/>
  <c r="D304" i="99"/>
  <c r="D305" i="97" l="1"/>
  <c r="C305" i="97"/>
  <c r="B306" i="97"/>
  <c r="E306" i="97"/>
  <c r="A307" i="97"/>
  <c r="C305" i="99"/>
  <c r="D305" i="99"/>
  <c r="H305" i="97"/>
  <c r="F305" i="97"/>
  <c r="G305" i="97"/>
  <c r="E306" i="99"/>
  <c r="B306" i="99"/>
  <c r="A307" i="99"/>
  <c r="G305" i="99"/>
  <c r="F305" i="99"/>
  <c r="H305" i="99"/>
  <c r="C306" i="99" l="1"/>
  <c r="D306" i="99"/>
  <c r="G306" i="97"/>
  <c r="F306" i="97"/>
  <c r="H306" i="97"/>
  <c r="F306" i="99"/>
  <c r="H306" i="99"/>
  <c r="G306" i="99"/>
  <c r="B307" i="99"/>
  <c r="E307" i="99"/>
  <c r="A308" i="99"/>
  <c r="D306" i="97"/>
  <c r="C306" i="97"/>
  <c r="E307" i="97"/>
  <c r="B307" i="97"/>
  <c r="A308" i="97"/>
  <c r="G307" i="97" l="1"/>
  <c r="F307" i="97"/>
  <c r="H307" i="97"/>
  <c r="C307" i="97"/>
  <c r="D307" i="97"/>
  <c r="E308" i="99"/>
  <c r="B308" i="99"/>
  <c r="A309" i="99"/>
  <c r="B308" i="97"/>
  <c r="E308" i="97"/>
  <c r="A309" i="97"/>
  <c r="H307" i="99"/>
  <c r="G307" i="99"/>
  <c r="F307" i="99"/>
  <c r="C307" i="99"/>
  <c r="D307" i="99"/>
  <c r="E309" i="97" l="1"/>
  <c r="B309" i="97"/>
  <c r="A310" i="97"/>
  <c r="G308" i="99"/>
  <c r="H308" i="99"/>
  <c r="F308" i="99"/>
  <c r="D308" i="97"/>
  <c r="C308" i="97"/>
  <c r="B309" i="99"/>
  <c r="E309" i="99"/>
  <c r="A310" i="99"/>
  <c r="F308" i="97"/>
  <c r="H308" i="97"/>
  <c r="G308" i="97"/>
  <c r="D308" i="99"/>
  <c r="C308" i="99"/>
  <c r="C309" i="99" l="1"/>
  <c r="D309" i="99"/>
  <c r="H309" i="99"/>
  <c r="F309" i="99"/>
  <c r="G309" i="99"/>
  <c r="F309" i="97"/>
  <c r="H309" i="97"/>
  <c r="G309" i="97"/>
  <c r="E310" i="97"/>
  <c r="B310" i="97"/>
  <c r="A311" i="97"/>
  <c r="E310" i="99"/>
  <c r="B310" i="99"/>
  <c r="A311" i="99"/>
  <c r="C309" i="97"/>
  <c r="D309" i="97"/>
  <c r="C310" i="99" l="1"/>
  <c r="D310" i="99"/>
  <c r="F310" i="99"/>
  <c r="G310" i="99"/>
  <c r="H310" i="99"/>
  <c r="B311" i="97"/>
  <c r="E311" i="97"/>
  <c r="A312" i="97"/>
  <c r="B311" i="99"/>
  <c r="E311" i="99"/>
  <c r="A312" i="99"/>
  <c r="C310" i="97"/>
  <c r="D310" i="97"/>
  <c r="G310" i="97"/>
  <c r="F310" i="97"/>
  <c r="H310" i="97"/>
  <c r="F311" i="99" l="1"/>
  <c r="H311" i="99"/>
  <c r="G311" i="99"/>
  <c r="G311" i="97"/>
  <c r="F311" i="97"/>
  <c r="H311" i="97"/>
  <c r="D311" i="97"/>
  <c r="C311" i="97"/>
  <c r="C311" i="99"/>
  <c r="D311" i="99"/>
  <c r="E312" i="97"/>
  <c r="B312" i="97"/>
  <c r="A313" i="97"/>
  <c r="E312" i="99"/>
  <c r="B312" i="99"/>
  <c r="A313" i="99"/>
  <c r="B313" i="99" l="1"/>
  <c r="E313" i="99"/>
  <c r="A314" i="99"/>
  <c r="D312" i="99"/>
  <c r="C312" i="99"/>
  <c r="B313" i="97"/>
  <c r="E313" i="97"/>
  <c r="A314" i="97"/>
  <c r="G312" i="99"/>
  <c r="H312" i="99"/>
  <c r="F312" i="99"/>
  <c r="G312" i="97"/>
  <c r="H312" i="97"/>
  <c r="F312" i="97"/>
  <c r="C312" i="97"/>
  <c r="D312" i="97"/>
  <c r="A315" i="97" l="1"/>
  <c r="B314" i="97"/>
  <c r="E314" i="97"/>
  <c r="E314" i="99"/>
  <c r="B314" i="99"/>
  <c r="A315" i="99"/>
  <c r="G313" i="99"/>
  <c r="H313" i="99"/>
  <c r="F313" i="99"/>
  <c r="C313" i="99"/>
  <c r="D313" i="99"/>
  <c r="D313" i="97"/>
  <c r="C313" i="97"/>
  <c r="G313" i="97"/>
  <c r="F313" i="97"/>
  <c r="H313" i="97"/>
  <c r="C314" i="99" l="1"/>
  <c r="D314" i="99"/>
  <c r="A316" i="97"/>
  <c r="B315" i="97"/>
  <c r="E315" i="97"/>
  <c r="D314" i="97"/>
  <c r="C314" i="97"/>
  <c r="E315" i="99"/>
  <c r="B315" i="99"/>
  <c r="A316" i="99"/>
  <c r="G314" i="99"/>
  <c r="F314" i="99"/>
  <c r="H314" i="99"/>
  <c r="H314" i="97"/>
  <c r="G314" i="97"/>
  <c r="F314" i="97"/>
  <c r="C315" i="99" l="1"/>
  <c r="D315" i="99"/>
  <c r="F315" i="99"/>
  <c r="H315" i="99"/>
  <c r="G315" i="99"/>
  <c r="B316" i="99"/>
  <c r="E316" i="99"/>
  <c r="A317" i="99"/>
  <c r="H315" i="97"/>
  <c r="F315" i="97"/>
  <c r="G315" i="97"/>
  <c r="D315" i="97"/>
  <c r="C315" i="97"/>
  <c r="E316" i="97"/>
  <c r="B316" i="97"/>
  <c r="A317" i="97"/>
  <c r="D316" i="99" l="1"/>
  <c r="C316" i="99"/>
  <c r="D316" i="97"/>
  <c r="C316" i="97"/>
  <c r="B317" i="97"/>
  <c r="A318" i="97"/>
  <c r="E317" i="97"/>
  <c r="H316" i="99"/>
  <c r="G316" i="99"/>
  <c r="F316" i="99"/>
  <c r="G316" i="97"/>
  <c r="F316" i="97"/>
  <c r="H316" i="97"/>
  <c r="B317" i="99"/>
  <c r="E317" i="99"/>
  <c r="A318" i="99"/>
  <c r="E318" i="97" l="1"/>
  <c r="B318" i="97"/>
  <c r="A319" i="97"/>
  <c r="E318" i="99"/>
  <c r="B318" i="99"/>
  <c r="A319" i="99"/>
  <c r="G317" i="97"/>
  <c r="F317" i="97"/>
  <c r="H317" i="97"/>
  <c r="C317" i="99"/>
  <c r="D317" i="99"/>
  <c r="H317" i="99"/>
  <c r="G317" i="99"/>
  <c r="F317" i="99"/>
  <c r="D317" i="97"/>
  <c r="C317" i="97"/>
  <c r="B319" i="99" l="1"/>
  <c r="E319" i="99"/>
  <c r="A320" i="99"/>
  <c r="C318" i="99"/>
  <c r="D318" i="99"/>
  <c r="B319" i="97"/>
  <c r="E319" i="97"/>
  <c r="A320" i="97"/>
  <c r="D318" i="97"/>
  <c r="C318" i="97"/>
  <c r="F318" i="97"/>
  <c r="H318" i="97"/>
  <c r="G318" i="97"/>
  <c r="H318" i="99"/>
  <c r="F318" i="99"/>
  <c r="G318" i="99"/>
  <c r="B320" i="97" l="1"/>
  <c r="E320" i="97"/>
  <c r="A321" i="97"/>
  <c r="B320" i="99"/>
  <c r="E320" i="99"/>
  <c r="A321" i="99"/>
  <c r="G319" i="97"/>
  <c r="H319" i="97"/>
  <c r="F319" i="97"/>
  <c r="D319" i="97"/>
  <c r="C319" i="97"/>
  <c r="H319" i="99"/>
  <c r="F319" i="99"/>
  <c r="G319" i="99"/>
  <c r="C319" i="99"/>
  <c r="D319" i="99"/>
  <c r="B321" i="99" l="1"/>
  <c r="E321" i="99"/>
  <c r="A322" i="99"/>
  <c r="G320" i="97"/>
  <c r="F320" i="97"/>
  <c r="H320" i="97"/>
  <c r="G320" i="99"/>
  <c r="H320" i="99"/>
  <c r="F320" i="99"/>
  <c r="C320" i="97"/>
  <c r="D320" i="97"/>
  <c r="D320" i="99"/>
  <c r="C320" i="99"/>
  <c r="B321" i="97"/>
  <c r="E321" i="97"/>
  <c r="A322" i="97"/>
  <c r="G321" i="97" l="1"/>
  <c r="H321" i="97"/>
  <c r="F321" i="97"/>
  <c r="B322" i="99"/>
  <c r="E322" i="99"/>
  <c r="A323" i="99"/>
  <c r="F321" i="99"/>
  <c r="G321" i="99"/>
  <c r="H321" i="99"/>
  <c r="E322" i="97"/>
  <c r="B322" i="97"/>
  <c r="A323" i="97"/>
  <c r="D321" i="97"/>
  <c r="C321" i="97"/>
  <c r="D321" i="99"/>
  <c r="C321" i="99"/>
  <c r="B323" i="97" l="1"/>
  <c r="A324" i="97"/>
  <c r="E323" i="97"/>
  <c r="H322" i="99"/>
  <c r="G322" i="99"/>
  <c r="F322" i="99"/>
  <c r="F322" i="97"/>
  <c r="G322" i="97"/>
  <c r="H322" i="97"/>
  <c r="B323" i="99"/>
  <c r="A324" i="99"/>
  <c r="E323" i="99"/>
  <c r="C322" i="97"/>
  <c r="D322" i="97"/>
  <c r="C322" i="99"/>
  <c r="D322" i="99"/>
  <c r="D323" i="99" l="1"/>
  <c r="C323" i="99"/>
  <c r="F323" i="97"/>
  <c r="H323" i="97"/>
  <c r="G323" i="97"/>
  <c r="A325" i="99"/>
  <c r="B324" i="99"/>
  <c r="E324" i="99"/>
  <c r="C323" i="97"/>
  <c r="D323" i="97"/>
  <c r="A325" i="97"/>
  <c r="B324" i="97"/>
  <c r="E324" i="97"/>
  <c r="H323" i="99"/>
  <c r="F323" i="99"/>
  <c r="G323" i="99"/>
  <c r="G324" i="99" l="1"/>
  <c r="H324" i="99"/>
  <c r="F324" i="99"/>
  <c r="E325" i="97"/>
  <c r="A326" i="97"/>
  <c r="B325" i="97"/>
  <c r="C324" i="97"/>
  <c r="D324" i="97"/>
  <c r="B325" i="99"/>
  <c r="A326" i="99"/>
  <c r="E325" i="99"/>
  <c r="D324" i="99"/>
  <c r="C324" i="99"/>
  <c r="H324" i="97"/>
  <c r="G324" i="97"/>
  <c r="F324" i="97"/>
  <c r="D325" i="99" l="1"/>
  <c r="C325" i="99"/>
  <c r="B326" i="97"/>
  <c r="A327" i="97"/>
  <c r="E326" i="97"/>
  <c r="B326" i="99"/>
  <c r="A327" i="99"/>
  <c r="E326" i="99"/>
  <c r="C325" i="97"/>
  <c r="D325" i="97"/>
  <c r="H325" i="99"/>
  <c r="G325" i="99"/>
  <c r="F325" i="99"/>
  <c r="F325" i="97"/>
  <c r="G325" i="97"/>
  <c r="H325" i="97"/>
  <c r="H326" i="99" l="1"/>
  <c r="F326" i="99"/>
  <c r="G326" i="99"/>
  <c r="E327" i="99"/>
  <c r="A328" i="99"/>
  <c r="B327" i="99"/>
  <c r="G326" i="97"/>
  <c r="F326" i="97"/>
  <c r="H326" i="97"/>
  <c r="C326" i="99"/>
  <c r="D326" i="99"/>
  <c r="C326" i="97"/>
  <c r="D326" i="97"/>
  <c r="E327" i="97"/>
  <c r="A328" i="97"/>
  <c r="B327" i="97"/>
  <c r="A329" i="99" l="1"/>
  <c r="E328" i="99"/>
  <c r="B328" i="99"/>
  <c r="H327" i="99"/>
  <c r="F327" i="99"/>
  <c r="G327" i="99"/>
  <c r="G327" i="97"/>
  <c r="H327" i="97"/>
  <c r="F327" i="97"/>
  <c r="C327" i="97"/>
  <c r="D327" i="97"/>
  <c r="E328" i="97"/>
  <c r="B328" i="97"/>
  <c r="A329" i="97"/>
  <c r="D327" i="99"/>
  <c r="C327" i="99"/>
  <c r="A330" i="97" l="1"/>
  <c r="B329" i="97"/>
  <c r="E329" i="97"/>
  <c r="C328" i="99"/>
  <c r="D328" i="99"/>
  <c r="H328" i="97"/>
  <c r="G328" i="97"/>
  <c r="F328" i="97"/>
  <c r="C328" i="97"/>
  <c r="D328" i="97"/>
  <c r="H328" i="99"/>
  <c r="G328" i="99"/>
  <c r="F328" i="99"/>
  <c r="E329" i="99"/>
  <c r="B329" i="99"/>
  <c r="A330" i="99"/>
  <c r="D329" i="99" l="1"/>
  <c r="C329" i="99"/>
  <c r="G329" i="97"/>
  <c r="F329" i="97"/>
  <c r="H329" i="97"/>
  <c r="C329" i="97"/>
  <c r="D329" i="97"/>
  <c r="A331" i="99"/>
  <c r="B330" i="99"/>
  <c r="E330" i="99"/>
  <c r="F329" i="99"/>
  <c r="G329" i="99"/>
  <c r="H329" i="99"/>
  <c r="B330" i="97"/>
  <c r="A331" i="97"/>
  <c r="E330" i="97"/>
  <c r="G330" i="97" l="1"/>
  <c r="H330" i="97"/>
  <c r="F330" i="97"/>
  <c r="C330" i="97"/>
  <c r="D330" i="97"/>
  <c r="H330" i="99"/>
  <c r="F330" i="99"/>
  <c r="G330" i="99"/>
  <c r="C330" i="99"/>
  <c r="D330" i="99"/>
  <c r="E331" i="99"/>
  <c r="B331" i="99"/>
  <c r="A332" i="99"/>
  <c r="E331" i="97"/>
  <c r="B331" i="97"/>
  <c r="A332" i="97"/>
  <c r="C331" i="99" l="1"/>
  <c r="D331" i="99"/>
  <c r="C331" i="97"/>
  <c r="D331" i="97"/>
  <c r="G331" i="97"/>
  <c r="H331" i="97"/>
  <c r="F331" i="97"/>
  <c r="G331" i="99"/>
  <c r="H331" i="99"/>
  <c r="F331" i="99"/>
  <c r="E332" i="97"/>
  <c r="A333" i="97"/>
  <c r="B332" i="97"/>
  <c r="E332" i="99"/>
  <c r="B332" i="99"/>
  <c r="A333" i="99"/>
  <c r="H332" i="99" l="1"/>
  <c r="F332" i="99"/>
  <c r="G332" i="99"/>
  <c r="H332" i="97"/>
  <c r="F332" i="97"/>
  <c r="G332" i="97"/>
  <c r="B333" i="99"/>
  <c r="E333" i="99"/>
  <c r="A334" i="99"/>
  <c r="C332" i="97"/>
  <c r="D332" i="97"/>
  <c r="B333" i="97"/>
  <c r="A334" i="97"/>
  <c r="E333" i="97"/>
  <c r="D332" i="99"/>
  <c r="C332" i="99"/>
  <c r="D333" i="99" l="1"/>
  <c r="C333" i="99"/>
  <c r="C333" i="97"/>
  <c r="D333" i="97"/>
  <c r="G333" i="99"/>
  <c r="F333" i="99"/>
  <c r="H333" i="99"/>
  <c r="E334" i="99"/>
  <c r="A335" i="99"/>
  <c r="B334" i="99"/>
  <c r="G333" i="97"/>
  <c r="H333" i="97"/>
  <c r="F333" i="97"/>
  <c r="B334" i="97"/>
  <c r="A335" i="97"/>
  <c r="E334" i="97"/>
  <c r="D334" i="97" l="1"/>
  <c r="C334" i="97"/>
  <c r="H334" i="97"/>
  <c r="F334" i="97"/>
  <c r="G334" i="97"/>
  <c r="B335" i="99"/>
  <c r="E335" i="99"/>
  <c r="A336" i="99"/>
  <c r="G334" i="99"/>
  <c r="F334" i="99"/>
  <c r="H334" i="99"/>
  <c r="D334" i="99"/>
  <c r="C334" i="99"/>
  <c r="B335" i="97"/>
  <c r="E335" i="97"/>
  <c r="A336" i="97"/>
  <c r="D335" i="97" l="1"/>
  <c r="C335" i="97"/>
  <c r="A337" i="99"/>
  <c r="B336" i="99"/>
  <c r="E336" i="99"/>
  <c r="G335" i="97"/>
  <c r="F335" i="97"/>
  <c r="H335" i="97"/>
  <c r="H335" i="99"/>
  <c r="G335" i="99"/>
  <c r="F335" i="99"/>
  <c r="E336" i="97"/>
  <c r="B336" i="97"/>
  <c r="A337" i="97"/>
  <c r="C335" i="99"/>
  <c r="D335" i="99"/>
  <c r="B337" i="99" l="1"/>
  <c r="E337" i="99"/>
  <c r="A338" i="99"/>
  <c r="B337" i="97"/>
  <c r="E337" i="97"/>
  <c r="A338" i="97"/>
  <c r="D336" i="99"/>
  <c r="C336" i="99"/>
  <c r="F336" i="97"/>
  <c r="H336" i="97"/>
  <c r="G336" i="97"/>
  <c r="D336" i="97"/>
  <c r="C336" i="97"/>
  <c r="H336" i="99"/>
  <c r="G336" i="99"/>
  <c r="F336" i="99"/>
  <c r="H337" i="97" l="1"/>
  <c r="F337" i="97"/>
  <c r="G337" i="97"/>
  <c r="C337" i="97"/>
  <c r="D337" i="97"/>
  <c r="E338" i="99"/>
  <c r="B338" i="99"/>
  <c r="A339" i="99"/>
  <c r="C337" i="99"/>
  <c r="D337" i="99"/>
  <c r="B338" i="97"/>
  <c r="E338" i="97"/>
  <c r="A339" i="97"/>
  <c r="F337" i="99"/>
  <c r="H337" i="99"/>
  <c r="G337" i="99"/>
  <c r="C338" i="97" l="1"/>
  <c r="D338" i="97"/>
  <c r="G338" i="97"/>
  <c r="H338" i="97"/>
  <c r="F338" i="97"/>
  <c r="E339" i="97"/>
  <c r="B339" i="97"/>
  <c r="A340" i="97"/>
  <c r="B339" i="99"/>
  <c r="E339" i="99"/>
  <c r="A340" i="99"/>
  <c r="C338" i="99"/>
  <c r="D338" i="99"/>
  <c r="H338" i="99"/>
  <c r="G338" i="99"/>
  <c r="F338" i="99"/>
  <c r="C339" i="97" l="1"/>
  <c r="D339" i="97"/>
  <c r="G339" i="97"/>
  <c r="F339" i="97"/>
  <c r="H339" i="97"/>
  <c r="A341" i="99"/>
  <c r="E340" i="99"/>
  <c r="B340" i="99"/>
  <c r="B340" i="97"/>
  <c r="A341" i="97"/>
  <c r="E340" i="97"/>
  <c r="G339" i="99"/>
  <c r="H339" i="99"/>
  <c r="F339" i="99"/>
  <c r="D339" i="99"/>
  <c r="C339" i="99"/>
  <c r="H340" i="99" l="1"/>
  <c r="F340" i="99"/>
  <c r="G340" i="99"/>
  <c r="A342" i="99"/>
  <c r="B341" i="99"/>
  <c r="E341" i="99"/>
  <c r="G340" i="97"/>
  <c r="H340" i="97"/>
  <c r="F340" i="97"/>
  <c r="B341" i="97"/>
  <c r="A342" i="97"/>
  <c r="E341" i="97"/>
  <c r="D340" i="99"/>
  <c r="C340" i="99"/>
  <c r="D340" i="97"/>
  <c r="C340" i="97"/>
  <c r="F341" i="99" l="1"/>
  <c r="G341" i="99"/>
  <c r="H341" i="99"/>
  <c r="D341" i="99"/>
  <c r="C341" i="99"/>
  <c r="E342" i="99"/>
  <c r="B342" i="99"/>
  <c r="A343" i="99"/>
  <c r="D341" i="97"/>
  <c r="C341" i="97"/>
  <c r="H341" i="97"/>
  <c r="F341" i="97"/>
  <c r="G341" i="97"/>
  <c r="B342" i="97"/>
  <c r="A343" i="97"/>
  <c r="E342" i="97"/>
  <c r="B343" i="99" l="1"/>
  <c r="E343" i="99"/>
  <c r="A344" i="99"/>
  <c r="G342" i="99"/>
  <c r="F342" i="99"/>
  <c r="H342" i="99"/>
  <c r="G342" i="97"/>
  <c r="F342" i="97"/>
  <c r="H342" i="97"/>
  <c r="C342" i="97"/>
  <c r="D342" i="97"/>
  <c r="C342" i="99"/>
  <c r="D342" i="99"/>
  <c r="B343" i="97"/>
  <c r="E343" i="97"/>
  <c r="A344" i="97"/>
  <c r="F343" i="97" l="1"/>
  <c r="G343" i="97"/>
  <c r="H343" i="97"/>
  <c r="D343" i="97"/>
  <c r="C343" i="97"/>
  <c r="B344" i="99"/>
  <c r="E344" i="99"/>
  <c r="A345" i="99"/>
  <c r="H343" i="99"/>
  <c r="G343" i="99"/>
  <c r="F343" i="99"/>
  <c r="D343" i="99"/>
  <c r="C343" i="99"/>
  <c r="E344" i="97"/>
  <c r="A345" i="97"/>
  <c r="B344" i="97"/>
  <c r="F344" i="99" l="1"/>
  <c r="H344" i="99"/>
  <c r="G344" i="99"/>
  <c r="A346" i="99"/>
  <c r="E345" i="99"/>
  <c r="B345" i="99"/>
  <c r="C344" i="99"/>
  <c r="D344" i="99"/>
  <c r="D344" i="97"/>
  <c r="C344" i="97"/>
  <c r="E345" i="97"/>
  <c r="A346" i="97"/>
  <c r="B345" i="97"/>
  <c r="F344" i="97"/>
  <c r="H344" i="97"/>
  <c r="G344" i="97"/>
  <c r="G345" i="99" l="1"/>
  <c r="H345" i="99"/>
  <c r="F345" i="99"/>
  <c r="G345" i="97"/>
  <c r="H345" i="97"/>
  <c r="F345" i="97"/>
  <c r="E346" i="99"/>
  <c r="B346" i="99"/>
  <c r="A347" i="99"/>
  <c r="C345" i="97"/>
  <c r="D345" i="97"/>
  <c r="B346" i="97"/>
  <c r="E346" i="97"/>
  <c r="A347" i="97"/>
  <c r="C345" i="99"/>
  <c r="D345" i="99"/>
  <c r="C346" i="99" l="1"/>
  <c r="D346" i="99"/>
  <c r="H346" i="99"/>
  <c r="F346" i="99"/>
  <c r="G346" i="99"/>
  <c r="E347" i="97"/>
  <c r="B347" i="97"/>
  <c r="A348" i="97"/>
  <c r="D346" i="97"/>
  <c r="C346" i="97"/>
  <c r="E347" i="99"/>
  <c r="A348" i="99"/>
  <c r="B347" i="99"/>
  <c r="G346" i="97"/>
  <c r="F346" i="97"/>
  <c r="H346" i="97"/>
  <c r="E348" i="97" l="1"/>
  <c r="A349" i="97"/>
  <c r="B348" i="97"/>
  <c r="G347" i="97"/>
  <c r="H347" i="97"/>
  <c r="F347" i="97"/>
  <c r="H347" i="99"/>
  <c r="F347" i="99"/>
  <c r="G347" i="99"/>
  <c r="D347" i="97"/>
  <c r="C347" i="97"/>
  <c r="E348" i="99"/>
  <c r="B348" i="99"/>
  <c r="A349" i="99"/>
  <c r="D347" i="99"/>
  <c r="C347" i="99"/>
  <c r="E349" i="99" l="1"/>
  <c r="B349" i="99"/>
  <c r="A350" i="99"/>
  <c r="D348" i="99"/>
  <c r="C348" i="99"/>
  <c r="C348" i="97"/>
  <c r="D348" i="97"/>
  <c r="F348" i="99"/>
  <c r="G348" i="99"/>
  <c r="H348" i="99"/>
  <c r="E349" i="97"/>
  <c r="B349" i="97"/>
  <c r="A350" i="97"/>
  <c r="G348" i="97"/>
  <c r="F348" i="97"/>
  <c r="H348" i="97"/>
  <c r="G349" i="99" l="1"/>
  <c r="H349" i="99"/>
  <c r="F349" i="99"/>
  <c r="C349" i="99"/>
  <c r="D349" i="99"/>
  <c r="B350" i="99"/>
  <c r="E350" i="99"/>
  <c r="A351" i="99"/>
  <c r="B350" i="97"/>
  <c r="E350" i="97"/>
  <c r="A351" i="97"/>
  <c r="G349" i="97"/>
  <c r="F349" i="97"/>
  <c r="H349" i="97"/>
  <c r="C349" i="97"/>
  <c r="D349" i="97"/>
  <c r="D350" i="97" l="1"/>
  <c r="C350" i="97"/>
  <c r="F350" i="97"/>
  <c r="G350" i="97"/>
  <c r="H350" i="97"/>
  <c r="F350" i="99"/>
  <c r="G350" i="99"/>
  <c r="H350" i="99"/>
  <c r="D350" i="99"/>
  <c r="C350" i="99"/>
  <c r="B351" i="99"/>
  <c r="E351" i="99"/>
  <c r="A352" i="99"/>
  <c r="E351" i="97"/>
  <c r="A352" i="97"/>
  <c r="B351" i="97"/>
  <c r="B352" i="99" l="1"/>
  <c r="E352" i="99"/>
  <c r="A353" i="99"/>
  <c r="F351" i="99"/>
  <c r="H351" i="99"/>
  <c r="G351" i="99"/>
  <c r="F351" i="97"/>
  <c r="H351" i="97"/>
  <c r="G351" i="97"/>
  <c r="D351" i="99"/>
  <c r="C351" i="99"/>
  <c r="C351" i="97"/>
  <c r="D351" i="97"/>
  <c r="E352" i="97"/>
  <c r="B352" i="97"/>
  <c r="A353" i="97"/>
  <c r="B353" i="97" l="1"/>
  <c r="E353" i="97"/>
  <c r="A354" i="97"/>
  <c r="C352" i="97"/>
  <c r="D352" i="97"/>
  <c r="F352" i="97"/>
  <c r="H352" i="97"/>
  <c r="G352" i="97"/>
  <c r="B353" i="99"/>
  <c r="E353" i="99"/>
  <c r="A354" i="99"/>
  <c r="F352" i="99"/>
  <c r="H352" i="99"/>
  <c r="G352" i="99"/>
  <c r="D352" i="99"/>
  <c r="C352" i="99"/>
  <c r="C353" i="97" l="1"/>
  <c r="D353" i="97"/>
  <c r="B354" i="99"/>
  <c r="A355" i="99"/>
  <c r="E354" i="99"/>
  <c r="C353" i="99"/>
  <c r="D353" i="99"/>
  <c r="G353" i="97"/>
  <c r="H353" i="97"/>
  <c r="F353" i="97"/>
  <c r="F353" i="99"/>
  <c r="H353" i="99"/>
  <c r="G353" i="99"/>
  <c r="B354" i="97"/>
  <c r="A355" i="97"/>
  <c r="E354" i="97"/>
  <c r="H354" i="99" l="1"/>
  <c r="G354" i="99"/>
  <c r="F354" i="99"/>
  <c r="G354" i="97"/>
  <c r="F354" i="97"/>
  <c r="H354" i="97"/>
  <c r="C354" i="99"/>
  <c r="D354" i="99"/>
  <c r="B355" i="97"/>
  <c r="A356" i="97"/>
  <c r="E355" i="97"/>
  <c r="E355" i="99"/>
  <c r="A356" i="99"/>
  <c r="B355" i="99"/>
  <c r="C354" i="97"/>
  <c r="D354" i="97"/>
  <c r="B356" i="99" l="1"/>
  <c r="E356" i="99"/>
  <c r="A357" i="99"/>
  <c r="C355" i="99"/>
  <c r="D355" i="99"/>
  <c r="H355" i="97"/>
  <c r="G355" i="97"/>
  <c r="F355" i="97"/>
  <c r="H355" i="99"/>
  <c r="F355" i="99"/>
  <c r="G355" i="99"/>
  <c r="A357" i="97"/>
  <c r="E356" i="97"/>
  <c r="B356" i="97"/>
  <c r="C355" i="97"/>
  <c r="D355" i="97"/>
  <c r="B357" i="99" l="1"/>
  <c r="E357" i="99"/>
  <c r="A358" i="99"/>
  <c r="G356" i="99"/>
  <c r="H356" i="99"/>
  <c r="F356" i="99"/>
  <c r="D356" i="99"/>
  <c r="C356" i="99"/>
  <c r="G356" i="97"/>
  <c r="F356" i="97"/>
  <c r="H356" i="97"/>
  <c r="C356" i="97"/>
  <c r="D356" i="97"/>
  <c r="A358" i="97"/>
  <c r="B357" i="97"/>
  <c r="E357" i="97"/>
  <c r="B358" i="99" l="1"/>
  <c r="E358" i="99"/>
  <c r="A359" i="99"/>
  <c r="B358" i="97"/>
  <c r="E358" i="97"/>
  <c r="A359" i="97"/>
  <c r="G357" i="97"/>
  <c r="H357" i="97"/>
  <c r="F357" i="97"/>
  <c r="H357" i="99"/>
  <c r="F357" i="99"/>
  <c r="G357" i="99"/>
  <c r="D357" i="97"/>
  <c r="C357" i="97"/>
  <c r="D357" i="99"/>
  <c r="C357" i="99"/>
  <c r="C358" i="97" l="1"/>
  <c r="D358" i="97"/>
  <c r="C358" i="99"/>
  <c r="D358" i="99"/>
  <c r="E359" i="99"/>
  <c r="A360" i="99"/>
  <c r="B359" i="99"/>
  <c r="E359" i="97"/>
  <c r="B359" i="97"/>
  <c r="A360" i="97"/>
  <c r="F358" i="99"/>
  <c r="G358" i="99"/>
  <c r="H358" i="99"/>
  <c r="G358" i="97"/>
  <c r="F358" i="97"/>
  <c r="H358" i="97"/>
  <c r="B360" i="97" l="1"/>
  <c r="A361" i="97"/>
  <c r="E360" i="97"/>
  <c r="C359" i="97"/>
  <c r="D359" i="97"/>
  <c r="D359" i="99"/>
  <c r="C359" i="99"/>
  <c r="H359" i="97"/>
  <c r="G359" i="97"/>
  <c r="F359" i="97"/>
  <c r="B360" i="99"/>
  <c r="A361" i="99"/>
  <c r="E360" i="99"/>
  <c r="H359" i="99"/>
  <c r="G359" i="99"/>
  <c r="F359" i="99"/>
  <c r="H360" i="99" l="1"/>
  <c r="F360" i="99"/>
  <c r="G360" i="99"/>
  <c r="E361" i="97"/>
  <c r="B361" i="97"/>
  <c r="A362" i="97"/>
  <c r="G360" i="97"/>
  <c r="F360" i="97"/>
  <c r="H360" i="97"/>
  <c r="E361" i="99"/>
  <c r="B361" i="99"/>
  <c r="A362" i="99"/>
  <c r="C360" i="97"/>
  <c r="D360" i="97"/>
  <c r="C360" i="99"/>
  <c r="D360" i="99"/>
  <c r="D361" i="99" l="1"/>
  <c r="C361" i="99"/>
  <c r="E362" i="99"/>
  <c r="B362" i="99"/>
  <c r="A363" i="99"/>
  <c r="G361" i="97"/>
  <c r="H361" i="97"/>
  <c r="F361" i="97"/>
  <c r="G361" i="99"/>
  <c r="F361" i="99"/>
  <c r="H361" i="99"/>
  <c r="E362" i="97"/>
  <c r="B362" i="97"/>
  <c r="A363" i="97"/>
  <c r="C361" i="97"/>
  <c r="D361" i="97"/>
  <c r="D362" i="97" l="1"/>
  <c r="C362" i="97"/>
  <c r="B363" i="99"/>
  <c r="E363" i="99"/>
  <c r="A364" i="99"/>
  <c r="C362" i="99"/>
  <c r="D362" i="99"/>
  <c r="F362" i="97"/>
  <c r="G362" i="97"/>
  <c r="H362" i="97"/>
  <c r="G362" i="99"/>
  <c r="F362" i="99"/>
  <c r="H362" i="99"/>
  <c r="E363" i="97"/>
  <c r="B363" i="97"/>
  <c r="A364" i="97"/>
  <c r="G363" i="99" l="1"/>
  <c r="H363" i="99"/>
  <c r="F363" i="99"/>
  <c r="G363" i="97"/>
  <c r="F363" i="97"/>
  <c r="H363" i="97"/>
  <c r="C363" i="99"/>
  <c r="D363" i="99"/>
  <c r="B364" i="97"/>
  <c r="A365" i="97"/>
  <c r="E364" i="97"/>
  <c r="B364" i="99"/>
  <c r="E364" i="99"/>
  <c r="A365" i="99"/>
  <c r="C363" i="97"/>
  <c r="D363" i="97"/>
  <c r="H364" i="97" l="1"/>
  <c r="G364" i="97"/>
  <c r="F364" i="97"/>
  <c r="C364" i="99"/>
  <c r="D364" i="99"/>
  <c r="E365" i="97"/>
  <c r="B365" i="97"/>
  <c r="A366" i="97"/>
  <c r="C364" i="97"/>
  <c r="D364" i="97"/>
  <c r="F364" i="99"/>
  <c r="H364" i="99"/>
  <c r="G364" i="99"/>
  <c r="E365" i="99"/>
  <c r="B365" i="99"/>
  <c r="A366" i="99"/>
  <c r="E366" i="97" l="1"/>
  <c r="B366" i="97"/>
  <c r="A367" i="97"/>
  <c r="C365" i="99"/>
  <c r="D365" i="99"/>
  <c r="H365" i="97"/>
  <c r="G365" i="97"/>
  <c r="F365" i="97"/>
  <c r="B366" i="99"/>
  <c r="E366" i="99"/>
  <c r="A367" i="99"/>
  <c r="C365" i="97"/>
  <c r="D365" i="97"/>
  <c r="F365" i="99"/>
  <c r="G365" i="99"/>
  <c r="H365" i="99"/>
  <c r="G366" i="99" l="1"/>
  <c r="H366" i="99"/>
  <c r="F366" i="99"/>
  <c r="B367" i="99"/>
  <c r="A368" i="99"/>
  <c r="E367" i="99"/>
  <c r="C366" i="99"/>
  <c r="D366" i="99"/>
  <c r="E367" i="97"/>
  <c r="B367" i="97"/>
  <c r="A368" i="97"/>
  <c r="C366" i="97"/>
  <c r="D366" i="97"/>
  <c r="F366" i="97"/>
  <c r="H366" i="97"/>
  <c r="G366" i="97"/>
  <c r="A369" i="99" l="1"/>
  <c r="B368" i="99"/>
  <c r="E368" i="99"/>
  <c r="D367" i="99"/>
  <c r="C367" i="99"/>
  <c r="D367" i="97"/>
  <c r="C367" i="97"/>
  <c r="F367" i="99"/>
  <c r="H367" i="99"/>
  <c r="G367" i="99"/>
  <c r="B368" i="97"/>
  <c r="E368" i="97"/>
  <c r="A369" i="97"/>
  <c r="G367" i="97"/>
  <c r="F367" i="97"/>
  <c r="H367" i="97"/>
  <c r="D368" i="97" l="1"/>
  <c r="C368" i="97"/>
  <c r="H368" i="99"/>
  <c r="F368" i="99"/>
  <c r="G368" i="99"/>
  <c r="B369" i="97"/>
  <c r="A370" i="97"/>
  <c r="E369" i="97"/>
  <c r="D368" i="99"/>
  <c r="C368" i="99"/>
  <c r="G368" i="97"/>
  <c r="H368" i="97"/>
  <c r="F368" i="97"/>
  <c r="E369" i="99"/>
  <c r="A370" i="99"/>
  <c r="B369" i="99"/>
  <c r="G369" i="99" l="1"/>
  <c r="F369" i="99"/>
  <c r="H369" i="99"/>
  <c r="G369" i="97"/>
  <c r="H369" i="97"/>
  <c r="F369" i="97"/>
  <c r="B370" i="97"/>
  <c r="E370" i="97"/>
  <c r="A371" i="97"/>
  <c r="C369" i="99"/>
  <c r="D369" i="99"/>
  <c r="B370" i="99"/>
  <c r="E370" i="99"/>
  <c r="A371" i="99"/>
  <c r="D369" i="97"/>
  <c r="C369" i="97"/>
  <c r="B371" i="99" l="1"/>
  <c r="A372" i="99"/>
  <c r="E371" i="99"/>
  <c r="G370" i="99"/>
  <c r="H370" i="99"/>
  <c r="F370" i="99"/>
  <c r="E371" i="97"/>
  <c r="A372" i="97"/>
  <c r="B371" i="97"/>
  <c r="C370" i="99"/>
  <c r="D370" i="99"/>
  <c r="D370" i="97"/>
  <c r="C370" i="97"/>
  <c r="F370" i="97"/>
  <c r="H370" i="97"/>
  <c r="G370" i="97"/>
  <c r="H371" i="99" l="1"/>
  <c r="F371" i="99"/>
  <c r="G371" i="99"/>
  <c r="B372" i="99"/>
  <c r="A373" i="99"/>
  <c r="E372" i="99"/>
  <c r="C371" i="99"/>
  <c r="D371" i="99"/>
  <c r="F371" i="97"/>
  <c r="H371" i="97"/>
  <c r="G371" i="97"/>
  <c r="C371" i="97"/>
  <c r="D371" i="97"/>
  <c r="E372" i="97"/>
  <c r="A373" i="97"/>
  <c r="B372" i="97"/>
  <c r="D372" i="99" l="1"/>
  <c r="C372" i="99"/>
  <c r="A374" i="97"/>
  <c r="E373" i="97"/>
  <c r="B373" i="97"/>
  <c r="G372" i="99"/>
  <c r="F372" i="99"/>
  <c r="H372" i="99"/>
  <c r="G372" i="97"/>
  <c r="F372" i="97"/>
  <c r="H372" i="97"/>
  <c r="D372" i="97"/>
  <c r="C372" i="97"/>
  <c r="B373" i="99"/>
  <c r="E373" i="99"/>
  <c r="A374" i="99"/>
  <c r="C373" i="99" l="1"/>
  <c r="D373" i="99"/>
  <c r="B374" i="99"/>
  <c r="E374" i="99"/>
  <c r="A375" i="99"/>
  <c r="D373" i="97"/>
  <c r="C373" i="97"/>
  <c r="H373" i="99"/>
  <c r="F373" i="99"/>
  <c r="G373" i="99"/>
  <c r="G373" i="97"/>
  <c r="F373" i="97"/>
  <c r="H373" i="97"/>
  <c r="B374" i="97"/>
  <c r="E374" i="97"/>
  <c r="A375" i="97"/>
  <c r="F374" i="99" l="1"/>
  <c r="H374" i="99"/>
  <c r="G374" i="99"/>
  <c r="E375" i="97"/>
  <c r="B375" i="97"/>
  <c r="A376" i="97"/>
  <c r="D374" i="99"/>
  <c r="C374" i="99"/>
  <c r="C374" i="97"/>
  <c r="D374" i="97"/>
  <c r="H374" i="97"/>
  <c r="F374" i="97"/>
  <c r="G374" i="97"/>
  <c r="E375" i="99"/>
  <c r="B375" i="99"/>
  <c r="A376" i="99"/>
  <c r="C375" i="99" l="1"/>
  <c r="D375" i="99"/>
  <c r="B376" i="97"/>
  <c r="E376" i="97"/>
  <c r="A377" i="97"/>
  <c r="B376" i="99"/>
  <c r="A377" i="99"/>
  <c r="E376" i="99"/>
  <c r="C375" i="97"/>
  <c r="D375" i="97"/>
  <c r="G375" i="99"/>
  <c r="H375" i="99"/>
  <c r="F375" i="99"/>
  <c r="F375" i="97"/>
  <c r="H375" i="97"/>
  <c r="G375" i="97"/>
  <c r="B377" i="97" l="1"/>
  <c r="A378" i="97"/>
  <c r="E377" i="97"/>
  <c r="D376" i="97"/>
  <c r="C376" i="97"/>
  <c r="D376" i="99"/>
  <c r="C376" i="99"/>
  <c r="G376" i="97"/>
  <c r="H376" i="97"/>
  <c r="F376" i="97"/>
  <c r="F376" i="99"/>
  <c r="G376" i="99"/>
  <c r="H376" i="99"/>
  <c r="A378" i="99"/>
  <c r="B377" i="99"/>
  <c r="E377" i="99"/>
  <c r="G377" i="99" l="1"/>
  <c r="F377" i="99"/>
  <c r="H377" i="99"/>
  <c r="E378" i="99"/>
  <c r="B378" i="99"/>
  <c r="A379" i="99"/>
  <c r="C377" i="99"/>
  <c r="D377" i="99"/>
  <c r="H377" i="97"/>
  <c r="G377" i="97"/>
  <c r="F377" i="97"/>
  <c r="E378" i="97"/>
  <c r="B378" i="97"/>
  <c r="A379" i="97"/>
  <c r="D377" i="97"/>
  <c r="C377" i="97"/>
  <c r="E379" i="97" l="1"/>
  <c r="B379" i="97"/>
  <c r="A380" i="97"/>
  <c r="C378" i="97"/>
  <c r="D378" i="97"/>
  <c r="F378" i="99"/>
  <c r="H378" i="99"/>
  <c r="G378" i="99"/>
  <c r="H378" i="97"/>
  <c r="G378" i="97"/>
  <c r="F378" i="97"/>
  <c r="E379" i="99"/>
  <c r="B379" i="99"/>
  <c r="A380" i="99"/>
  <c r="D378" i="99"/>
  <c r="C378" i="99"/>
  <c r="H379" i="97" l="1"/>
  <c r="G379" i="97"/>
  <c r="F379" i="97"/>
  <c r="D379" i="97"/>
  <c r="C379" i="97"/>
  <c r="A381" i="99"/>
  <c r="B380" i="99"/>
  <c r="E380" i="99"/>
  <c r="B380" i="97"/>
  <c r="E380" i="97"/>
  <c r="A381" i="97"/>
  <c r="C379" i="99"/>
  <c r="D379" i="99"/>
  <c r="H379" i="99"/>
  <c r="G379" i="99"/>
  <c r="F379" i="99"/>
  <c r="C380" i="97" l="1"/>
  <c r="D380" i="97"/>
  <c r="F380" i="99"/>
  <c r="H380" i="99"/>
  <c r="G380" i="99"/>
  <c r="H380" i="97"/>
  <c r="F380" i="97"/>
  <c r="G380" i="97"/>
  <c r="C380" i="99"/>
  <c r="D380" i="99"/>
  <c r="A382" i="99"/>
  <c r="B381" i="99"/>
  <c r="E381" i="99"/>
  <c r="B381" i="97"/>
  <c r="A382" i="97"/>
  <c r="E381" i="97"/>
  <c r="F381" i="99" l="1"/>
  <c r="G381" i="99"/>
  <c r="H381" i="99"/>
  <c r="D381" i="99"/>
  <c r="C381" i="99"/>
  <c r="C381" i="97"/>
  <c r="D381" i="97"/>
  <c r="H381" i="97"/>
  <c r="G381" i="97"/>
  <c r="F381" i="97"/>
  <c r="B382" i="97"/>
  <c r="E382" i="97"/>
  <c r="A383" i="97"/>
  <c r="B382" i="99"/>
  <c r="E382" i="99"/>
  <c r="A383" i="99"/>
  <c r="D382" i="99" l="1"/>
  <c r="C382" i="99"/>
  <c r="C382" i="97"/>
  <c r="D382" i="97"/>
  <c r="F382" i="99"/>
  <c r="H382" i="99"/>
  <c r="G382" i="99"/>
  <c r="E383" i="97"/>
  <c r="A384" i="97"/>
  <c r="B383" i="97"/>
  <c r="G382" i="97"/>
  <c r="H382" i="97"/>
  <c r="F382" i="97"/>
  <c r="E383" i="99"/>
  <c r="A384" i="99"/>
  <c r="B383" i="99"/>
  <c r="D383" i="97" l="1"/>
  <c r="C383" i="97"/>
  <c r="B384" i="99"/>
  <c r="E384" i="99"/>
  <c r="A385" i="99"/>
  <c r="H383" i="97"/>
  <c r="F383" i="97"/>
  <c r="G383" i="97"/>
  <c r="B384" i="97"/>
  <c r="E384" i="97"/>
  <c r="A385" i="97"/>
  <c r="G383" i="99"/>
  <c r="F383" i="99"/>
  <c r="H383" i="99"/>
  <c r="C383" i="99"/>
  <c r="D383" i="99"/>
  <c r="E385" i="97" l="1"/>
  <c r="A386" i="97"/>
  <c r="B385" i="97"/>
  <c r="F384" i="97"/>
  <c r="H384" i="97"/>
  <c r="G384" i="97"/>
  <c r="D384" i="97"/>
  <c r="C384" i="97"/>
  <c r="H384" i="99"/>
  <c r="G384" i="99"/>
  <c r="F384" i="99"/>
  <c r="C384" i="99"/>
  <c r="D384" i="99"/>
  <c r="B385" i="99"/>
  <c r="A386" i="99"/>
  <c r="E385" i="99"/>
  <c r="C385" i="97" l="1"/>
  <c r="D385" i="97"/>
  <c r="B386" i="97"/>
  <c r="A387" i="97"/>
  <c r="E386" i="97"/>
  <c r="G385" i="97"/>
  <c r="H385" i="97"/>
  <c r="F385" i="97"/>
  <c r="H385" i="99"/>
  <c r="F385" i="99"/>
  <c r="G385" i="99"/>
  <c r="B386" i="99"/>
  <c r="A387" i="99"/>
  <c r="E386" i="99"/>
  <c r="C385" i="99"/>
  <c r="D385" i="99"/>
  <c r="C386" i="97" l="1"/>
  <c r="D386" i="97"/>
  <c r="F386" i="97"/>
  <c r="G386" i="97"/>
  <c r="H386" i="97"/>
  <c r="B387" i="97"/>
  <c r="A388" i="97"/>
  <c r="E387" i="97"/>
  <c r="E387" i="99"/>
  <c r="B387" i="99"/>
  <c r="A388" i="99"/>
  <c r="C386" i="99"/>
  <c r="D386" i="99"/>
  <c r="F386" i="99"/>
  <c r="H386" i="99"/>
  <c r="G386" i="99"/>
  <c r="G387" i="97" l="1"/>
  <c r="F387" i="97"/>
  <c r="H387" i="97"/>
  <c r="C387" i="99"/>
  <c r="D387" i="99"/>
  <c r="A389" i="97"/>
  <c r="B388" i="97"/>
  <c r="E388" i="97"/>
  <c r="F387" i="99"/>
  <c r="H387" i="99"/>
  <c r="G387" i="99"/>
  <c r="D387" i="97"/>
  <c r="C387" i="97"/>
  <c r="B388" i="99"/>
  <c r="A389" i="99"/>
  <c r="E388" i="99"/>
  <c r="E389" i="97" l="1"/>
  <c r="A390" i="97"/>
  <c r="B389" i="97"/>
  <c r="C388" i="99"/>
  <c r="D388" i="99"/>
  <c r="F388" i="99"/>
  <c r="H388" i="99"/>
  <c r="G388" i="99"/>
  <c r="C388" i="97"/>
  <c r="D388" i="97"/>
  <c r="B389" i="99"/>
  <c r="E389" i="99"/>
  <c r="A390" i="99"/>
  <c r="H388" i="97"/>
  <c r="F388" i="97"/>
  <c r="G388" i="97"/>
  <c r="D389" i="97" l="1"/>
  <c r="C389" i="97"/>
  <c r="H389" i="99"/>
  <c r="F389" i="99"/>
  <c r="G389" i="99"/>
  <c r="D389" i="99"/>
  <c r="C389" i="99"/>
  <c r="E390" i="99"/>
  <c r="B390" i="99"/>
  <c r="A391" i="99"/>
  <c r="B390" i="97"/>
  <c r="A391" i="97"/>
  <c r="E390" i="97"/>
  <c r="H389" i="97"/>
  <c r="G389" i="97"/>
  <c r="F389" i="97"/>
  <c r="F390" i="99" l="1"/>
  <c r="G390" i="99"/>
  <c r="H390" i="99"/>
  <c r="D390" i="99"/>
  <c r="C390" i="99"/>
  <c r="E391" i="99"/>
  <c r="B391" i="99"/>
  <c r="A392" i="99"/>
  <c r="G390" i="97"/>
  <c r="F390" i="97"/>
  <c r="H390" i="97"/>
  <c r="B391" i="97"/>
  <c r="E391" i="97"/>
  <c r="A392" i="97"/>
  <c r="C390" i="97"/>
  <c r="D390" i="97"/>
  <c r="G391" i="99" l="1"/>
  <c r="F391" i="99"/>
  <c r="H391" i="99"/>
  <c r="E392" i="99"/>
  <c r="B392" i="99"/>
  <c r="A393" i="99"/>
  <c r="B392" i="97"/>
  <c r="E392" i="97"/>
  <c r="A393" i="97"/>
  <c r="D391" i="97"/>
  <c r="C391" i="97"/>
  <c r="D391" i="99"/>
  <c r="C391" i="99"/>
  <c r="G391" i="97"/>
  <c r="H391" i="97"/>
  <c r="F391" i="97"/>
  <c r="C392" i="99" l="1"/>
  <c r="D392" i="99"/>
  <c r="E393" i="97"/>
  <c r="B393" i="97"/>
  <c r="A394" i="97"/>
  <c r="F392" i="97"/>
  <c r="G392" i="97"/>
  <c r="H392" i="97"/>
  <c r="F392" i="99"/>
  <c r="H392" i="99"/>
  <c r="G392" i="99"/>
  <c r="C392" i="97"/>
  <c r="D392" i="97"/>
  <c r="B393" i="99"/>
  <c r="E393" i="99"/>
  <c r="A394" i="99"/>
  <c r="E394" i="99" l="1"/>
  <c r="B394" i="99"/>
  <c r="A395" i="99"/>
  <c r="H393" i="99"/>
  <c r="F393" i="99"/>
  <c r="G393" i="99"/>
  <c r="C393" i="97"/>
  <c r="D393" i="97"/>
  <c r="D393" i="99"/>
  <c r="C393" i="99"/>
  <c r="B394" i="97"/>
  <c r="E394" i="97"/>
  <c r="A395" i="97"/>
  <c r="H393" i="97"/>
  <c r="F393" i="97"/>
  <c r="G393" i="97"/>
  <c r="D394" i="99" l="1"/>
  <c r="C394" i="99"/>
  <c r="G394" i="99"/>
  <c r="F394" i="99"/>
  <c r="H394" i="99"/>
  <c r="B395" i="99"/>
  <c r="E395" i="99"/>
  <c r="A396" i="99"/>
  <c r="B395" i="97"/>
  <c r="E395" i="97"/>
  <c r="A396" i="97"/>
  <c r="D394" i="97"/>
  <c r="C394" i="97"/>
  <c r="F394" i="97"/>
  <c r="G394" i="97"/>
  <c r="H394" i="97"/>
  <c r="B396" i="99" l="1"/>
  <c r="A397" i="99"/>
  <c r="E396" i="99"/>
  <c r="D395" i="99"/>
  <c r="C395" i="99"/>
  <c r="G395" i="97"/>
  <c r="F395" i="97"/>
  <c r="H395" i="97"/>
  <c r="H395" i="99"/>
  <c r="F395" i="99"/>
  <c r="G395" i="99"/>
  <c r="B396" i="97"/>
  <c r="E396" i="97"/>
  <c r="A397" i="97"/>
  <c r="C395" i="97"/>
  <c r="D395" i="97"/>
  <c r="D396" i="97" l="1"/>
  <c r="C396" i="97"/>
  <c r="A398" i="97"/>
  <c r="B397" i="97"/>
  <c r="E397" i="97"/>
  <c r="G396" i="97"/>
  <c r="H396" i="97"/>
  <c r="F396" i="97"/>
  <c r="H396" i="99"/>
  <c r="F396" i="99"/>
  <c r="G396" i="99"/>
  <c r="A398" i="99"/>
  <c r="E397" i="99"/>
  <c r="B397" i="99"/>
  <c r="C396" i="99"/>
  <c r="D396" i="99"/>
  <c r="D397" i="97" l="1"/>
  <c r="C397" i="97"/>
  <c r="H397" i="99"/>
  <c r="G397" i="99"/>
  <c r="F397" i="99"/>
  <c r="E398" i="99"/>
  <c r="B398" i="99"/>
  <c r="A399" i="99"/>
  <c r="B398" i="97"/>
  <c r="A399" i="97"/>
  <c r="E398" i="97"/>
  <c r="F397" i="97"/>
  <c r="G397" i="97"/>
  <c r="H397" i="97"/>
  <c r="C397" i="99"/>
  <c r="D397" i="99"/>
  <c r="F398" i="99" l="1"/>
  <c r="G398" i="99"/>
  <c r="H398" i="99"/>
  <c r="B399" i="97"/>
  <c r="E399" i="97"/>
  <c r="A400" i="97"/>
  <c r="B399" i="99"/>
  <c r="E399" i="99"/>
  <c r="A400" i="99"/>
  <c r="C398" i="99"/>
  <c r="D398" i="99"/>
  <c r="C398" i="97"/>
  <c r="D398" i="97"/>
  <c r="H398" i="97"/>
  <c r="G398" i="97"/>
  <c r="F398" i="97"/>
  <c r="C399" i="99" l="1"/>
  <c r="D399" i="99"/>
  <c r="G399" i="99"/>
  <c r="H399" i="99"/>
  <c r="F399" i="99"/>
  <c r="B400" i="97"/>
  <c r="E400" i="97"/>
  <c r="A401" i="97"/>
  <c r="G399" i="97"/>
  <c r="H399" i="97"/>
  <c r="F399" i="97"/>
  <c r="B400" i="99"/>
  <c r="E400" i="99"/>
  <c r="A401" i="99"/>
  <c r="D399" i="97"/>
  <c r="C399" i="97"/>
  <c r="H400" i="99" l="1"/>
  <c r="F400" i="99"/>
  <c r="G400" i="99"/>
  <c r="C400" i="97"/>
  <c r="D400" i="97"/>
  <c r="H400" i="97"/>
  <c r="G400" i="97"/>
  <c r="F400" i="97"/>
  <c r="C400" i="99"/>
  <c r="D400" i="99"/>
  <c r="A402" i="97"/>
  <c r="E401" i="97"/>
  <c r="B401" i="97"/>
  <c r="B401" i="99"/>
  <c r="A402" i="99"/>
  <c r="E401" i="99"/>
  <c r="B402" i="99" l="1"/>
  <c r="E402" i="99"/>
  <c r="A403" i="99"/>
  <c r="H401" i="99"/>
  <c r="G401" i="99"/>
  <c r="F401" i="99"/>
  <c r="C401" i="97"/>
  <c r="D401" i="97"/>
  <c r="C401" i="99"/>
  <c r="D401" i="99"/>
  <c r="G401" i="97"/>
  <c r="F401" i="97"/>
  <c r="H401" i="97"/>
  <c r="A403" i="97"/>
  <c r="B402" i="97"/>
  <c r="E402" i="97"/>
  <c r="A404" i="97" l="1"/>
  <c r="E403" i="97"/>
  <c r="B403" i="97"/>
  <c r="C402" i="97"/>
  <c r="D402" i="97"/>
  <c r="G402" i="97"/>
  <c r="F402" i="97"/>
  <c r="H402" i="97"/>
  <c r="B403" i="99"/>
  <c r="E403" i="99"/>
  <c r="A404" i="99"/>
  <c r="G402" i="99"/>
  <c r="F402" i="99"/>
  <c r="H402" i="99"/>
  <c r="D402" i="99"/>
  <c r="C402" i="99"/>
  <c r="C403" i="97" l="1"/>
  <c r="D403" i="97"/>
  <c r="E404" i="97"/>
  <c r="B404" i="97"/>
  <c r="A405" i="97"/>
  <c r="F403" i="97"/>
  <c r="H403" i="97"/>
  <c r="G403" i="97"/>
  <c r="B404" i="99"/>
  <c r="E404" i="99"/>
  <c r="A405" i="99"/>
  <c r="F403" i="99"/>
  <c r="H403" i="99"/>
  <c r="G403" i="99"/>
  <c r="D403" i="99"/>
  <c r="C403" i="99"/>
  <c r="E405" i="99" l="1"/>
  <c r="B405" i="99"/>
  <c r="A406" i="99"/>
  <c r="C404" i="99"/>
  <c r="D404" i="99"/>
  <c r="B405" i="97"/>
  <c r="E405" i="97"/>
  <c r="A406" i="97"/>
  <c r="H404" i="99"/>
  <c r="G404" i="99"/>
  <c r="F404" i="99"/>
  <c r="C404" i="97"/>
  <c r="D404" i="97"/>
  <c r="G404" i="97"/>
  <c r="F404" i="97"/>
  <c r="H404" i="97"/>
  <c r="B406" i="97" l="1"/>
  <c r="A407" i="97"/>
  <c r="E406" i="97"/>
  <c r="D405" i="97"/>
  <c r="C405" i="97"/>
  <c r="H405" i="97"/>
  <c r="F405" i="97"/>
  <c r="G405" i="97"/>
  <c r="B406" i="99"/>
  <c r="E406" i="99"/>
  <c r="A407" i="99"/>
  <c r="D405" i="99"/>
  <c r="C405" i="99"/>
  <c r="H405" i="99"/>
  <c r="G405" i="99"/>
  <c r="F405" i="99"/>
  <c r="C406" i="99" l="1"/>
  <c r="D406" i="99"/>
  <c r="B407" i="99"/>
  <c r="A408" i="99"/>
  <c r="E407" i="99"/>
  <c r="H406" i="97"/>
  <c r="G406" i="97"/>
  <c r="F406" i="97"/>
  <c r="H406" i="99"/>
  <c r="G406" i="99"/>
  <c r="F406" i="99"/>
  <c r="E407" i="97"/>
  <c r="A408" i="97"/>
  <c r="B407" i="97"/>
  <c r="D406" i="97"/>
  <c r="C406" i="97"/>
  <c r="D407" i="97" l="1"/>
  <c r="C407" i="97"/>
  <c r="B408" i="99"/>
  <c r="E408" i="99"/>
  <c r="A409" i="99"/>
  <c r="G407" i="99"/>
  <c r="F407" i="99"/>
  <c r="H407" i="99"/>
  <c r="H407" i="97"/>
  <c r="F407" i="97"/>
  <c r="G407" i="97"/>
  <c r="C407" i="99"/>
  <c r="D407" i="99"/>
  <c r="B408" i="97"/>
  <c r="A409" i="97"/>
  <c r="E408" i="97"/>
  <c r="B409" i="97" l="1"/>
  <c r="E409" i="97"/>
  <c r="A410" i="97"/>
  <c r="C408" i="97"/>
  <c r="D408" i="97"/>
  <c r="B409" i="99"/>
  <c r="E409" i="99"/>
  <c r="A410" i="99"/>
  <c r="F408" i="97"/>
  <c r="H408" i="97"/>
  <c r="G408" i="97"/>
  <c r="H408" i="99"/>
  <c r="F408" i="99"/>
  <c r="G408" i="99"/>
  <c r="D408" i="99"/>
  <c r="C408" i="99"/>
  <c r="B410" i="97" l="1"/>
  <c r="A411" i="97"/>
  <c r="E410" i="97"/>
  <c r="G409" i="99"/>
  <c r="H409" i="99"/>
  <c r="F409" i="99"/>
  <c r="H409" i="97"/>
  <c r="G409" i="97"/>
  <c r="F409" i="97"/>
  <c r="C409" i="97"/>
  <c r="D409" i="97"/>
  <c r="C409" i="99"/>
  <c r="D409" i="99"/>
  <c r="B410" i="99"/>
  <c r="A411" i="99"/>
  <c r="E410" i="99"/>
  <c r="D410" i="97" l="1"/>
  <c r="C410" i="97"/>
  <c r="D410" i="99"/>
  <c r="C410" i="99"/>
  <c r="H410" i="97"/>
  <c r="F410" i="97"/>
  <c r="G410" i="97"/>
  <c r="F410" i="99"/>
  <c r="H410" i="99"/>
  <c r="G410" i="99"/>
  <c r="B411" i="99"/>
  <c r="E411" i="99"/>
  <c r="A412" i="99"/>
  <c r="E411" i="97"/>
  <c r="A412" i="97"/>
  <c r="B411" i="97"/>
  <c r="D411" i="97" l="1"/>
  <c r="C411" i="97"/>
  <c r="G411" i="97"/>
  <c r="H411" i="97"/>
  <c r="F411" i="97"/>
  <c r="C411" i="99"/>
  <c r="D411" i="99"/>
  <c r="E412" i="97"/>
  <c r="A413" i="97"/>
  <c r="B412" i="97"/>
  <c r="E412" i="99"/>
  <c r="B412" i="99"/>
  <c r="A413" i="99"/>
  <c r="H411" i="99"/>
  <c r="F411" i="99"/>
  <c r="G411" i="99"/>
  <c r="F412" i="97" l="1"/>
  <c r="H412" i="97"/>
  <c r="G412" i="97"/>
  <c r="D412" i="99"/>
  <c r="C412" i="99"/>
  <c r="A414" i="99"/>
  <c r="B413" i="99"/>
  <c r="E413" i="99"/>
  <c r="G412" i="99"/>
  <c r="F412" i="99"/>
  <c r="H412" i="99"/>
  <c r="D412" i="97"/>
  <c r="C412" i="97"/>
  <c r="B413" i="97"/>
  <c r="A414" i="97"/>
  <c r="E413" i="97"/>
  <c r="E414" i="99" l="1"/>
  <c r="B414" i="99"/>
  <c r="A415" i="99"/>
  <c r="H413" i="97"/>
  <c r="G413" i="97"/>
  <c r="F413" i="97"/>
  <c r="H413" i="99"/>
  <c r="G413" i="99"/>
  <c r="F413" i="99"/>
  <c r="C413" i="97"/>
  <c r="D413" i="97"/>
  <c r="C413" i="99"/>
  <c r="D413" i="99"/>
  <c r="B414" i="97"/>
  <c r="A415" i="97"/>
  <c r="E414" i="97"/>
  <c r="H414" i="97" l="1"/>
  <c r="G414" i="97"/>
  <c r="F414" i="97"/>
  <c r="E415" i="97"/>
  <c r="A416" i="97"/>
  <c r="B415" i="97"/>
  <c r="D414" i="97"/>
  <c r="C414" i="97"/>
  <c r="E415" i="99"/>
  <c r="A416" i="99"/>
  <c r="B415" i="99"/>
  <c r="D414" i="99"/>
  <c r="C414" i="99"/>
  <c r="H414" i="99"/>
  <c r="F414" i="99"/>
  <c r="G414" i="99"/>
  <c r="E416" i="99" l="1"/>
  <c r="B416" i="99"/>
  <c r="A417" i="99"/>
  <c r="H415" i="99"/>
  <c r="F415" i="99"/>
  <c r="G415" i="99"/>
  <c r="D415" i="99"/>
  <c r="C415" i="99"/>
  <c r="G415" i="97"/>
  <c r="H415" i="97"/>
  <c r="F415" i="97"/>
  <c r="C415" i="97"/>
  <c r="D415" i="97"/>
  <c r="B416" i="97"/>
  <c r="E416" i="97"/>
  <c r="A417" i="97"/>
  <c r="E417" i="97" l="1"/>
  <c r="B417" i="97"/>
  <c r="A418" i="97"/>
  <c r="H416" i="97"/>
  <c r="F416" i="97"/>
  <c r="G416" i="97"/>
  <c r="D416" i="99"/>
  <c r="C416" i="99"/>
  <c r="D416" i="97"/>
  <c r="C416" i="97"/>
  <c r="B417" i="99"/>
  <c r="E417" i="99"/>
  <c r="A418" i="99"/>
  <c r="G416" i="99"/>
  <c r="H416" i="99"/>
  <c r="F416" i="99"/>
  <c r="B418" i="97" l="1"/>
  <c r="E418" i="97"/>
  <c r="A419" i="97"/>
  <c r="D417" i="97"/>
  <c r="C417" i="97"/>
  <c r="F417" i="97"/>
  <c r="H417" i="97"/>
  <c r="G417" i="97"/>
  <c r="E418" i="99"/>
  <c r="B418" i="99"/>
  <c r="A419" i="99"/>
  <c r="F417" i="99"/>
  <c r="H417" i="99"/>
  <c r="G417" i="99"/>
  <c r="C417" i="99"/>
  <c r="D417" i="99"/>
  <c r="B419" i="99" l="1"/>
  <c r="A420" i="99"/>
  <c r="E419" i="99"/>
  <c r="C418" i="99"/>
  <c r="D418" i="99"/>
  <c r="E419" i="97"/>
  <c r="B419" i="97"/>
  <c r="A420" i="97"/>
  <c r="H418" i="99"/>
  <c r="G418" i="99"/>
  <c r="F418" i="99"/>
  <c r="G418" i="97"/>
  <c r="F418" i="97"/>
  <c r="H418" i="97"/>
  <c r="C418" i="97"/>
  <c r="D418" i="97"/>
  <c r="D419" i="97" l="1"/>
  <c r="C419" i="97"/>
  <c r="G419" i="99"/>
  <c r="F419" i="99"/>
  <c r="H419" i="99"/>
  <c r="B420" i="99"/>
  <c r="E420" i="99"/>
  <c r="A421" i="99"/>
  <c r="H419" i="97"/>
  <c r="G419" i="97"/>
  <c r="F419" i="97"/>
  <c r="D419" i="99"/>
  <c r="C419" i="99"/>
  <c r="E420" i="97"/>
  <c r="A421" i="97"/>
  <c r="B420" i="97"/>
  <c r="B421" i="97" l="1"/>
  <c r="E421" i="97"/>
  <c r="A422" i="97"/>
  <c r="E421" i="99"/>
  <c r="B421" i="99"/>
  <c r="A422" i="99"/>
  <c r="C420" i="97"/>
  <c r="D420" i="97"/>
  <c r="D420" i="99"/>
  <c r="C420" i="99"/>
  <c r="H420" i="99"/>
  <c r="G420" i="99"/>
  <c r="F420" i="99"/>
  <c r="F420" i="97"/>
  <c r="H420" i="97"/>
  <c r="G420" i="97"/>
  <c r="C421" i="99" l="1"/>
  <c r="D421" i="99"/>
  <c r="E422" i="99"/>
  <c r="B422" i="99"/>
  <c r="A423" i="99"/>
  <c r="H421" i="97"/>
  <c r="F421" i="97"/>
  <c r="G421" i="97"/>
  <c r="F421" i="99"/>
  <c r="G421" i="99"/>
  <c r="H421" i="99"/>
  <c r="B422" i="97"/>
  <c r="E422" i="97"/>
  <c r="A423" i="97"/>
  <c r="D421" i="97"/>
  <c r="C421" i="97"/>
  <c r="B423" i="99" l="1"/>
  <c r="A424" i="99"/>
  <c r="E423" i="99"/>
  <c r="H422" i="99"/>
  <c r="F422" i="99"/>
  <c r="G422" i="99"/>
  <c r="E423" i="97"/>
  <c r="B423" i="97"/>
  <c r="A424" i="97"/>
  <c r="C422" i="99"/>
  <c r="D422" i="99"/>
  <c r="H422" i="97"/>
  <c r="F422" i="97"/>
  <c r="G422" i="97"/>
  <c r="C422" i="97"/>
  <c r="D422" i="97"/>
  <c r="E424" i="97" l="1"/>
  <c r="B424" i="97"/>
  <c r="A425" i="97"/>
  <c r="C423" i="97"/>
  <c r="D423" i="97"/>
  <c r="F423" i="99"/>
  <c r="G423" i="99"/>
  <c r="H423" i="99"/>
  <c r="F423" i="97"/>
  <c r="G423" i="97"/>
  <c r="H423" i="97"/>
  <c r="B424" i="99"/>
  <c r="E424" i="99"/>
  <c r="A425" i="99"/>
  <c r="D423" i="99"/>
  <c r="C423" i="99"/>
  <c r="E425" i="99" l="1"/>
  <c r="A426" i="99"/>
  <c r="B425" i="99"/>
  <c r="H424" i="97"/>
  <c r="F424" i="97"/>
  <c r="G424" i="97"/>
  <c r="D424" i="99"/>
  <c r="C424" i="99"/>
  <c r="C424" i="97"/>
  <c r="D424" i="97"/>
  <c r="G424" i="99"/>
  <c r="H424" i="99"/>
  <c r="F424" i="99"/>
  <c r="B425" i="97"/>
  <c r="E425" i="97"/>
  <c r="A426" i="97"/>
  <c r="F425" i="97" l="1"/>
  <c r="G425" i="97"/>
  <c r="H425" i="97"/>
  <c r="C425" i="99"/>
  <c r="D425" i="99"/>
  <c r="D425" i="97"/>
  <c r="C425" i="97"/>
  <c r="E426" i="99"/>
  <c r="B426" i="99"/>
  <c r="A427" i="99"/>
  <c r="E426" i="97"/>
  <c r="B426" i="97"/>
  <c r="A427" i="97"/>
  <c r="F425" i="99"/>
  <c r="G425" i="99"/>
  <c r="H425" i="99"/>
  <c r="E427" i="97" l="1"/>
  <c r="B427" i="97"/>
  <c r="A428" i="97"/>
  <c r="E427" i="99"/>
  <c r="B427" i="99"/>
  <c r="A428" i="99"/>
  <c r="D426" i="99"/>
  <c r="C426" i="99"/>
  <c r="G426" i="97"/>
  <c r="H426" i="97"/>
  <c r="F426" i="97"/>
  <c r="D426" i="97"/>
  <c r="C426" i="97"/>
  <c r="G426" i="99"/>
  <c r="H426" i="99"/>
  <c r="F426" i="99"/>
  <c r="D427" i="99" l="1"/>
  <c r="C427" i="99"/>
  <c r="H427" i="99"/>
  <c r="G427" i="99"/>
  <c r="F427" i="99"/>
  <c r="E428" i="97"/>
  <c r="B428" i="97"/>
  <c r="A429" i="97"/>
  <c r="H427" i="97"/>
  <c r="F427" i="97"/>
  <c r="G427" i="97"/>
  <c r="C427" i="97"/>
  <c r="D427" i="97"/>
  <c r="B428" i="99"/>
  <c r="A429" i="99"/>
  <c r="E428" i="99"/>
  <c r="B429" i="97" l="1"/>
  <c r="A430" i="97"/>
  <c r="E429" i="97"/>
  <c r="C428" i="97"/>
  <c r="D428" i="97"/>
  <c r="H428" i="97"/>
  <c r="G428" i="97"/>
  <c r="F428" i="97"/>
  <c r="E429" i="99"/>
  <c r="B429" i="99"/>
  <c r="A430" i="99"/>
  <c r="C428" i="99"/>
  <c r="D428" i="99"/>
  <c r="H428" i="99"/>
  <c r="F428" i="99"/>
  <c r="G428" i="99"/>
  <c r="F429" i="97" l="1"/>
  <c r="H429" i="97"/>
  <c r="G429" i="97"/>
  <c r="C429" i="99"/>
  <c r="D429" i="99"/>
  <c r="H429" i="99"/>
  <c r="F429" i="99"/>
  <c r="G429" i="99"/>
  <c r="B430" i="97"/>
  <c r="E430" i="97"/>
  <c r="A431" i="97"/>
  <c r="B430" i="99"/>
  <c r="E430" i="99"/>
  <c r="A431" i="99"/>
  <c r="D429" i="97"/>
  <c r="C429" i="97"/>
  <c r="E431" i="99" l="1"/>
  <c r="A432" i="99"/>
  <c r="B431" i="99"/>
  <c r="C430" i="99"/>
  <c r="D430" i="99"/>
  <c r="H430" i="99"/>
  <c r="G430" i="99"/>
  <c r="F430" i="99"/>
  <c r="C430" i="97"/>
  <c r="D430" i="97"/>
  <c r="G430" i="97"/>
  <c r="F430" i="97"/>
  <c r="H430" i="97"/>
  <c r="B431" i="97"/>
  <c r="E431" i="97"/>
  <c r="A432" i="97"/>
  <c r="D431" i="99" l="1"/>
  <c r="C431" i="99"/>
  <c r="B432" i="97"/>
  <c r="A433" i="97"/>
  <c r="E432" i="97"/>
  <c r="E432" i="99"/>
  <c r="B432" i="99"/>
  <c r="A433" i="99"/>
  <c r="H431" i="97"/>
  <c r="G431" i="97"/>
  <c r="F431" i="97"/>
  <c r="D431" i="97"/>
  <c r="C431" i="97"/>
  <c r="F431" i="99"/>
  <c r="H431" i="99"/>
  <c r="G431" i="99"/>
  <c r="H432" i="99" l="1"/>
  <c r="G432" i="99"/>
  <c r="F432" i="99"/>
  <c r="B433" i="99"/>
  <c r="E433" i="99"/>
  <c r="A434" i="99"/>
  <c r="G432" i="97"/>
  <c r="F432" i="97"/>
  <c r="H432" i="97"/>
  <c r="E433" i="97"/>
  <c r="B433" i="97"/>
  <c r="A434" i="97"/>
  <c r="C432" i="99"/>
  <c r="D432" i="99"/>
  <c r="C432" i="97"/>
  <c r="D432" i="97"/>
  <c r="F433" i="97" l="1"/>
  <c r="H433" i="97"/>
  <c r="G433" i="97"/>
  <c r="B434" i="97"/>
  <c r="E434" i="97"/>
  <c r="A435" i="97"/>
  <c r="D433" i="99"/>
  <c r="C433" i="99"/>
  <c r="B434" i="99"/>
  <c r="E434" i="99"/>
  <c r="A435" i="99"/>
  <c r="H433" i="99"/>
  <c r="F433" i="99"/>
  <c r="G433" i="99"/>
  <c r="D433" i="97"/>
  <c r="C433" i="97"/>
  <c r="C434" i="99" l="1"/>
  <c r="D434" i="99"/>
  <c r="H434" i="97"/>
  <c r="G434" i="97"/>
  <c r="F434" i="97"/>
  <c r="F434" i="99"/>
  <c r="G434" i="99"/>
  <c r="H434" i="99"/>
  <c r="B435" i="99"/>
  <c r="E435" i="99"/>
  <c r="A436" i="99"/>
  <c r="E435" i="97"/>
  <c r="B435" i="97"/>
  <c r="A436" i="97"/>
  <c r="D434" i="97"/>
  <c r="C434" i="97"/>
  <c r="G435" i="97" l="1"/>
  <c r="H435" i="97"/>
  <c r="F435" i="97"/>
  <c r="B436" i="97"/>
  <c r="A437" i="97"/>
  <c r="E436" i="97"/>
  <c r="D435" i="97"/>
  <c r="C435" i="97"/>
  <c r="B436" i="99"/>
  <c r="E436" i="99"/>
  <c r="A437" i="99"/>
  <c r="C435" i="99"/>
  <c r="D435" i="99"/>
  <c r="H435" i="99"/>
  <c r="F435" i="99"/>
  <c r="G435" i="99"/>
  <c r="E437" i="99" l="1"/>
  <c r="B437" i="99"/>
  <c r="A438" i="99"/>
  <c r="G436" i="99"/>
  <c r="F436" i="99"/>
  <c r="H436" i="99"/>
  <c r="B437" i="97"/>
  <c r="E437" i="97"/>
  <c r="A438" i="97"/>
  <c r="G436" i="97"/>
  <c r="H436" i="97"/>
  <c r="F436" i="97"/>
  <c r="D436" i="97"/>
  <c r="C436" i="97"/>
  <c r="C436" i="99"/>
  <c r="D436" i="99"/>
  <c r="D437" i="97" l="1"/>
  <c r="C437" i="97"/>
  <c r="B438" i="97"/>
  <c r="E438" i="97"/>
  <c r="A439" i="97"/>
  <c r="B438" i="99"/>
  <c r="E438" i="99"/>
  <c r="A439" i="99"/>
  <c r="G437" i="97"/>
  <c r="H437" i="97"/>
  <c r="F437" i="97"/>
  <c r="D437" i="99"/>
  <c r="C437" i="99"/>
  <c r="F437" i="99"/>
  <c r="H437" i="99"/>
  <c r="G437" i="99"/>
  <c r="F438" i="99" l="1"/>
  <c r="G438" i="99"/>
  <c r="H438" i="99"/>
  <c r="B439" i="97"/>
  <c r="A440" i="97"/>
  <c r="E439" i="97"/>
  <c r="H438" i="97"/>
  <c r="G438" i="97"/>
  <c r="F438" i="97"/>
  <c r="D438" i="99"/>
  <c r="C438" i="99"/>
  <c r="E439" i="99"/>
  <c r="B439" i="99"/>
  <c r="A440" i="99"/>
  <c r="D438" i="97"/>
  <c r="C438" i="97"/>
  <c r="H439" i="97" l="1"/>
  <c r="G439" i="97"/>
  <c r="F439" i="97"/>
  <c r="E440" i="97"/>
  <c r="A441" i="97"/>
  <c r="B440" i="97"/>
  <c r="D439" i="97"/>
  <c r="C439" i="97"/>
  <c r="C439" i="99"/>
  <c r="D439" i="99"/>
  <c r="E440" i="99"/>
  <c r="B440" i="99"/>
  <c r="A441" i="99"/>
  <c r="G439" i="99"/>
  <c r="H439" i="99"/>
  <c r="F439" i="99"/>
  <c r="G440" i="97" l="1"/>
  <c r="H440" i="97"/>
  <c r="F440" i="97"/>
  <c r="B441" i="99"/>
  <c r="E441" i="99"/>
  <c r="A442" i="99"/>
  <c r="C440" i="99"/>
  <c r="D440" i="99"/>
  <c r="G440" i="99"/>
  <c r="F440" i="99"/>
  <c r="H440" i="99"/>
  <c r="E441" i="97"/>
  <c r="B441" i="97"/>
  <c r="A442" i="97"/>
  <c r="C440" i="97"/>
  <c r="D440" i="97"/>
  <c r="E442" i="97" l="1"/>
  <c r="B442" i="97"/>
  <c r="A443" i="97"/>
  <c r="D441" i="97"/>
  <c r="C441" i="97"/>
  <c r="G441" i="97"/>
  <c r="H441" i="97"/>
  <c r="F441" i="97"/>
  <c r="C441" i="99"/>
  <c r="D441" i="99"/>
  <c r="H441" i="99"/>
  <c r="G441" i="99"/>
  <c r="F441" i="99"/>
  <c r="E442" i="99"/>
  <c r="A443" i="99"/>
  <c r="B442" i="99"/>
  <c r="C442" i="99" l="1"/>
  <c r="D442" i="99"/>
  <c r="B443" i="99"/>
  <c r="E443" i="99"/>
  <c r="A444" i="99"/>
  <c r="B443" i="97"/>
  <c r="E443" i="97"/>
  <c r="A444" i="97"/>
  <c r="C442" i="97"/>
  <c r="D442" i="97"/>
  <c r="F442" i="99"/>
  <c r="H442" i="99"/>
  <c r="G442" i="99"/>
  <c r="G442" i="97"/>
  <c r="H442" i="97"/>
  <c r="F442" i="97"/>
  <c r="E444" i="97" l="1"/>
  <c r="B444" i="97"/>
  <c r="A445" i="97"/>
  <c r="F443" i="99"/>
  <c r="H443" i="99"/>
  <c r="G443" i="99"/>
  <c r="G443" i="97"/>
  <c r="F443" i="97"/>
  <c r="H443" i="97"/>
  <c r="C443" i="97"/>
  <c r="D443" i="97"/>
  <c r="A445" i="99"/>
  <c r="B444" i="99"/>
  <c r="E444" i="99"/>
  <c r="C443" i="99"/>
  <c r="D443" i="99"/>
  <c r="H444" i="99" l="1"/>
  <c r="F444" i="99"/>
  <c r="G444" i="99"/>
  <c r="D444" i="99"/>
  <c r="C444" i="99"/>
  <c r="A446" i="99"/>
  <c r="E445" i="99"/>
  <c r="B445" i="99"/>
  <c r="E445" i="97"/>
  <c r="B445" i="97"/>
  <c r="A446" i="97"/>
  <c r="D444" i="97"/>
  <c r="C444" i="97"/>
  <c r="F444" i="97"/>
  <c r="G444" i="97"/>
  <c r="H444" i="97"/>
  <c r="D445" i="97" l="1"/>
  <c r="C445" i="97"/>
  <c r="F445" i="97"/>
  <c r="G445" i="97"/>
  <c r="H445" i="97"/>
  <c r="C445" i="99"/>
  <c r="D445" i="99"/>
  <c r="E446" i="99"/>
  <c r="A447" i="99"/>
  <c r="B446" i="99"/>
  <c r="E446" i="97"/>
  <c r="B446" i="97"/>
  <c r="A447" i="97"/>
  <c r="H445" i="99"/>
  <c r="F445" i="99"/>
  <c r="G445" i="99"/>
  <c r="D446" i="97" l="1"/>
  <c r="C446" i="97"/>
  <c r="C446" i="99"/>
  <c r="D446" i="99"/>
  <c r="B447" i="97"/>
  <c r="A448" i="97"/>
  <c r="E447" i="97"/>
  <c r="F446" i="99"/>
  <c r="H446" i="99"/>
  <c r="G446" i="99"/>
  <c r="G446" i="97"/>
  <c r="F446" i="97"/>
  <c r="H446" i="97"/>
  <c r="B447" i="99"/>
  <c r="E447" i="99"/>
  <c r="A448" i="99"/>
  <c r="D447" i="97" l="1"/>
  <c r="C447" i="97"/>
  <c r="A449" i="99"/>
  <c r="B448" i="99"/>
  <c r="E448" i="99"/>
  <c r="B448" i="97"/>
  <c r="A449" i="97"/>
  <c r="E448" i="97"/>
  <c r="C447" i="99"/>
  <c r="D447" i="99"/>
  <c r="H447" i="99"/>
  <c r="G447" i="99"/>
  <c r="F447" i="99"/>
  <c r="H447" i="97"/>
  <c r="F447" i="97"/>
  <c r="G447" i="97"/>
  <c r="E449" i="97" l="1"/>
  <c r="B449" i="97"/>
  <c r="A450" i="97"/>
  <c r="B449" i="99"/>
  <c r="E449" i="99"/>
  <c r="A450" i="99"/>
  <c r="D448" i="99"/>
  <c r="C448" i="99"/>
  <c r="G448" i="99"/>
  <c r="F448" i="99"/>
  <c r="H448" i="99"/>
  <c r="C448" i="97"/>
  <c r="D448" i="97"/>
  <c r="F448" i="97"/>
  <c r="H448" i="97"/>
  <c r="G448" i="97"/>
  <c r="C449" i="99" l="1"/>
  <c r="D449" i="99"/>
  <c r="E450" i="97"/>
  <c r="B450" i="97"/>
  <c r="A451" i="97"/>
  <c r="H449" i="99"/>
  <c r="F449" i="99"/>
  <c r="G449" i="99"/>
  <c r="D449" i="97"/>
  <c r="C449" i="97"/>
  <c r="A451" i="99"/>
  <c r="E450" i="99"/>
  <c r="B450" i="99"/>
  <c r="F449" i="97"/>
  <c r="H449" i="97"/>
  <c r="G449" i="97"/>
  <c r="G450" i="99" l="1"/>
  <c r="H450" i="99"/>
  <c r="F450" i="99"/>
  <c r="B451" i="99"/>
  <c r="E451" i="99"/>
  <c r="A452" i="99"/>
  <c r="E451" i="97"/>
  <c r="A452" i="97"/>
  <c r="B451" i="97"/>
  <c r="C450" i="97"/>
  <c r="D450" i="97"/>
  <c r="D450" i="99"/>
  <c r="C450" i="99"/>
  <c r="G450" i="97"/>
  <c r="H450" i="97"/>
  <c r="F450" i="97"/>
  <c r="F451" i="99" l="1"/>
  <c r="H451" i="99"/>
  <c r="G451" i="99"/>
  <c r="B452" i="97"/>
  <c r="A453" i="97"/>
  <c r="E452" i="97"/>
  <c r="C451" i="99"/>
  <c r="D451" i="99"/>
  <c r="B452" i="99"/>
  <c r="E452" i="99"/>
  <c r="A453" i="99"/>
  <c r="G451" i="97"/>
  <c r="H451" i="97"/>
  <c r="F451" i="97"/>
  <c r="C451" i="97"/>
  <c r="D451" i="97"/>
  <c r="E453" i="99" l="1"/>
  <c r="B453" i="99"/>
  <c r="A454" i="99"/>
  <c r="D452" i="99"/>
  <c r="C452" i="99"/>
  <c r="H452" i="97"/>
  <c r="G452" i="97"/>
  <c r="F452" i="97"/>
  <c r="G452" i="99"/>
  <c r="F452" i="99"/>
  <c r="H452" i="99"/>
  <c r="E453" i="97"/>
  <c r="B453" i="97"/>
  <c r="A454" i="97"/>
  <c r="C452" i="97"/>
  <c r="D452" i="97"/>
  <c r="D453" i="97" l="1"/>
  <c r="C453" i="97"/>
  <c r="B454" i="97"/>
  <c r="E454" i="97"/>
  <c r="A455" i="97"/>
  <c r="G453" i="97"/>
  <c r="F453" i="97"/>
  <c r="H453" i="97"/>
  <c r="B454" i="99"/>
  <c r="E454" i="99"/>
  <c r="A455" i="99"/>
  <c r="C453" i="99"/>
  <c r="D453" i="99"/>
  <c r="G453" i="99"/>
  <c r="F453" i="99"/>
  <c r="H453" i="99"/>
  <c r="D454" i="97" l="1"/>
  <c r="C454" i="97"/>
  <c r="E455" i="97"/>
  <c r="A456" i="97"/>
  <c r="B455" i="97"/>
  <c r="E455" i="99"/>
  <c r="B455" i="99"/>
  <c r="A456" i="99"/>
  <c r="G454" i="97"/>
  <c r="F454" i="97"/>
  <c r="H454" i="97"/>
  <c r="C454" i="99"/>
  <c r="D454" i="99"/>
  <c r="F454" i="99"/>
  <c r="H454" i="99"/>
  <c r="G454" i="99"/>
  <c r="D455" i="99" l="1"/>
  <c r="C455" i="99"/>
  <c r="H455" i="99"/>
  <c r="G455" i="99"/>
  <c r="F455" i="99"/>
  <c r="D455" i="97"/>
  <c r="C455" i="97"/>
  <c r="H455" i="97"/>
  <c r="G455" i="97"/>
  <c r="F455" i="97"/>
  <c r="B456" i="99"/>
  <c r="E456" i="99"/>
  <c r="A457" i="99"/>
  <c r="B456" i="97"/>
  <c r="E456" i="97"/>
  <c r="A457" i="97"/>
  <c r="D456" i="97" l="1"/>
  <c r="C456" i="97"/>
  <c r="H456" i="99"/>
  <c r="G456" i="99"/>
  <c r="F456" i="99"/>
  <c r="E457" i="99"/>
  <c r="B457" i="99"/>
  <c r="A458" i="99"/>
  <c r="F456" i="97"/>
  <c r="G456" i="97"/>
  <c r="H456" i="97"/>
  <c r="E457" i="97"/>
  <c r="A458" i="97"/>
  <c r="B457" i="97"/>
  <c r="D456" i="99"/>
  <c r="C456" i="99"/>
  <c r="C457" i="99" l="1"/>
  <c r="D457" i="99"/>
  <c r="B458" i="97"/>
  <c r="E458" i="97"/>
  <c r="A459" i="97"/>
  <c r="C457" i="97"/>
  <c r="D457" i="97"/>
  <c r="G457" i="97"/>
  <c r="F457" i="97"/>
  <c r="H457" i="97"/>
  <c r="G457" i="99"/>
  <c r="F457" i="99"/>
  <c r="H457" i="99"/>
  <c r="E458" i="99"/>
  <c r="A459" i="99"/>
  <c r="B458" i="99"/>
  <c r="B459" i="97" l="1"/>
  <c r="E459" i="97"/>
  <c r="A460" i="97"/>
  <c r="D458" i="97"/>
  <c r="C458" i="97"/>
  <c r="F458" i="99"/>
  <c r="H458" i="99"/>
  <c r="G458" i="99"/>
  <c r="H458" i="97"/>
  <c r="F458" i="97"/>
  <c r="G458" i="97"/>
  <c r="D458" i="99"/>
  <c r="C458" i="99"/>
  <c r="B459" i="99"/>
  <c r="A460" i="99"/>
  <c r="E459" i="99"/>
  <c r="E460" i="97" l="1"/>
  <c r="A461" i="97"/>
  <c r="B460" i="97"/>
  <c r="G459" i="99"/>
  <c r="H459" i="99"/>
  <c r="F459" i="99"/>
  <c r="B460" i="99"/>
  <c r="E460" i="99"/>
  <c r="A461" i="99"/>
  <c r="C459" i="99"/>
  <c r="D459" i="99"/>
  <c r="C459" i="97"/>
  <c r="D459" i="97"/>
  <c r="G459" i="97"/>
  <c r="H459" i="97"/>
  <c r="F459" i="97"/>
  <c r="D460" i="99" l="1"/>
  <c r="C460" i="99"/>
  <c r="F460" i="99"/>
  <c r="G460" i="99"/>
  <c r="H460" i="99"/>
  <c r="D460" i="97"/>
  <c r="C460" i="97"/>
  <c r="A462" i="97"/>
  <c r="E461" i="97"/>
  <c r="B461" i="97"/>
  <c r="E461" i="99"/>
  <c r="A462" i="99"/>
  <c r="B461" i="99"/>
  <c r="H460" i="97"/>
  <c r="G460" i="97"/>
  <c r="F460" i="97"/>
  <c r="H461" i="99" l="1"/>
  <c r="F461" i="99"/>
  <c r="G461" i="99"/>
  <c r="E462" i="97"/>
  <c r="B462" i="97"/>
  <c r="A463" i="97"/>
  <c r="C461" i="97"/>
  <c r="D461" i="97"/>
  <c r="F461" i="97"/>
  <c r="H461" i="97"/>
  <c r="G461" i="97"/>
  <c r="C461" i="99"/>
  <c r="D461" i="99"/>
  <c r="E462" i="99"/>
  <c r="B462" i="99"/>
  <c r="A463" i="99"/>
  <c r="C462" i="97" l="1"/>
  <c r="D462" i="97"/>
  <c r="F462" i="97"/>
  <c r="G462" i="97"/>
  <c r="H462" i="97"/>
  <c r="B463" i="99"/>
  <c r="E463" i="99"/>
  <c r="A464" i="99"/>
  <c r="E463" i="97"/>
  <c r="A464" i="97"/>
  <c r="B463" i="97"/>
  <c r="D462" i="99"/>
  <c r="C462" i="99"/>
  <c r="H462" i="99"/>
  <c r="F462" i="99"/>
  <c r="G462" i="99"/>
  <c r="G463" i="97" l="1"/>
  <c r="H463" i="97"/>
  <c r="F463" i="97"/>
  <c r="B464" i="97"/>
  <c r="E464" i="97"/>
  <c r="A465" i="97"/>
  <c r="F463" i="99"/>
  <c r="H463" i="99"/>
  <c r="G463" i="99"/>
  <c r="B464" i="99"/>
  <c r="A465" i="99"/>
  <c r="E464" i="99"/>
  <c r="D463" i="97"/>
  <c r="C463" i="97"/>
  <c r="D463" i="99"/>
  <c r="C463" i="99"/>
  <c r="F464" i="97" l="1"/>
  <c r="G464" i="97"/>
  <c r="H464" i="97"/>
  <c r="H464" i="99"/>
  <c r="F464" i="99"/>
  <c r="G464" i="99"/>
  <c r="E465" i="99"/>
  <c r="B465" i="99"/>
  <c r="A466" i="99"/>
  <c r="D464" i="97"/>
  <c r="C464" i="97"/>
  <c r="C464" i="99"/>
  <c r="D464" i="99"/>
  <c r="B465" i="97"/>
  <c r="E465" i="97"/>
  <c r="A466" i="97"/>
  <c r="D465" i="97" l="1"/>
  <c r="C465" i="97"/>
  <c r="B466" i="97"/>
  <c r="E466" i="97"/>
  <c r="A467" i="97"/>
  <c r="D465" i="99"/>
  <c r="C465" i="99"/>
  <c r="H465" i="99"/>
  <c r="F465" i="99"/>
  <c r="G465" i="99"/>
  <c r="B466" i="99"/>
  <c r="E466" i="99"/>
  <c r="A467" i="99"/>
  <c r="G465" i="97"/>
  <c r="H465" i="97"/>
  <c r="F465" i="97"/>
  <c r="B467" i="99" l="1"/>
  <c r="A468" i="99"/>
  <c r="E467" i="99"/>
  <c r="F466" i="99"/>
  <c r="H466" i="99"/>
  <c r="G466" i="99"/>
  <c r="B467" i="97"/>
  <c r="E467" i="97"/>
  <c r="A468" i="97"/>
  <c r="G466" i="97"/>
  <c r="H466" i="97"/>
  <c r="F466" i="97"/>
  <c r="D466" i="97"/>
  <c r="C466" i="97"/>
  <c r="C466" i="99"/>
  <c r="D466" i="99"/>
  <c r="E468" i="97" l="1"/>
  <c r="B468" i="97"/>
  <c r="A469" i="97"/>
  <c r="C467" i="97"/>
  <c r="D467" i="97"/>
  <c r="F467" i="99"/>
  <c r="H467" i="99"/>
  <c r="G467" i="99"/>
  <c r="B468" i="99"/>
  <c r="A469" i="99"/>
  <c r="E468" i="99"/>
  <c r="F467" i="97"/>
  <c r="G467" i="97"/>
  <c r="H467" i="97"/>
  <c r="D467" i="99"/>
  <c r="C467" i="99"/>
  <c r="G468" i="99" l="1"/>
  <c r="F468" i="99"/>
  <c r="H468" i="99"/>
  <c r="E469" i="99"/>
  <c r="B469" i="99"/>
  <c r="A470" i="99"/>
  <c r="D468" i="99"/>
  <c r="C468" i="99"/>
  <c r="F468" i="97"/>
  <c r="H468" i="97"/>
  <c r="G468" i="97"/>
  <c r="E469" i="97"/>
  <c r="B469" i="97"/>
  <c r="A470" i="97"/>
  <c r="C468" i="97"/>
  <c r="D468" i="97"/>
  <c r="A471" i="99" l="1"/>
  <c r="E470" i="99"/>
  <c r="B470" i="99"/>
  <c r="D469" i="97"/>
  <c r="C469" i="97"/>
  <c r="F469" i="97"/>
  <c r="G469" i="97"/>
  <c r="H469" i="97"/>
  <c r="D469" i="99"/>
  <c r="C469" i="99"/>
  <c r="E470" i="97"/>
  <c r="B470" i="97"/>
  <c r="A471" i="97"/>
  <c r="G469" i="99"/>
  <c r="H469" i="99"/>
  <c r="F469" i="99"/>
  <c r="E471" i="97" l="1"/>
  <c r="A472" i="97"/>
  <c r="B471" i="97"/>
  <c r="D470" i="97"/>
  <c r="C470" i="97"/>
  <c r="F470" i="97"/>
  <c r="H470" i="97"/>
  <c r="G470" i="97"/>
  <c r="D470" i="99"/>
  <c r="C470" i="99"/>
  <c r="H470" i="99"/>
  <c r="F470" i="99"/>
  <c r="G470" i="99"/>
  <c r="A472" i="99"/>
  <c r="E471" i="99"/>
  <c r="B471" i="99"/>
  <c r="B472" i="99" l="1"/>
  <c r="E472" i="99"/>
  <c r="A473" i="99"/>
  <c r="F471" i="99"/>
  <c r="G471" i="99"/>
  <c r="H471" i="99"/>
  <c r="D471" i="97"/>
  <c r="C471" i="97"/>
  <c r="B472" i="97"/>
  <c r="E472" i="97"/>
  <c r="A473" i="97"/>
  <c r="D471" i="99"/>
  <c r="C471" i="99"/>
  <c r="H471" i="97"/>
  <c r="G471" i="97"/>
  <c r="F471" i="97"/>
  <c r="B473" i="99" l="1"/>
  <c r="E473" i="99"/>
  <c r="A474" i="99"/>
  <c r="F472" i="99"/>
  <c r="H472" i="99"/>
  <c r="G472" i="99"/>
  <c r="D472" i="99"/>
  <c r="C472" i="99"/>
  <c r="G472" i="97"/>
  <c r="H472" i="97"/>
  <c r="F472" i="97"/>
  <c r="C472" i="97"/>
  <c r="D472" i="97"/>
  <c r="B473" i="97"/>
  <c r="E473" i="97"/>
  <c r="A474" i="97"/>
  <c r="G473" i="97" l="1"/>
  <c r="F473" i="97"/>
  <c r="H473" i="97"/>
  <c r="C473" i="97"/>
  <c r="D473" i="97"/>
  <c r="E474" i="99"/>
  <c r="A475" i="99"/>
  <c r="B474" i="99"/>
  <c r="F473" i="99"/>
  <c r="H473" i="99"/>
  <c r="G473" i="99"/>
  <c r="E474" i="97"/>
  <c r="B474" i="97"/>
  <c r="A475" i="97"/>
  <c r="C473" i="99"/>
  <c r="D473" i="99"/>
  <c r="B475" i="97" l="1"/>
  <c r="A476" i="97"/>
  <c r="E475" i="97"/>
  <c r="H474" i="97"/>
  <c r="G474" i="97"/>
  <c r="F474" i="97"/>
  <c r="C474" i="99"/>
  <c r="D474" i="99"/>
  <c r="B475" i="99"/>
  <c r="E475" i="99"/>
  <c r="A476" i="99"/>
  <c r="F474" i="99"/>
  <c r="G474" i="99"/>
  <c r="H474" i="99"/>
  <c r="D474" i="97"/>
  <c r="C474" i="97"/>
  <c r="F475" i="99" l="1"/>
  <c r="G475" i="99"/>
  <c r="H475" i="99"/>
  <c r="B476" i="99"/>
  <c r="A477" i="99"/>
  <c r="E476" i="99"/>
  <c r="H475" i="97"/>
  <c r="F475" i="97"/>
  <c r="G475" i="97"/>
  <c r="C475" i="99"/>
  <c r="D475" i="99"/>
  <c r="A477" i="97"/>
  <c r="B476" i="97"/>
  <c r="E476" i="97"/>
  <c r="C475" i="97"/>
  <c r="D475" i="97"/>
  <c r="E477" i="99" l="1"/>
  <c r="B477" i="99"/>
  <c r="A478" i="99"/>
  <c r="F476" i="97"/>
  <c r="G476" i="97"/>
  <c r="H476" i="97"/>
  <c r="D476" i="99"/>
  <c r="C476" i="99"/>
  <c r="B477" i="97"/>
  <c r="E477" i="97"/>
  <c r="A478" i="97"/>
  <c r="D476" i="97"/>
  <c r="C476" i="97"/>
  <c r="G476" i="99"/>
  <c r="H476" i="99"/>
  <c r="F476" i="99"/>
  <c r="B478" i="97" l="1"/>
  <c r="E478" i="97"/>
  <c r="A479" i="97"/>
  <c r="F477" i="97"/>
  <c r="H477" i="97"/>
  <c r="G477" i="97"/>
  <c r="C477" i="97"/>
  <c r="D477" i="97"/>
  <c r="B478" i="99"/>
  <c r="A479" i="99"/>
  <c r="E478" i="99"/>
  <c r="C477" i="99"/>
  <c r="D477" i="99"/>
  <c r="G477" i="99"/>
  <c r="H477" i="99"/>
  <c r="F477" i="99"/>
  <c r="G478" i="99" l="1"/>
  <c r="F478" i="99"/>
  <c r="H478" i="99"/>
  <c r="B479" i="99"/>
  <c r="E479" i="99"/>
  <c r="A480" i="99"/>
  <c r="D478" i="99"/>
  <c r="C478" i="99"/>
  <c r="E479" i="97"/>
  <c r="B479" i="97"/>
  <c r="A480" i="97"/>
  <c r="F478" i="97"/>
  <c r="H478" i="97"/>
  <c r="G478" i="97"/>
  <c r="C478" i="97"/>
  <c r="D478" i="97"/>
  <c r="C479" i="97" l="1"/>
  <c r="D479" i="97"/>
  <c r="F479" i="97"/>
  <c r="G479" i="97"/>
  <c r="H479" i="97"/>
  <c r="D479" i="99"/>
  <c r="C479" i="99"/>
  <c r="B480" i="97"/>
  <c r="E480" i="97"/>
  <c r="A481" i="97"/>
  <c r="A481" i="99"/>
  <c r="E480" i="99"/>
  <c r="B480" i="99"/>
  <c r="F479" i="99"/>
  <c r="G479" i="99"/>
  <c r="H479" i="99"/>
  <c r="B481" i="97" l="1"/>
  <c r="E481" i="97"/>
  <c r="A482" i="97"/>
  <c r="G480" i="99"/>
  <c r="H480" i="99"/>
  <c r="F480" i="99"/>
  <c r="A482" i="99"/>
  <c r="B481" i="99"/>
  <c r="E481" i="99"/>
  <c r="G480" i="97"/>
  <c r="H480" i="97"/>
  <c r="F480" i="97"/>
  <c r="D480" i="97"/>
  <c r="C480" i="97"/>
  <c r="D480" i="99"/>
  <c r="C480" i="99"/>
  <c r="E482" i="99" l="1"/>
  <c r="A483" i="99"/>
  <c r="B482" i="99"/>
  <c r="C481" i="99"/>
  <c r="D481" i="99"/>
  <c r="H481" i="99"/>
  <c r="F481" i="99"/>
  <c r="G481" i="99"/>
  <c r="E482" i="97"/>
  <c r="B482" i="97"/>
  <c r="A483" i="97"/>
  <c r="G481" i="97"/>
  <c r="F481" i="97"/>
  <c r="H481" i="97"/>
  <c r="C481" i="97"/>
  <c r="D481" i="97"/>
  <c r="E483" i="97" l="1"/>
  <c r="B483" i="97"/>
  <c r="A484" i="97"/>
  <c r="C482" i="99"/>
  <c r="D482" i="99"/>
  <c r="C482" i="97"/>
  <c r="D482" i="97"/>
  <c r="G482" i="97"/>
  <c r="H482" i="97"/>
  <c r="F482" i="97"/>
  <c r="B483" i="99"/>
  <c r="E483" i="99"/>
  <c r="A484" i="99"/>
  <c r="G482" i="99"/>
  <c r="H482" i="99"/>
  <c r="F482" i="99"/>
  <c r="D483" i="97" l="1"/>
  <c r="C483" i="97"/>
  <c r="H483" i="99"/>
  <c r="G483" i="99"/>
  <c r="F483" i="99"/>
  <c r="C483" i="99"/>
  <c r="D483" i="99"/>
  <c r="E484" i="97"/>
  <c r="B484" i="97"/>
  <c r="A485" i="97"/>
  <c r="E484" i="99"/>
  <c r="B484" i="99"/>
  <c r="A485" i="99"/>
  <c r="H483" i="97"/>
  <c r="F483" i="97"/>
  <c r="G483" i="97"/>
  <c r="D484" i="99" l="1"/>
  <c r="C484" i="99"/>
  <c r="B485" i="97"/>
  <c r="E485" i="97"/>
  <c r="A486" i="97"/>
  <c r="D484" i="97"/>
  <c r="C484" i="97"/>
  <c r="E485" i="99"/>
  <c r="B485" i="99"/>
  <c r="A486" i="99"/>
  <c r="G484" i="97"/>
  <c r="F484" i="97"/>
  <c r="H484" i="97"/>
  <c r="H484" i="99"/>
  <c r="F484" i="99"/>
  <c r="G484" i="99"/>
  <c r="C485" i="97" l="1"/>
  <c r="D485" i="97"/>
  <c r="C485" i="99"/>
  <c r="D485" i="99"/>
  <c r="G485" i="99"/>
  <c r="F485" i="99"/>
  <c r="H485" i="99"/>
  <c r="B486" i="97"/>
  <c r="E486" i="97"/>
  <c r="A487" i="97"/>
  <c r="F485" i="97"/>
  <c r="H485" i="97"/>
  <c r="G485" i="97"/>
  <c r="E486" i="99"/>
  <c r="B486" i="99"/>
  <c r="A487" i="99"/>
  <c r="F486" i="97" l="1"/>
  <c r="H486" i="97"/>
  <c r="G486" i="97"/>
  <c r="E487" i="99"/>
  <c r="B487" i="99"/>
  <c r="A488" i="99"/>
  <c r="C486" i="99"/>
  <c r="D486" i="99"/>
  <c r="D486" i="97"/>
  <c r="C486" i="97"/>
  <c r="E487" i="97"/>
  <c r="A488" i="97"/>
  <c r="B487" i="97"/>
  <c r="F486" i="99"/>
  <c r="G486" i="99"/>
  <c r="H486" i="99"/>
  <c r="C487" i="97" l="1"/>
  <c r="D487" i="97"/>
  <c r="A489" i="97"/>
  <c r="B488" i="97"/>
  <c r="E488" i="97"/>
  <c r="B488" i="99"/>
  <c r="A489" i="99"/>
  <c r="E488" i="99"/>
  <c r="H487" i="97"/>
  <c r="G487" i="97"/>
  <c r="F487" i="97"/>
  <c r="G487" i="99"/>
  <c r="H487" i="99"/>
  <c r="F487" i="99"/>
  <c r="C487" i="99"/>
  <c r="D487" i="99"/>
  <c r="E489" i="99" l="1"/>
  <c r="B489" i="99"/>
  <c r="A490" i="99"/>
  <c r="H488" i="99"/>
  <c r="G488" i="99"/>
  <c r="F488" i="99"/>
  <c r="E489" i="97"/>
  <c r="A490" i="97"/>
  <c r="B489" i="97"/>
  <c r="D488" i="99"/>
  <c r="C488" i="99"/>
  <c r="G488" i="97"/>
  <c r="F488" i="97"/>
  <c r="H488" i="97"/>
  <c r="D488" i="97"/>
  <c r="C488" i="97"/>
  <c r="F489" i="99" l="1"/>
  <c r="H489" i="99"/>
  <c r="G489" i="99"/>
  <c r="A491" i="97"/>
  <c r="B490" i="97"/>
  <c r="E490" i="97"/>
  <c r="B490" i="99"/>
  <c r="A491" i="99"/>
  <c r="E490" i="99"/>
  <c r="D489" i="97"/>
  <c r="C489" i="97"/>
  <c r="G489" i="97"/>
  <c r="F489" i="97"/>
  <c r="H489" i="97"/>
  <c r="C489" i="99"/>
  <c r="D489" i="99"/>
  <c r="G490" i="99" l="1"/>
  <c r="F490" i="99"/>
  <c r="H490" i="99"/>
  <c r="H490" i="97"/>
  <c r="F490" i="97"/>
  <c r="G490" i="97"/>
  <c r="E491" i="99"/>
  <c r="B491" i="99"/>
  <c r="A492" i="99"/>
  <c r="C490" i="97"/>
  <c r="D490" i="97"/>
  <c r="D490" i="99"/>
  <c r="C490" i="99"/>
  <c r="B491" i="97"/>
  <c r="A492" i="97"/>
  <c r="E491" i="97"/>
  <c r="D491" i="97" l="1"/>
  <c r="C491" i="97"/>
  <c r="E492" i="99"/>
  <c r="B492" i="99"/>
  <c r="A493" i="99"/>
  <c r="F491" i="99"/>
  <c r="H491" i="99"/>
  <c r="G491" i="99"/>
  <c r="D491" i="99"/>
  <c r="C491" i="99"/>
  <c r="E492" i="97"/>
  <c r="B492" i="97"/>
  <c r="A493" i="97"/>
  <c r="G491" i="97"/>
  <c r="F491" i="97"/>
  <c r="H491" i="97"/>
  <c r="E493" i="97" l="1"/>
  <c r="B493" i="97"/>
  <c r="A494" i="97"/>
  <c r="G492" i="99"/>
  <c r="F492" i="99"/>
  <c r="H492" i="99"/>
  <c r="C492" i="99"/>
  <c r="D492" i="99"/>
  <c r="C492" i="97"/>
  <c r="D492" i="97"/>
  <c r="F492" i="97"/>
  <c r="G492" i="97"/>
  <c r="H492" i="97"/>
  <c r="E493" i="99"/>
  <c r="A494" i="99"/>
  <c r="B493" i="99"/>
  <c r="D493" i="99" l="1"/>
  <c r="C493" i="99"/>
  <c r="B494" i="99"/>
  <c r="E494" i="99"/>
  <c r="A495" i="99"/>
  <c r="G493" i="97"/>
  <c r="F493" i="97"/>
  <c r="H493" i="97"/>
  <c r="F493" i="99"/>
  <c r="G493" i="99"/>
  <c r="H493" i="99"/>
  <c r="D493" i="97"/>
  <c r="C493" i="97"/>
  <c r="B494" i="97"/>
  <c r="E494" i="97"/>
  <c r="A495" i="97"/>
  <c r="E495" i="97" l="1"/>
  <c r="B495" i="97"/>
  <c r="A496" i="97"/>
  <c r="D494" i="99"/>
  <c r="C494" i="99"/>
  <c r="C494" i="97"/>
  <c r="D494" i="97"/>
  <c r="B495" i="99"/>
  <c r="A496" i="99"/>
  <c r="E495" i="99"/>
  <c r="F494" i="99"/>
  <c r="G494" i="99"/>
  <c r="H494" i="99"/>
  <c r="F494" i="97"/>
  <c r="G494" i="97"/>
  <c r="H494" i="97"/>
  <c r="G495" i="97" l="1"/>
  <c r="F495" i="97"/>
  <c r="H495" i="97"/>
  <c r="C495" i="97"/>
  <c r="D495" i="97"/>
  <c r="B496" i="97"/>
  <c r="A497" i="97"/>
  <c r="E496" i="97"/>
  <c r="D495" i="99"/>
  <c r="C495" i="99"/>
  <c r="G495" i="99"/>
  <c r="H495" i="99"/>
  <c r="F495" i="99"/>
  <c r="B496" i="99"/>
  <c r="A497" i="99"/>
  <c r="E496" i="99"/>
  <c r="F496" i="99" l="1"/>
  <c r="G496" i="99"/>
  <c r="H496" i="99"/>
  <c r="E497" i="99"/>
  <c r="A498" i="99"/>
  <c r="B497" i="99"/>
  <c r="D496" i="99"/>
  <c r="C496" i="99"/>
  <c r="C496" i="97"/>
  <c r="D496" i="97"/>
  <c r="G496" i="97"/>
  <c r="F496" i="97"/>
  <c r="H496" i="97"/>
  <c r="E497" i="97"/>
  <c r="B497" i="97"/>
  <c r="A498" i="97"/>
  <c r="E498" i="97" l="1"/>
  <c r="B498" i="97"/>
  <c r="A499" i="97"/>
  <c r="C497" i="99"/>
  <c r="D497" i="99"/>
  <c r="E498" i="99"/>
  <c r="B498" i="99"/>
  <c r="A499" i="99"/>
  <c r="H497" i="99"/>
  <c r="F497" i="99"/>
  <c r="G497" i="99"/>
  <c r="F497" i="97"/>
  <c r="H497" i="97"/>
  <c r="G497" i="97"/>
  <c r="C497" i="97"/>
  <c r="D497" i="97"/>
  <c r="C498" i="99" l="1"/>
  <c r="D498" i="99"/>
  <c r="F498" i="99"/>
  <c r="G498" i="99"/>
  <c r="H498" i="99"/>
  <c r="E499" i="99"/>
  <c r="A500" i="99"/>
  <c r="B499" i="99"/>
  <c r="B499" i="97"/>
  <c r="A500" i="97"/>
  <c r="E499" i="97"/>
  <c r="C498" i="97"/>
  <c r="D498" i="97"/>
  <c r="G498" i="97"/>
  <c r="H498" i="97"/>
  <c r="F498" i="97"/>
  <c r="E500" i="99" l="1"/>
  <c r="B500" i="99"/>
  <c r="A501" i="99"/>
  <c r="G499" i="99"/>
  <c r="H499" i="99"/>
  <c r="F499" i="99"/>
  <c r="F499" i="97"/>
  <c r="G499" i="97"/>
  <c r="H499" i="97"/>
  <c r="D499" i="97"/>
  <c r="C499" i="97"/>
  <c r="A501" i="97"/>
  <c r="B500" i="97"/>
  <c r="E500" i="97"/>
  <c r="C499" i="99"/>
  <c r="D499" i="99"/>
  <c r="C500" i="97" l="1"/>
  <c r="D500" i="97"/>
  <c r="G500" i="97"/>
  <c r="F500" i="97"/>
  <c r="H500" i="97"/>
  <c r="B501" i="97"/>
  <c r="E501" i="97"/>
  <c r="A502" i="97"/>
  <c r="B501" i="99"/>
  <c r="E501" i="99"/>
  <c r="A502" i="99"/>
  <c r="C500" i="99"/>
  <c r="D500" i="99"/>
  <c r="F500" i="99"/>
  <c r="H500" i="99"/>
  <c r="G500" i="99"/>
  <c r="H501" i="97" l="1"/>
  <c r="G501" i="97"/>
  <c r="F501" i="97"/>
  <c r="D501" i="99"/>
  <c r="C501" i="99"/>
  <c r="C501" i="97"/>
  <c r="D501" i="97"/>
  <c r="E502" i="99"/>
  <c r="B502" i="99"/>
  <c r="A503" i="99"/>
  <c r="H501" i="99"/>
  <c r="F501" i="99"/>
  <c r="G501" i="99"/>
  <c r="B502" i="97"/>
  <c r="E502" i="97"/>
  <c r="A503" i="97"/>
  <c r="E503" i="97" l="1"/>
  <c r="B503" i="97"/>
  <c r="A504" i="97"/>
  <c r="G502" i="99"/>
  <c r="H502" i="99"/>
  <c r="F502" i="99"/>
  <c r="C502" i="97"/>
  <c r="D502" i="97"/>
  <c r="B503" i="99"/>
  <c r="A504" i="99"/>
  <c r="E503" i="99"/>
  <c r="G502" i="97"/>
  <c r="H502" i="97"/>
  <c r="F502" i="97"/>
  <c r="C502" i="99"/>
  <c r="D502" i="99"/>
  <c r="H503" i="99" l="1"/>
  <c r="F503" i="99"/>
  <c r="G503" i="99"/>
  <c r="E504" i="99"/>
  <c r="B504" i="99"/>
  <c r="A505" i="99"/>
  <c r="C503" i="97"/>
  <c r="D503" i="97"/>
  <c r="C503" i="99"/>
  <c r="D503" i="99"/>
  <c r="B504" i="97"/>
  <c r="E504" i="97"/>
  <c r="A505" i="97"/>
  <c r="F503" i="97"/>
  <c r="G503" i="97"/>
  <c r="H503" i="97"/>
  <c r="E505" i="97" l="1"/>
  <c r="A506" i="97"/>
  <c r="B505" i="97"/>
  <c r="C504" i="97"/>
  <c r="D504" i="97"/>
  <c r="F504" i="97"/>
  <c r="H504" i="97"/>
  <c r="G504" i="97"/>
  <c r="E505" i="99"/>
  <c r="B505" i="99"/>
  <c r="A506" i="99"/>
  <c r="D504" i="99"/>
  <c r="C504" i="99"/>
  <c r="G504" i="99"/>
  <c r="F504" i="99"/>
  <c r="H504" i="99"/>
  <c r="A507" i="99" l="1"/>
  <c r="B506" i="99"/>
  <c r="E506" i="99"/>
  <c r="C505" i="99"/>
  <c r="D505" i="99"/>
  <c r="C505" i="97"/>
  <c r="D505" i="97"/>
  <c r="H505" i="99"/>
  <c r="G505" i="99"/>
  <c r="F505" i="99"/>
  <c r="B506" i="97"/>
  <c r="E506" i="97"/>
  <c r="A507" i="97"/>
  <c r="H505" i="97"/>
  <c r="F505" i="97"/>
  <c r="G505" i="97"/>
  <c r="D506" i="97" l="1"/>
  <c r="C506" i="97"/>
  <c r="C506" i="99"/>
  <c r="D506" i="99"/>
  <c r="G506" i="99"/>
  <c r="H506" i="99"/>
  <c r="F506" i="99"/>
  <c r="E507" i="99"/>
  <c r="B507" i="99"/>
  <c r="A508" i="99"/>
  <c r="E507" i="97"/>
  <c r="B507" i="97"/>
  <c r="A508" i="97"/>
  <c r="F506" i="97"/>
  <c r="H506" i="97"/>
  <c r="G506" i="97"/>
  <c r="E508" i="97" l="1"/>
  <c r="B508" i="97"/>
  <c r="A509" i="97"/>
  <c r="G507" i="97"/>
  <c r="F507" i="97"/>
  <c r="H507" i="97"/>
  <c r="B508" i="99"/>
  <c r="E508" i="99"/>
  <c r="A509" i="99"/>
  <c r="D507" i="97"/>
  <c r="C507" i="97"/>
  <c r="D507" i="99"/>
  <c r="C507" i="99"/>
  <c r="H507" i="99"/>
  <c r="G507" i="99"/>
  <c r="F507" i="99"/>
  <c r="B509" i="99" l="1"/>
  <c r="E509" i="99"/>
  <c r="A510" i="99"/>
  <c r="C508" i="99"/>
  <c r="D508" i="99"/>
  <c r="B509" i="97"/>
  <c r="E509" i="97"/>
  <c r="A510" i="97"/>
  <c r="C508" i="97"/>
  <c r="D508" i="97"/>
  <c r="F508" i="99"/>
  <c r="H508" i="99"/>
  <c r="G508" i="99"/>
  <c r="H508" i="97"/>
  <c r="F508" i="97"/>
  <c r="G508" i="97"/>
  <c r="B510" i="99" l="1"/>
  <c r="A511" i="99"/>
  <c r="E510" i="99"/>
  <c r="C509" i="99"/>
  <c r="D509" i="99"/>
  <c r="H509" i="99"/>
  <c r="G509" i="99"/>
  <c r="F509" i="99"/>
  <c r="E510" i="97"/>
  <c r="B510" i="97"/>
  <c r="A511" i="97"/>
  <c r="D509" i="97"/>
  <c r="C509" i="97"/>
  <c r="G509" i="97"/>
  <c r="F509" i="97"/>
  <c r="H509" i="97"/>
  <c r="F510" i="97" l="1"/>
  <c r="G510" i="97"/>
  <c r="H510" i="97"/>
  <c r="C510" i="97"/>
  <c r="D510" i="97"/>
  <c r="H510" i="99"/>
  <c r="F510" i="99"/>
  <c r="G510" i="99"/>
  <c r="E511" i="99"/>
  <c r="B511" i="99"/>
  <c r="A512" i="99"/>
  <c r="D510" i="99"/>
  <c r="C510" i="99"/>
  <c r="B511" i="97"/>
  <c r="A512" i="97"/>
  <c r="E511" i="97"/>
  <c r="G511" i="97" l="1"/>
  <c r="H511" i="97"/>
  <c r="F511" i="97"/>
  <c r="B512" i="99"/>
  <c r="E512" i="99"/>
  <c r="A513" i="99"/>
  <c r="B512" i="97"/>
  <c r="E512" i="97"/>
  <c r="A513" i="97"/>
  <c r="H511" i="99"/>
  <c r="G511" i="99"/>
  <c r="F511" i="99"/>
  <c r="C511" i="99"/>
  <c r="D511" i="99"/>
  <c r="C511" i="97"/>
  <c r="D511" i="97"/>
  <c r="B513" i="99" l="1"/>
  <c r="E513" i="99"/>
  <c r="A514" i="99"/>
  <c r="H512" i="99"/>
  <c r="F512" i="99"/>
  <c r="G512" i="99"/>
  <c r="B513" i="97"/>
  <c r="E513" i="97"/>
  <c r="A514" i="97"/>
  <c r="H512" i="97"/>
  <c r="F512" i="97"/>
  <c r="G512" i="97"/>
  <c r="C512" i="97"/>
  <c r="D512" i="97"/>
  <c r="D512" i="99"/>
  <c r="C512" i="99"/>
  <c r="B514" i="97" l="1"/>
  <c r="E514" i="97"/>
  <c r="A515" i="97"/>
  <c r="F513" i="97"/>
  <c r="H513" i="97"/>
  <c r="G513" i="97"/>
  <c r="A515" i="99"/>
  <c r="E514" i="99"/>
  <c r="B514" i="99"/>
  <c r="C513" i="97"/>
  <c r="D513" i="97"/>
  <c r="F513" i="99"/>
  <c r="G513" i="99"/>
  <c r="H513" i="99"/>
  <c r="C513" i="99"/>
  <c r="D513" i="99"/>
  <c r="D514" i="99" l="1"/>
  <c r="C514" i="99"/>
  <c r="G514" i="99"/>
  <c r="F514" i="99"/>
  <c r="H514" i="99"/>
  <c r="E515" i="99"/>
  <c r="B515" i="99"/>
  <c r="A516" i="99"/>
  <c r="H514" i="97"/>
  <c r="G514" i="97"/>
  <c r="F514" i="97"/>
  <c r="B515" i="97"/>
  <c r="E515" i="97"/>
  <c r="A516" i="97"/>
  <c r="C514" i="97"/>
  <c r="D514" i="97"/>
  <c r="C515" i="99" l="1"/>
  <c r="D515" i="99"/>
  <c r="B516" i="99"/>
  <c r="E516" i="99"/>
  <c r="A517" i="99"/>
  <c r="G515" i="99"/>
  <c r="H515" i="99"/>
  <c r="F515" i="99"/>
  <c r="A517" i="97"/>
  <c r="B516" i="97"/>
  <c r="E516" i="97"/>
  <c r="H515" i="97"/>
  <c r="F515" i="97"/>
  <c r="G515" i="97"/>
  <c r="D515" i="97"/>
  <c r="C515" i="97"/>
  <c r="G516" i="97" l="1"/>
  <c r="F516" i="97"/>
  <c r="H516" i="97"/>
  <c r="D516" i="97"/>
  <c r="C516" i="97"/>
  <c r="E517" i="97"/>
  <c r="B517" i="97"/>
  <c r="A518" i="97"/>
  <c r="H516" i="99"/>
  <c r="G516" i="99"/>
  <c r="F516" i="99"/>
  <c r="C516" i="99"/>
  <c r="D516" i="99"/>
  <c r="E517" i="99"/>
  <c r="A518" i="99"/>
  <c r="B517" i="99"/>
  <c r="H517" i="97" l="1"/>
  <c r="G517" i="97"/>
  <c r="F517" i="97"/>
  <c r="E518" i="97"/>
  <c r="A519" i="97"/>
  <c r="B518" i="97"/>
  <c r="B518" i="99"/>
  <c r="E518" i="99"/>
  <c r="A519" i="99"/>
  <c r="D517" i="99"/>
  <c r="C517" i="99"/>
  <c r="H517" i="99"/>
  <c r="F517" i="99"/>
  <c r="G517" i="99"/>
  <c r="C517" i="97"/>
  <c r="D517" i="97"/>
  <c r="C518" i="97" l="1"/>
  <c r="D518" i="97"/>
  <c r="B519" i="97"/>
  <c r="E519" i="97"/>
  <c r="A520" i="97"/>
  <c r="G518" i="97"/>
  <c r="F518" i="97"/>
  <c r="H518" i="97"/>
  <c r="B519" i="99"/>
  <c r="E519" i="99"/>
  <c r="A520" i="99"/>
  <c r="F518" i="99"/>
  <c r="G518" i="99"/>
  <c r="H518" i="99"/>
  <c r="D518" i="99"/>
  <c r="C518" i="99"/>
  <c r="G519" i="99" l="1"/>
  <c r="F519" i="99"/>
  <c r="H519" i="99"/>
  <c r="C519" i="99"/>
  <c r="D519" i="99"/>
  <c r="C519" i="97"/>
  <c r="D519" i="97"/>
  <c r="F519" i="97"/>
  <c r="H519" i="97"/>
  <c r="G519" i="97"/>
  <c r="E520" i="97"/>
  <c r="A521" i="97"/>
  <c r="B520" i="97"/>
  <c r="B520" i="99"/>
  <c r="E520" i="99"/>
  <c r="A521" i="99"/>
  <c r="E521" i="97" l="1"/>
  <c r="B521" i="97"/>
  <c r="A522" i="97"/>
  <c r="D520" i="97"/>
  <c r="C520" i="97"/>
  <c r="H520" i="97"/>
  <c r="G520" i="97"/>
  <c r="F520" i="97"/>
  <c r="G520" i="99"/>
  <c r="H520" i="99"/>
  <c r="F520" i="99"/>
  <c r="C520" i="99"/>
  <c r="D520" i="99"/>
  <c r="B521" i="99"/>
  <c r="A522" i="99"/>
  <c r="E521" i="99"/>
  <c r="D521" i="99" l="1"/>
  <c r="C521" i="99"/>
  <c r="E522" i="99"/>
  <c r="B522" i="99"/>
  <c r="A523" i="99"/>
  <c r="F521" i="99"/>
  <c r="H521" i="99"/>
  <c r="G521" i="99"/>
  <c r="C521" i="97"/>
  <c r="D521" i="97"/>
  <c r="E522" i="97"/>
  <c r="B522" i="97"/>
  <c r="A523" i="97"/>
  <c r="H521" i="97"/>
  <c r="F521" i="97"/>
  <c r="G521" i="97"/>
  <c r="B523" i="99" l="1"/>
  <c r="E523" i="99"/>
  <c r="A524" i="99"/>
  <c r="D522" i="97"/>
  <c r="C522" i="97"/>
  <c r="G522" i="97"/>
  <c r="F522" i="97"/>
  <c r="H522" i="97"/>
  <c r="G522" i="99"/>
  <c r="F522" i="99"/>
  <c r="H522" i="99"/>
  <c r="B523" i="97"/>
  <c r="E523" i="97"/>
  <c r="A524" i="97"/>
  <c r="D522" i="99"/>
  <c r="C522" i="99"/>
  <c r="B524" i="97" l="1"/>
  <c r="E524" i="97"/>
  <c r="A525" i="97"/>
  <c r="C523" i="97"/>
  <c r="D523" i="97"/>
  <c r="E524" i="99"/>
  <c r="B524" i="99"/>
  <c r="A525" i="99"/>
  <c r="F523" i="99"/>
  <c r="G523" i="99"/>
  <c r="H523" i="99"/>
  <c r="D523" i="99"/>
  <c r="C523" i="99"/>
  <c r="H523" i="97"/>
  <c r="F523" i="97"/>
  <c r="G523" i="97"/>
  <c r="D524" i="99" l="1"/>
  <c r="C524" i="99"/>
  <c r="B525" i="99"/>
  <c r="E525" i="99"/>
  <c r="A526" i="99"/>
  <c r="B525" i="97"/>
  <c r="E525" i="97"/>
  <c r="A526" i="97"/>
  <c r="H524" i="97"/>
  <c r="G524" i="97"/>
  <c r="F524" i="97"/>
  <c r="F524" i="99"/>
  <c r="H524" i="99"/>
  <c r="G524" i="99"/>
  <c r="C524" i="97"/>
  <c r="D524" i="97"/>
  <c r="D525" i="97" l="1"/>
  <c r="C525" i="97"/>
  <c r="E526" i="99"/>
  <c r="B526" i="99"/>
  <c r="A527" i="99"/>
  <c r="F525" i="99"/>
  <c r="G525" i="99"/>
  <c r="H525" i="99"/>
  <c r="D525" i="99"/>
  <c r="C525" i="99"/>
  <c r="F525" i="97"/>
  <c r="H525" i="97"/>
  <c r="G525" i="97"/>
  <c r="B526" i="97"/>
  <c r="E526" i="97"/>
  <c r="A527" i="97"/>
  <c r="E527" i="99" l="1"/>
  <c r="B527" i="99"/>
  <c r="A528" i="99"/>
  <c r="H526" i="99"/>
  <c r="F526" i="99"/>
  <c r="G526" i="99"/>
  <c r="C526" i="97"/>
  <c r="D526" i="97"/>
  <c r="G526" i="97"/>
  <c r="F526" i="97"/>
  <c r="H526" i="97"/>
  <c r="C526" i="99"/>
  <c r="D526" i="99"/>
  <c r="E527" i="97"/>
  <c r="B527" i="97"/>
  <c r="A528" i="97"/>
  <c r="E528" i="97" l="1"/>
  <c r="B528" i="97"/>
  <c r="A529" i="97"/>
  <c r="G527" i="97"/>
  <c r="H527" i="97"/>
  <c r="F527" i="97"/>
  <c r="B528" i="99"/>
  <c r="E528" i="99"/>
  <c r="A529" i="99"/>
  <c r="C527" i="99"/>
  <c r="D527" i="99"/>
  <c r="H527" i="99"/>
  <c r="F527" i="99"/>
  <c r="G527" i="99"/>
  <c r="D527" i="97"/>
  <c r="C527" i="97"/>
  <c r="A530" i="99" l="1"/>
  <c r="B529" i="99"/>
  <c r="E529" i="99"/>
  <c r="D528" i="97"/>
  <c r="C528" i="97"/>
  <c r="D528" i="99"/>
  <c r="C528" i="99"/>
  <c r="F528" i="97"/>
  <c r="G528" i="97"/>
  <c r="H528" i="97"/>
  <c r="F528" i="99"/>
  <c r="G528" i="99"/>
  <c r="H528" i="99"/>
  <c r="B529" i="97"/>
  <c r="E529" i="97"/>
  <c r="A530" i="97"/>
  <c r="E530" i="97" l="1"/>
  <c r="A531" i="97"/>
  <c r="B530" i="97"/>
  <c r="H529" i="97"/>
  <c r="G529" i="97"/>
  <c r="F529" i="97"/>
  <c r="C529" i="97"/>
  <c r="D529" i="97"/>
  <c r="C529" i="99"/>
  <c r="D529" i="99"/>
  <c r="G529" i="99"/>
  <c r="H529" i="99"/>
  <c r="F529" i="99"/>
  <c r="B530" i="99"/>
  <c r="E530" i="99"/>
  <c r="A531" i="99"/>
  <c r="B531" i="99" l="1"/>
  <c r="A532" i="99"/>
  <c r="E531" i="99"/>
  <c r="D530" i="99"/>
  <c r="C530" i="99"/>
  <c r="G530" i="99"/>
  <c r="H530" i="99"/>
  <c r="F530" i="99"/>
  <c r="H530" i="97"/>
  <c r="G530" i="97"/>
  <c r="F530" i="97"/>
  <c r="C530" i="97"/>
  <c r="D530" i="97"/>
  <c r="B531" i="97"/>
  <c r="E531" i="97"/>
  <c r="A532" i="97"/>
  <c r="B532" i="97" l="1"/>
  <c r="E532" i="97"/>
  <c r="A533" i="97"/>
  <c r="F531" i="97"/>
  <c r="H531" i="97"/>
  <c r="G531" i="97"/>
  <c r="F531" i="99"/>
  <c r="H531" i="99"/>
  <c r="G531" i="99"/>
  <c r="D531" i="97"/>
  <c r="C531" i="97"/>
  <c r="B532" i="99"/>
  <c r="E532" i="99"/>
  <c r="A533" i="99"/>
  <c r="C531" i="99"/>
  <c r="D531" i="99"/>
  <c r="H532" i="97" l="1"/>
  <c r="G532" i="97"/>
  <c r="F532" i="97"/>
  <c r="B533" i="99"/>
  <c r="A534" i="99"/>
  <c r="E533" i="99"/>
  <c r="A534" i="97"/>
  <c r="B533" i="97"/>
  <c r="E533" i="97"/>
  <c r="D532" i="99"/>
  <c r="C532" i="99"/>
  <c r="C532" i="97"/>
  <c r="D532" i="97"/>
  <c r="F532" i="99"/>
  <c r="G532" i="99"/>
  <c r="H532" i="99"/>
  <c r="D533" i="99" l="1"/>
  <c r="C533" i="99"/>
  <c r="F533" i="99"/>
  <c r="G533" i="99"/>
  <c r="H533" i="99"/>
  <c r="G533" i="97"/>
  <c r="F533" i="97"/>
  <c r="H533" i="97"/>
  <c r="E534" i="97"/>
  <c r="A535" i="97"/>
  <c r="B534" i="97"/>
  <c r="B534" i="99"/>
  <c r="E534" i="99"/>
  <c r="A535" i="99"/>
  <c r="D533" i="97"/>
  <c r="C533" i="97"/>
  <c r="C534" i="97" l="1"/>
  <c r="D534" i="97"/>
  <c r="B535" i="97"/>
  <c r="E535" i="97"/>
  <c r="A536" i="97"/>
  <c r="B535" i="99"/>
  <c r="E535" i="99"/>
  <c r="A536" i="99"/>
  <c r="H534" i="99"/>
  <c r="G534" i="99"/>
  <c r="F534" i="99"/>
  <c r="D534" i="99"/>
  <c r="C534" i="99"/>
  <c r="F534" i="97"/>
  <c r="G534" i="97"/>
  <c r="H534" i="97"/>
  <c r="C535" i="99" l="1"/>
  <c r="D535" i="99"/>
  <c r="F535" i="99"/>
  <c r="H535" i="99"/>
  <c r="G535" i="99"/>
  <c r="E536" i="99"/>
  <c r="B536" i="99"/>
  <c r="A537" i="99"/>
  <c r="D535" i="97"/>
  <c r="C535" i="97"/>
  <c r="H535" i="97"/>
  <c r="G535" i="97"/>
  <c r="F535" i="97"/>
  <c r="B536" i="97"/>
  <c r="A537" i="97"/>
  <c r="E536" i="97"/>
  <c r="D536" i="99" l="1"/>
  <c r="C536" i="99"/>
  <c r="E537" i="99"/>
  <c r="A538" i="99"/>
  <c r="B537" i="99"/>
  <c r="F536" i="97"/>
  <c r="H536" i="97"/>
  <c r="G536" i="97"/>
  <c r="F536" i="99"/>
  <c r="H536" i="99"/>
  <c r="G536" i="99"/>
  <c r="B537" i="97"/>
  <c r="A538" i="97"/>
  <c r="E537" i="97"/>
  <c r="D536" i="97"/>
  <c r="C536" i="97"/>
  <c r="D537" i="97" l="1"/>
  <c r="C537" i="97"/>
  <c r="H537" i="97"/>
  <c r="G537" i="97"/>
  <c r="F537" i="97"/>
  <c r="B538" i="97"/>
  <c r="E538" i="97"/>
  <c r="A539" i="97"/>
  <c r="B538" i="99"/>
  <c r="A539" i="99"/>
  <c r="E538" i="99"/>
  <c r="H537" i="99"/>
  <c r="G537" i="99"/>
  <c r="F537" i="99"/>
  <c r="D537" i="99"/>
  <c r="C537" i="99"/>
  <c r="F538" i="99" l="1"/>
  <c r="H538" i="99"/>
  <c r="G538" i="99"/>
  <c r="D538" i="97"/>
  <c r="C538" i="97"/>
  <c r="D538" i="99"/>
  <c r="C538" i="99"/>
  <c r="E539" i="99"/>
  <c r="B539" i="99"/>
  <c r="A540" i="99"/>
  <c r="A540" i="97"/>
  <c r="B539" i="97"/>
  <c r="E539" i="97"/>
  <c r="H538" i="97"/>
  <c r="G538" i="97"/>
  <c r="F538" i="97"/>
  <c r="G539" i="97" l="1"/>
  <c r="H539" i="97"/>
  <c r="F539" i="97"/>
  <c r="B540" i="97"/>
  <c r="A541" i="97"/>
  <c r="E540" i="97"/>
  <c r="D539" i="97"/>
  <c r="C539" i="97"/>
  <c r="A541" i="99"/>
  <c r="E540" i="99"/>
  <c r="B540" i="99"/>
  <c r="C539" i="99"/>
  <c r="D539" i="99"/>
  <c r="G539" i="99"/>
  <c r="H539" i="99"/>
  <c r="F539" i="99"/>
  <c r="G540" i="99" l="1"/>
  <c r="F540" i="99"/>
  <c r="H540" i="99"/>
  <c r="E541" i="99"/>
  <c r="A542" i="99"/>
  <c r="B541" i="99"/>
  <c r="D540" i="99"/>
  <c r="C540" i="99"/>
  <c r="C540" i="97"/>
  <c r="D540" i="97"/>
  <c r="E541" i="97"/>
  <c r="B541" i="97"/>
  <c r="A542" i="97"/>
  <c r="F540" i="97"/>
  <c r="H540" i="97"/>
  <c r="G540" i="97"/>
  <c r="H541" i="97" l="1"/>
  <c r="F541" i="97"/>
  <c r="G541" i="97"/>
  <c r="D541" i="99"/>
  <c r="C541" i="99"/>
  <c r="B542" i="99"/>
  <c r="A543" i="99"/>
  <c r="E542" i="99"/>
  <c r="D541" i="97"/>
  <c r="C541" i="97"/>
  <c r="H541" i="99"/>
  <c r="F541" i="99"/>
  <c r="G541" i="99"/>
  <c r="E542" i="97"/>
  <c r="A543" i="97"/>
  <c r="B542" i="97"/>
  <c r="B543" i="99" l="1"/>
  <c r="A544" i="99"/>
  <c r="E543" i="99"/>
  <c r="D542" i="97"/>
  <c r="C542" i="97"/>
  <c r="D542" i="99"/>
  <c r="C542" i="99"/>
  <c r="G542" i="99"/>
  <c r="F542" i="99"/>
  <c r="H542" i="99"/>
  <c r="H542" i="97"/>
  <c r="G542" i="97"/>
  <c r="F542" i="97"/>
  <c r="B543" i="97"/>
  <c r="A544" i="97"/>
  <c r="E543" i="97"/>
  <c r="C543" i="97" l="1"/>
  <c r="D543" i="97"/>
  <c r="D543" i="99"/>
  <c r="C543" i="99"/>
  <c r="F543" i="97"/>
  <c r="G543" i="97"/>
  <c r="H543" i="97"/>
  <c r="E544" i="97"/>
  <c r="B544" i="97"/>
  <c r="A545" i="97"/>
  <c r="F543" i="99"/>
  <c r="H543" i="99"/>
  <c r="G543" i="99"/>
  <c r="B544" i="99"/>
  <c r="E544" i="99"/>
  <c r="A545" i="99"/>
  <c r="D544" i="97" l="1"/>
  <c r="C544" i="97"/>
  <c r="H544" i="99"/>
  <c r="G544" i="99"/>
  <c r="F544" i="99"/>
  <c r="B545" i="99"/>
  <c r="A546" i="99"/>
  <c r="E545" i="99"/>
  <c r="D544" i="99"/>
  <c r="C544" i="99"/>
  <c r="E545" i="97"/>
  <c r="A546" i="97"/>
  <c r="B545" i="97"/>
  <c r="G544" i="97"/>
  <c r="F544" i="97"/>
  <c r="H544" i="97"/>
  <c r="E546" i="97" l="1"/>
  <c r="B546" i="97"/>
  <c r="A547" i="97"/>
  <c r="G545" i="99"/>
  <c r="H545" i="99"/>
  <c r="F545" i="99"/>
  <c r="E546" i="99"/>
  <c r="B546" i="99"/>
  <c r="A547" i="99"/>
  <c r="G545" i="97"/>
  <c r="H545" i="97"/>
  <c r="F545" i="97"/>
  <c r="D545" i="99"/>
  <c r="C545" i="99"/>
  <c r="C545" i="97"/>
  <c r="D545" i="97"/>
  <c r="B547" i="99" l="1"/>
  <c r="A548" i="99"/>
  <c r="E547" i="99"/>
  <c r="D546" i="99"/>
  <c r="C546" i="99"/>
  <c r="A548" i="97"/>
  <c r="B547" i="97"/>
  <c r="E547" i="97"/>
  <c r="D546" i="97"/>
  <c r="C546" i="97"/>
  <c r="G546" i="99"/>
  <c r="H546" i="99"/>
  <c r="F546" i="99"/>
  <c r="F546" i="97"/>
  <c r="G546" i="97"/>
  <c r="H546" i="97"/>
  <c r="G547" i="99" l="1"/>
  <c r="H547" i="99"/>
  <c r="F547" i="99"/>
  <c r="E548" i="99"/>
  <c r="A549" i="99"/>
  <c r="B548" i="99"/>
  <c r="C547" i="99"/>
  <c r="D547" i="99"/>
  <c r="F547" i="97"/>
  <c r="H547" i="97"/>
  <c r="G547" i="97"/>
  <c r="B548" i="97"/>
  <c r="A549" i="97"/>
  <c r="E548" i="97"/>
  <c r="C547" i="97"/>
  <c r="D547" i="97"/>
  <c r="F548" i="97" l="1"/>
  <c r="G548" i="97"/>
  <c r="H548" i="97"/>
  <c r="E549" i="97"/>
  <c r="B549" i="97"/>
  <c r="A550" i="97"/>
  <c r="C548" i="97"/>
  <c r="D548" i="97"/>
  <c r="B549" i="99"/>
  <c r="E549" i="99"/>
  <c r="A550" i="99"/>
  <c r="F548" i="99"/>
  <c r="H548" i="99"/>
  <c r="G548" i="99"/>
  <c r="C548" i="99"/>
  <c r="D548" i="99"/>
  <c r="E550" i="99" l="1"/>
  <c r="B550" i="99"/>
  <c r="A551" i="99"/>
  <c r="D549" i="99"/>
  <c r="C549" i="99"/>
  <c r="B550" i="97"/>
  <c r="A551" i="97"/>
  <c r="E550" i="97"/>
  <c r="H549" i="97"/>
  <c r="F549" i="97"/>
  <c r="G549" i="97"/>
  <c r="D549" i="97"/>
  <c r="C549" i="97"/>
  <c r="H549" i="99"/>
  <c r="G549" i="99"/>
  <c r="F549" i="99"/>
  <c r="D550" i="97" l="1"/>
  <c r="C550" i="97"/>
  <c r="G550" i="97"/>
  <c r="H550" i="97"/>
  <c r="F550" i="97"/>
  <c r="B551" i="97"/>
  <c r="A552" i="97"/>
  <c r="E551" i="97"/>
  <c r="E551" i="99"/>
  <c r="A552" i="99"/>
  <c r="B551" i="99"/>
  <c r="D550" i="99"/>
  <c r="C550" i="99"/>
  <c r="G550" i="99"/>
  <c r="F550" i="99"/>
  <c r="H550" i="99"/>
  <c r="F551" i="99" l="1"/>
  <c r="G551" i="99"/>
  <c r="H551" i="99"/>
  <c r="B552" i="97"/>
  <c r="A553" i="97"/>
  <c r="E552" i="97"/>
  <c r="C551" i="99"/>
  <c r="D551" i="99"/>
  <c r="D551" i="97"/>
  <c r="C551" i="97"/>
  <c r="B552" i="99"/>
  <c r="E552" i="99"/>
  <c r="A553" i="99"/>
  <c r="H551" i="97"/>
  <c r="G551" i="97"/>
  <c r="F551" i="97"/>
  <c r="D552" i="97" l="1"/>
  <c r="C552" i="97"/>
  <c r="H552" i="97"/>
  <c r="G552" i="97"/>
  <c r="F552" i="97"/>
  <c r="E553" i="99"/>
  <c r="B553" i="99"/>
  <c r="A554" i="99"/>
  <c r="D552" i="99"/>
  <c r="C552" i="99"/>
  <c r="A554" i="97"/>
  <c r="E553" i="97"/>
  <c r="B553" i="97"/>
  <c r="F552" i="99"/>
  <c r="G552" i="99"/>
  <c r="H552" i="99"/>
  <c r="D553" i="97" l="1"/>
  <c r="C553" i="97"/>
  <c r="F553" i="97"/>
  <c r="H553" i="97"/>
  <c r="G553" i="97"/>
  <c r="E554" i="97"/>
  <c r="A555" i="97"/>
  <c r="B554" i="97"/>
  <c r="B554" i="99"/>
  <c r="E554" i="99"/>
  <c r="A555" i="99"/>
  <c r="D553" i="99"/>
  <c r="C553" i="99"/>
  <c r="G553" i="99"/>
  <c r="H553" i="99"/>
  <c r="F553" i="99"/>
  <c r="F554" i="99" l="1"/>
  <c r="G554" i="99"/>
  <c r="H554" i="99"/>
  <c r="B555" i="99"/>
  <c r="E555" i="99"/>
  <c r="A556" i="99"/>
  <c r="D554" i="99"/>
  <c r="C554" i="99"/>
  <c r="D554" i="97"/>
  <c r="C554" i="97"/>
  <c r="B555" i="97"/>
  <c r="A556" i="97"/>
  <c r="E555" i="97"/>
  <c r="F554" i="97"/>
  <c r="H554" i="97"/>
  <c r="G554" i="97"/>
  <c r="C555" i="99" l="1"/>
  <c r="D555" i="99"/>
  <c r="E556" i="97"/>
  <c r="B556" i="97"/>
  <c r="A557" i="97"/>
  <c r="C555" i="97"/>
  <c r="D555" i="97"/>
  <c r="F555" i="97"/>
  <c r="H555" i="97"/>
  <c r="G555" i="97"/>
  <c r="F555" i="99"/>
  <c r="G555" i="99"/>
  <c r="H555" i="99"/>
  <c r="A557" i="99"/>
  <c r="E556" i="99"/>
  <c r="B556" i="99"/>
  <c r="G556" i="99" l="1"/>
  <c r="H556" i="99"/>
  <c r="F556" i="99"/>
  <c r="C556" i="99"/>
  <c r="D556" i="99"/>
  <c r="B557" i="99"/>
  <c r="E557" i="99"/>
  <c r="A558" i="99"/>
  <c r="E557" i="97"/>
  <c r="B557" i="97"/>
  <c r="A558" i="97"/>
  <c r="C556" i="97"/>
  <c r="D556" i="97"/>
  <c r="F556" i="97"/>
  <c r="H556" i="97"/>
  <c r="G556" i="97"/>
  <c r="D557" i="99" l="1"/>
  <c r="C557" i="99"/>
  <c r="G557" i="97"/>
  <c r="H557" i="97"/>
  <c r="F557" i="97"/>
  <c r="F557" i="99"/>
  <c r="H557" i="99"/>
  <c r="G557" i="99"/>
  <c r="B558" i="99"/>
  <c r="E558" i="99"/>
  <c r="A559" i="99"/>
  <c r="E558" i="97"/>
  <c r="B558" i="97"/>
  <c r="A559" i="97"/>
  <c r="D557" i="97"/>
  <c r="C557" i="97"/>
  <c r="C558" i="99" l="1"/>
  <c r="D558" i="99"/>
  <c r="E559" i="97"/>
  <c r="A560" i="97"/>
  <c r="B559" i="97"/>
  <c r="G558" i="99"/>
  <c r="F558" i="99"/>
  <c r="H558" i="99"/>
  <c r="E559" i="99"/>
  <c r="B559" i="99"/>
  <c r="A560" i="99"/>
  <c r="F558" i="97"/>
  <c r="G558" i="97"/>
  <c r="H558" i="97"/>
  <c r="C558" i="97"/>
  <c r="D558" i="97"/>
  <c r="D559" i="97" l="1"/>
  <c r="C559" i="97"/>
  <c r="B560" i="97"/>
  <c r="A561" i="97"/>
  <c r="E560" i="97"/>
  <c r="H559" i="99"/>
  <c r="G559" i="99"/>
  <c r="F559" i="99"/>
  <c r="G559" i="97"/>
  <c r="F559" i="97"/>
  <c r="H559" i="97"/>
  <c r="B560" i="99"/>
  <c r="E560" i="99"/>
  <c r="A561" i="99"/>
  <c r="C559" i="99"/>
  <c r="D559" i="99"/>
  <c r="C560" i="97" l="1"/>
  <c r="D560" i="97"/>
  <c r="F560" i="99"/>
  <c r="H560" i="99"/>
  <c r="G560" i="99"/>
  <c r="B561" i="97"/>
  <c r="E561" i="97"/>
  <c r="A562" i="97"/>
  <c r="C560" i="99"/>
  <c r="D560" i="99"/>
  <c r="H560" i="97"/>
  <c r="G560" i="97"/>
  <c r="F560" i="97"/>
  <c r="B561" i="99"/>
  <c r="E561" i="99"/>
  <c r="A562" i="99"/>
  <c r="C561" i="97" l="1"/>
  <c r="D561" i="97"/>
  <c r="C561" i="99"/>
  <c r="D561" i="99"/>
  <c r="H561" i="99"/>
  <c r="G561" i="99"/>
  <c r="F561" i="99"/>
  <c r="B562" i="97"/>
  <c r="A563" i="97"/>
  <c r="E562" i="97"/>
  <c r="B562" i="99"/>
  <c r="A563" i="99"/>
  <c r="E562" i="99"/>
  <c r="H561" i="97"/>
  <c r="G561" i="97"/>
  <c r="F561" i="97"/>
  <c r="G562" i="99" l="1"/>
  <c r="H562" i="99"/>
  <c r="F562" i="99"/>
  <c r="D562" i="99"/>
  <c r="C562" i="99"/>
  <c r="C562" i="97"/>
  <c r="D562" i="97"/>
  <c r="E563" i="99"/>
  <c r="B563" i="99"/>
  <c r="A564" i="99"/>
  <c r="H562" i="97"/>
  <c r="G562" i="97"/>
  <c r="F562" i="97"/>
  <c r="B563" i="97"/>
  <c r="E563" i="97"/>
  <c r="A564" i="97"/>
  <c r="G563" i="99" l="1"/>
  <c r="F563" i="99"/>
  <c r="H563" i="99"/>
  <c r="D563" i="99"/>
  <c r="C563" i="99"/>
  <c r="G563" i="97"/>
  <c r="H563" i="97"/>
  <c r="F563" i="97"/>
  <c r="B564" i="97"/>
  <c r="A565" i="97"/>
  <c r="E564" i="97"/>
  <c r="C563" i="97"/>
  <c r="D563" i="97"/>
  <c r="B564" i="99"/>
  <c r="E564" i="99"/>
  <c r="A565" i="99"/>
  <c r="B565" i="97" l="1"/>
  <c r="E565" i="97"/>
  <c r="A566" i="97"/>
  <c r="H564" i="97"/>
  <c r="F564" i="97"/>
  <c r="G564" i="97"/>
  <c r="F564" i="99"/>
  <c r="G564" i="99"/>
  <c r="H564" i="99"/>
  <c r="C564" i="99"/>
  <c r="D564" i="99"/>
  <c r="C564" i="97"/>
  <c r="D564" i="97"/>
  <c r="E565" i="99"/>
  <c r="B565" i="99"/>
  <c r="A566" i="99"/>
  <c r="C565" i="99" l="1"/>
  <c r="D565" i="99"/>
  <c r="B566" i="97"/>
  <c r="A567" i="97"/>
  <c r="E566" i="97"/>
  <c r="F565" i="99"/>
  <c r="H565" i="99"/>
  <c r="G565" i="99"/>
  <c r="G565" i="97"/>
  <c r="H565" i="97"/>
  <c r="F565" i="97"/>
  <c r="E566" i="99"/>
  <c r="A567" i="99"/>
  <c r="B566" i="99"/>
  <c r="D565" i="97"/>
  <c r="C565" i="97"/>
  <c r="C566" i="99" l="1"/>
  <c r="D566" i="99"/>
  <c r="E567" i="99"/>
  <c r="B567" i="99"/>
  <c r="A568" i="99"/>
  <c r="H566" i="99"/>
  <c r="G566" i="99"/>
  <c r="F566" i="99"/>
  <c r="G566" i="97"/>
  <c r="H566" i="97"/>
  <c r="F566" i="97"/>
  <c r="B567" i="97"/>
  <c r="E567" i="97"/>
  <c r="A568" i="97"/>
  <c r="D566" i="97"/>
  <c r="C566" i="97"/>
  <c r="D567" i="99" l="1"/>
  <c r="C567" i="99"/>
  <c r="H567" i="99"/>
  <c r="F567" i="99"/>
  <c r="G567" i="99"/>
  <c r="G567" i="97"/>
  <c r="F567" i="97"/>
  <c r="H567" i="97"/>
  <c r="A569" i="97"/>
  <c r="E568" i="97"/>
  <c r="B568" i="97"/>
  <c r="C567" i="97"/>
  <c r="D567" i="97"/>
  <c r="A569" i="99"/>
  <c r="B568" i="99"/>
  <c r="E568" i="99"/>
  <c r="G568" i="99" l="1"/>
  <c r="F568" i="99"/>
  <c r="H568" i="99"/>
  <c r="H568" i="97"/>
  <c r="F568" i="97"/>
  <c r="G568" i="97"/>
  <c r="A570" i="97"/>
  <c r="B569" i="97"/>
  <c r="E569" i="97"/>
  <c r="A570" i="99"/>
  <c r="E569" i="99"/>
  <c r="B569" i="99"/>
  <c r="C568" i="97"/>
  <c r="D568" i="97"/>
  <c r="C568" i="99"/>
  <c r="D568" i="99"/>
  <c r="C569" i="99" l="1"/>
  <c r="D569" i="99"/>
  <c r="B570" i="97"/>
  <c r="E570" i="97"/>
  <c r="A571" i="97"/>
  <c r="C569" i="97"/>
  <c r="D569" i="97"/>
  <c r="F569" i="97"/>
  <c r="G569" i="97"/>
  <c r="H569" i="97"/>
  <c r="B570" i="99"/>
  <c r="E570" i="99"/>
  <c r="A571" i="99"/>
  <c r="F569" i="99"/>
  <c r="G569" i="99"/>
  <c r="H569" i="99"/>
  <c r="F570" i="99" l="1"/>
  <c r="H570" i="99"/>
  <c r="G570" i="99"/>
  <c r="C570" i="99"/>
  <c r="D570" i="99"/>
  <c r="A572" i="99"/>
  <c r="B571" i="99"/>
  <c r="E571" i="99"/>
  <c r="H570" i="97"/>
  <c r="F570" i="97"/>
  <c r="G570" i="97"/>
  <c r="E571" i="97"/>
  <c r="A572" i="97"/>
  <c r="B571" i="97"/>
  <c r="C570" i="97"/>
  <c r="D570" i="97"/>
  <c r="C571" i="99" l="1"/>
  <c r="D571" i="99"/>
  <c r="E572" i="99"/>
  <c r="A573" i="99"/>
  <c r="B572" i="99"/>
  <c r="C571" i="97"/>
  <c r="D571" i="97"/>
  <c r="B572" i="97"/>
  <c r="A573" i="97"/>
  <c r="E572" i="97"/>
  <c r="F571" i="99"/>
  <c r="H571" i="99"/>
  <c r="G571" i="99"/>
  <c r="H571" i="97"/>
  <c r="F571" i="97"/>
  <c r="G571" i="97"/>
  <c r="F572" i="99" l="1"/>
  <c r="G572" i="99"/>
  <c r="H572" i="99"/>
  <c r="E573" i="99"/>
  <c r="A574" i="99"/>
  <c r="B573" i="99"/>
  <c r="D572" i="99"/>
  <c r="C572" i="99"/>
  <c r="H572" i="97"/>
  <c r="F572" i="97"/>
  <c r="G572" i="97"/>
  <c r="A574" i="97"/>
  <c r="B573" i="97"/>
  <c r="E573" i="97"/>
  <c r="D572" i="97"/>
  <c r="C572" i="97"/>
  <c r="F573" i="97" l="1"/>
  <c r="G573" i="97"/>
  <c r="H573" i="97"/>
  <c r="C573" i="99"/>
  <c r="D573" i="99"/>
  <c r="B574" i="99"/>
  <c r="E574" i="99"/>
  <c r="C573" i="97"/>
  <c r="D573" i="97"/>
  <c r="F573" i="99"/>
  <c r="G573" i="99"/>
  <c r="H573" i="99"/>
  <c r="E574" i="97"/>
  <c r="B574" i="97"/>
  <c r="D574" i="99" l="1"/>
  <c r="C574" i="99"/>
  <c r="H574" i="99"/>
  <c r="G574" i="99"/>
  <c r="F574" i="99"/>
  <c r="C574" i="97"/>
  <c r="D574" i="97"/>
  <c r="G574" i="97"/>
  <c r="H574" i="97"/>
  <c r="F574" i="97"/>
  <c r="E7" i="113" a="1"/>
  <c r="E6" i="113" a="1"/>
  <c r="E6" i="113" l="1"/>
  <c r="E7" i="1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<sst xmlns="http://schemas.openxmlformats.org/spreadsheetml/2006/main" count="592" uniqueCount="155">
  <si>
    <t>Long Risk</t>
  </si>
  <si>
    <t>Short Risk</t>
  </si>
  <si>
    <t>Not'l=</t>
  </si>
  <si>
    <t>Carry=</t>
  </si>
  <si>
    <t>Financing Rate=</t>
  </si>
  <si>
    <t>Initial Duration=</t>
  </si>
  <si>
    <t>EUR/USD=</t>
  </si>
  <si>
    <t>Net P/L</t>
  </si>
  <si>
    <t>Price</t>
  </si>
  <si>
    <t>Sprd P/L</t>
  </si>
  <si>
    <t>Carry P/L</t>
  </si>
  <si>
    <t>Price P/L</t>
  </si>
  <si>
    <t>Date</t>
  </si>
  <si>
    <t>-</t>
  </si>
  <si>
    <t>Sprd</t>
  </si>
  <si>
    <t>Live BBG PX=</t>
  </si>
  <si>
    <t>Leonardo</t>
  </si>
  <si>
    <t>Thales</t>
  </si>
  <si>
    <t>Eni</t>
  </si>
  <si>
    <t>Name=</t>
  </si>
  <si>
    <t>BBG Ticker=</t>
  </si>
  <si>
    <t>Aviva</t>
  </si>
  <si>
    <t>Zurich Insurance</t>
  </si>
  <si>
    <t>IHYG</t>
  </si>
  <si>
    <t>IEAC</t>
  </si>
  <si>
    <t>IHYG LN EQUITY</t>
  </si>
  <si>
    <t>IEAC LN EQUITY</t>
  </si>
  <si>
    <t>HYG</t>
  </si>
  <si>
    <t>HYG US EQUITY</t>
  </si>
  <si>
    <t>LQD</t>
  </si>
  <si>
    <t>LQD US EQUITY</t>
  </si>
  <si>
    <t>VCIT</t>
  </si>
  <si>
    <t>VCIT US EQUITY</t>
  </si>
  <si>
    <t>SPX</t>
  </si>
  <si>
    <t>Live PX=</t>
  </si>
  <si>
    <t>#</t>
  </si>
  <si>
    <t>trade</t>
  </si>
  <si>
    <t>date initiated</t>
  </si>
  <si>
    <t>live pnl</t>
  </si>
  <si>
    <t>Col</t>
  </si>
  <si>
    <t>I</t>
  </si>
  <si>
    <t>H</t>
  </si>
  <si>
    <t>SNRFIN 5Y</t>
  </si>
  <si>
    <t>SX7E Puts</t>
  </si>
  <si>
    <t>SNRFIN CDSI S44 5Y CORP</t>
  </si>
  <si>
    <t>Contract Size =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</si>
  <si>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</si>
  <si>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</si>
  <si>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</si>
  <si>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</si>
  <si>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</si>
  <si>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</si>
  <si>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EMB</t>
  </si>
  <si>
    <t>EMB US EQUITY</t>
  </si>
  <si>
    <t>L</t>
  </si>
  <si>
    <t>Start Date</t>
  </si>
  <si>
    <t>End Date</t>
  </si>
  <si>
    <t>Ticker</t>
  </si>
  <si>
    <t>Ccy</t>
  </si>
  <si>
    <t>Tier</t>
  </si>
  <si>
    <t>SNRFOR</t>
  </si>
  <si>
    <t>Doc</t>
  </si>
  <si>
    <t>Index</t>
  </si>
  <si>
    <t>Adj. Index</t>
  </si>
  <si>
    <t>P/L</t>
  </si>
  <si>
    <t>CDX HY S45</t>
  </si>
  <si>
    <t>CDX HY CDSI S45 5Y CORP</t>
  </si>
  <si>
    <t>IWM Puts</t>
  </si>
  <si>
    <t>IWM US 03/20/26 P270 Index</t>
  </si>
  <si>
    <t>BKLN</t>
  </si>
  <si>
    <t>BKLN US EQUITY</t>
  </si>
  <si>
    <t>SX7E 03/20/26 P285 Index</t>
  </si>
  <si>
    <t>Units</t>
  </si>
  <si>
    <t>IHYG Dvd</t>
  </si>
  <si>
    <t>IEAC Dvd</t>
  </si>
  <si>
    <t>Div</t>
  </si>
  <si>
    <t>CAM6 INDEX</t>
  </si>
  <si>
    <t>SUBFIN S45</t>
  </si>
  <si>
    <t>SUBFIN CDSI S45 5Y CORP</t>
  </si>
  <si>
    <t>SUBFIN S45 vs SX5E</t>
  </si>
  <si>
    <t>HSBC Sen 5Y CDS</t>
  </si>
  <si>
    <t>HSBC Basis</t>
  </si>
  <si>
    <t>Live ER =</t>
  </si>
  <si>
    <t>Last ER =</t>
  </si>
  <si>
    <t>Last ER Date =</t>
  </si>
  <si>
    <t>ERIXITEU Index</t>
  </si>
  <si>
    <t>Last CDX =</t>
  </si>
  <si>
    <t>DIVIDEND HISTORY (live BDS — Bloomberg, Ex-Date + Amount)</t>
  </si>
  <si>
    <t>Ex-Date</t>
  </si>
  <si>
    <t>Amount</t>
  </si>
  <si>
    <t>ITRX XOVER CDSI GEN 5Y CORP</t>
  </si>
  <si>
    <t>ITRX EUR CDSI GEN 5Y CORP</t>
  </si>
  <si>
    <t>ERIXITXO INDEX</t>
  </si>
  <si>
    <t>Carry Days =</t>
  </si>
  <si>
    <t>Live ER=</t>
  </si>
  <si>
    <t>SX7E</t>
  </si>
  <si>
    <t>ERIXITSU Index</t>
  </si>
  <si>
    <t>ERIXITSE Index</t>
  </si>
  <si>
    <t>EUR</t>
  </si>
  <si>
    <t>MM14</t>
  </si>
  <si>
    <t>Expiry</t>
  </si>
  <si>
    <t>GOOGL Curve</t>
  </si>
  <si>
    <t>Brazil Steepener</t>
  </si>
  <si>
    <t>GOOGLE 4.8% 11/62-5/63</t>
  </si>
  <si>
    <t>GOOGL 4% 5/44-11/44</t>
  </si>
  <si>
    <t>XS3363388086@BGN Corp</t>
  </si>
  <si>
    <t>XS3224609530@BGN Corp</t>
  </si>
  <si>
    <t>*Entry Px calculated from spread</t>
  </si>
  <si>
    <t>BRAZIL 5% 45</t>
  </si>
  <si>
    <t>BRAZIL 4.75% 50</t>
  </si>
  <si>
    <t>105756BW9@BGN Corp</t>
  </si>
  <si>
    <t>105756CB4@BGN Corp</t>
  </si>
  <si>
    <t>HSBC</t>
  </si>
  <si>
    <t>HSBCHLDCO CDS EUR SR 5Y D14 Corp</t>
  </si>
  <si>
    <t>Main</t>
  </si>
  <si>
    <t>HSBC 4.675% 3/31-32</t>
  </si>
  <si>
    <t>404280FL8@BGN Govt</t>
  </si>
  <si>
    <t>44a</t>
  </si>
  <si>
    <t>44b</t>
  </si>
  <si>
    <t>HSBC vs Main</t>
  </si>
  <si>
    <t>SUBFIN</t>
  </si>
  <si>
    <t>SUBFIN CDSI GEN 5Y CORP</t>
  </si>
  <si>
    <t>EUR GS 1% 32-33</t>
  </si>
  <si>
    <t>XS2322254249@BGN Govt</t>
  </si>
  <si>
    <t>SUBFIN vs EUR GS</t>
  </si>
  <si>
    <t>EUR HY Fut</t>
  </si>
  <si>
    <t>Euro Schatz Fut</t>
  </si>
  <si>
    <t>AHWM6 Index</t>
  </si>
  <si>
    <t>Eur HY Fut=</t>
  </si>
  <si>
    <t>Eur Schatz Fut=</t>
  </si>
  <si>
    <t>DUM6 Comdty</t>
  </si>
  <si>
    <t>Xover S45</t>
  </si>
  <si>
    <t>Value of 1pt</t>
  </si>
  <si>
    <t>Single Contract Notional at Start</t>
  </si>
  <si>
    <t># of contracts</t>
  </si>
  <si>
    <t>41b</t>
  </si>
  <si>
    <t>41c</t>
  </si>
  <si>
    <t>SNRFIN S45 vs SX7E</t>
  </si>
  <si>
    <t>SNRFIN S45</t>
  </si>
  <si>
    <t>SNRFIN CDSI S45 5Y CORP</t>
  </si>
  <si>
    <t>Markit ER at Entry =</t>
  </si>
  <si>
    <t>SX5E Puts</t>
  </si>
  <si>
    <t>SX5E 08/21/26 P6250 Index</t>
  </si>
  <si>
    <t>DE000BU25067@BGN Corp</t>
  </si>
  <si>
    <t>OBL 2.5% 4/31</t>
  </si>
  <si>
    <t>SX5E Contract Size =</t>
  </si>
  <si>
    <t>IEAC Sprd vs SX5E Puts</t>
  </si>
  <si>
    <t>OBL 2.9% 4/31</t>
  </si>
  <si>
    <t>DE000BU25026@BGN Corp</t>
  </si>
  <si>
    <t>IYHG</t>
  </si>
  <si>
    <t>Last ER=</t>
  </si>
  <si>
    <t>Last CDX=</t>
  </si>
  <si>
    <t>Last Date=</t>
  </si>
  <si>
    <t>Dvd col idx (from B4)</t>
  </si>
  <si>
    <t>EUR HY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</si>
</sst>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70" formatCode="[$-409]d\-mmm;@"/>
    <numFmt numFmtId="171" formatCode="mm/dd/yyyy\ hh:mm"/>
    <numFmt numFmtId="173" formatCode="_(* #,##0_);_(* \(#,##0\);_(* &quot;-&quot;??_);_(@_)"/>
    <numFmt numFmtId="175" formatCode="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9" borderId="0" xfId="0" applyFill="1"/>
    <xf numFmtId="0" fontId="6" fillId="9" borderId="0" xfId="0" applyFont="1" applyFill="1" applyAlignment="1">
      <alignment horizontal="right" vertical="center" wrapText="1"/>
    </xf>
    <xf numFmtId="14" fontId="7" fillId="9" borderId="0" xfId="0" applyNumberFormat="1" applyFont="1" applyFill="1" applyAlignment="1">
      <alignment horizontal="right" vertical="center" wrapText="1"/>
    </xf>
    <xf numFmtId="0" fontId="7" fillId="9" borderId="0" xfId="0" applyFont="1" applyFill="1" applyAlignment="1">
      <alignment horizontal="right" vertical="center" wrapText="1"/>
    </xf>
    <xf numFmtId="2" fontId="1" fillId="0" borderId="5" xfId="0" applyNumberFormat="1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0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0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0" fontId="8" fillId="0" borderId="3" xfId="2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center" vertical="center"/>
    </xf>
    <xf numFmtId="14" fontId="0" fillId="0" borderId="0" xfId="0" applyNumberFormat="1"/>
    <xf numFmtId="166" fontId="1" fillId="0" borderId="0" xfId="0" applyNumberFormat="1" applyFont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43" fontId="1" fillId="0" borderId="6" xfId="3" applyFont="1" applyBorder="1" applyAlignment="1">
      <alignment horizontal="center" vertical="center"/>
    </xf>
    <xf numFmtId="43" fontId="1" fillId="0" borderId="0" xfId="3" applyFont="1" applyAlignment="1">
      <alignment horizontal="center" vertical="center"/>
    </xf>
    <xf numFmtId="43" fontId="2" fillId="5" borderId="11" xfId="3" applyFont="1" applyFill="1" applyBorder="1" applyAlignment="1">
      <alignment horizontal="center" vertical="center"/>
    </xf>
    <xf numFmtId="43" fontId="1" fillId="0" borderId="3" xfId="3" applyFont="1" applyBorder="1" applyAlignment="1">
      <alignment horizontal="center" vertical="center"/>
    </xf>
    <xf numFmtId="43" fontId="0" fillId="0" borderId="0" xfId="3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2" applyBorder="1" applyAlignment="1">
      <alignment horizontal="center" vertical="center" wrapText="1"/>
    </xf>
    <xf numFmtId="0" fontId="9" fillId="0" borderId="0" xfId="0" applyFont="1"/>
    <xf numFmtId="0" fontId="4" fillId="0" borderId="0" xfId="0" applyFont="1"/>
    <xf numFmtId="0" fontId="10" fillId="0" borderId="0" xfId="0" applyFont="1"/>
    <xf numFmtId="0" fontId="4" fillId="11" borderId="0" xfId="0" applyFont="1" applyFill="1"/>
    <xf numFmtId="175" fontId="0" fillId="0" borderId="0" xfId="0" applyNumberFormat="1"/>
    <xf numFmtId="14" fontId="6" fillId="9" borderId="0" xfId="0" applyNumberFormat="1" applyFont="1" applyFill="1" applyAlignment="1">
      <alignment horizontal="right" vertical="center" wrapText="1"/>
    </xf>
    <xf numFmtId="175" fontId="1" fillId="0" borderId="0" xfId="0" applyNumberFormat="1" applyFont="1" applyAlignment="1">
      <alignment horizontal="center" vertical="center"/>
    </xf>
    <xf numFmtId="175" fontId="1" fillId="0" borderId="2" xfId="0" applyNumberFormat="1" applyFont="1" applyBorder="1" applyAlignment="1">
      <alignment horizontal="center" vertical="center"/>
    </xf>
    <xf numFmtId="175" fontId="2" fillId="0" borderId="0" xfId="0" applyNumberFormat="1" applyFon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5" fontId="2" fillId="3" borderId="11" xfId="0" applyNumberFormat="1" applyFont="1" applyFill="1" applyBorder="1" applyAlignment="1">
      <alignment horizontal="center" vertical="center"/>
    </xf>
    <xf numFmtId="175" fontId="1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3" fontId="1" fillId="0" borderId="9" xfId="3" applyNumberFormat="1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Data...3539422227</v>
        <stp/>
        <stp>BDP|16708674282135388664</stp>
        <tr r="B10" s="63"/>
      </tp>
      <tp t="s">
        <v>#N/A Requesting Data...3647451090</v>
        <stp/>
        <stp>BDH|15019755638849885360</stp>
        <tr r="N3" s="109"/>
        <tr r="N3" s="108"/>
      </tp>
      <tp t="s">
        <v>#N/A Requesting Data...3675547497</v>
        <stp/>
        <stp>BDH|13198343890542415040</stp>
        <tr r="X3" s="102"/>
      </tp>
      <tp t="s">
        <v>#N/A Requesting Data...3857457796</v>
        <stp/>
        <stp>BDH|11019588686727049367</stp>
        <tr r="X3" s="108"/>
      </tp>
      <tp t="s">
        <v>#N/A Requesting Data...3407451298</v>
        <stp/>
        <stp>BDP|16696856528784412169</stp>
        <tr r="C10" s="63"/>
      </tp>
      <tp t="e">
        <v>#N/A</v>
        <stp/>
        <stp>BDS|13953958687759956487</stp>
        <tr r="P6" s="91"/>
      </tp>
      <tp t="e">
        <v>#N/A</v>
        <stp/>
        <stp>BDS|13383172897773856775</stp>
        <tr r="S6" s="91"/>
      </tp>
      <tp t="s">
        <v>#N/A Requesting Data...3706605217</v>
        <stp/>
        <stp>BDP|14598183889303169165</stp>
        <tr r="B10" s="99"/>
      </tp>
      <tp t="s">
        <v>#N/A Requesting Data...3665228431</v>
        <stp/>
        <stp>BDH|12373909214127213250</stp>
        <tr r="R3" s="110"/>
      </tp>
      <tp t="s">
        <v>#N/A Requesting Data...3868930432</v>
        <stp/>
        <stp>BDP|13310943243080149270</stp>
        <tr r="B9" s="102"/>
      </tp>
      <tp t="s">
        <v>#N/A Requesting Data...4144314545</v>
        <stp/>
        <stp>BDP|15714879955703523621</stp>
        <tr r="B9" s="108"/>
      </tp>
      <tp t="s">
        <v>#N/A Requesting Data...4243177281</v>
        <stp/>
        <stp>BDH|13818374066298231393</stp>
        <tr r="Z3" s="109"/>
      </tp>
    </main>
    <main first="bofaddin.rtdserver">
      <tp t="s">
        <v>#N/A Requesting Data...3749601719</v>
        <stp/>
        <stp>BDH|17199913344661318694</stp>
        <tr r="S3" s="100"/>
      </tp>
      <tp t="s">
        <v>#N/A Requesting Data...3907811312</v>
        <stp/>
        <stp>BDH|14670403115233584098</stp>
        <tr r="Z3" s="102"/>
      </tp>
      <tp t="s">
        <v>#N/A Requesting Data...4228448258</v>
        <stp/>
        <stp>BDP|17365036470391264220</stp>
        <tr r="E14" s="101"/>
      </tp>
      <tp t="s">
        <v>#N/A Requesting Data...3905275577</v>
        <stp/>
        <stp>BDP|12589639615841827791</stp>
        <tr r="C10" s="45"/>
      </tp>
      <tp t="s">
        <v>#N/A Requesting Data...3746011059</v>
        <stp/>
        <stp>BDH|15526369627434995362</stp>
        <tr r="L3" s="61"/>
      </tp>
      <tp t="s">
        <v>#N/A Requesting Data...4164448732</v>
        <stp/>
        <stp>BDH|12252190742034175048</stp>
        <tr r="L3" s="99"/>
      </tp>
      <tp t="s">
        <v>#N/A Requesting Data...3648145129</v>
        <stp/>
        <stp>BDH|14404012820856225022</stp>
        <tr r="R3" s="112"/>
      </tp>
      <tp t="s">
        <v>#N/A Requesting Data...4143783355</v>
        <stp/>
        <stp>BDH|10370739396238074620</stp>
        <tr r="Z3" s="108"/>
      </tp>
      <tp t="s">
        <v>#N/A Requesting Data...3667876504</v>
        <stp/>
        <stp>BDP|17232347676890266225</stp>
        <tr r="C10" s="110"/>
      </tp>
      <tp t="s">
        <v>#N/A Requesting Data...3731087210</v>
        <stp/>
        <stp>BDP|17674809694487604003</stp>
        <tr r="B10" s="112"/>
      </tp>
      <tp t="s">
        <v>#N/A Requesting Data...3875452612</v>
        <stp/>
        <stp>BDH|14251558715388576990</stp>
        <tr r="O3" s="104"/>
      </tp>
      <tp t="s">
        <v>#N/A Requesting Data...4020232308</v>
        <stp/>
        <stp>BDH|13851523610600229175</stp>
        <tr r="J3" s="99"/>
      </tp>
      <tp t="s">
        <v>#N/A Requesting Data...4175928006</v>
        <stp/>
        <stp>BDP|17232950862647749894</stp>
        <tr r="E14" s="102"/>
      </tp>
      <tp t="e">
        <v>#N/A</v>
        <stp/>
        <stp>BDS|13234145445614250586</stp>
        <tr r="A6" s="91"/>
      </tp>
      <tp t="s">
        <v>#N/A Requesting Data...4204808335</v>
        <stp/>
        <stp>BDH|13431304927972981717</stp>
        <tr r="J3" s="45"/>
      </tp>
      <tp t="s">
        <v>#N/A Requesting Data...3663832318</v>
        <stp/>
        <stp>BDP|16526086368425224024</stp>
        <tr r="C10" s="112"/>
      </tp>
      <tp t="s">
        <v>#N/A Requesting Data...3880618626</v>
        <stp/>
        <stp>BDP|14517390623603066383</stp>
        <tr r="C9" s="102"/>
      </tp>
    </main>
    <main first="bofaddin.rtdserver">
      <tp t="s">
        <v>#N/A Requesting Data...3768887220</v>
        <stp/>
        <stp>BDP|9826268154231486313</stp>
        <tr r="B10" s="3"/>
        <tr r="C10" s="3"/>
        <tr r="B10" s="2"/>
        <tr r="C10" s="2"/>
        <tr r="D10" s="2"/>
      </tp>
      <tp t="s">
        <v>#N/A Requesting Data...3979990556</v>
        <stp/>
        <stp>BDP|5755453709188081589</stp>
        <tr r="B9" s="109"/>
      </tp>
      <tp t="s">
        <v>#N/A Requesting Data...3649409695</v>
        <stp/>
        <stp>BDH|8541363179378918948</stp>
        <tr r="X3" s="109"/>
      </tp>
    </main>
    <main first="bofaddin.rtdserver">
      <tp t="s">
        <v>#N/A Requesting Data...3790297548</v>
        <stp/>
        <stp>BDP|3219407098552878285</stp>
        <tr r="B14" s="97"/>
      </tp>
      <tp t="s">
        <v>#N/A Requesting Data...4211039391</v>
        <stp/>
        <stp>BDH|7225141595737736664</stp>
        <tr r="P3" s="112"/>
      </tp>
      <tp t="e">
        <v>#N/A</v>
        <stp/>
        <stp>BDS|4735520594186526051</stp>
        <tr r="M6" s="91"/>
      </tp>
      <tp t="s">
        <v>#N/A Requesting Data...3937183864</v>
        <stp/>
        <stp>BDH|5718723715309998566</stp>
        <tr r="L3" s="97"/>
      </tp>
      <tp t="s">
        <v>#N/A Requesting Data...3732125061</v>
        <stp/>
        <stp>BDH|3166353695390240647</stp>
        <tr r="P3" s="110"/>
      </tp>
      <tp t="s">
        <v>#N/A Requesting Data...4187259628</v>
        <stp/>
        <stp>BDH|7355274961439481546</stp>
        <tr r="L3" s="108"/>
      </tp>
      <tp t="s">
        <v>#N/A Requesting Data...3948638523</v>
        <stp/>
        <stp>BDH|5738222547239921247</stp>
        <tr r="Z3" s="104"/>
      </tp>
      <tp t="s">
        <v>#N/A Requesting Data...3948139438</v>
        <stp/>
        <stp>BDH|1770265826688091171</stp>
        <tr r="K3" s="100"/>
      </tp>
      <tp t="s">
        <v>#N/A Requesting Data...3893409004</v>
        <stp/>
        <stp>BDP|1711943233375270406</stp>
        <tr r="D10" s="112"/>
      </tp>
      <tp t="s">
        <v>#N/A Requesting Data...3760158792</v>
        <stp/>
        <stp>BDP|7527847438690910665</stp>
        <tr r="B9" s="104"/>
      </tp>
      <tp t="s">
        <v>#N/A Requesting Data...3965303639</v>
        <stp/>
        <stp>BDH|2554276153306595908</stp>
        <tr r="K3" s="101"/>
      </tp>
      <tp t="s">
        <v>#N/A Requesting Data...3995710698</v>
        <stp/>
        <stp>BDH|6877899358616362626</stp>
        <tr r="N3" s="110"/>
      </tp>
      <tp t="s">
        <v>#N/A Requesting Data...3946176853</v>
        <stp/>
        <stp>BDP|3599058319761932825</stp>
        <tr r="C10" s="61"/>
      </tp>
      <tp t="s">
        <v>#N/A Requesting Data...4087888501</v>
        <stp/>
        <stp>BDP|4885566598148191441</stp>
        <tr r="C9" s="100"/>
      </tp>
      <tp t="s">
        <v>#N/A Requesting Data...4099034070</v>
        <stp/>
        <stp>BDP|9487024781682589744</stp>
        <tr r="C9" s="104"/>
      </tp>
      <tp t="s">
        <v>#N/A Requesting Data...3973991804</v>
        <stp/>
        <stp>BDP|3319743066524665396</stp>
        <tr r="B10" s="45"/>
      </tp>
      <tp t="s">
        <v>#N/A Requesting Data...3750668656</v>
        <stp/>
        <stp>BDH|6010285807769251820</stp>
        <tr r="J3" s="97"/>
      </tp>
      <tp t="s">
        <v>#N/A Requesting Data...3856134550</v>
        <stp/>
        <stp>BDH|2797015947004234758</stp>
        <tr r="L3" s="3"/>
        <tr r="Q3" s="2"/>
        <tr r="J3" s="3"/>
        <tr r="O3" s="2"/>
        <tr r="M3" s="2"/>
      </tp>
      <tp t="s">
        <v>#N/A Requesting Data...3976380298</v>
        <stp/>
        <stp>BDP|1891309813880618689</stp>
        <tr r="B10" s="61"/>
      </tp>
      <tp t="s">
        <v>#N/A Requesting Data...4172641191</v>
        <stp/>
        <stp>BDH|2914608752314734308</stp>
        <tr r="T3" s="112"/>
      </tp>
      <tp t="s">
        <v>#N/A Requesting Data...3930432725</v>
        <stp/>
        <stp>BDH|3522417543101446582</stp>
        <tr r="L3" s="45"/>
      </tp>
      <tp t="s">
        <v>#N/A Requesting Data...4179973942</v>
        <stp/>
        <stp>BDP|6554806082335942463</stp>
        <tr r="C9" s="108"/>
        <tr r="C9" s="109"/>
      </tp>
      <tp t="s">
        <v>#N/A Requesting Data...3767629149</v>
        <stp/>
        <stp>BDP|2046449243426072398</stp>
        <tr r="E14" s="97"/>
      </tp>
      <tp t="s">
        <v>#N/A Requesting Data...4256560504</v>
        <stp/>
        <stp>BDP|2578347777341940038</stp>
        <tr r="B10" s="97"/>
      </tp>
      <tp t="s">
        <v>#N/A Requesting Data...3997187636</v>
        <stp/>
        <stp>BDP|2495591331406559559</stp>
        <tr r="D10" s="110"/>
      </tp>
      <tp t="s">
        <v>#N/A Requesting Data...3789852883</v>
        <stp/>
        <stp>BDH|7551686963284503338</stp>
        <tr r="AB3" s="104"/>
      </tp>
      <tp t="s">
        <v>#N/A Requesting Data...4045939367</v>
        <stp/>
        <stp>BDH|7328120302797624187</stp>
        <tr r="K3" s="102"/>
      </tp>
      <tp t="s">
        <v>#N/A Requesting Data...3840552981</v>
        <stp/>
        <stp>BDP|5870781705037506546</stp>
        <tr r="C10" s="99"/>
      </tp>
      <tp t="s">
        <v>#N/A Requesting Data...4013021162</v>
        <stp/>
        <stp>BDH|8394182937398017347</stp>
        <tr r="Q3" s="104"/>
      </tp>
      <tp t="s">
        <v>#N/A Requesting Data...3915046982</v>
        <stp/>
        <stp>BDH|8337236777705723998</stp>
        <tr r="U3" s="100"/>
      </tp>
      <tp t="s">
        <v>#N/A Requesting Data...3962845625</v>
        <stp/>
        <stp>BDH|9368869229197365513</stp>
        <tr r="L3" s="63"/>
      </tp>
      <tp t="s">
        <v>#N/A Requesting Data...4275647102</v>
        <stp/>
        <stp>BDP|7280882837258491593</stp>
        <tr r="B10" s="110"/>
      </tp>
      <tp t="s">
        <v>#N/A Requesting Data...4218666664</v>
        <stp/>
        <stp>BDH|7903388716393043492</stp>
        <tr r="X4" s="104"/>
      </tp>
      <tp t="s">
        <v>#N/A Requesting Data...3930997687</v>
        <stp/>
        <stp>BDP|8219850504054416675</stp>
        <tr r="C10" s="101"/>
      </tp>
      <tp t="s">
        <v>#N/A Requesting Data...3868542368</v>
        <stp/>
        <stp>BDH|6236192031466116103</stp>
        <tr r="J3" s="61"/>
      </tp>
      <tp t="s">
        <v>#N/A Requesting Data...3807379328</v>
        <stp/>
        <stp>BDH|5935768352553095751</stp>
        <tr r="L3" s="109"/>
      </tp>
    </main>
    <main first="rtdsrv.c6450c86a5b0427b871925a48fd08461">
      <tp>
        <v>40.081698630136984</v>
        <stp/>
        <stp>CdsSpreadForDate</stp>
        <stp>HSBC</stp>
        <stp>06/12/2026</stp>
        <stp>06/02/2031</stp>
        <stp>SNRFOR</stp>
        <stp>EUR</stp>
        <stp>MM14</stp>
        <stp>False</stp>
        <stp>False</stp>
        <tr r="B21" s="101"/>
        <tr r="B21" s="100"/>
      </tp>
      <tp>
        <v>41.716758904109582</v>
        <stp/>
        <stp>CdsSpreadForDate</stp>
        <stp>HSBC</stp>
        <stp>06/10/2026</stp>
        <stp>06/02/2031</stp>
        <stp>SNRFOR</stp>
        <stp>EUR</stp>
        <stp>MM14</stp>
        <stp>False</stp>
        <stp>False</stp>
        <tr r="B19" s="101"/>
        <tr r="B19" s="100"/>
      </tp>
      <tp>
        <v>41.539342465753421</v>
        <stp/>
        <stp>CdsSpreadForDate</stp>
        <stp>HSBC</stp>
        <stp>06/11/2026</stp>
        <stp>06/02/2031</stp>
        <stp>SNRFOR</stp>
        <stp>EUR</stp>
        <stp>MM14</stp>
        <stp>False</stp>
        <stp>False</stp>
        <tr r="B20" s="101"/>
        <tr r="B20" s="100"/>
      </tp>
      <tp>
        <v>38.856890410958897</v>
        <stp/>
        <stp>CdsSpreadForDate</stp>
        <stp>HSBC</stp>
        <stp>06/16/2026</stp>
        <stp>06/02/2031</stp>
        <stp>SNRFOR</stp>
        <stp>EUR</stp>
        <stp>MM14</stp>
        <stp>False</stp>
        <stp>False</stp>
        <tr r="B23" s="101"/>
        <tr r="B23" s="100"/>
      </tp>
      <tp>
        <v>39.319246575342461</v>
        <stp/>
        <stp>CdsSpreadForDate</stp>
        <stp>HSBC</stp>
        <stp>06/17/2026</stp>
        <stp>06/02/2031</stp>
        <stp>SNRFOR</stp>
        <stp>EUR</stp>
        <stp>MM14</stp>
        <stp>False</stp>
        <stp>False</stp>
        <tr r="B24" s="101"/>
        <tr r="B24" s="100"/>
      </tp>
      <tp>
        <v>39.001265753424661</v>
        <stp/>
        <stp>CdsSpreadForDate</stp>
        <stp>HSBC</stp>
        <stp>06/15/2026</stp>
        <stp>06/02/2031</stp>
        <stp>SNRFOR</stp>
        <stp>EUR</stp>
        <stp>MM14</stp>
        <stp>False</stp>
        <stp>False</stp>
        <tr r="B22" s="101"/>
        <tr r="B22" s="100"/>
      </tp>
      <tp>
        <v>39.22228219178082</v>
        <stp/>
        <stp>CdsSpreadForDate</stp>
        <stp>HSBC</stp>
        <stp>06/18/2026</stp>
        <stp>06/02/2031</stp>
        <stp>SNRFOR</stp>
        <stp>EUR</stp>
        <stp>MM14</stp>
        <stp>False</stp>
        <stp>False</stp>
        <tr r="B25" s="101"/>
        <tr r="B25" s="100"/>
      </tp>
      <tp>
        <v>40.710693150684932</v>
        <stp/>
        <stp>CdsSpreadForDate</stp>
        <stp>HSBC</stp>
        <stp>06/04/2026</stp>
        <stp>06/02/2031</stp>
        <stp>SNRFOR</stp>
        <stp>EUR</stp>
        <stp>MM14</stp>
        <stp>False</stp>
        <stp>False</stp>
        <tr r="B15" s="101"/>
        <tr r="B15" s="100"/>
      </tp>
      <tp>
        <v>40.725619178082191</v>
        <stp/>
        <stp>CdsSpreadForDate</stp>
        <stp>HSBC</stp>
        <stp>06/05/2026</stp>
        <stp>06/02/2031</stp>
        <stp>SNRFOR</stp>
        <stp>EUR</stp>
        <stp>MM14</stp>
        <stp>False</stp>
        <stp>False</stp>
        <tr r="B16" s="100"/>
        <tr r="B16" s="101"/>
      </tp>
      <tp>
        <v>41.377221917808214</v>
        <stp/>
        <stp>CdsSpreadForDate</stp>
        <stp>HSBC</stp>
        <stp>06/08/2026</stp>
        <stp>06/02/2031</stp>
        <stp>SNRFOR</stp>
        <stp>EUR</stp>
        <stp>MM14</stp>
        <stp>False</stp>
        <stp>False</stp>
        <tr r="B17" s="100"/>
        <tr r="B17" s="101"/>
      </tp>
      <tp>
        <v>41.223246575342465</v>
        <stp/>
        <stp>CdsSpreadForDate</stp>
        <stp>HSBC</stp>
        <stp>06/09/2026</stp>
        <stp>06/02/2031</stp>
        <stp>SNRFOR</stp>
        <stp>EUR</stp>
        <stp>MM14</stp>
        <stp>False</stp>
        <stp>False</stp>
        <tr r="B18" s="100"/>
        <tr r="B18" s="101"/>
      </tp>
    </main>
    <main first="bofaddin.rtdserver">
      <tp t="s">
        <v>#N/A Requesting Data...4263248650</v>
        <stp/>
        <stp>BDH|899788507367321551</stp>
        <tr r="S3" s="104"/>
      </tp>
      <tp t="e">
        <v>#N/A</v>
        <stp/>
        <stp>BDS|628454333387804475</stp>
        <tr r="D6" s="91"/>
      </tp>
      <tp t="s">
        <v>#N/A Requesting Data...4075734779</v>
        <stp/>
        <stp>BDH|313378100732529693</stp>
        <tr r="N3" s="112"/>
      </tp>
      <tp t="s">
        <v>#N/A Requesting Data...4018807696</v>
        <stp/>
        <stp>BDH|326149078968136864</stp>
        <tr r="J3" s="63"/>
      </tp>
      <tp t="e">
        <v>#N/A</v>
        <stp/>
        <stp>BDS|555018970554595542</stp>
        <tr r="G6" s="91"/>
      </tp>
      <tp t="s">
        <v>#N/A Requesting Data...4127031504</v>
        <stp/>
        <stp>BDP|291935823009795200</stp>
        <tr r="C10" s="97"/>
      </tp>
      <tp t="e">
        <v>#N/A</v>
        <stp/>
        <stp>BDS|406210981587777595</stp>
        <tr r="J6" s="91"/>
      </tp>
      <tp t="s">
        <v>#N/A Requesting Data...4239824380</v>
        <stp/>
        <stp>BDP|391960776365176048</stp>
        <tr r="D9" s="104"/>
      </tp>
      <tp t="s">
        <v>#N/A Requesting Data...3947490271</v>
        <stp/>
        <stp>BDP|671976103210318341</stp>
        <tr r="B9" s="100"/>
        <tr r="B10" s="10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'41b'!$I$12:$I$13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'41b'!$A$14:$A$250</c:f>
              <c:strCache>
                <c:ptCount val="12"/>
                <c:pt idx="0">
                  <c:v>06/03/2026</c:v>
                </c:pt>
                <c:pt idx="1">
                  <c:v>06/04/2026</c:v>
                </c:pt>
                <c:pt idx="2">
                  <c:v>06/05/2026</c:v>
                </c:pt>
                <c:pt idx="3">
                  <c:v>06/08/2026</c:v>
                </c:pt>
                <c:pt idx="4">
                  <c:v>06/09/2026</c:v>
                </c:pt>
                <c:pt idx="5">
                  <c:v>06/10/2026</c:v>
                </c:pt>
                <c:pt idx="6">
                  <c:v>06/11/2026</c:v>
                </c:pt>
                <c:pt idx="7">
                  <c:v>06/12/2026</c:v>
                </c:pt>
                <c:pt idx="8">
                  <c:v>06/15/2026</c:v>
                </c:pt>
                <c:pt idx="9">
                  <c:v>06/16/2026</c:v>
                </c:pt>
                <c:pt idx="10">
                  <c:v>06/17/2026</c:v>
                </c:pt>
                <c:pt idx="11">
                  <c:v>06/18/2026</c:v>
                </c:pt>
              </c:strCache>
            </c:strRef>
          </c:cat>
          <c:val>
            <c:numRef>
              <c:f>'41b'!$I$14:$I$250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-3287.550000008232</c:v>
                </c:pt>
                <c:pt idx="2">
                  <c:v>12002.675383954174</c:v>
                </c:pt>
                <c:pt idx="3">
                  <c:v>-10919.873018021384</c:v>
                </c:pt>
                <c:pt idx="4">
                  <c:v>-17573.139701590604</c:v>
                </c:pt>
                <c:pt idx="5">
                  <c:v>-33641.166981019109</c:v>
                </c:pt>
                <c:pt idx="6">
                  <c:v>-42632.322079496029</c:v>
                </c:pt>
                <c:pt idx="7">
                  <c:v>96978.802580335439</c:v>
                </c:pt>
                <c:pt idx="8">
                  <c:v>202426.08994828109</c:v>
                </c:pt>
                <c:pt idx="9">
                  <c:v>345112.69207898551</c:v>
                </c:pt>
                <c:pt idx="10">
                  <c:v>501986.19563017064</c:v>
                </c:pt>
                <c:pt idx="11">
                  <c:v>523297.57161874732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0-4B32-87E7-C85D1164A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7C0-4B32-87E7-C85D1164A1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7C0-4B32-87E7-C85D1164A1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7C0-4B32-87E7-C85D1164A1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7C0-4B32-87E7-C85D1164A1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7C0-4B32-87E7-C85D1164A1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7C0-4B32-87E7-C85D1164A1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2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7C0-4B32-87E7-C85D1164A1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'41c'!$I$12:$I$13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'41c'!$A$14:$A$250</c:f>
              <c:strCache>
                <c:ptCount val="9"/>
                <c:pt idx="0">
                  <c:v>06/08/2026</c:v>
                </c:pt>
                <c:pt idx="1">
                  <c:v>06/09/2026</c:v>
                </c:pt>
                <c:pt idx="2">
                  <c:v>06/10/2026</c:v>
                </c:pt>
                <c:pt idx="3">
                  <c:v>06/11/2026</c:v>
                </c:pt>
                <c:pt idx="4">
                  <c:v>06/12/2026</c:v>
                </c:pt>
                <c:pt idx="5">
                  <c:v>06/15/2026</c:v>
                </c:pt>
                <c:pt idx="6">
                  <c:v>06/16/2026</c:v>
                </c:pt>
                <c:pt idx="7">
                  <c:v>06/17/2026</c:v>
                </c:pt>
                <c:pt idx="8">
                  <c:v>06/18/2026</c:v>
                </c:pt>
              </c:strCache>
            </c:strRef>
          </c:cat>
          <c:val>
            <c:numRef>
              <c:f>'41c'!$I$14:$I$250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21263.300000005635</c:v>
                </c:pt>
                <c:pt idx="2">
                  <c:v>3801.4723881773971</c:v>
                </c:pt>
                <c:pt idx="3">
                  <c:v>9403.1441075949551</c:v>
                </c:pt>
                <c:pt idx="4">
                  <c:v>134076.74293360719</c:v>
                </c:pt>
                <c:pt idx="5">
                  <c:v>228131.56333784995</c:v>
                </c:pt>
                <c:pt idx="6">
                  <c:v>359676.49794922088</c:v>
                </c:pt>
                <c:pt idx="7">
                  <c:v>500013.18720467202</c:v>
                </c:pt>
                <c:pt idx="8">
                  <c:v>509645.88325721154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8-4AAD-AB9E-26D5F9977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C08-4AAD-AB9E-26D5F9977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C08-4AAD-AB9E-26D5F9977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C08-4AAD-AB9E-26D5F9977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08-4AAD-AB9E-26D5F9977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08-4AAD-AB9E-26D5F9977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C08-4AAD-AB9E-26D5F9977E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9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C08-4AAD-AB9E-26D5F9977EC5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'44a'!$H$12:$H$13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'44a'!$A$14:$A$250</c:f>
              <c:strCache>
                <c:ptCount val="13"/>
                <c:pt idx="0">
                  <c:v>06/03/2026 15:00</c:v>
                </c:pt>
                <c:pt idx="1">
                  <c:v>06/04/2026 15:00</c:v>
                </c:pt>
                <c:pt idx="2">
                  <c:v>06/05/2026 15:00</c:v>
                </c:pt>
                <c:pt idx="3">
                  <c:v>06/08/2026 15:00</c:v>
                </c:pt>
                <c:pt idx="4">
                  <c:v>06/09/2026 15:00</c:v>
                </c:pt>
                <c:pt idx="5">
                  <c:v>06/10/2026 15:00</c:v>
                </c:pt>
                <c:pt idx="6">
                  <c:v>06/11/2026 15:00</c:v>
                </c:pt>
                <c:pt idx="7">
                  <c:v>06/12/2026 15:00</c:v>
                </c:pt>
                <c:pt idx="8">
                  <c:v>06/15/2026 15:00</c:v>
                </c:pt>
                <c:pt idx="9">
                  <c:v>06/16/2026 15:00</c:v>
                </c:pt>
                <c:pt idx="10">
                  <c:v>06/17/2026 15:00</c:v>
                </c:pt>
                <c:pt idx="11">
                  <c:v>06/18/2026 15:00</c:v>
                </c:pt>
                <c:pt idx="12">
                  <c:v>06/18/2026 11:17</c:v>
                </c:pt>
              </c:strCache>
            </c:strRef>
          </c:cat>
          <c:val>
            <c:numRef>
              <c:f>'44a'!$H$14:$H$250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-2695.4838898922098</c:v>
                </c:pt>
                <c:pt idx="2">
                  <c:v>-14139.981192232428</c:v>
                </c:pt>
                <c:pt idx="3">
                  <c:v>-2343.8547538401581</c:v>
                </c:pt>
                <c:pt idx="4">
                  <c:v>-8866.109991290954</c:v>
                </c:pt>
                <c:pt idx="5">
                  <c:v>-8235.8988000587015</c:v>
                </c:pt>
                <c:pt idx="6">
                  <c:v>-6621.5755803034262</c:v>
                </c:pt>
                <c:pt idx="7">
                  <c:v>-7069.0605927665129</c:v>
                </c:pt>
                <c:pt idx="8">
                  <c:v>-19797.398929014045</c:v>
                </c:pt>
                <c:pt idx="9">
                  <c:v>-26955.905491633668</c:v>
                </c:pt>
                <c:pt idx="10">
                  <c:v>-22234.907993622721</c:v>
                </c:pt>
                <c:pt idx="11">
                  <c:v>-20833.313002506671</c:v>
                </c:pt>
                <c:pt idx="12">
                  <c:v>-50756.01009154776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F-477F-8349-EDB1991D8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E8F-477F-8349-EDB1991D817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E8F-477F-8349-EDB1991D817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8F-477F-8349-EDB1991D817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E8F-477F-8349-EDB1991D817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E8F-477F-8349-EDB1991D817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E8F-477F-8349-EDB1991D817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8F-477F-8349-EDB1991D8175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'44b'!$H$12:$H$13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'44b'!$A$14:$A$250</c:f>
              <c:strCache>
                <c:ptCount val="13"/>
                <c:pt idx="0">
                  <c:v>06/03/2026 15:00</c:v>
                </c:pt>
                <c:pt idx="1">
                  <c:v>06/04/2026 15:00</c:v>
                </c:pt>
                <c:pt idx="2">
                  <c:v>06/05/2026 15:00</c:v>
                </c:pt>
                <c:pt idx="3">
                  <c:v>06/08/2026 15:00</c:v>
                </c:pt>
                <c:pt idx="4">
                  <c:v>06/09/2026 15:00</c:v>
                </c:pt>
                <c:pt idx="5">
                  <c:v>06/10/2026 15:00</c:v>
                </c:pt>
                <c:pt idx="6">
                  <c:v>06/11/2026 15:00</c:v>
                </c:pt>
                <c:pt idx="7">
                  <c:v>06/12/2026 15:00</c:v>
                </c:pt>
                <c:pt idx="8">
                  <c:v>06/15/2026 15:00</c:v>
                </c:pt>
                <c:pt idx="9">
                  <c:v>06/16/2026 15:00</c:v>
                </c:pt>
                <c:pt idx="10">
                  <c:v>06/17/2026 15:00</c:v>
                </c:pt>
                <c:pt idx="11">
                  <c:v>06/18/2026 15:00</c:v>
                </c:pt>
                <c:pt idx="12">
                  <c:v>06/18/2026 11:17</c:v>
                </c:pt>
              </c:strCache>
            </c:strRef>
          </c:cat>
          <c:val>
            <c:numRef>
              <c:f>'44b'!$H$14:$H$250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-51110.034889543364</c:v>
                </c:pt>
                <c:pt idx="2">
                  <c:v>-172423.16802521693</c:v>
                </c:pt>
                <c:pt idx="3">
                  <c:v>-175130.73040154687</c:v>
                </c:pt>
                <c:pt idx="4">
                  <c:v>-137313.28225447997</c:v>
                </c:pt>
                <c:pt idx="5">
                  <c:v>-115295.38424275297</c:v>
                </c:pt>
                <c:pt idx="6">
                  <c:v>-122009.25609349456</c:v>
                </c:pt>
                <c:pt idx="7">
                  <c:v>-84663.918329437118</c:v>
                </c:pt>
                <c:pt idx="8">
                  <c:v>-66707.87427453525</c:v>
                </c:pt>
                <c:pt idx="9">
                  <c:v>-48090.923407468166</c:v>
                </c:pt>
                <c:pt idx="10">
                  <c:v>-68445.041643413686</c:v>
                </c:pt>
                <c:pt idx="11">
                  <c:v>-104448.95419826327</c:v>
                </c:pt>
                <c:pt idx="12">
                  <c:v>-142630.31568387971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6-47D4-946C-78CF4C78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D6-47D4-946C-78CF4C78FD6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D6-47D4-946C-78CF4C78FD6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D6-47D4-946C-78CF4C78FD6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D6-47D4-946C-78CF4C78FD6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D6-47D4-946C-78CF4C78FD6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8D6-47D4-946C-78CF4C78FD6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8D6-47D4-946C-78CF4C78FD6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'50'!$A$14:$A$250</c:f>
              <c:strCache>
                <c:ptCount val="15"/>
                <c:pt idx="0">
                  <c:v>06/01/2026 15:00</c:v>
                </c:pt>
                <c:pt idx="1">
                  <c:v>06/02/2026 00:00</c:v>
                </c:pt>
                <c:pt idx="2">
                  <c:v>06/03/2026 00:00</c:v>
                </c:pt>
                <c:pt idx="3">
                  <c:v>06/04/2026 00:00</c:v>
                </c:pt>
                <c:pt idx="4">
                  <c:v>06/05/2026 00:00</c:v>
                </c:pt>
                <c:pt idx="5">
                  <c:v>06/08/2026 00:00</c:v>
                </c:pt>
                <c:pt idx="6">
                  <c:v>06/09/2026 00:00</c:v>
                </c:pt>
                <c:pt idx="7">
                  <c:v>06/10/2026 00:00</c:v>
                </c:pt>
                <c:pt idx="8">
                  <c:v>06/11/2026 00:00</c:v>
                </c:pt>
                <c:pt idx="9">
                  <c:v>06/12/2026 00:00</c:v>
                </c:pt>
                <c:pt idx="10">
                  <c:v>06/15/2026 00:00</c:v>
                </c:pt>
                <c:pt idx="11">
                  <c:v>06/16/2026 00:00</c:v>
                </c:pt>
                <c:pt idx="12">
                  <c:v>06/17/2026 00:00</c:v>
                </c:pt>
                <c:pt idx="13">
                  <c:v>06/18/2026 00:00</c:v>
                </c:pt>
                <c:pt idx="14">
                  <c:v>06/18/2026 11:17</c:v>
                </c:pt>
              </c:strCache>
            </c:strRef>
          </c:cat>
          <c:val>
            <c:numRef>
              <c:f>'50'!$H$14:$H$250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-49962.310145781572</c:v>
                </c:pt>
                <c:pt idx="2">
                  <c:v>-42721.370367895448</c:v>
                </c:pt>
                <c:pt idx="3">
                  <c:v>-44910.430590007876</c:v>
                </c:pt>
                <c:pt idx="4">
                  <c:v>-41189.49081212165</c:v>
                </c:pt>
                <c:pt idx="5">
                  <c:v>-45676.671478461947</c:v>
                </c:pt>
                <c:pt idx="6">
                  <c:v>-50195.731700575408</c:v>
                </c:pt>
                <c:pt idx="7">
                  <c:v>-37324.791922687669</c:v>
                </c:pt>
                <c:pt idx="8">
                  <c:v>-40213.85214480132</c:v>
                </c:pt>
                <c:pt idx="9">
                  <c:v>-46792.912366914257</c:v>
                </c:pt>
                <c:pt idx="10">
                  <c:v>-47820.093033255085</c:v>
                </c:pt>
                <c:pt idx="11">
                  <c:v>-47779.15325536795</c:v>
                </c:pt>
                <c:pt idx="12">
                  <c:v>-46408.213477481841</c:v>
                </c:pt>
                <c:pt idx="13">
                  <c:v>-37467.273699594014</c:v>
                </c:pt>
                <c:pt idx="14">
                  <c:v>-37117.273699594327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D-45F0-9FDB-6D15A078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59D-45F0-9FDB-6D15A078AD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59D-45F0-9FDB-6D15A078AD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59D-45F0-9FDB-6D15A078AD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59D-45F0-9FDB-6D15A078AD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59D-45F0-9FDB-6D15A078AD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59D-45F0-9FDB-6D15A078AD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59D-45F0-9FDB-6D15A078AD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'51'!$A$14:$A$250</c:f>
              <c:strCache>
                <c:ptCount val="15"/>
                <c:pt idx="0">
                  <c:v>06/01/2026 15:00</c:v>
                </c:pt>
                <c:pt idx="1">
                  <c:v>06/02/2026 00:00</c:v>
                </c:pt>
                <c:pt idx="2">
                  <c:v>06/03/2026 00:00</c:v>
                </c:pt>
                <c:pt idx="3">
                  <c:v>06/04/2026 00:00</c:v>
                </c:pt>
                <c:pt idx="4">
                  <c:v>06/05/2026 00:00</c:v>
                </c:pt>
                <c:pt idx="5">
                  <c:v>06/08/2026 00:00</c:v>
                </c:pt>
                <c:pt idx="6">
                  <c:v>06/09/2026 00:00</c:v>
                </c:pt>
                <c:pt idx="7">
                  <c:v>06/10/2026 00:00</c:v>
                </c:pt>
                <c:pt idx="8">
                  <c:v>06/11/2026 00:00</c:v>
                </c:pt>
                <c:pt idx="9">
                  <c:v>06/12/2026 00:00</c:v>
                </c:pt>
                <c:pt idx="10">
                  <c:v>06/15/2026 00:00</c:v>
                </c:pt>
                <c:pt idx="11">
                  <c:v>06/16/2026 00:00</c:v>
                </c:pt>
                <c:pt idx="12">
                  <c:v>06/17/2026 00:00</c:v>
                </c:pt>
                <c:pt idx="13">
                  <c:v>06/18/2026 00:00</c:v>
                </c:pt>
                <c:pt idx="14">
                  <c:v>06/18/2026 11:17</c:v>
                </c:pt>
              </c:strCache>
            </c:strRef>
          </c:cat>
          <c:val>
            <c:numRef>
              <c:f>'51'!$H$14:$H$250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-52124.176388889013</c:v>
                </c:pt>
                <c:pt idx="2">
                  <c:v>-42352.352777777502</c:v>
                </c:pt>
                <c:pt idx="3">
                  <c:v>-52488.529166666784</c:v>
                </c:pt>
                <c:pt idx="4">
                  <c:v>-22356.705555554967</c:v>
                </c:pt>
                <c:pt idx="5">
                  <c:v>-33873.234722221547</c:v>
                </c:pt>
                <c:pt idx="6">
                  <c:v>-28917.411111111196</c:v>
                </c:pt>
                <c:pt idx="7">
                  <c:v>-27125.587499999921</c:v>
                </c:pt>
                <c:pt idx="8">
                  <c:v>-25389.763888889825</c:v>
                </c:pt>
                <c:pt idx="9">
                  <c:v>-22797.940277777638</c:v>
                </c:pt>
                <c:pt idx="10">
                  <c:v>-41162.469444445072</c:v>
                </c:pt>
                <c:pt idx="11">
                  <c:v>-43642.645833334129</c:v>
                </c:pt>
                <c:pt idx="12">
                  <c:v>-39138.822222222312</c:v>
                </c:pt>
                <c:pt idx="13">
                  <c:v>-48930.99861111019</c:v>
                </c:pt>
                <c:pt idx="14">
                  <c:v>-49242.998611110197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F-44F2-9FAE-E079FE5B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E6F-44F2-9FAE-E079FE5BB9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6F-44F2-9FAE-E079FE5BB9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6F-44F2-9FAE-E079FE5BB9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6F-44F2-9FAE-E079FE5BB9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6F-44F2-9FAE-E079FE5BB9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6F-44F2-9FAE-E079FE5BB9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5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6F-44F2-9FAE-E079FE5BB9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'52'!$H$12:$H$13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'52'!$A$14:$A$250</c:f>
              <c:strCache>
                <c:ptCount val="13"/>
                <c:pt idx="0">
                  <c:v>06/03/2026 15:00</c:v>
                </c:pt>
                <c:pt idx="1">
                  <c:v>06/04/2026 15:00</c:v>
                </c:pt>
                <c:pt idx="2">
                  <c:v>06/05/2026 15:00</c:v>
                </c:pt>
                <c:pt idx="3">
                  <c:v>06/08/2026 15:00</c:v>
                </c:pt>
                <c:pt idx="4">
                  <c:v>06/09/2026 15:00</c:v>
                </c:pt>
                <c:pt idx="5">
                  <c:v>06/10/2026 15:00</c:v>
                </c:pt>
                <c:pt idx="6">
                  <c:v>06/11/2026 15:00</c:v>
                </c:pt>
                <c:pt idx="7">
                  <c:v>06/12/2026 15:00</c:v>
                </c:pt>
                <c:pt idx="8">
                  <c:v>06/15/2026 15:00</c:v>
                </c:pt>
                <c:pt idx="9">
                  <c:v>06/16/2026 15:00</c:v>
                </c:pt>
                <c:pt idx="10">
                  <c:v>06/17/2026 15:00</c:v>
                </c:pt>
                <c:pt idx="11">
                  <c:v>06/18/2026 15:00</c:v>
                </c:pt>
                <c:pt idx="12">
                  <c:v>06/18/2026 11:17</c:v>
                </c:pt>
              </c:strCache>
            </c:strRef>
          </c:cat>
          <c:val>
            <c:numRef>
              <c:f>'52'!$H$14:$H$250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-74624.490506582981</c:v>
                </c:pt>
                <c:pt idx="2">
                  <c:v>-92777.665185046586</c:v>
                </c:pt>
                <c:pt idx="3">
                  <c:v>-123487.18922044476</c:v>
                </c:pt>
                <c:pt idx="4">
                  <c:v>-81140.363898907235</c:v>
                </c:pt>
                <c:pt idx="5">
                  <c:v>-155293.53857737535</c:v>
                </c:pt>
                <c:pt idx="6">
                  <c:v>-100696.71325583973</c:v>
                </c:pt>
                <c:pt idx="7">
                  <c:v>-19599.887934305494</c:v>
                </c:pt>
                <c:pt idx="8">
                  <c:v>70190.58803029971</c:v>
                </c:pt>
                <c:pt idx="9">
                  <c:v>85287.413351834999</c:v>
                </c:pt>
                <c:pt idx="10">
                  <c:v>40134.238673370375</c:v>
                </c:pt>
                <c:pt idx="11">
                  <c:v>7731.0639949026754</c:v>
                </c:pt>
                <c:pt idx="12">
                  <c:v>8731.0639949038978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2-44BC-AA9E-892BF683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02-44BC-AA9E-892BF683A7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02-44BC-AA9E-892BF683A7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02-44BC-AA9E-892BF683A7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02-44BC-AA9E-892BF683A7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02-44BC-AA9E-892BF683A7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02-44BC-AA9E-892BF683A7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3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02-44BC-AA9E-892BF683A7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'53'!$M$12:$M$13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'53'!$A$14:$A$250</c:f>
              <c:strCache>
                <c:ptCount val="4"/>
                <c:pt idx="0">
                  <c:v>06/02/2026 15:00</c:v>
                </c:pt>
                <c:pt idx="1">
                  <c:v>06/03/2026 15:00</c:v>
                </c:pt>
                <c:pt idx="2">
                  <c:v>06/04/2026 15:00</c:v>
                </c:pt>
                <c:pt idx="3">
                  <c:v>06/18/2026 11:17</c:v>
                </c:pt>
              </c:strCache>
            </c:strRef>
          </c:cat>
          <c:val>
            <c:numRef>
              <c:f>'53'!$M$14:$M$250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-1151130.9652509578</c:v>
                </c:pt>
                <c:pt idx="2">
                  <c:v>-1222802.6883185671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D-4763-B2CE-3278DF3C0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13D-4763-B2CE-3278DF3C058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13D-4763-B2CE-3278DF3C058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13D-4763-B2CE-3278DF3C058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13D-4763-B2CE-3278DF3C058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13D-4763-B2CE-3278DF3C058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13D-4763-B2CE-3278DF3C058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'53'!$A$14:$A$250</c15:sqref>
                        </c15:formulaRef>
                      </c:ext>
                    </c:extLst>
                    <c:strCache>
                      <c:ptCount val="4"/>
                      <c:pt idx="0">
                        <c:v>06/02/2026 15:00</c:v>
                      </c:pt>
                      <c:pt idx="1">
                        <c:v>06/03/2026 15:00</c:v>
                      </c:pt>
                      <c:pt idx="2">
                        <c:v>06/04/2026 15:00</c:v>
                      </c:pt>
                      <c:pt idx="3">
                        <c:v>06/18/2026 11:17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13D-4763-B2CE-3278DF3C058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'54'!$L$12:$L$13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'54'!$A$14:$A$250</c:f>
              <c:strCache>
                <c:ptCount val="4"/>
                <c:pt idx="0">
                  <c:v>06/16/2026</c:v>
                </c:pt>
                <c:pt idx="1">
                  <c:v>06/16/2026</c:v>
                </c:pt>
                <c:pt idx="2">
                  <c:v>06/17/2026</c:v>
                </c:pt>
                <c:pt idx="3">
                  <c:v>06/18/2026</c:v>
                </c:pt>
              </c:strCache>
            </c:strRef>
          </c:cat>
          <c:val>
            <c:numRef>
              <c:f>'54'!$L$14:$L$250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-40602.746157039328</c:v>
                </c:pt>
                <c:pt idx="2">
                  <c:v>-100518.58838757293</c:v>
                </c:pt>
                <c:pt idx="3">
                  <c:v>-98055.290609791831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B-4C25-A0A0-887E5756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88B-4C25-A0A0-887E5756841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8B-4C25-A0A0-887E5756841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8B-4C25-A0A0-887E5756841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8B-4C25-A0A0-887E5756841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8B-4C25-A0A0-887E5756841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8B-4C25-A0A0-887E5756841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4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8B-4C25-A0A0-887E5756841B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'55'!$L$12:$L$13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'55'!$A$14:$A$250</c:f>
              <c:strCache>
                <c:ptCount val="3"/>
                <c:pt idx="0">
                  <c:v>06/17/2026</c:v>
                </c:pt>
                <c:pt idx="1">
                  <c:v>06/17/2026</c:v>
                </c:pt>
                <c:pt idx="2">
                  <c:v>06/18/2026</c:v>
                </c:pt>
              </c:strCache>
            </c:strRef>
          </c:cat>
          <c:val>
            <c:numRef>
              <c:f>'55'!$L$14:$L$250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-288024.6552008703</c:v>
                </c:pt>
                <c:pt idx="2">
                  <c:v>42592.481974038528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1-45E2-B07F-EFF39403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391-45E2-B07F-EFF39403251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391-45E2-B07F-EFF39403251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91-45E2-B07F-EFF39403251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91-45E2-B07F-EFF39403251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91-45E2-B07F-EFF39403251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391-45E2-B07F-EFF39403251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3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391-45E2-B07F-EFF394032518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 CDS RV Template'!$H$12:$H$13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 CDS RV Template'!$A$14:$A$250</c:f>
              <c:strCache>
                <c:ptCount val="1"/>
                <c:pt idx="0">
                  <c:v>09/25/2025 15:00</c:v>
                </c:pt>
              </c:strCache>
            </c:strRef>
          </c:cat>
          <c:val>
            <c:numRef>
              <c:f>'2 CDS RV Template'!$H$14:$H$250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'3 CDS RV Template'!$K$12:$K$13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 CDS RV Template'!$A$14:$A$667</c:f>
              <c:strCache>
                <c:ptCount val="1"/>
                <c:pt idx="0">
                  <c:v>09/24/2025 15:00</c:v>
                </c:pt>
              </c:strCache>
            </c:strRef>
          </c:cat>
          <c:val>
            <c:numRef>
              <c:f>'3 CDS RV Template'!$K$14:$K$667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 CDS RV Template'!$B$12:$B$13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'3 CDS RV Template'!$B$14:$B$667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'SNRFIN vs SX7E Puts Template'!$G$12:$G$13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'SNRFIN vs SX7E Puts Template'!$A$14:$A$250</c:f>
              <c:strCache>
                <c:ptCount val="2"/>
                <c:pt idx="0">
                  <c:v>02/04/2028</c:v>
                </c:pt>
                <c:pt idx="1">
                  <c:v>06/18/2026</c:v>
                </c:pt>
              </c:strCache>
            </c:strRef>
          </c:cat>
          <c:val>
            <c:numRef>
              <c:f>'SNRFIN vs SX7E Puts Template'!$G$14:$G$250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A-49A6-93CB-F64B2F41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2A-49A6-93CB-F64B2F4125D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2A-49A6-93CB-F64B2F4125D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2A-49A6-93CB-F64B2F4125D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2A-49A6-93CB-F64B2F4125D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2A-49A6-93CB-F64B2F4125D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82A-49A6-93CB-F64B2F4125D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82A-49A6-93CB-F64B2F4125D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'SPX vs HYG Calls Template'!$F$12:$F$13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'SPX vs HYG Calls Template'!$A$14:$A$250</c:f>
              <c:strCache>
                <c:ptCount val="2"/>
                <c:pt idx="0">
                  <c:v>11/12/2028</c:v>
                </c:pt>
                <c:pt idx="1">
                  <c:v>06/18/2026</c:v>
                </c:pt>
              </c:strCache>
            </c:strRef>
          </c:cat>
          <c:val>
            <c:numRef>
              <c:f>'SPX vs HYG Calls Template'!$F$14:$F$250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'CDX HY vs IWM Puts Template'!$G$12:$G$13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'CDX HY vs IWM Puts Template'!$A$14:$A$250</c:f>
              <c:strCache>
                <c:ptCount val="2"/>
                <c:pt idx="0">
                  <c:v>01/22/2028</c:v>
                </c:pt>
                <c:pt idx="1">
                  <c:v>06/18/2026</c:v>
                </c:pt>
              </c:strCache>
            </c:strRef>
          </c:cat>
          <c:val>
            <c:numRef>
              <c:f>'CDX HY vs IWM Puts Template'!$G$14:$G$250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-1518685.5555555546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3-4B09-84BC-A912266B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A43-4B09-84BC-A912266B1A5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A43-4B09-84BC-A912266B1A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43-4B09-84BC-A912266B1A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43-4B09-84BC-A912266B1A5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A43-4B09-84BC-A912266B1A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A43-4B09-84BC-A912266B1A5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06/18/2026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43-4B09-84BC-A912266B1A5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500064</xdr:colOff>
      <xdr:row>31</xdr:row>
      <xdr:rowOff>128588</xdr:rowOff>
    </xdr:from>
    <xdr:to>
      <xdr:col>24</xdr:col>
      <xdr:colOff>652464</xdr:colOff>
      <xdr:row>58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F1F51-62BA-40E2-AA92-00E42E5A4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583408</xdr:colOff>
      <xdr:row>22</xdr:row>
      <xdr:rowOff>116682</xdr:rowOff>
    </xdr:from>
    <xdr:to>
      <xdr:col>23</xdr:col>
      <xdr:colOff>9527</xdr:colOff>
      <xdr:row>49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4BAD0-D799-4532-BAF9-5E21E9376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242625</xdr:colOff>
      <xdr:row>27</xdr:row>
      <xdr:rowOff>71967</xdr:rowOff>
    </xdr:from>
    <xdr:to>
      <xdr:col>18</xdr:col>
      <xdr:colOff>742950</xdr:colOff>
      <xdr:row>53</xdr:row>
      <xdr:rowOff>65618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263AB-EBD4-4A95-8A45-57DC3CBC6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297657</xdr:colOff>
      <xdr:row>11</xdr:row>
      <xdr:rowOff>100014</xdr:rowOff>
    </xdr:from>
    <xdr:to>
      <xdr:col>29</xdr:col>
      <xdr:colOff>576265</xdr:colOff>
      <xdr:row>52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816AD-C2B7-4241-8FFC-33158B3D1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554833</xdr:colOff>
      <xdr:row>35</xdr:row>
      <xdr:rowOff>161924</xdr:rowOff>
    </xdr:from>
    <xdr:to>
      <xdr:col>24</xdr:col>
      <xdr:colOff>459583</xdr:colOff>
      <xdr:row>64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90AC2-2B85-4F31-9E99-4BE297395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554833</xdr:colOff>
      <xdr:row>35</xdr:row>
      <xdr:rowOff>161924</xdr:rowOff>
    </xdr:from>
    <xdr:to>
      <xdr:col>24</xdr:col>
      <xdr:colOff>459583</xdr:colOff>
      <xdr:row>64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04822-3ECF-4C1E-8C10-A63C2F9EE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469106</xdr:colOff>
      <xdr:row>10</xdr:row>
      <xdr:rowOff>28575</xdr:rowOff>
    </xdr:from>
    <xdr:to>
      <xdr:col>22</xdr:col>
      <xdr:colOff>66674</xdr:colOff>
      <xdr:row>37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48867-DE69-4D5A-975C-E161E1D5F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F4AF9-4B2F-4A17-A564-8B5393C57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18</xdr:row>
      <xdr:rowOff>78241</xdr:rowOff>
    </xdr:from>
    <xdr:to>
      <xdr:col>25</xdr:col>
      <xdr:colOff>203085</xdr:colOff>
      <xdr:row>47</xdr:row>
      <xdr:rowOff>59191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AE638-1165-4DC2-B548-A891EC4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17</xdr:row>
      <xdr:rowOff>135391</xdr:rowOff>
    </xdr:from>
    <xdr:to>
      <xdr:col>26</xdr:col>
      <xdr:colOff>222135</xdr:colOff>
      <xdr:row>46</xdr:row>
      <xdr:rowOff>116341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B5019-55D5-4BF8-B6DC-844F6D41B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FFAED-B945-4D94-8F06-B8AECD014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73387-A20F-4599-BB7E-EA48AF38B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E22E32-124A-4B9D-BD19-553D4DECD76E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2b9235d-6ce9-4e9c-bdb4-0ed7a5002b9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404280FL8@BGN%20Gov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XS3224609530@BGN%20Corp" TargetMode="External"/><Relationship Id="rId1" Type="http://schemas.openxmlformats.org/officeDocument/2006/relationships/hyperlink" Target="mailto:XS3363388086@BGN%20Corp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105756CB4@BGN%20Corp" TargetMode="External"/><Relationship Id="rId1" Type="http://schemas.openxmlformats.org/officeDocument/2006/relationships/hyperlink" Target="mailto:105756BW9@BGN%20Corp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XS2322254249@BGN%20Gov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mailto:DE000BU25067@BGN%20Corp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mailto:DE000BU25026@BGN%20Corp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54E0-4947-4677-900C-1E29184DAFBD}">
  <dimension ref="A1:E10"/>
  <sheetViews>
    <sheetView tabSelected="1" workbookViewId="0">
      <selection activeCell="C42" sqref="C42"/>
    </sheetView>
  </sheetViews>
  <sheetFormatPr defaultColWidth="8.85546875" defaultRowHeight="15" x14ac:dyDescent="0.25"/>
  <cols>
    <col min="1" max="1" width="11.140625" style="3" bestFit="1" customWidth="1"/>
    <col min="2" max="2" width="27.28515625" style="86" bestFit="1" customWidth="1"/>
    <col min="3" max="3" width="11.7109375" style="88" bestFit="1" customWidth="1"/>
    <col min="4" max="4" width="11.7109375" style="88" customWidth="1"/>
    <col min="5" max="5" width="11.140625" style="90" bestFit="1" customWidth="1"/>
    <col min="6" max="16384" width="8.85546875" style="3"/>
  </cols>
  <sheetData>
    <row r="1" spans="1:5" x14ac:dyDescent="0.25">
      <c r="A1" s="85" t="s">
        <v>35</v>
      </c>
      <c r="B1" s="85" t="s">
        <v>36</v>
      </c>
      <c r="C1" s="87" t="s">
        <v>37</v>
      </c>
      <c r="D1" s="87" t="s">
        <v>39</v>
      </c>
      <c r="E1" s="89" t="s">
        <v>38</v>
      </c>
    </row>
    <row r="2" spans="1:5" x14ac:dyDescent="0.25">
      <c r="A2" s="3" t="s">
        <v>135</v>
      </c>
      <c r="B2" s="86" t="s">
        <v>79</v>
      </c>
      <c r="C2" s="88" cm="1">
        <f t="array" aca="1" ref="C2" ca="1">INDIRECT("'" &amp; A2 &amp; "'!A14")</f>
        <v>46176</v>
      </c>
      <c r="D2" s="88" t="s">
        <v>40</v>
      </c>
      <c r="E2" s="90" cm="1">
        <f t="array" aca="1" ref="E2" ca="1">_xlfn.LET(_xlpm.r,INDIRECT("'" &amp; A2 &amp; "'!" &amp; D2 &amp; ":" &amp; D2),LOOKUP(2,1/(ISNUMBER(_xlpm.r)),_xlpm.r))</f>
        <v>523297.57161874732</v>
      </c>
    </row>
    <row r="3" spans="1:5" x14ac:dyDescent="0.25">
      <c r="A3" s="3" t="s">
        <v>136</v>
      </c>
      <c r="B3" s="86" t="s">
        <v>137</v>
      </c>
      <c r="C3" s="88" cm="1">
        <f t="array" aca="1" ref="C3" ca="1">INDIRECT("'" &amp; A3 &amp; "'!A14")</f>
        <v>46181</v>
      </c>
      <c r="D3" s="88" t="s">
        <v>40</v>
      </c>
      <c r="E3" s="90" cm="1">
        <f t="array" aca="1" ref="E3" ca="1">_xlfn.LET(_xlpm.r,INDIRECT("'" &amp; A3 &amp; "'!" &amp; D3 &amp; ":" &amp; D3),LOOKUP(2,1/(ISNUMBER(_xlpm.r)),_xlpm.r))</f>
        <v>509645.88325721154</v>
      </c>
    </row>
    <row r="4" spans="1:5" x14ac:dyDescent="0.25">
      <c r="A4" s="3" t="s">
        <v>117</v>
      </c>
      <c r="B4" s="86" t="s">
        <v>119</v>
      </c>
      <c r="C4" s="88" cm="1">
        <f t="array" aca="1" ref="C4" ca="1">INDIRECT("'" &amp; A4 &amp; "'!A14")</f>
        <v>46176.625</v>
      </c>
      <c r="D4" s="88" t="s">
        <v>41</v>
      </c>
      <c r="E4" s="90" cm="1">
        <f t="array" aca="1" ref="E4" ca="1">_xlfn.LET(_xlpm.r,INDIRECT("'" &amp; A4 &amp; "'!" &amp; D4 &amp; ":" &amp; D4),LOOKUP(2,1/(ISNUMBER(_xlpm.r)),_xlpm.r))</f>
        <v>-50756.01009154776</v>
      </c>
    </row>
    <row r="5" spans="1:5" x14ac:dyDescent="0.25">
      <c r="A5" s="3" t="s">
        <v>118</v>
      </c>
      <c r="B5" s="86" t="s">
        <v>81</v>
      </c>
      <c r="C5" s="88" cm="1">
        <f t="array" aca="1" ref="C5" ca="1">INDIRECT("'" &amp; A5 &amp; "'!A14")</f>
        <v>46176.625</v>
      </c>
      <c r="D5" s="88" t="s">
        <v>41</v>
      </c>
      <c r="E5" s="90" cm="1">
        <f t="array" aca="1" ref="E5" ca="1">_xlfn.LET(_xlpm.r,INDIRECT("'" &amp; A5 &amp; "'!" &amp; D5 &amp; ":" &amp; D5),LOOKUP(2,1/(ISNUMBER(_xlpm.r)),_xlpm.r))</f>
        <v>-142630.31568387971</v>
      </c>
    </row>
    <row r="6" spans="1:5" x14ac:dyDescent="0.25">
      <c r="A6" s="3">
        <v>50</v>
      </c>
      <c r="B6" s="86" t="s">
        <v>101</v>
      </c>
      <c r="C6" s="88" cm="1">
        <f t="array" aca="1" ref="C6" ca="1">INDIRECT("'" &amp; A6 &amp; "'!A14")</f>
        <v>46174.625</v>
      </c>
      <c r="D6" s="88" t="s">
        <v>41</v>
      </c>
      <c r="E6" s="90" cm="1">
        <f t="array" aca="1" ref="E6" ca="1">_xlfn.LET(_xlpm.r,INDIRECT("'" &amp; A6 &amp; "'!" &amp; D6 &amp; ":" &amp; D6),LOOKUP(2,1/(ISNUMBER(_xlpm.r)),_xlpm.r))</f>
        <v>-37117.273699594327</v>
      </c>
    </row>
    <row r="7" spans="1:5" x14ac:dyDescent="0.25">
      <c r="A7" s="3">
        <v>51</v>
      </c>
      <c r="B7" s="86" t="s">
        <v>102</v>
      </c>
      <c r="C7" s="88" cm="1">
        <f t="array" aca="1" ref="C7" ca="1">INDIRECT("'" &amp; A7 &amp; "'!A14")</f>
        <v>46174.625</v>
      </c>
      <c r="D7" s="88" t="s">
        <v>41</v>
      </c>
      <c r="E7" s="90" cm="1">
        <f t="array" aca="1" ref="E7" ca="1">_xlfn.LET(_xlpm.r,INDIRECT("'" &amp; A7 &amp; "'!" &amp; D7 &amp; ":" &amp; D7),LOOKUP(2,1/(ISNUMBER(_xlpm.r)),_xlpm.r))</f>
        <v>-49242.998611110197</v>
      </c>
    </row>
    <row r="8" spans="1:5" x14ac:dyDescent="0.25">
      <c r="A8" s="3">
        <v>52</v>
      </c>
      <c r="B8" s="86" t="s">
        <v>124</v>
      </c>
      <c r="C8" s="88" cm="1">
        <f t="array" aca="1" ref="C8" ca="1">INDIRECT("'" &amp; A8 &amp; "'!A14")</f>
        <v>46176.625</v>
      </c>
      <c r="D8" s="88" t="s">
        <v>41</v>
      </c>
      <c r="E8" s="90" cm="1">
        <f t="array" aca="1" ref="E8" ca="1">_xlfn.LET(_xlpm.r,INDIRECT("'" &amp; A8 &amp; "'!" &amp; D8 &amp; ":" &amp; D8),LOOKUP(2,1/(ISNUMBER(_xlpm.r)),_xlpm.r))</f>
        <v>8731.0639949038978</v>
      </c>
    </row>
    <row r="9" spans="1:5" x14ac:dyDescent="0.25">
      <c r="A9" s="3">
        <v>54</v>
      </c>
      <c r="B9" s="86" t="s">
        <v>146</v>
      </c>
      <c r="C9" s="88" cm="1">
        <f t="array" aca="1" ref="C9" ca="1">INDIRECT("'" &amp; A9 &amp; "'!A14")</f>
        <v>46189</v>
      </c>
      <c r="D9" s="88" t="s">
        <v>54</v>
      </c>
      <c r="E9" s="90" cm="1">
        <f t="array" aca="1" ref="E9" ca="1">_xlfn.LET(_xlpm.r,INDIRECT("'" &amp; A9 &amp; "'!" &amp; D9 &amp; ":" &amp; D9),LOOKUP(2,1/(ISNUMBER(_xlpm.r)),_xlpm.r))</f>
        <v>-98055.290609791831</v>
      </c>
    </row>
    <row r="10" spans="1:5" x14ac:dyDescent="0.25">
      <c r="A10" s="3">
        <v>55</v>
      </c>
      <c r="B10" s="86" t="s">
        <v>154</v>
      </c>
      <c r="C10" s="88" cm="1">
        <f t="array" aca="1" ref="C10" ca="1">INDIRECT("'" &amp; A10 &amp; "'!A14")</f>
        <v>46190</v>
      </c>
      <c r="D10" s="88" t="s">
        <v>54</v>
      </c>
      <c r="E10" s="90" cm="1">
        <f t="array" aca="1" ref="E10" ca="1">_xlfn.LET(_xlpm.r,INDIRECT("'" &amp; A10 &amp; "'!" &amp; D10 &amp; ":" &amp; D10),LOOKUP(2,1/(ISNUMBER(_xlpm.r)),_xlpm.r))</f>
        <v>42592.481974038528</v>
      </c>
    </row>
  </sheetData>
  <conditionalFormatting sqref="E1:E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CE17-DDE2-4107-9EEC-215C3D58A176}">
  <dimension ref="A1:V200"/>
  <sheetViews>
    <sheetView workbookViewId="0">
      <selection activeCell="F54" sqref="F54"/>
    </sheetView>
  </sheetViews>
  <sheetFormatPr defaultRowHeight="15" x14ac:dyDescent="0.25"/>
  <cols>
    <col min="1" max="1" width="16.140625" customWidth="1"/>
    <col min="2" max="2" width="14.28515625" customWidth="1"/>
    <col min="3" max="4" width="15.28515625" customWidth="1"/>
    <col min="5" max="5" width="17.140625" customWidth="1"/>
    <col min="6" max="10" width="16.7109375" customWidth="1"/>
    <col min="11" max="11" width="14.28515625" customWidth="1"/>
    <col min="12" max="13" width="15.28515625" customWidth="1"/>
    <col min="14" max="16" width="17.140625" customWidth="1"/>
    <col min="19" max="19" width="15.140625" bestFit="1" customWidth="1"/>
  </cols>
  <sheetData>
    <row r="1" spans="1:22" ht="15.75" x14ac:dyDescent="0.25">
      <c r="A1" s="121" t="s">
        <v>87</v>
      </c>
    </row>
    <row r="3" spans="1:22" x14ac:dyDescent="0.25">
      <c r="A3" s="122" t="s">
        <v>52</v>
      </c>
      <c r="D3" s="122" t="s">
        <v>31</v>
      </c>
      <c r="G3" s="122" t="s">
        <v>23</v>
      </c>
      <c r="J3" s="122" t="s">
        <v>24</v>
      </c>
      <c r="M3" s="122" t="s">
        <v>27</v>
      </c>
      <c r="P3" s="122" t="s">
        <v>29</v>
      </c>
      <c r="S3" s="122" t="s">
        <v>69</v>
      </c>
    </row>
    <row r="4" spans="1:22" x14ac:dyDescent="0.25">
      <c r="A4" s="123" t="s">
        <v>53</v>
      </c>
      <c r="D4" s="123" t="s">
        <v>32</v>
      </c>
      <c r="G4" s="123" t="s">
        <v>25</v>
      </c>
      <c r="J4" s="123" t="s">
        <v>26</v>
      </c>
      <c r="M4" s="123" t="s">
        <v>28</v>
      </c>
      <c r="P4" s="123" t="s">
        <v>30</v>
      </c>
      <c r="S4" s="123" t="s">
        <v>70</v>
      </c>
    </row>
    <row r="5" spans="1:22" x14ac:dyDescent="0.25">
      <c r="A5" s="124" t="s">
        <v>88</v>
      </c>
      <c r="B5" s="124" t="s">
        <v>89</v>
      </c>
      <c r="D5" s="124" t="s">
        <v>88</v>
      </c>
      <c r="E5" s="124" t="s">
        <v>89</v>
      </c>
      <c r="G5" s="124" t="s">
        <v>88</v>
      </c>
      <c r="H5" s="124" t="s">
        <v>89</v>
      </c>
      <c r="J5" s="124" t="s">
        <v>88</v>
      </c>
      <c r="K5" s="124" t="s">
        <v>89</v>
      </c>
      <c r="M5" s="124" t="s">
        <v>88</v>
      </c>
      <c r="N5" s="124" t="s">
        <v>89</v>
      </c>
      <c r="P5" s="124" t="s">
        <v>88</v>
      </c>
      <c r="Q5" s="124" t="s">
        <v>89</v>
      </c>
      <c r="S5" s="124" t="s">
        <v>88</v>
      </c>
      <c r="T5" s="124" t="s">
        <v>89</v>
      </c>
    </row>
    <row r="6" spans="1:22" x14ac:dyDescent="0.25">
      <c r="A6" s="108" cm="1">
        <f t="array" ref="A6:B35">_xlfn.CHOOSECOLS(_xll.BDS($A$4,"DVD_HIST_ALL","DVD_START_DT=20240101","DVD_END_DT=20351231","HEADERS=N"),2,5)</f>
        <v>46174</v>
      </c>
      <c r="B6" s="125">
        <v>0.40704099999999999</v>
      </c>
      <c r="C6" s="108"/>
      <c r="D6" s="108" cm="1">
        <f t="array" ref="D6:E34">_xlfn.CHOOSECOLS(_xll.BDS($D$4,"DVD_HIST_ALL","DVD_START_DT=20240101","DVD_END_DT=20351231","HEADERS=N"),2,5)</f>
        <v>46174</v>
      </c>
      <c r="E6" s="125">
        <v>0.3412</v>
      </c>
      <c r="F6" s="108"/>
      <c r="G6" s="108" cm="1">
        <f t="array" ref="G6:H11">_xlfn.CHOOSECOLS(_xll.BDS($G$4,"DVD_HIST_ALL","DVD_START_DT=20240101","DVD_END_DT=20351231","HEADERS=N"),2,5)</f>
        <v>46191</v>
      </c>
      <c r="H6" s="125">
        <v>1.1646000000000001</v>
      </c>
      <c r="I6" s="108"/>
      <c r="J6" s="108" cm="1">
        <f t="array" ref="J6:K10">_xlfn.CHOOSECOLS(_xll.BDS($J$4,"DVD_HIST_ALL","DVD_START_DT=20240101","DVD_END_DT=20351231","HEADERS=N"),2,5)</f>
        <v>46037</v>
      </c>
      <c r="K6" s="125">
        <v>2.0449000000000002</v>
      </c>
      <c r="L6" s="108"/>
      <c r="M6" s="108" cm="1">
        <f t="array" ref="M6:N34">_xlfn.CHOOSECOLS(_xll.BDS($M$4,"DVD_HIST_ALL","DVD_START_DT=20240101","DVD_END_DT=20351231","HEADERS=N"),2,5)</f>
        <v>46174</v>
      </c>
      <c r="N6" s="125">
        <v>0.40896700000000002</v>
      </c>
      <c r="O6" s="108"/>
      <c r="P6" s="108" cm="1">
        <f t="array" ref="P6:Q34">_xlfn.CHOOSECOLS(_xll.BDS($P$4,"DVD_HIST_ALL","DVD_START_DT=20240101","DVD_END_DT=20351231","HEADERS=N"),2,5)</f>
        <v>46174</v>
      </c>
      <c r="Q6" s="125">
        <v>0.41325099999999998</v>
      </c>
      <c r="R6" s="108"/>
      <c r="S6" s="108" cm="1">
        <f t="array" ref="S6:T34">_xlfn.CHOOSECOLS(_xll.BDS($S$4,"DVD_HIST_ALL","DVD_START_DT=20240101","DVD_END_DT=20351231","HEADERS=N"),2,5)</f>
        <v>46160</v>
      </c>
      <c r="T6" s="125">
        <v>0.10111000000000001</v>
      </c>
      <c r="U6" s="108"/>
      <c r="V6" s="108"/>
    </row>
    <row r="7" spans="1:22" x14ac:dyDescent="0.25">
      <c r="A7" s="108">
        <v>46143</v>
      </c>
      <c r="B7" s="125">
        <v>0.410076</v>
      </c>
      <c r="C7" s="108"/>
      <c r="D7" s="108">
        <v>46143</v>
      </c>
      <c r="E7" s="125">
        <v>0.32619999999999999</v>
      </c>
      <c r="F7" s="108"/>
      <c r="G7" s="108">
        <v>46100</v>
      </c>
      <c r="H7" s="125">
        <v>2.3302999999999998</v>
      </c>
      <c r="I7" s="108"/>
      <c r="J7" s="108">
        <v>45855</v>
      </c>
      <c r="K7" s="125">
        <v>1.9446000000000001</v>
      </c>
      <c r="L7" s="108"/>
      <c r="M7" s="108">
        <v>46143</v>
      </c>
      <c r="N7" s="125">
        <v>0.41871399999999998</v>
      </c>
      <c r="O7" s="108"/>
      <c r="P7" s="108">
        <v>46143</v>
      </c>
      <c r="Q7" s="125">
        <v>0.42455100000000001</v>
      </c>
      <c r="R7" s="108"/>
      <c r="S7" s="108">
        <v>46132</v>
      </c>
      <c r="T7" s="125">
        <v>0.10496999999999999</v>
      </c>
      <c r="U7" s="108"/>
      <c r="V7" s="108"/>
    </row>
    <row r="8" spans="1:22" x14ac:dyDescent="0.25">
      <c r="A8" s="108">
        <v>46113</v>
      </c>
      <c r="B8" s="125">
        <v>0.455397</v>
      </c>
      <c r="C8" s="108"/>
      <c r="D8" s="108">
        <v>46113</v>
      </c>
      <c r="E8" s="125">
        <v>0.34379999999999999</v>
      </c>
      <c r="F8" s="108"/>
      <c r="G8" s="108">
        <v>45911</v>
      </c>
      <c r="H8" s="125">
        <v>2.4173</v>
      </c>
      <c r="I8" s="108"/>
      <c r="J8" s="108">
        <v>45673</v>
      </c>
      <c r="K8" s="125">
        <v>2.0396000000000001</v>
      </c>
      <c r="L8" s="108"/>
      <c r="M8" s="108">
        <v>46113</v>
      </c>
      <c r="N8" s="125">
        <v>0.38373099999999999</v>
      </c>
      <c r="O8" s="108"/>
      <c r="P8" s="108">
        <v>46113</v>
      </c>
      <c r="Q8" s="125">
        <v>0.44647799999999999</v>
      </c>
      <c r="R8" s="108"/>
      <c r="S8" s="108">
        <v>46104</v>
      </c>
      <c r="T8" s="125">
        <v>0.11551</v>
      </c>
      <c r="U8" s="108"/>
      <c r="V8" s="108"/>
    </row>
    <row r="9" spans="1:22" x14ac:dyDescent="0.25">
      <c r="A9" s="108">
        <v>46083</v>
      </c>
      <c r="B9" s="125">
        <v>0.40296300000000002</v>
      </c>
      <c r="C9" s="108"/>
      <c r="D9" s="108">
        <v>46083</v>
      </c>
      <c r="E9" s="125">
        <v>0.30259999999999998</v>
      </c>
      <c r="F9" s="108"/>
      <c r="G9" s="108">
        <v>45729</v>
      </c>
      <c r="H9" s="125">
        <v>2.6722000000000001</v>
      </c>
      <c r="I9" s="108"/>
      <c r="J9" s="108">
        <v>45491</v>
      </c>
      <c r="K9" s="125">
        <v>2.0996000000000001</v>
      </c>
      <c r="L9" s="108"/>
      <c r="M9" s="108">
        <v>46083</v>
      </c>
      <c r="N9" s="125">
        <v>0.39373599999999997</v>
      </c>
      <c r="O9" s="108"/>
      <c r="P9" s="108">
        <v>46083</v>
      </c>
      <c r="Q9" s="125">
        <v>0.38283400000000001</v>
      </c>
      <c r="R9" s="108"/>
      <c r="S9" s="108">
        <v>46076</v>
      </c>
      <c r="T9" s="125">
        <v>0.10055</v>
      </c>
      <c r="U9" s="108"/>
      <c r="V9" s="108"/>
    </row>
    <row r="10" spans="1:22" x14ac:dyDescent="0.25">
      <c r="A10" s="108">
        <v>46055</v>
      </c>
      <c r="B10" s="125">
        <v>0.41458</v>
      </c>
      <c r="C10" s="108"/>
      <c r="D10" s="108">
        <v>46055</v>
      </c>
      <c r="E10" s="125">
        <v>0.33</v>
      </c>
      <c r="F10" s="108"/>
      <c r="G10" s="108">
        <v>45547</v>
      </c>
      <c r="H10" s="125">
        <v>2.8229000000000002</v>
      </c>
      <c r="I10" s="108"/>
      <c r="J10" s="108">
        <v>45302</v>
      </c>
      <c r="K10" s="125">
        <v>2.0209000000000001</v>
      </c>
      <c r="L10" s="108"/>
      <c r="M10" s="108">
        <v>46055</v>
      </c>
      <c r="N10" s="125">
        <v>0.39868799999999999</v>
      </c>
      <c r="O10" s="108"/>
      <c r="P10" s="108">
        <v>46055</v>
      </c>
      <c r="Q10" s="125">
        <v>0.40784500000000001</v>
      </c>
      <c r="R10" s="108"/>
      <c r="S10" s="108">
        <v>46042</v>
      </c>
      <c r="T10" s="125">
        <v>0.10777</v>
      </c>
      <c r="U10" s="108"/>
      <c r="V10" s="108"/>
    </row>
    <row r="11" spans="1:22" x14ac:dyDescent="0.25">
      <c r="A11" s="108">
        <v>46010</v>
      </c>
      <c r="B11" s="125">
        <v>0.38289299999999998</v>
      </c>
      <c r="C11" s="108"/>
      <c r="D11" s="108">
        <v>46009</v>
      </c>
      <c r="E11" s="125">
        <v>0.33579999999999999</v>
      </c>
      <c r="F11" s="108"/>
      <c r="G11" s="108">
        <v>45365</v>
      </c>
      <c r="H11" s="125">
        <v>2.9</v>
      </c>
      <c r="I11" s="108"/>
      <c r="J11" s="108"/>
      <c r="K11" s="125"/>
      <c r="M11" s="108">
        <v>46010</v>
      </c>
      <c r="N11" s="125">
        <v>0.38062400000000002</v>
      </c>
      <c r="O11" s="108"/>
      <c r="P11" s="108">
        <v>46010</v>
      </c>
      <c r="Q11" s="125">
        <v>0.43645800000000001</v>
      </c>
      <c r="R11" s="108"/>
      <c r="S11" s="108">
        <v>46013</v>
      </c>
      <c r="T11" s="125">
        <v>0.10281999999999999</v>
      </c>
      <c r="U11" s="108"/>
      <c r="V11" s="108"/>
    </row>
    <row r="12" spans="1:22" x14ac:dyDescent="0.25">
      <c r="A12" s="108">
        <v>45992</v>
      </c>
      <c r="B12" s="125">
        <v>0.37220199999999998</v>
      </c>
      <c r="C12" s="108"/>
      <c r="D12" s="108">
        <v>45992</v>
      </c>
      <c r="E12" s="125">
        <v>0.32229999999999998</v>
      </c>
      <c r="F12" s="108"/>
      <c r="G12" s="108"/>
      <c r="H12" s="125"/>
      <c r="J12" s="108"/>
      <c r="K12" s="125"/>
      <c r="M12" s="108">
        <v>45992</v>
      </c>
      <c r="N12" s="125">
        <v>0.37476700000000002</v>
      </c>
      <c r="O12" s="108"/>
      <c r="P12" s="108">
        <v>45992</v>
      </c>
      <c r="Q12" s="125">
        <v>0.41348099999999999</v>
      </c>
      <c r="R12" s="108"/>
      <c r="S12" s="108">
        <v>45985</v>
      </c>
      <c r="T12" s="125">
        <v>0.11955</v>
      </c>
      <c r="U12" s="108"/>
      <c r="V12" s="108"/>
    </row>
    <row r="13" spans="1:22" x14ac:dyDescent="0.25">
      <c r="A13" s="108">
        <v>45964</v>
      </c>
      <c r="B13" s="125">
        <v>0.41755799999999998</v>
      </c>
      <c r="C13" s="108"/>
      <c r="D13" s="108">
        <v>45964</v>
      </c>
      <c r="E13" s="125">
        <v>0.33400000000000002</v>
      </c>
      <c r="F13" s="108"/>
      <c r="G13" s="108"/>
      <c r="H13" s="125"/>
      <c r="J13" s="108"/>
      <c r="K13" s="125"/>
      <c r="M13" s="108">
        <v>45964</v>
      </c>
      <c r="N13" s="125">
        <v>0.40976299999999999</v>
      </c>
      <c r="O13" s="108"/>
      <c r="P13" s="108">
        <v>45964</v>
      </c>
      <c r="Q13" s="125">
        <v>0.402445</v>
      </c>
      <c r="R13" s="108"/>
      <c r="S13" s="108">
        <v>45950</v>
      </c>
      <c r="T13" s="125">
        <v>0.12010999999999999</v>
      </c>
      <c r="U13" s="108"/>
      <c r="V13" s="108"/>
    </row>
    <row r="14" spans="1:22" x14ac:dyDescent="0.25">
      <c r="A14" s="108">
        <v>45931</v>
      </c>
      <c r="B14" s="125">
        <v>0.39252900000000002</v>
      </c>
      <c r="C14" s="108"/>
      <c r="D14" s="108">
        <v>45931</v>
      </c>
      <c r="E14" s="125">
        <v>0.32600000000000001</v>
      </c>
      <c r="F14" s="108"/>
      <c r="G14" s="108"/>
      <c r="H14" s="125"/>
      <c r="J14" s="108"/>
      <c r="K14" s="125"/>
      <c r="M14" s="108">
        <v>45931</v>
      </c>
      <c r="N14" s="125">
        <v>0.381299</v>
      </c>
      <c r="O14" s="108"/>
      <c r="P14" s="108">
        <v>45931</v>
      </c>
      <c r="Q14" s="125">
        <v>0.40603600000000001</v>
      </c>
      <c r="R14" s="108"/>
      <c r="S14" s="108">
        <v>45922</v>
      </c>
      <c r="T14" s="125">
        <v>0.12484000000000001</v>
      </c>
      <c r="U14" s="108"/>
      <c r="V14" s="108"/>
    </row>
    <row r="15" spans="1:22" x14ac:dyDescent="0.25">
      <c r="A15" s="108">
        <v>45902</v>
      </c>
      <c r="B15" s="125">
        <v>0.40192099999999997</v>
      </c>
      <c r="C15" s="108"/>
      <c r="D15" s="108">
        <v>45902</v>
      </c>
      <c r="E15" s="125">
        <v>0.32790000000000002</v>
      </c>
      <c r="F15" s="108"/>
      <c r="G15" s="108"/>
      <c r="H15" s="125"/>
      <c r="J15" s="108"/>
      <c r="K15" s="125"/>
      <c r="M15" s="108">
        <v>45902</v>
      </c>
      <c r="N15" s="125">
        <v>0.38332100000000002</v>
      </c>
      <c r="O15" s="108"/>
      <c r="P15" s="108">
        <v>45902</v>
      </c>
      <c r="Q15" s="125">
        <v>0.384434</v>
      </c>
      <c r="R15" s="108"/>
      <c r="S15" s="108">
        <v>45887</v>
      </c>
      <c r="T15" s="125">
        <v>0.12347</v>
      </c>
      <c r="U15" s="108"/>
      <c r="V15" s="108"/>
    </row>
    <row r="16" spans="1:22" x14ac:dyDescent="0.25">
      <c r="A16" s="108">
        <v>45870</v>
      </c>
      <c r="B16" s="125">
        <v>0.41103499999999998</v>
      </c>
      <c r="C16" s="108"/>
      <c r="D16" s="108">
        <v>45870</v>
      </c>
      <c r="E16" s="125">
        <v>0.34079999999999999</v>
      </c>
      <c r="F16" s="108"/>
      <c r="G16" s="108"/>
      <c r="H16" s="125"/>
      <c r="J16" s="108"/>
      <c r="K16" s="125"/>
      <c r="M16" s="108">
        <v>45870</v>
      </c>
      <c r="N16" s="125">
        <v>0.40448699999999999</v>
      </c>
      <c r="O16" s="108"/>
      <c r="P16" s="108">
        <v>45870</v>
      </c>
      <c r="Q16" s="125">
        <v>0.44415500000000002</v>
      </c>
      <c r="R16" s="108"/>
      <c r="S16" s="108">
        <v>45859</v>
      </c>
      <c r="T16" s="125">
        <v>0.11933000000000001</v>
      </c>
      <c r="U16" s="108"/>
      <c r="V16" s="108"/>
    </row>
    <row r="17" spans="1:22" x14ac:dyDescent="0.25">
      <c r="A17" s="108">
        <v>45839</v>
      </c>
      <c r="B17" s="125">
        <v>0.379909</v>
      </c>
      <c r="C17" s="108"/>
      <c r="D17" s="108">
        <v>45839</v>
      </c>
      <c r="E17" s="125">
        <v>0.32069999999999999</v>
      </c>
      <c r="F17" s="108"/>
      <c r="G17" s="108"/>
      <c r="H17" s="125"/>
      <c r="J17" s="108"/>
      <c r="K17" s="125"/>
      <c r="M17" s="108">
        <v>45839</v>
      </c>
      <c r="N17" s="125">
        <v>0.379436</v>
      </c>
      <c r="O17" s="108"/>
      <c r="P17" s="108">
        <v>45839</v>
      </c>
      <c r="Q17" s="125">
        <v>0.40192699999999998</v>
      </c>
      <c r="R17" s="108"/>
      <c r="S17" s="108">
        <v>45831</v>
      </c>
      <c r="T17" s="125">
        <v>0.11617</v>
      </c>
      <c r="U17" s="108"/>
      <c r="V17" s="108"/>
    </row>
    <row r="18" spans="1:22" x14ac:dyDescent="0.25">
      <c r="A18" s="108">
        <v>45810</v>
      </c>
      <c r="B18" s="125">
        <v>0.40538299999999999</v>
      </c>
      <c r="C18" s="108"/>
      <c r="D18" s="108">
        <v>45810</v>
      </c>
      <c r="E18" s="125">
        <v>0.32800000000000001</v>
      </c>
      <c r="F18" s="108"/>
      <c r="G18" s="108"/>
      <c r="H18" s="125"/>
      <c r="J18" s="108"/>
      <c r="K18" s="125"/>
      <c r="M18" s="108">
        <v>45810</v>
      </c>
      <c r="N18" s="125">
        <v>0.37557099999999999</v>
      </c>
      <c r="O18" s="108"/>
      <c r="P18" s="108">
        <v>45810</v>
      </c>
      <c r="Q18" s="125">
        <v>0.39631899999999998</v>
      </c>
      <c r="R18" s="108"/>
      <c r="S18" s="108">
        <v>45796</v>
      </c>
      <c r="T18" s="125">
        <v>0.1648</v>
      </c>
      <c r="U18" s="108"/>
      <c r="V18" s="108"/>
    </row>
    <row r="19" spans="1:22" x14ac:dyDescent="0.25">
      <c r="A19" s="108">
        <v>45778</v>
      </c>
      <c r="B19" s="125">
        <v>0.40228799999999998</v>
      </c>
      <c r="C19" s="108"/>
      <c r="D19" s="108">
        <v>45778</v>
      </c>
      <c r="E19" s="125">
        <v>0.31509999999999999</v>
      </c>
      <c r="F19" s="108"/>
      <c r="G19" s="108"/>
      <c r="H19" s="125"/>
      <c r="J19" s="108"/>
      <c r="K19" s="125"/>
      <c r="M19" s="108">
        <v>45778</v>
      </c>
      <c r="N19" s="125">
        <v>0.40134500000000001</v>
      </c>
      <c r="O19" s="108"/>
      <c r="P19" s="108">
        <v>45778</v>
      </c>
      <c r="Q19" s="125">
        <v>0.43194100000000002</v>
      </c>
      <c r="R19" s="108"/>
      <c r="S19" s="108">
        <v>45768</v>
      </c>
      <c r="T19" s="125">
        <v>0.12493</v>
      </c>
      <c r="U19" s="108"/>
      <c r="V19" s="108"/>
    </row>
    <row r="20" spans="1:22" x14ac:dyDescent="0.25">
      <c r="A20" s="108">
        <v>45748</v>
      </c>
      <c r="B20" s="125">
        <v>0.39990399999999998</v>
      </c>
      <c r="C20" s="108"/>
      <c r="D20" s="108">
        <v>45748</v>
      </c>
      <c r="E20" s="125">
        <v>0.31890000000000002</v>
      </c>
      <c r="F20" s="108"/>
      <c r="G20" s="108"/>
      <c r="H20" s="125"/>
      <c r="J20" s="108"/>
      <c r="K20" s="125"/>
      <c r="M20" s="108">
        <v>45748</v>
      </c>
      <c r="N20" s="125">
        <v>0.38239699999999999</v>
      </c>
      <c r="O20" s="108"/>
      <c r="P20" s="108">
        <v>45748</v>
      </c>
      <c r="Q20" s="125">
        <v>0.41678100000000001</v>
      </c>
      <c r="R20" s="108"/>
      <c r="S20" s="108">
        <v>45740</v>
      </c>
      <c r="T20" s="125">
        <v>0.10781</v>
      </c>
      <c r="U20" s="108"/>
      <c r="V20" s="108"/>
    </row>
    <row r="21" spans="1:22" x14ac:dyDescent="0.25">
      <c r="A21" s="108">
        <v>45719</v>
      </c>
      <c r="B21" s="125">
        <v>0.38556400000000002</v>
      </c>
      <c r="C21" s="108"/>
      <c r="D21" s="108">
        <v>45719</v>
      </c>
      <c r="E21" s="125">
        <v>0.28649999999999998</v>
      </c>
      <c r="F21" s="108"/>
      <c r="G21" s="108"/>
      <c r="H21" s="125"/>
      <c r="J21" s="108"/>
      <c r="K21" s="125"/>
      <c r="M21" s="108">
        <v>45719</v>
      </c>
      <c r="N21" s="125">
        <v>0.37433899999999998</v>
      </c>
      <c r="O21" s="108"/>
      <c r="P21" s="108">
        <v>45719</v>
      </c>
      <c r="Q21" s="125">
        <v>0.414742</v>
      </c>
      <c r="R21" s="108"/>
      <c r="S21" s="108">
        <v>45712</v>
      </c>
      <c r="T21" s="125">
        <v>0.11158</v>
      </c>
      <c r="U21" s="108"/>
      <c r="V21" s="108"/>
    </row>
    <row r="22" spans="1:22" x14ac:dyDescent="0.25">
      <c r="A22" s="108">
        <v>45691</v>
      </c>
      <c r="B22" s="125">
        <v>0.44092900000000002</v>
      </c>
      <c r="C22" s="108"/>
      <c r="D22" s="108">
        <v>45691</v>
      </c>
      <c r="E22" s="125">
        <v>0.31290000000000001</v>
      </c>
      <c r="F22" s="108"/>
      <c r="G22" s="108"/>
      <c r="H22" s="125"/>
      <c r="J22" s="108"/>
      <c r="K22" s="125"/>
      <c r="M22" s="108">
        <v>45691</v>
      </c>
      <c r="N22" s="125">
        <v>0.36013800000000001</v>
      </c>
      <c r="O22" s="108"/>
      <c r="P22" s="108">
        <v>45691</v>
      </c>
      <c r="Q22" s="125">
        <v>0.38897700000000002</v>
      </c>
      <c r="R22" s="108"/>
      <c r="S22" s="108">
        <v>45678</v>
      </c>
      <c r="T22" s="125">
        <v>0.1237</v>
      </c>
      <c r="U22" s="108"/>
      <c r="V22" s="108"/>
    </row>
    <row r="23" spans="1:22" x14ac:dyDescent="0.25">
      <c r="A23" s="108">
        <v>45656</v>
      </c>
      <c r="B23" s="125">
        <v>0.25451499999999999</v>
      </c>
      <c r="C23" s="108"/>
      <c r="D23" s="108">
        <v>45650</v>
      </c>
      <c r="E23" s="125">
        <v>0.31190000000000001</v>
      </c>
      <c r="F23" s="108"/>
      <c r="G23" s="108"/>
      <c r="H23" s="125"/>
      <c r="J23" s="108"/>
      <c r="K23" s="125"/>
      <c r="M23" s="108">
        <v>45644</v>
      </c>
      <c r="N23" s="125">
        <v>0.40932400000000002</v>
      </c>
      <c r="O23" s="108"/>
      <c r="P23" s="108">
        <v>45644</v>
      </c>
      <c r="Q23" s="125">
        <v>0.38549899999999998</v>
      </c>
      <c r="R23" s="108"/>
      <c r="S23" s="108">
        <v>45649</v>
      </c>
      <c r="T23" s="125">
        <v>0.11976000000000001</v>
      </c>
      <c r="U23" s="108"/>
      <c r="V23" s="108"/>
    </row>
    <row r="24" spans="1:22" x14ac:dyDescent="0.25">
      <c r="A24" s="108">
        <v>45644</v>
      </c>
      <c r="B24" s="125">
        <v>0.42885600000000001</v>
      </c>
      <c r="C24" s="108"/>
      <c r="D24" s="108">
        <v>45628</v>
      </c>
      <c r="E24" s="125">
        <v>0.29920000000000002</v>
      </c>
      <c r="F24" s="108"/>
      <c r="G24" s="108"/>
      <c r="H24" s="125"/>
      <c r="J24" s="108"/>
      <c r="K24" s="125"/>
      <c r="M24" s="108">
        <v>45628</v>
      </c>
      <c r="N24" s="125">
        <v>0.36135800000000001</v>
      </c>
      <c r="O24" s="108"/>
      <c r="P24" s="108">
        <v>45628</v>
      </c>
      <c r="Q24" s="125">
        <v>0.383299</v>
      </c>
      <c r="R24" s="108"/>
      <c r="S24" s="108">
        <v>45614</v>
      </c>
      <c r="T24" s="125">
        <v>0.13211999999999999</v>
      </c>
      <c r="U24" s="108"/>
      <c r="V24" s="108"/>
    </row>
    <row r="25" spans="1:22" x14ac:dyDescent="0.25">
      <c r="A25" s="108">
        <v>45628</v>
      </c>
      <c r="B25" s="125">
        <v>0.38796399999999998</v>
      </c>
      <c r="C25" s="108"/>
      <c r="D25" s="108">
        <v>45597</v>
      </c>
      <c r="E25" s="125">
        <v>0.31659999999999999</v>
      </c>
      <c r="F25" s="108"/>
      <c r="G25" s="108"/>
      <c r="H25" s="125"/>
      <c r="J25" s="108"/>
      <c r="K25" s="125"/>
      <c r="M25" s="108">
        <v>45597</v>
      </c>
      <c r="N25" s="125">
        <v>0.39455600000000002</v>
      </c>
      <c r="O25" s="108"/>
      <c r="P25" s="108">
        <v>45597</v>
      </c>
      <c r="Q25" s="125">
        <v>0.38524199999999997</v>
      </c>
      <c r="R25" s="108"/>
      <c r="S25" s="108">
        <v>45586</v>
      </c>
      <c r="T25" s="125">
        <v>0.16452</v>
      </c>
      <c r="U25" s="108"/>
      <c r="V25" s="108"/>
    </row>
    <row r="26" spans="1:22" x14ac:dyDescent="0.25">
      <c r="A26" s="108">
        <v>45597</v>
      </c>
      <c r="B26" s="125">
        <v>0.42215799999999998</v>
      </c>
      <c r="C26" s="108"/>
      <c r="D26" s="108">
        <v>45566</v>
      </c>
      <c r="E26" s="125">
        <v>0.29699999999999999</v>
      </c>
      <c r="F26" s="108"/>
      <c r="G26" s="108"/>
      <c r="H26" s="125"/>
      <c r="J26" s="108"/>
      <c r="K26" s="125"/>
      <c r="M26" s="108">
        <v>45566</v>
      </c>
      <c r="N26" s="125">
        <v>0.39029000000000003</v>
      </c>
      <c r="O26" s="108"/>
      <c r="P26" s="108">
        <v>45566</v>
      </c>
      <c r="Q26" s="125">
        <v>0.41124300000000003</v>
      </c>
      <c r="R26" s="108"/>
      <c r="S26" s="108">
        <v>45558</v>
      </c>
      <c r="T26" s="125">
        <v>0.17025000000000001</v>
      </c>
      <c r="U26" s="108"/>
      <c r="V26" s="108"/>
    </row>
    <row r="27" spans="1:22" x14ac:dyDescent="0.25">
      <c r="A27" s="108">
        <v>45566</v>
      </c>
      <c r="B27" s="125">
        <v>0.38549099999999997</v>
      </c>
      <c r="C27" s="108"/>
      <c r="D27" s="108">
        <v>45538</v>
      </c>
      <c r="E27" s="125">
        <v>0.30099999999999999</v>
      </c>
      <c r="F27" s="108"/>
      <c r="G27" s="108"/>
      <c r="H27" s="125"/>
      <c r="J27" s="108"/>
      <c r="K27" s="125"/>
      <c r="M27" s="108">
        <v>45538</v>
      </c>
      <c r="N27" s="125">
        <v>0.37953500000000001</v>
      </c>
      <c r="O27" s="108"/>
      <c r="P27" s="108">
        <v>45538</v>
      </c>
      <c r="Q27" s="125">
        <v>0.405248</v>
      </c>
      <c r="R27" s="108"/>
      <c r="S27" s="108">
        <v>45523</v>
      </c>
      <c r="T27" s="125">
        <v>0.16325999999999999</v>
      </c>
      <c r="U27" s="108"/>
      <c r="V27" s="108"/>
    </row>
    <row r="28" spans="1:22" x14ac:dyDescent="0.25">
      <c r="A28" s="108">
        <v>45538</v>
      </c>
      <c r="B28" s="125">
        <v>0.36824299999999999</v>
      </c>
      <c r="C28" s="108"/>
      <c r="D28" s="108">
        <v>45505</v>
      </c>
      <c r="E28" s="125">
        <v>0.30109999999999998</v>
      </c>
      <c r="F28" s="108"/>
      <c r="G28" s="108"/>
      <c r="H28" s="125"/>
      <c r="J28" s="108"/>
      <c r="K28" s="125"/>
      <c r="M28" s="108">
        <v>45505</v>
      </c>
      <c r="N28" s="125">
        <v>0.40900399999999998</v>
      </c>
      <c r="O28" s="108"/>
      <c r="P28" s="108">
        <v>45505</v>
      </c>
      <c r="Q28" s="125">
        <v>0.39244000000000001</v>
      </c>
      <c r="R28" s="108"/>
      <c r="S28" s="108">
        <v>45495</v>
      </c>
      <c r="T28" s="125">
        <v>0.15253</v>
      </c>
      <c r="U28" s="108"/>
      <c r="V28" s="108"/>
    </row>
    <row r="29" spans="1:22" x14ac:dyDescent="0.25">
      <c r="A29" s="108">
        <v>45505</v>
      </c>
      <c r="B29" s="125">
        <v>0.39086799999999999</v>
      </c>
      <c r="C29" s="108"/>
      <c r="D29" s="108">
        <v>45474</v>
      </c>
      <c r="E29" s="125">
        <v>0.28870000000000001</v>
      </c>
      <c r="F29" s="108"/>
      <c r="G29" s="108"/>
      <c r="H29" s="125"/>
      <c r="J29" s="108"/>
      <c r="K29" s="125"/>
      <c r="M29" s="108">
        <v>45474</v>
      </c>
      <c r="N29" s="125">
        <v>0.40492299999999998</v>
      </c>
      <c r="O29" s="108"/>
      <c r="P29" s="108">
        <v>45474</v>
      </c>
      <c r="Q29" s="125">
        <v>0.37575399999999998</v>
      </c>
      <c r="R29" s="108"/>
      <c r="S29" s="108">
        <v>45467</v>
      </c>
      <c r="T29" s="125">
        <v>0.14391999999999999</v>
      </c>
      <c r="U29" s="108"/>
      <c r="V29" s="108"/>
    </row>
    <row r="30" spans="1:22" x14ac:dyDescent="0.25">
      <c r="A30" s="108">
        <v>45474</v>
      </c>
      <c r="B30" s="125">
        <v>0.38128499999999999</v>
      </c>
      <c r="C30" s="108"/>
      <c r="D30" s="108">
        <v>45446</v>
      </c>
      <c r="E30" s="125">
        <v>0.29920000000000002</v>
      </c>
      <c r="F30" s="108"/>
      <c r="G30" s="108"/>
      <c r="H30" s="125"/>
      <c r="J30" s="108"/>
      <c r="K30" s="125"/>
      <c r="M30" s="108">
        <v>45446</v>
      </c>
      <c r="N30" s="125">
        <v>0.358103</v>
      </c>
      <c r="O30" s="108"/>
      <c r="P30" s="108">
        <v>45446</v>
      </c>
      <c r="Q30" s="125">
        <v>0.40450799999999998</v>
      </c>
      <c r="R30" s="108"/>
      <c r="S30" s="108">
        <v>45432</v>
      </c>
      <c r="T30" s="125">
        <v>0.15679000000000001</v>
      </c>
      <c r="U30" s="108"/>
      <c r="V30" s="108"/>
    </row>
    <row r="31" spans="1:22" x14ac:dyDescent="0.25">
      <c r="A31" s="108">
        <v>45446</v>
      </c>
      <c r="B31" s="125">
        <v>0.36274299999999998</v>
      </c>
      <c r="C31" s="108"/>
      <c r="D31" s="108">
        <v>45413</v>
      </c>
      <c r="E31" s="125">
        <v>0.29189999999999999</v>
      </c>
      <c r="F31" s="108"/>
      <c r="G31" s="108"/>
      <c r="H31" s="125"/>
      <c r="J31" s="108"/>
      <c r="K31" s="125"/>
      <c r="M31" s="108">
        <v>45413</v>
      </c>
      <c r="N31" s="125">
        <v>0.39979900000000002</v>
      </c>
      <c r="O31" s="108"/>
      <c r="P31" s="108">
        <v>45413</v>
      </c>
      <c r="Q31" s="125">
        <v>0.414995</v>
      </c>
      <c r="R31" s="108"/>
      <c r="S31" s="108">
        <v>45404</v>
      </c>
      <c r="T31" s="125">
        <v>0.14746999999999999</v>
      </c>
      <c r="U31" s="108"/>
      <c r="V31" s="108"/>
    </row>
    <row r="32" spans="1:22" x14ac:dyDescent="0.25">
      <c r="A32" s="108">
        <v>45413</v>
      </c>
      <c r="B32" s="125">
        <v>0.36057699999999998</v>
      </c>
      <c r="C32" s="108"/>
      <c r="D32" s="108">
        <v>45383</v>
      </c>
      <c r="E32" s="125">
        <v>0.2944</v>
      </c>
      <c r="F32" s="108"/>
      <c r="G32" s="108"/>
      <c r="H32" s="125"/>
      <c r="J32" s="108"/>
      <c r="K32" s="125"/>
      <c r="M32" s="108">
        <v>45383</v>
      </c>
      <c r="N32" s="125">
        <v>0.39510899999999999</v>
      </c>
      <c r="O32" s="108"/>
      <c r="P32" s="108">
        <v>45383</v>
      </c>
      <c r="Q32" s="125">
        <v>0.41071999999999997</v>
      </c>
      <c r="R32" s="108"/>
      <c r="S32" s="108">
        <v>45369</v>
      </c>
      <c r="T32" s="125">
        <v>0.14649000000000001</v>
      </c>
      <c r="U32" s="108"/>
      <c r="V32" s="108"/>
    </row>
    <row r="33" spans="1:22" x14ac:dyDescent="0.25">
      <c r="A33" s="108">
        <v>45383</v>
      </c>
      <c r="B33" s="125">
        <v>0.36555399999999999</v>
      </c>
      <c r="C33" s="108"/>
      <c r="D33" s="108">
        <v>45352</v>
      </c>
      <c r="E33" s="125">
        <v>0.2732</v>
      </c>
      <c r="F33" s="108"/>
      <c r="G33" s="108"/>
      <c r="H33" s="125"/>
      <c r="J33" s="108"/>
      <c r="K33" s="125"/>
      <c r="M33" s="108">
        <v>45352</v>
      </c>
      <c r="N33" s="125">
        <v>0.43823099999999998</v>
      </c>
      <c r="O33" s="108"/>
      <c r="P33" s="108">
        <v>45352</v>
      </c>
      <c r="Q33" s="125">
        <v>0.39321600000000001</v>
      </c>
      <c r="R33" s="108"/>
      <c r="S33" s="108">
        <v>45342</v>
      </c>
      <c r="T33" s="125">
        <v>0.13786000000000001</v>
      </c>
      <c r="U33" s="108"/>
      <c r="V33" s="108"/>
    </row>
    <row r="34" spans="1:22" x14ac:dyDescent="0.25">
      <c r="A34" s="108">
        <v>45352</v>
      </c>
      <c r="B34" s="125">
        <v>0.38571299999999997</v>
      </c>
      <c r="C34" s="108"/>
      <c r="D34" s="108">
        <v>45323</v>
      </c>
      <c r="E34" s="125">
        <v>0.28100000000000003</v>
      </c>
      <c r="F34" s="108"/>
      <c r="G34" s="108"/>
      <c r="H34" s="125"/>
      <c r="J34" s="108"/>
      <c r="K34" s="125"/>
      <c r="M34" s="108">
        <v>45323</v>
      </c>
      <c r="N34" s="125">
        <v>0.38383099999999998</v>
      </c>
      <c r="O34" s="108"/>
      <c r="P34" s="108">
        <v>45323</v>
      </c>
      <c r="Q34" s="125">
        <v>0.3886</v>
      </c>
      <c r="R34" s="108"/>
      <c r="S34" s="108">
        <v>45313</v>
      </c>
      <c r="T34" s="125">
        <v>0.13741999999999999</v>
      </c>
      <c r="U34" s="108"/>
      <c r="V34" s="108"/>
    </row>
    <row r="35" spans="1:22" x14ac:dyDescent="0.25">
      <c r="A35" s="108">
        <v>45323</v>
      </c>
      <c r="B35" s="125">
        <v>0.36726199999999998</v>
      </c>
      <c r="C35" s="108"/>
      <c r="D35" s="108"/>
      <c r="E35" s="125"/>
      <c r="G35" s="108"/>
      <c r="H35" s="125"/>
      <c r="J35" s="108"/>
      <c r="K35" s="125"/>
      <c r="M35" s="108"/>
      <c r="N35" s="125"/>
      <c r="P35" s="108"/>
      <c r="Q35" s="125"/>
      <c r="S35" s="108"/>
      <c r="T35" s="125"/>
    </row>
    <row r="36" spans="1:22" x14ac:dyDescent="0.25">
      <c r="A36" s="108"/>
      <c r="B36" s="125"/>
      <c r="D36" s="108"/>
      <c r="E36" s="125"/>
      <c r="G36" s="108"/>
      <c r="H36" s="125"/>
      <c r="J36" s="108"/>
      <c r="K36" s="125"/>
      <c r="M36" s="108"/>
      <c r="N36" s="125"/>
      <c r="P36" s="108"/>
      <c r="Q36" s="125"/>
      <c r="S36" s="108"/>
      <c r="T36" s="125"/>
    </row>
    <row r="37" spans="1:22" x14ac:dyDescent="0.25">
      <c r="A37" s="108"/>
      <c r="B37" s="125"/>
      <c r="D37" s="108"/>
      <c r="E37" s="125"/>
      <c r="G37" s="108"/>
      <c r="H37" s="125"/>
      <c r="J37" s="108"/>
      <c r="K37" s="125"/>
      <c r="M37" s="108"/>
      <c r="N37" s="125"/>
      <c r="P37" s="108"/>
      <c r="Q37" s="125"/>
      <c r="S37" s="108"/>
      <c r="T37" s="125"/>
    </row>
    <row r="38" spans="1:22" x14ac:dyDescent="0.25">
      <c r="A38" s="108"/>
      <c r="B38" s="125"/>
      <c r="D38" s="108"/>
      <c r="E38" s="125"/>
      <c r="G38" s="108"/>
      <c r="H38" s="125"/>
      <c r="J38" s="108"/>
      <c r="K38" s="125"/>
      <c r="M38" s="108"/>
      <c r="N38" s="125"/>
      <c r="P38" s="108"/>
      <c r="Q38" s="125"/>
      <c r="S38" s="108"/>
      <c r="T38" s="125"/>
    </row>
    <row r="39" spans="1:22" x14ac:dyDescent="0.25">
      <c r="A39" s="108"/>
      <c r="B39" s="125"/>
      <c r="D39" s="108"/>
      <c r="E39" s="125"/>
      <c r="G39" s="108"/>
      <c r="H39" s="125"/>
      <c r="J39" s="108"/>
      <c r="K39" s="125"/>
      <c r="M39" s="108"/>
      <c r="N39" s="125"/>
      <c r="P39" s="108"/>
      <c r="Q39" s="125"/>
      <c r="S39" s="108"/>
      <c r="T39" s="125"/>
    </row>
    <row r="40" spans="1:22" x14ac:dyDescent="0.25">
      <c r="A40" s="108"/>
      <c r="B40" s="125"/>
      <c r="D40" s="108"/>
      <c r="E40" s="125"/>
      <c r="G40" s="108"/>
      <c r="H40" s="125"/>
      <c r="J40" s="108"/>
      <c r="K40" s="125"/>
      <c r="M40" s="108"/>
      <c r="N40" s="125"/>
      <c r="P40" s="108"/>
      <c r="Q40" s="125"/>
      <c r="S40" s="108"/>
      <c r="T40" s="125"/>
    </row>
    <row r="41" spans="1:22" x14ac:dyDescent="0.25">
      <c r="A41" s="108"/>
      <c r="B41" s="125"/>
      <c r="D41" s="108"/>
      <c r="E41" s="125"/>
      <c r="G41" s="108"/>
      <c r="H41" s="125"/>
      <c r="J41" s="108"/>
      <c r="K41" s="125"/>
      <c r="M41" s="108"/>
      <c r="N41" s="125"/>
      <c r="P41" s="108"/>
      <c r="Q41" s="125"/>
      <c r="S41" s="108"/>
      <c r="T41" s="125"/>
    </row>
    <row r="42" spans="1:22" x14ac:dyDescent="0.25">
      <c r="A42" s="108"/>
      <c r="B42" s="125"/>
      <c r="D42" s="108"/>
      <c r="E42" s="125"/>
      <c r="G42" s="108"/>
      <c r="H42" s="125"/>
      <c r="J42" s="108"/>
      <c r="K42" s="125"/>
      <c r="M42" s="108"/>
      <c r="N42" s="125"/>
      <c r="P42" s="108"/>
      <c r="Q42" s="125"/>
      <c r="S42" s="108"/>
      <c r="T42" s="125"/>
    </row>
    <row r="43" spans="1:22" x14ac:dyDescent="0.25">
      <c r="A43" s="108"/>
      <c r="B43" s="125"/>
      <c r="D43" s="108"/>
      <c r="E43" s="125"/>
      <c r="G43" s="108"/>
      <c r="H43" s="125"/>
      <c r="J43" s="108"/>
      <c r="K43" s="125"/>
      <c r="M43" s="108"/>
      <c r="N43" s="125"/>
      <c r="P43" s="108"/>
      <c r="Q43" s="125"/>
      <c r="S43" s="108"/>
      <c r="T43" s="125"/>
    </row>
    <row r="44" spans="1:22" x14ac:dyDescent="0.25">
      <c r="A44" s="108"/>
      <c r="B44" s="125"/>
      <c r="D44" s="108"/>
      <c r="E44" s="125"/>
      <c r="G44" s="108"/>
      <c r="H44" s="125"/>
      <c r="J44" s="108"/>
      <c r="K44" s="125"/>
      <c r="M44" s="108"/>
      <c r="N44" s="125"/>
      <c r="P44" s="108"/>
      <c r="Q44" s="125"/>
      <c r="S44" s="108"/>
      <c r="T44" s="125"/>
    </row>
    <row r="45" spans="1:22" x14ac:dyDescent="0.25">
      <c r="A45" s="108"/>
      <c r="B45" s="125"/>
      <c r="D45" s="108"/>
      <c r="E45" s="125"/>
      <c r="G45" s="108"/>
      <c r="H45" s="125"/>
      <c r="J45" s="108"/>
      <c r="K45" s="125"/>
      <c r="M45" s="108"/>
      <c r="N45" s="125"/>
      <c r="P45" s="108"/>
      <c r="Q45" s="125"/>
      <c r="S45" s="108"/>
      <c r="T45" s="125"/>
    </row>
    <row r="46" spans="1:22" x14ac:dyDescent="0.25">
      <c r="A46" s="108"/>
      <c r="B46" s="125"/>
      <c r="D46" s="108"/>
      <c r="E46" s="125"/>
      <c r="G46" s="108"/>
      <c r="H46" s="125"/>
      <c r="J46" s="108"/>
      <c r="K46" s="125"/>
      <c r="M46" s="108"/>
      <c r="N46" s="125"/>
      <c r="P46" s="108"/>
      <c r="Q46" s="125"/>
      <c r="S46" s="108"/>
      <c r="T46" s="125"/>
    </row>
    <row r="47" spans="1:22" x14ac:dyDescent="0.25">
      <c r="A47" s="108"/>
      <c r="B47" s="125"/>
      <c r="D47" s="108"/>
      <c r="E47" s="125"/>
      <c r="G47" s="108"/>
      <c r="H47" s="125"/>
      <c r="J47" s="108"/>
      <c r="K47" s="125"/>
      <c r="M47" s="108"/>
      <c r="N47" s="125"/>
      <c r="P47" s="108"/>
      <c r="Q47" s="125"/>
      <c r="S47" s="108"/>
      <c r="T47" s="125"/>
    </row>
    <row r="48" spans="1:22" x14ac:dyDescent="0.25">
      <c r="A48" s="108"/>
      <c r="B48" s="125"/>
      <c r="D48" s="108"/>
      <c r="E48" s="125"/>
      <c r="G48" s="108"/>
      <c r="H48" s="125"/>
      <c r="J48" s="108"/>
      <c r="K48" s="125"/>
      <c r="M48" s="108"/>
      <c r="N48" s="125"/>
      <c r="P48" s="108"/>
      <c r="Q48" s="125"/>
      <c r="S48" s="108"/>
      <c r="T48" s="125"/>
    </row>
    <row r="49" spans="1:20" x14ac:dyDescent="0.25">
      <c r="A49" s="108"/>
      <c r="B49" s="125"/>
      <c r="D49" s="108"/>
      <c r="E49" s="125"/>
      <c r="G49" s="108"/>
      <c r="H49" s="125"/>
      <c r="J49" s="108"/>
      <c r="K49" s="125"/>
      <c r="M49" s="108"/>
      <c r="N49" s="125"/>
      <c r="P49" s="108"/>
      <c r="Q49" s="125"/>
      <c r="S49" s="108"/>
      <c r="T49" s="125"/>
    </row>
    <row r="50" spans="1:20" x14ac:dyDescent="0.25">
      <c r="A50" s="108"/>
      <c r="B50" s="125"/>
      <c r="D50" s="108"/>
      <c r="E50" s="125"/>
      <c r="G50" s="108"/>
      <c r="H50" s="125"/>
      <c r="J50" s="108"/>
      <c r="K50" s="125"/>
      <c r="M50" s="108"/>
      <c r="N50" s="125"/>
      <c r="P50" s="108"/>
      <c r="Q50" s="125"/>
      <c r="S50" s="108"/>
      <c r="T50" s="125"/>
    </row>
    <row r="51" spans="1:20" x14ac:dyDescent="0.25">
      <c r="A51" s="108"/>
      <c r="B51" s="125"/>
      <c r="D51" s="108"/>
      <c r="E51" s="125"/>
      <c r="G51" s="108"/>
      <c r="H51" s="125"/>
      <c r="J51" s="108"/>
      <c r="K51" s="125"/>
      <c r="M51" s="108"/>
      <c r="N51" s="125"/>
      <c r="P51" s="108"/>
      <c r="Q51" s="125"/>
      <c r="S51" s="108"/>
      <c r="T51" s="125"/>
    </row>
    <row r="52" spans="1:20" x14ac:dyDescent="0.25">
      <c r="A52" s="108"/>
      <c r="B52" s="125"/>
      <c r="D52" s="108"/>
      <c r="E52" s="125"/>
      <c r="G52" s="108"/>
      <c r="H52" s="125"/>
      <c r="J52" s="108"/>
      <c r="K52" s="125"/>
      <c r="M52" s="108"/>
      <c r="N52" s="125"/>
      <c r="P52" s="108"/>
      <c r="Q52" s="125"/>
      <c r="S52" s="108"/>
      <c r="T52" s="125"/>
    </row>
    <row r="53" spans="1:20" x14ac:dyDescent="0.25">
      <c r="A53" s="108"/>
      <c r="B53" s="125"/>
      <c r="D53" s="108"/>
      <c r="E53" s="125"/>
      <c r="G53" s="108"/>
      <c r="H53" s="125"/>
      <c r="J53" s="108"/>
      <c r="K53" s="125"/>
      <c r="M53" s="108"/>
      <c r="N53" s="125"/>
      <c r="P53" s="108"/>
      <c r="Q53" s="125"/>
      <c r="S53" s="108"/>
      <c r="T53" s="125"/>
    </row>
    <row r="54" spans="1:20" x14ac:dyDescent="0.25">
      <c r="A54" s="108"/>
      <c r="B54" s="125"/>
      <c r="D54" s="108"/>
      <c r="E54" s="125"/>
      <c r="G54" s="108"/>
      <c r="H54" s="125"/>
      <c r="J54" s="108"/>
      <c r="K54" s="125"/>
      <c r="M54" s="108"/>
      <c r="N54" s="125"/>
      <c r="P54" s="108"/>
      <c r="Q54" s="125"/>
      <c r="S54" s="108"/>
      <c r="T54" s="125"/>
    </row>
    <row r="55" spans="1:20" x14ac:dyDescent="0.25">
      <c r="A55" s="108"/>
      <c r="B55" s="125"/>
      <c r="D55" s="108"/>
      <c r="E55" s="125"/>
      <c r="G55" s="108"/>
      <c r="H55" s="125"/>
      <c r="J55" s="108"/>
      <c r="K55" s="125"/>
      <c r="M55" s="108"/>
      <c r="N55" s="125"/>
      <c r="P55" s="108"/>
      <c r="Q55" s="125"/>
      <c r="S55" s="108"/>
      <c r="T55" s="125"/>
    </row>
    <row r="56" spans="1:20" x14ac:dyDescent="0.25">
      <c r="A56" s="108"/>
      <c r="B56" s="125"/>
      <c r="D56" s="108"/>
      <c r="E56" s="125"/>
      <c r="G56" s="108"/>
      <c r="H56" s="125"/>
      <c r="J56" s="108"/>
      <c r="K56" s="125"/>
      <c r="M56" s="108"/>
      <c r="N56" s="125"/>
      <c r="P56" s="108"/>
      <c r="Q56" s="125"/>
      <c r="S56" s="108"/>
      <c r="T56" s="125"/>
    </row>
    <row r="57" spans="1:20" x14ac:dyDescent="0.25">
      <c r="A57" s="108"/>
      <c r="B57" s="125"/>
      <c r="D57" s="108"/>
      <c r="E57" s="125"/>
      <c r="G57" s="108"/>
      <c r="H57" s="125"/>
      <c r="J57" s="108"/>
      <c r="K57" s="125"/>
      <c r="M57" s="108"/>
      <c r="N57" s="125"/>
      <c r="P57" s="108"/>
      <c r="Q57" s="125"/>
      <c r="S57" s="108"/>
      <c r="T57" s="125"/>
    </row>
    <row r="58" spans="1:20" x14ac:dyDescent="0.25">
      <c r="A58" s="108"/>
      <c r="B58" s="125"/>
      <c r="D58" s="108"/>
      <c r="E58" s="125"/>
      <c r="G58" s="108"/>
      <c r="H58" s="125"/>
      <c r="J58" s="108"/>
      <c r="K58" s="125"/>
      <c r="M58" s="108"/>
      <c r="N58" s="125"/>
      <c r="P58" s="108"/>
      <c r="Q58" s="125"/>
      <c r="S58" s="108"/>
      <c r="T58" s="125"/>
    </row>
    <row r="59" spans="1:20" x14ac:dyDescent="0.25">
      <c r="A59" s="108"/>
      <c r="B59" s="125"/>
      <c r="D59" s="108"/>
      <c r="E59" s="125"/>
      <c r="G59" s="108"/>
      <c r="H59" s="125"/>
      <c r="J59" s="108"/>
      <c r="K59" s="125"/>
      <c r="M59" s="108"/>
      <c r="N59" s="125"/>
      <c r="P59" s="108"/>
      <c r="Q59" s="125"/>
      <c r="S59" s="108"/>
      <c r="T59" s="125"/>
    </row>
    <row r="60" spans="1:20" x14ac:dyDescent="0.25">
      <c r="A60" s="108"/>
      <c r="B60" s="125"/>
      <c r="D60" s="108"/>
      <c r="E60" s="125"/>
      <c r="G60" s="108"/>
      <c r="H60" s="125"/>
      <c r="J60" s="108"/>
      <c r="K60" s="125"/>
      <c r="M60" s="108"/>
      <c r="N60" s="125"/>
      <c r="P60" s="108"/>
      <c r="Q60" s="125"/>
      <c r="S60" s="108"/>
      <c r="T60" s="125"/>
    </row>
    <row r="61" spans="1:20" x14ac:dyDescent="0.25">
      <c r="A61" s="108"/>
      <c r="B61" s="125"/>
      <c r="D61" s="108"/>
      <c r="E61" s="125"/>
      <c r="G61" s="108"/>
      <c r="H61" s="125"/>
      <c r="J61" s="108"/>
      <c r="K61" s="125"/>
      <c r="M61" s="108"/>
      <c r="N61" s="125"/>
      <c r="P61" s="108"/>
      <c r="Q61" s="125"/>
      <c r="S61" s="108"/>
      <c r="T61" s="125"/>
    </row>
    <row r="62" spans="1:20" x14ac:dyDescent="0.25">
      <c r="A62" s="108"/>
      <c r="B62" s="125"/>
      <c r="D62" s="108"/>
      <c r="E62" s="125"/>
      <c r="G62" s="108"/>
      <c r="H62" s="125"/>
      <c r="J62" s="108"/>
      <c r="K62" s="125"/>
      <c r="M62" s="108"/>
      <c r="N62" s="125"/>
      <c r="P62" s="108"/>
      <c r="Q62" s="125"/>
      <c r="S62" s="108"/>
      <c r="T62" s="125"/>
    </row>
    <row r="63" spans="1:20" x14ac:dyDescent="0.25">
      <c r="A63" s="108"/>
      <c r="B63" s="125"/>
      <c r="D63" s="108"/>
      <c r="E63" s="125"/>
      <c r="G63" s="108"/>
      <c r="H63" s="125"/>
      <c r="J63" s="108"/>
      <c r="K63" s="125"/>
      <c r="M63" s="108"/>
      <c r="N63" s="125"/>
      <c r="P63" s="108"/>
      <c r="Q63" s="125"/>
      <c r="S63" s="108"/>
      <c r="T63" s="125"/>
    </row>
    <row r="64" spans="1:20" x14ac:dyDescent="0.25">
      <c r="A64" s="108"/>
      <c r="B64" s="125"/>
      <c r="D64" s="108"/>
      <c r="E64" s="125"/>
      <c r="G64" s="108"/>
      <c r="H64" s="125"/>
      <c r="J64" s="108"/>
      <c r="K64" s="125"/>
      <c r="M64" s="108"/>
      <c r="N64" s="125"/>
      <c r="P64" s="108"/>
      <c r="Q64" s="125"/>
      <c r="S64" s="108"/>
      <c r="T64" s="125"/>
    </row>
    <row r="65" spans="1:20" x14ac:dyDescent="0.25">
      <c r="A65" s="108"/>
      <c r="B65" s="125"/>
      <c r="D65" s="108"/>
      <c r="E65" s="125"/>
      <c r="G65" s="108"/>
      <c r="H65" s="125"/>
      <c r="J65" s="108"/>
      <c r="K65" s="125"/>
      <c r="M65" s="108"/>
      <c r="N65" s="125"/>
      <c r="P65" s="108"/>
      <c r="Q65" s="125"/>
      <c r="S65" s="108"/>
      <c r="T65" s="125"/>
    </row>
    <row r="66" spans="1:20" x14ac:dyDescent="0.25">
      <c r="A66" s="108"/>
      <c r="B66" s="125"/>
      <c r="D66" s="108"/>
      <c r="E66" s="125"/>
      <c r="G66" s="108"/>
      <c r="H66" s="125"/>
      <c r="J66" s="108"/>
      <c r="K66" s="125"/>
      <c r="M66" s="108"/>
      <c r="N66" s="125"/>
      <c r="P66" s="108"/>
      <c r="Q66" s="125"/>
      <c r="S66" s="108"/>
      <c r="T66" s="125"/>
    </row>
    <row r="67" spans="1:20" x14ac:dyDescent="0.25">
      <c r="A67" s="108"/>
      <c r="B67" s="125"/>
      <c r="D67" s="108"/>
      <c r="E67" s="125"/>
      <c r="G67" s="108"/>
      <c r="H67" s="125"/>
      <c r="J67" s="108"/>
      <c r="K67" s="125"/>
      <c r="M67" s="108"/>
      <c r="N67" s="125"/>
      <c r="P67" s="108"/>
      <c r="Q67" s="125"/>
      <c r="S67" s="108"/>
      <c r="T67" s="125"/>
    </row>
    <row r="68" spans="1:20" x14ac:dyDescent="0.25">
      <c r="A68" s="108"/>
      <c r="B68" s="125"/>
      <c r="D68" s="108"/>
      <c r="E68" s="125"/>
      <c r="G68" s="108"/>
      <c r="H68" s="125"/>
      <c r="J68" s="108"/>
      <c r="K68" s="125"/>
      <c r="M68" s="108"/>
      <c r="N68" s="125"/>
      <c r="P68" s="108"/>
      <c r="Q68" s="125"/>
      <c r="S68" s="108"/>
      <c r="T68" s="125"/>
    </row>
    <row r="69" spans="1:20" x14ac:dyDescent="0.25">
      <c r="A69" s="108"/>
      <c r="B69" s="125"/>
      <c r="D69" s="108"/>
      <c r="E69" s="125"/>
      <c r="G69" s="108"/>
      <c r="H69" s="125"/>
      <c r="J69" s="108"/>
      <c r="K69" s="125"/>
      <c r="M69" s="108"/>
      <c r="N69" s="125"/>
      <c r="P69" s="108"/>
      <c r="Q69" s="125"/>
      <c r="S69" s="108"/>
      <c r="T69" s="125"/>
    </row>
    <row r="70" spans="1:20" x14ac:dyDescent="0.25">
      <c r="A70" s="108"/>
      <c r="B70" s="125"/>
      <c r="D70" s="108"/>
      <c r="E70" s="125"/>
      <c r="G70" s="108"/>
      <c r="H70" s="125"/>
      <c r="J70" s="108"/>
      <c r="K70" s="125"/>
      <c r="M70" s="108"/>
      <c r="N70" s="125"/>
      <c r="P70" s="108"/>
      <c r="Q70" s="125"/>
      <c r="S70" s="108"/>
      <c r="T70" s="125"/>
    </row>
    <row r="71" spans="1:20" x14ac:dyDescent="0.25">
      <c r="A71" s="108"/>
      <c r="B71" s="125"/>
      <c r="D71" s="108"/>
      <c r="E71" s="125"/>
      <c r="G71" s="108"/>
      <c r="H71" s="125"/>
      <c r="J71" s="108"/>
      <c r="K71" s="125"/>
      <c r="M71" s="108"/>
      <c r="N71" s="125"/>
      <c r="P71" s="108"/>
      <c r="Q71" s="125"/>
      <c r="S71" s="108"/>
      <c r="T71" s="125"/>
    </row>
    <row r="72" spans="1:20" x14ac:dyDescent="0.25">
      <c r="A72" s="108"/>
      <c r="B72" s="125"/>
      <c r="D72" s="108"/>
      <c r="E72" s="125"/>
      <c r="G72" s="108"/>
      <c r="H72" s="125"/>
      <c r="J72" s="108"/>
      <c r="K72" s="125"/>
      <c r="M72" s="108"/>
      <c r="N72" s="125"/>
      <c r="P72" s="108"/>
      <c r="Q72" s="125"/>
      <c r="S72" s="108"/>
      <c r="T72" s="125"/>
    </row>
    <row r="73" spans="1:20" x14ac:dyDescent="0.25">
      <c r="A73" s="108"/>
      <c r="B73" s="125"/>
      <c r="D73" s="108"/>
      <c r="E73" s="125"/>
      <c r="G73" s="108"/>
      <c r="H73" s="125"/>
      <c r="J73" s="108"/>
      <c r="K73" s="125"/>
      <c r="M73" s="108"/>
      <c r="N73" s="125"/>
      <c r="P73" s="108"/>
      <c r="Q73" s="125"/>
      <c r="S73" s="108"/>
      <c r="T73" s="125"/>
    </row>
    <row r="74" spans="1:20" x14ac:dyDescent="0.25">
      <c r="A74" s="108"/>
      <c r="B74" s="125"/>
      <c r="D74" s="108"/>
      <c r="E74" s="125"/>
      <c r="G74" s="108"/>
      <c r="H74" s="125"/>
      <c r="J74" s="108"/>
      <c r="K74" s="125"/>
      <c r="M74" s="108"/>
      <c r="N74" s="125"/>
      <c r="P74" s="108"/>
      <c r="Q74" s="125"/>
      <c r="S74" s="108"/>
      <c r="T74" s="125"/>
    </row>
    <row r="75" spans="1:20" x14ac:dyDescent="0.25">
      <c r="A75" s="108"/>
      <c r="B75" s="125"/>
      <c r="D75" s="108"/>
      <c r="E75" s="125"/>
      <c r="G75" s="108"/>
      <c r="H75" s="125"/>
      <c r="J75" s="108"/>
      <c r="K75" s="125"/>
      <c r="M75" s="108"/>
      <c r="N75" s="125"/>
      <c r="P75" s="108"/>
      <c r="Q75" s="125"/>
      <c r="S75" s="108"/>
      <c r="T75" s="125"/>
    </row>
    <row r="76" spans="1:20" x14ac:dyDescent="0.25">
      <c r="A76" s="108"/>
      <c r="B76" s="125"/>
      <c r="D76" s="108"/>
      <c r="E76" s="125"/>
      <c r="G76" s="108"/>
      <c r="H76" s="125"/>
      <c r="J76" s="108"/>
      <c r="K76" s="125"/>
      <c r="M76" s="108"/>
      <c r="N76" s="125"/>
      <c r="P76" s="108"/>
      <c r="Q76" s="125"/>
      <c r="S76" s="108"/>
      <c r="T76" s="125"/>
    </row>
    <row r="77" spans="1:20" x14ac:dyDescent="0.25">
      <c r="A77" s="108"/>
      <c r="B77" s="125"/>
      <c r="D77" s="108"/>
      <c r="E77" s="125"/>
      <c r="G77" s="108"/>
      <c r="H77" s="125"/>
      <c r="J77" s="108"/>
      <c r="K77" s="125"/>
      <c r="M77" s="108"/>
      <c r="N77" s="125"/>
      <c r="P77" s="108"/>
      <c r="Q77" s="125"/>
      <c r="S77" s="108"/>
      <c r="T77" s="125"/>
    </row>
    <row r="78" spans="1:20" x14ac:dyDescent="0.25">
      <c r="A78" s="108"/>
      <c r="B78" s="125"/>
      <c r="D78" s="108"/>
      <c r="E78" s="125"/>
      <c r="G78" s="108"/>
      <c r="H78" s="125"/>
      <c r="J78" s="108"/>
      <c r="K78" s="125"/>
      <c r="M78" s="108"/>
      <c r="N78" s="125"/>
      <c r="P78" s="108"/>
      <c r="Q78" s="125"/>
      <c r="S78" s="108"/>
      <c r="T78" s="125"/>
    </row>
    <row r="79" spans="1:20" x14ac:dyDescent="0.25">
      <c r="A79" s="108"/>
      <c r="B79" s="125"/>
      <c r="D79" s="108"/>
      <c r="E79" s="125"/>
      <c r="G79" s="108"/>
      <c r="H79" s="125"/>
      <c r="J79" s="108"/>
      <c r="K79" s="125"/>
      <c r="M79" s="108"/>
      <c r="N79" s="125"/>
      <c r="P79" s="108"/>
      <c r="Q79" s="125"/>
      <c r="S79" s="108"/>
      <c r="T79" s="125"/>
    </row>
    <row r="80" spans="1:20" x14ac:dyDescent="0.25">
      <c r="A80" s="108"/>
      <c r="B80" s="125"/>
      <c r="D80" s="108"/>
      <c r="E80" s="125"/>
      <c r="G80" s="108"/>
      <c r="H80" s="125"/>
      <c r="J80" s="108"/>
      <c r="K80" s="125"/>
      <c r="M80" s="108"/>
      <c r="N80" s="125"/>
      <c r="P80" s="108"/>
      <c r="Q80" s="125"/>
      <c r="S80" s="108"/>
      <c r="T80" s="125"/>
    </row>
    <row r="81" spans="1:20" x14ac:dyDescent="0.25">
      <c r="A81" s="108"/>
      <c r="B81" s="125"/>
      <c r="D81" s="108"/>
      <c r="E81" s="125"/>
      <c r="G81" s="108"/>
      <c r="H81" s="125"/>
      <c r="J81" s="108"/>
      <c r="K81" s="125"/>
      <c r="M81" s="108"/>
      <c r="N81" s="125"/>
      <c r="P81" s="108"/>
      <c r="Q81" s="125"/>
      <c r="S81" s="108"/>
      <c r="T81" s="125"/>
    </row>
    <row r="82" spans="1:20" x14ac:dyDescent="0.25">
      <c r="A82" s="108"/>
      <c r="B82" s="125"/>
      <c r="D82" s="108"/>
      <c r="E82" s="125"/>
      <c r="G82" s="108"/>
      <c r="H82" s="125"/>
      <c r="J82" s="108"/>
      <c r="K82" s="125"/>
      <c r="M82" s="108"/>
      <c r="N82" s="125"/>
      <c r="P82" s="108"/>
      <c r="Q82" s="125"/>
      <c r="S82" s="108"/>
      <c r="T82" s="125"/>
    </row>
    <row r="83" spans="1:20" x14ac:dyDescent="0.25">
      <c r="A83" s="108"/>
      <c r="B83" s="125"/>
      <c r="D83" s="108"/>
      <c r="E83" s="125"/>
      <c r="G83" s="108"/>
      <c r="H83" s="125"/>
      <c r="J83" s="108"/>
      <c r="K83" s="125"/>
      <c r="M83" s="108"/>
      <c r="N83" s="125"/>
      <c r="P83" s="108"/>
      <c r="Q83" s="125"/>
      <c r="S83" s="108"/>
      <c r="T83" s="125"/>
    </row>
    <row r="84" spans="1:20" x14ac:dyDescent="0.25">
      <c r="A84" s="108"/>
      <c r="B84" s="125"/>
      <c r="D84" s="108"/>
      <c r="E84" s="125"/>
      <c r="G84" s="108"/>
      <c r="H84" s="125"/>
      <c r="J84" s="108"/>
      <c r="K84" s="125"/>
      <c r="M84" s="108"/>
      <c r="N84" s="125"/>
      <c r="P84" s="108"/>
      <c r="Q84" s="125"/>
      <c r="S84" s="108"/>
      <c r="T84" s="125"/>
    </row>
    <row r="85" spans="1:20" x14ac:dyDescent="0.25">
      <c r="A85" s="108"/>
      <c r="B85" s="125"/>
      <c r="D85" s="108"/>
      <c r="E85" s="125"/>
      <c r="G85" s="108"/>
      <c r="H85" s="125"/>
      <c r="J85" s="108"/>
      <c r="K85" s="125"/>
      <c r="M85" s="108"/>
      <c r="N85" s="125"/>
      <c r="P85" s="108"/>
      <c r="Q85" s="125"/>
      <c r="S85" s="108"/>
      <c r="T85" s="125"/>
    </row>
    <row r="86" spans="1:20" x14ac:dyDescent="0.25">
      <c r="A86" s="108"/>
      <c r="B86" s="125"/>
      <c r="D86" s="108"/>
      <c r="E86" s="125"/>
      <c r="G86" s="108"/>
      <c r="H86" s="125"/>
      <c r="J86" s="108"/>
      <c r="K86" s="125"/>
      <c r="M86" s="108"/>
      <c r="N86" s="125"/>
      <c r="P86" s="108"/>
      <c r="Q86" s="125"/>
      <c r="S86" s="108"/>
      <c r="T86" s="125"/>
    </row>
    <row r="87" spans="1:20" x14ac:dyDescent="0.25">
      <c r="A87" s="108"/>
      <c r="B87" s="125"/>
      <c r="D87" s="108"/>
      <c r="E87" s="125"/>
      <c r="G87" s="108"/>
      <c r="H87" s="125"/>
      <c r="J87" s="108"/>
      <c r="K87" s="125"/>
      <c r="M87" s="108"/>
      <c r="N87" s="125"/>
      <c r="P87" s="108"/>
      <c r="Q87" s="125"/>
      <c r="S87" s="108"/>
      <c r="T87" s="125"/>
    </row>
    <row r="88" spans="1:20" x14ac:dyDescent="0.25">
      <c r="A88" s="108"/>
      <c r="B88" s="125"/>
      <c r="D88" s="108"/>
      <c r="E88" s="125"/>
      <c r="G88" s="108"/>
      <c r="H88" s="125"/>
      <c r="J88" s="108"/>
      <c r="K88" s="125"/>
      <c r="M88" s="108"/>
      <c r="N88" s="125"/>
      <c r="P88" s="108"/>
      <c r="Q88" s="125"/>
      <c r="S88" s="108"/>
      <c r="T88" s="125"/>
    </row>
    <row r="89" spans="1:20" x14ac:dyDescent="0.25">
      <c r="A89" s="108"/>
      <c r="B89" s="125"/>
      <c r="D89" s="108"/>
      <c r="E89" s="125"/>
      <c r="G89" s="108"/>
      <c r="H89" s="125"/>
      <c r="J89" s="108"/>
      <c r="K89" s="125"/>
      <c r="M89" s="108"/>
      <c r="N89" s="125"/>
      <c r="P89" s="108"/>
      <c r="Q89" s="125"/>
      <c r="S89" s="108"/>
      <c r="T89" s="125"/>
    </row>
    <row r="90" spans="1:20" x14ac:dyDescent="0.25">
      <c r="A90" s="108"/>
      <c r="B90" s="125"/>
      <c r="D90" s="108"/>
      <c r="E90" s="125"/>
      <c r="G90" s="108"/>
      <c r="H90" s="125"/>
      <c r="J90" s="108"/>
      <c r="K90" s="125"/>
      <c r="M90" s="108"/>
      <c r="N90" s="125"/>
      <c r="P90" s="108"/>
      <c r="Q90" s="125"/>
      <c r="S90" s="108"/>
      <c r="T90" s="125"/>
    </row>
    <row r="91" spans="1:20" x14ac:dyDescent="0.25">
      <c r="A91" s="108"/>
      <c r="B91" s="125"/>
      <c r="D91" s="108"/>
      <c r="E91" s="125"/>
      <c r="G91" s="108"/>
      <c r="H91" s="125"/>
      <c r="J91" s="108"/>
      <c r="K91" s="125"/>
      <c r="M91" s="108"/>
      <c r="N91" s="125"/>
      <c r="P91" s="108"/>
      <c r="Q91" s="125"/>
      <c r="S91" s="108"/>
      <c r="T91" s="125"/>
    </row>
    <row r="92" spans="1:20" x14ac:dyDescent="0.25">
      <c r="A92" s="108"/>
      <c r="B92" s="125"/>
      <c r="D92" s="108"/>
      <c r="E92" s="125"/>
      <c r="G92" s="108"/>
      <c r="H92" s="125"/>
      <c r="J92" s="108"/>
      <c r="K92" s="125"/>
      <c r="M92" s="108"/>
      <c r="N92" s="125"/>
      <c r="P92" s="108"/>
      <c r="Q92" s="125"/>
      <c r="S92" s="108"/>
      <c r="T92" s="125"/>
    </row>
    <row r="93" spans="1:20" x14ac:dyDescent="0.25">
      <c r="A93" s="108"/>
      <c r="B93" s="125"/>
      <c r="D93" s="108"/>
      <c r="E93" s="125"/>
      <c r="G93" s="108"/>
      <c r="H93" s="125"/>
      <c r="J93" s="108"/>
      <c r="K93" s="125"/>
      <c r="M93" s="108"/>
      <c r="N93" s="125"/>
      <c r="P93" s="108"/>
      <c r="Q93" s="125"/>
      <c r="S93" s="108"/>
      <c r="T93" s="125"/>
    </row>
    <row r="94" spans="1:20" x14ac:dyDescent="0.25">
      <c r="A94" s="108"/>
      <c r="B94" s="125"/>
      <c r="D94" s="108"/>
      <c r="E94" s="125"/>
      <c r="G94" s="108"/>
      <c r="H94" s="125"/>
      <c r="J94" s="108"/>
      <c r="K94" s="125"/>
      <c r="M94" s="108"/>
      <c r="N94" s="125"/>
      <c r="P94" s="108"/>
      <c r="Q94" s="125"/>
      <c r="S94" s="108"/>
      <c r="T94" s="125"/>
    </row>
    <row r="95" spans="1:20" x14ac:dyDescent="0.25">
      <c r="A95" s="108"/>
      <c r="B95" s="125"/>
      <c r="D95" s="108"/>
      <c r="E95" s="125"/>
      <c r="G95" s="108"/>
      <c r="H95" s="125"/>
      <c r="J95" s="108"/>
      <c r="K95" s="125"/>
      <c r="M95" s="108"/>
      <c r="N95" s="125"/>
      <c r="P95" s="108"/>
      <c r="Q95" s="125"/>
      <c r="S95" s="108"/>
      <c r="T95" s="125"/>
    </row>
    <row r="96" spans="1:20" x14ac:dyDescent="0.25">
      <c r="A96" s="108"/>
      <c r="B96" s="125"/>
      <c r="D96" s="108"/>
      <c r="E96" s="125"/>
      <c r="G96" s="108"/>
      <c r="H96" s="125"/>
      <c r="J96" s="108"/>
      <c r="K96" s="125"/>
      <c r="M96" s="108"/>
      <c r="N96" s="125"/>
      <c r="P96" s="108"/>
      <c r="Q96" s="125"/>
      <c r="S96" s="108"/>
      <c r="T96" s="125"/>
    </row>
    <row r="97" spans="1:20" x14ac:dyDescent="0.25">
      <c r="A97" s="108"/>
      <c r="B97" s="125"/>
      <c r="D97" s="108"/>
      <c r="E97" s="125"/>
      <c r="G97" s="108"/>
      <c r="H97" s="125"/>
      <c r="J97" s="108"/>
      <c r="K97" s="125"/>
      <c r="M97" s="108"/>
      <c r="N97" s="125"/>
      <c r="P97" s="108"/>
      <c r="Q97" s="125"/>
      <c r="S97" s="108"/>
      <c r="T97" s="125"/>
    </row>
    <row r="98" spans="1:20" x14ac:dyDescent="0.25">
      <c r="A98" s="108"/>
      <c r="B98" s="125"/>
      <c r="D98" s="108"/>
      <c r="E98" s="125"/>
      <c r="G98" s="108"/>
      <c r="H98" s="125"/>
      <c r="J98" s="108"/>
      <c r="K98" s="125"/>
      <c r="M98" s="108"/>
      <c r="N98" s="125"/>
      <c r="P98" s="108"/>
      <c r="Q98" s="125"/>
      <c r="S98" s="108"/>
      <c r="T98" s="125"/>
    </row>
    <row r="99" spans="1:20" x14ac:dyDescent="0.25">
      <c r="A99" s="108"/>
      <c r="B99" s="125"/>
      <c r="D99" s="108"/>
      <c r="E99" s="125"/>
      <c r="G99" s="108"/>
      <c r="H99" s="125"/>
      <c r="J99" s="108"/>
      <c r="K99" s="125"/>
      <c r="M99" s="108"/>
      <c r="N99" s="125"/>
      <c r="P99" s="108"/>
      <c r="Q99" s="125"/>
      <c r="S99" s="108"/>
      <c r="T99" s="125"/>
    </row>
    <row r="100" spans="1:20" x14ac:dyDescent="0.25">
      <c r="A100" s="108"/>
      <c r="B100" s="125"/>
      <c r="D100" s="108"/>
      <c r="E100" s="125"/>
      <c r="G100" s="108"/>
      <c r="H100" s="125"/>
      <c r="J100" s="108"/>
      <c r="K100" s="125"/>
      <c r="M100" s="108"/>
      <c r="N100" s="125"/>
      <c r="P100" s="108"/>
      <c r="Q100" s="125"/>
      <c r="S100" s="108"/>
      <c r="T100" s="125"/>
    </row>
    <row r="101" spans="1:20" x14ac:dyDescent="0.25">
      <c r="A101" s="108"/>
      <c r="B101" s="125"/>
      <c r="D101" s="108"/>
      <c r="E101" s="125"/>
      <c r="G101" s="108"/>
      <c r="H101" s="125"/>
      <c r="J101" s="108"/>
      <c r="K101" s="125"/>
      <c r="M101" s="108"/>
      <c r="N101" s="125"/>
      <c r="P101" s="108"/>
      <c r="Q101" s="125"/>
      <c r="S101" s="108"/>
      <c r="T101" s="125"/>
    </row>
    <row r="102" spans="1:20" x14ac:dyDescent="0.25">
      <c r="A102" s="108"/>
      <c r="B102" s="125"/>
      <c r="D102" s="108"/>
      <c r="E102" s="125"/>
      <c r="G102" s="108"/>
      <c r="H102" s="125"/>
      <c r="J102" s="108"/>
      <c r="K102" s="125"/>
      <c r="M102" s="108"/>
      <c r="N102" s="125"/>
      <c r="P102" s="108"/>
      <c r="Q102" s="125"/>
      <c r="S102" s="108"/>
      <c r="T102" s="125"/>
    </row>
    <row r="103" spans="1:20" x14ac:dyDescent="0.25">
      <c r="A103" s="108"/>
      <c r="B103" s="125"/>
      <c r="D103" s="108"/>
      <c r="E103" s="125"/>
      <c r="G103" s="108"/>
      <c r="H103" s="125"/>
      <c r="J103" s="108"/>
      <c r="K103" s="125"/>
      <c r="M103" s="108"/>
      <c r="N103" s="125"/>
      <c r="P103" s="108"/>
      <c r="Q103" s="125"/>
      <c r="S103" s="108"/>
      <c r="T103" s="125"/>
    </row>
    <row r="104" spans="1:20" x14ac:dyDescent="0.25">
      <c r="A104" s="108"/>
      <c r="B104" s="125"/>
      <c r="D104" s="108"/>
      <c r="E104" s="125"/>
      <c r="G104" s="108"/>
      <c r="H104" s="125"/>
      <c r="J104" s="108"/>
      <c r="K104" s="125"/>
      <c r="M104" s="108"/>
      <c r="N104" s="125"/>
      <c r="P104" s="108"/>
      <c r="Q104" s="125"/>
      <c r="S104" s="108"/>
      <c r="T104" s="125"/>
    </row>
    <row r="105" spans="1:20" x14ac:dyDescent="0.25">
      <c r="A105" s="108"/>
      <c r="B105" s="125"/>
      <c r="D105" s="108"/>
      <c r="E105" s="125"/>
      <c r="G105" s="108"/>
      <c r="H105" s="125"/>
      <c r="J105" s="108"/>
      <c r="K105" s="125"/>
      <c r="M105" s="108"/>
      <c r="N105" s="125"/>
      <c r="P105" s="108"/>
      <c r="Q105" s="125"/>
      <c r="S105" s="108"/>
      <c r="T105" s="125"/>
    </row>
    <row r="106" spans="1:20" x14ac:dyDescent="0.25">
      <c r="A106" s="108"/>
      <c r="B106" s="125"/>
      <c r="D106" s="108"/>
      <c r="E106" s="125"/>
      <c r="G106" s="108"/>
      <c r="H106" s="125"/>
      <c r="J106" s="108"/>
      <c r="K106" s="125"/>
      <c r="M106" s="108"/>
      <c r="N106" s="125"/>
      <c r="P106" s="108"/>
      <c r="Q106" s="125"/>
      <c r="S106" s="108"/>
      <c r="T106" s="125"/>
    </row>
    <row r="107" spans="1:20" x14ac:dyDescent="0.25">
      <c r="A107" s="108"/>
      <c r="B107" s="125"/>
      <c r="D107" s="108"/>
      <c r="E107" s="125"/>
      <c r="G107" s="108"/>
      <c r="H107" s="125"/>
      <c r="J107" s="108"/>
      <c r="K107" s="125"/>
      <c r="M107" s="108"/>
      <c r="N107" s="125"/>
      <c r="P107" s="108"/>
      <c r="Q107" s="125"/>
      <c r="S107" s="108"/>
      <c r="T107" s="125"/>
    </row>
    <row r="108" spans="1:20" x14ac:dyDescent="0.25">
      <c r="A108" s="108"/>
      <c r="B108" s="125"/>
      <c r="D108" s="108"/>
      <c r="E108" s="125"/>
      <c r="G108" s="108"/>
      <c r="H108" s="125"/>
      <c r="J108" s="108"/>
      <c r="K108" s="125"/>
      <c r="M108" s="108"/>
      <c r="N108" s="125"/>
      <c r="P108" s="108"/>
      <c r="Q108" s="125"/>
      <c r="S108" s="108"/>
      <c r="T108" s="125"/>
    </row>
    <row r="109" spans="1:20" x14ac:dyDescent="0.25">
      <c r="A109" s="108"/>
      <c r="B109" s="125"/>
      <c r="D109" s="108"/>
      <c r="E109" s="125"/>
      <c r="G109" s="108"/>
      <c r="H109" s="125"/>
      <c r="J109" s="108"/>
      <c r="K109" s="125"/>
      <c r="M109" s="108"/>
      <c r="N109" s="125"/>
      <c r="P109" s="108"/>
      <c r="Q109" s="125"/>
      <c r="S109" s="108"/>
      <c r="T109" s="125"/>
    </row>
    <row r="110" spans="1:20" x14ac:dyDescent="0.25">
      <c r="A110" s="108"/>
      <c r="B110" s="125"/>
      <c r="D110" s="108"/>
      <c r="E110" s="125"/>
      <c r="G110" s="108"/>
      <c r="H110" s="125"/>
      <c r="J110" s="108"/>
      <c r="K110" s="125"/>
      <c r="M110" s="108"/>
      <c r="N110" s="125"/>
      <c r="P110" s="108"/>
      <c r="Q110" s="125"/>
      <c r="S110" s="108"/>
      <c r="T110" s="125"/>
    </row>
    <row r="111" spans="1:20" x14ac:dyDescent="0.25">
      <c r="A111" s="108"/>
      <c r="B111" s="125"/>
      <c r="D111" s="108"/>
      <c r="E111" s="125"/>
      <c r="G111" s="108"/>
      <c r="H111" s="125"/>
      <c r="J111" s="108"/>
      <c r="K111" s="125"/>
      <c r="M111" s="108"/>
      <c r="N111" s="125"/>
      <c r="P111" s="108"/>
      <c r="Q111" s="125"/>
      <c r="S111" s="108"/>
      <c r="T111" s="125"/>
    </row>
    <row r="112" spans="1:20" x14ac:dyDescent="0.25">
      <c r="A112" s="108"/>
      <c r="B112" s="125"/>
      <c r="D112" s="108"/>
      <c r="E112" s="125"/>
      <c r="G112" s="108"/>
      <c r="H112" s="125"/>
      <c r="J112" s="108"/>
      <c r="K112" s="125"/>
      <c r="M112" s="108"/>
      <c r="N112" s="125"/>
      <c r="P112" s="108"/>
      <c r="Q112" s="125"/>
      <c r="S112" s="108"/>
      <c r="T112" s="125"/>
    </row>
    <row r="113" spans="1:20" x14ac:dyDescent="0.25">
      <c r="A113" s="108"/>
      <c r="B113" s="125"/>
      <c r="D113" s="108"/>
      <c r="E113" s="125"/>
      <c r="G113" s="108"/>
      <c r="H113" s="125"/>
      <c r="J113" s="108"/>
      <c r="K113" s="125"/>
      <c r="M113" s="108"/>
      <c r="N113" s="125"/>
      <c r="P113" s="108"/>
      <c r="Q113" s="125"/>
      <c r="S113" s="108"/>
      <c r="T113" s="125"/>
    </row>
    <row r="114" spans="1:20" x14ac:dyDescent="0.25">
      <c r="A114" s="108"/>
      <c r="B114" s="125"/>
      <c r="D114" s="108"/>
      <c r="E114" s="125"/>
      <c r="G114" s="108"/>
      <c r="H114" s="125"/>
      <c r="J114" s="108"/>
      <c r="K114" s="125"/>
      <c r="M114" s="108"/>
      <c r="N114" s="125"/>
      <c r="P114" s="108"/>
      <c r="Q114" s="125"/>
      <c r="S114" s="108"/>
      <c r="T114" s="125"/>
    </row>
    <row r="115" spans="1:20" x14ac:dyDescent="0.25">
      <c r="A115" s="108"/>
      <c r="B115" s="125"/>
      <c r="D115" s="108"/>
      <c r="E115" s="125"/>
      <c r="G115" s="108"/>
      <c r="H115" s="125"/>
      <c r="J115" s="108"/>
      <c r="K115" s="125"/>
      <c r="M115" s="108"/>
      <c r="N115" s="125"/>
      <c r="P115" s="108"/>
      <c r="Q115" s="125"/>
      <c r="S115" s="108"/>
      <c r="T115" s="125"/>
    </row>
    <row r="116" spans="1:20" x14ac:dyDescent="0.25">
      <c r="A116" s="108"/>
      <c r="B116" s="125"/>
      <c r="D116" s="108"/>
      <c r="E116" s="125"/>
      <c r="G116" s="108"/>
      <c r="H116" s="125"/>
      <c r="J116" s="108"/>
      <c r="K116" s="125"/>
      <c r="M116" s="108"/>
      <c r="N116" s="125"/>
      <c r="P116" s="108"/>
      <c r="Q116" s="125"/>
      <c r="S116" s="108"/>
      <c r="T116" s="125"/>
    </row>
    <row r="117" spans="1:20" x14ac:dyDescent="0.25">
      <c r="A117" s="108"/>
      <c r="B117" s="125"/>
      <c r="D117" s="108"/>
      <c r="E117" s="125"/>
      <c r="G117" s="108"/>
      <c r="H117" s="125"/>
      <c r="J117" s="108"/>
      <c r="K117" s="125"/>
      <c r="M117" s="108"/>
      <c r="N117" s="125"/>
      <c r="P117" s="108"/>
      <c r="Q117" s="125"/>
      <c r="S117" s="108"/>
      <c r="T117" s="125"/>
    </row>
    <row r="118" spans="1:20" x14ac:dyDescent="0.25">
      <c r="A118" s="108"/>
      <c r="B118" s="125"/>
      <c r="D118" s="108"/>
      <c r="E118" s="125"/>
      <c r="G118" s="108"/>
      <c r="H118" s="125"/>
      <c r="J118" s="108"/>
      <c r="K118" s="125"/>
      <c r="M118" s="108"/>
      <c r="N118" s="125"/>
      <c r="P118" s="108"/>
      <c r="Q118" s="125"/>
      <c r="S118" s="108"/>
      <c r="T118" s="125"/>
    </row>
    <row r="119" spans="1:20" x14ac:dyDescent="0.25">
      <c r="A119" s="108"/>
      <c r="B119" s="125"/>
      <c r="D119" s="108"/>
      <c r="E119" s="125"/>
      <c r="G119" s="108"/>
      <c r="H119" s="125"/>
      <c r="J119" s="108"/>
      <c r="K119" s="125"/>
      <c r="M119" s="108"/>
      <c r="N119" s="125"/>
      <c r="P119" s="108"/>
      <c r="Q119" s="125"/>
      <c r="S119" s="108"/>
      <c r="T119" s="125"/>
    </row>
    <row r="120" spans="1:20" x14ac:dyDescent="0.25">
      <c r="A120" s="108"/>
      <c r="B120" s="125"/>
      <c r="D120" s="108"/>
      <c r="E120" s="125"/>
      <c r="G120" s="108"/>
      <c r="H120" s="125"/>
      <c r="J120" s="108"/>
      <c r="K120" s="125"/>
      <c r="M120" s="108"/>
      <c r="N120" s="125"/>
      <c r="P120" s="108"/>
      <c r="Q120" s="125"/>
      <c r="S120" s="108"/>
      <c r="T120" s="125"/>
    </row>
    <row r="121" spans="1:20" x14ac:dyDescent="0.25">
      <c r="A121" s="108"/>
      <c r="B121" s="125"/>
      <c r="D121" s="108"/>
      <c r="E121" s="125"/>
      <c r="G121" s="108"/>
      <c r="H121" s="125"/>
      <c r="J121" s="108"/>
      <c r="K121" s="125"/>
      <c r="M121" s="108"/>
      <c r="N121" s="125"/>
      <c r="P121" s="108"/>
      <c r="Q121" s="125"/>
      <c r="S121" s="108"/>
      <c r="T121" s="125"/>
    </row>
    <row r="122" spans="1:20" x14ac:dyDescent="0.25">
      <c r="A122" s="108"/>
      <c r="B122" s="125"/>
      <c r="D122" s="108"/>
      <c r="E122" s="125"/>
      <c r="G122" s="108"/>
      <c r="H122" s="125"/>
      <c r="J122" s="108"/>
      <c r="K122" s="125"/>
      <c r="M122" s="108"/>
      <c r="N122" s="125"/>
      <c r="P122" s="108"/>
      <c r="Q122" s="125"/>
      <c r="S122" s="108"/>
      <c r="T122" s="125"/>
    </row>
    <row r="123" spans="1:20" x14ac:dyDescent="0.25">
      <c r="A123" s="108"/>
      <c r="B123" s="125"/>
      <c r="D123" s="108"/>
      <c r="E123" s="125"/>
      <c r="G123" s="108"/>
      <c r="H123" s="125"/>
      <c r="J123" s="108"/>
      <c r="K123" s="125"/>
      <c r="M123" s="108"/>
      <c r="N123" s="125"/>
      <c r="P123" s="108"/>
      <c r="Q123" s="125"/>
      <c r="S123" s="108"/>
      <c r="T123" s="125"/>
    </row>
    <row r="124" spans="1:20" x14ac:dyDescent="0.25">
      <c r="A124" s="108"/>
      <c r="B124" s="125"/>
      <c r="D124" s="108"/>
      <c r="E124" s="125"/>
      <c r="G124" s="108"/>
      <c r="H124" s="125"/>
      <c r="J124" s="108"/>
      <c r="K124" s="125"/>
      <c r="M124" s="108"/>
      <c r="N124" s="125"/>
      <c r="P124" s="108"/>
      <c r="Q124" s="125"/>
      <c r="S124" s="108"/>
      <c r="T124" s="125"/>
    </row>
    <row r="125" spans="1:20" x14ac:dyDescent="0.25">
      <c r="A125" s="108"/>
      <c r="B125" s="125"/>
      <c r="D125" s="108"/>
      <c r="E125" s="125"/>
      <c r="G125" s="108"/>
      <c r="H125" s="125"/>
      <c r="J125" s="108"/>
      <c r="K125" s="125"/>
      <c r="M125" s="108"/>
      <c r="N125" s="125"/>
      <c r="P125" s="108"/>
      <c r="Q125" s="125"/>
      <c r="S125" s="108"/>
      <c r="T125" s="125"/>
    </row>
    <row r="126" spans="1:20" x14ac:dyDescent="0.25">
      <c r="A126" s="108"/>
      <c r="B126" s="125"/>
      <c r="D126" s="108"/>
      <c r="E126" s="125"/>
      <c r="G126" s="108"/>
      <c r="H126" s="125"/>
      <c r="J126" s="108"/>
      <c r="K126" s="125"/>
      <c r="M126" s="108"/>
      <c r="N126" s="125"/>
      <c r="P126" s="108"/>
      <c r="Q126" s="125"/>
      <c r="S126" s="108"/>
      <c r="T126" s="125"/>
    </row>
    <row r="127" spans="1:20" x14ac:dyDescent="0.25">
      <c r="A127" s="108"/>
      <c r="B127" s="125"/>
      <c r="D127" s="108"/>
      <c r="E127" s="125"/>
      <c r="G127" s="108"/>
      <c r="H127" s="125"/>
      <c r="J127" s="108"/>
      <c r="K127" s="125"/>
      <c r="M127" s="108"/>
      <c r="N127" s="125"/>
      <c r="P127" s="108"/>
      <c r="Q127" s="125"/>
      <c r="S127" s="108"/>
      <c r="T127" s="125"/>
    </row>
    <row r="128" spans="1:20" x14ac:dyDescent="0.25">
      <c r="A128" s="108"/>
      <c r="B128" s="125"/>
      <c r="D128" s="108"/>
      <c r="E128" s="125"/>
      <c r="G128" s="108"/>
      <c r="H128" s="125"/>
      <c r="J128" s="108"/>
      <c r="K128" s="125"/>
      <c r="M128" s="108"/>
      <c r="N128" s="125"/>
      <c r="P128" s="108"/>
      <c r="Q128" s="125"/>
      <c r="S128" s="108"/>
      <c r="T128" s="125"/>
    </row>
    <row r="129" spans="1:20" x14ac:dyDescent="0.25">
      <c r="A129" s="108"/>
      <c r="B129" s="125"/>
      <c r="D129" s="108"/>
      <c r="E129" s="125"/>
      <c r="G129" s="108"/>
      <c r="H129" s="125"/>
      <c r="J129" s="108"/>
      <c r="K129" s="125"/>
      <c r="M129" s="108"/>
      <c r="N129" s="125"/>
      <c r="P129" s="108"/>
      <c r="Q129" s="125"/>
      <c r="S129" s="108"/>
      <c r="T129" s="125"/>
    </row>
    <row r="130" spans="1:20" x14ac:dyDescent="0.25">
      <c r="A130" s="108"/>
      <c r="B130" s="125"/>
      <c r="D130" s="108"/>
      <c r="E130" s="125"/>
      <c r="G130" s="108"/>
      <c r="H130" s="125"/>
      <c r="J130" s="108"/>
      <c r="K130" s="125"/>
      <c r="M130" s="108"/>
      <c r="N130" s="125"/>
      <c r="P130" s="108"/>
      <c r="Q130" s="125"/>
      <c r="S130" s="108"/>
      <c r="T130" s="125"/>
    </row>
    <row r="131" spans="1:20" x14ac:dyDescent="0.25">
      <c r="A131" s="108"/>
      <c r="B131" s="125"/>
      <c r="D131" s="108"/>
      <c r="E131" s="125"/>
      <c r="G131" s="108"/>
      <c r="H131" s="125"/>
      <c r="J131" s="108"/>
      <c r="K131" s="125"/>
      <c r="M131" s="108"/>
      <c r="N131" s="125"/>
      <c r="P131" s="108"/>
      <c r="Q131" s="125"/>
      <c r="S131" s="108"/>
      <c r="T131" s="125"/>
    </row>
    <row r="132" spans="1:20" x14ac:dyDescent="0.25">
      <c r="A132" s="108"/>
      <c r="B132" s="125"/>
      <c r="D132" s="108"/>
      <c r="E132" s="125"/>
      <c r="G132" s="108"/>
      <c r="H132" s="125"/>
      <c r="J132" s="108"/>
      <c r="K132" s="125"/>
      <c r="M132" s="108"/>
      <c r="N132" s="125"/>
      <c r="P132" s="108"/>
      <c r="Q132" s="125"/>
      <c r="S132" s="108"/>
      <c r="T132" s="125"/>
    </row>
    <row r="133" spans="1:20" x14ac:dyDescent="0.25">
      <c r="A133" s="108"/>
      <c r="B133" s="125"/>
      <c r="D133" s="108"/>
      <c r="E133" s="125"/>
      <c r="G133" s="108"/>
      <c r="H133" s="125"/>
      <c r="J133" s="108"/>
      <c r="K133" s="125"/>
      <c r="M133" s="108"/>
      <c r="N133" s="125"/>
      <c r="P133" s="108"/>
      <c r="Q133" s="125"/>
      <c r="S133" s="108"/>
      <c r="T133" s="125"/>
    </row>
    <row r="134" spans="1:20" x14ac:dyDescent="0.25">
      <c r="A134" s="108"/>
      <c r="B134" s="125"/>
      <c r="D134" s="108"/>
      <c r="E134" s="125"/>
      <c r="G134" s="108"/>
      <c r="H134" s="125"/>
      <c r="J134" s="108"/>
      <c r="K134" s="125"/>
      <c r="M134" s="108"/>
      <c r="N134" s="125"/>
      <c r="P134" s="108"/>
      <c r="Q134" s="125"/>
      <c r="S134" s="108"/>
      <c r="T134" s="125"/>
    </row>
    <row r="135" spans="1:20" x14ac:dyDescent="0.25">
      <c r="A135" s="108"/>
      <c r="B135" s="125"/>
      <c r="D135" s="108"/>
      <c r="E135" s="125"/>
      <c r="G135" s="108"/>
      <c r="H135" s="125"/>
      <c r="J135" s="108"/>
      <c r="K135" s="125"/>
      <c r="M135" s="108"/>
      <c r="N135" s="125"/>
      <c r="P135" s="108"/>
      <c r="Q135" s="125"/>
      <c r="S135" s="108"/>
      <c r="T135" s="125"/>
    </row>
    <row r="136" spans="1:20" x14ac:dyDescent="0.25">
      <c r="A136" s="108"/>
      <c r="B136" s="125"/>
      <c r="D136" s="108"/>
      <c r="E136" s="125"/>
      <c r="G136" s="108"/>
      <c r="H136" s="125"/>
      <c r="J136" s="108"/>
      <c r="K136" s="125"/>
      <c r="M136" s="108"/>
      <c r="N136" s="125"/>
      <c r="P136" s="108"/>
      <c r="Q136" s="125"/>
      <c r="S136" s="108"/>
      <c r="T136" s="125"/>
    </row>
    <row r="137" spans="1:20" x14ac:dyDescent="0.25">
      <c r="A137" s="108"/>
      <c r="B137" s="125"/>
      <c r="D137" s="108"/>
      <c r="E137" s="125"/>
      <c r="G137" s="108"/>
      <c r="H137" s="125"/>
      <c r="J137" s="108"/>
      <c r="K137" s="125"/>
      <c r="M137" s="108"/>
      <c r="N137" s="125"/>
      <c r="P137" s="108"/>
      <c r="Q137" s="125"/>
      <c r="S137" s="108"/>
      <c r="T137" s="125"/>
    </row>
    <row r="138" spans="1:20" x14ac:dyDescent="0.25">
      <c r="A138" s="108"/>
      <c r="B138" s="125"/>
      <c r="D138" s="108"/>
      <c r="E138" s="125"/>
      <c r="G138" s="108"/>
      <c r="H138" s="125"/>
      <c r="J138" s="108"/>
      <c r="K138" s="125"/>
      <c r="M138" s="108"/>
      <c r="N138" s="125"/>
      <c r="P138" s="108"/>
      <c r="Q138" s="125"/>
      <c r="S138" s="108"/>
      <c r="T138" s="125"/>
    </row>
    <row r="139" spans="1:20" x14ac:dyDescent="0.25">
      <c r="A139" s="108"/>
      <c r="B139" s="125"/>
      <c r="D139" s="108"/>
      <c r="E139" s="125"/>
      <c r="G139" s="108"/>
      <c r="H139" s="125"/>
      <c r="J139" s="108"/>
      <c r="K139" s="125"/>
      <c r="M139" s="108"/>
      <c r="N139" s="125"/>
      <c r="P139" s="108"/>
      <c r="Q139" s="125"/>
      <c r="S139" s="108"/>
      <c r="T139" s="125"/>
    </row>
    <row r="140" spans="1:20" x14ac:dyDescent="0.25">
      <c r="A140" s="108"/>
      <c r="B140" s="125"/>
      <c r="D140" s="108"/>
      <c r="E140" s="125"/>
      <c r="G140" s="108"/>
      <c r="H140" s="125"/>
      <c r="J140" s="108"/>
      <c r="K140" s="125"/>
      <c r="M140" s="108"/>
      <c r="N140" s="125"/>
      <c r="P140" s="108"/>
      <c r="Q140" s="125"/>
      <c r="S140" s="108"/>
      <c r="T140" s="125"/>
    </row>
    <row r="141" spans="1:20" x14ac:dyDescent="0.25">
      <c r="A141" s="108"/>
      <c r="B141" s="125"/>
      <c r="D141" s="108"/>
      <c r="E141" s="125"/>
      <c r="G141" s="108"/>
      <c r="H141" s="125"/>
      <c r="J141" s="108"/>
      <c r="K141" s="125"/>
      <c r="M141" s="108"/>
      <c r="N141" s="125"/>
      <c r="P141" s="108"/>
      <c r="Q141" s="125"/>
      <c r="S141" s="108"/>
      <c r="T141" s="125"/>
    </row>
    <row r="142" spans="1:20" x14ac:dyDescent="0.25">
      <c r="A142" s="108"/>
      <c r="B142" s="125"/>
      <c r="D142" s="108"/>
      <c r="E142" s="125"/>
      <c r="G142" s="108"/>
      <c r="H142" s="125"/>
      <c r="J142" s="108"/>
      <c r="K142" s="125"/>
      <c r="M142" s="108"/>
      <c r="N142" s="125"/>
      <c r="P142" s="108"/>
      <c r="Q142" s="125"/>
      <c r="S142" s="108"/>
      <c r="T142" s="125"/>
    </row>
    <row r="143" spans="1:20" x14ac:dyDescent="0.25">
      <c r="A143" s="108"/>
      <c r="B143" s="125"/>
      <c r="D143" s="108"/>
      <c r="E143" s="125"/>
      <c r="G143" s="108"/>
      <c r="H143" s="125"/>
      <c r="J143" s="108"/>
      <c r="K143" s="125"/>
      <c r="M143" s="108"/>
      <c r="N143" s="125"/>
      <c r="P143" s="108"/>
      <c r="Q143" s="125"/>
      <c r="S143" s="108"/>
      <c r="T143" s="125"/>
    </row>
    <row r="144" spans="1:20" x14ac:dyDescent="0.25">
      <c r="A144" s="108"/>
      <c r="B144" s="125"/>
      <c r="D144" s="108"/>
      <c r="E144" s="125"/>
      <c r="G144" s="108"/>
      <c r="H144" s="125"/>
      <c r="J144" s="108"/>
      <c r="K144" s="125"/>
      <c r="M144" s="108"/>
      <c r="N144" s="125"/>
      <c r="P144" s="108"/>
      <c r="Q144" s="125"/>
      <c r="S144" s="108"/>
      <c r="T144" s="125"/>
    </row>
    <row r="145" spans="1:20" x14ac:dyDescent="0.25">
      <c r="A145" s="108"/>
      <c r="B145" s="125"/>
      <c r="D145" s="108"/>
      <c r="E145" s="125"/>
      <c r="G145" s="108"/>
      <c r="H145" s="125"/>
      <c r="J145" s="108"/>
      <c r="K145" s="125"/>
      <c r="M145" s="108"/>
      <c r="N145" s="125"/>
      <c r="P145" s="108"/>
      <c r="Q145" s="125"/>
      <c r="S145" s="108"/>
      <c r="T145" s="125"/>
    </row>
    <row r="146" spans="1:20" x14ac:dyDescent="0.25">
      <c r="A146" s="108"/>
      <c r="B146" s="125"/>
      <c r="D146" s="108"/>
      <c r="E146" s="125"/>
      <c r="G146" s="108"/>
      <c r="H146" s="125"/>
      <c r="J146" s="108"/>
      <c r="K146" s="125"/>
      <c r="M146" s="108"/>
      <c r="N146" s="125"/>
      <c r="P146" s="108"/>
      <c r="Q146" s="125"/>
      <c r="S146" s="108"/>
      <c r="T146" s="125"/>
    </row>
    <row r="147" spans="1:20" x14ac:dyDescent="0.25">
      <c r="A147" s="108"/>
      <c r="B147" s="125"/>
      <c r="D147" s="108"/>
      <c r="E147" s="125"/>
      <c r="G147" s="108"/>
      <c r="H147" s="125"/>
      <c r="J147" s="108"/>
      <c r="K147" s="125"/>
      <c r="M147" s="108"/>
      <c r="N147" s="125"/>
      <c r="P147" s="108"/>
      <c r="Q147" s="125"/>
      <c r="S147" s="108"/>
      <c r="T147" s="125"/>
    </row>
    <row r="148" spans="1:20" x14ac:dyDescent="0.25">
      <c r="A148" s="108"/>
      <c r="B148" s="125"/>
      <c r="D148" s="108"/>
      <c r="E148" s="125"/>
      <c r="G148" s="108"/>
      <c r="H148" s="125"/>
      <c r="J148" s="108"/>
      <c r="K148" s="125"/>
      <c r="M148" s="108"/>
      <c r="N148" s="125"/>
      <c r="P148" s="108"/>
      <c r="Q148" s="125"/>
      <c r="S148" s="108"/>
      <c r="T148" s="125"/>
    </row>
    <row r="149" spans="1:20" x14ac:dyDescent="0.25">
      <c r="A149" s="108"/>
      <c r="B149" s="125"/>
      <c r="D149" s="108"/>
      <c r="E149" s="125"/>
      <c r="G149" s="108"/>
      <c r="H149" s="125"/>
      <c r="J149" s="108"/>
      <c r="K149" s="125"/>
      <c r="M149" s="108"/>
      <c r="N149" s="125"/>
      <c r="P149" s="108"/>
      <c r="Q149" s="125"/>
      <c r="S149" s="108"/>
      <c r="T149" s="125"/>
    </row>
    <row r="150" spans="1:20" x14ac:dyDescent="0.25">
      <c r="A150" s="108"/>
      <c r="B150" s="125"/>
      <c r="D150" s="108"/>
      <c r="E150" s="125"/>
      <c r="G150" s="108"/>
      <c r="H150" s="125"/>
      <c r="J150" s="108"/>
      <c r="K150" s="125"/>
      <c r="M150" s="108"/>
      <c r="N150" s="125"/>
      <c r="P150" s="108"/>
      <c r="Q150" s="125"/>
      <c r="S150" s="108"/>
      <c r="T150" s="125"/>
    </row>
    <row r="151" spans="1:20" x14ac:dyDescent="0.25">
      <c r="A151" s="108"/>
      <c r="B151" s="125"/>
      <c r="D151" s="108"/>
      <c r="E151" s="125"/>
      <c r="G151" s="108"/>
      <c r="H151" s="125"/>
      <c r="J151" s="108"/>
      <c r="K151" s="125"/>
      <c r="M151" s="108"/>
      <c r="N151" s="125"/>
      <c r="P151" s="108"/>
      <c r="Q151" s="125"/>
      <c r="S151" s="108"/>
      <c r="T151" s="125"/>
    </row>
    <row r="152" spans="1:20" x14ac:dyDescent="0.25">
      <c r="A152" s="108"/>
      <c r="B152" s="125"/>
      <c r="D152" s="108"/>
      <c r="E152" s="125"/>
      <c r="G152" s="108"/>
      <c r="H152" s="125"/>
      <c r="J152" s="108"/>
      <c r="K152" s="125"/>
      <c r="M152" s="108"/>
      <c r="N152" s="125"/>
      <c r="P152" s="108"/>
      <c r="Q152" s="125"/>
      <c r="S152" s="108"/>
      <c r="T152" s="125"/>
    </row>
    <row r="153" spans="1:20" x14ac:dyDescent="0.25">
      <c r="A153" s="108"/>
      <c r="B153" s="125"/>
      <c r="D153" s="108"/>
      <c r="E153" s="125"/>
      <c r="G153" s="108"/>
      <c r="H153" s="125"/>
      <c r="J153" s="108"/>
      <c r="K153" s="125"/>
      <c r="M153" s="108"/>
      <c r="N153" s="125"/>
      <c r="P153" s="108"/>
      <c r="Q153" s="125"/>
      <c r="S153" s="108"/>
      <c r="T153" s="125"/>
    </row>
    <row r="154" spans="1:20" x14ac:dyDescent="0.25">
      <c r="A154" s="108"/>
      <c r="B154" s="125"/>
      <c r="D154" s="108"/>
      <c r="E154" s="125"/>
      <c r="G154" s="108"/>
      <c r="H154" s="125"/>
      <c r="J154" s="108"/>
      <c r="K154" s="125"/>
      <c r="M154" s="108"/>
      <c r="N154" s="125"/>
      <c r="P154" s="108"/>
      <c r="Q154" s="125"/>
      <c r="S154" s="108"/>
      <c r="T154" s="125"/>
    </row>
    <row r="155" spans="1:20" x14ac:dyDescent="0.25">
      <c r="A155" s="108"/>
      <c r="B155" s="125"/>
      <c r="D155" s="108"/>
      <c r="E155" s="125"/>
      <c r="G155" s="108"/>
      <c r="H155" s="125"/>
      <c r="J155" s="108"/>
      <c r="K155" s="125"/>
      <c r="M155" s="108"/>
      <c r="N155" s="125"/>
      <c r="P155" s="108"/>
      <c r="Q155" s="125"/>
      <c r="S155" s="108"/>
      <c r="T155" s="125"/>
    </row>
    <row r="156" spans="1:20" x14ac:dyDescent="0.25">
      <c r="A156" s="108"/>
      <c r="B156" s="125"/>
      <c r="D156" s="108"/>
      <c r="E156" s="125"/>
      <c r="G156" s="108"/>
      <c r="H156" s="125"/>
      <c r="J156" s="108"/>
      <c r="K156" s="125"/>
      <c r="M156" s="108"/>
      <c r="N156" s="125"/>
      <c r="P156" s="108"/>
      <c r="Q156" s="125"/>
      <c r="S156" s="108"/>
      <c r="T156" s="125"/>
    </row>
    <row r="157" spans="1:20" x14ac:dyDescent="0.25">
      <c r="A157" s="108"/>
      <c r="B157" s="125"/>
      <c r="D157" s="108"/>
      <c r="E157" s="125"/>
      <c r="G157" s="108"/>
      <c r="H157" s="125"/>
      <c r="J157" s="108"/>
      <c r="K157" s="125"/>
      <c r="M157" s="108"/>
      <c r="N157" s="125"/>
      <c r="P157" s="108"/>
      <c r="Q157" s="125"/>
      <c r="S157" s="108"/>
      <c r="T157" s="125"/>
    </row>
    <row r="158" spans="1:20" x14ac:dyDescent="0.25">
      <c r="A158" s="108"/>
      <c r="B158" s="125"/>
      <c r="D158" s="108"/>
      <c r="E158" s="125"/>
      <c r="G158" s="108"/>
      <c r="H158" s="125"/>
      <c r="J158" s="108"/>
      <c r="K158" s="125"/>
      <c r="M158" s="108"/>
      <c r="N158" s="125"/>
      <c r="P158" s="108"/>
      <c r="Q158" s="125"/>
      <c r="S158" s="108"/>
      <c r="T158" s="125"/>
    </row>
    <row r="159" spans="1:20" x14ac:dyDescent="0.25">
      <c r="A159" s="108"/>
      <c r="B159" s="125"/>
      <c r="D159" s="108"/>
      <c r="E159" s="125"/>
      <c r="G159" s="108"/>
      <c r="H159" s="125"/>
      <c r="J159" s="108"/>
      <c r="K159" s="125"/>
      <c r="M159" s="108"/>
      <c r="N159" s="125"/>
      <c r="P159" s="108"/>
      <c r="Q159" s="125"/>
      <c r="S159" s="108"/>
      <c r="T159" s="125"/>
    </row>
    <row r="160" spans="1:20" x14ac:dyDescent="0.25">
      <c r="A160" s="108"/>
      <c r="B160" s="125"/>
      <c r="D160" s="108"/>
      <c r="E160" s="125"/>
      <c r="G160" s="108"/>
      <c r="H160" s="125"/>
      <c r="J160" s="108"/>
      <c r="K160" s="125"/>
      <c r="M160" s="108"/>
      <c r="N160" s="125"/>
      <c r="P160" s="108"/>
      <c r="Q160" s="125"/>
      <c r="S160" s="108"/>
      <c r="T160" s="125"/>
    </row>
    <row r="161" spans="1:20" x14ac:dyDescent="0.25">
      <c r="A161" s="108"/>
      <c r="B161" s="125"/>
      <c r="D161" s="108"/>
      <c r="E161" s="125"/>
      <c r="G161" s="108"/>
      <c r="H161" s="125"/>
      <c r="J161" s="108"/>
      <c r="K161" s="125"/>
      <c r="M161" s="108"/>
      <c r="N161" s="125"/>
      <c r="P161" s="108"/>
      <c r="Q161" s="125"/>
      <c r="S161" s="108"/>
      <c r="T161" s="125"/>
    </row>
    <row r="162" spans="1:20" x14ac:dyDescent="0.25">
      <c r="A162" s="108"/>
      <c r="B162" s="125"/>
      <c r="D162" s="108"/>
      <c r="E162" s="125"/>
      <c r="G162" s="108"/>
      <c r="H162" s="125"/>
      <c r="J162" s="108"/>
      <c r="K162" s="125"/>
      <c r="M162" s="108"/>
      <c r="N162" s="125"/>
      <c r="P162" s="108"/>
      <c r="Q162" s="125"/>
      <c r="S162" s="108"/>
      <c r="T162" s="125"/>
    </row>
    <row r="163" spans="1:20" x14ac:dyDescent="0.25">
      <c r="A163" s="108"/>
      <c r="B163" s="125"/>
      <c r="D163" s="108"/>
      <c r="E163" s="125"/>
      <c r="G163" s="108"/>
      <c r="H163" s="125"/>
      <c r="J163" s="108"/>
      <c r="K163" s="125"/>
      <c r="M163" s="108"/>
      <c r="N163" s="125"/>
      <c r="P163" s="108"/>
      <c r="Q163" s="125"/>
      <c r="S163" s="108"/>
      <c r="T163" s="125"/>
    </row>
    <row r="164" spans="1:20" x14ac:dyDescent="0.25">
      <c r="A164" s="108"/>
      <c r="B164" s="125"/>
      <c r="D164" s="108"/>
      <c r="E164" s="125"/>
      <c r="G164" s="108"/>
      <c r="H164" s="125"/>
      <c r="J164" s="108"/>
      <c r="K164" s="125"/>
      <c r="M164" s="108"/>
      <c r="N164" s="125"/>
      <c r="P164" s="108"/>
      <c r="Q164" s="125"/>
      <c r="S164" s="108"/>
      <c r="T164" s="125"/>
    </row>
    <row r="165" spans="1:20" x14ac:dyDescent="0.25">
      <c r="A165" s="108"/>
      <c r="B165" s="125"/>
      <c r="D165" s="108"/>
      <c r="E165" s="125"/>
      <c r="G165" s="108"/>
      <c r="H165" s="125"/>
      <c r="J165" s="108"/>
      <c r="K165" s="125"/>
      <c r="M165" s="108"/>
      <c r="N165" s="125"/>
      <c r="P165" s="108"/>
      <c r="Q165" s="125"/>
      <c r="S165" s="108"/>
      <c r="T165" s="125"/>
    </row>
    <row r="166" spans="1:20" x14ac:dyDescent="0.25">
      <c r="A166" s="108"/>
      <c r="B166" s="125"/>
      <c r="D166" s="108"/>
      <c r="E166" s="125"/>
      <c r="G166" s="108"/>
      <c r="H166" s="125"/>
      <c r="J166" s="108"/>
      <c r="K166" s="125"/>
      <c r="M166" s="108"/>
      <c r="N166" s="125"/>
      <c r="P166" s="108"/>
      <c r="Q166" s="125"/>
      <c r="S166" s="108"/>
      <c r="T166" s="125"/>
    </row>
    <row r="167" spans="1:20" x14ac:dyDescent="0.25">
      <c r="A167" s="108"/>
      <c r="B167" s="125"/>
      <c r="D167" s="108"/>
      <c r="E167" s="125"/>
      <c r="G167" s="108"/>
      <c r="H167" s="125"/>
      <c r="J167" s="108"/>
      <c r="K167" s="125"/>
      <c r="M167" s="108"/>
      <c r="N167" s="125"/>
      <c r="P167" s="108"/>
      <c r="Q167" s="125"/>
      <c r="S167" s="108"/>
      <c r="T167" s="125"/>
    </row>
    <row r="168" spans="1:20" x14ac:dyDescent="0.25">
      <c r="A168" s="108"/>
      <c r="B168" s="125"/>
      <c r="D168" s="108"/>
      <c r="E168" s="125"/>
      <c r="G168" s="108"/>
      <c r="H168" s="125"/>
      <c r="J168" s="108"/>
      <c r="K168" s="125"/>
      <c r="M168" s="108"/>
      <c r="N168" s="125"/>
      <c r="P168" s="108"/>
      <c r="Q168" s="125"/>
      <c r="S168" s="108"/>
      <c r="T168" s="125"/>
    </row>
    <row r="169" spans="1:20" x14ac:dyDescent="0.25">
      <c r="A169" s="108"/>
      <c r="B169" s="125"/>
      <c r="D169" s="108"/>
      <c r="E169" s="125"/>
      <c r="G169" s="108"/>
      <c r="H169" s="125"/>
      <c r="J169" s="108"/>
      <c r="K169" s="125"/>
      <c r="M169" s="108"/>
      <c r="N169" s="125"/>
      <c r="P169" s="108"/>
      <c r="Q169" s="125"/>
      <c r="S169" s="108"/>
      <c r="T169" s="125"/>
    </row>
    <row r="170" spans="1:20" x14ac:dyDescent="0.25">
      <c r="A170" s="108"/>
      <c r="B170" s="125"/>
      <c r="D170" s="108"/>
      <c r="E170" s="125"/>
      <c r="G170" s="108"/>
      <c r="H170" s="125"/>
      <c r="J170" s="108"/>
      <c r="K170" s="125"/>
      <c r="M170" s="108"/>
      <c r="N170" s="125"/>
      <c r="P170" s="108"/>
      <c r="Q170" s="125"/>
      <c r="S170" s="108"/>
      <c r="T170" s="125"/>
    </row>
    <row r="171" spans="1:20" x14ac:dyDescent="0.25">
      <c r="A171" s="108"/>
      <c r="B171" s="125"/>
      <c r="D171" s="108"/>
      <c r="E171" s="125"/>
      <c r="G171" s="108"/>
      <c r="H171" s="125"/>
      <c r="J171" s="108"/>
      <c r="K171" s="125"/>
      <c r="M171" s="108"/>
      <c r="N171" s="125"/>
      <c r="P171" s="108"/>
      <c r="Q171" s="125"/>
      <c r="S171" s="108"/>
      <c r="T171" s="125"/>
    </row>
    <row r="172" spans="1:20" x14ac:dyDescent="0.25">
      <c r="A172" s="108"/>
      <c r="B172" s="125"/>
      <c r="D172" s="108"/>
      <c r="E172" s="125"/>
      <c r="G172" s="108"/>
      <c r="H172" s="125"/>
      <c r="J172" s="108"/>
      <c r="K172" s="125"/>
      <c r="M172" s="108"/>
      <c r="N172" s="125"/>
      <c r="P172" s="108"/>
      <c r="Q172" s="125"/>
      <c r="S172" s="108"/>
      <c r="T172" s="125"/>
    </row>
    <row r="173" spans="1:20" x14ac:dyDescent="0.25">
      <c r="A173" s="108"/>
      <c r="B173" s="125"/>
      <c r="D173" s="108"/>
      <c r="E173" s="125"/>
      <c r="G173" s="108"/>
      <c r="H173" s="125"/>
      <c r="J173" s="108"/>
      <c r="K173" s="125"/>
      <c r="M173" s="108"/>
      <c r="N173" s="125"/>
      <c r="P173" s="108"/>
      <c r="Q173" s="125"/>
      <c r="S173" s="108"/>
      <c r="T173" s="125"/>
    </row>
    <row r="174" spans="1:20" x14ac:dyDescent="0.25">
      <c r="A174" s="108"/>
      <c r="B174" s="125"/>
      <c r="D174" s="108"/>
      <c r="E174" s="125"/>
      <c r="G174" s="108"/>
      <c r="H174" s="125"/>
      <c r="J174" s="108"/>
      <c r="K174" s="125"/>
      <c r="M174" s="108"/>
      <c r="N174" s="125"/>
      <c r="P174" s="108"/>
      <c r="Q174" s="125"/>
      <c r="S174" s="108"/>
      <c r="T174" s="125"/>
    </row>
    <row r="175" spans="1:20" x14ac:dyDescent="0.25">
      <c r="A175" s="108"/>
      <c r="B175" s="125"/>
      <c r="D175" s="108"/>
      <c r="E175" s="125"/>
      <c r="G175" s="108"/>
      <c r="H175" s="125"/>
      <c r="J175" s="108"/>
      <c r="K175" s="125"/>
      <c r="M175" s="108"/>
      <c r="N175" s="125"/>
      <c r="P175" s="108"/>
      <c r="Q175" s="125"/>
      <c r="S175" s="108"/>
      <c r="T175" s="125"/>
    </row>
    <row r="176" spans="1:20" x14ac:dyDescent="0.25">
      <c r="A176" s="108"/>
      <c r="B176" s="125"/>
      <c r="D176" s="108"/>
      <c r="E176" s="125"/>
      <c r="G176" s="108"/>
      <c r="H176" s="125"/>
      <c r="J176" s="108"/>
      <c r="K176" s="125"/>
      <c r="M176" s="108"/>
      <c r="N176" s="125"/>
      <c r="P176" s="108"/>
      <c r="Q176" s="125"/>
      <c r="S176" s="108"/>
      <c r="T176" s="125"/>
    </row>
    <row r="177" spans="1:20" x14ac:dyDescent="0.25">
      <c r="A177" s="108"/>
      <c r="B177" s="125"/>
      <c r="D177" s="108"/>
      <c r="E177" s="125"/>
      <c r="G177" s="108"/>
      <c r="H177" s="125"/>
      <c r="J177" s="108"/>
      <c r="K177" s="125"/>
      <c r="M177" s="108"/>
      <c r="N177" s="125"/>
      <c r="P177" s="108"/>
      <c r="Q177" s="125"/>
      <c r="S177" s="108"/>
      <c r="T177" s="125"/>
    </row>
    <row r="178" spans="1:20" x14ac:dyDescent="0.25">
      <c r="A178" s="108"/>
      <c r="B178" s="125"/>
      <c r="D178" s="108"/>
      <c r="E178" s="125"/>
      <c r="G178" s="108"/>
      <c r="H178" s="125"/>
      <c r="J178" s="108"/>
      <c r="K178" s="125"/>
      <c r="M178" s="108"/>
      <c r="N178" s="125"/>
      <c r="P178" s="108"/>
      <c r="Q178" s="125"/>
      <c r="S178" s="108"/>
      <c r="T178" s="125"/>
    </row>
    <row r="179" spans="1:20" x14ac:dyDescent="0.25">
      <c r="A179" s="108"/>
      <c r="B179" s="125"/>
      <c r="D179" s="108"/>
      <c r="E179" s="125"/>
      <c r="G179" s="108"/>
      <c r="H179" s="125"/>
      <c r="J179" s="108"/>
      <c r="K179" s="125"/>
      <c r="M179" s="108"/>
      <c r="N179" s="125"/>
      <c r="P179" s="108"/>
      <c r="Q179" s="125"/>
      <c r="S179" s="108"/>
      <c r="T179" s="125"/>
    </row>
    <row r="180" spans="1:20" x14ac:dyDescent="0.25">
      <c r="A180" s="108"/>
      <c r="B180" s="125"/>
      <c r="D180" s="108"/>
      <c r="E180" s="125"/>
      <c r="G180" s="108"/>
      <c r="H180" s="125"/>
      <c r="J180" s="108"/>
      <c r="K180" s="125"/>
      <c r="M180" s="108"/>
      <c r="N180" s="125"/>
      <c r="P180" s="108"/>
      <c r="Q180" s="125"/>
      <c r="S180" s="108"/>
      <c r="T180" s="125"/>
    </row>
    <row r="181" spans="1:20" x14ac:dyDescent="0.25">
      <c r="A181" s="108"/>
      <c r="B181" s="125"/>
      <c r="D181" s="108"/>
      <c r="E181" s="125"/>
      <c r="G181" s="108"/>
      <c r="H181" s="125"/>
      <c r="J181" s="108"/>
      <c r="K181" s="125"/>
      <c r="M181" s="108"/>
      <c r="N181" s="125"/>
      <c r="P181" s="108"/>
      <c r="Q181" s="125"/>
      <c r="S181" s="108"/>
      <c r="T181" s="125"/>
    </row>
    <row r="182" spans="1:20" x14ac:dyDescent="0.25">
      <c r="A182" s="108"/>
      <c r="B182" s="125"/>
      <c r="D182" s="108"/>
      <c r="E182" s="125"/>
      <c r="G182" s="108"/>
      <c r="H182" s="125"/>
      <c r="J182" s="108"/>
      <c r="K182" s="125"/>
      <c r="M182" s="108"/>
      <c r="N182" s="125"/>
      <c r="P182" s="108"/>
      <c r="Q182" s="125"/>
      <c r="S182" s="108"/>
      <c r="T182" s="125"/>
    </row>
    <row r="183" spans="1:20" x14ac:dyDescent="0.25">
      <c r="A183" s="108"/>
      <c r="B183" s="125"/>
      <c r="D183" s="108"/>
      <c r="E183" s="125"/>
      <c r="G183" s="108"/>
      <c r="H183" s="125"/>
      <c r="J183" s="108"/>
      <c r="K183" s="125"/>
      <c r="M183" s="108"/>
      <c r="N183" s="125"/>
      <c r="P183" s="108"/>
      <c r="Q183" s="125"/>
      <c r="S183" s="108"/>
      <c r="T183" s="125"/>
    </row>
    <row r="184" spans="1:20" x14ac:dyDescent="0.25">
      <c r="A184" s="108"/>
      <c r="B184" s="125"/>
      <c r="D184" s="108"/>
      <c r="E184" s="125"/>
      <c r="G184" s="108"/>
      <c r="H184" s="125"/>
      <c r="J184" s="108"/>
      <c r="K184" s="125"/>
      <c r="M184" s="108"/>
      <c r="N184" s="125"/>
      <c r="P184" s="108"/>
      <c r="Q184" s="125"/>
      <c r="S184" s="108"/>
      <c r="T184" s="125"/>
    </row>
    <row r="185" spans="1:20" x14ac:dyDescent="0.25">
      <c r="A185" s="108"/>
      <c r="B185" s="125"/>
      <c r="D185" s="108"/>
      <c r="E185" s="125"/>
      <c r="G185" s="108"/>
      <c r="H185" s="125"/>
      <c r="J185" s="108"/>
      <c r="K185" s="125"/>
      <c r="M185" s="108"/>
      <c r="N185" s="125"/>
      <c r="P185" s="108"/>
      <c r="Q185" s="125"/>
      <c r="S185" s="108"/>
      <c r="T185" s="125"/>
    </row>
    <row r="186" spans="1:20" x14ac:dyDescent="0.25">
      <c r="A186" s="108"/>
      <c r="B186" s="125"/>
      <c r="D186" s="108"/>
      <c r="E186" s="125"/>
      <c r="G186" s="108"/>
      <c r="H186" s="125"/>
      <c r="J186" s="108"/>
      <c r="K186" s="125"/>
      <c r="M186" s="108"/>
      <c r="N186" s="125"/>
      <c r="P186" s="108"/>
      <c r="Q186" s="125"/>
      <c r="S186" s="108"/>
      <c r="T186" s="125"/>
    </row>
    <row r="187" spans="1:20" x14ac:dyDescent="0.25">
      <c r="A187" s="108"/>
      <c r="B187" s="125"/>
      <c r="D187" s="108"/>
      <c r="E187" s="125"/>
      <c r="G187" s="108"/>
      <c r="H187" s="125"/>
      <c r="J187" s="108"/>
      <c r="K187" s="125"/>
      <c r="M187" s="108"/>
      <c r="N187" s="125"/>
      <c r="P187" s="108"/>
      <c r="Q187" s="125"/>
      <c r="S187" s="108"/>
      <c r="T187" s="125"/>
    </row>
    <row r="188" spans="1:20" x14ac:dyDescent="0.25">
      <c r="A188" s="108"/>
      <c r="B188" s="125"/>
      <c r="D188" s="108"/>
      <c r="E188" s="125"/>
      <c r="G188" s="108"/>
      <c r="H188" s="125"/>
      <c r="J188" s="108"/>
      <c r="K188" s="125"/>
      <c r="M188" s="108"/>
      <c r="N188" s="125"/>
      <c r="P188" s="108"/>
      <c r="Q188" s="125"/>
      <c r="S188" s="108"/>
      <c r="T188" s="125"/>
    </row>
    <row r="189" spans="1:20" x14ac:dyDescent="0.25">
      <c r="A189" s="108"/>
      <c r="B189" s="125"/>
      <c r="D189" s="108"/>
      <c r="E189" s="125"/>
      <c r="G189" s="108"/>
      <c r="H189" s="125"/>
      <c r="J189" s="108"/>
      <c r="K189" s="125"/>
      <c r="M189" s="108"/>
      <c r="N189" s="125"/>
      <c r="P189" s="108"/>
      <c r="Q189" s="125"/>
      <c r="S189" s="108"/>
      <c r="T189" s="125"/>
    </row>
    <row r="190" spans="1:20" x14ac:dyDescent="0.25">
      <c r="A190" s="108"/>
      <c r="B190" s="125"/>
      <c r="D190" s="108"/>
      <c r="E190" s="125"/>
      <c r="G190" s="108"/>
      <c r="H190" s="125"/>
      <c r="J190" s="108"/>
      <c r="K190" s="125"/>
      <c r="M190" s="108"/>
      <c r="N190" s="125"/>
      <c r="P190" s="108"/>
      <c r="Q190" s="125"/>
      <c r="S190" s="108"/>
      <c r="T190" s="125"/>
    </row>
    <row r="191" spans="1:20" x14ac:dyDescent="0.25">
      <c r="A191" s="108"/>
      <c r="B191" s="125"/>
      <c r="D191" s="108"/>
      <c r="E191" s="125"/>
      <c r="G191" s="108"/>
      <c r="H191" s="125"/>
      <c r="J191" s="108"/>
      <c r="K191" s="125"/>
      <c r="M191" s="108"/>
      <c r="N191" s="125"/>
      <c r="P191" s="108"/>
      <c r="Q191" s="125"/>
      <c r="S191" s="108"/>
      <c r="T191" s="125"/>
    </row>
    <row r="192" spans="1:20" x14ac:dyDescent="0.25">
      <c r="A192" s="108"/>
      <c r="B192" s="125"/>
      <c r="D192" s="108"/>
      <c r="E192" s="125"/>
      <c r="G192" s="108"/>
      <c r="H192" s="125"/>
      <c r="J192" s="108"/>
      <c r="K192" s="125"/>
      <c r="M192" s="108"/>
      <c r="N192" s="125"/>
      <c r="P192" s="108"/>
      <c r="Q192" s="125"/>
      <c r="S192" s="108"/>
      <c r="T192" s="125"/>
    </row>
    <row r="193" spans="1:20" x14ac:dyDescent="0.25">
      <c r="A193" s="108"/>
      <c r="B193" s="125"/>
      <c r="D193" s="108"/>
      <c r="E193" s="125"/>
      <c r="G193" s="108"/>
      <c r="H193" s="125"/>
      <c r="J193" s="108"/>
      <c r="K193" s="125"/>
      <c r="M193" s="108"/>
      <c r="N193" s="125"/>
      <c r="P193" s="108"/>
      <c r="Q193" s="125"/>
      <c r="S193" s="108"/>
      <c r="T193" s="125"/>
    </row>
    <row r="194" spans="1:20" x14ac:dyDescent="0.25">
      <c r="A194" s="108"/>
      <c r="B194" s="125"/>
      <c r="D194" s="108"/>
      <c r="E194" s="125"/>
      <c r="G194" s="108"/>
      <c r="H194" s="125"/>
      <c r="J194" s="108"/>
      <c r="K194" s="125"/>
      <c r="M194" s="108"/>
      <c r="N194" s="125"/>
      <c r="P194" s="108"/>
      <c r="Q194" s="125"/>
      <c r="S194" s="108"/>
      <c r="T194" s="125"/>
    </row>
    <row r="195" spans="1:20" x14ac:dyDescent="0.25">
      <c r="A195" s="108"/>
      <c r="B195" s="125"/>
      <c r="D195" s="108"/>
      <c r="E195" s="125"/>
      <c r="G195" s="108"/>
      <c r="H195" s="125"/>
      <c r="J195" s="108"/>
      <c r="K195" s="125"/>
      <c r="M195" s="108"/>
      <c r="N195" s="125"/>
      <c r="P195" s="108"/>
      <c r="Q195" s="125"/>
      <c r="S195" s="108"/>
      <c r="T195" s="125"/>
    </row>
    <row r="196" spans="1:20" x14ac:dyDescent="0.25">
      <c r="A196" s="108"/>
      <c r="B196" s="125"/>
      <c r="D196" s="108"/>
      <c r="E196" s="125"/>
      <c r="G196" s="108"/>
      <c r="H196" s="125"/>
      <c r="J196" s="108"/>
      <c r="K196" s="125"/>
      <c r="M196" s="108"/>
      <c r="N196" s="125"/>
      <c r="P196" s="108"/>
      <c r="Q196" s="125"/>
      <c r="S196" s="108"/>
      <c r="T196" s="125"/>
    </row>
    <row r="197" spans="1:20" x14ac:dyDescent="0.25">
      <c r="A197" s="108"/>
      <c r="B197" s="125"/>
      <c r="D197" s="108"/>
      <c r="E197" s="125"/>
      <c r="G197" s="108"/>
      <c r="H197" s="125"/>
      <c r="J197" s="108"/>
      <c r="K197" s="125"/>
      <c r="M197" s="108"/>
      <c r="N197" s="125"/>
      <c r="P197" s="108"/>
      <c r="Q197" s="125"/>
      <c r="S197" s="108"/>
      <c r="T197" s="125"/>
    </row>
    <row r="198" spans="1:20" x14ac:dyDescent="0.25">
      <c r="A198" s="108"/>
      <c r="B198" s="125"/>
      <c r="D198" s="108"/>
      <c r="E198" s="125"/>
      <c r="G198" s="108"/>
      <c r="H198" s="125"/>
      <c r="J198" s="108"/>
      <c r="K198" s="125"/>
      <c r="M198" s="108"/>
      <c r="N198" s="125"/>
      <c r="P198" s="108"/>
      <c r="Q198" s="125"/>
      <c r="S198" s="108"/>
      <c r="T198" s="125"/>
    </row>
    <row r="199" spans="1:20" x14ac:dyDescent="0.25">
      <c r="A199" s="108"/>
      <c r="B199" s="125"/>
      <c r="D199" s="108"/>
      <c r="E199" s="125"/>
      <c r="G199" s="108"/>
      <c r="H199" s="125"/>
      <c r="J199" s="108"/>
      <c r="K199" s="125"/>
      <c r="M199" s="108"/>
      <c r="N199" s="125"/>
      <c r="P199" s="108"/>
      <c r="Q199" s="125"/>
      <c r="S199" s="108"/>
      <c r="T199" s="125"/>
    </row>
    <row r="200" spans="1:20" x14ac:dyDescent="0.25">
      <c r="A200" s="108"/>
      <c r="B200" s="125"/>
      <c r="D200" s="108"/>
      <c r="E200" s="125"/>
      <c r="G200" s="108"/>
      <c r="H200" s="125"/>
      <c r="J200" s="108"/>
      <c r="K200" s="125"/>
      <c r="M200" s="108"/>
      <c r="N200" s="125"/>
      <c r="P200" s="108"/>
      <c r="Q200" s="125"/>
      <c r="S200" s="108"/>
      <c r="T200" s="1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2AC6-7391-4D38-AC27-881293240E9A}">
  <dimension ref="A1:AD945"/>
  <sheetViews>
    <sheetView zoomScale="80" zoomScaleNormal="80" workbookViewId="0">
      <selection activeCell="C17" sqref="C17"/>
    </sheetView>
  </sheetViews>
  <sheetFormatPr defaultColWidth="9.140625" defaultRowHeight="15" x14ac:dyDescent="0.25"/>
  <cols>
    <col min="1" max="1" width="15.5703125" style="37" bestFit="1" customWidth="1"/>
    <col min="2" max="2" width="19.42578125" style="3" bestFit="1" customWidth="1"/>
    <col min="3" max="3" width="16.42578125" style="3" bestFit="1" customWidth="1"/>
    <col min="4" max="4" width="9.140625" style="40" bestFit="1" customWidth="1"/>
    <col min="5" max="6" width="11.5703125" style="3" bestFit="1" customWidth="1"/>
    <col min="7" max="7" width="9.140625" style="3" hidden="1" customWidth="1"/>
    <col min="8" max="8" width="13.140625" style="3" hidden="1" customWidth="1"/>
    <col min="9" max="9" width="14.5703125" style="3" bestFit="1" customWidth="1"/>
    <col min="10" max="10" width="12.85546875" style="3" customWidth="1"/>
    <col min="11" max="11" width="9.28515625" style="3" bestFit="1" customWidth="1"/>
    <col min="12" max="12" width="11.5703125" style="76" bestFit="1" customWidth="1"/>
    <col min="13" max="13" width="7.140625" style="41" bestFit="1" customWidth="1"/>
    <col min="14" max="14" width="11.5703125" style="37" bestFit="1" customWidth="1"/>
    <col min="15" max="15" width="7.140625" style="41" bestFit="1" customWidth="1"/>
    <col min="16" max="18" width="11.5703125" style="37" bestFit="1" customWidth="1"/>
    <col min="19" max="20" width="9.140625" style="37"/>
    <col min="21" max="23" width="9.140625" style="3"/>
    <col min="24" max="24" width="17.140625" style="95" bestFit="1" customWidth="1"/>
    <col min="25" max="25" width="9.85546875" style="3" bestFit="1" customWidth="1"/>
    <col min="26" max="26" width="11.5703125" style="3" bestFit="1" customWidth="1"/>
    <col min="27" max="27" width="7.7109375" style="3" bestFit="1" customWidth="1"/>
    <col min="28" max="28" width="11.5703125" style="37" bestFit="1" customWidth="1"/>
    <col min="29" max="29" width="16.42578125" style="3" bestFit="1" customWidth="1"/>
    <col min="30" max="30" width="11.5703125" style="3" bestFit="1" customWidth="1"/>
    <col min="31" max="16384" width="9.140625" style="3"/>
  </cols>
  <sheetData>
    <row r="1" spans="1:30" ht="15.75" thickBot="1" x14ac:dyDescent="0.3">
      <c r="A1" s="1"/>
      <c r="B1" s="1" t="s">
        <v>96</v>
      </c>
      <c r="C1" s="1"/>
      <c r="D1" s="25"/>
      <c r="L1" s="37">
        <f ca="1">TODAY()-150</f>
        <v>46041</v>
      </c>
      <c r="R1" s="37" cm="1">
        <f t="array" aca="1" ref="R1" ca="1">LOOKUP(2,1/(R:R&lt;&gt;""),R:R)</f>
        <v>46190</v>
      </c>
      <c r="AC1" s="56" t="s">
        <v>84</v>
      </c>
      <c r="AD1" s="37" cm="1">
        <f t="array" ref="AD1">LOOKUP(2,1/(AB:AB&lt;&gt;""),AB:AB)</f>
        <v>46190</v>
      </c>
    </row>
    <row r="2" spans="1:30" ht="15.75" thickBot="1" x14ac:dyDescent="0.3">
      <c r="A2" s="13"/>
      <c r="B2" s="22" t="s">
        <v>1</v>
      </c>
      <c r="C2" s="23" t="s">
        <v>0</v>
      </c>
      <c r="D2" s="25"/>
      <c r="L2" s="22" t="s">
        <v>1</v>
      </c>
      <c r="N2" s="23" t="s">
        <v>0</v>
      </c>
      <c r="R2" s="3" cm="1">
        <f t="array" aca="1" ref="R2:R13" ca="1">_xlfn.UNIQUE(Q:Q)</f>
        <v>0</v>
      </c>
      <c r="AC2" s="3" t="s">
        <v>86</v>
      </c>
      <c r="AD2" s="3">
        <f>VLOOKUP(AD1,Z:AA,2)</f>
        <v>88.236999999999995</v>
      </c>
    </row>
    <row r="3" spans="1:30" x14ac:dyDescent="0.25">
      <c r="A3" s="13" t="s">
        <v>19</v>
      </c>
      <c r="B3" s="14" t="s">
        <v>77</v>
      </c>
      <c r="C3" s="5" t="s">
        <v>95</v>
      </c>
      <c r="D3" s="25"/>
      <c r="L3" s="37" cm="1">
        <f t="array" aca="1" ref="L3:M62" ca="1">_xll.BDH($B$4, "PX_LAST, ", TODAY()-300, TODAY()-1)</f>
        <v>46101</v>
      </c>
      <c r="M3" s="41">
        <f ca="1"/>
        <v>133.29900000000001</v>
      </c>
      <c r="N3" s="37" cm="1">
        <f t="array" aca="1" ref="N3:O187" ca="1">_xll.BDH($C$4, "PX_LAST, ", TODAY()-300, TODAY()-1)</f>
        <v>45922</v>
      </c>
      <c r="O3" s="41">
        <f ca="1"/>
        <v>225.7</v>
      </c>
      <c r="P3" s="37">
        <f ca="1">IF(COUNTIF(N:N,L3),L3,"")</f>
        <v>46101</v>
      </c>
      <c r="Q3" s="37" t="str">
        <f ca="1">IF(P3&gt;$A$14,P3,"")</f>
        <v/>
      </c>
      <c r="R3" s="37" t="str">
        <f ca="1"/>
        <v/>
      </c>
      <c r="X3" s="95" cm="1">
        <f t="array" ref="X3:Y34">_xll.BDH(B1, "LAST_PRICE", "05/01/2026","")</f>
        <v>46143</v>
      </c>
      <c r="Y3" s="3">
        <v>164.60339999999999</v>
      </c>
      <c r="Z3" s="37" cm="1">
        <f t="array" ref="Z3:AA35">_xll.BDH(B4, "LAST_PRICE", "05/01/2026", "")</f>
        <v>46143</v>
      </c>
      <c r="AA3" s="3">
        <v>99.15</v>
      </c>
      <c r="AB3" s="37">
        <f>IF(COUNTIF(Z:Z,X3),X3,"")</f>
        <v>46143</v>
      </c>
      <c r="AC3" s="56" t="s">
        <v>83</v>
      </c>
      <c r="AD3" s="3">
        <f>VLOOKUP(AD1,X:Y,2)</f>
        <v>165.63059999999999</v>
      </c>
    </row>
    <row r="4" spans="1:30" ht="30" customHeight="1" x14ac:dyDescent="0.25">
      <c r="A4" s="14" t="s">
        <v>20</v>
      </c>
      <c r="B4" s="16" t="s">
        <v>78</v>
      </c>
      <c r="C4" s="6" t="s">
        <v>76</v>
      </c>
      <c r="D4" s="25"/>
      <c r="E4" s="119" t="s">
        <v>45</v>
      </c>
      <c r="F4" s="3">
        <v>50</v>
      </c>
      <c r="L4" s="37">
        <f ca="1"/>
        <v>46104</v>
      </c>
      <c r="M4" s="41">
        <f ca="1"/>
        <v>129.78700000000001</v>
      </c>
      <c r="N4" s="37">
        <f ca="1"/>
        <v>45923</v>
      </c>
      <c r="O4" s="41">
        <f ca="1"/>
        <v>226.65</v>
      </c>
      <c r="P4" s="37">
        <f t="shared" ref="P4:P67" ca="1" si="0">IF(COUNTIF(N:N,L4),L4,"")</f>
        <v>46104</v>
      </c>
      <c r="Q4" s="37" t="str">
        <f t="shared" ref="Q4:Q67" ca="1" si="1">IF(P4&gt;$A$14,P4,"")</f>
        <v/>
      </c>
      <c r="R4" s="37">
        <f ca="1"/>
        <v>46177</v>
      </c>
      <c r="X4" s="95">
        <v>46147</v>
      </c>
      <c r="Y4" s="3">
        <v>164.51759999999999</v>
      </c>
      <c r="Z4" s="37">
        <v>46147</v>
      </c>
      <c r="AA4" s="3">
        <v>100.452</v>
      </c>
      <c r="AB4" s="37">
        <f t="shared" ref="AB4:AB67" si="2">IF(COUNTIF(Z:Z,X4),X4,"")</f>
        <v>46147</v>
      </c>
      <c r="AC4" s="3" t="s">
        <v>93</v>
      </c>
      <c r="AD4" s="41">
        <f ca="1">INT(NOW())-INT(AD1)</f>
        <v>1</v>
      </c>
    </row>
    <row r="5" spans="1:30" x14ac:dyDescent="0.25">
      <c r="A5" s="14" t="s">
        <v>2</v>
      </c>
      <c r="B5" s="17">
        <f>75*10^6</f>
        <v>75000000</v>
      </c>
      <c r="C5" s="6">
        <v>525</v>
      </c>
      <c r="D5" s="25"/>
      <c r="E5" s="83"/>
      <c r="L5" s="37">
        <f ca="1"/>
        <v>46105</v>
      </c>
      <c r="M5" s="41">
        <f ca="1"/>
        <v>131.09399999999999</v>
      </c>
      <c r="N5" s="37">
        <f ca="1"/>
        <v>45924</v>
      </c>
      <c r="O5" s="41">
        <f ca="1"/>
        <v>227.4</v>
      </c>
      <c r="P5" s="37">
        <f t="shared" ca="1" si="0"/>
        <v>46105</v>
      </c>
      <c r="Q5" s="37" t="str">
        <f t="shared" ca="1" si="1"/>
        <v/>
      </c>
      <c r="R5" s="37">
        <f ca="1"/>
        <v>46178</v>
      </c>
      <c r="X5" s="95">
        <v>46148</v>
      </c>
      <c r="Y5" s="3">
        <v>164.87549999999999</v>
      </c>
      <c r="Z5" s="37">
        <v>46148</v>
      </c>
      <c r="AA5" s="3">
        <v>95.917000000000002</v>
      </c>
      <c r="AB5" s="37">
        <f t="shared" si="2"/>
        <v>46148</v>
      </c>
    </row>
    <row r="6" spans="1:30" x14ac:dyDescent="0.25">
      <c r="A6" s="14" t="s">
        <v>3</v>
      </c>
      <c r="B6" s="18">
        <v>0.01</v>
      </c>
      <c r="C6" s="10">
        <v>0</v>
      </c>
      <c r="D6" s="25"/>
      <c r="L6" s="37">
        <f ca="1"/>
        <v>46106</v>
      </c>
      <c r="M6" s="41">
        <f ca="1"/>
        <v>126.128</v>
      </c>
      <c r="N6" s="37">
        <f ca="1"/>
        <v>45925</v>
      </c>
      <c r="O6" s="41">
        <f ca="1"/>
        <v>225.8</v>
      </c>
      <c r="P6" s="37">
        <f t="shared" ca="1" si="0"/>
        <v>46106</v>
      </c>
      <c r="Q6" s="37" t="str">
        <f t="shared" ca="1" si="1"/>
        <v/>
      </c>
      <c r="R6" s="37">
        <f ca="1"/>
        <v>46181</v>
      </c>
      <c r="X6" s="95">
        <v>46149</v>
      </c>
      <c r="Y6" s="3">
        <v>164.79390000000001</v>
      </c>
      <c r="Z6" s="37">
        <v>46149</v>
      </c>
      <c r="AA6" s="3">
        <v>97.302999999999997</v>
      </c>
      <c r="AB6" s="37">
        <f t="shared" si="2"/>
        <v>46149</v>
      </c>
    </row>
    <row r="7" spans="1:30" x14ac:dyDescent="0.25">
      <c r="A7" s="14" t="s">
        <v>4</v>
      </c>
      <c r="B7" s="18">
        <v>0</v>
      </c>
      <c r="C7" s="10">
        <v>0</v>
      </c>
      <c r="D7" s="25"/>
      <c r="E7" s="37"/>
      <c r="L7" s="38">
        <f ca="1"/>
        <v>46107</v>
      </c>
      <c r="M7" s="41">
        <f ca="1"/>
        <v>133.72800000000001</v>
      </c>
      <c r="N7" s="37">
        <f ca="1"/>
        <v>45926</v>
      </c>
      <c r="O7" s="41">
        <f ca="1"/>
        <v>230.25</v>
      </c>
      <c r="P7" s="37">
        <f t="shared" ca="1" si="0"/>
        <v>46107</v>
      </c>
      <c r="Q7" s="37" t="str">
        <f t="shared" ca="1" si="1"/>
        <v/>
      </c>
      <c r="R7" s="37">
        <f ca="1"/>
        <v>46182</v>
      </c>
      <c r="X7" s="95">
        <v>46150</v>
      </c>
      <c r="Y7" s="3">
        <v>164.7687</v>
      </c>
      <c r="Z7" s="37">
        <v>46150</v>
      </c>
      <c r="AA7" s="3">
        <v>97.287000000000006</v>
      </c>
      <c r="AB7" s="37">
        <f t="shared" si="2"/>
        <v>46150</v>
      </c>
    </row>
    <row r="8" spans="1:30" x14ac:dyDescent="0.25">
      <c r="A8" s="14" t="s">
        <v>5</v>
      </c>
      <c r="B8" s="14">
        <v>4.6900000000000004</v>
      </c>
      <c r="C8" s="5"/>
      <c r="D8" s="25"/>
      <c r="E8" s="38"/>
      <c r="I8" s="37"/>
      <c r="J8" s="37"/>
      <c r="L8" s="37">
        <f ca="1"/>
        <v>46108</v>
      </c>
      <c r="M8" s="41">
        <f ca="1"/>
        <v>138.6</v>
      </c>
      <c r="N8" s="37">
        <f ca="1"/>
        <v>45929</v>
      </c>
      <c r="O8" s="41">
        <f ca="1"/>
        <v>228.4</v>
      </c>
      <c r="P8" s="37">
        <f t="shared" ca="1" si="0"/>
        <v>46108</v>
      </c>
      <c r="Q8" s="37" t="str">
        <f t="shared" ca="1" si="1"/>
        <v/>
      </c>
      <c r="R8" s="37">
        <f ca="1"/>
        <v>46183</v>
      </c>
      <c r="X8" s="95">
        <v>46153</v>
      </c>
      <c r="Y8" s="3">
        <v>164.834</v>
      </c>
      <c r="Z8" s="37">
        <v>46153</v>
      </c>
      <c r="AA8" s="3">
        <v>96.718999999999994</v>
      </c>
      <c r="AB8" s="37">
        <f t="shared" si="2"/>
        <v>46153</v>
      </c>
    </row>
    <row r="9" spans="1:30" ht="15.75" thickBot="1" x14ac:dyDescent="0.3">
      <c r="A9" s="15" t="s">
        <v>15</v>
      </c>
      <c r="B9" s="19" cm="1">
        <f t="array" ref="B9">_xll.BDP(B4,"PX_LAST")</f>
        <v>88.305059999999997</v>
      </c>
      <c r="C9" s="12" cm="1">
        <f t="array" ref="C9">_xll.BDP(C4,"PX_LAST")</f>
        <v>295.2</v>
      </c>
      <c r="D9" s="25"/>
      <c r="E9" s="38"/>
      <c r="I9" s="37"/>
      <c r="J9" s="37"/>
      <c r="L9" s="37">
        <f ca="1"/>
        <v>46111</v>
      </c>
      <c r="M9" s="41">
        <f ca="1"/>
        <v>137.76</v>
      </c>
      <c r="N9" s="37">
        <f ca="1"/>
        <v>45930</v>
      </c>
      <c r="O9" s="41">
        <f ca="1"/>
        <v>228.85</v>
      </c>
      <c r="P9" s="37">
        <f t="shared" ca="1" si="0"/>
        <v>46111</v>
      </c>
      <c r="Q9" s="37" t="str">
        <f t="shared" ca="1" si="1"/>
        <v/>
      </c>
      <c r="R9" s="37">
        <f ca="1"/>
        <v>46184</v>
      </c>
      <c r="X9" s="95">
        <v>46154</v>
      </c>
      <c r="Y9" s="3">
        <v>164.583</v>
      </c>
      <c r="Z9" s="37">
        <v>46154</v>
      </c>
      <c r="AA9" s="3">
        <v>100.017</v>
      </c>
      <c r="AB9" s="37">
        <f t="shared" si="2"/>
        <v>46154</v>
      </c>
    </row>
    <row r="10" spans="1:30" ht="15.75" thickBot="1" x14ac:dyDescent="0.3">
      <c r="A10" s="39" t="s">
        <v>82</v>
      </c>
      <c r="B10" s="19">
        <f ca="1">AD3*(1-(B9-AD2)*B8*10^-4+B6*AD4/360)</f>
        <v>165.6299138980597</v>
      </c>
      <c r="D10" s="25"/>
      <c r="E10" s="1"/>
      <c r="I10" s="37"/>
      <c r="J10" s="37"/>
      <c r="L10" s="37">
        <f ca="1"/>
        <v>46112</v>
      </c>
      <c r="M10" s="41">
        <f ca="1"/>
        <v>133.54300000000001</v>
      </c>
      <c r="N10" s="37">
        <f ca="1"/>
        <v>45931</v>
      </c>
      <c r="O10" s="41">
        <f ca="1"/>
        <v>230.4</v>
      </c>
      <c r="P10" s="37">
        <f t="shared" ca="1" si="0"/>
        <v>46112</v>
      </c>
      <c r="Q10" s="37" t="str">
        <f t="shared" ca="1" si="1"/>
        <v/>
      </c>
      <c r="R10" s="37">
        <f ca="1"/>
        <v>46185</v>
      </c>
      <c r="X10" s="95">
        <v>46155</v>
      </c>
      <c r="Y10" s="3">
        <v>164.76060000000001</v>
      </c>
      <c r="Z10" s="37">
        <v>46155</v>
      </c>
      <c r="AA10" s="3">
        <v>97.277000000000001</v>
      </c>
      <c r="AB10" s="37">
        <f t="shared" si="2"/>
        <v>46155</v>
      </c>
    </row>
    <row r="11" spans="1:30" ht="15.75" thickBot="1" x14ac:dyDescent="0.3">
      <c r="A11" s="1"/>
      <c r="B11" s="1"/>
      <c r="C11" s="1"/>
      <c r="D11" s="25"/>
      <c r="E11" s="1"/>
      <c r="L11" s="37">
        <f ca="1"/>
        <v>46113</v>
      </c>
      <c r="M11" s="41">
        <f ca="1"/>
        <v>121.008</v>
      </c>
      <c r="N11" s="37">
        <f ca="1"/>
        <v>45932</v>
      </c>
      <c r="O11" s="41">
        <f ca="1"/>
        <v>228.5</v>
      </c>
      <c r="P11" s="37">
        <f t="shared" ca="1" si="0"/>
        <v>46113</v>
      </c>
      <c r="Q11" s="37" t="str">
        <f t="shared" ca="1" si="1"/>
        <v/>
      </c>
      <c r="R11" s="37">
        <f ca="1"/>
        <v>46188</v>
      </c>
      <c r="X11" s="95">
        <v>46156</v>
      </c>
      <c r="Y11" s="3">
        <v>164.91399999999999</v>
      </c>
      <c r="Z11" s="37">
        <v>46156</v>
      </c>
      <c r="AA11" s="3">
        <v>95.843000000000004</v>
      </c>
      <c r="AB11" s="37">
        <f t="shared" si="2"/>
        <v>46156</v>
      </c>
    </row>
    <row r="12" spans="1:30" ht="15.75" thickBot="1" x14ac:dyDescent="0.3">
      <c r="A12" s="27" t="s">
        <v>12</v>
      </c>
      <c r="B12" s="138" t="s">
        <v>1</v>
      </c>
      <c r="C12" s="139"/>
      <c r="D12" s="144"/>
      <c r="E12" s="140" t="s">
        <v>0</v>
      </c>
      <c r="F12" s="141"/>
      <c r="G12" s="141"/>
      <c r="H12" s="116" t="s">
        <v>75</v>
      </c>
      <c r="I12" s="27" t="s">
        <v>7</v>
      </c>
      <c r="J12" s="1"/>
      <c r="L12" s="76">
        <f ca="1"/>
        <v>46114</v>
      </c>
      <c r="M12" s="34">
        <f ca="1"/>
        <v>118.791</v>
      </c>
      <c r="N12" s="37">
        <f ca="1"/>
        <v>45933</v>
      </c>
      <c r="O12" s="41">
        <f ca="1"/>
        <v>229.3</v>
      </c>
      <c r="P12" s="37">
        <f t="shared" ca="1" si="0"/>
        <v>46114</v>
      </c>
      <c r="Q12" s="37" t="str">
        <f t="shared" ca="1" si="1"/>
        <v/>
      </c>
      <c r="R12" s="37">
        <f ca="1"/>
        <v>46189</v>
      </c>
      <c r="X12" s="95">
        <v>46157</v>
      </c>
      <c r="Y12" s="3">
        <v>164.58330000000001</v>
      </c>
      <c r="Z12" s="37">
        <v>46157</v>
      </c>
      <c r="AA12" s="3">
        <v>100.188</v>
      </c>
      <c r="AB12" s="37">
        <f t="shared" si="2"/>
        <v>46157</v>
      </c>
    </row>
    <row r="13" spans="1:30" ht="15.75" thickBot="1" x14ac:dyDescent="0.3">
      <c r="A13" s="15"/>
      <c r="B13" s="11" t="s">
        <v>14</v>
      </c>
      <c r="C13" s="36" t="s">
        <v>11</v>
      </c>
      <c r="D13" s="21" t="s">
        <v>10</v>
      </c>
      <c r="E13" s="11" t="s">
        <v>8</v>
      </c>
      <c r="F13" s="20" t="s">
        <v>11</v>
      </c>
      <c r="G13" s="20" t="s">
        <v>10</v>
      </c>
      <c r="H13" s="15"/>
      <c r="I13" s="60"/>
      <c r="J13" s="78"/>
      <c r="L13" s="76">
        <f ca="1"/>
        <v>46119</v>
      </c>
      <c r="M13" s="34">
        <f ca="1"/>
        <v>121.52200000000001</v>
      </c>
      <c r="N13" s="37">
        <f ca="1"/>
        <v>45936</v>
      </c>
      <c r="O13" s="41">
        <f ca="1"/>
        <v>226.55</v>
      </c>
      <c r="P13" s="37">
        <f t="shared" ca="1" si="0"/>
        <v>46119</v>
      </c>
      <c r="Q13" s="37" t="str">
        <f t="shared" ca="1" si="1"/>
        <v/>
      </c>
      <c r="R13" s="37">
        <f ca="1"/>
        <v>46190</v>
      </c>
      <c r="X13" s="95">
        <v>46160</v>
      </c>
      <c r="Y13" s="3">
        <v>164.6849</v>
      </c>
      <c r="Z13" s="37">
        <v>46160</v>
      </c>
      <c r="AA13" s="3">
        <v>98.825999999999993</v>
      </c>
      <c r="AB13" s="37">
        <f t="shared" si="2"/>
        <v>46160</v>
      </c>
    </row>
    <row r="14" spans="1:30" x14ac:dyDescent="0.25">
      <c r="A14" s="102">
        <v>46176</v>
      </c>
      <c r="B14" s="33">
        <f>165.3818/(1-(D14-C14)*B8*10^-4)</f>
        <v>165.25887483009961</v>
      </c>
      <c r="C14" s="53">
        <v>92.4</v>
      </c>
      <c r="D14" s="5">
        <v>90.813999999999993</v>
      </c>
      <c r="E14" s="33">
        <v>268.85000000000002</v>
      </c>
      <c r="F14" s="1"/>
      <c r="G14" s="1"/>
      <c r="H14" s="14"/>
      <c r="I14" s="55">
        <v>0</v>
      </c>
      <c r="J14" s="78"/>
      <c r="L14" s="76">
        <f ca="1"/>
        <v>46120</v>
      </c>
      <c r="M14" s="34">
        <f ca="1"/>
        <v>107.431</v>
      </c>
      <c r="N14" s="37">
        <f ca="1"/>
        <v>45937</v>
      </c>
      <c r="O14" s="41">
        <f ca="1"/>
        <v>226</v>
      </c>
      <c r="P14" s="37">
        <f t="shared" ca="1" si="0"/>
        <v>46120</v>
      </c>
      <c r="Q14" s="37" t="str">
        <f t="shared" ca="1" si="1"/>
        <v/>
      </c>
      <c r="X14" s="95">
        <v>46161</v>
      </c>
      <c r="Y14" s="3">
        <v>164.59030000000001</v>
      </c>
      <c r="Z14" s="37">
        <v>46161</v>
      </c>
      <c r="AA14" s="3">
        <v>100.245</v>
      </c>
      <c r="AB14" s="37">
        <f t="shared" si="2"/>
        <v>46161</v>
      </c>
    </row>
    <row r="15" spans="1:30" x14ac:dyDescent="0.25">
      <c r="A15" s="102">
        <f ca="1">IF(AND(ISBLANK(R4), A14 = $R$1),NOW(),IF(ISBLANK(R4),IF(ISBLANK(#REF!),NOW(),""),R4))</f>
        <v>46177</v>
      </c>
      <c r="B15" s="33">
        <f ca="1">IF(COUNTIF($R$2:R1000,A15)=1,VLOOKUP(A15,X:Y,2), IF(COUNTIF($R$2:R1000,A15)=0,$B$10,""))</f>
        <v>165.3818</v>
      </c>
      <c r="C15" s="25">
        <f ca="1">IF(ISERROR(B15-2),"",1*(B15/$B$14-1)*$B$5)</f>
        <v>55787.550000008232</v>
      </c>
      <c r="D15" s="26"/>
      <c r="E15" s="33">
        <f t="shared" ref="E15:E78" ca="1" si="3">IF(COUNTIF(L:L,A15)=1,VLOOKUP(A15,N:O,2), IF(COUNTIF(L:L,A15)=0,$C$9,""))</f>
        <v>270.85000000000002</v>
      </c>
      <c r="F15" s="25">
        <f ca="1">IF(ISERROR(B15-2),"",(E15-$E$14)*$C$5*$F$4)</f>
        <v>52500</v>
      </c>
      <c r="G15" s="25">
        <f ca="1">IF(ISERROR(B15-2),"",-$C$7*$C$5*(A15-$A$14)/360)</f>
        <v>0</v>
      </c>
      <c r="H15" s="117"/>
      <c r="I15" s="55">
        <f ca="1">IF(ISERROR(B15-2),"",-1*(C15+D15-F15))</f>
        <v>-3287.550000008232</v>
      </c>
      <c r="J15" s="78"/>
      <c r="L15" s="76">
        <f ca="1"/>
        <v>46121</v>
      </c>
      <c r="M15" s="34">
        <f ca="1"/>
        <v>104.477</v>
      </c>
      <c r="N15" s="37">
        <f ca="1"/>
        <v>45938</v>
      </c>
      <c r="O15" s="41">
        <f ca="1"/>
        <v>226.95</v>
      </c>
      <c r="P15" s="37">
        <f t="shared" ca="1" si="0"/>
        <v>46121</v>
      </c>
      <c r="Q15" s="37" t="str">
        <f t="shared" ca="1" si="1"/>
        <v/>
      </c>
      <c r="X15" s="95">
        <v>46162</v>
      </c>
      <c r="Y15" s="3">
        <v>164.9511</v>
      </c>
      <c r="Z15" s="37">
        <v>46162</v>
      </c>
      <c r="AA15" s="3">
        <v>95.456999999999994</v>
      </c>
      <c r="AB15" s="37">
        <f t="shared" si="2"/>
        <v>46162</v>
      </c>
    </row>
    <row r="16" spans="1:30" x14ac:dyDescent="0.25">
      <c r="A16" s="102">
        <f t="shared" ref="A16:A79" ca="1" si="4">IF(AND(ISBLANK(R5), A15 = $R$1),NOW(),IF(ISBLANK(R5),IF(ISBLANK(C15),NOW(),""),R5))</f>
        <v>46178</v>
      </c>
      <c r="B16" s="33">
        <f ca="1">IF(COUNTIF($R$2:R1001,A16)=1,VLOOKUP(A16,X:Y,2), IF(COUNTIF($R$2:R1001,A16)=0,$B$10,""))</f>
        <v>165.27869999999999</v>
      </c>
      <c r="C16" s="25">
        <f t="shared" ref="C16:C79" ca="1" si="5">IF(ISERROR(B16-2),"",1*(B16/$B$14-1)*$B$5)</f>
        <v>8997.3246160446324</v>
      </c>
      <c r="D16" s="26"/>
      <c r="E16" s="33">
        <f t="shared" ca="1" si="3"/>
        <v>269.64999999999998</v>
      </c>
      <c r="F16" s="25">
        <f t="shared" ref="F16:F79" ca="1" si="6">IF(ISERROR(B16-2),"",(E16-$E$14)*$C$5*$F$4)</f>
        <v>20999.999999998807</v>
      </c>
      <c r="G16" s="25">
        <f t="shared" ref="G16:G79" ca="1" si="7">IF(ISERROR(B16-2),"",-$C$7*$C$5*(A16-$A$14)/360)</f>
        <v>0</v>
      </c>
      <c r="H16" s="117"/>
      <c r="I16" s="55">
        <f t="shared" ref="I16:I79" ca="1" si="8">IF(ISERROR(B16-2),"",-1*(C16+D16-F16))</f>
        <v>12002.675383954174</v>
      </c>
      <c r="J16" s="78"/>
      <c r="L16" s="76">
        <f ca="1"/>
        <v>46122</v>
      </c>
      <c r="M16" s="34">
        <f ca="1"/>
        <v>106.512</v>
      </c>
      <c r="N16" s="37">
        <f ca="1"/>
        <v>45939</v>
      </c>
      <c r="O16" s="41">
        <f ca="1"/>
        <v>225.35</v>
      </c>
      <c r="P16" s="37">
        <f t="shared" ca="1" si="0"/>
        <v>46122</v>
      </c>
      <c r="Q16" s="37" t="str">
        <f t="shared" ca="1" si="1"/>
        <v/>
      </c>
      <c r="X16" s="95">
        <v>46163</v>
      </c>
      <c r="Y16" s="3">
        <v>164.8717</v>
      </c>
      <c r="Z16" s="37">
        <v>46163</v>
      </c>
      <c r="AA16" s="3">
        <v>96.617999999999995</v>
      </c>
      <c r="AB16" s="37">
        <f t="shared" si="2"/>
        <v>46163</v>
      </c>
    </row>
    <row r="17" spans="1:28" x14ac:dyDescent="0.25">
      <c r="A17" s="102">
        <f t="shared" ca="1" si="4"/>
        <v>46181</v>
      </c>
      <c r="B17" s="33">
        <f ca="1">IF(COUNTIF($R$2:R1002,A17)=1,VLOOKUP(A17,X:Y,2), IF(COUNTIF($R$2:R1002,A17)=0,$B$10,""))</f>
        <v>165.25980000000001</v>
      </c>
      <c r="C17" s="25">
        <f t="shared" ca="1" si="5"/>
        <v>419.87301802048904</v>
      </c>
      <c r="D17" s="26"/>
      <c r="E17" s="33">
        <f t="shared" ca="1" si="3"/>
        <v>268.45</v>
      </c>
      <c r="F17" s="25">
        <f t="shared" ca="1" si="6"/>
        <v>-10500.000000000895</v>
      </c>
      <c r="G17" s="25">
        <f t="shared" ca="1" si="7"/>
        <v>0</v>
      </c>
      <c r="H17" s="117"/>
      <c r="I17" s="55">
        <f t="shared" ca="1" si="8"/>
        <v>-10919.873018021384</v>
      </c>
      <c r="J17" s="78"/>
      <c r="L17" s="76">
        <f ca="1"/>
        <v>46125</v>
      </c>
      <c r="M17" s="34">
        <f ca="1"/>
        <v>106.68600000000001</v>
      </c>
      <c r="N17" s="37">
        <f ca="1"/>
        <v>45940</v>
      </c>
      <c r="O17" s="41">
        <f ca="1"/>
        <v>222.5</v>
      </c>
      <c r="P17" s="37">
        <f t="shared" ca="1" si="0"/>
        <v>46125</v>
      </c>
      <c r="Q17" s="37" t="str">
        <f t="shared" ca="1" si="1"/>
        <v/>
      </c>
      <c r="X17" s="95">
        <v>46164</v>
      </c>
      <c r="Y17" s="3">
        <v>165.02789999999999</v>
      </c>
      <c r="Z17" s="37">
        <v>46164</v>
      </c>
      <c r="AA17" s="3">
        <v>94.872</v>
      </c>
      <c r="AB17" s="37">
        <f t="shared" si="2"/>
        <v>46164</v>
      </c>
    </row>
    <row r="18" spans="1:28" x14ac:dyDescent="0.25">
      <c r="A18" s="102">
        <f t="shared" ca="1" si="4"/>
        <v>46182</v>
      </c>
      <c r="B18" s="33">
        <f ca="1">IF(COUNTIF($R$2:R1003,A18)=1,VLOOKUP(A18,X:Y,2), IF(COUNTIF($R$2:R1003,A18)=0,$B$10,""))</f>
        <v>165.26</v>
      </c>
      <c r="C18" s="25">
        <f t="shared" ca="1" si="5"/>
        <v>510.63970158971017</v>
      </c>
      <c r="D18" s="26"/>
      <c r="E18" s="33">
        <f t="shared" ca="1" si="3"/>
        <v>268.2</v>
      </c>
      <c r="F18" s="25">
        <f t="shared" ca="1" si="6"/>
        <v>-17062.500000000895</v>
      </c>
      <c r="G18" s="25">
        <f t="shared" ca="1" si="7"/>
        <v>0</v>
      </c>
      <c r="H18" s="117"/>
      <c r="I18" s="55">
        <f t="shared" ca="1" si="8"/>
        <v>-17573.139701590604</v>
      </c>
      <c r="J18" s="78"/>
      <c r="L18" s="76">
        <f ca="1"/>
        <v>46126</v>
      </c>
      <c r="M18" s="34">
        <f ca="1"/>
        <v>101.413</v>
      </c>
      <c r="N18" s="37">
        <f ca="1"/>
        <v>45943</v>
      </c>
      <c r="O18" s="41">
        <f ca="1"/>
        <v>223.45</v>
      </c>
      <c r="P18" s="37">
        <f t="shared" ca="1" si="0"/>
        <v>46126</v>
      </c>
      <c r="Q18" s="37" t="str">
        <f t="shared" ca="1" si="1"/>
        <v/>
      </c>
      <c r="X18" s="95">
        <v>46168</v>
      </c>
      <c r="Y18" s="3">
        <v>165.161</v>
      </c>
      <c r="Z18" s="37">
        <v>46168</v>
      </c>
      <c r="AA18" s="3">
        <v>93.215000000000003</v>
      </c>
      <c r="AB18" s="37">
        <f t="shared" si="2"/>
        <v>46168</v>
      </c>
    </row>
    <row r="19" spans="1:28" x14ac:dyDescent="0.25">
      <c r="A19" s="102">
        <f t="shared" ca="1" si="4"/>
        <v>46183</v>
      </c>
      <c r="B19" s="33">
        <f ca="1">IF(COUNTIF($R$2:R1004,A19)=1,VLOOKUP(A19,X:Y,2), IF(COUNTIF($R$2:R1004,A19)=0,$B$10,""))</f>
        <v>165.1884</v>
      </c>
      <c r="C19" s="25">
        <f t="shared" ca="1" si="5"/>
        <v>-31983.833018980891</v>
      </c>
      <c r="D19" s="26"/>
      <c r="E19" s="33">
        <f t="shared" ca="1" si="3"/>
        <v>266.35000000000002</v>
      </c>
      <c r="F19" s="25">
        <f t="shared" ca="1" si="6"/>
        <v>-65625</v>
      </c>
      <c r="G19" s="25">
        <f t="shared" ca="1" si="7"/>
        <v>0</v>
      </c>
      <c r="H19" s="117"/>
      <c r="I19" s="55">
        <f t="shared" ca="1" si="8"/>
        <v>-33641.166981019109</v>
      </c>
      <c r="J19" s="78"/>
      <c r="L19" s="76">
        <f ca="1"/>
        <v>46127</v>
      </c>
      <c r="M19" s="34">
        <f ca="1"/>
        <v>101.941</v>
      </c>
      <c r="N19" s="37">
        <f ca="1"/>
        <v>45944</v>
      </c>
      <c r="O19" s="41">
        <f ca="1"/>
        <v>224</v>
      </c>
      <c r="P19" s="37">
        <f t="shared" ca="1" si="0"/>
        <v>46127</v>
      </c>
      <c r="Q19" s="37" t="str">
        <f t="shared" ca="1" si="1"/>
        <v/>
      </c>
      <c r="X19" s="95">
        <v>46169</v>
      </c>
      <c r="Y19" s="3">
        <v>165.1833</v>
      </c>
      <c r="Z19" s="37">
        <v>46169</v>
      </c>
      <c r="AA19" s="3">
        <v>93.236000000000004</v>
      </c>
      <c r="AB19" s="37">
        <f t="shared" si="2"/>
        <v>46169</v>
      </c>
    </row>
    <row r="20" spans="1:28" x14ac:dyDescent="0.25">
      <c r="A20" s="102">
        <f t="shared" ca="1" si="4"/>
        <v>46184</v>
      </c>
      <c r="B20" s="33">
        <f ca="1">IF(COUNTIF($R$2:R1005,A20)=1,VLOOKUP(A20,X:Y,2), IF(COUNTIF($R$2:R1005,A20)=0,$B$10,""))</f>
        <v>165.24870000000001</v>
      </c>
      <c r="C20" s="25">
        <f t="shared" ca="1" si="5"/>
        <v>-4617.6779205042703</v>
      </c>
      <c r="D20" s="26"/>
      <c r="E20" s="33">
        <f t="shared" ca="1" si="3"/>
        <v>267.05</v>
      </c>
      <c r="F20" s="25">
        <f t="shared" ca="1" si="6"/>
        <v>-47250.000000000298</v>
      </c>
      <c r="G20" s="25">
        <f t="shared" ca="1" si="7"/>
        <v>0</v>
      </c>
      <c r="H20" s="117"/>
      <c r="I20" s="55">
        <f t="shared" ca="1" si="8"/>
        <v>-42632.322079496029</v>
      </c>
      <c r="J20" s="78"/>
      <c r="L20" s="76">
        <f ca="1"/>
        <v>46128</v>
      </c>
      <c r="M20" s="34">
        <f ca="1"/>
        <v>103.227</v>
      </c>
      <c r="N20" s="37">
        <f ca="1"/>
        <v>45945</v>
      </c>
      <c r="O20" s="41">
        <f ca="1"/>
        <v>223.6</v>
      </c>
      <c r="P20" s="37">
        <f t="shared" ca="1" si="0"/>
        <v>46128</v>
      </c>
      <c r="Q20" s="37" t="str">
        <f t="shared" ca="1" si="1"/>
        <v/>
      </c>
      <c r="X20" s="95">
        <v>46170</v>
      </c>
      <c r="Y20" s="3">
        <v>165.28790000000001</v>
      </c>
      <c r="Z20" s="37">
        <v>46170</v>
      </c>
      <c r="AA20" s="3">
        <v>91.685000000000002</v>
      </c>
      <c r="AB20" s="37">
        <f t="shared" si="2"/>
        <v>46170</v>
      </c>
    </row>
    <row r="21" spans="1:28" x14ac:dyDescent="0.25">
      <c r="A21" s="102">
        <f t="shared" ca="1" si="4"/>
        <v>46185</v>
      </c>
      <c r="B21" s="33">
        <f ca="1">IF(COUNTIF($R$2:R1006,A21)=1,VLOOKUP(A21,X:Y,2), IF(COUNTIF($R$2:R1006,A21)=0,$B$10,""))</f>
        <v>165.54839999999999</v>
      </c>
      <c r="C21" s="25">
        <f t="shared" ca="1" si="5"/>
        <v>131396.19741966424</v>
      </c>
      <c r="D21" s="26"/>
      <c r="E21" s="33">
        <f t="shared" ca="1" si="3"/>
        <v>277.55</v>
      </c>
      <c r="F21" s="25">
        <f t="shared" ca="1" si="6"/>
        <v>228374.99999999968</v>
      </c>
      <c r="G21" s="25">
        <f t="shared" ca="1" si="7"/>
        <v>0</v>
      </c>
      <c r="H21" s="117"/>
      <c r="I21" s="55">
        <f t="shared" ca="1" si="8"/>
        <v>96978.802580335439</v>
      </c>
      <c r="J21" s="78"/>
      <c r="L21" s="76">
        <f ca="1"/>
        <v>46129</v>
      </c>
      <c r="M21" s="34">
        <f ca="1"/>
        <v>98.822999999999993</v>
      </c>
      <c r="N21" s="37">
        <f ca="1"/>
        <v>45946</v>
      </c>
      <c r="O21" s="41">
        <f ca="1"/>
        <v>224.8</v>
      </c>
      <c r="P21" s="37">
        <f t="shared" ca="1" si="0"/>
        <v>46129</v>
      </c>
      <c r="Q21" s="37" t="str">
        <f t="shared" ca="1" si="1"/>
        <v/>
      </c>
      <c r="X21" s="95">
        <v>46171</v>
      </c>
      <c r="Y21" s="3">
        <v>165.38749999999999</v>
      </c>
      <c r="Z21" s="37">
        <v>46171</v>
      </c>
      <c r="AA21" s="3">
        <v>90.555000000000007</v>
      </c>
      <c r="AB21" s="37">
        <f t="shared" si="2"/>
        <v>46171</v>
      </c>
    </row>
    <row r="22" spans="1:28" x14ac:dyDescent="0.25">
      <c r="A22" s="102">
        <f t="shared" ca="1" si="4"/>
        <v>46188</v>
      </c>
      <c r="B22" s="33">
        <f ca="1">IF(COUNTIF($R$2:R1007,A22)=1,VLOOKUP(A22,X:Y,2), IF(COUNTIF($R$2:R1007,A22)=0,$B$10,""))</f>
        <v>165.6978</v>
      </c>
      <c r="C22" s="25">
        <f t="shared" ca="1" si="5"/>
        <v>199198.91005171774</v>
      </c>
      <c r="D22" s="26"/>
      <c r="E22" s="33">
        <f t="shared" ca="1" si="3"/>
        <v>284.14999999999998</v>
      </c>
      <c r="F22" s="25">
        <f t="shared" ca="1" si="6"/>
        <v>401624.99999999884</v>
      </c>
      <c r="G22" s="25">
        <f t="shared" ca="1" si="7"/>
        <v>0</v>
      </c>
      <c r="H22" s="117"/>
      <c r="I22" s="55">
        <f t="shared" ca="1" si="8"/>
        <v>202426.08994828109</v>
      </c>
      <c r="J22" s="78"/>
      <c r="L22" s="76">
        <f ca="1"/>
        <v>46132</v>
      </c>
      <c r="M22" s="34">
        <f ca="1"/>
        <v>100.01</v>
      </c>
      <c r="N22" s="37">
        <f ca="1"/>
        <v>45947</v>
      </c>
      <c r="O22" s="41">
        <f ca="1"/>
        <v>219.65</v>
      </c>
      <c r="P22" s="37">
        <f t="shared" ca="1" si="0"/>
        <v>46132</v>
      </c>
      <c r="Q22" s="37" t="str">
        <f t="shared" ca="1" si="1"/>
        <v/>
      </c>
      <c r="X22" s="95">
        <v>46174</v>
      </c>
      <c r="Y22" s="3">
        <v>165.238</v>
      </c>
      <c r="Z22" s="37">
        <v>46174</v>
      </c>
      <c r="AA22" s="3">
        <v>92.426000000000002</v>
      </c>
      <c r="AB22" s="37">
        <f t="shared" si="2"/>
        <v>46174</v>
      </c>
    </row>
    <row r="23" spans="1:28" ht="14.45" customHeight="1" x14ac:dyDescent="0.25">
      <c r="A23" s="102">
        <f t="shared" ca="1" si="4"/>
        <v>46189</v>
      </c>
      <c r="B23" s="33">
        <f ca="1">IF(COUNTIF($R$2:R1008,A23)=1,VLOOKUP(A23,X:Y,2), IF(COUNTIF($R$2:R1008,A23)=0,$B$10,""))</f>
        <v>165.67259999999999</v>
      </c>
      <c r="C23" s="25">
        <f t="shared" ca="1" si="5"/>
        <v>187762.30792101333</v>
      </c>
      <c r="D23" s="26"/>
      <c r="E23" s="33">
        <f t="shared" ca="1" si="3"/>
        <v>289.14999999999998</v>
      </c>
      <c r="F23" s="25">
        <f t="shared" ca="1" si="6"/>
        <v>532874.99999999884</v>
      </c>
      <c r="G23" s="25">
        <f t="shared" ca="1" si="7"/>
        <v>0</v>
      </c>
      <c r="H23" s="117"/>
      <c r="I23" s="55">
        <f t="shared" ca="1" si="8"/>
        <v>345112.69207898551</v>
      </c>
      <c r="J23" s="78"/>
      <c r="L23" s="76">
        <f ca="1"/>
        <v>46133</v>
      </c>
      <c r="M23" s="34">
        <f ca="1"/>
        <v>102.241</v>
      </c>
      <c r="N23" s="37">
        <f ca="1"/>
        <v>45950</v>
      </c>
      <c r="O23" s="41">
        <f ca="1"/>
        <v>222.05</v>
      </c>
      <c r="P23" s="37">
        <f t="shared" ca="1" si="0"/>
        <v>46133</v>
      </c>
      <c r="Q23" s="37" t="str">
        <f t="shared" ca="1" si="1"/>
        <v/>
      </c>
      <c r="X23" s="95">
        <v>46175</v>
      </c>
      <c r="Y23" s="3">
        <v>165.381</v>
      </c>
      <c r="Z23" s="37">
        <v>46175</v>
      </c>
      <c r="AA23" s="3">
        <v>90.718999999999994</v>
      </c>
      <c r="AB23" s="37">
        <f t="shared" si="2"/>
        <v>46175</v>
      </c>
    </row>
    <row r="24" spans="1:28" ht="14.45" customHeight="1" x14ac:dyDescent="0.25">
      <c r="A24" s="102">
        <f t="shared" ca="1" si="4"/>
        <v>46190</v>
      </c>
      <c r="B24" s="33">
        <f ca="1">IF(COUNTIF($R$2:R1009,A24)=1,VLOOKUP(A24,X:Y,2), IF(COUNTIF($R$2:R1009,A24)=0,$B$10,""))</f>
        <v>165.63059999999999</v>
      </c>
      <c r="C24" s="25">
        <f t="shared" ca="1" si="5"/>
        <v>168701.30436982823</v>
      </c>
      <c r="D24" s="26"/>
      <c r="E24" s="33">
        <f t="shared" ca="1" si="3"/>
        <v>294.39999999999998</v>
      </c>
      <c r="F24" s="25">
        <f t="shared" ca="1" si="6"/>
        <v>670687.49999999884</v>
      </c>
      <c r="G24" s="25">
        <f t="shared" ca="1" si="7"/>
        <v>0</v>
      </c>
      <c r="H24" s="117"/>
      <c r="I24" s="55">
        <f t="shared" ca="1" si="8"/>
        <v>501986.19563017064</v>
      </c>
      <c r="J24" s="78"/>
      <c r="L24" s="76">
        <f ca="1"/>
        <v>46134</v>
      </c>
      <c r="M24" s="34">
        <f ca="1"/>
        <v>102.872</v>
      </c>
      <c r="N24" s="37">
        <f ca="1"/>
        <v>45951</v>
      </c>
      <c r="O24" s="41">
        <f ca="1"/>
        <v>220.85</v>
      </c>
      <c r="P24" s="37">
        <f t="shared" ca="1" si="0"/>
        <v>46134</v>
      </c>
      <c r="Q24" s="37" t="str">
        <f t="shared" ca="1" si="1"/>
        <v/>
      </c>
      <c r="X24" s="95">
        <v>46176</v>
      </c>
      <c r="Y24" s="3">
        <v>165.25450000000001</v>
      </c>
      <c r="Z24" s="37">
        <v>46176</v>
      </c>
      <c r="AA24" s="3">
        <v>92.715999999999994</v>
      </c>
      <c r="AB24" s="37">
        <f t="shared" si="2"/>
        <v>46176</v>
      </c>
    </row>
    <row r="25" spans="1:28" ht="14.45" customHeight="1" x14ac:dyDescent="0.25">
      <c r="A25" s="102">
        <f t="shared" ca="1" si="4"/>
        <v>46191.47080127315</v>
      </c>
      <c r="B25" s="33">
        <f ca="1">IF(COUNTIF($R$2:R1010,A25)=1,VLOOKUP(A25,X:Y,2), IF(COUNTIF($R$2:R1010,A25)=0,$B$10,""))</f>
        <v>165.6299138980597</v>
      </c>
      <c r="C25" s="25">
        <f t="shared" ca="1" si="5"/>
        <v>168389.92838125178</v>
      </c>
      <c r="D25" s="26"/>
      <c r="E25" s="33">
        <f t="shared" ca="1" si="3"/>
        <v>295.2</v>
      </c>
      <c r="F25" s="25">
        <f t="shared" ca="1" si="6"/>
        <v>691687.49999999907</v>
      </c>
      <c r="G25" s="25">
        <f t="shared" ca="1" si="7"/>
        <v>0</v>
      </c>
      <c r="H25" s="117"/>
      <c r="I25" s="55">
        <f t="shared" ca="1" si="8"/>
        <v>523297.57161874732</v>
      </c>
      <c r="J25" s="78"/>
      <c r="L25" s="76">
        <f ca="1"/>
        <v>46135</v>
      </c>
      <c r="M25" s="34">
        <f ca="1"/>
        <v>103.328</v>
      </c>
      <c r="N25" s="37">
        <f ca="1"/>
        <v>45952</v>
      </c>
      <c r="O25" s="41">
        <f ca="1"/>
        <v>220.15</v>
      </c>
      <c r="P25" s="37">
        <f t="shared" ca="1" si="0"/>
        <v>46135</v>
      </c>
      <c r="Q25" s="37" t="str">
        <f t="shared" ca="1" si="1"/>
        <v/>
      </c>
      <c r="X25" s="95">
        <v>46177</v>
      </c>
      <c r="Y25" s="3">
        <v>165.3818</v>
      </c>
      <c r="Z25" s="37">
        <v>46177</v>
      </c>
      <c r="AA25" s="3">
        <v>90.813999999999993</v>
      </c>
      <c r="AB25" s="37">
        <f t="shared" si="2"/>
        <v>46177</v>
      </c>
    </row>
    <row r="26" spans="1:28" ht="14.45" customHeight="1" x14ac:dyDescent="0.25">
      <c r="A26" s="102" t="str">
        <f t="shared" ca="1" si="4"/>
        <v/>
      </c>
      <c r="B26" s="33" t="str">
        <f ca="1">IF(COUNTIF($R$2:R1011,A26)=1,VLOOKUP(A26,X:Y,2), IF(COUNTIF($R$2:R1011,A26)=0,$B$10,""))</f>
        <v/>
      </c>
      <c r="C26" s="25" t="str">
        <f t="shared" ca="1" si="5"/>
        <v/>
      </c>
      <c r="D26" s="26"/>
      <c r="E26" s="33" t="str">
        <f t="shared" ca="1" si="3"/>
        <v/>
      </c>
      <c r="F26" s="25" t="str">
        <f t="shared" ca="1" si="6"/>
        <v/>
      </c>
      <c r="G26" s="25" t="str">
        <f t="shared" ca="1" si="7"/>
        <v/>
      </c>
      <c r="H26" s="117"/>
      <c r="I26" s="55" t="str">
        <f t="shared" ca="1" si="8"/>
        <v/>
      </c>
      <c r="J26" s="78"/>
      <c r="L26" s="76">
        <f ca="1"/>
        <v>46136</v>
      </c>
      <c r="M26" s="34">
        <f ca="1"/>
        <v>102.834</v>
      </c>
      <c r="N26" s="37">
        <f ca="1"/>
        <v>45953</v>
      </c>
      <c r="O26" s="41">
        <f ca="1"/>
        <v>220.45</v>
      </c>
      <c r="P26" s="37">
        <f t="shared" ca="1" si="0"/>
        <v>46136</v>
      </c>
      <c r="Q26" s="37" t="str">
        <f t="shared" ca="1" si="1"/>
        <v/>
      </c>
      <c r="X26" s="95">
        <v>46178</v>
      </c>
      <c r="Y26" s="3">
        <v>165.27869999999999</v>
      </c>
      <c r="Z26" s="37">
        <v>46178</v>
      </c>
      <c r="AA26" s="3">
        <v>92.251999999999995</v>
      </c>
      <c r="AB26" s="37">
        <f t="shared" si="2"/>
        <v>46178</v>
      </c>
    </row>
    <row r="27" spans="1:28" ht="14.45" customHeight="1" x14ac:dyDescent="0.25">
      <c r="A27" s="102" t="str">
        <f t="shared" ca="1" si="4"/>
        <v/>
      </c>
      <c r="B27" s="33" t="str">
        <f ca="1">IF(COUNTIF($R$2:R1012,A27)=1,VLOOKUP(A27,X:Y,2), IF(COUNTIF($R$2:R1012,A27)=0,$B$10,""))</f>
        <v/>
      </c>
      <c r="C27" s="25" t="str">
        <f t="shared" ca="1" si="5"/>
        <v/>
      </c>
      <c r="D27" s="26"/>
      <c r="E27" s="33" t="str">
        <f t="shared" ca="1" si="3"/>
        <v/>
      </c>
      <c r="F27" s="25" t="str">
        <f t="shared" ca="1" si="6"/>
        <v/>
      </c>
      <c r="G27" s="25" t="str">
        <f t="shared" ca="1" si="7"/>
        <v/>
      </c>
      <c r="H27" s="117"/>
      <c r="I27" s="55" t="str">
        <f t="shared" ca="1" si="8"/>
        <v/>
      </c>
      <c r="J27" s="78"/>
      <c r="L27" s="76">
        <f ca="1"/>
        <v>46139</v>
      </c>
      <c r="M27" s="34">
        <f ca="1"/>
        <v>103.66200000000001</v>
      </c>
      <c r="N27" s="37">
        <f ca="1"/>
        <v>45954</v>
      </c>
      <c r="O27" s="41">
        <f ca="1"/>
        <v>220</v>
      </c>
      <c r="P27" s="37">
        <f t="shared" ca="1" si="0"/>
        <v>46139</v>
      </c>
      <c r="Q27" s="37" t="str">
        <f t="shared" ca="1" si="1"/>
        <v/>
      </c>
      <c r="X27" s="95">
        <v>46181</v>
      </c>
      <c r="Y27" s="3">
        <v>165.25980000000001</v>
      </c>
      <c r="Z27" s="37">
        <v>46181</v>
      </c>
      <c r="AA27" s="3">
        <v>92.679000000000002</v>
      </c>
      <c r="AB27" s="37">
        <f t="shared" si="2"/>
        <v>46181</v>
      </c>
    </row>
    <row r="28" spans="1:28" ht="14.45" customHeight="1" x14ac:dyDescent="0.25">
      <c r="A28" s="102" t="str">
        <f t="shared" ca="1" si="4"/>
        <v/>
      </c>
      <c r="B28" s="33" t="str">
        <f ca="1">IF(COUNTIF($R$2:R1013,A28)=1,VLOOKUP(A28,X:Y,2), IF(COUNTIF($R$2:R1013,A28)=0,$B$10,""))</f>
        <v/>
      </c>
      <c r="C28" s="25" t="str">
        <f t="shared" ca="1" si="5"/>
        <v/>
      </c>
      <c r="D28" s="26"/>
      <c r="E28" s="33" t="str">
        <f t="shared" ca="1" si="3"/>
        <v/>
      </c>
      <c r="F28" s="25" t="str">
        <f t="shared" ca="1" si="6"/>
        <v/>
      </c>
      <c r="G28" s="25" t="str">
        <f t="shared" ca="1" si="7"/>
        <v/>
      </c>
      <c r="H28" s="117"/>
      <c r="I28" s="55" t="str">
        <f t="shared" ca="1" si="8"/>
        <v/>
      </c>
      <c r="J28" s="78"/>
      <c r="L28" s="76">
        <f ca="1"/>
        <v>46140</v>
      </c>
      <c r="M28" s="34">
        <f ca="1"/>
        <v>104.54600000000001</v>
      </c>
      <c r="N28" s="37">
        <f ca="1"/>
        <v>45957</v>
      </c>
      <c r="O28" s="41">
        <f ca="1"/>
        <v>223</v>
      </c>
      <c r="P28" s="37">
        <f t="shared" ca="1" si="0"/>
        <v>46140</v>
      </c>
      <c r="Q28" s="37" t="str">
        <f t="shared" ca="1" si="1"/>
        <v/>
      </c>
      <c r="X28" s="95">
        <v>46182</v>
      </c>
      <c r="Y28" s="3">
        <v>165.26</v>
      </c>
      <c r="Z28" s="37">
        <v>46182</v>
      </c>
      <c r="AA28" s="3">
        <v>93.063999999999993</v>
      </c>
      <c r="AB28" s="37">
        <f t="shared" si="2"/>
        <v>46182</v>
      </c>
    </row>
    <row r="29" spans="1:28" ht="14.45" customHeight="1" x14ac:dyDescent="0.25">
      <c r="A29" s="102" t="str">
        <f t="shared" ca="1" si="4"/>
        <v/>
      </c>
      <c r="B29" s="33" t="str">
        <f ca="1">IF(COUNTIF($R$2:R1014,A29)=1,VLOOKUP(A29,X:Y,2), IF(COUNTIF($R$2:R1014,A29)=0,$B$10,""))</f>
        <v/>
      </c>
      <c r="C29" s="25" t="str">
        <f t="shared" ca="1" si="5"/>
        <v/>
      </c>
      <c r="D29" s="26"/>
      <c r="E29" s="33" t="str">
        <f t="shared" ca="1" si="3"/>
        <v/>
      </c>
      <c r="F29" s="25" t="str">
        <f t="shared" ca="1" si="6"/>
        <v/>
      </c>
      <c r="G29" s="25" t="str">
        <f t="shared" ca="1" si="7"/>
        <v/>
      </c>
      <c r="H29" s="117"/>
      <c r="I29" s="55" t="str">
        <f t="shared" ca="1" si="8"/>
        <v/>
      </c>
      <c r="J29" s="78"/>
      <c r="L29" s="76">
        <f ca="1"/>
        <v>46141</v>
      </c>
      <c r="M29" s="34">
        <f ca="1"/>
        <v>106.142</v>
      </c>
      <c r="N29" s="37">
        <f ca="1"/>
        <v>45958</v>
      </c>
      <c r="O29" s="41">
        <f ca="1"/>
        <v>223.5</v>
      </c>
      <c r="P29" s="37">
        <f t="shared" ca="1" si="0"/>
        <v>46141</v>
      </c>
      <c r="Q29" s="37" t="str">
        <f t="shared" ca="1" si="1"/>
        <v/>
      </c>
      <c r="X29" s="95">
        <v>46183</v>
      </c>
      <c r="Y29" s="3">
        <v>165.1884</v>
      </c>
      <c r="Z29" s="37">
        <v>46183</v>
      </c>
      <c r="AA29" s="3">
        <v>93.602999999999994</v>
      </c>
      <c r="AB29" s="37">
        <f t="shared" si="2"/>
        <v>46183</v>
      </c>
    </row>
    <row r="30" spans="1:28" ht="14.45" customHeight="1" x14ac:dyDescent="0.25">
      <c r="A30" s="102" t="str">
        <f t="shared" ca="1" si="4"/>
        <v/>
      </c>
      <c r="B30" s="33" t="str">
        <f ca="1">IF(COUNTIF($R$2:R1015,A30)=1,VLOOKUP(A30,X:Y,2), IF(COUNTIF($R$2:R1015,A30)=0,$B$10,""))</f>
        <v/>
      </c>
      <c r="C30" s="25" t="str">
        <f t="shared" ca="1" si="5"/>
        <v/>
      </c>
      <c r="D30" s="26"/>
      <c r="E30" s="33" t="str">
        <f t="shared" ca="1" si="3"/>
        <v/>
      </c>
      <c r="F30" s="25" t="str">
        <f t="shared" ca="1" si="6"/>
        <v/>
      </c>
      <c r="G30" s="25" t="str">
        <f t="shared" ca="1" si="7"/>
        <v/>
      </c>
      <c r="H30" s="117">
        <f>$F$7*$F$4</f>
        <v>0</v>
      </c>
      <c r="I30" s="55" t="str">
        <f t="shared" ca="1" si="8"/>
        <v/>
      </c>
      <c r="J30" s="78"/>
      <c r="L30" s="76">
        <f ca="1"/>
        <v>46142</v>
      </c>
      <c r="M30" s="34">
        <f ca="1"/>
        <v>102.985</v>
      </c>
      <c r="N30" s="37">
        <f ca="1"/>
        <v>45959</v>
      </c>
      <c r="O30" s="41">
        <f ca="1"/>
        <v>228.1</v>
      </c>
      <c r="P30" s="37">
        <f t="shared" ca="1" si="0"/>
        <v>46142</v>
      </c>
      <c r="Q30" s="37" t="str">
        <f t="shared" ca="1" si="1"/>
        <v/>
      </c>
      <c r="X30" s="95">
        <v>46184</v>
      </c>
      <c r="Y30" s="3">
        <v>165.24870000000001</v>
      </c>
      <c r="Z30" s="37">
        <v>46184</v>
      </c>
      <c r="AA30" s="3">
        <v>93.01</v>
      </c>
      <c r="AB30" s="37">
        <f t="shared" si="2"/>
        <v>46184</v>
      </c>
    </row>
    <row r="31" spans="1:28" ht="14.45" customHeight="1" x14ac:dyDescent="0.25">
      <c r="A31" s="102" t="str">
        <f t="shared" ca="1" si="4"/>
        <v/>
      </c>
      <c r="B31" s="33" t="str">
        <f ca="1">IF(COUNTIF($R$2:R1016,A31)=1,VLOOKUP(A31,X:Y,2), IF(COUNTIF($R$2:R1016,A31)=0,$B$10,""))</f>
        <v/>
      </c>
      <c r="C31" s="25" t="str">
        <f t="shared" ca="1" si="5"/>
        <v/>
      </c>
      <c r="D31" s="26"/>
      <c r="E31" s="33" t="str">
        <f t="shared" ca="1" si="3"/>
        <v/>
      </c>
      <c r="F31" s="25" t="str">
        <f t="shared" ca="1" si="6"/>
        <v/>
      </c>
      <c r="G31" s="25" t="str">
        <f t="shared" ca="1" si="7"/>
        <v/>
      </c>
      <c r="H31" s="117"/>
      <c r="I31" s="55" t="str">
        <f t="shared" ca="1" si="8"/>
        <v/>
      </c>
      <c r="J31" s="78"/>
      <c r="L31" s="76">
        <f ca="1"/>
        <v>46143</v>
      </c>
      <c r="M31" s="34">
        <f ca="1"/>
        <v>99.15</v>
      </c>
      <c r="N31" s="37">
        <f ca="1"/>
        <v>45960</v>
      </c>
      <c r="O31" s="41">
        <f ca="1"/>
        <v>227.3</v>
      </c>
      <c r="P31" s="37" t="str">
        <f t="shared" ca="1" si="0"/>
        <v/>
      </c>
      <c r="Q31" s="37" t="str">
        <f t="shared" ca="1" si="1"/>
        <v/>
      </c>
      <c r="X31" s="95">
        <v>46185</v>
      </c>
      <c r="Y31" s="3">
        <v>165.54839999999999</v>
      </c>
      <c r="Z31" s="37">
        <v>46185</v>
      </c>
      <c r="AA31" s="3">
        <v>89.265000000000001</v>
      </c>
      <c r="AB31" s="37">
        <f t="shared" si="2"/>
        <v>46185</v>
      </c>
    </row>
    <row r="32" spans="1:28" ht="14.45" customHeight="1" x14ac:dyDescent="0.25">
      <c r="A32" s="102" t="str">
        <f t="shared" ca="1" si="4"/>
        <v/>
      </c>
      <c r="B32" s="33" t="str">
        <f ca="1">IF(COUNTIF($R$2:R1017,A32)=1,VLOOKUP(A32,X:Y,2), IF(COUNTIF($R$2:R1017,A32)=0,$B$10,""))</f>
        <v/>
      </c>
      <c r="C32" s="25" t="str">
        <f t="shared" ca="1" si="5"/>
        <v/>
      </c>
      <c r="D32" s="26"/>
      <c r="E32" s="33" t="str">
        <f t="shared" ca="1" si="3"/>
        <v/>
      </c>
      <c r="F32" s="25" t="str">
        <f t="shared" ca="1" si="6"/>
        <v/>
      </c>
      <c r="G32" s="25" t="str">
        <f t="shared" ca="1" si="7"/>
        <v/>
      </c>
      <c r="H32" s="117"/>
      <c r="I32" s="55" t="str">
        <f t="shared" ca="1" si="8"/>
        <v/>
      </c>
      <c r="J32" s="78"/>
      <c r="L32" s="76">
        <f ca="1"/>
        <v>46147</v>
      </c>
      <c r="M32" s="34">
        <f ca="1"/>
        <v>100.452</v>
      </c>
      <c r="N32" s="37">
        <f ca="1"/>
        <v>45961</v>
      </c>
      <c r="O32" s="41">
        <f ca="1"/>
        <v>228.35</v>
      </c>
      <c r="P32" s="37">
        <f t="shared" ca="1" si="0"/>
        <v>46147</v>
      </c>
      <c r="Q32" s="37" t="str">
        <f t="shared" ca="1" si="1"/>
        <v/>
      </c>
      <c r="X32" s="95">
        <v>46188</v>
      </c>
      <c r="Y32" s="3">
        <v>165.6978</v>
      </c>
      <c r="Z32" s="37">
        <v>46188</v>
      </c>
      <c r="AA32" s="3">
        <v>87.132999999999996</v>
      </c>
      <c r="AB32" s="37">
        <f t="shared" si="2"/>
        <v>46188</v>
      </c>
    </row>
    <row r="33" spans="1:28" ht="14.45" customHeight="1" x14ac:dyDescent="0.25">
      <c r="A33" s="102" t="str">
        <f t="shared" ca="1" si="4"/>
        <v/>
      </c>
      <c r="B33" s="33" t="str">
        <f ca="1">IF(COUNTIF($R$2:R1018,A33)=1,VLOOKUP(A33,X:Y,2), IF(COUNTIF($R$2:R1018,A33)=0,$B$10,""))</f>
        <v/>
      </c>
      <c r="C33" s="25" t="str">
        <f t="shared" ca="1" si="5"/>
        <v/>
      </c>
      <c r="D33" s="26"/>
      <c r="E33" s="33" t="str">
        <f t="shared" ca="1" si="3"/>
        <v/>
      </c>
      <c r="F33" s="25" t="str">
        <f t="shared" ca="1" si="6"/>
        <v/>
      </c>
      <c r="G33" s="25" t="str">
        <f t="shared" ca="1" si="7"/>
        <v/>
      </c>
      <c r="H33" s="117"/>
      <c r="I33" s="55" t="str">
        <f t="shared" ca="1" si="8"/>
        <v/>
      </c>
      <c r="J33" s="78"/>
      <c r="L33" s="76">
        <f ca="1"/>
        <v>46148</v>
      </c>
      <c r="M33" s="34">
        <f ca="1"/>
        <v>95.917000000000002</v>
      </c>
      <c r="N33" s="37">
        <f ca="1"/>
        <v>45964</v>
      </c>
      <c r="O33" s="41">
        <f ca="1"/>
        <v>228.9</v>
      </c>
      <c r="P33" s="37">
        <f t="shared" ca="1" si="0"/>
        <v>46148</v>
      </c>
      <c r="Q33" s="37" t="str">
        <f t="shared" ca="1" si="1"/>
        <v/>
      </c>
      <c r="X33" s="95">
        <v>46189</v>
      </c>
      <c r="Y33" s="3">
        <v>165.67259999999999</v>
      </c>
      <c r="Z33" s="37">
        <v>46189</v>
      </c>
      <c r="AA33" s="3">
        <v>87.676000000000002</v>
      </c>
      <c r="AB33" s="37">
        <f t="shared" si="2"/>
        <v>46189</v>
      </c>
    </row>
    <row r="34" spans="1:28" ht="14.45" customHeight="1" x14ac:dyDescent="0.25">
      <c r="A34" s="102" t="str">
        <f t="shared" ca="1" si="4"/>
        <v/>
      </c>
      <c r="B34" s="33" t="str">
        <f ca="1">IF(COUNTIF($R$2:R1019,A34)=1,VLOOKUP(A34,X:Y,2), IF(COUNTIF($R$2:R1019,A34)=0,$B$10,""))</f>
        <v/>
      </c>
      <c r="C34" s="25" t="str">
        <f t="shared" ca="1" si="5"/>
        <v/>
      </c>
      <c r="D34" s="26"/>
      <c r="E34" s="33" t="str">
        <f t="shared" ca="1" si="3"/>
        <v/>
      </c>
      <c r="F34" s="25" t="str">
        <f t="shared" ca="1" si="6"/>
        <v/>
      </c>
      <c r="G34" s="25" t="str">
        <f t="shared" ca="1" si="7"/>
        <v/>
      </c>
      <c r="H34" s="117"/>
      <c r="I34" s="55" t="str">
        <f t="shared" ca="1" si="8"/>
        <v/>
      </c>
      <c r="J34" s="78"/>
      <c r="L34" s="76">
        <f ca="1"/>
        <v>46149</v>
      </c>
      <c r="M34" s="34">
        <f ca="1"/>
        <v>97.302999999999997</v>
      </c>
      <c r="N34" s="37">
        <f ca="1"/>
        <v>45965</v>
      </c>
      <c r="O34" s="41">
        <f ca="1"/>
        <v>229.25</v>
      </c>
      <c r="P34" s="37">
        <f t="shared" ca="1" si="0"/>
        <v>46149</v>
      </c>
      <c r="Q34" s="37" t="str">
        <f t="shared" ca="1" si="1"/>
        <v/>
      </c>
      <c r="X34" s="95">
        <v>46190</v>
      </c>
      <c r="Y34" s="3">
        <v>165.63059999999999</v>
      </c>
      <c r="Z34" s="37">
        <v>46190</v>
      </c>
      <c r="AA34" s="3">
        <v>88.236999999999995</v>
      </c>
      <c r="AB34" s="37">
        <f t="shared" si="2"/>
        <v>46190</v>
      </c>
    </row>
    <row r="35" spans="1:28" ht="14.45" customHeight="1" x14ac:dyDescent="0.25">
      <c r="A35" s="102" t="str">
        <f t="shared" ca="1" si="4"/>
        <v/>
      </c>
      <c r="B35" s="33" t="str">
        <f ca="1">IF(COUNTIF($R$2:R1020,A35)=1,VLOOKUP(A35,X:Y,2), IF(COUNTIF($R$2:R1020,A35)=0,$B$10,""))</f>
        <v/>
      </c>
      <c r="C35" s="25" t="str">
        <f t="shared" ca="1" si="5"/>
        <v/>
      </c>
      <c r="D35" s="26"/>
      <c r="E35" s="33" t="str">
        <f t="shared" ca="1" si="3"/>
        <v/>
      </c>
      <c r="F35" s="25" t="str">
        <f t="shared" ca="1" si="6"/>
        <v/>
      </c>
      <c r="G35" s="25" t="str">
        <f t="shared" ca="1" si="7"/>
        <v/>
      </c>
      <c r="H35" s="117"/>
      <c r="I35" s="55" t="str">
        <f t="shared" ca="1" si="8"/>
        <v/>
      </c>
      <c r="J35" s="78"/>
      <c r="L35" s="76">
        <f ca="1"/>
        <v>46150</v>
      </c>
      <c r="M35" s="34">
        <f ca="1"/>
        <v>97.287000000000006</v>
      </c>
      <c r="N35" s="37">
        <f ca="1"/>
        <v>45966</v>
      </c>
      <c r="O35" s="41">
        <f ca="1"/>
        <v>230.35</v>
      </c>
      <c r="P35" s="37">
        <f t="shared" ca="1" si="0"/>
        <v>46150</v>
      </c>
      <c r="Q35" s="37" t="str">
        <f t="shared" ca="1" si="1"/>
        <v/>
      </c>
      <c r="Z35" s="37">
        <v>46191</v>
      </c>
      <c r="AA35" s="3">
        <v>88.281999999999996</v>
      </c>
      <c r="AB35" s="37" t="str">
        <f t="shared" si="2"/>
        <v/>
      </c>
    </row>
    <row r="36" spans="1:28" ht="14.45" customHeight="1" x14ac:dyDescent="0.25">
      <c r="A36" s="102" t="str">
        <f t="shared" ca="1" si="4"/>
        <v/>
      </c>
      <c r="B36" s="33" t="str">
        <f ca="1">IF(COUNTIF($R$2:R1021,A36)=1,VLOOKUP(A36,X:Y,2), IF(COUNTIF($R$2:R1021,A36)=0,$B$10,""))</f>
        <v/>
      </c>
      <c r="C36" s="25" t="str">
        <f t="shared" ca="1" si="5"/>
        <v/>
      </c>
      <c r="D36" s="26"/>
      <c r="E36" s="33" t="str">
        <f t="shared" ca="1" si="3"/>
        <v/>
      </c>
      <c r="F36" s="25" t="str">
        <f t="shared" ca="1" si="6"/>
        <v/>
      </c>
      <c r="G36" s="25" t="str">
        <f t="shared" ca="1" si="7"/>
        <v/>
      </c>
      <c r="H36" s="117"/>
      <c r="I36" s="55" t="str">
        <f t="shared" ca="1" si="8"/>
        <v/>
      </c>
      <c r="J36" s="78"/>
      <c r="L36" s="76">
        <f ca="1"/>
        <v>46153</v>
      </c>
      <c r="M36" s="34">
        <f ca="1"/>
        <v>96.718999999999994</v>
      </c>
      <c r="N36" s="37">
        <f ca="1"/>
        <v>45967</v>
      </c>
      <c r="O36" s="41">
        <f ca="1"/>
        <v>230.7</v>
      </c>
      <c r="P36" s="37">
        <f t="shared" ca="1" si="0"/>
        <v>46153</v>
      </c>
      <c r="Q36" s="37" t="str">
        <f t="shared" ca="1" si="1"/>
        <v/>
      </c>
      <c r="Z36" s="37"/>
      <c r="AB36" s="37" t="str">
        <f t="shared" si="2"/>
        <v/>
      </c>
    </row>
    <row r="37" spans="1:28" x14ac:dyDescent="0.25">
      <c r="A37" s="102" t="str">
        <f t="shared" ca="1" si="4"/>
        <v/>
      </c>
      <c r="B37" s="33" t="str">
        <f ca="1">IF(COUNTIF($R$2:R1022,A37)=1,VLOOKUP(A37,X:Y,2), IF(COUNTIF($R$2:R1022,A37)=0,$B$10,""))</f>
        <v/>
      </c>
      <c r="C37" s="25" t="str">
        <f t="shared" ca="1" si="5"/>
        <v/>
      </c>
      <c r="D37" s="26"/>
      <c r="E37" s="33" t="str">
        <f t="shared" ca="1" si="3"/>
        <v/>
      </c>
      <c r="F37" s="25" t="str">
        <f t="shared" ca="1" si="6"/>
        <v/>
      </c>
      <c r="G37" s="25" t="str">
        <f t="shared" ca="1" si="7"/>
        <v/>
      </c>
      <c r="H37" s="117"/>
      <c r="I37" s="55" t="str">
        <f t="shared" ca="1" si="8"/>
        <v/>
      </c>
      <c r="J37" s="78"/>
      <c r="L37" s="76">
        <f ca="1"/>
        <v>46154</v>
      </c>
      <c r="M37" s="34">
        <f ca="1"/>
        <v>100.017</v>
      </c>
      <c r="N37" s="37">
        <f ca="1"/>
        <v>45968</v>
      </c>
      <c r="O37" s="41">
        <f ca="1"/>
        <v>228.8</v>
      </c>
      <c r="P37" s="37">
        <f t="shared" ca="1" si="0"/>
        <v>46154</v>
      </c>
      <c r="Q37" s="37" t="str">
        <f t="shared" ca="1" si="1"/>
        <v/>
      </c>
      <c r="Z37" s="37"/>
      <c r="AB37" s="37" t="str">
        <f t="shared" si="2"/>
        <v/>
      </c>
    </row>
    <row r="38" spans="1:28" x14ac:dyDescent="0.25">
      <c r="A38" s="102" t="str">
        <f t="shared" ca="1" si="4"/>
        <v/>
      </c>
      <c r="B38" s="33" t="str">
        <f ca="1">IF(COUNTIF($R$2:R1023,A38)=1,VLOOKUP(A38,X:Y,2), IF(COUNTIF($R$2:R1023,A38)=0,$B$10,""))</f>
        <v/>
      </c>
      <c r="C38" s="25" t="str">
        <f t="shared" ca="1" si="5"/>
        <v/>
      </c>
      <c r="D38" s="26"/>
      <c r="E38" s="33" t="str">
        <f t="shared" ca="1" si="3"/>
        <v/>
      </c>
      <c r="F38" s="25" t="str">
        <f t="shared" ca="1" si="6"/>
        <v/>
      </c>
      <c r="G38" s="25" t="str">
        <f t="shared" ca="1" si="7"/>
        <v/>
      </c>
      <c r="H38" s="117"/>
      <c r="I38" s="55" t="str">
        <f t="shared" ca="1" si="8"/>
        <v/>
      </c>
      <c r="J38" s="78"/>
      <c r="L38" s="76">
        <f ca="1"/>
        <v>46155</v>
      </c>
      <c r="M38" s="34">
        <f ca="1"/>
        <v>97.277000000000001</v>
      </c>
      <c r="N38" s="37">
        <f ca="1"/>
        <v>45971</v>
      </c>
      <c r="O38" s="41">
        <f ca="1"/>
        <v>236.7</v>
      </c>
      <c r="P38" s="37">
        <f t="shared" ca="1" si="0"/>
        <v>46155</v>
      </c>
      <c r="Q38" s="37" t="str">
        <f t="shared" ca="1" si="1"/>
        <v/>
      </c>
      <c r="Z38" s="37"/>
      <c r="AB38" s="37" t="str">
        <f t="shared" si="2"/>
        <v/>
      </c>
    </row>
    <row r="39" spans="1:28" x14ac:dyDescent="0.25">
      <c r="A39" s="102" t="str">
        <f t="shared" ca="1" si="4"/>
        <v/>
      </c>
      <c r="B39" s="33" t="str">
        <f ca="1">IF(COUNTIF($R$2:R1024,A39)=1,VLOOKUP(A39,X:Y,2), IF(COUNTIF($R$2:R1024,A39)=0,$B$10,""))</f>
        <v/>
      </c>
      <c r="C39" s="25" t="str">
        <f t="shared" ca="1" si="5"/>
        <v/>
      </c>
      <c r="D39" s="26"/>
      <c r="E39" s="33" t="str">
        <f t="shared" ca="1" si="3"/>
        <v/>
      </c>
      <c r="F39" s="25" t="str">
        <f t="shared" ca="1" si="6"/>
        <v/>
      </c>
      <c r="G39" s="25" t="str">
        <f t="shared" ca="1" si="7"/>
        <v/>
      </c>
      <c r="H39" s="117"/>
      <c r="I39" s="55" t="str">
        <f t="shared" ca="1" si="8"/>
        <v/>
      </c>
      <c r="J39" s="79"/>
      <c r="L39" s="76">
        <f ca="1"/>
        <v>46156</v>
      </c>
      <c r="M39" s="34">
        <f ca="1"/>
        <v>95.843000000000004</v>
      </c>
      <c r="N39" s="37">
        <f ca="1"/>
        <v>45972</v>
      </c>
      <c r="O39" s="41">
        <f ca="1"/>
        <v>239.45</v>
      </c>
      <c r="P39" s="37">
        <f t="shared" ca="1" si="0"/>
        <v>46156</v>
      </c>
      <c r="Q39" s="37" t="str">
        <f t="shared" ca="1" si="1"/>
        <v/>
      </c>
      <c r="Z39" s="37"/>
      <c r="AB39" s="37" t="str">
        <f t="shared" si="2"/>
        <v/>
      </c>
    </row>
    <row r="40" spans="1:28" x14ac:dyDescent="0.25">
      <c r="A40" s="102" t="str">
        <f t="shared" ca="1" si="4"/>
        <v/>
      </c>
      <c r="B40" s="33" t="str">
        <f ca="1">IF(COUNTIF($R$2:R1025,A40)=1,VLOOKUP(A40,X:Y,2), IF(COUNTIF($R$2:R1025,A40)=0,$B$10,""))</f>
        <v/>
      </c>
      <c r="C40" s="25" t="str">
        <f t="shared" ca="1" si="5"/>
        <v/>
      </c>
      <c r="D40" s="26"/>
      <c r="E40" s="33" t="str">
        <f t="shared" ca="1" si="3"/>
        <v/>
      </c>
      <c r="F40" s="25" t="str">
        <f t="shared" ca="1" si="6"/>
        <v/>
      </c>
      <c r="G40" s="25" t="str">
        <f t="shared" ca="1" si="7"/>
        <v/>
      </c>
      <c r="H40" s="117"/>
      <c r="I40" s="55" t="str">
        <f t="shared" ca="1" si="8"/>
        <v/>
      </c>
      <c r="J40" s="79"/>
      <c r="L40" s="76">
        <f ca="1"/>
        <v>46157</v>
      </c>
      <c r="M40" s="34">
        <f ca="1"/>
        <v>100.188</v>
      </c>
      <c r="N40" s="37">
        <f ca="1"/>
        <v>45973</v>
      </c>
      <c r="O40" s="41">
        <f ca="1"/>
        <v>244.1</v>
      </c>
      <c r="P40" s="37">
        <f t="shared" ca="1" si="0"/>
        <v>46157</v>
      </c>
      <c r="Q40" s="37" t="str">
        <f t="shared" ca="1" si="1"/>
        <v/>
      </c>
      <c r="Z40" s="37"/>
      <c r="AB40" s="37" t="str">
        <f t="shared" si="2"/>
        <v/>
      </c>
    </row>
    <row r="41" spans="1:28" x14ac:dyDescent="0.25">
      <c r="A41" s="102" t="str">
        <f t="shared" ca="1" si="4"/>
        <v/>
      </c>
      <c r="B41" s="33" t="str">
        <f ca="1">IF(COUNTIF($R$2:R1026,A41)=1,VLOOKUP(A41,X:Y,2), IF(COUNTIF($R$2:R1026,A41)=0,$B$10,""))</f>
        <v/>
      </c>
      <c r="C41" s="25" t="str">
        <f t="shared" ca="1" si="5"/>
        <v/>
      </c>
      <c r="D41" s="26"/>
      <c r="E41" s="33" t="str">
        <f t="shared" ca="1" si="3"/>
        <v/>
      </c>
      <c r="F41" s="25" t="str">
        <f t="shared" ca="1" si="6"/>
        <v/>
      </c>
      <c r="G41" s="25" t="str">
        <f t="shared" ca="1" si="7"/>
        <v/>
      </c>
      <c r="H41" s="117"/>
      <c r="I41" s="55" t="str">
        <f t="shared" ca="1" si="8"/>
        <v/>
      </c>
      <c r="J41" s="79"/>
      <c r="L41" s="76">
        <f ca="1"/>
        <v>46160</v>
      </c>
      <c r="M41" s="34">
        <f ca="1"/>
        <v>98.825999999999993</v>
      </c>
      <c r="N41" s="37">
        <f ca="1"/>
        <v>45974</v>
      </c>
      <c r="O41" s="41">
        <f ca="1"/>
        <v>244.15</v>
      </c>
      <c r="P41" s="37">
        <f t="shared" ca="1" si="0"/>
        <v>46160</v>
      </c>
      <c r="Q41" s="37" t="str">
        <f t="shared" ca="1" si="1"/>
        <v/>
      </c>
      <c r="Z41" s="37"/>
      <c r="AB41" s="37" t="str">
        <f t="shared" si="2"/>
        <v/>
      </c>
    </row>
    <row r="42" spans="1:28" x14ac:dyDescent="0.25">
      <c r="A42" s="102" t="str">
        <f t="shared" ca="1" si="4"/>
        <v/>
      </c>
      <c r="B42" s="33" t="str">
        <f ca="1">IF(COUNTIF($R$2:R1027,A42)=1,VLOOKUP(A42,X:Y,2), IF(COUNTIF($R$2:R1027,A42)=0,$B$10,""))</f>
        <v/>
      </c>
      <c r="C42" s="25" t="str">
        <f t="shared" ca="1" si="5"/>
        <v/>
      </c>
      <c r="D42" s="26"/>
      <c r="E42" s="33" t="str">
        <f t="shared" ca="1" si="3"/>
        <v/>
      </c>
      <c r="F42" s="25" t="str">
        <f t="shared" ca="1" si="6"/>
        <v/>
      </c>
      <c r="G42" s="25" t="str">
        <f t="shared" ca="1" si="7"/>
        <v/>
      </c>
      <c r="H42" s="117"/>
      <c r="I42" s="55" t="str">
        <f t="shared" ca="1" si="8"/>
        <v/>
      </c>
      <c r="J42" s="79"/>
      <c r="L42" s="76">
        <f ca="1"/>
        <v>46161</v>
      </c>
      <c r="M42" s="34">
        <f ca="1"/>
        <v>100.245</v>
      </c>
      <c r="N42" s="37">
        <f ca="1"/>
        <v>45975</v>
      </c>
      <c r="O42" s="41">
        <f ca="1"/>
        <v>237.85</v>
      </c>
      <c r="P42" s="37">
        <f t="shared" ca="1" si="0"/>
        <v>46161</v>
      </c>
      <c r="Q42" s="37" t="str">
        <f t="shared" ca="1" si="1"/>
        <v/>
      </c>
      <c r="Z42" s="37"/>
      <c r="AB42" s="37" t="str">
        <f t="shared" si="2"/>
        <v/>
      </c>
    </row>
    <row r="43" spans="1:28" x14ac:dyDescent="0.25">
      <c r="A43" s="102" t="str">
        <f t="shared" ca="1" si="4"/>
        <v/>
      </c>
      <c r="B43" s="33" t="str">
        <f ca="1">IF(COUNTIF($R$2:R1028,A43)=1,VLOOKUP(A43,X:Y,2), IF(COUNTIF($R$2:R1028,A43)=0,$B$10,""))</f>
        <v/>
      </c>
      <c r="C43" s="25" t="str">
        <f t="shared" ca="1" si="5"/>
        <v/>
      </c>
      <c r="D43" s="26"/>
      <c r="E43" s="33" t="str">
        <f t="shared" ca="1" si="3"/>
        <v/>
      </c>
      <c r="F43" s="25" t="str">
        <f t="shared" ca="1" si="6"/>
        <v/>
      </c>
      <c r="G43" s="25" t="str">
        <f t="shared" ca="1" si="7"/>
        <v/>
      </c>
      <c r="H43" s="117"/>
      <c r="I43" s="55" t="str">
        <f t="shared" ca="1" si="8"/>
        <v/>
      </c>
      <c r="J43" s="79"/>
      <c r="L43" s="76">
        <f ca="1"/>
        <v>46162</v>
      </c>
      <c r="M43" s="34">
        <f ca="1"/>
        <v>95.456999999999994</v>
      </c>
      <c r="N43" s="37">
        <f ca="1"/>
        <v>45978</v>
      </c>
      <c r="O43" s="41">
        <f ca="1"/>
        <v>234.5</v>
      </c>
      <c r="P43" s="37">
        <f t="shared" ca="1" si="0"/>
        <v>46162</v>
      </c>
      <c r="Q43" s="37" t="str">
        <f t="shared" ca="1" si="1"/>
        <v/>
      </c>
      <c r="Z43" s="37"/>
      <c r="AB43" s="37" t="str">
        <f t="shared" si="2"/>
        <v/>
      </c>
    </row>
    <row r="44" spans="1:28" x14ac:dyDescent="0.25">
      <c r="A44" s="102" t="str">
        <f t="shared" ca="1" si="4"/>
        <v/>
      </c>
      <c r="B44" s="33" t="str">
        <f ca="1">IF(COUNTIF($R$2:R1029,A44)=1,VLOOKUP(A44,X:Y,2), IF(COUNTIF($R$2:R1029,A44)=0,$B$10,""))</f>
        <v/>
      </c>
      <c r="C44" s="25" t="str">
        <f t="shared" ca="1" si="5"/>
        <v/>
      </c>
      <c r="D44" s="26"/>
      <c r="E44" s="33" t="str">
        <f t="shared" ca="1" si="3"/>
        <v/>
      </c>
      <c r="F44" s="25" t="str">
        <f t="shared" ca="1" si="6"/>
        <v/>
      </c>
      <c r="G44" s="25" t="str">
        <f t="shared" ca="1" si="7"/>
        <v/>
      </c>
      <c r="H44" s="117"/>
      <c r="I44" s="55" t="str">
        <f t="shared" ca="1" si="8"/>
        <v/>
      </c>
      <c r="J44" s="79"/>
      <c r="L44" s="76">
        <f ca="1"/>
        <v>46163</v>
      </c>
      <c r="M44" s="34">
        <f ca="1"/>
        <v>96.617999999999995</v>
      </c>
      <c r="N44" s="37">
        <f ca="1"/>
        <v>45979</v>
      </c>
      <c r="O44" s="41">
        <f ca="1"/>
        <v>227.65</v>
      </c>
      <c r="P44" s="37">
        <f t="shared" ca="1" si="0"/>
        <v>46163</v>
      </c>
      <c r="Q44" s="37" t="str">
        <f t="shared" ca="1" si="1"/>
        <v/>
      </c>
      <c r="Z44" s="37"/>
      <c r="AB44" s="37" t="str">
        <f t="shared" si="2"/>
        <v/>
      </c>
    </row>
    <row r="45" spans="1:28" x14ac:dyDescent="0.25">
      <c r="A45" s="102" t="str">
        <f t="shared" ca="1" si="4"/>
        <v/>
      </c>
      <c r="B45" s="33" t="str">
        <f ca="1">IF(COUNTIF($R$2:R1030,A45)=1,VLOOKUP(A45,X:Y,2), IF(COUNTIF($R$2:R1030,A45)=0,$B$10,""))</f>
        <v/>
      </c>
      <c r="C45" s="25" t="str">
        <f t="shared" ca="1" si="5"/>
        <v/>
      </c>
      <c r="D45" s="26"/>
      <c r="E45" s="33" t="str">
        <f t="shared" ca="1" si="3"/>
        <v/>
      </c>
      <c r="F45" s="25" t="str">
        <f t="shared" ca="1" si="6"/>
        <v/>
      </c>
      <c r="G45" s="25" t="str">
        <f t="shared" ca="1" si="7"/>
        <v/>
      </c>
      <c r="H45" s="117"/>
      <c r="I45" s="55" t="str">
        <f t="shared" ca="1" si="8"/>
        <v/>
      </c>
      <c r="J45" s="79"/>
      <c r="L45" s="76">
        <f ca="1"/>
        <v>46164</v>
      </c>
      <c r="M45" s="34">
        <f ca="1"/>
        <v>94.872</v>
      </c>
      <c r="N45" s="37">
        <f ca="1"/>
        <v>45980</v>
      </c>
      <c r="O45" s="41">
        <f ca="1"/>
        <v>229.35</v>
      </c>
      <c r="P45" s="37">
        <f t="shared" ca="1" si="0"/>
        <v>46164</v>
      </c>
      <c r="Q45" s="37" t="str">
        <f t="shared" ca="1" si="1"/>
        <v/>
      </c>
      <c r="Z45" s="37"/>
      <c r="AB45" s="37" t="str">
        <f t="shared" si="2"/>
        <v/>
      </c>
    </row>
    <row r="46" spans="1:28" x14ac:dyDescent="0.25">
      <c r="A46" s="102" t="str">
        <f t="shared" ca="1" si="4"/>
        <v/>
      </c>
      <c r="B46" s="33" t="str">
        <f ca="1">IF(COUNTIF($R$2:R1031,A46)=1,VLOOKUP(A46,X:Y,2), IF(COUNTIF($R$2:R1031,A46)=0,$B$10,""))</f>
        <v/>
      </c>
      <c r="C46" s="25" t="str">
        <f t="shared" ca="1" si="5"/>
        <v/>
      </c>
      <c r="D46" s="26"/>
      <c r="E46" s="33" t="str">
        <f t="shared" ca="1" si="3"/>
        <v/>
      </c>
      <c r="F46" s="25" t="str">
        <f t="shared" ca="1" si="6"/>
        <v/>
      </c>
      <c r="G46" s="25" t="str">
        <f t="shared" ca="1" si="7"/>
        <v/>
      </c>
      <c r="H46" s="117"/>
      <c r="I46" s="55" t="str">
        <f t="shared" ca="1" si="8"/>
        <v/>
      </c>
      <c r="J46" s="79"/>
      <c r="L46" s="76">
        <f ca="1"/>
        <v>46168</v>
      </c>
      <c r="M46" s="34">
        <f ca="1"/>
        <v>93.215000000000003</v>
      </c>
      <c r="N46" s="37">
        <f ca="1"/>
        <v>45981</v>
      </c>
      <c r="O46" s="41">
        <f ca="1"/>
        <v>231.85</v>
      </c>
      <c r="P46" s="37">
        <f t="shared" ca="1" si="0"/>
        <v>46168</v>
      </c>
      <c r="Q46" s="37" t="str">
        <f t="shared" ca="1" si="1"/>
        <v/>
      </c>
      <c r="Z46" s="37"/>
      <c r="AB46" s="37" t="str">
        <f t="shared" si="2"/>
        <v/>
      </c>
    </row>
    <row r="47" spans="1:28" x14ac:dyDescent="0.25">
      <c r="A47" s="102" t="str">
        <f t="shared" ca="1" si="4"/>
        <v/>
      </c>
      <c r="B47" s="33" t="str">
        <f ca="1">IF(COUNTIF($R$2:R1032,A47)=1,VLOOKUP(A47,X:Y,2), IF(COUNTIF($R$2:R1032,A47)=0,$B$10,""))</f>
        <v/>
      </c>
      <c r="C47" s="25" t="str">
        <f t="shared" ca="1" si="5"/>
        <v/>
      </c>
      <c r="D47" s="26"/>
      <c r="E47" s="33" t="str">
        <f t="shared" ca="1" si="3"/>
        <v/>
      </c>
      <c r="F47" s="25" t="str">
        <f t="shared" ca="1" si="6"/>
        <v/>
      </c>
      <c r="G47" s="25" t="str">
        <f t="shared" ca="1" si="7"/>
        <v/>
      </c>
      <c r="H47" s="117"/>
      <c r="I47" s="55" t="str">
        <f t="shared" ca="1" si="8"/>
        <v/>
      </c>
      <c r="J47" s="79"/>
      <c r="L47" s="76">
        <f ca="1"/>
        <v>46169</v>
      </c>
      <c r="M47" s="34">
        <f ca="1"/>
        <v>93.236000000000004</v>
      </c>
      <c r="N47" s="37">
        <f ca="1"/>
        <v>45982</v>
      </c>
      <c r="O47" s="41">
        <f ca="1"/>
        <v>230</v>
      </c>
      <c r="P47" s="37">
        <f t="shared" ca="1" si="0"/>
        <v>46169</v>
      </c>
      <c r="Q47" s="37" t="str">
        <f t="shared" ca="1" si="1"/>
        <v/>
      </c>
      <c r="Z47" s="37"/>
      <c r="AB47" s="37" t="str">
        <f t="shared" si="2"/>
        <v/>
      </c>
    </row>
    <row r="48" spans="1:28" x14ac:dyDescent="0.25">
      <c r="A48" s="102" t="str">
        <f t="shared" ca="1" si="4"/>
        <v/>
      </c>
      <c r="B48" s="33" t="str">
        <f ca="1">IF(COUNTIF($R$2:R1033,A48)=1,VLOOKUP(A48,X:Y,2), IF(COUNTIF($R$2:R1033,A48)=0,$B$10,""))</f>
        <v/>
      </c>
      <c r="C48" s="25" t="str">
        <f t="shared" ca="1" si="5"/>
        <v/>
      </c>
      <c r="D48" s="26"/>
      <c r="E48" s="33" t="str">
        <f t="shared" ca="1" si="3"/>
        <v/>
      </c>
      <c r="F48" s="25" t="str">
        <f t="shared" ca="1" si="6"/>
        <v/>
      </c>
      <c r="G48" s="25" t="str">
        <f t="shared" ca="1" si="7"/>
        <v/>
      </c>
      <c r="H48" s="117"/>
      <c r="I48" s="55" t="str">
        <f t="shared" ca="1" si="8"/>
        <v/>
      </c>
      <c r="J48" s="79"/>
      <c r="L48" s="76">
        <f ca="1"/>
        <v>46170</v>
      </c>
      <c r="M48" s="34">
        <f ca="1"/>
        <v>91.685000000000002</v>
      </c>
      <c r="N48" s="37">
        <f ca="1"/>
        <v>45985</v>
      </c>
      <c r="O48" s="41">
        <f ca="1"/>
        <v>232.25</v>
      </c>
      <c r="P48" s="37">
        <f t="shared" ca="1" si="0"/>
        <v>46170</v>
      </c>
      <c r="Q48" s="37" t="str">
        <f t="shared" ca="1" si="1"/>
        <v/>
      </c>
      <c r="Z48" s="37"/>
      <c r="AB48" s="37" t="str">
        <f t="shared" si="2"/>
        <v/>
      </c>
    </row>
    <row r="49" spans="1:30" x14ac:dyDescent="0.25">
      <c r="A49" s="102" t="str">
        <f t="shared" ca="1" si="4"/>
        <v/>
      </c>
      <c r="B49" s="33" t="str">
        <f ca="1">IF(COUNTIF($R$2:R1034,A49)=1,VLOOKUP(A49,X:Y,2), IF(COUNTIF($R$2:R1034,A49)=0,$B$10,""))</f>
        <v/>
      </c>
      <c r="C49" s="25" t="str">
        <f t="shared" ca="1" si="5"/>
        <v/>
      </c>
      <c r="D49" s="26"/>
      <c r="E49" s="33" t="str">
        <f t="shared" ca="1" si="3"/>
        <v/>
      </c>
      <c r="F49" s="25" t="str">
        <f t="shared" ca="1" si="6"/>
        <v/>
      </c>
      <c r="G49" s="25" t="str">
        <f t="shared" ca="1" si="7"/>
        <v/>
      </c>
      <c r="H49" s="117"/>
      <c r="I49" s="55" t="str">
        <f t="shared" ca="1" si="8"/>
        <v/>
      </c>
      <c r="J49" s="79"/>
      <c r="L49" s="76">
        <f ca="1"/>
        <v>46171</v>
      </c>
      <c r="M49" s="34">
        <f ca="1"/>
        <v>90.555000000000007</v>
      </c>
      <c r="N49" s="37">
        <f ca="1"/>
        <v>45986</v>
      </c>
      <c r="O49" s="41">
        <f ca="1"/>
        <v>235.85</v>
      </c>
      <c r="P49" s="37">
        <f t="shared" ca="1" si="0"/>
        <v>46171</v>
      </c>
      <c r="Q49" s="37" t="str">
        <f t="shared" ca="1" si="1"/>
        <v/>
      </c>
      <c r="Z49" s="37"/>
      <c r="AB49" s="37" t="str">
        <f t="shared" si="2"/>
        <v/>
      </c>
    </row>
    <row r="50" spans="1:30" x14ac:dyDescent="0.25">
      <c r="A50" s="102" t="str">
        <f t="shared" ca="1" si="4"/>
        <v/>
      </c>
      <c r="B50" s="33" t="str">
        <f ca="1">IF(COUNTIF($R$2:R1035,A50)=1,VLOOKUP(A50,X:Y,2), IF(COUNTIF($R$2:R1035,A50)=0,$B$10,""))</f>
        <v/>
      </c>
      <c r="C50" s="25" t="str">
        <f t="shared" ca="1" si="5"/>
        <v/>
      </c>
      <c r="D50" s="26"/>
      <c r="E50" s="33" t="str">
        <f t="shared" ca="1" si="3"/>
        <v/>
      </c>
      <c r="F50" s="25" t="str">
        <f t="shared" ca="1" si="6"/>
        <v/>
      </c>
      <c r="G50" s="25" t="str">
        <f t="shared" ca="1" si="7"/>
        <v/>
      </c>
      <c r="H50" s="117"/>
      <c r="I50" s="55" t="str">
        <f t="shared" ca="1" si="8"/>
        <v/>
      </c>
      <c r="J50" s="79"/>
      <c r="L50" s="76">
        <f ca="1"/>
        <v>46174</v>
      </c>
      <c r="M50" s="34">
        <f ca="1"/>
        <v>92.426000000000002</v>
      </c>
      <c r="N50" s="37">
        <f ca="1"/>
        <v>45987</v>
      </c>
      <c r="O50" s="41">
        <f ca="1"/>
        <v>239.6</v>
      </c>
      <c r="P50" s="37">
        <f t="shared" ca="1" si="0"/>
        <v>46174</v>
      </c>
      <c r="Q50" s="37" t="str">
        <f t="shared" ca="1" si="1"/>
        <v/>
      </c>
      <c r="Z50" s="37"/>
      <c r="AB50" s="37" t="str">
        <f t="shared" si="2"/>
        <v/>
      </c>
    </row>
    <row r="51" spans="1:30" x14ac:dyDescent="0.25">
      <c r="A51" s="102" t="str">
        <f t="shared" ca="1" si="4"/>
        <v/>
      </c>
      <c r="B51" s="33" t="str">
        <f ca="1">IF(COUNTIF($R$2:R1036,A51)=1,VLOOKUP(A51,X:Y,2), IF(COUNTIF($R$2:R1036,A51)=0,$B$10,""))</f>
        <v/>
      </c>
      <c r="C51" s="25" t="str">
        <f t="shared" ca="1" si="5"/>
        <v/>
      </c>
      <c r="D51" s="26"/>
      <c r="E51" s="33" t="str">
        <f t="shared" ca="1" si="3"/>
        <v/>
      </c>
      <c r="F51" s="25" t="str">
        <f t="shared" ca="1" si="6"/>
        <v/>
      </c>
      <c r="G51" s="25" t="str">
        <f t="shared" ca="1" si="7"/>
        <v/>
      </c>
      <c r="H51" s="117"/>
      <c r="I51" s="55" t="str">
        <f t="shared" ca="1" si="8"/>
        <v/>
      </c>
      <c r="J51" s="79"/>
      <c r="L51" s="76">
        <f ca="1"/>
        <v>46175</v>
      </c>
      <c r="M51" s="34">
        <f ca="1"/>
        <v>90.718999999999994</v>
      </c>
      <c r="N51" s="37">
        <f ca="1"/>
        <v>45988</v>
      </c>
      <c r="O51" s="41">
        <f ca="1"/>
        <v>239.85</v>
      </c>
      <c r="P51" s="37">
        <f t="shared" ca="1" si="0"/>
        <v>46175</v>
      </c>
      <c r="Q51" s="37" t="str">
        <f t="shared" ca="1" si="1"/>
        <v/>
      </c>
      <c r="Z51" s="37"/>
      <c r="AB51" s="37" t="str">
        <f t="shared" si="2"/>
        <v/>
      </c>
    </row>
    <row r="52" spans="1:30" x14ac:dyDescent="0.25">
      <c r="A52" s="102" t="str">
        <f t="shared" ca="1" si="4"/>
        <v/>
      </c>
      <c r="B52" s="33" t="str">
        <f ca="1">IF(COUNTIF($R$2:R1037,A52)=1,VLOOKUP(A52,X:Y,2), IF(COUNTIF($R$2:R1037,A52)=0,$B$10,""))</f>
        <v/>
      </c>
      <c r="C52" s="25" t="str">
        <f t="shared" ca="1" si="5"/>
        <v/>
      </c>
      <c r="D52" s="26"/>
      <c r="E52" s="33" t="str">
        <f t="shared" ca="1" si="3"/>
        <v/>
      </c>
      <c r="F52" s="25" t="str">
        <f t="shared" ca="1" si="6"/>
        <v/>
      </c>
      <c r="G52" s="25" t="str">
        <f t="shared" ca="1" si="7"/>
        <v/>
      </c>
      <c r="H52" s="117"/>
      <c r="I52" s="55" t="str">
        <f t="shared" ca="1" si="8"/>
        <v/>
      </c>
      <c r="J52" s="79"/>
      <c r="L52" s="76">
        <f ca="1"/>
        <v>46176</v>
      </c>
      <c r="M52" s="34">
        <f ca="1"/>
        <v>92.715999999999994</v>
      </c>
      <c r="N52" s="37">
        <f ca="1"/>
        <v>45989</v>
      </c>
      <c r="O52" s="41">
        <f ca="1"/>
        <v>239.9</v>
      </c>
      <c r="P52" s="37">
        <f t="shared" ca="1" si="0"/>
        <v>46176</v>
      </c>
      <c r="Q52" s="37" t="str">
        <f t="shared" ca="1" si="1"/>
        <v/>
      </c>
      <c r="Z52" s="37"/>
      <c r="AB52" s="37" t="str">
        <f t="shared" si="2"/>
        <v/>
      </c>
    </row>
    <row r="53" spans="1:30" x14ac:dyDescent="0.25">
      <c r="A53" s="102" t="str">
        <f t="shared" ca="1" si="4"/>
        <v/>
      </c>
      <c r="B53" s="33" t="str">
        <f ca="1">IF(COUNTIF($R$2:R1038,A53)=1,VLOOKUP(A53,X:Y,2), IF(COUNTIF($R$2:R1038,A53)=0,$B$10,""))</f>
        <v/>
      </c>
      <c r="C53" s="25" t="str">
        <f t="shared" ca="1" si="5"/>
        <v/>
      </c>
      <c r="D53" s="26"/>
      <c r="E53" s="33" t="str">
        <f t="shared" ca="1" si="3"/>
        <v/>
      </c>
      <c r="F53" s="25" t="str">
        <f t="shared" ca="1" si="6"/>
        <v/>
      </c>
      <c r="G53" s="25" t="str">
        <f t="shared" ca="1" si="7"/>
        <v/>
      </c>
      <c r="H53" s="117"/>
      <c r="I53" s="55" t="str">
        <f t="shared" ca="1" si="8"/>
        <v/>
      </c>
      <c r="J53" s="79"/>
      <c r="L53" s="76">
        <f ca="1"/>
        <v>46177</v>
      </c>
      <c r="M53" s="34">
        <f ca="1"/>
        <v>90.813999999999993</v>
      </c>
      <c r="N53" s="37">
        <f ca="1"/>
        <v>45992</v>
      </c>
      <c r="O53" s="41">
        <f ca="1"/>
        <v>240.5</v>
      </c>
      <c r="P53" s="37">
        <f t="shared" ca="1" si="0"/>
        <v>46177</v>
      </c>
      <c r="Q53" s="37">
        <f t="shared" ca="1" si="1"/>
        <v>46177</v>
      </c>
      <c r="Z53" s="37"/>
      <c r="AB53" s="37" t="str">
        <f t="shared" si="2"/>
        <v/>
      </c>
    </row>
    <row r="54" spans="1:30" x14ac:dyDescent="0.25">
      <c r="A54" s="102" t="str">
        <f t="shared" ca="1" si="4"/>
        <v/>
      </c>
      <c r="B54" s="33" t="str">
        <f ca="1">IF(COUNTIF($R$2:R1039,A54)=1,VLOOKUP(A54,X:Y,2), IF(COUNTIF($R$2:R1039,A54)=0,$B$10,""))</f>
        <v/>
      </c>
      <c r="C54" s="25" t="str">
        <f t="shared" ca="1" si="5"/>
        <v/>
      </c>
      <c r="D54" s="26"/>
      <c r="E54" s="33" t="str">
        <f t="shared" ca="1" si="3"/>
        <v/>
      </c>
      <c r="F54" s="25" t="str">
        <f t="shared" ca="1" si="6"/>
        <v/>
      </c>
      <c r="G54" s="25" t="str">
        <f t="shared" ca="1" si="7"/>
        <v/>
      </c>
      <c r="H54" s="117"/>
      <c r="I54" s="55" t="str">
        <f t="shared" ca="1" si="8"/>
        <v/>
      </c>
      <c r="J54" s="79"/>
      <c r="L54" s="76">
        <f ca="1"/>
        <v>46178</v>
      </c>
      <c r="M54" s="34">
        <f ca="1"/>
        <v>92.251999999999995</v>
      </c>
      <c r="N54" s="37">
        <f ca="1"/>
        <v>45993</v>
      </c>
      <c r="O54" s="41">
        <f ca="1"/>
        <v>243.65</v>
      </c>
      <c r="P54" s="37">
        <f t="shared" ca="1" si="0"/>
        <v>46178</v>
      </c>
      <c r="Q54" s="37">
        <f t="shared" ca="1" si="1"/>
        <v>46178</v>
      </c>
      <c r="Z54" s="37"/>
      <c r="AB54" s="37" t="str">
        <f t="shared" si="2"/>
        <v/>
      </c>
    </row>
    <row r="55" spans="1:30" x14ac:dyDescent="0.25">
      <c r="A55" s="102" t="str">
        <f t="shared" ca="1" si="4"/>
        <v/>
      </c>
      <c r="B55" s="33" t="str">
        <f ca="1">IF(COUNTIF($R$2:R1040,A55)=1,VLOOKUP(A55,X:Y,2), IF(COUNTIF($R$2:R1040,A55)=0,$B$10,""))</f>
        <v/>
      </c>
      <c r="C55" s="25" t="str">
        <f t="shared" ca="1" si="5"/>
        <v/>
      </c>
      <c r="D55" s="26"/>
      <c r="E55" s="33" t="str">
        <f t="shared" ca="1" si="3"/>
        <v/>
      </c>
      <c r="F55" s="25" t="str">
        <f t="shared" ca="1" si="6"/>
        <v/>
      </c>
      <c r="G55" s="25" t="str">
        <f t="shared" ca="1" si="7"/>
        <v/>
      </c>
      <c r="H55" s="117"/>
      <c r="I55" s="55" t="str">
        <f t="shared" ca="1" si="8"/>
        <v/>
      </c>
      <c r="J55" s="79"/>
      <c r="L55" s="76">
        <f ca="1"/>
        <v>46181</v>
      </c>
      <c r="M55" s="34">
        <f ca="1"/>
        <v>92.679000000000002</v>
      </c>
      <c r="N55" s="37">
        <f ca="1"/>
        <v>45994</v>
      </c>
      <c r="O55" s="41">
        <f ca="1"/>
        <v>241.35</v>
      </c>
      <c r="P55" s="37">
        <f t="shared" ca="1" si="0"/>
        <v>46181</v>
      </c>
      <c r="Q55" s="37">
        <f t="shared" ca="1" si="1"/>
        <v>46181</v>
      </c>
      <c r="Z55" s="37"/>
      <c r="AB55" s="37" t="str">
        <f t="shared" si="2"/>
        <v/>
      </c>
    </row>
    <row r="56" spans="1:30" x14ac:dyDescent="0.25">
      <c r="A56" s="102" t="str">
        <f t="shared" ca="1" si="4"/>
        <v/>
      </c>
      <c r="B56" s="33" t="str">
        <f ca="1">IF(COUNTIF($R$2:R1041,A56)=1,VLOOKUP(A56,X:Y,2), IF(COUNTIF($R$2:R1041,A56)=0,$B$10,""))</f>
        <v/>
      </c>
      <c r="C56" s="25" t="str">
        <f t="shared" ca="1" si="5"/>
        <v/>
      </c>
      <c r="D56" s="26"/>
      <c r="E56" s="33" t="str">
        <f t="shared" ca="1" si="3"/>
        <v/>
      </c>
      <c r="F56" s="25" t="str">
        <f t="shared" ca="1" si="6"/>
        <v/>
      </c>
      <c r="G56" s="25" t="str">
        <f t="shared" ca="1" si="7"/>
        <v/>
      </c>
      <c r="H56" s="117"/>
      <c r="I56" s="55" t="str">
        <f t="shared" ca="1" si="8"/>
        <v/>
      </c>
      <c r="J56" s="80"/>
      <c r="L56" s="76">
        <f ca="1"/>
        <v>46182</v>
      </c>
      <c r="M56" s="41">
        <f ca="1"/>
        <v>93.063999999999993</v>
      </c>
      <c r="N56" s="37">
        <f ca="1"/>
        <v>45995</v>
      </c>
      <c r="O56" s="41">
        <f ca="1"/>
        <v>244.4</v>
      </c>
      <c r="P56" s="37">
        <f t="shared" ca="1" si="0"/>
        <v>46182</v>
      </c>
      <c r="Q56" s="37">
        <f t="shared" ca="1" si="1"/>
        <v>46182</v>
      </c>
      <c r="Z56" s="37"/>
      <c r="AB56" s="37" t="str">
        <f t="shared" si="2"/>
        <v/>
      </c>
    </row>
    <row r="57" spans="1:30" x14ac:dyDescent="0.25">
      <c r="A57" s="102" t="str">
        <f t="shared" ca="1" si="4"/>
        <v/>
      </c>
      <c r="B57" s="33" t="str">
        <f ca="1">IF(COUNTIF($R$2:R1042,A57)=1,VLOOKUP(A57,X:Y,2), IF(COUNTIF($R$2:R1042,A57)=0,$B$10,""))</f>
        <v/>
      </c>
      <c r="C57" s="25" t="str">
        <f t="shared" ca="1" si="5"/>
        <v/>
      </c>
      <c r="D57" s="26"/>
      <c r="E57" s="33" t="str">
        <f t="shared" ca="1" si="3"/>
        <v/>
      </c>
      <c r="F57" s="25" t="str">
        <f t="shared" ca="1" si="6"/>
        <v/>
      </c>
      <c r="G57" s="25" t="str">
        <f t="shared" ca="1" si="7"/>
        <v/>
      </c>
      <c r="H57" s="117"/>
      <c r="I57" s="55" t="str">
        <f t="shared" ca="1" si="8"/>
        <v/>
      </c>
      <c r="J57" s="80"/>
      <c r="L57" s="76">
        <f ca="1"/>
        <v>46183</v>
      </c>
      <c r="M57" s="41">
        <f ca="1"/>
        <v>93.602999999999994</v>
      </c>
      <c r="N57" s="37">
        <f ca="1"/>
        <v>45996</v>
      </c>
      <c r="O57" s="41">
        <f ca="1"/>
        <v>243.35</v>
      </c>
      <c r="P57" s="37">
        <f t="shared" ca="1" si="0"/>
        <v>46183</v>
      </c>
      <c r="Q57" s="37">
        <f t="shared" ca="1" si="1"/>
        <v>46183</v>
      </c>
      <c r="Z57" s="37"/>
      <c r="AB57" s="37" t="str">
        <f t="shared" si="2"/>
        <v/>
      </c>
    </row>
    <row r="58" spans="1:30" x14ac:dyDescent="0.25">
      <c r="A58" s="102" t="str">
        <f t="shared" ca="1" si="4"/>
        <v/>
      </c>
      <c r="B58" s="33" t="str">
        <f ca="1">IF(COUNTIF($R$2:R1043,A58)=1,VLOOKUP(A58,X:Y,2), IF(COUNTIF($R$2:R1043,A58)=0,$B$10,""))</f>
        <v/>
      </c>
      <c r="C58" s="25" t="str">
        <f t="shared" ca="1" si="5"/>
        <v/>
      </c>
      <c r="D58" s="26"/>
      <c r="E58" s="33" t="str">
        <f t="shared" ca="1" si="3"/>
        <v/>
      </c>
      <c r="F58" s="25" t="str">
        <f t="shared" ca="1" si="6"/>
        <v/>
      </c>
      <c r="G58" s="25" t="str">
        <f t="shared" ca="1" si="7"/>
        <v/>
      </c>
      <c r="H58" s="117"/>
      <c r="I58" s="55" t="str">
        <f t="shared" ca="1" si="8"/>
        <v/>
      </c>
      <c r="L58" s="76">
        <f ca="1"/>
        <v>46184</v>
      </c>
      <c r="M58" s="41">
        <f ca="1"/>
        <v>93.01</v>
      </c>
      <c r="N58" s="37">
        <f ca="1"/>
        <v>45999</v>
      </c>
      <c r="O58" s="41">
        <f ca="1"/>
        <v>244.5</v>
      </c>
      <c r="P58" s="37">
        <f t="shared" ca="1" si="0"/>
        <v>46184</v>
      </c>
      <c r="Q58" s="37">
        <f t="shared" ca="1" si="1"/>
        <v>46184</v>
      </c>
      <c r="Z58" s="37"/>
      <c r="AB58" s="37" t="str">
        <f t="shared" si="2"/>
        <v/>
      </c>
    </row>
    <row r="59" spans="1:30" x14ac:dyDescent="0.25">
      <c r="A59" s="102" t="str">
        <f t="shared" ca="1" si="4"/>
        <v/>
      </c>
      <c r="B59" s="33" t="str">
        <f ca="1">IF(COUNTIF($R$2:R1044,A59)=1,VLOOKUP(A59,X:Y,2), IF(COUNTIF($R$2:R1044,A59)=0,$B$10,""))</f>
        <v/>
      </c>
      <c r="C59" s="25" t="str">
        <f t="shared" ca="1" si="5"/>
        <v/>
      </c>
      <c r="D59" s="26"/>
      <c r="E59" s="33" t="str">
        <f t="shared" ca="1" si="3"/>
        <v/>
      </c>
      <c r="F59" s="25" t="str">
        <f t="shared" ca="1" si="6"/>
        <v/>
      </c>
      <c r="G59" s="25" t="str">
        <f t="shared" ca="1" si="7"/>
        <v/>
      </c>
      <c r="H59" s="117"/>
      <c r="I59" s="55" t="str">
        <f t="shared" ca="1" si="8"/>
        <v/>
      </c>
      <c r="L59" s="76">
        <f ca="1"/>
        <v>46185</v>
      </c>
      <c r="M59" s="41">
        <f ca="1"/>
        <v>89.265000000000001</v>
      </c>
      <c r="N59" s="37">
        <f ca="1"/>
        <v>46000</v>
      </c>
      <c r="O59" s="41">
        <f ca="1"/>
        <v>246.95</v>
      </c>
      <c r="P59" s="37">
        <f t="shared" ca="1" si="0"/>
        <v>46185</v>
      </c>
      <c r="Q59" s="37">
        <f t="shared" ca="1" si="1"/>
        <v>46185</v>
      </c>
      <c r="Z59" s="37"/>
      <c r="AB59" s="37" t="str">
        <f t="shared" si="2"/>
        <v/>
      </c>
    </row>
    <row r="60" spans="1:30" x14ac:dyDescent="0.25">
      <c r="A60" s="102" t="str">
        <f t="shared" ca="1" si="4"/>
        <v/>
      </c>
      <c r="B60" s="33" t="str">
        <f ca="1">IF(COUNTIF($R$2:R1045,A60)=1,VLOOKUP(A60,X:Y,2), IF(COUNTIF($R$2:R1045,A60)=0,$B$10,""))</f>
        <v/>
      </c>
      <c r="C60" s="25" t="str">
        <f t="shared" ca="1" si="5"/>
        <v/>
      </c>
      <c r="D60" s="26"/>
      <c r="E60" s="33" t="str">
        <f t="shared" ca="1" si="3"/>
        <v/>
      </c>
      <c r="F60" s="25" t="str">
        <f t="shared" ca="1" si="6"/>
        <v/>
      </c>
      <c r="G60" s="25" t="str">
        <f t="shared" ca="1" si="7"/>
        <v/>
      </c>
      <c r="H60" s="117"/>
      <c r="I60" s="55" t="str">
        <f t="shared" ca="1" si="8"/>
        <v/>
      </c>
      <c r="L60" s="76">
        <f ca="1"/>
        <v>46188</v>
      </c>
      <c r="M60" s="41">
        <f ca="1"/>
        <v>87.132999999999996</v>
      </c>
      <c r="N60" s="37">
        <f ca="1"/>
        <v>46001</v>
      </c>
      <c r="O60" s="41">
        <f ca="1"/>
        <v>247</v>
      </c>
      <c r="P60" s="37">
        <f t="shared" ca="1" si="0"/>
        <v>46188</v>
      </c>
      <c r="Q60" s="37">
        <f t="shared" ca="1" si="1"/>
        <v>46188</v>
      </c>
      <c r="Z60" s="37"/>
      <c r="AB60" s="37" t="str">
        <f t="shared" si="2"/>
        <v/>
      </c>
    </row>
    <row r="61" spans="1:30" x14ac:dyDescent="0.25">
      <c r="A61" s="102" t="str">
        <f t="shared" ca="1" si="4"/>
        <v/>
      </c>
      <c r="B61" s="33" t="str">
        <f ca="1">IF(COUNTIF($R$2:R1046,A61)=1,VLOOKUP(A61,X:Y,2), IF(COUNTIF($R$2:R1046,A61)=0,$B$10,""))</f>
        <v/>
      </c>
      <c r="C61" s="25" t="str">
        <f t="shared" ca="1" si="5"/>
        <v/>
      </c>
      <c r="D61" s="26"/>
      <c r="E61" s="33" t="str">
        <f t="shared" ca="1" si="3"/>
        <v/>
      </c>
      <c r="F61" s="25" t="str">
        <f t="shared" ca="1" si="6"/>
        <v/>
      </c>
      <c r="G61" s="25" t="str">
        <f t="shared" ca="1" si="7"/>
        <v/>
      </c>
      <c r="H61" s="117"/>
      <c r="I61" s="55" t="str">
        <f t="shared" ca="1" si="8"/>
        <v/>
      </c>
      <c r="L61" s="76">
        <f ca="1"/>
        <v>46189</v>
      </c>
      <c r="M61" s="41">
        <f ca="1"/>
        <v>87.676000000000002</v>
      </c>
      <c r="N61" s="37">
        <f ca="1"/>
        <v>46002</v>
      </c>
      <c r="O61" s="41">
        <f ca="1"/>
        <v>251.55</v>
      </c>
      <c r="P61" s="37">
        <f t="shared" ca="1" si="0"/>
        <v>46189</v>
      </c>
      <c r="Q61" s="37">
        <f t="shared" ca="1" si="1"/>
        <v>46189</v>
      </c>
      <c r="Z61" s="37"/>
      <c r="AB61" s="37" t="str">
        <f t="shared" si="2"/>
        <v/>
      </c>
    </row>
    <row r="62" spans="1:30" x14ac:dyDescent="0.25">
      <c r="A62" s="102" t="str">
        <f t="shared" ca="1" si="4"/>
        <v/>
      </c>
      <c r="B62" s="33" t="str">
        <f ca="1">IF(COUNTIF($R$2:R1047,A62)=1,VLOOKUP(A62,X:Y,2), IF(COUNTIF($R$2:R1047,A62)=0,$B$10,""))</f>
        <v/>
      </c>
      <c r="C62" s="25" t="str">
        <f t="shared" ca="1" si="5"/>
        <v/>
      </c>
      <c r="D62" s="26"/>
      <c r="E62" s="33" t="str">
        <f t="shared" ca="1" si="3"/>
        <v/>
      </c>
      <c r="F62" s="25" t="str">
        <f t="shared" ca="1" si="6"/>
        <v/>
      </c>
      <c r="G62" s="25" t="str">
        <f t="shared" ca="1" si="7"/>
        <v/>
      </c>
      <c r="H62" s="117"/>
      <c r="I62" s="55" t="str">
        <f t="shared" ca="1" si="8"/>
        <v/>
      </c>
      <c r="L62" s="76">
        <f ca="1"/>
        <v>46190</v>
      </c>
      <c r="M62" s="41">
        <f ca="1"/>
        <v>88.236999999999995</v>
      </c>
      <c r="N62" s="37">
        <f ca="1"/>
        <v>46003</v>
      </c>
      <c r="O62" s="41">
        <f ca="1"/>
        <v>248.15</v>
      </c>
      <c r="P62" s="37">
        <f t="shared" ca="1" si="0"/>
        <v>46190</v>
      </c>
      <c r="Q62" s="37">
        <f t="shared" ca="1" si="1"/>
        <v>46190</v>
      </c>
      <c r="Z62" s="37"/>
      <c r="AB62" s="37" t="str">
        <f t="shared" si="2"/>
        <v/>
      </c>
    </row>
    <row r="63" spans="1:30" x14ac:dyDescent="0.25">
      <c r="A63" s="102" t="str">
        <f t="shared" ca="1" si="4"/>
        <v/>
      </c>
      <c r="B63" s="33" t="str">
        <f ca="1">IF(COUNTIF($R$2:R1048,A63)=1,VLOOKUP(A63,X:Y,2), IF(COUNTIF($R$2:R1048,A63)=0,$B$10,""))</f>
        <v/>
      </c>
      <c r="C63" s="25" t="str">
        <f t="shared" ca="1" si="5"/>
        <v/>
      </c>
      <c r="D63" s="26"/>
      <c r="E63" s="33" t="str">
        <f t="shared" ca="1" si="3"/>
        <v/>
      </c>
      <c r="F63" s="25" t="str">
        <f t="shared" ca="1" si="6"/>
        <v/>
      </c>
      <c r="G63" s="25" t="str">
        <f t="shared" ca="1" si="7"/>
        <v/>
      </c>
      <c r="H63" s="117"/>
      <c r="I63" s="55" t="str">
        <f t="shared" ca="1" si="8"/>
        <v/>
      </c>
      <c r="N63" s="37">
        <f ca="1"/>
        <v>46006</v>
      </c>
      <c r="O63" s="41">
        <f ca="1"/>
        <v>252.25</v>
      </c>
      <c r="P63" s="37" t="str">
        <f t="shared" ca="1" si="0"/>
        <v/>
      </c>
      <c r="Q63" s="37" t="str">
        <f t="shared" ca="1" si="1"/>
        <v/>
      </c>
      <c r="Z63" s="37"/>
      <c r="AB63" s="37" t="str">
        <f t="shared" si="2"/>
        <v/>
      </c>
    </row>
    <row r="64" spans="1:30" x14ac:dyDescent="0.25">
      <c r="A64" s="102" t="str">
        <f t="shared" ca="1" si="4"/>
        <v/>
      </c>
      <c r="B64" s="33" t="str">
        <f ca="1">IF(COUNTIF($R$2:R1049,A64)=1,VLOOKUP(A64,X:Y,2), IF(COUNTIF($R$2:R1049,A64)=0,$B$10,""))</f>
        <v/>
      </c>
      <c r="C64" s="25" t="str">
        <f t="shared" ca="1" si="5"/>
        <v/>
      </c>
      <c r="D64" s="26"/>
      <c r="E64" s="33" t="str">
        <f t="shared" ca="1" si="3"/>
        <v/>
      </c>
      <c r="F64" s="25" t="str">
        <f t="shared" ca="1" si="6"/>
        <v/>
      </c>
      <c r="G64" s="25" t="str">
        <f t="shared" ca="1" si="7"/>
        <v/>
      </c>
      <c r="H64" s="117"/>
      <c r="I64" s="55" t="str">
        <f t="shared" ca="1" si="8"/>
        <v/>
      </c>
      <c r="N64" s="37">
        <f ca="1"/>
        <v>46007</v>
      </c>
      <c r="O64" s="41">
        <f ca="1"/>
        <v>252.2</v>
      </c>
      <c r="P64" s="37" t="str">
        <f t="shared" ca="1" si="0"/>
        <v/>
      </c>
      <c r="Q64" s="37" t="str">
        <f t="shared" ca="1" si="1"/>
        <v/>
      </c>
      <c r="Y64" s="67"/>
      <c r="Z64" s="126"/>
      <c r="AA64" s="67"/>
      <c r="AB64" s="37" t="str">
        <f t="shared" si="2"/>
        <v/>
      </c>
      <c r="AC64" s="67"/>
      <c r="AD64" s="67"/>
    </row>
    <row r="65" spans="1:30" x14ac:dyDescent="0.25">
      <c r="A65" s="102" t="str">
        <f t="shared" ca="1" si="4"/>
        <v/>
      </c>
      <c r="B65" s="33" t="str">
        <f ca="1">IF(COUNTIF($R$2:R1050,A65)=1,VLOOKUP(A65,X:Y,2), IF(COUNTIF($R$2:R1050,A65)=0,$B$10,""))</f>
        <v/>
      </c>
      <c r="C65" s="25" t="str">
        <f t="shared" ca="1" si="5"/>
        <v/>
      </c>
      <c r="D65" s="26"/>
      <c r="E65" s="33" t="str">
        <f t="shared" ca="1" si="3"/>
        <v/>
      </c>
      <c r="F65" s="25" t="str">
        <f t="shared" ca="1" si="6"/>
        <v/>
      </c>
      <c r="G65" s="25" t="str">
        <f t="shared" ca="1" si="7"/>
        <v/>
      </c>
      <c r="H65" s="117"/>
      <c r="I65" s="55" t="str">
        <f t="shared" ca="1" si="8"/>
        <v/>
      </c>
      <c r="N65" s="37">
        <f ca="1"/>
        <v>46008</v>
      </c>
      <c r="O65" s="41">
        <f ca="1"/>
        <v>253.7</v>
      </c>
      <c r="P65" s="37" t="str">
        <f t="shared" ca="1" si="0"/>
        <v/>
      </c>
      <c r="Q65" s="37" t="str">
        <f t="shared" ca="1" si="1"/>
        <v/>
      </c>
      <c r="Y65" s="67"/>
      <c r="Z65" s="68"/>
      <c r="AA65" s="69"/>
      <c r="AB65" s="37" t="str">
        <f t="shared" si="2"/>
        <v/>
      </c>
      <c r="AC65" s="69"/>
      <c r="AD65" s="69"/>
    </row>
    <row r="66" spans="1:30" x14ac:dyDescent="0.25">
      <c r="A66" s="102" t="str">
        <f t="shared" ca="1" si="4"/>
        <v/>
      </c>
      <c r="B66" s="33" t="str">
        <f ca="1">IF(COUNTIF($R$2:R1051,A66)=1,VLOOKUP(A66,X:Y,2), IF(COUNTIF($R$2:R1051,A66)=0,$B$10,""))</f>
        <v/>
      </c>
      <c r="C66" s="25" t="str">
        <f t="shared" ca="1" si="5"/>
        <v/>
      </c>
      <c r="D66" s="26"/>
      <c r="E66" s="33" t="str">
        <f t="shared" ca="1" si="3"/>
        <v/>
      </c>
      <c r="F66" s="25" t="str">
        <f t="shared" ca="1" si="6"/>
        <v/>
      </c>
      <c r="G66" s="25" t="str">
        <f t="shared" ca="1" si="7"/>
        <v/>
      </c>
      <c r="H66" s="117"/>
      <c r="I66" s="55" t="str">
        <f t="shared" ca="1" si="8"/>
        <v/>
      </c>
      <c r="N66" s="37">
        <f ca="1"/>
        <v>46009</v>
      </c>
      <c r="O66" s="41">
        <f ca="1"/>
        <v>256.2</v>
      </c>
      <c r="P66" s="37" t="str">
        <f t="shared" ca="1" si="0"/>
        <v/>
      </c>
      <c r="Q66" s="37" t="str">
        <f t="shared" ca="1" si="1"/>
        <v/>
      </c>
      <c r="Y66" s="67"/>
      <c r="Z66" s="68"/>
      <c r="AA66" s="69"/>
      <c r="AB66" s="37" t="str">
        <f t="shared" si="2"/>
        <v/>
      </c>
      <c r="AC66" s="69"/>
      <c r="AD66" s="69"/>
    </row>
    <row r="67" spans="1:30" x14ac:dyDescent="0.25">
      <c r="A67" s="102" t="str">
        <f t="shared" ca="1" si="4"/>
        <v/>
      </c>
      <c r="B67" s="33" t="str">
        <f ca="1">IF(COUNTIF($R$2:R1052,A67)=1,VLOOKUP(A67,X:Y,2), IF(COUNTIF($R$2:R1052,A67)=0,$B$10,""))</f>
        <v/>
      </c>
      <c r="C67" s="25" t="str">
        <f t="shared" ca="1" si="5"/>
        <v/>
      </c>
      <c r="D67" s="26"/>
      <c r="E67" s="33" t="str">
        <f t="shared" ca="1" si="3"/>
        <v/>
      </c>
      <c r="F67" s="25" t="str">
        <f t="shared" ca="1" si="6"/>
        <v/>
      </c>
      <c r="G67" s="25" t="str">
        <f t="shared" ca="1" si="7"/>
        <v/>
      </c>
      <c r="H67" s="117"/>
      <c r="I67" s="55" t="str">
        <f t="shared" ca="1" si="8"/>
        <v/>
      </c>
      <c r="N67" s="37">
        <f ca="1"/>
        <v>46010</v>
      </c>
      <c r="O67" s="41">
        <f ca="1"/>
        <v>258.3</v>
      </c>
      <c r="P67" s="37" t="str">
        <f t="shared" ca="1" si="0"/>
        <v/>
      </c>
      <c r="Q67" s="37" t="str">
        <f t="shared" ca="1" si="1"/>
        <v/>
      </c>
      <c r="Y67" s="67"/>
      <c r="Z67" s="68"/>
      <c r="AA67" s="69"/>
      <c r="AB67" s="37" t="str">
        <f t="shared" si="2"/>
        <v/>
      </c>
      <c r="AC67" s="69"/>
      <c r="AD67" s="69"/>
    </row>
    <row r="68" spans="1:30" x14ac:dyDescent="0.25">
      <c r="A68" s="102" t="str">
        <f t="shared" ca="1" si="4"/>
        <v/>
      </c>
      <c r="B68" s="33" t="str">
        <f ca="1">IF(COUNTIF($R$2:R1053,A68)=1,VLOOKUP(A68,X:Y,2), IF(COUNTIF($R$2:R1053,A68)=0,$B$10,""))</f>
        <v/>
      </c>
      <c r="C68" s="25" t="str">
        <f t="shared" ca="1" si="5"/>
        <v/>
      </c>
      <c r="D68" s="26"/>
      <c r="E68" s="33" t="str">
        <f t="shared" ca="1" si="3"/>
        <v/>
      </c>
      <c r="F68" s="25" t="str">
        <f t="shared" ca="1" si="6"/>
        <v/>
      </c>
      <c r="G68" s="25" t="str">
        <f t="shared" ca="1" si="7"/>
        <v/>
      </c>
      <c r="H68" s="117"/>
      <c r="I68" s="55" t="str">
        <f t="shared" ca="1" si="8"/>
        <v/>
      </c>
      <c r="N68" s="37">
        <f ca="1"/>
        <v>46013</v>
      </c>
      <c r="O68" s="41">
        <f ca="1"/>
        <v>257.14999999999998</v>
      </c>
      <c r="P68" s="37" t="str">
        <f t="shared" ref="P68:P131" ca="1" si="9">IF(COUNTIF(N:N,L68),L68,"")</f>
        <v/>
      </c>
      <c r="Q68" s="37" t="str">
        <f t="shared" ref="Q68:Q131" ca="1" si="10">IF(P68&gt;$A$14,P68,"")</f>
        <v/>
      </c>
      <c r="Y68" s="67"/>
      <c r="Z68" s="68"/>
      <c r="AA68" s="69"/>
      <c r="AB68" s="37" t="str">
        <f t="shared" ref="AB68:AB131" si="11">IF(COUNTIF(Z:Z,X68),X68,"")</f>
        <v/>
      </c>
      <c r="AC68" s="69"/>
      <c r="AD68" s="69"/>
    </row>
    <row r="69" spans="1:30" x14ac:dyDescent="0.25">
      <c r="A69" s="102" t="str">
        <f t="shared" ca="1" si="4"/>
        <v/>
      </c>
      <c r="B69" s="33" t="str">
        <f ca="1">IF(COUNTIF($R$2:R1054,A69)=1,VLOOKUP(A69,X:Y,2), IF(COUNTIF($R$2:R1054,A69)=0,$B$10,""))</f>
        <v/>
      </c>
      <c r="C69" s="25" t="str">
        <f t="shared" ca="1" si="5"/>
        <v/>
      </c>
      <c r="D69" s="26"/>
      <c r="E69" s="33" t="str">
        <f t="shared" ca="1" si="3"/>
        <v/>
      </c>
      <c r="F69" s="25" t="str">
        <f t="shared" ca="1" si="6"/>
        <v/>
      </c>
      <c r="G69" s="25" t="str">
        <f t="shared" ca="1" si="7"/>
        <v/>
      </c>
      <c r="H69" s="117"/>
      <c r="I69" s="55" t="str">
        <f t="shared" ca="1" si="8"/>
        <v/>
      </c>
      <c r="N69" s="37">
        <f ca="1"/>
        <v>46014</v>
      </c>
      <c r="O69" s="41">
        <f ca="1"/>
        <v>258.05</v>
      </c>
      <c r="P69" s="37" t="str">
        <f t="shared" ca="1" si="9"/>
        <v/>
      </c>
      <c r="Q69" s="37" t="str">
        <f t="shared" ca="1" si="10"/>
        <v/>
      </c>
      <c r="Y69" s="67"/>
      <c r="Z69" s="68"/>
      <c r="AA69" s="69"/>
      <c r="AB69" s="37" t="str">
        <f t="shared" si="11"/>
        <v/>
      </c>
      <c r="AC69" s="69"/>
      <c r="AD69" s="69"/>
    </row>
    <row r="70" spans="1:30" x14ac:dyDescent="0.25">
      <c r="A70" s="102" t="str">
        <f t="shared" ca="1" si="4"/>
        <v/>
      </c>
      <c r="B70" s="33" t="str">
        <f ca="1">IF(COUNTIF($R$2:R1055,A70)=1,VLOOKUP(A70,X:Y,2), IF(COUNTIF($R$2:R1055,A70)=0,$B$10,""))</f>
        <v/>
      </c>
      <c r="C70" s="25" t="str">
        <f t="shared" ca="1" si="5"/>
        <v/>
      </c>
      <c r="D70" s="26"/>
      <c r="E70" s="33" t="str">
        <f t="shared" ca="1" si="3"/>
        <v/>
      </c>
      <c r="F70" s="25" t="str">
        <f t="shared" ca="1" si="6"/>
        <v/>
      </c>
      <c r="G70" s="25" t="str">
        <f t="shared" ca="1" si="7"/>
        <v/>
      </c>
      <c r="H70" s="117"/>
      <c r="I70" s="55" t="str">
        <f t="shared" ca="1" si="8"/>
        <v/>
      </c>
      <c r="N70" s="37">
        <f ca="1"/>
        <v>46020</v>
      </c>
      <c r="O70" s="41">
        <f ca="1"/>
        <v>256.45</v>
      </c>
      <c r="P70" s="37" t="str">
        <f t="shared" ca="1" si="9"/>
        <v/>
      </c>
      <c r="Q70" s="37" t="str">
        <f t="shared" ca="1" si="10"/>
        <v/>
      </c>
      <c r="Z70" s="37"/>
      <c r="AB70" s="37" t="str">
        <f t="shared" si="11"/>
        <v/>
      </c>
    </row>
    <row r="71" spans="1:30" x14ac:dyDescent="0.25">
      <c r="A71" s="102" t="str">
        <f t="shared" ca="1" si="4"/>
        <v/>
      </c>
      <c r="B71" s="33" t="str">
        <f ca="1">IF(COUNTIF($R$2:R1056,A71)=1,VLOOKUP(A71,X:Y,2), IF(COUNTIF($R$2:R1056,A71)=0,$B$10,""))</f>
        <v/>
      </c>
      <c r="C71" s="25" t="str">
        <f t="shared" ca="1" si="5"/>
        <v/>
      </c>
      <c r="D71" s="26"/>
      <c r="E71" s="33" t="str">
        <f t="shared" ca="1" si="3"/>
        <v/>
      </c>
      <c r="F71" s="25" t="str">
        <f t="shared" ca="1" si="6"/>
        <v/>
      </c>
      <c r="G71" s="25" t="str">
        <f t="shared" ca="1" si="7"/>
        <v/>
      </c>
      <c r="H71" s="117"/>
      <c r="I71" s="55" t="str">
        <f t="shared" ca="1" si="8"/>
        <v/>
      </c>
      <c r="N71" s="37">
        <f ca="1"/>
        <v>46021</v>
      </c>
      <c r="O71" s="41">
        <f ca="1"/>
        <v>260.95</v>
      </c>
      <c r="P71" s="37" t="str">
        <f t="shared" ca="1" si="9"/>
        <v/>
      </c>
      <c r="Q71" s="37" t="str">
        <f t="shared" ca="1" si="10"/>
        <v/>
      </c>
      <c r="Z71" s="37"/>
      <c r="AB71" s="37" t="str">
        <f t="shared" si="11"/>
        <v/>
      </c>
    </row>
    <row r="72" spans="1:30" x14ac:dyDescent="0.25">
      <c r="A72" s="102" t="str">
        <f t="shared" ca="1" si="4"/>
        <v/>
      </c>
      <c r="B72" s="33" t="str">
        <f ca="1">IF(COUNTIF($R$2:R1057,A72)=1,VLOOKUP(A72,X:Y,2), IF(COUNTIF($R$2:R1057,A72)=0,$B$10,""))</f>
        <v/>
      </c>
      <c r="C72" s="25" t="str">
        <f t="shared" ca="1" si="5"/>
        <v/>
      </c>
      <c r="D72" s="26"/>
      <c r="E72" s="33" t="str">
        <f t="shared" ca="1" si="3"/>
        <v/>
      </c>
      <c r="F72" s="25" t="str">
        <f t="shared" ca="1" si="6"/>
        <v/>
      </c>
      <c r="G72" s="25" t="str">
        <f t="shared" ca="1" si="7"/>
        <v/>
      </c>
      <c r="H72" s="117"/>
      <c r="I72" s="55" t="str">
        <f t="shared" ca="1" si="8"/>
        <v/>
      </c>
      <c r="N72" s="37">
        <f ca="1"/>
        <v>46024</v>
      </c>
      <c r="O72" s="41">
        <f ca="1"/>
        <v>263.2</v>
      </c>
      <c r="P72" s="37" t="str">
        <f t="shared" ca="1" si="9"/>
        <v/>
      </c>
      <c r="Q72" s="37" t="str">
        <f t="shared" ca="1" si="10"/>
        <v/>
      </c>
      <c r="Z72" s="37"/>
      <c r="AB72" s="37" t="str">
        <f t="shared" si="11"/>
        <v/>
      </c>
    </row>
    <row r="73" spans="1:30" x14ac:dyDescent="0.25">
      <c r="A73" s="102" t="str">
        <f t="shared" ca="1" si="4"/>
        <v/>
      </c>
      <c r="B73" s="33" t="str">
        <f ca="1">IF(COUNTIF($R$2:R1058,A73)=1,VLOOKUP(A73,X:Y,2), IF(COUNTIF($R$2:R1058,A73)=0,$B$10,""))</f>
        <v/>
      </c>
      <c r="C73" s="25" t="str">
        <f t="shared" ca="1" si="5"/>
        <v/>
      </c>
      <c r="D73" s="26"/>
      <c r="E73" s="33" t="str">
        <f t="shared" ca="1" si="3"/>
        <v/>
      </c>
      <c r="F73" s="25" t="str">
        <f t="shared" ca="1" si="6"/>
        <v/>
      </c>
      <c r="G73" s="25" t="str">
        <f t="shared" ca="1" si="7"/>
        <v/>
      </c>
      <c r="H73" s="117"/>
      <c r="I73" s="55" t="str">
        <f t="shared" ca="1" si="8"/>
        <v/>
      </c>
      <c r="N73" s="37">
        <f ca="1"/>
        <v>46027</v>
      </c>
      <c r="O73" s="41">
        <f ca="1"/>
        <v>264.7</v>
      </c>
      <c r="P73" s="37" t="str">
        <f t="shared" ca="1" si="9"/>
        <v/>
      </c>
      <c r="Q73" s="37" t="str">
        <f t="shared" ca="1" si="10"/>
        <v/>
      </c>
      <c r="Z73" s="37"/>
      <c r="AB73" s="37" t="str">
        <f t="shared" si="11"/>
        <v/>
      </c>
    </row>
    <row r="74" spans="1:30" x14ac:dyDescent="0.25">
      <c r="A74" s="102" t="str">
        <f t="shared" ca="1" si="4"/>
        <v/>
      </c>
      <c r="B74" s="33" t="str">
        <f ca="1">IF(COUNTIF($R$2:R1059,A74)=1,VLOOKUP(A74,X:Y,2), IF(COUNTIF($R$2:R1059,A74)=0,$B$10,""))</f>
        <v/>
      </c>
      <c r="C74" s="25" t="str">
        <f t="shared" ca="1" si="5"/>
        <v/>
      </c>
      <c r="D74" s="26"/>
      <c r="E74" s="33" t="str">
        <f t="shared" ca="1" si="3"/>
        <v/>
      </c>
      <c r="F74" s="25" t="str">
        <f t="shared" ca="1" si="6"/>
        <v/>
      </c>
      <c r="G74" s="25" t="str">
        <f t="shared" ca="1" si="7"/>
        <v/>
      </c>
      <c r="H74" s="117"/>
      <c r="I74" s="55" t="str">
        <f t="shared" ca="1" si="8"/>
        <v/>
      </c>
      <c r="N74" s="37">
        <f ca="1"/>
        <v>46028</v>
      </c>
      <c r="O74" s="41">
        <f ca="1"/>
        <v>262.64999999999998</v>
      </c>
      <c r="P74" s="37" t="str">
        <f t="shared" ca="1" si="9"/>
        <v/>
      </c>
      <c r="Q74" s="37" t="str">
        <f t="shared" ca="1" si="10"/>
        <v/>
      </c>
      <c r="Z74" s="37"/>
      <c r="AB74" s="37" t="str">
        <f t="shared" si="11"/>
        <v/>
      </c>
    </row>
    <row r="75" spans="1:30" x14ac:dyDescent="0.25">
      <c r="A75" s="102" t="str">
        <f t="shared" ca="1" si="4"/>
        <v/>
      </c>
      <c r="B75" s="33" t="str">
        <f ca="1">IF(COUNTIF($R$2:R1060,A75)=1,VLOOKUP(A75,X:Y,2), IF(COUNTIF($R$2:R1060,A75)=0,$B$10,""))</f>
        <v/>
      </c>
      <c r="C75" s="25" t="str">
        <f t="shared" ca="1" si="5"/>
        <v/>
      </c>
      <c r="D75" s="26"/>
      <c r="E75" s="33" t="str">
        <f t="shared" ca="1" si="3"/>
        <v/>
      </c>
      <c r="F75" s="25" t="str">
        <f t="shared" ca="1" si="6"/>
        <v/>
      </c>
      <c r="G75" s="25" t="str">
        <f t="shared" ca="1" si="7"/>
        <v/>
      </c>
      <c r="H75" s="117"/>
      <c r="I75" s="55" t="str">
        <f t="shared" ca="1" si="8"/>
        <v/>
      </c>
      <c r="N75" s="37">
        <f ca="1"/>
        <v>46029</v>
      </c>
      <c r="O75" s="41">
        <f ca="1"/>
        <v>258.75</v>
      </c>
      <c r="P75" s="37" t="str">
        <f t="shared" ca="1" si="9"/>
        <v/>
      </c>
      <c r="Q75" s="37" t="str">
        <f t="shared" ca="1" si="10"/>
        <v/>
      </c>
      <c r="Z75" s="37"/>
      <c r="AB75" s="37" t="str">
        <f t="shared" si="11"/>
        <v/>
      </c>
    </row>
    <row r="76" spans="1:30" x14ac:dyDescent="0.25">
      <c r="A76" s="102" t="str">
        <f t="shared" ca="1" si="4"/>
        <v/>
      </c>
      <c r="B76" s="33" t="str">
        <f ca="1">IF(COUNTIF($R$2:R1061,A76)=1,VLOOKUP(A76,X:Y,2), IF(COUNTIF($R$2:R1061,A76)=0,$B$10,""))</f>
        <v/>
      </c>
      <c r="C76" s="25" t="str">
        <f t="shared" ca="1" si="5"/>
        <v/>
      </c>
      <c r="D76" s="26"/>
      <c r="E76" s="33" t="str">
        <f t="shared" ca="1" si="3"/>
        <v/>
      </c>
      <c r="F76" s="25" t="str">
        <f t="shared" ca="1" si="6"/>
        <v/>
      </c>
      <c r="G76" s="25" t="str">
        <f t="shared" ca="1" si="7"/>
        <v/>
      </c>
      <c r="H76" s="117"/>
      <c r="I76" s="55" t="str">
        <f t="shared" ca="1" si="8"/>
        <v/>
      </c>
      <c r="N76" s="37">
        <f ca="1"/>
        <v>46030</v>
      </c>
      <c r="O76" s="41">
        <f ca="1"/>
        <v>261</v>
      </c>
      <c r="P76" s="37" t="str">
        <f t="shared" ca="1" si="9"/>
        <v/>
      </c>
      <c r="Q76" s="37" t="str">
        <f t="shared" ca="1" si="10"/>
        <v/>
      </c>
      <c r="Z76" s="37"/>
      <c r="AB76" s="37" t="str">
        <f t="shared" si="11"/>
        <v/>
      </c>
    </row>
    <row r="77" spans="1:30" x14ac:dyDescent="0.25">
      <c r="A77" s="102" t="str">
        <f t="shared" ca="1" si="4"/>
        <v/>
      </c>
      <c r="B77" s="33" t="str">
        <f ca="1">IF(COUNTIF($R$2:R1062,A77)=1,VLOOKUP(A77,X:Y,2), IF(COUNTIF($R$2:R1062,A77)=0,$B$10,""))</f>
        <v/>
      </c>
      <c r="C77" s="25" t="str">
        <f t="shared" ca="1" si="5"/>
        <v/>
      </c>
      <c r="D77" s="26"/>
      <c r="E77" s="33" t="str">
        <f t="shared" ca="1" si="3"/>
        <v/>
      </c>
      <c r="F77" s="25" t="str">
        <f t="shared" ca="1" si="6"/>
        <v/>
      </c>
      <c r="G77" s="25" t="str">
        <f t="shared" ca="1" si="7"/>
        <v/>
      </c>
      <c r="H77" s="117"/>
      <c r="I77" s="55" t="str">
        <f t="shared" ca="1" si="8"/>
        <v/>
      </c>
      <c r="N77" s="37">
        <f ca="1"/>
        <v>46031</v>
      </c>
      <c r="O77" s="41">
        <f ca="1"/>
        <v>262.75</v>
      </c>
      <c r="P77" s="37" t="str">
        <f t="shared" ca="1" si="9"/>
        <v/>
      </c>
      <c r="Q77" s="37" t="str">
        <f t="shared" ca="1" si="10"/>
        <v/>
      </c>
      <c r="Z77" s="37"/>
      <c r="AB77" s="37" t="str">
        <f t="shared" si="11"/>
        <v/>
      </c>
    </row>
    <row r="78" spans="1:30" x14ac:dyDescent="0.25">
      <c r="A78" s="102" t="str">
        <f t="shared" ca="1" si="4"/>
        <v/>
      </c>
      <c r="B78" s="33" t="str">
        <f ca="1">IF(COUNTIF($R$2:R1063,A78)=1,VLOOKUP(A78,X:Y,2), IF(COUNTIF($R$2:R1063,A78)=0,$B$10,""))</f>
        <v/>
      </c>
      <c r="C78" s="25" t="str">
        <f t="shared" ca="1" si="5"/>
        <v/>
      </c>
      <c r="D78" s="26"/>
      <c r="E78" s="33" t="str">
        <f t="shared" ca="1" si="3"/>
        <v/>
      </c>
      <c r="F78" s="25" t="str">
        <f t="shared" ca="1" si="6"/>
        <v/>
      </c>
      <c r="G78" s="25" t="str">
        <f t="shared" ca="1" si="7"/>
        <v/>
      </c>
      <c r="H78" s="117"/>
      <c r="I78" s="55" t="str">
        <f t="shared" ca="1" si="8"/>
        <v/>
      </c>
      <c r="N78" s="37">
        <f ca="1"/>
        <v>46034</v>
      </c>
      <c r="O78" s="41">
        <f ca="1"/>
        <v>264.75</v>
      </c>
      <c r="P78" s="37" t="str">
        <f t="shared" ca="1" si="9"/>
        <v/>
      </c>
      <c r="Q78" s="37" t="str">
        <f t="shared" ca="1" si="10"/>
        <v/>
      </c>
      <c r="Z78" s="37"/>
      <c r="AB78" s="37" t="str">
        <f t="shared" si="11"/>
        <v/>
      </c>
    </row>
    <row r="79" spans="1:30" x14ac:dyDescent="0.25">
      <c r="A79" s="102" t="str">
        <f t="shared" ca="1" si="4"/>
        <v/>
      </c>
      <c r="B79" s="33" t="str">
        <f ca="1">IF(COUNTIF($R$2:R1064,A79)=1,VLOOKUP(A79,X:Y,2), IF(COUNTIF($R$2:R1064,A79)=0,$B$10,""))</f>
        <v/>
      </c>
      <c r="C79" s="25" t="str">
        <f t="shared" ca="1" si="5"/>
        <v/>
      </c>
      <c r="D79" s="26"/>
      <c r="E79" s="33" t="str">
        <f t="shared" ref="E79:E117" ca="1" si="12">IF(COUNTIF(L:L,A79)=1,VLOOKUP(A79,N:O,2), IF(COUNTIF(L:L,A79)=0,$C$9,""))</f>
        <v/>
      </c>
      <c r="F79" s="25" t="str">
        <f t="shared" ca="1" si="6"/>
        <v/>
      </c>
      <c r="G79" s="25" t="str">
        <f t="shared" ca="1" si="7"/>
        <v/>
      </c>
      <c r="H79" s="117"/>
      <c r="I79" s="55" t="str">
        <f t="shared" ca="1" si="8"/>
        <v/>
      </c>
      <c r="N79" s="37">
        <f ca="1"/>
        <v>46035</v>
      </c>
      <c r="O79" s="41">
        <f ca="1"/>
        <v>266.5</v>
      </c>
      <c r="P79" s="37" t="str">
        <f t="shared" ca="1" si="9"/>
        <v/>
      </c>
      <c r="Q79" s="37" t="str">
        <f t="shared" ca="1" si="10"/>
        <v/>
      </c>
      <c r="Z79" s="37"/>
      <c r="AB79" s="37" t="str">
        <f t="shared" si="11"/>
        <v/>
      </c>
    </row>
    <row r="80" spans="1:30" x14ac:dyDescent="0.25">
      <c r="A80" s="102" t="str">
        <f t="shared" ref="A80:A117" ca="1" si="13">IF(AND(ISBLANK(R69), A79 = $R$1),NOW(),IF(ISBLANK(R69),IF(ISBLANK(C79),NOW(),""),R69))</f>
        <v/>
      </c>
      <c r="B80" s="33" t="str">
        <f ca="1">IF(COUNTIF($R$2:R1065,A80)=1,VLOOKUP(A80,X:Y,2), IF(COUNTIF($R$2:R1065,A80)=0,$B$10,""))</f>
        <v/>
      </c>
      <c r="C80" s="25" t="str">
        <f t="shared" ref="C80:C117" ca="1" si="14">IF(ISERROR(B80-2),"",1*(B80/$B$14-1)*$B$5)</f>
        <v/>
      </c>
      <c r="D80" s="26"/>
      <c r="E80" s="33" t="str">
        <f t="shared" ca="1" si="12"/>
        <v/>
      </c>
      <c r="F80" s="25" t="str">
        <f t="shared" ref="F80:F117" ca="1" si="15">IF(ISERROR(B80-2),"",(E80-$E$14)*$C$5*$F$4)</f>
        <v/>
      </c>
      <c r="G80" s="25" t="str">
        <f t="shared" ref="G80:G117" ca="1" si="16">IF(ISERROR(B80-2),"",-$C$7*$C$5*(A80-$A$14)/360)</f>
        <v/>
      </c>
      <c r="H80" s="117"/>
      <c r="I80" s="55" t="str">
        <f t="shared" ref="I80:I117" ca="1" si="17">IF(ISERROR(B80-2),"",-1*(C80+D80-F80))</f>
        <v/>
      </c>
      <c r="N80" s="37">
        <f ca="1"/>
        <v>46036</v>
      </c>
      <c r="O80" s="41">
        <f ca="1"/>
        <v>267.35000000000002</v>
      </c>
      <c r="P80" s="37" t="str">
        <f t="shared" ca="1" si="9"/>
        <v/>
      </c>
      <c r="Q80" s="37" t="str">
        <f t="shared" ca="1" si="10"/>
        <v/>
      </c>
      <c r="Z80" s="37"/>
      <c r="AB80" s="37" t="str">
        <f t="shared" si="11"/>
        <v/>
      </c>
    </row>
    <row r="81" spans="1:28" x14ac:dyDescent="0.25">
      <c r="A81" s="102" t="str">
        <f t="shared" ca="1" si="13"/>
        <v/>
      </c>
      <c r="B81" s="33" t="str">
        <f ca="1">IF(COUNTIF($R$2:R1066,A81)=1,VLOOKUP(A81,X:Y,2), IF(COUNTIF($R$2:R1066,A81)=0,$B$10,""))</f>
        <v/>
      </c>
      <c r="C81" s="25" t="str">
        <f t="shared" ca="1" si="14"/>
        <v/>
      </c>
      <c r="D81" s="26"/>
      <c r="E81" s="33" t="str">
        <f t="shared" ca="1" si="12"/>
        <v/>
      </c>
      <c r="F81" s="25" t="str">
        <f t="shared" ca="1" si="15"/>
        <v/>
      </c>
      <c r="G81" s="25" t="str">
        <f t="shared" ca="1" si="16"/>
        <v/>
      </c>
      <c r="H81" s="117"/>
      <c r="I81" s="55" t="str">
        <f t="shared" ca="1" si="17"/>
        <v/>
      </c>
      <c r="N81" s="37">
        <f ca="1"/>
        <v>46037</v>
      </c>
      <c r="O81" s="41">
        <f ca="1"/>
        <v>267.8</v>
      </c>
      <c r="P81" s="37" t="str">
        <f t="shared" ca="1" si="9"/>
        <v/>
      </c>
      <c r="Q81" s="37" t="str">
        <f t="shared" ca="1" si="10"/>
        <v/>
      </c>
      <c r="Z81" s="37"/>
      <c r="AB81" s="37" t="str">
        <f t="shared" si="11"/>
        <v/>
      </c>
    </row>
    <row r="82" spans="1:28" x14ac:dyDescent="0.25">
      <c r="A82" s="102" t="str">
        <f t="shared" ca="1" si="13"/>
        <v/>
      </c>
      <c r="B82" s="33" t="str">
        <f ca="1">IF(COUNTIF($R$2:R1067,A82)=1,VLOOKUP(A82,X:Y,2), IF(COUNTIF($R$2:R1067,A82)=0,$B$10,""))</f>
        <v/>
      </c>
      <c r="C82" s="25" t="str">
        <f t="shared" ca="1" si="14"/>
        <v/>
      </c>
      <c r="D82" s="26"/>
      <c r="E82" s="33" t="str">
        <f t="shared" ca="1" si="12"/>
        <v/>
      </c>
      <c r="F82" s="25" t="str">
        <f t="shared" ca="1" si="15"/>
        <v/>
      </c>
      <c r="G82" s="25" t="str">
        <f t="shared" ca="1" si="16"/>
        <v/>
      </c>
      <c r="H82" s="117"/>
      <c r="I82" s="55" t="str">
        <f t="shared" ca="1" si="17"/>
        <v/>
      </c>
      <c r="N82" s="37">
        <f ca="1"/>
        <v>46038</v>
      </c>
      <c r="O82" s="41">
        <f ca="1"/>
        <v>266.5</v>
      </c>
      <c r="P82" s="37" t="str">
        <f t="shared" ca="1" si="9"/>
        <v/>
      </c>
      <c r="Q82" s="37" t="str">
        <f t="shared" ca="1" si="10"/>
        <v/>
      </c>
      <c r="Z82" s="37"/>
      <c r="AB82" s="37" t="str">
        <f t="shared" si="11"/>
        <v/>
      </c>
    </row>
    <row r="83" spans="1:28" x14ac:dyDescent="0.25">
      <c r="A83" s="102" t="str">
        <f t="shared" ca="1" si="13"/>
        <v/>
      </c>
      <c r="B83" s="33" t="str">
        <f ca="1">IF(COUNTIF($R$2:R1068,A83)=1,VLOOKUP(A83,X:Y,2), IF(COUNTIF($R$2:R1068,A83)=0,$B$10,""))</f>
        <v/>
      </c>
      <c r="C83" s="25" t="str">
        <f t="shared" ca="1" si="14"/>
        <v/>
      </c>
      <c r="D83" s="26"/>
      <c r="E83" s="33" t="str">
        <f t="shared" ca="1" si="12"/>
        <v/>
      </c>
      <c r="F83" s="25" t="str">
        <f t="shared" ca="1" si="15"/>
        <v/>
      </c>
      <c r="G83" s="25" t="str">
        <f t="shared" ca="1" si="16"/>
        <v/>
      </c>
      <c r="H83" s="117"/>
      <c r="I83" s="55" t="str">
        <f t="shared" ca="1" si="17"/>
        <v/>
      </c>
      <c r="N83" s="37">
        <f ca="1"/>
        <v>46041</v>
      </c>
      <c r="O83" s="41">
        <f ca="1"/>
        <v>264.45</v>
      </c>
      <c r="P83" s="37" t="str">
        <f t="shared" ca="1" si="9"/>
        <v/>
      </c>
      <c r="Q83" s="37" t="str">
        <f t="shared" ca="1" si="10"/>
        <v/>
      </c>
      <c r="Z83" s="37"/>
      <c r="AB83" s="37" t="str">
        <f t="shared" si="11"/>
        <v/>
      </c>
    </row>
    <row r="84" spans="1:28" x14ac:dyDescent="0.25">
      <c r="A84" s="102" t="str">
        <f t="shared" ca="1" si="13"/>
        <v/>
      </c>
      <c r="B84" s="33" t="str">
        <f ca="1">IF(COUNTIF($R$2:R1069,A84)=1,VLOOKUP(A84,X:Y,2), IF(COUNTIF($R$2:R1069,A84)=0,$B$10,""))</f>
        <v/>
      </c>
      <c r="C84" s="25" t="str">
        <f t="shared" ca="1" si="14"/>
        <v/>
      </c>
      <c r="D84" s="26"/>
      <c r="E84" s="33" t="str">
        <f t="shared" ca="1" si="12"/>
        <v/>
      </c>
      <c r="F84" s="25" t="str">
        <f t="shared" ca="1" si="15"/>
        <v/>
      </c>
      <c r="G84" s="25" t="str">
        <f t="shared" ca="1" si="16"/>
        <v/>
      </c>
      <c r="H84" s="117"/>
      <c r="I84" s="55" t="str">
        <f t="shared" ca="1" si="17"/>
        <v/>
      </c>
      <c r="N84" s="37">
        <f ca="1"/>
        <v>46042</v>
      </c>
      <c r="O84" s="41">
        <f ca="1"/>
        <v>261.89999999999998</v>
      </c>
      <c r="P84" s="37" t="str">
        <f t="shared" ca="1" si="9"/>
        <v/>
      </c>
      <c r="Q84" s="37" t="str">
        <f t="shared" ca="1" si="10"/>
        <v/>
      </c>
      <c r="Z84" s="37"/>
      <c r="AB84" s="37" t="str">
        <f t="shared" si="11"/>
        <v/>
      </c>
    </row>
    <row r="85" spans="1:28" x14ac:dyDescent="0.25">
      <c r="A85" s="102" t="str">
        <f t="shared" ca="1" si="13"/>
        <v/>
      </c>
      <c r="B85" s="33" t="str">
        <f ca="1">IF(COUNTIF($R$2:R1070,A85)=1,VLOOKUP(A85,X:Y,2), IF(COUNTIF($R$2:R1070,A85)=0,$B$10,""))</f>
        <v/>
      </c>
      <c r="C85" s="25" t="str">
        <f t="shared" ca="1" si="14"/>
        <v/>
      </c>
      <c r="D85" s="26"/>
      <c r="E85" s="33" t="str">
        <f t="shared" ca="1" si="12"/>
        <v/>
      </c>
      <c r="F85" s="25" t="str">
        <f t="shared" ca="1" si="15"/>
        <v/>
      </c>
      <c r="G85" s="25" t="str">
        <f t="shared" ca="1" si="16"/>
        <v/>
      </c>
      <c r="H85" s="117"/>
      <c r="I85" s="55" t="str">
        <f t="shared" ca="1" si="17"/>
        <v/>
      </c>
      <c r="N85" s="37">
        <f ca="1"/>
        <v>46043</v>
      </c>
      <c r="O85" s="41">
        <f ca="1"/>
        <v>261.60000000000002</v>
      </c>
      <c r="P85" s="37" t="str">
        <f t="shared" ca="1" si="9"/>
        <v/>
      </c>
      <c r="Q85" s="37" t="str">
        <f t="shared" ca="1" si="10"/>
        <v/>
      </c>
      <c r="Z85" s="37"/>
      <c r="AB85" s="37" t="str">
        <f t="shared" si="11"/>
        <v/>
      </c>
    </row>
    <row r="86" spans="1:28" x14ac:dyDescent="0.25">
      <c r="A86" s="102" t="str">
        <f t="shared" ca="1" si="13"/>
        <v/>
      </c>
      <c r="B86" s="33" t="str">
        <f ca="1">IF(COUNTIF($R$2:R1071,A86)=1,VLOOKUP(A86,X:Y,2), IF(COUNTIF($R$2:R1071,A86)=0,$B$10,""))</f>
        <v/>
      </c>
      <c r="C86" s="25" t="str">
        <f t="shared" ca="1" si="14"/>
        <v/>
      </c>
      <c r="D86" s="26"/>
      <c r="E86" s="33" t="str">
        <f t="shared" ca="1" si="12"/>
        <v/>
      </c>
      <c r="F86" s="25" t="str">
        <f t="shared" ca="1" si="15"/>
        <v/>
      </c>
      <c r="G86" s="25" t="str">
        <f t="shared" ca="1" si="16"/>
        <v/>
      </c>
      <c r="H86" s="117"/>
      <c r="I86" s="55" t="str">
        <f t="shared" ca="1" si="17"/>
        <v/>
      </c>
      <c r="N86" s="37">
        <f ca="1"/>
        <v>46044</v>
      </c>
      <c r="O86" s="41">
        <f ca="1"/>
        <v>267.25</v>
      </c>
      <c r="P86" s="37" t="str">
        <f t="shared" ca="1" si="9"/>
        <v/>
      </c>
      <c r="Q86" s="37" t="str">
        <f t="shared" ca="1" si="10"/>
        <v/>
      </c>
      <c r="Z86" s="37"/>
      <c r="AB86" s="37" t="str">
        <f t="shared" si="11"/>
        <v/>
      </c>
    </row>
    <row r="87" spans="1:28" x14ac:dyDescent="0.25">
      <c r="A87" s="102" t="str">
        <f t="shared" ca="1" si="13"/>
        <v/>
      </c>
      <c r="B87" s="33" t="str">
        <f ca="1">IF(COUNTIF($R$2:R1072,A87)=1,VLOOKUP(A87,X:Y,2), IF(COUNTIF($R$2:R1072,A87)=0,$B$10,""))</f>
        <v/>
      </c>
      <c r="C87" s="25" t="str">
        <f t="shared" ca="1" si="14"/>
        <v/>
      </c>
      <c r="D87" s="26"/>
      <c r="E87" s="33" t="str">
        <f t="shared" ca="1" si="12"/>
        <v/>
      </c>
      <c r="F87" s="25" t="str">
        <f t="shared" ca="1" si="15"/>
        <v/>
      </c>
      <c r="G87" s="25" t="str">
        <f t="shared" ca="1" si="16"/>
        <v/>
      </c>
      <c r="H87" s="117"/>
      <c r="I87" s="55" t="str">
        <f t="shared" ca="1" si="17"/>
        <v/>
      </c>
      <c r="N87" s="37">
        <f ca="1"/>
        <v>46045</v>
      </c>
      <c r="O87" s="41">
        <f ca="1"/>
        <v>263.75</v>
      </c>
      <c r="P87" s="37" t="str">
        <f t="shared" ca="1" si="9"/>
        <v/>
      </c>
      <c r="Q87" s="37" t="str">
        <f t="shared" ca="1" si="10"/>
        <v/>
      </c>
      <c r="Z87" s="37"/>
      <c r="AB87" s="37" t="str">
        <f t="shared" si="11"/>
        <v/>
      </c>
    </row>
    <row r="88" spans="1:28" x14ac:dyDescent="0.25">
      <c r="A88" s="102" t="str">
        <f t="shared" ca="1" si="13"/>
        <v/>
      </c>
      <c r="B88" s="33" t="str">
        <f ca="1">IF(COUNTIF($R$2:R1073,A88)=1,VLOOKUP(A88,X:Y,2), IF(COUNTIF($R$2:R1073,A88)=0,$B$10,""))</f>
        <v/>
      </c>
      <c r="C88" s="25" t="str">
        <f t="shared" ca="1" si="14"/>
        <v/>
      </c>
      <c r="D88" s="26"/>
      <c r="E88" s="33" t="str">
        <f t="shared" ca="1" si="12"/>
        <v/>
      </c>
      <c r="F88" s="25" t="str">
        <f t="shared" ca="1" si="15"/>
        <v/>
      </c>
      <c r="G88" s="25" t="str">
        <f t="shared" ca="1" si="16"/>
        <v/>
      </c>
      <c r="H88" s="117"/>
      <c r="I88" s="55" t="str">
        <f t="shared" ca="1" si="17"/>
        <v/>
      </c>
      <c r="N88" s="37">
        <f ca="1"/>
        <v>46048</v>
      </c>
      <c r="O88" s="41">
        <f ca="1"/>
        <v>267.14999999999998</v>
      </c>
      <c r="P88" s="37" t="str">
        <f t="shared" ca="1" si="9"/>
        <v/>
      </c>
      <c r="Q88" s="37" t="str">
        <f t="shared" ca="1" si="10"/>
        <v/>
      </c>
      <c r="Z88" s="37"/>
      <c r="AB88" s="37" t="str">
        <f t="shared" si="11"/>
        <v/>
      </c>
    </row>
    <row r="89" spans="1:28" x14ac:dyDescent="0.25">
      <c r="A89" s="102" t="str">
        <f t="shared" ca="1" si="13"/>
        <v/>
      </c>
      <c r="B89" s="33" t="str">
        <f ca="1">IF(COUNTIF($R$2:R1074,A89)=1,VLOOKUP(A89,X:Y,2), IF(COUNTIF($R$2:R1074,A89)=0,$B$10,""))</f>
        <v/>
      </c>
      <c r="C89" s="25" t="str">
        <f t="shared" ca="1" si="14"/>
        <v/>
      </c>
      <c r="D89" s="26"/>
      <c r="E89" s="33" t="str">
        <f t="shared" ca="1" si="12"/>
        <v/>
      </c>
      <c r="F89" s="25" t="str">
        <f t="shared" ca="1" si="15"/>
        <v/>
      </c>
      <c r="G89" s="25" t="str">
        <f t="shared" ca="1" si="16"/>
        <v/>
      </c>
      <c r="H89" s="117"/>
      <c r="I89" s="55" t="str">
        <f t="shared" ca="1" si="17"/>
        <v/>
      </c>
      <c r="N89" s="37">
        <f ca="1"/>
        <v>46049</v>
      </c>
      <c r="O89" s="41">
        <f ca="1"/>
        <v>271.75</v>
      </c>
      <c r="P89" s="37" t="str">
        <f t="shared" ca="1" si="9"/>
        <v/>
      </c>
      <c r="Q89" s="37" t="str">
        <f t="shared" ca="1" si="10"/>
        <v/>
      </c>
      <c r="Z89" s="37"/>
      <c r="AB89" s="37" t="str">
        <f t="shared" si="11"/>
        <v/>
      </c>
    </row>
    <row r="90" spans="1:28" x14ac:dyDescent="0.25">
      <c r="A90" s="102" t="str">
        <f t="shared" ca="1" si="13"/>
        <v/>
      </c>
      <c r="B90" s="33" t="str">
        <f ca="1">IF(COUNTIF($R$2:R1075,A90)=1,VLOOKUP(A90,X:Y,2), IF(COUNTIF($R$2:R1075,A90)=0,$B$10,""))</f>
        <v/>
      </c>
      <c r="C90" s="25" t="str">
        <f t="shared" ca="1" si="14"/>
        <v/>
      </c>
      <c r="D90" s="26"/>
      <c r="E90" s="33" t="str">
        <f t="shared" ca="1" si="12"/>
        <v/>
      </c>
      <c r="F90" s="25" t="str">
        <f t="shared" ca="1" si="15"/>
        <v/>
      </c>
      <c r="G90" s="25" t="str">
        <f t="shared" ca="1" si="16"/>
        <v/>
      </c>
      <c r="H90" s="117"/>
      <c r="I90" s="55" t="str">
        <f t="shared" ca="1" si="17"/>
        <v/>
      </c>
      <c r="N90" s="37">
        <f ca="1"/>
        <v>46050</v>
      </c>
      <c r="O90" s="41">
        <f ca="1"/>
        <v>268</v>
      </c>
      <c r="P90" s="37" t="str">
        <f t="shared" ca="1" si="9"/>
        <v/>
      </c>
      <c r="Q90" s="37" t="str">
        <f t="shared" ca="1" si="10"/>
        <v/>
      </c>
      <c r="Z90" s="37"/>
      <c r="AB90" s="37" t="str">
        <f t="shared" si="11"/>
        <v/>
      </c>
    </row>
    <row r="91" spans="1:28" x14ac:dyDescent="0.25">
      <c r="A91" s="102" t="str">
        <f t="shared" ca="1" si="13"/>
        <v/>
      </c>
      <c r="B91" s="33" t="str">
        <f ca="1">IF(COUNTIF($R$2:R1076,A91)=1,VLOOKUP(A91,X:Y,2), IF(COUNTIF($R$2:R1076,A91)=0,$B$10,""))</f>
        <v/>
      </c>
      <c r="C91" s="25" t="str">
        <f t="shared" ca="1" si="14"/>
        <v/>
      </c>
      <c r="D91" s="26"/>
      <c r="E91" s="33" t="str">
        <f t="shared" ca="1" si="12"/>
        <v/>
      </c>
      <c r="F91" s="25" t="str">
        <f t="shared" ca="1" si="15"/>
        <v/>
      </c>
      <c r="G91" s="25" t="str">
        <f t="shared" ca="1" si="16"/>
        <v/>
      </c>
      <c r="H91" s="117"/>
      <c r="I91" s="55" t="str">
        <f t="shared" ca="1" si="17"/>
        <v/>
      </c>
      <c r="N91" s="37">
        <f ca="1"/>
        <v>46051</v>
      </c>
      <c r="O91" s="41">
        <f ca="1"/>
        <v>265.75</v>
      </c>
      <c r="P91" s="37" t="str">
        <f t="shared" ca="1" si="9"/>
        <v/>
      </c>
      <c r="Q91" s="37" t="str">
        <f t="shared" ca="1" si="10"/>
        <v/>
      </c>
      <c r="Z91" s="37"/>
      <c r="AB91" s="37" t="str">
        <f t="shared" si="11"/>
        <v/>
      </c>
    </row>
    <row r="92" spans="1:28" x14ac:dyDescent="0.25">
      <c r="A92" s="102" t="str">
        <f t="shared" ca="1" si="13"/>
        <v/>
      </c>
      <c r="B92" s="33" t="str">
        <f ca="1">IF(COUNTIF($R$2:R1077,A92)=1,VLOOKUP(A92,X:Y,2), IF(COUNTIF($R$2:R1077,A92)=0,$B$10,""))</f>
        <v/>
      </c>
      <c r="C92" s="25" t="str">
        <f t="shared" ca="1" si="14"/>
        <v/>
      </c>
      <c r="D92" s="26"/>
      <c r="E92" s="33" t="str">
        <f t="shared" ca="1" si="12"/>
        <v/>
      </c>
      <c r="F92" s="25" t="str">
        <f t="shared" ca="1" si="15"/>
        <v/>
      </c>
      <c r="G92" s="25" t="str">
        <f t="shared" ca="1" si="16"/>
        <v/>
      </c>
      <c r="H92" s="117"/>
      <c r="I92" s="55" t="str">
        <f t="shared" ca="1" si="17"/>
        <v/>
      </c>
      <c r="N92" s="37">
        <f ca="1"/>
        <v>46052</v>
      </c>
      <c r="O92" s="41">
        <f ca="1"/>
        <v>270.2</v>
      </c>
      <c r="P92" s="37" t="str">
        <f t="shared" ca="1" si="9"/>
        <v/>
      </c>
      <c r="Q92" s="37" t="str">
        <f t="shared" ca="1" si="10"/>
        <v/>
      </c>
      <c r="Z92" s="37"/>
      <c r="AB92" s="37" t="str">
        <f t="shared" si="11"/>
        <v/>
      </c>
    </row>
    <row r="93" spans="1:28" x14ac:dyDescent="0.25">
      <c r="A93" s="102" t="str">
        <f t="shared" ca="1" si="13"/>
        <v/>
      </c>
      <c r="B93" s="33" t="str">
        <f ca="1">IF(COUNTIF($R$2:R1078,A93)=1,VLOOKUP(A93,X:Y,2), IF(COUNTIF($R$2:R1078,A93)=0,$B$10,""))</f>
        <v/>
      </c>
      <c r="C93" s="25" t="str">
        <f t="shared" ca="1" si="14"/>
        <v/>
      </c>
      <c r="D93" s="26"/>
      <c r="E93" s="33" t="str">
        <f t="shared" ca="1" si="12"/>
        <v/>
      </c>
      <c r="F93" s="25" t="str">
        <f t="shared" ca="1" si="15"/>
        <v/>
      </c>
      <c r="G93" s="25" t="str">
        <f t="shared" ca="1" si="16"/>
        <v/>
      </c>
      <c r="H93" s="117"/>
      <c r="I93" s="55" t="str">
        <f t="shared" ca="1" si="17"/>
        <v/>
      </c>
      <c r="N93" s="37">
        <f ca="1"/>
        <v>46055</v>
      </c>
      <c r="O93" s="41">
        <f ca="1"/>
        <v>275.89999999999998</v>
      </c>
      <c r="P93" s="37" t="str">
        <f t="shared" ca="1" si="9"/>
        <v/>
      </c>
      <c r="Q93" s="37" t="str">
        <f t="shared" ca="1" si="10"/>
        <v/>
      </c>
      <c r="Z93" s="37"/>
      <c r="AB93" s="37" t="str">
        <f t="shared" si="11"/>
        <v/>
      </c>
    </row>
    <row r="94" spans="1:28" x14ac:dyDescent="0.25">
      <c r="A94" s="102" t="str">
        <f t="shared" ca="1" si="13"/>
        <v/>
      </c>
      <c r="B94" s="33" t="str">
        <f ca="1">IF(COUNTIF($R$2:R1079,A94)=1,VLOOKUP(A94,X:Y,2), IF(COUNTIF($R$2:R1079,A94)=0,$B$10,""))</f>
        <v/>
      </c>
      <c r="C94" s="25" t="str">
        <f t="shared" ca="1" si="14"/>
        <v/>
      </c>
      <c r="D94" s="26"/>
      <c r="E94" s="33" t="str">
        <f t="shared" ca="1" si="12"/>
        <v/>
      </c>
      <c r="F94" s="25" t="str">
        <f t="shared" ca="1" si="15"/>
        <v/>
      </c>
      <c r="G94" s="25" t="str">
        <f t="shared" ca="1" si="16"/>
        <v/>
      </c>
      <c r="H94" s="117"/>
      <c r="I94" s="55" t="str">
        <f t="shared" ca="1" si="17"/>
        <v/>
      </c>
      <c r="N94" s="37">
        <f ca="1"/>
        <v>46056</v>
      </c>
      <c r="O94" s="41">
        <f ca="1"/>
        <v>278.39999999999998</v>
      </c>
      <c r="P94" s="37" t="str">
        <f t="shared" ca="1" si="9"/>
        <v/>
      </c>
      <c r="Q94" s="37" t="str">
        <f t="shared" ca="1" si="10"/>
        <v/>
      </c>
      <c r="Z94" s="37"/>
      <c r="AB94" s="37" t="str">
        <f t="shared" si="11"/>
        <v/>
      </c>
    </row>
    <row r="95" spans="1:28" x14ac:dyDescent="0.25">
      <c r="A95" s="102" t="str">
        <f t="shared" ca="1" si="13"/>
        <v/>
      </c>
      <c r="B95" s="33" t="str">
        <f ca="1">IF(COUNTIF($R$2:R1080,A95)=1,VLOOKUP(A95,X:Y,2), IF(COUNTIF($R$2:R1080,A95)=0,$B$10,""))</f>
        <v/>
      </c>
      <c r="C95" s="25" t="str">
        <f t="shared" ca="1" si="14"/>
        <v/>
      </c>
      <c r="D95" s="26"/>
      <c r="E95" s="33" t="str">
        <f t="shared" ca="1" si="12"/>
        <v/>
      </c>
      <c r="F95" s="25" t="str">
        <f t="shared" ca="1" si="15"/>
        <v/>
      </c>
      <c r="G95" s="25" t="str">
        <f t="shared" ca="1" si="16"/>
        <v/>
      </c>
      <c r="H95" s="117"/>
      <c r="I95" s="55" t="str">
        <f t="shared" ca="1" si="17"/>
        <v/>
      </c>
      <c r="N95" s="37">
        <f ca="1"/>
        <v>46057</v>
      </c>
      <c r="O95" s="41">
        <f ca="1"/>
        <v>276.05</v>
      </c>
      <c r="P95" s="37" t="str">
        <f t="shared" ca="1" si="9"/>
        <v/>
      </c>
      <c r="Q95" s="37" t="str">
        <f t="shared" ca="1" si="10"/>
        <v/>
      </c>
      <c r="Z95" s="37"/>
      <c r="AB95" s="37" t="str">
        <f t="shared" si="11"/>
        <v/>
      </c>
    </row>
    <row r="96" spans="1:28" x14ac:dyDescent="0.25">
      <c r="A96" s="102" t="str">
        <f t="shared" ca="1" si="13"/>
        <v/>
      </c>
      <c r="B96" s="33" t="str">
        <f ca="1">IF(COUNTIF($R$2:R1081,A96)=1,VLOOKUP(A96,X:Y,2), IF(COUNTIF($R$2:R1081,A96)=0,$B$10,""))</f>
        <v/>
      </c>
      <c r="C96" s="25" t="str">
        <f t="shared" ca="1" si="14"/>
        <v/>
      </c>
      <c r="D96" s="26"/>
      <c r="E96" s="33" t="str">
        <f t="shared" ca="1" si="12"/>
        <v/>
      </c>
      <c r="F96" s="25" t="str">
        <f t="shared" ca="1" si="15"/>
        <v/>
      </c>
      <c r="G96" s="25" t="str">
        <f t="shared" ca="1" si="16"/>
        <v/>
      </c>
      <c r="H96" s="117"/>
      <c r="I96" s="55" t="str">
        <f t="shared" ca="1" si="17"/>
        <v/>
      </c>
      <c r="N96" s="37">
        <f ca="1"/>
        <v>46058</v>
      </c>
      <c r="O96" s="41">
        <f ca="1"/>
        <v>266.5</v>
      </c>
      <c r="P96" s="37" t="str">
        <f t="shared" ca="1" si="9"/>
        <v/>
      </c>
      <c r="Q96" s="37" t="str">
        <f t="shared" ca="1" si="10"/>
        <v/>
      </c>
      <c r="Z96" s="37"/>
      <c r="AB96" s="37" t="str">
        <f t="shared" si="11"/>
        <v/>
      </c>
    </row>
    <row r="97" spans="1:28" x14ac:dyDescent="0.25">
      <c r="A97" s="102" t="str">
        <f t="shared" ca="1" si="13"/>
        <v/>
      </c>
      <c r="B97" s="33" t="str">
        <f ca="1">IF(COUNTIF($R$2:R1082,A97)=1,VLOOKUP(A97,X:Y,2), IF(COUNTIF($R$2:R1082,A97)=0,$B$10,""))</f>
        <v/>
      </c>
      <c r="C97" s="25" t="str">
        <f t="shared" ca="1" si="14"/>
        <v/>
      </c>
      <c r="D97" s="26"/>
      <c r="E97" s="33" t="str">
        <f t="shared" ca="1" si="12"/>
        <v/>
      </c>
      <c r="F97" s="25" t="str">
        <f t="shared" ca="1" si="15"/>
        <v/>
      </c>
      <c r="G97" s="25" t="str">
        <f t="shared" ca="1" si="16"/>
        <v/>
      </c>
      <c r="H97" s="117"/>
      <c r="I97" s="55" t="str">
        <f t="shared" ca="1" si="17"/>
        <v/>
      </c>
      <c r="N97" s="37">
        <f ca="1"/>
        <v>46059</v>
      </c>
      <c r="O97" s="41">
        <f ca="1"/>
        <v>268.10000000000002</v>
      </c>
      <c r="P97" s="37" t="str">
        <f t="shared" ca="1" si="9"/>
        <v/>
      </c>
      <c r="Q97" s="37" t="str">
        <f t="shared" ca="1" si="10"/>
        <v/>
      </c>
      <c r="Z97" s="37"/>
      <c r="AB97" s="37" t="str">
        <f t="shared" si="11"/>
        <v/>
      </c>
    </row>
    <row r="98" spans="1:28" x14ac:dyDescent="0.25">
      <c r="A98" s="102" t="str">
        <f t="shared" ca="1" si="13"/>
        <v/>
      </c>
      <c r="B98" s="33" t="str">
        <f ca="1">IF(COUNTIF($R$2:R1083,A98)=1,VLOOKUP(A98,X:Y,2), IF(COUNTIF($R$2:R1083,A98)=0,$B$10,""))</f>
        <v/>
      </c>
      <c r="C98" s="25" t="str">
        <f t="shared" ca="1" si="14"/>
        <v/>
      </c>
      <c r="D98" s="26"/>
      <c r="E98" s="33" t="str">
        <f t="shared" ca="1" si="12"/>
        <v/>
      </c>
      <c r="F98" s="25" t="str">
        <f t="shared" ca="1" si="15"/>
        <v/>
      </c>
      <c r="G98" s="25" t="str">
        <f t="shared" ca="1" si="16"/>
        <v/>
      </c>
      <c r="H98" s="117"/>
      <c r="I98" s="55" t="str">
        <f t="shared" ca="1" si="17"/>
        <v/>
      </c>
      <c r="N98" s="37">
        <f ca="1"/>
        <v>46062</v>
      </c>
      <c r="O98" s="41">
        <f ca="1"/>
        <v>274.45</v>
      </c>
      <c r="P98" s="37" t="str">
        <f t="shared" ca="1" si="9"/>
        <v/>
      </c>
      <c r="Q98" s="37" t="str">
        <f t="shared" ca="1" si="10"/>
        <v/>
      </c>
      <c r="Z98" s="37"/>
      <c r="AB98" s="37" t="str">
        <f t="shared" si="11"/>
        <v/>
      </c>
    </row>
    <row r="99" spans="1:28" x14ac:dyDescent="0.25">
      <c r="A99" s="102" t="str">
        <f t="shared" ca="1" si="13"/>
        <v/>
      </c>
      <c r="B99" s="33" t="str">
        <f ca="1">IF(COUNTIF($R$2:R1084,A99)=1,VLOOKUP(A99,X:Y,2), IF(COUNTIF($R$2:R1084,A99)=0,$B$10,""))</f>
        <v/>
      </c>
      <c r="C99" s="25" t="str">
        <f t="shared" ca="1" si="14"/>
        <v/>
      </c>
      <c r="D99" s="26"/>
      <c r="E99" s="33" t="str">
        <f t="shared" ca="1" si="12"/>
        <v/>
      </c>
      <c r="F99" s="25" t="str">
        <f t="shared" ca="1" si="15"/>
        <v/>
      </c>
      <c r="G99" s="25" t="str">
        <f t="shared" ca="1" si="16"/>
        <v/>
      </c>
      <c r="H99" s="117"/>
      <c r="I99" s="55" t="str">
        <f t="shared" ca="1" si="17"/>
        <v/>
      </c>
      <c r="N99" s="37">
        <f ca="1"/>
        <v>46063</v>
      </c>
      <c r="O99" s="41">
        <f ca="1"/>
        <v>271.75</v>
      </c>
      <c r="P99" s="37" t="str">
        <f t="shared" ca="1" si="9"/>
        <v/>
      </c>
      <c r="Q99" s="37" t="str">
        <f t="shared" ca="1" si="10"/>
        <v/>
      </c>
      <c r="Z99" s="37"/>
      <c r="AB99" s="37" t="str">
        <f t="shared" si="11"/>
        <v/>
      </c>
    </row>
    <row r="100" spans="1:28" x14ac:dyDescent="0.25">
      <c r="A100" s="102" t="str">
        <f t="shared" ca="1" si="13"/>
        <v/>
      </c>
      <c r="B100" s="33" t="str">
        <f ca="1">IF(COUNTIF($R$2:R1085,A100)=1,VLOOKUP(A100,X:Y,2), IF(COUNTIF($R$2:R1085,A100)=0,$B$10,""))</f>
        <v/>
      </c>
      <c r="C100" s="25" t="str">
        <f t="shared" ca="1" si="14"/>
        <v/>
      </c>
      <c r="D100" s="26"/>
      <c r="E100" s="33" t="str">
        <f t="shared" ca="1" si="12"/>
        <v/>
      </c>
      <c r="F100" s="25" t="str">
        <f t="shared" ca="1" si="15"/>
        <v/>
      </c>
      <c r="G100" s="25" t="str">
        <f t="shared" ca="1" si="16"/>
        <v/>
      </c>
      <c r="H100" s="117"/>
      <c r="I100" s="55" t="str">
        <f t="shared" ca="1" si="17"/>
        <v/>
      </c>
      <c r="N100" s="37">
        <f ca="1"/>
        <v>46064</v>
      </c>
      <c r="O100" s="41">
        <f ca="1"/>
        <v>266.95</v>
      </c>
      <c r="P100" s="37" t="str">
        <f t="shared" ca="1" si="9"/>
        <v/>
      </c>
      <c r="Q100" s="37" t="str">
        <f t="shared" ca="1" si="10"/>
        <v/>
      </c>
      <c r="Z100" s="37"/>
      <c r="AB100" s="37" t="str">
        <f t="shared" si="11"/>
        <v/>
      </c>
    </row>
    <row r="101" spans="1:28" x14ac:dyDescent="0.25">
      <c r="A101" s="102" t="str">
        <f t="shared" ca="1" si="13"/>
        <v/>
      </c>
      <c r="B101" s="33" t="str">
        <f ca="1">IF(COUNTIF($R$2:R1086,A101)=1,VLOOKUP(A101,X:Y,2), IF(COUNTIF($R$2:R1086,A101)=0,$B$10,""))</f>
        <v/>
      </c>
      <c r="C101" s="25" t="str">
        <f t="shared" ca="1" si="14"/>
        <v/>
      </c>
      <c r="D101" s="26"/>
      <c r="E101" s="33" t="str">
        <f t="shared" ca="1" si="12"/>
        <v/>
      </c>
      <c r="F101" s="25" t="str">
        <f t="shared" ca="1" si="15"/>
        <v/>
      </c>
      <c r="G101" s="25" t="str">
        <f t="shared" ca="1" si="16"/>
        <v/>
      </c>
      <c r="H101" s="117"/>
      <c r="I101" s="55" t="str">
        <f t="shared" ca="1" si="17"/>
        <v/>
      </c>
      <c r="N101" s="37">
        <f ca="1"/>
        <v>46065</v>
      </c>
      <c r="O101" s="41">
        <f ca="1"/>
        <v>261.14999999999998</v>
      </c>
      <c r="P101" s="37" t="str">
        <f t="shared" ca="1" si="9"/>
        <v/>
      </c>
      <c r="Q101" s="37" t="str">
        <f t="shared" ca="1" si="10"/>
        <v/>
      </c>
      <c r="Z101" s="37"/>
      <c r="AB101" s="37" t="str">
        <f t="shared" si="11"/>
        <v/>
      </c>
    </row>
    <row r="102" spans="1:28" x14ac:dyDescent="0.25">
      <c r="A102" s="102" t="str">
        <f t="shared" ca="1" si="13"/>
        <v/>
      </c>
      <c r="B102" s="33" t="str">
        <f ca="1">IF(COUNTIF($R$2:R1087,A102)=1,VLOOKUP(A102,X:Y,2), IF(COUNTIF($R$2:R1087,A102)=0,$B$10,""))</f>
        <v/>
      </c>
      <c r="C102" s="25" t="str">
        <f t="shared" ca="1" si="14"/>
        <v/>
      </c>
      <c r="D102" s="26"/>
      <c r="E102" s="33" t="str">
        <f t="shared" ca="1" si="12"/>
        <v/>
      </c>
      <c r="F102" s="25" t="str">
        <f t="shared" ca="1" si="15"/>
        <v/>
      </c>
      <c r="G102" s="25" t="str">
        <f t="shared" ca="1" si="16"/>
        <v/>
      </c>
      <c r="H102" s="117"/>
      <c r="I102" s="55" t="str">
        <f t="shared" ca="1" si="17"/>
        <v/>
      </c>
      <c r="N102" s="37">
        <f ca="1"/>
        <v>46066</v>
      </c>
      <c r="O102" s="41">
        <f ca="1"/>
        <v>253.5</v>
      </c>
      <c r="P102" s="37" t="str">
        <f t="shared" ca="1" si="9"/>
        <v/>
      </c>
      <c r="Q102" s="37" t="str">
        <f t="shared" ca="1" si="10"/>
        <v/>
      </c>
      <c r="Z102" s="37"/>
      <c r="AB102" s="37" t="str">
        <f t="shared" si="11"/>
        <v/>
      </c>
    </row>
    <row r="103" spans="1:28" x14ac:dyDescent="0.25">
      <c r="A103" s="102" t="str">
        <f t="shared" ca="1" si="13"/>
        <v/>
      </c>
      <c r="B103" s="33" t="str">
        <f ca="1">IF(COUNTIF($R$2:R1088,A103)=1,VLOOKUP(A103,X:Y,2), IF(COUNTIF($R$2:R1088,A103)=0,$B$10,""))</f>
        <v/>
      </c>
      <c r="C103" s="25" t="str">
        <f t="shared" ca="1" si="14"/>
        <v/>
      </c>
      <c r="D103" s="26"/>
      <c r="E103" s="33" t="str">
        <f t="shared" ca="1" si="12"/>
        <v/>
      </c>
      <c r="F103" s="25" t="str">
        <f t="shared" ca="1" si="15"/>
        <v/>
      </c>
      <c r="G103" s="25" t="str">
        <f t="shared" ca="1" si="16"/>
        <v/>
      </c>
      <c r="H103" s="117"/>
      <c r="I103" s="55" t="str">
        <f t="shared" ca="1" si="17"/>
        <v/>
      </c>
      <c r="N103" s="37">
        <f ca="1"/>
        <v>46069</v>
      </c>
      <c r="O103" s="41">
        <f ca="1"/>
        <v>257.05</v>
      </c>
      <c r="P103" s="37" t="str">
        <f t="shared" ca="1" si="9"/>
        <v/>
      </c>
      <c r="Q103" s="37" t="str">
        <f t="shared" ca="1" si="10"/>
        <v/>
      </c>
      <c r="Z103" s="37"/>
      <c r="AB103" s="37" t="str">
        <f t="shared" si="11"/>
        <v/>
      </c>
    </row>
    <row r="104" spans="1:28" x14ac:dyDescent="0.25">
      <c r="A104" s="102" t="str">
        <f t="shared" ca="1" si="13"/>
        <v/>
      </c>
      <c r="B104" s="33" t="str">
        <f ca="1">IF(COUNTIF($R$2:R1089,A104)=1,VLOOKUP(A104,X:Y,2), IF(COUNTIF($R$2:R1089,A104)=0,$B$10,""))</f>
        <v/>
      </c>
      <c r="C104" s="25" t="str">
        <f t="shared" ca="1" si="14"/>
        <v/>
      </c>
      <c r="D104" s="26"/>
      <c r="E104" s="33" t="str">
        <f t="shared" ca="1" si="12"/>
        <v/>
      </c>
      <c r="F104" s="25" t="str">
        <f t="shared" ca="1" si="15"/>
        <v/>
      </c>
      <c r="G104" s="25" t="str">
        <f t="shared" ca="1" si="16"/>
        <v/>
      </c>
      <c r="H104" s="117"/>
      <c r="I104" s="55" t="str">
        <f t="shared" ca="1" si="17"/>
        <v/>
      </c>
      <c r="N104" s="37">
        <f ca="1"/>
        <v>46070</v>
      </c>
      <c r="O104" s="41">
        <f ca="1"/>
        <v>259.7</v>
      </c>
      <c r="P104" s="37" t="str">
        <f t="shared" ca="1" si="9"/>
        <v/>
      </c>
      <c r="Q104" s="37" t="str">
        <f t="shared" ca="1" si="10"/>
        <v/>
      </c>
      <c r="Z104" s="37"/>
      <c r="AB104" s="37" t="str">
        <f t="shared" si="11"/>
        <v/>
      </c>
    </row>
    <row r="105" spans="1:28" x14ac:dyDescent="0.25">
      <c r="A105" s="102" t="str">
        <f t="shared" ca="1" si="13"/>
        <v/>
      </c>
      <c r="B105" s="33" t="str">
        <f ca="1">IF(COUNTIF($R$2:R1090,A105)=1,VLOOKUP(A105,X:Y,2), IF(COUNTIF($R$2:R1090,A105)=0,$B$10,""))</f>
        <v/>
      </c>
      <c r="C105" s="25" t="str">
        <f t="shared" ca="1" si="14"/>
        <v/>
      </c>
      <c r="D105" s="26"/>
      <c r="E105" s="33" t="str">
        <f t="shared" ca="1" si="12"/>
        <v/>
      </c>
      <c r="F105" s="25" t="str">
        <f t="shared" ca="1" si="15"/>
        <v/>
      </c>
      <c r="G105" s="25" t="str">
        <f t="shared" ca="1" si="16"/>
        <v/>
      </c>
      <c r="H105" s="117"/>
      <c r="I105" s="55" t="str">
        <f t="shared" ca="1" si="17"/>
        <v/>
      </c>
      <c r="N105" s="37">
        <f ca="1"/>
        <v>46071</v>
      </c>
      <c r="O105" s="41">
        <f ca="1"/>
        <v>265.85000000000002</v>
      </c>
      <c r="P105" s="37" t="str">
        <f t="shared" ca="1" si="9"/>
        <v/>
      </c>
      <c r="Q105" s="37" t="str">
        <f t="shared" ca="1" si="10"/>
        <v/>
      </c>
      <c r="Z105" s="37"/>
      <c r="AB105" s="37" t="str">
        <f t="shared" si="11"/>
        <v/>
      </c>
    </row>
    <row r="106" spans="1:28" x14ac:dyDescent="0.25">
      <c r="A106" s="102" t="str">
        <f t="shared" ca="1" si="13"/>
        <v/>
      </c>
      <c r="B106" s="33" t="str">
        <f ca="1">IF(COUNTIF($R$2:R1091,A106)=1,VLOOKUP(A106,X:Y,2), IF(COUNTIF($R$2:R1091,A106)=0,$B$10,""))</f>
        <v/>
      </c>
      <c r="C106" s="25" t="str">
        <f t="shared" ca="1" si="14"/>
        <v/>
      </c>
      <c r="D106" s="26"/>
      <c r="E106" s="33" t="str">
        <f t="shared" ca="1" si="12"/>
        <v/>
      </c>
      <c r="F106" s="25" t="str">
        <f t="shared" ca="1" si="15"/>
        <v/>
      </c>
      <c r="G106" s="25" t="str">
        <f t="shared" ca="1" si="16"/>
        <v/>
      </c>
      <c r="H106" s="117"/>
      <c r="I106" s="55" t="str">
        <f t="shared" ca="1" si="17"/>
        <v/>
      </c>
      <c r="N106" s="37">
        <f ca="1"/>
        <v>46072</v>
      </c>
      <c r="O106" s="41">
        <f ca="1"/>
        <v>262.5</v>
      </c>
      <c r="P106" s="37" t="str">
        <f t="shared" ca="1" si="9"/>
        <v/>
      </c>
      <c r="Q106" s="37" t="str">
        <f t="shared" ca="1" si="10"/>
        <v/>
      </c>
      <c r="Z106" s="37"/>
      <c r="AB106" s="37" t="str">
        <f t="shared" si="11"/>
        <v/>
      </c>
    </row>
    <row r="107" spans="1:28" x14ac:dyDescent="0.25">
      <c r="A107" s="102" t="str">
        <f t="shared" ca="1" si="13"/>
        <v/>
      </c>
      <c r="B107" s="33" t="str">
        <f ca="1">IF(COUNTIF($R$2:R1092,A107)=1,VLOOKUP(A107,X:Y,2), IF(COUNTIF($R$2:R1092,A107)=0,$B$10,""))</f>
        <v/>
      </c>
      <c r="C107" s="25" t="str">
        <f t="shared" ca="1" si="14"/>
        <v/>
      </c>
      <c r="D107" s="26"/>
      <c r="E107" s="33" t="str">
        <f t="shared" ca="1" si="12"/>
        <v/>
      </c>
      <c r="F107" s="25" t="str">
        <f t="shared" ca="1" si="15"/>
        <v/>
      </c>
      <c r="G107" s="25" t="str">
        <f t="shared" ca="1" si="16"/>
        <v/>
      </c>
      <c r="H107" s="117"/>
      <c r="I107" s="55" t="str">
        <f t="shared" ca="1" si="17"/>
        <v/>
      </c>
      <c r="N107" s="37">
        <f ca="1"/>
        <v>46073</v>
      </c>
      <c r="O107" s="41">
        <f ca="1"/>
        <v>267.2</v>
      </c>
      <c r="P107" s="37" t="str">
        <f t="shared" ca="1" si="9"/>
        <v/>
      </c>
      <c r="Q107" s="37" t="str">
        <f t="shared" ca="1" si="10"/>
        <v/>
      </c>
      <c r="Z107" s="37"/>
      <c r="AB107" s="37" t="str">
        <f t="shared" si="11"/>
        <v/>
      </c>
    </row>
    <row r="108" spans="1:28" x14ac:dyDescent="0.25">
      <c r="A108" s="102" t="str">
        <f t="shared" ca="1" si="13"/>
        <v/>
      </c>
      <c r="B108" s="33" t="str">
        <f ca="1">IF(COUNTIF($R$2:R1093,A108)=1,VLOOKUP(A108,X:Y,2), IF(COUNTIF($R$2:R1093,A108)=0,$B$10,""))</f>
        <v/>
      </c>
      <c r="C108" s="25" t="str">
        <f t="shared" ca="1" si="14"/>
        <v/>
      </c>
      <c r="D108" s="26"/>
      <c r="E108" s="33" t="str">
        <f t="shared" ca="1" si="12"/>
        <v/>
      </c>
      <c r="F108" s="25" t="str">
        <f t="shared" ca="1" si="15"/>
        <v/>
      </c>
      <c r="G108" s="25" t="str">
        <f t="shared" ca="1" si="16"/>
        <v/>
      </c>
      <c r="H108" s="117"/>
      <c r="I108" s="55" t="str">
        <f t="shared" ca="1" si="17"/>
        <v/>
      </c>
      <c r="N108" s="37">
        <f ca="1"/>
        <v>46076</v>
      </c>
      <c r="O108" s="41">
        <f ca="1"/>
        <v>268.25</v>
      </c>
      <c r="P108" s="37" t="str">
        <f t="shared" ca="1" si="9"/>
        <v/>
      </c>
      <c r="Q108" s="37" t="str">
        <f t="shared" ca="1" si="10"/>
        <v/>
      </c>
      <c r="Z108" s="37"/>
      <c r="AB108" s="37" t="str">
        <f t="shared" si="11"/>
        <v/>
      </c>
    </row>
    <row r="109" spans="1:28" x14ac:dyDescent="0.25">
      <c r="A109" s="102" t="str">
        <f t="shared" ca="1" si="13"/>
        <v/>
      </c>
      <c r="B109" s="33" t="str">
        <f ca="1">IF(COUNTIF($R$2:R1094,A109)=1,VLOOKUP(A109,X:Y,2), IF(COUNTIF($R$2:R1094,A109)=0,$B$10,""))</f>
        <v/>
      </c>
      <c r="C109" s="25" t="str">
        <f t="shared" ca="1" si="14"/>
        <v/>
      </c>
      <c r="D109" s="26"/>
      <c r="E109" s="33" t="str">
        <f t="shared" ca="1" si="12"/>
        <v/>
      </c>
      <c r="F109" s="25" t="str">
        <f t="shared" ca="1" si="15"/>
        <v/>
      </c>
      <c r="G109" s="25" t="str">
        <f t="shared" ca="1" si="16"/>
        <v/>
      </c>
      <c r="H109" s="117"/>
      <c r="I109" s="55" t="str">
        <f t="shared" ca="1" si="17"/>
        <v/>
      </c>
      <c r="N109" s="37">
        <f ca="1"/>
        <v>46077</v>
      </c>
      <c r="O109" s="41">
        <f ca="1"/>
        <v>263.55</v>
      </c>
      <c r="P109" s="37" t="str">
        <f t="shared" ca="1" si="9"/>
        <v/>
      </c>
      <c r="Q109" s="37" t="str">
        <f t="shared" ca="1" si="10"/>
        <v/>
      </c>
      <c r="Z109" s="37"/>
      <c r="AB109" s="37" t="str">
        <f t="shared" si="11"/>
        <v/>
      </c>
    </row>
    <row r="110" spans="1:28" x14ac:dyDescent="0.25">
      <c r="A110" s="102" t="str">
        <f t="shared" ca="1" si="13"/>
        <v/>
      </c>
      <c r="B110" s="33" t="str">
        <f ca="1">IF(COUNTIF($R$2:R1095,A110)=1,VLOOKUP(A110,X:Y,2), IF(COUNTIF($R$2:R1095,A110)=0,$B$10,""))</f>
        <v/>
      </c>
      <c r="C110" s="25" t="str">
        <f t="shared" ca="1" si="14"/>
        <v/>
      </c>
      <c r="D110" s="26"/>
      <c r="E110" s="33" t="str">
        <f t="shared" ca="1" si="12"/>
        <v/>
      </c>
      <c r="F110" s="25" t="str">
        <f t="shared" ca="1" si="15"/>
        <v/>
      </c>
      <c r="G110" s="25" t="str">
        <f t="shared" ca="1" si="16"/>
        <v/>
      </c>
      <c r="H110" s="117"/>
      <c r="I110" s="55" t="str">
        <f t="shared" ca="1" si="17"/>
        <v/>
      </c>
      <c r="N110" s="37">
        <f ca="1"/>
        <v>46078</v>
      </c>
      <c r="O110" s="41">
        <f ca="1"/>
        <v>269.14999999999998</v>
      </c>
      <c r="P110" s="37" t="str">
        <f t="shared" ca="1" si="9"/>
        <v/>
      </c>
      <c r="Q110" s="37" t="str">
        <f t="shared" ca="1" si="10"/>
        <v/>
      </c>
      <c r="Z110" s="37"/>
      <c r="AB110" s="37" t="str">
        <f t="shared" si="11"/>
        <v/>
      </c>
    </row>
    <row r="111" spans="1:28" x14ac:dyDescent="0.25">
      <c r="A111" s="102" t="str">
        <f t="shared" ca="1" si="13"/>
        <v/>
      </c>
      <c r="B111" s="33" t="str">
        <f ca="1">IF(COUNTIF($R$2:R1096,A111)=1,VLOOKUP(A111,X:Y,2), IF(COUNTIF($R$2:R1096,A111)=0,$B$10,""))</f>
        <v/>
      </c>
      <c r="C111" s="25" t="str">
        <f t="shared" ca="1" si="14"/>
        <v/>
      </c>
      <c r="D111" s="26"/>
      <c r="E111" s="33" t="str">
        <f t="shared" ca="1" si="12"/>
        <v/>
      </c>
      <c r="F111" s="25" t="str">
        <f t="shared" ca="1" si="15"/>
        <v/>
      </c>
      <c r="G111" s="25" t="str">
        <f t="shared" ca="1" si="16"/>
        <v/>
      </c>
      <c r="H111" s="117"/>
      <c r="I111" s="55" t="str">
        <f t="shared" ca="1" si="17"/>
        <v/>
      </c>
      <c r="N111" s="37">
        <f ca="1"/>
        <v>46079</v>
      </c>
      <c r="O111" s="41">
        <f ca="1"/>
        <v>268.75</v>
      </c>
      <c r="P111" s="37" t="str">
        <f t="shared" ca="1" si="9"/>
        <v/>
      </c>
      <c r="Q111" s="37" t="str">
        <f t="shared" ca="1" si="10"/>
        <v/>
      </c>
      <c r="Z111" s="37"/>
      <c r="AB111" s="37" t="str">
        <f t="shared" si="11"/>
        <v/>
      </c>
    </row>
    <row r="112" spans="1:28" x14ac:dyDescent="0.25">
      <c r="A112" s="102" t="str">
        <f t="shared" ca="1" si="13"/>
        <v/>
      </c>
      <c r="B112" s="33" t="str">
        <f ca="1">IF(COUNTIF($R$2:R1097,A112)=1,VLOOKUP(A112,X:Y,2), IF(COUNTIF($R$2:R1097,A112)=0,$B$10,""))</f>
        <v/>
      </c>
      <c r="C112" s="25" t="str">
        <f t="shared" ca="1" si="14"/>
        <v/>
      </c>
      <c r="D112" s="26"/>
      <c r="E112" s="33" t="str">
        <f t="shared" ca="1" si="12"/>
        <v/>
      </c>
      <c r="F112" s="25" t="str">
        <f t="shared" ca="1" si="15"/>
        <v/>
      </c>
      <c r="G112" s="25" t="str">
        <f t="shared" ca="1" si="16"/>
        <v/>
      </c>
      <c r="H112" s="117"/>
      <c r="I112" s="55" t="str">
        <f t="shared" ca="1" si="17"/>
        <v/>
      </c>
      <c r="N112" s="37">
        <f ca="1"/>
        <v>46080</v>
      </c>
      <c r="O112" s="41">
        <f ca="1"/>
        <v>263.89999999999998</v>
      </c>
      <c r="P112" s="37" t="str">
        <f t="shared" ca="1" si="9"/>
        <v/>
      </c>
      <c r="Q112" s="37" t="str">
        <f t="shared" ca="1" si="10"/>
        <v/>
      </c>
      <c r="Z112" s="37"/>
      <c r="AB112" s="37" t="str">
        <f t="shared" si="11"/>
        <v/>
      </c>
    </row>
    <row r="113" spans="1:28" x14ac:dyDescent="0.25">
      <c r="A113" s="102" t="str">
        <f t="shared" ca="1" si="13"/>
        <v/>
      </c>
      <c r="B113" s="33" t="str">
        <f ca="1">IF(COUNTIF($R$2:R1098,A113)=1,VLOOKUP(A113,X:Y,2), IF(COUNTIF($R$2:R1098,A113)=0,$B$10,""))</f>
        <v/>
      </c>
      <c r="C113" s="25" t="str">
        <f t="shared" ca="1" si="14"/>
        <v/>
      </c>
      <c r="D113" s="26"/>
      <c r="E113" s="33" t="str">
        <f t="shared" ca="1" si="12"/>
        <v/>
      </c>
      <c r="F113" s="25" t="str">
        <f t="shared" ca="1" si="15"/>
        <v/>
      </c>
      <c r="G113" s="25" t="str">
        <f t="shared" ca="1" si="16"/>
        <v/>
      </c>
      <c r="H113" s="117"/>
      <c r="I113" s="55" t="str">
        <f t="shared" ca="1" si="17"/>
        <v/>
      </c>
      <c r="N113" s="37">
        <f ca="1"/>
        <v>46083</v>
      </c>
      <c r="O113" s="41">
        <f ca="1"/>
        <v>255.1</v>
      </c>
      <c r="P113" s="37" t="str">
        <f t="shared" ca="1" si="9"/>
        <v/>
      </c>
      <c r="Q113" s="37" t="str">
        <f t="shared" ca="1" si="10"/>
        <v/>
      </c>
      <c r="Z113" s="37"/>
      <c r="AB113" s="37" t="str">
        <f t="shared" si="11"/>
        <v/>
      </c>
    </row>
    <row r="114" spans="1:28" x14ac:dyDescent="0.25">
      <c r="A114" s="102" t="str">
        <f t="shared" ca="1" si="13"/>
        <v/>
      </c>
      <c r="B114" s="33" t="str">
        <f ca="1">IF(COUNTIF($R$2:R1099,A114)=1,VLOOKUP(A114,X:Y,2), IF(COUNTIF($R$2:R1099,A114)=0,$B$10,""))</f>
        <v/>
      </c>
      <c r="C114" s="25" t="str">
        <f t="shared" ca="1" si="14"/>
        <v/>
      </c>
      <c r="D114" s="26"/>
      <c r="E114" s="33" t="str">
        <f t="shared" ca="1" si="12"/>
        <v/>
      </c>
      <c r="F114" s="25" t="str">
        <f t="shared" ca="1" si="15"/>
        <v/>
      </c>
      <c r="G114" s="25" t="str">
        <f t="shared" ca="1" si="16"/>
        <v/>
      </c>
      <c r="H114" s="117"/>
      <c r="I114" s="55" t="str">
        <f t="shared" ca="1" si="17"/>
        <v/>
      </c>
      <c r="N114" s="37">
        <f ca="1"/>
        <v>46084</v>
      </c>
      <c r="O114" s="41">
        <f ca="1"/>
        <v>243.05</v>
      </c>
      <c r="P114" s="37" t="str">
        <f t="shared" ca="1" si="9"/>
        <v/>
      </c>
      <c r="Q114" s="37" t="str">
        <f t="shared" ca="1" si="10"/>
        <v/>
      </c>
      <c r="Z114" s="37"/>
      <c r="AB114" s="37" t="str">
        <f t="shared" si="11"/>
        <v/>
      </c>
    </row>
    <row r="115" spans="1:28" x14ac:dyDescent="0.25">
      <c r="A115" s="102" t="str">
        <f t="shared" ca="1" si="13"/>
        <v/>
      </c>
      <c r="B115" s="33" t="str">
        <f ca="1">IF(COUNTIF($R$2:R1100,A115)=1,VLOOKUP(A115,X:Y,2), IF(COUNTIF($R$2:R1100,A115)=0,$B$10,""))</f>
        <v/>
      </c>
      <c r="C115" s="25" t="str">
        <f t="shared" ca="1" si="14"/>
        <v/>
      </c>
      <c r="D115" s="26"/>
      <c r="E115" s="33" t="str">
        <f t="shared" ca="1" si="12"/>
        <v/>
      </c>
      <c r="F115" s="25" t="str">
        <f t="shared" ca="1" si="15"/>
        <v/>
      </c>
      <c r="G115" s="25" t="str">
        <f t="shared" ca="1" si="16"/>
        <v/>
      </c>
      <c r="H115" s="117"/>
      <c r="I115" s="55" t="str">
        <f t="shared" ca="1" si="17"/>
        <v/>
      </c>
      <c r="N115" s="37">
        <f ca="1"/>
        <v>46085</v>
      </c>
      <c r="O115" s="41">
        <f ca="1"/>
        <v>249.95</v>
      </c>
      <c r="P115" s="37" t="str">
        <f t="shared" ca="1" si="9"/>
        <v/>
      </c>
      <c r="Q115" s="37" t="str">
        <f t="shared" ca="1" si="10"/>
        <v/>
      </c>
      <c r="Z115" s="37"/>
      <c r="AB115" s="37" t="str">
        <f t="shared" si="11"/>
        <v/>
      </c>
    </row>
    <row r="116" spans="1:28" x14ac:dyDescent="0.25">
      <c r="A116" s="102" t="str">
        <f t="shared" ca="1" si="13"/>
        <v/>
      </c>
      <c r="B116" s="33" t="str">
        <f ca="1">IF(COUNTIF($R$2:R1101,A116)=1,VLOOKUP(A116,X:Y,2), IF(COUNTIF($R$2:R1101,A116)=0,$B$10,""))</f>
        <v/>
      </c>
      <c r="C116" s="25" t="str">
        <f t="shared" ca="1" si="14"/>
        <v/>
      </c>
      <c r="D116" s="26"/>
      <c r="E116" s="33" t="str">
        <f t="shared" ca="1" si="12"/>
        <v/>
      </c>
      <c r="F116" s="25" t="str">
        <f t="shared" ca="1" si="15"/>
        <v/>
      </c>
      <c r="G116" s="25" t="str">
        <f t="shared" ca="1" si="16"/>
        <v/>
      </c>
      <c r="H116" s="117"/>
      <c r="I116" s="55" t="str">
        <f t="shared" ca="1" si="17"/>
        <v/>
      </c>
      <c r="N116" s="37">
        <f ca="1"/>
        <v>46086</v>
      </c>
      <c r="O116" s="41">
        <f ca="1"/>
        <v>243.25</v>
      </c>
      <c r="P116" s="37" t="str">
        <f t="shared" ca="1" si="9"/>
        <v/>
      </c>
      <c r="Q116" s="37" t="str">
        <f t="shared" ca="1" si="10"/>
        <v/>
      </c>
      <c r="Z116" s="37"/>
      <c r="AB116" s="37" t="str">
        <f t="shared" si="11"/>
        <v/>
      </c>
    </row>
    <row r="117" spans="1:28" x14ac:dyDescent="0.25">
      <c r="A117" s="102" t="str">
        <f t="shared" ca="1" si="13"/>
        <v/>
      </c>
      <c r="B117" s="33" t="str">
        <f ca="1">IF(COUNTIF($R$2:R1102,A117)=1,VLOOKUP(A117,X:Y,2), IF(COUNTIF($R$2:R1102,A117)=0,$B$10,""))</f>
        <v/>
      </c>
      <c r="C117" s="25" t="str">
        <f t="shared" ca="1" si="14"/>
        <v/>
      </c>
      <c r="D117" s="26"/>
      <c r="E117" s="33" t="str">
        <f t="shared" ca="1" si="12"/>
        <v/>
      </c>
      <c r="F117" s="25" t="str">
        <f t="shared" ca="1" si="15"/>
        <v/>
      </c>
      <c r="G117" s="25" t="str">
        <f t="shared" ca="1" si="16"/>
        <v/>
      </c>
      <c r="H117" s="117"/>
      <c r="I117" s="55" t="str">
        <f t="shared" ca="1" si="17"/>
        <v/>
      </c>
      <c r="N117" s="37">
        <f ca="1"/>
        <v>46087</v>
      </c>
      <c r="O117" s="41">
        <f ca="1"/>
        <v>239.75</v>
      </c>
      <c r="P117" s="37" t="str">
        <f t="shared" ca="1" si="9"/>
        <v/>
      </c>
      <c r="Q117" s="37" t="str">
        <f t="shared" ca="1" si="10"/>
        <v/>
      </c>
      <c r="Z117" s="37"/>
      <c r="AB117" s="37" t="str">
        <f t="shared" si="11"/>
        <v/>
      </c>
    </row>
    <row r="118" spans="1:28" x14ac:dyDescent="0.25">
      <c r="A118" s="102"/>
      <c r="B118" s="33"/>
      <c r="C118" s="25"/>
      <c r="D118" s="26"/>
      <c r="E118" s="33"/>
      <c r="F118" s="25"/>
      <c r="G118" s="25"/>
      <c r="H118" s="117"/>
      <c r="I118" s="55"/>
      <c r="N118" s="37">
        <f ca="1"/>
        <v>46090</v>
      </c>
      <c r="O118" s="41">
        <f ca="1"/>
        <v>238.45</v>
      </c>
      <c r="P118" s="37" t="str">
        <f t="shared" ca="1" si="9"/>
        <v/>
      </c>
      <c r="Q118" s="37" t="str">
        <f t="shared" ca="1" si="10"/>
        <v/>
      </c>
      <c r="Z118" s="37"/>
      <c r="AB118" s="37" t="str">
        <f t="shared" si="11"/>
        <v/>
      </c>
    </row>
    <row r="119" spans="1:28" x14ac:dyDescent="0.25">
      <c r="A119" s="102"/>
      <c r="B119" s="33"/>
      <c r="C119" s="25"/>
      <c r="D119" s="26"/>
      <c r="E119" s="33"/>
      <c r="F119" s="25"/>
      <c r="G119" s="25"/>
      <c r="H119" s="117"/>
      <c r="I119" s="55"/>
      <c r="N119" s="37">
        <f ca="1"/>
        <v>46091</v>
      </c>
      <c r="O119" s="41">
        <f ca="1"/>
        <v>248.35</v>
      </c>
      <c r="P119" s="37" t="str">
        <f t="shared" ca="1" si="9"/>
        <v/>
      </c>
      <c r="Q119" s="37" t="str">
        <f t="shared" ca="1" si="10"/>
        <v/>
      </c>
      <c r="Z119" s="37"/>
      <c r="AB119" s="37" t="str">
        <f t="shared" si="11"/>
        <v/>
      </c>
    </row>
    <row r="120" spans="1:28" x14ac:dyDescent="0.25">
      <c r="A120" s="102"/>
      <c r="B120" s="33"/>
      <c r="C120" s="25"/>
      <c r="D120" s="26"/>
      <c r="E120" s="33"/>
      <c r="F120" s="25"/>
      <c r="G120" s="25"/>
      <c r="H120" s="117"/>
      <c r="I120" s="55"/>
      <c r="N120" s="37">
        <f ca="1"/>
        <v>46092</v>
      </c>
      <c r="O120" s="41">
        <f ca="1"/>
        <v>245.9</v>
      </c>
      <c r="P120" s="37" t="str">
        <f t="shared" ca="1" si="9"/>
        <v/>
      </c>
      <c r="Q120" s="37" t="str">
        <f t="shared" ca="1" si="10"/>
        <v/>
      </c>
      <c r="Z120" s="37"/>
      <c r="AB120" s="37" t="str">
        <f t="shared" si="11"/>
        <v/>
      </c>
    </row>
    <row r="121" spans="1:28" x14ac:dyDescent="0.25">
      <c r="A121" s="102"/>
      <c r="B121" s="33"/>
      <c r="C121" s="25"/>
      <c r="D121" s="26"/>
      <c r="E121" s="33"/>
      <c r="F121" s="25"/>
      <c r="G121" s="25"/>
      <c r="H121" s="117"/>
      <c r="I121" s="55"/>
      <c r="N121" s="37">
        <f ca="1"/>
        <v>46093</v>
      </c>
      <c r="O121" s="41">
        <f ca="1"/>
        <v>238.85</v>
      </c>
      <c r="P121" s="37" t="str">
        <f t="shared" ca="1" si="9"/>
        <v/>
      </c>
      <c r="Q121" s="37" t="str">
        <f t="shared" ca="1" si="10"/>
        <v/>
      </c>
      <c r="Z121" s="37"/>
      <c r="AB121" s="37" t="str">
        <f t="shared" si="11"/>
        <v/>
      </c>
    </row>
    <row r="122" spans="1:28" x14ac:dyDescent="0.25">
      <c r="A122" s="102"/>
      <c r="B122" s="33"/>
      <c r="C122" s="25"/>
      <c r="D122" s="26"/>
      <c r="E122" s="33"/>
      <c r="F122" s="25"/>
      <c r="G122" s="25"/>
      <c r="H122" s="117"/>
      <c r="I122" s="55"/>
      <c r="N122" s="37">
        <f ca="1"/>
        <v>46094</v>
      </c>
      <c r="O122" s="41">
        <f ca="1"/>
        <v>236</v>
      </c>
      <c r="P122" s="37" t="str">
        <f t="shared" ca="1" si="9"/>
        <v/>
      </c>
      <c r="Q122" s="37" t="str">
        <f t="shared" ca="1" si="10"/>
        <v/>
      </c>
      <c r="Z122" s="37"/>
      <c r="AB122" s="37" t="str">
        <f t="shared" si="11"/>
        <v/>
      </c>
    </row>
    <row r="123" spans="1:28" x14ac:dyDescent="0.25">
      <c r="A123" s="102"/>
      <c r="B123" s="33"/>
      <c r="C123" s="25"/>
      <c r="D123" s="26"/>
      <c r="E123" s="33"/>
      <c r="F123" s="25"/>
      <c r="G123" s="25"/>
      <c r="H123" s="117"/>
      <c r="I123" s="55"/>
      <c r="N123" s="37">
        <f ca="1"/>
        <v>46097</v>
      </c>
      <c r="O123" s="41">
        <f ca="1"/>
        <v>236.9</v>
      </c>
      <c r="P123" s="37" t="str">
        <f t="shared" ca="1" si="9"/>
        <v/>
      </c>
      <c r="Q123" s="37" t="str">
        <f t="shared" ca="1" si="10"/>
        <v/>
      </c>
      <c r="Z123" s="37"/>
      <c r="AB123" s="37" t="str">
        <f t="shared" si="11"/>
        <v/>
      </c>
    </row>
    <row r="124" spans="1:28" x14ac:dyDescent="0.25">
      <c r="A124" s="102"/>
      <c r="B124" s="33"/>
      <c r="C124" s="25"/>
      <c r="D124" s="26"/>
      <c r="E124" s="33"/>
      <c r="F124" s="25"/>
      <c r="G124" s="25"/>
      <c r="H124" s="117"/>
      <c r="I124" s="55"/>
      <c r="N124" s="37">
        <f ca="1"/>
        <v>46098</v>
      </c>
      <c r="O124" s="41">
        <f ca="1"/>
        <v>238</v>
      </c>
      <c r="P124" s="37" t="str">
        <f t="shared" ca="1" si="9"/>
        <v/>
      </c>
      <c r="Q124" s="37" t="str">
        <f t="shared" ca="1" si="10"/>
        <v/>
      </c>
      <c r="Z124" s="37"/>
      <c r="AB124" s="37" t="str">
        <f t="shared" si="11"/>
        <v/>
      </c>
    </row>
    <row r="125" spans="1:28" x14ac:dyDescent="0.25">
      <c r="A125" s="102"/>
      <c r="B125" s="33"/>
      <c r="C125" s="25"/>
      <c r="D125" s="26"/>
      <c r="E125" s="33"/>
      <c r="F125" s="25"/>
      <c r="G125" s="25"/>
      <c r="H125" s="117"/>
      <c r="I125" s="55"/>
      <c r="N125" s="37">
        <f ca="1"/>
        <v>46099</v>
      </c>
      <c r="O125" s="41">
        <f ca="1"/>
        <v>241.1</v>
      </c>
      <c r="P125" s="37" t="str">
        <f t="shared" ca="1" si="9"/>
        <v/>
      </c>
      <c r="Q125" s="37" t="str">
        <f t="shared" ca="1" si="10"/>
        <v/>
      </c>
      <c r="Z125" s="37"/>
      <c r="AB125" s="37" t="str">
        <f t="shared" si="11"/>
        <v/>
      </c>
    </row>
    <row r="126" spans="1:28" x14ac:dyDescent="0.25">
      <c r="A126" s="102"/>
      <c r="B126" s="33"/>
      <c r="C126" s="25"/>
      <c r="D126" s="26"/>
      <c r="E126" s="33"/>
      <c r="F126" s="25"/>
      <c r="G126" s="25"/>
      <c r="H126" s="117"/>
      <c r="I126" s="55"/>
      <c r="N126" s="37">
        <f ca="1"/>
        <v>46100</v>
      </c>
      <c r="O126" s="41">
        <f ca="1"/>
        <v>234.1</v>
      </c>
      <c r="P126" s="37" t="str">
        <f t="shared" ca="1" si="9"/>
        <v/>
      </c>
      <c r="Q126" s="37" t="str">
        <f t="shared" ca="1" si="10"/>
        <v/>
      </c>
      <c r="Z126" s="37"/>
      <c r="AB126" s="37" t="str">
        <f t="shared" si="11"/>
        <v/>
      </c>
    </row>
    <row r="127" spans="1:28" x14ac:dyDescent="0.25">
      <c r="A127" s="102"/>
      <c r="B127" s="33"/>
      <c r="C127" s="25"/>
      <c r="D127" s="26"/>
      <c r="E127" s="33"/>
      <c r="F127" s="25"/>
      <c r="G127" s="25"/>
      <c r="H127" s="117"/>
      <c r="I127" s="55"/>
      <c r="N127" s="37">
        <f ca="1"/>
        <v>46101</v>
      </c>
      <c r="O127" s="41">
        <f ca="1"/>
        <v>229.5</v>
      </c>
      <c r="P127" s="37" t="str">
        <f t="shared" ca="1" si="9"/>
        <v/>
      </c>
      <c r="Q127" s="37" t="str">
        <f t="shared" ca="1" si="10"/>
        <v/>
      </c>
      <c r="Z127" s="37"/>
      <c r="AB127" s="37" t="str">
        <f t="shared" si="11"/>
        <v/>
      </c>
    </row>
    <row r="128" spans="1:28" x14ac:dyDescent="0.25">
      <c r="A128" s="102"/>
      <c r="B128" s="33"/>
      <c r="C128" s="25"/>
      <c r="D128" s="26"/>
      <c r="E128" s="33"/>
      <c r="F128" s="25"/>
      <c r="G128" s="25"/>
      <c r="H128" s="117"/>
      <c r="I128" s="55"/>
      <c r="N128" s="37">
        <f ca="1"/>
        <v>46104</v>
      </c>
      <c r="O128" s="41">
        <f ca="1"/>
        <v>235.1</v>
      </c>
      <c r="P128" s="37" t="str">
        <f t="shared" ca="1" si="9"/>
        <v/>
      </c>
      <c r="Q128" s="37" t="str">
        <f t="shared" ca="1" si="10"/>
        <v/>
      </c>
      <c r="Z128" s="37"/>
      <c r="AB128" s="37" t="str">
        <f t="shared" si="11"/>
        <v/>
      </c>
    </row>
    <row r="129" spans="1:28" x14ac:dyDescent="0.25">
      <c r="A129" s="102"/>
      <c r="B129" s="33"/>
      <c r="C129" s="25"/>
      <c r="D129" s="26"/>
      <c r="E129" s="33"/>
      <c r="F129" s="25"/>
      <c r="G129" s="25"/>
      <c r="H129" s="117"/>
      <c r="I129" s="55"/>
      <c r="N129" s="37">
        <f ca="1"/>
        <v>46105</v>
      </c>
      <c r="O129" s="41">
        <f ca="1"/>
        <v>233.85</v>
      </c>
      <c r="P129" s="37" t="str">
        <f t="shared" ca="1" si="9"/>
        <v/>
      </c>
      <c r="Q129" s="37" t="str">
        <f t="shared" ca="1" si="10"/>
        <v/>
      </c>
      <c r="Z129" s="37"/>
      <c r="AB129" s="37" t="str">
        <f t="shared" si="11"/>
        <v/>
      </c>
    </row>
    <row r="130" spans="1:28" x14ac:dyDescent="0.25">
      <c r="A130" s="102"/>
      <c r="B130" s="33"/>
      <c r="C130" s="25"/>
      <c r="D130" s="26"/>
      <c r="E130" s="33"/>
      <c r="F130" s="25"/>
      <c r="G130" s="25"/>
      <c r="H130" s="117"/>
      <c r="I130" s="55"/>
      <c r="N130" s="37">
        <f ca="1"/>
        <v>46106</v>
      </c>
      <c r="O130" s="41">
        <f ca="1"/>
        <v>238.15</v>
      </c>
      <c r="P130" s="37" t="str">
        <f t="shared" ca="1" si="9"/>
        <v/>
      </c>
      <c r="Q130" s="37" t="str">
        <f t="shared" ca="1" si="10"/>
        <v/>
      </c>
      <c r="Z130" s="37"/>
      <c r="AB130" s="37" t="str">
        <f t="shared" si="11"/>
        <v/>
      </c>
    </row>
    <row r="131" spans="1:28" x14ac:dyDescent="0.25">
      <c r="A131" s="102"/>
      <c r="B131" s="33"/>
      <c r="C131" s="25"/>
      <c r="D131" s="26"/>
      <c r="E131" s="33"/>
      <c r="F131" s="25"/>
      <c r="G131" s="25"/>
      <c r="H131" s="117"/>
      <c r="I131" s="55"/>
      <c r="N131" s="37">
        <f ca="1"/>
        <v>46107</v>
      </c>
      <c r="O131" s="41">
        <f ca="1"/>
        <v>233.7</v>
      </c>
      <c r="P131" s="37" t="str">
        <f t="shared" ca="1" si="9"/>
        <v/>
      </c>
      <c r="Q131" s="37" t="str">
        <f t="shared" ca="1" si="10"/>
        <v/>
      </c>
      <c r="Z131" s="37"/>
      <c r="AB131" s="37" t="str">
        <f t="shared" si="11"/>
        <v/>
      </c>
    </row>
    <row r="132" spans="1:28" x14ac:dyDescent="0.25">
      <c r="A132" s="102"/>
      <c r="B132" s="33"/>
      <c r="C132" s="25"/>
      <c r="D132" s="26"/>
      <c r="E132" s="33"/>
      <c r="F132" s="25"/>
      <c r="G132" s="25"/>
      <c r="H132" s="117"/>
      <c r="I132" s="55"/>
      <c r="N132" s="37">
        <f ca="1"/>
        <v>46108</v>
      </c>
      <c r="O132" s="41">
        <f ca="1"/>
        <v>231.3</v>
      </c>
      <c r="P132" s="37" t="str">
        <f t="shared" ref="P132:P195" ca="1" si="18">IF(COUNTIF(N:N,L132),L132,"")</f>
        <v/>
      </c>
      <c r="Q132" s="37" t="str">
        <f t="shared" ref="Q132:Q195" ca="1" si="19">IF(P132&gt;$A$14,P132,"")</f>
        <v/>
      </c>
      <c r="Z132" s="37"/>
      <c r="AB132" s="37" t="str">
        <f t="shared" ref="AB132:AB195" si="20">IF(COUNTIF(Z:Z,X132),X132,"")</f>
        <v/>
      </c>
    </row>
    <row r="133" spans="1:28" x14ac:dyDescent="0.25">
      <c r="A133" s="102"/>
      <c r="B133" s="33"/>
      <c r="C133" s="25"/>
      <c r="D133" s="26"/>
      <c r="E133" s="33"/>
      <c r="F133" s="25"/>
      <c r="G133" s="25"/>
      <c r="H133" s="117"/>
      <c r="I133" s="55"/>
      <c r="N133" s="37">
        <f ca="1"/>
        <v>46111</v>
      </c>
      <c r="O133" s="41">
        <f ca="1"/>
        <v>231</v>
      </c>
      <c r="P133" s="37" t="str">
        <f t="shared" ca="1" si="18"/>
        <v/>
      </c>
      <c r="Q133" s="37" t="str">
        <f t="shared" ca="1" si="19"/>
        <v/>
      </c>
      <c r="Z133" s="37"/>
      <c r="AB133" s="37" t="str">
        <f t="shared" si="20"/>
        <v/>
      </c>
    </row>
    <row r="134" spans="1:28" x14ac:dyDescent="0.25">
      <c r="A134" s="102"/>
      <c r="B134" s="33"/>
      <c r="C134" s="25"/>
      <c r="D134" s="26"/>
      <c r="E134" s="33"/>
      <c r="F134" s="25"/>
      <c r="G134" s="25"/>
      <c r="H134" s="117"/>
      <c r="I134" s="55"/>
      <c r="N134" s="37">
        <f ca="1"/>
        <v>46112</v>
      </c>
      <c r="O134" s="41">
        <f ca="1"/>
        <v>233.65</v>
      </c>
      <c r="P134" s="37" t="str">
        <f t="shared" ca="1" si="18"/>
        <v/>
      </c>
      <c r="Q134" s="37" t="str">
        <f t="shared" ca="1" si="19"/>
        <v/>
      </c>
      <c r="Z134" s="37"/>
      <c r="AB134" s="37" t="str">
        <f t="shared" si="20"/>
        <v/>
      </c>
    </row>
    <row r="135" spans="1:28" x14ac:dyDescent="0.25">
      <c r="A135" s="102"/>
      <c r="B135" s="33"/>
      <c r="C135" s="25"/>
      <c r="D135" s="26"/>
      <c r="E135" s="33"/>
      <c r="F135" s="25"/>
      <c r="G135" s="25"/>
      <c r="H135" s="117"/>
      <c r="I135" s="55"/>
      <c r="N135" s="37">
        <f ca="1"/>
        <v>46113</v>
      </c>
      <c r="O135" s="41">
        <f ca="1"/>
        <v>244.25</v>
      </c>
      <c r="P135" s="37" t="str">
        <f t="shared" ca="1" si="18"/>
        <v/>
      </c>
      <c r="Q135" s="37" t="str">
        <f t="shared" ca="1" si="19"/>
        <v/>
      </c>
      <c r="Z135" s="37"/>
      <c r="AB135" s="37" t="str">
        <f t="shared" si="20"/>
        <v/>
      </c>
    </row>
    <row r="136" spans="1:28" x14ac:dyDescent="0.25">
      <c r="A136" s="102"/>
      <c r="B136" s="33"/>
      <c r="C136" s="25"/>
      <c r="D136" s="26"/>
      <c r="E136" s="33"/>
      <c r="F136" s="25"/>
      <c r="G136" s="25"/>
      <c r="H136" s="117"/>
      <c r="I136" s="55"/>
      <c r="N136" s="37">
        <f ca="1"/>
        <v>46114</v>
      </c>
      <c r="O136" s="41">
        <f ca="1"/>
        <v>240.05</v>
      </c>
      <c r="P136" s="37" t="str">
        <f t="shared" ca="1" si="18"/>
        <v/>
      </c>
      <c r="Q136" s="37" t="str">
        <f t="shared" ca="1" si="19"/>
        <v/>
      </c>
      <c r="Z136" s="37"/>
      <c r="AB136" s="37" t="str">
        <f t="shared" si="20"/>
        <v/>
      </c>
    </row>
    <row r="137" spans="1:28" x14ac:dyDescent="0.25">
      <c r="A137" s="102"/>
      <c r="B137" s="33"/>
      <c r="C137" s="25"/>
      <c r="D137" s="26"/>
      <c r="E137" s="33"/>
      <c r="F137" s="25"/>
      <c r="G137" s="25"/>
      <c r="H137" s="117"/>
      <c r="I137" s="55"/>
      <c r="N137" s="37">
        <f ca="1"/>
        <v>46119</v>
      </c>
      <c r="O137" s="41">
        <f ca="1"/>
        <v>240.1</v>
      </c>
      <c r="P137" s="37" t="str">
        <f t="shared" ca="1" si="18"/>
        <v/>
      </c>
      <c r="Q137" s="37" t="str">
        <f t="shared" ca="1" si="19"/>
        <v/>
      </c>
      <c r="Z137" s="37"/>
      <c r="AB137" s="37" t="str">
        <f t="shared" si="20"/>
        <v/>
      </c>
    </row>
    <row r="138" spans="1:28" x14ac:dyDescent="0.25">
      <c r="A138" s="102"/>
      <c r="B138" s="33"/>
      <c r="C138" s="25"/>
      <c r="D138" s="26"/>
      <c r="E138" s="33"/>
      <c r="F138" s="25"/>
      <c r="G138" s="25"/>
      <c r="H138" s="117"/>
      <c r="I138" s="55"/>
      <c r="N138" s="37">
        <f ca="1"/>
        <v>46120</v>
      </c>
      <c r="O138" s="41">
        <f ca="1"/>
        <v>255.2</v>
      </c>
      <c r="P138" s="37" t="str">
        <f t="shared" ca="1" si="18"/>
        <v/>
      </c>
      <c r="Q138" s="37" t="str">
        <f t="shared" ca="1" si="19"/>
        <v/>
      </c>
      <c r="Z138" s="37"/>
      <c r="AB138" s="37" t="str">
        <f t="shared" si="20"/>
        <v/>
      </c>
    </row>
    <row r="139" spans="1:28" x14ac:dyDescent="0.25">
      <c r="A139" s="102"/>
      <c r="B139" s="33"/>
      <c r="C139" s="25"/>
      <c r="D139" s="26"/>
      <c r="E139" s="33"/>
      <c r="F139" s="25"/>
      <c r="G139" s="25"/>
      <c r="H139" s="117"/>
      <c r="I139" s="55"/>
      <c r="N139" s="37">
        <f ca="1"/>
        <v>46121</v>
      </c>
      <c r="O139" s="41">
        <f ca="1"/>
        <v>254.85</v>
      </c>
      <c r="P139" s="37" t="str">
        <f t="shared" ca="1" si="18"/>
        <v/>
      </c>
      <c r="Q139" s="37" t="str">
        <f t="shared" ca="1" si="19"/>
        <v/>
      </c>
      <c r="Z139" s="37"/>
      <c r="AB139" s="37" t="str">
        <f t="shared" si="20"/>
        <v/>
      </c>
    </row>
    <row r="140" spans="1:28" x14ac:dyDescent="0.25">
      <c r="A140" s="102"/>
      <c r="B140" s="33"/>
      <c r="C140" s="25"/>
      <c r="D140" s="26"/>
      <c r="E140" s="33"/>
      <c r="F140" s="25"/>
      <c r="G140" s="25"/>
      <c r="H140" s="117"/>
      <c r="I140" s="55"/>
      <c r="N140" s="37">
        <f ca="1"/>
        <v>46122</v>
      </c>
      <c r="O140" s="41">
        <f ca="1"/>
        <v>259.14999999999998</v>
      </c>
      <c r="P140" s="37" t="str">
        <f t="shared" ca="1" si="18"/>
        <v/>
      </c>
      <c r="Q140" s="37" t="str">
        <f t="shared" ca="1" si="19"/>
        <v/>
      </c>
      <c r="Z140" s="37"/>
      <c r="AB140" s="37" t="str">
        <f t="shared" si="20"/>
        <v/>
      </c>
    </row>
    <row r="141" spans="1:28" x14ac:dyDescent="0.25">
      <c r="A141" s="102"/>
      <c r="B141" s="33"/>
      <c r="C141" s="25"/>
      <c r="D141" s="26"/>
      <c r="E141" s="33"/>
      <c r="F141" s="25"/>
      <c r="G141" s="25"/>
      <c r="H141" s="117"/>
      <c r="I141" s="55"/>
      <c r="N141" s="37">
        <f ca="1"/>
        <v>46125</v>
      </c>
      <c r="O141" s="41">
        <f ca="1"/>
        <v>258.2</v>
      </c>
      <c r="P141" s="37" t="str">
        <f t="shared" ca="1" si="18"/>
        <v/>
      </c>
      <c r="Q141" s="37" t="str">
        <f t="shared" ca="1" si="19"/>
        <v/>
      </c>
      <c r="Z141" s="37"/>
      <c r="AB141" s="37" t="str">
        <f t="shared" si="20"/>
        <v/>
      </c>
    </row>
    <row r="142" spans="1:28" x14ac:dyDescent="0.25">
      <c r="A142" s="102"/>
      <c r="B142" s="33"/>
      <c r="C142" s="25"/>
      <c r="D142" s="26"/>
      <c r="E142" s="33"/>
      <c r="F142" s="25"/>
      <c r="G142" s="25"/>
      <c r="H142" s="117"/>
      <c r="I142" s="55"/>
      <c r="N142" s="37">
        <f ca="1"/>
        <v>46126</v>
      </c>
      <c r="O142" s="41">
        <f ca="1"/>
        <v>264.2</v>
      </c>
      <c r="P142" s="37" t="str">
        <f t="shared" ca="1" si="18"/>
        <v/>
      </c>
      <c r="Q142" s="37" t="str">
        <f t="shared" ca="1" si="19"/>
        <v/>
      </c>
      <c r="Z142" s="37"/>
      <c r="AB142" s="37" t="str">
        <f t="shared" si="20"/>
        <v/>
      </c>
    </row>
    <row r="143" spans="1:28" x14ac:dyDescent="0.25">
      <c r="A143" s="102"/>
      <c r="B143" s="33"/>
      <c r="C143" s="25"/>
      <c r="D143" s="26"/>
      <c r="E143" s="33"/>
      <c r="F143" s="25"/>
      <c r="G143" s="25"/>
      <c r="H143" s="117"/>
      <c r="I143" s="55"/>
      <c r="N143" s="37">
        <f ca="1"/>
        <v>46127</v>
      </c>
      <c r="O143" s="41">
        <f ca="1"/>
        <v>264.5</v>
      </c>
      <c r="P143" s="37" t="str">
        <f t="shared" ca="1" si="18"/>
        <v/>
      </c>
      <c r="Q143" s="37" t="str">
        <f t="shared" ca="1" si="19"/>
        <v/>
      </c>
      <c r="Z143" s="37"/>
      <c r="AB143" s="37" t="str">
        <f t="shared" si="20"/>
        <v/>
      </c>
    </row>
    <row r="144" spans="1:28" x14ac:dyDescent="0.25">
      <c r="A144" s="102"/>
      <c r="B144" s="33"/>
      <c r="C144" s="25"/>
      <c r="D144" s="26"/>
      <c r="E144" s="33"/>
      <c r="F144" s="25"/>
      <c r="G144" s="25"/>
      <c r="H144" s="117"/>
      <c r="I144" s="55"/>
      <c r="N144" s="37">
        <f ca="1"/>
        <v>46128</v>
      </c>
      <c r="O144" s="41">
        <f ca="1"/>
        <v>261.3</v>
      </c>
      <c r="P144" s="37" t="str">
        <f t="shared" ca="1" si="18"/>
        <v/>
      </c>
      <c r="Q144" s="37" t="str">
        <f t="shared" ca="1" si="19"/>
        <v/>
      </c>
      <c r="Z144" s="37"/>
      <c r="AB144" s="37" t="str">
        <f t="shared" si="20"/>
        <v/>
      </c>
    </row>
    <row r="145" spans="1:28" x14ac:dyDescent="0.25">
      <c r="A145" s="102"/>
      <c r="B145" s="33"/>
      <c r="C145" s="25"/>
      <c r="D145" s="26"/>
      <c r="E145" s="33"/>
      <c r="F145" s="25"/>
      <c r="G145" s="25"/>
      <c r="H145" s="117"/>
      <c r="I145" s="55"/>
      <c r="N145" s="37">
        <f ca="1"/>
        <v>46129</v>
      </c>
      <c r="O145" s="41">
        <f ca="1"/>
        <v>269.45</v>
      </c>
      <c r="P145" s="37" t="str">
        <f t="shared" ca="1" si="18"/>
        <v/>
      </c>
      <c r="Q145" s="37" t="str">
        <f t="shared" ca="1" si="19"/>
        <v/>
      </c>
      <c r="Z145" s="37"/>
      <c r="AB145" s="37" t="str">
        <f t="shared" si="20"/>
        <v/>
      </c>
    </row>
    <row r="146" spans="1:28" x14ac:dyDescent="0.25">
      <c r="A146" s="102"/>
      <c r="B146" s="33"/>
      <c r="C146" s="25"/>
      <c r="D146" s="26"/>
      <c r="E146" s="33"/>
      <c r="F146" s="25"/>
      <c r="G146" s="25"/>
      <c r="H146" s="117"/>
      <c r="I146" s="55"/>
      <c r="N146" s="37">
        <f ca="1"/>
        <v>46132</v>
      </c>
      <c r="O146" s="41">
        <f ca="1"/>
        <v>264.45</v>
      </c>
      <c r="P146" s="37" t="str">
        <f t="shared" ca="1" si="18"/>
        <v/>
      </c>
      <c r="Q146" s="37" t="str">
        <f t="shared" ca="1" si="19"/>
        <v/>
      </c>
      <c r="Z146" s="37"/>
      <c r="AB146" s="37" t="str">
        <f t="shared" si="20"/>
        <v/>
      </c>
    </row>
    <row r="147" spans="1:28" x14ac:dyDescent="0.25">
      <c r="A147" s="102"/>
      <c r="B147" s="33"/>
      <c r="C147" s="25"/>
      <c r="D147" s="26"/>
      <c r="E147" s="33"/>
      <c r="F147" s="25"/>
      <c r="G147" s="25"/>
      <c r="H147" s="117"/>
      <c r="I147" s="55"/>
      <c r="N147" s="37">
        <f ca="1"/>
        <v>46133</v>
      </c>
      <c r="O147" s="41">
        <f ca="1"/>
        <v>262.35000000000002</v>
      </c>
      <c r="P147" s="37" t="str">
        <f t="shared" ca="1" si="18"/>
        <v/>
      </c>
      <c r="Q147" s="37" t="str">
        <f t="shared" ca="1" si="19"/>
        <v/>
      </c>
      <c r="Z147" s="37"/>
      <c r="AB147" s="37" t="str">
        <f t="shared" si="20"/>
        <v/>
      </c>
    </row>
    <row r="148" spans="1:28" x14ac:dyDescent="0.25">
      <c r="A148" s="102"/>
      <c r="B148" s="33"/>
      <c r="C148" s="25"/>
      <c r="D148" s="26"/>
      <c r="E148" s="33"/>
      <c r="F148" s="25"/>
      <c r="G148" s="25"/>
      <c r="H148" s="117"/>
      <c r="I148" s="55"/>
      <c r="N148" s="37">
        <f ca="1"/>
        <v>46134</v>
      </c>
      <c r="O148" s="41">
        <f ca="1"/>
        <v>259.14999999999998</v>
      </c>
      <c r="P148" s="37" t="str">
        <f t="shared" ca="1" si="18"/>
        <v/>
      </c>
      <c r="Q148" s="37" t="str">
        <f t="shared" ca="1" si="19"/>
        <v/>
      </c>
      <c r="Z148" s="37"/>
      <c r="AB148" s="37" t="str">
        <f t="shared" si="20"/>
        <v/>
      </c>
    </row>
    <row r="149" spans="1:28" x14ac:dyDescent="0.25">
      <c r="A149" s="102"/>
      <c r="B149" s="33"/>
      <c r="C149" s="25"/>
      <c r="D149" s="26"/>
      <c r="E149" s="33"/>
      <c r="F149" s="25"/>
      <c r="G149" s="25"/>
      <c r="H149" s="117"/>
      <c r="I149" s="55"/>
      <c r="N149" s="37">
        <f ca="1"/>
        <v>46135</v>
      </c>
      <c r="O149" s="41">
        <f ca="1"/>
        <v>256.2</v>
      </c>
      <c r="P149" s="37" t="str">
        <f t="shared" ca="1" si="18"/>
        <v/>
      </c>
      <c r="Q149" s="37" t="str">
        <f t="shared" ca="1" si="19"/>
        <v/>
      </c>
      <c r="Z149" s="37"/>
      <c r="AB149" s="37" t="str">
        <f t="shared" si="20"/>
        <v/>
      </c>
    </row>
    <row r="150" spans="1:28" x14ac:dyDescent="0.25">
      <c r="A150" s="102"/>
      <c r="B150" s="33"/>
      <c r="C150" s="25"/>
      <c r="D150" s="26"/>
      <c r="E150" s="33"/>
      <c r="F150" s="25"/>
      <c r="G150" s="25"/>
      <c r="H150" s="117"/>
      <c r="I150" s="55"/>
      <c r="N150" s="37">
        <f ca="1"/>
        <v>46136</v>
      </c>
      <c r="O150" s="41">
        <f ca="1"/>
        <v>253.35</v>
      </c>
      <c r="P150" s="37" t="str">
        <f t="shared" ca="1" si="18"/>
        <v/>
      </c>
      <c r="Q150" s="37" t="str">
        <f t="shared" ca="1" si="19"/>
        <v/>
      </c>
      <c r="Z150" s="37"/>
      <c r="AB150" s="37" t="str">
        <f t="shared" si="20"/>
        <v/>
      </c>
    </row>
    <row r="151" spans="1:28" x14ac:dyDescent="0.25">
      <c r="A151" s="102"/>
      <c r="B151" s="33"/>
      <c r="C151" s="25"/>
      <c r="D151" s="26"/>
      <c r="E151" s="33"/>
      <c r="F151" s="25"/>
      <c r="G151" s="25"/>
      <c r="H151" s="117"/>
      <c r="I151" s="55"/>
      <c r="N151" s="37">
        <f ca="1"/>
        <v>46139</v>
      </c>
      <c r="O151" s="41">
        <f ca="1"/>
        <v>254.55</v>
      </c>
      <c r="P151" s="37" t="str">
        <f t="shared" ca="1" si="18"/>
        <v/>
      </c>
      <c r="Q151" s="37" t="str">
        <f t="shared" ca="1" si="19"/>
        <v/>
      </c>
      <c r="Z151" s="37"/>
      <c r="AB151" s="37" t="str">
        <f t="shared" si="20"/>
        <v/>
      </c>
    </row>
    <row r="152" spans="1:28" x14ac:dyDescent="0.25">
      <c r="A152" s="102"/>
      <c r="B152" s="33"/>
      <c r="C152" s="25"/>
      <c r="D152" s="26"/>
      <c r="E152" s="33"/>
      <c r="F152" s="25"/>
      <c r="G152" s="25"/>
      <c r="H152" s="117"/>
      <c r="I152" s="55"/>
      <c r="N152" s="37">
        <f ca="1"/>
        <v>46140</v>
      </c>
      <c r="O152" s="41">
        <f ca="1"/>
        <v>258.39999999999998</v>
      </c>
      <c r="P152" s="37" t="str">
        <f t="shared" ca="1" si="18"/>
        <v/>
      </c>
      <c r="Q152" s="37" t="str">
        <f t="shared" ca="1" si="19"/>
        <v/>
      </c>
      <c r="Z152" s="37"/>
      <c r="AB152" s="37" t="str">
        <f t="shared" si="20"/>
        <v/>
      </c>
    </row>
    <row r="153" spans="1:28" x14ac:dyDescent="0.25">
      <c r="A153" s="102"/>
      <c r="B153" s="33"/>
      <c r="C153" s="25"/>
      <c r="D153" s="26"/>
      <c r="E153" s="33"/>
      <c r="F153" s="25"/>
      <c r="G153" s="25"/>
      <c r="H153" s="117"/>
      <c r="I153" s="55"/>
      <c r="N153" s="37">
        <f ca="1"/>
        <v>46141</v>
      </c>
      <c r="O153" s="41">
        <f ca="1"/>
        <v>257.5</v>
      </c>
      <c r="P153" s="37" t="str">
        <f t="shared" ca="1" si="18"/>
        <v/>
      </c>
      <c r="Q153" s="37" t="str">
        <f t="shared" ca="1" si="19"/>
        <v/>
      </c>
      <c r="Z153" s="37"/>
      <c r="AB153" s="37" t="str">
        <f t="shared" si="20"/>
        <v/>
      </c>
    </row>
    <row r="154" spans="1:28" x14ac:dyDescent="0.25">
      <c r="A154" s="102"/>
      <c r="B154" s="33"/>
      <c r="C154" s="25"/>
      <c r="D154" s="26"/>
      <c r="E154" s="33"/>
      <c r="F154" s="25"/>
      <c r="G154" s="25"/>
      <c r="H154" s="117"/>
      <c r="I154" s="55"/>
      <c r="N154" s="37">
        <f ca="1"/>
        <v>46142</v>
      </c>
      <c r="O154" s="41">
        <f ca="1"/>
        <v>257.25</v>
      </c>
      <c r="P154" s="37" t="str">
        <f t="shared" ca="1" si="18"/>
        <v/>
      </c>
      <c r="Q154" s="37" t="str">
        <f t="shared" ca="1" si="19"/>
        <v/>
      </c>
      <c r="Z154" s="37"/>
      <c r="AB154" s="37" t="str">
        <f t="shared" si="20"/>
        <v/>
      </c>
    </row>
    <row r="155" spans="1:28" x14ac:dyDescent="0.25">
      <c r="A155" s="102"/>
      <c r="B155" s="33"/>
      <c r="C155" s="25"/>
      <c r="D155" s="26"/>
      <c r="E155" s="33"/>
      <c r="F155" s="25"/>
      <c r="G155" s="25"/>
      <c r="H155" s="117"/>
      <c r="I155" s="55"/>
      <c r="N155" s="37">
        <f ca="1"/>
        <v>46146</v>
      </c>
      <c r="O155" s="41">
        <f ca="1"/>
        <v>249.95</v>
      </c>
      <c r="P155" s="37" t="str">
        <f t="shared" ca="1" si="18"/>
        <v/>
      </c>
      <c r="Q155" s="37" t="str">
        <f t="shared" ca="1" si="19"/>
        <v/>
      </c>
      <c r="Z155" s="37"/>
      <c r="AB155" s="37" t="str">
        <f t="shared" si="20"/>
        <v/>
      </c>
    </row>
    <row r="156" spans="1:28" x14ac:dyDescent="0.25">
      <c r="A156" s="102"/>
      <c r="B156" s="33"/>
      <c r="C156" s="25"/>
      <c r="D156" s="26"/>
      <c r="E156" s="33"/>
      <c r="F156" s="25"/>
      <c r="G156" s="25"/>
      <c r="H156" s="117"/>
      <c r="I156" s="55"/>
      <c r="N156" s="37">
        <f ca="1"/>
        <v>46147</v>
      </c>
      <c r="O156" s="41">
        <f ca="1"/>
        <v>255.1</v>
      </c>
      <c r="P156" s="37" t="str">
        <f t="shared" ca="1" si="18"/>
        <v/>
      </c>
      <c r="Q156" s="37" t="str">
        <f t="shared" ca="1" si="19"/>
        <v/>
      </c>
      <c r="Z156" s="37"/>
      <c r="AB156" s="37" t="str">
        <f t="shared" si="20"/>
        <v/>
      </c>
    </row>
    <row r="157" spans="1:28" x14ac:dyDescent="0.25">
      <c r="A157" s="102"/>
      <c r="B157" s="33"/>
      <c r="C157" s="25"/>
      <c r="D157" s="26"/>
      <c r="E157" s="33"/>
      <c r="F157" s="25"/>
      <c r="G157" s="25"/>
      <c r="H157" s="117"/>
      <c r="I157" s="55"/>
      <c r="N157" s="37">
        <f ca="1"/>
        <v>46148</v>
      </c>
      <c r="O157" s="41">
        <f ca="1"/>
        <v>265.3</v>
      </c>
      <c r="P157" s="37" t="str">
        <f t="shared" ca="1" si="18"/>
        <v/>
      </c>
      <c r="Q157" s="37" t="str">
        <f t="shared" ca="1" si="19"/>
        <v/>
      </c>
      <c r="Z157" s="37"/>
      <c r="AB157" s="37" t="str">
        <f t="shared" si="20"/>
        <v/>
      </c>
    </row>
    <row r="158" spans="1:28" x14ac:dyDescent="0.25">
      <c r="A158" s="102"/>
      <c r="B158" s="33"/>
      <c r="C158" s="25"/>
      <c r="D158" s="26"/>
      <c r="E158" s="33"/>
      <c r="F158" s="25"/>
      <c r="G158" s="25"/>
      <c r="H158" s="117"/>
      <c r="I158" s="55"/>
      <c r="N158" s="37">
        <f ca="1"/>
        <v>46149</v>
      </c>
      <c r="O158" s="41">
        <f ca="1"/>
        <v>264.60000000000002</v>
      </c>
      <c r="P158" s="37" t="str">
        <f t="shared" ca="1" si="18"/>
        <v/>
      </c>
      <c r="Q158" s="37" t="str">
        <f t="shared" ca="1" si="19"/>
        <v/>
      </c>
      <c r="Z158" s="37"/>
      <c r="AB158" s="37" t="str">
        <f t="shared" si="20"/>
        <v/>
      </c>
    </row>
    <row r="159" spans="1:28" x14ac:dyDescent="0.25">
      <c r="A159" s="102"/>
      <c r="B159" s="33"/>
      <c r="C159" s="25"/>
      <c r="D159" s="26"/>
      <c r="E159" s="33"/>
      <c r="F159" s="25"/>
      <c r="G159" s="25"/>
      <c r="H159" s="117"/>
      <c r="I159" s="55"/>
      <c r="N159" s="37">
        <f ca="1"/>
        <v>46150</v>
      </c>
      <c r="O159" s="41">
        <f ca="1"/>
        <v>261.35000000000002</v>
      </c>
      <c r="P159" s="37" t="str">
        <f t="shared" ca="1" si="18"/>
        <v/>
      </c>
      <c r="Q159" s="37" t="str">
        <f t="shared" ca="1" si="19"/>
        <v/>
      </c>
      <c r="Z159" s="37"/>
      <c r="AB159" s="37" t="str">
        <f t="shared" si="20"/>
        <v/>
      </c>
    </row>
    <row r="160" spans="1:28" x14ac:dyDescent="0.25">
      <c r="A160" s="102"/>
      <c r="B160" s="33"/>
      <c r="C160" s="25"/>
      <c r="D160" s="26"/>
      <c r="E160" s="33"/>
      <c r="F160" s="25"/>
      <c r="G160" s="25"/>
      <c r="H160" s="117"/>
      <c r="I160" s="55"/>
      <c r="N160" s="37">
        <f ca="1"/>
        <v>46153</v>
      </c>
      <c r="O160" s="41">
        <f ca="1"/>
        <v>262.35000000000002</v>
      </c>
      <c r="P160" s="37" t="str">
        <f t="shared" ca="1" si="18"/>
        <v/>
      </c>
      <c r="Q160" s="37" t="str">
        <f t="shared" ca="1" si="19"/>
        <v/>
      </c>
      <c r="Z160" s="37"/>
      <c r="AB160" s="37" t="str">
        <f t="shared" si="20"/>
        <v/>
      </c>
    </row>
    <row r="161" spans="1:28" x14ac:dyDescent="0.25">
      <c r="A161" s="102"/>
      <c r="B161" s="33"/>
      <c r="C161" s="25"/>
      <c r="D161" s="26"/>
      <c r="E161" s="33"/>
      <c r="F161" s="25"/>
      <c r="G161" s="25"/>
      <c r="H161" s="117"/>
      <c r="I161" s="55"/>
      <c r="N161" s="37">
        <f ca="1"/>
        <v>46154</v>
      </c>
      <c r="O161" s="41">
        <f ca="1"/>
        <v>258.14999999999998</v>
      </c>
      <c r="P161" s="37" t="str">
        <f t="shared" ca="1" si="18"/>
        <v/>
      </c>
      <c r="Q161" s="37" t="str">
        <f t="shared" ca="1" si="19"/>
        <v/>
      </c>
      <c r="Z161" s="37"/>
      <c r="AB161" s="37" t="str">
        <f t="shared" si="20"/>
        <v/>
      </c>
    </row>
    <row r="162" spans="1:28" x14ac:dyDescent="0.25">
      <c r="A162" s="102"/>
      <c r="B162" s="33"/>
      <c r="C162" s="25"/>
      <c r="D162" s="26"/>
      <c r="E162" s="33"/>
      <c r="F162" s="25"/>
      <c r="G162" s="25"/>
      <c r="H162" s="117"/>
      <c r="I162" s="55"/>
      <c r="N162" s="37">
        <f ca="1"/>
        <v>46155</v>
      </c>
      <c r="O162" s="41">
        <f ca="1"/>
        <v>259.64999999999998</v>
      </c>
      <c r="P162" s="37" t="str">
        <f t="shared" ca="1" si="18"/>
        <v/>
      </c>
      <c r="Q162" s="37" t="str">
        <f t="shared" ca="1" si="19"/>
        <v/>
      </c>
      <c r="Z162" s="37"/>
      <c r="AB162" s="37" t="str">
        <f t="shared" si="20"/>
        <v/>
      </c>
    </row>
    <row r="163" spans="1:28" x14ac:dyDescent="0.25">
      <c r="A163" s="102"/>
      <c r="B163" s="33"/>
      <c r="C163" s="25"/>
      <c r="D163" s="26"/>
      <c r="E163" s="33"/>
      <c r="F163" s="25"/>
      <c r="G163" s="25"/>
      <c r="H163" s="117"/>
      <c r="I163" s="55"/>
      <c r="N163" s="37">
        <f ca="1"/>
        <v>46156</v>
      </c>
      <c r="O163" s="41">
        <f ca="1"/>
        <v>263</v>
      </c>
      <c r="P163" s="37" t="str">
        <f t="shared" ca="1" si="18"/>
        <v/>
      </c>
      <c r="Q163" s="37" t="str">
        <f t="shared" ca="1" si="19"/>
        <v/>
      </c>
      <c r="Z163" s="37"/>
      <c r="AB163" s="37" t="str">
        <f t="shared" si="20"/>
        <v/>
      </c>
    </row>
    <row r="164" spans="1:28" x14ac:dyDescent="0.25">
      <c r="A164" s="102"/>
      <c r="B164" s="33"/>
      <c r="C164" s="25"/>
      <c r="D164" s="26"/>
      <c r="E164" s="33"/>
      <c r="F164" s="25"/>
      <c r="G164" s="25"/>
      <c r="H164" s="117"/>
      <c r="I164" s="55"/>
      <c r="N164" s="37">
        <f ca="1"/>
        <v>46157</v>
      </c>
      <c r="O164" s="41">
        <f ca="1"/>
        <v>258.5</v>
      </c>
      <c r="P164" s="37" t="str">
        <f t="shared" ca="1" si="18"/>
        <v/>
      </c>
      <c r="Q164" s="37" t="str">
        <f t="shared" ca="1" si="19"/>
        <v/>
      </c>
      <c r="Z164" s="37"/>
      <c r="AB164" s="37" t="str">
        <f t="shared" si="20"/>
        <v/>
      </c>
    </row>
    <row r="165" spans="1:28" x14ac:dyDescent="0.25">
      <c r="A165" s="102"/>
      <c r="B165" s="33"/>
      <c r="C165" s="25"/>
      <c r="D165" s="26"/>
      <c r="E165" s="33"/>
      <c r="F165" s="25"/>
      <c r="G165" s="25"/>
      <c r="H165" s="117"/>
      <c r="I165" s="55"/>
      <c r="N165" s="37">
        <f ca="1"/>
        <v>46160</v>
      </c>
      <c r="O165" s="41">
        <f ca="1"/>
        <v>258.89999999999998</v>
      </c>
      <c r="P165" s="37" t="str">
        <f t="shared" ca="1" si="18"/>
        <v/>
      </c>
      <c r="Q165" s="37" t="str">
        <f t="shared" ca="1" si="19"/>
        <v/>
      </c>
      <c r="Z165" s="37"/>
      <c r="AB165" s="37" t="str">
        <f t="shared" si="20"/>
        <v/>
      </c>
    </row>
    <row r="166" spans="1:28" x14ac:dyDescent="0.25">
      <c r="A166" s="102"/>
      <c r="B166" s="33"/>
      <c r="C166" s="25"/>
      <c r="D166" s="26"/>
      <c r="E166" s="33"/>
      <c r="F166" s="25"/>
      <c r="G166" s="25"/>
      <c r="H166" s="117"/>
      <c r="I166" s="55"/>
      <c r="N166" s="37">
        <f ca="1"/>
        <v>46161</v>
      </c>
      <c r="O166" s="41">
        <f ca="1"/>
        <v>259.75</v>
      </c>
      <c r="P166" s="37" t="str">
        <f t="shared" ca="1" si="18"/>
        <v/>
      </c>
      <c r="Q166" s="37" t="str">
        <f t="shared" ca="1" si="19"/>
        <v/>
      </c>
      <c r="Z166" s="37"/>
      <c r="AB166" s="37" t="str">
        <f t="shared" si="20"/>
        <v/>
      </c>
    </row>
    <row r="167" spans="1:28" x14ac:dyDescent="0.25">
      <c r="A167" s="102"/>
      <c r="B167" s="33"/>
      <c r="C167" s="25"/>
      <c r="D167" s="26"/>
      <c r="E167" s="33"/>
      <c r="F167" s="25"/>
      <c r="G167" s="25"/>
      <c r="H167" s="117"/>
      <c r="I167" s="55"/>
      <c r="N167" s="37">
        <f ca="1"/>
        <v>46162</v>
      </c>
      <c r="O167" s="41">
        <f ca="1"/>
        <v>266.3</v>
      </c>
      <c r="P167" s="37" t="str">
        <f t="shared" ca="1" si="18"/>
        <v/>
      </c>
      <c r="Q167" s="37" t="str">
        <f t="shared" ca="1" si="19"/>
        <v/>
      </c>
      <c r="Z167" s="37"/>
      <c r="AB167" s="37" t="str">
        <f t="shared" si="20"/>
        <v/>
      </c>
    </row>
    <row r="168" spans="1:28" x14ac:dyDescent="0.25">
      <c r="A168" s="102"/>
      <c r="B168" s="33"/>
      <c r="C168" s="25"/>
      <c r="D168" s="26"/>
      <c r="E168" s="33"/>
      <c r="F168" s="25"/>
      <c r="G168" s="25"/>
      <c r="H168" s="117"/>
      <c r="I168" s="55"/>
      <c r="N168" s="37">
        <f ca="1"/>
        <v>46163</v>
      </c>
      <c r="O168" s="41">
        <f ca="1"/>
        <v>265.3</v>
      </c>
      <c r="P168" s="37" t="str">
        <f t="shared" ca="1" si="18"/>
        <v/>
      </c>
      <c r="Q168" s="37" t="str">
        <f t="shared" ca="1" si="19"/>
        <v/>
      </c>
      <c r="Z168" s="37"/>
      <c r="AB168" s="37" t="str">
        <f t="shared" si="20"/>
        <v/>
      </c>
    </row>
    <row r="169" spans="1:28" x14ac:dyDescent="0.25">
      <c r="A169" s="102"/>
      <c r="B169" s="33"/>
      <c r="C169" s="25"/>
      <c r="D169" s="26"/>
      <c r="E169" s="33"/>
      <c r="F169" s="25"/>
      <c r="G169" s="25"/>
      <c r="H169" s="117"/>
      <c r="I169" s="55"/>
      <c r="N169" s="37">
        <f ca="1"/>
        <v>46164</v>
      </c>
      <c r="O169" s="41">
        <f ca="1"/>
        <v>267.39999999999998</v>
      </c>
      <c r="P169" s="37" t="str">
        <f t="shared" ca="1" si="18"/>
        <v/>
      </c>
      <c r="Q169" s="37" t="str">
        <f t="shared" ca="1" si="19"/>
        <v/>
      </c>
      <c r="Z169" s="37"/>
      <c r="AB169" s="37" t="str">
        <f t="shared" si="20"/>
        <v/>
      </c>
    </row>
    <row r="170" spans="1:28" x14ac:dyDescent="0.25">
      <c r="A170" s="102"/>
      <c r="B170" s="33"/>
      <c r="C170" s="25"/>
      <c r="D170" s="26"/>
      <c r="E170" s="33"/>
      <c r="F170" s="25"/>
      <c r="G170" s="25"/>
      <c r="H170" s="117"/>
      <c r="I170" s="55"/>
      <c r="N170" s="37">
        <f ca="1"/>
        <v>46167</v>
      </c>
      <c r="O170" s="41">
        <f ca="1"/>
        <v>275.05</v>
      </c>
      <c r="P170" s="37" t="str">
        <f t="shared" ca="1" si="18"/>
        <v/>
      </c>
      <c r="Q170" s="37" t="str">
        <f t="shared" ca="1" si="19"/>
        <v/>
      </c>
      <c r="Z170" s="37"/>
      <c r="AB170" s="37" t="str">
        <f t="shared" si="20"/>
        <v/>
      </c>
    </row>
    <row r="171" spans="1:28" x14ac:dyDescent="0.25">
      <c r="A171" s="102"/>
      <c r="B171" s="33"/>
      <c r="C171" s="25"/>
      <c r="D171" s="26"/>
      <c r="E171" s="33"/>
      <c r="F171" s="25"/>
      <c r="G171" s="25"/>
      <c r="H171" s="117"/>
      <c r="I171" s="55"/>
      <c r="N171" s="37">
        <f ca="1"/>
        <v>46168</v>
      </c>
      <c r="O171" s="41">
        <f ca="1"/>
        <v>272.25</v>
      </c>
      <c r="P171" s="37" t="str">
        <f t="shared" ca="1" si="18"/>
        <v/>
      </c>
      <c r="Q171" s="37" t="str">
        <f t="shared" ca="1" si="19"/>
        <v/>
      </c>
      <c r="Z171" s="37"/>
      <c r="AB171" s="37" t="str">
        <f t="shared" si="20"/>
        <v/>
      </c>
    </row>
    <row r="172" spans="1:28" x14ac:dyDescent="0.25">
      <c r="A172" s="102"/>
      <c r="B172" s="33"/>
      <c r="C172" s="25"/>
      <c r="D172" s="26"/>
      <c r="E172" s="33"/>
      <c r="F172" s="25"/>
      <c r="G172" s="25"/>
      <c r="H172" s="117"/>
      <c r="I172" s="55"/>
      <c r="N172" s="37">
        <f ca="1"/>
        <v>46169</v>
      </c>
      <c r="O172" s="41">
        <f ca="1"/>
        <v>273</v>
      </c>
      <c r="P172" s="37" t="str">
        <f t="shared" ca="1" si="18"/>
        <v/>
      </c>
      <c r="Q172" s="37" t="str">
        <f t="shared" ca="1" si="19"/>
        <v/>
      </c>
      <c r="Z172" s="37"/>
      <c r="AB172" s="37" t="str">
        <f t="shared" si="20"/>
        <v/>
      </c>
    </row>
    <row r="173" spans="1:28" x14ac:dyDescent="0.25">
      <c r="A173" s="102"/>
      <c r="B173" s="33"/>
      <c r="C173" s="25"/>
      <c r="D173" s="26"/>
      <c r="E173" s="33"/>
      <c r="F173" s="25"/>
      <c r="G173" s="25"/>
      <c r="H173" s="117"/>
      <c r="I173" s="55"/>
      <c r="N173" s="37">
        <f ca="1"/>
        <v>46170</v>
      </c>
      <c r="O173" s="41">
        <f ca="1"/>
        <v>270.55</v>
      </c>
      <c r="P173" s="37" t="str">
        <f t="shared" ca="1" si="18"/>
        <v/>
      </c>
      <c r="Q173" s="37" t="str">
        <f t="shared" ca="1" si="19"/>
        <v/>
      </c>
      <c r="Z173" s="37"/>
      <c r="AB173" s="37" t="str">
        <f t="shared" si="20"/>
        <v/>
      </c>
    </row>
    <row r="174" spans="1:28" x14ac:dyDescent="0.25">
      <c r="A174" s="102"/>
      <c r="B174" s="33"/>
      <c r="C174" s="25"/>
      <c r="D174" s="26"/>
      <c r="E174" s="33"/>
      <c r="F174" s="25"/>
      <c r="G174" s="25"/>
      <c r="H174" s="117"/>
      <c r="I174" s="55"/>
      <c r="N174" s="37">
        <f ca="1"/>
        <v>46171</v>
      </c>
      <c r="O174" s="41">
        <f ca="1"/>
        <v>273.95</v>
      </c>
      <c r="P174" s="37" t="str">
        <f t="shared" ca="1" si="18"/>
        <v/>
      </c>
      <c r="Q174" s="37" t="str">
        <f t="shared" ca="1" si="19"/>
        <v/>
      </c>
      <c r="Z174" s="37"/>
      <c r="AB174" s="37" t="str">
        <f t="shared" si="20"/>
        <v/>
      </c>
    </row>
    <row r="175" spans="1:28" x14ac:dyDescent="0.25">
      <c r="A175" s="102"/>
      <c r="B175" s="33"/>
      <c r="C175" s="25"/>
      <c r="D175" s="26"/>
      <c r="E175" s="33"/>
      <c r="F175" s="25"/>
      <c r="G175" s="25"/>
      <c r="H175" s="117"/>
      <c r="I175" s="55"/>
      <c r="N175" s="37">
        <f ca="1"/>
        <v>46174</v>
      </c>
      <c r="O175" s="41">
        <f ca="1"/>
        <v>270.3</v>
      </c>
      <c r="P175" s="37" t="str">
        <f t="shared" ca="1" si="18"/>
        <v/>
      </c>
      <c r="Q175" s="37" t="str">
        <f t="shared" ca="1" si="19"/>
        <v/>
      </c>
      <c r="Z175" s="37"/>
      <c r="AB175" s="37" t="str">
        <f t="shared" si="20"/>
        <v/>
      </c>
    </row>
    <row r="176" spans="1:28" x14ac:dyDescent="0.25">
      <c r="A176" s="102"/>
      <c r="B176" s="33"/>
      <c r="C176" s="25"/>
      <c r="D176" s="26"/>
      <c r="E176" s="33"/>
      <c r="F176" s="25"/>
      <c r="G176" s="25"/>
      <c r="H176" s="117"/>
      <c r="I176" s="55"/>
      <c r="N176" s="37">
        <f ca="1"/>
        <v>46175</v>
      </c>
      <c r="O176" s="41">
        <f ca="1"/>
        <v>273.05</v>
      </c>
      <c r="P176" s="37" t="str">
        <f t="shared" ca="1" si="18"/>
        <v/>
      </c>
      <c r="Q176" s="37" t="str">
        <f t="shared" ca="1" si="19"/>
        <v/>
      </c>
      <c r="Z176" s="37"/>
      <c r="AB176" s="37" t="str">
        <f t="shared" si="20"/>
        <v/>
      </c>
    </row>
    <row r="177" spans="1:28" x14ac:dyDescent="0.25">
      <c r="A177" s="102"/>
      <c r="B177" s="33"/>
      <c r="C177" s="25"/>
      <c r="D177" s="26"/>
      <c r="E177" s="33"/>
      <c r="F177" s="25"/>
      <c r="G177" s="25"/>
      <c r="H177" s="117"/>
      <c r="I177" s="55"/>
      <c r="N177" s="37">
        <f ca="1"/>
        <v>46176</v>
      </c>
      <c r="O177" s="41">
        <f ca="1"/>
        <v>269.2</v>
      </c>
      <c r="P177" s="37" t="str">
        <f t="shared" ca="1" si="18"/>
        <v/>
      </c>
      <c r="Q177" s="37" t="str">
        <f t="shared" ca="1" si="19"/>
        <v/>
      </c>
      <c r="Z177" s="37"/>
      <c r="AB177" s="37" t="str">
        <f t="shared" si="20"/>
        <v/>
      </c>
    </row>
    <row r="178" spans="1:28" x14ac:dyDescent="0.25">
      <c r="A178" s="102"/>
      <c r="B178" s="33"/>
      <c r="C178" s="25"/>
      <c r="D178" s="26"/>
      <c r="E178" s="33"/>
      <c r="F178" s="25"/>
      <c r="G178" s="25"/>
      <c r="H178" s="117"/>
      <c r="I178" s="55"/>
      <c r="N178" s="37">
        <f ca="1"/>
        <v>46177</v>
      </c>
      <c r="O178" s="41">
        <f ca="1"/>
        <v>270.85000000000002</v>
      </c>
      <c r="P178" s="37" t="str">
        <f t="shared" ca="1" si="18"/>
        <v/>
      </c>
      <c r="Q178" s="37" t="str">
        <f t="shared" ca="1" si="19"/>
        <v/>
      </c>
      <c r="Z178" s="37"/>
      <c r="AB178" s="37" t="str">
        <f t="shared" si="20"/>
        <v/>
      </c>
    </row>
    <row r="179" spans="1:28" x14ac:dyDescent="0.25">
      <c r="A179" s="102"/>
      <c r="B179" s="33"/>
      <c r="C179" s="25"/>
      <c r="D179" s="26"/>
      <c r="E179" s="33"/>
      <c r="F179" s="25"/>
      <c r="G179" s="25"/>
      <c r="H179" s="117"/>
      <c r="I179" s="55"/>
      <c r="N179" s="37">
        <f ca="1"/>
        <v>46178</v>
      </c>
      <c r="O179" s="41">
        <f ca="1"/>
        <v>269.64999999999998</v>
      </c>
      <c r="P179" s="37" t="str">
        <f t="shared" ca="1" si="18"/>
        <v/>
      </c>
      <c r="Q179" s="37" t="str">
        <f t="shared" ca="1" si="19"/>
        <v/>
      </c>
      <c r="Z179" s="37"/>
      <c r="AB179" s="37" t="str">
        <f t="shared" si="20"/>
        <v/>
      </c>
    </row>
    <row r="180" spans="1:28" x14ac:dyDescent="0.25">
      <c r="A180" s="102"/>
      <c r="B180" s="33"/>
      <c r="C180" s="25"/>
      <c r="D180" s="26"/>
      <c r="E180" s="33"/>
      <c r="F180" s="25"/>
      <c r="G180" s="25"/>
      <c r="H180" s="117"/>
      <c r="I180" s="55"/>
      <c r="N180" s="37">
        <f ca="1"/>
        <v>46181</v>
      </c>
      <c r="O180" s="41">
        <f ca="1"/>
        <v>268.45</v>
      </c>
      <c r="P180" s="37" t="str">
        <f t="shared" ca="1" si="18"/>
        <v/>
      </c>
      <c r="Q180" s="37" t="str">
        <f t="shared" ca="1" si="19"/>
        <v/>
      </c>
      <c r="Z180" s="37"/>
      <c r="AB180" s="37" t="str">
        <f t="shared" si="20"/>
        <v/>
      </c>
    </row>
    <row r="181" spans="1:28" x14ac:dyDescent="0.25">
      <c r="A181" s="102"/>
      <c r="B181" s="33"/>
      <c r="C181" s="25"/>
      <c r="D181" s="26"/>
      <c r="E181" s="33"/>
      <c r="F181" s="25"/>
      <c r="G181" s="25"/>
      <c r="H181" s="117"/>
      <c r="I181" s="55"/>
      <c r="N181" s="37">
        <f ca="1"/>
        <v>46182</v>
      </c>
      <c r="O181" s="41">
        <f ca="1"/>
        <v>268.2</v>
      </c>
      <c r="P181" s="37" t="str">
        <f t="shared" ca="1" si="18"/>
        <v/>
      </c>
      <c r="Q181" s="37" t="str">
        <f t="shared" ca="1" si="19"/>
        <v/>
      </c>
      <c r="Z181" s="37"/>
      <c r="AB181" s="37" t="str">
        <f t="shared" si="20"/>
        <v/>
      </c>
    </row>
    <row r="182" spans="1:28" x14ac:dyDescent="0.25">
      <c r="A182" s="102"/>
      <c r="B182" s="33"/>
      <c r="C182" s="25"/>
      <c r="D182" s="26"/>
      <c r="E182" s="33"/>
      <c r="F182" s="25"/>
      <c r="G182" s="25"/>
      <c r="H182" s="117"/>
      <c r="I182" s="55"/>
      <c r="N182" s="37">
        <f ca="1"/>
        <v>46183</v>
      </c>
      <c r="O182" s="41">
        <f ca="1"/>
        <v>266.35000000000002</v>
      </c>
      <c r="P182" s="37" t="str">
        <f t="shared" ca="1" si="18"/>
        <v/>
      </c>
      <c r="Q182" s="37" t="str">
        <f t="shared" ca="1" si="19"/>
        <v/>
      </c>
      <c r="Z182" s="37"/>
      <c r="AB182" s="37" t="str">
        <f t="shared" si="20"/>
        <v/>
      </c>
    </row>
    <row r="183" spans="1:28" x14ac:dyDescent="0.25">
      <c r="A183" s="102"/>
      <c r="B183" s="33"/>
      <c r="C183" s="25"/>
      <c r="D183" s="26"/>
      <c r="E183" s="33"/>
      <c r="F183" s="25"/>
      <c r="G183" s="25"/>
      <c r="H183" s="117"/>
      <c r="I183" s="55"/>
      <c r="N183" s="37">
        <f ca="1"/>
        <v>46184</v>
      </c>
      <c r="O183" s="41">
        <f ca="1"/>
        <v>267.05</v>
      </c>
      <c r="P183" s="37" t="str">
        <f t="shared" ca="1" si="18"/>
        <v/>
      </c>
      <c r="Q183" s="37" t="str">
        <f t="shared" ca="1" si="19"/>
        <v/>
      </c>
      <c r="Z183" s="37"/>
      <c r="AB183" s="37" t="str">
        <f t="shared" si="20"/>
        <v/>
      </c>
    </row>
    <row r="184" spans="1:28" x14ac:dyDescent="0.25">
      <c r="A184" s="102"/>
      <c r="B184" s="33"/>
      <c r="C184" s="25"/>
      <c r="D184" s="26"/>
      <c r="E184" s="33"/>
      <c r="F184" s="25"/>
      <c r="G184" s="25"/>
      <c r="H184" s="117"/>
      <c r="I184" s="55"/>
      <c r="N184" s="37">
        <f ca="1"/>
        <v>46185</v>
      </c>
      <c r="O184" s="41">
        <f ca="1"/>
        <v>277.55</v>
      </c>
      <c r="P184" s="37" t="str">
        <f t="shared" ca="1" si="18"/>
        <v/>
      </c>
      <c r="Q184" s="37" t="str">
        <f t="shared" ca="1" si="19"/>
        <v/>
      </c>
      <c r="Z184" s="37"/>
      <c r="AB184" s="37" t="str">
        <f t="shared" si="20"/>
        <v/>
      </c>
    </row>
    <row r="185" spans="1:28" x14ac:dyDescent="0.25">
      <c r="A185" s="102"/>
      <c r="B185" s="33"/>
      <c r="C185" s="25"/>
      <c r="D185" s="26"/>
      <c r="E185" s="33"/>
      <c r="F185" s="25"/>
      <c r="G185" s="25"/>
      <c r="H185" s="117"/>
      <c r="I185" s="55"/>
      <c r="N185" s="37">
        <f ca="1"/>
        <v>46188</v>
      </c>
      <c r="O185" s="41">
        <f ca="1"/>
        <v>284.14999999999998</v>
      </c>
      <c r="P185" s="37" t="str">
        <f t="shared" ca="1" si="18"/>
        <v/>
      </c>
      <c r="Q185" s="37" t="str">
        <f t="shared" ca="1" si="19"/>
        <v/>
      </c>
      <c r="Z185" s="37"/>
      <c r="AB185" s="37" t="str">
        <f t="shared" si="20"/>
        <v/>
      </c>
    </row>
    <row r="186" spans="1:28" x14ac:dyDescent="0.25">
      <c r="A186" s="102"/>
      <c r="B186" s="33"/>
      <c r="C186" s="25"/>
      <c r="D186" s="26"/>
      <c r="E186" s="33"/>
      <c r="F186" s="25"/>
      <c r="G186" s="25"/>
      <c r="H186" s="117"/>
      <c r="I186" s="55"/>
      <c r="N186" s="37">
        <f ca="1"/>
        <v>46189</v>
      </c>
      <c r="O186" s="41">
        <f ca="1"/>
        <v>289.14999999999998</v>
      </c>
      <c r="P186" s="37" t="str">
        <f t="shared" ca="1" si="18"/>
        <v/>
      </c>
      <c r="Q186" s="37" t="str">
        <f t="shared" ca="1" si="19"/>
        <v/>
      </c>
      <c r="Z186" s="37"/>
      <c r="AB186" s="37" t="str">
        <f t="shared" si="20"/>
        <v/>
      </c>
    </row>
    <row r="187" spans="1:28" x14ac:dyDescent="0.25">
      <c r="A187" s="102"/>
      <c r="B187" s="33"/>
      <c r="C187" s="25"/>
      <c r="D187" s="26"/>
      <c r="E187" s="33"/>
      <c r="F187" s="25"/>
      <c r="G187" s="25"/>
      <c r="H187" s="117"/>
      <c r="I187" s="55"/>
      <c r="N187" s="37">
        <f ca="1"/>
        <v>46190</v>
      </c>
      <c r="O187" s="41">
        <f ca="1"/>
        <v>294.39999999999998</v>
      </c>
      <c r="P187" s="37" t="str">
        <f t="shared" ca="1" si="18"/>
        <v/>
      </c>
      <c r="Q187" s="37" t="str">
        <f t="shared" ca="1" si="19"/>
        <v/>
      </c>
      <c r="Z187" s="37"/>
      <c r="AB187" s="37" t="str">
        <f t="shared" si="20"/>
        <v/>
      </c>
    </row>
    <row r="188" spans="1:28" x14ac:dyDescent="0.25">
      <c r="A188" s="102"/>
      <c r="B188" s="33"/>
      <c r="C188" s="25"/>
      <c r="D188" s="26"/>
      <c r="E188" s="33"/>
      <c r="F188" s="25"/>
      <c r="G188" s="25"/>
      <c r="H188" s="117"/>
      <c r="I188" s="55"/>
      <c r="P188" s="37" t="str">
        <f t="shared" ca="1" si="18"/>
        <v/>
      </c>
      <c r="Q188" s="37" t="str">
        <f t="shared" ca="1" si="19"/>
        <v/>
      </c>
      <c r="Z188" s="37"/>
      <c r="AB188" s="37" t="str">
        <f t="shared" si="20"/>
        <v/>
      </c>
    </row>
    <row r="189" spans="1:28" x14ac:dyDescent="0.25">
      <c r="A189" s="102"/>
      <c r="B189" s="33"/>
      <c r="C189" s="25"/>
      <c r="D189" s="26"/>
      <c r="E189" s="33"/>
      <c r="F189" s="25"/>
      <c r="G189" s="25"/>
      <c r="H189" s="117"/>
      <c r="I189" s="55"/>
      <c r="P189" s="37" t="str">
        <f t="shared" ca="1" si="18"/>
        <v/>
      </c>
      <c r="Q189" s="37" t="str">
        <f t="shared" ca="1" si="19"/>
        <v/>
      </c>
      <c r="Z189" s="37"/>
      <c r="AB189" s="37" t="str">
        <f t="shared" si="20"/>
        <v/>
      </c>
    </row>
    <row r="190" spans="1:28" x14ac:dyDescent="0.25">
      <c r="A190" s="102"/>
      <c r="B190" s="33"/>
      <c r="C190" s="25"/>
      <c r="D190" s="26"/>
      <c r="E190" s="33"/>
      <c r="F190" s="25"/>
      <c r="G190" s="25"/>
      <c r="H190" s="117"/>
      <c r="I190" s="55"/>
      <c r="P190" s="37" t="str">
        <f t="shared" ca="1" si="18"/>
        <v/>
      </c>
      <c r="Q190" s="37" t="str">
        <f t="shared" ca="1" si="19"/>
        <v/>
      </c>
      <c r="Z190" s="37"/>
      <c r="AB190" s="37" t="str">
        <f t="shared" si="20"/>
        <v/>
      </c>
    </row>
    <row r="191" spans="1:28" x14ac:dyDescent="0.25">
      <c r="A191" s="102"/>
      <c r="B191" s="33"/>
      <c r="C191" s="25"/>
      <c r="D191" s="26"/>
      <c r="E191" s="33"/>
      <c r="F191" s="25"/>
      <c r="G191" s="25"/>
      <c r="H191" s="117"/>
      <c r="I191" s="55"/>
      <c r="P191" s="37" t="str">
        <f t="shared" ca="1" si="18"/>
        <v/>
      </c>
      <c r="Q191" s="37" t="str">
        <f t="shared" ca="1" si="19"/>
        <v/>
      </c>
      <c r="Z191" s="37"/>
      <c r="AB191" s="37" t="str">
        <f t="shared" si="20"/>
        <v/>
      </c>
    </row>
    <row r="192" spans="1:28" x14ac:dyDescent="0.25">
      <c r="A192" s="102"/>
      <c r="B192" s="33"/>
      <c r="C192" s="25"/>
      <c r="D192" s="26"/>
      <c r="E192" s="33"/>
      <c r="F192" s="25"/>
      <c r="G192" s="25"/>
      <c r="H192" s="117"/>
      <c r="I192" s="55"/>
      <c r="P192" s="37" t="str">
        <f t="shared" ca="1" si="18"/>
        <v/>
      </c>
      <c r="Q192" s="37" t="str">
        <f t="shared" ca="1" si="19"/>
        <v/>
      </c>
      <c r="Z192" s="37"/>
      <c r="AB192" s="37" t="str">
        <f t="shared" si="20"/>
        <v/>
      </c>
    </row>
    <row r="193" spans="1:28" x14ac:dyDescent="0.25">
      <c r="A193" s="102"/>
      <c r="B193" s="33"/>
      <c r="C193" s="25"/>
      <c r="D193" s="26"/>
      <c r="E193" s="33"/>
      <c r="F193" s="25"/>
      <c r="G193" s="25"/>
      <c r="H193" s="117"/>
      <c r="I193" s="55"/>
      <c r="P193" s="37" t="str">
        <f t="shared" ca="1" si="18"/>
        <v/>
      </c>
      <c r="Q193" s="37" t="str">
        <f t="shared" ca="1" si="19"/>
        <v/>
      </c>
      <c r="Z193" s="37"/>
      <c r="AB193" s="37" t="str">
        <f t="shared" si="20"/>
        <v/>
      </c>
    </row>
    <row r="194" spans="1:28" x14ac:dyDescent="0.25">
      <c r="A194" s="102"/>
      <c r="B194" s="33"/>
      <c r="C194" s="25"/>
      <c r="D194" s="26"/>
      <c r="E194" s="33"/>
      <c r="F194" s="25"/>
      <c r="G194" s="25"/>
      <c r="H194" s="117"/>
      <c r="I194" s="55"/>
      <c r="P194" s="37" t="str">
        <f t="shared" ca="1" si="18"/>
        <v/>
      </c>
      <c r="Q194" s="37" t="str">
        <f t="shared" ca="1" si="19"/>
        <v/>
      </c>
      <c r="Z194" s="37"/>
      <c r="AB194" s="37" t="str">
        <f t="shared" si="20"/>
        <v/>
      </c>
    </row>
    <row r="195" spans="1:28" x14ac:dyDescent="0.25">
      <c r="A195" s="102"/>
      <c r="B195" s="33"/>
      <c r="C195" s="25"/>
      <c r="D195" s="26"/>
      <c r="E195" s="33"/>
      <c r="F195" s="25"/>
      <c r="G195" s="25"/>
      <c r="H195" s="117"/>
      <c r="I195" s="55"/>
      <c r="P195" s="37" t="str">
        <f t="shared" ca="1" si="18"/>
        <v/>
      </c>
      <c r="Q195" s="37" t="str">
        <f t="shared" ca="1" si="19"/>
        <v/>
      </c>
      <c r="Z195" s="37"/>
      <c r="AB195" s="37" t="str">
        <f t="shared" si="20"/>
        <v/>
      </c>
    </row>
    <row r="196" spans="1:28" x14ac:dyDescent="0.25">
      <c r="A196" s="102"/>
      <c r="B196" s="33"/>
      <c r="C196" s="25"/>
      <c r="D196" s="26"/>
      <c r="E196" s="33"/>
      <c r="F196" s="25"/>
      <c r="G196" s="25"/>
      <c r="H196" s="117"/>
      <c r="I196" s="55"/>
      <c r="P196" s="37" t="str">
        <f t="shared" ref="P196:P259" ca="1" si="21">IF(COUNTIF(N:N,L196),L196,"")</f>
        <v/>
      </c>
      <c r="Q196" s="37" t="str">
        <f t="shared" ref="Q196:Q259" ca="1" si="22">IF(P196&gt;$A$14,P196,"")</f>
        <v/>
      </c>
      <c r="Z196" s="37"/>
      <c r="AB196" s="37" t="str">
        <f t="shared" ref="AB196:AB259" si="23">IF(COUNTIF(Z:Z,X196),X196,"")</f>
        <v/>
      </c>
    </row>
    <row r="197" spans="1:28" x14ac:dyDescent="0.25">
      <c r="A197" s="102"/>
      <c r="B197" s="33"/>
      <c r="C197" s="25"/>
      <c r="D197" s="26"/>
      <c r="E197" s="33"/>
      <c r="F197" s="25"/>
      <c r="G197" s="25"/>
      <c r="H197" s="117"/>
      <c r="I197" s="55"/>
      <c r="P197" s="37" t="str">
        <f t="shared" ca="1" si="21"/>
        <v/>
      </c>
      <c r="Q197" s="37" t="str">
        <f t="shared" ca="1" si="22"/>
        <v/>
      </c>
      <c r="Z197" s="37"/>
      <c r="AB197" s="37" t="str">
        <f t="shared" si="23"/>
        <v/>
      </c>
    </row>
    <row r="198" spans="1:28" x14ac:dyDescent="0.25">
      <c r="A198" s="102"/>
      <c r="B198" s="33"/>
      <c r="C198" s="25"/>
      <c r="D198" s="26"/>
      <c r="E198" s="33"/>
      <c r="F198" s="25"/>
      <c r="G198" s="25"/>
      <c r="H198" s="117"/>
      <c r="I198" s="55"/>
      <c r="P198" s="37" t="str">
        <f t="shared" ca="1" si="21"/>
        <v/>
      </c>
      <c r="Q198" s="37" t="str">
        <f t="shared" ca="1" si="22"/>
        <v/>
      </c>
      <c r="Z198" s="37"/>
      <c r="AB198" s="37" t="str">
        <f t="shared" si="23"/>
        <v/>
      </c>
    </row>
    <row r="199" spans="1:28" x14ac:dyDescent="0.25">
      <c r="A199" s="102"/>
      <c r="B199" s="33"/>
      <c r="C199" s="25"/>
      <c r="D199" s="26"/>
      <c r="E199" s="33"/>
      <c r="F199" s="25"/>
      <c r="G199" s="25"/>
      <c r="H199" s="117"/>
      <c r="I199" s="55"/>
      <c r="P199" s="37" t="str">
        <f t="shared" ca="1" si="21"/>
        <v/>
      </c>
      <c r="Q199" s="37" t="str">
        <f t="shared" ca="1" si="22"/>
        <v/>
      </c>
      <c r="Z199" s="37"/>
      <c r="AB199" s="37" t="str">
        <f t="shared" si="23"/>
        <v/>
      </c>
    </row>
    <row r="200" spans="1:28" x14ac:dyDescent="0.25">
      <c r="A200" s="102"/>
      <c r="B200" s="33"/>
      <c r="C200" s="25"/>
      <c r="D200" s="26"/>
      <c r="E200" s="33"/>
      <c r="F200" s="25"/>
      <c r="G200" s="25"/>
      <c r="H200" s="117"/>
      <c r="I200" s="55"/>
      <c r="P200" s="37" t="str">
        <f t="shared" ca="1" si="21"/>
        <v/>
      </c>
      <c r="Q200" s="37" t="str">
        <f t="shared" ca="1" si="22"/>
        <v/>
      </c>
      <c r="Z200" s="37"/>
      <c r="AB200" s="37" t="str">
        <f t="shared" si="23"/>
        <v/>
      </c>
    </row>
    <row r="201" spans="1:28" x14ac:dyDescent="0.25">
      <c r="A201" s="102"/>
      <c r="B201" s="33"/>
      <c r="C201" s="25"/>
      <c r="D201" s="26"/>
      <c r="E201" s="33"/>
      <c r="F201" s="25"/>
      <c r="G201" s="25"/>
      <c r="H201" s="117"/>
      <c r="I201" s="55"/>
      <c r="P201" s="37" t="str">
        <f t="shared" ca="1" si="21"/>
        <v/>
      </c>
      <c r="Q201" s="37" t="str">
        <f t="shared" ca="1" si="22"/>
        <v/>
      </c>
      <c r="Z201" s="37"/>
      <c r="AB201" s="37" t="str">
        <f t="shared" si="23"/>
        <v/>
      </c>
    </row>
    <row r="202" spans="1:28" x14ac:dyDescent="0.25">
      <c r="A202" s="102"/>
      <c r="B202" s="33"/>
      <c r="C202" s="25"/>
      <c r="D202" s="26"/>
      <c r="E202" s="33"/>
      <c r="F202" s="25"/>
      <c r="G202" s="25"/>
      <c r="H202" s="117"/>
      <c r="I202" s="55"/>
      <c r="P202" s="37" t="str">
        <f t="shared" ca="1" si="21"/>
        <v/>
      </c>
      <c r="Q202" s="37" t="str">
        <f t="shared" ca="1" si="22"/>
        <v/>
      </c>
      <c r="Z202" s="37"/>
      <c r="AB202" s="37" t="str">
        <f t="shared" si="23"/>
        <v/>
      </c>
    </row>
    <row r="203" spans="1:28" x14ac:dyDescent="0.25">
      <c r="A203" s="102"/>
      <c r="B203" s="33"/>
      <c r="C203" s="25"/>
      <c r="D203" s="26"/>
      <c r="E203" s="33"/>
      <c r="F203" s="25"/>
      <c r="G203" s="25"/>
      <c r="H203" s="117"/>
      <c r="I203" s="55"/>
      <c r="P203" s="37" t="str">
        <f t="shared" ca="1" si="21"/>
        <v/>
      </c>
      <c r="Q203" s="37" t="str">
        <f t="shared" ca="1" si="22"/>
        <v/>
      </c>
      <c r="Z203" s="37"/>
      <c r="AB203" s="37" t="str">
        <f t="shared" si="23"/>
        <v/>
      </c>
    </row>
    <row r="204" spans="1:28" x14ac:dyDescent="0.25">
      <c r="A204" s="102"/>
      <c r="B204" s="33"/>
      <c r="C204" s="25"/>
      <c r="D204" s="26"/>
      <c r="E204" s="33"/>
      <c r="F204" s="25"/>
      <c r="G204" s="25"/>
      <c r="H204" s="117"/>
      <c r="I204" s="55"/>
      <c r="P204" s="37" t="str">
        <f t="shared" ca="1" si="21"/>
        <v/>
      </c>
      <c r="Q204" s="37" t="str">
        <f t="shared" ca="1" si="22"/>
        <v/>
      </c>
      <c r="Z204" s="37"/>
      <c r="AB204" s="37" t="str">
        <f t="shared" si="23"/>
        <v/>
      </c>
    </row>
    <row r="205" spans="1:28" x14ac:dyDescent="0.25">
      <c r="A205" s="102"/>
      <c r="B205" s="33"/>
      <c r="C205" s="25"/>
      <c r="D205" s="26"/>
      <c r="E205" s="33"/>
      <c r="F205" s="25"/>
      <c r="G205" s="25"/>
      <c r="H205" s="117"/>
      <c r="I205" s="55"/>
      <c r="P205" s="37" t="str">
        <f t="shared" ca="1" si="21"/>
        <v/>
      </c>
      <c r="Q205" s="37" t="str">
        <f t="shared" ca="1" si="22"/>
        <v/>
      </c>
      <c r="Z205" s="37"/>
      <c r="AB205" s="37" t="str">
        <f t="shared" si="23"/>
        <v/>
      </c>
    </row>
    <row r="206" spans="1:28" x14ac:dyDescent="0.25">
      <c r="A206" s="102"/>
      <c r="B206" s="33"/>
      <c r="C206" s="25"/>
      <c r="D206" s="26"/>
      <c r="E206" s="33"/>
      <c r="F206" s="25"/>
      <c r="G206" s="25"/>
      <c r="H206" s="117"/>
      <c r="I206" s="55"/>
      <c r="P206" s="37" t="str">
        <f t="shared" ca="1" si="21"/>
        <v/>
      </c>
      <c r="Q206" s="37" t="str">
        <f t="shared" ca="1" si="22"/>
        <v/>
      </c>
      <c r="Z206" s="37"/>
      <c r="AB206" s="37" t="str">
        <f t="shared" si="23"/>
        <v/>
      </c>
    </row>
    <row r="207" spans="1:28" x14ac:dyDescent="0.25">
      <c r="A207" s="102"/>
      <c r="B207" s="33"/>
      <c r="C207" s="25"/>
      <c r="D207" s="26"/>
      <c r="E207" s="33"/>
      <c r="F207" s="25"/>
      <c r="G207" s="25"/>
      <c r="H207" s="117"/>
      <c r="I207" s="55"/>
      <c r="P207" s="37" t="str">
        <f t="shared" ca="1" si="21"/>
        <v/>
      </c>
      <c r="Q207" s="37" t="str">
        <f t="shared" ca="1" si="22"/>
        <v/>
      </c>
      <c r="Z207" s="37"/>
      <c r="AB207" s="37" t="str">
        <f t="shared" si="23"/>
        <v/>
      </c>
    </row>
    <row r="208" spans="1:28" x14ac:dyDescent="0.25">
      <c r="A208" s="102"/>
      <c r="B208" s="33"/>
      <c r="C208" s="25"/>
      <c r="D208" s="26"/>
      <c r="E208" s="33"/>
      <c r="F208" s="25"/>
      <c r="G208" s="25"/>
      <c r="H208" s="117"/>
      <c r="I208" s="55"/>
      <c r="P208" s="37" t="str">
        <f t="shared" ca="1" si="21"/>
        <v/>
      </c>
      <c r="Q208" s="37" t="str">
        <f t="shared" ca="1" si="22"/>
        <v/>
      </c>
      <c r="Z208" s="37"/>
      <c r="AB208" s="37" t="str">
        <f t="shared" si="23"/>
        <v/>
      </c>
    </row>
    <row r="209" spans="1:28" x14ac:dyDescent="0.25">
      <c r="A209" s="102"/>
      <c r="B209" s="33"/>
      <c r="C209" s="25"/>
      <c r="D209" s="26"/>
      <c r="E209" s="33"/>
      <c r="F209" s="25"/>
      <c r="G209" s="25"/>
      <c r="H209" s="117"/>
      <c r="I209" s="55"/>
      <c r="P209" s="37" t="str">
        <f t="shared" ca="1" si="21"/>
        <v/>
      </c>
      <c r="Q209" s="37" t="str">
        <f t="shared" ca="1" si="22"/>
        <v/>
      </c>
      <c r="Z209" s="37"/>
      <c r="AB209" s="37" t="str">
        <f t="shared" si="23"/>
        <v/>
      </c>
    </row>
    <row r="210" spans="1:28" x14ac:dyDescent="0.25">
      <c r="A210" s="102"/>
      <c r="B210" s="33"/>
      <c r="C210" s="25"/>
      <c r="D210" s="26"/>
      <c r="E210" s="33"/>
      <c r="F210" s="25"/>
      <c r="G210" s="25"/>
      <c r="H210" s="117"/>
      <c r="I210" s="55"/>
      <c r="P210" s="37" t="str">
        <f t="shared" ca="1" si="21"/>
        <v/>
      </c>
      <c r="Q210" s="37" t="str">
        <f t="shared" ca="1" si="22"/>
        <v/>
      </c>
      <c r="Z210" s="37"/>
      <c r="AB210" s="37" t="str">
        <f t="shared" si="23"/>
        <v/>
      </c>
    </row>
    <row r="211" spans="1:28" x14ac:dyDescent="0.25">
      <c r="A211" s="102"/>
      <c r="B211" s="33"/>
      <c r="C211" s="25"/>
      <c r="D211" s="26"/>
      <c r="E211" s="33"/>
      <c r="F211" s="25"/>
      <c r="G211" s="25"/>
      <c r="H211" s="117"/>
      <c r="I211" s="55"/>
      <c r="P211" s="37" t="str">
        <f t="shared" ca="1" si="21"/>
        <v/>
      </c>
      <c r="Q211" s="37" t="str">
        <f t="shared" ca="1" si="22"/>
        <v/>
      </c>
      <c r="Z211" s="37"/>
      <c r="AB211" s="37" t="str">
        <f t="shared" si="23"/>
        <v/>
      </c>
    </row>
    <row r="212" spans="1:28" x14ac:dyDescent="0.25">
      <c r="A212" s="102"/>
      <c r="B212" s="33"/>
      <c r="C212" s="25"/>
      <c r="D212" s="26"/>
      <c r="E212" s="33"/>
      <c r="F212" s="25"/>
      <c r="G212" s="25"/>
      <c r="H212" s="117"/>
      <c r="I212" s="55"/>
      <c r="P212" s="37" t="str">
        <f t="shared" ca="1" si="21"/>
        <v/>
      </c>
      <c r="Q212" s="37" t="str">
        <f t="shared" ca="1" si="22"/>
        <v/>
      </c>
      <c r="Z212" s="37"/>
      <c r="AB212" s="37" t="str">
        <f t="shared" si="23"/>
        <v/>
      </c>
    </row>
    <row r="213" spans="1:28" x14ac:dyDescent="0.25">
      <c r="A213" s="102"/>
      <c r="B213" s="33"/>
      <c r="C213" s="25"/>
      <c r="D213" s="26"/>
      <c r="E213" s="33"/>
      <c r="F213" s="25"/>
      <c r="G213" s="25"/>
      <c r="H213" s="117"/>
      <c r="I213" s="55"/>
      <c r="P213" s="37" t="str">
        <f t="shared" ca="1" si="21"/>
        <v/>
      </c>
      <c r="Q213" s="37" t="str">
        <f t="shared" ca="1" si="22"/>
        <v/>
      </c>
      <c r="Z213" s="37"/>
      <c r="AB213" s="37" t="str">
        <f t="shared" si="23"/>
        <v/>
      </c>
    </row>
    <row r="214" spans="1:28" x14ac:dyDescent="0.25">
      <c r="A214" s="102"/>
      <c r="B214" s="33"/>
      <c r="C214" s="25"/>
      <c r="D214" s="26"/>
      <c r="E214" s="33"/>
      <c r="F214" s="25"/>
      <c r="G214" s="25"/>
      <c r="H214" s="117"/>
      <c r="I214" s="55"/>
      <c r="P214" s="37" t="str">
        <f t="shared" ca="1" si="21"/>
        <v/>
      </c>
      <c r="Q214" s="37" t="str">
        <f t="shared" ca="1" si="22"/>
        <v/>
      </c>
      <c r="Z214" s="37"/>
      <c r="AB214" s="37" t="str">
        <f t="shared" si="23"/>
        <v/>
      </c>
    </row>
    <row r="215" spans="1:28" x14ac:dyDescent="0.25">
      <c r="A215" s="102"/>
      <c r="B215" s="33"/>
      <c r="C215" s="25"/>
      <c r="D215" s="26"/>
      <c r="E215" s="33"/>
      <c r="F215" s="25"/>
      <c r="G215" s="25"/>
      <c r="H215" s="117"/>
      <c r="I215" s="55"/>
      <c r="P215" s="37" t="str">
        <f t="shared" ca="1" si="21"/>
        <v/>
      </c>
      <c r="Q215" s="37" t="str">
        <f t="shared" ca="1" si="22"/>
        <v/>
      </c>
      <c r="Z215" s="37"/>
      <c r="AB215" s="37" t="str">
        <f t="shared" si="23"/>
        <v/>
      </c>
    </row>
    <row r="216" spans="1:28" x14ac:dyDescent="0.25">
      <c r="A216" s="102"/>
      <c r="B216" s="33"/>
      <c r="C216" s="25"/>
      <c r="D216" s="26"/>
      <c r="E216" s="33"/>
      <c r="F216" s="25"/>
      <c r="G216" s="25"/>
      <c r="H216" s="117"/>
      <c r="I216" s="55"/>
      <c r="P216" s="37" t="str">
        <f t="shared" ca="1" si="21"/>
        <v/>
      </c>
      <c r="Q216" s="37" t="str">
        <f t="shared" ca="1" si="22"/>
        <v/>
      </c>
      <c r="Z216" s="37"/>
      <c r="AB216" s="37" t="str">
        <f t="shared" si="23"/>
        <v/>
      </c>
    </row>
    <row r="217" spans="1:28" x14ac:dyDescent="0.25">
      <c r="A217" s="102"/>
      <c r="B217" s="33"/>
      <c r="C217" s="25"/>
      <c r="D217" s="26"/>
      <c r="E217" s="33"/>
      <c r="F217" s="25"/>
      <c r="G217" s="25"/>
      <c r="H217" s="117"/>
      <c r="I217" s="55"/>
      <c r="P217" s="37" t="str">
        <f t="shared" ca="1" si="21"/>
        <v/>
      </c>
      <c r="Q217" s="37" t="str">
        <f t="shared" ca="1" si="22"/>
        <v/>
      </c>
      <c r="Z217" s="37"/>
      <c r="AB217" s="37" t="str">
        <f t="shared" si="23"/>
        <v/>
      </c>
    </row>
    <row r="218" spans="1:28" x14ac:dyDescent="0.25">
      <c r="A218" s="102"/>
      <c r="B218" s="33"/>
      <c r="C218" s="25"/>
      <c r="D218" s="26"/>
      <c r="E218" s="33"/>
      <c r="F218" s="25"/>
      <c r="G218" s="25"/>
      <c r="H218" s="117"/>
      <c r="I218" s="55"/>
      <c r="P218" s="37" t="str">
        <f t="shared" ca="1" si="21"/>
        <v/>
      </c>
      <c r="Q218" s="37" t="str">
        <f t="shared" ca="1" si="22"/>
        <v/>
      </c>
      <c r="Z218" s="37"/>
      <c r="AB218" s="37" t="str">
        <f t="shared" si="23"/>
        <v/>
      </c>
    </row>
    <row r="219" spans="1:28" x14ac:dyDescent="0.25">
      <c r="A219" s="102"/>
      <c r="B219" s="33"/>
      <c r="C219" s="25"/>
      <c r="D219" s="26"/>
      <c r="E219" s="33"/>
      <c r="F219" s="25"/>
      <c r="G219" s="25"/>
      <c r="H219" s="117"/>
      <c r="I219" s="55"/>
      <c r="P219" s="37" t="str">
        <f t="shared" ca="1" si="21"/>
        <v/>
      </c>
      <c r="Q219" s="37" t="str">
        <f t="shared" ca="1" si="22"/>
        <v/>
      </c>
      <c r="Z219" s="37"/>
      <c r="AB219" s="37" t="str">
        <f t="shared" si="23"/>
        <v/>
      </c>
    </row>
    <row r="220" spans="1:28" x14ac:dyDescent="0.25">
      <c r="A220" s="102"/>
      <c r="B220" s="33"/>
      <c r="C220" s="25"/>
      <c r="D220" s="26"/>
      <c r="E220" s="33"/>
      <c r="F220" s="25"/>
      <c r="G220" s="25"/>
      <c r="H220" s="117"/>
      <c r="I220" s="55"/>
      <c r="P220" s="37" t="str">
        <f t="shared" ca="1" si="21"/>
        <v/>
      </c>
      <c r="Q220" s="37" t="str">
        <f t="shared" ca="1" si="22"/>
        <v/>
      </c>
      <c r="Z220" s="37"/>
      <c r="AB220" s="37" t="str">
        <f t="shared" si="23"/>
        <v/>
      </c>
    </row>
    <row r="221" spans="1:28" x14ac:dyDescent="0.25">
      <c r="A221" s="102"/>
      <c r="B221" s="33"/>
      <c r="C221" s="25"/>
      <c r="D221" s="26"/>
      <c r="E221" s="33"/>
      <c r="F221" s="25"/>
      <c r="G221" s="25"/>
      <c r="H221" s="117"/>
      <c r="I221" s="55"/>
      <c r="P221" s="37" t="str">
        <f t="shared" ca="1" si="21"/>
        <v/>
      </c>
      <c r="Q221" s="37" t="str">
        <f t="shared" ca="1" si="22"/>
        <v/>
      </c>
      <c r="Z221" s="37"/>
      <c r="AB221" s="37" t="str">
        <f t="shared" si="23"/>
        <v/>
      </c>
    </row>
    <row r="222" spans="1:28" x14ac:dyDescent="0.25">
      <c r="A222" s="102"/>
      <c r="B222" s="33"/>
      <c r="C222" s="25"/>
      <c r="D222" s="26"/>
      <c r="E222" s="33"/>
      <c r="F222" s="25"/>
      <c r="G222" s="25"/>
      <c r="H222" s="117"/>
      <c r="I222" s="55"/>
      <c r="P222" s="37" t="str">
        <f t="shared" ca="1" si="21"/>
        <v/>
      </c>
      <c r="Q222" s="37" t="str">
        <f t="shared" ca="1" si="22"/>
        <v/>
      </c>
      <c r="Z222" s="37"/>
      <c r="AB222" s="37" t="str">
        <f t="shared" si="23"/>
        <v/>
      </c>
    </row>
    <row r="223" spans="1:28" x14ac:dyDescent="0.25">
      <c r="A223" s="102"/>
      <c r="B223" s="33"/>
      <c r="C223" s="25"/>
      <c r="D223" s="26"/>
      <c r="E223" s="33"/>
      <c r="F223" s="25"/>
      <c r="G223" s="25"/>
      <c r="H223" s="117"/>
      <c r="I223" s="55"/>
      <c r="P223" s="37" t="str">
        <f t="shared" ca="1" si="21"/>
        <v/>
      </c>
      <c r="Q223" s="37" t="str">
        <f t="shared" ca="1" si="22"/>
        <v/>
      </c>
      <c r="Z223" s="37"/>
      <c r="AB223" s="37" t="str">
        <f t="shared" si="23"/>
        <v/>
      </c>
    </row>
    <row r="224" spans="1:28" x14ac:dyDescent="0.25">
      <c r="A224" s="102"/>
      <c r="B224" s="33"/>
      <c r="C224" s="25"/>
      <c r="D224" s="26"/>
      <c r="E224" s="33"/>
      <c r="F224" s="25"/>
      <c r="G224" s="25"/>
      <c r="H224" s="117"/>
      <c r="I224" s="55"/>
      <c r="P224" s="37" t="str">
        <f t="shared" ca="1" si="21"/>
        <v/>
      </c>
      <c r="Q224" s="37" t="str">
        <f t="shared" ca="1" si="22"/>
        <v/>
      </c>
      <c r="Z224" s="37"/>
      <c r="AB224" s="37" t="str">
        <f t="shared" si="23"/>
        <v/>
      </c>
    </row>
    <row r="225" spans="1:28" x14ac:dyDescent="0.25">
      <c r="A225" s="102"/>
      <c r="B225" s="33"/>
      <c r="C225" s="25"/>
      <c r="D225" s="26"/>
      <c r="E225" s="33"/>
      <c r="F225" s="25"/>
      <c r="G225" s="25"/>
      <c r="H225" s="117"/>
      <c r="I225" s="55"/>
      <c r="P225" s="37" t="str">
        <f t="shared" ca="1" si="21"/>
        <v/>
      </c>
      <c r="Q225" s="37" t="str">
        <f t="shared" ca="1" si="22"/>
        <v/>
      </c>
      <c r="Z225" s="37"/>
      <c r="AB225" s="37" t="str">
        <f t="shared" si="23"/>
        <v/>
      </c>
    </row>
    <row r="226" spans="1:28" x14ac:dyDescent="0.25">
      <c r="A226" s="102"/>
      <c r="B226" s="33"/>
      <c r="C226" s="25"/>
      <c r="D226" s="26"/>
      <c r="E226" s="33"/>
      <c r="F226" s="25"/>
      <c r="G226" s="25"/>
      <c r="H226" s="117"/>
      <c r="I226" s="55"/>
      <c r="P226" s="37" t="str">
        <f t="shared" ca="1" si="21"/>
        <v/>
      </c>
      <c r="Q226" s="37" t="str">
        <f t="shared" ca="1" si="22"/>
        <v/>
      </c>
      <c r="Z226" s="37"/>
      <c r="AB226" s="37" t="str">
        <f t="shared" si="23"/>
        <v/>
      </c>
    </row>
    <row r="227" spans="1:28" x14ac:dyDescent="0.25">
      <c r="A227" s="102"/>
      <c r="B227" s="33"/>
      <c r="C227" s="25"/>
      <c r="D227" s="26"/>
      <c r="E227" s="33"/>
      <c r="F227" s="25"/>
      <c r="G227" s="25"/>
      <c r="H227" s="117"/>
      <c r="I227" s="55"/>
      <c r="P227" s="37" t="str">
        <f t="shared" ca="1" si="21"/>
        <v/>
      </c>
      <c r="Q227" s="37" t="str">
        <f t="shared" ca="1" si="22"/>
        <v/>
      </c>
      <c r="Z227" s="37"/>
      <c r="AB227" s="37" t="str">
        <f t="shared" si="23"/>
        <v/>
      </c>
    </row>
    <row r="228" spans="1:28" x14ac:dyDescent="0.25">
      <c r="A228" s="102"/>
      <c r="B228" s="33"/>
      <c r="C228" s="25"/>
      <c r="D228" s="26"/>
      <c r="E228" s="33"/>
      <c r="F228" s="25"/>
      <c r="G228" s="25"/>
      <c r="H228" s="117"/>
      <c r="I228" s="55"/>
      <c r="P228" s="37" t="str">
        <f t="shared" ca="1" si="21"/>
        <v/>
      </c>
      <c r="Q228" s="37" t="str">
        <f t="shared" ca="1" si="22"/>
        <v/>
      </c>
      <c r="Z228" s="37"/>
      <c r="AB228" s="37" t="str">
        <f t="shared" si="23"/>
        <v/>
      </c>
    </row>
    <row r="229" spans="1:28" x14ac:dyDescent="0.25">
      <c r="A229" s="102"/>
      <c r="B229" s="33"/>
      <c r="C229" s="25"/>
      <c r="D229" s="26"/>
      <c r="E229" s="33"/>
      <c r="F229" s="25"/>
      <c r="G229" s="25"/>
      <c r="H229" s="117"/>
      <c r="I229" s="55"/>
      <c r="P229" s="37" t="str">
        <f t="shared" ca="1" si="21"/>
        <v/>
      </c>
      <c r="Q229" s="37" t="str">
        <f t="shared" ca="1" si="22"/>
        <v/>
      </c>
      <c r="Z229" s="37"/>
      <c r="AB229" s="37" t="str">
        <f t="shared" si="23"/>
        <v/>
      </c>
    </row>
    <row r="230" spans="1:28" x14ac:dyDescent="0.25">
      <c r="A230" s="102"/>
      <c r="B230" s="33"/>
      <c r="C230" s="25"/>
      <c r="D230" s="26"/>
      <c r="E230" s="33"/>
      <c r="F230" s="25"/>
      <c r="G230" s="25"/>
      <c r="H230" s="117"/>
      <c r="I230" s="55"/>
      <c r="P230" s="37" t="str">
        <f t="shared" ca="1" si="21"/>
        <v/>
      </c>
      <c r="Q230" s="37" t="str">
        <f t="shared" ca="1" si="22"/>
        <v/>
      </c>
      <c r="Z230" s="37"/>
      <c r="AB230" s="37" t="str">
        <f t="shared" si="23"/>
        <v/>
      </c>
    </row>
    <row r="231" spans="1:28" x14ac:dyDescent="0.25">
      <c r="A231" s="102"/>
      <c r="B231" s="33"/>
      <c r="C231" s="25"/>
      <c r="D231" s="26"/>
      <c r="E231" s="33"/>
      <c r="F231" s="25"/>
      <c r="G231" s="25"/>
      <c r="H231" s="117"/>
      <c r="I231" s="55"/>
      <c r="P231" s="37" t="str">
        <f t="shared" ca="1" si="21"/>
        <v/>
      </c>
      <c r="Q231" s="37" t="str">
        <f t="shared" ca="1" si="22"/>
        <v/>
      </c>
      <c r="Z231" s="37"/>
      <c r="AB231" s="37" t="str">
        <f t="shared" si="23"/>
        <v/>
      </c>
    </row>
    <row r="232" spans="1:28" x14ac:dyDescent="0.25">
      <c r="A232" s="102"/>
      <c r="B232" s="33"/>
      <c r="C232" s="25"/>
      <c r="D232" s="26"/>
      <c r="E232" s="33"/>
      <c r="F232" s="25"/>
      <c r="G232" s="25"/>
      <c r="H232" s="117"/>
      <c r="I232" s="55"/>
      <c r="P232" s="37" t="str">
        <f t="shared" ca="1" si="21"/>
        <v/>
      </c>
      <c r="Q232" s="37" t="str">
        <f t="shared" ca="1" si="22"/>
        <v/>
      </c>
      <c r="Z232" s="37"/>
      <c r="AB232" s="37" t="str">
        <f t="shared" si="23"/>
        <v/>
      </c>
    </row>
    <row r="233" spans="1:28" x14ac:dyDescent="0.25">
      <c r="A233" s="102"/>
      <c r="B233" s="33"/>
      <c r="C233" s="25"/>
      <c r="D233" s="26"/>
      <c r="E233" s="33"/>
      <c r="F233" s="25"/>
      <c r="G233" s="25"/>
      <c r="H233" s="117"/>
      <c r="I233" s="55"/>
      <c r="P233" s="37" t="str">
        <f t="shared" ca="1" si="21"/>
        <v/>
      </c>
      <c r="Q233" s="37" t="str">
        <f t="shared" ca="1" si="22"/>
        <v/>
      </c>
      <c r="Z233" s="37"/>
      <c r="AB233" s="37" t="str">
        <f t="shared" si="23"/>
        <v/>
      </c>
    </row>
    <row r="234" spans="1:28" x14ac:dyDescent="0.25">
      <c r="A234" s="102"/>
      <c r="B234" s="33"/>
      <c r="C234" s="25"/>
      <c r="D234" s="26"/>
      <c r="E234" s="33"/>
      <c r="F234" s="25"/>
      <c r="G234" s="25"/>
      <c r="H234" s="117"/>
      <c r="I234" s="55"/>
      <c r="P234" s="37" t="str">
        <f t="shared" ca="1" si="21"/>
        <v/>
      </c>
      <c r="Q234" s="37" t="str">
        <f t="shared" ca="1" si="22"/>
        <v/>
      </c>
      <c r="Z234" s="37"/>
      <c r="AB234" s="37" t="str">
        <f t="shared" si="23"/>
        <v/>
      </c>
    </row>
    <row r="235" spans="1:28" x14ac:dyDescent="0.25">
      <c r="A235" s="102"/>
      <c r="B235" s="33"/>
      <c r="C235" s="25"/>
      <c r="D235" s="26"/>
      <c r="E235" s="33"/>
      <c r="F235" s="25"/>
      <c r="G235" s="25"/>
      <c r="H235" s="117"/>
      <c r="I235" s="55"/>
      <c r="P235" s="37" t="str">
        <f t="shared" ca="1" si="21"/>
        <v/>
      </c>
      <c r="Q235" s="37" t="str">
        <f t="shared" ca="1" si="22"/>
        <v/>
      </c>
      <c r="Z235" s="37"/>
      <c r="AB235" s="37" t="str">
        <f t="shared" si="23"/>
        <v/>
      </c>
    </row>
    <row r="236" spans="1:28" x14ac:dyDescent="0.25">
      <c r="A236" s="102"/>
      <c r="B236" s="33"/>
      <c r="C236" s="25"/>
      <c r="D236" s="26"/>
      <c r="E236" s="33"/>
      <c r="F236" s="25"/>
      <c r="G236" s="25"/>
      <c r="H236" s="117"/>
      <c r="I236" s="55"/>
      <c r="P236" s="37" t="str">
        <f t="shared" ca="1" si="21"/>
        <v/>
      </c>
      <c r="Q236" s="37" t="str">
        <f t="shared" ca="1" si="22"/>
        <v/>
      </c>
      <c r="Z236" s="37"/>
      <c r="AB236" s="37" t="str">
        <f t="shared" si="23"/>
        <v/>
      </c>
    </row>
    <row r="237" spans="1:28" x14ac:dyDescent="0.25">
      <c r="A237" s="102"/>
      <c r="B237" s="33"/>
      <c r="C237" s="25"/>
      <c r="D237" s="26"/>
      <c r="E237" s="33"/>
      <c r="F237" s="25"/>
      <c r="G237" s="25"/>
      <c r="H237" s="117"/>
      <c r="I237" s="55"/>
      <c r="P237" s="37" t="str">
        <f t="shared" ca="1" si="21"/>
        <v/>
      </c>
      <c r="Q237" s="37" t="str">
        <f t="shared" ca="1" si="22"/>
        <v/>
      </c>
      <c r="Z237" s="37"/>
      <c r="AB237" s="37" t="str">
        <f t="shared" si="23"/>
        <v/>
      </c>
    </row>
    <row r="238" spans="1:28" x14ac:dyDescent="0.25">
      <c r="A238" s="102"/>
      <c r="B238" s="33"/>
      <c r="C238" s="25"/>
      <c r="D238" s="26"/>
      <c r="E238" s="33"/>
      <c r="F238" s="25"/>
      <c r="G238" s="25"/>
      <c r="H238" s="117"/>
      <c r="I238" s="55"/>
      <c r="P238" s="37" t="str">
        <f t="shared" ca="1" si="21"/>
        <v/>
      </c>
      <c r="Q238" s="37" t="str">
        <f t="shared" ca="1" si="22"/>
        <v/>
      </c>
      <c r="Z238" s="37"/>
      <c r="AB238" s="37" t="str">
        <f t="shared" si="23"/>
        <v/>
      </c>
    </row>
    <row r="239" spans="1:28" x14ac:dyDescent="0.25">
      <c r="A239" s="102"/>
      <c r="B239" s="33"/>
      <c r="C239" s="25"/>
      <c r="D239" s="26"/>
      <c r="E239" s="33"/>
      <c r="F239" s="25"/>
      <c r="G239" s="25"/>
      <c r="H239" s="117"/>
      <c r="I239" s="55"/>
      <c r="P239" s="37" t="str">
        <f t="shared" ca="1" si="21"/>
        <v/>
      </c>
      <c r="Q239" s="37" t="str">
        <f t="shared" ca="1" si="22"/>
        <v/>
      </c>
      <c r="Z239" s="37"/>
      <c r="AB239" s="37" t="str">
        <f t="shared" si="23"/>
        <v/>
      </c>
    </row>
    <row r="240" spans="1:28" x14ac:dyDescent="0.25">
      <c r="A240" s="102"/>
      <c r="B240" s="33"/>
      <c r="C240" s="25"/>
      <c r="D240" s="26"/>
      <c r="E240" s="33"/>
      <c r="F240" s="25"/>
      <c r="G240" s="25"/>
      <c r="H240" s="117"/>
      <c r="I240" s="55"/>
      <c r="P240" s="37" t="str">
        <f t="shared" ca="1" si="21"/>
        <v/>
      </c>
      <c r="Q240" s="37" t="str">
        <f t="shared" ca="1" si="22"/>
        <v/>
      </c>
      <c r="Z240" s="37"/>
      <c r="AB240" s="37" t="str">
        <f t="shared" si="23"/>
        <v/>
      </c>
    </row>
    <row r="241" spans="1:28" x14ac:dyDescent="0.25">
      <c r="A241" s="102"/>
      <c r="B241" s="33"/>
      <c r="C241" s="25"/>
      <c r="D241" s="26"/>
      <c r="E241" s="33"/>
      <c r="F241" s="25"/>
      <c r="G241" s="25"/>
      <c r="H241" s="117"/>
      <c r="I241" s="55"/>
      <c r="P241" s="37" t="str">
        <f t="shared" ca="1" si="21"/>
        <v/>
      </c>
      <c r="Q241" s="37" t="str">
        <f t="shared" ca="1" si="22"/>
        <v/>
      </c>
      <c r="Z241" s="37"/>
      <c r="AB241" s="37" t="str">
        <f t="shared" si="23"/>
        <v/>
      </c>
    </row>
    <row r="242" spans="1:28" x14ac:dyDescent="0.25">
      <c r="A242" s="102"/>
      <c r="B242" s="33"/>
      <c r="C242" s="25"/>
      <c r="D242" s="26"/>
      <c r="E242" s="33"/>
      <c r="F242" s="25"/>
      <c r="G242" s="25"/>
      <c r="H242" s="117"/>
      <c r="I242" s="55"/>
      <c r="P242" s="37" t="str">
        <f t="shared" ca="1" si="21"/>
        <v/>
      </c>
      <c r="Q242" s="37" t="str">
        <f t="shared" ca="1" si="22"/>
        <v/>
      </c>
      <c r="Z242" s="37"/>
      <c r="AB242" s="37" t="str">
        <f t="shared" si="23"/>
        <v/>
      </c>
    </row>
    <row r="243" spans="1:28" x14ac:dyDescent="0.25">
      <c r="A243" s="102"/>
      <c r="B243" s="33"/>
      <c r="C243" s="25"/>
      <c r="D243" s="26"/>
      <c r="E243" s="33"/>
      <c r="F243" s="25"/>
      <c r="G243" s="25"/>
      <c r="H243" s="117"/>
      <c r="I243" s="55"/>
      <c r="P243" s="37" t="str">
        <f t="shared" ca="1" si="21"/>
        <v/>
      </c>
      <c r="Q243" s="37" t="str">
        <f t="shared" ca="1" si="22"/>
        <v/>
      </c>
      <c r="Z243" s="37"/>
      <c r="AB243" s="37" t="str">
        <f t="shared" si="23"/>
        <v/>
      </c>
    </row>
    <row r="244" spans="1:28" x14ac:dyDescent="0.25">
      <c r="A244" s="102"/>
      <c r="B244" s="33"/>
      <c r="C244" s="25"/>
      <c r="D244" s="26"/>
      <c r="E244" s="33"/>
      <c r="F244" s="25"/>
      <c r="G244" s="25"/>
      <c r="H244" s="117"/>
      <c r="I244" s="55"/>
      <c r="P244" s="37" t="str">
        <f t="shared" ca="1" si="21"/>
        <v/>
      </c>
      <c r="Q244" s="37" t="str">
        <f t="shared" ca="1" si="22"/>
        <v/>
      </c>
      <c r="Z244" s="37"/>
      <c r="AB244" s="37" t="str">
        <f t="shared" si="23"/>
        <v/>
      </c>
    </row>
    <row r="245" spans="1:28" x14ac:dyDescent="0.25">
      <c r="A245" s="102"/>
      <c r="B245" s="33"/>
      <c r="C245" s="25"/>
      <c r="D245" s="26"/>
      <c r="E245" s="33"/>
      <c r="F245" s="25"/>
      <c r="G245" s="25"/>
      <c r="H245" s="117"/>
      <c r="I245" s="55"/>
      <c r="P245" s="37" t="str">
        <f t="shared" ca="1" si="21"/>
        <v/>
      </c>
      <c r="Q245" s="37" t="str">
        <f t="shared" ca="1" si="22"/>
        <v/>
      </c>
      <c r="Z245" s="37"/>
      <c r="AB245" s="37" t="str">
        <f t="shared" si="23"/>
        <v/>
      </c>
    </row>
    <row r="246" spans="1:28" x14ac:dyDescent="0.25">
      <c r="A246" s="102"/>
      <c r="B246" s="33"/>
      <c r="C246" s="25"/>
      <c r="D246" s="26"/>
      <c r="E246" s="33"/>
      <c r="F246" s="25"/>
      <c r="G246" s="25"/>
      <c r="H246" s="117"/>
      <c r="I246" s="55"/>
      <c r="P246" s="37" t="str">
        <f t="shared" ca="1" si="21"/>
        <v/>
      </c>
      <c r="Q246" s="37" t="str">
        <f t="shared" ca="1" si="22"/>
        <v/>
      </c>
      <c r="Z246" s="37"/>
      <c r="AB246" s="37" t="str">
        <f t="shared" si="23"/>
        <v/>
      </c>
    </row>
    <row r="247" spans="1:28" x14ac:dyDescent="0.25">
      <c r="A247" s="102"/>
      <c r="B247" s="33"/>
      <c r="C247" s="25"/>
      <c r="D247" s="26"/>
      <c r="E247" s="33"/>
      <c r="F247" s="25"/>
      <c r="G247" s="25"/>
      <c r="H247" s="117"/>
      <c r="I247" s="55"/>
      <c r="P247" s="37" t="str">
        <f t="shared" ca="1" si="21"/>
        <v/>
      </c>
      <c r="Q247" s="37" t="str">
        <f t="shared" ca="1" si="22"/>
        <v/>
      </c>
      <c r="Z247" s="37"/>
      <c r="AB247" s="37" t="str">
        <f t="shared" si="23"/>
        <v/>
      </c>
    </row>
    <row r="248" spans="1:28" x14ac:dyDescent="0.25">
      <c r="A248" s="102"/>
      <c r="B248" s="33"/>
      <c r="C248" s="25"/>
      <c r="D248" s="26"/>
      <c r="E248" s="33"/>
      <c r="F248" s="25"/>
      <c r="G248" s="25"/>
      <c r="H248" s="117"/>
      <c r="I248" s="55"/>
      <c r="P248" s="37" t="str">
        <f t="shared" ca="1" si="21"/>
        <v/>
      </c>
      <c r="Q248" s="37" t="str">
        <f t="shared" ca="1" si="22"/>
        <v/>
      </c>
      <c r="Z248" s="37"/>
      <c r="AB248" s="37" t="str">
        <f t="shared" si="23"/>
        <v/>
      </c>
    </row>
    <row r="249" spans="1:28" x14ac:dyDescent="0.25">
      <c r="A249" s="102"/>
      <c r="B249" s="33"/>
      <c r="C249" s="25"/>
      <c r="D249" s="26"/>
      <c r="E249" s="33"/>
      <c r="F249" s="25"/>
      <c r="G249" s="25"/>
      <c r="H249" s="117"/>
      <c r="I249" s="55"/>
      <c r="P249" s="37" t="str">
        <f t="shared" ca="1" si="21"/>
        <v/>
      </c>
      <c r="Q249" s="37" t="str">
        <f t="shared" ca="1" si="22"/>
        <v/>
      </c>
      <c r="Z249" s="37"/>
      <c r="AB249" s="37" t="str">
        <f t="shared" si="23"/>
        <v/>
      </c>
    </row>
    <row r="250" spans="1:28" x14ac:dyDescent="0.25">
      <c r="A250" s="102"/>
      <c r="B250" s="33"/>
      <c r="C250" s="25"/>
      <c r="D250" s="26"/>
      <c r="E250" s="33"/>
      <c r="F250" s="25"/>
      <c r="G250" s="25"/>
      <c r="H250" s="117"/>
      <c r="I250" s="55"/>
      <c r="P250" s="37" t="str">
        <f t="shared" ca="1" si="21"/>
        <v/>
      </c>
      <c r="Q250" s="37" t="str">
        <f t="shared" ca="1" si="22"/>
        <v/>
      </c>
      <c r="Z250" s="37"/>
      <c r="AB250" s="37" t="str">
        <f t="shared" si="23"/>
        <v/>
      </c>
    </row>
    <row r="251" spans="1:28" x14ac:dyDescent="0.25">
      <c r="A251" s="102"/>
      <c r="B251" s="33"/>
      <c r="C251" s="25"/>
      <c r="D251" s="26"/>
      <c r="E251" s="33"/>
      <c r="F251" s="25"/>
      <c r="G251" s="25"/>
      <c r="H251" s="117"/>
      <c r="I251" s="55"/>
      <c r="P251" s="37" t="str">
        <f t="shared" ca="1" si="21"/>
        <v/>
      </c>
      <c r="Q251" s="37" t="str">
        <f t="shared" ca="1" si="22"/>
        <v/>
      </c>
      <c r="Z251" s="37"/>
      <c r="AB251" s="37" t="str">
        <f t="shared" si="23"/>
        <v/>
      </c>
    </row>
    <row r="252" spans="1:28" x14ac:dyDescent="0.25">
      <c r="A252" s="102"/>
      <c r="B252" s="33"/>
      <c r="C252" s="25"/>
      <c r="D252" s="26"/>
      <c r="E252" s="33"/>
      <c r="F252" s="25"/>
      <c r="G252" s="25"/>
      <c r="H252" s="117"/>
      <c r="I252" s="55"/>
      <c r="P252" s="37" t="str">
        <f t="shared" ca="1" si="21"/>
        <v/>
      </c>
      <c r="Q252" s="37" t="str">
        <f t="shared" ca="1" si="22"/>
        <v/>
      </c>
      <c r="Z252" s="37"/>
      <c r="AB252" s="37" t="str">
        <f t="shared" si="23"/>
        <v/>
      </c>
    </row>
    <row r="253" spans="1:28" x14ac:dyDescent="0.25">
      <c r="A253" s="102"/>
      <c r="B253" s="33"/>
      <c r="C253" s="25"/>
      <c r="D253" s="26"/>
      <c r="E253" s="33"/>
      <c r="F253" s="25"/>
      <c r="G253" s="25"/>
      <c r="H253" s="117"/>
      <c r="I253" s="55"/>
      <c r="P253" s="37" t="str">
        <f t="shared" ca="1" si="21"/>
        <v/>
      </c>
      <c r="Q253" s="37" t="str">
        <f t="shared" ca="1" si="22"/>
        <v/>
      </c>
      <c r="Z253" s="37"/>
      <c r="AB253" s="37" t="str">
        <f t="shared" si="23"/>
        <v/>
      </c>
    </row>
    <row r="254" spans="1:28" x14ac:dyDescent="0.25">
      <c r="A254" s="102"/>
      <c r="B254" s="33"/>
      <c r="C254" s="25"/>
      <c r="D254" s="26"/>
      <c r="E254" s="33"/>
      <c r="F254" s="25"/>
      <c r="G254" s="25"/>
      <c r="H254" s="117"/>
      <c r="I254" s="55"/>
      <c r="P254" s="37" t="str">
        <f t="shared" ca="1" si="21"/>
        <v/>
      </c>
      <c r="Q254" s="37" t="str">
        <f t="shared" ca="1" si="22"/>
        <v/>
      </c>
      <c r="Z254" s="37"/>
      <c r="AB254" s="37" t="str">
        <f t="shared" si="23"/>
        <v/>
      </c>
    </row>
    <row r="255" spans="1:28" x14ac:dyDescent="0.25">
      <c r="A255" s="102"/>
      <c r="B255" s="33"/>
      <c r="C255" s="25"/>
      <c r="D255" s="26"/>
      <c r="E255" s="33"/>
      <c r="F255" s="25"/>
      <c r="G255" s="25"/>
      <c r="H255" s="117"/>
      <c r="I255" s="55"/>
      <c r="P255" s="37" t="str">
        <f t="shared" ca="1" si="21"/>
        <v/>
      </c>
      <c r="Q255" s="37" t="str">
        <f t="shared" ca="1" si="22"/>
        <v/>
      </c>
      <c r="Z255" s="37"/>
      <c r="AB255" s="37" t="str">
        <f t="shared" si="23"/>
        <v/>
      </c>
    </row>
    <row r="256" spans="1:28" x14ac:dyDescent="0.25">
      <c r="A256" s="102"/>
      <c r="B256" s="33"/>
      <c r="C256" s="25"/>
      <c r="D256" s="26"/>
      <c r="E256" s="33"/>
      <c r="F256" s="25"/>
      <c r="G256" s="25"/>
      <c r="H256" s="117"/>
      <c r="I256" s="55"/>
      <c r="P256" s="37" t="str">
        <f t="shared" ca="1" si="21"/>
        <v/>
      </c>
      <c r="Q256" s="37" t="str">
        <f t="shared" ca="1" si="22"/>
        <v/>
      </c>
      <c r="Z256" s="37"/>
      <c r="AB256" s="37" t="str">
        <f t="shared" si="23"/>
        <v/>
      </c>
    </row>
    <row r="257" spans="1:28" x14ac:dyDescent="0.25">
      <c r="A257" s="102"/>
      <c r="B257" s="33"/>
      <c r="C257" s="25"/>
      <c r="D257" s="26"/>
      <c r="E257" s="33"/>
      <c r="F257" s="25"/>
      <c r="G257" s="25"/>
      <c r="H257" s="117"/>
      <c r="I257" s="55"/>
      <c r="P257" s="37" t="str">
        <f t="shared" ca="1" si="21"/>
        <v/>
      </c>
      <c r="Q257" s="37" t="str">
        <f t="shared" ca="1" si="22"/>
        <v/>
      </c>
      <c r="Z257" s="37"/>
      <c r="AB257" s="37" t="str">
        <f t="shared" si="23"/>
        <v/>
      </c>
    </row>
    <row r="258" spans="1:28" x14ac:dyDescent="0.25">
      <c r="A258" s="102"/>
      <c r="B258" s="33"/>
      <c r="C258" s="25"/>
      <c r="D258" s="26"/>
      <c r="E258" s="33"/>
      <c r="F258" s="25"/>
      <c r="G258" s="25"/>
      <c r="H258" s="117"/>
      <c r="I258" s="55"/>
      <c r="P258" s="37" t="str">
        <f t="shared" ca="1" si="21"/>
        <v/>
      </c>
      <c r="Q258" s="37" t="str">
        <f t="shared" ca="1" si="22"/>
        <v/>
      </c>
      <c r="Z258" s="37"/>
      <c r="AB258" s="37" t="str">
        <f t="shared" si="23"/>
        <v/>
      </c>
    </row>
    <row r="259" spans="1:28" x14ac:dyDescent="0.25">
      <c r="A259" s="102"/>
      <c r="B259" s="33"/>
      <c r="C259" s="25"/>
      <c r="D259" s="26"/>
      <c r="E259" s="33"/>
      <c r="F259" s="25"/>
      <c r="G259" s="25"/>
      <c r="H259" s="117"/>
      <c r="I259" s="55"/>
      <c r="P259" s="37" t="str">
        <f t="shared" ca="1" si="21"/>
        <v/>
      </c>
      <c r="Q259" s="37" t="str">
        <f t="shared" ca="1" si="22"/>
        <v/>
      </c>
      <c r="Z259" s="37"/>
      <c r="AB259" s="37" t="str">
        <f t="shared" si="23"/>
        <v/>
      </c>
    </row>
    <row r="260" spans="1:28" x14ac:dyDescent="0.25">
      <c r="A260" s="102"/>
      <c r="B260" s="33"/>
      <c r="C260" s="25"/>
      <c r="D260" s="26"/>
      <c r="E260" s="33"/>
      <c r="F260" s="25"/>
      <c r="G260" s="25"/>
      <c r="H260" s="117"/>
      <c r="I260" s="55"/>
      <c r="P260" s="37" t="str">
        <f t="shared" ref="P260:P323" ca="1" si="24">IF(COUNTIF(N:N,L260),L260,"")</f>
        <v/>
      </c>
      <c r="Q260" s="37" t="str">
        <f t="shared" ref="Q260:Q323" ca="1" si="25">IF(P260&gt;$A$14,P260,"")</f>
        <v/>
      </c>
      <c r="Z260" s="37"/>
      <c r="AB260" s="37" t="str">
        <f t="shared" ref="AB260:AB323" si="26">IF(COUNTIF(Z:Z,X260),X260,"")</f>
        <v/>
      </c>
    </row>
    <row r="261" spans="1:28" x14ac:dyDescent="0.25">
      <c r="A261" s="102"/>
      <c r="B261" s="33"/>
      <c r="C261" s="25"/>
      <c r="D261" s="26"/>
      <c r="E261" s="33"/>
      <c r="F261" s="25"/>
      <c r="G261" s="25"/>
      <c r="H261" s="117"/>
      <c r="I261" s="55"/>
      <c r="P261" s="37" t="str">
        <f t="shared" ca="1" si="24"/>
        <v/>
      </c>
      <c r="Q261" s="37" t="str">
        <f t="shared" ca="1" si="25"/>
        <v/>
      </c>
      <c r="Z261" s="37"/>
      <c r="AB261" s="37" t="str">
        <f t="shared" si="26"/>
        <v/>
      </c>
    </row>
    <row r="262" spans="1:28" x14ac:dyDescent="0.25">
      <c r="A262" s="102"/>
      <c r="B262" s="33"/>
      <c r="C262" s="25"/>
      <c r="D262" s="26"/>
      <c r="E262" s="33"/>
      <c r="F262" s="25"/>
      <c r="G262" s="25"/>
      <c r="H262" s="117"/>
      <c r="I262" s="55"/>
      <c r="P262" s="37" t="str">
        <f t="shared" ca="1" si="24"/>
        <v/>
      </c>
      <c r="Q262" s="37" t="str">
        <f t="shared" ca="1" si="25"/>
        <v/>
      </c>
      <c r="Z262" s="37"/>
      <c r="AB262" s="37" t="str">
        <f t="shared" si="26"/>
        <v/>
      </c>
    </row>
    <row r="263" spans="1:28" x14ac:dyDescent="0.25">
      <c r="A263" s="102"/>
      <c r="B263" s="33"/>
      <c r="C263" s="25"/>
      <c r="D263" s="26"/>
      <c r="E263" s="33"/>
      <c r="F263" s="25"/>
      <c r="G263" s="25"/>
      <c r="H263" s="117"/>
      <c r="I263" s="55"/>
      <c r="P263" s="37" t="str">
        <f t="shared" ca="1" si="24"/>
        <v/>
      </c>
      <c r="Q263" s="37" t="str">
        <f t="shared" ca="1" si="25"/>
        <v/>
      </c>
      <c r="Z263" s="37"/>
      <c r="AB263" s="37" t="str">
        <f t="shared" si="26"/>
        <v/>
      </c>
    </row>
    <row r="264" spans="1:28" x14ac:dyDescent="0.25">
      <c r="A264" s="102"/>
      <c r="B264" s="33"/>
      <c r="C264" s="25"/>
      <c r="D264" s="26"/>
      <c r="E264" s="33"/>
      <c r="F264" s="25"/>
      <c r="G264" s="25"/>
      <c r="H264" s="117"/>
      <c r="I264" s="55"/>
      <c r="P264" s="37" t="str">
        <f t="shared" ca="1" si="24"/>
        <v/>
      </c>
      <c r="Q264" s="37" t="str">
        <f t="shared" ca="1" si="25"/>
        <v/>
      </c>
      <c r="Z264" s="37"/>
      <c r="AB264" s="37" t="str">
        <f t="shared" si="26"/>
        <v/>
      </c>
    </row>
    <row r="265" spans="1:28" x14ac:dyDescent="0.25">
      <c r="A265" s="102"/>
      <c r="B265" s="33"/>
      <c r="C265" s="25"/>
      <c r="D265" s="26"/>
      <c r="E265" s="33"/>
      <c r="F265" s="25"/>
      <c r="G265" s="25"/>
      <c r="H265" s="117"/>
      <c r="I265" s="55"/>
      <c r="P265" s="37" t="str">
        <f t="shared" ca="1" si="24"/>
        <v/>
      </c>
      <c r="Q265" s="37" t="str">
        <f t="shared" ca="1" si="25"/>
        <v/>
      </c>
      <c r="Z265" s="37"/>
      <c r="AB265" s="37" t="str">
        <f t="shared" si="26"/>
        <v/>
      </c>
    </row>
    <row r="266" spans="1:28" x14ac:dyDescent="0.25">
      <c r="A266" s="102"/>
      <c r="B266" s="33"/>
      <c r="C266" s="25"/>
      <c r="D266" s="26"/>
      <c r="E266" s="33"/>
      <c r="F266" s="25"/>
      <c r="G266" s="25"/>
      <c r="H266" s="117"/>
      <c r="I266" s="55"/>
      <c r="P266" s="37" t="str">
        <f t="shared" ca="1" si="24"/>
        <v/>
      </c>
      <c r="Q266" s="37" t="str">
        <f t="shared" ca="1" si="25"/>
        <v/>
      </c>
      <c r="Z266" s="37"/>
      <c r="AB266" s="37" t="str">
        <f t="shared" si="26"/>
        <v/>
      </c>
    </row>
    <row r="267" spans="1:28" x14ac:dyDescent="0.25">
      <c r="A267" s="102"/>
      <c r="B267" s="33"/>
      <c r="C267" s="25"/>
      <c r="D267" s="26"/>
      <c r="E267" s="33"/>
      <c r="F267" s="25"/>
      <c r="G267" s="25"/>
      <c r="H267" s="117"/>
      <c r="I267" s="55"/>
      <c r="P267" s="37" t="str">
        <f t="shared" ca="1" si="24"/>
        <v/>
      </c>
      <c r="Q267" s="37" t="str">
        <f t="shared" ca="1" si="25"/>
        <v/>
      </c>
      <c r="Z267" s="37"/>
      <c r="AB267" s="37" t="str">
        <f t="shared" si="26"/>
        <v/>
      </c>
    </row>
    <row r="268" spans="1:28" x14ac:dyDescent="0.25">
      <c r="A268" s="102"/>
      <c r="B268" s="33"/>
      <c r="C268" s="25"/>
      <c r="D268" s="26"/>
      <c r="E268" s="33"/>
      <c r="F268" s="25"/>
      <c r="G268" s="25"/>
      <c r="H268" s="117"/>
      <c r="I268" s="55"/>
      <c r="P268" s="37" t="str">
        <f t="shared" ca="1" si="24"/>
        <v/>
      </c>
      <c r="Q268" s="37" t="str">
        <f t="shared" ca="1" si="25"/>
        <v/>
      </c>
      <c r="Z268" s="37"/>
      <c r="AB268" s="37" t="str">
        <f t="shared" si="26"/>
        <v/>
      </c>
    </row>
    <row r="269" spans="1:28" x14ac:dyDescent="0.25">
      <c r="A269" s="102"/>
      <c r="B269" s="33"/>
      <c r="C269" s="25"/>
      <c r="D269" s="26"/>
      <c r="E269" s="33"/>
      <c r="F269" s="25"/>
      <c r="G269" s="25"/>
      <c r="H269" s="117"/>
      <c r="I269" s="55"/>
      <c r="P269" s="37" t="str">
        <f t="shared" ca="1" si="24"/>
        <v/>
      </c>
      <c r="Q269" s="37" t="str">
        <f t="shared" ca="1" si="25"/>
        <v/>
      </c>
      <c r="Z269" s="37"/>
      <c r="AB269" s="37" t="str">
        <f t="shared" si="26"/>
        <v/>
      </c>
    </row>
    <row r="270" spans="1:28" x14ac:dyDescent="0.25">
      <c r="A270" s="102"/>
      <c r="B270" s="33"/>
      <c r="C270" s="25"/>
      <c r="D270" s="26"/>
      <c r="E270" s="33"/>
      <c r="F270" s="25"/>
      <c r="G270" s="25"/>
      <c r="H270" s="117"/>
      <c r="I270" s="55"/>
      <c r="P270" s="37" t="str">
        <f t="shared" ca="1" si="24"/>
        <v/>
      </c>
      <c r="Q270" s="37" t="str">
        <f t="shared" ca="1" si="25"/>
        <v/>
      </c>
      <c r="AB270" s="37" t="str">
        <f t="shared" si="26"/>
        <v/>
      </c>
    </row>
    <row r="271" spans="1:28" x14ac:dyDescent="0.25">
      <c r="A271" s="102"/>
      <c r="B271" s="33"/>
      <c r="C271" s="25"/>
      <c r="D271" s="26"/>
      <c r="E271" s="33"/>
      <c r="F271" s="25"/>
      <c r="G271" s="25"/>
      <c r="H271" s="117"/>
      <c r="I271" s="55"/>
      <c r="P271" s="37" t="str">
        <f t="shared" ca="1" si="24"/>
        <v/>
      </c>
      <c r="Q271" s="37" t="str">
        <f t="shared" ca="1" si="25"/>
        <v/>
      </c>
      <c r="AB271" s="37" t="str">
        <f t="shared" si="26"/>
        <v/>
      </c>
    </row>
    <row r="272" spans="1:28" x14ac:dyDescent="0.25">
      <c r="A272" s="102"/>
      <c r="B272" s="33"/>
      <c r="C272" s="25"/>
      <c r="D272" s="26"/>
      <c r="E272" s="33"/>
      <c r="F272" s="25"/>
      <c r="G272" s="25"/>
      <c r="H272" s="117"/>
      <c r="I272" s="55"/>
      <c r="P272" s="37" t="str">
        <f t="shared" ca="1" si="24"/>
        <v/>
      </c>
      <c r="Q272" s="37" t="str">
        <f t="shared" ca="1" si="25"/>
        <v/>
      </c>
      <c r="AB272" s="37" t="str">
        <f t="shared" si="26"/>
        <v/>
      </c>
    </row>
    <row r="273" spans="1:28" x14ac:dyDescent="0.25">
      <c r="A273" s="102"/>
      <c r="B273" s="33"/>
      <c r="C273" s="25"/>
      <c r="D273" s="26"/>
      <c r="E273" s="33"/>
      <c r="F273" s="25"/>
      <c r="G273" s="25"/>
      <c r="H273" s="117"/>
      <c r="I273" s="55"/>
      <c r="P273" s="37" t="str">
        <f t="shared" ca="1" si="24"/>
        <v/>
      </c>
      <c r="Q273" s="37" t="str">
        <f t="shared" ca="1" si="25"/>
        <v/>
      </c>
      <c r="AB273" s="37" t="str">
        <f t="shared" si="26"/>
        <v/>
      </c>
    </row>
    <row r="274" spans="1:28" x14ac:dyDescent="0.25">
      <c r="A274" s="102"/>
      <c r="B274" s="33"/>
      <c r="C274" s="25"/>
      <c r="D274" s="26"/>
      <c r="E274" s="33"/>
      <c r="F274" s="25"/>
      <c r="G274" s="25"/>
      <c r="H274" s="117"/>
      <c r="I274" s="55"/>
      <c r="P274" s="37" t="str">
        <f t="shared" ca="1" si="24"/>
        <v/>
      </c>
      <c r="Q274" s="37" t="str">
        <f t="shared" ca="1" si="25"/>
        <v/>
      </c>
      <c r="AB274" s="37" t="str">
        <f t="shared" si="26"/>
        <v/>
      </c>
    </row>
    <row r="275" spans="1:28" x14ac:dyDescent="0.25">
      <c r="A275" s="102"/>
      <c r="B275" s="33"/>
      <c r="C275" s="25"/>
      <c r="D275" s="26"/>
      <c r="E275" s="33"/>
      <c r="F275" s="25"/>
      <c r="G275" s="25"/>
      <c r="H275" s="117"/>
      <c r="I275" s="55"/>
      <c r="P275" s="37" t="str">
        <f t="shared" ca="1" si="24"/>
        <v/>
      </c>
      <c r="Q275" s="37" t="str">
        <f t="shared" ca="1" si="25"/>
        <v/>
      </c>
      <c r="AB275" s="37" t="str">
        <f t="shared" si="26"/>
        <v/>
      </c>
    </row>
    <row r="276" spans="1:28" x14ac:dyDescent="0.25">
      <c r="A276" s="102"/>
      <c r="B276" s="33"/>
      <c r="C276" s="25"/>
      <c r="D276" s="26"/>
      <c r="E276" s="33"/>
      <c r="F276" s="25"/>
      <c r="G276" s="25"/>
      <c r="H276" s="117"/>
      <c r="I276" s="55"/>
      <c r="P276" s="37" t="str">
        <f t="shared" ca="1" si="24"/>
        <v/>
      </c>
      <c r="Q276" s="37" t="str">
        <f t="shared" ca="1" si="25"/>
        <v/>
      </c>
      <c r="AB276" s="37" t="str">
        <f t="shared" si="26"/>
        <v/>
      </c>
    </row>
    <row r="277" spans="1:28" x14ac:dyDescent="0.25">
      <c r="A277" s="102"/>
      <c r="B277" s="33"/>
      <c r="C277" s="25"/>
      <c r="D277" s="26"/>
      <c r="E277" s="33"/>
      <c r="F277" s="25"/>
      <c r="G277" s="25"/>
      <c r="H277" s="117"/>
      <c r="I277" s="55"/>
      <c r="P277" s="37" t="str">
        <f t="shared" ca="1" si="24"/>
        <v/>
      </c>
      <c r="Q277" s="37" t="str">
        <f t="shared" ca="1" si="25"/>
        <v/>
      </c>
      <c r="AB277" s="37" t="str">
        <f t="shared" si="26"/>
        <v/>
      </c>
    </row>
    <row r="278" spans="1:28" x14ac:dyDescent="0.25">
      <c r="A278" s="102"/>
      <c r="B278" s="33"/>
      <c r="C278" s="25"/>
      <c r="D278" s="26"/>
      <c r="E278" s="33"/>
      <c r="F278" s="25"/>
      <c r="G278" s="25"/>
      <c r="H278" s="117"/>
      <c r="I278" s="55"/>
      <c r="P278" s="37" t="str">
        <f t="shared" ca="1" si="24"/>
        <v/>
      </c>
      <c r="Q278" s="37" t="str">
        <f t="shared" ca="1" si="25"/>
        <v/>
      </c>
      <c r="AB278" s="37" t="str">
        <f t="shared" si="26"/>
        <v/>
      </c>
    </row>
    <row r="279" spans="1:28" x14ac:dyDescent="0.25">
      <c r="A279" s="102"/>
      <c r="B279" s="33"/>
      <c r="C279" s="25"/>
      <c r="D279" s="26"/>
      <c r="E279" s="33"/>
      <c r="F279" s="25"/>
      <c r="G279" s="25"/>
      <c r="H279" s="117"/>
      <c r="I279" s="55"/>
      <c r="P279" s="37" t="str">
        <f t="shared" ca="1" si="24"/>
        <v/>
      </c>
      <c r="Q279" s="37" t="str">
        <f t="shared" ca="1" si="25"/>
        <v/>
      </c>
      <c r="AB279" s="37" t="str">
        <f t="shared" si="26"/>
        <v/>
      </c>
    </row>
    <row r="280" spans="1:28" x14ac:dyDescent="0.25">
      <c r="A280" s="102"/>
      <c r="B280" s="33"/>
      <c r="C280" s="25"/>
      <c r="D280" s="26"/>
      <c r="E280" s="33"/>
      <c r="F280" s="25"/>
      <c r="G280" s="25"/>
      <c r="H280" s="117"/>
      <c r="I280" s="55"/>
      <c r="P280" s="37" t="str">
        <f t="shared" ca="1" si="24"/>
        <v/>
      </c>
      <c r="Q280" s="37" t="str">
        <f t="shared" ca="1" si="25"/>
        <v/>
      </c>
      <c r="AB280" s="37" t="str">
        <f t="shared" si="26"/>
        <v/>
      </c>
    </row>
    <row r="281" spans="1:28" x14ac:dyDescent="0.25">
      <c r="A281" s="102"/>
      <c r="B281" s="33"/>
      <c r="C281" s="25"/>
      <c r="D281" s="26"/>
      <c r="E281" s="33"/>
      <c r="F281" s="25"/>
      <c r="G281" s="25"/>
      <c r="H281" s="117"/>
      <c r="I281" s="55"/>
      <c r="P281" s="37" t="str">
        <f t="shared" ca="1" si="24"/>
        <v/>
      </c>
      <c r="Q281" s="37" t="str">
        <f t="shared" ca="1" si="25"/>
        <v/>
      </c>
      <c r="AB281" s="37" t="str">
        <f t="shared" si="26"/>
        <v/>
      </c>
    </row>
    <row r="282" spans="1:28" x14ac:dyDescent="0.25">
      <c r="A282" s="102"/>
      <c r="B282" s="33"/>
      <c r="C282" s="25"/>
      <c r="D282" s="26"/>
      <c r="E282" s="33"/>
      <c r="F282" s="25"/>
      <c r="G282" s="25"/>
      <c r="H282" s="117"/>
      <c r="I282" s="55"/>
      <c r="P282" s="37" t="str">
        <f t="shared" ca="1" si="24"/>
        <v/>
      </c>
      <c r="Q282" s="37" t="str">
        <f t="shared" ca="1" si="25"/>
        <v/>
      </c>
      <c r="AB282" s="37" t="str">
        <f t="shared" si="26"/>
        <v/>
      </c>
    </row>
    <row r="283" spans="1:28" x14ac:dyDescent="0.25">
      <c r="A283" s="102"/>
      <c r="B283" s="33"/>
      <c r="C283" s="25"/>
      <c r="D283" s="26"/>
      <c r="E283" s="33"/>
      <c r="F283" s="25"/>
      <c r="G283" s="25"/>
      <c r="H283" s="117"/>
      <c r="I283" s="55"/>
      <c r="P283" s="37" t="str">
        <f t="shared" ca="1" si="24"/>
        <v/>
      </c>
      <c r="Q283" s="37" t="str">
        <f t="shared" ca="1" si="25"/>
        <v/>
      </c>
      <c r="AB283" s="37" t="str">
        <f t="shared" si="26"/>
        <v/>
      </c>
    </row>
    <row r="284" spans="1:28" x14ac:dyDescent="0.25">
      <c r="A284" s="102"/>
      <c r="B284" s="33"/>
      <c r="C284" s="25"/>
      <c r="D284" s="26"/>
      <c r="E284" s="33"/>
      <c r="F284" s="25"/>
      <c r="G284" s="25"/>
      <c r="H284" s="117"/>
      <c r="I284" s="55"/>
      <c r="P284" s="37" t="str">
        <f t="shared" ca="1" si="24"/>
        <v/>
      </c>
      <c r="Q284" s="37" t="str">
        <f t="shared" ca="1" si="25"/>
        <v/>
      </c>
      <c r="AB284" s="37" t="str">
        <f t="shared" si="26"/>
        <v/>
      </c>
    </row>
    <row r="285" spans="1:28" x14ac:dyDescent="0.25">
      <c r="A285" s="102"/>
      <c r="B285" s="33"/>
      <c r="C285" s="25"/>
      <c r="D285" s="26"/>
      <c r="E285" s="33"/>
      <c r="F285" s="25"/>
      <c r="G285" s="25"/>
      <c r="H285" s="117"/>
      <c r="I285" s="55"/>
      <c r="P285" s="37" t="str">
        <f t="shared" ca="1" si="24"/>
        <v/>
      </c>
      <c r="Q285" s="37" t="str">
        <f t="shared" ca="1" si="25"/>
        <v/>
      </c>
      <c r="AB285" s="37" t="str">
        <f t="shared" si="26"/>
        <v/>
      </c>
    </row>
    <row r="286" spans="1:28" x14ac:dyDescent="0.25">
      <c r="A286" s="102"/>
      <c r="B286" s="33"/>
      <c r="C286" s="25"/>
      <c r="D286" s="26"/>
      <c r="E286" s="33"/>
      <c r="F286" s="25"/>
      <c r="G286" s="25"/>
      <c r="H286" s="117"/>
      <c r="I286" s="55"/>
      <c r="P286" s="37" t="str">
        <f t="shared" ca="1" si="24"/>
        <v/>
      </c>
      <c r="Q286" s="37" t="str">
        <f t="shared" ca="1" si="25"/>
        <v/>
      </c>
      <c r="AB286" s="37" t="str">
        <f t="shared" si="26"/>
        <v/>
      </c>
    </row>
    <row r="287" spans="1:28" x14ac:dyDescent="0.25">
      <c r="A287" s="102"/>
      <c r="B287" s="33"/>
      <c r="C287" s="25"/>
      <c r="D287" s="26"/>
      <c r="E287" s="33"/>
      <c r="F287" s="25"/>
      <c r="G287" s="25"/>
      <c r="H287" s="117"/>
      <c r="I287" s="55"/>
      <c r="P287" s="37" t="str">
        <f t="shared" ca="1" si="24"/>
        <v/>
      </c>
      <c r="Q287" s="37" t="str">
        <f t="shared" ca="1" si="25"/>
        <v/>
      </c>
      <c r="AB287" s="37" t="str">
        <f t="shared" si="26"/>
        <v/>
      </c>
    </row>
    <row r="288" spans="1:28" x14ac:dyDescent="0.25">
      <c r="A288" s="102"/>
      <c r="B288" s="33"/>
      <c r="C288" s="25"/>
      <c r="D288" s="26"/>
      <c r="E288" s="33"/>
      <c r="F288" s="25"/>
      <c r="G288" s="25"/>
      <c r="H288" s="117"/>
      <c r="I288" s="55"/>
      <c r="P288" s="37" t="str">
        <f t="shared" ca="1" si="24"/>
        <v/>
      </c>
      <c r="Q288" s="37" t="str">
        <f t="shared" ca="1" si="25"/>
        <v/>
      </c>
      <c r="AB288" s="37" t="str">
        <f t="shared" si="26"/>
        <v/>
      </c>
    </row>
    <row r="289" spans="1:28" x14ac:dyDescent="0.25">
      <c r="A289" s="102"/>
      <c r="B289" s="33"/>
      <c r="C289" s="25"/>
      <c r="D289" s="26"/>
      <c r="E289" s="33"/>
      <c r="F289" s="25"/>
      <c r="G289" s="25"/>
      <c r="H289" s="117"/>
      <c r="I289" s="55"/>
      <c r="P289" s="37" t="str">
        <f t="shared" ca="1" si="24"/>
        <v/>
      </c>
      <c r="Q289" s="37" t="str">
        <f t="shared" ca="1" si="25"/>
        <v/>
      </c>
      <c r="AB289" s="37" t="str">
        <f t="shared" si="26"/>
        <v/>
      </c>
    </row>
    <row r="290" spans="1:28" x14ac:dyDescent="0.25">
      <c r="A290" s="102"/>
      <c r="B290" s="33"/>
      <c r="C290" s="25"/>
      <c r="D290" s="26"/>
      <c r="E290" s="33"/>
      <c r="F290" s="25"/>
      <c r="G290" s="25"/>
      <c r="H290" s="117"/>
      <c r="I290" s="55"/>
      <c r="P290" s="37" t="str">
        <f t="shared" ca="1" si="24"/>
        <v/>
      </c>
      <c r="Q290" s="37" t="str">
        <f t="shared" ca="1" si="25"/>
        <v/>
      </c>
      <c r="AB290" s="37" t="str">
        <f t="shared" si="26"/>
        <v/>
      </c>
    </row>
    <row r="291" spans="1:28" x14ac:dyDescent="0.25">
      <c r="A291" s="102"/>
      <c r="B291" s="33"/>
      <c r="C291" s="25"/>
      <c r="D291" s="26"/>
      <c r="E291" s="33"/>
      <c r="F291" s="25"/>
      <c r="G291" s="25"/>
      <c r="H291" s="117"/>
      <c r="I291" s="55"/>
      <c r="P291" s="37" t="str">
        <f t="shared" ca="1" si="24"/>
        <v/>
      </c>
      <c r="Q291" s="37" t="str">
        <f t="shared" ca="1" si="25"/>
        <v/>
      </c>
      <c r="AB291" s="37" t="str">
        <f t="shared" si="26"/>
        <v/>
      </c>
    </row>
    <row r="292" spans="1:28" x14ac:dyDescent="0.25">
      <c r="A292" s="102"/>
      <c r="B292" s="33"/>
      <c r="C292" s="25"/>
      <c r="D292" s="26"/>
      <c r="E292" s="33"/>
      <c r="F292" s="25"/>
      <c r="G292" s="25"/>
      <c r="H292" s="117"/>
      <c r="I292" s="55"/>
      <c r="P292" s="37" t="str">
        <f t="shared" ca="1" si="24"/>
        <v/>
      </c>
      <c r="Q292" s="37" t="str">
        <f t="shared" ca="1" si="25"/>
        <v/>
      </c>
      <c r="AB292" s="37" t="str">
        <f t="shared" si="26"/>
        <v/>
      </c>
    </row>
    <row r="293" spans="1:28" x14ac:dyDescent="0.25">
      <c r="A293" s="102"/>
      <c r="B293" s="33"/>
      <c r="C293" s="25"/>
      <c r="D293" s="26"/>
      <c r="E293" s="33"/>
      <c r="F293" s="25"/>
      <c r="G293" s="25"/>
      <c r="H293" s="117"/>
      <c r="I293" s="55"/>
      <c r="P293" s="37" t="str">
        <f t="shared" ca="1" si="24"/>
        <v/>
      </c>
      <c r="Q293" s="37" t="str">
        <f t="shared" ca="1" si="25"/>
        <v/>
      </c>
      <c r="AB293" s="37" t="str">
        <f t="shared" si="26"/>
        <v/>
      </c>
    </row>
    <row r="294" spans="1:28" x14ac:dyDescent="0.25">
      <c r="A294" s="102"/>
      <c r="B294" s="33"/>
      <c r="C294" s="25"/>
      <c r="D294" s="26"/>
      <c r="E294" s="33"/>
      <c r="F294" s="25"/>
      <c r="G294" s="25"/>
      <c r="H294" s="117"/>
      <c r="I294" s="55"/>
      <c r="P294" s="37" t="str">
        <f t="shared" ca="1" si="24"/>
        <v/>
      </c>
      <c r="Q294" s="37" t="str">
        <f t="shared" ca="1" si="25"/>
        <v/>
      </c>
      <c r="AB294" s="37" t="str">
        <f t="shared" si="26"/>
        <v/>
      </c>
    </row>
    <row r="295" spans="1:28" x14ac:dyDescent="0.25">
      <c r="A295" s="102"/>
      <c r="B295" s="33"/>
      <c r="C295" s="25"/>
      <c r="D295" s="26"/>
      <c r="E295" s="33"/>
      <c r="F295" s="25"/>
      <c r="G295" s="25"/>
      <c r="H295" s="117"/>
      <c r="I295" s="55"/>
      <c r="P295" s="37" t="str">
        <f t="shared" ca="1" si="24"/>
        <v/>
      </c>
      <c r="Q295" s="37" t="str">
        <f t="shared" ca="1" si="25"/>
        <v/>
      </c>
      <c r="AB295" s="37" t="str">
        <f t="shared" si="26"/>
        <v/>
      </c>
    </row>
    <row r="296" spans="1:28" x14ac:dyDescent="0.25">
      <c r="A296" s="102"/>
      <c r="B296" s="33"/>
      <c r="C296" s="25"/>
      <c r="D296" s="26"/>
      <c r="E296" s="33"/>
      <c r="F296" s="25"/>
      <c r="G296" s="25"/>
      <c r="H296" s="117"/>
      <c r="I296" s="55"/>
      <c r="P296" s="37" t="str">
        <f t="shared" ca="1" si="24"/>
        <v/>
      </c>
      <c r="Q296" s="37" t="str">
        <f t="shared" ca="1" si="25"/>
        <v/>
      </c>
      <c r="AB296" s="37" t="str">
        <f t="shared" si="26"/>
        <v/>
      </c>
    </row>
    <row r="297" spans="1:28" x14ac:dyDescent="0.25">
      <c r="A297" s="102"/>
      <c r="B297" s="33"/>
      <c r="C297" s="25"/>
      <c r="D297" s="26"/>
      <c r="E297" s="33"/>
      <c r="F297" s="25"/>
      <c r="G297" s="25"/>
      <c r="H297" s="117"/>
      <c r="I297" s="55"/>
      <c r="P297" s="37" t="str">
        <f t="shared" ca="1" si="24"/>
        <v/>
      </c>
      <c r="Q297" s="37" t="str">
        <f t="shared" ca="1" si="25"/>
        <v/>
      </c>
      <c r="AB297" s="37" t="str">
        <f t="shared" si="26"/>
        <v/>
      </c>
    </row>
    <row r="298" spans="1:28" x14ac:dyDescent="0.25">
      <c r="A298" s="102"/>
      <c r="B298" s="33"/>
      <c r="C298" s="25"/>
      <c r="D298" s="26"/>
      <c r="E298" s="33"/>
      <c r="F298" s="25"/>
      <c r="G298" s="25"/>
      <c r="H298" s="117"/>
      <c r="I298" s="55"/>
      <c r="P298" s="37" t="str">
        <f t="shared" ca="1" si="24"/>
        <v/>
      </c>
      <c r="Q298" s="37" t="str">
        <f t="shared" ca="1" si="25"/>
        <v/>
      </c>
      <c r="AB298" s="37" t="str">
        <f t="shared" si="26"/>
        <v/>
      </c>
    </row>
    <row r="299" spans="1:28" x14ac:dyDescent="0.25">
      <c r="A299" s="102"/>
      <c r="B299" s="33"/>
      <c r="C299" s="25"/>
      <c r="D299" s="26"/>
      <c r="E299" s="33"/>
      <c r="F299" s="25"/>
      <c r="G299" s="25"/>
      <c r="H299" s="117"/>
      <c r="I299" s="55"/>
      <c r="P299" s="37" t="str">
        <f t="shared" ca="1" si="24"/>
        <v/>
      </c>
      <c r="Q299" s="37" t="str">
        <f t="shared" ca="1" si="25"/>
        <v/>
      </c>
      <c r="AB299" s="37" t="str">
        <f t="shared" si="26"/>
        <v/>
      </c>
    </row>
    <row r="300" spans="1:28" x14ac:dyDescent="0.25">
      <c r="A300" s="102"/>
      <c r="B300" s="33"/>
      <c r="C300" s="25"/>
      <c r="D300" s="26"/>
      <c r="E300" s="33"/>
      <c r="F300" s="25"/>
      <c r="G300" s="25"/>
      <c r="H300" s="117"/>
      <c r="I300" s="55"/>
      <c r="P300" s="37" t="str">
        <f t="shared" ca="1" si="24"/>
        <v/>
      </c>
      <c r="Q300" s="37" t="str">
        <f t="shared" ca="1" si="25"/>
        <v/>
      </c>
      <c r="AB300" s="37" t="str">
        <f t="shared" si="26"/>
        <v/>
      </c>
    </row>
    <row r="301" spans="1:28" x14ac:dyDescent="0.25">
      <c r="A301" s="102"/>
      <c r="B301" s="33"/>
      <c r="C301" s="25"/>
      <c r="D301" s="26"/>
      <c r="E301" s="33"/>
      <c r="F301" s="25"/>
      <c r="G301" s="25"/>
      <c r="H301" s="117"/>
      <c r="I301" s="55"/>
      <c r="P301" s="37" t="str">
        <f t="shared" ca="1" si="24"/>
        <v/>
      </c>
      <c r="Q301" s="37" t="str">
        <f t="shared" ca="1" si="25"/>
        <v/>
      </c>
      <c r="AB301" s="37" t="str">
        <f t="shared" si="26"/>
        <v/>
      </c>
    </row>
    <row r="302" spans="1:28" x14ac:dyDescent="0.25">
      <c r="A302" s="102"/>
      <c r="B302" s="33"/>
      <c r="C302" s="25"/>
      <c r="D302" s="26"/>
      <c r="E302" s="33"/>
      <c r="F302" s="25"/>
      <c r="G302" s="25"/>
      <c r="H302" s="117"/>
      <c r="I302" s="55"/>
      <c r="P302" s="37" t="str">
        <f t="shared" ca="1" si="24"/>
        <v/>
      </c>
      <c r="Q302" s="37" t="str">
        <f t="shared" ca="1" si="25"/>
        <v/>
      </c>
      <c r="AB302" s="37" t="str">
        <f t="shared" si="26"/>
        <v/>
      </c>
    </row>
    <row r="303" spans="1:28" x14ac:dyDescent="0.25">
      <c r="A303" s="102"/>
      <c r="B303" s="33"/>
      <c r="C303" s="25"/>
      <c r="D303" s="26"/>
      <c r="E303" s="33"/>
      <c r="F303" s="25"/>
      <c r="G303" s="25"/>
      <c r="H303" s="117"/>
      <c r="I303" s="55"/>
      <c r="P303" s="37" t="str">
        <f t="shared" ca="1" si="24"/>
        <v/>
      </c>
      <c r="Q303" s="37" t="str">
        <f t="shared" ca="1" si="25"/>
        <v/>
      </c>
      <c r="AB303" s="37" t="str">
        <f t="shared" si="26"/>
        <v/>
      </c>
    </row>
    <row r="304" spans="1:28" x14ac:dyDescent="0.25">
      <c r="A304" s="102"/>
      <c r="B304" s="33"/>
      <c r="C304" s="25"/>
      <c r="D304" s="26"/>
      <c r="E304" s="33"/>
      <c r="F304" s="25"/>
      <c r="G304" s="25"/>
      <c r="H304" s="117"/>
      <c r="I304" s="55"/>
      <c r="P304" s="37" t="str">
        <f t="shared" ca="1" si="24"/>
        <v/>
      </c>
      <c r="Q304" s="37" t="str">
        <f t="shared" ca="1" si="25"/>
        <v/>
      </c>
      <c r="AB304" s="37" t="str">
        <f t="shared" si="26"/>
        <v/>
      </c>
    </row>
    <row r="305" spans="1:28" x14ac:dyDescent="0.25">
      <c r="A305" s="102"/>
      <c r="B305" s="33"/>
      <c r="C305" s="25"/>
      <c r="D305" s="26"/>
      <c r="E305" s="33"/>
      <c r="F305" s="25"/>
      <c r="G305" s="25"/>
      <c r="H305" s="117"/>
      <c r="I305" s="55"/>
      <c r="P305" s="37" t="str">
        <f t="shared" ca="1" si="24"/>
        <v/>
      </c>
      <c r="Q305" s="37" t="str">
        <f t="shared" ca="1" si="25"/>
        <v/>
      </c>
      <c r="AB305" s="37" t="str">
        <f t="shared" si="26"/>
        <v/>
      </c>
    </row>
    <row r="306" spans="1:28" x14ac:dyDescent="0.25">
      <c r="A306" s="102"/>
      <c r="B306" s="33"/>
      <c r="C306" s="25"/>
      <c r="D306" s="26"/>
      <c r="E306" s="33"/>
      <c r="F306" s="25"/>
      <c r="G306" s="25"/>
      <c r="H306" s="117"/>
      <c r="I306" s="55"/>
      <c r="P306" s="37" t="str">
        <f t="shared" ca="1" si="24"/>
        <v/>
      </c>
      <c r="Q306" s="37" t="str">
        <f t="shared" ca="1" si="25"/>
        <v/>
      </c>
      <c r="AB306" s="37" t="str">
        <f t="shared" si="26"/>
        <v/>
      </c>
    </row>
    <row r="307" spans="1:28" x14ac:dyDescent="0.25">
      <c r="A307" s="102"/>
      <c r="B307" s="33"/>
      <c r="C307" s="25"/>
      <c r="D307" s="26"/>
      <c r="E307" s="33"/>
      <c r="F307" s="25"/>
      <c r="G307" s="25"/>
      <c r="H307" s="117"/>
      <c r="I307" s="55"/>
      <c r="P307" s="37" t="str">
        <f t="shared" ca="1" si="24"/>
        <v/>
      </c>
      <c r="Q307" s="37" t="str">
        <f t="shared" ca="1" si="25"/>
        <v/>
      </c>
      <c r="AB307" s="37" t="str">
        <f t="shared" si="26"/>
        <v/>
      </c>
    </row>
    <row r="308" spans="1:28" x14ac:dyDescent="0.25">
      <c r="A308" s="102"/>
      <c r="B308" s="33"/>
      <c r="C308" s="25"/>
      <c r="D308" s="26"/>
      <c r="E308" s="33"/>
      <c r="F308" s="25"/>
      <c r="G308" s="25"/>
      <c r="H308" s="117"/>
      <c r="I308" s="55"/>
      <c r="P308" s="37" t="str">
        <f t="shared" ca="1" si="24"/>
        <v/>
      </c>
      <c r="Q308" s="37" t="str">
        <f t="shared" ca="1" si="25"/>
        <v/>
      </c>
      <c r="AB308" s="37" t="str">
        <f t="shared" si="26"/>
        <v/>
      </c>
    </row>
    <row r="309" spans="1:28" x14ac:dyDescent="0.25">
      <c r="A309" s="102"/>
      <c r="B309" s="33"/>
      <c r="C309" s="25"/>
      <c r="D309" s="26"/>
      <c r="E309" s="33"/>
      <c r="F309" s="25"/>
      <c r="G309" s="25"/>
      <c r="H309" s="117"/>
      <c r="I309" s="55"/>
      <c r="P309" s="37" t="str">
        <f t="shared" ca="1" si="24"/>
        <v/>
      </c>
      <c r="Q309" s="37" t="str">
        <f t="shared" ca="1" si="25"/>
        <v/>
      </c>
      <c r="AB309" s="37" t="str">
        <f t="shared" si="26"/>
        <v/>
      </c>
    </row>
    <row r="310" spans="1:28" x14ac:dyDescent="0.25">
      <c r="A310" s="102"/>
      <c r="B310" s="33"/>
      <c r="C310" s="25"/>
      <c r="D310" s="26"/>
      <c r="E310" s="33"/>
      <c r="F310" s="25"/>
      <c r="G310" s="25"/>
      <c r="H310" s="117"/>
      <c r="I310" s="55"/>
      <c r="P310" s="37" t="str">
        <f t="shared" ca="1" si="24"/>
        <v/>
      </c>
      <c r="Q310" s="37" t="str">
        <f t="shared" ca="1" si="25"/>
        <v/>
      </c>
      <c r="AB310" s="37" t="str">
        <f t="shared" si="26"/>
        <v/>
      </c>
    </row>
    <row r="311" spans="1:28" x14ac:dyDescent="0.25">
      <c r="A311" s="102"/>
      <c r="B311" s="33"/>
      <c r="C311" s="25"/>
      <c r="D311" s="26"/>
      <c r="E311" s="33"/>
      <c r="F311" s="25"/>
      <c r="G311" s="25"/>
      <c r="H311" s="117"/>
      <c r="I311" s="55"/>
      <c r="P311" s="37" t="str">
        <f t="shared" ca="1" si="24"/>
        <v/>
      </c>
      <c r="Q311" s="37" t="str">
        <f t="shared" ca="1" si="25"/>
        <v/>
      </c>
      <c r="AB311" s="37" t="str">
        <f t="shared" si="26"/>
        <v/>
      </c>
    </row>
    <row r="312" spans="1:28" x14ac:dyDescent="0.25">
      <c r="A312" s="102"/>
      <c r="B312" s="33"/>
      <c r="C312" s="25"/>
      <c r="D312" s="26"/>
      <c r="E312" s="33"/>
      <c r="F312" s="25"/>
      <c r="G312" s="25"/>
      <c r="H312" s="117"/>
      <c r="I312" s="55"/>
      <c r="P312" s="37" t="str">
        <f t="shared" ca="1" si="24"/>
        <v/>
      </c>
      <c r="Q312" s="37" t="str">
        <f t="shared" ca="1" si="25"/>
        <v/>
      </c>
      <c r="AB312" s="37" t="str">
        <f t="shared" si="26"/>
        <v/>
      </c>
    </row>
    <row r="313" spans="1:28" x14ac:dyDescent="0.25">
      <c r="A313" s="102"/>
      <c r="B313" s="33"/>
      <c r="C313" s="25"/>
      <c r="D313" s="26"/>
      <c r="E313" s="33"/>
      <c r="F313" s="25"/>
      <c r="G313" s="25"/>
      <c r="H313" s="117"/>
      <c r="I313" s="55"/>
      <c r="P313" s="37" t="str">
        <f t="shared" ca="1" si="24"/>
        <v/>
      </c>
      <c r="Q313" s="37" t="str">
        <f t="shared" ca="1" si="25"/>
        <v/>
      </c>
      <c r="AB313" s="37" t="str">
        <f t="shared" si="26"/>
        <v/>
      </c>
    </row>
    <row r="314" spans="1:28" x14ac:dyDescent="0.25">
      <c r="A314" s="102"/>
      <c r="B314" s="33"/>
      <c r="C314" s="25"/>
      <c r="D314" s="26"/>
      <c r="E314" s="33"/>
      <c r="F314" s="25"/>
      <c r="G314" s="25"/>
      <c r="H314" s="117"/>
      <c r="I314" s="55"/>
      <c r="P314" s="37" t="str">
        <f t="shared" ca="1" si="24"/>
        <v/>
      </c>
      <c r="Q314" s="37" t="str">
        <f t="shared" ca="1" si="25"/>
        <v/>
      </c>
      <c r="AB314" s="37" t="str">
        <f t="shared" si="26"/>
        <v/>
      </c>
    </row>
    <row r="315" spans="1:28" x14ac:dyDescent="0.25">
      <c r="A315" s="102"/>
      <c r="B315" s="33"/>
      <c r="C315" s="25"/>
      <c r="D315" s="26"/>
      <c r="E315" s="33"/>
      <c r="F315" s="25"/>
      <c r="G315" s="25"/>
      <c r="H315" s="117"/>
      <c r="I315" s="55"/>
      <c r="P315" s="37" t="str">
        <f t="shared" ca="1" si="24"/>
        <v/>
      </c>
      <c r="Q315" s="37" t="str">
        <f t="shared" ca="1" si="25"/>
        <v/>
      </c>
      <c r="AB315" s="37" t="str">
        <f t="shared" si="26"/>
        <v/>
      </c>
    </row>
    <row r="316" spans="1:28" ht="15.75" thickBot="1" x14ac:dyDescent="0.3">
      <c r="A316" s="102"/>
      <c r="B316" s="33"/>
      <c r="C316" s="25"/>
      <c r="D316" s="26"/>
      <c r="E316" s="33"/>
      <c r="F316" s="25"/>
      <c r="G316" s="25"/>
      <c r="H316" s="118"/>
      <c r="I316" s="55"/>
      <c r="P316" s="37" t="str">
        <f t="shared" ca="1" si="24"/>
        <v/>
      </c>
      <c r="Q316" s="37" t="str">
        <f t="shared" ca="1" si="25"/>
        <v/>
      </c>
      <c r="AB316" s="37" t="str">
        <f t="shared" si="26"/>
        <v/>
      </c>
    </row>
    <row r="317" spans="1:28" x14ac:dyDescent="0.25">
      <c r="A317" s="102"/>
      <c r="B317" s="33"/>
      <c r="C317" s="25"/>
      <c r="D317" s="26"/>
      <c r="E317" s="33"/>
      <c r="F317" s="25"/>
      <c r="G317" s="25"/>
      <c r="H317" s="25"/>
      <c r="I317" s="55"/>
      <c r="P317" s="37" t="str">
        <f t="shared" ca="1" si="24"/>
        <v/>
      </c>
      <c r="Q317" s="37" t="str">
        <f t="shared" ca="1" si="25"/>
        <v/>
      </c>
      <c r="AB317" s="37" t="str">
        <f t="shared" si="26"/>
        <v/>
      </c>
    </row>
    <row r="318" spans="1:28" x14ac:dyDescent="0.25">
      <c r="A318" s="102"/>
      <c r="B318" s="33"/>
      <c r="C318" s="25"/>
      <c r="D318" s="26"/>
      <c r="E318" s="33"/>
      <c r="F318" s="25"/>
      <c r="G318" s="25"/>
      <c r="H318" s="25"/>
      <c r="I318" s="55"/>
      <c r="P318" s="37" t="str">
        <f t="shared" ca="1" si="24"/>
        <v/>
      </c>
      <c r="Q318" s="37" t="str">
        <f t="shared" ca="1" si="25"/>
        <v/>
      </c>
      <c r="AB318" s="37" t="str">
        <f t="shared" si="26"/>
        <v/>
      </c>
    </row>
    <row r="319" spans="1:28" x14ac:dyDescent="0.25">
      <c r="A319" s="102"/>
      <c r="B319" s="33"/>
      <c r="C319" s="25"/>
      <c r="D319" s="26"/>
      <c r="E319" s="33"/>
      <c r="F319" s="25"/>
      <c r="G319" s="25"/>
      <c r="H319" s="25"/>
      <c r="I319" s="55"/>
      <c r="P319" s="37" t="str">
        <f t="shared" ca="1" si="24"/>
        <v/>
      </c>
      <c r="Q319" s="37" t="str">
        <f t="shared" ca="1" si="25"/>
        <v/>
      </c>
      <c r="AB319" s="37" t="str">
        <f t="shared" si="26"/>
        <v/>
      </c>
    </row>
    <row r="320" spans="1:28" x14ac:dyDescent="0.25">
      <c r="A320" s="102"/>
      <c r="B320" s="33"/>
      <c r="C320" s="25"/>
      <c r="D320" s="26"/>
      <c r="E320" s="33"/>
      <c r="F320" s="25"/>
      <c r="G320" s="25"/>
      <c r="H320" s="25"/>
      <c r="I320" s="55"/>
      <c r="P320" s="37" t="str">
        <f t="shared" ca="1" si="24"/>
        <v/>
      </c>
      <c r="Q320" s="37" t="str">
        <f t="shared" ca="1" si="25"/>
        <v/>
      </c>
      <c r="AB320" s="37" t="str">
        <f t="shared" si="26"/>
        <v/>
      </c>
    </row>
    <row r="321" spans="1:28" x14ac:dyDescent="0.25">
      <c r="A321" s="102"/>
      <c r="B321" s="33"/>
      <c r="C321" s="25"/>
      <c r="D321" s="26"/>
      <c r="E321" s="33"/>
      <c r="F321" s="25"/>
      <c r="G321" s="25"/>
      <c r="H321" s="25"/>
      <c r="I321" s="55"/>
      <c r="P321" s="37" t="str">
        <f t="shared" ca="1" si="24"/>
        <v/>
      </c>
      <c r="Q321" s="37" t="str">
        <f t="shared" ca="1" si="25"/>
        <v/>
      </c>
      <c r="AB321" s="37" t="str">
        <f t="shared" si="26"/>
        <v/>
      </c>
    </row>
    <row r="322" spans="1:28" x14ac:dyDescent="0.25">
      <c r="A322" s="102"/>
      <c r="B322" s="33"/>
      <c r="C322" s="25"/>
      <c r="D322" s="26"/>
      <c r="E322" s="33"/>
      <c r="F322" s="25"/>
      <c r="G322" s="25"/>
      <c r="H322" s="25"/>
      <c r="I322" s="55"/>
      <c r="P322" s="37" t="str">
        <f t="shared" ca="1" si="24"/>
        <v/>
      </c>
      <c r="Q322" s="37" t="str">
        <f t="shared" ca="1" si="25"/>
        <v/>
      </c>
      <c r="AB322" s="37" t="str">
        <f t="shared" si="26"/>
        <v/>
      </c>
    </row>
    <row r="323" spans="1:28" x14ac:dyDescent="0.25">
      <c r="A323" s="102"/>
      <c r="B323" s="33"/>
      <c r="C323" s="25"/>
      <c r="D323" s="26"/>
      <c r="E323" s="33"/>
      <c r="F323" s="25"/>
      <c r="G323" s="25"/>
      <c r="H323" s="25"/>
      <c r="I323" s="55"/>
      <c r="P323" s="37" t="str">
        <f t="shared" ca="1" si="24"/>
        <v/>
      </c>
      <c r="Q323" s="37" t="str">
        <f t="shared" ca="1" si="25"/>
        <v/>
      </c>
      <c r="AB323" s="37" t="str">
        <f t="shared" si="26"/>
        <v/>
      </c>
    </row>
    <row r="324" spans="1:28" x14ac:dyDescent="0.25">
      <c r="A324" s="102"/>
      <c r="B324" s="33"/>
      <c r="C324" s="25"/>
      <c r="D324" s="26"/>
      <c r="E324" s="33"/>
      <c r="F324" s="25"/>
      <c r="G324" s="25"/>
      <c r="H324" s="25"/>
      <c r="I324" s="55"/>
      <c r="P324" s="37" t="str">
        <f t="shared" ref="P324:P387" ca="1" si="27">IF(COUNTIF(N:N,L324),L324,"")</f>
        <v/>
      </c>
      <c r="Q324" s="37" t="str">
        <f t="shared" ref="Q324:Q387" ca="1" si="28">IF(P324&gt;$A$14,P324,"")</f>
        <v/>
      </c>
      <c r="AB324" s="37" t="str">
        <f t="shared" ref="AB324:AB387" si="29">IF(COUNTIF(Z:Z,X324),X324,"")</f>
        <v/>
      </c>
    </row>
    <row r="325" spans="1:28" x14ac:dyDescent="0.25">
      <c r="A325" s="102"/>
      <c r="B325" s="33"/>
      <c r="C325" s="25"/>
      <c r="D325" s="26"/>
      <c r="E325" s="33"/>
      <c r="F325" s="25"/>
      <c r="G325" s="25"/>
      <c r="H325" s="25"/>
      <c r="I325" s="55"/>
      <c r="P325" s="37" t="str">
        <f t="shared" ca="1" si="27"/>
        <v/>
      </c>
      <c r="Q325" s="37" t="str">
        <f t="shared" ca="1" si="28"/>
        <v/>
      </c>
      <c r="AB325" s="37" t="str">
        <f t="shared" si="29"/>
        <v/>
      </c>
    </row>
    <row r="326" spans="1:28" x14ac:dyDescent="0.25">
      <c r="A326" s="102"/>
      <c r="B326" s="33"/>
      <c r="C326" s="25"/>
      <c r="D326" s="26"/>
      <c r="E326" s="33"/>
      <c r="F326" s="25"/>
      <c r="G326" s="25"/>
      <c r="H326" s="25"/>
      <c r="I326" s="55"/>
      <c r="P326" s="37" t="str">
        <f t="shared" ca="1" si="27"/>
        <v/>
      </c>
      <c r="Q326" s="37" t="str">
        <f t="shared" ca="1" si="28"/>
        <v/>
      </c>
      <c r="AB326" s="37" t="str">
        <f t="shared" si="29"/>
        <v/>
      </c>
    </row>
    <row r="327" spans="1:28" x14ac:dyDescent="0.25">
      <c r="A327" s="102"/>
      <c r="B327" s="33"/>
      <c r="C327" s="25"/>
      <c r="D327" s="26"/>
      <c r="E327" s="33"/>
      <c r="F327" s="25"/>
      <c r="G327" s="25"/>
      <c r="H327" s="25"/>
      <c r="I327" s="55"/>
      <c r="P327" s="37" t="str">
        <f t="shared" ca="1" si="27"/>
        <v/>
      </c>
      <c r="Q327" s="37" t="str">
        <f t="shared" ca="1" si="28"/>
        <v/>
      </c>
      <c r="AB327" s="37" t="str">
        <f t="shared" si="29"/>
        <v/>
      </c>
    </row>
    <row r="328" spans="1:28" x14ac:dyDescent="0.25">
      <c r="A328" s="102"/>
      <c r="B328" s="33"/>
      <c r="C328" s="25"/>
      <c r="D328" s="26"/>
      <c r="E328" s="33"/>
      <c r="F328" s="25"/>
      <c r="G328" s="25"/>
      <c r="H328" s="25"/>
      <c r="I328" s="55"/>
      <c r="P328" s="37" t="str">
        <f t="shared" ca="1" si="27"/>
        <v/>
      </c>
      <c r="Q328" s="37" t="str">
        <f t="shared" ca="1" si="28"/>
        <v/>
      </c>
      <c r="AB328" s="37" t="str">
        <f t="shared" si="29"/>
        <v/>
      </c>
    </row>
    <row r="329" spans="1:28" x14ac:dyDescent="0.25">
      <c r="A329" s="102"/>
      <c r="B329" s="33"/>
      <c r="C329" s="25"/>
      <c r="D329" s="26"/>
      <c r="E329" s="33"/>
      <c r="F329" s="25"/>
      <c r="G329" s="25"/>
      <c r="H329" s="25"/>
      <c r="I329" s="55"/>
      <c r="P329" s="37" t="str">
        <f t="shared" ca="1" si="27"/>
        <v/>
      </c>
      <c r="Q329" s="37" t="str">
        <f t="shared" ca="1" si="28"/>
        <v/>
      </c>
      <c r="AB329" s="37" t="str">
        <f t="shared" si="29"/>
        <v/>
      </c>
    </row>
    <row r="330" spans="1:28" x14ac:dyDescent="0.25">
      <c r="A330" s="102"/>
      <c r="B330" s="33"/>
      <c r="C330" s="25"/>
      <c r="D330" s="26"/>
      <c r="E330" s="33"/>
      <c r="F330" s="25"/>
      <c r="G330" s="25"/>
      <c r="H330" s="25"/>
      <c r="I330" s="55"/>
      <c r="P330" s="37" t="str">
        <f t="shared" ca="1" si="27"/>
        <v/>
      </c>
      <c r="Q330" s="37" t="str">
        <f t="shared" ca="1" si="28"/>
        <v/>
      </c>
      <c r="AB330" s="37" t="str">
        <f t="shared" si="29"/>
        <v/>
      </c>
    </row>
    <row r="331" spans="1:28" x14ac:dyDescent="0.25">
      <c r="A331" s="102"/>
      <c r="B331" s="33"/>
      <c r="C331" s="25"/>
      <c r="D331" s="26"/>
      <c r="E331" s="33"/>
      <c r="F331" s="25"/>
      <c r="G331" s="25"/>
      <c r="H331" s="25"/>
      <c r="I331" s="55"/>
      <c r="P331" s="37" t="str">
        <f t="shared" ca="1" si="27"/>
        <v/>
      </c>
      <c r="Q331" s="37" t="str">
        <f t="shared" ca="1" si="28"/>
        <v/>
      </c>
      <c r="AB331" s="37" t="str">
        <f t="shared" si="29"/>
        <v/>
      </c>
    </row>
    <row r="332" spans="1:28" x14ac:dyDescent="0.25">
      <c r="A332" s="102"/>
      <c r="B332" s="33"/>
      <c r="C332" s="25"/>
      <c r="D332" s="26"/>
      <c r="E332" s="33"/>
      <c r="F332" s="25"/>
      <c r="G332" s="25"/>
      <c r="H332" s="25"/>
      <c r="I332" s="55"/>
      <c r="P332" s="37" t="str">
        <f t="shared" ca="1" si="27"/>
        <v/>
      </c>
      <c r="Q332" s="37" t="str">
        <f t="shared" ca="1" si="28"/>
        <v/>
      </c>
      <c r="AB332" s="37" t="str">
        <f t="shared" si="29"/>
        <v/>
      </c>
    </row>
    <row r="333" spans="1:28" x14ac:dyDescent="0.25">
      <c r="A333" s="102"/>
      <c r="B333" s="33"/>
      <c r="C333" s="25"/>
      <c r="D333" s="26"/>
      <c r="E333" s="33"/>
      <c r="F333" s="25"/>
      <c r="G333" s="25"/>
      <c r="H333" s="25"/>
      <c r="I333" s="55"/>
      <c r="P333" s="37" t="str">
        <f t="shared" ca="1" si="27"/>
        <v/>
      </c>
      <c r="Q333" s="37" t="str">
        <f t="shared" ca="1" si="28"/>
        <v/>
      </c>
      <c r="AB333" s="37" t="str">
        <f t="shared" si="29"/>
        <v/>
      </c>
    </row>
    <row r="334" spans="1:28" x14ac:dyDescent="0.25">
      <c r="A334" s="102"/>
      <c r="B334" s="33"/>
      <c r="C334" s="25"/>
      <c r="D334" s="26"/>
      <c r="E334" s="33"/>
      <c r="F334" s="25"/>
      <c r="G334" s="25"/>
      <c r="H334" s="25"/>
      <c r="I334" s="55"/>
      <c r="P334" s="37" t="str">
        <f t="shared" ca="1" si="27"/>
        <v/>
      </c>
      <c r="Q334" s="37" t="str">
        <f t="shared" ca="1" si="28"/>
        <v/>
      </c>
      <c r="AB334" s="37" t="str">
        <f t="shared" si="29"/>
        <v/>
      </c>
    </row>
    <row r="335" spans="1:28" x14ac:dyDescent="0.25">
      <c r="A335" s="102"/>
      <c r="B335" s="33"/>
      <c r="C335" s="25"/>
      <c r="D335" s="26"/>
      <c r="E335" s="33"/>
      <c r="F335" s="25"/>
      <c r="G335" s="25"/>
      <c r="H335" s="25"/>
      <c r="I335" s="55"/>
      <c r="P335" s="37" t="str">
        <f t="shared" ca="1" si="27"/>
        <v/>
      </c>
      <c r="Q335" s="37" t="str">
        <f t="shared" ca="1" si="28"/>
        <v/>
      </c>
      <c r="AB335" s="37" t="str">
        <f t="shared" si="29"/>
        <v/>
      </c>
    </row>
    <row r="336" spans="1:28" x14ac:dyDescent="0.25">
      <c r="A336" s="102"/>
      <c r="B336" s="33"/>
      <c r="C336" s="25"/>
      <c r="D336" s="26"/>
      <c r="E336" s="33"/>
      <c r="F336" s="25"/>
      <c r="G336" s="25"/>
      <c r="H336" s="25"/>
      <c r="I336" s="55"/>
      <c r="P336" s="37" t="str">
        <f t="shared" ca="1" si="27"/>
        <v/>
      </c>
      <c r="Q336" s="37" t="str">
        <f t="shared" ca="1" si="28"/>
        <v/>
      </c>
      <c r="AB336" s="37" t="str">
        <f t="shared" si="29"/>
        <v/>
      </c>
    </row>
    <row r="337" spans="1:28" x14ac:dyDescent="0.25">
      <c r="A337" s="102"/>
      <c r="B337" s="33"/>
      <c r="C337" s="25"/>
      <c r="D337" s="26"/>
      <c r="E337" s="33"/>
      <c r="F337" s="25"/>
      <c r="G337" s="25"/>
      <c r="H337" s="25"/>
      <c r="I337" s="55"/>
      <c r="P337" s="37" t="str">
        <f t="shared" ca="1" si="27"/>
        <v/>
      </c>
      <c r="Q337" s="37" t="str">
        <f t="shared" ca="1" si="28"/>
        <v/>
      </c>
      <c r="AB337" s="37" t="str">
        <f t="shared" si="29"/>
        <v/>
      </c>
    </row>
    <row r="338" spans="1:28" x14ac:dyDescent="0.25">
      <c r="A338" s="102"/>
      <c r="B338" s="33"/>
      <c r="C338" s="25"/>
      <c r="D338" s="26"/>
      <c r="E338" s="33"/>
      <c r="F338" s="25"/>
      <c r="G338" s="25"/>
      <c r="H338" s="25"/>
      <c r="I338" s="55"/>
      <c r="P338" s="37" t="str">
        <f t="shared" ca="1" si="27"/>
        <v/>
      </c>
      <c r="Q338" s="37" t="str">
        <f t="shared" ca="1" si="28"/>
        <v/>
      </c>
      <c r="AB338" s="37" t="str">
        <f t="shared" si="29"/>
        <v/>
      </c>
    </row>
    <row r="339" spans="1:28" x14ac:dyDescent="0.25">
      <c r="A339" s="102"/>
      <c r="B339" s="33"/>
      <c r="C339" s="25"/>
      <c r="D339" s="26"/>
      <c r="E339" s="33"/>
      <c r="F339" s="25"/>
      <c r="G339" s="25"/>
      <c r="H339" s="25"/>
      <c r="I339" s="55"/>
      <c r="P339" s="37" t="str">
        <f t="shared" ca="1" si="27"/>
        <v/>
      </c>
      <c r="Q339" s="37" t="str">
        <f t="shared" ca="1" si="28"/>
        <v/>
      </c>
      <c r="AB339" s="37" t="str">
        <f t="shared" si="29"/>
        <v/>
      </c>
    </row>
    <row r="340" spans="1:28" x14ac:dyDescent="0.25">
      <c r="A340" s="102"/>
      <c r="B340" s="33"/>
      <c r="C340" s="25"/>
      <c r="D340" s="26"/>
      <c r="E340" s="33"/>
      <c r="F340" s="25"/>
      <c r="G340" s="25"/>
      <c r="H340" s="25"/>
      <c r="I340" s="55"/>
      <c r="P340" s="37" t="str">
        <f t="shared" ca="1" si="27"/>
        <v/>
      </c>
      <c r="Q340" s="37" t="str">
        <f t="shared" ca="1" si="28"/>
        <v/>
      </c>
      <c r="AB340" s="37" t="str">
        <f t="shared" si="29"/>
        <v/>
      </c>
    </row>
    <row r="341" spans="1:28" x14ac:dyDescent="0.25">
      <c r="A341" s="102"/>
      <c r="B341" s="33"/>
      <c r="C341" s="25"/>
      <c r="D341" s="26"/>
      <c r="E341" s="33"/>
      <c r="F341" s="25"/>
      <c r="G341" s="25"/>
      <c r="H341" s="25"/>
      <c r="I341" s="55"/>
      <c r="P341" s="37" t="str">
        <f t="shared" ca="1" si="27"/>
        <v/>
      </c>
      <c r="Q341" s="37" t="str">
        <f t="shared" ca="1" si="28"/>
        <v/>
      </c>
      <c r="AB341" s="37" t="str">
        <f t="shared" si="29"/>
        <v/>
      </c>
    </row>
    <row r="342" spans="1:28" x14ac:dyDescent="0.25">
      <c r="A342" s="102"/>
      <c r="B342" s="33"/>
      <c r="C342" s="25"/>
      <c r="D342" s="26"/>
      <c r="E342" s="33"/>
      <c r="F342" s="25"/>
      <c r="G342" s="25"/>
      <c r="H342" s="25"/>
      <c r="I342" s="55"/>
      <c r="P342" s="37" t="str">
        <f t="shared" ca="1" si="27"/>
        <v/>
      </c>
      <c r="Q342" s="37" t="str">
        <f t="shared" ca="1" si="28"/>
        <v/>
      </c>
      <c r="AB342" s="37" t="str">
        <f t="shared" si="29"/>
        <v/>
      </c>
    </row>
    <row r="343" spans="1:28" x14ac:dyDescent="0.25">
      <c r="A343" s="102"/>
      <c r="B343" s="33"/>
      <c r="C343" s="25"/>
      <c r="D343" s="26"/>
      <c r="E343" s="33"/>
      <c r="F343" s="25"/>
      <c r="G343" s="25"/>
      <c r="H343" s="25"/>
      <c r="I343" s="55"/>
      <c r="P343" s="37" t="str">
        <f t="shared" ca="1" si="27"/>
        <v/>
      </c>
      <c r="Q343" s="37" t="str">
        <f t="shared" ca="1" si="28"/>
        <v/>
      </c>
      <c r="AB343" s="37" t="str">
        <f t="shared" si="29"/>
        <v/>
      </c>
    </row>
    <row r="344" spans="1:28" x14ac:dyDescent="0.25">
      <c r="A344" s="102"/>
      <c r="B344" s="33"/>
      <c r="C344" s="25"/>
      <c r="D344" s="26"/>
      <c r="E344" s="33"/>
      <c r="F344" s="25"/>
      <c r="G344" s="25"/>
      <c r="H344" s="25"/>
      <c r="I344" s="55"/>
      <c r="P344" s="37" t="str">
        <f t="shared" ca="1" si="27"/>
        <v/>
      </c>
      <c r="Q344" s="37" t="str">
        <f t="shared" ca="1" si="28"/>
        <v/>
      </c>
      <c r="AB344" s="37" t="str">
        <f t="shared" si="29"/>
        <v/>
      </c>
    </row>
    <row r="345" spans="1:28" x14ac:dyDescent="0.25">
      <c r="A345" s="102"/>
      <c r="B345" s="33"/>
      <c r="C345" s="25"/>
      <c r="D345" s="26"/>
      <c r="E345" s="33"/>
      <c r="F345" s="25"/>
      <c r="G345" s="25"/>
      <c r="H345" s="25"/>
      <c r="I345" s="55"/>
      <c r="P345" s="37" t="str">
        <f t="shared" ca="1" si="27"/>
        <v/>
      </c>
      <c r="Q345" s="37" t="str">
        <f t="shared" ca="1" si="28"/>
        <v/>
      </c>
      <c r="AB345" s="37" t="str">
        <f t="shared" si="29"/>
        <v/>
      </c>
    </row>
    <row r="346" spans="1:28" x14ac:dyDescent="0.25">
      <c r="A346" s="102"/>
      <c r="B346" s="33"/>
      <c r="C346" s="25"/>
      <c r="D346" s="26"/>
      <c r="E346" s="33"/>
      <c r="F346" s="25"/>
      <c r="G346" s="25"/>
      <c r="H346" s="25"/>
      <c r="I346" s="55"/>
      <c r="P346" s="37" t="str">
        <f t="shared" ca="1" si="27"/>
        <v/>
      </c>
      <c r="Q346" s="37" t="str">
        <f t="shared" ca="1" si="28"/>
        <v/>
      </c>
      <c r="AB346" s="37" t="str">
        <f t="shared" si="29"/>
        <v/>
      </c>
    </row>
    <row r="347" spans="1:28" x14ac:dyDescent="0.25">
      <c r="A347" s="102"/>
      <c r="B347" s="33"/>
      <c r="C347" s="25"/>
      <c r="D347" s="26"/>
      <c r="E347" s="33"/>
      <c r="F347" s="25"/>
      <c r="G347" s="25"/>
      <c r="H347" s="25"/>
      <c r="I347" s="55"/>
      <c r="P347" s="37" t="str">
        <f t="shared" ca="1" si="27"/>
        <v/>
      </c>
      <c r="Q347" s="37" t="str">
        <f t="shared" ca="1" si="28"/>
        <v/>
      </c>
      <c r="AB347" s="37" t="str">
        <f t="shared" si="29"/>
        <v/>
      </c>
    </row>
    <row r="348" spans="1:28" x14ac:dyDescent="0.25">
      <c r="A348" s="102"/>
      <c r="B348" s="33"/>
      <c r="C348" s="25"/>
      <c r="D348" s="26"/>
      <c r="E348" s="33"/>
      <c r="F348" s="25"/>
      <c r="G348" s="25"/>
      <c r="H348" s="25"/>
      <c r="I348" s="55"/>
      <c r="P348" s="37" t="str">
        <f t="shared" ca="1" si="27"/>
        <v/>
      </c>
      <c r="Q348" s="37" t="str">
        <f t="shared" ca="1" si="28"/>
        <v/>
      </c>
      <c r="AB348" s="37" t="str">
        <f t="shared" si="29"/>
        <v/>
      </c>
    </row>
    <row r="349" spans="1:28" x14ac:dyDescent="0.25">
      <c r="A349" s="102"/>
      <c r="B349" s="33"/>
      <c r="C349" s="25"/>
      <c r="D349" s="26"/>
      <c r="E349" s="33"/>
      <c r="F349" s="25"/>
      <c r="G349" s="25"/>
      <c r="H349" s="25"/>
      <c r="I349" s="55"/>
      <c r="P349" s="37" t="str">
        <f t="shared" ca="1" si="27"/>
        <v/>
      </c>
      <c r="Q349" s="37" t="str">
        <f t="shared" ca="1" si="28"/>
        <v/>
      </c>
      <c r="AB349" s="37" t="str">
        <f t="shared" si="29"/>
        <v/>
      </c>
    </row>
    <row r="350" spans="1:28" x14ac:dyDescent="0.25">
      <c r="A350" s="102"/>
      <c r="B350" s="33"/>
      <c r="C350" s="25"/>
      <c r="D350" s="26"/>
      <c r="E350" s="33"/>
      <c r="F350" s="25"/>
      <c r="G350" s="25"/>
      <c r="H350" s="25"/>
      <c r="I350" s="55"/>
      <c r="P350" s="37" t="str">
        <f t="shared" ca="1" si="27"/>
        <v/>
      </c>
      <c r="Q350" s="37" t="str">
        <f t="shared" ca="1" si="28"/>
        <v/>
      </c>
      <c r="AB350" s="37" t="str">
        <f t="shared" si="29"/>
        <v/>
      </c>
    </row>
    <row r="351" spans="1:28" x14ac:dyDescent="0.25">
      <c r="A351" s="102"/>
      <c r="B351" s="33"/>
      <c r="C351" s="25"/>
      <c r="D351" s="26"/>
      <c r="E351" s="33"/>
      <c r="F351" s="25"/>
      <c r="G351" s="25"/>
      <c r="H351" s="25"/>
      <c r="I351" s="55"/>
      <c r="P351" s="37" t="str">
        <f t="shared" ca="1" si="27"/>
        <v/>
      </c>
      <c r="Q351" s="37" t="str">
        <f t="shared" ca="1" si="28"/>
        <v/>
      </c>
      <c r="AB351" s="37" t="str">
        <f t="shared" si="29"/>
        <v/>
      </c>
    </row>
    <row r="352" spans="1:28" x14ac:dyDescent="0.25">
      <c r="A352" s="102"/>
      <c r="B352" s="33"/>
      <c r="C352" s="25"/>
      <c r="D352" s="26"/>
      <c r="E352" s="33"/>
      <c r="F352" s="25"/>
      <c r="G352" s="25"/>
      <c r="H352" s="25"/>
      <c r="I352" s="55"/>
      <c r="P352" s="37" t="str">
        <f t="shared" ca="1" si="27"/>
        <v/>
      </c>
      <c r="Q352" s="37" t="str">
        <f t="shared" ca="1" si="28"/>
        <v/>
      </c>
      <c r="AB352" s="37" t="str">
        <f t="shared" si="29"/>
        <v/>
      </c>
    </row>
    <row r="353" spans="1:28" x14ac:dyDescent="0.25">
      <c r="A353" s="102"/>
      <c r="B353" s="33"/>
      <c r="C353" s="25"/>
      <c r="D353" s="26"/>
      <c r="E353" s="33"/>
      <c r="F353" s="25"/>
      <c r="G353" s="25"/>
      <c r="H353" s="25"/>
      <c r="I353" s="55"/>
      <c r="P353" s="37" t="str">
        <f t="shared" ca="1" si="27"/>
        <v/>
      </c>
      <c r="Q353" s="37" t="str">
        <f t="shared" ca="1" si="28"/>
        <v/>
      </c>
      <c r="AB353" s="37" t="str">
        <f t="shared" si="29"/>
        <v/>
      </c>
    </row>
    <row r="354" spans="1:28" x14ac:dyDescent="0.25">
      <c r="A354" s="102"/>
      <c r="B354" s="33"/>
      <c r="C354" s="25"/>
      <c r="D354" s="26"/>
      <c r="E354" s="33"/>
      <c r="F354" s="25"/>
      <c r="G354" s="25"/>
      <c r="H354" s="25"/>
      <c r="I354" s="55"/>
      <c r="P354" s="37" t="str">
        <f t="shared" ca="1" si="27"/>
        <v/>
      </c>
      <c r="Q354" s="37" t="str">
        <f t="shared" ca="1" si="28"/>
        <v/>
      </c>
      <c r="AB354" s="37" t="str">
        <f t="shared" si="29"/>
        <v/>
      </c>
    </row>
    <row r="355" spans="1:28" x14ac:dyDescent="0.25">
      <c r="A355" s="102"/>
      <c r="B355" s="33"/>
      <c r="C355" s="25"/>
      <c r="D355" s="26"/>
      <c r="E355" s="33"/>
      <c r="F355" s="25"/>
      <c r="G355" s="25"/>
      <c r="H355" s="25"/>
      <c r="I355" s="55"/>
      <c r="P355" s="37" t="str">
        <f t="shared" ca="1" si="27"/>
        <v/>
      </c>
      <c r="Q355" s="37" t="str">
        <f t="shared" ca="1" si="28"/>
        <v/>
      </c>
      <c r="AB355" s="37" t="str">
        <f t="shared" si="29"/>
        <v/>
      </c>
    </row>
    <row r="356" spans="1:28" x14ac:dyDescent="0.25">
      <c r="A356" s="102"/>
      <c r="B356" s="33"/>
      <c r="C356" s="25"/>
      <c r="D356" s="26"/>
      <c r="E356" s="33"/>
      <c r="F356" s="25"/>
      <c r="G356" s="25"/>
      <c r="H356" s="25"/>
      <c r="I356" s="55"/>
      <c r="P356" s="37" t="str">
        <f t="shared" ca="1" si="27"/>
        <v/>
      </c>
      <c r="Q356" s="37" t="str">
        <f t="shared" ca="1" si="28"/>
        <v/>
      </c>
      <c r="AB356" s="37" t="str">
        <f t="shared" si="29"/>
        <v/>
      </c>
    </row>
    <row r="357" spans="1:28" x14ac:dyDescent="0.25">
      <c r="A357" s="102"/>
      <c r="B357" s="33"/>
      <c r="C357" s="25"/>
      <c r="D357" s="26"/>
      <c r="E357" s="33"/>
      <c r="F357" s="25"/>
      <c r="G357" s="25"/>
      <c r="H357" s="25"/>
      <c r="I357" s="55"/>
      <c r="P357" s="37" t="str">
        <f t="shared" ca="1" si="27"/>
        <v/>
      </c>
      <c r="Q357" s="37" t="str">
        <f t="shared" ca="1" si="28"/>
        <v/>
      </c>
      <c r="AB357" s="37" t="str">
        <f t="shared" si="29"/>
        <v/>
      </c>
    </row>
    <row r="358" spans="1:28" x14ac:dyDescent="0.25">
      <c r="A358" s="102"/>
      <c r="B358" s="33"/>
      <c r="C358" s="25"/>
      <c r="D358" s="26"/>
      <c r="E358" s="33"/>
      <c r="F358" s="25"/>
      <c r="G358" s="25"/>
      <c r="H358" s="25"/>
      <c r="I358" s="55"/>
      <c r="P358" s="37" t="str">
        <f t="shared" ca="1" si="27"/>
        <v/>
      </c>
      <c r="Q358" s="37" t="str">
        <f t="shared" ca="1" si="28"/>
        <v/>
      </c>
      <c r="AB358" s="37" t="str">
        <f t="shared" si="29"/>
        <v/>
      </c>
    </row>
    <row r="359" spans="1:28" x14ac:dyDescent="0.25">
      <c r="A359" s="102"/>
      <c r="B359" s="33"/>
      <c r="C359" s="25"/>
      <c r="D359" s="26"/>
      <c r="E359" s="33"/>
      <c r="F359" s="25"/>
      <c r="G359" s="25"/>
      <c r="H359" s="25"/>
      <c r="I359" s="55"/>
      <c r="P359" s="37" t="str">
        <f t="shared" ca="1" si="27"/>
        <v/>
      </c>
      <c r="Q359" s="37" t="str">
        <f t="shared" ca="1" si="28"/>
        <v/>
      </c>
      <c r="AB359" s="37" t="str">
        <f t="shared" si="29"/>
        <v/>
      </c>
    </row>
    <row r="360" spans="1:28" x14ac:dyDescent="0.25">
      <c r="A360" s="102"/>
      <c r="B360" s="33"/>
      <c r="C360" s="25"/>
      <c r="D360" s="26"/>
      <c r="E360" s="33"/>
      <c r="F360" s="25"/>
      <c r="G360" s="25"/>
      <c r="H360" s="25"/>
      <c r="I360" s="55"/>
      <c r="P360" s="37" t="str">
        <f t="shared" ca="1" si="27"/>
        <v/>
      </c>
      <c r="Q360" s="37" t="str">
        <f t="shared" ca="1" si="28"/>
        <v/>
      </c>
      <c r="AB360" s="37" t="str">
        <f t="shared" si="29"/>
        <v/>
      </c>
    </row>
    <row r="361" spans="1:28" x14ac:dyDescent="0.25">
      <c r="A361" s="102"/>
      <c r="B361" s="33"/>
      <c r="C361" s="25"/>
      <c r="D361" s="26"/>
      <c r="E361" s="33"/>
      <c r="F361" s="25"/>
      <c r="G361" s="25"/>
      <c r="H361" s="25"/>
      <c r="I361" s="55"/>
      <c r="P361" s="37" t="str">
        <f t="shared" ca="1" si="27"/>
        <v/>
      </c>
      <c r="Q361" s="37" t="str">
        <f t="shared" ca="1" si="28"/>
        <v/>
      </c>
      <c r="AB361" s="37" t="str">
        <f t="shared" si="29"/>
        <v/>
      </c>
    </row>
    <row r="362" spans="1:28" x14ac:dyDescent="0.25">
      <c r="A362" s="102"/>
      <c r="B362" s="33"/>
      <c r="C362" s="25"/>
      <c r="D362" s="26"/>
      <c r="E362" s="33"/>
      <c r="F362" s="25"/>
      <c r="G362" s="25"/>
      <c r="H362" s="25"/>
      <c r="I362" s="55"/>
      <c r="P362" s="37" t="str">
        <f t="shared" ca="1" si="27"/>
        <v/>
      </c>
      <c r="Q362" s="37" t="str">
        <f t="shared" ca="1" si="28"/>
        <v/>
      </c>
      <c r="AB362" s="37" t="str">
        <f t="shared" si="29"/>
        <v/>
      </c>
    </row>
    <row r="363" spans="1:28" x14ac:dyDescent="0.25">
      <c r="A363" s="102"/>
      <c r="B363" s="33"/>
      <c r="C363" s="25"/>
      <c r="D363" s="26"/>
      <c r="E363" s="33"/>
      <c r="F363" s="25"/>
      <c r="G363" s="25"/>
      <c r="H363" s="25"/>
      <c r="I363" s="55"/>
      <c r="P363" s="37" t="str">
        <f t="shared" ca="1" si="27"/>
        <v/>
      </c>
      <c r="Q363" s="37" t="str">
        <f t="shared" ca="1" si="28"/>
        <v/>
      </c>
      <c r="AB363" s="37" t="str">
        <f t="shared" si="29"/>
        <v/>
      </c>
    </row>
    <row r="364" spans="1:28" x14ac:dyDescent="0.25">
      <c r="A364" s="102"/>
      <c r="B364" s="33"/>
      <c r="C364" s="25"/>
      <c r="D364" s="26"/>
      <c r="E364" s="33"/>
      <c r="F364" s="25"/>
      <c r="G364" s="25"/>
      <c r="H364" s="25"/>
      <c r="I364" s="55"/>
      <c r="P364" s="37" t="str">
        <f t="shared" ca="1" si="27"/>
        <v/>
      </c>
      <c r="Q364" s="37" t="str">
        <f t="shared" ca="1" si="28"/>
        <v/>
      </c>
      <c r="AB364" s="37" t="str">
        <f t="shared" si="29"/>
        <v/>
      </c>
    </row>
    <row r="365" spans="1:28" x14ac:dyDescent="0.25">
      <c r="A365" s="102"/>
      <c r="B365" s="33"/>
      <c r="C365" s="25"/>
      <c r="D365" s="26"/>
      <c r="E365" s="33"/>
      <c r="F365" s="25"/>
      <c r="G365" s="25"/>
      <c r="H365" s="25"/>
      <c r="I365" s="55"/>
      <c r="P365" s="37" t="str">
        <f t="shared" ca="1" si="27"/>
        <v/>
      </c>
      <c r="Q365" s="37" t="str">
        <f t="shared" ca="1" si="28"/>
        <v/>
      </c>
      <c r="AB365" s="37" t="str">
        <f t="shared" si="29"/>
        <v/>
      </c>
    </row>
    <row r="366" spans="1:28" x14ac:dyDescent="0.25">
      <c r="A366" s="102"/>
      <c r="B366" s="33"/>
      <c r="C366" s="25"/>
      <c r="D366" s="26"/>
      <c r="E366" s="33"/>
      <c r="F366" s="25"/>
      <c r="G366" s="25"/>
      <c r="H366" s="25"/>
      <c r="I366" s="55"/>
      <c r="P366" s="37" t="str">
        <f t="shared" ca="1" si="27"/>
        <v/>
      </c>
      <c r="Q366" s="37" t="str">
        <f t="shared" ca="1" si="28"/>
        <v/>
      </c>
      <c r="AB366" s="37" t="str">
        <f t="shared" si="29"/>
        <v/>
      </c>
    </row>
    <row r="367" spans="1:28" x14ac:dyDescent="0.25">
      <c r="A367" s="102"/>
      <c r="B367" s="33"/>
      <c r="C367" s="25"/>
      <c r="D367" s="26"/>
      <c r="E367" s="33"/>
      <c r="F367" s="25"/>
      <c r="G367" s="25"/>
      <c r="H367" s="25"/>
      <c r="I367" s="55"/>
      <c r="P367" s="37" t="str">
        <f t="shared" ca="1" si="27"/>
        <v/>
      </c>
      <c r="Q367" s="37" t="str">
        <f t="shared" ca="1" si="28"/>
        <v/>
      </c>
      <c r="AB367" s="37" t="str">
        <f t="shared" si="29"/>
        <v/>
      </c>
    </row>
    <row r="368" spans="1:28" x14ac:dyDescent="0.25">
      <c r="A368" s="102"/>
      <c r="B368" s="33"/>
      <c r="C368" s="25"/>
      <c r="D368" s="26"/>
      <c r="E368" s="33"/>
      <c r="F368" s="25"/>
      <c r="G368" s="25"/>
      <c r="H368" s="25"/>
      <c r="I368" s="55"/>
      <c r="P368" s="37" t="str">
        <f t="shared" ca="1" si="27"/>
        <v/>
      </c>
      <c r="Q368" s="37" t="str">
        <f t="shared" ca="1" si="28"/>
        <v/>
      </c>
      <c r="AB368" s="37" t="str">
        <f t="shared" si="29"/>
        <v/>
      </c>
    </row>
    <row r="369" spans="1:28" x14ac:dyDescent="0.25">
      <c r="A369" s="102"/>
      <c r="B369" s="33"/>
      <c r="C369" s="25"/>
      <c r="D369" s="26"/>
      <c r="E369" s="33"/>
      <c r="F369" s="25"/>
      <c r="G369" s="25"/>
      <c r="H369" s="25"/>
      <c r="I369" s="55"/>
      <c r="P369" s="37" t="str">
        <f t="shared" ca="1" si="27"/>
        <v/>
      </c>
      <c r="Q369" s="37" t="str">
        <f t="shared" ca="1" si="28"/>
        <v/>
      </c>
      <c r="AB369" s="37" t="str">
        <f t="shared" si="29"/>
        <v/>
      </c>
    </row>
    <row r="370" spans="1:28" x14ac:dyDescent="0.25">
      <c r="A370" s="102"/>
      <c r="B370" s="33"/>
      <c r="C370" s="25"/>
      <c r="D370" s="26"/>
      <c r="E370" s="33"/>
      <c r="F370" s="25"/>
      <c r="G370" s="25"/>
      <c r="H370" s="25"/>
      <c r="I370" s="55"/>
      <c r="P370" s="37" t="str">
        <f t="shared" ca="1" si="27"/>
        <v/>
      </c>
      <c r="Q370" s="37" t="str">
        <f t="shared" ca="1" si="28"/>
        <v/>
      </c>
      <c r="AB370" s="37" t="str">
        <f t="shared" si="29"/>
        <v/>
      </c>
    </row>
    <row r="371" spans="1:28" x14ac:dyDescent="0.25">
      <c r="A371" s="102"/>
      <c r="B371" s="33"/>
      <c r="C371" s="25"/>
      <c r="D371" s="26"/>
      <c r="E371" s="33"/>
      <c r="F371" s="25"/>
      <c r="G371" s="25"/>
      <c r="H371" s="25"/>
      <c r="I371" s="55"/>
      <c r="P371" s="37" t="str">
        <f t="shared" ca="1" si="27"/>
        <v/>
      </c>
      <c r="Q371" s="37" t="str">
        <f t="shared" ca="1" si="28"/>
        <v/>
      </c>
      <c r="AB371" s="37" t="str">
        <f t="shared" si="29"/>
        <v/>
      </c>
    </row>
    <row r="372" spans="1:28" x14ac:dyDescent="0.25">
      <c r="A372" s="102"/>
      <c r="B372" s="33"/>
      <c r="C372" s="25"/>
      <c r="D372" s="26"/>
      <c r="E372" s="33"/>
      <c r="F372" s="25"/>
      <c r="G372" s="25"/>
      <c r="H372" s="25"/>
      <c r="I372" s="55"/>
      <c r="P372" s="37" t="str">
        <f t="shared" ca="1" si="27"/>
        <v/>
      </c>
      <c r="Q372" s="37" t="str">
        <f t="shared" ca="1" si="28"/>
        <v/>
      </c>
      <c r="AB372" s="37" t="str">
        <f t="shared" si="29"/>
        <v/>
      </c>
    </row>
    <row r="373" spans="1:28" x14ac:dyDescent="0.25">
      <c r="A373" s="102"/>
      <c r="B373" s="33"/>
      <c r="C373" s="25"/>
      <c r="D373" s="26"/>
      <c r="E373" s="33"/>
      <c r="F373" s="25"/>
      <c r="G373" s="25"/>
      <c r="H373" s="25"/>
      <c r="I373" s="55"/>
      <c r="P373" s="37" t="str">
        <f t="shared" ca="1" si="27"/>
        <v/>
      </c>
      <c r="Q373" s="37" t="str">
        <f t="shared" ca="1" si="28"/>
        <v/>
      </c>
      <c r="AB373" s="37" t="str">
        <f t="shared" si="29"/>
        <v/>
      </c>
    </row>
    <row r="374" spans="1:28" x14ac:dyDescent="0.25">
      <c r="A374" s="102"/>
      <c r="B374" s="33"/>
      <c r="C374" s="25"/>
      <c r="D374" s="26"/>
      <c r="E374" s="33"/>
      <c r="F374" s="25"/>
      <c r="G374" s="25"/>
      <c r="H374" s="25"/>
      <c r="I374" s="55"/>
      <c r="P374" s="37" t="str">
        <f t="shared" ca="1" si="27"/>
        <v/>
      </c>
      <c r="Q374" s="37" t="str">
        <f t="shared" ca="1" si="28"/>
        <v/>
      </c>
      <c r="AB374" s="37" t="str">
        <f t="shared" si="29"/>
        <v/>
      </c>
    </row>
    <row r="375" spans="1:28" x14ac:dyDescent="0.25">
      <c r="A375" s="102"/>
      <c r="B375" s="33"/>
      <c r="C375" s="25"/>
      <c r="D375" s="26"/>
      <c r="E375" s="33"/>
      <c r="F375" s="25"/>
      <c r="G375" s="25"/>
      <c r="H375" s="25"/>
      <c r="I375" s="55"/>
      <c r="P375" s="37" t="str">
        <f t="shared" ca="1" si="27"/>
        <v/>
      </c>
      <c r="Q375" s="37" t="str">
        <f t="shared" ca="1" si="28"/>
        <v/>
      </c>
      <c r="AB375" s="37" t="str">
        <f t="shared" si="29"/>
        <v/>
      </c>
    </row>
    <row r="376" spans="1:28" x14ac:dyDescent="0.25">
      <c r="A376" s="102"/>
      <c r="B376" s="33"/>
      <c r="C376" s="25"/>
      <c r="D376" s="26"/>
      <c r="E376" s="33"/>
      <c r="F376" s="25"/>
      <c r="G376" s="25"/>
      <c r="H376" s="25"/>
      <c r="I376" s="55"/>
      <c r="P376" s="37" t="str">
        <f t="shared" ca="1" si="27"/>
        <v/>
      </c>
      <c r="Q376" s="37" t="str">
        <f t="shared" ca="1" si="28"/>
        <v/>
      </c>
      <c r="AB376" s="37" t="str">
        <f t="shared" si="29"/>
        <v/>
      </c>
    </row>
    <row r="377" spans="1:28" x14ac:dyDescent="0.25">
      <c r="A377" s="102"/>
      <c r="B377" s="33"/>
      <c r="C377" s="25"/>
      <c r="D377" s="26"/>
      <c r="E377" s="33"/>
      <c r="F377" s="25"/>
      <c r="G377" s="25"/>
      <c r="H377" s="25"/>
      <c r="I377" s="55"/>
      <c r="P377" s="37" t="str">
        <f t="shared" ca="1" si="27"/>
        <v/>
      </c>
      <c r="Q377" s="37" t="str">
        <f t="shared" ca="1" si="28"/>
        <v/>
      </c>
      <c r="AB377" s="37" t="str">
        <f t="shared" si="29"/>
        <v/>
      </c>
    </row>
    <row r="378" spans="1:28" x14ac:dyDescent="0.25">
      <c r="A378" s="102"/>
      <c r="B378" s="33"/>
      <c r="C378" s="25"/>
      <c r="D378" s="26"/>
      <c r="E378" s="33"/>
      <c r="F378" s="25"/>
      <c r="G378" s="25"/>
      <c r="H378" s="25"/>
      <c r="I378" s="55"/>
      <c r="P378" s="37" t="str">
        <f t="shared" ca="1" si="27"/>
        <v/>
      </c>
      <c r="Q378" s="37" t="str">
        <f t="shared" ca="1" si="28"/>
        <v/>
      </c>
      <c r="AB378" s="37" t="str">
        <f t="shared" si="29"/>
        <v/>
      </c>
    </row>
    <row r="379" spans="1:28" x14ac:dyDescent="0.25">
      <c r="A379" s="102"/>
      <c r="B379" s="33"/>
      <c r="C379" s="25"/>
      <c r="D379" s="26"/>
      <c r="E379" s="33"/>
      <c r="F379" s="25"/>
      <c r="G379" s="25"/>
      <c r="H379" s="25"/>
      <c r="I379" s="55"/>
      <c r="P379" s="37" t="str">
        <f t="shared" ca="1" si="27"/>
        <v/>
      </c>
      <c r="Q379" s="37" t="str">
        <f t="shared" ca="1" si="28"/>
        <v/>
      </c>
      <c r="AB379" s="37" t="str">
        <f t="shared" si="29"/>
        <v/>
      </c>
    </row>
    <row r="380" spans="1:28" x14ac:dyDescent="0.25">
      <c r="A380" s="102"/>
      <c r="B380" s="33"/>
      <c r="C380" s="25"/>
      <c r="D380" s="26"/>
      <c r="E380" s="33"/>
      <c r="F380" s="25"/>
      <c r="G380" s="25"/>
      <c r="H380" s="25"/>
      <c r="I380" s="55"/>
      <c r="P380" s="37" t="str">
        <f t="shared" ca="1" si="27"/>
        <v/>
      </c>
      <c r="Q380" s="37" t="str">
        <f t="shared" ca="1" si="28"/>
        <v/>
      </c>
      <c r="AB380" s="37" t="str">
        <f t="shared" si="29"/>
        <v/>
      </c>
    </row>
    <row r="381" spans="1:28" x14ac:dyDescent="0.25">
      <c r="A381" s="102"/>
      <c r="B381" s="33"/>
      <c r="C381" s="25"/>
      <c r="D381" s="26"/>
      <c r="E381" s="33"/>
      <c r="F381" s="25"/>
      <c r="G381" s="25"/>
      <c r="H381" s="25"/>
      <c r="I381" s="55"/>
      <c r="P381" s="37" t="str">
        <f t="shared" ca="1" si="27"/>
        <v/>
      </c>
      <c r="Q381" s="37" t="str">
        <f t="shared" ca="1" si="28"/>
        <v/>
      </c>
      <c r="AB381" s="37" t="str">
        <f t="shared" si="29"/>
        <v/>
      </c>
    </row>
    <row r="382" spans="1:28" x14ac:dyDescent="0.25">
      <c r="A382" s="102"/>
      <c r="B382" s="33"/>
      <c r="C382" s="25"/>
      <c r="D382" s="26"/>
      <c r="E382" s="33"/>
      <c r="F382" s="25"/>
      <c r="G382" s="25"/>
      <c r="H382" s="25"/>
      <c r="I382" s="55"/>
      <c r="P382" s="37" t="str">
        <f t="shared" ca="1" si="27"/>
        <v/>
      </c>
      <c r="Q382" s="37" t="str">
        <f t="shared" ca="1" si="28"/>
        <v/>
      </c>
      <c r="AB382" s="37" t="str">
        <f t="shared" si="29"/>
        <v/>
      </c>
    </row>
    <row r="383" spans="1:28" x14ac:dyDescent="0.25">
      <c r="A383" s="102"/>
      <c r="B383" s="33"/>
      <c r="C383" s="25"/>
      <c r="D383" s="26"/>
      <c r="E383" s="33"/>
      <c r="F383" s="25"/>
      <c r="G383" s="25"/>
      <c r="H383" s="25"/>
      <c r="I383" s="55"/>
      <c r="P383" s="37" t="str">
        <f t="shared" ca="1" si="27"/>
        <v/>
      </c>
      <c r="Q383" s="37" t="str">
        <f t="shared" ca="1" si="28"/>
        <v/>
      </c>
      <c r="AB383" s="37" t="str">
        <f t="shared" si="29"/>
        <v/>
      </c>
    </row>
    <row r="384" spans="1:28" x14ac:dyDescent="0.25">
      <c r="A384" s="102"/>
      <c r="B384" s="33"/>
      <c r="C384" s="25"/>
      <c r="D384" s="26"/>
      <c r="E384" s="33"/>
      <c r="F384" s="25"/>
      <c r="G384" s="25"/>
      <c r="H384" s="25"/>
      <c r="I384" s="55"/>
      <c r="P384" s="37" t="str">
        <f t="shared" ca="1" si="27"/>
        <v/>
      </c>
      <c r="Q384" s="37" t="str">
        <f t="shared" ca="1" si="28"/>
        <v/>
      </c>
      <c r="AB384" s="37" t="str">
        <f t="shared" si="29"/>
        <v/>
      </c>
    </row>
    <row r="385" spans="1:28" x14ac:dyDescent="0.25">
      <c r="A385" s="102"/>
      <c r="B385" s="33"/>
      <c r="C385" s="25"/>
      <c r="D385" s="26"/>
      <c r="E385" s="33"/>
      <c r="F385" s="25"/>
      <c r="G385" s="25"/>
      <c r="H385" s="25"/>
      <c r="I385" s="55"/>
      <c r="P385" s="37" t="str">
        <f t="shared" ca="1" si="27"/>
        <v/>
      </c>
      <c r="Q385" s="37" t="str">
        <f t="shared" ca="1" si="28"/>
        <v/>
      </c>
      <c r="AB385" s="37" t="str">
        <f t="shared" si="29"/>
        <v/>
      </c>
    </row>
    <row r="386" spans="1:28" x14ac:dyDescent="0.25">
      <c r="A386" s="102"/>
      <c r="B386" s="33"/>
      <c r="C386" s="25"/>
      <c r="D386" s="26"/>
      <c r="E386" s="33"/>
      <c r="F386" s="25"/>
      <c r="G386" s="25"/>
      <c r="H386" s="25"/>
      <c r="I386" s="55"/>
      <c r="P386" s="37" t="str">
        <f t="shared" ca="1" si="27"/>
        <v/>
      </c>
      <c r="Q386" s="37" t="str">
        <f t="shared" ca="1" si="28"/>
        <v/>
      </c>
      <c r="AB386" s="37" t="str">
        <f t="shared" si="29"/>
        <v/>
      </c>
    </row>
    <row r="387" spans="1:28" x14ac:dyDescent="0.25">
      <c r="A387" s="102"/>
      <c r="B387" s="33"/>
      <c r="C387" s="25"/>
      <c r="D387" s="26"/>
      <c r="E387" s="33"/>
      <c r="F387" s="25"/>
      <c r="G387" s="25"/>
      <c r="H387" s="25"/>
      <c r="I387" s="55"/>
      <c r="P387" s="37" t="str">
        <f t="shared" ca="1" si="27"/>
        <v/>
      </c>
      <c r="Q387" s="37" t="str">
        <f t="shared" ca="1" si="28"/>
        <v/>
      </c>
      <c r="AB387" s="37" t="str">
        <f t="shared" si="29"/>
        <v/>
      </c>
    </row>
    <row r="388" spans="1:28" x14ac:dyDescent="0.25">
      <c r="A388" s="102"/>
      <c r="B388" s="33"/>
      <c r="C388" s="25"/>
      <c r="D388" s="26"/>
      <c r="E388" s="33"/>
      <c r="F388" s="25"/>
      <c r="G388" s="25"/>
      <c r="H388" s="25"/>
      <c r="I388" s="55"/>
      <c r="P388" s="37" t="str">
        <f t="shared" ref="P388:P451" ca="1" si="30">IF(COUNTIF(N:N,L388),L388,"")</f>
        <v/>
      </c>
      <c r="Q388" s="37" t="str">
        <f t="shared" ref="Q388:Q451" ca="1" si="31">IF(P388&gt;$A$14,P388,"")</f>
        <v/>
      </c>
      <c r="AB388" s="37" t="str">
        <f t="shared" ref="AB388:AB421" si="32">IF(COUNTIF(Z:Z,X388),X388,"")</f>
        <v/>
      </c>
    </row>
    <row r="389" spans="1:28" x14ac:dyDescent="0.25">
      <c r="A389" s="102"/>
      <c r="B389" s="33"/>
      <c r="C389" s="25"/>
      <c r="D389" s="26"/>
      <c r="E389" s="33"/>
      <c r="F389" s="25"/>
      <c r="G389" s="25"/>
      <c r="H389" s="25"/>
      <c r="I389" s="55"/>
      <c r="P389" s="37" t="str">
        <f t="shared" ca="1" si="30"/>
        <v/>
      </c>
      <c r="Q389" s="37" t="str">
        <f t="shared" ca="1" si="31"/>
        <v/>
      </c>
      <c r="AB389" s="37" t="str">
        <f t="shared" si="32"/>
        <v/>
      </c>
    </row>
    <row r="390" spans="1:28" x14ac:dyDescent="0.25">
      <c r="A390" s="102"/>
      <c r="B390" s="33"/>
      <c r="C390" s="25"/>
      <c r="D390" s="26"/>
      <c r="E390" s="33"/>
      <c r="F390" s="25"/>
      <c r="G390" s="25"/>
      <c r="H390" s="25"/>
      <c r="I390" s="55"/>
      <c r="P390" s="37" t="str">
        <f t="shared" ca="1" si="30"/>
        <v/>
      </c>
      <c r="Q390" s="37" t="str">
        <f t="shared" ca="1" si="31"/>
        <v/>
      </c>
      <c r="AB390" s="37" t="str">
        <f t="shared" si="32"/>
        <v/>
      </c>
    </row>
    <row r="391" spans="1:28" x14ac:dyDescent="0.25">
      <c r="A391" s="102"/>
      <c r="B391" s="33"/>
      <c r="C391" s="25"/>
      <c r="D391" s="26"/>
      <c r="E391" s="33"/>
      <c r="F391" s="25"/>
      <c r="G391" s="25"/>
      <c r="H391" s="25"/>
      <c r="I391" s="55"/>
      <c r="P391" s="37" t="str">
        <f t="shared" ca="1" si="30"/>
        <v/>
      </c>
      <c r="Q391" s="37" t="str">
        <f t="shared" ca="1" si="31"/>
        <v/>
      </c>
      <c r="AB391" s="37" t="str">
        <f t="shared" si="32"/>
        <v/>
      </c>
    </row>
    <row r="392" spans="1:28" x14ac:dyDescent="0.25">
      <c r="A392" s="102"/>
      <c r="B392" s="33"/>
      <c r="C392" s="25"/>
      <c r="D392" s="26"/>
      <c r="E392" s="33"/>
      <c r="F392" s="25"/>
      <c r="G392" s="25"/>
      <c r="H392" s="25"/>
      <c r="I392" s="55"/>
      <c r="P392" s="37" t="str">
        <f t="shared" ca="1" si="30"/>
        <v/>
      </c>
      <c r="Q392" s="37" t="str">
        <f t="shared" ca="1" si="31"/>
        <v/>
      </c>
      <c r="AB392" s="37" t="str">
        <f t="shared" si="32"/>
        <v/>
      </c>
    </row>
    <row r="393" spans="1:28" x14ac:dyDescent="0.25">
      <c r="A393" s="102"/>
      <c r="B393" s="33"/>
      <c r="C393" s="25"/>
      <c r="D393" s="26"/>
      <c r="E393" s="33"/>
      <c r="F393" s="25"/>
      <c r="G393" s="25"/>
      <c r="H393" s="25"/>
      <c r="I393" s="55"/>
      <c r="P393" s="37" t="str">
        <f t="shared" ca="1" si="30"/>
        <v/>
      </c>
      <c r="Q393" s="37" t="str">
        <f t="shared" ca="1" si="31"/>
        <v/>
      </c>
      <c r="AB393" s="37" t="str">
        <f t="shared" si="32"/>
        <v/>
      </c>
    </row>
    <row r="394" spans="1:28" x14ac:dyDescent="0.25">
      <c r="A394" s="102"/>
      <c r="B394" s="33"/>
      <c r="C394" s="25"/>
      <c r="D394" s="26"/>
      <c r="E394" s="33"/>
      <c r="F394" s="25"/>
      <c r="G394" s="25"/>
      <c r="H394" s="25"/>
      <c r="I394" s="55"/>
      <c r="P394" s="37" t="str">
        <f t="shared" ca="1" si="30"/>
        <v/>
      </c>
      <c r="Q394" s="37" t="str">
        <f t="shared" ca="1" si="31"/>
        <v/>
      </c>
      <c r="AB394" s="37" t="str">
        <f t="shared" si="32"/>
        <v/>
      </c>
    </row>
    <row r="395" spans="1:28" x14ac:dyDescent="0.25">
      <c r="A395" s="102"/>
      <c r="B395" s="33"/>
      <c r="C395" s="25"/>
      <c r="D395" s="26"/>
      <c r="E395" s="33"/>
      <c r="F395" s="25"/>
      <c r="G395" s="25"/>
      <c r="H395" s="25"/>
      <c r="I395" s="55"/>
      <c r="P395" s="37" t="str">
        <f t="shared" ca="1" si="30"/>
        <v/>
      </c>
      <c r="Q395" s="37" t="str">
        <f t="shared" ca="1" si="31"/>
        <v/>
      </c>
      <c r="AB395" s="37" t="str">
        <f t="shared" si="32"/>
        <v/>
      </c>
    </row>
    <row r="396" spans="1:28" x14ac:dyDescent="0.25">
      <c r="A396" s="102"/>
      <c r="B396" s="33"/>
      <c r="C396" s="25"/>
      <c r="D396" s="26"/>
      <c r="E396" s="33"/>
      <c r="F396" s="25"/>
      <c r="G396" s="25"/>
      <c r="H396" s="25"/>
      <c r="I396" s="55"/>
      <c r="P396" s="37" t="str">
        <f t="shared" ca="1" si="30"/>
        <v/>
      </c>
      <c r="Q396" s="37" t="str">
        <f t="shared" ca="1" si="31"/>
        <v/>
      </c>
      <c r="AB396" s="37" t="str">
        <f t="shared" si="32"/>
        <v/>
      </c>
    </row>
    <row r="397" spans="1:28" x14ac:dyDescent="0.25">
      <c r="A397" s="102"/>
      <c r="B397" s="33"/>
      <c r="C397" s="25"/>
      <c r="D397" s="26"/>
      <c r="E397" s="33"/>
      <c r="F397" s="25"/>
      <c r="G397" s="25"/>
      <c r="H397" s="25"/>
      <c r="I397" s="55"/>
      <c r="P397" s="37" t="str">
        <f t="shared" ca="1" si="30"/>
        <v/>
      </c>
      <c r="Q397" s="37" t="str">
        <f t="shared" ca="1" si="31"/>
        <v/>
      </c>
      <c r="AB397" s="37" t="str">
        <f t="shared" si="32"/>
        <v/>
      </c>
    </row>
    <row r="398" spans="1:28" x14ac:dyDescent="0.25">
      <c r="A398" s="102"/>
      <c r="B398" s="33"/>
      <c r="C398" s="25"/>
      <c r="D398" s="26"/>
      <c r="E398" s="33"/>
      <c r="F398" s="25"/>
      <c r="G398" s="25"/>
      <c r="H398" s="25"/>
      <c r="I398" s="55"/>
      <c r="P398" s="37" t="str">
        <f t="shared" ca="1" si="30"/>
        <v/>
      </c>
      <c r="Q398" s="37" t="str">
        <f t="shared" ca="1" si="31"/>
        <v/>
      </c>
      <c r="AB398" s="37" t="str">
        <f t="shared" si="32"/>
        <v/>
      </c>
    </row>
    <row r="399" spans="1:28" x14ac:dyDescent="0.25">
      <c r="A399" s="102"/>
      <c r="B399" s="33"/>
      <c r="C399" s="25"/>
      <c r="D399" s="26"/>
      <c r="E399" s="33"/>
      <c r="F399" s="25"/>
      <c r="G399" s="25"/>
      <c r="H399" s="25"/>
      <c r="I399" s="55"/>
      <c r="P399" s="37" t="str">
        <f t="shared" ca="1" si="30"/>
        <v/>
      </c>
      <c r="Q399" s="37" t="str">
        <f t="shared" ca="1" si="31"/>
        <v/>
      </c>
      <c r="AB399" s="37" t="str">
        <f t="shared" si="32"/>
        <v/>
      </c>
    </row>
    <row r="400" spans="1:28" x14ac:dyDescent="0.25">
      <c r="A400" s="102"/>
      <c r="B400" s="33"/>
      <c r="C400" s="25"/>
      <c r="D400" s="26"/>
      <c r="E400" s="33"/>
      <c r="F400" s="25"/>
      <c r="G400" s="25"/>
      <c r="H400" s="25"/>
      <c r="I400" s="55"/>
      <c r="P400" s="37" t="str">
        <f t="shared" ca="1" si="30"/>
        <v/>
      </c>
      <c r="Q400" s="37" t="str">
        <f t="shared" ca="1" si="31"/>
        <v/>
      </c>
      <c r="AB400" s="37" t="str">
        <f t="shared" si="32"/>
        <v/>
      </c>
    </row>
    <row r="401" spans="1:28" x14ac:dyDescent="0.25">
      <c r="A401" s="102"/>
      <c r="B401" s="33"/>
      <c r="C401" s="25"/>
      <c r="D401" s="26"/>
      <c r="E401" s="33"/>
      <c r="F401" s="25"/>
      <c r="G401" s="25"/>
      <c r="H401" s="25"/>
      <c r="I401" s="55"/>
      <c r="P401" s="37" t="str">
        <f t="shared" ca="1" si="30"/>
        <v/>
      </c>
      <c r="Q401" s="37" t="str">
        <f t="shared" ca="1" si="31"/>
        <v/>
      </c>
      <c r="AB401" s="37" t="str">
        <f t="shared" si="32"/>
        <v/>
      </c>
    </row>
    <row r="402" spans="1:28" x14ac:dyDescent="0.25">
      <c r="A402" s="102"/>
      <c r="B402" s="33"/>
      <c r="C402" s="25"/>
      <c r="D402" s="26"/>
      <c r="E402" s="33"/>
      <c r="F402" s="25"/>
      <c r="G402" s="25"/>
      <c r="H402" s="25"/>
      <c r="I402" s="55"/>
      <c r="P402" s="37" t="str">
        <f t="shared" ca="1" si="30"/>
        <v/>
      </c>
      <c r="Q402" s="37" t="str">
        <f t="shared" ca="1" si="31"/>
        <v/>
      </c>
      <c r="AB402" s="37" t="str">
        <f t="shared" si="32"/>
        <v/>
      </c>
    </row>
    <row r="403" spans="1:28" x14ac:dyDescent="0.25">
      <c r="A403" s="102"/>
      <c r="B403" s="33"/>
      <c r="C403" s="25"/>
      <c r="D403" s="26"/>
      <c r="E403" s="33"/>
      <c r="F403" s="25"/>
      <c r="G403" s="25"/>
      <c r="H403" s="25"/>
      <c r="I403" s="55"/>
      <c r="P403" s="37" t="str">
        <f t="shared" ca="1" si="30"/>
        <v/>
      </c>
      <c r="Q403" s="37" t="str">
        <f t="shared" ca="1" si="31"/>
        <v/>
      </c>
      <c r="AB403" s="37" t="str">
        <f t="shared" si="32"/>
        <v/>
      </c>
    </row>
    <row r="404" spans="1:28" x14ac:dyDescent="0.25">
      <c r="A404" s="102"/>
      <c r="B404" s="33"/>
      <c r="C404" s="25"/>
      <c r="D404" s="26"/>
      <c r="E404" s="33"/>
      <c r="F404" s="25"/>
      <c r="G404" s="25"/>
      <c r="H404" s="25"/>
      <c r="I404" s="55"/>
      <c r="P404" s="37" t="str">
        <f t="shared" ca="1" si="30"/>
        <v/>
      </c>
      <c r="Q404" s="37" t="str">
        <f t="shared" ca="1" si="31"/>
        <v/>
      </c>
      <c r="AB404" s="37" t="str">
        <f t="shared" si="32"/>
        <v/>
      </c>
    </row>
    <row r="405" spans="1:28" x14ac:dyDescent="0.25">
      <c r="A405" s="102"/>
      <c r="B405" s="33"/>
      <c r="C405" s="25"/>
      <c r="D405" s="26"/>
      <c r="E405" s="33"/>
      <c r="F405" s="25"/>
      <c r="G405" s="25"/>
      <c r="H405" s="25"/>
      <c r="I405" s="55"/>
      <c r="P405" s="37" t="str">
        <f t="shared" ca="1" si="30"/>
        <v/>
      </c>
      <c r="Q405" s="37" t="str">
        <f t="shared" ca="1" si="31"/>
        <v/>
      </c>
      <c r="AB405" s="37" t="str">
        <f t="shared" si="32"/>
        <v/>
      </c>
    </row>
    <row r="406" spans="1:28" x14ac:dyDescent="0.25">
      <c r="A406" s="102"/>
      <c r="B406" s="33"/>
      <c r="C406" s="25"/>
      <c r="D406" s="26"/>
      <c r="E406" s="33"/>
      <c r="F406" s="25"/>
      <c r="G406" s="25"/>
      <c r="H406" s="25"/>
      <c r="I406" s="55"/>
      <c r="P406" s="37" t="str">
        <f t="shared" ca="1" si="30"/>
        <v/>
      </c>
      <c r="Q406" s="37" t="str">
        <f t="shared" ca="1" si="31"/>
        <v/>
      </c>
      <c r="AB406" s="37" t="str">
        <f t="shared" si="32"/>
        <v/>
      </c>
    </row>
    <row r="407" spans="1:28" x14ac:dyDescent="0.25">
      <c r="A407" s="102"/>
      <c r="B407" s="33"/>
      <c r="C407" s="25"/>
      <c r="D407" s="26"/>
      <c r="E407" s="33"/>
      <c r="F407" s="25"/>
      <c r="G407" s="25"/>
      <c r="H407" s="25"/>
      <c r="I407" s="55"/>
      <c r="P407" s="37" t="str">
        <f t="shared" ca="1" si="30"/>
        <v/>
      </c>
      <c r="Q407" s="37" t="str">
        <f t="shared" ca="1" si="31"/>
        <v/>
      </c>
      <c r="AB407" s="37" t="str">
        <f t="shared" si="32"/>
        <v/>
      </c>
    </row>
    <row r="408" spans="1:28" x14ac:dyDescent="0.25">
      <c r="A408" s="102"/>
      <c r="B408" s="33"/>
      <c r="C408" s="25"/>
      <c r="D408" s="26"/>
      <c r="E408" s="33"/>
      <c r="F408" s="25"/>
      <c r="G408" s="25"/>
      <c r="H408" s="25"/>
      <c r="I408" s="55"/>
      <c r="P408" s="37" t="str">
        <f t="shared" ca="1" si="30"/>
        <v/>
      </c>
      <c r="Q408" s="37" t="str">
        <f t="shared" ca="1" si="31"/>
        <v/>
      </c>
      <c r="AB408" s="37" t="str">
        <f t="shared" si="32"/>
        <v/>
      </c>
    </row>
    <row r="409" spans="1:28" x14ac:dyDescent="0.25">
      <c r="A409" s="102"/>
      <c r="B409" s="33"/>
      <c r="C409" s="25"/>
      <c r="D409" s="26"/>
      <c r="E409" s="33"/>
      <c r="F409" s="25"/>
      <c r="G409" s="25"/>
      <c r="H409" s="25"/>
      <c r="I409" s="55"/>
      <c r="P409" s="37" t="str">
        <f t="shared" ca="1" si="30"/>
        <v/>
      </c>
      <c r="Q409" s="37" t="str">
        <f t="shared" ca="1" si="31"/>
        <v/>
      </c>
      <c r="AB409" s="37" t="str">
        <f t="shared" si="32"/>
        <v/>
      </c>
    </row>
    <row r="410" spans="1:28" x14ac:dyDescent="0.25">
      <c r="A410" s="102"/>
      <c r="B410" s="33"/>
      <c r="C410" s="25"/>
      <c r="D410" s="26"/>
      <c r="E410" s="33"/>
      <c r="F410" s="25"/>
      <c r="G410" s="25"/>
      <c r="H410" s="25"/>
      <c r="I410" s="55"/>
      <c r="P410" s="37" t="str">
        <f t="shared" ca="1" si="30"/>
        <v/>
      </c>
      <c r="Q410" s="37" t="str">
        <f t="shared" ca="1" si="31"/>
        <v/>
      </c>
      <c r="AB410" s="37" t="str">
        <f t="shared" si="32"/>
        <v/>
      </c>
    </row>
    <row r="411" spans="1:28" x14ac:dyDescent="0.25">
      <c r="A411" s="102"/>
      <c r="B411" s="33"/>
      <c r="C411" s="25"/>
      <c r="D411" s="26"/>
      <c r="E411" s="33"/>
      <c r="F411" s="25"/>
      <c r="G411" s="25"/>
      <c r="H411" s="25"/>
      <c r="I411" s="55"/>
      <c r="P411" s="37" t="str">
        <f t="shared" ca="1" si="30"/>
        <v/>
      </c>
      <c r="Q411" s="37" t="str">
        <f t="shared" ca="1" si="31"/>
        <v/>
      </c>
      <c r="AB411" s="37" t="str">
        <f t="shared" si="32"/>
        <v/>
      </c>
    </row>
    <row r="412" spans="1:28" x14ac:dyDescent="0.25">
      <c r="A412" s="102"/>
      <c r="B412" s="33"/>
      <c r="C412" s="25"/>
      <c r="D412" s="26"/>
      <c r="E412" s="33"/>
      <c r="F412" s="25"/>
      <c r="G412" s="25"/>
      <c r="H412" s="25"/>
      <c r="I412" s="55"/>
      <c r="P412" s="37" t="str">
        <f t="shared" ca="1" si="30"/>
        <v/>
      </c>
      <c r="Q412" s="37" t="str">
        <f t="shared" ca="1" si="31"/>
        <v/>
      </c>
      <c r="AB412" s="37" t="str">
        <f t="shared" si="32"/>
        <v/>
      </c>
    </row>
    <row r="413" spans="1:28" x14ac:dyDescent="0.25">
      <c r="A413" s="102"/>
      <c r="B413" s="33"/>
      <c r="C413" s="25"/>
      <c r="D413" s="26"/>
      <c r="E413" s="33"/>
      <c r="F413" s="25"/>
      <c r="G413" s="25"/>
      <c r="H413" s="25"/>
      <c r="I413" s="55"/>
      <c r="P413" s="37" t="str">
        <f t="shared" ca="1" si="30"/>
        <v/>
      </c>
      <c r="Q413" s="37" t="str">
        <f t="shared" ca="1" si="31"/>
        <v/>
      </c>
      <c r="AB413" s="37" t="str">
        <f t="shared" si="32"/>
        <v/>
      </c>
    </row>
    <row r="414" spans="1:28" x14ac:dyDescent="0.25">
      <c r="A414" s="102"/>
      <c r="B414" s="33"/>
      <c r="C414" s="25"/>
      <c r="D414" s="26"/>
      <c r="E414" s="33"/>
      <c r="F414" s="25"/>
      <c r="G414" s="25"/>
      <c r="H414" s="25"/>
      <c r="I414" s="55"/>
      <c r="P414" s="37" t="str">
        <f t="shared" ca="1" si="30"/>
        <v/>
      </c>
      <c r="Q414" s="37" t="str">
        <f t="shared" ca="1" si="31"/>
        <v/>
      </c>
      <c r="AB414" s="37" t="str">
        <f t="shared" si="32"/>
        <v/>
      </c>
    </row>
    <row r="415" spans="1:28" x14ac:dyDescent="0.25">
      <c r="A415" s="102"/>
      <c r="B415" s="33"/>
      <c r="C415" s="25"/>
      <c r="D415" s="26"/>
      <c r="E415" s="33"/>
      <c r="F415" s="25"/>
      <c r="G415" s="25"/>
      <c r="H415" s="25"/>
      <c r="I415" s="55"/>
      <c r="P415" s="37" t="str">
        <f t="shared" ca="1" si="30"/>
        <v/>
      </c>
      <c r="Q415" s="37" t="str">
        <f t="shared" ca="1" si="31"/>
        <v/>
      </c>
      <c r="AB415" s="37" t="str">
        <f t="shared" si="32"/>
        <v/>
      </c>
    </row>
    <row r="416" spans="1:28" x14ac:dyDescent="0.25">
      <c r="A416" s="102"/>
      <c r="B416" s="33"/>
      <c r="C416" s="25"/>
      <c r="D416" s="26"/>
      <c r="E416" s="33"/>
      <c r="F416" s="25"/>
      <c r="G416" s="25"/>
      <c r="H416" s="25"/>
      <c r="I416" s="55"/>
      <c r="P416" s="37" t="str">
        <f t="shared" ca="1" si="30"/>
        <v/>
      </c>
      <c r="Q416" s="37" t="str">
        <f t="shared" ca="1" si="31"/>
        <v/>
      </c>
      <c r="AB416" s="37" t="str">
        <f t="shared" si="32"/>
        <v/>
      </c>
    </row>
    <row r="417" spans="1:28" x14ac:dyDescent="0.25">
      <c r="A417" s="102"/>
      <c r="B417" s="33"/>
      <c r="C417" s="25"/>
      <c r="D417" s="26"/>
      <c r="E417" s="33"/>
      <c r="F417" s="25"/>
      <c r="G417" s="25"/>
      <c r="H417" s="25"/>
      <c r="I417" s="55"/>
      <c r="P417" s="37" t="str">
        <f t="shared" ca="1" si="30"/>
        <v/>
      </c>
      <c r="Q417" s="37" t="str">
        <f t="shared" ca="1" si="31"/>
        <v/>
      </c>
      <c r="AB417" s="37" t="str">
        <f t="shared" si="32"/>
        <v/>
      </c>
    </row>
    <row r="418" spans="1:28" x14ac:dyDescent="0.25">
      <c r="A418" s="102"/>
      <c r="B418" s="33"/>
      <c r="C418" s="25"/>
      <c r="D418" s="26"/>
      <c r="E418" s="33"/>
      <c r="F418" s="25"/>
      <c r="G418" s="25"/>
      <c r="H418" s="25"/>
      <c r="I418" s="55"/>
      <c r="P418" s="37" t="str">
        <f t="shared" ca="1" si="30"/>
        <v/>
      </c>
      <c r="Q418" s="37" t="str">
        <f t="shared" ca="1" si="31"/>
        <v/>
      </c>
      <c r="AB418" s="37" t="str">
        <f t="shared" si="32"/>
        <v/>
      </c>
    </row>
    <row r="419" spans="1:28" x14ac:dyDescent="0.25">
      <c r="A419" s="102"/>
      <c r="B419" s="33"/>
      <c r="C419" s="25"/>
      <c r="D419" s="26"/>
      <c r="E419" s="33"/>
      <c r="F419" s="25"/>
      <c r="G419" s="25"/>
      <c r="H419" s="25"/>
      <c r="I419" s="55"/>
      <c r="P419" s="37" t="str">
        <f t="shared" ca="1" si="30"/>
        <v/>
      </c>
      <c r="Q419" s="37" t="str">
        <f t="shared" ca="1" si="31"/>
        <v/>
      </c>
      <c r="AB419" s="37" t="str">
        <f t="shared" si="32"/>
        <v/>
      </c>
    </row>
    <row r="420" spans="1:28" x14ac:dyDescent="0.25">
      <c r="A420" s="102"/>
      <c r="B420" s="33"/>
      <c r="C420" s="25"/>
      <c r="D420" s="26"/>
      <c r="E420" s="33"/>
      <c r="F420" s="25"/>
      <c r="G420" s="25"/>
      <c r="H420" s="25"/>
      <c r="I420" s="55"/>
      <c r="P420" s="37" t="str">
        <f t="shared" ca="1" si="30"/>
        <v/>
      </c>
      <c r="Q420" s="37" t="str">
        <f t="shared" ca="1" si="31"/>
        <v/>
      </c>
      <c r="AB420" s="37" t="str">
        <f t="shared" si="32"/>
        <v/>
      </c>
    </row>
    <row r="421" spans="1:28" x14ac:dyDescent="0.25">
      <c r="A421" s="102"/>
      <c r="B421" s="33"/>
      <c r="C421" s="25"/>
      <c r="D421" s="26"/>
      <c r="E421" s="33"/>
      <c r="F421" s="25"/>
      <c r="G421" s="25"/>
      <c r="H421" s="25"/>
      <c r="I421" s="55"/>
      <c r="P421" s="37" t="str">
        <f t="shared" ca="1" si="30"/>
        <v/>
      </c>
      <c r="Q421" s="37" t="str">
        <f t="shared" ca="1" si="31"/>
        <v/>
      </c>
      <c r="AB421" s="37" t="str">
        <f t="shared" si="32"/>
        <v/>
      </c>
    </row>
    <row r="422" spans="1:28" x14ac:dyDescent="0.25">
      <c r="A422" s="102"/>
      <c r="B422" s="33"/>
      <c r="C422" s="25"/>
      <c r="D422" s="26"/>
      <c r="E422" s="33"/>
      <c r="F422" s="25"/>
      <c r="G422" s="25"/>
      <c r="H422" s="25"/>
      <c r="I422" s="55"/>
      <c r="P422" s="37" t="str">
        <f t="shared" ca="1" si="30"/>
        <v/>
      </c>
      <c r="Q422" s="37" t="str">
        <f t="shared" ca="1" si="31"/>
        <v/>
      </c>
    </row>
    <row r="423" spans="1:28" x14ac:dyDescent="0.25">
      <c r="A423" s="102"/>
      <c r="B423" s="33"/>
      <c r="C423" s="25"/>
      <c r="D423" s="26"/>
      <c r="E423" s="33"/>
      <c r="F423" s="25"/>
      <c r="G423" s="25"/>
      <c r="H423" s="25"/>
      <c r="I423" s="55"/>
      <c r="P423" s="37" t="str">
        <f t="shared" ca="1" si="30"/>
        <v/>
      </c>
      <c r="Q423" s="37" t="str">
        <f t="shared" ca="1" si="31"/>
        <v/>
      </c>
    </row>
    <row r="424" spans="1:28" x14ac:dyDescent="0.25">
      <c r="A424" s="102"/>
      <c r="B424" s="33"/>
      <c r="C424" s="25"/>
      <c r="D424" s="26"/>
      <c r="E424" s="33"/>
      <c r="F424" s="25"/>
      <c r="G424" s="25"/>
      <c r="H424" s="25"/>
      <c r="I424" s="55"/>
      <c r="P424" s="37" t="str">
        <f t="shared" ca="1" si="30"/>
        <v/>
      </c>
      <c r="Q424" s="37" t="str">
        <f t="shared" ca="1" si="31"/>
        <v/>
      </c>
    </row>
    <row r="425" spans="1:28" x14ac:dyDescent="0.25">
      <c r="A425" s="102"/>
      <c r="B425" s="33"/>
      <c r="C425" s="25"/>
      <c r="D425" s="26"/>
      <c r="E425" s="33"/>
      <c r="F425" s="25"/>
      <c r="G425" s="25"/>
      <c r="H425" s="25"/>
      <c r="I425" s="55"/>
      <c r="P425" s="37" t="str">
        <f t="shared" ca="1" si="30"/>
        <v/>
      </c>
      <c r="Q425" s="37" t="str">
        <f t="shared" ca="1" si="31"/>
        <v/>
      </c>
    </row>
    <row r="426" spans="1:28" x14ac:dyDescent="0.25">
      <c r="A426" s="102"/>
      <c r="B426" s="33"/>
      <c r="C426" s="25"/>
      <c r="D426" s="26"/>
      <c r="E426" s="33"/>
      <c r="F426" s="25"/>
      <c r="G426" s="25"/>
      <c r="H426" s="25"/>
      <c r="I426" s="55"/>
      <c r="P426" s="37" t="str">
        <f t="shared" ca="1" si="30"/>
        <v/>
      </c>
      <c r="Q426" s="37" t="str">
        <f t="shared" ca="1" si="31"/>
        <v/>
      </c>
    </row>
    <row r="427" spans="1:28" x14ac:dyDescent="0.25">
      <c r="A427" s="102"/>
      <c r="B427" s="33"/>
      <c r="C427" s="25"/>
      <c r="D427" s="26"/>
      <c r="E427" s="33"/>
      <c r="F427" s="25"/>
      <c r="G427" s="25"/>
      <c r="H427" s="25"/>
      <c r="I427" s="55"/>
      <c r="P427" s="37" t="str">
        <f t="shared" ca="1" si="30"/>
        <v/>
      </c>
      <c r="Q427" s="37" t="str">
        <f t="shared" ca="1" si="31"/>
        <v/>
      </c>
    </row>
    <row r="428" spans="1:28" x14ac:dyDescent="0.25">
      <c r="A428" s="102"/>
      <c r="B428" s="33"/>
      <c r="C428" s="25"/>
      <c r="D428" s="26"/>
      <c r="E428" s="33"/>
      <c r="F428" s="25"/>
      <c r="G428" s="25"/>
      <c r="H428" s="25"/>
      <c r="I428" s="55"/>
      <c r="P428" s="37" t="str">
        <f t="shared" ca="1" si="30"/>
        <v/>
      </c>
      <c r="Q428" s="37" t="str">
        <f t="shared" ca="1" si="31"/>
        <v/>
      </c>
    </row>
    <row r="429" spans="1:28" x14ac:dyDescent="0.25">
      <c r="A429" s="102"/>
      <c r="B429" s="33"/>
      <c r="C429" s="25"/>
      <c r="D429" s="26"/>
      <c r="E429" s="33"/>
      <c r="F429" s="25"/>
      <c r="G429" s="25"/>
      <c r="H429" s="25"/>
      <c r="I429" s="55"/>
      <c r="P429" s="37" t="str">
        <f t="shared" ca="1" si="30"/>
        <v/>
      </c>
      <c r="Q429" s="37" t="str">
        <f t="shared" ca="1" si="31"/>
        <v/>
      </c>
    </row>
    <row r="430" spans="1:28" x14ac:dyDescent="0.25">
      <c r="A430" s="102"/>
      <c r="B430" s="33"/>
      <c r="C430" s="25"/>
      <c r="D430" s="26"/>
      <c r="E430" s="33"/>
      <c r="F430" s="25"/>
      <c r="G430" s="25"/>
      <c r="H430" s="25"/>
      <c r="I430" s="55"/>
      <c r="P430" s="37" t="str">
        <f t="shared" ca="1" si="30"/>
        <v/>
      </c>
      <c r="Q430" s="37" t="str">
        <f t="shared" ca="1" si="31"/>
        <v/>
      </c>
    </row>
    <row r="431" spans="1:28" x14ac:dyDescent="0.25">
      <c r="A431" s="102"/>
      <c r="B431" s="33"/>
      <c r="C431" s="25"/>
      <c r="D431" s="26"/>
      <c r="E431" s="33"/>
      <c r="F431" s="25"/>
      <c r="G431" s="25"/>
      <c r="H431" s="25"/>
      <c r="I431" s="55"/>
      <c r="P431" s="37" t="str">
        <f t="shared" ca="1" si="30"/>
        <v/>
      </c>
      <c r="Q431" s="37" t="str">
        <f t="shared" ca="1" si="31"/>
        <v/>
      </c>
    </row>
    <row r="432" spans="1:28" x14ac:dyDescent="0.25">
      <c r="A432" s="102"/>
      <c r="B432" s="33"/>
      <c r="C432" s="25"/>
      <c r="D432" s="26"/>
      <c r="E432" s="33"/>
      <c r="F432" s="25"/>
      <c r="G432" s="25"/>
      <c r="H432" s="25"/>
      <c r="I432" s="55"/>
      <c r="P432" s="37" t="str">
        <f t="shared" ca="1" si="30"/>
        <v/>
      </c>
      <c r="Q432" s="37" t="str">
        <f t="shared" ca="1" si="31"/>
        <v/>
      </c>
    </row>
    <row r="433" spans="1:17" x14ac:dyDescent="0.25">
      <c r="A433" s="102"/>
      <c r="B433" s="33"/>
      <c r="C433" s="25"/>
      <c r="D433" s="26"/>
      <c r="E433" s="33"/>
      <c r="F433" s="25"/>
      <c r="G433" s="25"/>
      <c r="H433" s="25"/>
      <c r="I433" s="55"/>
      <c r="P433" s="37" t="str">
        <f t="shared" ca="1" si="30"/>
        <v/>
      </c>
      <c r="Q433" s="37" t="str">
        <f t="shared" ca="1" si="31"/>
        <v/>
      </c>
    </row>
    <row r="434" spans="1:17" x14ac:dyDescent="0.25">
      <c r="A434" s="102"/>
      <c r="B434" s="33"/>
      <c r="C434" s="25"/>
      <c r="D434" s="26"/>
      <c r="E434" s="33"/>
      <c r="F434" s="25"/>
      <c r="G434" s="25"/>
      <c r="H434" s="25"/>
      <c r="I434" s="55"/>
      <c r="P434" s="37" t="str">
        <f t="shared" ca="1" si="30"/>
        <v/>
      </c>
      <c r="Q434" s="37" t="str">
        <f t="shared" ca="1" si="31"/>
        <v/>
      </c>
    </row>
    <row r="435" spans="1:17" x14ac:dyDescent="0.25">
      <c r="A435" s="102"/>
      <c r="B435" s="33"/>
      <c r="C435" s="25"/>
      <c r="D435" s="26"/>
      <c r="E435" s="33"/>
      <c r="F435" s="25"/>
      <c r="G435" s="25"/>
      <c r="H435" s="25"/>
      <c r="I435" s="55"/>
      <c r="P435" s="37" t="str">
        <f t="shared" ca="1" si="30"/>
        <v/>
      </c>
      <c r="Q435" s="37" t="str">
        <f t="shared" ca="1" si="31"/>
        <v/>
      </c>
    </row>
    <row r="436" spans="1:17" x14ac:dyDescent="0.25">
      <c r="A436" s="102"/>
      <c r="B436" s="33"/>
      <c r="C436" s="25"/>
      <c r="D436" s="26"/>
      <c r="E436" s="33"/>
      <c r="F436" s="25"/>
      <c r="G436" s="25"/>
      <c r="H436" s="25"/>
      <c r="I436" s="55"/>
      <c r="P436" s="37" t="str">
        <f t="shared" ca="1" si="30"/>
        <v/>
      </c>
      <c r="Q436" s="37" t="str">
        <f t="shared" ca="1" si="31"/>
        <v/>
      </c>
    </row>
    <row r="437" spans="1:17" x14ac:dyDescent="0.25">
      <c r="A437" s="102"/>
      <c r="B437" s="33"/>
      <c r="C437" s="25"/>
      <c r="D437" s="26"/>
      <c r="E437" s="33"/>
      <c r="F437" s="25"/>
      <c r="G437" s="25"/>
      <c r="H437" s="25"/>
      <c r="I437" s="55"/>
      <c r="P437" s="37" t="str">
        <f t="shared" ca="1" si="30"/>
        <v/>
      </c>
      <c r="Q437" s="37" t="str">
        <f t="shared" ca="1" si="31"/>
        <v/>
      </c>
    </row>
    <row r="438" spans="1:17" x14ac:dyDescent="0.25">
      <c r="A438" s="102"/>
      <c r="B438" s="33"/>
      <c r="C438" s="25"/>
      <c r="D438" s="26"/>
      <c r="E438" s="33"/>
      <c r="F438" s="25"/>
      <c r="G438" s="25"/>
      <c r="H438" s="25"/>
      <c r="I438" s="55"/>
      <c r="P438" s="37" t="str">
        <f t="shared" ca="1" si="30"/>
        <v/>
      </c>
      <c r="Q438" s="37" t="str">
        <f t="shared" ca="1" si="31"/>
        <v/>
      </c>
    </row>
    <row r="439" spans="1:17" x14ac:dyDescent="0.25">
      <c r="A439" s="102"/>
      <c r="B439" s="33"/>
      <c r="C439" s="25"/>
      <c r="D439" s="26"/>
      <c r="E439" s="33"/>
      <c r="F439" s="25"/>
      <c r="G439" s="25"/>
      <c r="H439" s="25"/>
      <c r="I439" s="55"/>
      <c r="P439" s="37" t="str">
        <f t="shared" ca="1" si="30"/>
        <v/>
      </c>
      <c r="Q439" s="37" t="str">
        <f t="shared" ca="1" si="31"/>
        <v/>
      </c>
    </row>
    <row r="440" spans="1:17" x14ac:dyDescent="0.25">
      <c r="A440" s="102"/>
      <c r="B440" s="33"/>
      <c r="C440" s="25"/>
      <c r="D440" s="26"/>
      <c r="E440" s="33"/>
      <c r="F440" s="25"/>
      <c r="G440" s="25"/>
      <c r="H440" s="25"/>
      <c r="I440" s="55"/>
      <c r="P440" s="37" t="str">
        <f t="shared" ca="1" si="30"/>
        <v/>
      </c>
      <c r="Q440" s="37" t="str">
        <f t="shared" ca="1" si="31"/>
        <v/>
      </c>
    </row>
    <row r="441" spans="1:17" x14ac:dyDescent="0.25">
      <c r="A441" s="102"/>
      <c r="B441" s="33"/>
      <c r="C441" s="25"/>
      <c r="D441" s="26"/>
      <c r="E441" s="33"/>
      <c r="F441" s="25"/>
      <c r="G441" s="25"/>
      <c r="H441" s="25"/>
      <c r="I441" s="55"/>
      <c r="P441" s="37" t="str">
        <f t="shared" ca="1" si="30"/>
        <v/>
      </c>
      <c r="Q441" s="37" t="str">
        <f t="shared" ca="1" si="31"/>
        <v/>
      </c>
    </row>
    <row r="442" spans="1:17" x14ac:dyDescent="0.25">
      <c r="A442" s="102"/>
      <c r="B442" s="33"/>
      <c r="C442" s="25"/>
      <c r="D442" s="26"/>
      <c r="E442" s="33"/>
      <c r="F442" s="25"/>
      <c r="G442" s="25"/>
      <c r="H442" s="25"/>
      <c r="I442" s="55"/>
      <c r="P442" s="37" t="str">
        <f t="shared" ca="1" si="30"/>
        <v/>
      </c>
      <c r="Q442" s="37" t="str">
        <f t="shared" ca="1" si="31"/>
        <v/>
      </c>
    </row>
    <row r="443" spans="1:17" x14ac:dyDescent="0.25">
      <c r="A443" s="102"/>
      <c r="B443" s="33"/>
      <c r="C443" s="25"/>
      <c r="D443" s="26"/>
      <c r="E443" s="33"/>
      <c r="F443" s="25"/>
      <c r="G443" s="25"/>
      <c r="H443" s="25"/>
      <c r="I443" s="55"/>
      <c r="P443" s="37" t="str">
        <f t="shared" ca="1" si="30"/>
        <v/>
      </c>
      <c r="Q443" s="37" t="str">
        <f t="shared" ca="1" si="31"/>
        <v/>
      </c>
    </row>
    <row r="444" spans="1:17" x14ac:dyDescent="0.25">
      <c r="A444" s="102"/>
      <c r="B444" s="33"/>
      <c r="C444" s="25"/>
      <c r="D444" s="26"/>
      <c r="E444" s="33"/>
      <c r="F444" s="25"/>
      <c r="G444" s="25"/>
      <c r="H444" s="25"/>
      <c r="I444" s="55"/>
      <c r="P444" s="37" t="str">
        <f t="shared" ca="1" si="30"/>
        <v/>
      </c>
      <c r="Q444" s="37" t="str">
        <f t="shared" ca="1" si="31"/>
        <v/>
      </c>
    </row>
    <row r="445" spans="1:17" x14ac:dyDescent="0.25">
      <c r="A445" s="102"/>
      <c r="B445" s="33"/>
      <c r="C445" s="25"/>
      <c r="D445" s="26"/>
      <c r="E445" s="33"/>
      <c r="F445" s="25"/>
      <c r="G445" s="25"/>
      <c r="H445" s="25"/>
      <c r="I445" s="55"/>
      <c r="P445" s="37" t="str">
        <f t="shared" ca="1" si="30"/>
        <v/>
      </c>
      <c r="Q445" s="37" t="str">
        <f t="shared" ca="1" si="31"/>
        <v/>
      </c>
    </row>
    <row r="446" spans="1:17" x14ac:dyDescent="0.25">
      <c r="A446" s="102"/>
      <c r="B446" s="33"/>
      <c r="C446" s="25"/>
      <c r="D446" s="26"/>
      <c r="E446" s="33"/>
      <c r="F446" s="25"/>
      <c r="G446" s="25"/>
      <c r="H446" s="25"/>
      <c r="I446" s="55"/>
      <c r="P446" s="37" t="str">
        <f t="shared" ca="1" si="30"/>
        <v/>
      </c>
      <c r="Q446" s="37" t="str">
        <f t="shared" ca="1" si="31"/>
        <v/>
      </c>
    </row>
    <row r="447" spans="1:17" x14ac:dyDescent="0.25">
      <c r="A447" s="102"/>
      <c r="B447" s="33"/>
      <c r="C447" s="25"/>
      <c r="D447" s="26"/>
      <c r="E447" s="33"/>
      <c r="F447" s="25"/>
      <c r="G447" s="25"/>
      <c r="H447" s="25"/>
      <c r="I447" s="55"/>
      <c r="P447" s="37" t="str">
        <f t="shared" ca="1" si="30"/>
        <v/>
      </c>
      <c r="Q447" s="37" t="str">
        <f t="shared" ca="1" si="31"/>
        <v/>
      </c>
    </row>
    <row r="448" spans="1:17" x14ac:dyDescent="0.25">
      <c r="A448" s="102"/>
      <c r="B448" s="33"/>
      <c r="C448" s="25"/>
      <c r="D448" s="26"/>
      <c r="E448" s="33"/>
      <c r="F448" s="25"/>
      <c r="G448" s="25"/>
      <c r="H448" s="25"/>
      <c r="I448" s="55"/>
      <c r="P448" s="37" t="str">
        <f t="shared" ca="1" si="30"/>
        <v/>
      </c>
      <c r="Q448" s="37" t="str">
        <f t="shared" ca="1" si="31"/>
        <v/>
      </c>
    </row>
    <row r="449" spans="1:17" x14ac:dyDescent="0.25">
      <c r="A449" s="102"/>
      <c r="B449" s="33"/>
      <c r="C449" s="25"/>
      <c r="D449" s="26"/>
      <c r="E449" s="33"/>
      <c r="F449" s="25"/>
      <c r="G449" s="25"/>
      <c r="H449" s="25"/>
      <c r="I449" s="55"/>
      <c r="P449" s="37" t="str">
        <f t="shared" ca="1" si="30"/>
        <v/>
      </c>
      <c r="Q449" s="37" t="str">
        <f t="shared" ca="1" si="31"/>
        <v/>
      </c>
    </row>
    <row r="450" spans="1:17" x14ac:dyDescent="0.25">
      <c r="A450" s="102"/>
      <c r="B450" s="33"/>
      <c r="C450" s="25"/>
      <c r="D450" s="26"/>
      <c r="E450" s="33"/>
      <c r="F450" s="25"/>
      <c r="G450" s="25"/>
      <c r="H450" s="25"/>
      <c r="I450" s="55"/>
      <c r="P450" s="37" t="str">
        <f t="shared" ca="1" si="30"/>
        <v/>
      </c>
      <c r="Q450" s="37" t="str">
        <f t="shared" ca="1" si="31"/>
        <v/>
      </c>
    </row>
    <row r="451" spans="1:17" x14ac:dyDescent="0.25">
      <c r="A451" s="102"/>
      <c r="B451" s="33"/>
      <c r="C451" s="25"/>
      <c r="D451" s="26"/>
      <c r="E451" s="33"/>
      <c r="F451" s="25"/>
      <c r="G451" s="25"/>
      <c r="H451" s="25"/>
      <c r="I451" s="55"/>
      <c r="P451" s="37" t="str">
        <f t="shared" ca="1" si="30"/>
        <v/>
      </c>
      <c r="Q451" s="37" t="str">
        <f t="shared" ca="1" si="31"/>
        <v/>
      </c>
    </row>
    <row r="452" spans="1:17" x14ac:dyDescent="0.25">
      <c r="A452" s="102"/>
      <c r="B452" s="33"/>
      <c r="C452" s="25"/>
      <c r="D452" s="26"/>
      <c r="E452" s="33"/>
      <c r="F452" s="25"/>
      <c r="G452" s="25"/>
      <c r="H452" s="25"/>
      <c r="I452" s="55"/>
      <c r="P452" s="37" t="str">
        <f t="shared" ref="P452:P515" ca="1" si="33">IF(COUNTIF(N:N,L452),L452,"")</f>
        <v/>
      </c>
      <c r="Q452" s="37" t="str">
        <f t="shared" ref="Q452:Q515" ca="1" si="34">IF(P452&gt;$A$14,P452,"")</f>
        <v/>
      </c>
    </row>
    <row r="453" spans="1:17" x14ac:dyDescent="0.25">
      <c r="A453" s="102"/>
      <c r="B453" s="33"/>
      <c r="C453" s="25"/>
      <c r="D453" s="26"/>
      <c r="E453" s="33"/>
      <c r="F453" s="25"/>
      <c r="G453" s="25"/>
      <c r="H453" s="25"/>
      <c r="I453" s="55"/>
      <c r="P453" s="37" t="str">
        <f t="shared" ca="1" si="33"/>
        <v/>
      </c>
      <c r="Q453" s="37" t="str">
        <f t="shared" ca="1" si="34"/>
        <v/>
      </c>
    </row>
    <row r="454" spans="1:17" x14ac:dyDescent="0.25">
      <c r="A454" s="102"/>
      <c r="B454" s="33"/>
      <c r="C454" s="25"/>
      <c r="D454" s="26"/>
      <c r="E454" s="33"/>
      <c r="F454" s="25"/>
      <c r="G454" s="25"/>
      <c r="H454" s="25"/>
      <c r="I454" s="55"/>
      <c r="P454" s="37" t="str">
        <f t="shared" ca="1" si="33"/>
        <v/>
      </c>
      <c r="Q454" s="37" t="str">
        <f t="shared" ca="1" si="34"/>
        <v/>
      </c>
    </row>
    <row r="455" spans="1:17" x14ac:dyDescent="0.25">
      <c r="A455" s="102"/>
      <c r="B455" s="33"/>
      <c r="C455" s="25"/>
      <c r="D455" s="26"/>
      <c r="E455" s="33"/>
      <c r="F455" s="25"/>
      <c r="G455" s="25"/>
      <c r="H455" s="25"/>
      <c r="I455" s="55"/>
      <c r="P455" s="37" t="str">
        <f t="shared" ca="1" si="33"/>
        <v/>
      </c>
      <c r="Q455" s="37" t="str">
        <f t="shared" ca="1" si="34"/>
        <v/>
      </c>
    </row>
    <row r="456" spans="1:17" x14ac:dyDescent="0.25">
      <c r="A456" s="102"/>
      <c r="B456" s="33"/>
      <c r="C456" s="25"/>
      <c r="D456" s="26"/>
      <c r="E456" s="33"/>
      <c r="F456" s="25"/>
      <c r="G456" s="25"/>
      <c r="H456" s="25"/>
      <c r="I456" s="55"/>
      <c r="P456" s="37" t="str">
        <f t="shared" ca="1" si="33"/>
        <v/>
      </c>
      <c r="Q456" s="37" t="str">
        <f t="shared" ca="1" si="34"/>
        <v/>
      </c>
    </row>
    <row r="457" spans="1:17" x14ac:dyDescent="0.25">
      <c r="A457" s="102"/>
      <c r="B457" s="33"/>
      <c r="C457" s="25"/>
      <c r="D457" s="26"/>
      <c r="E457" s="33"/>
      <c r="F457" s="25"/>
      <c r="G457" s="25"/>
      <c r="H457" s="25"/>
      <c r="I457" s="55"/>
      <c r="P457" s="37" t="str">
        <f t="shared" ca="1" si="33"/>
        <v/>
      </c>
      <c r="Q457" s="37" t="str">
        <f t="shared" ca="1" si="34"/>
        <v/>
      </c>
    </row>
    <row r="458" spans="1:17" x14ac:dyDescent="0.25">
      <c r="A458" s="102"/>
      <c r="B458" s="33"/>
      <c r="C458" s="25"/>
      <c r="D458" s="26"/>
      <c r="E458" s="33"/>
      <c r="F458" s="25"/>
      <c r="G458" s="25"/>
      <c r="H458" s="25"/>
      <c r="I458" s="55"/>
      <c r="P458" s="37" t="str">
        <f t="shared" ca="1" si="33"/>
        <v/>
      </c>
      <c r="Q458" s="37" t="str">
        <f t="shared" ca="1" si="34"/>
        <v/>
      </c>
    </row>
    <row r="459" spans="1:17" x14ac:dyDescent="0.25">
      <c r="A459" s="102"/>
      <c r="B459" s="33"/>
      <c r="C459" s="25"/>
      <c r="D459" s="26"/>
      <c r="E459" s="33"/>
      <c r="F459" s="25"/>
      <c r="G459" s="25"/>
      <c r="H459" s="25"/>
      <c r="I459" s="55"/>
      <c r="P459" s="37" t="str">
        <f t="shared" ca="1" si="33"/>
        <v/>
      </c>
      <c r="Q459" s="37" t="str">
        <f t="shared" ca="1" si="34"/>
        <v/>
      </c>
    </row>
    <row r="460" spans="1:17" x14ac:dyDescent="0.25">
      <c r="A460" s="102"/>
      <c r="B460" s="33"/>
      <c r="C460" s="25"/>
      <c r="D460" s="26"/>
      <c r="E460" s="33"/>
      <c r="F460" s="25"/>
      <c r="G460" s="25"/>
      <c r="H460" s="25"/>
      <c r="I460" s="55"/>
      <c r="P460" s="37" t="str">
        <f t="shared" ca="1" si="33"/>
        <v/>
      </c>
      <c r="Q460" s="37" t="str">
        <f t="shared" ca="1" si="34"/>
        <v/>
      </c>
    </row>
    <row r="461" spans="1:17" x14ac:dyDescent="0.25">
      <c r="A461" s="102"/>
      <c r="B461" s="33"/>
      <c r="C461" s="25"/>
      <c r="D461" s="26"/>
      <c r="E461" s="33"/>
      <c r="F461" s="25"/>
      <c r="G461" s="25"/>
      <c r="H461" s="25"/>
      <c r="I461" s="55"/>
      <c r="P461" s="37" t="str">
        <f t="shared" ca="1" si="33"/>
        <v/>
      </c>
      <c r="Q461" s="37" t="str">
        <f t="shared" ca="1" si="34"/>
        <v/>
      </c>
    </row>
    <row r="462" spans="1:17" x14ac:dyDescent="0.25">
      <c r="A462" s="102"/>
      <c r="B462" s="33"/>
      <c r="C462" s="25"/>
      <c r="D462" s="26"/>
      <c r="E462" s="33"/>
      <c r="F462" s="25"/>
      <c r="G462" s="25"/>
      <c r="H462" s="25"/>
      <c r="I462" s="55"/>
      <c r="P462" s="37" t="str">
        <f t="shared" ca="1" si="33"/>
        <v/>
      </c>
      <c r="Q462" s="37" t="str">
        <f t="shared" ca="1" si="34"/>
        <v/>
      </c>
    </row>
    <row r="463" spans="1:17" x14ac:dyDescent="0.25">
      <c r="A463" s="102"/>
      <c r="B463" s="33"/>
      <c r="C463" s="25"/>
      <c r="D463" s="26"/>
      <c r="E463" s="33"/>
      <c r="F463" s="25"/>
      <c r="G463" s="25"/>
      <c r="H463" s="25"/>
      <c r="I463" s="55"/>
      <c r="P463" s="37" t="str">
        <f t="shared" ca="1" si="33"/>
        <v/>
      </c>
      <c r="Q463" s="37" t="str">
        <f t="shared" ca="1" si="34"/>
        <v/>
      </c>
    </row>
    <row r="464" spans="1:17" x14ac:dyDescent="0.25">
      <c r="A464" s="102"/>
      <c r="B464" s="33"/>
      <c r="C464" s="25"/>
      <c r="D464" s="26"/>
      <c r="E464" s="33"/>
      <c r="F464" s="25"/>
      <c r="G464" s="25"/>
      <c r="H464" s="25"/>
      <c r="I464" s="55"/>
      <c r="P464" s="37" t="str">
        <f t="shared" ca="1" si="33"/>
        <v/>
      </c>
      <c r="Q464" s="37" t="str">
        <f t="shared" ca="1" si="34"/>
        <v/>
      </c>
    </row>
    <row r="465" spans="1:17" x14ac:dyDescent="0.25">
      <c r="A465" s="102"/>
      <c r="B465" s="33"/>
      <c r="C465" s="25"/>
      <c r="D465" s="26"/>
      <c r="E465" s="33"/>
      <c r="F465" s="25"/>
      <c r="G465" s="25"/>
      <c r="H465" s="25"/>
      <c r="I465" s="55"/>
      <c r="P465" s="37" t="str">
        <f t="shared" ca="1" si="33"/>
        <v/>
      </c>
      <c r="Q465" s="37" t="str">
        <f t="shared" ca="1" si="34"/>
        <v/>
      </c>
    </row>
    <row r="466" spans="1:17" x14ac:dyDescent="0.25">
      <c r="A466" s="102"/>
      <c r="B466" s="33"/>
      <c r="C466" s="25"/>
      <c r="D466" s="26"/>
      <c r="E466" s="33"/>
      <c r="F466" s="25"/>
      <c r="G466" s="25"/>
      <c r="H466" s="25"/>
      <c r="I466" s="55"/>
      <c r="P466" s="37" t="str">
        <f t="shared" ca="1" si="33"/>
        <v/>
      </c>
      <c r="Q466" s="37" t="str">
        <f t="shared" ca="1" si="34"/>
        <v/>
      </c>
    </row>
    <row r="467" spans="1:17" x14ac:dyDescent="0.25">
      <c r="A467" s="102"/>
      <c r="B467" s="33"/>
      <c r="C467" s="25"/>
      <c r="D467" s="26"/>
      <c r="E467" s="33"/>
      <c r="F467" s="25"/>
      <c r="G467" s="25"/>
      <c r="H467" s="25"/>
      <c r="I467" s="55"/>
      <c r="P467" s="37" t="str">
        <f t="shared" ca="1" si="33"/>
        <v/>
      </c>
      <c r="Q467" s="37" t="str">
        <f t="shared" ca="1" si="34"/>
        <v/>
      </c>
    </row>
    <row r="468" spans="1:17" x14ac:dyDescent="0.25">
      <c r="A468" s="102"/>
      <c r="B468" s="33"/>
      <c r="C468" s="25"/>
      <c r="D468" s="26"/>
      <c r="E468" s="33"/>
      <c r="F468" s="25"/>
      <c r="G468" s="25"/>
      <c r="H468" s="25"/>
      <c r="I468" s="55"/>
      <c r="P468" s="37" t="str">
        <f t="shared" ca="1" si="33"/>
        <v/>
      </c>
      <c r="Q468" s="37" t="str">
        <f t="shared" ca="1" si="34"/>
        <v/>
      </c>
    </row>
    <row r="469" spans="1:17" x14ac:dyDescent="0.25">
      <c r="A469" s="102"/>
      <c r="B469" s="33"/>
      <c r="C469" s="25"/>
      <c r="D469" s="26"/>
      <c r="E469" s="33"/>
      <c r="F469" s="25"/>
      <c r="G469" s="25"/>
      <c r="H469" s="25"/>
      <c r="I469" s="55"/>
      <c r="P469" s="37" t="str">
        <f t="shared" ca="1" si="33"/>
        <v/>
      </c>
      <c r="Q469" s="37" t="str">
        <f t="shared" ca="1" si="34"/>
        <v/>
      </c>
    </row>
    <row r="470" spans="1:17" x14ac:dyDescent="0.25">
      <c r="A470" s="102"/>
      <c r="B470" s="33"/>
      <c r="C470" s="25"/>
      <c r="D470" s="26"/>
      <c r="E470" s="33"/>
      <c r="F470" s="25"/>
      <c r="G470" s="25"/>
      <c r="H470" s="25"/>
      <c r="I470" s="55"/>
      <c r="P470" s="37" t="str">
        <f t="shared" ca="1" si="33"/>
        <v/>
      </c>
      <c r="Q470" s="37" t="str">
        <f t="shared" ca="1" si="34"/>
        <v/>
      </c>
    </row>
    <row r="471" spans="1:17" x14ac:dyDescent="0.25">
      <c r="A471" s="102"/>
      <c r="B471" s="33"/>
      <c r="C471" s="25"/>
      <c r="D471" s="26"/>
      <c r="E471" s="33"/>
      <c r="F471" s="25"/>
      <c r="G471" s="25"/>
      <c r="H471" s="25"/>
      <c r="I471" s="55"/>
      <c r="P471" s="37" t="str">
        <f t="shared" ca="1" si="33"/>
        <v/>
      </c>
      <c r="Q471" s="37" t="str">
        <f t="shared" ca="1" si="34"/>
        <v/>
      </c>
    </row>
    <row r="472" spans="1:17" x14ac:dyDescent="0.25">
      <c r="A472" s="102"/>
      <c r="B472" s="33"/>
      <c r="C472" s="25"/>
      <c r="D472" s="26"/>
      <c r="E472" s="33"/>
      <c r="F472" s="25"/>
      <c r="G472" s="25"/>
      <c r="H472" s="25"/>
      <c r="I472" s="55"/>
      <c r="P472" s="37" t="str">
        <f t="shared" ca="1" si="33"/>
        <v/>
      </c>
      <c r="Q472" s="37" t="str">
        <f t="shared" ca="1" si="34"/>
        <v/>
      </c>
    </row>
    <row r="473" spans="1:17" x14ac:dyDescent="0.25">
      <c r="A473" s="102"/>
      <c r="B473" s="33"/>
      <c r="C473" s="25"/>
      <c r="D473" s="26"/>
      <c r="E473" s="33"/>
      <c r="F473" s="25"/>
      <c r="G473" s="25"/>
      <c r="H473" s="25"/>
      <c r="I473" s="55"/>
      <c r="P473" s="37" t="str">
        <f t="shared" ca="1" si="33"/>
        <v/>
      </c>
      <c r="Q473" s="37" t="str">
        <f t="shared" ca="1" si="34"/>
        <v/>
      </c>
    </row>
    <row r="474" spans="1:17" x14ac:dyDescent="0.25">
      <c r="A474" s="102"/>
      <c r="B474" s="33"/>
      <c r="C474" s="25"/>
      <c r="D474" s="26"/>
      <c r="E474" s="33"/>
      <c r="F474" s="25"/>
      <c r="G474" s="25"/>
      <c r="H474" s="25"/>
      <c r="I474" s="55"/>
      <c r="P474" s="37" t="str">
        <f t="shared" ca="1" si="33"/>
        <v/>
      </c>
      <c r="Q474" s="37" t="str">
        <f t="shared" ca="1" si="34"/>
        <v/>
      </c>
    </row>
    <row r="475" spans="1:17" x14ac:dyDescent="0.25">
      <c r="A475" s="102"/>
      <c r="B475" s="33"/>
      <c r="C475" s="25"/>
      <c r="D475" s="26"/>
      <c r="E475" s="33"/>
      <c r="F475" s="25"/>
      <c r="G475" s="25"/>
      <c r="H475" s="25"/>
      <c r="I475" s="55"/>
      <c r="P475" s="37" t="str">
        <f t="shared" ca="1" si="33"/>
        <v/>
      </c>
      <c r="Q475" s="37" t="str">
        <f t="shared" ca="1" si="34"/>
        <v/>
      </c>
    </row>
    <row r="476" spans="1:17" x14ac:dyDescent="0.25">
      <c r="A476" s="102"/>
      <c r="B476" s="33"/>
      <c r="C476" s="25"/>
      <c r="D476" s="26"/>
      <c r="E476" s="33"/>
      <c r="F476" s="25"/>
      <c r="G476" s="25"/>
      <c r="H476" s="25"/>
      <c r="I476" s="55"/>
      <c r="P476" s="37" t="str">
        <f t="shared" ca="1" si="33"/>
        <v/>
      </c>
      <c r="Q476" s="37" t="str">
        <f t="shared" ca="1" si="34"/>
        <v/>
      </c>
    </row>
    <row r="477" spans="1:17" x14ac:dyDescent="0.25">
      <c r="A477" s="102"/>
      <c r="B477" s="33"/>
      <c r="C477" s="25"/>
      <c r="D477" s="26"/>
      <c r="E477" s="33"/>
      <c r="F477" s="25"/>
      <c r="G477" s="25"/>
      <c r="H477" s="25"/>
      <c r="I477" s="55"/>
      <c r="P477" s="37" t="str">
        <f t="shared" ca="1" si="33"/>
        <v/>
      </c>
      <c r="Q477" s="37" t="str">
        <f t="shared" ca="1" si="34"/>
        <v/>
      </c>
    </row>
    <row r="478" spans="1:17" x14ac:dyDescent="0.25">
      <c r="A478" s="102"/>
      <c r="B478" s="33"/>
      <c r="C478" s="25"/>
      <c r="D478" s="26"/>
      <c r="E478" s="33"/>
      <c r="F478" s="25"/>
      <c r="G478" s="25"/>
      <c r="H478" s="25"/>
      <c r="I478" s="55"/>
      <c r="P478" s="37" t="str">
        <f t="shared" ca="1" si="33"/>
        <v/>
      </c>
      <c r="Q478" s="37" t="str">
        <f t="shared" ca="1" si="34"/>
        <v/>
      </c>
    </row>
    <row r="479" spans="1:17" x14ac:dyDescent="0.25">
      <c r="A479" s="102"/>
      <c r="B479" s="33"/>
      <c r="C479" s="25"/>
      <c r="D479" s="26"/>
      <c r="E479" s="33"/>
      <c r="F479" s="25"/>
      <c r="G479" s="25"/>
      <c r="H479" s="25"/>
      <c r="I479" s="55"/>
      <c r="P479" s="37" t="str">
        <f t="shared" ca="1" si="33"/>
        <v/>
      </c>
      <c r="Q479" s="37" t="str">
        <f t="shared" ca="1" si="34"/>
        <v/>
      </c>
    </row>
    <row r="480" spans="1:17" x14ac:dyDescent="0.25">
      <c r="A480" s="102"/>
      <c r="B480" s="33"/>
      <c r="C480" s="25"/>
      <c r="D480" s="26"/>
      <c r="E480" s="33"/>
      <c r="F480" s="25"/>
      <c r="G480" s="25"/>
      <c r="H480" s="25"/>
      <c r="I480" s="55"/>
      <c r="P480" s="37" t="str">
        <f t="shared" ca="1" si="33"/>
        <v/>
      </c>
      <c r="Q480" s="37" t="str">
        <f t="shared" ca="1" si="34"/>
        <v/>
      </c>
    </row>
    <row r="481" spans="1:17" x14ac:dyDescent="0.25">
      <c r="A481" s="102"/>
      <c r="B481" s="33"/>
      <c r="C481" s="25"/>
      <c r="D481" s="26"/>
      <c r="E481" s="33"/>
      <c r="F481" s="25"/>
      <c r="G481" s="25"/>
      <c r="H481" s="25"/>
      <c r="I481" s="55"/>
      <c r="P481" s="37" t="str">
        <f t="shared" ca="1" si="33"/>
        <v/>
      </c>
      <c r="Q481" s="37" t="str">
        <f t="shared" ca="1" si="34"/>
        <v/>
      </c>
    </row>
    <row r="482" spans="1:17" x14ac:dyDescent="0.25">
      <c r="A482" s="102"/>
      <c r="B482" s="33"/>
      <c r="C482" s="25"/>
      <c r="D482" s="26"/>
      <c r="E482" s="33"/>
      <c r="F482" s="25"/>
      <c r="G482" s="25"/>
      <c r="H482" s="25"/>
      <c r="I482" s="55"/>
      <c r="P482" s="37" t="str">
        <f t="shared" ca="1" si="33"/>
        <v/>
      </c>
      <c r="Q482" s="37" t="str">
        <f t="shared" ca="1" si="34"/>
        <v/>
      </c>
    </row>
    <row r="483" spans="1:17" x14ac:dyDescent="0.25">
      <c r="A483" s="102"/>
      <c r="B483" s="33"/>
      <c r="C483" s="25"/>
      <c r="D483" s="26"/>
      <c r="E483" s="33"/>
      <c r="F483" s="25"/>
      <c r="G483" s="25"/>
      <c r="H483" s="25"/>
      <c r="I483" s="55"/>
      <c r="P483" s="37" t="str">
        <f t="shared" ca="1" si="33"/>
        <v/>
      </c>
      <c r="Q483" s="37" t="str">
        <f t="shared" ca="1" si="34"/>
        <v/>
      </c>
    </row>
    <row r="484" spans="1:17" x14ac:dyDescent="0.25">
      <c r="A484" s="102"/>
      <c r="B484" s="33"/>
      <c r="C484" s="25"/>
      <c r="D484" s="26"/>
      <c r="E484" s="33"/>
      <c r="F484" s="25"/>
      <c r="G484" s="25"/>
      <c r="H484" s="25"/>
      <c r="I484" s="55"/>
      <c r="P484" s="37" t="str">
        <f t="shared" ca="1" si="33"/>
        <v/>
      </c>
      <c r="Q484" s="37" t="str">
        <f t="shared" ca="1" si="34"/>
        <v/>
      </c>
    </row>
    <row r="485" spans="1:17" x14ac:dyDescent="0.25">
      <c r="A485" s="102"/>
      <c r="B485" s="33"/>
      <c r="C485" s="25"/>
      <c r="D485" s="26"/>
      <c r="E485" s="33"/>
      <c r="F485" s="25"/>
      <c r="G485" s="25"/>
      <c r="H485" s="25"/>
      <c r="I485" s="55"/>
      <c r="P485" s="37" t="str">
        <f t="shared" ca="1" si="33"/>
        <v/>
      </c>
      <c r="Q485" s="37" t="str">
        <f t="shared" ca="1" si="34"/>
        <v/>
      </c>
    </row>
    <row r="486" spans="1:17" x14ac:dyDescent="0.25">
      <c r="A486" s="102"/>
      <c r="B486" s="33"/>
      <c r="C486" s="25"/>
      <c r="D486" s="26"/>
      <c r="E486" s="33"/>
      <c r="F486" s="25"/>
      <c r="G486" s="25"/>
      <c r="H486" s="25"/>
      <c r="I486" s="55"/>
      <c r="P486" s="37" t="str">
        <f t="shared" ca="1" si="33"/>
        <v/>
      </c>
      <c r="Q486" s="37" t="str">
        <f t="shared" ca="1" si="34"/>
        <v/>
      </c>
    </row>
    <row r="487" spans="1:17" x14ac:dyDescent="0.25">
      <c r="A487" s="102"/>
      <c r="B487" s="33"/>
      <c r="C487" s="25"/>
      <c r="D487" s="26"/>
      <c r="E487" s="33"/>
      <c r="F487" s="25"/>
      <c r="G487" s="25"/>
      <c r="H487" s="25"/>
      <c r="I487" s="55"/>
      <c r="P487" s="37" t="str">
        <f t="shared" ca="1" si="33"/>
        <v/>
      </c>
      <c r="Q487" s="37" t="str">
        <f t="shared" ca="1" si="34"/>
        <v/>
      </c>
    </row>
    <row r="488" spans="1:17" x14ac:dyDescent="0.25">
      <c r="A488" s="102"/>
      <c r="B488" s="33"/>
      <c r="C488" s="25"/>
      <c r="D488" s="26"/>
      <c r="E488" s="33"/>
      <c r="F488" s="25"/>
      <c r="G488" s="25"/>
      <c r="H488" s="25"/>
      <c r="I488" s="55"/>
      <c r="P488" s="37" t="str">
        <f t="shared" ca="1" si="33"/>
        <v/>
      </c>
      <c r="Q488" s="37" t="str">
        <f t="shared" ca="1" si="34"/>
        <v/>
      </c>
    </row>
    <row r="489" spans="1:17" x14ac:dyDescent="0.25">
      <c r="A489" s="102"/>
      <c r="B489" s="33"/>
      <c r="C489" s="25"/>
      <c r="D489" s="26"/>
      <c r="E489" s="33"/>
      <c r="F489" s="25"/>
      <c r="G489" s="25"/>
      <c r="H489" s="25"/>
      <c r="I489" s="55"/>
      <c r="P489" s="37" t="str">
        <f t="shared" ca="1" si="33"/>
        <v/>
      </c>
      <c r="Q489" s="37" t="str">
        <f t="shared" ca="1" si="34"/>
        <v/>
      </c>
    </row>
    <row r="490" spans="1:17" x14ac:dyDescent="0.25">
      <c r="A490" s="102"/>
      <c r="B490" s="33"/>
      <c r="C490" s="25"/>
      <c r="D490" s="26"/>
      <c r="E490" s="33"/>
      <c r="F490" s="25"/>
      <c r="G490" s="25"/>
      <c r="H490" s="25"/>
      <c r="I490" s="55"/>
      <c r="P490" s="37" t="str">
        <f t="shared" ca="1" si="33"/>
        <v/>
      </c>
      <c r="Q490" s="37" t="str">
        <f t="shared" ca="1" si="34"/>
        <v/>
      </c>
    </row>
    <row r="491" spans="1:17" x14ac:dyDescent="0.25">
      <c r="A491" s="102"/>
      <c r="B491" s="33"/>
      <c r="C491" s="25"/>
      <c r="D491" s="26"/>
      <c r="E491" s="33"/>
      <c r="F491" s="25"/>
      <c r="G491" s="25"/>
      <c r="H491" s="25"/>
      <c r="I491" s="55"/>
      <c r="P491" s="37" t="str">
        <f t="shared" ca="1" si="33"/>
        <v/>
      </c>
      <c r="Q491" s="37" t="str">
        <f t="shared" ca="1" si="34"/>
        <v/>
      </c>
    </row>
    <row r="492" spans="1:17" x14ac:dyDescent="0.25">
      <c r="A492" s="102"/>
      <c r="B492" s="33"/>
      <c r="C492" s="25"/>
      <c r="D492" s="26"/>
      <c r="E492" s="33"/>
      <c r="F492" s="25"/>
      <c r="G492" s="25"/>
      <c r="H492" s="25"/>
      <c r="I492" s="55"/>
      <c r="P492" s="37" t="str">
        <f t="shared" ca="1" si="33"/>
        <v/>
      </c>
      <c r="Q492" s="37" t="str">
        <f t="shared" ca="1" si="34"/>
        <v/>
      </c>
    </row>
    <row r="493" spans="1:17" x14ac:dyDescent="0.25">
      <c r="A493" s="102"/>
      <c r="B493" s="33"/>
      <c r="C493" s="25"/>
      <c r="D493" s="26"/>
      <c r="E493" s="33"/>
      <c r="F493" s="25"/>
      <c r="G493" s="25"/>
      <c r="H493" s="25"/>
      <c r="I493" s="55"/>
      <c r="P493" s="37" t="str">
        <f t="shared" ca="1" si="33"/>
        <v/>
      </c>
      <c r="Q493" s="37" t="str">
        <f t="shared" ca="1" si="34"/>
        <v/>
      </c>
    </row>
    <row r="494" spans="1:17" x14ac:dyDescent="0.25">
      <c r="A494" s="102"/>
      <c r="B494" s="33"/>
      <c r="C494" s="25"/>
      <c r="D494" s="26"/>
      <c r="E494" s="33"/>
      <c r="F494" s="25"/>
      <c r="G494" s="25"/>
      <c r="H494" s="25"/>
      <c r="I494" s="55"/>
      <c r="P494" s="37" t="str">
        <f t="shared" ca="1" si="33"/>
        <v/>
      </c>
      <c r="Q494" s="37" t="str">
        <f t="shared" ca="1" si="34"/>
        <v/>
      </c>
    </row>
    <row r="495" spans="1:17" x14ac:dyDescent="0.25">
      <c r="A495" s="102"/>
      <c r="B495" s="33"/>
      <c r="C495" s="25"/>
      <c r="D495" s="26"/>
      <c r="E495" s="33"/>
      <c r="F495" s="25"/>
      <c r="G495" s="25"/>
      <c r="H495" s="25"/>
      <c r="I495" s="55"/>
      <c r="P495" s="37" t="str">
        <f t="shared" ca="1" si="33"/>
        <v/>
      </c>
      <c r="Q495" s="37" t="str">
        <f t="shared" ca="1" si="34"/>
        <v/>
      </c>
    </row>
    <row r="496" spans="1:17" x14ac:dyDescent="0.25">
      <c r="A496" s="102"/>
      <c r="B496" s="33"/>
      <c r="C496" s="25"/>
      <c r="D496" s="26"/>
      <c r="E496" s="33"/>
      <c r="F496" s="25"/>
      <c r="G496" s="25"/>
      <c r="H496" s="25"/>
      <c r="I496" s="55"/>
      <c r="P496" s="37" t="str">
        <f t="shared" ca="1" si="33"/>
        <v/>
      </c>
      <c r="Q496" s="37" t="str">
        <f t="shared" ca="1" si="34"/>
        <v/>
      </c>
    </row>
    <row r="497" spans="1:17" x14ac:dyDescent="0.25">
      <c r="A497" s="102"/>
      <c r="B497" s="33"/>
      <c r="C497" s="25"/>
      <c r="D497" s="26"/>
      <c r="E497" s="33"/>
      <c r="F497" s="25"/>
      <c r="G497" s="25"/>
      <c r="H497" s="25"/>
      <c r="I497" s="55"/>
      <c r="P497" s="37" t="str">
        <f t="shared" ca="1" si="33"/>
        <v/>
      </c>
      <c r="Q497" s="37" t="str">
        <f t="shared" ca="1" si="34"/>
        <v/>
      </c>
    </row>
    <row r="498" spans="1:17" x14ac:dyDescent="0.25">
      <c r="A498" s="102"/>
      <c r="B498" s="33"/>
      <c r="C498" s="25"/>
      <c r="D498" s="26"/>
      <c r="E498" s="33"/>
      <c r="F498" s="25"/>
      <c r="G498" s="25"/>
      <c r="H498" s="25"/>
      <c r="I498" s="55"/>
      <c r="P498" s="37" t="str">
        <f t="shared" ca="1" si="33"/>
        <v/>
      </c>
      <c r="Q498" s="37" t="str">
        <f t="shared" ca="1" si="34"/>
        <v/>
      </c>
    </row>
    <row r="499" spans="1:17" x14ac:dyDescent="0.25">
      <c r="A499" s="102"/>
      <c r="B499" s="33"/>
      <c r="C499" s="25"/>
      <c r="D499" s="26"/>
      <c r="E499" s="33"/>
      <c r="F499" s="25"/>
      <c r="G499" s="25"/>
      <c r="H499" s="25"/>
      <c r="I499" s="55"/>
      <c r="P499" s="37" t="str">
        <f t="shared" ca="1" si="33"/>
        <v/>
      </c>
      <c r="Q499" s="37" t="str">
        <f t="shared" ca="1" si="34"/>
        <v/>
      </c>
    </row>
    <row r="500" spans="1:17" x14ac:dyDescent="0.25">
      <c r="A500" s="102"/>
      <c r="B500" s="33"/>
      <c r="C500" s="25"/>
      <c r="D500" s="26"/>
      <c r="E500" s="33"/>
      <c r="F500" s="25"/>
      <c r="G500" s="25"/>
      <c r="H500" s="25"/>
      <c r="I500" s="55"/>
      <c r="P500" s="37" t="str">
        <f t="shared" ca="1" si="33"/>
        <v/>
      </c>
      <c r="Q500" s="37" t="str">
        <f t="shared" ca="1" si="34"/>
        <v/>
      </c>
    </row>
    <row r="501" spans="1:17" x14ac:dyDescent="0.25">
      <c r="A501" s="102"/>
      <c r="B501" s="33"/>
      <c r="C501" s="25"/>
      <c r="D501" s="26"/>
      <c r="E501" s="33"/>
      <c r="F501" s="25"/>
      <c r="G501" s="25"/>
      <c r="H501" s="25"/>
      <c r="I501" s="55"/>
      <c r="P501" s="37" t="str">
        <f t="shared" ca="1" si="33"/>
        <v/>
      </c>
      <c r="Q501" s="37" t="str">
        <f t="shared" ca="1" si="34"/>
        <v/>
      </c>
    </row>
    <row r="502" spans="1:17" x14ac:dyDescent="0.25">
      <c r="A502" s="102"/>
      <c r="B502" s="33"/>
      <c r="C502" s="25"/>
      <c r="D502" s="26"/>
      <c r="E502" s="33"/>
      <c r="F502" s="25"/>
      <c r="G502" s="25"/>
      <c r="H502" s="25"/>
      <c r="I502" s="55"/>
      <c r="P502" s="37" t="str">
        <f t="shared" ca="1" si="33"/>
        <v/>
      </c>
      <c r="Q502" s="37" t="str">
        <f t="shared" ca="1" si="34"/>
        <v/>
      </c>
    </row>
    <row r="503" spans="1:17" x14ac:dyDescent="0.25">
      <c r="A503" s="102"/>
      <c r="B503" s="33"/>
      <c r="C503" s="25"/>
      <c r="D503" s="26"/>
      <c r="E503" s="33"/>
      <c r="F503" s="25"/>
      <c r="G503" s="25"/>
      <c r="H503" s="25"/>
      <c r="I503" s="55"/>
      <c r="P503" s="37" t="str">
        <f t="shared" ca="1" si="33"/>
        <v/>
      </c>
      <c r="Q503" s="37" t="str">
        <f t="shared" ca="1" si="34"/>
        <v/>
      </c>
    </row>
    <row r="504" spans="1:17" x14ac:dyDescent="0.25">
      <c r="A504" s="102"/>
      <c r="B504" s="33"/>
      <c r="C504" s="25"/>
      <c r="D504" s="26"/>
      <c r="E504" s="33"/>
      <c r="F504" s="25"/>
      <c r="G504" s="25"/>
      <c r="H504" s="25"/>
      <c r="I504" s="55"/>
      <c r="P504" s="37" t="str">
        <f t="shared" ca="1" si="33"/>
        <v/>
      </c>
      <c r="Q504" s="37" t="str">
        <f t="shared" ca="1" si="34"/>
        <v/>
      </c>
    </row>
    <row r="505" spans="1:17" x14ac:dyDescent="0.25">
      <c r="A505" s="102"/>
      <c r="B505" s="33"/>
      <c r="C505" s="25"/>
      <c r="D505" s="26"/>
      <c r="E505" s="33"/>
      <c r="F505" s="25"/>
      <c r="G505" s="25"/>
      <c r="H505" s="25"/>
      <c r="I505" s="55"/>
      <c r="P505" s="37" t="str">
        <f t="shared" ca="1" si="33"/>
        <v/>
      </c>
      <c r="Q505" s="37" t="str">
        <f t="shared" ca="1" si="34"/>
        <v/>
      </c>
    </row>
    <row r="506" spans="1:17" x14ac:dyDescent="0.25">
      <c r="A506" s="102"/>
      <c r="B506" s="33"/>
      <c r="C506" s="25"/>
      <c r="D506" s="26"/>
      <c r="E506" s="33"/>
      <c r="F506" s="25"/>
      <c r="G506" s="25"/>
      <c r="H506" s="25"/>
      <c r="I506" s="55"/>
      <c r="P506" s="37" t="str">
        <f t="shared" ca="1" si="33"/>
        <v/>
      </c>
      <c r="Q506" s="37" t="str">
        <f t="shared" ca="1" si="34"/>
        <v/>
      </c>
    </row>
    <row r="507" spans="1:17" x14ac:dyDescent="0.25">
      <c r="A507" s="102"/>
      <c r="B507" s="33"/>
      <c r="C507" s="25"/>
      <c r="D507" s="26"/>
      <c r="E507" s="33"/>
      <c r="F507" s="25"/>
      <c r="G507" s="25"/>
      <c r="H507" s="25"/>
      <c r="I507" s="55"/>
      <c r="P507" s="37" t="str">
        <f t="shared" ca="1" si="33"/>
        <v/>
      </c>
      <c r="Q507" s="37" t="str">
        <f t="shared" ca="1" si="34"/>
        <v/>
      </c>
    </row>
    <row r="508" spans="1:17" x14ac:dyDescent="0.25">
      <c r="A508" s="102"/>
      <c r="B508" s="33"/>
      <c r="C508" s="25"/>
      <c r="D508" s="26"/>
      <c r="E508" s="33"/>
      <c r="F508" s="25"/>
      <c r="G508" s="25"/>
      <c r="H508" s="25"/>
      <c r="I508" s="55"/>
      <c r="P508" s="37" t="str">
        <f t="shared" ca="1" si="33"/>
        <v/>
      </c>
      <c r="Q508" s="37" t="str">
        <f t="shared" ca="1" si="34"/>
        <v/>
      </c>
    </row>
    <row r="509" spans="1:17" x14ac:dyDescent="0.25">
      <c r="A509" s="102"/>
      <c r="B509" s="33"/>
      <c r="C509" s="25"/>
      <c r="D509" s="26"/>
      <c r="E509" s="33"/>
      <c r="F509" s="25"/>
      <c r="G509" s="25"/>
      <c r="H509" s="25"/>
      <c r="I509" s="55"/>
      <c r="P509" s="37" t="str">
        <f t="shared" ca="1" si="33"/>
        <v/>
      </c>
      <c r="Q509" s="37" t="str">
        <f t="shared" ca="1" si="34"/>
        <v/>
      </c>
    </row>
    <row r="510" spans="1:17" x14ac:dyDescent="0.25">
      <c r="A510" s="102"/>
      <c r="B510" s="33"/>
      <c r="C510" s="25"/>
      <c r="D510" s="26"/>
      <c r="E510" s="33"/>
      <c r="F510" s="25"/>
      <c r="G510" s="25"/>
      <c r="H510" s="25"/>
      <c r="I510" s="55"/>
      <c r="P510" s="37" t="str">
        <f t="shared" ca="1" si="33"/>
        <v/>
      </c>
      <c r="Q510" s="37" t="str">
        <f t="shared" ca="1" si="34"/>
        <v/>
      </c>
    </row>
    <row r="511" spans="1:17" x14ac:dyDescent="0.25">
      <c r="A511" s="102"/>
      <c r="B511" s="33"/>
      <c r="C511" s="25"/>
      <c r="D511" s="26"/>
      <c r="E511" s="33"/>
      <c r="F511" s="25"/>
      <c r="G511" s="25"/>
      <c r="H511" s="25"/>
      <c r="I511" s="55"/>
      <c r="P511" s="37" t="str">
        <f t="shared" ca="1" si="33"/>
        <v/>
      </c>
      <c r="Q511" s="37" t="str">
        <f t="shared" ca="1" si="34"/>
        <v/>
      </c>
    </row>
    <row r="512" spans="1:17" x14ac:dyDescent="0.25">
      <c r="A512" s="102"/>
      <c r="B512" s="33"/>
      <c r="C512" s="25"/>
      <c r="D512" s="26"/>
      <c r="E512" s="33"/>
      <c r="F512" s="25"/>
      <c r="G512" s="25"/>
      <c r="H512" s="25"/>
      <c r="I512" s="55"/>
      <c r="P512" s="37" t="str">
        <f t="shared" ca="1" si="33"/>
        <v/>
      </c>
      <c r="Q512" s="37" t="str">
        <f t="shared" ca="1" si="34"/>
        <v/>
      </c>
    </row>
    <row r="513" spans="1:17" x14ac:dyDescent="0.25">
      <c r="A513" s="102"/>
      <c r="B513" s="33"/>
      <c r="C513" s="25"/>
      <c r="D513" s="26"/>
      <c r="E513" s="33"/>
      <c r="F513" s="25"/>
      <c r="G513" s="25"/>
      <c r="H513" s="25"/>
      <c r="I513" s="55"/>
      <c r="P513" s="37" t="str">
        <f t="shared" ca="1" si="33"/>
        <v/>
      </c>
      <c r="Q513" s="37" t="str">
        <f t="shared" ca="1" si="34"/>
        <v/>
      </c>
    </row>
    <row r="514" spans="1:17" x14ac:dyDescent="0.25">
      <c r="A514" s="102"/>
      <c r="B514" s="33"/>
      <c r="C514" s="25"/>
      <c r="D514" s="26"/>
      <c r="E514" s="33"/>
      <c r="F514" s="25"/>
      <c r="G514" s="25"/>
      <c r="H514" s="25"/>
      <c r="I514" s="55"/>
      <c r="P514" s="37" t="str">
        <f t="shared" ca="1" si="33"/>
        <v/>
      </c>
      <c r="Q514" s="37" t="str">
        <f t="shared" ca="1" si="34"/>
        <v/>
      </c>
    </row>
    <row r="515" spans="1:17" x14ac:dyDescent="0.25">
      <c r="A515" s="102"/>
      <c r="B515" s="33"/>
      <c r="C515" s="25"/>
      <c r="D515" s="26"/>
      <c r="E515" s="33"/>
      <c r="F515" s="25"/>
      <c r="G515" s="25"/>
      <c r="H515" s="25"/>
      <c r="I515" s="55"/>
      <c r="P515" s="37" t="str">
        <f t="shared" ca="1" si="33"/>
        <v/>
      </c>
      <c r="Q515" s="37" t="str">
        <f t="shared" ca="1" si="34"/>
        <v/>
      </c>
    </row>
    <row r="516" spans="1:17" x14ac:dyDescent="0.25">
      <c r="A516" s="102"/>
      <c r="B516" s="33"/>
      <c r="C516" s="25"/>
      <c r="D516" s="26"/>
      <c r="E516" s="33"/>
      <c r="F516" s="25"/>
      <c r="G516" s="25"/>
      <c r="H516" s="25"/>
      <c r="I516" s="55"/>
      <c r="P516" s="37" t="str">
        <f t="shared" ref="P516:P579" ca="1" si="35">IF(COUNTIF(N:N,L516),L516,"")</f>
        <v/>
      </c>
      <c r="Q516" s="37" t="str">
        <f t="shared" ref="Q516:Q579" ca="1" si="36">IF(P516&gt;$A$14,P516,"")</f>
        <v/>
      </c>
    </row>
    <row r="517" spans="1:17" x14ac:dyDescent="0.25">
      <c r="A517" s="102"/>
      <c r="B517" s="33"/>
      <c r="C517" s="25"/>
      <c r="D517" s="26"/>
      <c r="E517" s="33"/>
      <c r="F517" s="25"/>
      <c r="G517" s="25"/>
      <c r="H517" s="25"/>
      <c r="I517" s="55"/>
      <c r="P517" s="37" t="str">
        <f t="shared" ca="1" si="35"/>
        <v/>
      </c>
      <c r="Q517" s="37" t="str">
        <f t="shared" ca="1" si="36"/>
        <v/>
      </c>
    </row>
    <row r="518" spans="1:17" x14ac:dyDescent="0.25">
      <c r="A518" s="102"/>
      <c r="B518" s="33"/>
      <c r="C518" s="25"/>
      <c r="D518" s="26"/>
      <c r="E518" s="33"/>
      <c r="F518" s="25"/>
      <c r="G518" s="25"/>
      <c r="H518" s="25"/>
      <c r="I518" s="55"/>
      <c r="P518" s="37" t="str">
        <f t="shared" ca="1" si="35"/>
        <v/>
      </c>
      <c r="Q518" s="37" t="str">
        <f t="shared" ca="1" si="36"/>
        <v/>
      </c>
    </row>
    <row r="519" spans="1:17" x14ac:dyDescent="0.25">
      <c r="A519" s="102"/>
      <c r="B519" s="33"/>
      <c r="C519" s="25"/>
      <c r="D519" s="26"/>
      <c r="E519" s="33"/>
      <c r="F519" s="25"/>
      <c r="G519" s="25"/>
      <c r="H519" s="25"/>
      <c r="I519" s="55"/>
      <c r="P519" s="37" t="str">
        <f t="shared" ca="1" si="35"/>
        <v/>
      </c>
      <c r="Q519" s="37" t="str">
        <f t="shared" ca="1" si="36"/>
        <v/>
      </c>
    </row>
    <row r="520" spans="1:17" x14ac:dyDescent="0.25">
      <c r="A520" s="102"/>
      <c r="B520" s="33"/>
      <c r="C520" s="25"/>
      <c r="D520" s="26"/>
      <c r="E520" s="33"/>
      <c r="F520" s="25"/>
      <c r="G520" s="25"/>
      <c r="H520" s="25"/>
      <c r="I520" s="55"/>
      <c r="P520" s="37" t="str">
        <f t="shared" ca="1" si="35"/>
        <v/>
      </c>
      <c r="Q520" s="37" t="str">
        <f t="shared" ca="1" si="36"/>
        <v/>
      </c>
    </row>
    <row r="521" spans="1:17" x14ac:dyDescent="0.25">
      <c r="A521" s="102"/>
      <c r="B521" s="33"/>
      <c r="C521" s="25"/>
      <c r="D521" s="26"/>
      <c r="E521" s="33"/>
      <c r="F521" s="25"/>
      <c r="G521" s="25"/>
      <c r="H521" s="25"/>
      <c r="I521" s="55"/>
      <c r="P521" s="37" t="str">
        <f t="shared" ca="1" si="35"/>
        <v/>
      </c>
      <c r="Q521" s="37" t="str">
        <f t="shared" ca="1" si="36"/>
        <v/>
      </c>
    </row>
    <row r="522" spans="1:17" x14ac:dyDescent="0.25">
      <c r="A522" s="102"/>
      <c r="B522" s="33"/>
      <c r="C522" s="25"/>
      <c r="D522" s="26"/>
      <c r="E522" s="33"/>
      <c r="F522" s="25"/>
      <c r="G522" s="25"/>
      <c r="H522" s="25"/>
      <c r="I522" s="55"/>
      <c r="P522" s="37" t="str">
        <f t="shared" ca="1" si="35"/>
        <v/>
      </c>
      <c r="Q522" s="37" t="str">
        <f t="shared" ca="1" si="36"/>
        <v/>
      </c>
    </row>
    <row r="523" spans="1:17" x14ac:dyDescent="0.25">
      <c r="A523" s="102"/>
      <c r="B523" s="33"/>
      <c r="C523" s="25"/>
      <c r="D523" s="26"/>
      <c r="E523" s="33"/>
      <c r="F523" s="25"/>
      <c r="G523" s="25"/>
      <c r="H523" s="25"/>
      <c r="I523" s="55"/>
      <c r="P523" s="37" t="str">
        <f t="shared" ca="1" si="35"/>
        <v/>
      </c>
      <c r="Q523" s="37" t="str">
        <f t="shared" ca="1" si="36"/>
        <v/>
      </c>
    </row>
    <row r="524" spans="1:17" x14ac:dyDescent="0.25">
      <c r="A524" s="102"/>
      <c r="B524" s="33"/>
      <c r="C524" s="25"/>
      <c r="D524" s="26"/>
      <c r="E524" s="33"/>
      <c r="F524" s="25"/>
      <c r="G524" s="25"/>
      <c r="H524" s="25"/>
      <c r="I524" s="55"/>
      <c r="P524" s="37" t="str">
        <f t="shared" ca="1" si="35"/>
        <v/>
      </c>
      <c r="Q524" s="37" t="str">
        <f t="shared" ca="1" si="36"/>
        <v/>
      </c>
    </row>
    <row r="525" spans="1:17" x14ac:dyDescent="0.25">
      <c r="A525" s="102"/>
      <c r="B525" s="33"/>
      <c r="C525" s="25"/>
      <c r="D525" s="26"/>
      <c r="E525" s="33"/>
      <c r="F525" s="25"/>
      <c r="G525" s="25"/>
      <c r="H525" s="25"/>
      <c r="I525" s="55"/>
      <c r="P525" s="37" t="str">
        <f t="shared" ca="1" si="35"/>
        <v/>
      </c>
      <c r="Q525" s="37" t="str">
        <f t="shared" ca="1" si="36"/>
        <v/>
      </c>
    </row>
    <row r="526" spans="1:17" x14ac:dyDescent="0.25">
      <c r="A526" s="102"/>
      <c r="B526" s="33"/>
      <c r="C526" s="25"/>
      <c r="D526" s="26"/>
      <c r="E526" s="33"/>
      <c r="F526" s="25"/>
      <c r="G526" s="25"/>
      <c r="H526" s="25"/>
      <c r="I526" s="55"/>
      <c r="P526" s="37" t="str">
        <f t="shared" ca="1" si="35"/>
        <v/>
      </c>
      <c r="Q526" s="37" t="str">
        <f t="shared" ca="1" si="36"/>
        <v/>
      </c>
    </row>
    <row r="527" spans="1:17" x14ac:dyDescent="0.25">
      <c r="A527" s="102"/>
      <c r="B527" s="33"/>
      <c r="C527" s="25"/>
      <c r="D527" s="26"/>
      <c r="E527" s="33"/>
      <c r="F527" s="25"/>
      <c r="G527" s="25"/>
      <c r="H527" s="25"/>
      <c r="I527" s="55"/>
      <c r="P527" s="37" t="str">
        <f t="shared" ca="1" si="35"/>
        <v/>
      </c>
      <c r="Q527" s="37" t="str">
        <f t="shared" ca="1" si="36"/>
        <v/>
      </c>
    </row>
    <row r="528" spans="1:17" x14ac:dyDescent="0.25">
      <c r="A528" s="102"/>
      <c r="B528" s="33"/>
      <c r="C528" s="25"/>
      <c r="D528" s="26"/>
      <c r="E528" s="33"/>
      <c r="F528" s="25"/>
      <c r="G528" s="25"/>
      <c r="H528" s="25"/>
      <c r="I528" s="55"/>
      <c r="P528" s="37" t="str">
        <f t="shared" ca="1" si="35"/>
        <v/>
      </c>
      <c r="Q528" s="37" t="str">
        <f t="shared" ca="1" si="36"/>
        <v/>
      </c>
    </row>
    <row r="529" spans="1:17" x14ac:dyDescent="0.25">
      <c r="A529" s="102"/>
      <c r="B529" s="33"/>
      <c r="C529" s="25"/>
      <c r="D529" s="26"/>
      <c r="E529" s="33"/>
      <c r="F529" s="25"/>
      <c r="G529" s="25"/>
      <c r="H529" s="25"/>
      <c r="I529" s="55"/>
      <c r="P529" s="37" t="str">
        <f t="shared" ca="1" si="35"/>
        <v/>
      </c>
      <c r="Q529" s="37" t="str">
        <f t="shared" ca="1" si="36"/>
        <v/>
      </c>
    </row>
    <row r="530" spans="1:17" x14ac:dyDescent="0.25">
      <c r="A530" s="102"/>
      <c r="B530" s="33"/>
      <c r="C530" s="25"/>
      <c r="D530" s="26"/>
      <c r="E530" s="33"/>
      <c r="F530" s="25"/>
      <c r="G530" s="25"/>
      <c r="H530" s="25"/>
      <c r="I530" s="55"/>
      <c r="P530" s="37" t="str">
        <f t="shared" ca="1" si="35"/>
        <v/>
      </c>
      <c r="Q530" s="37" t="str">
        <f t="shared" ca="1" si="36"/>
        <v/>
      </c>
    </row>
    <row r="531" spans="1:17" x14ac:dyDescent="0.25">
      <c r="A531" s="102"/>
      <c r="B531" s="33"/>
      <c r="C531" s="25"/>
      <c r="D531" s="26"/>
      <c r="E531" s="33"/>
      <c r="F531" s="25"/>
      <c r="G531" s="25"/>
      <c r="H531" s="25"/>
      <c r="I531" s="55"/>
      <c r="P531" s="37" t="str">
        <f t="shared" ca="1" si="35"/>
        <v/>
      </c>
      <c r="Q531" s="37" t="str">
        <f t="shared" ca="1" si="36"/>
        <v/>
      </c>
    </row>
    <row r="532" spans="1:17" x14ac:dyDescent="0.25">
      <c r="A532" s="102"/>
      <c r="B532" s="33"/>
      <c r="C532" s="25"/>
      <c r="D532" s="26"/>
      <c r="E532" s="33"/>
      <c r="F532" s="25"/>
      <c r="G532" s="25"/>
      <c r="H532" s="25"/>
      <c r="I532" s="55"/>
      <c r="P532" s="37" t="str">
        <f t="shared" ca="1" si="35"/>
        <v/>
      </c>
      <c r="Q532" s="37" t="str">
        <f t="shared" ca="1" si="36"/>
        <v/>
      </c>
    </row>
    <row r="533" spans="1:17" x14ac:dyDescent="0.25">
      <c r="A533" s="102"/>
      <c r="B533" s="33"/>
      <c r="C533" s="25"/>
      <c r="D533" s="26"/>
      <c r="E533" s="33"/>
      <c r="F533" s="25"/>
      <c r="G533" s="25"/>
      <c r="H533" s="25"/>
      <c r="I533" s="55"/>
      <c r="P533" s="37" t="str">
        <f t="shared" ca="1" si="35"/>
        <v/>
      </c>
      <c r="Q533" s="37" t="str">
        <f t="shared" ca="1" si="36"/>
        <v/>
      </c>
    </row>
    <row r="534" spans="1:17" x14ac:dyDescent="0.25">
      <c r="A534" s="102"/>
      <c r="B534" s="33"/>
      <c r="C534" s="25"/>
      <c r="D534" s="26"/>
      <c r="E534" s="33"/>
      <c r="F534" s="25"/>
      <c r="G534" s="25"/>
      <c r="H534" s="25"/>
      <c r="I534" s="55"/>
      <c r="P534" s="37" t="str">
        <f t="shared" ca="1" si="35"/>
        <v/>
      </c>
      <c r="Q534" s="37" t="str">
        <f t="shared" ca="1" si="36"/>
        <v/>
      </c>
    </row>
    <row r="535" spans="1:17" x14ac:dyDescent="0.25">
      <c r="A535" s="102"/>
      <c r="B535" s="33"/>
      <c r="C535" s="25"/>
      <c r="D535" s="26"/>
      <c r="E535" s="33"/>
      <c r="F535" s="25"/>
      <c r="G535" s="25"/>
      <c r="H535" s="25"/>
      <c r="I535" s="55"/>
      <c r="P535" s="37" t="str">
        <f t="shared" ca="1" si="35"/>
        <v/>
      </c>
      <c r="Q535" s="37" t="str">
        <f t="shared" ca="1" si="36"/>
        <v/>
      </c>
    </row>
    <row r="536" spans="1:17" x14ac:dyDescent="0.25">
      <c r="A536" s="102"/>
      <c r="B536" s="33"/>
      <c r="C536" s="25"/>
      <c r="D536" s="26"/>
      <c r="E536" s="33"/>
      <c r="F536" s="25"/>
      <c r="G536" s="25"/>
      <c r="H536" s="25"/>
      <c r="I536" s="55"/>
      <c r="P536" s="37" t="str">
        <f t="shared" ca="1" si="35"/>
        <v/>
      </c>
      <c r="Q536" s="37" t="str">
        <f t="shared" ca="1" si="36"/>
        <v/>
      </c>
    </row>
    <row r="537" spans="1:17" x14ac:dyDescent="0.25">
      <c r="A537" s="102"/>
      <c r="B537" s="33"/>
      <c r="C537" s="25"/>
      <c r="D537" s="26"/>
      <c r="E537" s="33"/>
      <c r="F537" s="25"/>
      <c r="G537" s="25"/>
      <c r="H537" s="25"/>
      <c r="I537" s="55"/>
      <c r="P537" s="37" t="str">
        <f t="shared" ca="1" si="35"/>
        <v/>
      </c>
      <c r="Q537" s="37" t="str">
        <f t="shared" ca="1" si="36"/>
        <v/>
      </c>
    </row>
    <row r="538" spans="1:17" x14ac:dyDescent="0.25">
      <c r="A538" s="102"/>
      <c r="B538" s="33"/>
      <c r="C538" s="25"/>
      <c r="D538" s="26"/>
      <c r="E538" s="33"/>
      <c r="F538" s="25"/>
      <c r="G538" s="25"/>
      <c r="H538" s="25"/>
      <c r="I538" s="55"/>
      <c r="P538" s="37" t="str">
        <f t="shared" ca="1" si="35"/>
        <v/>
      </c>
      <c r="Q538" s="37" t="str">
        <f t="shared" ca="1" si="36"/>
        <v/>
      </c>
    </row>
    <row r="539" spans="1:17" x14ac:dyDescent="0.25">
      <c r="A539" s="102"/>
      <c r="B539" s="33"/>
      <c r="C539" s="25"/>
      <c r="D539" s="26"/>
      <c r="E539" s="33"/>
      <c r="F539" s="25"/>
      <c r="G539" s="25"/>
      <c r="H539" s="25"/>
      <c r="I539" s="55"/>
      <c r="P539" s="37" t="str">
        <f t="shared" ca="1" si="35"/>
        <v/>
      </c>
      <c r="Q539" s="37" t="str">
        <f t="shared" ca="1" si="36"/>
        <v/>
      </c>
    </row>
    <row r="540" spans="1:17" x14ac:dyDescent="0.25">
      <c r="A540" s="102"/>
      <c r="B540" s="33"/>
      <c r="C540" s="25"/>
      <c r="D540" s="26"/>
      <c r="E540" s="33"/>
      <c r="F540" s="25"/>
      <c r="G540" s="25"/>
      <c r="H540" s="25"/>
      <c r="I540" s="55"/>
      <c r="P540" s="37" t="str">
        <f t="shared" ca="1" si="35"/>
        <v/>
      </c>
      <c r="Q540" s="37" t="str">
        <f t="shared" ca="1" si="36"/>
        <v/>
      </c>
    </row>
    <row r="541" spans="1:17" x14ac:dyDescent="0.25">
      <c r="A541" s="102"/>
      <c r="B541" s="33"/>
      <c r="C541" s="25"/>
      <c r="D541" s="26"/>
      <c r="E541" s="33"/>
      <c r="F541" s="25"/>
      <c r="G541" s="25"/>
      <c r="H541" s="25"/>
      <c r="I541" s="55"/>
      <c r="P541" s="37" t="str">
        <f t="shared" ca="1" si="35"/>
        <v/>
      </c>
      <c r="Q541" s="37" t="str">
        <f t="shared" ca="1" si="36"/>
        <v/>
      </c>
    </row>
    <row r="542" spans="1:17" x14ac:dyDescent="0.25">
      <c r="A542" s="102"/>
      <c r="B542" s="33"/>
      <c r="C542" s="25"/>
      <c r="D542" s="26"/>
      <c r="E542" s="33"/>
      <c r="F542" s="25"/>
      <c r="G542" s="25"/>
      <c r="H542" s="25"/>
      <c r="I542" s="55"/>
      <c r="P542" s="37" t="str">
        <f t="shared" ca="1" si="35"/>
        <v/>
      </c>
      <c r="Q542" s="37" t="str">
        <f t="shared" ca="1" si="36"/>
        <v/>
      </c>
    </row>
    <row r="543" spans="1:17" x14ac:dyDescent="0.25">
      <c r="A543" s="102"/>
      <c r="B543" s="33"/>
      <c r="C543" s="25"/>
      <c r="D543" s="26"/>
      <c r="E543" s="33"/>
      <c r="F543" s="25"/>
      <c r="G543" s="25"/>
      <c r="H543" s="25"/>
      <c r="I543" s="55"/>
      <c r="P543" s="37" t="str">
        <f t="shared" ca="1" si="35"/>
        <v/>
      </c>
      <c r="Q543" s="37" t="str">
        <f t="shared" ca="1" si="36"/>
        <v/>
      </c>
    </row>
    <row r="544" spans="1:17" x14ac:dyDescent="0.25">
      <c r="A544" s="102"/>
      <c r="B544" s="33"/>
      <c r="C544" s="25"/>
      <c r="D544" s="26"/>
      <c r="E544" s="33"/>
      <c r="F544" s="25"/>
      <c r="G544" s="25"/>
      <c r="H544" s="25"/>
      <c r="I544" s="55"/>
      <c r="P544" s="37" t="str">
        <f t="shared" ca="1" si="35"/>
        <v/>
      </c>
      <c r="Q544" s="37" t="str">
        <f t="shared" ca="1" si="36"/>
        <v/>
      </c>
    </row>
    <row r="545" spans="1:17" x14ac:dyDescent="0.25">
      <c r="A545" s="102"/>
      <c r="B545" s="33"/>
      <c r="C545" s="25"/>
      <c r="D545" s="26"/>
      <c r="E545" s="33"/>
      <c r="F545" s="25"/>
      <c r="G545" s="25"/>
      <c r="H545" s="25"/>
      <c r="I545" s="55"/>
      <c r="P545" s="37" t="str">
        <f t="shared" ca="1" si="35"/>
        <v/>
      </c>
      <c r="Q545" s="37" t="str">
        <f t="shared" ca="1" si="36"/>
        <v/>
      </c>
    </row>
    <row r="546" spans="1:17" x14ac:dyDescent="0.25">
      <c r="A546" s="102"/>
      <c r="B546" s="33"/>
      <c r="C546" s="25"/>
      <c r="D546" s="26"/>
      <c r="E546" s="33"/>
      <c r="F546" s="25"/>
      <c r="G546" s="25"/>
      <c r="H546" s="25"/>
      <c r="I546" s="55"/>
      <c r="P546" s="37" t="str">
        <f t="shared" ca="1" si="35"/>
        <v/>
      </c>
      <c r="Q546" s="37" t="str">
        <f t="shared" ca="1" si="36"/>
        <v/>
      </c>
    </row>
    <row r="547" spans="1:17" x14ac:dyDescent="0.25">
      <c r="A547" s="102"/>
      <c r="B547" s="33"/>
      <c r="C547" s="25"/>
      <c r="D547" s="26"/>
      <c r="E547" s="33"/>
      <c r="F547" s="25"/>
      <c r="G547" s="25"/>
      <c r="H547" s="25"/>
      <c r="I547" s="55"/>
      <c r="P547" s="37" t="str">
        <f t="shared" ca="1" si="35"/>
        <v/>
      </c>
      <c r="Q547" s="37" t="str">
        <f t="shared" ca="1" si="36"/>
        <v/>
      </c>
    </row>
    <row r="548" spans="1:17" x14ac:dyDescent="0.25">
      <c r="A548" s="102"/>
      <c r="B548" s="33"/>
      <c r="C548" s="25"/>
      <c r="D548" s="26"/>
      <c r="E548" s="33"/>
      <c r="F548" s="25"/>
      <c r="G548" s="25"/>
      <c r="H548" s="25"/>
      <c r="I548" s="55"/>
      <c r="P548" s="37" t="str">
        <f t="shared" ca="1" si="35"/>
        <v/>
      </c>
      <c r="Q548" s="37" t="str">
        <f t="shared" ca="1" si="36"/>
        <v/>
      </c>
    </row>
    <row r="549" spans="1:17" x14ac:dyDescent="0.25">
      <c r="A549" s="102"/>
      <c r="B549" s="33"/>
      <c r="C549" s="25"/>
      <c r="D549" s="26"/>
      <c r="E549" s="33"/>
      <c r="F549" s="25"/>
      <c r="G549" s="25"/>
      <c r="H549" s="25"/>
      <c r="I549" s="55"/>
      <c r="P549" s="37" t="str">
        <f t="shared" ca="1" si="35"/>
        <v/>
      </c>
      <c r="Q549" s="37" t="str">
        <f t="shared" ca="1" si="36"/>
        <v/>
      </c>
    </row>
    <row r="550" spans="1:17" x14ac:dyDescent="0.25">
      <c r="A550" s="102"/>
      <c r="B550" s="33"/>
      <c r="C550" s="25"/>
      <c r="D550" s="26"/>
      <c r="E550" s="33"/>
      <c r="F550" s="25"/>
      <c r="G550" s="25"/>
      <c r="H550" s="25"/>
      <c r="I550" s="55"/>
      <c r="P550" s="37" t="str">
        <f t="shared" ca="1" si="35"/>
        <v/>
      </c>
      <c r="Q550" s="37" t="str">
        <f t="shared" ca="1" si="36"/>
        <v/>
      </c>
    </row>
    <row r="551" spans="1:17" x14ac:dyDescent="0.25">
      <c r="A551" s="102"/>
      <c r="B551" s="33"/>
      <c r="C551" s="25"/>
      <c r="D551" s="26"/>
      <c r="E551" s="33"/>
      <c r="F551" s="25"/>
      <c r="G551" s="25"/>
      <c r="H551" s="25"/>
      <c r="I551" s="55"/>
      <c r="P551" s="37" t="str">
        <f t="shared" ca="1" si="35"/>
        <v/>
      </c>
      <c r="Q551" s="37" t="str">
        <f t="shared" ca="1" si="36"/>
        <v/>
      </c>
    </row>
    <row r="552" spans="1:17" x14ac:dyDescent="0.25">
      <c r="A552" s="102"/>
      <c r="B552" s="33"/>
      <c r="C552" s="25"/>
      <c r="D552" s="26"/>
      <c r="E552" s="33"/>
      <c r="F552" s="25"/>
      <c r="G552" s="25"/>
      <c r="H552" s="25"/>
      <c r="I552" s="55"/>
      <c r="P552" s="37" t="str">
        <f t="shared" ca="1" si="35"/>
        <v/>
      </c>
      <c r="Q552" s="37" t="str">
        <f t="shared" ca="1" si="36"/>
        <v/>
      </c>
    </row>
    <row r="553" spans="1:17" x14ac:dyDescent="0.25">
      <c r="A553" s="102"/>
      <c r="B553" s="33"/>
      <c r="C553" s="25"/>
      <c r="D553" s="26"/>
      <c r="E553" s="33"/>
      <c r="F553" s="25"/>
      <c r="G553" s="25"/>
      <c r="H553" s="25"/>
      <c r="I553" s="55"/>
      <c r="P553" s="37" t="str">
        <f t="shared" ca="1" si="35"/>
        <v/>
      </c>
      <c r="Q553" s="37" t="str">
        <f t="shared" ca="1" si="36"/>
        <v/>
      </c>
    </row>
    <row r="554" spans="1:17" x14ac:dyDescent="0.25">
      <c r="A554" s="102"/>
      <c r="B554" s="33"/>
      <c r="C554" s="25"/>
      <c r="D554" s="26"/>
      <c r="E554" s="33"/>
      <c r="F554" s="25"/>
      <c r="G554" s="25"/>
      <c r="H554" s="25"/>
      <c r="I554" s="55"/>
      <c r="P554" s="37" t="str">
        <f t="shared" ca="1" si="35"/>
        <v/>
      </c>
      <c r="Q554" s="37" t="str">
        <f t="shared" ca="1" si="36"/>
        <v/>
      </c>
    </row>
    <row r="555" spans="1:17" x14ac:dyDescent="0.25">
      <c r="A555" s="102"/>
      <c r="B555" s="33"/>
      <c r="C555" s="25"/>
      <c r="D555" s="26"/>
      <c r="E555" s="33"/>
      <c r="F555" s="25"/>
      <c r="G555" s="25"/>
      <c r="H555" s="25"/>
      <c r="I555" s="55"/>
      <c r="P555" s="37" t="str">
        <f t="shared" ca="1" si="35"/>
        <v/>
      </c>
      <c r="Q555" s="37" t="str">
        <f t="shared" ca="1" si="36"/>
        <v/>
      </c>
    </row>
    <row r="556" spans="1:17" x14ac:dyDescent="0.25">
      <c r="A556" s="102"/>
      <c r="B556" s="33"/>
      <c r="C556" s="25"/>
      <c r="D556" s="26"/>
      <c r="E556" s="33"/>
      <c r="F556" s="25"/>
      <c r="G556" s="25"/>
      <c r="H556" s="25"/>
      <c r="I556" s="55"/>
      <c r="P556" s="37" t="str">
        <f t="shared" ca="1" si="35"/>
        <v/>
      </c>
      <c r="Q556" s="37" t="str">
        <f t="shared" ca="1" si="36"/>
        <v/>
      </c>
    </row>
    <row r="557" spans="1:17" x14ac:dyDescent="0.25">
      <c r="A557" s="102"/>
      <c r="B557" s="33"/>
      <c r="C557" s="25"/>
      <c r="D557" s="26"/>
      <c r="E557" s="33"/>
      <c r="F557" s="25"/>
      <c r="G557" s="25"/>
      <c r="H557" s="25"/>
      <c r="I557" s="55"/>
      <c r="P557" s="37" t="str">
        <f t="shared" ca="1" si="35"/>
        <v/>
      </c>
      <c r="Q557" s="37" t="str">
        <f t="shared" ca="1" si="36"/>
        <v/>
      </c>
    </row>
    <row r="558" spans="1:17" x14ac:dyDescent="0.25">
      <c r="A558" s="102"/>
      <c r="B558" s="33"/>
      <c r="C558" s="25"/>
      <c r="D558" s="26"/>
      <c r="E558" s="33"/>
      <c r="F558" s="25"/>
      <c r="G558" s="25"/>
      <c r="H558" s="25"/>
      <c r="I558" s="55"/>
      <c r="P558" s="37" t="str">
        <f t="shared" ca="1" si="35"/>
        <v/>
      </c>
      <c r="Q558" s="37" t="str">
        <f t="shared" ca="1" si="36"/>
        <v/>
      </c>
    </row>
    <row r="559" spans="1:17" x14ac:dyDescent="0.25">
      <c r="A559" s="102"/>
      <c r="B559" s="33"/>
      <c r="C559" s="25"/>
      <c r="D559" s="26"/>
      <c r="E559" s="33"/>
      <c r="F559" s="25"/>
      <c r="G559" s="25"/>
      <c r="H559" s="25"/>
      <c r="I559" s="55"/>
      <c r="P559" s="37" t="str">
        <f t="shared" ca="1" si="35"/>
        <v/>
      </c>
      <c r="Q559" s="37" t="str">
        <f t="shared" ca="1" si="36"/>
        <v/>
      </c>
    </row>
    <row r="560" spans="1:17" x14ac:dyDescent="0.25">
      <c r="A560" s="102"/>
      <c r="B560" s="33"/>
      <c r="C560" s="25"/>
      <c r="D560" s="26"/>
      <c r="E560" s="33"/>
      <c r="F560" s="25"/>
      <c r="G560" s="25"/>
      <c r="H560" s="25"/>
      <c r="I560" s="55"/>
      <c r="P560" s="37" t="str">
        <f t="shared" ca="1" si="35"/>
        <v/>
      </c>
      <c r="Q560" s="37" t="str">
        <f t="shared" ca="1" si="36"/>
        <v/>
      </c>
    </row>
    <row r="561" spans="1:17" x14ac:dyDescent="0.25">
      <c r="A561" s="102"/>
      <c r="B561" s="33"/>
      <c r="C561" s="25"/>
      <c r="D561" s="26"/>
      <c r="E561" s="33"/>
      <c r="F561" s="25"/>
      <c r="G561" s="25"/>
      <c r="H561" s="25"/>
      <c r="I561" s="55"/>
      <c r="P561" s="37" t="str">
        <f t="shared" ca="1" si="35"/>
        <v/>
      </c>
      <c r="Q561" s="37" t="str">
        <f t="shared" ca="1" si="36"/>
        <v/>
      </c>
    </row>
    <row r="562" spans="1:17" x14ac:dyDescent="0.25">
      <c r="A562" s="102"/>
      <c r="B562" s="33"/>
      <c r="C562" s="25"/>
      <c r="D562" s="26"/>
      <c r="E562" s="33"/>
      <c r="F562" s="25"/>
      <c r="G562" s="25"/>
      <c r="H562" s="25"/>
      <c r="I562" s="55"/>
      <c r="P562" s="37" t="str">
        <f t="shared" ca="1" si="35"/>
        <v/>
      </c>
      <c r="Q562" s="37" t="str">
        <f t="shared" ca="1" si="36"/>
        <v/>
      </c>
    </row>
    <row r="563" spans="1:17" x14ac:dyDescent="0.25">
      <c r="A563" s="102"/>
      <c r="B563" s="33"/>
      <c r="C563" s="25"/>
      <c r="D563" s="26"/>
      <c r="E563" s="33"/>
      <c r="F563" s="25"/>
      <c r="G563" s="25"/>
      <c r="H563" s="25"/>
      <c r="I563" s="55"/>
      <c r="P563" s="37" t="str">
        <f t="shared" ca="1" si="35"/>
        <v/>
      </c>
      <c r="Q563" s="37" t="str">
        <f t="shared" ca="1" si="36"/>
        <v/>
      </c>
    </row>
    <row r="564" spans="1:17" x14ac:dyDescent="0.25">
      <c r="A564" s="102"/>
      <c r="B564" s="33"/>
      <c r="C564" s="25"/>
      <c r="D564" s="26"/>
      <c r="E564" s="33"/>
      <c r="F564" s="25"/>
      <c r="G564" s="25"/>
      <c r="H564" s="25"/>
      <c r="I564" s="55"/>
      <c r="P564" s="37" t="str">
        <f t="shared" ca="1" si="35"/>
        <v/>
      </c>
      <c r="Q564" s="37" t="str">
        <f t="shared" ca="1" si="36"/>
        <v/>
      </c>
    </row>
    <row r="565" spans="1:17" x14ac:dyDescent="0.25">
      <c r="A565" s="102"/>
      <c r="B565" s="33"/>
      <c r="C565" s="25"/>
      <c r="D565" s="26"/>
      <c r="E565" s="33"/>
      <c r="F565" s="25"/>
      <c r="G565" s="25"/>
      <c r="H565" s="25"/>
      <c r="I565" s="55"/>
      <c r="P565" s="37" t="str">
        <f t="shared" ca="1" si="35"/>
        <v/>
      </c>
      <c r="Q565" s="37" t="str">
        <f t="shared" ca="1" si="36"/>
        <v/>
      </c>
    </row>
    <row r="566" spans="1:17" x14ac:dyDescent="0.25">
      <c r="A566" s="102"/>
      <c r="B566" s="33"/>
      <c r="C566" s="25"/>
      <c r="D566" s="26"/>
      <c r="E566" s="33"/>
      <c r="F566" s="25"/>
      <c r="G566" s="25"/>
      <c r="H566" s="25"/>
      <c r="I566" s="55"/>
      <c r="P566" s="37" t="str">
        <f t="shared" ca="1" si="35"/>
        <v/>
      </c>
      <c r="Q566" s="37" t="str">
        <f t="shared" ca="1" si="36"/>
        <v/>
      </c>
    </row>
    <row r="567" spans="1:17" x14ac:dyDescent="0.25">
      <c r="A567" s="102"/>
      <c r="B567" s="33"/>
      <c r="C567" s="25"/>
      <c r="D567" s="26"/>
      <c r="E567" s="33"/>
      <c r="F567" s="25"/>
      <c r="G567" s="25"/>
      <c r="H567" s="25"/>
      <c r="I567" s="55"/>
      <c r="P567" s="37" t="str">
        <f t="shared" ca="1" si="35"/>
        <v/>
      </c>
      <c r="Q567" s="37" t="str">
        <f t="shared" ca="1" si="36"/>
        <v/>
      </c>
    </row>
    <row r="568" spans="1:17" x14ac:dyDescent="0.25">
      <c r="A568" s="102"/>
      <c r="B568" s="33"/>
      <c r="C568" s="25"/>
      <c r="D568" s="26"/>
      <c r="E568" s="33"/>
      <c r="F568" s="25"/>
      <c r="G568" s="25"/>
      <c r="H568" s="25"/>
      <c r="I568" s="55"/>
      <c r="P568" s="37" t="str">
        <f t="shared" ca="1" si="35"/>
        <v/>
      </c>
      <c r="Q568" s="37" t="str">
        <f t="shared" ca="1" si="36"/>
        <v/>
      </c>
    </row>
    <row r="569" spans="1:17" x14ac:dyDescent="0.25">
      <c r="A569" s="102"/>
      <c r="B569" s="33"/>
      <c r="C569" s="25"/>
      <c r="D569" s="26"/>
      <c r="E569" s="33"/>
      <c r="F569" s="25"/>
      <c r="G569" s="25"/>
      <c r="H569" s="25"/>
      <c r="I569" s="55"/>
      <c r="P569" s="37" t="str">
        <f t="shared" ca="1" si="35"/>
        <v/>
      </c>
      <c r="Q569" s="37" t="str">
        <f t="shared" ca="1" si="36"/>
        <v/>
      </c>
    </row>
    <row r="570" spans="1:17" x14ac:dyDescent="0.25">
      <c r="A570" s="102"/>
      <c r="B570" s="33"/>
      <c r="C570" s="25"/>
      <c r="D570" s="26"/>
      <c r="E570" s="33"/>
      <c r="F570" s="25"/>
      <c r="G570" s="25"/>
      <c r="H570" s="25"/>
      <c r="I570" s="55"/>
      <c r="P570" s="37" t="str">
        <f t="shared" ca="1" si="35"/>
        <v/>
      </c>
      <c r="Q570" s="37" t="str">
        <f t="shared" ca="1" si="36"/>
        <v/>
      </c>
    </row>
    <row r="571" spans="1:17" x14ac:dyDescent="0.25">
      <c r="A571" s="102"/>
      <c r="B571" s="33"/>
      <c r="C571" s="25"/>
      <c r="D571" s="26"/>
      <c r="E571" s="33"/>
      <c r="F571" s="25"/>
      <c r="G571" s="25"/>
      <c r="H571" s="25"/>
      <c r="I571" s="55"/>
      <c r="P571" s="37" t="str">
        <f t="shared" ca="1" si="35"/>
        <v/>
      </c>
      <c r="Q571" s="37" t="str">
        <f t="shared" ca="1" si="36"/>
        <v/>
      </c>
    </row>
    <row r="572" spans="1:17" x14ac:dyDescent="0.25">
      <c r="A572" s="102"/>
      <c r="B572" s="33"/>
      <c r="C572" s="25"/>
      <c r="D572" s="26"/>
      <c r="E572" s="33"/>
      <c r="F572" s="25"/>
      <c r="G572" s="25"/>
      <c r="H572" s="25"/>
      <c r="I572" s="55"/>
      <c r="P572" s="37" t="str">
        <f t="shared" ca="1" si="35"/>
        <v/>
      </c>
      <c r="Q572" s="37" t="str">
        <f t="shared" ca="1" si="36"/>
        <v/>
      </c>
    </row>
    <row r="573" spans="1:17" x14ac:dyDescent="0.25">
      <c r="A573" s="102"/>
      <c r="B573" s="33"/>
      <c r="C573" s="25"/>
      <c r="D573" s="26"/>
      <c r="E573" s="33"/>
      <c r="F573" s="25"/>
      <c r="G573" s="25"/>
      <c r="H573" s="25"/>
      <c r="I573" s="55"/>
      <c r="P573" s="37" t="str">
        <f t="shared" ca="1" si="35"/>
        <v/>
      </c>
      <c r="Q573" s="37" t="str">
        <f t="shared" ca="1" si="36"/>
        <v/>
      </c>
    </row>
    <row r="574" spans="1:17" x14ac:dyDescent="0.25">
      <c r="A574" s="102"/>
      <c r="B574" s="33"/>
      <c r="C574" s="25"/>
      <c r="D574" s="26"/>
      <c r="E574" s="33"/>
      <c r="F574" s="25"/>
      <c r="G574" s="25"/>
      <c r="H574" s="25"/>
      <c r="I574" s="55"/>
      <c r="P574" s="37" t="str">
        <f t="shared" ca="1" si="35"/>
        <v/>
      </c>
      <c r="Q574" s="37" t="str">
        <f t="shared" ca="1" si="36"/>
        <v/>
      </c>
    </row>
    <row r="575" spans="1:17" x14ac:dyDescent="0.25">
      <c r="A575" s="102"/>
      <c r="B575" s="33"/>
      <c r="C575" s="25"/>
      <c r="D575" s="26"/>
      <c r="E575" s="33"/>
      <c r="F575" s="25"/>
      <c r="G575" s="25"/>
      <c r="H575" s="25"/>
      <c r="I575" s="55"/>
      <c r="P575" s="37" t="str">
        <f t="shared" ca="1" si="35"/>
        <v/>
      </c>
      <c r="Q575" s="37" t="str">
        <f t="shared" ca="1" si="36"/>
        <v/>
      </c>
    </row>
    <row r="576" spans="1:17" x14ac:dyDescent="0.25">
      <c r="A576" s="102"/>
      <c r="B576" s="33"/>
      <c r="C576" s="25"/>
      <c r="D576" s="26"/>
      <c r="E576" s="33"/>
      <c r="F576" s="25"/>
      <c r="G576" s="25"/>
      <c r="H576" s="25"/>
      <c r="I576" s="55"/>
      <c r="P576" s="37" t="str">
        <f t="shared" ca="1" si="35"/>
        <v/>
      </c>
      <c r="Q576" s="37" t="str">
        <f t="shared" ca="1" si="36"/>
        <v/>
      </c>
    </row>
    <row r="577" spans="1:17" x14ac:dyDescent="0.25">
      <c r="A577" s="102"/>
      <c r="B577" s="33"/>
      <c r="C577" s="25"/>
      <c r="D577" s="26"/>
      <c r="E577" s="33"/>
      <c r="F577" s="25"/>
      <c r="G577" s="25"/>
      <c r="H577" s="25"/>
      <c r="I577" s="55"/>
      <c r="P577" s="37" t="str">
        <f t="shared" ca="1" si="35"/>
        <v/>
      </c>
      <c r="Q577" s="37" t="str">
        <f t="shared" ca="1" si="36"/>
        <v/>
      </c>
    </row>
    <row r="578" spans="1:17" x14ac:dyDescent="0.25">
      <c r="A578" s="102"/>
      <c r="B578" s="33"/>
      <c r="C578" s="25"/>
      <c r="D578" s="26"/>
      <c r="E578" s="33"/>
      <c r="F578" s="25"/>
      <c r="G578" s="25"/>
      <c r="H578" s="25"/>
      <c r="I578" s="55"/>
      <c r="P578" s="37" t="str">
        <f t="shared" ca="1" si="35"/>
        <v/>
      </c>
      <c r="Q578" s="37" t="str">
        <f t="shared" ca="1" si="36"/>
        <v/>
      </c>
    </row>
    <row r="579" spans="1:17" x14ac:dyDescent="0.25">
      <c r="A579" s="102"/>
      <c r="B579" s="33"/>
      <c r="C579" s="25"/>
      <c r="D579" s="26"/>
      <c r="E579" s="33"/>
      <c r="F579" s="25"/>
      <c r="G579" s="25"/>
      <c r="H579" s="25"/>
      <c r="I579" s="55"/>
      <c r="P579" s="37" t="str">
        <f t="shared" ca="1" si="35"/>
        <v/>
      </c>
      <c r="Q579" s="37" t="str">
        <f t="shared" ca="1" si="36"/>
        <v/>
      </c>
    </row>
    <row r="580" spans="1:17" x14ac:dyDescent="0.25">
      <c r="A580" s="102"/>
      <c r="B580" s="33"/>
      <c r="C580" s="25"/>
      <c r="D580" s="26"/>
      <c r="E580" s="33"/>
      <c r="F580" s="25"/>
      <c r="G580" s="25"/>
      <c r="H580" s="25"/>
      <c r="I580" s="55"/>
      <c r="P580" s="37" t="str">
        <f t="shared" ref="P580:P643" ca="1" si="37">IF(COUNTIF(N:N,L580),L580,"")</f>
        <v/>
      </c>
      <c r="Q580" s="37" t="str">
        <f t="shared" ref="Q580:Q643" ca="1" si="38">IF(P580&gt;$A$14,P580,"")</f>
        <v/>
      </c>
    </row>
    <row r="581" spans="1:17" x14ac:dyDescent="0.25">
      <c r="A581" s="102"/>
      <c r="B581" s="33"/>
      <c r="C581" s="25"/>
      <c r="D581" s="26"/>
      <c r="E581" s="33"/>
      <c r="F581" s="25"/>
      <c r="G581" s="25"/>
      <c r="H581" s="25"/>
      <c r="I581" s="55"/>
      <c r="P581" s="37" t="str">
        <f t="shared" ca="1" si="37"/>
        <v/>
      </c>
      <c r="Q581" s="37" t="str">
        <f t="shared" ca="1" si="38"/>
        <v/>
      </c>
    </row>
    <row r="582" spans="1:17" x14ac:dyDescent="0.25">
      <c r="A582" s="102"/>
      <c r="B582" s="33"/>
      <c r="C582" s="25"/>
      <c r="D582" s="26"/>
      <c r="E582" s="33"/>
      <c r="F582" s="25"/>
      <c r="G582" s="25"/>
      <c r="H582" s="25"/>
      <c r="I582" s="55"/>
      <c r="P582" s="37" t="str">
        <f t="shared" ca="1" si="37"/>
        <v/>
      </c>
      <c r="Q582" s="37" t="str">
        <f t="shared" ca="1" si="38"/>
        <v/>
      </c>
    </row>
    <row r="583" spans="1:17" x14ac:dyDescent="0.25">
      <c r="A583" s="102"/>
      <c r="B583" s="33"/>
      <c r="C583" s="25"/>
      <c r="D583" s="26"/>
      <c r="E583" s="33"/>
      <c r="F583" s="25"/>
      <c r="G583" s="25"/>
      <c r="H583" s="25"/>
      <c r="I583" s="55"/>
      <c r="P583" s="37" t="str">
        <f t="shared" ca="1" si="37"/>
        <v/>
      </c>
      <c r="Q583" s="37" t="str">
        <f t="shared" ca="1" si="38"/>
        <v/>
      </c>
    </row>
    <row r="584" spans="1:17" x14ac:dyDescent="0.25">
      <c r="A584" s="102"/>
      <c r="B584" s="33"/>
      <c r="C584" s="25"/>
      <c r="D584" s="26"/>
      <c r="E584" s="33"/>
      <c r="F584" s="25"/>
      <c r="G584" s="25"/>
      <c r="H584" s="25"/>
      <c r="I584" s="55"/>
      <c r="P584" s="37" t="str">
        <f t="shared" ca="1" si="37"/>
        <v/>
      </c>
      <c r="Q584" s="37" t="str">
        <f t="shared" ca="1" si="38"/>
        <v/>
      </c>
    </row>
    <row r="585" spans="1:17" x14ac:dyDescent="0.25">
      <c r="A585" s="102"/>
      <c r="B585" s="33"/>
      <c r="C585" s="25"/>
      <c r="D585" s="26"/>
      <c r="E585" s="33"/>
      <c r="F585" s="25"/>
      <c r="G585" s="25"/>
      <c r="H585" s="25"/>
      <c r="I585" s="55"/>
      <c r="P585" s="37" t="str">
        <f t="shared" ca="1" si="37"/>
        <v/>
      </c>
      <c r="Q585" s="37" t="str">
        <f t="shared" ca="1" si="38"/>
        <v/>
      </c>
    </row>
    <row r="586" spans="1:17" x14ac:dyDescent="0.25">
      <c r="A586" s="102"/>
      <c r="B586" s="33"/>
      <c r="C586" s="25"/>
      <c r="D586" s="26"/>
      <c r="E586" s="33"/>
      <c r="F586" s="25"/>
      <c r="G586" s="25"/>
      <c r="H586" s="25"/>
      <c r="I586" s="55"/>
      <c r="P586" s="37" t="str">
        <f t="shared" ca="1" si="37"/>
        <v/>
      </c>
      <c r="Q586" s="37" t="str">
        <f t="shared" ca="1" si="38"/>
        <v/>
      </c>
    </row>
    <row r="587" spans="1:17" x14ac:dyDescent="0.25">
      <c r="A587" s="102"/>
      <c r="B587" s="33"/>
      <c r="C587" s="25"/>
      <c r="D587" s="26"/>
      <c r="E587" s="33"/>
      <c r="F587" s="25"/>
      <c r="G587" s="25"/>
      <c r="H587" s="25"/>
      <c r="I587" s="55"/>
      <c r="P587" s="37" t="str">
        <f t="shared" ca="1" si="37"/>
        <v/>
      </c>
      <c r="Q587" s="37" t="str">
        <f t="shared" ca="1" si="38"/>
        <v/>
      </c>
    </row>
    <row r="588" spans="1:17" x14ac:dyDescent="0.25">
      <c r="A588" s="102"/>
      <c r="B588" s="33"/>
      <c r="C588" s="25"/>
      <c r="D588" s="26"/>
      <c r="E588" s="33"/>
      <c r="F588" s="25"/>
      <c r="G588" s="25"/>
      <c r="H588" s="25"/>
      <c r="I588" s="55"/>
      <c r="P588" s="37" t="str">
        <f t="shared" ca="1" si="37"/>
        <v/>
      </c>
      <c r="Q588" s="37" t="str">
        <f t="shared" ca="1" si="38"/>
        <v/>
      </c>
    </row>
    <row r="589" spans="1:17" x14ac:dyDescent="0.25">
      <c r="A589" s="102"/>
      <c r="B589" s="33"/>
      <c r="C589" s="25"/>
      <c r="D589" s="26"/>
      <c r="E589" s="33"/>
      <c r="F589" s="25"/>
      <c r="G589" s="25"/>
      <c r="H589" s="25"/>
      <c r="I589" s="55"/>
      <c r="P589" s="37" t="str">
        <f t="shared" ca="1" si="37"/>
        <v/>
      </c>
      <c r="Q589" s="37" t="str">
        <f t="shared" ca="1" si="38"/>
        <v/>
      </c>
    </row>
    <row r="590" spans="1:17" x14ac:dyDescent="0.25">
      <c r="A590" s="102"/>
      <c r="B590" s="33"/>
      <c r="C590" s="25"/>
      <c r="D590" s="26"/>
      <c r="E590" s="33"/>
      <c r="F590" s="25"/>
      <c r="G590" s="25"/>
      <c r="H590" s="25"/>
      <c r="I590" s="55"/>
      <c r="P590" s="37" t="str">
        <f t="shared" ca="1" si="37"/>
        <v/>
      </c>
      <c r="Q590" s="37" t="str">
        <f t="shared" ca="1" si="38"/>
        <v/>
      </c>
    </row>
    <row r="591" spans="1:17" x14ac:dyDescent="0.25">
      <c r="A591" s="102"/>
      <c r="B591" s="33"/>
      <c r="C591" s="25"/>
      <c r="D591" s="26"/>
      <c r="E591" s="33"/>
      <c r="F591" s="25"/>
      <c r="G591" s="25"/>
      <c r="H591" s="25"/>
      <c r="I591" s="55"/>
      <c r="P591" s="37" t="str">
        <f t="shared" ca="1" si="37"/>
        <v/>
      </c>
      <c r="Q591" s="37" t="str">
        <f t="shared" ca="1" si="38"/>
        <v/>
      </c>
    </row>
    <row r="592" spans="1:17" x14ac:dyDescent="0.25">
      <c r="A592" s="102"/>
      <c r="B592" s="33"/>
      <c r="C592" s="25"/>
      <c r="D592" s="26"/>
      <c r="E592" s="33"/>
      <c r="F592" s="25"/>
      <c r="G592" s="25"/>
      <c r="H592" s="25"/>
      <c r="I592" s="55"/>
      <c r="P592" s="37" t="str">
        <f t="shared" ca="1" si="37"/>
        <v/>
      </c>
      <c r="Q592" s="37" t="str">
        <f t="shared" ca="1" si="38"/>
        <v/>
      </c>
    </row>
    <row r="593" spans="1:17" x14ac:dyDescent="0.25">
      <c r="A593" s="102"/>
      <c r="B593" s="33"/>
      <c r="C593" s="25"/>
      <c r="D593" s="26"/>
      <c r="E593" s="33"/>
      <c r="F593" s="25"/>
      <c r="G593" s="25"/>
      <c r="H593" s="25"/>
      <c r="I593" s="55"/>
      <c r="P593" s="37" t="str">
        <f t="shared" ca="1" si="37"/>
        <v/>
      </c>
      <c r="Q593" s="37" t="str">
        <f t="shared" ca="1" si="38"/>
        <v/>
      </c>
    </row>
    <row r="594" spans="1:17" x14ac:dyDescent="0.25">
      <c r="A594" s="102"/>
      <c r="B594" s="33"/>
      <c r="C594" s="25"/>
      <c r="D594" s="26"/>
      <c r="E594" s="33"/>
      <c r="F594" s="25"/>
      <c r="G594" s="25"/>
      <c r="H594" s="25"/>
      <c r="I594" s="55"/>
      <c r="P594" s="37" t="str">
        <f t="shared" ca="1" si="37"/>
        <v/>
      </c>
      <c r="Q594" s="37" t="str">
        <f t="shared" ca="1" si="38"/>
        <v/>
      </c>
    </row>
    <row r="595" spans="1:17" x14ac:dyDescent="0.25">
      <c r="A595" s="102"/>
      <c r="B595" s="33"/>
      <c r="C595" s="25"/>
      <c r="D595" s="26"/>
      <c r="E595" s="33"/>
      <c r="F595" s="25"/>
      <c r="G595" s="25"/>
      <c r="H595" s="25"/>
      <c r="I595" s="55"/>
      <c r="P595" s="37" t="str">
        <f t="shared" ca="1" si="37"/>
        <v/>
      </c>
      <c r="Q595" s="37" t="str">
        <f t="shared" ca="1" si="38"/>
        <v/>
      </c>
    </row>
    <row r="596" spans="1:17" x14ac:dyDescent="0.25">
      <c r="A596" s="102"/>
      <c r="B596" s="33"/>
      <c r="C596" s="25"/>
      <c r="D596" s="26"/>
      <c r="E596" s="33"/>
      <c r="F596" s="25"/>
      <c r="G596" s="25"/>
      <c r="H596" s="25"/>
      <c r="I596" s="55"/>
      <c r="P596" s="37" t="str">
        <f t="shared" ca="1" si="37"/>
        <v/>
      </c>
      <c r="Q596" s="37" t="str">
        <f t="shared" ca="1" si="38"/>
        <v/>
      </c>
    </row>
    <row r="597" spans="1:17" x14ac:dyDescent="0.25">
      <c r="A597" s="102"/>
      <c r="B597" s="33"/>
      <c r="C597" s="25"/>
      <c r="D597" s="26"/>
      <c r="E597" s="33"/>
      <c r="F597" s="25"/>
      <c r="G597" s="25"/>
      <c r="H597" s="25"/>
      <c r="I597" s="55"/>
      <c r="P597" s="37" t="str">
        <f t="shared" ca="1" si="37"/>
        <v/>
      </c>
      <c r="Q597" s="37" t="str">
        <f t="shared" ca="1" si="38"/>
        <v/>
      </c>
    </row>
    <row r="598" spans="1:17" x14ac:dyDescent="0.25">
      <c r="A598" s="102"/>
      <c r="B598" s="33"/>
      <c r="C598" s="25"/>
      <c r="D598" s="26"/>
      <c r="E598" s="33"/>
      <c r="F598" s="25"/>
      <c r="G598" s="25"/>
      <c r="H598" s="25"/>
      <c r="I598" s="55"/>
      <c r="P598" s="37" t="str">
        <f t="shared" ca="1" si="37"/>
        <v/>
      </c>
      <c r="Q598" s="37" t="str">
        <f t="shared" ca="1" si="38"/>
        <v/>
      </c>
    </row>
    <row r="599" spans="1:17" x14ac:dyDescent="0.25">
      <c r="A599" s="102"/>
      <c r="B599" s="33"/>
      <c r="C599" s="25"/>
      <c r="D599" s="26"/>
      <c r="E599" s="33"/>
      <c r="F599" s="25"/>
      <c r="G599" s="25"/>
      <c r="H599" s="25"/>
      <c r="I599" s="55"/>
      <c r="P599" s="37" t="str">
        <f t="shared" ca="1" si="37"/>
        <v/>
      </c>
      <c r="Q599" s="37" t="str">
        <f t="shared" ca="1" si="38"/>
        <v/>
      </c>
    </row>
    <row r="600" spans="1:17" x14ac:dyDescent="0.25">
      <c r="A600" s="102"/>
      <c r="B600" s="33"/>
      <c r="C600" s="25"/>
      <c r="D600" s="26"/>
      <c r="E600" s="33"/>
      <c r="F600" s="25"/>
      <c r="G600" s="25"/>
      <c r="H600" s="25"/>
      <c r="I600" s="55"/>
      <c r="P600" s="37" t="str">
        <f t="shared" ca="1" si="37"/>
        <v/>
      </c>
      <c r="Q600" s="37" t="str">
        <f t="shared" ca="1" si="38"/>
        <v/>
      </c>
    </row>
    <row r="601" spans="1:17" x14ac:dyDescent="0.25">
      <c r="A601" s="102"/>
      <c r="B601" s="33"/>
      <c r="C601" s="25"/>
      <c r="D601" s="26"/>
      <c r="E601" s="33"/>
      <c r="F601" s="25"/>
      <c r="G601" s="25"/>
      <c r="H601" s="25"/>
      <c r="I601" s="55"/>
      <c r="P601" s="37" t="str">
        <f t="shared" ca="1" si="37"/>
        <v/>
      </c>
      <c r="Q601" s="37" t="str">
        <f t="shared" ca="1" si="38"/>
        <v/>
      </c>
    </row>
    <row r="602" spans="1:17" x14ac:dyDescent="0.25">
      <c r="A602" s="102"/>
      <c r="B602" s="33"/>
      <c r="C602" s="25"/>
      <c r="D602" s="26"/>
      <c r="E602" s="33"/>
      <c r="F602" s="25"/>
      <c r="G602" s="25"/>
      <c r="H602" s="25"/>
      <c r="I602" s="55"/>
      <c r="P602" s="37" t="str">
        <f t="shared" ca="1" si="37"/>
        <v/>
      </c>
      <c r="Q602" s="37" t="str">
        <f t="shared" ca="1" si="38"/>
        <v/>
      </c>
    </row>
    <row r="603" spans="1:17" x14ac:dyDescent="0.25">
      <c r="A603" s="102"/>
      <c r="B603" s="33"/>
      <c r="C603" s="25"/>
      <c r="D603" s="26"/>
      <c r="E603" s="33"/>
      <c r="F603" s="25"/>
      <c r="G603" s="25"/>
      <c r="H603" s="25"/>
      <c r="I603" s="55"/>
      <c r="P603" s="37" t="str">
        <f t="shared" ca="1" si="37"/>
        <v/>
      </c>
      <c r="Q603" s="37" t="str">
        <f t="shared" ca="1" si="38"/>
        <v/>
      </c>
    </row>
    <row r="604" spans="1:17" x14ac:dyDescent="0.25">
      <c r="A604" s="102"/>
      <c r="B604" s="33"/>
      <c r="C604" s="25"/>
      <c r="D604" s="26"/>
      <c r="E604" s="33"/>
      <c r="F604" s="25"/>
      <c r="G604" s="25"/>
      <c r="H604" s="25"/>
      <c r="I604" s="55"/>
      <c r="P604" s="37" t="str">
        <f t="shared" ca="1" si="37"/>
        <v/>
      </c>
      <c r="Q604" s="37" t="str">
        <f t="shared" ca="1" si="38"/>
        <v/>
      </c>
    </row>
    <row r="605" spans="1:17" x14ac:dyDescent="0.25">
      <c r="A605" s="102"/>
      <c r="B605" s="33"/>
      <c r="C605" s="25"/>
      <c r="D605" s="26"/>
      <c r="E605" s="33"/>
      <c r="F605" s="25"/>
      <c r="G605" s="25"/>
      <c r="H605" s="25"/>
      <c r="I605" s="55"/>
      <c r="P605" s="37" t="str">
        <f t="shared" ca="1" si="37"/>
        <v/>
      </c>
      <c r="Q605" s="37" t="str">
        <f t="shared" ca="1" si="38"/>
        <v/>
      </c>
    </row>
    <row r="606" spans="1:17" x14ac:dyDescent="0.25">
      <c r="A606" s="102"/>
      <c r="B606" s="33"/>
      <c r="C606" s="25"/>
      <c r="D606" s="26"/>
      <c r="E606" s="33"/>
      <c r="F606" s="25"/>
      <c r="G606" s="25"/>
      <c r="H606" s="25"/>
      <c r="I606" s="55"/>
      <c r="P606" s="37" t="str">
        <f t="shared" ca="1" si="37"/>
        <v/>
      </c>
      <c r="Q606" s="37" t="str">
        <f t="shared" ca="1" si="38"/>
        <v/>
      </c>
    </row>
    <row r="607" spans="1:17" x14ac:dyDescent="0.25">
      <c r="A607" s="102"/>
      <c r="B607" s="33"/>
      <c r="C607" s="25"/>
      <c r="D607" s="26"/>
      <c r="E607" s="33"/>
      <c r="F607" s="25"/>
      <c r="G607" s="25"/>
      <c r="H607" s="25"/>
      <c r="I607" s="55"/>
      <c r="P607" s="37" t="str">
        <f t="shared" ca="1" si="37"/>
        <v/>
      </c>
      <c r="Q607" s="37" t="str">
        <f t="shared" ca="1" si="38"/>
        <v/>
      </c>
    </row>
    <row r="608" spans="1:17" x14ac:dyDescent="0.25">
      <c r="A608" s="102"/>
      <c r="B608" s="33"/>
      <c r="C608" s="25"/>
      <c r="D608" s="26"/>
      <c r="E608" s="33"/>
      <c r="F608" s="25"/>
      <c r="G608" s="25"/>
      <c r="H608" s="25"/>
      <c r="I608" s="55"/>
      <c r="P608" s="37" t="str">
        <f t="shared" ca="1" si="37"/>
        <v/>
      </c>
      <c r="Q608" s="37" t="str">
        <f t="shared" ca="1" si="38"/>
        <v/>
      </c>
    </row>
    <row r="609" spans="1:17" x14ac:dyDescent="0.25">
      <c r="A609" s="102"/>
      <c r="B609" s="33"/>
      <c r="C609" s="25"/>
      <c r="D609" s="26"/>
      <c r="E609" s="33"/>
      <c r="F609" s="25"/>
      <c r="G609" s="25"/>
      <c r="H609" s="25"/>
      <c r="I609" s="55"/>
      <c r="P609" s="37" t="str">
        <f t="shared" ca="1" si="37"/>
        <v/>
      </c>
      <c r="Q609" s="37" t="str">
        <f t="shared" ca="1" si="38"/>
        <v/>
      </c>
    </row>
    <row r="610" spans="1:17" x14ac:dyDescent="0.25">
      <c r="A610" s="102"/>
      <c r="B610" s="33"/>
      <c r="C610" s="25"/>
      <c r="D610" s="26"/>
      <c r="E610" s="33"/>
      <c r="F610" s="25"/>
      <c r="G610" s="25"/>
      <c r="H610" s="25"/>
      <c r="I610" s="55"/>
      <c r="P610" s="37" t="str">
        <f t="shared" ca="1" si="37"/>
        <v/>
      </c>
      <c r="Q610" s="37" t="str">
        <f t="shared" ca="1" si="38"/>
        <v/>
      </c>
    </row>
    <row r="611" spans="1:17" x14ac:dyDescent="0.25">
      <c r="A611" s="102"/>
      <c r="B611" s="33"/>
      <c r="C611" s="25"/>
      <c r="D611" s="26"/>
      <c r="E611" s="33"/>
      <c r="F611" s="25"/>
      <c r="G611" s="25"/>
      <c r="H611" s="25"/>
      <c r="I611" s="55"/>
      <c r="P611" s="37" t="str">
        <f t="shared" ca="1" si="37"/>
        <v/>
      </c>
      <c r="Q611" s="37" t="str">
        <f t="shared" ca="1" si="38"/>
        <v/>
      </c>
    </row>
    <row r="612" spans="1:17" x14ac:dyDescent="0.25">
      <c r="A612" s="102"/>
      <c r="B612" s="33"/>
      <c r="C612" s="25"/>
      <c r="D612" s="26"/>
      <c r="E612" s="33"/>
      <c r="F612" s="25"/>
      <c r="G612" s="25"/>
      <c r="H612" s="25"/>
      <c r="I612" s="55"/>
      <c r="P612" s="37" t="str">
        <f t="shared" ca="1" si="37"/>
        <v/>
      </c>
      <c r="Q612" s="37" t="str">
        <f t="shared" ca="1" si="38"/>
        <v/>
      </c>
    </row>
    <row r="613" spans="1:17" x14ac:dyDescent="0.25">
      <c r="A613" s="102"/>
      <c r="B613" s="33"/>
      <c r="C613" s="25"/>
      <c r="D613" s="26"/>
      <c r="E613" s="33"/>
      <c r="F613" s="25"/>
      <c r="G613" s="25"/>
      <c r="H613" s="25"/>
      <c r="I613" s="55"/>
      <c r="P613" s="37" t="str">
        <f t="shared" ca="1" si="37"/>
        <v/>
      </c>
      <c r="Q613" s="37" t="str">
        <f t="shared" ca="1" si="38"/>
        <v/>
      </c>
    </row>
    <row r="614" spans="1:17" x14ac:dyDescent="0.25">
      <c r="A614" s="102"/>
      <c r="B614" s="33"/>
      <c r="C614" s="25"/>
      <c r="D614" s="26"/>
      <c r="E614" s="33"/>
      <c r="F614" s="25"/>
      <c r="G614" s="25"/>
      <c r="H614" s="25"/>
      <c r="I614" s="55"/>
      <c r="P614" s="37" t="str">
        <f t="shared" ca="1" si="37"/>
        <v/>
      </c>
      <c r="Q614" s="37" t="str">
        <f t="shared" ca="1" si="38"/>
        <v/>
      </c>
    </row>
    <row r="615" spans="1:17" x14ac:dyDescent="0.25">
      <c r="A615" s="102"/>
      <c r="B615" s="33"/>
      <c r="C615" s="25"/>
      <c r="D615" s="26"/>
      <c r="E615" s="33"/>
      <c r="F615" s="25"/>
      <c r="G615" s="25"/>
      <c r="H615" s="25"/>
      <c r="I615" s="55"/>
      <c r="P615" s="37" t="str">
        <f t="shared" ca="1" si="37"/>
        <v/>
      </c>
      <c r="Q615" s="37" t="str">
        <f t="shared" ca="1" si="38"/>
        <v/>
      </c>
    </row>
    <row r="616" spans="1:17" x14ac:dyDescent="0.25">
      <c r="A616" s="102"/>
      <c r="B616" s="33"/>
      <c r="C616" s="25"/>
      <c r="D616" s="26"/>
      <c r="E616" s="33"/>
      <c r="F616" s="25"/>
      <c r="G616" s="25"/>
      <c r="H616" s="25"/>
      <c r="I616" s="55"/>
      <c r="P616" s="37" t="str">
        <f t="shared" ca="1" si="37"/>
        <v/>
      </c>
      <c r="Q616" s="37" t="str">
        <f t="shared" ca="1" si="38"/>
        <v/>
      </c>
    </row>
    <row r="617" spans="1:17" x14ac:dyDescent="0.25">
      <c r="A617" s="102"/>
      <c r="B617" s="33"/>
      <c r="C617" s="25"/>
      <c r="D617" s="26"/>
      <c r="E617" s="33"/>
      <c r="F617" s="25"/>
      <c r="G617" s="25"/>
      <c r="H617" s="25"/>
      <c r="I617" s="55"/>
      <c r="P617" s="37" t="str">
        <f t="shared" ca="1" si="37"/>
        <v/>
      </c>
      <c r="Q617" s="37" t="str">
        <f t="shared" ca="1" si="38"/>
        <v/>
      </c>
    </row>
    <row r="618" spans="1:17" x14ac:dyDescent="0.25">
      <c r="A618" s="102"/>
      <c r="B618" s="33"/>
      <c r="C618" s="25"/>
      <c r="D618" s="26"/>
      <c r="E618" s="33"/>
      <c r="F618" s="25"/>
      <c r="G618" s="25"/>
      <c r="H618" s="25"/>
      <c r="I618" s="55"/>
      <c r="P618" s="37" t="str">
        <f t="shared" ca="1" si="37"/>
        <v/>
      </c>
      <c r="Q618" s="37" t="str">
        <f t="shared" ca="1" si="38"/>
        <v/>
      </c>
    </row>
    <row r="619" spans="1:17" x14ac:dyDescent="0.25">
      <c r="A619" s="102"/>
      <c r="B619" s="33"/>
      <c r="C619" s="25"/>
      <c r="D619" s="26"/>
      <c r="E619" s="33"/>
      <c r="F619" s="25"/>
      <c r="G619" s="25"/>
      <c r="H619" s="25"/>
      <c r="I619" s="55"/>
      <c r="P619" s="37" t="str">
        <f t="shared" ca="1" si="37"/>
        <v/>
      </c>
      <c r="Q619" s="37" t="str">
        <f t="shared" ca="1" si="38"/>
        <v/>
      </c>
    </row>
    <row r="620" spans="1:17" x14ac:dyDescent="0.25">
      <c r="A620" s="102"/>
      <c r="B620" s="33"/>
      <c r="C620" s="25"/>
      <c r="D620" s="26"/>
      <c r="E620" s="33"/>
      <c r="F620" s="25"/>
      <c r="G620" s="25"/>
      <c r="H620" s="25"/>
      <c r="I620" s="55"/>
      <c r="P620" s="37" t="str">
        <f t="shared" ca="1" si="37"/>
        <v/>
      </c>
      <c r="Q620" s="37" t="str">
        <f t="shared" ca="1" si="38"/>
        <v/>
      </c>
    </row>
    <row r="621" spans="1:17" x14ac:dyDescent="0.25">
      <c r="A621" s="102"/>
      <c r="B621" s="33"/>
      <c r="C621" s="25"/>
      <c r="D621" s="26"/>
      <c r="E621" s="33"/>
      <c r="F621" s="25"/>
      <c r="G621" s="25"/>
      <c r="H621" s="25"/>
      <c r="I621" s="55"/>
      <c r="P621" s="37" t="str">
        <f t="shared" ca="1" si="37"/>
        <v/>
      </c>
      <c r="Q621" s="37" t="str">
        <f t="shared" ca="1" si="38"/>
        <v/>
      </c>
    </row>
    <row r="622" spans="1:17" x14ac:dyDescent="0.25">
      <c r="A622" s="102"/>
      <c r="B622" s="33"/>
      <c r="C622" s="25"/>
      <c r="D622" s="26"/>
      <c r="E622" s="33"/>
      <c r="F622" s="25"/>
      <c r="G622" s="25"/>
      <c r="H622" s="25"/>
      <c r="I622" s="55"/>
      <c r="P622" s="37" t="str">
        <f t="shared" ca="1" si="37"/>
        <v/>
      </c>
      <c r="Q622" s="37" t="str">
        <f t="shared" ca="1" si="38"/>
        <v/>
      </c>
    </row>
    <row r="623" spans="1:17" x14ac:dyDescent="0.25">
      <c r="A623" s="102"/>
      <c r="B623" s="33"/>
      <c r="C623" s="25"/>
      <c r="D623" s="26"/>
      <c r="E623" s="33"/>
      <c r="F623" s="25"/>
      <c r="G623" s="25"/>
      <c r="H623" s="25"/>
      <c r="I623" s="55"/>
      <c r="P623" s="37" t="str">
        <f t="shared" ca="1" si="37"/>
        <v/>
      </c>
      <c r="Q623" s="37" t="str">
        <f t="shared" ca="1" si="38"/>
        <v/>
      </c>
    </row>
    <row r="624" spans="1:17" x14ac:dyDescent="0.25">
      <c r="A624" s="102"/>
      <c r="B624" s="33"/>
      <c r="C624" s="25"/>
      <c r="D624" s="26"/>
      <c r="E624" s="33"/>
      <c r="F624" s="25"/>
      <c r="G624" s="25"/>
      <c r="H624" s="25"/>
      <c r="I624" s="55"/>
      <c r="P624" s="37" t="str">
        <f t="shared" ca="1" si="37"/>
        <v/>
      </c>
      <c r="Q624" s="37" t="str">
        <f t="shared" ca="1" si="38"/>
        <v/>
      </c>
    </row>
    <row r="625" spans="1:17" x14ac:dyDescent="0.25">
      <c r="A625" s="102"/>
      <c r="B625" s="33"/>
      <c r="C625" s="25"/>
      <c r="D625" s="26"/>
      <c r="E625" s="33"/>
      <c r="F625" s="25"/>
      <c r="G625" s="25"/>
      <c r="H625" s="25"/>
      <c r="I625" s="55"/>
      <c r="P625" s="37" t="str">
        <f t="shared" ca="1" si="37"/>
        <v/>
      </c>
      <c r="Q625" s="37" t="str">
        <f t="shared" ca="1" si="38"/>
        <v/>
      </c>
    </row>
    <row r="626" spans="1:17" x14ac:dyDescent="0.25">
      <c r="A626" s="102"/>
      <c r="B626" s="33"/>
      <c r="C626" s="25"/>
      <c r="D626" s="26"/>
      <c r="E626" s="33"/>
      <c r="F626" s="25"/>
      <c r="G626" s="25"/>
      <c r="H626" s="25"/>
      <c r="I626" s="55"/>
      <c r="P626" s="37" t="str">
        <f t="shared" ca="1" si="37"/>
        <v/>
      </c>
      <c r="Q626" s="37" t="str">
        <f t="shared" ca="1" si="38"/>
        <v/>
      </c>
    </row>
    <row r="627" spans="1:17" x14ac:dyDescent="0.25">
      <c r="A627" s="102"/>
      <c r="B627" s="33"/>
      <c r="C627" s="25"/>
      <c r="D627" s="26"/>
      <c r="E627" s="33"/>
      <c r="F627" s="25"/>
      <c r="G627" s="25"/>
      <c r="H627" s="25"/>
      <c r="I627" s="55"/>
      <c r="P627" s="37" t="str">
        <f t="shared" ca="1" si="37"/>
        <v/>
      </c>
      <c r="Q627" s="37" t="str">
        <f t="shared" ca="1" si="38"/>
        <v/>
      </c>
    </row>
    <row r="628" spans="1:17" x14ac:dyDescent="0.25">
      <c r="A628" s="102"/>
      <c r="B628" s="33"/>
      <c r="C628" s="25"/>
      <c r="D628" s="26"/>
      <c r="E628" s="33"/>
      <c r="F628" s="25"/>
      <c r="G628" s="25"/>
      <c r="H628" s="25"/>
      <c r="I628" s="55"/>
      <c r="P628" s="37" t="str">
        <f t="shared" ca="1" si="37"/>
        <v/>
      </c>
      <c r="Q628" s="37" t="str">
        <f t="shared" ca="1" si="38"/>
        <v/>
      </c>
    </row>
    <row r="629" spans="1:17" x14ac:dyDescent="0.25">
      <c r="A629" s="102"/>
      <c r="B629" s="33"/>
      <c r="C629" s="25"/>
      <c r="D629" s="26"/>
      <c r="E629" s="33"/>
      <c r="F629" s="25"/>
      <c r="G629" s="25"/>
      <c r="H629" s="25"/>
      <c r="I629" s="55"/>
      <c r="P629" s="37" t="str">
        <f t="shared" ca="1" si="37"/>
        <v/>
      </c>
      <c r="Q629" s="37" t="str">
        <f t="shared" ca="1" si="38"/>
        <v/>
      </c>
    </row>
    <row r="630" spans="1:17" x14ac:dyDescent="0.25">
      <c r="A630" s="102"/>
      <c r="B630" s="33"/>
      <c r="C630" s="25"/>
      <c r="D630" s="26"/>
      <c r="E630" s="33"/>
      <c r="F630" s="25"/>
      <c r="G630" s="25"/>
      <c r="H630" s="25"/>
      <c r="I630" s="55"/>
      <c r="P630" s="37" t="str">
        <f t="shared" ca="1" si="37"/>
        <v/>
      </c>
      <c r="Q630" s="37" t="str">
        <f t="shared" ca="1" si="38"/>
        <v/>
      </c>
    </row>
    <row r="631" spans="1:17" x14ac:dyDescent="0.25">
      <c r="A631" s="102"/>
      <c r="B631" s="33"/>
      <c r="C631" s="25"/>
      <c r="D631" s="26"/>
      <c r="E631" s="33"/>
      <c r="F631" s="25"/>
      <c r="G631" s="25"/>
      <c r="H631" s="25"/>
      <c r="I631" s="55"/>
      <c r="P631" s="37" t="str">
        <f t="shared" ca="1" si="37"/>
        <v/>
      </c>
      <c r="Q631" s="37" t="str">
        <f t="shared" ca="1" si="38"/>
        <v/>
      </c>
    </row>
    <row r="632" spans="1:17" x14ac:dyDescent="0.25">
      <c r="A632" s="102"/>
      <c r="B632" s="33"/>
      <c r="C632" s="25"/>
      <c r="D632" s="26"/>
      <c r="E632" s="33"/>
      <c r="F632" s="25"/>
      <c r="G632" s="25"/>
      <c r="H632" s="25"/>
      <c r="I632" s="55"/>
      <c r="P632" s="37" t="str">
        <f t="shared" ca="1" si="37"/>
        <v/>
      </c>
      <c r="Q632" s="37" t="str">
        <f t="shared" ca="1" si="38"/>
        <v/>
      </c>
    </row>
    <row r="633" spans="1:17" x14ac:dyDescent="0.25">
      <c r="A633" s="102"/>
      <c r="B633" s="33"/>
      <c r="C633" s="25"/>
      <c r="D633" s="26"/>
      <c r="E633" s="33"/>
      <c r="F633" s="25"/>
      <c r="G633" s="25"/>
      <c r="H633" s="25"/>
      <c r="I633" s="55"/>
      <c r="P633" s="37" t="str">
        <f t="shared" ca="1" si="37"/>
        <v/>
      </c>
      <c r="Q633" s="37" t="str">
        <f t="shared" ca="1" si="38"/>
        <v/>
      </c>
    </row>
    <row r="634" spans="1:17" x14ac:dyDescent="0.25">
      <c r="A634" s="102"/>
      <c r="B634" s="33"/>
      <c r="C634" s="25"/>
      <c r="D634" s="26"/>
      <c r="E634" s="33"/>
      <c r="F634" s="25"/>
      <c r="G634" s="25"/>
      <c r="H634" s="25"/>
      <c r="I634" s="55"/>
      <c r="P634" s="37" t="str">
        <f t="shared" ca="1" si="37"/>
        <v/>
      </c>
      <c r="Q634" s="37" t="str">
        <f t="shared" ca="1" si="38"/>
        <v/>
      </c>
    </row>
    <row r="635" spans="1:17" x14ac:dyDescent="0.25">
      <c r="A635" s="102"/>
      <c r="B635" s="33"/>
      <c r="C635" s="25"/>
      <c r="D635" s="26"/>
      <c r="E635" s="33"/>
      <c r="F635" s="25"/>
      <c r="G635" s="25"/>
      <c r="H635" s="25"/>
      <c r="I635" s="55"/>
      <c r="P635" s="37" t="str">
        <f t="shared" ca="1" si="37"/>
        <v/>
      </c>
      <c r="Q635" s="37" t="str">
        <f t="shared" ca="1" si="38"/>
        <v/>
      </c>
    </row>
    <row r="636" spans="1:17" x14ac:dyDescent="0.25">
      <c r="A636" s="102"/>
      <c r="B636" s="33"/>
      <c r="C636" s="25"/>
      <c r="D636" s="26"/>
      <c r="E636" s="33"/>
      <c r="F636" s="25"/>
      <c r="G636" s="25"/>
      <c r="H636" s="25"/>
      <c r="I636" s="55"/>
      <c r="P636" s="37" t="str">
        <f t="shared" ca="1" si="37"/>
        <v/>
      </c>
      <c r="Q636" s="37" t="str">
        <f t="shared" ca="1" si="38"/>
        <v/>
      </c>
    </row>
    <row r="637" spans="1:17" x14ac:dyDescent="0.25">
      <c r="A637" s="102"/>
      <c r="B637" s="33"/>
      <c r="C637" s="25"/>
      <c r="D637" s="26"/>
      <c r="E637" s="33"/>
      <c r="F637" s="25"/>
      <c r="G637" s="25"/>
      <c r="H637" s="25"/>
      <c r="I637" s="55"/>
      <c r="P637" s="37" t="str">
        <f t="shared" ca="1" si="37"/>
        <v/>
      </c>
      <c r="Q637" s="37" t="str">
        <f t="shared" ca="1" si="38"/>
        <v/>
      </c>
    </row>
    <row r="638" spans="1:17" x14ac:dyDescent="0.25">
      <c r="A638" s="102"/>
      <c r="B638" s="33"/>
      <c r="C638" s="25"/>
      <c r="D638" s="26"/>
      <c r="E638" s="33"/>
      <c r="F638" s="25"/>
      <c r="G638" s="25"/>
      <c r="H638" s="25"/>
      <c r="I638" s="55"/>
      <c r="P638" s="37" t="str">
        <f t="shared" ca="1" si="37"/>
        <v/>
      </c>
      <c r="Q638" s="37" t="str">
        <f t="shared" ca="1" si="38"/>
        <v/>
      </c>
    </row>
    <row r="639" spans="1:17" x14ac:dyDescent="0.25">
      <c r="A639" s="102"/>
      <c r="B639" s="33"/>
      <c r="C639" s="25"/>
      <c r="D639" s="26"/>
      <c r="E639" s="33"/>
      <c r="F639" s="25"/>
      <c r="G639" s="25"/>
      <c r="H639" s="25"/>
      <c r="I639" s="55"/>
      <c r="P639" s="37" t="str">
        <f t="shared" ca="1" si="37"/>
        <v/>
      </c>
      <c r="Q639" s="37" t="str">
        <f t="shared" ca="1" si="38"/>
        <v/>
      </c>
    </row>
    <row r="640" spans="1:17" x14ac:dyDescent="0.25">
      <c r="A640" s="102"/>
      <c r="B640" s="33"/>
      <c r="C640" s="25"/>
      <c r="D640" s="26"/>
      <c r="E640" s="33"/>
      <c r="F640" s="25"/>
      <c r="G640" s="25"/>
      <c r="H640" s="25"/>
      <c r="I640" s="55"/>
      <c r="P640" s="37" t="str">
        <f t="shared" ca="1" si="37"/>
        <v/>
      </c>
      <c r="Q640" s="37" t="str">
        <f t="shared" ca="1" si="38"/>
        <v/>
      </c>
    </row>
    <row r="641" spans="1:17" x14ac:dyDescent="0.25">
      <c r="A641" s="102"/>
      <c r="B641" s="33"/>
      <c r="C641" s="25"/>
      <c r="D641" s="26"/>
      <c r="E641" s="33"/>
      <c r="F641" s="25"/>
      <c r="G641" s="25"/>
      <c r="H641" s="25"/>
      <c r="I641" s="55"/>
      <c r="P641" s="37" t="str">
        <f t="shared" ca="1" si="37"/>
        <v/>
      </c>
      <c r="Q641" s="37" t="str">
        <f t="shared" ca="1" si="38"/>
        <v/>
      </c>
    </row>
    <row r="642" spans="1:17" x14ac:dyDescent="0.25">
      <c r="A642" s="102"/>
      <c r="B642" s="33"/>
      <c r="C642" s="25"/>
      <c r="D642" s="26"/>
      <c r="E642" s="33"/>
      <c r="F642" s="25"/>
      <c r="G642" s="25"/>
      <c r="H642" s="25"/>
      <c r="I642" s="55"/>
      <c r="P642" s="37" t="str">
        <f t="shared" ca="1" si="37"/>
        <v/>
      </c>
      <c r="Q642" s="37" t="str">
        <f t="shared" ca="1" si="38"/>
        <v/>
      </c>
    </row>
    <row r="643" spans="1:17" x14ac:dyDescent="0.25">
      <c r="A643" s="102"/>
      <c r="B643" s="33"/>
      <c r="C643" s="25"/>
      <c r="D643" s="26"/>
      <c r="E643" s="33"/>
      <c r="F643" s="25"/>
      <c r="G643" s="25"/>
      <c r="H643" s="25"/>
      <c r="I643" s="55"/>
      <c r="P643" s="37" t="str">
        <f t="shared" ca="1" si="37"/>
        <v/>
      </c>
      <c r="Q643" s="37" t="str">
        <f t="shared" ca="1" si="38"/>
        <v/>
      </c>
    </row>
    <row r="644" spans="1:17" x14ac:dyDescent="0.25">
      <c r="A644" s="102"/>
      <c r="B644" s="33"/>
      <c r="C644" s="25"/>
      <c r="D644" s="26"/>
      <c r="E644" s="33"/>
      <c r="F644" s="25"/>
      <c r="G644" s="25"/>
      <c r="H644" s="25"/>
      <c r="I644" s="55"/>
      <c r="P644" s="37" t="str">
        <f t="shared" ref="P644:P707" ca="1" si="39">IF(COUNTIF(N:N,L644),L644,"")</f>
        <v/>
      </c>
      <c r="Q644" s="37" t="str">
        <f t="shared" ref="Q644:Q707" ca="1" si="40">IF(P644&gt;$A$14,P644,"")</f>
        <v/>
      </c>
    </row>
    <row r="645" spans="1:17" x14ac:dyDescent="0.25">
      <c r="A645" s="102"/>
      <c r="B645" s="33"/>
      <c r="C645" s="25"/>
      <c r="D645" s="26"/>
      <c r="E645" s="33"/>
      <c r="F645" s="25"/>
      <c r="G645" s="25"/>
      <c r="H645" s="25"/>
      <c r="I645" s="55"/>
      <c r="P645" s="37" t="str">
        <f t="shared" ca="1" si="39"/>
        <v/>
      </c>
      <c r="Q645" s="37" t="str">
        <f t="shared" ca="1" si="40"/>
        <v/>
      </c>
    </row>
    <row r="646" spans="1:17" x14ac:dyDescent="0.25">
      <c r="A646" s="102"/>
      <c r="B646" s="33"/>
      <c r="C646" s="25"/>
      <c r="D646" s="26"/>
      <c r="E646" s="33"/>
      <c r="F646" s="25"/>
      <c r="G646" s="25"/>
      <c r="H646" s="25"/>
      <c r="I646" s="55"/>
      <c r="P646" s="37" t="str">
        <f t="shared" ca="1" si="39"/>
        <v/>
      </c>
      <c r="Q646" s="37" t="str">
        <f t="shared" ca="1" si="40"/>
        <v/>
      </c>
    </row>
    <row r="647" spans="1:17" x14ac:dyDescent="0.25">
      <c r="A647" s="102"/>
      <c r="B647" s="33"/>
      <c r="C647" s="25"/>
      <c r="D647" s="26"/>
      <c r="E647" s="33"/>
      <c r="F647" s="25"/>
      <c r="G647" s="25"/>
      <c r="H647" s="25"/>
      <c r="I647" s="55"/>
      <c r="P647" s="37" t="str">
        <f t="shared" ca="1" si="39"/>
        <v/>
      </c>
      <c r="Q647" s="37" t="str">
        <f t="shared" ca="1" si="40"/>
        <v/>
      </c>
    </row>
    <row r="648" spans="1:17" x14ac:dyDescent="0.25">
      <c r="A648" s="102"/>
      <c r="B648" s="33"/>
      <c r="C648" s="25"/>
      <c r="D648" s="26"/>
      <c r="E648" s="33"/>
      <c r="F648" s="25"/>
      <c r="G648" s="25"/>
      <c r="H648" s="25"/>
      <c r="I648" s="55"/>
      <c r="P648" s="37" t="str">
        <f t="shared" ca="1" si="39"/>
        <v/>
      </c>
      <c r="Q648" s="37" t="str">
        <f t="shared" ca="1" si="40"/>
        <v/>
      </c>
    </row>
    <row r="649" spans="1:17" x14ac:dyDescent="0.25">
      <c r="A649" s="102"/>
      <c r="B649" s="33"/>
      <c r="C649" s="25"/>
      <c r="D649" s="26"/>
      <c r="E649" s="33"/>
      <c r="F649" s="25"/>
      <c r="G649" s="25"/>
      <c r="H649" s="25"/>
      <c r="I649" s="55"/>
      <c r="P649" s="37" t="str">
        <f t="shared" ca="1" si="39"/>
        <v/>
      </c>
      <c r="Q649" s="37" t="str">
        <f t="shared" ca="1" si="40"/>
        <v/>
      </c>
    </row>
    <row r="650" spans="1:17" x14ac:dyDescent="0.25">
      <c r="A650" s="102"/>
      <c r="B650" s="33"/>
      <c r="C650" s="25"/>
      <c r="D650" s="26"/>
      <c r="E650" s="33"/>
      <c r="F650" s="25"/>
      <c r="G650" s="25"/>
      <c r="H650" s="25"/>
      <c r="I650" s="55"/>
      <c r="P650" s="37" t="str">
        <f t="shared" ca="1" si="39"/>
        <v/>
      </c>
      <c r="Q650" s="37" t="str">
        <f t="shared" ca="1" si="40"/>
        <v/>
      </c>
    </row>
    <row r="651" spans="1:17" x14ac:dyDescent="0.25">
      <c r="A651" s="102"/>
      <c r="B651" s="33"/>
      <c r="C651" s="25"/>
      <c r="D651" s="26"/>
      <c r="E651" s="33"/>
      <c r="F651" s="25"/>
      <c r="G651" s="25"/>
      <c r="H651" s="25"/>
      <c r="I651" s="55"/>
      <c r="P651" s="37" t="str">
        <f t="shared" ca="1" si="39"/>
        <v/>
      </c>
      <c r="Q651" s="37" t="str">
        <f t="shared" ca="1" si="40"/>
        <v/>
      </c>
    </row>
    <row r="652" spans="1:17" x14ac:dyDescent="0.25">
      <c r="A652" s="102"/>
      <c r="B652" s="33"/>
      <c r="C652" s="25"/>
      <c r="D652" s="26"/>
      <c r="E652" s="33"/>
      <c r="F652" s="25"/>
      <c r="G652" s="25"/>
      <c r="H652" s="25"/>
      <c r="I652" s="55"/>
      <c r="P652" s="37" t="str">
        <f t="shared" ca="1" si="39"/>
        <v/>
      </c>
      <c r="Q652" s="37" t="str">
        <f t="shared" ca="1" si="40"/>
        <v/>
      </c>
    </row>
    <row r="653" spans="1:17" x14ac:dyDescent="0.25">
      <c r="A653" s="102"/>
      <c r="B653" s="33"/>
      <c r="C653" s="25"/>
      <c r="D653" s="26"/>
      <c r="E653" s="33"/>
      <c r="F653" s="25"/>
      <c r="G653" s="25"/>
      <c r="H653" s="25"/>
      <c r="I653" s="55"/>
      <c r="P653" s="37" t="str">
        <f t="shared" ca="1" si="39"/>
        <v/>
      </c>
      <c r="Q653" s="37" t="str">
        <f t="shared" ca="1" si="40"/>
        <v/>
      </c>
    </row>
    <row r="654" spans="1:17" x14ac:dyDescent="0.25">
      <c r="A654" s="102"/>
      <c r="B654" s="33"/>
      <c r="C654" s="25"/>
      <c r="D654" s="26"/>
      <c r="E654" s="33"/>
      <c r="F654" s="25"/>
      <c r="G654" s="25"/>
      <c r="H654" s="25"/>
      <c r="I654" s="55"/>
      <c r="P654" s="37" t="str">
        <f t="shared" ca="1" si="39"/>
        <v/>
      </c>
      <c r="Q654" s="37" t="str">
        <f t="shared" ca="1" si="40"/>
        <v/>
      </c>
    </row>
    <row r="655" spans="1:17" x14ac:dyDescent="0.25">
      <c r="A655" s="102"/>
      <c r="B655" s="33"/>
      <c r="C655" s="25"/>
      <c r="D655" s="26"/>
      <c r="E655" s="33"/>
      <c r="F655" s="25"/>
      <c r="G655" s="25"/>
      <c r="H655" s="25"/>
      <c r="I655" s="55"/>
      <c r="P655" s="37" t="str">
        <f t="shared" ca="1" si="39"/>
        <v/>
      </c>
      <c r="Q655" s="37" t="str">
        <f t="shared" ca="1" si="40"/>
        <v/>
      </c>
    </row>
    <row r="656" spans="1:17" x14ac:dyDescent="0.25">
      <c r="A656" s="102"/>
      <c r="B656" s="33"/>
      <c r="C656" s="25"/>
      <c r="D656" s="26"/>
      <c r="E656" s="33"/>
      <c r="F656" s="25"/>
      <c r="G656" s="25"/>
      <c r="H656" s="25"/>
      <c r="I656" s="55"/>
      <c r="P656" s="37" t="str">
        <f t="shared" ca="1" si="39"/>
        <v/>
      </c>
      <c r="Q656" s="37" t="str">
        <f t="shared" ca="1" si="40"/>
        <v/>
      </c>
    </row>
    <row r="657" spans="1:17" x14ac:dyDescent="0.25">
      <c r="A657" s="102"/>
      <c r="B657" s="33"/>
      <c r="C657" s="25"/>
      <c r="D657" s="26"/>
      <c r="E657" s="33"/>
      <c r="F657" s="25"/>
      <c r="G657" s="25"/>
      <c r="H657" s="25"/>
      <c r="I657" s="55"/>
      <c r="P657" s="37" t="str">
        <f t="shared" ca="1" si="39"/>
        <v/>
      </c>
      <c r="Q657" s="37" t="str">
        <f t="shared" ca="1" si="40"/>
        <v/>
      </c>
    </row>
    <row r="658" spans="1:17" x14ac:dyDescent="0.25">
      <c r="A658" s="102"/>
      <c r="B658" s="33"/>
      <c r="C658" s="25"/>
      <c r="D658" s="26"/>
      <c r="E658" s="33"/>
      <c r="F658" s="25"/>
      <c r="G658" s="25"/>
      <c r="H658" s="25"/>
      <c r="I658" s="55"/>
      <c r="P658" s="37" t="str">
        <f t="shared" ca="1" si="39"/>
        <v/>
      </c>
      <c r="Q658" s="37" t="str">
        <f t="shared" ca="1" si="40"/>
        <v/>
      </c>
    </row>
    <row r="659" spans="1:17" x14ac:dyDescent="0.25">
      <c r="A659" s="102"/>
      <c r="B659" s="33"/>
      <c r="C659" s="25"/>
      <c r="D659" s="26"/>
      <c r="E659" s="33"/>
      <c r="F659" s="25"/>
      <c r="G659" s="25"/>
      <c r="H659" s="25"/>
      <c r="I659" s="55"/>
      <c r="P659" s="37" t="str">
        <f t="shared" ca="1" si="39"/>
        <v/>
      </c>
      <c r="Q659" s="37" t="str">
        <f t="shared" ca="1" si="40"/>
        <v/>
      </c>
    </row>
    <row r="660" spans="1:17" x14ac:dyDescent="0.25">
      <c r="A660" s="102"/>
      <c r="B660" s="33"/>
      <c r="C660" s="25"/>
      <c r="D660" s="26"/>
      <c r="E660" s="33"/>
      <c r="F660" s="25"/>
      <c r="G660" s="25"/>
      <c r="H660" s="25"/>
      <c r="I660" s="55"/>
      <c r="P660" s="37" t="str">
        <f t="shared" ca="1" si="39"/>
        <v/>
      </c>
      <c r="Q660" s="37" t="str">
        <f t="shared" ca="1" si="40"/>
        <v/>
      </c>
    </row>
    <row r="661" spans="1:17" x14ac:dyDescent="0.25">
      <c r="A661" s="102"/>
      <c r="B661" s="33"/>
      <c r="C661" s="25"/>
      <c r="D661" s="26"/>
      <c r="E661" s="33"/>
      <c r="F661" s="25"/>
      <c r="G661" s="25"/>
      <c r="H661" s="25"/>
      <c r="I661" s="55"/>
      <c r="P661" s="37" t="str">
        <f t="shared" ca="1" si="39"/>
        <v/>
      </c>
      <c r="Q661" s="37" t="str">
        <f t="shared" ca="1" si="40"/>
        <v/>
      </c>
    </row>
    <row r="662" spans="1:17" x14ac:dyDescent="0.25">
      <c r="A662" s="102"/>
      <c r="B662" s="33"/>
      <c r="C662" s="25"/>
      <c r="D662" s="26"/>
      <c r="E662" s="33"/>
      <c r="F662" s="25"/>
      <c r="G662" s="25"/>
      <c r="H662" s="25"/>
      <c r="I662" s="55"/>
      <c r="P662" s="37" t="str">
        <f t="shared" ca="1" si="39"/>
        <v/>
      </c>
      <c r="Q662" s="37" t="str">
        <f t="shared" ca="1" si="40"/>
        <v/>
      </c>
    </row>
    <row r="663" spans="1:17" x14ac:dyDescent="0.25">
      <c r="A663" s="102"/>
      <c r="B663" s="33"/>
      <c r="C663" s="25"/>
      <c r="D663" s="26"/>
      <c r="E663" s="33"/>
      <c r="F663" s="25"/>
      <c r="G663" s="25"/>
      <c r="H663" s="25"/>
      <c r="I663" s="55"/>
      <c r="P663" s="37" t="str">
        <f t="shared" ca="1" si="39"/>
        <v/>
      </c>
      <c r="Q663" s="37" t="str">
        <f t="shared" ca="1" si="40"/>
        <v/>
      </c>
    </row>
    <row r="664" spans="1:17" x14ac:dyDescent="0.25">
      <c r="A664" s="102"/>
      <c r="B664" s="33"/>
      <c r="C664" s="25"/>
      <c r="D664" s="26"/>
      <c r="E664" s="33"/>
      <c r="F664" s="25"/>
      <c r="G664" s="25"/>
      <c r="H664" s="25"/>
      <c r="I664" s="55"/>
      <c r="P664" s="37" t="str">
        <f t="shared" ca="1" si="39"/>
        <v/>
      </c>
      <c r="Q664" s="37" t="str">
        <f t="shared" ca="1" si="40"/>
        <v/>
      </c>
    </row>
    <row r="665" spans="1:17" x14ac:dyDescent="0.25">
      <c r="A665" s="102"/>
      <c r="B665" s="33"/>
      <c r="C665" s="25"/>
      <c r="D665" s="26"/>
      <c r="E665" s="33"/>
      <c r="F665" s="25"/>
      <c r="G665" s="25"/>
      <c r="H665" s="25"/>
      <c r="I665" s="55"/>
      <c r="P665" s="37" t="str">
        <f t="shared" ca="1" si="39"/>
        <v/>
      </c>
      <c r="Q665" s="37" t="str">
        <f t="shared" ca="1" si="40"/>
        <v/>
      </c>
    </row>
    <row r="666" spans="1:17" x14ac:dyDescent="0.25">
      <c r="A666" s="102"/>
      <c r="B666" s="33"/>
      <c r="C666" s="25"/>
      <c r="D666" s="26"/>
      <c r="E666" s="33"/>
      <c r="F666" s="25"/>
      <c r="G666" s="25"/>
      <c r="H666" s="25"/>
      <c r="I666" s="55"/>
      <c r="P666" s="37" t="str">
        <f t="shared" ca="1" si="39"/>
        <v/>
      </c>
      <c r="Q666" s="37" t="str">
        <f t="shared" ca="1" si="40"/>
        <v/>
      </c>
    </row>
    <row r="667" spans="1:17" x14ac:dyDescent="0.25">
      <c r="A667" s="102"/>
      <c r="B667" s="33"/>
      <c r="C667" s="25"/>
      <c r="D667" s="26"/>
      <c r="E667" s="33"/>
      <c r="F667" s="25"/>
      <c r="G667" s="25"/>
      <c r="H667" s="25"/>
      <c r="I667" s="55"/>
      <c r="P667" s="37" t="str">
        <f t="shared" ca="1" si="39"/>
        <v/>
      </c>
      <c r="Q667" s="37" t="str">
        <f t="shared" ca="1" si="40"/>
        <v/>
      </c>
    </row>
    <row r="668" spans="1:17" x14ac:dyDescent="0.25">
      <c r="A668" s="102"/>
      <c r="B668" s="33"/>
      <c r="C668" s="25"/>
      <c r="D668" s="26"/>
      <c r="E668" s="33"/>
      <c r="F668" s="25"/>
      <c r="G668" s="25"/>
      <c r="H668" s="25"/>
      <c r="I668" s="55"/>
      <c r="P668" s="37" t="str">
        <f t="shared" ca="1" si="39"/>
        <v/>
      </c>
      <c r="Q668" s="37" t="str">
        <f t="shared" ca="1" si="40"/>
        <v/>
      </c>
    </row>
    <row r="669" spans="1:17" x14ac:dyDescent="0.25">
      <c r="A669" s="102"/>
      <c r="B669" s="33"/>
      <c r="C669" s="25"/>
      <c r="D669" s="26"/>
      <c r="E669" s="33"/>
      <c r="F669" s="25"/>
      <c r="G669" s="25"/>
      <c r="H669" s="25"/>
      <c r="I669" s="55"/>
      <c r="P669" s="37" t="str">
        <f t="shared" ca="1" si="39"/>
        <v/>
      </c>
      <c r="Q669" s="37" t="str">
        <f t="shared" ca="1" si="40"/>
        <v/>
      </c>
    </row>
    <row r="670" spans="1:17" x14ac:dyDescent="0.25">
      <c r="A670" s="102"/>
      <c r="B670" s="33"/>
      <c r="C670" s="25"/>
      <c r="D670" s="26"/>
      <c r="E670" s="33"/>
      <c r="F670" s="25"/>
      <c r="G670" s="25"/>
      <c r="H670" s="25"/>
      <c r="I670" s="55"/>
      <c r="P670" s="37" t="str">
        <f t="shared" ca="1" si="39"/>
        <v/>
      </c>
      <c r="Q670" s="37" t="str">
        <f t="shared" ca="1" si="40"/>
        <v/>
      </c>
    </row>
    <row r="671" spans="1:17" x14ac:dyDescent="0.25">
      <c r="A671" s="102"/>
      <c r="B671" s="33"/>
      <c r="C671" s="25"/>
      <c r="D671" s="26"/>
      <c r="E671" s="33"/>
      <c r="F671" s="25"/>
      <c r="G671" s="25"/>
      <c r="H671" s="25"/>
      <c r="I671" s="55"/>
      <c r="P671" s="37" t="str">
        <f t="shared" ca="1" si="39"/>
        <v/>
      </c>
      <c r="Q671" s="37" t="str">
        <f t="shared" ca="1" si="40"/>
        <v/>
      </c>
    </row>
    <row r="672" spans="1:17" x14ac:dyDescent="0.25">
      <c r="A672" s="102"/>
      <c r="B672" s="33"/>
      <c r="C672" s="25"/>
      <c r="D672" s="26"/>
      <c r="E672" s="33"/>
      <c r="F672" s="25"/>
      <c r="G672" s="25"/>
      <c r="H672" s="25"/>
      <c r="I672" s="55"/>
      <c r="P672" s="37" t="str">
        <f t="shared" ca="1" si="39"/>
        <v/>
      </c>
      <c r="Q672" s="37" t="str">
        <f t="shared" ca="1" si="40"/>
        <v/>
      </c>
    </row>
    <row r="673" spans="1:17" x14ac:dyDescent="0.25">
      <c r="A673" s="102"/>
      <c r="B673" s="33"/>
      <c r="C673" s="25"/>
      <c r="D673" s="26"/>
      <c r="E673" s="33"/>
      <c r="F673" s="25"/>
      <c r="G673" s="25"/>
      <c r="H673" s="25"/>
      <c r="I673" s="55"/>
      <c r="P673" s="37" t="str">
        <f t="shared" ca="1" si="39"/>
        <v/>
      </c>
      <c r="Q673" s="37" t="str">
        <f t="shared" ca="1" si="40"/>
        <v/>
      </c>
    </row>
    <row r="674" spans="1:17" x14ac:dyDescent="0.25">
      <c r="A674" s="102"/>
      <c r="B674" s="33"/>
      <c r="C674" s="25"/>
      <c r="D674" s="26"/>
      <c r="E674" s="33"/>
      <c r="F674" s="25"/>
      <c r="G674" s="25"/>
      <c r="H674" s="25"/>
      <c r="I674" s="55"/>
      <c r="P674" s="37" t="str">
        <f t="shared" ca="1" si="39"/>
        <v/>
      </c>
      <c r="Q674" s="37" t="str">
        <f t="shared" ca="1" si="40"/>
        <v/>
      </c>
    </row>
    <row r="675" spans="1:17" x14ac:dyDescent="0.25">
      <c r="A675" s="102"/>
      <c r="B675" s="33"/>
      <c r="C675" s="25"/>
      <c r="D675" s="26"/>
      <c r="E675" s="33"/>
      <c r="F675" s="25"/>
      <c r="G675" s="25"/>
      <c r="H675" s="25"/>
      <c r="I675" s="55"/>
      <c r="P675" s="37" t="str">
        <f t="shared" ca="1" si="39"/>
        <v/>
      </c>
      <c r="Q675" s="37" t="str">
        <f t="shared" ca="1" si="40"/>
        <v/>
      </c>
    </row>
    <row r="676" spans="1:17" x14ac:dyDescent="0.25">
      <c r="A676" s="102"/>
      <c r="B676" s="33"/>
      <c r="C676" s="25"/>
      <c r="D676" s="26"/>
      <c r="E676" s="33"/>
      <c r="F676" s="25"/>
      <c r="G676" s="25"/>
      <c r="H676" s="25"/>
      <c r="I676" s="55"/>
      <c r="P676" s="37" t="str">
        <f t="shared" ca="1" si="39"/>
        <v/>
      </c>
      <c r="Q676" s="37" t="str">
        <f t="shared" ca="1" si="40"/>
        <v/>
      </c>
    </row>
    <row r="677" spans="1:17" x14ac:dyDescent="0.25">
      <c r="A677" s="102"/>
      <c r="B677" s="33"/>
      <c r="C677" s="25"/>
      <c r="D677" s="26"/>
      <c r="E677" s="33"/>
      <c r="F677" s="25"/>
      <c r="G677" s="25"/>
      <c r="H677" s="25"/>
      <c r="I677" s="55"/>
      <c r="P677" s="37" t="str">
        <f t="shared" ca="1" si="39"/>
        <v/>
      </c>
      <c r="Q677" s="37" t="str">
        <f t="shared" ca="1" si="40"/>
        <v/>
      </c>
    </row>
    <row r="678" spans="1:17" x14ac:dyDescent="0.25">
      <c r="A678" s="102"/>
      <c r="B678" s="33"/>
      <c r="C678" s="25"/>
      <c r="D678" s="26"/>
      <c r="E678" s="33"/>
      <c r="F678" s="25"/>
      <c r="G678" s="25"/>
      <c r="H678" s="25"/>
      <c r="I678" s="55"/>
      <c r="P678" s="37" t="str">
        <f t="shared" ca="1" si="39"/>
        <v/>
      </c>
      <c r="Q678" s="37" t="str">
        <f t="shared" ca="1" si="40"/>
        <v/>
      </c>
    </row>
    <row r="679" spans="1:17" x14ac:dyDescent="0.25">
      <c r="A679" s="102"/>
      <c r="B679" s="33"/>
      <c r="C679" s="25"/>
      <c r="D679" s="26"/>
      <c r="E679" s="33"/>
      <c r="F679" s="25"/>
      <c r="G679" s="25"/>
      <c r="H679" s="25"/>
      <c r="I679" s="55"/>
      <c r="P679" s="37" t="str">
        <f t="shared" ca="1" si="39"/>
        <v/>
      </c>
      <c r="Q679" s="37" t="str">
        <f t="shared" ca="1" si="40"/>
        <v/>
      </c>
    </row>
    <row r="680" spans="1:17" x14ac:dyDescent="0.25">
      <c r="A680" s="102"/>
      <c r="B680" s="33"/>
      <c r="C680" s="25"/>
      <c r="D680" s="26"/>
      <c r="E680" s="33"/>
      <c r="F680" s="25"/>
      <c r="G680" s="25"/>
      <c r="H680" s="25"/>
      <c r="I680" s="55"/>
      <c r="P680" s="37" t="str">
        <f t="shared" ca="1" si="39"/>
        <v/>
      </c>
      <c r="Q680" s="37" t="str">
        <f t="shared" ca="1" si="40"/>
        <v/>
      </c>
    </row>
    <row r="681" spans="1:17" x14ac:dyDescent="0.25">
      <c r="A681" s="102"/>
      <c r="B681" s="33"/>
      <c r="C681" s="25"/>
      <c r="D681" s="26"/>
      <c r="E681" s="33"/>
      <c r="F681" s="25"/>
      <c r="G681" s="25"/>
      <c r="H681" s="25"/>
      <c r="I681" s="55"/>
      <c r="P681" s="37" t="str">
        <f t="shared" ca="1" si="39"/>
        <v/>
      </c>
      <c r="Q681" s="37" t="str">
        <f t="shared" ca="1" si="40"/>
        <v/>
      </c>
    </row>
    <row r="682" spans="1:17" x14ac:dyDescent="0.25">
      <c r="A682" s="102"/>
      <c r="B682" s="33"/>
      <c r="C682" s="25"/>
      <c r="D682" s="26"/>
      <c r="E682" s="33"/>
      <c r="F682" s="25"/>
      <c r="G682" s="25"/>
      <c r="H682" s="25"/>
      <c r="I682" s="55"/>
      <c r="P682" s="37" t="str">
        <f t="shared" ca="1" si="39"/>
        <v/>
      </c>
      <c r="Q682" s="37" t="str">
        <f t="shared" ca="1" si="40"/>
        <v/>
      </c>
    </row>
    <row r="683" spans="1:17" x14ac:dyDescent="0.25">
      <c r="A683" s="102"/>
      <c r="B683" s="33"/>
      <c r="C683" s="25"/>
      <c r="D683" s="26"/>
      <c r="E683" s="33"/>
      <c r="F683" s="25"/>
      <c r="G683" s="25"/>
      <c r="H683" s="25"/>
      <c r="I683" s="55"/>
      <c r="P683" s="37" t="str">
        <f t="shared" ca="1" si="39"/>
        <v/>
      </c>
      <c r="Q683" s="37" t="str">
        <f t="shared" ca="1" si="40"/>
        <v/>
      </c>
    </row>
    <row r="684" spans="1:17" x14ac:dyDescent="0.25">
      <c r="A684" s="102"/>
      <c r="B684" s="33"/>
      <c r="C684" s="25"/>
      <c r="D684" s="26"/>
      <c r="E684" s="33"/>
      <c r="F684" s="25"/>
      <c r="G684" s="25"/>
      <c r="H684" s="25"/>
      <c r="I684" s="55"/>
      <c r="P684" s="37" t="str">
        <f t="shared" ca="1" si="39"/>
        <v/>
      </c>
      <c r="Q684" s="37" t="str">
        <f t="shared" ca="1" si="40"/>
        <v/>
      </c>
    </row>
    <row r="685" spans="1:17" x14ac:dyDescent="0.25">
      <c r="A685" s="102"/>
      <c r="B685" s="33"/>
      <c r="C685" s="25"/>
      <c r="D685" s="26"/>
      <c r="E685" s="33"/>
      <c r="F685" s="25"/>
      <c r="G685" s="25"/>
      <c r="H685" s="25"/>
      <c r="I685" s="55"/>
      <c r="P685" s="37" t="str">
        <f t="shared" ca="1" si="39"/>
        <v/>
      </c>
      <c r="Q685" s="37" t="str">
        <f t="shared" ca="1" si="40"/>
        <v/>
      </c>
    </row>
    <row r="686" spans="1:17" x14ac:dyDescent="0.25">
      <c r="A686" s="102"/>
      <c r="B686" s="33"/>
      <c r="C686" s="25"/>
      <c r="D686" s="26"/>
      <c r="E686" s="33"/>
      <c r="F686" s="25"/>
      <c r="G686" s="25"/>
      <c r="H686" s="25"/>
      <c r="I686" s="55"/>
      <c r="P686" s="37" t="str">
        <f t="shared" ca="1" si="39"/>
        <v/>
      </c>
      <c r="Q686" s="37" t="str">
        <f t="shared" ca="1" si="40"/>
        <v/>
      </c>
    </row>
    <row r="687" spans="1:17" x14ac:dyDescent="0.25">
      <c r="A687" s="102"/>
      <c r="B687" s="33"/>
      <c r="C687" s="25"/>
      <c r="D687" s="26"/>
      <c r="E687" s="33"/>
      <c r="F687" s="25"/>
      <c r="G687" s="25"/>
      <c r="H687" s="25"/>
      <c r="I687" s="55"/>
      <c r="P687" s="37" t="str">
        <f t="shared" ca="1" si="39"/>
        <v/>
      </c>
      <c r="Q687" s="37" t="str">
        <f t="shared" ca="1" si="40"/>
        <v/>
      </c>
    </row>
    <row r="688" spans="1:17" x14ac:dyDescent="0.25">
      <c r="A688" s="102"/>
      <c r="B688" s="33"/>
      <c r="C688" s="25"/>
      <c r="D688" s="26"/>
      <c r="E688" s="33"/>
      <c r="F688" s="25"/>
      <c r="G688" s="25"/>
      <c r="H688" s="25"/>
      <c r="I688" s="55"/>
      <c r="P688" s="37" t="str">
        <f t="shared" ca="1" si="39"/>
        <v/>
      </c>
      <c r="Q688" s="37" t="str">
        <f t="shared" ca="1" si="40"/>
        <v/>
      </c>
    </row>
    <row r="689" spans="1:17" x14ac:dyDescent="0.25">
      <c r="A689" s="102"/>
      <c r="B689" s="33"/>
      <c r="C689" s="25"/>
      <c r="D689" s="26"/>
      <c r="E689" s="33"/>
      <c r="F689" s="25"/>
      <c r="G689" s="25"/>
      <c r="H689" s="25"/>
      <c r="I689" s="55"/>
      <c r="P689" s="37" t="str">
        <f t="shared" ca="1" si="39"/>
        <v/>
      </c>
      <c r="Q689" s="37" t="str">
        <f t="shared" ca="1" si="40"/>
        <v/>
      </c>
    </row>
    <row r="690" spans="1:17" x14ac:dyDescent="0.25">
      <c r="A690" s="102"/>
      <c r="B690" s="33"/>
      <c r="C690" s="25"/>
      <c r="D690" s="26"/>
      <c r="E690" s="33"/>
      <c r="F690" s="25"/>
      <c r="G690" s="25"/>
      <c r="H690" s="25"/>
      <c r="I690" s="55"/>
      <c r="P690" s="37" t="str">
        <f t="shared" ca="1" si="39"/>
        <v/>
      </c>
      <c r="Q690" s="37" t="str">
        <f t="shared" ca="1" si="40"/>
        <v/>
      </c>
    </row>
    <row r="691" spans="1:17" x14ac:dyDescent="0.25">
      <c r="A691" s="102"/>
      <c r="B691" s="33"/>
      <c r="C691" s="25"/>
      <c r="D691" s="26"/>
      <c r="E691" s="33"/>
      <c r="F691" s="25"/>
      <c r="G691" s="25"/>
      <c r="H691" s="25"/>
      <c r="I691" s="55"/>
      <c r="P691" s="37" t="str">
        <f t="shared" ca="1" si="39"/>
        <v/>
      </c>
      <c r="Q691" s="37" t="str">
        <f t="shared" ca="1" si="40"/>
        <v/>
      </c>
    </row>
    <row r="692" spans="1:17" x14ac:dyDescent="0.25">
      <c r="A692" s="102"/>
      <c r="B692" s="33"/>
      <c r="C692" s="25"/>
      <c r="D692" s="26"/>
      <c r="E692" s="33"/>
      <c r="F692" s="25"/>
      <c r="G692" s="25"/>
      <c r="H692" s="25"/>
      <c r="I692" s="55"/>
      <c r="P692" s="37" t="str">
        <f t="shared" ca="1" si="39"/>
        <v/>
      </c>
      <c r="Q692" s="37" t="str">
        <f t="shared" ca="1" si="40"/>
        <v/>
      </c>
    </row>
    <row r="693" spans="1:17" x14ac:dyDescent="0.25">
      <c r="A693" s="102"/>
      <c r="B693" s="33"/>
      <c r="C693" s="25"/>
      <c r="D693" s="26"/>
      <c r="E693" s="33"/>
      <c r="F693" s="25"/>
      <c r="G693" s="25"/>
      <c r="H693" s="25"/>
      <c r="I693" s="55"/>
      <c r="P693" s="37" t="str">
        <f t="shared" ca="1" si="39"/>
        <v/>
      </c>
      <c r="Q693" s="37" t="str">
        <f t="shared" ca="1" si="40"/>
        <v/>
      </c>
    </row>
    <row r="694" spans="1:17" x14ac:dyDescent="0.25">
      <c r="A694" s="102"/>
      <c r="B694" s="33"/>
      <c r="C694" s="25"/>
      <c r="D694" s="26"/>
      <c r="E694" s="33"/>
      <c r="F694" s="25"/>
      <c r="G694" s="25"/>
      <c r="H694" s="25"/>
      <c r="I694" s="55"/>
      <c r="P694" s="37" t="str">
        <f t="shared" ca="1" si="39"/>
        <v/>
      </c>
      <c r="Q694" s="37" t="str">
        <f t="shared" ca="1" si="40"/>
        <v/>
      </c>
    </row>
    <row r="695" spans="1:17" x14ac:dyDescent="0.25">
      <c r="A695" s="102"/>
      <c r="B695" s="33"/>
      <c r="C695" s="25"/>
      <c r="D695" s="26"/>
      <c r="E695" s="33"/>
      <c r="F695" s="25"/>
      <c r="G695" s="25"/>
      <c r="H695" s="25"/>
      <c r="I695" s="55"/>
      <c r="P695" s="37" t="str">
        <f t="shared" ca="1" si="39"/>
        <v/>
      </c>
      <c r="Q695" s="37" t="str">
        <f t="shared" ca="1" si="40"/>
        <v/>
      </c>
    </row>
    <row r="696" spans="1:17" x14ac:dyDescent="0.25">
      <c r="A696" s="102"/>
      <c r="B696" s="33"/>
      <c r="C696" s="25"/>
      <c r="D696" s="26"/>
      <c r="E696" s="33"/>
      <c r="F696" s="25"/>
      <c r="G696" s="25"/>
      <c r="H696" s="25"/>
      <c r="I696" s="55"/>
      <c r="P696" s="37" t="str">
        <f t="shared" ca="1" si="39"/>
        <v/>
      </c>
      <c r="Q696" s="37" t="str">
        <f t="shared" ca="1" si="40"/>
        <v/>
      </c>
    </row>
    <row r="697" spans="1:17" x14ac:dyDescent="0.25">
      <c r="A697" s="102"/>
      <c r="B697" s="33"/>
      <c r="C697" s="25"/>
      <c r="D697" s="26"/>
      <c r="E697" s="33"/>
      <c r="F697" s="25"/>
      <c r="G697" s="25"/>
      <c r="H697" s="25"/>
      <c r="I697" s="55"/>
      <c r="P697" s="37" t="str">
        <f t="shared" ca="1" si="39"/>
        <v/>
      </c>
      <c r="Q697" s="37" t="str">
        <f t="shared" ca="1" si="40"/>
        <v/>
      </c>
    </row>
    <row r="698" spans="1:17" x14ac:dyDescent="0.25">
      <c r="A698" s="102"/>
      <c r="B698" s="33"/>
      <c r="C698" s="25"/>
      <c r="D698" s="26"/>
      <c r="E698" s="33"/>
      <c r="F698" s="25"/>
      <c r="G698" s="25"/>
      <c r="H698" s="25"/>
      <c r="I698" s="55"/>
      <c r="P698" s="37" t="str">
        <f t="shared" ca="1" si="39"/>
        <v/>
      </c>
      <c r="Q698" s="37" t="str">
        <f t="shared" ca="1" si="40"/>
        <v/>
      </c>
    </row>
    <row r="699" spans="1:17" x14ac:dyDescent="0.25">
      <c r="A699" s="102"/>
      <c r="B699" s="33"/>
      <c r="C699" s="25"/>
      <c r="D699" s="26"/>
      <c r="E699" s="33"/>
      <c r="F699" s="25"/>
      <c r="G699" s="25"/>
      <c r="H699" s="25"/>
      <c r="I699" s="55"/>
      <c r="P699" s="37" t="str">
        <f t="shared" ca="1" si="39"/>
        <v/>
      </c>
      <c r="Q699" s="37" t="str">
        <f t="shared" ca="1" si="40"/>
        <v/>
      </c>
    </row>
    <row r="700" spans="1:17" x14ac:dyDescent="0.25">
      <c r="A700" s="102"/>
      <c r="B700" s="33"/>
      <c r="C700" s="25"/>
      <c r="D700" s="26"/>
      <c r="E700" s="33"/>
      <c r="F700" s="25"/>
      <c r="G700" s="25"/>
      <c r="H700" s="25"/>
      <c r="I700" s="55"/>
      <c r="P700" s="37" t="str">
        <f t="shared" ca="1" si="39"/>
        <v/>
      </c>
      <c r="Q700" s="37" t="str">
        <f t="shared" ca="1" si="40"/>
        <v/>
      </c>
    </row>
    <row r="701" spans="1:17" x14ac:dyDescent="0.25">
      <c r="A701" s="102"/>
      <c r="B701" s="33"/>
      <c r="C701" s="25"/>
      <c r="D701" s="26"/>
      <c r="E701" s="33"/>
      <c r="F701" s="25"/>
      <c r="G701" s="25"/>
      <c r="H701" s="25"/>
      <c r="I701" s="55"/>
      <c r="P701" s="37" t="str">
        <f t="shared" ca="1" si="39"/>
        <v/>
      </c>
      <c r="Q701" s="37" t="str">
        <f t="shared" ca="1" si="40"/>
        <v/>
      </c>
    </row>
    <row r="702" spans="1:17" x14ac:dyDescent="0.25">
      <c r="A702" s="102"/>
      <c r="B702" s="33"/>
      <c r="C702" s="25"/>
      <c r="D702" s="26"/>
      <c r="E702" s="33"/>
      <c r="F702" s="25"/>
      <c r="G702" s="25"/>
      <c r="H702" s="25"/>
      <c r="I702" s="55"/>
      <c r="P702" s="37" t="str">
        <f t="shared" ca="1" si="39"/>
        <v/>
      </c>
      <c r="Q702" s="37" t="str">
        <f t="shared" ca="1" si="40"/>
        <v/>
      </c>
    </row>
    <row r="703" spans="1:17" x14ac:dyDescent="0.25">
      <c r="A703" s="102"/>
      <c r="B703" s="33"/>
      <c r="C703" s="25"/>
      <c r="D703" s="26"/>
      <c r="E703" s="33"/>
      <c r="F703" s="25"/>
      <c r="G703" s="25"/>
      <c r="H703" s="25"/>
      <c r="I703" s="55"/>
      <c r="P703" s="37" t="str">
        <f t="shared" ca="1" si="39"/>
        <v/>
      </c>
      <c r="Q703" s="37" t="str">
        <f t="shared" ca="1" si="40"/>
        <v/>
      </c>
    </row>
    <row r="704" spans="1:17" x14ac:dyDescent="0.25">
      <c r="A704" s="102"/>
      <c r="B704" s="33"/>
      <c r="C704" s="25"/>
      <c r="D704" s="26"/>
      <c r="E704" s="33"/>
      <c r="F704" s="25"/>
      <c r="G704" s="25"/>
      <c r="H704" s="25"/>
      <c r="I704" s="55"/>
      <c r="P704" s="37" t="str">
        <f t="shared" ca="1" si="39"/>
        <v/>
      </c>
      <c r="Q704" s="37" t="str">
        <f t="shared" ca="1" si="40"/>
        <v/>
      </c>
    </row>
    <row r="705" spans="1:17" x14ac:dyDescent="0.25">
      <c r="A705" s="102"/>
      <c r="B705" s="33"/>
      <c r="C705" s="25"/>
      <c r="D705" s="26"/>
      <c r="E705" s="33"/>
      <c r="F705" s="25"/>
      <c r="G705" s="25"/>
      <c r="H705" s="25"/>
      <c r="I705" s="55"/>
      <c r="P705" s="37" t="str">
        <f t="shared" ca="1" si="39"/>
        <v/>
      </c>
      <c r="Q705" s="37" t="str">
        <f t="shared" ca="1" si="40"/>
        <v/>
      </c>
    </row>
    <row r="706" spans="1:17" x14ac:dyDescent="0.25">
      <c r="A706" s="102"/>
      <c r="B706" s="33"/>
      <c r="C706" s="25"/>
      <c r="D706" s="26"/>
      <c r="E706" s="33"/>
      <c r="F706" s="25"/>
      <c r="G706" s="25"/>
      <c r="H706" s="25"/>
      <c r="I706" s="55"/>
      <c r="P706" s="37" t="str">
        <f t="shared" ca="1" si="39"/>
        <v/>
      </c>
      <c r="Q706" s="37" t="str">
        <f t="shared" ca="1" si="40"/>
        <v/>
      </c>
    </row>
    <row r="707" spans="1:17" x14ac:dyDescent="0.25">
      <c r="A707" s="102"/>
      <c r="B707" s="33"/>
      <c r="C707" s="25"/>
      <c r="D707" s="26"/>
      <c r="E707" s="33"/>
      <c r="F707" s="25"/>
      <c r="G707" s="25"/>
      <c r="H707" s="25"/>
      <c r="I707" s="55"/>
      <c r="P707" s="37" t="str">
        <f t="shared" ca="1" si="39"/>
        <v/>
      </c>
      <c r="Q707" s="37" t="str">
        <f t="shared" ca="1" si="40"/>
        <v/>
      </c>
    </row>
    <row r="708" spans="1:17" x14ac:dyDescent="0.25">
      <c r="A708" s="102"/>
      <c r="B708" s="33"/>
      <c r="C708" s="25"/>
      <c r="D708" s="26"/>
      <c r="E708" s="33"/>
      <c r="F708" s="25"/>
      <c r="G708" s="25"/>
      <c r="H708" s="25"/>
      <c r="I708" s="55"/>
      <c r="P708" s="37" t="str">
        <f t="shared" ref="P708:P771" ca="1" si="41">IF(COUNTIF(N:N,L708),L708,"")</f>
        <v/>
      </c>
      <c r="Q708" s="37" t="str">
        <f t="shared" ref="Q708:Q771" ca="1" si="42">IF(P708&gt;$A$14,P708,"")</f>
        <v/>
      </c>
    </row>
    <row r="709" spans="1:17" x14ac:dyDescent="0.25">
      <c r="A709" s="102"/>
      <c r="B709" s="33"/>
      <c r="C709" s="25"/>
      <c r="D709" s="26"/>
      <c r="E709" s="33"/>
      <c r="F709" s="25"/>
      <c r="G709" s="25"/>
      <c r="H709" s="25"/>
      <c r="I709" s="55"/>
      <c r="P709" s="37" t="str">
        <f t="shared" ca="1" si="41"/>
        <v/>
      </c>
      <c r="Q709" s="37" t="str">
        <f t="shared" ca="1" si="42"/>
        <v/>
      </c>
    </row>
    <row r="710" spans="1:17" x14ac:dyDescent="0.25">
      <c r="A710" s="102"/>
      <c r="B710" s="33"/>
      <c r="C710" s="25"/>
      <c r="D710" s="26"/>
      <c r="E710" s="33"/>
      <c r="F710" s="25"/>
      <c r="G710" s="25"/>
      <c r="H710" s="25"/>
      <c r="I710" s="55"/>
      <c r="P710" s="37" t="str">
        <f t="shared" ca="1" si="41"/>
        <v/>
      </c>
      <c r="Q710" s="37" t="str">
        <f t="shared" ca="1" si="42"/>
        <v/>
      </c>
    </row>
    <row r="711" spans="1:17" x14ac:dyDescent="0.25">
      <c r="A711" s="102"/>
      <c r="B711" s="33"/>
      <c r="C711" s="25"/>
      <c r="D711" s="26"/>
      <c r="E711" s="33"/>
      <c r="F711" s="25"/>
      <c r="G711" s="25"/>
      <c r="H711" s="25"/>
      <c r="I711" s="55"/>
      <c r="P711" s="37" t="str">
        <f t="shared" ca="1" si="41"/>
        <v/>
      </c>
      <c r="Q711" s="37" t="str">
        <f t="shared" ca="1" si="42"/>
        <v/>
      </c>
    </row>
    <row r="712" spans="1:17" x14ac:dyDescent="0.25">
      <c r="A712" s="102"/>
      <c r="B712" s="33"/>
      <c r="C712" s="25"/>
      <c r="D712" s="26"/>
      <c r="E712" s="33"/>
      <c r="F712" s="25"/>
      <c r="G712" s="25"/>
      <c r="H712" s="25"/>
      <c r="I712" s="55"/>
      <c r="P712" s="37" t="str">
        <f t="shared" ca="1" si="41"/>
        <v/>
      </c>
      <c r="Q712" s="37" t="str">
        <f t="shared" ca="1" si="42"/>
        <v/>
      </c>
    </row>
    <row r="713" spans="1:17" x14ac:dyDescent="0.25">
      <c r="A713" s="102"/>
      <c r="B713" s="33"/>
      <c r="C713" s="25"/>
      <c r="D713" s="26"/>
      <c r="E713" s="33"/>
      <c r="F713" s="25"/>
      <c r="G713" s="25"/>
      <c r="H713" s="25"/>
      <c r="I713" s="55"/>
      <c r="P713" s="37" t="str">
        <f t="shared" ca="1" si="41"/>
        <v/>
      </c>
      <c r="Q713" s="37" t="str">
        <f t="shared" ca="1" si="42"/>
        <v/>
      </c>
    </row>
    <row r="714" spans="1:17" x14ac:dyDescent="0.25">
      <c r="A714" s="102"/>
      <c r="B714" s="33"/>
      <c r="C714" s="25"/>
      <c r="D714" s="26"/>
      <c r="E714" s="33"/>
      <c r="F714" s="25"/>
      <c r="G714" s="25"/>
      <c r="H714" s="25"/>
      <c r="I714" s="55"/>
      <c r="P714" s="37" t="str">
        <f t="shared" ca="1" si="41"/>
        <v/>
      </c>
      <c r="Q714" s="37" t="str">
        <f t="shared" ca="1" si="42"/>
        <v/>
      </c>
    </row>
    <row r="715" spans="1:17" x14ac:dyDescent="0.25">
      <c r="A715" s="102"/>
      <c r="B715" s="33"/>
      <c r="C715" s="25"/>
      <c r="D715" s="26"/>
      <c r="E715" s="33"/>
      <c r="F715" s="25"/>
      <c r="G715" s="25"/>
      <c r="H715" s="25"/>
      <c r="I715" s="55"/>
      <c r="P715" s="37" t="str">
        <f t="shared" ca="1" si="41"/>
        <v/>
      </c>
      <c r="Q715" s="37" t="str">
        <f t="shared" ca="1" si="42"/>
        <v/>
      </c>
    </row>
    <row r="716" spans="1:17" x14ac:dyDescent="0.25">
      <c r="A716" s="102"/>
      <c r="B716" s="33"/>
      <c r="C716" s="25"/>
      <c r="D716" s="26"/>
      <c r="E716" s="33"/>
      <c r="F716" s="25"/>
      <c r="G716" s="25"/>
      <c r="H716" s="25"/>
      <c r="I716" s="55"/>
      <c r="P716" s="37" t="str">
        <f t="shared" ca="1" si="41"/>
        <v/>
      </c>
      <c r="Q716" s="37" t="str">
        <f t="shared" ca="1" si="42"/>
        <v/>
      </c>
    </row>
    <row r="717" spans="1:17" x14ac:dyDescent="0.25">
      <c r="A717" s="102"/>
      <c r="B717" s="33"/>
      <c r="C717" s="25"/>
      <c r="D717" s="26"/>
      <c r="E717" s="33"/>
      <c r="F717" s="25"/>
      <c r="G717" s="25"/>
      <c r="H717" s="25"/>
      <c r="I717" s="55"/>
      <c r="P717" s="37" t="str">
        <f t="shared" ca="1" si="41"/>
        <v/>
      </c>
      <c r="Q717" s="37" t="str">
        <f t="shared" ca="1" si="42"/>
        <v/>
      </c>
    </row>
    <row r="718" spans="1:17" x14ac:dyDescent="0.25">
      <c r="A718" s="102"/>
      <c r="B718" s="33"/>
      <c r="C718" s="25"/>
      <c r="D718" s="26"/>
      <c r="E718" s="33"/>
      <c r="F718" s="25"/>
      <c r="G718" s="25"/>
      <c r="H718" s="25"/>
      <c r="I718" s="55"/>
      <c r="P718" s="37" t="str">
        <f t="shared" ca="1" si="41"/>
        <v/>
      </c>
      <c r="Q718" s="37" t="str">
        <f t="shared" ca="1" si="42"/>
        <v/>
      </c>
    </row>
    <row r="719" spans="1:17" x14ac:dyDescent="0.25">
      <c r="A719" s="102"/>
      <c r="B719" s="33"/>
      <c r="C719" s="25"/>
      <c r="D719" s="26"/>
      <c r="E719" s="33"/>
      <c r="F719" s="25"/>
      <c r="G719" s="25"/>
      <c r="H719" s="25"/>
      <c r="I719" s="55"/>
      <c r="P719" s="37" t="str">
        <f t="shared" ca="1" si="41"/>
        <v/>
      </c>
      <c r="Q719" s="37" t="str">
        <f t="shared" ca="1" si="42"/>
        <v/>
      </c>
    </row>
    <row r="720" spans="1:17" x14ac:dyDescent="0.25">
      <c r="A720" s="102"/>
      <c r="B720" s="33"/>
      <c r="C720" s="25"/>
      <c r="D720" s="26"/>
      <c r="E720" s="33"/>
      <c r="F720" s="25"/>
      <c r="G720" s="25"/>
      <c r="H720" s="25"/>
      <c r="I720" s="55"/>
      <c r="P720" s="37" t="str">
        <f t="shared" ca="1" si="41"/>
        <v/>
      </c>
      <c r="Q720" s="37" t="str">
        <f t="shared" ca="1" si="42"/>
        <v/>
      </c>
    </row>
    <row r="721" spans="1:17" x14ac:dyDescent="0.25">
      <c r="A721" s="102"/>
      <c r="B721" s="33"/>
      <c r="C721" s="25"/>
      <c r="D721" s="26"/>
      <c r="E721" s="33"/>
      <c r="F721" s="25"/>
      <c r="G721" s="25"/>
      <c r="H721" s="25"/>
      <c r="I721" s="55"/>
      <c r="P721" s="37" t="str">
        <f t="shared" ca="1" si="41"/>
        <v/>
      </c>
      <c r="Q721" s="37" t="str">
        <f t="shared" ca="1" si="42"/>
        <v/>
      </c>
    </row>
    <row r="722" spans="1:17" x14ac:dyDescent="0.25">
      <c r="A722" s="102"/>
      <c r="B722" s="33"/>
      <c r="C722" s="25"/>
      <c r="D722" s="26"/>
      <c r="E722" s="33"/>
      <c r="F722" s="25"/>
      <c r="G722" s="25"/>
      <c r="H722" s="25"/>
      <c r="I722" s="55"/>
      <c r="P722" s="37" t="str">
        <f t="shared" ca="1" si="41"/>
        <v/>
      </c>
      <c r="Q722" s="37" t="str">
        <f t="shared" ca="1" si="42"/>
        <v/>
      </c>
    </row>
    <row r="723" spans="1:17" x14ac:dyDescent="0.25">
      <c r="A723" s="102"/>
      <c r="B723" s="33"/>
      <c r="C723" s="25"/>
      <c r="D723" s="26"/>
      <c r="E723" s="33"/>
      <c r="F723" s="25"/>
      <c r="G723" s="25"/>
      <c r="H723" s="25"/>
      <c r="I723" s="55"/>
      <c r="P723" s="37" t="str">
        <f t="shared" ca="1" si="41"/>
        <v/>
      </c>
      <c r="Q723" s="37" t="str">
        <f t="shared" ca="1" si="42"/>
        <v/>
      </c>
    </row>
    <row r="724" spans="1:17" x14ac:dyDescent="0.25">
      <c r="A724" s="102"/>
      <c r="B724" s="33"/>
      <c r="C724" s="25"/>
      <c r="D724" s="26"/>
      <c r="E724" s="33"/>
      <c r="F724" s="25"/>
      <c r="G724" s="25"/>
      <c r="H724" s="25"/>
      <c r="I724" s="55"/>
      <c r="P724" s="37" t="str">
        <f t="shared" ca="1" si="41"/>
        <v/>
      </c>
      <c r="Q724" s="37" t="str">
        <f t="shared" ca="1" si="42"/>
        <v/>
      </c>
    </row>
    <row r="725" spans="1:17" x14ac:dyDescent="0.25">
      <c r="A725" s="102"/>
      <c r="B725" s="33"/>
      <c r="C725" s="25"/>
      <c r="D725" s="26"/>
      <c r="E725" s="33"/>
      <c r="F725" s="25"/>
      <c r="G725" s="25"/>
      <c r="H725" s="25"/>
      <c r="I725" s="55"/>
      <c r="P725" s="37" t="str">
        <f t="shared" ca="1" si="41"/>
        <v/>
      </c>
      <c r="Q725" s="37" t="str">
        <f t="shared" ca="1" si="42"/>
        <v/>
      </c>
    </row>
    <row r="726" spans="1:17" x14ac:dyDescent="0.25">
      <c r="A726" s="102"/>
      <c r="B726" s="33"/>
      <c r="C726" s="25"/>
      <c r="D726" s="26"/>
      <c r="E726" s="33"/>
      <c r="F726" s="25"/>
      <c r="G726" s="25"/>
      <c r="H726" s="25"/>
      <c r="I726" s="55"/>
      <c r="P726" s="37" t="str">
        <f t="shared" ca="1" si="41"/>
        <v/>
      </c>
      <c r="Q726" s="37" t="str">
        <f t="shared" ca="1" si="42"/>
        <v/>
      </c>
    </row>
    <row r="727" spans="1:17" x14ac:dyDescent="0.25">
      <c r="A727" s="102"/>
      <c r="B727" s="33"/>
      <c r="C727" s="25"/>
      <c r="D727" s="26"/>
      <c r="E727" s="33"/>
      <c r="F727" s="25"/>
      <c r="G727" s="25"/>
      <c r="H727" s="25"/>
      <c r="I727" s="55"/>
      <c r="P727" s="37" t="str">
        <f t="shared" ca="1" si="41"/>
        <v/>
      </c>
      <c r="Q727" s="37" t="str">
        <f t="shared" ca="1" si="42"/>
        <v/>
      </c>
    </row>
    <row r="728" spans="1:17" x14ac:dyDescent="0.25">
      <c r="A728" s="102"/>
      <c r="B728" s="33"/>
      <c r="C728" s="25"/>
      <c r="D728" s="26"/>
      <c r="E728" s="33"/>
      <c r="F728" s="25"/>
      <c r="G728" s="25"/>
      <c r="H728" s="25"/>
      <c r="I728" s="55"/>
      <c r="P728" s="37" t="str">
        <f t="shared" ca="1" si="41"/>
        <v/>
      </c>
      <c r="Q728" s="37" t="str">
        <f t="shared" ca="1" si="42"/>
        <v/>
      </c>
    </row>
    <row r="729" spans="1:17" x14ac:dyDescent="0.25">
      <c r="A729" s="102"/>
      <c r="B729" s="33"/>
      <c r="C729" s="25"/>
      <c r="D729" s="26"/>
      <c r="E729" s="33"/>
      <c r="F729" s="25"/>
      <c r="G729" s="25"/>
      <c r="H729" s="25"/>
      <c r="I729" s="55"/>
      <c r="P729" s="37" t="str">
        <f t="shared" ca="1" si="41"/>
        <v/>
      </c>
      <c r="Q729" s="37" t="str">
        <f t="shared" ca="1" si="42"/>
        <v/>
      </c>
    </row>
    <row r="730" spans="1:17" x14ac:dyDescent="0.25">
      <c r="A730" s="102"/>
      <c r="B730" s="33"/>
      <c r="C730" s="25"/>
      <c r="D730" s="26"/>
      <c r="E730" s="33"/>
      <c r="F730" s="25"/>
      <c r="G730" s="25"/>
      <c r="H730" s="25"/>
      <c r="I730" s="55"/>
      <c r="P730" s="37" t="str">
        <f t="shared" ca="1" si="41"/>
        <v/>
      </c>
      <c r="Q730" s="37" t="str">
        <f t="shared" ca="1" si="42"/>
        <v/>
      </c>
    </row>
    <row r="731" spans="1:17" x14ac:dyDescent="0.25">
      <c r="A731" s="102"/>
      <c r="B731" s="33"/>
      <c r="C731" s="25"/>
      <c r="D731" s="26"/>
      <c r="E731" s="33"/>
      <c r="F731" s="25"/>
      <c r="G731" s="25"/>
      <c r="H731" s="25"/>
      <c r="I731" s="55"/>
      <c r="P731" s="37" t="str">
        <f t="shared" ca="1" si="41"/>
        <v/>
      </c>
      <c r="Q731" s="37" t="str">
        <f t="shared" ca="1" si="42"/>
        <v/>
      </c>
    </row>
    <row r="732" spans="1:17" x14ac:dyDescent="0.25">
      <c r="A732" s="102"/>
      <c r="B732" s="33"/>
      <c r="C732" s="25"/>
      <c r="D732" s="26"/>
      <c r="E732" s="33"/>
      <c r="F732" s="25"/>
      <c r="G732" s="25"/>
      <c r="H732" s="25"/>
      <c r="I732" s="55"/>
      <c r="P732" s="37" t="str">
        <f t="shared" ca="1" si="41"/>
        <v/>
      </c>
      <c r="Q732" s="37" t="str">
        <f t="shared" ca="1" si="42"/>
        <v/>
      </c>
    </row>
    <row r="733" spans="1:17" x14ac:dyDescent="0.25">
      <c r="A733" s="102"/>
      <c r="B733" s="33"/>
      <c r="C733" s="25"/>
      <c r="D733" s="26"/>
      <c r="E733" s="33"/>
      <c r="F733" s="25"/>
      <c r="G733" s="25"/>
      <c r="H733" s="25"/>
      <c r="I733" s="55"/>
      <c r="P733" s="37" t="str">
        <f t="shared" ca="1" si="41"/>
        <v/>
      </c>
      <c r="Q733" s="37" t="str">
        <f t="shared" ca="1" si="42"/>
        <v/>
      </c>
    </row>
    <row r="734" spans="1:17" x14ac:dyDescent="0.25">
      <c r="A734" s="102"/>
      <c r="B734" s="33"/>
      <c r="C734" s="25"/>
      <c r="D734" s="26"/>
      <c r="E734" s="33"/>
      <c r="F734" s="25"/>
      <c r="G734" s="25"/>
      <c r="H734" s="25"/>
      <c r="I734" s="55"/>
      <c r="P734" s="37" t="str">
        <f t="shared" ca="1" si="41"/>
        <v/>
      </c>
      <c r="Q734" s="37" t="str">
        <f t="shared" ca="1" si="42"/>
        <v/>
      </c>
    </row>
    <row r="735" spans="1:17" x14ac:dyDescent="0.25">
      <c r="A735" s="102"/>
      <c r="B735" s="33"/>
      <c r="C735" s="25"/>
      <c r="D735" s="26"/>
      <c r="E735" s="33"/>
      <c r="F735" s="25"/>
      <c r="G735" s="25"/>
      <c r="H735" s="25"/>
      <c r="I735" s="55"/>
      <c r="P735" s="37" t="str">
        <f t="shared" ca="1" si="41"/>
        <v/>
      </c>
      <c r="Q735" s="37" t="str">
        <f t="shared" ca="1" si="42"/>
        <v/>
      </c>
    </row>
    <row r="736" spans="1:17" x14ac:dyDescent="0.25">
      <c r="A736" s="102"/>
      <c r="B736" s="33"/>
      <c r="C736" s="25"/>
      <c r="D736" s="26"/>
      <c r="E736" s="33"/>
      <c r="F736" s="25"/>
      <c r="G736" s="25"/>
      <c r="H736" s="25"/>
      <c r="I736" s="55"/>
      <c r="P736" s="37" t="str">
        <f t="shared" ca="1" si="41"/>
        <v/>
      </c>
      <c r="Q736" s="37" t="str">
        <f t="shared" ca="1" si="42"/>
        <v/>
      </c>
    </row>
    <row r="737" spans="1:17" x14ac:dyDescent="0.25">
      <c r="A737" s="102"/>
      <c r="B737" s="33"/>
      <c r="C737" s="25"/>
      <c r="D737" s="26"/>
      <c r="E737" s="33"/>
      <c r="F737" s="25"/>
      <c r="G737" s="25"/>
      <c r="H737" s="25"/>
      <c r="I737" s="55"/>
      <c r="P737" s="37" t="str">
        <f t="shared" ca="1" si="41"/>
        <v/>
      </c>
      <c r="Q737" s="37" t="str">
        <f t="shared" ca="1" si="42"/>
        <v/>
      </c>
    </row>
    <row r="738" spans="1:17" x14ac:dyDescent="0.25">
      <c r="A738" s="102"/>
      <c r="B738" s="33"/>
      <c r="C738" s="25"/>
      <c r="D738" s="26"/>
      <c r="E738" s="33"/>
      <c r="F738" s="25"/>
      <c r="G738" s="25"/>
      <c r="H738" s="25"/>
      <c r="I738" s="55"/>
      <c r="P738" s="37" t="str">
        <f t="shared" ca="1" si="41"/>
        <v/>
      </c>
      <c r="Q738" s="37" t="str">
        <f t="shared" ca="1" si="42"/>
        <v/>
      </c>
    </row>
    <row r="739" spans="1:17" x14ac:dyDescent="0.25">
      <c r="A739" s="102"/>
      <c r="B739" s="33"/>
      <c r="C739" s="25"/>
      <c r="D739" s="26"/>
      <c r="E739" s="33"/>
      <c r="F739" s="25"/>
      <c r="G739" s="25"/>
      <c r="H739" s="25"/>
      <c r="I739" s="55"/>
      <c r="P739" s="37" t="str">
        <f t="shared" ca="1" si="41"/>
        <v/>
      </c>
      <c r="Q739" s="37" t="str">
        <f t="shared" ca="1" si="42"/>
        <v/>
      </c>
    </row>
    <row r="740" spans="1:17" x14ac:dyDescent="0.25">
      <c r="A740" s="102"/>
      <c r="B740" s="33"/>
      <c r="C740" s="25"/>
      <c r="D740" s="26"/>
      <c r="E740" s="33"/>
      <c r="F740" s="25"/>
      <c r="G740" s="25"/>
      <c r="H740" s="25"/>
      <c r="I740" s="55"/>
      <c r="P740" s="37" t="str">
        <f t="shared" ca="1" si="41"/>
        <v/>
      </c>
      <c r="Q740" s="37" t="str">
        <f t="shared" ca="1" si="42"/>
        <v/>
      </c>
    </row>
    <row r="741" spans="1:17" x14ac:dyDescent="0.25">
      <c r="A741" s="102"/>
      <c r="B741" s="33"/>
      <c r="C741" s="25"/>
      <c r="D741" s="26"/>
      <c r="E741" s="33"/>
      <c r="F741" s="25"/>
      <c r="G741" s="25"/>
      <c r="H741" s="25"/>
      <c r="I741" s="55"/>
      <c r="P741" s="37" t="str">
        <f t="shared" ca="1" si="41"/>
        <v/>
      </c>
      <c r="Q741" s="37" t="str">
        <f t="shared" ca="1" si="42"/>
        <v/>
      </c>
    </row>
    <row r="742" spans="1:17" x14ac:dyDescent="0.25">
      <c r="A742" s="102"/>
      <c r="B742" s="33"/>
      <c r="C742" s="25"/>
      <c r="D742" s="26"/>
      <c r="E742" s="33"/>
      <c r="F742" s="25"/>
      <c r="G742" s="25"/>
      <c r="H742" s="25"/>
      <c r="I742" s="55"/>
      <c r="P742" s="37" t="str">
        <f t="shared" ca="1" si="41"/>
        <v/>
      </c>
      <c r="Q742" s="37" t="str">
        <f t="shared" ca="1" si="42"/>
        <v/>
      </c>
    </row>
    <row r="743" spans="1:17" x14ac:dyDescent="0.25">
      <c r="A743" s="102"/>
      <c r="B743" s="33"/>
      <c r="C743" s="25"/>
      <c r="D743" s="26"/>
      <c r="E743" s="33"/>
      <c r="F743" s="25"/>
      <c r="G743" s="25"/>
      <c r="H743" s="25"/>
      <c r="I743" s="55"/>
      <c r="P743" s="37" t="str">
        <f t="shared" ca="1" si="41"/>
        <v/>
      </c>
      <c r="Q743" s="37" t="str">
        <f t="shared" ca="1" si="42"/>
        <v/>
      </c>
    </row>
    <row r="744" spans="1:17" x14ac:dyDescent="0.25">
      <c r="A744" s="102"/>
      <c r="B744" s="33"/>
      <c r="C744" s="25"/>
      <c r="D744" s="26"/>
      <c r="E744" s="33"/>
      <c r="F744" s="25"/>
      <c r="G744" s="25"/>
      <c r="H744" s="25"/>
      <c r="I744" s="55"/>
      <c r="P744" s="37" t="str">
        <f t="shared" ca="1" si="41"/>
        <v/>
      </c>
      <c r="Q744" s="37" t="str">
        <f t="shared" ca="1" si="42"/>
        <v/>
      </c>
    </row>
    <row r="745" spans="1:17" x14ac:dyDescent="0.25">
      <c r="A745" s="102"/>
      <c r="B745" s="33"/>
      <c r="C745" s="25"/>
      <c r="D745" s="26"/>
      <c r="E745" s="33"/>
      <c r="F745" s="25"/>
      <c r="G745" s="25"/>
      <c r="H745" s="25"/>
      <c r="I745" s="55"/>
      <c r="P745" s="37" t="str">
        <f t="shared" ca="1" si="41"/>
        <v/>
      </c>
      <c r="Q745" s="37" t="str">
        <f t="shared" ca="1" si="42"/>
        <v/>
      </c>
    </row>
    <row r="746" spans="1:17" x14ac:dyDescent="0.25">
      <c r="A746" s="102"/>
      <c r="B746" s="33"/>
      <c r="C746" s="25"/>
      <c r="D746" s="26"/>
      <c r="E746" s="33"/>
      <c r="F746" s="25"/>
      <c r="G746" s="25"/>
      <c r="H746" s="25"/>
      <c r="I746" s="55"/>
      <c r="P746" s="37" t="str">
        <f t="shared" ca="1" si="41"/>
        <v/>
      </c>
      <c r="Q746" s="37" t="str">
        <f t="shared" ca="1" si="42"/>
        <v/>
      </c>
    </row>
    <row r="747" spans="1:17" x14ac:dyDescent="0.25">
      <c r="A747" s="102"/>
      <c r="B747" s="33"/>
      <c r="C747" s="25"/>
      <c r="D747" s="26"/>
      <c r="E747" s="33"/>
      <c r="F747" s="25"/>
      <c r="G747" s="25"/>
      <c r="H747" s="25"/>
      <c r="I747" s="55"/>
      <c r="P747" s="37" t="str">
        <f t="shared" ca="1" si="41"/>
        <v/>
      </c>
      <c r="Q747" s="37" t="str">
        <f t="shared" ca="1" si="42"/>
        <v/>
      </c>
    </row>
    <row r="748" spans="1:17" x14ac:dyDescent="0.25">
      <c r="A748" s="102"/>
      <c r="B748" s="33"/>
      <c r="C748" s="25"/>
      <c r="D748" s="26"/>
      <c r="E748" s="33"/>
      <c r="F748" s="25"/>
      <c r="G748" s="25"/>
      <c r="H748" s="25"/>
      <c r="I748" s="55"/>
      <c r="P748" s="37" t="str">
        <f t="shared" ca="1" si="41"/>
        <v/>
      </c>
      <c r="Q748" s="37" t="str">
        <f t="shared" ca="1" si="42"/>
        <v/>
      </c>
    </row>
    <row r="749" spans="1:17" x14ac:dyDescent="0.25">
      <c r="A749" s="102"/>
      <c r="B749" s="33"/>
      <c r="C749" s="25"/>
      <c r="D749" s="26"/>
      <c r="E749" s="33"/>
      <c r="F749" s="25"/>
      <c r="G749" s="25"/>
      <c r="H749" s="25"/>
      <c r="I749" s="55"/>
      <c r="P749" s="37" t="str">
        <f t="shared" ca="1" si="41"/>
        <v/>
      </c>
      <c r="Q749" s="37" t="str">
        <f t="shared" ca="1" si="42"/>
        <v/>
      </c>
    </row>
    <row r="750" spans="1:17" x14ac:dyDescent="0.25">
      <c r="A750" s="102"/>
      <c r="B750" s="33"/>
      <c r="C750" s="25"/>
      <c r="D750" s="26"/>
      <c r="E750" s="33"/>
      <c r="F750" s="25"/>
      <c r="G750" s="25"/>
      <c r="H750" s="25"/>
      <c r="I750" s="55"/>
      <c r="P750" s="37" t="str">
        <f t="shared" ca="1" si="41"/>
        <v/>
      </c>
      <c r="Q750" s="37" t="str">
        <f t="shared" ca="1" si="42"/>
        <v/>
      </c>
    </row>
    <row r="751" spans="1:17" x14ac:dyDescent="0.25">
      <c r="A751" s="102"/>
      <c r="B751" s="33"/>
      <c r="C751" s="25"/>
      <c r="D751" s="26"/>
      <c r="E751" s="33"/>
      <c r="F751" s="25"/>
      <c r="G751" s="25"/>
      <c r="H751" s="25"/>
      <c r="I751" s="55"/>
      <c r="P751" s="37" t="str">
        <f t="shared" ca="1" si="41"/>
        <v/>
      </c>
      <c r="Q751" s="37" t="str">
        <f t="shared" ca="1" si="42"/>
        <v/>
      </c>
    </row>
    <row r="752" spans="1:17" x14ac:dyDescent="0.25">
      <c r="A752" s="102"/>
      <c r="B752" s="33"/>
      <c r="C752" s="25"/>
      <c r="D752" s="26"/>
      <c r="E752" s="33"/>
      <c r="F752" s="25"/>
      <c r="G752" s="25"/>
      <c r="H752" s="25"/>
      <c r="I752" s="55"/>
      <c r="P752" s="37" t="str">
        <f t="shared" ca="1" si="41"/>
        <v/>
      </c>
      <c r="Q752" s="37" t="str">
        <f t="shared" ca="1" si="42"/>
        <v/>
      </c>
    </row>
    <row r="753" spans="1:17" x14ac:dyDescent="0.25">
      <c r="A753" s="102"/>
      <c r="B753" s="33"/>
      <c r="C753" s="25"/>
      <c r="D753" s="26"/>
      <c r="E753" s="33"/>
      <c r="F753" s="25"/>
      <c r="G753" s="25"/>
      <c r="H753" s="25"/>
      <c r="I753" s="55"/>
      <c r="P753" s="37" t="str">
        <f t="shared" ca="1" si="41"/>
        <v/>
      </c>
      <c r="Q753" s="37" t="str">
        <f t="shared" ca="1" si="42"/>
        <v/>
      </c>
    </row>
    <row r="754" spans="1:17" x14ac:dyDescent="0.25">
      <c r="A754" s="102"/>
      <c r="B754" s="33"/>
      <c r="C754" s="25"/>
      <c r="D754" s="26"/>
      <c r="E754" s="33"/>
      <c r="F754" s="25"/>
      <c r="G754" s="25"/>
      <c r="H754" s="25"/>
      <c r="I754" s="55"/>
      <c r="P754" s="37" t="str">
        <f t="shared" ca="1" si="41"/>
        <v/>
      </c>
      <c r="Q754" s="37" t="str">
        <f t="shared" ca="1" si="42"/>
        <v/>
      </c>
    </row>
    <row r="755" spans="1:17" x14ac:dyDescent="0.25">
      <c r="A755" s="102"/>
      <c r="B755" s="33"/>
      <c r="C755" s="25"/>
      <c r="D755" s="26"/>
      <c r="E755" s="33"/>
      <c r="F755" s="25"/>
      <c r="G755" s="25"/>
      <c r="H755" s="25"/>
      <c r="I755" s="55"/>
      <c r="P755" s="37" t="str">
        <f t="shared" ca="1" si="41"/>
        <v/>
      </c>
      <c r="Q755" s="37" t="str">
        <f t="shared" ca="1" si="42"/>
        <v/>
      </c>
    </row>
    <row r="756" spans="1:17" x14ac:dyDescent="0.25">
      <c r="P756" s="37" t="str">
        <f t="shared" ca="1" si="41"/>
        <v/>
      </c>
      <c r="Q756" s="37" t="str">
        <f t="shared" ca="1" si="42"/>
        <v/>
      </c>
    </row>
    <row r="757" spans="1:17" x14ac:dyDescent="0.25">
      <c r="P757" s="37" t="str">
        <f t="shared" ca="1" si="41"/>
        <v/>
      </c>
      <c r="Q757" s="37" t="str">
        <f t="shared" ca="1" si="42"/>
        <v/>
      </c>
    </row>
    <row r="758" spans="1:17" x14ac:dyDescent="0.25">
      <c r="P758" s="37" t="str">
        <f t="shared" ca="1" si="41"/>
        <v/>
      </c>
      <c r="Q758" s="37" t="str">
        <f t="shared" ca="1" si="42"/>
        <v/>
      </c>
    </row>
    <row r="759" spans="1:17" x14ac:dyDescent="0.25">
      <c r="P759" s="37" t="str">
        <f t="shared" ca="1" si="41"/>
        <v/>
      </c>
      <c r="Q759" s="37" t="str">
        <f t="shared" ca="1" si="42"/>
        <v/>
      </c>
    </row>
    <row r="760" spans="1:17" x14ac:dyDescent="0.25">
      <c r="P760" s="37" t="str">
        <f t="shared" ca="1" si="41"/>
        <v/>
      </c>
      <c r="Q760" s="37" t="str">
        <f t="shared" ca="1" si="42"/>
        <v/>
      </c>
    </row>
    <row r="761" spans="1:17" x14ac:dyDescent="0.25">
      <c r="P761" s="37" t="str">
        <f t="shared" ca="1" si="41"/>
        <v/>
      </c>
      <c r="Q761" s="37" t="str">
        <f t="shared" ca="1" si="42"/>
        <v/>
      </c>
    </row>
    <row r="762" spans="1:17" x14ac:dyDescent="0.25">
      <c r="P762" s="37" t="str">
        <f t="shared" ca="1" si="41"/>
        <v/>
      </c>
      <c r="Q762" s="37" t="str">
        <f t="shared" ca="1" si="42"/>
        <v/>
      </c>
    </row>
    <row r="763" spans="1:17" x14ac:dyDescent="0.25">
      <c r="P763" s="37" t="str">
        <f t="shared" ca="1" si="41"/>
        <v/>
      </c>
      <c r="Q763" s="37" t="str">
        <f t="shared" ca="1" si="42"/>
        <v/>
      </c>
    </row>
    <row r="764" spans="1:17" x14ac:dyDescent="0.25">
      <c r="P764" s="37" t="str">
        <f t="shared" ca="1" si="41"/>
        <v/>
      </c>
      <c r="Q764" s="37" t="str">
        <f t="shared" ca="1" si="42"/>
        <v/>
      </c>
    </row>
    <row r="765" spans="1:17" x14ac:dyDescent="0.25">
      <c r="P765" s="37" t="str">
        <f t="shared" ca="1" si="41"/>
        <v/>
      </c>
      <c r="Q765" s="37" t="str">
        <f t="shared" ca="1" si="42"/>
        <v/>
      </c>
    </row>
    <row r="766" spans="1:17" x14ac:dyDescent="0.25">
      <c r="P766" s="37" t="str">
        <f t="shared" ca="1" si="41"/>
        <v/>
      </c>
      <c r="Q766" s="37" t="str">
        <f t="shared" ca="1" si="42"/>
        <v/>
      </c>
    </row>
    <row r="767" spans="1:17" x14ac:dyDescent="0.25">
      <c r="P767" s="37" t="str">
        <f t="shared" ca="1" si="41"/>
        <v/>
      </c>
      <c r="Q767" s="37" t="str">
        <f t="shared" ca="1" si="42"/>
        <v/>
      </c>
    </row>
    <row r="768" spans="1:17" x14ac:dyDescent="0.25">
      <c r="P768" s="37" t="str">
        <f t="shared" ca="1" si="41"/>
        <v/>
      </c>
      <c r="Q768" s="37" t="str">
        <f t="shared" ca="1" si="42"/>
        <v/>
      </c>
    </row>
    <row r="769" spans="16:17" x14ac:dyDescent="0.25">
      <c r="P769" s="37" t="str">
        <f t="shared" ca="1" si="41"/>
        <v/>
      </c>
      <c r="Q769" s="37" t="str">
        <f t="shared" ca="1" si="42"/>
        <v/>
      </c>
    </row>
    <row r="770" spans="16:17" x14ac:dyDescent="0.25">
      <c r="P770" s="37" t="str">
        <f t="shared" ca="1" si="41"/>
        <v/>
      </c>
      <c r="Q770" s="37" t="str">
        <f t="shared" ca="1" si="42"/>
        <v/>
      </c>
    </row>
    <row r="771" spans="16:17" x14ac:dyDescent="0.25">
      <c r="P771" s="37" t="str">
        <f t="shared" ca="1" si="41"/>
        <v/>
      </c>
      <c r="Q771" s="37" t="str">
        <f t="shared" ca="1" si="42"/>
        <v/>
      </c>
    </row>
    <row r="772" spans="16:17" x14ac:dyDescent="0.25">
      <c r="P772" s="37" t="str">
        <f t="shared" ref="P772:P835" ca="1" si="43">IF(COUNTIF(N:N,L772),L772,"")</f>
        <v/>
      </c>
      <c r="Q772" s="37" t="str">
        <f t="shared" ref="Q772:Q835" ca="1" si="44">IF(P772&gt;$A$14,P772,"")</f>
        <v/>
      </c>
    </row>
    <row r="773" spans="16:17" x14ac:dyDescent="0.25">
      <c r="P773" s="37" t="str">
        <f t="shared" ca="1" si="43"/>
        <v/>
      </c>
      <c r="Q773" s="37" t="str">
        <f t="shared" ca="1" si="44"/>
        <v/>
      </c>
    </row>
    <row r="774" spans="16:17" x14ac:dyDescent="0.25">
      <c r="P774" s="37" t="str">
        <f t="shared" ca="1" si="43"/>
        <v/>
      </c>
      <c r="Q774" s="37" t="str">
        <f t="shared" ca="1" si="44"/>
        <v/>
      </c>
    </row>
    <row r="775" spans="16:17" x14ac:dyDescent="0.25">
      <c r="P775" s="37" t="str">
        <f t="shared" ca="1" si="43"/>
        <v/>
      </c>
      <c r="Q775" s="37" t="str">
        <f t="shared" ca="1" si="44"/>
        <v/>
      </c>
    </row>
    <row r="776" spans="16:17" x14ac:dyDescent="0.25">
      <c r="P776" s="37" t="str">
        <f t="shared" ca="1" si="43"/>
        <v/>
      </c>
      <c r="Q776" s="37" t="str">
        <f t="shared" ca="1" si="44"/>
        <v/>
      </c>
    </row>
    <row r="777" spans="16:17" x14ac:dyDescent="0.25">
      <c r="P777" s="37" t="str">
        <f t="shared" ca="1" si="43"/>
        <v/>
      </c>
      <c r="Q777" s="37" t="str">
        <f t="shared" ca="1" si="44"/>
        <v/>
      </c>
    </row>
    <row r="778" spans="16:17" x14ac:dyDescent="0.25">
      <c r="P778" s="37" t="str">
        <f t="shared" ca="1" si="43"/>
        <v/>
      </c>
      <c r="Q778" s="37" t="str">
        <f t="shared" ca="1" si="44"/>
        <v/>
      </c>
    </row>
    <row r="779" spans="16:17" x14ac:dyDescent="0.25">
      <c r="P779" s="37" t="str">
        <f t="shared" ca="1" si="43"/>
        <v/>
      </c>
      <c r="Q779" s="37" t="str">
        <f t="shared" ca="1" si="44"/>
        <v/>
      </c>
    </row>
    <row r="780" spans="16:17" x14ac:dyDescent="0.25">
      <c r="P780" s="37" t="str">
        <f t="shared" ca="1" si="43"/>
        <v/>
      </c>
      <c r="Q780" s="37" t="str">
        <f t="shared" ca="1" si="44"/>
        <v/>
      </c>
    </row>
    <row r="781" spans="16:17" x14ac:dyDescent="0.25">
      <c r="P781" s="37" t="str">
        <f t="shared" ca="1" si="43"/>
        <v/>
      </c>
      <c r="Q781" s="37" t="str">
        <f t="shared" ca="1" si="44"/>
        <v/>
      </c>
    </row>
    <row r="782" spans="16:17" x14ac:dyDescent="0.25">
      <c r="P782" s="37" t="str">
        <f t="shared" ca="1" si="43"/>
        <v/>
      </c>
      <c r="Q782" s="37" t="str">
        <f t="shared" ca="1" si="44"/>
        <v/>
      </c>
    </row>
    <row r="783" spans="16:17" x14ac:dyDescent="0.25">
      <c r="P783" s="37" t="str">
        <f t="shared" ca="1" si="43"/>
        <v/>
      </c>
      <c r="Q783" s="37" t="str">
        <f t="shared" ca="1" si="44"/>
        <v/>
      </c>
    </row>
    <row r="784" spans="16:17" x14ac:dyDescent="0.25">
      <c r="P784" s="37" t="str">
        <f t="shared" ca="1" si="43"/>
        <v/>
      </c>
      <c r="Q784" s="37" t="str">
        <f t="shared" ca="1" si="44"/>
        <v/>
      </c>
    </row>
    <row r="785" spans="16:17" x14ac:dyDescent="0.25">
      <c r="P785" s="37" t="str">
        <f t="shared" ca="1" si="43"/>
        <v/>
      </c>
      <c r="Q785" s="37" t="str">
        <f t="shared" ca="1" si="44"/>
        <v/>
      </c>
    </row>
    <row r="786" spans="16:17" x14ac:dyDescent="0.25">
      <c r="P786" s="37" t="str">
        <f t="shared" ca="1" si="43"/>
        <v/>
      </c>
      <c r="Q786" s="37" t="str">
        <f t="shared" ca="1" si="44"/>
        <v/>
      </c>
    </row>
    <row r="787" spans="16:17" x14ac:dyDescent="0.25">
      <c r="P787" s="37" t="str">
        <f t="shared" ca="1" si="43"/>
        <v/>
      </c>
      <c r="Q787" s="37" t="str">
        <f t="shared" ca="1" si="44"/>
        <v/>
      </c>
    </row>
    <row r="788" spans="16:17" x14ac:dyDescent="0.25">
      <c r="P788" s="37" t="str">
        <f t="shared" ca="1" si="43"/>
        <v/>
      </c>
      <c r="Q788" s="37" t="str">
        <f t="shared" ca="1" si="44"/>
        <v/>
      </c>
    </row>
    <row r="789" spans="16:17" x14ac:dyDescent="0.25">
      <c r="P789" s="37" t="str">
        <f t="shared" ca="1" si="43"/>
        <v/>
      </c>
      <c r="Q789" s="37" t="str">
        <f t="shared" ca="1" si="44"/>
        <v/>
      </c>
    </row>
    <row r="790" spans="16:17" x14ac:dyDescent="0.25">
      <c r="P790" s="37" t="str">
        <f t="shared" ca="1" si="43"/>
        <v/>
      </c>
      <c r="Q790" s="37" t="str">
        <f t="shared" ca="1" si="44"/>
        <v/>
      </c>
    </row>
    <row r="791" spans="16:17" x14ac:dyDescent="0.25">
      <c r="P791" s="37" t="str">
        <f t="shared" ca="1" si="43"/>
        <v/>
      </c>
      <c r="Q791" s="37" t="str">
        <f t="shared" ca="1" si="44"/>
        <v/>
      </c>
    </row>
    <row r="792" spans="16:17" x14ac:dyDescent="0.25">
      <c r="P792" s="37" t="str">
        <f t="shared" ca="1" si="43"/>
        <v/>
      </c>
      <c r="Q792" s="37" t="str">
        <f t="shared" ca="1" si="44"/>
        <v/>
      </c>
    </row>
    <row r="793" spans="16:17" x14ac:dyDescent="0.25">
      <c r="P793" s="37" t="str">
        <f t="shared" ca="1" si="43"/>
        <v/>
      </c>
      <c r="Q793" s="37" t="str">
        <f t="shared" ca="1" si="44"/>
        <v/>
      </c>
    </row>
    <row r="794" spans="16:17" x14ac:dyDescent="0.25">
      <c r="P794" s="37" t="str">
        <f t="shared" ca="1" si="43"/>
        <v/>
      </c>
      <c r="Q794" s="37" t="str">
        <f t="shared" ca="1" si="44"/>
        <v/>
      </c>
    </row>
    <row r="795" spans="16:17" x14ac:dyDescent="0.25">
      <c r="P795" s="37" t="str">
        <f t="shared" ca="1" si="43"/>
        <v/>
      </c>
      <c r="Q795" s="37" t="str">
        <f t="shared" ca="1" si="44"/>
        <v/>
      </c>
    </row>
    <row r="796" spans="16:17" x14ac:dyDescent="0.25">
      <c r="P796" s="37" t="str">
        <f t="shared" ca="1" si="43"/>
        <v/>
      </c>
      <c r="Q796" s="37" t="str">
        <f t="shared" ca="1" si="44"/>
        <v/>
      </c>
    </row>
    <row r="797" spans="16:17" x14ac:dyDescent="0.25">
      <c r="P797" s="37" t="str">
        <f t="shared" ca="1" si="43"/>
        <v/>
      </c>
      <c r="Q797" s="37" t="str">
        <f t="shared" ca="1" si="44"/>
        <v/>
      </c>
    </row>
    <row r="798" spans="16:17" x14ac:dyDescent="0.25">
      <c r="P798" s="37" t="str">
        <f t="shared" ca="1" si="43"/>
        <v/>
      </c>
      <c r="Q798" s="37" t="str">
        <f t="shared" ca="1" si="44"/>
        <v/>
      </c>
    </row>
    <row r="799" spans="16:17" x14ac:dyDescent="0.25">
      <c r="P799" s="37" t="str">
        <f t="shared" ca="1" si="43"/>
        <v/>
      </c>
      <c r="Q799" s="37" t="str">
        <f t="shared" ca="1" si="44"/>
        <v/>
      </c>
    </row>
    <row r="800" spans="16:17" x14ac:dyDescent="0.25">
      <c r="P800" s="37" t="str">
        <f t="shared" ca="1" si="43"/>
        <v/>
      </c>
      <c r="Q800" s="37" t="str">
        <f t="shared" ca="1" si="44"/>
        <v/>
      </c>
    </row>
    <row r="801" spans="16:17" x14ac:dyDescent="0.25">
      <c r="P801" s="37" t="str">
        <f t="shared" ca="1" si="43"/>
        <v/>
      </c>
      <c r="Q801" s="37" t="str">
        <f t="shared" ca="1" si="44"/>
        <v/>
      </c>
    </row>
    <row r="802" spans="16:17" x14ac:dyDescent="0.25">
      <c r="P802" s="37" t="str">
        <f t="shared" ca="1" si="43"/>
        <v/>
      </c>
      <c r="Q802" s="37" t="str">
        <f t="shared" ca="1" si="44"/>
        <v/>
      </c>
    </row>
    <row r="803" spans="16:17" x14ac:dyDescent="0.25">
      <c r="P803" s="37" t="str">
        <f t="shared" ca="1" si="43"/>
        <v/>
      </c>
      <c r="Q803" s="37" t="str">
        <f t="shared" ca="1" si="44"/>
        <v/>
      </c>
    </row>
    <row r="804" spans="16:17" x14ac:dyDescent="0.25">
      <c r="P804" s="37" t="str">
        <f t="shared" ca="1" si="43"/>
        <v/>
      </c>
      <c r="Q804" s="37" t="str">
        <f t="shared" ca="1" si="44"/>
        <v/>
      </c>
    </row>
    <row r="805" spans="16:17" x14ac:dyDescent="0.25">
      <c r="P805" s="37" t="str">
        <f t="shared" ca="1" si="43"/>
        <v/>
      </c>
      <c r="Q805" s="37" t="str">
        <f t="shared" ca="1" si="44"/>
        <v/>
      </c>
    </row>
    <row r="806" spans="16:17" x14ac:dyDescent="0.25">
      <c r="P806" s="37" t="str">
        <f t="shared" ca="1" si="43"/>
        <v/>
      </c>
      <c r="Q806" s="37" t="str">
        <f t="shared" ca="1" si="44"/>
        <v/>
      </c>
    </row>
    <row r="807" spans="16:17" x14ac:dyDescent="0.25">
      <c r="P807" s="37" t="str">
        <f t="shared" ca="1" si="43"/>
        <v/>
      </c>
      <c r="Q807" s="37" t="str">
        <f t="shared" ca="1" si="44"/>
        <v/>
      </c>
    </row>
    <row r="808" spans="16:17" x14ac:dyDescent="0.25">
      <c r="P808" s="37" t="str">
        <f t="shared" ca="1" si="43"/>
        <v/>
      </c>
      <c r="Q808" s="37" t="str">
        <f t="shared" ca="1" si="44"/>
        <v/>
      </c>
    </row>
    <row r="809" spans="16:17" x14ac:dyDescent="0.25">
      <c r="P809" s="37" t="str">
        <f t="shared" ca="1" si="43"/>
        <v/>
      </c>
      <c r="Q809" s="37" t="str">
        <f t="shared" ca="1" si="44"/>
        <v/>
      </c>
    </row>
    <row r="810" spans="16:17" x14ac:dyDescent="0.25">
      <c r="P810" s="37" t="str">
        <f t="shared" ca="1" si="43"/>
        <v/>
      </c>
      <c r="Q810" s="37" t="str">
        <f t="shared" ca="1" si="44"/>
        <v/>
      </c>
    </row>
    <row r="811" spans="16:17" x14ac:dyDescent="0.25">
      <c r="P811" s="37" t="str">
        <f t="shared" ca="1" si="43"/>
        <v/>
      </c>
      <c r="Q811" s="37" t="str">
        <f t="shared" ca="1" si="44"/>
        <v/>
      </c>
    </row>
    <row r="812" spans="16:17" x14ac:dyDescent="0.25">
      <c r="P812" s="37" t="str">
        <f t="shared" ca="1" si="43"/>
        <v/>
      </c>
      <c r="Q812" s="37" t="str">
        <f t="shared" ca="1" si="44"/>
        <v/>
      </c>
    </row>
    <row r="813" spans="16:17" x14ac:dyDescent="0.25">
      <c r="P813" s="37" t="str">
        <f t="shared" ca="1" si="43"/>
        <v/>
      </c>
      <c r="Q813" s="37" t="str">
        <f t="shared" ca="1" si="44"/>
        <v/>
      </c>
    </row>
    <row r="814" spans="16:17" x14ac:dyDescent="0.25">
      <c r="P814" s="37" t="str">
        <f t="shared" ca="1" si="43"/>
        <v/>
      </c>
      <c r="Q814" s="37" t="str">
        <f t="shared" ca="1" si="44"/>
        <v/>
      </c>
    </row>
    <row r="815" spans="16:17" x14ac:dyDescent="0.25">
      <c r="P815" s="37" t="str">
        <f t="shared" ca="1" si="43"/>
        <v/>
      </c>
      <c r="Q815" s="37" t="str">
        <f t="shared" ca="1" si="44"/>
        <v/>
      </c>
    </row>
    <row r="816" spans="16:17" x14ac:dyDescent="0.25">
      <c r="P816" s="37" t="str">
        <f t="shared" ca="1" si="43"/>
        <v/>
      </c>
      <c r="Q816" s="37" t="str">
        <f t="shared" ca="1" si="44"/>
        <v/>
      </c>
    </row>
    <row r="817" spans="16:17" x14ac:dyDescent="0.25">
      <c r="P817" s="37" t="str">
        <f t="shared" ca="1" si="43"/>
        <v/>
      </c>
      <c r="Q817" s="37" t="str">
        <f t="shared" ca="1" si="44"/>
        <v/>
      </c>
    </row>
    <row r="818" spans="16:17" x14ac:dyDescent="0.25">
      <c r="P818" s="37" t="str">
        <f t="shared" ca="1" si="43"/>
        <v/>
      </c>
      <c r="Q818" s="37" t="str">
        <f t="shared" ca="1" si="44"/>
        <v/>
      </c>
    </row>
    <row r="819" spans="16:17" x14ac:dyDescent="0.25">
      <c r="P819" s="37" t="str">
        <f t="shared" ca="1" si="43"/>
        <v/>
      </c>
      <c r="Q819" s="37" t="str">
        <f t="shared" ca="1" si="44"/>
        <v/>
      </c>
    </row>
    <row r="820" spans="16:17" x14ac:dyDescent="0.25">
      <c r="P820" s="37" t="str">
        <f t="shared" ca="1" si="43"/>
        <v/>
      </c>
      <c r="Q820" s="37" t="str">
        <f t="shared" ca="1" si="44"/>
        <v/>
      </c>
    </row>
    <row r="821" spans="16:17" x14ac:dyDescent="0.25">
      <c r="P821" s="37" t="str">
        <f t="shared" ca="1" si="43"/>
        <v/>
      </c>
      <c r="Q821" s="37" t="str">
        <f t="shared" ca="1" si="44"/>
        <v/>
      </c>
    </row>
    <row r="822" spans="16:17" x14ac:dyDescent="0.25">
      <c r="P822" s="37" t="str">
        <f t="shared" ca="1" si="43"/>
        <v/>
      </c>
      <c r="Q822" s="37" t="str">
        <f t="shared" ca="1" si="44"/>
        <v/>
      </c>
    </row>
    <row r="823" spans="16:17" x14ac:dyDescent="0.25">
      <c r="P823" s="37" t="str">
        <f t="shared" ca="1" si="43"/>
        <v/>
      </c>
      <c r="Q823" s="37" t="str">
        <f t="shared" ca="1" si="44"/>
        <v/>
      </c>
    </row>
    <row r="824" spans="16:17" x14ac:dyDescent="0.25">
      <c r="P824" s="37" t="str">
        <f t="shared" ca="1" si="43"/>
        <v/>
      </c>
      <c r="Q824" s="37" t="str">
        <f t="shared" ca="1" si="44"/>
        <v/>
      </c>
    </row>
    <row r="825" spans="16:17" x14ac:dyDescent="0.25">
      <c r="P825" s="37" t="str">
        <f t="shared" ca="1" si="43"/>
        <v/>
      </c>
      <c r="Q825" s="37" t="str">
        <f t="shared" ca="1" si="44"/>
        <v/>
      </c>
    </row>
    <row r="826" spans="16:17" x14ac:dyDescent="0.25">
      <c r="P826" s="37" t="str">
        <f t="shared" ca="1" si="43"/>
        <v/>
      </c>
      <c r="Q826" s="37" t="str">
        <f t="shared" ca="1" si="44"/>
        <v/>
      </c>
    </row>
    <row r="827" spans="16:17" x14ac:dyDescent="0.25">
      <c r="P827" s="37" t="str">
        <f t="shared" ca="1" si="43"/>
        <v/>
      </c>
      <c r="Q827" s="37" t="str">
        <f t="shared" ca="1" si="44"/>
        <v/>
      </c>
    </row>
    <row r="828" spans="16:17" x14ac:dyDescent="0.25">
      <c r="P828" s="37" t="str">
        <f t="shared" ca="1" si="43"/>
        <v/>
      </c>
      <c r="Q828" s="37" t="str">
        <f t="shared" ca="1" si="44"/>
        <v/>
      </c>
    </row>
    <row r="829" spans="16:17" x14ac:dyDescent="0.25">
      <c r="P829" s="37" t="str">
        <f t="shared" ca="1" si="43"/>
        <v/>
      </c>
      <c r="Q829" s="37" t="str">
        <f t="shared" ca="1" si="44"/>
        <v/>
      </c>
    </row>
    <row r="830" spans="16:17" x14ac:dyDescent="0.25">
      <c r="P830" s="37" t="str">
        <f t="shared" ca="1" si="43"/>
        <v/>
      </c>
      <c r="Q830" s="37" t="str">
        <f t="shared" ca="1" si="44"/>
        <v/>
      </c>
    </row>
    <row r="831" spans="16:17" x14ac:dyDescent="0.25">
      <c r="P831" s="37" t="str">
        <f t="shared" ca="1" si="43"/>
        <v/>
      </c>
      <c r="Q831" s="37" t="str">
        <f t="shared" ca="1" si="44"/>
        <v/>
      </c>
    </row>
    <row r="832" spans="16:17" x14ac:dyDescent="0.25">
      <c r="P832" s="37" t="str">
        <f t="shared" ca="1" si="43"/>
        <v/>
      </c>
      <c r="Q832" s="37" t="str">
        <f t="shared" ca="1" si="44"/>
        <v/>
      </c>
    </row>
    <row r="833" spans="16:17" x14ac:dyDescent="0.25">
      <c r="P833" s="37" t="str">
        <f t="shared" ca="1" si="43"/>
        <v/>
      </c>
      <c r="Q833" s="37" t="str">
        <f t="shared" ca="1" si="44"/>
        <v/>
      </c>
    </row>
    <row r="834" spans="16:17" x14ac:dyDescent="0.25">
      <c r="P834" s="37" t="str">
        <f t="shared" ca="1" si="43"/>
        <v/>
      </c>
      <c r="Q834" s="37" t="str">
        <f t="shared" ca="1" si="44"/>
        <v/>
      </c>
    </row>
    <row r="835" spans="16:17" x14ac:dyDescent="0.25">
      <c r="P835" s="37" t="str">
        <f t="shared" ca="1" si="43"/>
        <v/>
      </c>
      <c r="Q835" s="37" t="str">
        <f t="shared" ca="1" si="44"/>
        <v/>
      </c>
    </row>
    <row r="836" spans="16:17" x14ac:dyDescent="0.25">
      <c r="P836" s="37" t="str">
        <f t="shared" ref="P836:P899" ca="1" si="45">IF(COUNTIF(N:N,L836),L836,"")</f>
        <v/>
      </c>
      <c r="Q836" s="37" t="str">
        <f t="shared" ref="Q836:Q899" ca="1" si="46">IF(P836&gt;$A$14,P836,"")</f>
        <v/>
      </c>
    </row>
    <row r="837" spans="16:17" x14ac:dyDescent="0.25">
      <c r="P837" s="37" t="str">
        <f t="shared" ca="1" si="45"/>
        <v/>
      </c>
      <c r="Q837" s="37" t="str">
        <f t="shared" ca="1" si="46"/>
        <v/>
      </c>
    </row>
    <row r="838" spans="16:17" x14ac:dyDescent="0.25">
      <c r="P838" s="37" t="str">
        <f t="shared" ca="1" si="45"/>
        <v/>
      </c>
      <c r="Q838" s="37" t="str">
        <f t="shared" ca="1" si="46"/>
        <v/>
      </c>
    </row>
    <row r="839" spans="16:17" x14ac:dyDescent="0.25">
      <c r="P839" s="37" t="str">
        <f t="shared" ca="1" si="45"/>
        <v/>
      </c>
      <c r="Q839" s="37" t="str">
        <f t="shared" ca="1" si="46"/>
        <v/>
      </c>
    </row>
    <row r="840" spans="16:17" x14ac:dyDescent="0.25">
      <c r="P840" s="37" t="str">
        <f t="shared" ca="1" si="45"/>
        <v/>
      </c>
      <c r="Q840" s="37" t="str">
        <f t="shared" ca="1" si="46"/>
        <v/>
      </c>
    </row>
    <row r="841" spans="16:17" x14ac:dyDescent="0.25">
      <c r="P841" s="37" t="str">
        <f t="shared" ca="1" si="45"/>
        <v/>
      </c>
      <c r="Q841" s="37" t="str">
        <f t="shared" ca="1" si="46"/>
        <v/>
      </c>
    </row>
    <row r="842" spans="16:17" x14ac:dyDescent="0.25">
      <c r="P842" s="37" t="str">
        <f t="shared" ca="1" si="45"/>
        <v/>
      </c>
      <c r="Q842" s="37" t="str">
        <f t="shared" ca="1" si="46"/>
        <v/>
      </c>
    </row>
    <row r="843" spans="16:17" x14ac:dyDescent="0.25">
      <c r="P843" s="37" t="str">
        <f t="shared" ca="1" si="45"/>
        <v/>
      </c>
      <c r="Q843" s="37" t="str">
        <f t="shared" ca="1" si="46"/>
        <v/>
      </c>
    </row>
    <row r="844" spans="16:17" x14ac:dyDescent="0.25">
      <c r="P844" s="37" t="str">
        <f t="shared" ca="1" si="45"/>
        <v/>
      </c>
      <c r="Q844" s="37" t="str">
        <f t="shared" ca="1" si="46"/>
        <v/>
      </c>
    </row>
    <row r="845" spans="16:17" x14ac:dyDescent="0.25">
      <c r="P845" s="37" t="str">
        <f t="shared" ca="1" si="45"/>
        <v/>
      </c>
      <c r="Q845" s="37" t="str">
        <f t="shared" ca="1" si="46"/>
        <v/>
      </c>
    </row>
    <row r="846" spans="16:17" x14ac:dyDescent="0.25">
      <c r="P846" s="37" t="str">
        <f t="shared" ca="1" si="45"/>
        <v/>
      </c>
      <c r="Q846" s="37" t="str">
        <f t="shared" ca="1" si="46"/>
        <v/>
      </c>
    </row>
    <row r="847" spans="16:17" x14ac:dyDescent="0.25">
      <c r="P847" s="37" t="str">
        <f t="shared" ca="1" si="45"/>
        <v/>
      </c>
      <c r="Q847" s="37" t="str">
        <f t="shared" ca="1" si="46"/>
        <v/>
      </c>
    </row>
    <row r="848" spans="16:17" x14ac:dyDescent="0.25">
      <c r="P848" s="37" t="str">
        <f t="shared" ca="1" si="45"/>
        <v/>
      </c>
      <c r="Q848" s="37" t="str">
        <f t="shared" ca="1" si="46"/>
        <v/>
      </c>
    </row>
    <row r="849" spans="16:17" x14ac:dyDescent="0.25">
      <c r="P849" s="37" t="str">
        <f t="shared" ca="1" si="45"/>
        <v/>
      </c>
      <c r="Q849" s="37" t="str">
        <f t="shared" ca="1" si="46"/>
        <v/>
      </c>
    </row>
    <row r="850" spans="16:17" x14ac:dyDescent="0.25">
      <c r="P850" s="37" t="str">
        <f t="shared" ca="1" si="45"/>
        <v/>
      </c>
      <c r="Q850" s="37" t="str">
        <f t="shared" ca="1" si="46"/>
        <v/>
      </c>
    </row>
    <row r="851" spans="16:17" x14ac:dyDescent="0.25">
      <c r="P851" s="37" t="str">
        <f t="shared" ca="1" si="45"/>
        <v/>
      </c>
      <c r="Q851" s="37" t="str">
        <f t="shared" ca="1" si="46"/>
        <v/>
      </c>
    </row>
    <row r="852" spans="16:17" x14ac:dyDescent="0.25">
      <c r="P852" s="37" t="str">
        <f t="shared" ca="1" si="45"/>
        <v/>
      </c>
      <c r="Q852" s="37" t="str">
        <f t="shared" ca="1" si="46"/>
        <v/>
      </c>
    </row>
    <row r="853" spans="16:17" x14ac:dyDescent="0.25">
      <c r="P853" s="37" t="str">
        <f t="shared" ca="1" si="45"/>
        <v/>
      </c>
      <c r="Q853" s="37" t="str">
        <f t="shared" ca="1" si="46"/>
        <v/>
      </c>
    </row>
    <row r="854" spans="16:17" x14ac:dyDescent="0.25">
      <c r="P854" s="37" t="str">
        <f t="shared" ca="1" si="45"/>
        <v/>
      </c>
      <c r="Q854" s="37" t="str">
        <f t="shared" ca="1" si="46"/>
        <v/>
      </c>
    </row>
    <row r="855" spans="16:17" x14ac:dyDescent="0.25">
      <c r="P855" s="37" t="str">
        <f t="shared" ca="1" si="45"/>
        <v/>
      </c>
      <c r="Q855" s="37" t="str">
        <f t="shared" ca="1" si="46"/>
        <v/>
      </c>
    </row>
    <row r="856" spans="16:17" x14ac:dyDescent="0.25">
      <c r="P856" s="37" t="str">
        <f t="shared" ca="1" si="45"/>
        <v/>
      </c>
      <c r="Q856" s="37" t="str">
        <f t="shared" ca="1" si="46"/>
        <v/>
      </c>
    </row>
    <row r="857" spans="16:17" x14ac:dyDescent="0.25">
      <c r="P857" s="37" t="str">
        <f t="shared" ca="1" si="45"/>
        <v/>
      </c>
      <c r="Q857" s="37" t="str">
        <f t="shared" ca="1" si="46"/>
        <v/>
      </c>
    </row>
    <row r="858" spans="16:17" x14ac:dyDescent="0.25">
      <c r="P858" s="37" t="str">
        <f t="shared" ca="1" si="45"/>
        <v/>
      </c>
      <c r="Q858" s="37" t="str">
        <f t="shared" ca="1" si="46"/>
        <v/>
      </c>
    </row>
    <row r="859" spans="16:17" x14ac:dyDescent="0.25">
      <c r="P859" s="37" t="str">
        <f t="shared" ca="1" si="45"/>
        <v/>
      </c>
      <c r="Q859" s="37" t="str">
        <f t="shared" ca="1" si="46"/>
        <v/>
      </c>
    </row>
    <row r="860" spans="16:17" x14ac:dyDescent="0.25">
      <c r="P860" s="37" t="str">
        <f t="shared" ca="1" si="45"/>
        <v/>
      </c>
      <c r="Q860" s="37" t="str">
        <f t="shared" ca="1" si="46"/>
        <v/>
      </c>
    </row>
    <row r="861" spans="16:17" x14ac:dyDescent="0.25">
      <c r="P861" s="37" t="str">
        <f t="shared" ca="1" si="45"/>
        <v/>
      </c>
      <c r="Q861" s="37" t="str">
        <f t="shared" ca="1" si="46"/>
        <v/>
      </c>
    </row>
    <row r="862" spans="16:17" x14ac:dyDescent="0.25">
      <c r="P862" s="37" t="str">
        <f t="shared" ca="1" si="45"/>
        <v/>
      </c>
      <c r="Q862" s="37" t="str">
        <f t="shared" ca="1" si="46"/>
        <v/>
      </c>
    </row>
    <row r="863" spans="16:17" x14ac:dyDescent="0.25">
      <c r="P863" s="37" t="str">
        <f t="shared" ca="1" si="45"/>
        <v/>
      </c>
      <c r="Q863" s="37" t="str">
        <f t="shared" ca="1" si="46"/>
        <v/>
      </c>
    </row>
    <row r="864" spans="16:17" x14ac:dyDescent="0.25">
      <c r="P864" s="37" t="str">
        <f t="shared" ca="1" si="45"/>
        <v/>
      </c>
      <c r="Q864" s="37" t="str">
        <f t="shared" ca="1" si="46"/>
        <v/>
      </c>
    </row>
    <row r="865" spans="16:17" x14ac:dyDescent="0.25">
      <c r="P865" s="37" t="str">
        <f t="shared" ca="1" si="45"/>
        <v/>
      </c>
      <c r="Q865" s="37" t="str">
        <f t="shared" ca="1" si="46"/>
        <v/>
      </c>
    </row>
    <row r="866" spans="16:17" x14ac:dyDescent="0.25">
      <c r="P866" s="37" t="str">
        <f t="shared" ca="1" si="45"/>
        <v/>
      </c>
      <c r="Q866" s="37" t="str">
        <f t="shared" ca="1" si="46"/>
        <v/>
      </c>
    </row>
    <row r="867" spans="16:17" x14ac:dyDescent="0.25">
      <c r="P867" s="37" t="str">
        <f t="shared" ca="1" si="45"/>
        <v/>
      </c>
      <c r="Q867" s="37" t="str">
        <f t="shared" ca="1" si="46"/>
        <v/>
      </c>
    </row>
    <row r="868" spans="16:17" x14ac:dyDescent="0.25">
      <c r="P868" s="37" t="str">
        <f t="shared" ca="1" si="45"/>
        <v/>
      </c>
      <c r="Q868" s="37" t="str">
        <f t="shared" ca="1" si="46"/>
        <v/>
      </c>
    </row>
    <row r="869" spans="16:17" x14ac:dyDescent="0.25">
      <c r="P869" s="37" t="str">
        <f t="shared" ca="1" si="45"/>
        <v/>
      </c>
      <c r="Q869" s="37" t="str">
        <f t="shared" ca="1" si="46"/>
        <v/>
      </c>
    </row>
    <row r="870" spans="16:17" x14ac:dyDescent="0.25">
      <c r="P870" s="37" t="str">
        <f t="shared" ca="1" si="45"/>
        <v/>
      </c>
      <c r="Q870" s="37" t="str">
        <f t="shared" ca="1" si="46"/>
        <v/>
      </c>
    </row>
    <row r="871" spans="16:17" x14ac:dyDescent="0.25">
      <c r="P871" s="37" t="str">
        <f t="shared" ca="1" si="45"/>
        <v/>
      </c>
      <c r="Q871" s="37" t="str">
        <f t="shared" ca="1" si="46"/>
        <v/>
      </c>
    </row>
    <row r="872" spans="16:17" x14ac:dyDescent="0.25">
      <c r="P872" s="37" t="str">
        <f t="shared" ca="1" si="45"/>
        <v/>
      </c>
      <c r="Q872" s="37" t="str">
        <f t="shared" ca="1" si="46"/>
        <v/>
      </c>
    </row>
    <row r="873" spans="16:17" x14ac:dyDescent="0.25">
      <c r="P873" s="37" t="str">
        <f t="shared" ca="1" si="45"/>
        <v/>
      </c>
      <c r="Q873" s="37" t="str">
        <f t="shared" ca="1" si="46"/>
        <v/>
      </c>
    </row>
    <row r="874" spans="16:17" x14ac:dyDescent="0.25">
      <c r="P874" s="37" t="str">
        <f t="shared" ca="1" si="45"/>
        <v/>
      </c>
      <c r="Q874" s="37" t="str">
        <f t="shared" ca="1" si="46"/>
        <v/>
      </c>
    </row>
    <row r="875" spans="16:17" x14ac:dyDescent="0.25">
      <c r="P875" s="37" t="str">
        <f t="shared" ca="1" si="45"/>
        <v/>
      </c>
      <c r="Q875" s="37" t="str">
        <f t="shared" ca="1" si="46"/>
        <v/>
      </c>
    </row>
    <row r="876" spans="16:17" x14ac:dyDescent="0.25">
      <c r="P876" s="37" t="str">
        <f t="shared" ca="1" si="45"/>
        <v/>
      </c>
      <c r="Q876" s="37" t="str">
        <f t="shared" ca="1" si="46"/>
        <v/>
      </c>
    </row>
    <row r="877" spans="16:17" x14ac:dyDescent="0.25">
      <c r="P877" s="37" t="str">
        <f t="shared" ca="1" si="45"/>
        <v/>
      </c>
      <c r="Q877" s="37" t="str">
        <f t="shared" ca="1" si="46"/>
        <v/>
      </c>
    </row>
    <row r="878" spans="16:17" x14ac:dyDescent="0.25">
      <c r="P878" s="37" t="str">
        <f t="shared" ca="1" si="45"/>
        <v/>
      </c>
      <c r="Q878" s="37" t="str">
        <f t="shared" ca="1" si="46"/>
        <v/>
      </c>
    </row>
    <row r="879" spans="16:17" x14ac:dyDescent="0.25">
      <c r="P879" s="37" t="str">
        <f t="shared" ca="1" si="45"/>
        <v/>
      </c>
      <c r="Q879" s="37" t="str">
        <f t="shared" ca="1" si="46"/>
        <v/>
      </c>
    </row>
    <row r="880" spans="16:17" x14ac:dyDescent="0.25">
      <c r="P880" s="37" t="str">
        <f t="shared" ca="1" si="45"/>
        <v/>
      </c>
      <c r="Q880" s="37" t="str">
        <f t="shared" ca="1" si="46"/>
        <v/>
      </c>
    </row>
    <row r="881" spans="16:17" x14ac:dyDescent="0.25">
      <c r="P881" s="37" t="str">
        <f t="shared" ca="1" si="45"/>
        <v/>
      </c>
      <c r="Q881" s="37" t="str">
        <f t="shared" ca="1" si="46"/>
        <v/>
      </c>
    </row>
    <row r="882" spans="16:17" x14ac:dyDescent="0.25">
      <c r="P882" s="37" t="str">
        <f t="shared" ca="1" si="45"/>
        <v/>
      </c>
      <c r="Q882" s="37" t="str">
        <f t="shared" ca="1" si="46"/>
        <v/>
      </c>
    </row>
    <row r="883" spans="16:17" x14ac:dyDescent="0.25">
      <c r="P883" s="37" t="str">
        <f t="shared" ca="1" si="45"/>
        <v/>
      </c>
      <c r="Q883" s="37" t="str">
        <f t="shared" ca="1" si="46"/>
        <v/>
      </c>
    </row>
    <row r="884" spans="16:17" x14ac:dyDescent="0.25">
      <c r="P884" s="37" t="str">
        <f t="shared" ca="1" si="45"/>
        <v/>
      </c>
      <c r="Q884" s="37" t="str">
        <f t="shared" ca="1" si="46"/>
        <v/>
      </c>
    </row>
    <row r="885" spans="16:17" x14ac:dyDescent="0.25">
      <c r="P885" s="37" t="str">
        <f t="shared" ca="1" si="45"/>
        <v/>
      </c>
      <c r="Q885" s="37" t="str">
        <f t="shared" ca="1" si="46"/>
        <v/>
      </c>
    </row>
    <row r="886" spans="16:17" x14ac:dyDescent="0.25">
      <c r="P886" s="37" t="str">
        <f t="shared" ca="1" si="45"/>
        <v/>
      </c>
      <c r="Q886" s="37" t="str">
        <f t="shared" ca="1" si="46"/>
        <v/>
      </c>
    </row>
    <row r="887" spans="16:17" x14ac:dyDescent="0.25">
      <c r="P887" s="37" t="str">
        <f t="shared" ca="1" si="45"/>
        <v/>
      </c>
      <c r="Q887" s="37" t="str">
        <f t="shared" ca="1" si="46"/>
        <v/>
      </c>
    </row>
    <row r="888" spans="16:17" x14ac:dyDescent="0.25">
      <c r="P888" s="37" t="str">
        <f t="shared" ca="1" si="45"/>
        <v/>
      </c>
      <c r="Q888" s="37" t="str">
        <f t="shared" ca="1" si="46"/>
        <v/>
      </c>
    </row>
    <row r="889" spans="16:17" x14ac:dyDescent="0.25">
      <c r="P889" s="37" t="str">
        <f t="shared" ca="1" si="45"/>
        <v/>
      </c>
      <c r="Q889" s="37" t="str">
        <f t="shared" ca="1" si="46"/>
        <v/>
      </c>
    </row>
    <row r="890" spans="16:17" x14ac:dyDescent="0.25">
      <c r="P890" s="37" t="str">
        <f t="shared" ca="1" si="45"/>
        <v/>
      </c>
      <c r="Q890" s="37" t="str">
        <f t="shared" ca="1" si="46"/>
        <v/>
      </c>
    </row>
    <row r="891" spans="16:17" x14ac:dyDescent="0.25">
      <c r="P891" s="37" t="str">
        <f t="shared" ca="1" si="45"/>
        <v/>
      </c>
      <c r="Q891" s="37" t="str">
        <f t="shared" ca="1" si="46"/>
        <v/>
      </c>
    </row>
    <row r="892" spans="16:17" x14ac:dyDescent="0.25">
      <c r="P892" s="37" t="str">
        <f t="shared" ca="1" si="45"/>
        <v/>
      </c>
      <c r="Q892" s="37" t="str">
        <f t="shared" ca="1" si="46"/>
        <v/>
      </c>
    </row>
    <row r="893" spans="16:17" x14ac:dyDescent="0.25">
      <c r="P893" s="37" t="str">
        <f t="shared" ca="1" si="45"/>
        <v/>
      </c>
      <c r="Q893" s="37" t="str">
        <f t="shared" ca="1" si="46"/>
        <v/>
      </c>
    </row>
    <row r="894" spans="16:17" x14ac:dyDescent="0.25">
      <c r="P894" s="37" t="str">
        <f t="shared" ca="1" si="45"/>
        <v/>
      </c>
      <c r="Q894" s="37" t="str">
        <f t="shared" ca="1" si="46"/>
        <v/>
      </c>
    </row>
    <row r="895" spans="16:17" x14ac:dyDescent="0.25">
      <c r="P895" s="37" t="str">
        <f t="shared" ca="1" si="45"/>
        <v/>
      </c>
      <c r="Q895" s="37" t="str">
        <f t="shared" ca="1" si="46"/>
        <v/>
      </c>
    </row>
    <row r="896" spans="16:17" x14ac:dyDescent="0.25">
      <c r="P896" s="37" t="str">
        <f t="shared" ca="1" si="45"/>
        <v/>
      </c>
      <c r="Q896" s="37" t="str">
        <f t="shared" ca="1" si="46"/>
        <v/>
      </c>
    </row>
    <row r="897" spans="16:17" x14ac:dyDescent="0.25">
      <c r="P897" s="37" t="str">
        <f t="shared" ca="1" si="45"/>
        <v/>
      </c>
      <c r="Q897" s="37" t="str">
        <f t="shared" ca="1" si="46"/>
        <v/>
      </c>
    </row>
    <row r="898" spans="16:17" x14ac:dyDescent="0.25">
      <c r="P898" s="37" t="str">
        <f t="shared" ca="1" si="45"/>
        <v/>
      </c>
      <c r="Q898" s="37" t="str">
        <f t="shared" ca="1" si="46"/>
        <v/>
      </c>
    </row>
    <row r="899" spans="16:17" x14ac:dyDescent="0.25">
      <c r="P899" s="37" t="str">
        <f t="shared" ca="1" si="45"/>
        <v/>
      </c>
      <c r="Q899" s="37" t="str">
        <f t="shared" ca="1" si="46"/>
        <v/>
      </c>
    </row>
    <row r="900" spans="16:17" x14ac:dyDescent="0.25">
      <c r="P900" s="37" t="str">
        <f t="shared" ref="P900:P945" ca="1" si="47">IF(COUNTIF(N:N,L900),L900,"")</f>
        <v/>
      </c>
      <c r="Q900" s="37" t="str">
        <f t="shared" ref="Q900:Q945" ca="1" si="48">IF(P900&gt;$A$14,P900,"")</f>
        <v/>
      </c>
    </row>
    <row r="901" spans="16:17" x14ac:dyDescent="0.25">
      <c r="P901" s="37" t="str">
        <f t="shared" ca="1" si="47"/>
        <v/>
      </c>
      <c r="Q901" s="37" t="str">
        <f t="shared" ca="1" si="48"/>
        <v/>
      </c>
    </row>
    <row r="902" spans="16:17" x14ac:dyDescent="0.25">
      <c r="P902" s="37" t="str">
        <f t="shared" ca="1" si="47"/>
        <v/>
      </c>
      <c r="Q902" s="37" t="str">
        <f t="shared" ca="1" si="48"/>
        <v/>
      </c>
    </row>
    <row r="903" spans="16:17" x14ac:dyDescent="0.25">
      <c r="P903" s="37" t="str">
        <f t="shared" ca="1" si="47"/>
        <v/>
      </c>
      <c r="Q903" s="37" t="str">
        <f t="shared" ca="1" si="48"/>
        <v/>
      </c>
    </row>
    <row r="904" spans="16:17" x14ac:dyDescent="0.25">
      <c r="P904" s="37" t="str">
        <f t="shared" ca="1" si="47"/>
        <v/>
      </c>
      <c r="Q904" s="37" t="str">
        <f t="shared" ca="1" si="48"/>
        <v/>
      </c>
    </row>
    <row r="905" spans="16:17" x14ac:dyDescent="0.25">
      <c r="P905" s="37" t="str">
        <f t="shared" ca="1" si="47"/>
        <v/>
      </c>
      <c r="Q905" s="37" t="str">
        <f t="shared" ca="1" si="48"/>
        <v/>
      </c>
    </row>
    <row r="906" spans="16:17" x14ac:dyDescent="0.25">
      <c r="P906" s="37" t="str">
        <f t="shared" ca="1" si="47"/>
        <v/>
      </c>
      <c r="Q906" s="37" t="str">
        <f t="shared" ca="1" si="48"/>
        <v/>
      </c>
    </row>
    <row r="907" spans="16:17" x14ac:dyDescent="0.25">
      <c r="P907" s="37" t="str">
        <f t="shared" ca="1" si="47"/>
        <v/>
      </c>
      <c r="Q907" s="37" t="str">
        <f t="shared" ca="1" si="48"/>
        <v/>
      </c>
    </row>
    <row r="908" spans="16:17" x14ac:dyDescent="0.25">
      <c r="P908" s="37" t="str">
        <f t="shared" ca="1" si="47"/>
        <v/>
      </c>
      <c r="Q908" s="37" t="str">
        <f t="shared" ca="1" si="48"/>
        <v/>
      </c>
    </row>
    <row r="909" spans="16:17" x14ac:dyDescent="0.25">
      <c r="P909" s="37" t="str">
        <f t="shared" ca="1" si="47"/>
        <v/>
      </c>
      <c r="Q909" s="37" t="str">
        <f t="shared" ca="1" si="48"/>
        <v/>
      </c>
    </row>
    <row r="910" spans="16:17" x14ac:dyDescent="0.25">
      <c r="P910" s="37" t="str">
        <f t="shared" ca="1" si="47"/>
        <v/>
      </c>
      <c r="Q910" s="37" t="str">
        <f t="shared" ca="1" si="48"/>
        <v/>
      </c>
    </row>
    <row r="911" spans="16:17" x14ac:dyDescent="0.25">
      <c r="P911" s="37" t="str">
        <f t="shared" ca="1" si="47"/>
        <v/>
      </c>
      <c r="Q911" s="37" t="str">
        <f t="shared" ca="1" si="48"/>
        <v/>
      </c>
    </row>
    <row r="912" spans="16:17" x14ac:dyDescent="0.25">
      <c r="P912" s="37" t="str">
        <f t="shared" ca="1" si="47"/>
        <v/>
      </c>
      <c r="Q912" s="37" t="str">
        <f t="shared" ca="1" si="48"/>
        <v/>
      </c>
    </row>
    <row r="913" spans="16:17" x14ac:dyDescent="0.25">
      <c r="P913" s="37" t="str">
        <f t="shared" ca="1" si="47"/>
        <v/>
      </c>
      <c r="Q913" s="37" t="str">
        <f t="shared" ca="1" si="48"/>
        <v/>
      </c>
    </row>
    <row r="914" spans="16:17" x14ac:dyDescent="0.25">
      <c r="P914" s="37" t="str">
        <f t="shared" ca="1" si="47"/>
        <v/>
      </c>
      <c r="Q914" s="37" t="str">
        <f t="shared" ca="1" si="48"/>
        <v/>
      </c>
    </row>
    <row r="915" spans="16:17" x14ac:dyDescent="0.25">
      <c r="P915" s="37" t="str">
        <f t="shared" ca="1" si="47"/>
        <v/>
      </c>
      <c r="Q915" s="37" t="str">
        <f t="shared" ca="1" si="48"/>
        <v/>
      </c>
    </row>
    <row r="916" spans="16:17" x14ac:dyDescent="0.25">
      <c r="P916" s="37" t="str">
        <f t="shared" ca="1" si="47"/>
        <v/>
      </c>
      <c r="Q916" s="37" t="str">
        <f t="shared" ca="1" si="48"/>
        <v/>
      </c>
    </row>
    <row r="917" spans="16:17" x14ac:dyDescent="0.25">
      <c r="P917" s="37" t="str">
        <f t="shared" ca="1" si="47"/>
        <v/>
      </c>
      <c r="Q917" s="37" t="str">
        <f t="shared" ca="1" si="48"/>
        <v/>
      </c>
    </row>
    <row r="918" spans="16:17" x14ac:dyDescent="0.25">
      <c r="P918" s="37" t="str">
        <f t="shared" ca="1" si="47"/>
        <v/>
      </c>
      <c r="Q918" s="37" t="str">
        <f t="shared" ca="1" si="48"/>
        <v/>
      </c>
    </row>
    <row r="919" spans="16:17" x14ac:dyDescent="0.25">
      <c r="P919" s="37" t="str">
        <f t="shared" ca="1" si="47"/>
        <v/>
      </c>
      <c r="Q919" s="37" t="str">
        <f t="shared" ca="1" si="48"/>
        <v/>
      </c>
    </row>
    <row r="920" spans="16:17" x14ac:dyDescent="0.25">
      <c r="P920" s="37" t="str">
        <f t="shared" ca="1" si="47"/>
        <v/>
      </c>
      <c r="Q920" s="37" t="str">
        <f t="shared" ca="1" si="48"/>
        <v/>
      </c>
    </row>
    <row r="921" spans="16:17" x14ac:dyDescent="0.25">
      <c r="P921" s="37" t="str">
        <f t="shared" ca="1" si="47"/>
        <v/>
      </c>
      <c r="Q921" s="37" t="str">
        <f t="shared" ca="1" si="48"/>
        <v/>
      </c>
    </row>
    <row r="922" spans="16:17" x14ac:dyDescent="0.25">
      <c r="P922" s="37" t="str">
        <f t="shared" ca="1" si="47"/>
        <v/>
      </c>
      <c r="Q922" s="37" t="str">
        <f t="shared" ca="1" si="48"/>
        <v/>
      </c>
    </row>
    <row r="923" spans="16:17" x14ac:dyDescent="0.25">
      <c r="P923" s="37" t="str">
        <f t="shared" ca="1" si="47"/>
        <v/>
      </c>
      <c r="Q923" s="37" t="str">
        <f t="shared" ca="1" si="48"/>
        <v/>
      </c>
    </row>
    <row r="924" spans="16:17" x14ac:dyDescent="0.25">
      <c r="P924" s="37" t="str">
        <f t="shared" ca="1" si="47"/>
        <v/>
      </c>
      <c r="Q924" s="37" t="str">
        <f t="shared" ca="1" si="48"/>
        <v/>
      </c>
    </row>
    <row r="925" spans="16:17" x14ac:dyDescent="0.25">
      <c r="P925" s="37" t="str">
        <f t="shared" ca="1" si="47"/>
        <v/>
      </c>
      <c r="Q925" s="37" t="str">
        <f t="shared" ca="1" si="48"/>
        <v/>
      </c>
    </row>
    <row r="926" spans="16:17" x14ac:dyDescent="0.25">
      <c r="P926" s="37" t="str">
        <f t="shared" ca="1" si="47"/>
        <v/>
      </c>
      <c r="Q926" s="37" t="str">
        <f t="shared" ca="1" si="48"/>
        <v/>
      </c>
    </row>
    <row r="927" spans="16:17" x14ac:dyDescent="0.25">
      <c r="P927" s="37" t="str">
        <f t="shared" ca="1" si="47"/>
        <v/>
      </c>
      <c r="Q927" s="37" t="str">
        <f t="shared" ca="1" si="48"/>
        <v/>
      </c>
    </row>
    <row r="928" spans="16:17" x14ac:dyDescent="0.25">
      <c r="P928" s="37" t="str">
        <f t="shared" ca="1" si="47"/>
        <v/>
      </c>
      <c r="Q928" s="37" t="str">
        <f t="shared" ca="1" si="48"/>
        <v/>
      </c>
    </row>
    <row r="929" spans="16:17" x14ac:dyDescent="0.25">
      <c r="P929" s="37" t="str">
        <f t="shared" ca="1" si="47"/>
        <v/>
      </c>
      <c r="Q929" s="37" t="str">
        <f t="shared" ca="1" si="48"/>
        <v/>
      </c>
    </row>
    <row r="930" spans="16:17" x14ac:dyDescent="0.25">
      <c r="P930" s="37" t="str">
        <f t="shared" ca="1" si="47"/>
        <v/>
      </c>
      <c r="Q930" s="37" t="str">
        <f t="shared" ca="1" si="48"/>
        <v/>
      </c>
    </row>
    <row r="931" spans="16:17" x14ac:dyDescent="0.25">
      <c r="P931" s="37" t="str">
        <f t="shared" ca="1" si="47"/>
        <v/>
      </c>
      <c r="Q931" s="37" t="str">
        <f t="shared" ca="1" si="48"/>
        <v/>
      </c>
    </row>
    <row r="932" spans="16:17" x14ac:dyDescent="0.25">
      <c r="P932" s="37" t="str">
        <f t="shared" ca="1" si="47"/>
        <v/>
      </c>
      <c r="Q932" s="37" t="str">
        <f t="shared" ca="1" si="48"/>
        <v/>
      </c>
    </row>
    <row r="933" spans="16:17" x14ac:dyDescent="0.25">
      <c r="P933" s="37" t="str">
        <f t="shared" ca="1" si="47"/>
        <v/>
      </c>
      <c r="Q933" s="37" t="str">
        <f t="shared" ca="1" si="48"/>
        <v/>
      </c>
    </row>
    <row r="934" spans="16:17" x14ac:dyDescent="0.25">
      <c r="P934" s="37" t="str">
        <f t="shared" ca="1" si="47"/>
        <v/>
      </c>
      <c r="Q934" s="37" t="str">
        <f t="shared" ca="1" si="48"/>
        <v/>
      </c>
    </row>
    <row r="935" spans="16:17" x14ac:dyDescent="0.25">
      <c r="P935" s="37" t="str">
        <f t="shared" ca="1" si="47"/>
        <v/>
      </c>
      <c r="Q935" s="37" t="str">
        <f t="shared" ca="1" si="48"/>
        <v/>
      </c>
    </row>
    <row r="936" spans="16:17" x14ac:dyDescent="0.25">
      <c r="P936" s="37" t="str">
        <f t="shared" ca="1" si="47"/>
        <v/>
      </c>
      <c r="Q936" s="37" t="str">
        <f t="shared" ca="1" si="48"/>
        <v/>
      </c>
    </row>
    <row r="937" spans="16:17" x14ac:dyDescent="0.25">
      <c r="P937" s="37" t="str">
        <f t="shared" ca="1" si="47"/>
        <v/>
      </c>
      <c r="Q937" s="37" t="str">
        <f t="shared" ca="1" si="48"/>
        <v/>
      </c>
    </row>
    <row r="938" spans="16:17" x14ac:dyDescent="0.25">
      <c r="P938" s="37" t="str">
        <f t="shared" ca="1" si="47"/>
        <v/>
      </c>
      <c r="Q938" s="37" t="str">
        <f t="shared" ca="1" si="48"/>
        <v/>
      </c>
    </row>
    <row r="939" spans="16:17" x14ac:dyDescent="0.25">
      <c r="P939" s="37" t="str">
        <f t="shared" ca="1" si="47"/>
        <v/>
      </c>
      <c r="Q939" s="37" t="str">
        <f t="shared" ca="1" si="48"/>
        <v/>
      </c>
    </row>
    <row r="940" spans="16:17" x14ac:dyDescent="0.25">
      <c r="P940" s="37" t="str">
        <f t="shared" ca="1" si="47"/>
        <v/>
      </c>
      <c r="Q940" s="37" t="str">
        <f t="shared" ca="1" si="48"/>
        <v/>
      </c>
    </row>
    <row r="941" spans="16:17" x14ac:dyDescent="0.25">
      <c r="P941" s="37" t="str">
        <f t="shared" ca="1" si="47"/>
        <v/>
      </c>
      <c r="Q941" s="37" t="str">
        <f t="shared" ca="1" si="48"/>
        <v/>
      </c>
    </row>
    <row r="942" spans="16:17" x14ac:dyDescent="0.25">
      <c r="P942" s="37" t="str">
        <f t="shared" ca="1" si="47"/>
        <v/>
      </c>
      <c r="Q942" s="37" t="str">
        <f t="shared" ca="1" si="48"/>
        <v/>
      </c>
    </row>
    <row r="943" spans="16:17" x14ac:dyDescent="0.25">
      <c r="P943" s="37" t="str">
        <f t="shared" ca="1" si="47"/>
        <v/>
      </c>
      <c r="Q943" s="37" t="str">
        <f t="shared" ca="1" si="48"/>
        <v/>
      </c>
    </row>
    <row r="944" spans="16:17" x14ac:dyDescent="0.25">
      <c r="P944" s="37" t="str">
        <f t="shared" ca="1" si="47"/>
        <v/>
      </c>
      <c r="Q944" s="37" t="str">
        <f t="shared" ca="1" si="48"/>
        <v/>
      </c>
    </row>
    <row r="945" spans="16:17" x14ac:dyDescent="0.25">
      <c r="P945" s="37" t="str">
        <f t="shared" ca="1" si="47"/>
        <v/>
      </c>
      <c r="Q945" s="37" t="str">
        <f t="shared" ca="1" si="48"/>
        <v/>
      </c>
    </row>
  </sheetData>
  <mergeCells count="2">
    <mergeCell ref="B12:D12"/>
    <mergeCell ref="E12:G12"/>
  </mergeCells>
  <conditionalFormatting sqref="I13:J14 J15:J38 I15:I755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BE3C-81AC-482C-B51F-B85DF8740F60}">
  <dimension ref="A1:AD945"/>
  <sheetViews>
    <sheetView zoomScale="80" zoomScaleNormal="80" workbookViewId="0">
      <selection activeCell="B14" sqref="B14"/>
    </sheetView>
  </sheetViews>
  <sheetFormatPr defaultColWidth="9.140625" defaultRowHeight="15" x14ac:dyDescent="0.25"/>
  <cols>
    <col min="1" max="1" width="15.5703125" style="37" bestFit="1" customWidth="1"/>
    <col min="2" max="2" width="19.42578125" style="3" bestFit="1" customWidth="1"/>
    <col min="3" max="3" width="16.42578125" style="3" bestFit="1" customWidth="1"/>
    <col min="4" max="4" width="9.140625" style="40" bestFit="1" customWidth="1"/>
    <col min="5" max="5" width="20" style="3" bestFit="1" customWidth="1"/>
    <col min="6" max="6" width="11.5703125" style="3" bestFit="1" customWidth="1"/>
    <col min="7" max="7" width="9.140625" style="3" hidden="1" customWidth="1"/>
    <col min="8" max="8" width="13.140625" style="3" hidden="1" customWidth="1"/>
    <col min="9" max="9" width="14.5703125" style="3" bestFit="1" customWidth="1"/>
    <col min="10" max="10" width="12.85546875" style="3" customWidth="1"/>
    <col min="11" max="11" width="9.28515625" style="3" bestFit="1" customWidth="1"/>
    <col min="12" max="12" width="11.5703125" style="76" bestFit="1" customWidth="1"/>
    <col min="13" max="13" width="7.140625" style="41" bestFit="1" customWidth="1"/>
    <col min="14" max="14" width="11.5703125" style="37" bestFit="1" customWidth="1"/>
    <col min="15" max="15" width="7.140625" style="41" bestFit="1" customWidth="1"/>
    <col min="16" max="18" width="11.5703125" style="37" bestFit="1" customWidth="1"/>
    <col min="19" max="20" width="9.140625" style="37"/>
    <col min="21" max="23" width="9.140625" style="3"/>
    <col min="24" max="24" width="17.140625" style="95" bestFit="1" customWidth="1"/>
    <col min="25" max="25" width="9.85546875" style="3" bestFit="1" customWidth="1"/>
    <col min="26" max="26" width="11.5703125" style="3" bestFit="1" customWidth="1"/>
    <col min="27" max="27" width="7.7109375" style="3" bestFit="1" customWidth="1"/>
    <col min="28" max="28" width="11.5703125" style="37" bestFit="1" customWidth="1"/>
    <col min="29" max="29" width="16.42578125" style="3" bestFit="1" customWidth="1"/>
    <col min="30" max="30" width="11.5703125" style="3" bestFit="1" customWidth="1"/>
    <col min="31" max="16384" width="9.140625" style="3"/>
  </cols>
  <sheetData>
    <row r="1" spans="1:30" ht="15.75" thickBot="1" x14ac:dyDescent="0.3">
      <c r="A1" s="1"/>
      <c r="B1" s="1" t="s">
        <v>97</v>
      </c>
      <c r="C1" s="1"/>
      <c r="D1" s="25"/>
      <c r="L1" s="37">
        <f ca="1">TODAY()-150</f>
        <v>46041</v>
      </c>
      <c r="R1" s="37" cm="1">
        <f t="array" aca="1" ref="R1" ca="1">LOOKUP(2,1/(R:R&lt;&gt;""),R:R)</f>
        <v>46190</v>
      </c>
      <c r="AC1" s="56" t="s">
        <v>84</v>
      </c>
      <c r="AD1" s="37" cm="1">
        <f t="array" ref="AD1">LOOKUP(2,1/(AB:AB&lt;&gt;""),AB:AB)</f>
        <v>46190</v>
      </c>
    </row>
    <row r="2" spans="1:30" ht="15.75" thickBot="1" x14ac:dyDescent="0.3">
      <c r="A2" s="13"/>
      <c r="B2" s="22" t="s">
        <v>1</v>
      </c>
      <c r="C2" s="23" t="s">
        <v>0</v>
      </c>
      <c r="D2" s="25"/>
      <c r="L2" s="22" t="s">
        <v>1</v>
      </c>
      <c r="N2" s="23" t="s">
        <v>0</v>
      </c>
      <c r="R2" s="3" cm="1">
        <f t="array" aca="1" ref="R2:R10" ca="1">_xlfn.UNIQUE(Q:Q)</f>
        <v>0</v>
      </c>
      <c r="AC2" s="3" t="s">
        <v>86</v>
      </c>
      <c r="AD2" s="3">
        <f>VLOOKUP(AD1,Z:AA,2)</f>
        <v>54.383000000000003</v>
      </c>
    </row>
    <row r="3" spans="1:30" x14ac:dyDescent="0.25">
      <c r="A3" s="13" t="s">
        <v>19</v>
      </c>
      <c r="B3" s="14" t="s">
        <v>138</v>
      </c>
      <c r="C3" s="5" t="s">
        <v>95</v>
      </c>
      <c r="D3" s="25"/>
      <c r="L3" s="37" cm="1">
        <f t="array" aca="1" ref="L3:M62" ca="1">_xll.BDH($B$4, "PX_LAST, ", TODAY()-300, TODAY()-1)</f>
        <v>46101</v>
      </c>
      <c r="M3" s="41">
        <f ca="1"/>
        <v>77.709999999999994</v>
      </c>
      <c r="N3" s="37" cm="1">
        <f t="array" aca="1" ref="N3:O187" ca="1">_xll.BDH($C$4, "PX_LAST, ", TODAY()-300, TODAY()-1)</f>
        <v>45922</v>
      </c>
      <c r="O3" s="41">
        <f ca="1"/>
        <v>225.7</v>
      </c>
      <c r="P3" s="37">
        <f ca="1">IF(COUNTIF(N:N,L3),L3,"")</f>
        <v>46101</v>
      </c>
      <c r="Q3" s="37" t="str">
        <f ca="1">IF(P3&gt;$A$14,P3,"")</f>
        <v/>
      </c>
      <c r="R3" s="37" t="str">
        <f ca="1"/>
        <v/>
      </c>
      <c r="X3" s="95" cm="1">
        <f t="array" ref="X3:Y34">_xll.BDH(B1, "LAST_PRICE", "05/01/2026","")</f>
        <v>46143</v>
      </c>
      <c r="Y3" s="3">
        <v>126.6553</v>
      </c>
      <c r="Z3" s="37" cm="1">
        <f t="array" ref="Z3:AA35">_xll.BDH(B4, "LAST_PRICE", "05/01/2026", "")</f>
        <v>46143</v>
      </c>
      <c r="AA3" s="3">
        <v>60.497999999999998</v>
      </c>
      <c r="AB3" s="37">
        <f>IF(COUNTIF(Z:Z,X3),X3,"")</f>
        <v>46143</v>
      </c>
      <c r="AC3" s="56" t="s">
        <v>83</v>
      </c>
      <c r="AD3" s="3">
        <f>VLOOKUP(AD1,X:Y,2)</f>
        <v>127.13120000000001</v>
      </c>
    </row>
    <row r="4" spans="1:30" ht="30" customHeight="1" x14ac:dyDescent="0.25">
      <c r="A4" s="14" t="s">
        <v>20</v>
      </c>
      <c r="B4" s="16" t="s">
        <v>139</v>
      </c>
      <c r="C4" s="6" t="s">
        <v>76</v>
      </c>
      <c r="D4" s="25"/>
      <c r="E4" s="119" t="s">
        <v>45</v>
      </c>
      <c r="F4" s="3">
        <v>50</v>
      </c>
      <c r="L4" s="37">
        <f ca="1"/>
        <v>46104</v>
      </c>
      <c r="M4" s="41">
        <f ca="1"/>
        <v>75.63</v>
      </c>
      <c r="N4" s="37">
        <f ca="1"/>
        <v>45923</v>
      </c>
      <c r="O4" s="41">
        <f ca="1"/>
        <v>226.65</v>
      </c>
      <c r="P4" s="37">
        <f t="shared" ref="P4:P67" ca="1" si="0">IF(COUNTIF(N:N,L4),L4,"")</f>
        <v>46104</v>
      </c>
      <c r="Q4" s="37" t="str">
        <f t="shared" ref="Q4:Q67" ca="1" si="1">IF(P4&gt;$A$14,P4,"")</f>
        <v/>
      </c>
      <c r="R4" s="37">
        <f ca="1"/>
        <v>46182</v>
      </c>
      <c r="X4" s="95">
        <v>46147</v>
      </c>
      <c r="Y4" s="3">
        <v>126.6293</v>
      </c>
      <c r="Z4" s="37">
        <v>46147</v>
      </c>
      <c r="AA4" s="3">
        <v>61.04</v>
      </c>
      <c r="AB4" s="37">
        <f t="shared" ref="AB4:AB67" si="2">IF(COUNTIF(Z:Z,X4),X4,"")</f>
        <v>46147</v>
      </c>
      <c r="AC4" s="3" t="s">
        <v>93</v>
      </c>
      <c r="AD4" s="41">
        <f ca="1">INT(NOW())-INT(AD1)</f>
        <v>1</v>
      </c>
    </row>
    <row r="5" spans="1:30" x14ac:dyDescent="0.25">
      <c r="A5" s="14" t="s">
        <v>2</v>
      </c>
      <c r="B5" s="17">
        <f>125*10^6</f>
        <v>125000000</v>
      </c>
      <c r="C5" s="6">
        <v>475</v>
      </c>
      <c r="D5" s="25"/>
      <c r="E5" s="83"/>
      <c r="L5" s="37">
        <f ca="1"/>
        <v>46105</v>
      </c>
      <c r="M5" s="41">
        <f ca="1"/>
        <v>76.055000000000007</v>
      </c>
      <c r="N5" s="37">
        <f ca="1"/>
        <v>45924</v>
      </c>
      <c r="O5" s="41">
        <f ca="1"/>
        <v>227.4</v>
      </c>
      <c r="P5" s="37">
        <f t="shared" ca="1" si="0"/>
        <v>46105</v>
      </c>
      <c r="Q5" s="37" t="str">
        <f t="shared" ca="1" si="1"/>
        <v/>
      </c>
      <c r="R5" s="37">
        <f ca="1"/>
        <v>46183</v>
      </c>
      <c r="X5" s="95">
        <v>46148</v>
      </c>
      <c r="Y5" s="3">
        <v>126.7805</v>
      </c>
      <c r="Z5" s="37">
        <v>46148</v>
      </c>
      <c r="AA5" s="3">
        <v>58.661999999999999</v>
      </c>
      <c r="AB5" s="37">
        <f t="shared" si="2"/>
        <v>46148</v>
      </c>
    </row>
    <row r="6" spans="1:30" x14ac:dyDescent="0.25">
      <c r="A6" s="14" t="s">
        <v>3</v>
      </c>
      <c r="B6" s="18">
        <v>0.01</v>
      </c>
      <c r="C6" s="10">
        <v>0</v>
      </c>
      <c r="D6" s="25"/>
      <c r="L6" s="37">
        <f ca="1"/>
        <v>46106</v>
      </c>
      <c r="M6" s="41">
        <f ca="1"/>
        <v>73.438999999999993</v>
      </c>
      <c r="N6" s="37">
        <f ca="1"/>
        <v>45925</v>
      </c>
      <c r="O6" s="41">
        <f ca="1"/>
        <v>225.8</v>
      </c>
      <c r="P6" s="37">
        <f t="shared" ca="1" si="0"/>
        <v>46106</v>
      </c>
      <c r="Q6" s="37" t="str">
        <f t="shared" ca="1" si="1"/>
        <v/>
      </c>
      <c r="R6" s="37">
        <f ca="1"/>
        <v>46184</v>
      </c>
      <c r="X6" s="95">
        <v>46149</v>
      </c>
      <c r="Y6" s="3">
        <v>126.7497</v>
      </c>
      <c r="Z6" s="37">
        <v>46149</v>
      </c>
      <c r="AA6" s="3">
        <v>59.383000000000003</v>
      </c>
      <c r="AB6" s="37">
        <f t="shared" si="2"/>
        <v>46149</v>
      </c>
    </row>
    <row r="7" spans="1:30" x14ac:dyDescent="0.25">
      <c r="A7" s="14" t="s">
        <v>4</v>
      </c>
      <c r="B7" s="18">
        <v>0</v>
      </c>
      <c r="C7" s="10">
        <v>0</v>
      </c>
      <c r="D7" s="25"/>
      <c r="E7" s="37" t="s">
        <v>140</v>
      </c>
      <c r="F7" s="3">
        <v>126.9854</v>
      </c>
      <c r="L7" s="38">
        <f ca="1"/>
        <v>46107</v>
      </c>
      <c r="M7" s="41">
        <f ca="1"/>
        <v>77.638000000000005</v>
      </c>
      <c r="N7" s="37">
        <f ca="1"/>
        <v>45926</v>
      </c>
      <c r="O7" s="41">
        <f ca="1"/>
        <v>230.25</v>
      </c>
      <c r="P7" s="37">
        <f t="shared" ca="1" si="0"/>
        <v>46107</v>
      </c>
      <c r="Q7" s="37" t="str">
        <f t="shared" ca="1" si="1"/>
        <v/>
      </c>
      <c r="R7" s="37">
        <f ca="1"/>
        <v>46185</v>
      </c>
      <c r="X7" s="95">
        <v>46150</v>
      </c>
      <c r="Y7" s="3">
        <v>126.746</v>
      </c>
      <c r="Z7" s="37">
        <v>46150</v>
      </c>
      <c r="AA7" s="3">
        <v>59.293999999999997</v>
      </c>
      <c r="AB7" s="37">
        <f t="shared" si="2"/>
        <v>46150</v>
      </c>
    </row>
    <row r="8" spans="1:30" x14ac:dyDescent="0.25">
      <c r="A8" s="14" t="s">
        <v>5</v>
      </c>
      <c r="B8" s="14">
        <v>4.7359999999999998</v>
      </c>
      <c r="C8" s="5"/>
      <c r="D8" s="25"/>
      <c r="E8" s="38"/>
      <c r="I8" s="37"/>
      <c r="J8" s="37"/>
      <c r="L8" s="37">
        <f ca="1"/>
        <v>46108</v>
      </c>
      <c r="M8" s="41">
        <f ca="1"/>
        <v>80.096000000000004</v>
      </c>
      <c r="N8" s="37">
        <f ca="1"/>
        <v>45929</v>
      </c>
      <c r="O8" s="41">
        <f ca="1"/>
        <v>228.4</v>
      </c>
      <c r="P8" s="37">
        <f t="shared" ca="1" si="0"/>
        <v>46108</v>
      </c>
      <c r="Q8" s="37" t="str">
        <f t="shared" ca="1" si="1"/>
        <v/>
      </c>
      <c r="R8" s="37">
        <f ca="1"/>
        <v>46188</v>
      </c>
      <c r="X8" s="95">
        <v>46153</v>
      </c>
      <c r="Y8" s="3">
        <v>126.7757</v>
      </c>
      <c r="Z8" s="37">
        <v>46153</v>
      </c>
      <c r="AA8" s="3">
        <v>58.976999999999997</v>
      </c>
      <c r="AB8" s="37">
        <f t="shared" si="2"/>
        <v>46153</v>
      </c>
    </row>
    <row r="9" spans="1:30" ht="15.75" thickBot="1" x14ac:dyDescent="0.3">
      <c r="A9" s="15" t="s">
        <v>15</v>
      </c>
      <c r="B9" s="19" cm="1">
        <f t="array" ref="B9">_xll.BDP(B4,"PX_LAST")</f>
        <v>54.283580000000001</v>
      </c>
      <c r="C9" s="12" cm="1">
        <f t="array" ref="C9">_xll.BDP(C4,"PX_LAST")</f>
        <v>295.2</v>
      </c>
      <c r="D9" s="25"/>
      <c r="E9" s="38"/>
      <c r="I9" s="37"/>
      <c r="J9" s="37"/>
      <c r="L9" s="37">
        <f ca="1"/>
        <v>46111</v>
      </c>
      <c r="M9" s="41">
        <f ca="1"/>
        <v>79.805999999999997</v>
      </c>
      <c r="N9" s="37">
        <f ca="1"/>
        <v>45930</v>
      </c>
      <c r="O9" s="41">
        <f ca="1"/>
        <v>228.85</v>
      </c>
      <c r="P9" s="37">
        <f t="shared" ca="1" si="0"/>
        <v>46111</v>
      </c>
      <c r="Q9" s="37" t="str">
        <f t="shared" ca="1" si="1"/>
        <v/>
      </c>
      <c r="R9" s="37">
        <f ca="1"/>
        <v>46189</v>
      </c>
      <c r="X9" s="95">
        <v>46154</v>
      </c>
      <c r="Y9" s="3">
        <v>126.6486</v>
      </c>
      <c r="Z9" s="37">
        <v>46154</v>
      </c>
      <c r="AA9" s="3">
        <v>61.081000000000003</v>
      </c>
      <c r="AB9" s="37">
        <f t="shared" si="2"/>
        <v>46154</v>
      </c>
    </row>
    <row r="10" spans="1:30" ht="15.75" thickBot="1" x14ac:dyDescent="0.3">
      <c r="A10" s="39" t="s">
        <v>82</v>
      </c>
      <c r="B10" s="19">
        <f ca="1">AD3*(1-(B9-AD2)*B8*10^-4+B6*AD4/360)</f>
        <v>127.14071743443917</v>
      </c>
      <c r="D10" s="25"/>
      <c r="E10" s="1"/>
      <c r="I10" s="37"/>
      <c r="J10" s="37"/>
      <c r="L10" s="37">
        <f ca="1"/>
        <v>46112</v>
      </c>
      <c r="M10" s="41">
        <f ca="1"/>
        <v>77.741</v>
      </c>
      <c r="N10" s="37">
        <f ca="1"/>
        <v>45931</v>
      </c>
      <c r="O10" s="41">
        <f ca="1"/>
        <v>230.4</v>
      </c>
      <c r="P10" s="37">
        <f t="shared" ca="1" si="0"/>
        <v>46112</v>
      </c>
      <c r="Q10" s="37" t="str">
        <f t="shared" ca="1" si="1"/>
        <v/>
      </c>
      <c r="R10" s="37">
        <f ca="1"/>
        <v>46190</v>
      </c>
      <c r="X10" s="95">
        <v>46155</v>
      </c>
      <c r="Y10" s="3">
        <v>126.70829999999999</v>
      </c>
      <c r="Z10" s="37">
        <v>46155</v>
      </c>
      <c r="AA10" s="3">
        <v>59.908999999999999</v>
      </c>
      <c r="AB10" s="37">
        <f t="shared" si="2"/>
        <v>46155</v>
      </c>
    </row>
    <row r="11" spans="1:30" ht="15.75" thickBot="1" x14ac:dyDescent="0.3">
      <c r="A11" s="1"/>
      <c r="B11" s="1"/>
      <c r="C11" s="1"/>
      <c r="D11" s="25"/>
      <c r="E11" s="1"/>
      <c r="L11" s="37">
        <f ca="1"/>
        <v>46113</v>
      </c>
      <c r="M11" s="41">
        <f ca="1"/>
        <v>71.61</v>
      </c>
      <c r="N11" s="37">
        <f ca="1"/>
        <v>45932</v>
      </c>
      <c r="O11" s="41">
        <f ca="1"/>
        <v>228.5</v>
      </c>
      <c r="P11" s="37">
        <f t="shared" ca="1" si="0"/>
        <v>46113</v>
      </c>
      <c r="Q11" s="37" t="str">
        <f t="shared" ca="1" si="1"/>
        <v/>
      </c>
      <c r="X11" s="95">
        <v>46156</v>
      </c>
      <c r="Y11" s="3">
        <v>126.7735</v>
      </c>
      <c r="Z11" s="37">
        <v>46156</v>
      </c>
      <c r="AA11" s="3">
        <v>58.856999999999999</v>
      </c>
      <c r="AB11" s="37">
        <f t="shared" si="2"/>
        <v>46156</v>
      </c>
    </row>
    <row r="12" spans="1:30" ht="15.75" thickBot="1" x14ac:dyDescent="0.3">
      <c r="A12" s="27" t="s">
        <v>12</v>
      </c>
      <c r="B12" s="138" t="s">
        <v>1</v>
      </c>
      <c r="C12" s="139"/>
      <c r="D12" s="144"/>
      <c r="E12" s="140" t="s">
        <v>0</v>
      </c>
      <c r="F12" s="141"/>
      <c r="G12" s="141"/>
      <c r="H12" s="116" t="s">
        <v>75</v>
      </c>
      <c r="I12" s="27" t="s">
        <v>7</v>
      </c>
      <c r="J12" s="1"/>
      <c r="L12" s="76">
        <f ca="1"/>
        <v>46114</v>
      </c>
      <c r="M12" s="34">
        <f ca="1"/>
        <v>70.682000000000002</v>
      </c>
      <c r="N12" s="37">
        <f ca="1"/>
        <v>45933</v>
      </c>
      <c r="O12" s="41">
        <f ca="1"/>
        <v>229.3</v>
      </c>
      <c r="P12" s="37">
        <f t="shared" ca="1" si="0"/>
        <v>46114</v>
      </c>
      <c r="Q12" s="37" t="str">
        <f t="shared" ca="1" si="1"/>
        <v/>
      </c>
      <c r="X12" s="95">
        <v>46157</v>
      </c>
      <c r="Y12" s="3">
        <v>126.6627</v>
      </c>
      <c r="Z12" s="37">
        <v>46157</v>
      </c>
      <c r="AA12" s="3">
        <v>61.091000000000001</v>
      </c>
      <c r="AB12" s="37">
        <f t="shared" si="2"/>
        <v>46157</v>
      </c>
    </row>
    <row r="13" spans="1:30" ht="15.75" thickBot="1" x14ac:dyDescent="0.3">
      <c r="A13" s="15"/>
      <c r="B13" s="11" t="s">
        <v>14</v>
      </c>
      <c r="C13" s="36" t="s">
        <v>11</v>
      </c>
      <c r="D13" s="21" t="s">
        <v>10</v>
      </c>
      <c r="E13" s="11" t="s">
        <v>8</v>
      </c>
      <c r="F13" s="20" t="s">
        <v>11</v>
      </c>
      <c r="G13" s="20" t="s">
        <v>10</v>
      </c>
      <c r="H13" s="15"/>
      <c r="I13" s="60"/>
      <c r="J13" s="78"/>
      <c r="L13" s="76">
        <f ca="1"/>
        <v>46119</v>
      </c>
      <c r="M13" s="34">
        <f ca="1"/>
        <v>72.153000000000006</v>
      </c>
      <c r="N13" s="37">
        <f ca="1"/>
        <v>45936</v>
      </c>
      <c r="O13" s="41">
        <f ca="1"/>
        <v>226.55</v>
      </c>
      <c r="P13" s="37">
        <f t="shared" ca="1" si="0"/>
        <v>46119</v>
      </c>
      <c r="Q13" s="37" t="str">
        <f t="shared" ca="1" si="1"/>
        <v/>
      </c>
      <c r="X13" s="95">
        <v>46160</v>
      </c>
      <c r="Y13" s="3">
        <v>126.6943</v>
      </c>
      <c r="Z13" s="37">
        <v>46160</v>
      </c>
      <c r="AA13" s="3">
        <v>60.332000000000001</v>
      </c>
      <c r="AB13" s="37">
        <f t="shared" si="2"/>
        <v>46160</v>
      </c>
    </row>
    <row r="14" spans="1:30" x14ac:dyDescent="0.25">
      <c r="A14" s="102">
        <v>46181</v>
      </c>
      <c r="B14" s="33">
        <f>F7/(1-(D14-C14)*B8*10^-4)</f>
        <v>127.00338449206575</v>
      </c>
      <c r="C14" s="53">
        <v>56.4</v>
      </c>
      <c r="D14" s="5">
        <v>56.698999999999998</v>
      </c>
      <c r="E14" s="33">
        <v>268.05</v>
      </c>
      <c r="F14" s="1"/>
      <c r="G14" s="1"/>
      <c r="H14" s="14"/>
      <c r="I14" s="55">
        <v>0</v>
      </c>
      <c r="J14" s="78"/>
      <c r="L14" s="76">
        <f ca="1"/>
        <v>46120</v>
      </c>
      <c r="M14" s="34">
        <f ca="1"/>
        <v>64.495000000000005</v>
      </c>
      <c r="N14" s="37">
        <f ca="1"/>
        <v>45937</v>
      </c>
      <c r="O14" s="41">
        <f ca="1"/>
        <v>226</v>
      </c>
      <c r="P14" s="37">
        <f t="shared" ca="1" si="0"/>
        <v>46120</v>
      </c>
      <c r="Q14" s="37" t="str">
        <f t="shared" ca="1" si="1"/>
        <v/>
      </c>
      <c r="X14" s="95">
        <v>46161</v>
      </c>
      <c r="Y14" s="3">
        <v>126.6609</v>
      </c>
      <c r="Z14" s="37">
        <v>46161</v>
      </c>
      <c r="AA14" s="3">
        <v>61.036999999999999</v>
      </c>
      <c r="AB14" s="37">
        <f t="shared" si="2"/>
        <v>46161</v>
      </c>
    </row>
    <row r="15" spans="1:30" x14ac:dyDescent="0.25">
      <c r="A15" s="102">
        <f ca="1">IF(AND(ISBLANK(R4), A14 = $R$1),NOW(),IF(ISBLANK(R4),IF(ISBLANK(#REF!),NOW(),""),R4))</f>
        <v>46182</v>
      </c>
      <c r="B15" s="33">
        <f ca="1">IF(COUNTIF($R$2:R1000,A15)=1,VLOOKUP(A15,X:Y,2), IF(COUNTIF($R$2:R1000,A15)=0,$B$10,""))</f>
        <v>126.9854</v>
      </c>
      <c r="C15" s="25">
        <f ca="1">IF(ISERROR(B15-2),"",1*(B15/$B$14-1)*$B$5)</f>
        <v>-17700.800000006177</v>
      </c>
      <c r="D15" s="26"/>
      <c r="E15" s="33">
        <f t="shared" ref="E15:E78" ca="1" si="3">IF(COUNTIF(L:L,A15)=1,VLOOKUP(A15,N:O,2), IF(COUNTIF(L:L,A15)=0,$C$9,""))</f>
        <v>268.2</v>
      </c>
      <c r="F15" s="25">
        <f ca="1">IF(ISERROR(B15-2),"",(E15-$E$14)*$C$5*$F$4)</f>
        <v>3562.4999999994598</v>
      </c>
      <c r="G15" s="25">
        <f ca="1">IF(ISERROR(B15-2),"",-$C$7*$C$5*(A15-$A$14)/360)</f>
        <v>0</v>
      </c>
      <c r="H15" s="117"/>
      <c r="I15" s="55">
        <f ca="1">IF(ISERROR(B15-2),"",F15-C15)</f>
        <v>21263.300000005635</v>
      </c>
      <c r="J15" s="78"/>
      <c r="L15" s="76">
        <f ca="1"/>
        <v>46121</v>
      </c>
      <c r="M15" s="34">
        <f ca="1"/>
        <v>63.02</v>
      </c>
      <c r="N15" s="37">
        <f ca="1"/>
        <v>45938</v>
      </c>
      <c r="O15" s="41">
        <f ca="1"/>
        <v>226.95</v>
      </c>
      <c r="P15" s="37">
        <f t="shared" ca="1" si="0"/>
        <v>46121</v>
      </c>
      <c r="Q15" s="37" t="str">
        <f t="shared" ca="1" si="1"/>
        <v/>
      </c>
      <c r="X15" s="95">
        <v>46162</v>
      </c>
      <c r="Y15" s="3">
        <v>126.79989999999999</v>
      </c>
      <c r="Z15" s="37">
        <v>46162</v>
      </c>
      <c r="AA15" s="3">
        <v>58.652000000000001</v>
      </c>
      <c r="AB15" s="37">
        <f t="shared" si="2"/>
        <v>46162</v>
      </c>
    </row>
    <row r="16" spans="1:30" x14ac:dyDescent="0.25">
      <c r="A16" s="102">
        <f t="shared" ref="A16:A79" ca="1" si="4">IF(AND(ISBLANK(R5), A15 = $R$1),NOW(),IF(ISBLANK(R5),IF(ISBLANK(C15),NOW(),""),R5))</f>
        <v>46183</v>
      </c>
      <c r="B16" s="33">
        <f ca="1">IF(COUNTIF($R$2:R1001,A16)=1,VLOOKUP(A16,X:Y,2), IF(COUNTIF($R$2:R1001,A16)=0,$B$10,""))</f>
        <v>126.9585</v>
      </c>
      <c r="C16" s="25">
        <f t="shared" ref="C16:C79" ca="1" si="5">IF(ISERROR(B16-2),"",1*(B16/$B$14-1)*$B$5)</f>
        <v>-44176.472388177121</v>
      </c>
      <c r="D16" s="26"/>
      <c r="E16" s="33">
        <f t="shared" ca="1" si="3"/>
        <v>266.35000000000002</v>
      </c>
      <c r="F16" s="25">
        <f t="shared" ref="F16:F79" ca="1" si="6">IF(ISERROR(B16-2),"",(E16-$E$14)*$C$5*$F$4)</f>
        <v>-40374.999999999724</v>
      </c>
      <c r="G16" s="25">
        <f t="shared" ref="G16:G79" ca="1" si="7">IF(ISERROR(B16-2),"",-$C$7*$C$5*(A16-$A$14)/360)</f>
        <v>0</v>
      </c>
      <c r="H16" s="117"/>
      <c r="I16" s="55">
        <f t="shared" ref="I16:I79" ca="1" si="8">IF(ISERROR(B16-2),"",F16-C16)</f>
        <v>3801.4723881773971</v>
      </c>
      <c r="J16" s="78"/>
      <c r="L16" s="76">
        <f ca="1"/>
        <v>46122</v>
      </c>
      <c r="M16" s="34">
        <f ca="1"/>
        <v>63.872</v>
      </c>
      <c r="N16" s="37">
        <f ca="1"/>
        <v>45939</v>
      </c>
      <c r="O16" s="41">
        <f ca="1"/>
        <v>225.35</v>
      </c>
      <c r="P16" s="37">
        <f t="shared" ca="1" si="0"/>
        <v>46122</v>
      </c>
      <c r="Q16" s="37" t="str">
        <f t="shared" ca="1" si="1"/>
        <v/>
      </c>
      <c r="X16" s="95">
        <v>46163</v>
      </c>
      <c r="Y16" s="3">
        <v>126.7782</v>
      </c>
      <c r="Z16" s="37">
        <v>46163</v>
      </c>
      <c r="AA16" s="3">
        <v>59.023000000000003</v>
      </c>
      <c r="AB16" s="37">
        <f t="shared" si="2"/>
        <v>46163</v>
      </c>
    </row>
    <row r="17" spans="1:28" x14ac:dyDescent="0.25">
      <c r="A17" s="102">
        <f t="shared" ca="1" si="4"/>
        <v>46184</v>
      </c>
      <c r="B17" s="33">
        <f ca="1">IF(COUNTIF($R$2:R1002,A17)=1,VLOOKUP(A17,X:Y,2), IF(COUNTIF($R$2:R1002,A17)=0,$B$10,""))</f>
        <v>126.9697</v>
      </c>
      <c r="C17" s="25">
        <f t="shared" ca="1" si="5"/>
        <v>-33153.144107594955</v>
      </c>
      <c r="D17" s="26"/>
      <c r="E17" s="33">
        <f t="shared" ca="1" si="3"/>
        <v>267.05</v>
      </c>
      <c r="F17" s="25">
        <f t="shared" ca="1" si="6"/>
        <v>-23750</v>
      </c>
      <c r="G17" s="25">
        <f t="shared" ca="1" si="7"/>
        <v>0</v>
      </c>
      <c r="H17" s="117"/>
      <c r="I17" s="55">
        <f t="shared" ca="1" si="8"/>
        <v>9403.1441075949551</v>
      </c>
      <c r="J17" s="78"/>
      <c r="L17" s="76">
        <f ca="1"/>
        <v>46125</v>
      </c>
      <c r="M17" s="34">
        <f ca="1"/>
        <v>63.851999999999997</v>
      </c>
      <c r="N17" s="37">
        <f ca="1"/>
        <v>45940</v>
      </c>
      <c r="O17" s="41">
        <f ca="1"/>
        <v>222.5</v>
      </c>
      <c r="P17" s="37">
        <f t="shared" ca="1" si="0"/>
        <v>46125</v>
      </c>
      <c r="Q17" s="37" t="str">
        <f t="shared" ca="1" si="1"/>
        <v/>
      </c>
      <c r="X17" s="95">
        <v>46164</v>
      </c>
      <c r="Y17" s="3">
        <v>126.87739999999999</v>
      </c>
      <c r="Z17" s="37">
        <v>46164</v>
      </c>
      <c r="AA17" s="3">
        <v>57.529000000000003</v>
      </c>
      <c r="AB17" s="37">
        <f t="shared" si="2"/>
        <v>46164</v>
      </c>
    </row>
    <row r="18" spans="1:28" x14ac:dyDescent="0.25">
      <c r="A18" s="102">
        <f t="shared" ca="1" si="4"/>
        <v>46185</v>
      </c>
      <c r="B18" s="33">
        <f ca="1">IF(COUNTIF($R$2:R1003,A18)=1,VLOOKUP(A18,X:Y,2), IF(COUNTIF($R$2:R1003,A18)=0,$B$10,""))</f>
        <v>127.0964</v>
      </c>
      <c r="C18" s="25">
        <f t="shared" ca="1" si="5"/>
        <v>91548.257066392805</v>
      </c>
      <c r="D18" s="26"/>
      <c r="E18" s="33">
        <f t="shared" ca="1" si="3"/>
        <v>277.55</v>
      </c>
      <c r="F18" s="25">
        <f t="shared" ca="1" si="6"/>
        <v>225625</v>
      </c>
      <c r="G18" s="25">
        <f t="shared" ca="1" si="7"/>
        <v>0</v>
      </c>
      <c r="H18" s="117"/>
      <c r="I18" s="55">
        <f t="shared" ca="1" si="8"/>
        <v>134076.74293360719</v>
      </c>
      <c r="J18" s="78"/>
      <c r="L18" s="76">
        <f ca="1"/>
        <v>46126</v>
      </c>
      <c r="M18" s="34">
        <f ca="1"/>
        <v>61.024000000000001</v>
      </c>
      <c r="N18" s="37">
        <f ca="1"/>
        <v>45943</v>
      </c>
      <c r="O18" s="41">
        <f ca="1"/>
        <v>223.45</v>
      </c>
      <c r="P18" s="37">
        <f t="shared" ca="1" si="0"/>
        <v>46126</v>
      </c>
      <c r="Q18" s="37" t="str">
        <f t="shared" ca="1" si="1"/>
        <v/>
      </c>
      <c r="X18" s="95">
        <v>46168</v>
      </c>
      <c r="Y18" s="3">
        <v>126.94499999999999</v>
      </c>
      <c r="Z18" s="37">
        <v>46168</v>
      </c>
      <c r="AA18" s="3">
        <v>56.646000000000001</v>
      </c>
      <c r="AB18" s="37">
        <f t="shared" si="2"/>
        <v>46168</v>
      </c>
    </row>
    <row r="19" spans="1:28" x14ac:dyDescent="0.25">
      <c r="A19" s="102">
        <f t="shared" ca="1" si="4"/>
        <v>46188</v>
      </c>
      <c r="B19" s="33">
        <f ca="1">IF(COUNTIF($R$2:R1004,A19)=1,VLOOKUP(A19,X:Y,2), IF(COUNTIF($R$2:R1004,A19)=0,$B$10,""))</f>
        <v>127.1601</v>
      </c>
      <c r="C19" s="25">
        <f t="shared" ca="1" si="5"/>
        <v>154243.43666214924</v>
      </c>
      <c r="D19" s="26"/>
      <c r="E19" s="33">
        <f t="shared" ca="1" si="3"/>
        <v>284.14999999999998</v>
      </c>
      <c r="F19" s="25">
        <f t="shared" ca="1" si="6"/>
        <v>382374.99999999919</v>
      </c>
      <c r="G19" s="25">
        <f t="shared" ca="1" si="7"/>
        <v>0</v>
      </c>
      <c r="H19" s="117"/>
      <c r="I19" s="55">
        <f t="shared" ca="1" si="8"/>
        <v>228131.56333784995</v>
      </c>
      <c r="J19" s="78"/>
      <c r="L19" s="76">
        <f ca="1"/>
        <v>46127</v>
      </c>
      <c r="M19" s="34">
        <f ca="1"/>
        <v>61.375</v>
      </c>
      <c r="N19" s="37">
        <f ca="1"/>
        <v>45944</v>
      </c>
      <c r="O19" s="41">
        <f ca="1"/>
        <v>224</v>
      </c>
      <c r="P19" s="37">
        <f t="shared" ca="1" si="0"/>
        <v>46127</v>
      </c>
      <c r="Q19" s="37" t="str">
        <f t="shared" ca="1" si="1"/>
        <v/>
      </c>
      <c r="X19" s="95">
        <v>46169</v>
      </c>
      <c r="Y19" s="3">
        <v>126.96120000000001</v>
      </c>
      <c r="Z19" s="37">
        <v>46169</v>
      </c>
      <c r="AA19" s="3">
        <v>56.587000000000003</v>
      </c>
      <c r="AB19" s="37">
        <f t="shared" si="2"/>
        <v>46169</v>
      </c>
    </row>
    <row r="20" spans="1:28" x14ac:dyDescent="0.25">
      <c r="A20" s="102">
        <f t="shared" ca="1" si="4"/>
        <v>46189</v>
      </c>
      <c r="B20" s="33">
        <f ca="1">IF(COUNTIF($R$2:R1005,A20)=1,VLOOKUP(A20,X:Y,2), IF(COUNTIF($R$2:R1005,A20)=0,$B$10,""))</f>
        <v>127.14709999999999</v>
      </c>
      <c r="C20" s="25">
        <f t="shared" ca="1" si="5"/>
        <v>141448.5020507783</v>
      </c>
      <c r="D20" s="26"/>
      <c r="E20" s="33">
        <f t="shared" ca="1" si="3"/>
        <v>289.14999999999998</v>
      </c>
      <c r="F20" s="25">
        <f t="shared" ca="1" si="6"/>
        <v>501124.99999999919</v>
      </c>
      <c r="G20" s="25">
        <f t="shared" ca="1" si="7"/>
        <v>0</v>
      </c>
      <c r="H20" s="117"/>
      <c r="I20" s="55">
        <f t="shared" ca="1" si="8"/>
        <v>359676.49794922088</v>
      </c>
      <c r="J20" s="78"/>
      <c r="L20" s="76">
        <f ca="1"/>
        <v>46128</v>
      </c>
      <c r="M20" s="34">
        <f ca="1"/>
        <v>62.140999999999998</v>
      </c>
      <c r="N20" s="37">
        <f ca="1"/>
        <v>45945</v>
      </c>
      <c r="O20" s="41">
        <f ca="1"/>
        <v>223.6</v>
      </c>
      <c r="P20" s="37">
        <f t="shared" ca="1" si="0"/>
        <v>46128</v>
      </c>
      <c r="Q20" s="37" t="str">
        <f t="shared" ca="1" si="1"/>
        <v/>
      </c>
      <c r="X20" s="95">
        <v>46170</v>
      </c>
      <c r="Y20" s="3">
        <v>127.0003</v>
      </c>
      <c r="Z20" s="37">
        <v>46170</v>
      </c>
      <c r="AA20" s="3">
        <v>55.875</v>
      </c>
      <c r="AB20" s="37">
        <f t="shared" si="2"/>
        <v>46170</v>
      </c>
    </row>
    <row r="21" spans="1:28" x14ac:dyDescent="0.25">
      <c r="A21" s="102">
        <f t="shared" ca="1" si="4"/>
        <v>46190</v>
      </c>
      <c r="B21" s="33">
        <f ca="1">IF(COUNTIF($R$2:R1006,A21)=1,VLOOKUP(A21,X:Y,2), IF(COUNTIF($R$2:R1006,A21)=0,$B$10,""))</f>
        <v>127.13120000000001</v>
      </c>
      <c r="C21" s="25">
        <f t="shared" ca="1" si="5"/>
        <v>125799.31279532719</v>
      </c>
      <c r="D21" s="26"/>
      <c r="E21" s="33">
        <f t="shared" ca="1" si="3"/>
        <v>294.39999999999998</v>
      </c>
      <c r="F21" s="25">
        <f t="shared" ca="1" si="6"/>
        <v>625812.49999999919</v>
      </c>
      <c r="G21" s="25">
        <f t="shared" ca="1" si="7"/>
        <v>0</v>
      </c>
      <c r="H21" s="117"/>
      <c r="I21" s="55">
        <f t="shared" ca="1" si="8"/>
        <v>500013.18720467202</v>
      </c>
      <c r="J21" s="78"/>
      <c r="L21" s="76">
        <f ca="1"/>
        <v>46129</v>
      </c>
      <c r="M21" s="34">
        <f ca="1"/>
        <v>59.906999999999996</v>
      </c>
      <c r="N21" s="37">
        <f ca="1"/>
        <v>45946</v>
      </c>
      <c r="O21" s="41">
        <f ca="1"/>
        <v>224.8</v>
      </c>
      <c r="P21" s="37">
        <f t="shared" ca="1" si="0"/>
        <v>46129</v>
      </c>
      <c r="Q21" s="37" t="str">
        <f t="shared" ca="1" si="1"/>
        <v/>
      </c>
      <c r="X21" s="95">
        <v>46171</v>
      </c>
      <c r="Y21" s="3">
        <v>127.0389</v>
      </c>
      <c r="Z21" s="37">
        <v>46171</v>
      </c>
      <c r="AA21" s="3">
        <v>55.31</v>
      </c>
      <c r="AB21" s="37">
        <f t="shared" si="2"/>
        <v>46171</v>
      </c>
    </row>
    <row r="22" spans="1:28" x14ac:dyDescent="0.25">
      <c r="A22" s="102">
        <f t="shared" ca="1" si="4"/>
        <v>46191.470798958333</v>
      </c>
      <c r="B22" s="33">
        <f ca="1">IF(COUNTIF($R$2:R1007,A22)=1,VLOOKUP(A22,X:Y,2), IF(COUNTIF($R$2:R1007,A22)=0,$B$10,""))</f>
        <v>127.14071743443917</v>
      </c>
      <c r="C22" s="25">
        <f t="shared" ca="1" si="5"/>
        <v>135166.61674278785</v>
      </c>
      <c r="D22" s="26"/>
      <c r="E22" s="33">
        <f t="shared" ca="1" si="3"/>
        <v>295.2</v>
      </c>
      <c r="F22" s="25">
        <f t="shared" ca="1" si="6"/>
        <v>644812.49999999942</v>
      </c>
      <c r="G22" s="25">
        <f t="shared" ca="1" si="7"/>
        <v>0</v>
      </c>
      <c r="H22" s="117"/>
      <c r="I22" s="55">
        <f t="shared" ca="1" si="8"/>
        <v>509645.88325721154</v>
      </c>
      <c r="J22" s="78"/>
      <c r="L22" s="76">
        <f ca="1"/>
        <v>46132</v>
      </c>
      <c r="M22" s="34">
        <f ca="1"/>
        <v>60.746000000000002</v>
      </c>
      <c r="N22" s="37">
        <f ca="1"/>
        <v>45947</v>
      </c>
      <c r="O22" s="41">
        <f ca="1"/>
        <v>219.65</v>
      </c>
      <c r="P22" s="37">
        <f t="shared" ca="1" si="0"/>
        <v>46132</v>
      </c>
      <c r="Q22" s="37" t="str">
        <f t="shared" ca="1" si="1"/>
        <v/>
      </c>
      <c r="X22" s="95">
        <v>46174</v>
      </c>
      <c r="Y22" s="3">
        <v>126.9841</v>
      </c>
      <c r="Z22" s="37">
        <v>46174</v>
      </c>
      <c r="AA22" s="3">
        <v>56.264000000000003</v>
      </c>
      <c r="AB22" s="37">
        <f t="shared" si="2"/>
        <v>46174</v>
      </c>
    </row>
    <row r="23" spans="1:28" ht="14.45" customHeight="1" x14ac:dyDescent="0.25">
      <c r="A23" s="102" t="str">
        <f t="shared" ca="1" si="4"/>
        <v/>
      </c>
      <c r="B23" s="33" t="str">
        <f ca="1">IF(COUNTIF($R$2:R1008,A23)=1,VLOOKUP(A23,X:Y,2), IF(COUNTIF($R$2:R1008,A23)=0,$B$10,""))</f>
        <v/>
      </c>
      <c r="C23" s="25" t="str">
        <f t="shared" ca="1" si="5"/>
        <v/>
      </c>
      <c r="D23" s="26"/>
      <c r="E23" s="33" t="str">
        <f t="shared" ca="1" si="3"/>
        <v/>
      </c>
      <c r="F23" s="25" t="str">
        <f t="shared" ca="1" si="6"/>
        <v/>
      </c>
      <c r="G23" s="25" t="str">
        <f t="shared" ca="1" si="7"/>
        <v/>
      </c>
      <c r="H23" s="117"/>
      <c r="I23" s="55" t="str">
        <f t="shared" ca="1" si="8"/>
        <v/>
      </c>
      <c r="J23" s="78"/>
      <c r="L23" s="76">
        <f ca="1"/>
        <v>46133</v>
      </c>
      <c r="M23" s="34">
        <f ca="1"/>
        <v>62.037999999999997</v>
      </c>
      <c r="N23" s="37">
        <f ca="1"/>
        <v>45950</v>
      </c>
      <c r="O23" s="41">
        <f ca="1"/>
        <v>222.05</v>
      </c>
      <c r="P23" s="37">
        <f t="shared" ca="1" si="0"/>
        <v>46133</v>
      </c>
      <c r="Q23" s="37" t="str">
        <f t="shared" ca="1" si="1"/>
        <v/>
      </c>
      <c r="X23" s="95">
        <v>46175</v>
      </c>
      <c r="Y23" s="3">
        <v>127.0347</v>
      </c>
      <c r="Z23" s="37">
        <v>46175</v>
      </c>
      <c r="AA23" s="3">
        <v>55.411999999999999</v>
      </c>
      <c r="AB23" s="37">
        <f t="shared" si="2"/>
        <v>46175</v>
      </c>
    </row>
    <row r="24" spans="1:28" ht="14.45" customHeight="1" x14ac:dyDescent="0.25">
      <c r="A24" s="102" t="str">
        <f t="shared" ca="1" si="4"/>
        <v/>
      </c>
      <c r="B24" s="33" t="str">
        <f ca="1">IF(COUNTIF($R$2:R1009,A24)=1,VLOOKUP(A24,X:Y,2), IF(COUNTIF($R$2:R1009,A24)=0,$B$10,""))</f>
        <v/>
      </c>
      <c r="C24" s="25" t="str">
        <f t="shared" ca="1" si="5"/>
        <v/>
      </c>
      <c r="D24" s="26"/>
      <c r="E24" s="33" t="str">
        <f t="shared" ca="1" si="3"/>
        <v/>
      </c>
      <c r="F24" s="25" t="str">
        <f t="shared" ca="1" si="6"/>
        <v/>
      </c>
      <c r="G24" s="25" t="str">
        <f t="shared" ca="1" si="7"/>
        <v/>
      </c>
      <c r="H24" s="117"/>
      <c r="I24" s="55" t="str">
        <f t="shared" ca="1" si="8"/>
        <v/>
      </c>
      <c r="J24" s="78"/>
      <c r="L24" s="76">
        <f ca="1"/>
        <v>46134</v>
      </c>
      <c r="M24" s="34">
        <f ca="1"/>
        <v>62.338000000000001</v>
      </c>
      <c r="N24" s="37">
        <f ca="1"/>
        <v>45951</v>
      </c>
      <c r="O24" s="41">
        <f ca="1"/>
        <v>220.85</v>
      </c>
      <c r="P24" s="37">
        <f t="shared" ca="1" si="0"/>
        <v>46134</v>
      </c>
      <c r="Q24" s="37" t="str">
        <f t="shared" ca="1" si="1"/>
        <v/>
      </c>
      <c r="X24" s="95">
        <v>46176</v>
      </c>
      <c r="Y24" s="3">
        <v>126.98099999999999</v>
      </c>
      <c r="Z24" s="37">
        <v>46176</v>
      </c>
      <c r="AA24" s="3">
        <v>56.542999999999999</v>
      </c>
      <c r="AB24" s="37">
        <f t="shared" si="2"/>
        <v>46176</v>
      </c>
    </row>
    <row r="25" spans="1:28" ht="14.45" customHeight="1" x14ac:dyDescent="0.25">
      <c r="A25" s="102" t="str">
        <f t="shared" ca="1" si="4"/>
        <v/>
      </c>
      <c r="B25" s="33" t="str">
        <f ca="1">IF(COUNTIF($R$2:R1010,A25)=1,VLOOKUP(A25,X:Y,2), IF(COUNTIF($R$2:R1010,A25)=0,$B$10,""))</f>
        <v/>
      </c>
      <c r="C25" s="25" t="str">
        <f t="shared" ca="1" si="5"/>
        <v/>
      </c>
      <c r="D25" s="26"/>
      <c r="E25" s="33" t="str">
        <f t="shared" ca="1" si="3"/>
        <v/>
      </c>
      <c r="F25" s="25" t="str">
        <f t="shared" ca="1" si="6"/>
        <v/>
      </c>
      <c r="G25" s="25" t="str">
        <f t="shared" ca="1" si="7"/>
        <v/>
      </c>
      <c r="H25" s="117"/>
      <c r="I25" s="55" t="str">
        <f t="shared" ca="1" si="8"/>
        <v/>
      </c>
      <c r="J25" s="78"/>
      <c r="L25" s="76">
        <f ca="1"/>
        <v>46135</v>
      </c>
      <c r="M25" s="34">
        <f ca="1"/>
        <v>62.619</v>
      </c>
      <c r="N25" s="37">
        <f ca="1"/>
        <v>45952</v>
      </c>
      <c r="O25" s="41">
        <f ca="1"/>
        <v>220.15</v>
      </c>
      <c r="P25" s="37">
        <f t="shared" ca="1" si="0"/>
        <v>46135</v>
      </c>
      <c r="Q25" s="37" t="str">
        <f t="shared" ca="1" si="1"/>
        <v/>
      </c>
      <c r="X25" s="95">
        <v>46177</v>
      </c>
      <c r="Y25" s="3">
        <v>127.027</v>
      </c>
      <c r="Z25" s="37">
        <v>46177</v>
      </c>
      <c r="AA25" s="3">
        <v>55.634</v>
      </c>
      <c r="AB25" s="37">
        <f t="shared" si="2"/>
        <v>46177</v>
      </c>
    </row>
    <row r="26" spans="1:28" ht="14.45" customHeight="1" x14ac:dyDescent="0.25">
      <c r="A26" s="102" t="str">
        <f t="shared" ca="1" si="4"/>
        <v/>
      </c>
      <c r="B26" s="33" t="str">
        <f ca="1">IF(COUNTIF($R$2:R1011,A26)=1,VLOOKUP(A26,X:Y,2), IF(COUNTIF($R$2:R1011,A26)=0,$B$10,""))</f>
        <v/>
      </c>
      <c r="C26" s="25" t="str">
        <f t="shared" ca="1" si="5"/>
        <v/>
      </c>
      <c r="D26" s="26"/>
      <c r="E26" s="33" t="str">
        <f t="shared" ca="1" si="3"/>
        <v/>
      </c>
      <c r="F26" s="25" t="str">
        <f t="shared" ca="1" si="6"/>
        <v/>
      </c>
      <c r="G26" s="25" t="str">
        <f t="shared" ca="1" si="7"/>
        <v/>
      </c>
      <c r="H26" s="117"/>
      <c r="I26" s="55" t="str">
        <f t="shared" ca="1" si="8"/>
        <v/>
      </c>
      <c r="J26" s="78"/>
      <c r="L26" s="76">
        <f ca="1"/>
        <v>46136</v>
      </c>
      <c r="M26" s="34">
        <f ca="1"/>
        <v>62.325000000000003</v>
      </c>
      <c r="N26" s="37">
        <f ca="1"/>
        <v>45953</v>
      </c>
      <c r="O26" s="41">
        <f ca="1"/>
        <v>220.45</v>
      </c>
      <c r="P26" s="37">
        <f t="shared" ca="1" si="0"/>
        <v>46136</v>
      </c>
      <c r="Q26" s="37" t="str">
        <f t="shared" ca="1" si="1"/>
        <v/>
      </c>
      <c r="X26" s="95">
        <v>46178</v>
      </c>
      <c r="Y26" s="3">
        <v>126.98820000000001</v>
      </c>
      <c r="Z26" s="37">
        <v>46178</v>
      </c>
      <c r="AA26" s="3">
        <v>56.305</v>
      </c>
      <c r="AB26" s="37">
        <f t="shared" si="2"/>
        <v>46178</v>
      </c>
    </row>
    <row r="27" spans="1:28" ht="14.45" customHeight="1" x14ac:dyDescent="0.25">
      <c r="A27" s="102" t="str">
        <f t="shared" ca="1" si="4"/>
        <v/>
      </c>
      <c r="B27" s="33" t="str">
        <f ca="1">IF(COUNTIF($R$2:R1012,A27)=1,VLOOKUP(A27,X:Y,2), IF(COUNTIF($R$2:R1012,A27)=0,$B$10,""))</f>
        <v/>
      </c>
      <c r="C27" s="25" t="str">
        <f t="shared" ca="1" si="5"/>
        <v/>
      </c>
      <c r="D27" s="26"/>
      <c r="E27" s="33" t="str">
        <f t="shared" ca="1" si="3"/>
        <v/>
      </c>
      <c r="F27" s="25" t="str">
        <f t="shared" ca="1" si="6"/>
        <v/>
      </c>
      <c r="G27" s="25" t="str">
        <f t="shared" ca="1" si="7"/>
        <v/>
      </c>
      <c r="H27" s="117"/>
      <c r="I27" s="55" t="str">
        <f t="shared" ca="1" si="8"/>
        <v/>
      </c>
      <c r="J27" s="78"/>
      <c r="L27" s="76">
        <f ca="1"/>
        <v>46139</v>
      </c>
      <c r="M27" s="34">
        <f ca="1"/>
        <v>62.607999999999997</v>
      </c>
      <c r="N27" s="37">
        <f ca="1"/>
        <v>45954</v>
      </c>
      <c r="O27" s="41">
        <f ca="1"/>
        <v>220</v>
      </c>
      <c r="P27" s="37">
        <f t="shared" ca="1" si="0"/>
        <v>46139</v>
      </c>
      <c r="Q27" s="37" t="str">
        <f t="shared" ca="1" si="1"/>
        <v/>
      </c>
      <c r="X27" s="95">
        <v>46181</v>
      </c>
      <c r="Y27" s="3">
        <v>126.9862</v>
      </c>
      <c r="Z27" s="37">
        <v>46181</v>
      </c>
      <c r="AA27" s="3">
        <v>56.44</v>
      </c>
      <c r="AB27" s="37">
        <f t="shared" si="2"/>
        <v>46181</v>
      </c>
    </row>
    <row r="28" spans="1:28" ht="14.45" customHeight="1" x14ac:dyDescent="0.25">
      <c r="A28" s="102" t="str">
        <f t="shared" ca="1" si="4"/>
        <v/>
      </c>
      <c r="B28" s="33" t="str">
        <f ca="1">IF(COUNTIF($R$2:R1013,A28)=1,VLOOKUP(A28,X:Y,2), IF(COUNTIF($R$2:R1013,A28)=0,$B$10,""))</f>
        <v/>
      </c>
      <c r="C28" s="25" t="str">
        <f t="shared" ca="1" si="5"/>
        <v/>
      </c>
      <c r="D28" s="26"/>
      <c r="E28" s="33" t="str">
        <f t="shared" ca="1" si="3"/>
        <v/>
      </c>
      <c r="F28" s="25" t="str">
        <f t="shared" ca="1" si="6"/>
        <v/>
      </c>
      <c r="G28" s="25" t="str">
        <f t="shared" ca="1" si="7"/>
        <v/>
      </c>
      <c r="H28" s="117"/>
      <c r="I28" s="55" t="str">
        <f t="shared" ca="1" si="8"/>
        <v/>
      </c>
      <c r="J28" s="78"/>
      <c r="L28" s="76">
        <f ca="1"/>
        <v>46140</v>
      </c>
      <c r="M28" s="34">
        <f ca="1"/>
        <v>63.091999999999999</v>
      </c>
      <c r="N28" s="37">
        <f ca="1"/>
        <v>45957</v>
      </c>
      <c r="O28" s="41">
        <f ca="1"/>
        <v>223</v>
      </c>
      <c r="P28" s="37">
        <f t="shared" ca="1" si="0"/>
        <v>46140</v>
      </c>
      <c r="Q28" s="37" t="str">
        <f t="shared" ca="1" si="1"/>
        <v/>
      </c>
      <c r="X28" s="95">
        <v>46182</v>
      </c>
      <c r="Y28" s="3">
        <v>126.9854</v>
      </c>
      <c r="Z28" s="37">
        <v>46182</v>
      </c>
      <c r="AA28" s="3">
        <v>56.698999999999998</v>
      </c>
      <c r="AB28" s="37">
        <f t="shared" si="2"/>
        <v>46182</v>
      </c>
    </row>
    <row r="29" spans="1:28" ht="14.45" customHeight="1" x14ac:dyDescent="0.25">
      <c r="A29" s="102" t="str">
        <f t="shared" ca="1" si="4"/>
        <v/>
      </c>
      <c r="B29" s="33" t="str">
        <f ca="1">IF(COUNTIF($R$2:R1014,A29)=1,VLOOKUP(A29,X:Y,2), IF(COUNTIF($R$2:R1014,A29)=0,$B$10,""))</f>
        <v/>
      </c>
      <c r="C29" s="25" t="str">
        <f t="shared" ca="1" si="5"/>
        <v/>
      </c>
      <c r="D29" s="26"/>
      <c r="E29" s="33" t="str">
        <f t="shared" ca="1" si="3"/>
        <v/>
      </c>
      <c r="F29" s="25" t="str">
        <f t="shared" ca="1" si="6"/>
        <v/>
      </c>
      <c r="G29" s="25" t="str">
        <f t="shared" ca="1" si="7"/>
        <v/>
      </c>
      <c r="H29" s="117"/>
      <c r="I29" s="55" t="str">
        <f t="shared" ca="1" si="8"/>
        <v/>
      </c>
      <c r="J29" s="78"/>
      <c r="L29" s="76">
        <f ca="1"/>
        <v>46141</v>
      </c>
      <c r="M29" s="34">
        <f ca="1"/>
        <v>63.991</v>
      </c>
      <c r="N29" s="37">
        <f ca="1"/>
        <v>45958</v>
      </c>
      <c r="O29" s="41">
        <f ca="1"/>
        <v>223.5</v>
      </c>
      <c r="P29" s="37">
        <f t="shared" ca="1" si="0"/>
        <v>46141</v>
      </c>
      <c r="Q29" s="37" t="str">
        <f t="shared" ca="1" si="1"/>
        <v/>
      </c>
      <c r="X29" s="95">
        <v>46183</v>
      </c>
      <c r="Y29" s="3">
        <v>126.9585</v>
      </c>
      <c r="Z29" s="37">
        <v>46183</v>
      </c>
      <c r="AA29" s="3">
        <v>57.075000000000003</v>
      </c>
      <c r="AB29" s="37">
        <f t="shared" si="2"/>
        <v>46183</v>
      </c>
    </row>
    <row r="30" spans="1:28" ht="14.45" customHeight="1" x14ac:dyDescent="0.25">
      <c r="A30" s="102" t="str">
        <f t="shared" ca="1" si="4"/>
        <v/>
      </c>
      <c r="B30" s="33" t="str">
        <f ca="1">IF(COUNTIF($R$2:R1015,A30)=1,VLOOKUP(A30,X:Y,2), IF(COUNTIF($R$2:R1015,A30)=0,$B$10,""))</f>
        <v/>
      </c>
      <c r="C30" s="25" t="str">
        <f t="shared" ca="1" si="5"/>
        <v/>
      </c>
      <c r="D30" s="26"/>
      <c r="E30" s="33" t="str">
        <f t="shared" ca="1" si="3"/>
        <v/>
      </c>
      <c r="F30" s="25" t="str">
        <f t="shared" ca="1" si="6"/>
        <v/>
      </c>
      <c r="G30" s="25" t="str">
        <f t="shared" ca="1" si="7"/>
        <v/>
      </c>
      <c r="H30" s="117">
        <f>$F$7*$F$4</f>
        <v>6349.2699999999995</v>
      </c>
      <c r="I30" s="55" t="str">
        <f t="shared" ca="1" si="8"/>
        <v/>
      </c>
      <c r="J30" s="78"/>
      <c r="L30" s="76">
        <f ca="1"/>
        <v>46142</v>
      </c>
      <c r="M30" s="34">
        <f ca="1"/>
        <v>62.524999999999999</v>
      </c>
      <c r="N30" s="37">
        <f ca="1"/>
        <v>45959</v>
      </c>
      <c r="O30" s="41">
        <f ca="1"/>
        <v>228.1</v>
      </c>
      <c r="P30" s="37">
        <f t="shared" ca="1" si="0"/>
        <v>46142</v>
      </c>
      <c r="Q30" s="37" t="str">
        <f t="shared" ca="1" si="1"/>
        <v/>
      </c>
      <c r="X30" s="95">
        <v>46184</v>
      </c>
      <c r="Y30" s="3">
        <v>126.9697</v>
      </c>
      <c r="Z30" s="37">
        <v>46184</v>
      </c>
      <c r="AA30" s="3">
        <v>56.802999999999997</v>
      </c>
      <c r="AB30" s="37">
        <f t="shared" si="2"/>
        <v>46184</v>
      </c>
    </row>
    <row r="31" spans="1:28" ht="14.45" customHeight="1" x14ac:dyDescent="0.25">
      <c r="A31" s="102" t="str">
        <f t="shared" ca="1" si="4"/>
        <v/>
      </c>
      <c r="B31" s="33" t="str">
        <f ca="1">IF(COUNTIF($R$2:R1016,A31)=1,VLOOKUP(A31,X:Y,2), IF(COUNTIF($R$2:R1016,A31)=0,$B$10,""))</f>
        <v/>
      </c>
      <c r="C31" s="25" t="str">
        <f t="shared" ca="1" si="5"/>
        <v/>
      </c>
      <c r="D31" s="26"/>
      <c r="E31" s="33" t="str">
        <f t="shared" ca="1" si="3"/>
        <v/>
      </c>
      <c r="F31" s="25" t="str">
        <f t="shared" ca="1" si="6"/>
        <v/>
      </c>
      <c r="G31" s="25" t="str">
        <f t="shared" ca="1" si="7"/>
        <v/>
      </c>
      <c r="H31" s="117"/>
      <c r="I31" s="55" t="str">
        <f t="shared" ca="1" si="8"/>
        <v/>
      </c>
      <c r="J31" s="78"/>
      <c r="L31" s="76">
        <f ca="1"/>
        <v>46143</v>
      </c>
      <c r="M31" s="34">
        <f ca="1"/>
        <v>60.497999999999998</v>
      </c>
      <c r="N31" s="37">
        <f ca="1"/>
        <v>45960</v>
      </c>
      <c r="O31" s="41">
        <f ca="1"/>
        <v>227.3</v>
      </c>
      <c r="P31" s="37" t="str">
        <f t="shared" ca="1" si="0"/>
        <v/>
      </c>
      <c r="Q31" s="37" t="str">
        <f t="shared" ca="1" si="1"/>
        <v/>
      </c>
      <c r="X31" s="95">
        <v>46185</v>
      </c>
      <c r="Y31" s="3">
        <v>127.0964</v>
      </c>
      <c r="Z31" s="37">
        <v>46185</v>
      </c>
      <c r="AA31" s="3">
        <v>54.790999999999997</v>
      </c>
      <c r="AB31" s="37">
        <f t="shared" si="2"/>
        <v>46185</v>
      </c>
    </row>
    <row r="32" spans="1:28" ht="14.45" customHeight="1" x14ac:dyDescent="0.25">
      <c r="A32" s="102" t="str">
        <f t="shared" ca="1" si="4"/>
        <v/>
      </c>
      <c r="B32" s="33" t="str">
        <f ca="1">IF(COUNTIF($R$2:R1017,A32)=1,VLOOKUP(A32,X:Y,2), IF(COUNTIF($R$2:R1017,A32)=0,$B$10,""))</f>
        <v/>
      </c>
      <c r="C32" s="25" t="str">
        <f t="shared" ca="1" si="5"/>
        <v/>
      </c>
      <c r="D32" s="26"/>
      <c r="E32" s="33" t="str">
        <f t="shared" ca="1" si="3"/>
        <v/>
      </c>
      <c r="F32" s="25" t="str">
        <f t="shared" ca="1" si="6"/>
        <v/>
      </c>
      <c r="G32" s="25" t="str">
        <f t="shared" ca="1" si="7"/>
        <v/>
      </c>
      <c r="H32" s="117"/>
      <c r="I32" s="55" t="str">
        <f t="shared" ca="1" si="8"/>
        <v/>
      </c>
      <c r="J32" s="78"/>
      <c r="L32" s="76">
        <f ca="1"/>
        <v>46147</v>
      </c>
      <c r="M32" s="34">
        <f ca="1"/>
        <v>61.04</v>
      </c>
      <c r="N32" s="37">
        <f ca="1"/>
        <v>45961</v>
      </c>
      <c r="O32" s="41">
        <f ca="1"/>
        <v>228.35</v>
      </c>
      <c r="P32" s="37">
        <f t="shared" ca="1" si="0"/>
        <v>46147</v>
      </c>
      <c r="Q32" s="37" t="str">
        <f t="shared" ca="1" si="1"/>
        <v/>
      </c>
      <c r="X32" s="95">
        <v>46188</v>
      </c>
      <c r="Y32" s="3">
        <v>127.1601</v>
      </c>
      <c r="Z32" s="37">
        <v>46188</v>
      </c>
      <c r="AA32" s="3">
        <v>53.712000000000003</v>
      </c>
      <c r="AB32" s="37">
        <f t="shared" si="2"/>
        <v>46188</v>
      </c>
    </row>
    <row r="33" spans="1:28" ht="14.45" customHeight="1" x14ac:dyDescent="0.25">
      <c r="A33" s="102" t="str">
        <f t="shared" ca="1" si="4"/>
        <v/>
      </c>
      <c r="B33" s="33" t="str">
        <f ca="1">IF(COUNTIF($R$2:R1018,A33)=1,VLOOKUP(A33,X:Y,2), IF(COUNTIF($R$2:R1018,A33)=0,$B$10,""))</f>
        <v/>
      </c>
      <c r="C33" s="25" t="str">
        <f t="shared" ca="1" si="5"/>
        <v/>
      </c>
      <c r="D33" s="26"/>
      <c r="E33" s="33" t="str">
        <f t="shared" ca="1" si="3"/>
        <v/>
      </c>
      <c r="F33" s="25" t="str">
        <f t="shared" ca="1" si="6"/>
        <v/>
      </c>
      <c r="G33" s="25" t="str">
        <f t="shared" ca="1" si="7"/>
        <v/>
      </c>
      <c r="H33" s="117"/>
      <c r="I33" s="55" t="str">
        <f t="shared" ca="1" si="8"/>
        <v/>
      </c>
      <c r="J33" s="78"/>
      <c r="L33" s="76">
        <f ca="1"/>
        <v>46148</v>
      </c>
      <c r="M33" s="34">
        <f ca="1"/>
        <v>58.661999999999999</v>
      </c>
      <c r="N33" s="37">
        <f ca="1"/>
        <v>45964</v>
      </c>
      <c r="O33" s="41">
        <f ca="1"/>
        <v>228.9</v>
      </c>
      <c r="P33" s="37">
        <f t="shared" ca="1" si="0"/>
        <v>46148</v>
      </c>
      <c r="Q33" s="37" t="str">
        <f t="shared" ca="1" si="1"/>
        <v/>
      </c>
      <c r="X33" s="95">
        <v>46189</v>
      </c>
      <c r="Y33" s="3">
        <v>127.14709999999999</v>
      </c>
      <c r="Z33" s="37">
        <v>46189</v>
      </c>
      <c r="AA33" s="3">
        <v>54.116</v>
      </c>
      <c r="AB33" s="37">
        <f t="shared" si="2"/>
        <v>46189</v>
      </c>
    </row>
    <row r="34" spans="1:28" ht="14.45" customHeight="1" x14ac:dyDescent="0.25">
      <c r="A34" s="102" t="str">
        <f t="shared" ca="1" si="4"/>
        <v/>
      </c>
      <c r="B34" s="33" t="str">
        <f ca="1">IF(COUNTIF($R$2:R1019,A34)=1,VLOOKUP(A34,X:Y,2), IF(COUNTIF($R$2:R1019,A34)=0,$B$10,""))</f>
        <v/>
      </c>
      <c r="C34" s="25" t="str">
        <f t="shared" ca="1" si="5"/>
        <v/>
      </c>
      <c r="D34" s="26"/>
      <c r="E34" s="33" t="str">
        <f t="shared" ca="1" si="3"/>
        <v/>
      </c>
      <c r="F34" s="25" t="str">
        <f t="shared" ca="1" si="6"/>
        <v/>
      </c>
      <c r="G34" s="25" t="str">
        <f t="shared" ca="1" si="7"/>
        <v/>
      </c>
      <c r="H34" s="117"/>
      <c r="I34" s="55" t="str">
        <f t="shared" ca="1" si="8"/>
        <v/>
      </c>
      <c r="J34" s="78"/>
      <c r="L34" s="76">
        <f ca="1"/>
        <v>46149</v>
      </c>
      <c r="M34" s="34">
        <f ca="1"/>
        <v>59.383000000000003</v>
      </c>
      <c r="N34" s="37">
        <f ca="1"/>
        <v>45965</v>
      </c>
      <c r="O34" s="41">
        <f ca="1"/>
        <v>229.25</v>
      </c>
      <c r="P34" s="37">
        <f t="shared" ca="1" si="0"/>
        <v>46149</v>
      </c>
      <c r="Q34" s="37" t="str">
        <f t="shared" ca="1" si="1"/>
        <v/>
      </c>
      <c r="X34" s="95">
        <v>46190</v>
      </c>
      <c r="Y34" s="3">
        <v>127.13120000000001</v>
      </c>
      <c r="Z34" s="37">
        <v>46190</v>
      </c>
      <c r="AA34" s="3">
        <v>54.383000000000003</v>
      </c>
      <c r="AB34" s="37">
        <f t="shared" si="2"/>
        <v>46190</v>
      </c>
    </row>
    <row r="35" spans="1:28" ht="14.45" customHeight="1" x14ac:dyDescent="0.25">
      <c r="A35" s="102" t="str">
        <f t="shared" ca="1" si="4"/>
        <v/>
      </c>
      <c r="B35" s="33" t="str">
        <f ca="1">IF(COUNTIF($R$2:R1020,A35)=1,VLOOKUP(A35,X:Y,2), IF(COUNTIF($R$2:R1020,A35)=0,$B$10,""))</f>
        <v/>
      </c>
      <c r="C35" s="25" t="str">
        <f t="shared" ca="1" si="5"/>
        <v/>
      </c>
      <c r="D35" s="26"/>
      <c r="E35" s="33" t="str">
        <f t="shared" ca="1" si="3"/>
        <v/>
      </c>
      <c r="F35" s="25" t="str">
        <f t="shared" ca="1" si="6"/>
        <v/>
      </c>
      <c r="G35" s="25" t="str">
        <f t="shared" ca="1" si="7"/>
        <v/>
      </c>
      <c r="H35" s="117"/>
      <c r="I35" s="55" t="str">
        <f t="shared" ca="1" si="8"/>
        <v/>
      </c>
      <c r="J35" s="78"/>
      <c r="L35" s="76">
        <f ca="1"/>
        <v>46150</v>
      </c>
      <c r="M35" s="34">
        <f ca="1"/>
        <v>59.293999999999997</v>
      </c>
      <c r="N35" s="37">
        <f ca="1"/>
        <v>45966</v>
      </c>
      <c r="O35" s="41">
        <f ca="1"/>
        <v>230.35</v>
      </c>
      <c r="P35" s="37">
        <f t="shared" ca="1" si="0"/>
        <v>46150</v>
      </c>
      <c r="Q35" s="37" t="str">
        <f t="shared" ca="1" si="1"/>
        <v/>
      </c>
      <c r="Z35" s="37">
        <v>46191</v>
      </c>
      <c r="AA35" s="3">
        <v>54.265999999999998</v>
      </c>
      <c r="AB35" s="37" t="str">
        <f t="shared" si="2"/>
        <v/>
      </c>
    </row>
    <row r="36" spans="1:28" ht="14.45" customHeight="1" x14ac:dyDescent="0.25">
      <c r="A36" s="102" t="str">
        <f t="shared" ca="1" si="4"/>
        <v/>
      </c>
      <c r="B36" s="33" t="str">
        <f ca="1">IF(COUNTIF($R$2:R1021,A36)=1,VLOOKUP(A36,X:Y,2), IF(COUNTIF($R$2:R1021,A36)=0,$B$10,""))</f>
        <v/>
      </c>
      <c r="C36" s="25" t="str">
        <f t="shared" ca="1" si="5"/>
        <v/>
      </c>
      <c r="D36" s="26"/>
      <c r="E36" s="33" t="str">
        <f t="shared" ca="1" si="3"/>
        <v/>
      </c>
      <c r="F36" s="25" t="str">
        <f t="shared" ca="1" si="6"/>
        <v/>
      </c>
      <c r="G36" s="25" t="str">
        <f t="shared" ca="1" si="7"/>
        <v/>
      </c>
      <c r="H36" s="117"/>
      <c r="I36" s="55" t="str">
        <f t="shared" ca="1" si="8"/>
        <v/>
      </c>
      <c r="J36" s="78"/>
      <c r="L36" s="76">
        <f ca="1"/>
        <v>46153</v>
      </c>
      <c r="M36" s="34">
        <f ca="1"/>
        <v>58.976999999999997</v>
      </c>
      <c r="N36" s="37">
        <f ca="1"/>
        <v>45967</v>
      </c>
      <c r="O36" s="41">
        <f ca="1"/>
        <v>230.7</v>
      </c>
      <c r="P36" s="37">
        <f t="shared" ca="1" si="0"/>
        <v>46153</v>
      </c>
      <c r="Q36" s="37" t="str">
        <f t="shared" ca="1" si="1"/>
        <v/>
      </c>
      <c r="Z36" s="37"/>
      <c r="AB36" s="37" t="str">
        <f t="shared" si="2"/>
        <v/>
      </c>
    </row>
    <row r="37" spans="1:28" x14ac:dyDescent="0.25">
      <c r="A37" s="102" t="str">
        <f t="shared" ca="1" si="4"/>
        <v/>
      </c>
      <c r="B37" s="33" t="str">
        <f ca="1">IF(COUNTIF($R$2:R1022,A37)=1,VLOOKUP(A37,X:Y,2), IF(COUNTIF($R$2:R1022,A37)=0,$B$10,""))</f>
        <v/>
      </c>
      <c r="C37" s="25" t="str">
        <f t="shared" ca="1" si="5"/>
        <v/>
      </c>
      <c r="D37" s="26"/>
      <c r="E37" s="33" t="str">
        <f t="shared" ca="1" si="3"/>
        <v/>
      </c>
      <c r="F37" s="25" t="str">
        <f t="shared" ca="1" si="6"/>
        <v/>
      </c>
      <c r="G37" s="25" t="str">
        <f t="shared" ca="1" si="7"/>
        <v/>
      </c>
      <c r="H37" s="117"/>
      <c r="I37" s="55" t="str">
        <f t="shared" ca="1" si="8"/>
        <v/>
      </c>
      <c r="J37" s="78"/>
      <c r="L37" s="76">
        <f ca="1"/>
        <v>46154</v>
      </c>
      <c r="M37" s="34">
        <f ca="1"/>
        <v>61.081000000000003</v>
      </c>
      <c r="N37" s="37">
        <f ca="1"/>
        <v>45968</v>
      </c>
      <c r="O37" s="41">
        <f ca="1"/>
        <v>228.8</v>
      </c>
      <c r="P37" s="37">
        <f t="shared" ca="1" si="0"/>
        <v>46154</v>
      </c>
      <c r="Q37" s="37" t="str">
        <f t="shared" ca="1" si="1"/>
        <v/>
      </c>
      <c r="Z37" s="37"/>
      <c r="AB37" s="37" t="str">
        <f t="shared" si="2"/>
        <v/>
      </c>
    </row>
    <row r="38" spans="1:28" x14ac:dyDescent="0.25">
      <c r="A38" s="102" t="str">
        <f t="shared" ca="1" si="4"/>
        <v/>
      </c>
      <c r="B38" s="33" t="str">
        <f ca="1">IF(COUNTIF($R$2:R1023,A38)=1,VLOOKUP(A38,X:Y,2), IF(COUNTIF($R$2:R1023,A38)=0,$B$10,""))</f>
        <v/>
      </c>
      <c r="C38" s="25" t="str">
        <f t="shared" ca="1" si="5"/>
        <v/>
      </c>
      <c r="D38" s="26"/>
      <c r="E38" s="33" t="str">
        <f t="shared" ca="1" si="3"/>
        <v/>
      </c>
      <c r="F38" s="25" t="str">
        <f t="shared" ca="1" si="6"/>
        <v/>
      </c>
      <c r="G38" s="25" t="str">
        <f t="shared" ca="1" si="7"/>
        <v/>
      </c>
      <c r="H38" s="117"/>
      <c r="I38" s="55" t="str">
        <f t="shared" ca="1" si="8"/>
        <v/>
      </c>
      <c r="J38" s="78"/>
      <c r="L38" s="76">
        <f ca="1"/>
        <v>46155</v>
      </c>
      <c r="M38" s="34">
        <f ca="1"/>
        <v>59.908999999999999</v>
      </c>
      <c r="N38" s="37">
        <f ca="1"/>
        <v>45971</v>
      </c>
      <c r="O38" s="41">
        <f ca="1"/>
        <v>236.7</v>
      </c>
      <c r="P38" s="37">
        <f t="shared" ca="1" si="0"/>
        <v>46155</v>
      </c>
      <c r="Q38" s="37" t="str">
        <f t="shared" ca="1" si="1"/>
        <v/>
      </c>
      <c r="Z38" s="37"/>
      <c r="AB38" s="37" t="str">
        <f t="shared" si="2"/>
        <v/>
      </c>
    </row>
    <row r="39" spans="1:28" x14ac:dyDescent="0.25">
      <c r="A39" s="102" t="str">
        <f t="shared" ca="1" si="4"/>
        <v/>
      </c>
      <c r="B39" s="33" t="str">
        <f ca="1">IF(COUNTIF($R$2:R1024,A39)=1,VLOOKUP(A39,X:Y,2), IF(COUNTIF($R$2:R1024,A39)=0,$B$10,""))</f>
        <v/>
      </c>
      <c r="C39" s="25" t="str">
        <f t="shared" ca="1" si="5"/>
        <v/>
      </c>
      <c r="D39" s="26"/>
      <c r="E39" s="33" t="str">
        <f t="shared" ca="1" si="3"/>
        <v/>
      </c>
      <c r="F39" s="25" t="str">
        <f t="shared" ca="1" si="6"/>
        <v/>
      </c>
      <c r="G39" s="25" t="str">
        <f t="shared" ca="1" si="7"/>
        <v/>
      </c>
      <c r="H39" s="117"/>
      <c r="I39" s="55" t="str">
        <f t="shared" ca="1" si="8"/>
        <v/>
      </c>
      <c r="J39" s="79"/>
      <c r="L39" s="76">
        <f ca="1"/>
        <v>46156</v>
      </c>
      <c r="M39" s="34">
        <f ca="1"/>
        <v>58.856999999999999</v>
      </c>
      <c r="N39" s="37">
        <f ca="1"/>
        <v>45972</v>
      </c>
      <c r="O39" s="41">
        <f ca="1"/>
        <v>239.45</v>
      </c>
      <c r="P39" s="37">
        <f t="shared" ca="1" si="0"/>
        <v>46156</v>
      </c>
      <c r="Q39" s="37" t="str">
        <f t="shared" ca="1" si="1"/>
        <v/>
      </c>
      <c r="Z39" s="37"/>
      <c r="AB39" s="37" t="str">
        <f t="shared" si="2"/>
        <v/>
      </c>
    </row>
    <row r="40" spans="1:28" x14ac:dyDescent="0.25">
      <c r="A40" s="102" t="str">
        <f t="shared" ca="1" si="4"/>
        <v/>
      </c>
      <c r="B40" s="33" t="str">
        <f ca="1">IF(COUNTIF($R$2:R1025,A40)=1,VLOOKUP(A40,X:Y,2), IF(COUNTIF($R$2:R1025,A40)=0,$B$10,""))</f>
        <v/>
      </c>
      <c r="C40" s="25" t="str">
        <f t="shared" ca="1" si="5"/>
        <v/>
      </c>
      <c r="D40" s="26"/>
      <c r="E40" s="33" t="str">
        <f t="shared" ca="1" si="3"/>
        <v/>
      </c>
      <c r="F40" s="25" t="str">
        <f t="shared" ca="1" si="6"/>
        <v/>
      </c>
      <c r="G40" s="25" t="str">
        <f t="shared" ca="1" si="7"/>
        <v/>
      </c>
      <c r="H40" s="117"/>
      <c r="I40" s="55" t="str">
        <f t="shared" ca="1" si="8"/>
        <v/>
      </c>
      <c r="J40" s="79"/>
      <c r="L40" s="76">
        <f ca="1"/>
        <v>46157</v>
      </c>
      <c r="M40" s="34">
        <f ca="1"/>
        <v>61.091000000000001</v>
      </c>
      <c r="N40" s="37">
        <f ca="1"/>
        <v>45973</v>
      </c>
      <c r="O40" s="41">
        <f ca="1"/>
        <v>244.1</v>
      </c>
      <c r="P40" s="37">
        <f t="shared" ca="1" si="0"/>
        <v>46157</v>
      </c>
      <c r="Q40" s="37" t="str">
        <f t="shared" ca="1" si="1"/>
        <v/>
      </c>
      <c r="Z40" s="37"/>
      <c r="AB40" s="37" t="str">
        <f t="shared" si="2"/>
        <v/>
      </c>
    </row>
    <row r="41" spans="1:28" x14ac:dyDescent="0.25">
      <c r="A41" s="102" t="str">
        <f t="shared" ca="1" si="4"/>
        <v/>
      </c>
      <c r="B41" s="33" t="str">
        <f ca="1">IF(COUNTIF($R$2:R1026,A41)=1,VLOOKUP(A41,X:Y,2), IF(COUNTIF($R$2:R1026,A41)=0,$B$10,""))</f>
        <v/>
      </c>
      <c r="C41" s="25" t="str">
        <f t="shared" ca="1" si="5"/>
        <v/>
      </c>
      <c r="D41" s="26"/>
      <c r="E41" s="33" t="str">
        <f t="shared" ca="1" si="3"/>
        <v/>
      </c>
      <c r="F41" s="25" t="str">
        <f t="shared" ca="1" si="6"/>
        <v/>
      </c>
      <c r="G41" s="25" t="str">
        <f t="shared" ca="1" si="7"/>
        <v/>
      </c>
      <c r="H41" s="117"/>
      <c r="I41" s="55" t="str">
        <f t="shared" ca="1" si="8"/>
        <v/>
      </c>
      <c r="J41" s="79"/>
      <c r="L41" s="76">
        <f ca="1"/>
        <v>46160</v>
      </c>
      <c r="M41" s="34">
        <f ca="1"/>
        <v>60.332000000000001</v>
      </c>
      <c r="N41" s="37">
        <f ca="1"/>
        <v>45974</v>
      </c>
      <c r="O41" s="41">
        <f ca="1"/>
        <v>244.15</v>
      </c>
      <c r="P41" s="37">
        <f t="shared" ca="1" si="0"/>
        <v>46160</v>
      </c>
      <c r="Q41" s="37" t="str">
        <f t="shared" ca="1" si="1"/>
        <v/>
      </c>
      <c r="Z41" s="37"/>
      <c r="AB41" s="37" t="str">
        <f t="shared" si="2"/>
        <v/>
      </c>
    </row>
    <row r="42" spans="1:28" x14ac:dyDescent="0.25">
      <c r="A42" s="102" t="str">
        <f t="shared" ca="1" si="4"/>
        <v/>
      </c>
      <c r="B42" s="33" t="str">
        <f ca="1">IF(COUNTIF($R$2:R1027,A42)=1,VLOOKUP(A42,X:Y,2), IF(COUNTIF($R$2:R1027,A42)=0,$B$10,""))</f>
        <v/>
      </c>
      <c r="C42" s="25" t="str">
        <f t="shared" ca="1" si="5"/>
        <v/>
      </c>
      <c r="D42" s="26"/>
      <c r="E42" s="33" t="str">
        <f t="shared" ca="1" si="3"/>
        <v/>
      </c>
      <c r="F42" s="25" t="str">
        <f t="shared" ca="1" si="6"/>
        <v/>
      </c>
      <c r="G42" s="25" t="str">
        <f t="shared" ca="1" si="7"/>
        <v/>
      </c>
      <c r="H42" s="117"/>
      <c r="I42" s="55" t="str">
        <f t="shared" ca="1" si="8"/>
        <v/>
      </c>
      <c r="J42" s="79"/>
      <c r="L42" s="76">
        <f ca="1"/>
        <v>46161</v>
      </c>
      <c r="M42" s="34">
        <f ca="1"/>
        <v>61.036999999999999</v>
      </c>
      <c r="N42" s="37">
        <f ca="1"/>
        <v>45975</v>
      </c>
      <c r="O42" s="41">
        <f ca="1"/>
        <v>237.85</v>
      </c>
      <c r="P42" s="37">
        <f t="shared" ca="1" si="0"/>
        <v>46161</v>
      </c>
      <c r="Q42" s="37" t="str">
        <f t="shared" ca="1" si="1"/>
        <v/>
      </c>
      <c r="Z42" s="37"/>
      <c r="AB42" s="37" t="str">
        <f t="shared" si="2"/>
        <v/>
      </c>
    </row>
    <row r="43" spans="1:28" x14ac:dyDescent="0.25">
      <c r="A43" s="102" t="str">
        <f t="shared" ca="1" si="4"/>
        <v/>
      </c>
      <c r="B43" s="33" t="str">
        <f ca="1">IF(COUNTIF($R$2:R1028,A43)=1,VLOOKUP(A43,X:Y,2), IF(COUNTIF($R$2:R1028,A43)=0,$B$10,""))</f>
        <v/>
      </c>
      <c r="C43" s="25" t="str">
        <f t="shared" ca="1" si="5"/>
        <v/>
      </c>
      <c r="D43" s="26"/>
      <c r="E43" s="33" t="str">
        <f t="shared" ca="1" si="3"/>
        <v/>
      </c>
      <c r="F43" s="25" t="str">
        <f t="shared" ca="1" si="6"/>
        <v/>
      </c>
      <c r="G43" s="25" t="str">
        <f t="shared" ca="1" si="7"/>
        <v/>
      </c>
      <c r="H43" s="117"/>
      <c r="I43" s="55" t="str">
        <f t="shared" ca="1" si="8"/>
        <v/>
      </c>
      <c r="J43" s="79"/>
      <c r="L43" s="76">
        <f ca="1"/>
        <v>46162</v>
      </c>
      <c r="M43" s="34">
        <f ca="1"/>
        <v>58.652000000000001</v>
      </c>
      <c r="N43" s="37">
        <f ca="1"/>
        <v>45978</v>
      </c>
      <c r="O43" s="41">
        <f ca="1"/>
        <v>234.5</v>
      </c>
      <c r="P43" s="37">
        <f t="shared" ca="1" si="0"/>
        <v>46162</v>
      </c>
      <c r="Q43" s="37" t="str">
        <f t="shared" ca="1" si="1"/>
        <v/>
      </c>
      <c r="Z43" s="37"/>
      <c r="AB43" s="37" t="str">
        <f t="shared" si="2"/>
        <v/>
      </c>
    </row>
    <row r="44" spans="1:28" x14ac:dyDescent="0.25">
      <c r="A44" s="102" t="str">
        <f t="shared" ca="1" si="4"/>
        <v/>
      </c>
      <c r="B44" s="33" t="str">
        <f ca="1">IF(COUNTIF($R$2:R1029,A44)=1,VLOOKUP(A44,X:Y,2), IF(COUNTIF($R$2:R1029,A44)=0,$B$10,""))</f>
        <v/>
      </c>
      <c r="C44" s="25" t="str">
        <f t="shared" ca="1" si="5"/>
        <v/>
      </c>
      <c r="D44" s="26"/>
      <c r="E44" s="33" t="str">
        <f t="shared" ca="1" si="3"/>
        <v/>
      </c>
      <c r="F44" s="25" t="str">
        <f t="shared" ca="1" si="6"/>
        <v/>
      </c>
      <c r="G44" s="25" t="str">
        <f t="shared" ca="1" si="7"/>
        <v/>
      </c>
      <c r="H44" s="117"/>
      <c r="I44" s="55" t="str">
        <f t="shared" ca="1" si="8"/>
        <v/>
      </c>
      <c r="J44" s="79"/>
      <c r="L44" s="76">
        <f ca="1"/>
        <v>46163</v>
      </c>
      <c r="M44" s="34">
        <f ca="1"/>
        <v>59.023000000000003</v>
      </c>
      <c r="N44" s="37">
        <f ca="1"/>
        <v>45979</v>
      </c>
      <c r="O44" s="41">
        <f ca="1"/>
        <v>227.65</v>
      </c>
      <c r="P44" s="37">
        <f t="shared" ca="1" si="0"/>
        <v>46163</v>
      </c>
      <c r="Q44" s="37" t="str">
        <f t="shared" ca="1" si="1"/>
        <v/>
      </c>
      <c r="Z44" s="37"/>
      <c r="AB44" s="37" t="str">
        <f t="shared" si="2"/>
        <v/>
      </c>
    </row>
    <row r="45" spans="1:28" x14ac:dyDescent="0.25">
      <c r="A45" s="102" t="str">
        <f t="shared" ca="1" si="4"/>
        <v/>
      </c>
      <c r="B45" s="33" t="str">
        <f ca="1">IF(COUNTIF($R$2:R1030,A45)=1,VLOOKUP(A45,X:Y,2), IF(COUNTIF($R$2:R1030,A45)=0,$B$10,""))</f>
        <v/>
      </c>
      <c r="C45" s="25" t="str">
        <f t="shared" ca="1" si="5"/>
        <v/>
      </c>
      <c r="D45" s="26"/>
      <c r="E45" s="33" t="str">
        <f t="shared" ca="1" si="3"/>
        <v/>
      </c>
      <c r="F45" s="25" t="str">
        <f t="shared" ca="1" si="6"/>
        <v/>
      </c>
      <c r="G45" s="25" t="str">
        <f t="shared" ca="1" si="7"/>
        <v/>
      </c>
      <c r="H45" s="117"/>
      <c r="I45" s="55" t="str">
        <f t="shared" ca="1" si="8"/>
        <v/>
      </c>
      <c r="J45" s="79"/>
      <c r="L45" s="76">
        <f ca="1"/>
        <v>46164</v>
      </c>
      <c r="M45" s="34">
        <f ca="1"/>
        <v>57.529000000000003</v>
      </c>
      <c r="N45" s="37">
        <f ca="1"/>
        <v>45980</v>
      </c>
      <c r="O45" s="41">
        <f ca="1"/>
        <v>229.35</v>
      </c>
      <c r="P45" s="37">
        <f t="shared" ca="1" si="0"/>
        <v>46164</v>
      </c>
      <c r="Q45" s="37" t="str">
        <f t="shared" ca="1" si="1"/>
        <v/>
      </c>
      <c r="Z45" s="37"/>
      <c r="AB45" s="37" t="str">
        <f t="shared" si="2"/>
        <v/>
      </c>
    </row>
    <row r="46" spans="1:28" x14ac:dyDescent="0.25">
      <c r="A46" s="102" t="str">
        <f t="shared" ca="1" si="4"/>
        <v/>
      </c>
      <c r="B46" s="33" t="str">
        <f ca="1">IF(COUNTIF($R$2:R1031,A46)=1,VLOOKUP(A46,X:Y,2), IF(COUNTIF($R$2:R1031,A46)=0,$B$10,""))</f>
        <v/>
      </c>
      <c r="C46" s="25" t="str">
        <f t="shared" ca="1" si="5"/>
        <v/>
      </c>
      <c r="D46" s="26"/>
      <c r="E46" s="33" t="str">
        <f t="shared" ca="1" si="3"/>
        <v/>
      </c>
      <c r="F46" s="25" t="str">
        <f t="shared" ca="1" si="6"/>
        <v/>
      </c>
      <c r="G46" s="25" t="str">
        <f t="shared" ca="1" si="7"/>
        <v/>
      </c>
      <c r="H46" s="117"/>
      <c r="I46" s="55" t="str">
        <f t="shared" ca="1" si="8"/>
        <v/>
      </c>
      <c r="J46" s="79"/>
      <c r="L46" s="76">
        <f ca="1"/>
        <v>46168</v>
      </c>
      <c r="M46" s="34">
        <f ca="1"/>
        <v>56.646000000000001</v>
      </c>
      <c r="N46" s="37">
        <f ca="1"/>
        <v>45981</v>
      </c>
      <c r="O46" s="41">
        <f ca="1"/>
        <v>231.85</v>
      </c>
      <c r="P46" s="37">
        <f t="shared" ca="1" si="0"/>
        <v>46168</v>
      </c>
      <c r="Q46" s="37" t="str">
        <f t="shared" ca="1" si="1"/>
        <v/>
      </c>
      <c r="Z46" s="37"/>
      <c r="AB46" s="37" t="str">
        <f t="shared" si="2"/>
        <v/>
      </c>
    </row>
    <row r="47" spans="1:28" x14ac:dyDescent="0.25">
      <c r="A47" s="102" t="str">
        <f t="shared" ca="1" si="4"/>
        <v/>
      </c>
      <c r="B47" s="33" t="str">
        <f ca="1">IF(COUNTIF($R$2:R1032,A47)=1,VLOOKUP(A47,X:Y,2), IF(COUNTIF($R$2:R1032,A47)=0,$B$10,""))</f>
        <v/>
      </c>
      <c r="C47" s="25" t="str">
        <f t="shared" ca="1" si="5"/>
        <v/>
      </c>
      <c r="D47" s="26"/>
      <c r="E47" s="33" t="str">
        <f t="shared" ca="1" si="3"/>
        <v/>
      </c>
      <c r="F47" s="25" t="str">
        <f t="shared" ca="1" si="6"/>
        <v/>
      </c>
      <c r="G47" s="25" t="str">
        <f t="shared" ca="1" si="7"/>
        <v/>
      </c>
      <c r="H47" s="117"/>
      <c r="I47" s="55" t="str">
        <f t="shared" ca="1" si="8"/>
        <v/>
      </c>
      <c r="J47" s="79"/>
      <c r="L47" s="76">
        <f ca="1"/>
        <v>46169</v>
      </c>
      <c r="M47" s="34">
        <f ca="1"/>
        <v>56.587000000000003</v>
      </c>
      <c r="N47" s="37">
        <f ca="1"/>
        <v>45982</v>
      </c>
      <c r="O47" s="41">
        <f ca="1"/>
        <v>230</v>
      </c>
      <c r="P47" s="37">
        <f t="shared" ca="1" si="0"/>
        <v>46169</v>
      </c>
      <c r="Q47" s="37" t="str">
        <f t="shared" ca="1" si="1"/>
        <v/>
      </c>
      <c r="Z47" s="37"/>
      <c r="AB47" s="37" t="str">
        <f t="shared" si="2"/>
        <v/>
      </c>
    </row>
    <row r="48" spans="1:28" x14ac:dyDescent="0.25">
      <c r="A48" s="102" t="str">
        <f t="shared" ca="1" si="4"/>
        <v/>
      </c>
      <c r="B48" s="33" t="str">
        <f ca="1">IF(COUNTIF($R$2:R1033,A48)=1,VLOOKUP(A48,X:Y,2), IF(COUNTIF($R$2:R1033,A48)=0,$B$10,""))</f>
        <v/>
      </c>
      <c r="C48" s="25" t="str">
        <f t="shared" ca="1" si="5"/>
        <v/>
      </c>
      <c r="D48" s="26"/>
      <c r="E48" s="33" t="str">
        <f t="shared" ca="1" si="3"/>
        <v/>
      </c>
      <c r="F48" s="25" t="str">
        <f t="shared" ca="1" si="6"/>
        <v/>
      </c>
      <c r="G48" s="25" t="str">
        <f t="shared" ca="1" si="7"/>
        <v/>
      </c>
      <c r="H48" s="117"/>
      <c r="I48" s="55" t="str">
        <f t="shared" ca="1" si="8"/>
        <v/>
      </c>
      <c r="J48" s="79"/>
      <c r="L48" s="76">
        <f ca="1"/>
        <v>46170</v>
      </c>
      <c r="M48" s="34">
        <f ca="1"/>
        <v>55.875</v>
      </c>
      <c r="N48" s="37">
        <f ca="1"/>
        <v>45985</v>
      </c>
      <c r="O48" s="41">
        <f ca="1"/>
        <v>232.25</v>
      </c>
      <c r="P48" s="37">
        <f t="shared" ca="1" si="0"/>
        <v>46170</v>
      </c>
      <c r="Q48" s="37" t="str">
        <f t="shared" ca="1" si="1"/>
        <v/>
      </c>
      <c r="Z48" s="37"/>
      <c r="AB48" s="37" t="str">
        <f t="shared" si="2"/>
        <v/>
      </c>
    </row>
    <row r="49" spans="1:30" x14ac:dyDescent="0.25">
      <c r="A49" s="102" t="str">
        <f t="shared" ca="1" si="4"/>
        <v/>
      </c>
      <c r="B49" s="33" t="str">
        <f ca="1">IF(COUNTIF($R$2:R1034,A49)=1,VLOOKUP(A49,X:Y,2), IF(COUNTIF($R$2:R1034,A49)=0,$B$10,""))</f>
        <v/>
      </c>
      <c r="C49" s="25" t="str">
        <f t="shared" ca="1" si="5"/>
        <v/>
      </c>
      <c r="D49" s="26"/>
      <c r="E49" s="33" t="str">
        <f t="shared" ca="1" si="3"/>
        <v/>
      </c>
      <c r="F49" s="25" t="str">
        <f t="shared" ca="1" si="6"/>
        <v/>
      </c>
      <c r="G49" s="25" t="str">
        <f t="shared" ca="1" si="7"/>
        <v/>
      </c>
      <c r="H49" s="117"/>
      <c r="I49" s="55" t="str">
        <f t="shared" ca="1" si="8"/>
        <v/>
      </c>
      <c r="J49" s="79"/>
      <c r="L49" s="76">
        <f ca="1"/>
        <v>46171</v>
      </c>
      <c r="M49" s="34">
        <f ca="1"/>
        <v>55.31</v>
      </c>
      <c r="N49" s="37">
        <f ca="1"/>
        <v>45986</v>
      </c>
      <c r="O49" s="41">
        <f ca="1"/>
        <v>235.85</v>
      </c>
      <c r="P49" s="37">
        <f t="shared" ca="1" si="0"/>
        <v>46171</v>
      </c>
      <c r="Q49" s="37" t="str">
        <f t="shared" ca="1" si="1"/>
        <v/>
      </c>
      <c r="Z49" s="37"/>
      <c r="AB49" s="37" t="str">
        <f t="shared" si="2"/>
        <v/>
      </c>
    </row>
    <row r="50" spans="1:30" x14ac:dyDescent="0.25">
      <c r="A50" s="102" t="str">
        <f t="shared" ca="1" si="4"/>
        <v/>
      </c>
      <c r="B50" s="33" t="str">
        <f ca="1">IF(COUNTIF($R$2:R1035,A50)=1,VLOOKUP(A50,X:Y,2), IF(COUNTIF($R$2:R1035,A50)=0,$B$10,""))</f>
        <v/>
      </c>
      <c r="C50" s="25" t="str">
        <f t="shared" ca="1" si="5"/>
        <v/>
      </c>
      <c r="D50" s="26"/>
      <c r="E50" s="33" t="str">
        <f t="shared" ca="1" si="3"/>
        <v/>
      </c>
      <c r="F50" s="25" t="str">
        <f t="shared" ca="1" si="6"/>
        <v/>
      </c>
      <c r="G50" s="25" t="str">
        <f t="shared" ca="1" si="7"/>
        <v/>
      </c>
      <c r="H50" s="117"/>
      <c r="I50" s="55" t="str">
        <f t="shared" ca="1" si="8"/>
        <v/>
      </c>
      <c r="J50" s="79"/>
      <c r="L50" s="76">
        <f ca="1"/>
        <v>46174</v>
      </c>
      <c r="M50" s="34">
        <f ca="1"/>
        <v>56.264000000000003</v>
      </c>
      <c r="N50" s="37">
        <f ca="1"/>
        <v>45987</v>
      </c>
      <c r="O50" s="41">
        <f ca="1"/>
        <v>239.6</v>
      </c>
      <c r="P50" s="37">
        <f t="shared" ca="1" si="0"/>
        <v>46174</v>
      </c>
      <c r="Q50" s="37" t="str">
        <f t="shared" ca="1" si="1"/>
        <v/>
      </c>
      <c r="Z50" s="37"/>
      <c r="AB50" s="37" t="str">
        <f t="shared" si="2"/>
        <v/>
      </c>
    </row>
    <row r="51" spans="1:30" x14ac:dyDescent="0.25">
      <c r="A51" s="102" t="str">
        <f t="shared" ca="1" si="4"/>
        <v/>
      </c>
      <c r="B51" s="33" t="str">
        <f ca="1">IF(COUNTIF($R$2:R1036,A51)=1,VLOOKUP(A51,X:Y,2), IF(COUNTIF($R$2:R1036,A51)=0,$B$10,""))</f>
        <v/>
      </c>
      <c r="C51" s="25" t="str">
        <f t="shared" ca="1" si="5"/>
        <v/>
      </c>
      <c r="D51" s="26"/>
      <c r="E51" s="33" t="str">
        <f t="shared" ca="1" si="3"/>
        <v/>
      </c>
      <c r="F51" s="25" t="str">
        <f t="shared" ca="1" si="6"/>
        <v/>
      </c>
      <c r="G51" s="25" t="str">
        <f t="shared" ca="1" si="7"/>
        <v/>
      </c>
      <c r="H51" s="117"/>
      <c r="I51" s="55" t="str">
        <f t="shared" ca="1" si="8"/>
        <v/>
      </c>
      <c r="J51" s="79"/>
      <c r="L51" s="76">
        <f ca="1"/>
        <v>46175</v>
      </c>
      <c r="M51" s="34">
        <f ca="1"/>
        <v>55.411999999999999</v>
      </c>
      <c r="N51" s="37">
        <f ca="1"/>
        <v>45988</v>
      </c>
      <c r="O51" s="41">
        <f ca="1"/>
        <v>239.85</v>
      </c>
      <c r="P51" s="37">
        <f t="shared" ca="1" si="0"/>
        <v>46175</v>
      </c>
      <c r="Q51" s="37" t="str">
        <f t="shared" ca="1" si="1"/>
        <v/>
      </c>
      <c r="Z51" s="37"/>
      <c r="AB51" s="37" t="str">
        <f t="shared" si="2"/>
        <v/>
      </c>
    </row>
    <row r="52" spans="1:30" x14ac:dyDescent="0.25">
      <c r="A52" s="102" t="str">
        <f t="shared" ca="1" si="4"/>
        <v/>
      </c>
      <c r="B52" s="33" t="str">
        <f ca="1">IF(COUNTIF($R$2:R1037,A52)=1,VLOOKUP(A52,X:Y,2), IF(COUNTIF($R$2:R1037,A52)=0,$B$10,""))</f>
        <v/>
      </c>
      <c r="C52" s="25" t="str">
        <f t="shared" ca="1" si="5"/>
        <v/>
      </c>
      <c r="D52" s="26"/>
      <c r="E52" s="33" t="str">
        <f t="shared" ca="1" si="3"/>
        <v/>
      </c>
      <c r="F52" s="25" t="str">
        <f t="shared" ca="1" si="6"/>
        <v/>
      </c>
      <c r="G52" s="25" t="str">
        <f t="shared" ca="1" si="7"/>
        <v/>
      </c>
      <c r="H52" s="117"/>
      <c r="I52" s="55" t="str">
        <f t="shared" ca="1" si="8"/>
        <v/>
      </c>
      <c r="J52" s="79"/>
      <c r="L52" s="76">
        <f ca="1"/>
        <v>46176</v>
      </c>
      <c r="M52" s="34">
        <f ca="1"/>
        <v>56.542999999999999</v>
      </c>
      <c r="N52" s="37">
        <f ca="1"/>
        <v>45989</v>
      </c>
      <c r="O52" s="41">
        <f ca="1"/>
        <v>239.9</v>
      </c>
      <c r="P52" s="37">
        <f t="shared" ca="1" si="0"/>
        <v>46176</v>
      </c>
      <c r="Q52" s="37" t="str">
        <f t="shared" ca="1" si="1"/>
        <v/>
      </c>
      <c r="Z52" s="37"/>
      <c r="AB52" s="37" t="str">
        <f t="shared" si="2"/>
        <v/>
      </c>
    </row>
    <row r="53" spans="1:30" x14ac:dyDescent="0.25">
      <c r="A53" s="102" t="str">
        <f t="shared" ca="1" si="4"/>
        <v/>
      </c>
      <c r="B53" s="33" t="str">
        <f ca="1">IF(COUNTIF($R$2:R1038,A53)=1,VLOOKUP(A53,X:Y,2), IF(COUNTIF($R$2:R1038,A53)=0,$B$10,""))</f>
        <v/>
      </c>
      <c r="C53" s="25" t="str">
        <f t="shared" ca="1" si="5"/>
        <v/>
      </c>
      <c r="D53" s="26"/>
      <c r="E53" s="33" t="str">
        <f t="shared" ca="1" si="3"/>
        <v/>
      </c>
      <c r="F53" s="25" t="str">
        <f t="shared" ca="1" si="6"/>
        <v/>
      </c>
      <c r="G53" s="25" t="str">
        <f t="shared" ca="1" si="7"/>
        <v/>
      </c>
      <c r="H53" s="117"/>
      <c r="I53" s="55" t="str">
        <f t="shared" ca="1" si="8"/>
        <v/>
      </c>
      <c r="J53" s="79"/>
      <c r="L53" s="76">
        <f ca="1"/>
        <v>46177</v>
      </c>
      <c r="M53" s="34">
        <f ca="1"/>
        <v>55.634</v>
      </c>
      <c r="N53" s="37">
        <f ca="1"/>
        <v>45992</v>
      </c>
      <c r="O53" s="41">
        <f ca="1"/>
        <v>240.5</v>
      </c>
      <c r="P53" s="37">
        <f t="shared" ca="1" si="0"/>
        <v>46177</v>
      </c>
      <c r="Q53" s="37" t="str">
        <f t="shared" ca="1" si="1"/>
        <v/>
      </c>
      <c r="Z53" s="37"/>
      <c r="AB53" s="37" t="str">
        <f t="shared" si="2"/>
        <v/>
      </c>
    </row>
    <row r="54" spans="1:30" x14ac:dyDescent="0.25">
      <c r="A54" s="102" t="str">
        <f t="shared" ca="1" si="4"/>
        <v/>
      </c>
      <c r="B54" s="33" t="str">
        <f ca="1">IF(COUNTIF($R$2:R1039,A54)=1,VLOOKUP(A54,X:Y,2), IF(COUNTIF($R$2:R1039,A54)=0,$B$10,""))</f>
        <v/>
      </c>
      <c r="C54" s="25" t="str">
        <f t="shared" ca="1" si="5"/>
        <v/>
      </c>
      <c r="D54" s="26"/>
      <c r="E54" s="33" t="str">
        <f t="shared" ca="1" si="3"/>
        <v/>
      </c>
      <c r="F54" s="25" t="str">
        <f t="shared" ca="1" si="6"/>
        <v/>
      </c>
      <c r="G54" s="25" t="str">
        <f t="shared" ca="1" si="7"/>
        <v/>
      </c>
      <c r="H54" s="117"/>
      <c r="I54" s="55" t="str">
        <f t="shared" ca="1" si="8"/>
        <v/>
      </c>
      <c r="J54" s="79"/>
      <c r="L54" s="76">
        <f ca="1"/>
        <v>46178</v>
      </c>
      <c r="M54" s="34">
        <f ca="1"/>
        <v>56.305</v>
      </c>
      <c r="N54" s="37">
        <f ca="1"/>
        <v>45993</v>
      </c>
      <c r="O54" s="41">
        <f ca="1"/>
        <v>243.65</v>
      </c>
      <c r="P54" s="37">
        <f t="shared" ca="1" si="0"/>
        <v>46178</v>
      </c>
      <c r="Q54" s="37" t="str">
        <f t="shared" ca="1" si="1"/>
        <v/>
      </c>
      <c r="Z54" s="37"/>
      <c r="AB54" s="37" t="str">
        <f t="shared" si="2"/>
        <v/>
      </c>
    </row>
    <row r="55" spans="1:30" x14ac:dyDescent="0.25">
      <c r="A55" s="102" t="str">
        <f t="shared" ca="1" si="4"/>
        <v/>
      </c>
      <c r="B55" s="33" t="str">
        <f ca="1">IF(COUNTIF($R$2:R1040,A55)=1,VLOOKUP(A55,X:Y,2), IF(COUNTIF($R$2:R1040,A55)=0,$B$10,""))</f>
        <v/>
      </c>
      <c r="C55" s="25" t="str">
        <f t="shared" ca="1" si="5"/>
        <v/>
      </c>
      <c r="D55" s="26"/>
      <c r="E55" s="33" t="str">
        <f t="shared" ca="1" si="3"/>
        <v/>
      </c>
      <c r="F55" s="25" t="str">
        <f t="shared" ca="1" si="6"/>
        <v/>
      </c>
      <c r="G55" s="25" t="str">
        <f t="shared" ca="1" si="7"/>
        <v/>
      </c>
      <c r="H55" s="117"/>
      <c r="I55" s="55" t="str">
        <f t="shared" ca="1" si="8"/>
        <v/>
      </c>
      <c r="J55" s="79"/>
      <c r="L55" s="76">
        <f ca="1"/>
        <v>46181</v>
      </c>
      <c r="M55" s="34">
        <f ca="1"/>
        <v>56.44</v>
      </c>
      <c r="N55" s="37">
        <f ca="1"/>
        <v>45994</v>
      </c>
      <c r="O55" s="41">
        <f ca="1"/>
        <v>241.35</v>
      </c>
      <c r="P55" s="37">
        <f t="shared" ca="1" si="0"/>
        <v>46181</v>
      </c>
      <c r="Q55" s="37" t="str">
        <f t="shared" ca="1" si="1"/>
        <v/>
      </c>
      <c r="Z55" s="37"/>
      <c r="AB55" s="37" t="str">
        <f t="shared" si="2"/>
        <v/>
      </c>
    </row>
    <row r="56" spans="1:30" x14ac:dyDescent="0.25">
      <c r="A56" s="102" t="str">
        <f t="shared" ca="1" si="4"/>
        <v/>
      </c>
      <c r="B56" s="33" t="str">
        <f ca="1">IF(COUNTIF($R$2:R1041,A56)=1,VLOOKUP(A56,X:Y,2), IF(COUNTIF($R$2:R1041,A56)=0,$B$10,""))</f>
        <v/>
      </c>
      <c r="C56" s="25" t="str">
        <f t="shared" ca="1" si="5"/>
        <v/>
      </c>
      <c r="D56" s="26"/>
      <c r="E56" s="33" t="str">
        <f t="shared" ca="1" si="3"/>
        <v/>
      </c>
      <c r="F56" s="25" t="str">
        <f t="shared" ca="1" si="6"/>
        <v/>
      </c>
      <c r="G56" s="25" t="str">
        <f t="shared" ca="1" si="7"/>
        <v/>
      </c>
      <c r="H56" s="117"/>
      <c r="I56" s="55" t="str">
        <f t="shared" ca="1" si="8"/>
        <v/>
      </c>
      <c r="J56" s="80"/>
      <c r="L56" s="76">
        <f ca="1"/>
        <v>46182</v>
      </c>
      <c r="M56" s="41">
        <f ca="1"/>
        <v>56.698999999999998</v>
      </c>
      <c r="N56" s="37">
        <f ca="1"/>
        <v>45995</v>
      </c>
      <c r="O56" s="41">
        <f ca="1"/>
        <v>244.4</v>
      </c>
      <c r="P56" s="37">
        <f t="shared" ca="1" si="0"/>
        <v>46182</v>
      </c>
      <c r="Q56" s="37">
        <f t="shared" ca="1" si="1"/>
        <v>46182</v>
      </c>
      <c r="Z56" s="37"/>
      <c r="AB56" s="37" t="str">
        <f t="shared" si="2"/>
        <v/>
      </c>
    </row>
    <row r="57" spans="1:30" x14ac:dyDescent="0.25">
      <c r="A57" s="102" t="str">
        <f t="shared" ca="1" si="4"/>
        <v/>
      </c>
      <c r="B57" s="33" t="str">
        <f ca="1">IF(COUNTIF($R$2:R1042,A57)=1,VLOOKUP(A57,X:Y,2), IF(COUNTIF($R$2:R1042,A57)=0,$B$10,""))</f>
        <v/>
      </c>
      <c r="C57" s="25" t="str">
        <f t="shared" ca="1" si="5"/>
        <v/>
      </c>
      <c r="D57" s="26"/>
      <c r="E57" s="33" t="str">
        <f t="shared" ca="1" si="3"/>
        <v/>
      </c>
      <c r="F57" s="25" t="str">
        <f t="shared" ca="1" si="6"/>
        <v/>
      </c>
      <c r="G57" s="25" t="str">
        <f t="shared" ca="1" si="7"/>
        <v/>
      </c>
      <c r="H57" s="117"/>
      <c r="I57" s="55" t="str">
        <f t="shared" ca="1" si="8"/>
        <v/>
      </c>
      <c r="J57" s="80"/>
      <c r="L57" s="76">
        <f ca="1"/>
        <v>46183</v>
      </c>
      <c r="M57" s="41">
        <f ca="1"/>
        <v>57.075000000000003</v>
      </c>
      <c r="N57" s="37">
        <f ca="1"/>
        <v>45996</v>
      </c>
      <c r="O57" s="41">
        <f ca="1"/>
        <v>243.35</v>
      </c>
      <c r="P57" s="37">
        <f t="shared" ca="1" si="0"/>
        <v>46183</v>
      </c>
      <c r="Q57" s="37">
        <f t="shared" ca="1" si="1"/>
        <v>46183</v>
      </c>
      <c r="Z57" s="37"/>
      <c r="AB57" s="37" t="str">
        <f t="shared" si="2"/>
        <v/>
      </c>
    </row>
    <row r="58" spans="1:30" x14ac:dyDescent="0.25">
      <c r="A58" s="102" t="str">
        <f t="shared" ca="1" si="4"/>
        <v/>
      </c>
      <c r="B58" s="33" t="str">
        <f ca="1">IF(COUNTIF($R$2:R1043,A58)=1,VLOOKUP(A58,X:Y,2), IF(COUNTIF($R$2:R1043,A58)=0,$B$10,""))</f>
        <v/>
      </c>
      <c r="C58" s="25" t="str">
        <f t="shared" ca="1" si="5"/>
        <v/>
      </c>
      <c r="D58" s="26"/>
      <c r="E58" s="33" t="str">
        <f t="shared" ca="1" si="3"/>
        <v/>
      </c>
      <c r="F58" s="25" t="str">
        <f t="shared" ca="1" si="6"/>
        <v/>
      </c>
      <c r="G58" s="25" t="str">
        <f t="shared" ca="1" si="7"/>
        <v/>
      </c>
      <c r="H58" s="117"/>
      <c r="I58" s="55" t="str">
        <f t="shared" ca="1" si="8"/>
        <v/>
      </c>
      <c r="L58" s="76">
        <f ca="1"/>
        <v>46184</v>
      </c>
      <c r="M58" s="41">
        <f ca="1"/>
        <v>56.802999999999997</v>
      </c>
      <c r="N58" s="37">
        <f ca="1"/>
        <v>45999</v>
      </c>
      <c r="O58" s="41">
        <f ca="1"/>
        <v>244.5</v>
      </c>
      <c r="P58" s="37">
        <f t="shared" ca="1" si="0"/>
        <v>46184</v>
      </c>
      <c r="Q58" s="37">
        <f t="shared" ca="1" si="1"/>
        <v>46184</v>
      </c>
      <c r="Z58" s="37"/>
      <c r="AB58" s="37" t="str">
        <f t="shared" si="2"/>
        <v/>
      </c>
    </row>
    <row r="59" spans="1:30" x14ac:dyDescent="0.25">
      <c r="A59" s="102" t="str">
        <f t="shared" ca="1" si="4"/>
        <v/>
      </c>
      <c r="B59" s="33" t="str">
        <f ca="1">IF(COUNTIF($R$2:R1044,A59)=1,VLOOKUP(A59,X:Y,2), IF(COUNTIF($R$2:R1044,A59)=0,$B$10,""))</f>
        <v/>
      </c>
      <c r="C59" s="25" t="str">
        <f t="shared" ca="1" si="5"/>
        <v/>
      </c>
      <c r="D59" s="26"/>
      <c r="E59" s="33" t="str">
        <f t="shared" ca="1" si="3"/>
        <v/>
      </c>
      <c r="F59" s="25" t="str">
        <f t="shared" ca="1" si="6"/>
        <v/>
      </c>
      <c r="G59" s="25" t="str">
        <f t="shared" ca="1" si="7"/>
        <v/>
      </c>
      <c r="H59" s="117"/>
      <c r="I59" s="55" t="str">
        <f t="shared" ca="1" si="8"/>
        <v/>
      </c>
      <c r="L59" s="76">
        <f ca="1"/>
        <v>46185</v>
      </c>
      <c r="M59" s="41">
        <f ca="1"/>
        <v>54.790999999999997</v>
      </c>
      <c r="N59" s="37">
        <f ca="1"/>
        <v>46000</v>
      </c>
      <c r="O59" s="41">
        <f ca="1"/>
        <v>246.95</v>
      </c>
      <c r="P59" s="37">
        <f t="shared" ca="1" si="0"/>
        <v>46185</v>
      </c>
      <c r="Q59" s="37">
        <f t="shared" ca="1" si="1"/>
        <v>46185</v>
      </c>
      <c r="Z59" s="37"/>
      <c r="AB59" s="37" t="str">
        <f t="shared" si="2"/>
        <v/>
      </c>
    </row>
    <row r="60" spans="1:30" x14ac:dyDescent="0.25">
      <c r="A60" s="102" t="str">
        <f t="shared" ca="1" si="4"/>
        <v/>
      </c>
      <c r="B60" s="33" t="str">
        <f ca="1">IF(COUNTIF($R$2:R1045,A60)=1,VLOOKUP(A60,X:Y,2), IF(COUNTIF($R$2:R1045,A60)=0,$B$10,""))</f>
        <v/>
      </c>
      <c r="C60" s="25" t="str">
        <f t="shared" ca="1" si="5"/>
        <v/>
      </c>
      <c r="D60" s="26"/>
      <c r="E60" s="33" t="str">
        <f t="shared" ca="1" si="3"/>
        <v/>
      </c>
      <c r="F60" s="25" t="str">
        <f t="shared" ca="1" si="6"/>
        <v/>
      </c>
      <c r="G60" s="25" t="str">
        <f t="shared" ca="1" si="7"/>
        <v/>
      </c>
      <c r="H60" s="117"/>
      <c r="I60" s="55" t="str">
        <f t="shared" ca="1" si="8"/>
        <v/>
      </c>
      <c r="L60" s="76">
        <f ca="1"/>
        <v>46188</v>
      </c>
      <c r="M60" s="41">
        <f ca="1"/>
        <v>53.712000000000003</v>
      </c>
      <c r="N60" s="37">
        <f ca="1"/>
        <v>46001</v>
      </c>
      <c r="O60" s="41">
        <f ca="1"/>
        <v>247</v>
      </c>
      <c r="P60" s="37">
        <f t="shared" ca="1" si="0"/>
        <v>46188</v>
      </c>
      <c r="Q60" s="37">
        <f t="shared" ca="1" si="1"/>
        <v>46188</v>
      </c>
      <c r="Z60" s="37"/>
      <c r="AB60" s="37" t="str">
        <f t="shared" si="2"/>
        <v/>
      </c>
    </row>
    <row r="61" spans="1:30" x14ac:dyDescent="0.25">
      <c r="A61" s="102" t="str">
        <f t="shared" ca="1" si="4"/>
        <v/>
      </c>
      <c r="B61" s="33" t="str">
        <f ca="1">IF(COUNTIF($R$2:R1046,A61)=1,VLOOKUP(A61,X:Y,2), IF(COUNTIF($R$2:R1046,A61)=0,$B$10,""))</f>
        <v/>
      </c>
      <c r="C61" s="25" t="str">
        <f t="shared" ca="1" si="5"/>
        <v/>
      </c>
      <c r="D61" s="26"/>
      <c r="E61" s="33" t="str">
        <f t="shared" ca="1" si="3"/>
        <v/>
      </c>
      <c r="F61" s="25" t="str">
        <f t="shared" ca="1" si="6"/>
        <v/>
      </c>
      <c r="G61" s="25" t="str">
        <f t="shared" ca="1" si="7"/>
        <v/>
      </c>
      <c r="H61" s="117"/>
      <c r="I61" s="55" t="str">
        <f t="shared" ca="1" si="8"/>
        <v/>
      </c>
      <c r="L61" s="76">
        <f ca="1"/>
        <v>46189</v>
      </c>
      <c r="M61" s="41">
        <f ca="1"/>
        <v>54.116</v>
      </c>
      <c r="N61" s="37">
        <f ca="1"/>
        <v>46002</v>
      </c>
      <c r="O61" s="41">
        <f ca="1"/>
        <v>251.55</v>
      </c>
      <c r="P61" s="37">
        <f t="shared" ca="1" si="0"/>
        <v>46189</v>
      </c>
      <c r="Q61" s="37">
        <f t="shared" ca="1" si="1"/>
        <v>46189</v>
      </c>
      <c r="Z61" s="37"/>
      <c r="AB61" s="37" t="str">
        <f t="shared" si="2"/>
        <v/>
      </c>
    </row>
    <row r="62" spans="1:30" x14ac:dyDescent="0.25">
      <c r="A62" s="102" t="str">
        <f t="shared" ca="1" si="4"/>
        <v/>
      </c>
      <c r="B62" s="33" t="str">
        <f ca="1">IF(COUNTIF($R$2:R1047,A62)=1,VLOOKUP(A62,X:Y,2), IF(COUNTIF($R$2:R1047,A62)=0,$B$10,""))</f>
        <v/>
      </c>
      <c r="C62" s="25" t="str">
        <f t="shared" ca="1" si="5"/>
        <v/>
      </c>
      <c r="D62" s="26"/>
      <c r="E62" s="33" t="str">
        <f t="shared" ca="1" si="3"/>
        <v/>
      </c>
      <c r="F62" s="25" t="str">
        <f t="shared" ca="1" si="6"/>
        <v/>
      </c>
      <c r="G62" s="25" t="str">
        <f t="shared" ca="1" si="7"/>
        <v/>
      </c>
      <c r="H62" s="117"/>
      <c r="I62" s="55" t="str">
        <f t="shared" ca="1" si="8"/>
        <v/>
      </c>
      <c r="L62" s="76">
        <f ca="1"/>
        <v>46190</v>
      </c>
      <c r="M62" s="41">
        <f ca="1"/>
        <v>54.383000000000003</v>
      </c>
      <c r="N62" s="37">
        <f ca="1"/>
        <v>46003</v>
      </c>
      <c r="O62" s="41">
        <f ca="1"/>
        <v>248.15</v>
      </c>
      <c r="P62" s="37">
        <f t="shared" ca="1" si="0"/>
        <v>46190</v>
      </c>
      <c r="Q62" s="37">
        <f t="shared" ca="1" si="1"/>
        <v>46190</v>
      </c>
      <c r="Z62" s="37"/>
      <c r="AB62" s="37" t="str">
        <f t="shared" si="2"/>
        <v/>
      </c>
    </row>
    <row r="63" spans="1:30" x14ac:dyDescent="0.25">
      <c r="A63" s="102" t="str">
        <f t="shared" ca="1" si="4"/>
        <v/>
      </c>
      <c r="B63" s="33" t="str">
        <f ca="1">IF(COUNTIF($R$2:R1048,A63)=1,VLOOKUP(A63,X:Y,2), IF(COUNTIF($R$2:R1048,A63)=0,$B$10,""))</f>
        <v/>
      </c>
      <c r="C63" s="25" t="str">
        <f t="shared" ca="1" si="5"/>
        <v/>
      </c>
      <c r="D63" s="26"/>
      <c r="E63" s="33" t="str">
        <f t="shared" ca="1" si="3"/>
        <v/>
      </c>
      <c r="F63" s="25" t="str">
        <f t="shared" ca="1" si="6"/>
        <v/>
      </c>
      <c r="G63" s="25" t="str">
        <f t="shared" ca="1" si="7"/>
        <v/>
      </c>
      <c r="H63" s="117"/>
      <c r="I63" s="55" t="str">
        <f t="shared" ca="1" si="8"/>
        <v/>
      </c>
      <c r="N63" s="37">
        <f ca="1"/>
        <v>46006</v>
      </c>
      <c r="O63" s="41">
        <f ca="1"/>
        <v>252.25</v>
      </c>
      <c r="P63" s="37" t="str">
        <f t="shared" ca="1" si="0"/>
        <v/>
      </c>
      <c r="Q63" s="37" t="str">
        <f t="shared" ca="1" si="1"/>
        <v/>
      </c>
      <c r="Z63" s="37"/>
      <c r="AB63" s="37" t="str">
        <f t="shared" si="2"/>
        <v/>
      </c>
    </row>
    <row r="64" spans="1:30" x14ac:dyDescent="0.25">
      <c r="A64" s="102" t="str">
        <f t="shared" ca="1" si="4"/>
        <v/>
      </c>
      <c r="B64" s="33" t="str">
        <f ca="1">IF(COUNTIF($R$2:R1049,A64)=1,VLOOKUP(A64,X:Y,2), IF(COUNTIF($R$2:R1049,A64)=0,$B$10,""))</f>
        <v/>
      </c>
      <c r="C64" s="25" t="str">
        <f t="shared" ca="1" si="5"/>
        <v/>
      </c>
      <c r="D64" s="26"/>
      <c r="E64" s="33" t="str">
        <f t="shared" ca="1" si="3"/>
        <v/>
      </c>
      <c r="F64" s="25" t="str">
        <f t="shared" ca="1" si="6"/>
        <v/>
      </c>
      <c r="G64" s="25" t="str">
        <f t="shared" ca="1" si="7"/>
        <v/>
      </c>
      <c r="H64" s="117"/>
      <c r="I64" s="55" t="str">
        <f t="shared" ca="1" si="8"/>
        <v/>
      </c>
      <c r="N64" s="37">
        <f ca="1"/>
        <v>46007</v>
      </c>
      <c r="O64" s="41">
        <f ca="1"/>
        <v>252.2</v>
      </c>
      <c r="P64" s="37" t="str">
        <f t="shared" ca="1" si="0"/>
        <v/>
      </c>
      <c r="Q64" s="37" t="str">
        <f t="shared" ca="1" si="1"/>
        <v/>
      </c>
      <c r="Y64" s="67"/>
      <c r="Z64" s="126"/>
      <c r="AA64" s="67"/>
      <c r="AB64" s="37" t="str">
        <f t="shared" si="2"/>
        <v/>
      </c>
      <c r="AC64" s="67"/>
      <c r="AD64" s="67"/>
    </row>
    <row r="65" spans="1:30" x14ac:dyDescent="0.25">
      <c r="A65" s="102" t="str">
        <f t="shared" ca="1" si="4"/>
        <v/>
      </c>
      <c r="B65" s="33" t="str">
        <f ca="1">IF(COUNTIF($R$2:R1050,A65)=1,VLOOKUP(A65,X:Y,2), IF(COUNTIF($R$2:R1050,A65)=0,$B$10,""))</f>
        <v/>
      </c>
      <c r="C65" s="25" t="str">
        <f t="shared" ca="1" si="5"/>
        <v/>
      </c>
      <c r="D65" s="26"/>
      <c r="E65" s="33" t="str">
        <f t="shared" ca="1" si="3"/>
        <v/>
      </c>
      <c r="F65" s="25" t="str">
        <f t="shared" ca="1" si="6"/>
        <v/>
      </c>
      <c r="G65" s="25" t="str">
        <f t="shared" ca="1" si="7"/>
        <v/>
      </c>
      <c r="H65" s="117"/>
      <c r="I65" s="55" t="str">
        <f t="shared" ca="1" si="8"/>
        <v/>
      </c>
      <c r="N65" s="37">
        <f ca="1"/>
        <v>46008</v>
      </c>
      <c r="O65" s="41">
        <f ca="1"/>
        <v>253.7</v>
      </c>
      <c r="P65" s="37" t="str">
        <f t="shared" ca="1" si="0"/>
        <v/>
      </c>
      <c r="Q65" s="37" t="str">
        <f t="shared" ca="1" si="1"/>
        <v/>
      </c>
      <c r="Y65" s="67"/>
      <c r="Z65" s="68"/>
      <c r="AA65" s="69"/>
      <c r="AB65" s="37" t="str">
        <f t="shared" si="2"/>
        <v/>
      </c>
      <c r="AC65" s="69"/>
      <c r="AD65" s="69"/>
    </row>
    <row r="66" spans="1:30" x14ac:dyDescent="0.25">
      <c r="A66" s="102" t="str">
        <f t="shared" ca="1" si="4"/>
        <v/>
      </c>
      <c r="B66" s="33" t="str">
        <f ca="1">IF(COUNTIF($R$2:R1051,A66)=1,VLOOKUP(A66,X:Y,2), IF(COUNTIF($R$2:R1051,A66)=0,$B$10,""))</f>
        <v/>
      </c>
      <c r="C66" s="25" t="str">
        <f t="shared" ca="1" si="5"/>
        <v/>
      </c>
      <c r="D66" s="26"/>
      <c r="E66" s="33" t="str">
        <f t="shared" ca="1" si="3"/>
        <v/>
      </c>
      <c r="F66" s="25" t="str">
        <f t="shared" ca="1" si="6"/>
        <v/>
      </c>
      <c r="G66" s="25" t="str">
        <f t="shared" ca="1" si="7"/>
        <v/>
      </c>
      <c r="H66" s="117"/>
      <c r="I66" s="55" t="str">
        <f t="shared" ca="1" si="8"/>
        <v/>
      </c>
      <c r="N66" s="37">
        <f ca="1"/>
        <v>46009</v>
      </c>
      <c r="O66" s="41">
        <f ca="1"/>
        <v>256.2</v>
      </c>
      <c r="P66" s="37" t="str">
        <f t="shared" ca="1" si="0"/>
        <v/>
      </c>
      <c r="Q66" s="37" t="str">
        <f t="shared" ca="1" si="1"/>
        <v/>
      </c>
      <c r="Y66" s="67"/>
      <c r="Z66" s="68"/>
      <c r="AA66" s="69"/>
      <c r="AB66" s="37" t="str">
        <f t="shared" si="2"/>
        <v/>
      </c>
      <c r="AC66" s="69"/>
      <c r="AD66" s="69"/>
    </row>
    <row r="67" spans="1:30" x14ac:dyDescent="0.25">
      <c r="A67" s="102" t="str">
        <f t="shared" ca="1" si="4"/>
        <v/>
      </c>
      <c r="B67" s="33" t="str">
        <f ca="1">IF(COUNTIF($R$2:R1052,A67)=1,VLOOKUP(A67,X:Y,2), IF(COUNTIF($R$2:R1052,A67)=0,$B$10,""))</f>
        <v/>
      </c>
      <c r="C67" s="25" t="str">
        <f t="shared" ca="1" si="5"/>
        <v/>
      </c>
      <c r="D67" s="26"/>
      <c r="E67" s="33" t="str">
        <f t="shared" ca="1" si="3"/>
        <v/>
      </c>
      <c r="F67" s="25" t="str">
        <f t="shared" ca="1" si="6"/>
        <v/>
      </c>
      <c r="G67" s="25" t="str">
        <f t="shared" ca="1" si="7"/>
        <v/>
      </c>
      <c r="H67" s="117"/>
      <c r="I67" s="55" t="str">
        <f t="shared" ca="1" si="8"/>
        <v/>
      </c>
      <c r="N67" s="37">
        <f ca="1"/>
        <v>46010</v>
      </c>
      <c r="O67" s="41">
        <f ca="1"/>
        <v>258.3</v>
      </c>
      <c r="P67" s="37" t="str">
        <f t="shared" ca="1" si="0"/>
        <v/>
      </c>
      <c r="Q67" s="37" t="str">
        <f t="shared" ca="1" si="1"/>
        <v/>
      </c>
      <c r="Y67" s="67"/>
      <c r="Z67" s="68"/>
      <c r="AA67" s="69"/>
      <c r="AB67" s="37" t="str">
        <f t="shared" si="2"/>
        <v/>
      </c>
      <c r="AC67" s="69"/>
      <c r="AD67" s="69"/>
    </row>
    <row r="68" spans="1:30" x14ac:dyDescent="0.25">
      <c r="A68" s="102" t="str">
        <f t="shared" ca="1" si="4"/>
        <v/>
      </c>
      <c r="B68" s="33" t="str">
        <f ca="1">IF(COUNTIF($R$2:R1053,A68)=1,VLOOKUP(A68,X:Y,2), IF(COUNTIF($R$2:R1053,A68)=0,$B$10,""))</f>
        <v/>
      </c>
      <c r="C68" s="25" t="str">
        <f t="shared" ca="1" si="5"/>
        <v/>
      </c>
      <c r="D68" s="26"/>
      <c r="E68" s="33" t="str">
        <f t="shared" ca="1" si="3"/>
        <v/>
      </c>
      <c r="F68" s="25" t="str">
        <f t="shared" ca="1" si="6"/>
        <v/>
      </c>
      <c r="G68" s="25" t="str">
        <f t="shared" ca="1" si="7"/>
        <v/>
      </c>
      <c r="H68" s="117"/>
      <c r="I68" s="55" t="str">
        <f t="shared" ca="1" si="8"/>
        <v/>
      </c>
      <c r="N68" s="37">
        <f ca="1"/>
        <v>46013</v>
      </c>
      <c r="O68" s="41">
        <f ca="1"/>
        <v>257.14999999999998</v>
      </c>
      <c r="P68" s="37" t="str">
        <f t="shared" ref="P68:P131" ca="1" si="9">IF(COUNTIF(N:N,L68),L68,"")</f>
        <v/>
      </c>
      <c r="Q68" s="37" t="str">
        <f t="shared" ref="Q68:Q131" ca="1" si="10">IF(P68&gt;$A$14,P68,"")</f>
        <v/>
      </c>
      <c r="Y68" s="67"/>
      <c r="Z68" s="68"/>
      <c r="AA68" s="69"/>
      <c r="AB68" s="37" t="str">
        <f t="shared" ref="AB68:AB131" si="11">IF(COUNTIF(Z:Z,X68),X68,"")</f>
        <v/>
      </c>
      <c r="AC68" s="69"/>
      <c r="AD68" s="69"/>
    </row>
    <row r="69" spans="1:30" x14ac:dyDescent="0.25">
      <c r="A69" s="102" t="str">
        <f t="shared" ca="1" si="4"/>
        <v/>
      </c>
      <c r="B69" s="33" t="str">
        <f ca="1">IF(COUNTIF($R$2:R1054,A69)=1,VLOOKUP(A69,X:Y,2), IF(COUNTIF($R$2:R1054,A69)=0,$B$10,""))</f>
        <v/>
      </c>
      <c r="C69" s="25" t="str">
        <f t="shared" ca="1" si="5"/>
        <v/>
      </c>
      <c r="D69" s="26"/>
      <c r="E69" s="33" t="str">
        <f t="shared" ca="1" si="3"/>
        <v/>
      </c>
      <c r="F69" s="25" t="str">
        <f t="shared" ca="1" si="6"/>
        <v/>
      </c>
      <c r="G69" s="25" t="str">
        <f t="shared" ca="1" si="7"/>
        <v/>
      </c>
      <c r="H69" s="117"/>
      <c r="I69" s="55" t="str">
        <f t="shared" ca="1" si="8"/>
        <v/>
      </c>
      <c r="N69" s="37">
        <f ca="1"/>
        <v>46014</v>
      </c>
      <c r="O69" s="41">
        <f ca="1"/>
        <v>258.05</v>
      </c>
      <c r="P69" s="37" t="str">
        <f t="shared" ca="1" si="9"/>
        <v/>
      </c>
      <c r="Q69" s="37" t="str">
        <f t="shared" ca="1" si="10"/>
        <v/>
      </c>
      <c r="Y69" s="67"/>
      <c r="Z69" s="68"/>
      <c r="AA69" s="69"/>
      <c r="AB69" s="37" t="str">
        <f t="shared" si="11"/>
        <v/>
      </c>
      <c r="AC69" s="69"/>
      <c r="AD69" s="69"/>
    </row>
    <row r="70" spans="1:30" x14ac:dyDescent="0.25">
      <c r="A70" s="102" t="str">
        <f t="shared" ca="1" si="4"/>
        <v/>
      </c>
      <c r="B70" s="33" t="str">
        <f ca="1">IF(COUNTIF($R$2:R1055,A70)=1,VLOOKUP(A70,X:Y,2), IF(COUNTIF($R$2:R1055,A70)=0,$B$10,""))</f>
        <v/>
      </c>
      <c r="C70" s="25" t="str">
        <f t="shared" ca="1" si="5"/>
        <v/>
      </c>
      <c r="D70" s="26"/>
      <c r="E70" s="33" t="str">
        <f t="shared" ca="1" si="3"/>
        <v/>
      </c>
      <c r="F70" s="25" t="str">
        <f t="shared" ca="1" si="6"/>
        <v/>
      </c>
      <c r="G70" s="25" t="str">
        <f t="shared" ca="1" si="7"/>
        <v/>
      </c>
      <c r="H70" s="117"/>
      <c r="I70" s="55" t="str">
        <f t="shared" ca="1" si="8"/>
        <v/>
      </c>
      <c r="N70" s="37">
        <f ca="1"/>
        <v>46020</v>
      </c>
      <c r="O70" s="41">
        <f ca="1"/>
        <v>256.45</v>
      </c>
      <c r="P70" s="37" t="str">
        <f t="shared" ca="1" si="9"/>
        <v/>
      </c>
      <c r="Q70" s="37" t="str">
        <f t="shared" ca="1" si="10"/>
        <v/>
      </c>
      <c r="Z70" s="37"/>
      <c r="AB70" s="37" t="str">
        <f t="shared" si="11"/>
        <v/>
      </c>
    </row>
    <row r="71" spans="1:30" x14ac:dyDescent="0.25">
      <c r="A71" s="102" t="str">
        <f t="shared" ca="1" si="4"/>
        <v/>
      </c>
      <c r="B71" s="33" t="str">
        <f ca="1">IF(COUNTIF($R$2:R1056,A71)=1,VLOOKUP(A71,X:Y,2), IF(COUNTIF($R$2:R1056,A71)=0,$B$10,""))</f>
        <v/>
      </c>
      <c r="C71" s="25" t="str">
        <f t="shared" ca="1" si="5"/>
        <v/>
      </c>
      <c r="D71" s="26"/>
      <c r="E71" s="33" t="str">
        <f t="shared" ca="1" si="3"/>
        <v/>
      </c>
      <c r="F71" s="25" t="str">
        <f t="shared" ca="1" si="6"/>
        <v/>
      </c>
      <c r="G71" s="25" t="str">
        <f t="shared" ca="1" si="7"/>
        <v/>
      </c>
      <c r="H71" s="117"/>
      <c r="I71" s="55" t="str">
        <f t="shared" ca="1" si="8"/>
        <v/>
      </c>
      <c r="N71" s="37">
        <f ca="1"/>
        <v>46021</v>
      </c>
      <c r="O71" s="41">
        <f ca="1"/>
        <v>260.95</v>
      </c>
      <c r="P71" s="37" t="str">
        <f t="shared" ca="1" si="9"/>
        <v/>
      </c>
      <c r="Q71" s="37" t="str">
        <f t="shared" ca="1" si="10"/>
        <v/>
      </c>
      <c r="Z71" s="37"/>
      <c r="AB71" s="37" t="str">
        <f t="shared" si="11"/>
        <v/>
      </c>
    </row>
    <row r="72" spans="1:30" x14ac:dyDescent="0.25">
      <c r="A72" s="102" t="str">
        <f t="shared" ca="1" si="4"/>
        <v/>
      </c>
      <c r="B72" s="33" t="str">
        <f ca="1">IF(COUNTIF($R$2:R1057,A72)=1,VLOOKUP(A72,X:Y,2), IF(COUNTIF($R$2:R1057,A72)=0,$B$10,""))</f>
        <v/>
      </c>
      <c r="C72" s="25" t="str">
        <f t="shared" ca="1" si="5"/>
        <v/>
      </c>
      <c r="D72" s="26"/>
      <c r="E72" s="33" t="str">
        <f t="shared" ca="1" si="3"/>
        <v/>
      </c>
      <c r="F72" s="25" t="str">
        <f t="shared" ca="1" si="6"/>
        <v/>
      </c>
      <c r="G72" s="25" t="str">
        <f t="shared" ca="1" si="7"/>
        <v/>
      </c>
      <c r="H72" s="117"/>
      <c r="I72" s="55" t="str">
        <f t="shared" ca="1" si="8"/>
        <v/>
      </c>
      <c r="N72" s="37">
        <f ca="1"/>
        <v>46024</v>
      </c>
      <c r="O72" s="41">
        <f ca="1"/>
        <v>263.2</v>
      </c>
      <c r="P72" s="37" t="str">
        <f t="shared" ca="1" si="9"/>
        <v/>
      </c>
      <c r="Q72" s="37" t="str">
        <f t="shared" ca="1" si="10"/>
        <v/>
      </c>
      <c r="Z72" s="37"/>
      <c r="AB72" s="37" t="str">
        <f t="shared" si="11"/>
        <v/>
      </c>
    </row>
    <row r="73" spans="1:30" x14ac:dyDescent="0.25">
      <c r="A73" s="102" t="str">
        <f t="shared" ca="1" si="4"/>
        <v/>
      </c>
      <c r="B73" s="33" t="str">
        <f ca="1">IF(COUNTIF($R$2:R1058,A73)=1,VLOOKUP(A73,X:Y,2), IF(COUNTIF($R$2:R1058,A73)=0,$B$10,""))</f>
        <v/>
      </c>
      <c r="C73" s="25" t="str">
        <f t="shared" ca="1" si="5"/>
        <v/>
      </c>
      <c r="D73" s="26"/>
      <c r="E73" s="33" t="str">
        <f t="shared" ca="1" si="3"/>
        <v/>
      </c>
      <c r="F73" s="25" t="str">
        <f t="shared" ca="1" si="6"/>
        <v/>
      </c>
      <c r="G73" s="25" t="str">
        <f t="shared" ca="1" si="7"/>
        <v/>
      </c>
      <c r="H73" s="117"/>
      <c r="I73" s="55" t="str">
        <f t="shared" ca="1" si="8"/>
        <v/>
      </c>
      <c r="N73" s="37">
        <f ca="1"/>
        <v>46027</v>
      </c>
      <c r="O73" s="41">
        <f ca="1"/>
        <v>264.7</v>
      </c>
      <c r="P73" s="37" t="str">
        <f t="shared" ca="1" si="9"/>
        <v/>
      </c>
      <c r="Q73" s="37" t="str">
        <f t="shared" ca="1" si="10"/>
        <v/>
      </c>
      <c r="Z73" s="37"/>
      <c r="AB73" s="37" t="str">
        <f t="shared" si="11"/>
        <v/>
      </c>
    </row>
    <row r="74" spans="1:30" x14ac:dyDescent="0.25">
      <c r="A74" s="102" t="str">
        <f t="shared" ca="1" si="4"/>
        <v/>
      </c>
      <c r="B74" s="33" t="str">
        <f ca="1">IF(COUNTIF($R$2:R1059,A74)=1,VLOOKUP(A74,X:Y,2), IF(COUNTIF($R$2:R1059,A74)=0,$B$10,""))</f>
        <v/>
      </c>
      <c r="C74" s="25" t="str">
        <f t="shared" ca="1" si="5"/>
        <v/>
      </c>
      <c r="D74" s="26"/>
      <c r="E74" s="33" t="str">
        <f t="shared" ca="1" si="3"/>
        <v/>
      </c>
      <c r="F74" s="25" t="str">
        <f t="shared" ca="1" si="6"/>
        <v/>
      </c>
      <c r="G74" s="25" t="str">
        <f t="shared" ca="1" si="7"/>
        <v/>
      </c>
      <c r="H74" s="117"/>
      <c r="I74" s="55" t="str">
        <f t="shared" ca="1" si="8"/>
        <v/>
      </c>
      <c r="N74" s="37">
        <f ca="1"/>
        <v>46028</v>
      </c>
      <c r="O74" s="41">
        <f ca="1"/>
        <v>262.64999999999998</v>
      </c>
      <c r="P74" s="37" t="str">
        <f t="shared" ca="1" si="9"/>
        <v/>
      </c>
      <c r="Q74" s="37" t="str">
        <f t="shared" ca="1" si="10"/>
        <v/>
      </c>
      <c r="Z74" s="37"/>
      <c r="AB74" s="37" t="str">
        <f t="shared" si="11"/>
        <v/>
      </c>
    </row>
    <row r="75" spans="1:30" x14ac:dyDescent="0.25">
      <c r="A75" s="102" t="str">
        <f t="shared" ca="1" si="4"/>
        <v/>
      </c>
      <c r="B75" s="33" t="str">
        <f ca="1">IF(COUNTIF($R$2:R1060,A75)=1,VLOOKUP(A75,X:Y,2), IF(COUNTIF($R$2:R1060,A75)=0,$B$10,""))</f>
        <v/>
      </c>
      <c r="C75" s="25" t="str">
        <f t="shared" ca="1" si="5"/>
        <v/>
      </c>
      <c r="D75" s="26"/>
      <c r="E75" s="33" t="str">
        <f t="shared" ca="1" si="3"/>
        <v/>
      </c>
      <c r="F75" s="25" t="str">
        <f t="shared" ca="1" si="6"/>
        <v/>
      </c>
      <c r="G75" s="25" t="str">
        <f t="shared" ca="1" si="7"/>
        <v/>
      </c>
      <c r="H75" s="117"/>
      <c r="I75" s="55" t="str">
        <f t="shared" ca="1" si="8"/>
        <v/>
      </c>
      <c r="N75" s="37">
        <f ca="1"/>
        <v>46029</v>
      </c>
      <c r="O75" s="41">
        <f ca="1"/>
        <v>258.75</v>
      </c>
      <c r="P75" s="37" t="str">
        <f t="shared" ca="1" si="9"/>
        <v/>
      </c>
      <c r="Q75" s="37" t="str">
        <f t="shared" ca="1" si="10"/>
        <v/>
      </c>
      <c r="Z75" s="37"/>
      <c r="AB75" s="37" t="str">
        <f t="shared" si="11"/>
        <v/>
      </c>
    </row>
    <row r="76" spans="1:30" x14ac:dyDescent="0.25">
      <c r="A76" s="102" t="str">
        <f t="shared" ca="1" si="4"/>
        <v/>
      </c>
      <c r="B76" s="33" t="str">
        <f ca="1">IF(COUNTIF($R$2:R1061,A76)=1,VLOOKUP(A76,X:Y,2), IF(COUNTIF($R$2:R1061,A76)=0,$B$10,""))</f>
        <v/>
      </c>
      <c r="C76" s="25" t="str">
        <f t="shared" ca="1" si="5"/>
        <v/>
      </c>
      <c r="D76" s="26"/>
      <c r="E76" s="33" t="str">
        <f t="shared" ca="1" si="3"/>
        <v/>
      </c>
      <c r="F76" s="25" t="str">
        <f t="shared" ca="1" si="6"/>
        <v/>
      </c>
      <c r="G76" s="25" t="str">
        <f t="shared" ca="1" si="7"/>
        <v/>
      </c>
      <c r="H76" s="117"/>
      <c r="I76" s="55" t="str">
        <f t="shared" ca="1" si="8"/>
        <v/>
      </c>
      <c r="N76" s="37">
        <f ca="1"/>
        <v>46030</v>
      </c>
      <c r="O76" s="41">
        <f ca="1"/>
        <v>261</v>
      </c>
      <c r="P76" s="37" t="str">
        <f t="shared" ca="1" si="9"/>
        <v/>
      </c>
      <c r="Q76" s="37" t="str">
        <f t="shared" ca="1" si="10"/>
        <v/>
      </c>
      <c r="Z76" s="37"/>
      <c r="AB76" s="37" t="str">
        <f t="shared" si="11"/>
        <v/>
      </c>
    </row>
    <row r="77" spans="1:30" x14ac:dyDescent="0.25">
      <c r="A77" s="102" t="str">
        <f t="shared" ca="1" si="4"/>
        <v/>
      </c>
      <c r="B77" s="33" t="str">
        <f ca="1">IF(COUNTIF($R$2:R1062,A77)=1,VLOOKUP(A77,X:Y,2), IF(COUNTIF($R$2:R1062,A77)=0,$B$10,""))</f>
        <v/>
      </c>
      <c r="C77" s="25" t="str">
        <f t="shared" ca="1" si="5"/>
        <v/>
      </c>
      <c r="D77" s="26"/>
      <c r="E77" s="33" t="str">
        <f t="shared" ca="1" si="3"/>
        <v/>
      </c>
      <c r="F77" s="25" t="str">
        <f t="shared" ca="1" si="6"/>
        <v/>
      </c>
      <c r="G77" s="25" t="str">
        <f t="shared" ca="1" si="7"/>
        <v/>
      </c>
      <c r="H77" s="117"/>
      <c r="I77" s="55" t="str">
        <f t="shared" ca="1" si="8"/>
        <v/>
      </c>
      <c r="N77" s="37">
        <f ca="1"/>
        <v>46031</v>
      </c>
      <c r="O77" s="41">
        <f ca="1"/>
        <v>262.75</v>
      </c>
      <c r="P77" s="37" t="str">
        <f t="shared" ca="1" si="9"/>
        <v/>
      </c>
      <c r="Q77" s="37" t="str">
        <f t="shared" ca="1" si="10"/>
        <v/>
      </c>
      <c r="Z77" s="37"/>
      <c r="AB77" s="37" t="str">
        <f t="shared" si="11"/>
        <v/>
      </c>
    </row>
    <row r="78" spans="1:30" x14ac:dyDescent="0.25">
      <c r="A78" s="102" t="str">
        <f t="shared" ca="1" si="4"/>
        <v/>
      </c>
      <c r="B78" s="33" t="str">
        <f ca="1">IF(COUNTIF($R$2:R1063,A78)=1,VLOOKUP(A78,X:Y,2), IF(COUNTIF($R$2:R1063,A78)=0,$B$10,""))</f>
        <v/>
      </c>
      <c r="C78" s="25" t="str">
        <f t="shared" ca="1" si="5"/>
        <v/>
      </c>
      <c r="D78" s="26"/>
      <c r="E78" s="33" t="str">
        <f t="shared" ca="1" si="3"/>
        <v/>
      </c>
      <c r="F78" s="25" t="str">
        <f t="shared" ca="1" si="6"/>
        <v/>
      </c>
      <c r="G78" s="25" t="str">
        <f t="shared" ca="1" si="7"/>
        <v/>
      </c>
      <c r="H78" s="117"/>
      <c r="I78" s="55" t="str">
        <f t="shared" ca="1" si="8"/>
        <v/>
      </c>
      <c r="N78" s="37">
        <f ca="1"/>
        <v>46034</v>
      </c>
      <c r="O78" s="41">
        <f ca="1"/>
        <v>264.75</v>
      </c>
      <c r="P78" s="37" t="str">
        <f t="shared" ca="1" si="9"/>
        <v/>
      </c>
      <c r="Q78" s="37" t="str">
        <f t="shared" ca="1" si="10"/>
        <v/>
      </c>
      <c r="Z78" s="37"/>
      <c r="AB78" s="37" t="str">
        <f t="shared" si="11"/>
        <v/>
      </c>
    </row>
    <row r="79" spans="1:30" x14ac:dyDescent="0.25">
      <c r="A79" s="102" t="str">
        <f t="shared" ca="1" si="4"/>
        <v/>
      </c>
      <c r="B79" s="33" t="str">
        <f ca="1">IF(COUNTIF($R$2:R1064,A79)=1,VLOOKUP(A79,X:Y,2), IF(COUNTIF($R$2:R1064,A79)=0,$B$10,""))</f>
        <v/>
      </c>
      <c r="C79" s="25" t="str">
        <f t="shared" ca="1" si="5"/>
        <v/>
      </c>
      <c r="D79" s="26"/>
      <c r="E79" s="33" t="str">
        <f t="shared" ref="E79:E117" ca="1" si="12">IF(COUNTIF(L:L,A79)=1,VLOOKUP(A79,N:O,2), IF(COUNTIF(L:L,A79)=0,$C$9,""))</f>
        <v/>
      </c>
      <c r="F79" s="25" t="str">
        <f t="shared" ca="1" si="6"/>
        <v/>
      </c>
      <c r="G79" s="25" t="str">
        <f t="shared" ca="1" si="7"/>
        <v/>
      </c>
      <c r="H79" s="117"/>
      <c r="I79" s="55" t="str">
        <f t="shared" ca="1" si="8"/>
        <v/>
      </c>
      <c r="N79" s="37">
        <f ca="1"/>
        <v>46035</v>
      </c>
      <c r="O79" s="41">
        <f ca="1"/>
        <v>266.5</v>
      </c>
      <c r="P79" s="37" t="str">
        <f t="shared" ca="1" si="9"/>
        <v/>
      </c>
      <c r="Q79" s="37" t="str">
        <f t="shared" ca="1" si="10"/>
        <v/>
      </c>
      <c r="Z79" s="37"/>
      <c r="AB79" s="37" t="str">
        <f t="shared" si="11"/>
        <v/>
      </c>
    </row>
    <row r="80" spans="1:30" x14ac:dyDescent="0.25">
      <c r="A80" s="102" t="str">
        <f t="shared" ref="A80:A117" ca="1" si="13">IF(AND(ISBLANK(R69), A79 = $R$1),NOW(),IF(ISBLANK(R69),IF(ISBLANK(C79),NOW(),""),R69))</f>
        <v/>
      </c>
      <c r="B80" s="33" t="str">
        <f ca="1">IF(COUNTIF($R$2:R1065,A80)=1,VLOOKUP(A80,X:Y,2), IF(COUNTIF($R$2:R1065,A80)=0,$B$10,""))</f>
        <v/>
      </c>
      <c r="C80" s="25" t="str">
        <f t="shared" ref="C80:C117" ca="1" si="14">IF(ISERROR(B80-2),"",1*(B80/$B$14-1)*$B$5)</f>
        <v/>
      </c>
      <c r="D80" s="26"/>
      <c r="E80" s="33" t="str">
        <f t="shared" ca="1" si="12"/>
        <v/>
      </c>
      <c r="F80" s="25" t="str">
        <f t="shared" ref="F80:F117" ca="1" si="15">IF(ISERROR(B80-2),"",(E80-$E$14)*$C$5*$F$4)</f>
        <v/>
      </c>
      <c r="G80" s="25" t="str">
        <f t="shared" ref="G80:G117" ca="1" si="16">IF(ISERROR(B80-2),"",-$C$7*$C$5*(A80-$A$14)/360)</f>
        <v/>
      </c>
      <c r="H80" s="117"/>
      <c r="I80" s="55" t="str">
        <f t="shared" ref="I80:I117" ca="1" si="17">IF(ISERROR(B80-2),"",F80-C80)</f>
        <v/>
      </c>
      <c r="N80" s="37">
        <f ca="1"/>
        <v>46036</v>
      </c>
      <c r="O80" s="41">
        <f ca="1"/>
        <v>267.35000000000002</v>
      </c>
      <c r="P80" s="37" t="str">
        <f t="shared" ca="1" si="9"/>
        <v/>
      </c>
      <c r="Q80" s="37" t="str">
        <f t="shared" ca="1" si="10"/>
        <v/>
      </c>
      <c r="Z80" s="37"/>
      <c r="AB80" s="37" t="str">
        <f t="shared" si="11"/>
        <v/>
      </c>
    </row>
    <row r="81" spans="1:28" x14ac:dyDescent="0.25">
      <c r="A81" s="102" t="str">
        <f t="shared" ca="1" si="13"/>
        <v/>
      </c>
      <c r="B81" s="33" t="str">
        <f ca="1">IF(COUNTIF($R$2:R1066,A81)=1,VLOOKUP(A81,X:Y,2), IF(COUNTIF($R$2:R1066,A81)=0,$B$10,""))</f>
        <v/>
      </c>
      <c r="C81" s="25" t="str">
        <f t="shared" ca="1" si="14"/>
        <v/>
      </c>
      <c r="D81" s="26"/>
      <c r="E81" s="33" t="str">
        <f t="shared" ca="1" si="12"/>
        <v/>
      </c>
      <c r="F81" s="25" t="str">
        <f t="shared" ca="1" si="15"/>
        <v/>
      </c>
      <c r="G81" s="25" t="str">
        <f t="shared" ca="1" si="16"/>
        <v/>
      </c>
      <c r="H81" s="117"/>
      <c r="I81" s="55" t="str">
        <f t="shared" ca="1" si="17"/>
        <v/>
      </c>
      <c r="N81" s="37">
        <f ca="1"/>
        <v>46037</v>
      </c>
      <c r="O81" s="41">
        <f ca="1"/>
        <v>267.8</v>
      </c>
      <c r="P81" s="37" t="str">
        <f t="shared" ca="1" si="9"/>
        <v/>
      </c>
      <c r="Q81" s="37" t="str">
        <f t="shared" ca="1" si="10"/>
        <v/>
      </c>
      <c r="Z81" s="37"/>
      <c r="AB81" s="37" t="str">
        <f t="shared" si="11"/>
        <v/>
      </c>
    </row>
    <row r="82" spans="1:28" x14ac:dyDescent="0.25">
      <c r="A82" s="102" t="str">
        <f t="shared" ca="1" si="13"/>
        <v/>
      </c>
      <c r="B82" s="33" t="str">
        <f ca="1">IF(COUNTIF($R$2:R1067,A82)=1,VLOOKUP(A82,X:Y,2), IF(COUNTIF($R$2:R1067,A82)=0,$B$10,""))</f>
        <v/>
      </c>
      <c r="C82" s="25" t="str">
        <f t="shared" ca="1" si="14"/>
        <v/>
      </c>
      <c r="D82" s="26"/>
      <c r="E82" s="33" t="str">
        <f t="shared" ca="1" si="12"/>
        <v/>
      </c>
      <c r="F82" s="25" t="str">
        <f t="shared" ca="1" si="15"/>
        <v/>
      </c>
      <c r="G82" s="25" t="str">
        <f t="shared" ca="1" si="16"/>
        <v/>
      </c>
      <c r="H82" s="117"/>
      <c r="I82" s="55" t="str">
        <f t="shared" ca="1" si="17"/>
        <v/>
      </c>
      <c r="N82" s="37">
        <f ca="1"/>
        <v>46038</v>
      </c>
      <c r="O82" s="41">
        <f ca="1"/>
        <v>266.5</v>
      </c>
      <c r="P82" s="37" t="str">
        <f t="shared" ca="1" si="9"/>
        <v/>
      </c>
      <c r="Q82" s="37" t="str">
        <f t="shared" ca="1" si="10"/>
        <v/>
      </c>
      <c r="Z82" s="37"/>
      <c r="AB82" s="37" t="str">
        <f t="shared" si="11"/>
        <v/>
      </c>
    </row>
    <row r="83" spans="1:28" x14ac:dyDescent="0.25">
      <c r="A83" s="102" t="str">
        <f t="shared" ca="1" si="13"/>
        <v/>
      </c>
      <c r="B83" s="33" t="str">
        <f ca="1">IF(COUNTIF($R$2:R1068,A83)=1,VLOOKUP(A83,X:Y,2), IF(COUNTIF($R$2:R1068,A83)=0,$B$10,""))</f>
        <v/>
      </c>
      <c r="C83" s="25" t="str">
        <f t="shared" ca="1" si="14"/>
        <v/>
      </c>
      <c r="D83" s="26"/>
      <c r="E83" s="33" t="str">
        <f t="shared" ca="1" si="12"/>
        <v/>
      </c>
      <c r="F83" s="25" t="str">
        <f t="shared" ca="1" si="15"/>
        <v/>
      </c>
      <c r="G83" s="25" t="str">
        <f t="shared" ca="1" si="16"/>
        <v/>
      </c>
      <c r="H83" s="117"/>
      <c r="I83" s="55" t="str">
        <f t="shared" ca="1" si="17"/>
        <v/>
      </c>
      <c r="N83" s="37">
        <f ca="1"/>
        <v>46041</v>
      </c>
      <c r="O83" s="41">
        <f ca="1"/>
        <v>264.45</v>
      </c>
      <c r="P83" s="37" t="str">
        <f t="shared" ca="1" si="9"/>
        <v/>
      </c>
      <c r="Q83" s="37" t="str">
        <f t="shared" ca="1" si="10"/>
        <v/>
      </c>
      <c r="Z83" s="37"/>
      <c r="AB83" s="37" t="str">
        <f t="shared" si="11"/>
        <v/>
      </c>
    </row>
    <row r="84" spans="1:28" x14ac:dyDescent="0.25">
      <c r="A84" s="102" t="str">
        <f t="shared" ca="1" si="13"/>
        <v/>
      </c>
      <c r="B84" s="33" t="str">
        <f ca="1">IF(COUNTIF($R$2:R1069,A84)=1,VLOOKUP(A84,X:Y,2), IF(COUNTIF($R$2:R1069,A84)=0,$B$10,""))</f>
        <v/>
      </c>
      <c r="C84" s="25" t="str">
        <f t="shared" ca="1" si="14"/>
        <v/>
      </c>
      <c r="D84" s="26"/>
      <c r="E84" s="33" t="str">
        <f t="shared" ca="1" si="12"/>
        <v/>
      </c>
      <c r="F84" s="25" t="str">
        <f t="shared" ca="1" si="15"/>
        <v/>
      </c>
      <c r="G84" s="25" t="str">
        <f t="shared" ca="1" si="16"/>
        <v/>
      </c>
      <c r="H84" s="117"/>
      <c r="I84" s="55" t="str">
        <f t="shared" ca="1" si="17"/>
        <v/>
      </c>
      <c r="N84" s="37">
        <f ca="1"/>
        <v>46042</v>
      </c>
      <c r="O84" s="41">
        <f ca="1"/>
        <v>261.89999999999998</v>
      </c>
      <c r="P84" s="37" t="str">
        <f t="shared" ca="1" si="9"/>
        <v/>
      </c>
      <c r="Q84" s="37" t="str">
        <f t="shared" ca="1" si="10"/>
        <v/>
      </c>
      <c r="Z84" s="37"/>
      <c r="AB84" s="37" t="str">
        <f t="shared" si="11"/>
        <v/>
      </c>
    </row>
    <row r="85" spans="1:28" x14ac:dyDescent="0.25">
      <c r="A85" s="102" t="str">
        <f t="shared" ca="1" si="13"/>
        <v/>
      </c>
      <c r="B85" s="33" t="str">
        <f ca="1">IF(COUNTIF($R$2:R1070,A85)=1,VLOOKUP(A85,X:Y,2), IF(COUNTIF($R$2:R1070,A85)=0,$B$10,""))</f>
        <v/>
      </c>
      <c r="C85" s="25" t="str">
        <f t="shared" ca="1" si="14"/>
        <v/>
      </c>
      <c r="D85" s="26"/>
      <c r="E85" s="33" t="str">
        <f t="shared" ca="1" si="12"/>
        <v/>
      </c>
      <c r="F85" s="25" t="str">
        <f t="shared" ca="1" si="15"/>
        <v/>
      </c>
      <c r="G85" s="25" t="str">
        <f t="shared" ca="1" si="16"/>
        <v/>
      </c>
      <c r="H85" s="117"/>
      <c r="I85" s="55" t="str">
        <f t="shared" ca="1" si="17"/>
        <v/>
      </c>
      <c r="N85" s="37">
        <f ca="1"/>
        <v>46043</v>
      </c>
      <c r="O85" s="41">
        <f ca="1"/>
        <v>261.60000000000002</v>
      </c>
      <c r="P85" s="37" t="str">
        <f t="shared" ca="1" si="9"/>
        <v/>
      </c>
      <c r="Q85" s="37" t="str">
        <f t="shared" ca="1" si="10"/>
        <v/>
      </c>
      <c r="Z85" s="37"/>
      <c r="AB85" s="37" t="str">
        <f t="shared" si="11"/>
        <v/>
      </c>
    </row>
    <row r="86" spans="1:28" x14ac:dyDescent="0.25">
      <c r="A86" s="102" t="str">
        <f t="shared" ca="1" si="13"/>
        <v/>
      </c>
      <c r="B86" s="33" t="str">
        <f ca="1">IF(COUNTIF($R$2:R1071,A86)=1,VLOOKUP(A86,X:Y,2), IF(COUNTIF($R$2:R1071,A86)=0,$B$10,""))</f>
        <v/>
      </c>
      <c r="C86" s="25" t="str">
        <f t="shared" ca="1" si="14"/>
        <v/>
      </c>
      <c r="D86" s="26"/>
      <c r="E86" s="33" t="str">
        <f t="shared" ca="1" si="12"/>
        <v/>
      </c>
      <c r="F86" s="25" t="str">
        <f t="shared" ca="1" si="15"/>
        <v/>
      </c>
      <c r="G86" s="25" t="str">
        <f t="shared" ca="1" si="16"/>
        <v/>
      </c>
      <c r="H86" s="117"/>
      <c r="I86" s="55" t="str">
        <f t="shared" ca="1" si="17"/>
        <v/>
      </c>
      <c r="N86" s="37">
        <f ca="1"/>
        <v>46044</v>
      </c>
      <c r="O86" s="41">
        <f ca="1"/>
        <v>267.25</v>
      </c>
      <c r="P86" s="37" t="str">
        <f t="shared" ca="1" si="9"/>
        <v/>
      </c>
      <c r="Q86" s="37" t="str">
        <f t="shared" ca="1" si="10"/>
        <v/>
      </c>
      <c r="Z86" s="37"/>
      <c r="AB86" s="37" t="str">
        <f t="shared" si="11"/>
        <v/>
      </c>
    </row>
    <row r="87" spans="1:28" x14ac:dyDescent="0.25">
      <c r="A87" s="102" t="str">
        <f t="shared" ca="1" si="13"/>
        <v/>
      </c>
      <c r="B87" s="33" t="str">
        <f ca="1">IF(COUNTIF($R$2:R1072,A87)=1,VLOOKUP(A87,X:Y,2), IF(COUNTIF($R$2:R1072,A87)=0,$B$10,""))</f>
        <v/>
      </c>
      <c r="C87" s="25" t="str">
        <f t="shared" ca="1" si="14"/>
        <v/>
      </c>
      <c r="D87" s="26"/>
      <c r="E87" s="33" t="str">
        <f t="shared" ca="1" si="12"/>
        <v/>
      </c>
      <c r="F87" s="25" t="str">
        <f t="shared" ca="1" si="15"/>
        <v/>
      </c>
      <c r="G87" s="25" t="str">
        <f t="shared" ca="1" si="16"/>
        <v/>
      </c>
      <c r="H87" s="117"/>
      <c r="I87" s="55" t="str">
        <f t="shared" ca="1" si="17"/>
        <v/>
      </c>
      <c r="N87" s="37">
        <f ca="1"/>
        <v>46045</v>
      </c>
      <c r="O87" s="41">
        <f ca="1"/>
        <v>263.75</v>
      </c>
      <c r="P87" s="37" t="str">
        <f t="shared" ca="1" si="9"/>
        <v/>
      </c>
      <c r="Q87" s="37" t="str">
        <f t="shared" ca="1" si="10"/>
        <v/>
      </c>
      <c r="Z87" s="37"/>
      <c r="AB87" s="37" t="str">
        <f t="shared" si="11"/>
        <v/>
      </c>
    </row>
    <row r="88" spans="1:28" x14ac:dyDescent="0.25">
      <c r="A88" s="102" t="str">
        <f t="shared" ca="1" si="13"/>
        <v/>
      </c>
      <c r="B88" s="33" t="str">
        <f ca="1">IF(COUNTIF($R$2:R1073,A88)=1,VLOOKUP(A88,X:Y,2), IF(COUNTIF($R$2:R1073,A88)=0,$B$10,""))</f>
        <v/>
      </c>
      <c r="C88" s="25" t="str">
        <f t="shared" ca="1" si="14"/>
        <v/>
      </c>
      <c r="D88" s="26"/>
      <c r="E88" s="33" t="str">
        <f t="shared" ca="1" si="12"/>
        <v/>
      </c>
      <c r="F88" s="25" t="str">
        <f t="shared" ca="1" si="15"/>
        <v/>
      </c>
      <c r="G88" s="25" t="str">
        <f t="shared" ca="1" si="16"/>
        <v/>
      </c>
      <c r="H88" s="117"/>
      <c r="I88" s="55" t="str">
        <f t="shared" ca="1" si="17"/>
        <v/>
      </c>
      <c r="N88" s="37">
        <f ca="1"/>
        <v>46048</v>
      </c>
      <c r="O88" s="41">
        <f ca="1"/>
        <v>267.14999999999998</v>
      </c>
      <c r="P88" s="37" t="str">
        <f t="shared" ca="1" si="9"/>
        <v/>
      </c>
      <c r="Q88" s="37" t="str">
        <f t="shared" ca="1" si="10"/>
        <v/>
      </c>
      <c r="Z88" s="37"/>
      <c r="AB88" s="37" t="str">
        <f t="shared" si="11"/>
        <v/>
      </c>
    </row>
    <row r="89" spans="1:28" x14ac:dyDescent="0.25">
      <c r="A89" s="102" t="str">
        <f t="shared" ca="1" si="13"/>
        <v/>
      </c>
      <c r="B89" s="33" t="str">
        <f ca="1">IF(COUNTIF($R$2:R1074,A89)=1,VLOOKUP(A89,X:Y,2), IF(COUNTIF($R$2:R1074,A89)=0,$B$10,""))</f>
        <v/>
      </c>
      <c r="C89" s="25" t="str">
        <f t="shared" ca="1" si="14"/>
        <v/>
      </c>
      <c r="D89" s="26"/>
      <c r="E89" s="33" t="str">
        <f t="shared" ca="1" si="12"/>
        <v/>
      </c>
      <c r="F89" s="25" t="str">
        <f t="shared" ca="1" si="15"/>
        <v/>
      </c>
      <c r="G89" s="25" t="str">
        <f t="shared" ca="1" si="16"/>
        <v/>
      </c>
      <c r="H89" s="117"/>
      <c r="I89" s="55" t="str">
        <f t="shared" ca="1" si="17"/>
        <v/>
      </c>
      <c r="N89" s="37">
        <f ca="1"/>
        <v>46049</v>
      </c>
      <c r="O89" s="41">
        <f ca="1"/>
        <v>271.75</v>
      </c>
      <c r="P89" s="37" t="str">
        <f t="shared" ca="1" si="9"/>
        <v/>
      </c>
      <c r="Q89" s="37" t="str">
        <f t="shared" ca="1" si="10"/>
        <v/>
      </c>
      <c r="Z89" s="37"/>
      <c r="AB89" s="37" t="str">
        <f t="shared" si="11"/>
        <v/>
      </c>
    </row>
    <row r="90" spans="1:28" x14ac:dyDescent="0.25">
      <c r="A90" s="102" t="str">
        <f t="shared" ca="1" si="13"/>
        <v/>
      </c>
      <c r="B90" s="33" t="str">
        <f ca="1">IF(COUNTIF($R$2:R1075,A90)=1,VLOOKUP(A90,X:Y,2), IF(COUNTIF($R$2:R1075,A90)=0,$B$10,""))</f>
        <v/>
      </c>
      <c r="C90" s="25" t="str">
        <f t="shared" ca="1" si="14"/>
        <v/>
      </c>
      <c r="D90" s="26"/>
      <c r="E90" s="33" t="str">
        <f t="shared" ca="1" si="12"/>
        <v/>
      </c>
      <c r="F90" s="25" t="str">
        <f t="shared" ca="1" si="15"/>
        <v/>
      </c>
      <c r="G90" s="25" t="str">
        <f t="shared" ca="1" si="16"/>
        <v/>
      </c>
      <c r="H90" s="117"/>
      <c r="I90" s="55" t="str">
        <f t="shared" ca="1" si="17"/>
        <v/>
      </c>
      <c r="N90" s="37">
        <f ca="1"/>
        <v>46050</v>
      </c>
      <c r="O90" s="41">
        <f ca="1"/>
        <v>268</v>
      </c>
      <c r="P90" s="37" t="str">
        <f t="shared" ca="1" si="9"/>
        <v/>
      </c>
      <c r="Q90" s="37" t="str">
        <f t="shared" ca="1" si="10"/>
        <v/>
      </c>
      <c r="Z90" s="37"/>
      <c r="AB90" s="37" t="str">
        <f t="shared" si="11"/>
        <v/>
      </c>
    </row>
    <row r="91" spans="1:28" x14ac:dyDescent="0.25">
      <c r="A91" s="102" t="str">
        <f t="shared" ca="1" si="13"/>
        <v/>
      </c>
      <c r="B91" s="33" t="str">
        <f ca="1">IF(COUNTIF($R$2:R1076,A91)=1,VLOOKUP(A91,X:Y,2), IF(COUNTIF($R$2:R1076,A91)=0,$B$10,""))</f>
        <v/>
      </c>
      <c r="C91" s="25" t="str">
        <f t="shared" ca="1" si="14"/>
        <v/>
      </c>
      <c r="D91" s="26"/>
      <c r="E91" s="33" t="str">
        <f t="shared" ca="1" si="12"/>
        <v/>
      </c>
      <c r="F91" s="25" t="str">
        <f t="shared" ca="1" si="15"/>
        <v/>
      </c>
      <c r="G91" s="25" t="str">
        <f t="shared" ca="1" si="16"/>
        <v/>
      </c>
      <c r="H91" s="117"/>
      <c r="I91" s="55" t="str">
        <f t="shared" ca="1" si="17"/>
        <v/>
      </c>
      <c r="N91" s="37">
        <f ca="1"/>
        <v>46051</v>
      </c>
      <c r="O91" s="41">
        <f ca="1"/>
        <v>265.75</v>
      </c>
      <c r="P91" s="37" t="str">
        <f t="shared" ca="1" si="9"/>
        <v/>
      </c>
      <c r="Q91" s="37" t="str">
        <f t="shared" ca="1" si="10"/>
        <v/>
      </c>
      <c r="Z91" s="37"/>
      <c r="AB91" s="37" t="str">
        <f t="shared" si="11"/>
        <v/>
      </c>
    </row>
    <row r="92" spans="1:28" x14ac:dyDescent="0.25">
      <c r="A92" s="102" t="str">
        <f t="shared" ca="1" si="13"/>
        <v/>
      </c>
      <c r="B92" s="33" t="str">
        <f ca="1">IF(COUNTIF($R$2:R1077,A92)=1,VLOOKUP(A92,X:Y,2), IF(COUNTIF($R$2:R1077,A92)=0,$B$10,""))</f>
        <v/>
      </c>
      <c r="C92" s="25" t="str">
        <f t="shared" ca="1" si="14"/>
        <v/>
      </c>
      <c r="D92" s="26"/>
      <c r="E92" s="33" t="str">
        <f t="shared" ca="1" si="12"/>
        <v/>
      </c>
      <c r="F92" s="25" t="str">
        <f t="shared" ca="1" si="15"/>
        <v/>
      </c>
      <c r="G92" s="25" t="str">
        <f t="shared" ca="1" si="16"/>
        <v/>
      </c>
      <c r="H92" s="117"/>
      <c r="I92" s="55" t="str">
        <f t="shared" ca="1" si="17"/>
        <v/>
      </c>
      <c r="N92" s="37">
        <f ca="1"/>
        <v>46052</v>
      </c>
      <c r="O92" s="41">
        <f ca="1"/>
        <v>270.2</v>
      </c>
      <c r="P92" s="37" t="str">
        <f t="shared" ca="1" si="9"/>
        <v/>
      </c>
      <c r="Q92" s="37" t="str">
        <f t="shared" ca="1" si="10"/>
        <v/>
      </c>
      <c r="Z92" s="37"/>
      <c r="AB92" s="37" t="str">
        <f t="shared" si="11"/>
        <v/>
      </c>
    </row>
    <row r="93" spans="1:28" x14ac:dyDescent="0.25">
      <c r="A93" s="102" t="str">
        <f t="shared" ca="1" si="13"/>
        <v/>
      </c>
      <c r="B93" s="33" t="str">
        <f ca="1">IF(COUNTIF($R$2:R1078,A93)=1,VLOOKUP(A93,X:Y,2), IF(COUNTIF($R$2:R1078,A93)=0,$B$10,""))</f>
        <v/>
      </c>
      <c r="C93" s="25" t="str">
        <f t="shared" ca="1" si="14"/>
        <v/>
      </c>
      <c r="D93" s="26"/>
      <c r="E93" s="33" t="str">
        <f t="shared" ca="1" si="12"/>
        <v/>
      </c>
      <c r="F93" s="25" t="str">
        <f t="shared" ca="1" si="15"/>
        <v/>
      </c>
      <c r="G93" s="25" t="str">
        <f t="shared" ca="1" si="16"/>
        <v/>
      </c>
      <c r="H93" s="117"/>
      <c r="I93" s="55" t="str">
        <f t="shared" ca="1" si="17"/>
        <v/>
      </c>
      <c r="N93" s="37">
        <f ca="1"/>
        <v>46055</v>
      </c>
      <c r="O93" s="41">
        <f ca="1"/>
        <v>275.89999999999998</v>
      </c>
      <c r="P93" s="37" t="str">
        <f t="shared" ca="1" si="9"/>
        <v/>
      </c>
      <c r="Q93" s="37" t="str">
        <f t="shared" ca="1" si="10"/>
        <v/>
      </c>
      <c r="Z93" s="37"/>
      <c r="AB93" s="37" t="str">
        <f t="shared" si="11"/>
        <v/>
      </c>
    </row>
    <row r="94" spans="1:28" x14ac:dyDescent="0.25">
      <c r="A94" s="102" t="str">
        <f t="shared" ca="1" si="13"/>
        <v/>
      </c>
      <c r="B94" s="33" t="str">
        <f ca="1">IF(COUNTIF($R$2:R1079,A94)=1,VLOOKUP(A94,X:Y,2), IF(COUNTIF($R$2:R1079,A94)=0,$B$10,""))</f>
        <v/>
      </c>
      <c r="C94" s="25" t="str">
        <f t="shared" ca="1" si="14"/>
        <v/>
      </c>
      <c r="D94" s="26"/>
      <c r="E94" s="33" t="str">
        <f t="shared" ca="1" si="12"/>
        <v/>
      </c>
      <c r="F94" s="25" t="str">
        <f t="shared" ca="1" si="15"/>
        <v/>
      </c>
      <c r="G94" s="25" t="str">
        <f t="shared" ca="1" si="16"/>
        <v/>
      </c>
      <c r="H94" s="117"/>
      <c r="I94" s="55" t="str">
        <f t="shared" ca="1" si="17"/>
        <v/>
      </c>
      <c r="N94" s="37">
        <f ca="1"/>
        <v>46056</v>
      </c>
      <c r="O94" s="41">
        <f ca="1"/>
        <v>278.39999999999998</v>
      </c>
      <c r="P94" s="37" t="str">
        <f t="shared" ca="1" si="9"/>
        <v/>
      </c>
      <c r="Q94" s="37" t="str">
        <f t="shared" ca="1" si="10"/>
        <v/>
      </c>
      <c r="Z94" s="37"/>
      <c r="AB94" s="37" t="str">
        <f t="shared" si="11"/>
        <v/>
      </c>
    </row>
    <row r="95" spans="1:28" x14ac:dyDescent="0.25">
      <c r="A95" s="102" t="str">
        <f t="shared" ca="1" si="13"/>
        <v/>
      </c>
      <c r="B95" s="33" t="str">
        <f ca="1">IF(COUNTIF($R$2:R1080,A95)=1,VLOOKUP(A95,X:Y,2), IF(COUNTIF($R$2:R1080,A95)=0,$B$10,""))</f>
        <v/>
      </c>
      <c r="C95" s="25" t="str">
        <f t="shared" ca="1" si="14"/>
        <v/>
      </c>
      <c r="D95" s="26"/>
      <c r="E95" s="33" t="str">
        <f t="shared" ca="1" si="12"/>
        <v/>
      </c>
      <c r="F95" s="25" t="str">
        <f t="shared" ca="1" si="15"/>
        <v/>
      </c>
      <c r="G95" s="25" t="str">
        <f t="shared" ca="1" si="16"/>
        <v/>
      </c>
      <c r="H95" s="117"/>
      <c r="I95" s="55" t="str">
        <f t="shared" ca="1" si="17"/>
        <v/>
      </c>
      <c r="N95" s="37">
        <f ca="1"/>
        <v>46057</v>
      </c>
      <c r="O95" s="41">
        <f ca="1"/>
        <v>276.05</v>
      </c>
      <c r="P95" s="37" t="str">
        <f t="shared" ca="1" si="9"/>
        <v/>
      </c>
      <c r="Q95" s="37" t="str">
        <f t="shared" ca="1" si="10"/>
        <v/>
      </c>
      <c r="Z95" s="37"/>
      <c r="AB95" s="37" t="str">
        <f t="shared" si="11"/>
        <v/>
      </c>
    </row>
    <row r="96" spans="1:28" x14ac:dyDescent="0.25">
      <c r="A96" s="102" t="str">
        <f t="shared" ca="1" si="13"/>
        <v/>
      </c>
      <c r="B96" s="33" t="str">
        <f ca="1">IF(COUNTIF($R$2:R1081,A96)=1,VLOOKUP(A96,X:Y,2), IF(COUNTIF($R$2:R1081,A96)=0,$B$10,""))</f>
        <v/>
      </c>
      <c r="C96" s="25" t="str">
        <f t="shared" ca="1" si="14"/>
        <v/>
      </c>
      <c r="D96" s="26"/>
      <c r="E96" s="33" t="str">
        <f t="shared" ca="1" si="12"/>
        <v/>
      </c>
      <c r="F96" s="25" t="str">
        <f t="shared" ca="1" si="15"/>
        <v/>
      </c>
      <c r="G96" s="25" t="str">
        <f t="shared" ca="1" si="16"/>
        <v/>
      </c>
      <c r="H96" s="117"/>
      <c r="I96" s="55" t="str">
        <f t="shared" ca="1" si="17"/>
        <v/>
      </c>
      <c r="N96" s="37">
        <f ca="1"/>
        <v>46058</v>
      </c>
      <c r="O96" s="41">
        <f ca="1"/>
        <v>266.5</v>
      </c>
      <c r="P96" s="37" t="str">
        <f t="shared" ca="1" si="9"/>
        <v/>
      </c>
      <c r="Q96" s="37" t="str">
        <f t="shared" ca="1" si="10"/>
        <v/>
      </c>
      <c r="Z96" s="37"/>
      <c r="AB96" s="37" t="str">
        <f t="shared" si="11"/>
        <v/>
      </c>
    </row>
    <row r="97" spans="1:28" x14ac:dyDescent="0.25">
      <c r="A97" s="102" t="str">
        <f t="shared" ca="1" si="13"/>
        <v/>
      </c>
      <c r="B97" s="33" t="str">
        <f ca="1">IF(COUNTIF($R$2:R1082,A97)=1,VLOOKUP(A97,X:Y,2), IF(COUNTIF($R$2:R1082,A97)=0,$B$10,""))</f>
        <v/>
      </c>
      <c r="C97" s="25" t="str">
        <f t="shared" ca="1" si="14"/>
        <v/>
      </c>
      <c r="D97" s="26"/>
      <c r="E97" s="33" t="str">
        <f t="shared" ca="1" si="12"/>
        <v/>
      </c>
      <c r="F97" s="25" t="str">
        <f t="shared" ca="1" si="15"/>
        <v/>
      </c>
      <c r="G97" s="25" t="str">
        <f t="shared" ca="1" si="16"/>
        <v/>
      </c>
      <c r="H97" s="117"/>
      <c r="I97" s="55" t="str">
        <f t="shared" ca="1" si="17"/>
        <v/>
      </c>
      <c r="N97" s="37">
        <f ca="1"/>
        <v>46059</v>
      </c>
      <c r="O97" s="41">
        <f ca="1"/>
        <v>268.10000000000002</v>
      </c>
      <c r="P97" s="37" t="str">
        <f t="shared" ca="1" si="9"/>
        <v/>
      </c>
      <c r="Q97" s="37" t="str">
        <f t="shared" ca="1" si="10"/>
        <v/>
      </c>
      <c r="Z97" s="37"/>
      <c r="AB97" s="37" t="str">
        <f t="shared" si="11"/>
        <v/>
      </c>
    </row>
    <row r="98" spans="1:28" x14ac:dyDescent="0.25">
      <c r="A98" s="102" t="str">
        <f t="shared" ca="1" si="13"/>
        <v/>
      </c>
      <c r="B98" s="33" t="str">
        <f ca="1">IF(COUNTIF($R$2:R1083,A98)=1,VLOOKUP(A98,X:Y,2), IF(COUNTIF($R$2:R1083,A98)=0,$B$10,""))</f>
        <v/>
      </c>
      <c r="C98" s="25" t="str">
        <f t="shared" ca="1" si="14"/>
        <v/>
      </c>
      <c r="D98" s="26"/>
      <c r="E98" s="33" t="str">
        <f t="shared" ca="1" si="12"/>
        <v/>
      </c>
      <c r="F98" s="25" t="str">
        <f t="shared" ca="1" si="15"/>
        <v/>
      </c>
      <c r="G98" s="25" t="str">
        <f t="shared" ca="1" si="16"/>
        <v/>
      </c>
      <c r="H98" s="117"/>
      <c r="I98" s="55" t="str">
        <f t="shared" ca="1" si="17"/>
        <v/>
      </c>
      <c r="N98" s="37">
        <f ca="1"/>
        <v>46062</v>
      </c>
      <c r="O98" s="41">
        <f ca="1"/>
        <v>274.45</v>
      </c>
      <c r="P98" s="37" t="str">
        <f t="shared" ca="1" si="9"/>
        <v/>
      </c>
      <c r="Q98" s="37" t="str">
        <f t="shared" ca="1" si="10"/>
        <v/>
      </c>
      <c r="Z98" s="37"/>
      <c r="AB98" s="37" t="str">
        <f t="shared" si="11"/>
        <v/>
      </c>
    </row>
    <row r="99" spans="1:28" x14ac:dyDescent="0.25">
      <c r="A99" s="102" t="str">
        <f t="shared" ca="1" si="13"/>
        <v/>
      </c>
      <c r="B99" s="33" t="str">
        <f ca="1">IF(COUNTIF($R$2:R1084,A99)=1,VLOOKUP(A99,X:Y,2), IF(COUNTIF($R$2:R1084,A99)=0,$B$10,""))</f>
        <v/>
      </c>
      <c r="C99" s="25" t="str">
        <f t="shared" ca="1" si="14"/>
        <v/>
      </c>
      <c r="D99" s="26"/>
      <c r="E99" s="33" t="str">
        <f t="shared" ca="1" si="12"/>
        <v/>
      </c>
      <c r="F99" s="25" t="str">
        <f t="shared" ca="1" si="15"/>
        <v/>
      </c>
      <c r="G99" s="25" t="str">
        <f t="shared" ca="1" si="16"/>
        <v/>
      </c>
      <c r="H99" s="117"/>
      <c r="I99" s="55" t="str">
        <f t="shared" ca="1" si="17"/>
        <v/>
      </c>
      <c r="N99" s="37">
        <f ca="1"/>
        <v>46063</v>
      </c>
      <c r="O99" s="41">
        <f ca="1"/>
        <v>271.75</v>
      </c>
      <c r="P99" s="37" t="str">
        <f t="shared" ca="1" si="9"/>
        <v/>
      </c>
      <c r="Q99" s="37" t="str">
        <f t="shared" ca="1" si="10"/>
        <v/>
      </c>
      <c r="Z99" s="37"/>
      <c r="AB99" s="37" t="str">
        <f t="shared" si="11"/>
        <v/>
      </c>
    </row>
    <row r="100" spans="1:28" x14ac:dyDescent="0.25">
      <c r="A100" s="102" t="str">
        <f t="shared" ca="1" si="13"/>
        <v/>
      </c>
      <c r="B100" s="33" t="str">
        <f ca="1">IF(COUNTIF($R$2:R1085,A100)=1,VLOOKUP(A100,X:Y,2), IF(COUNTIF($R$2:R1085,A100)=0,$B$10,""))</f>
        <v/>
      </c>
      <c r="C100" s="25" t="str">
        <f t="shared" ca="1" si="14"/>
        <v/>
      </c>
      <c r="D100" s="26"/>
      <c r="E100" s="33" t="str">
        <f t="shared" ca="1" si="12"/>
        <v/>
      </c>
      <c r="F100" s="25" t="str">
        <f t="shared" ca="1" si="15"/>
        <v/>
      </c>
      <c r="G100" s="25" t="str">
        <f t="shared" ca="1" si="16"/>
        <v/>
      </c>
      <c r="H100" s="117"/>
      <c r="I100" s="55" t="str">
        <f t="shared" ca="1" si="17"/>
        <v/>
      </c>
      <c r="N100" s="37">
        <f ca="1"/>
        <v>46064</v>
      </c>
      <c r="O100" s="41">
        <f ca="1"/>
        <v>266.95</v>
      </c>
      <c r="P100" s="37" t="str">
        <f t="shared" ca="1" si="9"/>
        <v/>
      </c>
      <c r="Q100" s="37" t="str">
        <f t="shared" ca="1" si="10"/>
        <v/>
      </c>
      <c r="Z100" s="37"/>
      <c r="AB100" s="37" t="str">
        <f t="shared" si="11"/>
        <v/>
      </c>
    </row>
    <row r="101" spans="1:28" x14ac:dyDescent="0.25">
      <c r="A101" s="102" t="str">
        <f t="shared" ca="1" si="13"/>
        <v/>
      </c>
      <c r="B101" s="33" t="str">
        <f ca="1">IF(COUNTIF($R$2:R1086,A101)=1,VLOOKUP(A101,X:Y,2), IF(COUNTIF($R$2:R1086,A101)=0,$B$10,""))</f>
        <v/>
      </c>
      <c r="C101" s="25" t="str">
        <f t="shared" ca="1" si="14"/>
        <v/>
      </c>
      <c r="D101" s="26"/>
      <c r="E101" s="33" t="str">
        <f t="shared" ca="1" si="12"/>
        <v/>
      </c>
      <c r="F101" s="25" t="str">
        <f t="shared" ca="1" si="15"/>
        <v/>
      </c>
      <c r="G101" s="25" t="str">
        <f t="shared" ca="1" si="16"/>
        <v/>
      </c>
      <c r="H101" s="117"/>
      <c r="I101" s="55" t="str">
        <f t="shared" ca="1" si="17"/>
        <v/>
      </c>
      <c r="N101" s="37">
        <f ca="1"/>
        <v>46065</v>
      </c>
      <c r="O101" s="41">
        <f ca="1"/>
        <v>261.14999999999998</v>
      </c>
      <c r="P101" s="37" t="str">
        <f t="shared" ca="1" si="9"/>
        <v/>
      </c>
      <c r="Q101" s="37" t="str">
        <f t="shared" ca="1" si="10"/>
        <v/>
      </c>
      <c r="Z101" s="37"/>
      <c r="AB101" s="37" t="str">
        <f t="shared" si="11"/>
        <v/>
      </c>
    </row>
    <row r="102" spans="1:28" x14ac:dyDescent="0.25">
      <c r="A102" s="102" t="str">
        <f t="shared" ca="1" si="13"/>
        <v/>
      </c>
      <c r="B102" s="33" t="str">
        <f ca="1">IF(COUNTIF($R$2:R1087,A102)=1,VLOOKUP(A102,X:Y,2), IF(COUNTIF($R$2:R1087,A102)=0,$B$10,""))</f>
        <v/>
      </c>
      <c r="C102" s="25" t="str">
        <f t="shared" ca="1" si="14"/>
        <v/>
      </c>
      <c r="D102" s="26"/>
      <c r="E102" s="33" t="str">
        <f t="shared" ca="1" si="12"/>
        <v/>
      </c>
      <c r="F102" s="25" t="str">
        <f t="shared" ca="1" si="15"/>
        <v/>
      </c>
      <c r="G102" s="25" t="str">
        <f t="shared" ca="1" si="16"/>
        <v/>
      </c>
      <c r="H102" s="117"/>
      <c r="I102" s="55" t="str">
        <f t="shared" ca="1" si="17"/>
        <v/>
      </c>
      <c r="N102" s="37">
        <f ca="1"/>
        <v>46066</v>
      </c>
      <c r="O102" s="41">
        <f ca="1"/>
        <v>253.5</v>
      </c>
      <c r="P102" s="37" t="str">
        <f t="shared" ca="1" si="9"/>
        <v/>
      </c>
      <c r="Q102" s="37" t="str">
        <f t="shared" ca="1" si="10"/>
        <v/>
      </c>
      <c r="Z102" s="37"/>
      <c r="AB102" s="37" t="str">
        <f t="shared" si="11"/>
        <v/>
      </c>
    </row>
    <row r="103" spans="1:28" x14ac:dyDescent="0.25">
      <c r="A103" s="102" t="str">
        <f t="shared" ca="1" si="13"/>
        <v/>
      </c>
      <c r="B103" s="33" t="str">
        <f ca="1">IF(COUNTIF($R$2:R1088,A103)=1,VLOOKUP(A103,X:Y,2), IF(COUNTIF($R$2:R1088,A103)=0,$B$10,""))</f>
        <v/>
      </c>
      <c r="C103" s="25" t="str">
        <f t="shared" ca="1" si="14"/>
        <v/>
      </c>
      <c r="D103" s="26"/>
      <c r="E103" s="33" t="str">
        <f t="shared" ca="1" si="12"/>
        <v/>
      </c>
      <c r="F103" s="25" t="str">
        <f t="shared" ca="1" si="15"/>
        <v/>
      </c>
      <c r="G103" s="25" t="str">
        <f t="shared" ca="1" si="16"/>
        <v/>
      </c>
      <c r="H103" s="117"/>
      <c r="I103" s="55" t="str">
        <f t="shared" ca="1" si="17"/>
        <v/>
      </c>
      <c r="N103" s="37">
        <f ca="1"/>
        <v>46069</v>
      </c>
      <c r="O103" s="41">
        <f ca="1"/>
        <v>257.05</v>
      </c>
      <c r="P103" s="37" t="str">
        <f t="shared" ca="1" si="9"/>
        <v/>
      </c>
      <c r="Q103" s="37" t="str">
        <f t="shared" ca="1" si="10"/>
        <v/>
      </c>
      <c r="Z103" s="37"/>
      <c r="AB103" s="37" t="str">
        <f t="shared" si="11"/>
        <v/>
      </c>
    </row>
    <row r="104" spans="1:28" x14ac:dyDescent="0.25">
      <c r="A104" s="102" t="str">
        <f t="shared" ca="1" si="13"/>
        <v/>
      </c>
      <c r="B104" s="33" t="str">
        <f ca="1">IF(COUNTIF($R$2:R1089,A104)=1,VLOOKUP(A104,X:Y,2), IF(COUNTIF($R$2:R1089,A104)=0,$B$10,""))</f>
        <v/>
      </c>
      <c r="C104" s="25" t="str">
        <f t="shared" ca="1" si="14"/>
        <v/>
      </c>
      <c r="D104" s="26"/>
      <c r="E104" s="33" t="str">
        <f t="shared" ca="1" si="12"/>
        <v/>
      </c>
      <c r="F104" s="25" t="str">
        <f t="shared" ca="1" si="15"/>
        <v/>
      </c>
      <c r="G104" s="25" t="str">
        <f t="shared" ca="1" si="16"/>
        <v/>
      </c>
      <c r="H104" s="117"/>
      <c r="I104" s="55" t="str">
        <f t="shared" ca="1" si="17"/>
        <v/>
      </c>
      <c r="N104" s="37">
        <f ca="1"/>
        <v>46070</v>
      </c>
      <c r="O104" s="41">
        <f ca="1"/>
        <v>259.7</v>
      </c>
      <c r="P104" s="37" t="str">
        <f t="shared" ca="1" si="9"/>
        <v/>
      </c>
      <c r="Q104" s="37" t="str">
        <f t="shared" ca="1" si="10"/>
        <v/>
      </c>
      <c r="Z104" s="37"/>
      <c r="AB104" s="37" t="str">
        <f t="shared" si="11"/>
        <v/>
      </c>
    </row>
    <row r="105" spans="1:28" x14ac:dyDescent="0.25">
      <c r="A105" s="102" t="str">
        <f t="shared" ca="1" si="13"/>
        <v/>
      </c>
      <c r="B105" s="33" t="str">
        <f ca="1">IF(COUNTIF($R$2:R1090,A105)=1,VLOOKUP(A105,X:Y,2), IF(COUNTIF($R$2:R1090,A105)=0,$B$10,""))</f>
        <v/>
      </c>
      <c r="C105" s="25" t="str">
        <f t="shared" ca="1" si="14"/>
        <v/>
      </c>
      <c r="D105" s="26"/>
      <c r="E105" s="33" t="str">
        <f t="shared" ca="1" si="12"/>
        <v/>
      </c>
      <c r="F105" s="25" t="str">
        <f t="shared" ca="1" si="15"/>
        <v/>
      </c>
      <c r="G105" s="25" t="str">
        <f t="shared" ca="1" si="16"/>
        <v/>
      </c>
      <c r="H105" s="117"/>
      <c r="I105" s="55" t="str">
        <f t="shared" ca="1" si="17"/>
        <v/>
      </c>
      <c r="N105" s="37">
        <f ca="1"/>
        <v>46071</v>
      </c>
      <c r="O105" s="41">
        <f ca="1"/>
        <v>265.85000000000002</v>
      </c>
      <c r="P105" s="37" t="str">
        <f t="shared" ca="1" si="9"/>
        <v/>
      </c>
      <c r="Q105" s="37" t="str">
        <f t="shared" ca="1" si="10"/>
        <v/>
      </c>
      <c r="Z105" s="37"/>
      <c r="AB105" s="37" t="str">
        <f t="shared" si="11"/>
        <v/>
      </c>
    </row>
    <row r="106" spans="1:28" x14ac:dyDescent="0.25">
      <c r="A106" s="102" t="str">
        <f t="shared" ca="1" si="13"/>
        <v/>
      </c>
      <c r="B106" s="33" t="str">
        <f ca="1">IF(COUNTIF($R$2:R1091,A106)=1,VLOOKUP(A106,X:Y,2), IF(COUNTIF($R$2:R1091,A106)=0,$B$10,""))</f>
        <v/>
      </c>
      <c r="C106" s="25" t="str">
        <f t="shared" ca="1" si="14"/>
        <v/>
      </c>
      <c r="D106" s="26"/>
      <c r="E106" s="33" t="str">
        <f t="shared" ca="1" si="12"/>
        <v/>
      </c>
      <c r="F106" s="25" t="str">
        <f t="shared" ca="1" si="15"/>
        <v/>
      </c>
      <c r="G106" s="25" t="str">
        <f t="shared" ca="1" si="16"/>
        <v/>
      </c>
      <c r="H106" s="117"/>
      <c r="I106" s="55" t="str">
        <f t="shared" ca="1" si="17"/>
        <v/>
      </c>
      <c r="N106" s="37">
        <f ca="1"/>
        <v>46072</v>
      </c>
      <c r="O106" s="41">
        <f ca="1"/>
        <v>262.5</v>
      </c>
      <c r="P106" s="37" t="str">
        <f t="shared" ca="1" si="9"/>
        <v/>
      </c>
      <c r="Q106" s="37" t="str">
        <f t="shared" ca="1" si="10"/>
        <v/>
      </c>
      <c r="Z106" s="37"/>
      <c r="AB106" s="37" t="str">
        <f t="shared" si="11"/>
        <v/>
      </c>
    </row>
    <row r="107" spans="1:28" x14ac:dyDescent="0.25">
      <c r="A107" s="102" t="str">
        <f t="shared" ca="1" si="13"/>
        <v/>
      </c>
      <c r="B107" s="33" t="str">
        <f ca="1">IF(COUNTIF($R$2:R1092,A107)=1,VLOOKUP(A107,X:Y,2), IF(COUNTIF($R$2:R1092,A107)=0,$B$10,""))</f>
        <v/>
      </c>
      <c r="C107" s="25" t="str">
        <f t="shared" ca="1" si="14"/>
        <v/>
      </c>
      <c r="D107" s="26"/>
      <c r="E107" s="33" t="str">
        <f t="shared" ca="1" si="12"/>
        <v/>
      </c>
      <c r="F107" s="25" t="str">
        <f t="shared" ca="1" si="15"/>
        <v/>
      </c>
      <c r="G107" s="25" t="str">
        <f t="shared" ca="1" si="16"/>
        <v/>
      </c>
      <c r="H107" s="117"/>
      <c r="I107" s="55" t="str">
        <f t="shared" ca="1" si="17"/>
        <v/>
      </c>
      <c r="N107" s="37">
        <f ca="1"/>
        <v>46073</v>
      </c>
      <c r="O107" s="41">
        <f ca="1"/>
        <v>267.2</v>
      </c>
      <c r="P107" s="37" t="str">
        <f t="shared" ca="1" si="9"/>
        <v/>
      </c>
      <c r="Q107" s="37" t="str">
        <f t="shared" ca="1" si="10"/>
        <v/>
      </c>
      <c r="Z107" s="37"/>
      <c r="AB107" s="37" t="str">
        <f t="shared" si="11"/>
        <v/>
      </c>
    </row>
    <row r="108" spans="1:28" x14ac:dyDescent="0.25">
      <c r="A108" s="102" t="str">
        <f t="shared" ca="1" si="13"/>
        <v/>
      </c>
      <c r="B108" s="33" t="str">
        <f ca="1">IF(COUNTIF($R$2:R1093,A108)=1,VLOOKUP(A108,X:Y,2), IF(COUNTIF($R$2:R1093,A108)=0,$B$10,""))</f>
        <v/>
      </c>
      <c r="C108" s="25" t="str">
        <f t="shared" ca="1" si="14"/>
        <v/>
      </c>
      <c r="D108" s="26"/>
      <c r="E108" s="33" t="str">
        <f t="shared" ca="1" si="12"/>
        <v/>
      </c>
      <c r="F108" s="25" t="str">
        <f t="shared" ca="1" si="15"/>
        <v/>
      </c>
      <c r="G108" s="25" t="str">
        <f t="shared" ca="1" si="16"/>
        <v/>
      </c>
      <c r="H108" s="117"/>
      <c r="I108" s="55" t="str">
        <f t="shared" ca="1" si="17"/>
        <v/>
      </c>
      <c r="N108" s="37">
        <f ca="1"/>
        <v>46076</v>
      </c>
      <c r="O108" s="41">
        <f ca="1"/>
        <v>268.25</v>
      </c>
      <c r="P108" s="37" t="str">
        <f t="shared" ca="1" si="9"/>
        <v/>
      </c>
      <c r="Q108" s="37" t="str">
        <f t="shared" ca="1" si="10"/>
        <v/>
      </c>
      <c r="Z108" s="37"/>
      <c r="AB108" s="37" t="str">
        <f t="shared" si="11"/>
        <v/>
      </c>
    </row>
    <row r="109" spans="1:28" x14ac:dyDescent="0.25">
      <c r="A109" s="102" t="str">
        <f t="shared" ca="1" si="13"/>
        <v/>
      </c>
      <c r="B109" s="33" t="str">
        <f ca="1">IF(COUNTIF($R$2:R1094,A109)=1,VLOOKUP(A109,X:Y,2), IF(COUNTIF($R$2:R1094,A109)=0,$B$10,""))</f>
        <v/>
      </c>
      <c r="C109" s="25" t="str">
        <f t="shared" ca="1" si="14"/>
        <v/>
      </c>
      <c r="D109" s="26"/>
      <c r="E109" s="33" t="str">
        <f t="shared" ca="1" si="12"/>
        <v/>
      </c>
      <c r="F109" s="25" t="str">
        <f t="shared" ca="1" si="15"/>
        <v/>
      </c>
      <c r="G109" s="25" t="str">
        <f t="shared" ca="1" si="16"/>
        <v/>
      </c>
      <c r="H109" s="117"/>
      <c r="I109" s="55" t="str">
        <f t="shared" ca="1" si="17"/>
        <v/>
      </c>
      <c r="N109" s="37">
        <f ca="1"/>
        <v>46077</v>
      </c>
      <c r="O109" s="41">
        <f ca="1"/>
        <v>263.55</v>
      </c>
      <c r="P109" s="37" t="str">
        <f t="shared" ca="1" si="9"/>
        <v/>
      </c>
      <c r="Q109" s="37" t="str">
        <f t="shared" ca="1" si="10"/>
        <v/>
      </c>
      <c r="Z109" s="37"/>
      <c r="AB109" s="37" t="str">
        <f t="shared" si="11"/>
        <v/>
      </c>
    </row>
    <row r="110" spans="1:28" x14ac:dyDescent="0.25">
      <c r="A110" s="102" t="str">
        <f t="shared" ca="1" si="13"/>
        <v/>
      </c>
      <c r="B110" s="33" t="str">
        <f ca="1">IF(COUNTIF($R$2:R1095,A110)=1,VLOOKUP(A110,X:Y,2), IF(COUNTIF($R$2:R1095,A110)=0,$B$10,""))</f>
        <v/>
      </c>
      <c r="C110" s="25" t="str">
        <f t="shared" ca="1" si="14"/>
        <v/>
      </c>
      <c r="D110" s="26"/>
      <c r="E110" s="33" t="str">
        <f t="shared" ca="1" si="12"/>
        <v/>
      </c>
      <c r="F110" s="25" t="str">
        <f t="shared" ca="1" si="15"/>
        <v/>
      </c>
      <c r="G110" s="25" t="str">
        <f t="shared" ca="1" si="16"/>
        <v/>
      </c>
      <c r="H110" s="117"/>
      <c r="I110" s="55" t="str">
        <f t="shared" ca="1" si="17"/>
        <v/>
      </c>
      <c r="N110" s="37">
        <f ca="1"/>
        <v>46078</v>
      </c>
      <c r="O110" s="41">
        <f ca="1"/>
        <v>269.14999999999998</v>
      </c>
      <c r="P110" s="37" t="str">
        <f t="shared" ca="1" si="9"/>
        <v/>
      </c>
      <c r="Q110" s="37" t="str">
        <f t="shared" ca="1" si="10"/>
        <v/>
      </c>
      <c r="Z110" s="37"/>
      <c r="AB110" s="37" t="str">
        <f t="shared" si="11"/>
        <v/>
      </c>
    </row>
    <row r="111" spans="1:28" x14ac:dyDescent="0.25">
      <c r="A111" s="102" t="str">
        <f t="shared" ca="1" si="13"/>
        <v/>
      </c>
      <c r="B111" s="33" t="str">
        <f ca="1">IF(COUNTIF($R$2:R1096,A111)=1,VLOOKUP(A111,X:Y,2), IF(COUNTIF($R$2:R1096,A111)=0,$B$10,""))</f>
        <v/>
      </c>
      <c r="C111" s="25" t="str">
        <f t="shared" ca="1" si="14"/>
        <v/>
      </c>
      <c r="D111" s="26"/>
      <c r="E111" s="33" t="str">
        <f t="shared" ca="1" si="12"/>
        <v/>
      </c>
      <c r="F111" s="25" t="str">
        <f t="shared" ca="1" si="15"/>
        <v/>
      </c>
      <c r="G111" s="25" t="str">
        <f t="shared" ca="1" si="16"/>
        <v/>
      </c>
      <c r="H111" s="117"/>
      <c r="I111" s="55" t="str">
        <f t="shared" ca="1" si="17"/>
        <v/>
      </c>
      <c r="N111" s="37">
        <f ca="1"/>
        <v>46079</v>
      </c>
      <c r="O111" s="41">
        <f ca="1"/>
        <v>268.75</v>
      </c>
      <c r="P111" s="37" t="str">
        <f t="shared" ca="1" si="9"/>
        <v/>
      </c>
      <c r="Q111" s="37" t="str">
        <f t="shared" ca="1" si="10"/>
        <v/>
      </c>
      <c r="Z111" s="37"/>
      <c r="AB111" s="37" t="str">
        <f t="shared" si="11"/>
        <v/>
      </c>
    </row>
    <row r="112" spans="1:28" x14ac:dyDescent="0.25">
      <c r="A112" s="102" t="str">
        <f t="shared" ca="1" si="13"/>
        <v/>
      </c>
      <c r="B112" s="33" t="str">
        <f ca="1">IF(COUNTIF($R$2:R1097,A112)=1,VLOOKUP(A112,X:Y,2), IF(COUNTIF($R$2:R1097,A112)=0,$B$10,""))</f>
        <v/>
      </c>
      <c r="C112" s="25" t="str">
        <f t="shared" ca="1" si="14"/>
        <v/>
      </c>
      <c r="D112" s="26"/>
      <c r="E112" s="33" t="str">
        <f t="shared" ca="1" si="12"/>
        <v/>
      </c>
      <c r="F112" s="25" t="str">
        <f t="shared" ca="1" si="15"/>
        <v/>
      </c>
      <c r="G112" s="25" t="str">
        <f t="shared" ca="1" si="16"/>
        <v/>
      </c>
      <c r="H112" s="117"/>
      <c r="I112" s="55" t="str">
        <f t="shared" ca="1" si="17"/>
        <v/>
      </c>
      <c r="N112" s="37">
        <f ca="1"/>
        <v>46080</v>
      </c>
      <c r="O112" s="41">
        <f ca="1"/>
        <v>263.89999999999998</v>
      </c>
      <c r="P112" s="37" t="str">
        <f t="shared" ca="1" si="9"/>
        <v/>
      </c>
      <c r="Q112" s="37" t="str">
        <f t="shared" ca="1" si="10"/>
        <v/>
      </c>
      <c r="Z112" s="37"/>
      <c r="AB112" s="37" t="str">
        <f t="shared" si="11"/>
        <v/>
      </c>
    </row>
    <row r="113" spans="1:28" x14ac:dyDescent="0.25">
      <c r="A113" s="102" t="str">
        <f t="shared" ca="1" si="13"/>
        <v/>
      </c>
      <c r="B113" s="33" t="str">
        <f ca="1">IF(COUNTIF($R$2:R1098,A113)=1,VLOOKUP(A113,X:Y,2), IF(COUNTIF($R$2:R1098,A113)=0,$B$10,""))</f>
        <v/>
      </c>
      <c r="C113" s="25" t="str">
        <f t="shared" ca="1" si="14"/>
        <v/>
      </c>
      <c r="D113" s="26"/>
      <c r="E113" s="33" t="str">
        <f t="shared" ca="1" si="12"/>
        <v/>
      </c>
      <c r="F113" s="25" t="str">
        <f t="shared" ca="1" si="15"/>
        <v/>
      </c>
      <c r="G113" s="25" t="str">
        <f t="shared" ca="1" si="16"/>
        <v/>
      </c>
      <c r="H113" s="117"/>
      <c r="I113" s="55" t="str">
        <f t="shared" ca="1" si="17"/>
        <v/>
      </c>
      <c r="N113" s="37">
        <f ca="1"/>
        <v>46083</v>
      </c>
      <c r="O113" s="41">
        <f ca="1"/>
        <v>255.1</v>
      </c>
      <c r="P113" s="37" t="str">
        <f t="shared" ca="1" si="9"/>
        <v/>
      </c>
      <c r="Q113" s="37" t="str">
        <f t="shared" ca="1" si="10"/>
        <v/>
      </c>
      <c r="Z113" s="37"/>
      <c r="AB113" s="37" t="str">
        <f t="shared" si="11"/>
        <v/>
      </c>
    </row>
    <row r="114" spans="1:28" x14ac:dyDescent="0.25">
      <c r="A114" s="102" t="str">
        <f t="shared" ca="1" si="13"/>
        <v/>
      </c>
      <c r="B114" s="33" t="str">
        <f ca="1">IF(COUNTIF($R$2:R1099,A114)=1,VLOOKUP(A114,X:Y,2), IF(COUNTIF($R$2:R1099,A114)=0,$B$10,""))</f>
        <v/>
      </c>
      <c r="C114" s="25" t="str">
        <f t="shared" ca="1" si="14"/>
        <v/>
      </c>
      <c r="D114" s="26"/>
      <c r="E114" s="33" t="str">
        <f t="shared" ca="1" si="12"/>
        <v/>
      </c>
      <c r="F114" s="25" t="str">
        <f t="shared" ca="1" si="15"/>
        <v/>
      </c>
      <c r="G114" s="25" t="str">
        <f t="shared" ca="1" si="16"/>
        <v/>
      </c>
      <c r="H114" s="117"/>
      <c r="I114" s="55" t="str">
        <f t="shared" ca="1" si="17"/>
        <v/>
      </c>
      <c r="N114" s="37">
        <f ca="1"/>
        <v>46084</v>
      </c>
      <c r="O114" s="41">
        <f ca="1"/>
        <v>243.05</v>
      </c>
      <c r="P114" s="37" t="str">
        <f t="shared" ca="1" si="9"/>
        <v/>
      </c>
      <c r="Q114" s="37" t="str">
        <f t="shared" ca="1" si="10"/>
        <v/>
      </c>
      <c r="Z114" s="37"/>
      <c r="AB114" s="37" t="str">
        <f t="shared" si="11"/>
        <v/>
      </c>
    </row>
    <row r="115" spans="1:28" x14ac:dyDescent="0.25">
      <c r="A115" s="102" t="str">
        <f t="shared" ca="1" si="13"/>
        <v/>
      </c>
      <c r="B115" s="33" t="str">
        <f ca="1">IF(COUNTIF($R$2:R1100,A115)=1,VLOOKUP(A115,X:Y,2), IF(COUNTIF($R$2:R1100,A115)=0,$B$10,""))</f>
        <v/>
      </c>
      <c r="C115" s="25" t="str">
        <f t="shared" ca="1" si="14"/>
        <v/>
      </c>
      <c r="D115" s="26"/>
      <c r="E115" s="33" t="str">
        <f t="shared" ca="1" si="12"/>
        <v/>
      </c>
      <c r="F115" s="25" t="str">
        <f t="shared" ca="1" si="15"/>
        <v/>
      </c>
      <c r="G115" s="25" t="str">
        <f t="shared" ca="1" si="16"/>
        <v/>
      </c>
      <c r="H115" s="117"/>
      <c r="I115" s="55" t="str">
        <f t="shared" ca="1" si="17"/>
        <v/>
      </c>
      <c r="N115" s="37">
        <f ca="1"/>
        <v>46085</v>
      </c>
      <c r="O115" s="41">
        <f ca="1"/>
        <v>249.95</v>
      </c>
      <c r="P115" s="37" t="str">
        <f t="shared" ca="1" si="9"/>
        <v/>
      </c>
      <c r="Q115" s="37" t="str">
        <f t="shared" ca="1" si="10"/>
        <v/>
      </c>
      <c r="Z115" s="37"/>
      <c r="AB115" s="37" t="str">
        <f t="shared" si="11"/>
        <v/>
      </c>
    </row>
    <row r="116" spans="1:28" x14ac:dyDescent="0.25">
      <c r="A116" s="102" t="str">
        <f t="shared" ca="1" si="13"/>
        <v/>
      </c>
      <c r="B116" s="33" t="str">
        <f ca="1">IF(COUNTIF($R$2:R1101,A116)=1,VLOOKUP(A116,X:Y,2), IF(COUNTIF($R$2:R1101,A116)=0,$B$10,""))</f>
        <v/>
      </c>
      <c r="C116" s="25" t="str">
        <f t="shared" ca="1" si="14"/>
        <v/>
      </c>
      <c r="D116" s="26"/>
      <c r="E116" s="33" t="str">
        <f t="shared" ca="1" si="12"/>
        <v/>
      </c>
      <c r="F116" s="25" t="str">
        <f t="shared" ca="1" si="15"/>
        <v/>
      </c>
      <c r="G116" s="25" t="str">
        <f t="shared" ca="1" si="16"/>
        <v/>
      </c>
      <c r="H116" s="117"/>
      <c r="I116" s="55" t="str">
        <f t="shared" ca="1" si="17"/>
        <v/>
      </c>
      <c r="N116" s="37">
        <f ca="1"/>
        <v>46086</v>
      </c>
      <c r="O116" s="41">
        <f ca="1"/>
        <v>243.25</v>
      </c>
      <c r="P116" s="37" t="str">
        <f t="shared" ca="1" si="9"/>
        <v/>
      </c>
      <c r="Q116" s="37" t="str">
        <f t="shared" ca="1" si="10"/>
        <v/>
      </c>
      <c r="Z116" s="37"/>
      <c r="AB116" s="37" t="str">
        <f t="shared" si="11"/>
        <v/>
      </c>
    </row>
    <row r="117" spans="1:28" x14ac:dyDescent="0.25">
      <c r="A117" s="102" t="str">
        <f t="shared" ca="1" si="13"/>
        <v/>
      </c>
      <c r="B117" s="33" t="str">
        <f ca="1">IF(COUNTIF($R$2:R1102,A117)=1,VLOOKUP(A117,X:Y,2), IF(COUNTIF($R$2:R1102,A117)=0,$B$10,""))</f>
        <v/>
      </c>
      <c r="C117" s="25" t="str">
        <f t="shared" ca="1" si="14"/>
        <v/>
      </c>
      <c r="D117" s="26"/>
      <c r="E117" s="33" t="str">
        <f t="shared" ca="1" si="12"/>
        <v/>
      </c>
      <c r="F117" s="25" t="str">
        <f t="shared" ca="1" si="15"/>
        <v/>
      </c>
      <c r="G117" s="25" t="str">
        <f t="shared" ca="1" si="16"/>
        <v/>
      </c>
      <c r="H117" s="117"/>
      <c r="I117" s="55" t="str">
        <f t="shared" ca="1" si="17"/>
        <v/>
      </c>
      <c r="N117" s="37">
        <f ca="1"/>
        <v>46087</v>
      </c>
      <c r="O117" s="41">
        <f ca="1"/>
        <v>239.75</v>
      </c>
      <c r="P117" s="37" t="str">
        <f t="shared" ca="1" si="9"/>
        <v/>
      </c>
      <c r="Q117" s="37" t="str">
        <f t="shared" ca="1" si="10"/>
        <v/>
      </c>
      <c r="Z117" s="37"/>
      <c r="AB117" s="37" t="str">
        <f t="shared" si="11"/>
        <v/>
      </c>
    </row>
    <row r="118" spans="1:28" x14ac:dyDescent="0.25">
      <c r="A118" s="102"/>
      <c r="B118" s="33"/>
      <c r="C118" s="25"/>
      <c r="D118" s="26"/>
      <c r="E118" s="33"/>
      <c r="F118" s="25"/>
      <c r="G118" s="25"/>
      <c r="H118" s="117"/>
      <c r="I118" s="55"/>
      <c r="N118" s="37">
        <f ca="1"/>
        <v>46090</v>
      </c>
      <c r="O118" s="41">
        <f ca="1"/>
        <v>238.45</v>
      </c>
      <c r="P118" s="37" t="str">
        <f t="shared" ca="1" si="9"/>
        <v/>
      </c>
      <c r="Q118" s="37" t="str">
        <f t="shared" ca="1" si="10"/>
        <v/>
      </c>
      <c r="Z118" s="37"/>
      <c r="AB118" s="37" t="str">
        <f t="shared" si="11"/>
        <v/>
      </c>
    </row>
    <row r="119" spans="1:28" x14ac:dyDescent="0.25">
      <c r="A119" s="102"/>
      <c r="B119" s="33"/>
      <c r="C119" s="25"/>
      <c r="D119" s="26"/>
      <c r="E119" s="33"/>
      <c r="F119" s="25"/>
      <c r="G119" s="25"/>
      <c r="H119" s="117"/>
      <c r="I119" s="55"/>
      <c r="N119" s="37">
        <f ca="1"/>
        <v>46091</v>
      </c>
      <c r="O119" s="41">
        <f ca="1"/>
        <v>248.35</v>
      </c>
      <c r="P119" s="37" t="str">
        <f t="shared" ca="1" si="9"/>
        <v/>
      </c>
      <c r="Q119" s="37" t="str">
        <f t="shared" ca="1" si="10"/>
        <v/>
      </c>
      <c r="Z119" s="37"/>
      <c r="AB119" s="37" t="str">
        <f t="shared" si="11"/>
        <v/>
      </c>
    </row>
    <row r="120" spans="1:28" x14ac:dyDescent="0.25">
      <c r="A120" s="102"/>
      <c r="B120" s="33"/>
      <c r="C120" s="25"/>
      <c r="D120" s="26"/>
      <c r="E120" s="33"/>
      <c r="F120" s="25"/>
      <c r="G120" s="25"/>
      <c r="H120" s="117"/>
      <c r="I120" s="55"/>
      <c r="N120" s="37">
        <f ca="1"/>
        <v>46092</v>
      </c>
      <c r="O120" s="41">
        <f ca="1"/>
        <v>245.9</v>
      </c>
      <c r="P120" s="37" t="str">
        <f t="shared" ca="1" si="9"/>
        <v/>
      </c>
      <c r="Q120" s="37" t="str">
        <f t="shared" ca="1" si="10"/>
        <v/>
      </c>
      <c r="Z120" s="37"/>
      <c r="AB120" s="37" t="str">
        <f t="shared" si="11"/>
        <v/>
      </c>
    </row>
    <row r="121" spans="1:28" x14ac:dyDescent="0.25">
      <c r="A121" s="102"/>
      <c r="B121" s="33"/>
      <c r="C121" s="25"/>
      <c r="D121" s="26"/>
      <c r="E121" s="33"/>
      <c r="F121" s="25"/>
      <c r="G121" s="25"/>
      <c r="H121" s="117"/>
      <c r="I121" s="55"/>
      <c r="N121" s="37">
        <f ca="1"/>
        <v>46093</v>
      </c>
      <c r="O121" s="41">
        <f ca="1"/>
        <v>238.85</v>
      </c>
      <c r="P121" s="37" t="str">
        <f t="shared" ca="1" si="9"/>
        <v/>
      </c>
      <c r="Q121" s="37" t="str">
        <f t="shared" ca="1" si="10"/>
        <v/>
      </c>
      <c r="Z121" s="37"/>
      <c r="AB121" s="37" t="str">
        <f t="shared" si="11"/>
        <v/>
      </c>
    </row>
    <row r="122" spans="1:28" x14ac:dyDescent="0.25">
      <c r="A122" s="102"/>
      <c r="B122" s="33"/>
      <c r="C122" s="25"/>
      <c r="D122" s="26"/>
      <c r="E122" s="33"/>
      <c r="F122" s="25"/>
      <c r="G122" s="25"/>
      <c r="H122" s="117"/>
      <c r="I122" s="55"/>
      <c r="N122" s="37">
        <f ca="1"/>
        <v>46094</v>
      </c>
      <c r="O122" s="41">
        <f ca="1"/>
        <v>236</v>
      </c>
      <c r="P122" s="37" t="str">
        <f t="shared" ca="1" si="9"/>
        <v/>
      </c>
      <c r="Q122" s="37" t="str">
        <f t="shared" ca="1" si="10"/>
        <v/>
      </c>
      <c r="Z122" s="37"/>
      <c r="AB122" s="37" t="str">
        <f t="shared" si="11"/>
        <v/>
      </c>
    </row>
    <row r="123" spans="1:28" x14ac:dyDescent="0.25">
      <c r="A123" s="102"/>
      <c r="B123" s="33"/>
      <c r="C123" s="25"/>
      <c r="D123" s="26"/>
      <c r="E123" s="33"/>
      <c r="F123" s="25"/>
      <c r="G123" s="25"/>
      <c r="H123" s="117"/>
      <c r="I123" s="55"/>
      <c r="N123" s="37">
        <f ca="1"/>
        <v>46097</v>
      </c>
      <c r="O123" s="41">
        <f ca="1"/>
        <v>236.9</v>
      </c>
      <c r="P123" s="37" t="str">
        <f t="shared" ca="1" si="9"/>
        <v/>
      </c>
      <c r="Q123" s="37" t="str">
        <f t="shared" ca="1" si="10"/>
        <v/>
      </c>
      <c r="Z123" s="37"/>
      <c r="AB123" s="37" t="str">
        <f t="shared" si="11"/>
        <v/>
      </c>
    </row>
    <row r="124" spans="1:28" x14ac:dyDescent="0.25">
      <c r="A124" s="102"/>
      <c r="B124" s="33"/>
      <c r="C124" s="25"/>
      <c r="D124" s="26"/>
      <c r="E124" s="33"/>
      <c r="F124" s="25"/>
      <c r="G124" s="25"/>
      <c r="H124" s="117"/>
      <c r="I124" s="55"/>
      <c r="N124" s="37">
        <f ca="1"/>
        <v>46098</v>
      </c>
      <c r="O124" s="41">
        <f ca="1"/>
        <v>238</v>
      </c>
      <c r="P124" s="37" t="str">
        <f t="shared" ca="1" si="9"/>
        <v/>
      </c>
      <c r="Q124" s="37" t="str">
        <f t="shared" ca="1" si="10"/>
        <v/>
      </c>
      <c r="Z124" s="37"/>
      <c r="AB124" s="37" t="str">
        <f t="shared" si="11"/>
        <v/>
      </c>
    </row>
    <row r="125" spans="1:28" x14ac:dyDescent="0.25">
      <c r="A125" s="102"/>
      <c r="B125" s="33"/>
      <c r="C125" s="25"/>
      <c r="D125" s="26"/>
      <c r="E125" s="33"/>
      <c r="F125" s="25"/>
      <c r="G125" s="25"/>
      <c r="H125" s="117"/>
      <c r="I125" s="55"/>
      <c r="N125" s="37">
        <f ca="1"/>
        <v>46099</v>
      </c>
      <c r="O125" s="41">
        <f ca="1"/>
        <v>241.1</v>
      </c>
      <c r="P125" s="37" t="str">
        <f t="shared" ca="1" si="9"/>
        <v/>
      </c>
      <c r="Q125" s="37" t="str">
        <f t="shared" ca="1" si="10"/>
        <v/>
      </c>
      <c r="Z125" s="37"/>
      <c r="AB125" s="37" t="str">
        <f t="shared" si="11"/>
        <v/>
      </c>
    </row>
    <row r="126" spans="1:28" x14ac:dyDescent="0.25">
      <c r="A126" s="102"/>
      <c r="B126" s="33"/>
      <c r="C126" s="25"/>
      <c r="D126" s="26"/>
      <c r="E126" s="33"/>
      <c r="F126" s="25"/>
      <c r="G126" s="25"/>
      <c r="H126" s="117"/>
      <c r="I126" s="55"/>
      <c r="N126" s="37">
        <f ca="1"/>
        <v>46100</v>
      </c>
      <c r="O126" s="41">
        <f ca="1"/>
        <v>234.1</v>
      </c>
      <c r="P126" s="37" t="str">
        <f t="shared" ca="1" si="9"/>
        <v/>
      </c>
      <c r="Q126" s="37" t="str">
        <f t="shared" ca="1" si="10"/>
        <v/>
      </c>
      <c r="Z126" s="37"/>
      <c r="AB126" s="37" t="str">
        <f t="shared" si="11"/>
        <v/>
      </c>
    </row>
    <row r="127" spans="1:28" x14ac:dyDescent="0.25">
      <c r="A127" s="102"/>
      <c r="B127" s="33"/>
      <c r="C127" s="25"/>
      <c r="D127" s="26"/>
      <c r="E127" s="33"/>
      <c r="F127" s="25"/>
      <c r="G127" s="25"/>
      <c r="H127" s="117"/>
      <c r="I127" s="55"/>
      <c r="N127" s="37">
        <f ca="1"/>
        <v>46101</v>
      </c>
      <c r="O127" s="41">
        <f ca="1"/>
        <v>229.5</v>
      </c>
      <c r="P127" s="37" t="str">
        <f t="shared" ca="1" si="9"/>
        <v/>
      </c>
      <c r="Q127" s="37" t="str">
        <f t="shared" ca="1" si="10"/>
        <v/>
      </c>
      <c r="Z127" s="37"/>
      <c r="AB127" s="37" t="str">
        <f t="shared" si="11"/>
        <v/>
      </c>
    </row>
    <row r="128" spans="1:28" x14ac:dyDescent="0.25">
      <c r="A128" s="102"/>
      <c r="B128" s="33"/>
      <c r="C128" s="25"/>
      <c r="D128" s="26"/>
      <c r="E128" s="33"/>
      <c r="F128" s="25"/>
      <c r="G128" s="25"/>
      <c r="H128" s="117"/>
      <c r="I128" s="55"/>
      <c r="N128" s="37">
        <f ca="1"/>
        <v>46104</v>
      </c>
      <c r="O128" s="41">
        <f ca="1"/>
        <v>235.1</v>
      </c>
      <c r="P128" s="37" t="str">
        <f t="shared" ca="1" si="9"/>
        <v/>
      </c>
      <c r="Q128" s="37" t="str">
        <f t="shared" ca="1" si="10"/>
        <v/>
      </c>
      <c r="Z128" s="37"/>
      <c r="AB128" s="37" t="str">
        <f t="shared" si="11"/>
        <v/>
      </c>
    </row>
    <row r="129" spans="1:28" x14ac:dyDescent="0.25">
      <c r="A129" s="102"/>
      <c r="B129" s="33"/>
      <c r="C129" s="25"/>
      <c r="D129" s="26"/>
      <c r="E129" s="33"/>
      <c r="F129" s="25"/>
      <c r="G129" s="25"/>
      <c r="H129" s="117"/>
      <c r="I129" s="55"/>
      <c r="N129" s="37">
        <f ca="1"/>
        <v>46105</v>
      </c>
      <c r="O129" s="41">
        <f ca="1"/>
        <v>233.85</v>
      </c>
      <c r="P129" s="37" t="str">
        <f t="shared" ca="1" si="9"/>
        <v/>
      </c>
      <c r="Q129" s="37" t="str">
        <f t="shared" ca="1" si="10"/>
        <v/>
      </c>
      <c r="Z129" s="37"/>
      <c r="AB129" s="37" t="str">
        <f t="shared" si="11"/>
        <v/>
      </c>
    </row>
    <row r="130" spans="1:28" x14ac:dyDescent="0.25">
      <c r="A130" s="102"/>
      <c r="B130" s="33"/>
      <c r="C130" s="25"/>
      <c r="D130" s="26"/>
      <c r="E130" s="33"/>
      <c r="F130" s="25"/>
      <c r="G130" s="25"/>
      <c r="H130" s="117"/>
      <c r="I130" s="55"/>
      <c r="N130" s="37">
        <f ca="1"/>
        <v>46106</v>
      </c>
      <c r="O130" s="41">
        <f ca="1"/>
        <v>238.15</v>
      </c>
      <c r="P130" s="37" t="str">
        <f t="shared" ca="1" si="9"/>
        <v/>
      </c>
      <c r="Q130" s="37" t="str">
        <f t="shared" ca="1" si="10"/>
        <v/>
      </c>
      <c r="Z130" s="37"/>
      <c r="AB130" s="37" t="str">
        <f t="shared" si="11"/>
        <v/>
      </c>
    </row>
    <row r="131" spans="1:28" x14ac:dyDescent="0.25">
      <c r="A131" s="102"/>
      <c r="B131" s="33"/>
      <c r="C131" s="25"/>
      <c r="D131" s="26"/>
      <c r="E131" s="33"/>
      <c r="F131" s="25"/>
      <c r="G131" s="25"/>
      <c r="H131" s="117"/>
      <c r="I131" s="55"/>
      <c r="N131" s="37">
        <f ca="1"/>
        <v>46107</v>
      </c>
      <c r="O131" s="41">
        <f ca="1"/>
        <v>233.7</v>
      </c>
      <c r="P131" s="37" t="str">
        <f t="shared" ca="1" si="9"/>
        <v/>
      </c>
      <c r="Q131" s="37" t="str">
        <f t="shared" ca="1" si="10"/>
        <v/>
      </c>
      <c r="Z131" s="37"/>
      <c r="AB131" s="37" t="str">
        <f t="shared" si="11"/>
        <v/>
      </c>
    </row>
    <row r="132" spans="1:28" x14ac:dyDescent="0.25">
      <c r="A132" s="102"/>
      <c r="B132" s="33"/>
      <c r="C132" s="25"/>
      <c r="D132" s="26"/>
      <c r="E132" s="33"/>
      <c r="F132" s="25"/>
      <c r="G132" s="25"/>
      <c r="H132" s="117"/>
      <c r="I132" s="55"/>
      <c r="N132" s="37">
        <f ca="1"/>
        <v>46108</v>
      </c>
      <c r="O132" s="41">
        <f ca="1"/>
        <v>231.3</v>
      </c>
      <c r="P132" s="37" t="str">
        <f t="shared" ref="P132:P195" ca="1" si="18">IF(COUNTIF(N:N,L132),L132,"")</f>
        <v/>
      </c>
      <c r="Q132" s="37" t="str">
        <f t="shared" ref="Q132:Q195" ca="1" si="19">IF(P132&gt;$A$14,P132,"")</f>
        <v/>
      </c>
      <c r="Z132" s="37"/>
      <c r="AB132" s="37" t="str">
        <f t="shared" ref="AB132:AB195" si="20">IF(COUNTIF(Z:Z,X132),X132,"")</f>
        <v/>
      </c>
    </row>
    <row r="133" spans="1:28" x14ac:dyDescent="0.25">
      <c r="A133" s="102"/>
      <c r="B133" s="33"/>
      <c r="C133" s="25"/>
      <c r="D133" s="26"/>
      <c r="E133" s="33"/>
      <c r="F133" s="25"/>
      <c r="G133" s="25"/>
      <c r="H133" s="117"/>
      <c r="I133" s="55"/>
      <c r="N133" s="37">
        <f ca="1"/>
        <v>46111</v>
      </c>
      <c r="O133" s="41">
        <f ca="1"/>
        <v>231</v>
      </c>
      <c r="P133" s="37" t="str">
        <f t="shared" ca="1" si="18"/>
        <v/>
      </c>
      <c r="Q133" s="37" t="str">
        <f t="shared" ca="1" si="19"/>
        <v/>
      </c>
      <c r="Z133" s="37"/>
      <c r="AB133" s="37" t="str">
        <f t="shared" si="20"/>
        <v/>
      </c>
    </row>
    <row r="134" spans="1:28" x14ac:dyDescent="0.25">
      <c r="A134" s="102"/>
      <c r="B134" s="33"/>
      <c r="C134" s="25"/>
      <c r="D134" s="26"/>
      <c r="E134" s="33"/>
      <c r="F134" s="25"/>
      <c r="G134" s="25"/>
      <c r="H134" s="117"/>
      <c r="I134" s="55"/>
      <c r="N134" s="37">
        <f ca="1"/>
        <v>46112</v>
      </c>
      <c r="O134" s="41">
        <f ca="1"/>
        <v>233.65</v>
      </c>
      <c r="P134" s="37" t="str">
        <f t="shared" ca="1" si="18"/>
        <v/>
      </c>
      <c r="Q134" s="37" t="str">
        <f t="shared" ca="1" si="19"/>
        <v/>
      </c>
      <c r="Z134" s="37"/>
      <c r="AB134" s="37" t="str">
        <f t="shared" si="20"/>
        <v/>
      </c>
    </row>
    <row r="135" spans="1:28" x14ac:dyDescent="0.25">
      <c r="A135" s="102"/>
      <c r="B135" s="33"/>
      <c r="C135" s="25"/>
      <c r="D135" s="26"/>
      <c r="E135" s="33"/>
      <c r="F135" s="25"/>
      <c r="G135" s="25"/>
      <c r="H135" s="117"/>
      <c r="I135" s="55"/>
      <c r="N135" s="37">
        <f ca="1"/>
        <v>46113</v>
      </c>
      <c r="O135" s="41">
        <f ca="1"/>
        <v>244.25</v>
      </c>
      <c r="P135" s="37" t="str">
        <f t="shared" ca="1" si="18"/>
        <v/>
      </c>
      <c r="Q135" s="37" t="str">
        <f t="shared" ca="1" si="19"/>
        <v/>
      </c>
      <c r="Z135" s="37"/>
      <c r="AB135" s="37" t="str">
        <f t="shared" si="20"/>
        <v/>
      </c>
    </row>
    <row r="136" spans="1:28" x14ac:dyDescent="0.25">
      <c r="A136" s="102"/>
      <c r="B136" s="33"/>
      <c r="C136" s="25"/>
      <c r="D136" s="26"/>
      <c r="E136" s="33"/>
      <c r="F136" s="25"/>
      <c r="G136" s="25"/>
      <c r="H136" s="117"/>
      <c r="I136" s="55"/>
      <c r="N136" s="37">
        <f ca="1"/>
        <v>46114</v>
      </c>
      <c r="O136" s="41">
        <f ca="1"/>
        <v>240.05</v>
      </c>
      <c r="P136" s="37" t="str">
        <f t="shared" ca="1" si="18"/>
        <v/>
      </c>
      <c r="Q136" s="37" t="str">
        <f t="shared" ca="1" si="19"/>
        <v/>
      </c>
      <c r="Z136" s="37"/>
      <c r="AB136" s="37" t="str">
        <f t="shared" si="20"/>
        <v/>
      </c>
    </row>
    <row r="137" spans="1:28" x14ac:dyDescent="0.25">
      <c r="A137" s="102"/>
      <c r="B137" s="33"/>
      <c r="C137" s="25"/>
      <c r="D137" s="26"/>
      <c r="E137" s="33"/>
      <c r="F137" s="25"/>
      <c r="G137" s="25"/>
      <c r="H137" s="117"/>
      <c r="I137" s="55"/>
      <c r="N137" s="37">
        <f ca="1"/>
        <v>46119</v>
      </c>
      <c r="O137" s="41">
        <f ca="1"/>
        <v>240.1</v>
      </c>
      <c r="P137" s="37" t="str">
        <f t="shared" ca="1" si="18"/>
        <v/>
      </c>
      <c r="Q137" s="37" t="str">
        <f t="shared" ca="1" si="19"/>
        <v/>
      </c>
      <c r="Z137" s="37"/>
      <c r="AB137" s="37" t="str">
        <f t="shared" si="20"/>
        <v/>
      </c>
    </row>
    <row r="138" spans="1:28" x14ac:dyDescent="0.25">
      <c r="A138" s="102"/>
      <c r="B138" s="33"/>
      <c r="C138" s="25"/>
      <c r="D138" s="26"/>
      <c r="E138" s="33"/>
      <c r="F138" s="25"/>
      <c r="G138" s="25"/>
      <c r="H138" s="117"/>
      <c r="I138" s="55"/>
      <c r="N138" s="37">
        <f ca="1"/>
        <v>46120</v>
      </c>
      <c r="O138" s="41">
        <f ca="1"/>
        <v>255.2</v>
      </c>
      <c r="P138" s="37" t="str">
        <f t="shared" ca="1" si="18"/>
        <v/>
      </c>
      <c r="Q138" s="37" t="str">
        <f t="shared" ca="1" si="19"/>
        <v/>
      </c>
      <c r="Z138" s="37"/>
      <c r="AB138" s="37" t="str">
        <f t="shared" si="20"/>
        <v/>
      </c>
    </row>
    <row r="139" spans="1:28" x14ac:dyDescent="0.25">
      <c r="A139" s="102"/>
      <c r="B139" s="33"/>
      <c r="C139" s="25"/>
      <c r="D139" s="26"/>
      <c r="E139" s="33"/>
      <c r="F139" s="25"/>
      <c r="G139" s="25"/>
      <c r="H139" s="117"/>
      <c r="I139" s="55"/>
      <c r="N139" s="37">
        <f ca="1"/>
        <v>46121</v>
      </c>
      <c r="O139" s="41">
        <f ca="1"/>
        <v>254.85</v>
      </c>
      <c r="P139" s="37" t="str">
        <f t="shared" ca="1" si="18"/>
        <v/>
      </c>
      <c r="Q139" s="37" t="str">
        <f t="shared" ca="1" si="19"/>
        <v/>
      </c>
      <c r="Z139" s="37"/>
      <c r="AB139" s="37" t="str">
        <f t="shared" si="20"/>
        <v/>
      </c>
    </row>
    <row r="140" spans="1:28" x14ac:dyDescent="0.25">
      <c r="A140" s="102"/>
      <c r="B140" s="33"/>
      <c r="C140" s="25"/>
      <c r="D140" s="26"/>
      <c r="E140" s="33"/>
      <c r="F140" s="25"/>
      <c r="G140" s="25"/>
      <c r="H140" s="117"/>
      <c r="I140" s="55"/>
      <c r="N140" s="37">
        <f ca="1"/>
        <v>46122</v>
      </c>
      <c r="O140" s="41">
        <f ca="1"/>
        <v>259.14999999999998</v>
      </c>
      <c r="P140" s="37" t="str">
        <f t="shared" ca="1" si="18"/>
        <v/>
      </c>
      <c r="Q140" s="37" t="str">
        <f t="shared" ca="1" si="19"/>
        <v/>
      </c>
      <c r="Z140" s="37"/>
      <c r="AB140" s="37" t="str">
        <f t="shared" si="20"/>
        <v/>
      </c>
    </row>
    <row r="141" spans="1:28" x14ac:dyDescent="0.25">
      <c r="A141" s="102"/>
      <c r="B141" s="33"/>
      <c r="C141" s="25"/>
      <c r="D141" s="26"/>
      <c r="E141" s="33"/>
      <c r="F141" s="25"/>
      <c r="G141" s="25"/>
      <c r="H141" s="117"/>
      <c r="I141" s="55"/>
      <c r="N141" s="37">
        <f ca="1"/>
        <v>46125</v>
      </c>
      <c r="O141" s="41">
        <f ca="1"/>
        <v>258.2</v>
      </c>
      <c r="P141" s="37" t="str">
        <f t="shared" ca="1" si="18"/>
        <v/>
      </c>
      <c r="Q141" s="37" t="str">
        <f t="shared" ca="1" si="19"/>
        <v/>
      </c>
      <c r="Z141" s="37"/>
      <c r="AB141" s="37" t="str">
        <f t="shared" si="20"/>
        <v/>
      </c>
    </row>
    <row r="142" spans="1:28" x14ac:dyDescent="0.25">
      <c r="A142" s="102"/>
      <c r="B142" s="33"/>
      <c r="C142" s="25"/>
      <c r="D142" s="26"/>
      <c r="E142" s="33"/>
      <c r="F142" s="25"/>
      <c r="G142" s="25"/>
      <c r="H142" s="117"/>
      <c r="I142" s="55"/>
      <c r="N142" s="37">
        <f ca="1"/>
        <v>46126</v>
      </c>
      <c r="O142" s="41">
        <f ca="1"/>
        <v>264.2</v>
      </c>
      <c r="P142" s="37" t="str">
        <f t="shared" ca="1" si="18"/>
        <v/>
      </c>
      <c r="Q142" s="37" t="str">
        <f t="shared" ca="1" si="19"/>
        <v/>
      </c>
      <c r="Z142" s="37"/>
      <c r="AB142" s="37" t="str">
        <f t="shared" si="20"/>
        <v/>
      </c>
    </row>
    <row r="143" spans="1:28" x14ac:dyDescent="0.25">
      <c r="A143" s="102"/>
      <c r="B143" s="33"/>
      <c r="C143" s="25"/>
      <c r="D143" s="26"/>
      <c r="E143" s="33"/>
      <c r="F143" s="25"/>
      <c r="G143" s="25"/>
      <c r="H143" s="117"/>
      <c r="I143" s="55"/>
      <c r="N143" s="37">
        <f ca="1"/>
        <v>46127</v>
      </c>
      <c r="O143" s="41">
        <f ca="1"/>
        <v>264.5</v>
      </c>
      <c r="P143" s="37" t="str">
        <f t="shared" ca="1" si="18"/>
        <v/>
      </c>
      <c r="Q143" s="37" t="str">
        <f t="shared" ca="1" si="19"/>
        <v/>
      </c>
      <c r="Z143" s="37"/>
      <c r="AB143" s="37" t="str">
        <f t="shared" si="20"/>
        <v/>
      </c>
    </row>
    <row r="144" spans="1:28" x14ac:dyDescent="0.25">
      <c r="A144" s="102"/>
      <c r="B144" s="33"/>
      <c r="C144" s="25"/>
      <c r="D144" s="26"/>
      <c r="E144" s="33"/>
      <c r="F144" s="25"/>
      <c r="G144" s="25"/>
      <c r="H144" s="117"/>
      <c r="I144" s="55"/>
      <c r="N144" s="37">
        <f ca="1"/>
        <v>46128</v>
      </c>
      <c r="O144" s="41">
        <f ca="1"/>
        <v>261.3</v>
      </c>
      <c r="P144" s="37" t="str">
        <f t="shared" ca="1" si="18"/>
        <v/>
      </c>
      <c r="Q144" s="37" t="str">
        <f t="shared" ca="1" si="19"/>
        <v/>
      </c>
      <c r="Z144" s="37"/>
      <c r="AB144" s="37" t="str">
        <f t="shared" si="20"/>
        <v/>
      </c>
    </row>
    <row r="145" spans="1:28" x14ac:dyDescent="0.25">
      <c r="A145" s="102"/>
      <c r="B145" s="33"/>
      <c r="C145" s="25"/>
      <c r="D145" s="26"/>
      <c r="E145" s="33"/>
      <c r="F145" s="25"/>
      <c r="G145" s="25"/>
      <c r="H145" s="117"/>
      <c r="I145" s="55"/>
      <c r="N145" s="37">
        <f ca="1"/>
        <v>46129</v>
      </c>
      <c r="O145" s="41">
        <f ca="1"/>
        <v>269.45</v>
      </c>
      <c r="P145" s="37" t="str">
        <f t="shared" ca="1" si="18"/>
        <v/>
      </c>
      <c r="Q145" s="37" t="str">
        <f t="shared" ca="1" si="19"/>
        <v/>
      </c>
      <c r="Z145" s="37"/>
      <c r="AB145" s="37" t="str">
        <f t="shared" si="20"/>
        <v/>
      </c>
    </row>
    <row r="146" spans="1:28" x14ac:dyDescent="0.25">
      <c r="A146" s="102"/>
      <c r="B146" s="33"/>
      <c r="C146" s="25"/>
      <c r="D146" s="26"/>
      <c r="E146" s="33"/>
      <c r="F146" s="25"/>
      <c r="G146" s="25"/>
      <c r="H146" s="117"/>
      <c r="I146" s="55"/>
      <c r="N146" s="37">
        <f ca="1"/>
        <v>46132</v>
      </c>
      <c r="O146" s="41">
        <f ca="1"/>
        <v>264.45</v>
      </c>
      <c r="P146" s="37" t="str">
        <f t="shared" ca="1" si="18"/>
        <v/>
      </c>
      <c r="Q146" s="37" t="str">
        <f t="shared" ca="1" si="19"/>
        <v/>
      </c>
      <c r="Z146" s="37"/>
      <c r="AB146" s="37" t="str">
        <f t="shared" si="20"/>
        <v/>
      </c>
    </row>
    <row r="147" spans="1:28" x14ac:dyDescent="0.25">
      <c r="A147" s="102"/>
      <c r="B147" s="33"/>
      <c r="C147" s="25"/>
      <c r="D147" s="26"/>
      <c r="E147" s="33"/>
      <c r="F147" s="25"/>
      <c r="G147" s="25"/>
      <c r="H147" s="117"/>
      <c r="I147" s="55"/>
      <c r="N147" s="37">
        <f ca="1"/>
        <v>46133</v>
      </c>
      <c r="O147" s="41">
        <f ca="1"/>
        <v>262.35000000000002</v>
      </c>
      <c r="P147" s="37" t="str">
        <f t="shared" ca="1" si="18"/>
        <v/>
      </c>
      <c r="Q147" s="37" t="str">
        <f t="shared" ca="1" si="19"/>
        <v/>
      </c>
      <c r="Z147" s="37"/>
      <c r="AB147" s="37" t="str">
        <f t="shared" si="20"/>
        <v/>
      </c>
    </row>
    <row r="148" spans="1:28" x14ac:dyDescent="0.25">
      <c r="A148" s="102"/>
      <c r="B148" s="33"/>
      <c r="C148" s="25"/>
      <c r="D148" s="26"/>
      <c r="E148" s="33"/>
      <c r="F148" s="25"/>
      <c r="G148" s="25"/>
      <c r="H148" s="117"/>
      <c r="I148" s="55"/>
      <c r="N148" s="37">
        <f ca="1"/>
        <v>46134</v>
      </c>
      <c r="O148" s="41">
        <f ca="1"/>
        <v>259.14999999999998</v>
      </c>
      <c r="P148" s="37" t="str">
        <f t="shared" ca="1" si="18"/>
        <v/>
      </c>
      <c r="Q148" s="37" t="str">
        <f t="shared" ca="1" si="19"/>
        <v/>
      </c>
      <c r="Z148" s="37"/>
      <c r="AB148" s="37" t="str">
        <f t="shared" si="20"/>
        <v/>
      </c>
    </row>
    <row r="149" spans="1:28" x14ac:dyDescent="0.25">
      <c r="A149" s="102"/>
      <c r="B149" s="33"/>
      <c r="C149" s="25"/>
      <c r="D149" s="26"/>
      <c r="E149" s="33"/>
      <c r="F149" s="25"/>
      <c r="G149" s="25"/>
      <c r="H149" s="117"/>
      <c r="I149" s="55"/>
      <c r="N149" s="37">
        <f ca="1"/>
        <v>46135</v>
      </c>
      <c r="O149" s="41">
        <f ca="1"/>
        <v>256.2</v>
      </c>
      <c r="P149" s="37" t="str">
        <f t="shared" ca="1" si="18"/>
        <v/>
      </c>
      <c r="Q149" s="37" t="str">
        <f t="shared" ca="1" si="19"/>
        <v/>
      </c>
      <c r="Z149" s="37"/>
      <c r="AB149" s="37" t="str">
        <f t="shared" si="20"/>
        <v/>
      </c>
    </row>
    <row r="150" spans="1:28" x14ac:dyDescent="0.25">
      <c r="A150" s="102"/>
      <c r="B150" s="33"/>
      <c r="C150" s="25"/>
      <c r="D150" s="26"/>
      <c r="E150" s="33"/>
      <c r="F150" s="25"/>
      <c r="G150" s="25"/>
      <c r="H150" s="117"/>
      <c r="I150" s="55"/>
      <c r="N150" s="37">
        <f ca="1"/>
        <v>46136</v>
      </c>
      <c r="O150" s="41">
        <f ca="1"/>
        <v>253.35</v>
      </c>
      <c r="P150" s="37" t="str">
        <f t="shared" ca="1" si="18"/>
        <v/>
      </c>
      <c r="Q150" s="37" t="str">
        <f t="shared" ca="1" si="19"/>
        <v/>
      </c>
      <c r="Z150" s="37"/>
      <c r="AB150" s="37" t="str">
        <f t="shared" si="20"/>
        <v/>
      </c>
    </row>
    <row r="151" spans="1:28" x14ac:dyDescent="0.25">
      <c r="A151" s="102"/>
      <c r="B151" s="33"/>
      <c r="C151" s="25"/>
      <c r="D151" s="26"/>
      <c r="E151" s="33"/>
      <c r="F151" s="25"/>
      <c r="G151" s="25"/>
      <c r="H151" s="117"/>
      <c r="I151" s="55"/>
      <c r="N151" s="37">
        <f ca="1"/>
        <v>46139</v>
      </c>
      <c r="O151" s="41">
        <f ca="1"/>
        <v>254.55</v>
      </c>
      <c r="P151" s="37" t="str">
        <f t="shared" ca="1" si="18"/>
        <v/>
      </c>
      <c r="Q151" s="37" t="str">
        <f t="shared" ca="1" si="19"/>
        <v/>
      </c>
      <c r="Z151" s="37"/>
      <c r="AB151" s="37" t="str">
        <f t="shared" si="20"/>
        <v/>
      </c>
    </row>
    <row r="152" spans="1:28" x14ac:dyDescent="0.25">
      <c r="A152" s="102"/>
      <c r="B152" s="33"/>
      <c r="C152" s="25"/>
      <c r="D152" s="26"/>
      <c r="E152" s="33"/>
      <c r="F152" s="25"/>
      <c r="G152" s="25"/>
      <c r="H152" s="117"/>
      <c r="I152" s="55"/>
      <c r="N152" s="37">
        <f ca="1"/>
        <v>46140</v>
      </c>
      <c r="O152" s="41">
        <f ca="1"/>
        <v>258.39999999999998</v>
      </c>
      <c r="P152" s="37" t="str">
        <f t="shared" ca="1" si="18"/>
        <v/>
      </c>
      <c r="Q152" s="37" t="str">
        <f t="shared" ca="1" si="19"/>
        <v/>
      </c>
      <c r="Z152" s="37"/>
      <c r="AB152" s="37" t="str">
        <f t="shared" si="20"/>
        <v/>
      </c>
    </row>
    <row r="153" spans="1:28" x14ac:dyDescent="0.25">
      <c r="A153" s="102"/>
      <c r="B153" s="33"/>
      <c r="C153" s="25"/>
      <c r="D153" s="26"/>
      <c r="E153" s="33"/>
      <c r="F153" s="25"/>
      <c r="G153" s="25"/>
      <c r="H153" s="117"/>
      <c r="I153" s="55"/>
      <c r="N153" s="37">
        <f ca="1"/>
        <v>46141</v>
      </c>
      <c r="O153" s="41">
        <f ca="1"/>
        <v>257.5</v>
      </c>
      <c r="P153" s="37" t="str">
        <f t="shared" ca="1" si="18"/>
        <v/>
      </c>
      <c r="Q153" s="37" t="str">
        <f t="shared" ca="1" si="19"/>
        <v/>
      </c>
      <c r="Z153" s="37"/>
      <c r="AB153" s="37" t="str">
        <f t="shared" si="20"/>
        <v/>
      </c>
    </row>
    <row r="154" spans="1:28" x14ac:dyDescent="0.25">
      <c r="A154" s="102"/>
      <c r="B154" s="33"/>
      <c r="C154" s="25"/>
      <c r="D154" s="26"/>
      <c r="E154" s="33"/>
      <c r="F154" s="25"/>
      <c r="G154" s="25"/>
      <c r="H154" s="117"/>
      <c r="I154" s="55"/>
      <c r="N154" s="37">
        <f ca="1"/>
        <v>46142</v>
      </c>
      <c r="O154" s="41">
        <f ca="1"/>
        <v>257.25</v>
      </c>
      <c r="P154" s="37" t="str">
        <f t="shared" ca="1" si="18"/>
        <v/>
      </c>
      <c r="Q154" s="37" t="str">
        <f t="shared" ca="1" si="19"/>
        <v/>
      </c>
      <c r="Z154" s="37"/>
      <c r="AB154" s="37" t="str">
        <f t="shared" si="20"/>
        <v/>
      </c>
    </row>
    <row r="155" spans="1:28" x14ac:dyDescent="0.25">
      <c r="A155" s="102"/>
      <c r="B155" s="33"/>
      <c r="C155" s="25"/>
      <c r="D155" s="26"/>
      <c r="E155" s="33"/>
      <c r="F155" s="25"/>
      <c r="G155" s="25"/>
      <c r="H155" s="117"/>
      <c r="I155" s="55"/>
      <c r="N155" s="37">
        <f ca="1"/>
        <v>46146</v>
      </c>
      <c r="O155" s="41">
        <f ca="1"/>
        <v>249.95</v>
      </c>
      <c r="P155" s="37" t="str">
        <f t="shared" ca="1" si="18"/>
        <v/>
      </c>
      <c r="Q155" s="37" t="str">
        <f t="shared" ca="1" si="19"/>
        <v/>
      </c>
      <c r="Z155" s="37"/>
      <c r="AB155" s="37" t="str">
        <f t="shared" si="20"/>
        <v/>
      </c>
    </row>
    <row r="156" spans="1:28" x14ac:dyDescent="0.25">
      <c r="A156" s="102"/>
      <c r="B156" s="33"/>
      <c r="C156" s="25"/>
      <c r="D156" s="26"/>
      <c r="E156" s="33"/>
      <c r="F156" s="25"/>
      <c r="G156" s="25"/>
      <c r="H156" s="117"/>
      <c r="I156" s="55"/>
      <c r="N156" s="37">
        <f ca="1"/>
        <v>46147</v>
      </c>
      <c r="O156" s="41">
        <f ca="1"/>
        <v>255.1</v>
      </c>
      <c r="P156" s="37" t="str">
        <f t="shared" ca="1" si="18"/>
        <v/>
      </c>
      <c r="Q156" s="37" t="str">
        <f t="shared" ca="1" si="19"/>
        <v/>
      </c>
      <c r="Z156" s="37"/>
      <c r="AB156" s="37" t="str">
        <f t="shared" si="20"/>
        <v/>
      </c>
    </row>
    <row r="157" spans="1:28" x14ac:dyDescent="0.25">
      <c r="A157" s="102"/>
      <c r="B157" s="33"/>
      <c r="C157" s="25"/>
      <c r="D157" s="26"/>
      <c r="E157" s="33"/>
      <c r="F157" s="25"/>
      <c r="G157" s="25"/>
      <c r="H157" s="117"/>
      <c r="I157" s="55"/>
      <c r="N157" s="37">
        <f ca="1"/>
        <v>46148</v>
      </c>
      <c r="O157" s="41">
        <f ca="1"/>
        <v>265.3</v>
      </c>
      <c r="P157" s="37" t="str">
        <f t="shared" ca="1" si="18"/>
        <v/>
      </c>
      <c r="Q157" s="37" t="str">
        <f t="shared" ca="1" si="19"/>
        <v/>
      </c>
      <c r="Z157" s="37"/>
      <c r="AB157" s="37" t="str">
        <f t="shared" si="20"/>
        <v/>
      </c>
    </row>
    <row r="158" spans="1:28" x14ac:dyDescent="0.25">
      <c r="A158" s="102"/>
      <c r="B158" s="33"/>
      <c r="C158" s="25"/>
      <c r="D158" s="26"/>
      <c r="E158" s="33"/>
      <c r="F158" s="25"/>
      <c r="G158" s="25"/>
      <c r="H158" s="117"/>
      <c r="I158" s="55"/>
      <c r="N158" s="37">
        <f ca="1"/>
        <v>46149</v>
      </c>
      <c r="O158" s="41">
        <f ca="1"/>
        <v>264.60000000000002</v>
      </c>
      <c r="P158" s="37" t="str">
        <f t="shared" ca="1" si="18"/>
        <v/>
      </c>
      <c r="Q158" s="37" t="str">
        <f t="shared" ca="1" si="19"/>
        <v/>
      </c>
      <c r="Z158" s="37"/>
      <c r="AB158" s="37" t="str">
        <f t="shared" si="20"/>
        <v/>
      </c>
    </row>
    <row r="159" spans="1:28" x14ac:dyDescent="0.25">
      <c r="A159" s="102"/>
      <c r="B159" s="33"/>
      <c r="C159" s="25"/>
      <c r="D159" s="26"/>
      <c r="E159" s="33"/>
      <c r="F159" s="25"/>
      <c r="G159" s="25"/>
      <c r="H159" s="117"/>
      <c r="I159" s="55"/>
      <c r="N159" s="37">
        <f ca="1"/>
        <v>46150</v>
      </c>
      <c r="O159" s="41">
        <f ca="1"/>
        <v>261.35000000000002</v>
      </c>
      <c r="P159" s="37" t="str">
        <f t="shared" ca="1" si="18"/>
        <v/>
      </c>
      <c r="Q159" s="37" t="str">
        <f t="shared" ca="1" si="19"/>
        <v/>
      </c>
      <c r="Z159" s="37"/>
      <c r="AB159" s="37" t="str">
        <f t="shared" si="20"/>
        <v/>
      </c>
    </row>
    <row r="160" spans="1:28" x14ac:dyDescent="0.25">
      <c r="A160" s="102"/>
      <c r="B160" s="33"/>
      <c r="C160" s="25"/>
      <c r="D160" s="26"/>
      <c r="E160" s="33"/>
      <c r="F160" s="25"/>
      <c r="G160" s="25"/>
      <c r="H160" s="117"/>
      <c r="I160" s="55"/>
      <c r="N160" s="37">
        <f ca="1"/>
        <v>46153</v>
      </c>
      <c r="O160" s="41">
        <f ca="1"/>
        <v>262.35000000000002</v>
      </c>
      <c r="P160" s="37" t="str">
        <f t="shared" ca="1" si="18"/>
        <v/>
      </c>
      <c r="Q160" s="37" t="str">
        <f t="shared" ca="1" si="19"/>
        <v/>
      </c>
      <c r="Z160" s="37"/>
      <c r="AB160" s="37" t="str">
        <f t="shared" si="20"/>
        <v/>
      </c>
    </row>
    <row r="161" spans="1:28" x14ac:dyDescent="0.25">
      <c r="A161" s="102"/>
      <c r="B161" s="33"/>
      <c r="C161" s="25"/>
      <c r="D161" s="26"/>
      <c r="E161" s="33"/>
      <c r="F161" s="25"/>
      <c r="G161" s="25"/>
      <c r="H161" s="117"/>
      <c r="I161" s="55"/>
      <c r="N161" s="37">
        <f ca="1"/>
        <v>46154</v>
      </c>
      <c r="O161" s="41">
        <f ca="1"/>
        <v>258.14999999999998</v>
      </c>
      <c r="P161" s="37" t="str">
        <f t="shared" ca="1" si="18"/>
        <v/>
      </c>
      <c r="Q161" s="37" t="str">
        <f t="shared" ca="1" si="19"/>
        <v/>
      </c>
      <c r="Z161" s="37"/>
      <c r="AB161" s="37" t="str">
        <f t="shared" si="20"/>
        <v/>
      </c>
    </row>
    <row r="162" spans="1:28" x14ac:dyDescent="0.25">
      <c r="A162" s="102"/>
      <c r="B162" s="33"/>
      <c r="C162" s="25"/>
      <c r="D162" s="26"/>
      <c r="E162" s="33"/>
      <c r="F162" s="25"/>
      <c r="G162" s="25"/>
      <c r="H162" s="117"/>
      <c r="I162" s="55"/>
      <c r="N162" s="37">
        <f ca="1"/>
        <v>46155</v>
      </c>
      <c r="O162" s="41">
        <f ca="1"/>
        <v>259.64999999999998</v>
      </c>
      <c r="P162" s="37" t="str">
        <f t="shared" ca="1" si="18"/>
        <v/>
      </c>
      <c r="Q162" s="37" t="str">
        <f t="shared" ca="1" si="19"/>
        <v/>
      </c>
      <c r="Z162" s="37"/>
      <c r="AB162" s="37" t="str">
        <f t="shared" si="20"/>
        <v/>
      </c>
    </row>
    <row r="163" spans="1:28" x14ac:dyDescent="0.25">
      <c r="A163" s="102"/>
      <c r="B163" s="33"/>
      <c r="C163" s="25"/>
      <c r="D163" s="26"/>
      <c r="E163" s="33"/>
      <c r="F163" s="25"/>
      <c r="G163" s="25"/>
      <c r="H163" s="117"/>
      <c r="I163" s="55"/>
      <c r="N163" s="37">
        <f ca="1"/>
        <v>46156</v>
      </c>
      <c r="O163" s="41">
        <f ca="1"/>
        <v>263</v>
      </c>
      <c r="P163" s="37" t="str">
        <f t="shared" ca="1" si="18"/>
        <v/>
      </c>
      <c r="Q163" s="37" t="str">
        <f t="shared" ca="1" si="19"/>
        <v/>
      </c>
      <c r="Z163" s="37"/>
      <c r="AB163" s="37" t="str">
        <f t="shared" si="20"/>
        <v/>
      </c>
    </row>
    <row r="164" spans="1:28" x14ac:dyDescent="0.25">
      <c r="A164" s="102"/>
      <c r="B164" s="33"/>
      <c r="C164" s="25"/>
      <c r="D164" s="26"/>
      <c r="E164" s="33"/>
      <c r="F164" s="25"/>
      <c r="G164" s="25"/>
      <c r="H164" s="117"/>
      <c r="I164" s="55"/>
      <c r="N164" s="37">
        <f ca="1"/>
        <v>46157</v>
      </c>
      <c r="O164" s="41">
        <f ca="1"/>
        <v>258.5</v>
      </c>
      <c r="P164" s="37" t="str">
        <f t="shared" ca="1" si="18"/>
        <v/>
      </c>
      <c r="Q164" s="37" t="str">
        <f t="shared" ca="1" si="19"/>
        <v/>
      </c>
      <c r="Z164" s="37"/>
      <c r="AB164" s="37" t="str">
        <f t="shared" si="20"/>
        <v/>
      </c>
    </row>
    <row r="165" spans="1:28" x14ac:dyDescent="0.25">
      <c r="A165" s="102"/>
      <c r="B165" s="33"/>
      <c r="C165" s="25"/>
      <c r="D165" s="26"/>
      <c r="E165" s="33"/>
      <c r="F165" s="25"/>
      <c r="G165" s="25"/>
      <c r="H165" s="117"/>
      <c r="I165" s="55"/>
      <c r="N165" s="37">
        <f ca="1"/>
        <v>46160</v>
      </c>
      <c r="O165" s="41">
        <f ca="1"/>
        <v>258.89999999999998</v>
      </c>
      <c r="P165" s="37" t="str">
        <f t="shared" ca="1" si="18"/>
        <v/>
      </c>
      <c r="Q165" s="37" t="str">
        <f t="shared" ca="1" si="19"/>
        <v/>
      </c>
      <c r="Z165" s="37"/>
      <c r="AB165" s="37" t="str">
        <f t="shared" si="20"/>
        <v/>
      </c>
    </row>
    <row r="166" spans="1:28" x14ac:dyDescent="0.25">
      <c r="A166" s="102"/>
      <c r="B166" s="33"/>
      <c r="C166" s="25"/>
      <c r="D166" s="26"/>
      <c r="E166" s="33"/>
      <c r="F166" s="25"/>
      <c r="G166" s="25"/>
      <c r="H166" s="117"/>
      <c r="I166" s="55"/>
      <c r="N166" s="37">
        <f ca="1"/>
        <v>46161</v>
      </c>
      <c r="O166" s="41">
        <f ca="1"/>
        <v>259.75</v>
      </c>
      <c r="P166" s="37" t="str">
        <f t="shared" ca="1" si="18"/>
        <v/>
      </c>
      <c r="Q166" s="37" t="str">
        <f t="shared" ca="1" si="19"/>
        <v/>
      </c>
      <c r="Z166" s="37"/>
      <c r="AB166" s="37" t="str">
        <f t="shared" si="20"/>
        <v/>
      </c>
    </row>
    <row r="167" spans="1:28" x14ac:dyDescent="0.25">
      <c r="A167" s="102"/>
      <c r="B167" s="33"/>
      <c r="C167" s="25"/>
      <c r="D167" s="26"/>
      <c r="E167" s="33"/>
      <c r="F167" s="25"/>
      <c r="G167" s="25"/>
      <c r="H167" s="117"/>
      <c r="I167" s="55"/>
      <c r="N167" s="37">
        <f ca="1"/>
        <v>46162</v>
      </c>
      <c r="O167" s="41">
        <f ca="1"/>
        <v>266.3</v>
      </c>
      <c r="P167" s="37" t="str">
        <f t="shared" ca="1" si="18"/>
        <v/>
      </c>
      <c r="Q167" s="37" t="str">
        <f t="shared" ca="1" si="19"/>
        <v/>
      </c>
      <c r="Z167" s="37"/>
      <c r="AB167" s="37" t="str">
        <f t="shared" si="20"/>
        <v/>
      </c>
    </row>
    <row r="168" spans="1:28" x14ac:dyDescent="0.25">
      <c r="A168" s="102"/>
      <c r="B168" s="33"/>
      <c r="C168" s="25"/>
      <c r="D168" s="26"/>
      <c r="E168" s="33"/>
      <c r="F168" s="25"/>
      <c r="G168" s="25"/>
      <c r="H168" s="117"/>
      <c r="I168" s="55"/>
      <c r="N168" s="37">
        <f ca="1"/>
        <v>46163</v>
      </c>
      <c r="O168" s="41">
        <f ca="1"/>
        <v>265.3</v>
      </c>
      <c r="P168" s="37" t="str">
        <f t="shared" ca="1" si="18"/>
        <v/>
      </c>
      <c r="Q168" s="37" t="str">
        <f t="shared" ca="1" si="19"/>
        <v/>
      </c>
      <c r="Z168" s="37"/>
      <c r="AB168" s="37" t="str">
        <f t="shared" si="20"/>
        <v/>
      </c>
    </row>
    <row r="169" spans="1:28" x14ac:dyDescent="0.25">
      <c r="A169" s="102"/>
      <c r="B169" s="33"/>
      <c r="C169" s="25"/>
      <c r="D169" s="26"/>
      <c r="E169" s="33"/>
      <c r="F169" s="25"/>
      <c r="G169" s="25"/>
      <c r="H169" s="117"/>
      <c r="I169" s="55"/>
      <c r="N169" s="37">
        <f ca="1"/>
        <v>46164</v>
      </c>
      <c r="O169" s="41">
        <f ca="1"/>
        <v>267.39999999999998</v>
      </c>
      <c r="P169" s="37" t="str">
        <f t="shared" ca="1" si="18"/>
        <v/>
      </c>
      <c r="Q169" s="37" t="str">
        <f t="shared" ca="1" si="19"/>
        <v/>
      </c>
      <c r="Z169" s="37"/>
      <c r="AB169" s="37" t="str">
        <f t="shared" si="20"/>
        <v/>
      </c>
    </row>
    <row r="170" spans="1:28" x14ac:dyDescent="0.25">
      <c r="A170" s="102"/>
      <c r="B170" s="33"/>
      <c r="C170" s="25"/>
      <c r="D170" s="26"/>
      <c r="E170" s="33"/>
      <c r="F170" s="25"/>
      <c r="G170" s="25"/>
      <c r="H170" s="117"/>
      <c r="I170" s="55"/>
      <c r="N170" s="37">
        <f ca="1"/>
        <v>46167</v>
      </c>
      <c r="O170" s="41">
        <f ca="1"/>
        <v>275.05</v>
      </c>
      <c r="P170" s="37" t="str">
        <f t="shared" ca="1" si="18"/>
        <v/>
      </c>
      <c r="Q170" s="37" t="str">
        <f t="shared" ca="1" si="19"/>
        <v/>
      </c>
      <c r="Z170" s="37"/>
      <c r="AB170" s="37" t="str">
        <f t="shared" si="20"/>
        <v/>
      </c>
    </row>
    <row r="171" spans="1:28" x14ac:dyDescent="0.25">
      <c r="A171" s="102"/>
      <c r="B171" s="33"/>
      <c r="C171" s="25"/>
      <c r="D171" s="26"/>
      <c r="E171" s="33"/>
      <c r="F171" s="25"/>
      <c r="G171" s="25"/>
      <c r="H171" s="117"/>
      <c r="I171" s="55"/>
      <c r="N171" s="37">
        <f ca="1"/>
        <v>46168</v>
      </c>
      <c r="O171" s="41">
        <f ca="1"/>
        <v>272.25</v>
      </c>
      <c r="P171" s="37" t="str">
        <f t="shared" ca="1" si="18"/>
        <v/>
      </c>
      <c r="Q171" s="37" t="str">
        <f t="shared" ca="1" si="19"/>
        <v/>
      </c>
      <c r="Z171" s="37"/>
      <c r="AB171" s="37" t="str">
        <f t="shared" si="20"/>
        <v/>
      </c>
    </row>
    <row r="172" spans="1:28" x14ac:dyDescent="0.25">
      <c r="A172" s="102"/>
      <c r="B172" s="33"/>
      <c r="C172" s="25"/>
      <c r="D172" s="26"/>
      <c r="E172" s="33"/>
      <c r="F172" s="25"/>
      <c r="G172" s="25"/>
      <c r="H172" s="117"/>
      <c r="I172" s="55"/>
      <c r="N172" s="37">
        <f ca="1"/>
        <v>46169</v>
      </c>
      <c r="O172" s="41">
        <f ca="1"/>
        <v>273</v>
      </c>
      <c r="P172" s="37" t="str">
        <f t="shared" ca="1" si="18"/>
        <v/>
      </c>
      <c r="Q172" s="37" t="str">
        <f t="shared" ca="1" si="19"/>
        <v/>
      </c>
      <c r="Z172" s="37"/>
      <c r="AB172" s="37" t="str">
        <f t="shared" si="20"/>
        <v/>
      </c>
    </row>
    <row r="173" spans="1:28" x14ac:dyDescent="0.25">
      <c r="A173" s="102"/>
      <c r="B173" s="33"/>
      <c r="C173" s="25"/>
      <c r="D173" s="26"/>
      <c r="E173" s="33"/>
      <c r="F173" s="25"/>
      <c r="G173" s="25"/>
      <c r="H173" s="117"/>
      <c r="I173" s="55"/>
      <c r="N173" s="37">
        <f ca="1"/>
        <v>46170</v>
      </c>
      <c r="O173" s="41">
        <f ca="1"/>
        <v>270.55</v>
      </c>
      <c r="P173" s="37" t="str">
        <f t="shared" ca="1" si="18"/>
        <v/>
      </c>
      <c r="Q173" s="37" t="str">
        <f t="shared" ca="1" si="19"/>
        <v/>
      </c>
      <c r="Z173" s="37"/>
      <c r="AB173" s="37" t="str">
        <f t="shared" si="20"/>
        <v/>
      </c>
    </row>
    <row r="174" spans="1:28" x14ac:dyDescent="0.25">
      <c r="A174" s="102"/>
      <c r="B174" s="33"/>
      <c r="C174" s="25"/>
      <c r="D174" s="26"/>
      <c r="E174" s="33"/>
      <c r="F174" s="25"/>
      <c r="G174" s="25"/>
      <c r="H174" s="117"/>
      <c r="I174" s="55"/>
      <c r="N174" s="37">
        <f ca="1"/>
        <v>46171</v>
      </c>
      <c r="O174" s="41">
        <f ca="1"/>
        <v>273.95</v>
      </c>
      <c r="P174" s="37" t="str">
        <f t="shared" ca="1" si="18"/>
        <v/>
      </c>
      <c r="Q174" s="37" t="str">
        <f t="shared" ca="1" si="19"/>
        <v/>
      </c>
      <c r="Z174" s="37"/>
      <c r="AB174" s="37" t="str">
        <f t="shared" si="20"/>
        <v/>
      </c>
    </row>
    <row r="175" spans="1:28" x14ac:dyDescent="0.25">
      <c r="A175" s="102"/>
      <c r="B175" s="33"/>
      <c r="C175" s="25"/>
      <c r="D175" s="26"/>
      <c r="E175" s="33"/>
      <c r="F175" s="25"/>
      <c r="G175" s="25"/>
      <c r="H175" s="117"/>
      <c r="I175" s="55"/>
      <c r="N175" s="37">
        <f ca="1"/>
        <v>46174</v>
      </c>
      <c r="O175" s="41">
        <f ca="1"/>
        <v>270.3</v>
      </c>
      <c r="P175" s="37" t="str">
        <f t="shared" ca="1" si="18"/>
        <v/>
      </c>
      <c r="Q175" s="37" t="str">
        <f t="shared" ca="1" si="19"/>
        <v/>
      </c>
      <c r="Z175" s="37"/>
      <c r="AB175" s="37" t="str">
        <f t="shared" si="20"/>
        <v/>
      </c>
    </row>
    <row r="176" spans="1:28" x14ac:dyDescent="0.25">
      <c r="A176" s="102"/>
      <c r="B176" s="33"/>
      <c r="C176" s="25"/>
      <c r="D176" s="26"/>
      <c r="E176" s="33"/>
      <c r="F176" s="25"/>
      <c r="G176" s="25"/>
      <c r="H176" s="117"/>
      <c r="I176" s="55"/>
      <c r="N176" s="37">
        <f ca="1"/>
        <v>46175</v>
      </c>
      <c r="O176" s="41">
        <f ca="1"/>
        <v>273.05</v>
      </c>
      <c r="P176" s="37" t="str">
        <f t="shared" ca="1" si="18"/>
        <v/>
      </c>
      <c r="Q176" s="37" t="str">
        <f t="shared" ca="1" si="19"/>
        <v/>
      </c>
      <c r="Z176" s="37"/>
      <c r="AB176" s="37" t="str">
        <f t="shared" si="20"/>
        <v/>
      </c>
    </row>
    <row r="177" spans="1:28" x14ac:dyDescent="0.25">
      <c r="A177" s="102"/>
      <c r="B177" s="33"/>
      <c r="C177" s="25"/>
      <c r="D177" s="26"/>
      <c r="E177" s="33"/>
      <c r="F177" s="25"/>
      <c r="G177" s="25"/>
      <c r="H177" s="117"/>
      <c r="I177" s="55"/>
      <c r="N177" s="37">
        <f ca="1"/>
        <v>46176</v>
      </c>
      <c r="O177" s="41">
        <f ca="1"/>
        <v>269.2</v>
      </c>
      <c r="P177" s="37" t="str">
        <f t="shared" ca="1" si="18"/>
        <v/>
      </c>
      <c r="Q177" s="37" t="str">
        <f t="shared" ca="1" si="19"/>
        <v/>
      </c>
      <c r="Z177" s="37"/>
      <c r="AB177" s="37" t="str">
        <f t="shared" si="20"/>
        <v/>
      </c>
    </row>
    <row r="178" spans="1:28" x14ac:dyDescent="0.25">
      <c r="A178" s="102"/>
      <c r="B178" s="33"/>
      <c r="C178" s="25"/>
      <c r="D178" s="26"/>
      <c r="E178" s="33"/>
      <c r="F178" s="25"/>
      <c r="G178" s="25"/>
      <c r="H178" s="117"/>
      <c r="I178" s="55"/>
      <c r="N178" s="37">
        <f ca="1"/>
        <v>46177</v>
      </c>
      <c r="O178" s="41">
        <f ca="1"/>
        <v>270.85000000000002</v>
      </c>
      <c r="P178" s="37" t="str">
        <f t="shared" ca="1" si="18"/>
        <v/>
      </c>
      <c r="Q178" s="37" t="str">
        <f t="shared" ca="1" si="19"/>
        <v/>
      </c>
      <c r="Z178" s="37"/>
      <c r="AB178" s="37" t="str">
        <f t="shared" si="20"/>
        <v/>
      </c>
    </row>
    <row r="179" spans="1:28" x14ac:dyDescent="0.25">
      <c r="A179" s="102"/>
      <c r="B179" s="33"/>
      <c r="C179" s="25"/>
      <c r="D179" s="26"/>
      <c r="E179" s="33"/>
      <c r="F179" s="25"/>
      <c r="G179" s="25"/>
      <c r="H179" s="117"/>
      <c r="I179" s="55"/>
      <c r="N179" s="37">
        <f ca="1"/>
        <v>46178</v>
      </c>
      <c r="O179" s="41">
        <f ca="1"/>
        <v>269.64999999999998</v>
      </c>
      <c r="P179" s="37" t="str">
        <f t="shared" ca="1" si="18"/>
        <v/>
      </c>
      <c r="Q179" s="37" t="str">
        <f t="shared" ca="1" si="19"/>
        <v/>
      </c>
      <c r="Z179" s="37"/>
      <c r="AB179" s="37" t="str">
        <f t="shared" si="20"/>
        <v/>
      </c>
    </row>
    <row r="180" spans="1:28" x14ac:dyDescent="0.25">
      <c r="A180" s="102"/>
      <c r="B180" s="33"/>
      <c r="C180" s="25"/>
      <c r="D180" s="26"/>
      <c r="E180" s="33"/>
      <c r="F180" s="25"/>
      <c r="G180" s="25"/>
      <c r="H180" s="117"/>
      <c r="I180" s="55"/>
      <c r="N180" s="37">
        <f ca="1"/>
        <v>46181</v>
      </c>
      <c r="O180" s="41">
        <f ca="1"/>
        <v>268.45</v>
      </c>
      <c r="P180" s="37" t="str">
        <f t="shared" ca="1" si="18"/>
        <v/>
      </c>
      <c r="Q180" s="37" t="str">
        <f t="shared" ca="1" si="19"/>
        <v/>
      </c>
      <c r="Z180" s="37"/>
      <c r="AB180" s="37" t="str">
        <f t="shared" si="20"/>
        <v/>
      </c>
    </row>
    <row r="181" spans="1:28" x14ac:dyDescent="0.25">
      <c r="A181" s="102"/>
      <c r="B181" s="33"/>
      <c r="C181" s="25"/>
      <c r="D181" s="26"/>
      <c r="E181" s="33"/>
      <c r="F181" s="25"/>
      <c r="G181" s="25"/>
      <c r="H181" s="117"/>
      <c r="I181" s="55"/>
      <c r="N181" s="37">
        <f ca="1"/>
        <v>46182</v>
      </c>
      <c r="O181" s="41">
        <f ca="1"/>
        <v>268.2</v>
      </c>
      <c r="P181" s="37" t="str">
        <f t="shared" ca="1" si="18"/>
        <v/>
      </c>
      <c r="Q181" s="37" t="str">
        <f t="shared" ca="1" si="19"/>
        <v/>
      </c>
      <c r="Z181" s="37"/>
      <c r="AB181" s="37" t="str">
        <f t="shared" si="20"/>
        <v/>
      </c>
    </row>
    <row r="182" spans="1:28" x14ac:dyDescent="0.25">
      <c r="A182" s="102"/>
      <c r="B182" s="33"/>
      <c r="C182" s="25"/>
      <c r="D182" s="26"/>
      <c r="E182" s="33"/>
      <c r="F182" s="25"/>
      <c r="G182" s="25"/>
      <c r="H182" s="117"/>
      <c r="I182" s="55"/>
      <c r="N182" s="37">
        <f ca="1"/>
        <v>46183</v>
      </c>
      <c r="O182" s="41">
        <f ca="1"/>
        <v>266.35000000000002</v>
      </c>
      <c r="P182" s="37" t="str">
        <f t="shared" ca="1" si="18"/>
        <v/>
      </c>
      <c r="Q182" s="37" t="str">
        <f t="shared" ca="1" si="19"/>
        <v/>
      </c>
      <c r="Z182" s="37"/>
      <c r="AB182" s="37" t="str">
        <f t="shared" si="20"/>
        <v/>
      </c>
    </row>
    <row r="183" spans="1:28" x14ac:dyDescent="0.25">
      <c r="A183" s="102"/>
      <c r="B183" s="33"/>
      <c r="C183" s="25"/>
      <c r="D183" s="26"/>
      <c r="E183" s="33"/>
      <c r="F183" s="25"/>
      <c r="G183" s="25"/>
      <c r="H183" s="117"/>
      <c r="I183" s="55"/>
      <c r="N183" s="37">
        <f ca="1"/>
        <v>46184</v>
      </c>
      <c r="O183" s="41">
        <f ca="1"/>
        <v>267.05</v>
      </c>
      <c r="P183" s="37" t="str">
        <f t="shared" ca="1" si="18"/>
        <v/>
      </c>
      <c r="Q183" s="37" t="str">
        <f t="shared" ca="1" si="19"/>
        <v/>
      </c>
      <c r="Z183" s="37"/>
      <c r="AB183" s="37" t="str">
        <f t="shared" si="20"/>
        <v/>
      </c>
    </row>
    <row r="184" spans="1:28" x14ac:dyDescent="0.25">
      <c r="A184" s="102"/>
      <c r="B184" s="33"/>
      <c r="C184" s="25"/>
      <c r="D184" s="26"/>
      <c r="E184" s="33"/>
      <c r="F184" s="25"/>
      <c r="G184" s="25"/>
      <c r="H184" s="117"/>
      <c r="I184" s="55"/>
      <c r="N184" s="37">
        <f ca="1"/>
        <v>46185</v>
      </c>
      <c r="O184" s="41">
        <f ca="1"/>
        <v>277.55</v>
      </c>
      <c r="P184" s="37" t="str">
        <f t="shared" ca="1" si="18"/>
        <v/>
      </c>
      <c r="Q184" s="37" t="str">
        <f t="shared" ca="1" si="19"/>
        <v/>
      </c>
      <c r="Z184" s="37"/>
      <c r="AB184" s="37" t="str">
        <f t="shared" si="20"/>
        <v/>
      </c>
    </row>
    <row r="185" spans="1:28" x14ac:dyDescent="0.25">
      <c r="A185" s="102"/>
      <c r="B185" s="33"/>
      <c r="C185" s="25"/>
      <c r="D185" s="26"/>
      <c r="E185" s="33"/>
      <c r="F185" s="25"/>
      <c r="G185" s="25"/>
      <c r="H185" s="117"/>
      <c r="I185" s="55"/>
      <c r="N185" s="37">
        <f ca="1"/>
        <v>46188</v>
      </c>
      <c r="O185" s="41">
        <f ca="1"/>
        <v>284.14999999999998</v>
      </c>
      <c r="P185" s="37" t="str">
        <f t="shared" ca="1" si="18"/>
        <v/>
      </c>
      <c r="Q185" s="37" t="str">
        <f t="shared" ca="1" si="19"/>
        <v/>
      </c>
      <c r="Z185" s="37"/>
      <c r="AB185" s="37" t="str">
        <f t="shared" si="20"/>
        <v/>
      </c>
    </row>
    <row r="186" spans="1:28" x14ac:dyDescent="0.25">
      <c r="A186" s="102"/>
      <c r="B186" s="33"/>
      <c r="C186" s="25"/>
      <c r="D186" s="26"/>
      <c r="E186" s="33"/>
      <c r="F186" s="25"/>
      <c r="G186" s="25"/>
      <c r="H186" s="117"/>
      <c r="I186" s="55"/>
      <c r="N186" s="37">
        <f ca="1"/>
        <v>46189</v>
      </c>
      <c r="O186" s="41">
        <f ca="1"/>
        <v>289.14999999999998</v>
      </c>
      <c r="P186" s="37" t="str">
        <f t="shared" ca="1" si="18"/>
        <v/>
      </c>
      <c r="Q186" s="37" t="str">
        <f t="shared" ca="1" si="19"/>
        <v/>
      </c>
      <c r="Z186" s="37"/>
      <c r="AB186" s="37" t="str">
        <f t="shared" si="20"/>
        <v/>
      </c>
    </row>
    <row r="187" spans="1:28" x14ac:dyDescent="0.25">
      <c r="A187" s="102"/>
      <c r="B187" s="33"/>
      <c r="C187" s="25"/>
      <c r="D187" s="26"/>
      <c r="E187" s="33"/>
      <c r="F187" s="25"/>
      <c r="G187" s="25"/>
      <c r="H187" s="117"/>
      <c r="I187" s="55"/>
      <c r="N187" s="37">
        <f ca="1"/>
        <v>46190</v>
      </c>
      <c r="O187" s="41">
        <f ca="1"/>
        <v>294.39999999999998</v>
      </c>
      <c r="P187" s="37" t="str">
        <f t="shared" ca="1" si="18"/>
        <v/>
      </c>
      <c r="Q187" s="37" t="str">
        <f t="shared" ca="1" si="19"/>
        <v/>
      </c>
      <c r="Z187" s="37"/>
      <c r="AB187" s="37" t="str">
        <f t="shared" si="20"/>
        <v/>
      </c>
    </row>
    <row r="188" spans="1:28" x14ac:dyDescent="0.25">
      <c r="A188" s="102"/>
      <c r="B188" s="33"/>
      <c r="C188" s="25"/>
      <c r="D188" s="26"/>
      <c r="E188" s="33"/>
      <c r="F188" s="25"/>
      <c r="G188" s="25"/>
      <c r="H188" s="117"/>
      <c r="I188" s="55"/>
      <c r="P188" s="37" t="str">
        <f t="shared" ca="1" si="18"/>
        <v/>
      </c>
      <c r="Q188" s="37" t="str">
        <f t="shared" ca="1" si="19"/>
        <v/>
      </c>
      <c r="Z188" s="37"/>
      <c r="AB188" s="37" t="str">
        <f t="shared" si="20"/>
        <v/>
      </c>
    </row>
    <row r="189" spans="1:28" x14ac:dyDescent="0.25">
      <c r="A189" s="102"/>
      <c r="B189" s="33"/>
      <c r="C189" s="25"/>
      <c r="D189" s="26"/>
      <c r="E189" s="33"/>
      <c r="F189" s="25"/>
      <c r="G189" s="25"/>
      <c r="H189" s="117"/>
      <c r="I189" s="55"/>
      <c r="P189" s="37" t="str">
        <f t="shared" ca="1" si="18"/>
        <v/>
      </c>
      <c r="Q189" s="37" t="str">
        <f t="shared" ca="1" si="19"/>
        <v/>
      </c>
      <c r="Z189" s="37"/>
      <c r="AB189" s="37" t="str">
        <f t="shared" si="20"/>
        <v/>
      </c>
    </row>
    <row r="190" spans="1:28" x14ac:dyDescent="0.25">
      <c r="A190" s="102"/>
      <c r="B190" s="33"/>
      <c r="C190" s="25"/>
      <c r="D190" s="26"/>
      <c r="E190" s="33"/>
      <c r="F190" s="25"/>
      <c r="G190" s="25"/>
      <c r="H190" s="117"/>
      <c r="I190" s="55"/>
      <c r="P190" s="37" t="str">
        <f t="shared" ca="1" si="18"/>
        <v/>
      </c>
      <c r="Q190" s="37" t="str">
        <f t="shared" ca="1" si="19"/>
        <v/>
      </c>
      <c r="Z190" s="37"/>
      <c r="AB190" s="37" t="str">
        <f t="shared" si="20"/>
        <v/>
      </c>
    </row>
    <row r="191" spans="1:28" x14ac:dyDescent="0.25">
      <c r="A191" s="102"/>
      <c r="B191" s="33"/>
      <c r="C191" s="25"/>
      <c r="D191" s="26"/>
      <c r="E191" s="33"/>
      <c r="F191" s="25"/>
      <c r="G191" s="25"/>
      <c r="H191" s="117"/>
      <c r="I191" s="55"/>
      <c r="P191" s="37" t="str">
        <f t="shared" ca="1" si="18"/>
        <v/>
      </c>
      <c r="Q191" s="37" t="str">
        <f t="shared" ca="1" si="19"/>
        <v/>
      </c>
      <c r="Z191" s="37"/>
      <c r="AB191" s="37" t="str">
        <f t="shared" si="20"/>
        <v/>
      </c>
    </row>
    <row r="192" spans="1:28" x14ac:dyDescent="0.25">
      <c r="A192" s="102"/>
      <c r="B192" s="33"/>
      <c r="C192" s="25"/>
      <c r="D192" s="26"/>
      <c r="E192" s="33"/>
      <c r="F192" s="25"/>
      <c r="G192" s="25"/>
      <c r="H192" s="117"/>
      <c r="I192" s="55"/>
      <c r="P192" s="37" t="str">
        <f t="shared" ca="1" si="18"/>
        <v/>
      </c>
      <c r="Q192" s="37" t="str">
        <f t="shared" ca="1" si="19"/>
        <v/>
      </c>
      <c r="Z192" s="37"/>
      <c r="AB192" s="37" t="str">
        <f t="shared" si="20"/>
        <v/>
      </c>
    </row>
    <row r="193" spans="1:28" x14ac:dyDescent="0.25">
      <c r="A193" s="102"/>
      <c r="B193" s="33"/>
      <c r="C193" s="25"/>
      <c r="D193" s="26"/>
      <c r="E193" s="33"/>
      <c r="F193" s="25"/>
      <c r="G193" s="25"/>
      <c r="H193" s="117"/>
      <c r="I193" s="55"/>
      <c r="P193" s="37" t="str">
        <f t="shared" ca="1" si="18"/>
        <v/>
      </c>
      <c r="Q193" s="37" t="str">
        <f t="shared" ca="1" si="19"/>
        <v/>
      </c>
      <c r="Z193" s="37"/>
      <c r="AB193" s="37" t="str">
        <f t="shared" si="20"/>
        <v/>
      </c>
    </row>
    <row r="194" spans="1:28" x14ac:dyDescent="0.25">
      <c r="A194" s="102"/>
      <c r="B194" s="33"/>
      <c r="C194" s="25"/>
      <c r="D194" s="26"/>
      <c r="E194" s="33"/>
      <c r="F194" s="25"/>
      <c r="G194" s="25"/>
      <c r="H194" s="117"/>
      <c r="I194" s="55"/>
      <c r="P194" s="37" t="str">
        <f t="shared" ca="1" si="18"/>
        <v/>
      </c>
      <c r="Q194" s="37" t="str">
        <f t="shared" ca="1" si="19"/>
        <v/>
      </c>
      <c r="Z194" s="37"/>
      <c r="AB194" s="37" t="str">
        <f t="shared" si="20"/>
        <v/>
      </c>
    </row>
    <row r="195" spans="1:28" x14ac:dyDescent="0.25">
      <c r="A195" s="102"/>
      <c r="B195" s="33"/>
      <c r="C195" s="25"/>
      <c r="D195" s="26"/>
      <c r="E195" s="33"/>
      <c r="F195" s="25"/>
      <c r="G195" s="25"/>
      <c r="H195" s="117"/>
      <c r="I195" s="55"/>
      <c r="P195" s="37" t="str">
        <f t="shared" ca="1" si="18"/>
        <v/>
      </c>
      <c r="Q195" s="37" t="str">
        <f t="shared" ca="1" si="19"/>
        <v/>
      </c>
      <c r="Z195" s="37"/>
      <c r="AB195" s="37" t="str">
        <f t="shared" si="20"/>
        <v/>
      </c>
    </row>
    <row r="196" spans="1:28" x14ac:dyDescent="0.25">
      <c r="A196" s="102"/>
      <c r="B196" s="33"/>
      <c r="C196" s="25"/>
      <c r="D196" s="26"/>
      <c r="E196" s="33"/>
      <c r="F196" s="25"/>
      <c r="G196" s="25"/>
      <c r="H196" s="117"/>
      <c r="I196" s="55"/>
      <c r="P196" s="37" t="str">
        <f t="shared" ref="P196:P259" ca="1" si="21">IF(COUNTIF(N:N,L196),L196,"")</f>
        <v/>
      </c>
      <c r="Q196" s="37" t="str">
        <f t="shared" ref="Q196:Q259" ca="1" si="22">IF(P196&gt;$A$14,P196,"")</f>
        <v/>
      </c>
      <c r="Z196" s="37"/>
      <c r="AB196" s="37" t="str">
        <f t="shared" ref="AB196:AB259" si="23">IF(COUNTIF(Z:Z,X196),X196,"")</f>
        <v/>
      </c>
    </row>
    <row r="197" spans="1:28" x14ac:dyDescent="0.25">
      <c r="A197" s="102"/>
      <c r="B197" s="33"/>
      <c r="C197" s="25"/>
      <c r="D197" s="26"/>
      <c r="E197" s="33"/>
      <c r="F197" s="25"/>
      <c r="G197" s="25"/>
      <c r="H197" s="117"/>
      <c r="I197" s="55"/>
      <c r="P197" s="37" t="str">
        <f t="shared" ca="1" si="21"/>
        <v/>
      </c>
      <c r="Q197" s="37" t="str">
        <f t="shared" ca="1" si="22"/>
        <v/>
      </c>
      <c r="Z197" s="37"/>
      <c r="AB197" s="37" t="str">
        <f t="shared" si="23"/>
        <v/>
      </c>
    </row>
    <row r="198" spans="1:28" x14ac:dyDescent="0.25">
      <c r="A198" s="102"/>
      <c r="B198" s="33"/>
      <c r="C198" s="25"/>
      <c r="D198" s="26"/>
      <c r="E198" s="33"/>
      <c r="F198" s="25"/>
      <c r="G198" s="25"/>
      <c r="H198" s="117"/>
      <c r="I198" s="55"/>
      <c r="P198" s="37" t="str">
        <f t="shared" ca="1" si="21"/>
        <v/>
      </c>
      <c r="Q198" s="37" t="str">
        <f t="shared" ca="1" si="22"/>
        <v/>
      </c>
      <c r="Z198" s="37"/>
      <c r="AB198" s="37" t="str">
        <f t="shared" si="23"/>
        <v/>
      </c>
    </row>
    <row r="199" spans="1:28" x14ac:dyDescent="0.25">
      <c r="A199" s="102"/>
      <c r="B199" s="33"/>
      <c r="C199" s="25"/>
      <c r="D199" s="26"/>
      <c r="E199" s="33"/>
      <c r="F199" s="25"/>
      <c r="G199" s="25"/>
      <c r="H199" s="117"/>
      <c r="I199" s="55"/>
      <c r="P199" s="37" t="str">
        <f t="shared" ca="1" si="21"/>
        <v/>
      </c>
      <c r="Q199" s="37" t="str">
        <f t="shared" ca="1" si="22"/>
        <v/>
      </c>
      <c r="Z199" s="37"/>
      <c r="AB199" s="37" t="str">
        <f t="shared" si="23"/>
        <v/>
      </c>
    </row>
    <row r="200" spans="1:28" x14ac:dyDescent="0.25">
      <c r="A200" s="102"/>
      <c r="B200" s="33"/>
      <c r="C200" s="25"/>
      <c r="D200" s="26"/>
      <c r="E200" s="33"/>
      <c r="F200" s="25"/>
      <c r="G200" s="25"/>
      <c r="H200" s="117"/>
      <c r="I200" s="55"/>
      <c r="P200" s="37" t="str">
        <f t="shared" ca="1" si="21"/>
        <v/>
      </c>
      <c r="Q200" s="37" t="str">
        <f t="shared" ca="1" si="22"/>
        <v/>
      </c>
      <c r="Z200" s="37"/>
      <c r="AB200" s="37" t="str">
        <f t="shared" si="23"/>
        <v/>
      </c>
    </row>
    <row r="201" spans="1:28" x14ac:dyDescent="0.25">
      <c r="A201" s="102"/>
      <c r="B201" s="33"/>
      <c r="C201" s="25"/>
      <c r="D201" s="26"/>
      <c r="E201" s="33"/>
      <c r="F201" s="25"/>
      <c r="G201" s="25"/>
      <c r="H201" s="117"/>
      <c r="I201" s="55"/>
      <c r="P201" s="37" t="str">
        <f t="shared" ca="1" si="21"/>
        <v/>
      </c>
      <c r="Q201" s="37" t="str">
        <f t="shared" ca="1" si="22"/>
        <v/>
      </c>
      <c r="Z201" s="37"/>
      <c r="AB201" s="37" t="str">
        <f t="shared" si="23"/>
        <v/>
      </c>
    </row>
    <row r="202" spans="1:28" x14ac:dyDescent="0.25">
      <c r="A202" s="102"/>
      <c r="B202" s="33"/>
      <c r="C202" s="25"/>
      <c r="D202" s="26"/>
      <c r="E202" s="33"/>
      <c r="F202" s="25"/>
      <c r="G202" s="25"/>
      <c r="H202" s="117"/>
      <c r="I202" s="55"/>
      <c r="P202" s="37" t="str">
        <f t="shared" ca="1" si="21"/>
        <v/>
      </c>
      <c r="Q202" s="37" t="str">
        <f t="shared" ca="1" si="22"/>
        <v/>
      </c>
      <c r="Z202" s="37"/>
      <c r="AB202" s="37" t="str">
        <f t="shared" si="23"/>
        <v/>
      </c>
    </row>
    <row r="203" spans="1:28" x14ac:dyDescent="0.25">
      <c r="A203" s="102"/>
      <c r="B203" s="33"/>
      <c r="C203" s="25"/>
      <c r="D203" s="26"/>
      <c r="E203" s="33"/>
      <c r="F203" s="25"/>
      <c r="G203" s="25"/>
      <c r="H203" s="117"/>
      <c r="I203" s="55"/>
      <c r="P203" s="37" t="str">
        <f t="shared" ca="1" si="21"/>
        <v/>
      </c>
      <c r="Q203" s="37" t="str">
        <f t="shared" ca="1" si="22"/>
        <v/>
      </c>
      <c r="Z203" s="37"/>
      <c r="AB203" s="37" t="str">
        <f t="shared" si="23"/>
        <v/>
      </c>
    </row>
    <row r="204" spans="1:28" x14ac:dyDescent="0.25">
      <c r="A204" s="102"/>
      <c r="B204" s="33"/>
      <c r="C204" s="25"/>
      <c r="D204" s="26"/>
      <c r="E204" s="33"/>
      <c r="F204" s="25"/>
      <c r="G204" s="25"/>
      <c r="H204" s="117"/>
      <c r="I204" s="55"/>
      <c r="P204" s="37" t="str">
        <f t="shared" ca="1" si="21"/>
        <v/>
      </c>
      <c r="Q204" s="37" t="str">
        <f t="shared" ca="1" si="22"/>
        <v/>
      </c>
      <c r="Z204" s="37"/>
      <c r="AB204" s="37" t="str">
        <f t="shared" si="23"/>
        <v/>
      </c>
    </row>
    <row r="205" spans="1:28" x14ac:dyDescent="0.25">
      <c r="A205" s="102"/>
      <c r="B205" s="33"/>
      <c r="C205" s="25"/>
      <c r="D205" s="26"/>
      <c r="E205" s="33"/>
      <c r="F205" s="25"/>
      <c r="G205" s="25"/>
      <c r="H205" s="117"/>
      <c r="I205" s="55"/>
      <c r="P205" s="37" t="str">
        <f t="shared" ca="1" si="21"/>
        <v/>
      </c>
      <c r="Q205" s="37" t="str">
        <f t="shared" ca="1" si="22"/>
        <v/>
      </c>
      <c r="Z205" s="37"/>
      <c r="AB205" s="37" t="str">
        <f t="shared" si="23"/>
        <v/>
      </c>
    </row>
    <row r="206" spans="1:28" x14ac:dyDescent="0.25">
      <c r="A206" s="102"/>
      <c r="B206" s="33"/>
      <c r="C206" s="25"/>
      <c r="D206" s="26"/>
      <c r="E206" s="33"/>
      <c r="F206" s="25"/>
      <c r="G206" s="25"/>
      <c r="H206" s="117"/>
      <c r="I206" s="55"/>
      <c r="P206" s="37" t="str">
        <f t="shared" ca="1" si="21"/>
        <v/>
      </c>
      <c r="Q206" s="37" t="str">
        <f t="shared" ca="1" si="22"/>
        <v/>
      </c>
      <c r="Z206" s="37"/>
      <c r="AB206" s="37" t="str">
        <f t="shared" si="23"/>
        <v/>
      </c>
    </row>
    <row r="207" spans="1:28" x14ac:dyDescent="0.25">
      <c r="A207" s="102"/>
      <c r="B207" s="33"/>
      <c r="C207" s="25"/>
      <c r="D207" s="26"/>
      <c r="E207" s="33"/>
      <c r="F207" s="25"/>
      <c r="G207" s="25"/>
      <c r="H207" s="117"/>
      <c r="I207" s="55"/>
      <c r="P207" s="37" t="str">
        <f t="shared" ca="1" si="21"/>
        <v/>
      </c>
      <c r="Q207" s="37" t="str">
        <f t="shared" ca="1" si="22"/>
        <v/>
      </c>
      <c r="Z207" s="37"/>
      <c r="AB207" s="37" t="str">
        <f t="shared" si="23"/>
        <v/>
      </c>
    </row>
    <row r="208" spans="1:28" x14ac:dyDescent="0.25">
      <c r="A208" s="102"/>
      <c r="B208" s="33"/>
      <c r="C208" s="25"/>
      <c r="D208" s="26"/>
      <c r="E208" s="33"/>
      <c r="F208" s="25"/>
      <c r="G208" s="25"/>
      <c r="H208" s="117"/>
      <c r="I208" s="55"/>
      <c r="P208" s="37" t="str">
        <f t="shared" ca="1" si="21"/>
        <v/>
      </c>
      <c r="Q208" s="37" t="str">
        <f t="shared" ca="1" si="22"/>
        <v/>
      </c>
      <c r="Z208" s="37"/>
      <c r="AB208" s="37" t="str">
        <f t="shared" si="23"/>
        <v/>
      </c>
    </row>
    <row r="209" spans="1:28" x14ac:dyDescent="0.25">
      <c r="A209" s="102"/>
      <c r="B209" s="33"/>
      <c r="C209" s="25"/>
      <c r="D209" s="26"/>
      <c r="E209" s="33"/>
      <c r="F209" s="25"/>
      <c r="G209" s="25"/>
      <c r="H209" s="117"/>
      <c r="I209" s="55"/>
      <c r="P209" s="37" t="str">
        <f t="shared" ca="1" si="21"/>
        <v/>
      </c>
      <c r="Q209" s="37" t="str">
        <f t="shared" ca="1" si="22"/>
        <v/>
      </c>
      <c r="Z209" s="37"/>
      <c r="AB209" s="37" t="str">
        <f t="shared" si="23"/>
        <v/>
      </c>
    </row>
    <row r="210" spans="1:28" x14ac:dyDescent="0.25">
      <c r="A210" s="102"/>
      <c r="B210" s="33"/>
      <c r="C210" s="25"/>
      <c r="D210" s="26"/>
      <c r="E210" s="33"/>
      <c r="F210" s="25"/>
      <c r="G210" s="25"/>
      <c r="H210" s="117"/>
      <c r="I210" s="55"/>
      <c r="P210" s="37" t="str">
        <f t="shared" ca="1" si="21"/>
        <v/>
      </c>
      <c r="Q210" s="37" t="str">
        <f t="shared" ca="1" si="22"/>
        <v/>
      </c>
      <c r="Z210" s="37"/>
      <c r="AB210" s="37" t="str">
        <f t="shared" si="23"/>
        <v/>
      </c>
    </row>
    <row r="211" spans="1:28" x14ac:dyDescent="0.25">
      <c r="A211" s="102"/>
      <c r="B211" s="33"/>
      <c r="C211" s="25"/>
      <c r="D211" s="26"/>
      <c r="E211" s="33"/>
      <c r="F211" s="25"/>
      <c r="G211" s="25"/>
      <c r="H211" s="117"/>
      <c r="I211" s="55"/>
      <c r="P211" s="37" t="str">
        <f t="shared" ca="1" si="21"/>
        <v/>
      </c>
      <c r="Q211" s="37" t="str">
        <f t="shared" ca="1" si="22"/>
        <v/>
      </c>
      <c r="Z211" s="37"/>
      <c r="AB211" s="37" t="str">
        <f t="shared" si="23"/>
        <v/>
      </c>
    </row>
    <row r="212" spans="1:28" x14ac:dyDescent="0.25">
      <c r="A212" s="102"/>
      <c r="B212" s="33"/>
      <c r="C212" s="25"/>
      <c r="D212" s="26"/>
      <c r="E212" s="33"/>
      <c r="F212" s="25"/>
      <c r="G212" s="25"/>
      <c r="H212" s="117"/>
      <c r="I212" s="55"/>
      <c r="P212" s="37" t="str">
        <f t="shared" ca="1" si="21"/>
        <v/>
      </c>
      <c r="Q212" s="37" t="str">
        <f t="shared" ca="1" si="22"/>
        <v/>
      </c>
      <c r="Z212" s="37"/>
      <c r="AB212" s="37" t="str">
        <f t="shared" si="23"/>
        <v/>
      </c>
    </row>
    <row r="213" spans="1:28" x14ac:dyDescent="0.25">
      <c r="A213" s="102"/>
      <c r="B213" s="33"/>
      <c r="C213" s="25"/>
      <c r="D213" s="26"/>
      <c r="E213" s="33"/>
      <c r="F213" s="25"/>
      <c r="G213" s="25"/>
      <c r="H213" s="117"/>
      <c r="I213" s="55"/>
      <c r="P213" s="37" t="str">
        <f t="shared" ca="1" si="21"/>
        <v/>
      </c>
      <c r="Q213" s="37" t="str">
        <f t="shared" ca="1" si="22"/>
        <v/>
      </c>
      <c r="Z213" s="37"/>
      <c r="AB213" s="37" t="str">
        <f t="shared" si="23"/>
        <v/>
      </c>
    </row>
    <row r="214" spans="1:28" x14ac:dyDescent="0.25">
      <c r="A214" s="102"/>
      <c r="B214" s="33"/>
      <c r="C214" s="25"/>
      <c r="D214" s="26"/>
      <c r="E214" s="33"/>
      <c r="F214" s="25"/>
      <c r="G214" s="25"/>
      <c r="H214" s="117"/>
      <c r="I214" s="55"/>
      <c r="P214" s="37" t="str">
        <f t="shared" ca="1" si="21"/>
        <v/>
      </c>
      <c r="Q214" s="37" t="str">
        <f t="shared" ca="1" si="22"/>
        <v/>
      </c>
      <c r="Z214" s="37"/>
      <c r="AB214" s="37" t="str">
        <f t="shared" si="23"/>
        <v/>
      </c>
    </row>
    <row r="215" spans="1:28" x14ac:dyDescent="0.25">
      <c r="A215" s="102"/>
      <c r="B215" s="33"/>
      <c r="C215" s="25"/>
      <c r="D215" s="26"/>
      <c r="E215" s="33"/>
      <c r="F215" s="25"/>
      <c r="G215" s="25"/>
      <c r="H215" s="117"/>
      <c r="I215" s="55"/>
      <c r="P215" s="37" t="str">
        <f t="shared" ca="1" si="21"/>
        <v/>
      </c>
      <c r="Q215" s="37" t="str">
        <f t="shared" ca="1" si="22"/>
        <v/>
      </c>
      <c r="Z215" s="37"/>
      <c r="AB215" s="37" t="str">
        <f t="shared" si="23"/>
        <v/>
      </c>
    </row>
    <row r="216" spans="1:28" x14ac:dyDescent="0.25">
      <c r="A216" s="102"/>
      <c r="B216" s="33"/>
      <c r="C216" s="25"/>
      <c r="D216" s="26"/>
      <c r="E216" s="33"/>
      <c r="F216" s="25"/>
      <c r="G216" s="25"/>
      <c r="H216" s="117"/>
      <c r="I216" s="55"/>
      <c r="P216" s="37" t="str">
        <f t="shared" ca="1" si="21"/>
        <v/>
      </c>
      <c r="Q216" s="37" t="str">
        <f t="shared" ca="1" si="22"/>
        <v/>
      </c>
      <c r="Z216" s="37"/>
      <c r="AB216" s="37" t="str">
        <f t="shared" si="23"/>
        <v/>
      </c>
    </row>
    <row r="217" spans="1:28" x14ac:dyDescent="0.25">
      <c r="A217" s="102"/>
      <c r="B217" s="33"/>
      <c r="C217" s="25"/>
      <c r="D217" s="26"/>
      <c r="E217" s="33"/>
      <c r="F217" s="25"/>
      <c r="G217" s="25"/>
      <c r="H217" s="117"/>
      <c r="I217" s="55"/>
      <c r="P217" s="37" t="str">
        <f t="shared" ca="1" si="21"/>
        <v/>
      </c>
      <c r="Q217" s="37" t="str">
        <f t="shared" ca="1" si="22"/>
        <v/>
      </c>
      <c r="Z217" s="37"/>
      <c r="AB217" s="37" t="str">
        <f t="shared" si="23"/>
        <v/>
      </c>
    </row>
    <row r="218" spans="1:28" x14ac:dyDescent="0.25">
      <c r="A218" s="102"/>
      <c r="B218" s="33"/>
      <c r="C218" s="25"/>
      <c r="D218" s="26"/>
      <c r="E218" s="33"/>
      <c r="F218" s="25"/>
      <c r="G218" s="25"/>
      <c r="H218" s="117"/>
      <c r="I218" s="55"/>
      <c r="P218" s="37" t="str">
        <f t="shared" ca="1" si="21"/>
        <v/>
      </c>
      <c r="Q218" s="37" t="str">
        <f t="shared" ca="1" si="22"/>
        <v/>
      </c>
      <c r="Z218" s="37"/>
      <c r="AB218" s="37" t="str">
        <f t="shared" si="23"/>
        <v/>
      </c>
    </row>
    <row r="219" spans="1:28" x14ac:dyDescent="0.25">
      <c r="A219" s="102"/>
      <c r="B219" s="33"/>
      <c r="C219" s="25"/>
      <c r="D219" s="26"/>
      <c r="E219" s="33"/>
      <c r="F219" s="25"/>
      <c r="G219" s="25"/>
      <c r="H219" s="117"/>
      <c r="I219" s="55"/>
      <c r="P219" s="37" t="str">
        <f t="shared" ca="1" si="21"/>
        <v/>
      </c>
      <c r="Q219" s="37" t="str">
        <f t="shared" ca="1" si="22"/>
        <v/>
      </c>
      <c r="Z219" s="37"/>
      <c r="AB219" s="37" t="str">
        <f t="shared" si="23"/>
        <v/>
      </c>
    </row>
    <row r="220" spans="1:28" x14ac:dyDescent="0.25">
      <c r="A220" s="102"/>
      <c r="B220" s="33"/>
      <c r="C220" s="25"/>
      <c r="D220" s="26"/>
      <c r="E220" s="33"/>
      <c r="F220" s="25"/>
      <c r="G220" s="25"/>
      <c r="H220" s="117"/>
      <c r="I220" s="55"/>
      <c r="P220" s="37" t="str">
        <f t="shared" ca="1" si="21"/>
        <v/>
      </c>
      <c r="Q220" s="37" t="str">
        <f t="shared" ca="1" si="22"/>
        <v/>
      </c>
      <c r="Z220" s="37"/>
      <c r="AB220" s="37" t="str">
        <f t="shared" si="23"/>
        <v/>
      </c>
    </row>
    <row r="221" spans="1:28" x14ac:dyDescent="0.25">
      <c r="A221" s="102"/>
      <c r="B221" s="33"/>
      <c r="C221" s="25"/>
      <c r="D221" s="26"/>
      <c r="E221" s="33"/>
      <c r="F221" s="25"/>
      <c r="G221" s="25"/>
      <c r="H221" s="117"/>
      <c r="I221" s="55"/>
      <c r="P221" s="37" t="str">
        <f t="shared" ca="1" si="21"/>
        <v/>
      </c>
      <c r="Q221" s="37" t="str">
        <f t="shared" ca="1" si="22"/>
        <v/>
      </c>
      <c r="Z221" s="37"/>
      <c r="AB221" s="37" t="str">
        <f t="shared" si="23"/>
        <v/>
      </c>
    </row>
    <row r="222" spans="1:28" x14ac:dyDescent="0.25">
      <c r="A222" s="102"/>
      <c r="B222" s="33"/>
      <c r="C222" s="25"/>
      <c r="D222" s="26"/>
      <c r="E222" s="33"/>
      <c r="F222" s="25"/>
      <c r="G222" s="25"/>
      <c r="H222" s="117"/>
      <c r="I222" s="55"/>
      <c r="P222" s="37" t="str">
        <f t="shared" ca="1" si="21"/>
        <v/>
      </c>
      <c r="Q222" s="37" t="str">
        <f t="shared" ca="1" si="22"/>
        <v/>
      </c>
      <c r="Z222" s="37"/>
      <c r="AB222" s="37" t="str">
        <f t="shared" si="23"/>
        <v/>
      </c>
    </row>
    <row r="223" spans="1:28" x14ac:dyDescent="0.25">
      <c r="A223" s="102"/>
      <c r="B223" s="33"/>
      <c r="C223" s="25"/>
      <c r="D223" s="26"/>
      <c r="E223" s="33"/>
      <c r="F223" s="25"/>
      <c r="G223" s="25"/>
      <c r="H223" s="117"/>
      <c r="I223" s="55"/>
      <c r="P223" s="37" t="str">
        <f t="shared" ca="1" si="21"/>
        <v/>
      </c>
      <c r="Q223" s="37" t="str">
        <f t="shared" ca="1" si="22"/>
        <v/>
      </c>
      <c r="Z223" s="37"/>
      <c r="AB223" s="37" t="str">
        <f t="shared" si="23"/>
        <v/>
      </c>
    </row>
    <row r="224" spans="1:28" x14ac:dyDescent="0.25">
      <c r="A224" s="102"/>
      <c r="B224" s="33"/>
      <c r="C224" s="25"/>
      <c r="D224" s="26"/>
      <c r="E224" s="33"/>
      <c r="F224" s="25"/>
      <c r="G224" s="25"/>
      <c r="H224" s="117"/>
      <c r="I224" s="55"/>
      <c r="P224" s="37" t="str">
        <f t="shared" ca="1" si="21"/>
        <v/>
      </c>
      <c r="Q224" s="37" t="str">
        <f t="shared" ca="1" si="22"/>
        <v/>
      </c>
      <c r="Z224" s="37"/>
      <c r="AB224" s="37" t="str">
        <f t="shared" si="23"/>
        <v/>
      </c>
    </row>
    <row r="225" spans="1:28" x14ac:dyDescent="0.25">
      <c r="A225" s="102"/>
      <c r="B225" s="33"/>
      <c r="C225" s="25"/>
      <c r="D225" s="26"/>
      <c r="E225" s="33"/>
      <c r="F225" s="25"/>
      <c r="G225" s="25"/>
      <c r="H225" s="117"/>
      <c r="I225" s="55"/>
      <c r="P225" s="37" t="str">
        <f t="shared" ca="1" si="21"/>
        <v/>
      </c>
      <c r="Q225" s="37" t="str">
        <f t="shared" ca="1" si="22"/>
        <v/>
      </c>
      <c r="Z225" s="37"/>
      <c r="AB225" s="37" t="str">
        <f t="shared" si="23"/>
        <v/>
      </c>
    </row>
    <row r="226" spans="1:28" x14ac:dyDescent="0.25">
      <c r="A226" s="102"/>
      <c r="B226" s="33"/>
      <c r="C226" s="25"/>
      <c r="D226" s="26"/>
      <c r="E226" s="33"/>
      <c r="F226" s="25"/>
      <c r="G226" s="25"/>
      <c r="H226" s="117"/>
      <c r="I226" s="55"/>
      <c r="P226" s="37" t="str">
        <f t="shared" ca="1" si="21"/>
        <v/>
      </c>
      <c r="Q226" s="37" t="str">
        <f t="shared" ca="1" si="22"/>
        <v/>
      </c>
      <c r="Z226" s="37"/>
      <c r="AB226" s="37" t="str">
        <f t="shared" si="23"/>
        <v/>
      </c>
    </row>
    <row r="227" spans="1:28" x14ac:dyDescent="0.25">
      <c r="A227" s="102"/>
      <c r="B227" s="33"/>
      <c r="C227" s="25"/>
      <c r="D227" s="26"/>
      <c r="E227" s="33"/>
      <c r="F227" s="25"/>
      <c r="G227" s="25"/>
      <c r="H227" s="117"/>
      <c r="I227" s="55"/>
      <c r="P227" s="37" t="str">
        <f t="shared" ca="1" si="21"/>
        <v/>
      </c>
      <c r="Q227" s="37" t="str">
        <f t="shared" ca="1" si="22"/>
        <v/>
      </c>
      <c r="Z227" s="37"/>
      <c r="AB227" s="37" t="str">
        <f t="shared" si="23"/>
        <v/>
      </c>
    </row>
    <row r="228" spans="1:28" x14ac:dyDescent="0.25">
      <c r="A228" s="102"/>
      <c r="B228" s="33"/>
      <c r="C228" s="25"/>
      <c r="D228" s="26"/>
      <c r="E228" s="33"/>
      <c r="F228" s="25"/>
      <c r="G228" s="25"/>
      <c r="H228" s="117"/>
      <c r="I228" s="55"/>
      <c r="P228" s="37" t="str">
        <f t="shared" ca="1" si="21"/>
        <v/>
      </c>
      <c r="Q228" s="37" t="str">
        <f t="shared" ca="1" si="22"/>
        <v/>
      </c>
      <c r="Z228" s="37"/>
      <c r="AB228" s="37" t="str">
        <f t="shared" si="23"/>
        <v/>
      </c>
    </row>
    <row r="229" spans="1:28" x14ac:dyDescent="0.25">
      <c r="A229" s="102"/>
      <c r="B229" s="33"/>
      <c r="C229" s="25"/>
      <c r="D229" s="26"/>
      <c r="E229" s="33"/>
      <c r="F229" s="25"/>
      <c r="G229" s="25"/>
      <c r="H229" s="117"/>
      <c r="I229" s="55"/>
      <c r="P229" s="37" t="str">
        <f t="shared" ca="1" si="21"/>
        <v/>
      </c>
      <c r="Q229" s="37" t="str">
        <f t="shared" ca="1" si="22"/>
        <v/>
      </c>
      <c r="Z229" s="37"/>
      <c r="AB229" s="37" t="str">
        <f t="shared" si="23"/>
        <v/>
      </c>
    </row>
    <row r="230" spans="1:28" x14ac:dyDescent="0.25">
      <c r="A230" s="102"/>
      <c r="B230" s="33"/>
      <c r="C230" s="25"/>
      <c r="D230" s="26"/>
      <c r="E230" s="33"/>
      <c r="F230" s="25"/>
      <c r="G230" s="25"/>
      <c r="H230" s="117"/>
      <c r="I230" s="55"/>
      <c r="P230" s="37" t="str">
        <f t="shared" ca="1" si="21"/>
        <v/>
      </c>
      <c r="Q230" s="37" t="str">
        <f t="shared" ca="1" si="22"/>
        <v/>
      </c>
      <c r="Z230" s="37"/>
      <c r="AB230" s="37" t="str">
        <f t="shared" si="23"/>
        <v/>
      </c>
    </row>
    <row r="231" spans="1:28" x14ac:dyDescent="0.25">
      <c r="A231" s="102"/>
      <c r="B231" s="33"/>
      <c r="C231" s="25"/>
      <c r="D231" s="26"/>
      <c r="E231" s="33"/>
      <c r="F231" s="25"/>
      <c r="G231" s="25"/>
      <c r="H231" s="117"/>
      <c r="I231" s="55"/>
      <c r="P231" s="37" t="str">
        <f t="shared" ca="1" si="21"/>
        <v/>
      </c>
      <c r="Q231" s="37" t="str">
        <f t="shared" ca="1" si="22"/>
        <v/>
      </c>
      <c r="Z231" s="37"/>
      <c r="AB231" s="37" t="str">
        <f t="shared" si="23"/>
        <v/>
      </c>
    </row>
    <row r="232" spans="1:28" x14ac:dyDescent="0.25">
      <c r="A232" s="102"/>
      <c r="B232" s="33"/>
      <c r="C232" s="25"/>
      <c r="D232" s="26"/>
      <c r="E232" s="33"/>
      <c r="F232" s="25"/>
      <c r="G232" s="25"/>
      <c r="H232" s="117"/>
      <c r="I232" s="55"/>
      <c r="P232" s="37" t="str">
        <f t="shared" ca="1" si="21"/>
        <v/>
      </c>
      <c r="Q232" s="37" t="str">
        <f t="shared" ca="1" si="22"/>
        <v/>
      </c>
      <c r="Z232" s="37"/>
      <c r="AB232" s="37" t="str">
        <f t="shared" si="23"/>
        <v/>
      </c>
    </row>
    <row r="233" spans="1:28" x14ac:dyDescent="0.25">
      <c r="A233" s="102"/>
      <c r="B233" s="33"/>
      <c r="C233" s="25"/>
      <c r="D233" s="26"/>
      <c r="E233" s="33"/>
      <c r="F233" s="25"/>
      <c r="G233" s="25"/>
      <c r="H233" s="117"/>
      <c r="I233" s="55"/>
      <c r="P233" s="37" t="str">
        <f t="shared" ca="1" si="21"/>
        <v/>
      </c>
      <c r="Q233" s="37" t="str">
        <f t="shared" ca="1" si="22"/>
        <v/>
      </c>
      <c r="Z233" s="37"/>
      <c r="AB233" s="37" t="str">
        <f t="shared" si="23"/>
        <v/>
      </c>
    </row>
    <row r="234" spans="1:28" x14ac:dyDescent="0.25">
      <c r="A234" s="102"/>
      <c r="B234" s="33"/>
      <c r="C234" s="25"/>
      <c r="D234" s="26"/>
      <c r="E234" s="33"/>
      <c r="F234" s="25"/>
      <c r="G234" s="25"/>
      <c r="H234" s="117"/>
      <c r="I234" s="55"/>
      <c r="P234" s="37" t="str">
        <f t="shared" ca="1" si="21"/>
        <v/>
      </c>
      <c r="Q234" s="37" t="str">
        <f t="shared" ca="1" si="22"/>
        <v/>
      </c>
      <c r="Z234" s="37"/>
      <c r="AB234" s="37" t="str">
        <f t="shared" si="23"/>
        <v/>
      </c>
    </row>
    <row r="235" spans="1:28" x14ac:dyDescent="0.25">
      <c r="A235" s="102"/>
      <c r="B235" s="33"/>
      <c r="C235" s="25"/>
      <c r="D235" s="26"/>
      <c r="E235" s="33"/>
      <c r="F235" s="25"/>
      <c r="G235" s="25"/>
      <c r="H235" s="117"/>
      <c r="I235" s="55"/>
      <c r="P235" s="37" t="str">
        <f t="shared" ca="1" si="21"/>
        <v/>
      </c>
      <c r="Q235" s="37" t="str">
        <f t="shared" ca="1" si="22"/>
        <v/>
      </c>
      <c r="Z235" s="37"/>
      <c r="AB235" s="37" t="str">
        <f t="shared" si="23"/>
        <v/>
      </c>
    </row>
    <row r="236" spans="1:28" x14ac:dyDescent="0.25">
      <c r="A236" s="102"/>
      <c r="B236" s="33"/>
      <c r="C236" s="25"/>
      <c r="D236" s="26"/>
      <c r="E236" s="33"/>
      <c r="F236" s="25"/>
      <c r="G236" s="25"/>
      <c r="H236" s="117"/>
      <c r="I236" s="55"/>
      <c r="P236" s="37" t="str">
        <f t="shared" ca="1" si="21"/>
        <v/>
      </c>
      <c r="Q236" s="37" t="str">
        <f t="shared" ca="1" si="22"/>
        <v/>
      </c>
      <c r="Z236" s="37"/>
      <c r="AB236" s="37" t="str">
        <f t="shared" si="23"/>
        <v/>
      </c>
    </row>
    <row r="237" spans="1:28" x14ac:dyDescent="0.25">
      <c r="A237" s="102"/>
      <c r="B237" s="33"/>
      <c r="C237" s="25"/>
      <c r="D237" s="26"/>
      <c r="E237" s="33"/>
      <c r="F237" s="25"/>
      <c r="G237" s="25"/>
      <c r="H237" s="117"/>
      <c r="I237" s="55"/>
      <c r="P237" s="37" t="str">
        <f t="shared" ca="1" si="21"/>
        <v/>
      </c>
      <c r="Q237" s="37" t="str">
        <f t="shared" ca="1" si="22"/>
        <v/>
      </c>
      <c r="Z237" s="37"/>
      <c r="AB237" s="37" t="str">
        <f t="shared" si="23"/>
        <v/>
      </c>
    </row>
    <row r="238" spans="1:28" x14ac:dyDescent="0.25">
      <c r="A238" s="102"/>
      <c r="B238" s="33"/>
      <c r="C238" s="25"/>
      <c r="D238" s="26"/>
      <c r="E238" s="33"/>
      <c r="F238" s="25"/>
      <c r="G238" s="25"/>
      <c r="H238" s="117"/>
      <c r="I238" s="55"/>
      <c r="P238" s="37" t="str">
        <f t="shared" ca="1" si="21"/>
        <v/>
      </c>
      <c r="Q238" s="37" t="str">
        <f t="shared" ca="1" si="22"/>
        <v/>
      </c>
      <c r="Z238" s="37"/>
      <c r="AB238" s="37" t="str">
        <f t="shared" si="23"/>
        <v/>
      </c>
    </row>
    <row r="239" spans="1:28" x14ac:dyDescent="0.25">
      <c r="A239" s="102"/>
      <c r="B239" s="33"/>
      <c r="C239" s="25"/>
      <c r="D239" s="26"/>
      <c r="E239" s="33"/>
      <c r="F239" s="25"/>
      <c r="G239" s="25"/>
      <c r="H239" s="117"/>
      <c r="I239" s="55"/>
      <c r="P239" s="37" t="str">
        <f t="shared" ca="1" si="21"/>
        <v/>
      </c>
      <c r="Q239" s="37" t="str">
        <f t="shared" ca="1" si="22"/>
        <v/>
      </c>
      <c r="Z239" s="37"/>
      <c r="AB239" s="37" t="str">
        <f t="shared" si="23"/>
        <v/>
      </c>
    </row>
    <row r="240" spans="1:28" x14ac:dyDescent="0.25">
      <c r="A240" s="102"/>
      <c r="B240" s="33"/>
      <c r="C240" s="25"/>
      <c r="D240" s="26"/>
      <c r="E240" s="33"/>
      <c r="F240" s="25"/>
      <c r="G240" s="25"/>
      <c r="H240" s="117"/>
      <c r="I240" s="55"/>
      <c r="P240" s="37" t="str">
        <f t="shared" ca="1" si="21"/>
        <v/>
      </c>
      <c r="Q240" s="37" t="str">
        <f t="shared" ca="1" si="22"/>
        <v/>
      </c>
      <c r="Z240" s="37"/>
      <c r="AB240" s="37" t="str">
        <f t="shared" si="23"/>
        <v/>
      </c>
    </row>
    <row r="241" spans="1:28" x14ac:dyDescent="0.25">
      <c r="A241" s="102"/>
      <c r="B241" s="33"/>
      <c r="C241" s="25"/>
      <c r="D241" s="26"/>
      <c r="E241" s="33"/>
      <c r="F241" s="25"/>
      <c r="G241" s="25"/>
      <c r="H241" s="117"/>
      <c r="I241" s="55"/>
      <c r="P241" s="37" t="str">
        <f t="shared" ca="1" si="21"/>
        <v/>
      </c>
      <c r="Q241" s="37" t="str">
        <f t="shared" ca="1" si="22"/>
        <v/>
      </c>
      <c r="Z241" s="37"/>
      <c r="AB241" s="37" t="str">
        <f t="shared" si="23"/>
        <v/>
      </c>
    </row>
    <row r="242" spans="1:28" x14ac:dyDescent="0.25">
      <c r="A242" s="102"/>
      <c r="B242" s="33"/>
      <c r="C242" s="25"/>
      <c r="D242" s="26"/>
      <c r="E242" s="33"/>
      <c r="F242" s="25"/>
      <c r="G242" s="25"/>
      <c r="H242" s="117"/>
      <c r="I242" s="55"/>
      <c r="P242" s="37" t="str">
        <f t="shared" ca="1" si="21"/>
        <v/>
      </c>
      <c r="Q242" s="37" t="str">
        <f t="shared" ca="1" si="22"/>
        <v/>
      </c>
      <c r="Z242" s="37"/>
      <c r="AB242" s="37" t="str">
        <f t="shared" si="23"/>
        <v/>
      </c>
    </row>
    <row r="243" spans="1:28" x14ac:dyDescent="0.25">
      <c r="A243" s="102"/>
      <c r="B243" s="33"/>
      <c r="C243" s="25"/>
      <c r="D243" s="26"/>
      <c r="E243" s="33"/>
      <c r="F243" s="25"/>
      <c r="G243" s="25"/>
      <c r="H243" s="117"/>
      <c r="I243" s="55"/>
      <c r="P243" s="37" t="str">
        <f t="shared" ca="1" si="21"/>
        <v/>
      </c>
      <c r="Q243" s="37" t="str">
        <f t="shared" ca="1" si="22"/>
        <v/>
      </c>
      <c r="Z243" s="37"/>
      <c r="AB243" s="37" t="str">
        <f t="shared" si="23"/>
        <v/>
      </c>
    </row>
    <row r="244" spans="1:28" x14ac:dyDescent="0.25">
      <c r="A244" s="102"/>
      <c r="B244" s="33"/>
      <c r="C244" s="25"/>
      <c r="D244" s="26"/>
      <c r="E244" s="33"/>
      <c r="F244" s="25"/>
      <c r="G244" s="25"/>
      <c r="H244" s="117"/>
      <c r="I244" s="55"/>
      <c r="P244" s="37" t="str">
        <f t="shared" ca="1" si="21"/>
        <v/>
      </c>
      <c r="Q244" s="37" t="str">
        <f t="shared" ca="1" si="22"/>
        <v/>
      </c>
      <c r="Z244" s="37"/>
      <c r="AB244" s="37" t="str">
        <f t="shared" si="23"/>
        <v/>
      </c>
    </row>
    <row r="245" spans="1:28" x14ac:dyDescent="0.25">
      <c r="A245" s="102"/>
      <c r="B245" s="33"/>
      <c r="C245" s="25"/>
      <c r="D245" s="26"/>
      <c r="E245" s="33"/>
      <c r="F245" s="25"/>
      <c r="G245" s="25"/>
      <c r="H245" s="117"/>
      <c r="I245" s="55"/>
      <c r="P245" s="37" t="str">
        <f t="shared" ca="1" si="21"/>
        <v/>
      </c>
      <c r="Q245" s="37" t="str">
        <f t="shared" ca="1" si="22"/>
        <v/>
      </c>
      <c r="Z245" s="37"/>
      <c r="AB245" s="37" t="str">
        <f t="shared" si="23"/>
        <v/>
      </c>
    </row>
    <row r="246" spans="1:28" x14ac:dyDescent="0.25">
      <c r="A246" s="102"/>
      <c r="B246" s="33"/>
      <c r="C246" s="25"/>
      <c r="D246" s="26"/>
      <c r="E246" s="33"/>
      <c r="F246" s="25"/>
      <c r="G246" s="25"/>
      <c r="H246" s="117"/>
      <c r="I246" s="55"/>
      <c r="P246" s="37" t="str">
        <f t="shared" ca="1" si="21"/>
        <v/>
      </c>
      <c r="Q246" s="37" t="str">
        <f t="shared" ca="1" si="22"/>
        <v/>
      </c>
      <c r="Z246" s="37"/>
      <c r="AB246" s="37" t="str">
        <f t="shared" si="23"/>
        <v/>
      </c>
    </row>
    <row r="247" spans="1:28" x14ac:dyDescent="0.25">
      <c r="A247" s="102"/>
      <c r="B247" s="33"/>
      <c r="C247" s="25"/>
      <c r="D247" s="26"/>
      <c r="E247" s="33"/>
      <c r="F247" s="25"/>
      <c r="G247" s="25"/>
      <c r="H247" s="117"/>
      <c r="I247" s="55"/>
      <c r="P247" s="37" t="str">
        <f t="shared" ca="1" si="21"/>
        <v/>
      </c>
      <c r="Q247" s="37" t="str">
        <f t="shared" ca="1" si="22"/>
        <v/>
      </c>
      <c r="Z247" s="37"/>
      <c r="AB247" s="37" t="str">
        <f t="shared" si="23"/>
        <v/>
      </c>
    </row>
    <row r="248" spans="1:28" x14ac:dyDescent="0.25">
      <c r="A248" s="102"/>
      <c r="B248" s="33"/>
      <c r="C248" s="25"/>
      <c r="D248" s="26"/>
      <c r="E248" s="33"/>
      <c r="F248" s="25"/>
      <c r="G248" s="25"/>
      <c r="H248" s="117"/>
      <c r="I248" s="55"/>
      <c r="P248" s="37" t="str">
        <f t="shared" ca="1" si="21"/>
        <v/>
      </c>
      <c r="Q248" s="37" t="str">
        <f t="shared" ca="1" si="22"/>
        <v/>
      </c>
      <c r="Z248" s="37"/>
      <c r="AB248" s="37" t="str">
        <f t="shared" si="23"/>
        <v/>
      </c>
    </row>
    <row r="249" spans="1:28" x14ac:dyDescent="0.25">
      <c r="A249" s="102"/>
      <c r="B249" s="33"/>
      <c r="C249" s="25"/>
      <c r="D249" s="26"/>
      <c r="E249" s="33"/>
      <c r="F249" s="25"/>
      <c r="G249" s="25"/>
      <c r="H249" s="117"/>
      <c r="I249" s="55"/>
      <c r="P249" s="37" t="str">
        <f t="shared" ca="1" si="21"/>
        <v/>
      </c>
      <c r="Q249" s="37" t="str">
        <f t="shared" ca="1" si="22"/>
        <v/>
      </c>
      <c r="Z249" s="37"/>
      <c r="AB249" s="37" t="str">
        <f t="shared" si="23"/>
        <v/>
      </c>
    </row>
    <row r="250" spans="1:28" x14ac:dyDescent="0.25">
      <c r="A250" s="102"/>
      <c r="B250" s="33"/>
      <c r="C250" s="25"/>
      <c r="D250" s="26"/>
      <c r="E250" s="33"/>
      <c r="F250" s="25"/>
      <c r="G250" s="25"/>
      <c r="H250" s="117"/>
      <c r="I250" s="55"/>
      <c r="P250" s="37" t="str">
        <f t="shared" ca="1" si="21"/>
        <v/>
      </c>
      <c r="Q250" s="37" t="str">
        <f t="shared" ca="1" si="22"/>
        <v/>
      </c>
      <c r="Z250" s="37"/>
      <c r="AB250" s="37" t="str">
        <f t="shared" si="23"/>
        <v/>
      </c>
    </row>
    <row r="251" spans="1:28" x14ac:dyDescent="0.25">
      <c r="A251" s="102"/>
      <c r="B251" s="33"/>
      <c r="C251" s="25"/>
      <c r="D251" s="26"/>
      <c r="E251" s="33"/>
      <c r="F251" s="25"/>
      <c r="G251" s="25"/>
      <c r="H251" s="117"/>
      <c r="I251" s="55"/>
      <c r="P251" s="37" t="str">
        <f t="shared" ca="1" si="21"/>
        <v/>
      </c>
      <c r="Q251" s="37" t="str">
        <f t="shared" ca="1" si="22"/>
        <v/>
      </c>
      <c r="Z251" s="37"/>
      <c r="AB251" s="37" t="str">
        <f t="shared" si="23"/>
        <v/>
      </c>
    </row>
    <row r="252" spans="1:28" x14ac:dyDescent="0.25">
      <c r="A252" s="102"/>
      <c r="B252" s="33"/>
      <c r="C252" s="25"/>
      <c r="D252" s="26"/>
      <c r="E252" s="33"/>
      <c r="F252" s="25"/>
      <c r="G252" s="25"/>
      <c r="H252" s="117"/>
      <c r="I252" s="55"/>
      <c r="P252" s="37" t="str">
        <f t="shared" ca="1" si="21"/>
        <v/>
      </c>
      <c r="Q252" s="37" t="str">
        <f t="shared" ca="1" si="22"/>
        <v/>
      </c>
      <c r="Z252" s="37"/>
      <c r="AB252" s="37" t="str">
        <f t="shared" si="23"/>
        <v/>
      </c>
    </row>
    <row r="253" spans="1:28" x14ac:dyDescent="0.25">
      <c r="A253" s="102"/>
      <c r="B253" s="33"/>
      <c r="C253" s="25"/>
      <c r="D253" s="26"/>
      <c r="E253" s="33"/>
      <c r="F253" s="25"/>
      <c r="G253" s="25"/>
      <c r="H253" s="117"/>
      <c r="I253" s="55"/>
      <c r="P253" s="37" t="str">
        <f t="shared" ca="1" si="21"/>
        <v/>
      </c>
      <c r="Q253" s="37" t="str">
        <f t="shared" ca="1" si="22"/>
        <v/>
      </c>
      <c r="Z253" s="37"/>
      <c r="AB253" s="37" t="str">
        <f t="shared" si="23"/>
        <v/>
      </c>
    </row>
    <row r="254" spans="1:28" x14ac:dyDescent="0.25">
      <c r="A254" s="102"/>
      <c r="B254" s="33"/>
      <c r="C254" s="25"/>
      <c r="D254" s="26"/>
      <c r="E254" s="33"/>
      <c r="F254" s="25"/>
      <c r="G254" s="25"/>
      <c r="H254" s="117"/>
      <c r="I254" s="55"/>
      <c r="P254" s="37" t="str">
        <f t="shared" ca="1" si="21"/>
        <v/>
      </c>
      <c r="Q254" s="37" t="str">
        <f t="shared" ca="1" si="22"/>
        <v/>
      </c>
      <c r="Z254" s="37"/>
      <c r="AB254" s="37" t="str">
        <f t="shared" si="23"/>
        <v/>
      </c>
    </row>
    <row r="255" spans="1:28" x14ac:dyDescent="0.25">
      <c r="A255" s="102"/>
      <c r="B255" s="33"/>
      <c r="C255" s="25"/>
      <c r="D255" s="26"/>
      <c r="E255" s="33"/>
      <c r="F255" s="25"/>
      <c r="G255" s="25"/>
      <c r="H255" s="117"/>
      <c r="I255" s="55"/>
      <c r="P255" s="37" t="str">
        <f t="shared" ca="1" si="21"/>
        <v/>
      </c>
      <c r="Q255" s="37" t="str">
        <f t="shared" ca="1" si="22"/>
        <v/>
      </c>
      <c r="Z255" s="37"/>
      <c r="AB255" s="37" t="str">
        <f t="shared" si="23"/>
        <v/>
      </c>
    </row>
    <row r="256" spans="1:28" x14ac:dyDescent="0.25">
      <c r="A256" s="102"/>
      <c r="B256" s="33"/>
      <c r="C256" s="25"/>
      <c r="D256" s="26"/>
      <c r="E256" s="33"/>
      <c r="F256" s="25"/>
      <c r="G256" s="25"/>
      <c r="H256" s="117"/>
      <c r="I256" s="55"/>
      <c r="P256" s="37" t="str">
        <f t="shared" ca="1" si="21"/>
        <v/>
      </c>
      <c r="Q256" s="37" t="str">
        <f t="shared" ca="1" si="22"/>
        <v/>
      </c>
      <c r="Z256" s="37"/>
      <c r="AB256" s="37" t="str">
        <f t="shared" si="23"/>
        <v/>
      </c>
    </row>
    <row r="257" spans="1:28" x14ac:dyDescent="0.25">
      <c r="A257" s="102"/>
      <c r="B257" s="33"/>
      <c r="C257" s="25"/>
      <c r="D257" s="26"/>
      <c r="E257" s="33"/>
      <c r="F257" s="25"/>
      <c r="G257" s="25"/>
      <c r="H257" s="117"/>
      <c r="I257" s="55"/>
      <c r="P257" s="37" t="str">
        <f t="shared" ca="1" si="21"/>
        <v/>
      </c>
      <c r="Q257" s="37" t="str">
        <f t="shared" ca="1" si="22"/>
        <v/>
      </c>
      <c r="Z257" s="37"/>
      <c r="AB257" s="37" t="str">
        <f t="shared" si="23"/>
        <v/>
      </c>
    </row>
    <row r="258" spans="1:28" x14ac:dyDescent="0.25">
      <c r="A258" s="102"/>
      <c r="B258" s="33"/>
      <c r="C258" s="25"/>
      <c r="D258" s="26"/>
      <c r="E258" s="33"/>
      <c r="F258" s="25"/>
      <c r="G258" s="25"/>
      <c r="H258" s="117"/>
      <c r="I258" s="55"/>
      <c r="P258" s="37" t="str">
        <f t="shared" ca="1" si="21"/>
        <v/>
      </c>
      <c r="Q258" s="37" t="str">
        <f t="shared" ca="1" si="22"/>
        <v/>
      </c>
      <c r="Z258" s="37"/>
      <c r="AB258" s="37" t="str">
        <f t="shared" si="23"/>
        <v/>
      </c>
    </row>
    <row r="259" spans="1:28" x14ac:dyDescent="0.25">
      <c r="A259" s="102"/>
      <c r="B259" s="33"/>
      <c r="C259" s="25"/>
      <c r="D259" s="26"/>
      <c r="E259" s="33"/>
      <c r="F259" s="25"/>
      <c r="G259" s="25"/>
      <c r="H259" s="117"/>
      <c r="I259" s="55"/>
      <c r="P259" s="37" t="str">
        <f t="shared" ca="1" si="21"/>
        <v/>
      </c>
      <c r="Q259" s="37" t="str">
        <f t="shared" ca="1" si="22"/>
        <v/>
      </c>
      <c r="Z259" s="37"/>
      <c r="AB259" s="37" t="str">
        <f t="shared" si="23"/>
        <v/>
      </c>
    </row>
    <row r="260" spans="1:28" x14ac:dyDescent="0.25">
      <c r="A260" s="102"/>
      <c r="B260" s="33"/>
      <c r="C260" s="25"/>
      <c r="D260" s="26"/>
      <c r="E260" s="33"/>
      <c r="F260" s="25"/>
      <c r="G260" s="25"/>
      <c r="H260" s="117"/>
      <c r="I260" s="55"/>
      <c r="P260" s="37" t="str">
        <f t="shared" ref="P260:P323" ca="1" si="24">IF(COUNTIF(N:N,L260),L260,"")</f>
        <v/>
      </c>
      <c r="Q260" s="37" t="str">
        <f t="shared" ref="Q260:Q323" ca="1" si="25">IF(P260&gt;$A$14,P260,"")</f>
        <v/>
      </c>
      <c r="Z260" s="37"/>
      <c r="AB260" s="37" t="str">
        <f t="shared" ref="AB260:AB323" si="26">IF(COUNTIF(Z:Z,X260),X260,"")</f>
        <v/>
      </c>
    </row>
    <row r="261" spans="1:28" x14ac:dyDescent="0.25">
      <c r="A261" s="102"/>
      <c r="B261" s="33"/>
      <c r="C261" s="25"/>
      <c r="D261" s="26"/>
      <c r="E261" s="33"/>
      <c r="F261" s="25"/>
      <c r="G261" s="25"/>
      <c r="H261" s="117"/>
      <c r="I261" s="55"/>
      <c r="P261" s="37" t="str">
        <f t="shared" ca="1" si="24"/>
        <v/>
      </c>
      <c r="Q261" s="37" t="str">
        <f t="shared" ca="1" si="25"/>
        <v/>
      </c>
      <c r="Z261" s="37"/>
      <c r="AB261" s="37" t="str">
        <f t="shared" si="26"/>
        <v/>
      </c>
    </row>
    <row r="262" spans="1:28" x14ac:dyDescent="0.25">
      <c r="A262" s="102"/>
      <c r="B262" s="33"/>
      <c r="C262" s="25"/>
      <c r="D262" s="26"/>
      <c r="E262" s="33"/>
      <c r="F262" s="25"/>
      <c r="G262" s="25"/>
      <c r="H262" s="117"/>
      <c r="I262" s="55"/>
      <c r="P262" s="37" t="str">
        <f t="shared" ca="1" si="24"/>
        <v/>
      </c>
      <c r="Q262" s="37" t="str">
        <f t="shared" ca="1" si="25"/>
        <v/>
      </c>
      <c r="Z262" s="37"/>
      <c r="AB262" s="37" t="str">
        <f t="shared" si="26"/>
        <v/>
      </c>
    </row>
    <row r="263" spans="1:28" x14ac:dyDescent="0.25">
      <c r="A263" s="102"/>
      <c r="B263" s="33"/>
      <c r="C263" s="25"/>
      <c r="D263" s="26"/>
      <c r="E263" s="33"/>
      <c r="F263" s="25"/>
      <c r="G263" s="25"/>
      <c r="H263" s="117"/>
      <c r="I263" s="55"/>
      <c r="P263" s="37" t="str">
        <f t="shared" ca="1" si="24"/>
        <v/>
      </c>
      <c r="Q263" s="37" t="str">
        <f t="shared" ca="1" si="25"/>
        <v/>
      </c>
      <c r="Z263" s="37"/>
      <c r="AB263" s="37" t="str">
        <f t="shared" si="26"/>
        <v/>
      </c>
    </row>
    <row r="264" spans="1:28" x14ac:dyDescent="0.25">
      <c r="A264" s="102"/>
      <c r="B264" s="33"/>
      <c r="C264" s="25"/>
      <c r="D264" s="26"/>
      <c r="E264" s="33"/>
      <c r="F264" s="25"/>
      <c r="G264" s="25"/>
      <c r="H264" s="117"/>
      <c r="I264" s="55"/>
      <c r="P264" s="37" t="str">
        <f t="shared" ca="1" si="24"/>
        <v/>
      </c>
      <c r="Q264" s="37" t="str">
        <f t="shared" ca="1" si="25"/>
        <v/>
      </c>
      <c r="Z264" s="37"/>
      <c r="AB264" s="37" t="str">
        <f t="shared" si="26"/>
        <v/>
      </c>
    </row>
    <row r="265" spans="1:28" x14ac:dyDescent="0.25">
      <c r="A265" s="102"/>
      <c r="B265" s="33"/>
      <c r="C265" s="25"/>
      <c r="D265" s="26"/>
      <c r="E265" s="33"/>
      <c r="F265" s="25"/>
      <c r="G265" s="25"/>
      <c r="H265" s="117"/>
      <c r="I265" s="55"/>
      <c r="P265" s="37" t="str">
        <f t="shared" ca="1" si="24"/>
        <v/>
      </c>
      <c r="Q265" s="37" t="str">
        <f t="shared" ca="1" si="25"/>
        <v/>
      </c>
      <c r="Z265" s="37"/>
      <c r="AB265" s="37" t="str">
        <f t="shared" si="26"/>
        <v/>
      </c>
    </row>
    <row r="266" spans="1:28" x14ac:dyDescent="0.25">
      <c r="A266" s="102"/>
      <c r="B266" s="33"/>
      <c r="C266" s="25"/>
      <c r="D266" s="26"/>
      <c r="E266" s="33"/>
      <c r="F266" s="25"/>
      <c r="G266" s="25"/>
      <c r="H266" s="117"/>
      <c r="I266" s="55"/>
      <c r="P266" s="37" t="str">
        <f t="shared" ca="1" si="24"/>
        <v/>
      </c>
      <c r="Q266" s="37" t="str">
        <f t="shared" ca="1" si="25"/>
        <v/>
      </c>
      <c r="Z266" s="37"/>
      <c r="AB266" s="37" t="str">
        <f t="shared" si="26"/>
        <v/>
      </c>
    </row>
    <row r="267" spans="1:28" x14ac:dyDescent="0.25">
      <c r="A267" s="102"/>
      <c r="B267" s="33"/>
      <c r="C267" s="25"/>
      <c r="D267" s="26"/>
      <c r="E267" s="33"/>
      <c r="F267" s="25"/>
      <c r="G267" s="25"/>
      <c r="H267" s="117"/>
      <c r="I267" s="55"/>
      <c r="P267" s="37" t="str">
        <f t="shared" ca="1" si="24"/>
        <v/>
      </c>
      <c r="Q267" s="37" t="str">
        <f t="shared" ca="1" si="25"/>
        <v/>
      </c>
      <c r="Z267" s="37"/>
      <c r="AB267" s="37" t="str">
        <f t="shared" si="26"/>
        <v/>
      </c>
    </row>
    <row r="268" spans="1:28" x14ac:dyDescent="0.25">
      <c r="A268" s="102"/>
      <c r="B268" s="33"/>
      <c r="C268" s="25"/>
      <c r="D268" s="26"/>
      <c r="E268" s="33"/>
      <c r="F268" s="25"/>
      <c r="G268" s="25"/>
      <c r="H268" s="117"/>
      <c r="I268" s="55"/>
      <c r="P268" s="37" t="str">
        <f t="shared" ca="1" si="24"/>
        <v/>
      </c>
      <c r="Q268" s="37" t="str">
        <f t="shared" ca="1" si="25"/>
        <v/>
      </c>
      <c r="Z268" s="37"/>
      <c r="AB268" s="37" t="str">
        <f t="shared" si="26"/>
        <v/>
      </c>
    </row>
    <row r="269" spans="1:28" x14ac:dyDescent="0.25">
      <c r="A269" s="102"/>
      <c r="B269" s="33"/>
      <c r="C269" s="25"/>
      <c r="D269" s="26"/>
      <c r="E269" s="33"/>
      <c r="F269" s="25"/>
      <c r="G269" s="25"/>
      <c r="H269" s="117"/>
      <c r="I269" s="55"/>
      <c r="P269" s="37" t="str">
        <f t="shared" ca="1" si="24"/>
        <v/>
      </c>
      <c r="Q269" s="37" t="str">
        <f t="shared" ca="1" si="25"/>
        <v/>
      </c>
      <c r="Z269" s="37"/>
      <c r="AB269" s="37" t="str">
        <f t="shared" si="26"/>
        <v/>
      </c>
    </row>
    <row r="270" spans="1:28" x14ac:dyDescent="0.25">
      <c r="A270" s="102"/>
      <c r="B270" s="33"/>
      <c r="C270" s="25"/>
      <c r="D270" s="26"/>
      <c r="E270" s="33"/>
      <c r="F270" s="25"/>
      <c r="G270" s="25"/>
      <c r="H270" s="117"/>
      <c r="I270" s="55"/>
      <c r="P270" s="37" t="str">
        <f t="shared" ca="1" si="24"/>
        <v/>
      </c>
      <c r="Q270" s="37" t="str">
        <f t="shared" ca="1" si="25"/>
        <v/>
      </c>
      <c r="AB270" s="37" t="str">
        <f t="shared" si="26"/>
        <v/>
      </c>
    </row>
    <row r="271" spans="1:28" x14ac:dyDescent="0.25">
      <c r="A271" s="102"/>
      <c r="B271" s="33"/>
      <c r="C271" s="25"/>
      <c r="D271" s="26"/>
      <c r="E271" s="33"/>
      <c r="F271" s="25"/>
      <c r="G271" s="25"/>
      <c r="H271" s="117"/>
      <c r="I271" s="55"/>
      <c r="P271" s="37" t="str">
        <f t="shared" ca="1" si="24"/>
        <v/>
      </c>
      <c r="Q271" s="37" t="str">
        <f t="shared" ca="1" si="25"/>
        <v/>
      </c>
      <c r="AB271" s="37" t="str">
        <f t="shared" si="26"/>
        <v/>
      </c>
    </row>
    <row r="272" spans="1:28" x14ac:dyDescent="0.25">
      <c r="A272" s="102"/>
      <c r="B272" s="33"/>
      <c r="C272" s="25"/>
      <c r="D272" s="26"/>
      <c r="E272" s="33"/>
      <c r="F272" s="25"/>
      <c r="G272" s="25"/>
      <c r="H272" s="117"/>
      <c r="I272" s="55"/>
      <c r="P272" s="37" t="str">
        <f t="shared" ca="1" si="24"/>
        <v/>
      </c>
      <c r="Q272" s="37" t="str">
        <f t="shared" ca="1" si="25"/>
        <v/>
      </c>
      <c r="AB272" s="37" t="str">
        <f t="shared" si="26"/>
        <v/>
      </c>
    </row>
    <row r="273" spans="1:28" x14ac:dyDescent="0.25">
      <c r="A273" s="102"/>
      <c r="B273" s="33"/>
      <c r="C273" s="25"/>
      <c r="D273" s="26"/>
      <c r="E273" s="33"/>
      <c r="F273" s="25"/>
      <c r="G273" s="25"/>
      <c r="H273" s="117"/>
      <c r="I273" s="55"/>
      <c r="P273" s="37" t="str">
        <f t="shared" ca="1" si="24"/>
        <v/>
      </c>
      <c r="Q273" s="37" t="str">
        <f t="shared" ca="1" si="25"/>
        <v/>
      </c>
      <c r="AB273" s="37" t="str">
        <f t="shared" si="26"/>
        <v/>
      </c>
    </row>
    <row r="274" spans="1:28" x14ac:dyDescent="0.25">
      <c r="A274" s="102"/>
      <c r="B274" s="33"/>
      <c r="C274" s="25"/>
      <c r="D274" s="26"/>
      <c r="E274" s="33"/>
      <c r="F274" s="25"/>
      <c r="G274" s="25"/>
      <c r="H274" s="117"/>
      <c r="I274" s="55"/>
      <c r="P274" s="37" t="str">
        <f t="shared" ca="1" si="24"/>
        <v/>
      </c>
      <c r="Q274" s="37" t="str">
        <f t="shared" ca="1" si="25"/>
        <v/>
      </c>
      <c r="AB274" s="37" t="str">
        <f t="shared" si="26"/>
        <v/>
      </c>
    </row>
    <row r="275" spans="1:28" x14ac:dyDescent="0.25">
      <c r="A275" s="102"/>
      <c r="B275" s="33"/>
      <c r="C275" s="25"/>
      <c r="D275" s="26"/>
      <c r="E275" s="33"/>
      <c r="F275" s="25"/>
      <c r="G275" s="25"/>
      <c r="H275" s="117"/>
      <c r="I275" s="55"/>
      <c r="P275" s="37" t="str">
        <f t="shared" ca="1" si="24"/>
        <v/>
      </c>
      <c r="Q275" s="37" t="str">
        <f t="shared" ca="1" si="25"/>
        <v/>
      </c>
      <c r="AB275" s="37" t="str">
        <f t="shared" si="26"/>
        <v/>
      </c>
    </row>
    <row r="276" spans="1:28" x14ac:dyDescent="0.25">
      <c r="A276" s="102"/>
      <c r="B276" s="33"/>
      <c r="C276" s="25"/>
      <c r="D276" s="26"/>
      <c r="E276" s="33"/>
      <c r="F276" s="25"/>
      <c r="G276" s="25"/>
      <c r="H276" s="117"/>
      <c r="I276" s="55"/>
      <c r="P276" s="37" t="str">
        <f t="shared" ca="1" si="24"/>
        <v/>
      </c>
      <c r="Q276" s="37" t="str">
        <f t="shared" ca="1" si="25"/>
        <v/>
      </c>
      <c r="AB276" s="37" t="str">
        <f t="shared" si="26"/>
        <v/>
      </c>
    </row>
    <row r="277" spans="1:28" x14ac:dyDescent="0.25">
      <c r="A277" s="102"/>
      <c r="B277" s="33"/>
      <c r="C277" s="25"/>
      <c r="D277" s="26"/>
      <c r="E277" s="33"/>
      <c r="F277" s="25"/>
      <c r="G277" s="25"/>
      <c r="H277" s="117"/>
      <c r="I277" s="55"/>
      <c r="P277" s="37" t="str">
        <f t="shared" ca="1" si="24"/>
        <v/>
      </c>
      <c r="Q277" s="37" t="str">
        <f t="shared" ca="1" si="25"/>
        <v/>
      </c>
      <c r="AB277" s="37" t="str">
        <f t="shared" si="26"/>
        <v/>
      </c>
    </row>
    <row r="278" spans="1:28" x14ac:dyDescent="0.25">
      <c r="A278" s="102"/>
      <c r="B278" s="33"/>
      <c r="C278" s="25"/>
      <c r="D278" s="26"/>
      <c r="E278" s="33"/>
      <c r="F278" s="25"/>
      <c r="G278" s="25"/>
      <c r="H278" s="117"/>
      <c r="I278" s="55"/>
      <c r="P278" s="37" t="str">
        <f t="shared" ca="1" si="24"/>
        <v/>
      </c>
      <c r="Q278" s="37" t="str">
        <f t="shared" ca="1" si="25"/>
        <v/>
      </c>
      <c r="AB278" s="37" t="str">
        <f t="shared" si="26"/>
        <v/>
      </c>
    </row>
    <row r="279" spans="1:28" x14ac:dyDescent="0.25">
      <c r="A279" s="102"/>
      <c r="B279" s="33"/>
      <c r="C279" s="25"/>
      <c r="D279" s="26"/>
      <c r="E279" s="33"/>
      <c r="F279" s="25"/>
      <c r="G279" s="25"/>
      <c r="H279" s="117"/>
      <c r="I279" s="55"/>
      <c r="P279" s="37" t="str">
        <f t="shared" ca="1" si="24"/>
        <v/>
      </c>
      <c r="Q279" s="37" t="str">
        <f t="shared" ca="1" si="25"/>
        <v/>
      </c>
      <c r="AB279" s="37" t="str">
        <f t="shared" si="26"/>
        <v/>
      </c>
    </row>
    <row r="280" spans="1:28" x14ac:dyDescent="0.25">
      <c r="A280" s="102"/>
      <c r="B280" s="33"/>
      <c r="C280" s="25"/>
      <c r="D280" s="26"/>
      <c r="E280" s="33"/>
      <c r="F280" s="25"/>
      <c r="G280" s="25"/>
      <c r="H280" s="117"/>
      <c r="I280" s="55"/>
      <c r="P280" s="37" t="str">
        <f t="shared" ca="1" si="24"/>
        <v/>
      </c>
      <c r="Q280" s="37" t="str">
        <f t="shared" ca="1" si="25"/>
        <v/>
      </c>
      <c r="AB280" s="37" t="str">
        <f t="shared" si="26"/>
        <v/>
      </c>
    </row>
    <row r="281" spans="1:28" x14ac:dyDescent="0.25">
      <c r="A281" s="102"/>
      <c r="B281" s="33"/>
      <c r="C281" s="25"/>
      <c r="D281" s="26"/>
      <c r="E281" s="33"/>
      <c r="F281" s="25"/>
      <c r="G281" s="25"/>
      <c r="H281" s="117"/>
      <c r="I281" s="55"/>
      <c r="P281" s="37" t="str">
        <f t="shared" ca="1" si="24"/>
        <v/>
      </c>
      <c r="Q281" s="37" t="str">
        <f t="shared" ca="1" si="25"/>
        <v/>
      </c>
      <c r="AB281" s="37" t="str">
        <f t="shared" si="26"/>
        <v/>
      </c>
    </row>
    <row r="282" spans="1:28" x14ac:dyDescent="0.25">
      <c r="A282" s="102"/>
      <c r="B282" s="33"/>
      <c r="C282" s="25"/>
      <c r="D282" s="26"/>
      <c r="E282" s="33"/>
      <c r="F282" s="25"/>
      <c r="G282" s="25"/>
      <c r="H282" s="117"/>
      <c r="I282" s="55"/>
      <c r="P282" s="37" t="str">
        <f t="shared" ca="1" si="24"/>
        <v/>
      </c>
      <c r="Q282" s="37" t="str">
        <f t="shared" ca="1" si="25"/>
        <v/>
      </c>
      <c r="AB282" s="37" t="str">
        <f t="shared" si="26"/>
        <v/>
      </c>
    </row>
    <row r="283" spans="1:28" x14ac:dyDescent="0.25">
      <c r="A283" s="102"/>
      <c r="B283" s="33"/>
      <c r="C283" s="25"/>
      <c r="D283" s="26"/>
      <c r="E283" s="33"/>
      <c r="F283" s="25"/>
      <c r="G283" s="25"/>
      <c r="H283" s="117"/>
      <c r="I283" s="55"/>
      <c r="P283" s="37" t="str">
        <f t="shared" ca="1" si="24"/>
        <v/>
      </c>
      <c r="Q283" s="37" t="str">
        <f t="shared" ca="1" si="25"/>
        <v/>
      </c>
      <c r="AB283" s="37" t="str">
        <f t="shared" si="26"/>
        <v/>
      </c>
    </row>
    <row r="284" spans="1:28" x14ac:dyDescent="0.25">
      <c r="A284" s="102"/>
      <c r="B284" s="33"/>
      <c r="C284" s="25"/>
      <c r="D284" s="26"/>
      <c r="E284" s="33"/>
      <c r="F284" s="25"/>
      <c r="G284" s="25"/>
      <c r="H284" s="117"/>
      <c r="I284" s="55"/>
      <c r="P284" s="37" t="str">
        <f t="shared" ca="1" si="24"/>
        <v/>
      </c>
      <c r="Q284" s="37" t="str">
        <f t="shared" ca="1" si="25"/>
        <v/>
      </c>
      <c r="AB284" s="37" t="str">
        <f t="shared" si="26"/>
        <v/>
      </c>
    </row>
    <row r="285" spans="1:28" x14ac:dyDescent="0.25">
      <c r="A285" s="102"/>
      <c r="B285" s="33"/>
      <c r="C285" s="25"/>
      <c r="D285" s="26"/>
      <c r="E285" s="33"/>
      <c r="F285" s="25"/>
      <c r="G285" s="25"/>
      <c r="H285" s="117"/>
      <c r="I285" s="55"/>
      <c r="P285" s="37" t="str">
        <f t="shared" ca="1" si="24"/>
        <v/>
      </c>
      <c r="Q285" s="37" t="str">
        <f t="shared" ca="1" si="25"/>
        <v/>
      </c>
      <c r="AB285" s="37" t="str">
        <f t="shared" si="26"/>
        <v/>
      </c>
    </row>
    <row r="286" spans="1:28" x14ac:dyDescent="0.25">
      <c r="A286" s="102"/>
      <c r="B286" s="33"/>
      <c r="C286" s="25"/>
      <c r="D286" s="26"/>
      <c r="E286" s="33"/>
      <c r="F286" s="25"/>
      <c r="G286" s="25"/>
      <c r="H286" s="117"/>
      <c r="I286" s="55"/>
      <c r="P286" s="37" t="str">
        <f t="shared" ca="1" si="24"/>
        <v/>
      </c>
      <c r="Q286" s="37" t="str">
        <f t="shared" ca="1" si="25"/>
        <v/>
      </c>
      <c r="AB286" s="37" t="str">
        <f t="shared" si="26"/>
        <v/>
      </c>
    </row>
    <row r="287" spans="1:28" x14ac:dyDescent="0.25">
      <c r="A287" s="102"/>
      <c r="B287" s="33"/>
      <c r="C287" s="25"/>
      <c r="D287" s="26"/>
      <c r="E287" s="33"/>
      <c r="F287" s="25"/>
      <c r="G287" s="25"/>
      <c r="H287" s="117"/>
      <c r="I287" s="55"/>
      <c r="P287" s="37" t="str">
        <f t="shared" ca="1" si="24"/>
        <v/>
      </c>
      <c r="Q287" s="37" t="str">
        <f t="shared" ca="1" si="25"/>
        <v/>
      </c>
      <c r="AB287" s="37" t="str">
        <f t="shared" si="26"/>
        <v/>
      </c>
    </row>
    <row r="288" spans="1:28" x14ac:dyDescent="0.25">
      <c r="A288" s="102"/>
      <c r="B288" s="33"/>
      <c r="C288" s="25"/>
      <c r="D288" s="26"/>
      <c r="E288" s="33"/>
      <c r="F288" s="25"/>
      <c r="G288" s="25"/>
      <c r="H288" s="117"/>
      <c r="I288" s="55"/>
      <c r="P288" s="37" t="str">
        <f t="shared" ca="1" si="24"/>
        <v/>
      </c>
      <c r="Q288" s="37" t="str">
        <f t="shared" ca="1" si="25"/>
        <v/>
      </c>
      <c r="AB288" s="37" t="str">
        <f t="shared" si="26"/>
        <v/>
      </c>
    </row>
    <row r="289" spans="1:28" x14ac:dyDescent="0.25">
      <c r="A289" s="102"/>
      <c r="B289" s="33"/>
      <c r="C289" s="25"/>
      <c r="D289" s="26"/>
      <c r="E289" s="33"/>
      <c r="F289" s="25"/>
      <c r="G289" s="25"/>
      <c r="H289" s="117"/>
      <c r="I289" s="55"/>
      <c r="P289" s="37" t="str">
        <f t="shared" ca="1" si="24"/>
        <v/>
      </c>
      <c r="Q289" s="37" t="str">
        <f t="shared" ca="1" si="25"/>
        <v/>
      </c>
      <c r="AB289" s="37" t="str">
        <f t="shared" si="26"/>
        <v/>
      </c>
    </row>
    <row r="290" spans="1:28" x14ac:dyDescent="0.25">
      <c r="A290" s="102"/>
      <c r="B290" s="33"/>
      <c r="C290" s="25"/>
      <c r="D290" s="26"/>
      <c r="E290" s="33"/>
      <c r="F290" s="25"/>
      <c r="G290" s="25"/>
      <c r="H290" s="117"/>
      <c r="I290" s="55"/>
      <c r="P290" s="37" t="str">
        <f t="shared" ca="1" si="24"/>
        <v/>
      </c>
      <c r="Q290" s="37" t="str">
        <f t="shared" ca="1" si="25"/>
        <v/>
      </c>
      <c r="AB290" s="37" t="str">
        <f t="shared" si="26"/>
        <v/>
      </c>
    </row>
    <row r="291" spans="1:28" x14ac:dyDescent="0.25">
      <c r="A291" s="102"/>
      <c r="B291" s="33"/>
      <c r="C291" s="25"/>
      <c r="D291" s="26"/>
      <c r="E291" s="33"/>
      <c r="F291" s="25"/>
      <c r="G291" s="25"/>
      <c r="H291" s="117"/>
      <c r="I291" s="55"/>
      <c r="P291" s="37" t="str">
        <f t="shared" ca="1" si="24"/>
        <v/>
      </c>
      <c r="Q291" s="37" t="str">
        <f t="shared" ca="1" si="25"/>
        <v/>
      </c>
      <c r="AB291" s="37" t="str">
        <f t="shared" si="26"/>
        <v/>
      </c>
    </row>
    <row r="292" spans="1:28" x14ac:dyDescent="0.25">
      <c r="A292" s="102"/>
      <c r="B292" s="33"/>
      <c r="C292" s="25"/>
      <c r="D292" s="26"/>
      <c r="E292" s="33"/>
      <c r="F292" s="25"/>
      <c r="G292" s="25"/>
      <c r="H292" s="117"/>
      <c r="I292" s="55"/>
      <c r="P292" s="37" t="str">
        <f t="shared" ca="1" si="24"/>
        <v/>
      </c>
      <c r="Q292" s="37" t="str">
        <f t="shared" ca="1" si="25"/>
        <v/>
      </c>
      <c r="AB292" s="37" t="str">
        <f t="shared" si="26"/>
        <v/>
      </c>
    </row>
    <row r="293" spans="1:28" x14ac:dyDescent="0.25">
      <c r="A293" s="102"/>
      <c r="B293" s="33"/>
      <c r="C293" s="25"/>
      <c r="D293" s="26"/>
      <c r="E293" s="33"/>
      <c r="F293" s="25"/>
      <c r="G293" s="25"/>
      <c r="H293" s="117"/>
      <c r="I293" s="55"/>
      <c r="P293" s="37" t="str">
        <f t="shared" ca="1" si="24"/>
        <v/>
      </c>
      <c r="Q293" s="37" t="str">
        <f t="shared" ca="1" si="25"/>
        <v/>
      </c>
      <c r="AB293" s="37" t="str">
        <f t="shared" si="26"/>
        <v/>
      </c>
    </row>
    <row r="294" spans="1:28" x14ac:dyDescent="0.25">
      <c r="A294" s="102"/>
      <c r="B294" s="33"/>
      <c r="C294" s="25"/>
      <c r="D294" s="26"/>
      <c r="E294" s="33"/>
      <c r="F294" s="25"/>
      <c r="G294" s="25"/>
      <c r="H294" s="117"/>
      <c r="I294" s="55"/>
      <c r="P294" s="37" t="str">
        <f t="shared" ca="1" si="24"/>
        <v/>
      </c>
      <c r="Q294" s="37" t="str">
        <f t="shared" ca="1" si="25"/>
        <v/>
      </c>
      <c r="AB294" s="37" t="str">
        <f t="shared" si="26"/>
        <v/>
      </c>
    </row>
    <row r="295" spans="1:28" x14ac:dyDescent="0.25">
      <c r="A295" s="102"/>
      <c r="B295" s="33"/>
      <c r="C295" s="25"/>
      <c r="D295" s="26"/>
      <c r="E295" s="33"/>
      <c r="F295" s="25"/>
      <c r="G295" s="25"/>
      <c r="H295" s="117"/>
      <c r="I295" s="55"/>
      <c r="P295" s="37" t="str">
        <f t="shared" ca="1" si="24"/>
        <v/>
      </c>
      <c r="Q295" s="37" t="str">
        <f t="shared" ca="1" si="25"/>
        <v/>
      </c>
      <c r="AB295" s="37" t="str">
        <f t="shared" si="26"/>
        <v/>
      </c>
    </row>
    <row r="296" spans="1:28" x14ac:dyDescent="0.25">
      <c r="A296" s="102"/>
      <c r="B296" s="33"/>
      <c r="C296" s="25"/>
      <c r="D296" s="26"/>
      <c r="E296" s="33"/>
      <c r="F296" s="25"/>
      <c r="G296" s="25"/>
      <c r="H296" s="117"/>
      <c r="I296" s="55"/>
      <c r="P296" s="37" t="str">
        <f t="shared" ca="1" si="24"/>
        <v/>
      </c>
      <c r="Q296" s="37" t="str">
        <f t="shared" ca="1" si="25"/>
        <v/>
      </c>
      <c r="AB296" s="37" t="str">
        <f t="shared" si="26"/>
        <v/>
      </c>
    </row>
    <row r="297" spans="1:28" x14ac:dyDescent="0.25">
      <c r="A297" s="102"/>
      <c r="B297" s="33"/>
      <c r="C297" s="25"/>
      <c r="D297" s="26"/>
      <c r="E297" s="33"/>
      <c r="F297" s="25"/>
      <c r="G297" s="25"/>
      <c r="H297" s="117"/>
      <c r="I297" s="55"/>
      <c r="P297" s="37" t="str">
        <f t="shared" ca="1" si="24"/>
        <v/>
      </c>
      <c r="Q297" s="37" t="str">
        <f t="shared" ca="1" si="25"/>
        <v/>
      </c>
      <c r="AB297" s="37" t="str">
        <f t="shared" si="26"/>
        <v/>
      </c>
    </row>
    <row r="298" spans="1:28" x14ac:dyDescent="0.25">
      <c r="A298" s="102"/>
      <c r="B298" s="33"/>
      <c r="C298" s="25"/>
      <c r="D298" s="26"/>
      <c r="E298" s="33"/>
      <c r="F298" s="25"/>
      <c r="G298" s="25"/>
      <c r="H298" s="117"/>
      <c r="I298" s="55"/>
      <c r="P298" s="37" t="str">
        <f t="shared" ca="1" si="24"/>
        <v/>
      </c>
      <c r="Q298" s="37" t="str">
        <f t="shared" ca="1" si="25"/>
        <v/>
      </c>
      <c r="AB298" s="37" t="str">
        <f t="shared" si="26"/>
        <v/>
      </c>
    </row>
    <row r="299" spans="1:28" x14ac:dyDescent="0.25">
      <c r="A299" s="102"/>
      <c r="B299" s="33"/>
      <c r="C299" s="25"/>
      <c r="D299" s="26"/>
      <c r="E299" s="33"/>
      <c r="F299" s="25"/>
      <c r="G299" s="25"/>
      <c r="H299" s="117"/>
      <c r="I299" s="55"/>
      <c r="P299" s="37" t="str">
        <f t="shared" ca="1" si="24"/>
        <v/>
      </c>
      <c r="Q299" s="37" t="str">
        <f t="shared" ca="1" si="25"/>
        <v/>
      </c>
      <c r="AB299" s="37" t="str">
        <f t="shared" si="26"/>
        <v/>
      </c>
    </row>
    <row r="300" spans="1:28" x14ac:dyDescent="0.25">
      <c r="A300" s="102"/>
      <c r="B300" s="33"/>
      <c r="C300" s="25"/>
      <c r="D300" s="26"/>
      <c r="E300" s="33"/>
      <c r="F300" s="25"/>
      <c r="G300" s="25"/>
      <c r="H300" s="117"/>
      <c r="I300" s="55"/>
      <c r="P300" s="37" t="str">
        <f t="shared" ca="1" si="24"/>
        <v/>
      </c>
      <c r="Q300" s="37" t="str">
        <f t="shared" ca="1" si="25"/>
        <v/>
      </c>
      <c r="AB300" s="37" t="str">
        <f t="shared" si="26"/>
        <v/>
      </c>
    </row>
    <row r="301" spans="1:28" x14ac:dyDescent="0.25">
      <c r="A301" s="102"/>
      <c r="B301" s="33"/>
      <c r="C301" s="25"/>
      <c r="D301" s="26"/>
      <c r="E301" s="33"/>
      <c r="F301" s="25"/>
      <c r="G301" s="25"/>
      <c r="H301" s="117"/>
      <c r="I301" s="55"/>
      <c r="P301" s="37" t="str">
        <f t="shared" ca="1" si="24"/>
        <v/>
      </c>
      <c r="Q301" s="37" t="str">
        <f t="shared" ca="1" si="25"/>
        <v/>
      </c>
      <c r="AB301" s="37" t="str">
        <f t="shared" si="26"/>
        <v/>
      </c>
    </row>
    <row r="302" spans="1:28" x14ac:dyDescent="0.25">
      <c r="A302" s="102"/>
      <c r="B302" s="33"/>
      <c r="C302" s="25"/>
      <c r="D302" s="26"/>
      <c r="E302" s="33"/>
      <c r="F302" s="25"/>
      <c r="G302" s="25"/>
      <c r="H302" s="117"/>
      <c r="I302" s="55"/>
      <c r="P302" s="37" t="str">
        <f t="shared" ca="1" si="24"/>
        <v/>
      </c>
      <c r="Q302" s="37" t="str">
        <f t="shared" ca="1" si="25"/>
        <v/>
      </c>
      <c r="AB302" s="37" t="str">
        <f t="shared" si="26"/>
        <v/>
      </c>
    </row>
    <row r="303" spans="1:28" x14ac:dyDescent="0.25">
      <c r="A303" s="102"/>
      <c r="B303" s="33"/>
      <c r="C303" s="25"/>
      <c r="D303" s="26"/>
      <c r="E303" s="33"/>
      <c r="F303" s="25"/>
      <c r="G303" s="25"/>
      <c r="H303" s="117"/>
      <c r="I303" s="55"/>
      <c r="P303" s="37" t="str">
        <f t="shared" ca="1" si="24"/>
        <v/>
      </c>
      <c r="Q303" s="37" t="str">
        <f t="shared" ca="1" si="25"/>
        <v/>
      </c>
      <c r="AB303" s="37" t="str">
        <f t="shared" si="26"/>
        <v/>
      </c>
    </row>
    <row r="304" spans="1:28" x14ac:dyDescent="0.25">
      <c r="A304" s="102"/>
      <c r="B304" s="33"/>
      <c r="C304" s="25"/>
      <c r="D304" s="26"/>
      <c r="E304" s="33"/>
      <c r="F304" s="25"/>
      <c r="G304" s="25"/>
      <c r="H304" s="117"/>
      <c r="I304" s="55"/>
      <c r="P304" s="37" t="str">
        <f t="shared" ca="1" si="24"/>
        <v/>
      </c>
      <c r="Q304" s="37" t="str">
        <f t="shared" ca="1" si="25"/>
        <v/>
      </c>
      <c r="AB304" s="37" t="str">
        <f t="shared" si="26"/>
        <v/>
      </c>
    </row>
    <row r="305" spans="1:28" x14ac:dyDescent="0.25">
      <c r="A305" s="102"/>
      <c r="B305" s="33"/>
      <c r="C305" s="25"/>
      <c r="D305" s="26"/>
      <c r="E305" s="33"/>
      <c r="F305" s="25"/>
      <c r="G305" s="25"/>
      <c r="H305" s="117"/>
      <c r="I305" s="55"/>
      <c r="P305" s="37" t="str">
        <f t="shared" ca="1" si="24"/>
        <v/>
      </c>
      <c r="Q305" s="37" t="str">
        <f t="shared" ca="1" si="25"/>
        <v/>
      </c>
      <c r="AB305" s="37" t="str">
        <f t="shared" si="26"/>
        <v/>
      </c>
    </row>
    <row r="306" spans="1:28" x14ac:dyDescent="0.25">
      <c r="A306" s="102"/>
      <c r="B306" s="33"/>
      <c r="C306" s="25"/>
      <c r="D306" s="26"/>
      <c r="E306" s="33"/>
      <c r="F306" s="25"/>
      <c r="G306" s="25"/>
      <c r="H306" s="117"/>
      <c r="I306" s="55"/>
      <c r="P306" s="37" t="str">
        <f t="shared" ca="1" si="24"/>
        <v/>
      </c>
      <c r="Q306" s="37" t="str">
        <f t="shared" ca="1" si="25"/>
        <v/>
      </c>
      <c r="AB306" s="37" t="str">
        <f t="shared" si="26"/>
        <v/>
      </c>
    </row>
    <row r="307" spans="1:28" x14ac:dyDescent="0.25">
      <c r="A307" s="102"/>
      <c r="B307" s="33"/>
      <c r="C307" s="25"/>
      <c r="D307" s="26"/>
      <c r="E307" s="33"/>
      <c r="F307" s="25"/>
      <c r="G307" s="25"/>
      <c r="H307" s="117"/>
      <c r="I307" s="55"/>
      <c r="P307" s="37" t="str">
        <f t="shared" ca="1" si="24"/>
        <v/>
      </c>
      <c r="Q307" s="37" t="str">
        <f t="shared" ca="1" si="25"/>
        <v/>
      </c>
      <c r="AB307" s="37" t="str">
        <f t="shared" si="26"/>
        <v/>
      </c>
    </row>
    <row r="308" spans="1:28" x14ac:dyDescent="0.25">
      <c r="A308" s="102"/>
      <c r="B308" s="33"/>
      <c r="C308" s="25"/>
      <c r="D308" s="26"/>
      <c r="E308" s="33"/>
      <c r="F308" s="25"/>
      <c r="G308" s="25"/>
      <c r="H308" s="117"/>
      <c r="I308" s="55"/>
      <c r="P308" s="37" t="str">
        <f t="shared" ca="1" si="24"/>
        <v/>
      </c>
      <c r="Q308" s="37" t="str">
        <f t="shared" ca="1" si="25"/>
        <v/>
      </c>
      <c r="AB308" s="37" t="str">
        <f t="shared" si="26"/>
        <v/>
      </c>
    </row>
    <row r="309" spans="1:28" x14ac:dyDescent="0.25">
      <c r="A309" s="102"/>
      <c r="B309" s="33"/>
      <c r="C309" s="25"/>
      <c r="D309" s="26"/>
      <c r="E309" s="33"/>
      <c r="F309" s="25"/>
      <c r="G309" s="25"/>
      <c r="H309" s="117"/>
      <c r="I309" s="55"/>
      <c r="P309" s="37" t="str">
        <f t="shared" ca="1" si="24"/>
        <v/>
      </c>
      <c r="Q309" s="37" t="str">
        <f t="shared" ca="1" si="25"/>
        <v/>
      </c>
      <c r="AB309" s="37" t="str">
        <f t="shared" si="26"/>
        <v/>
      </c>
    </row>
    <row r="310" spans="1:28" x14ac:dyDescent="0.25">
      <c r="A310" s="102"/>
      <c r="B310" s="33"/>
      <c r="C310" s="25"/>
      <c r="D310" s="26"/>
      <c r="E310" s="33"/>
      <c r="F310" s="25"/>
      <c r="G310" s="25"/>
      <c r="H310" s="117"/>
      <c r="I310" s="55"/>
      <c r="P310" s="37" t="str">
        <f t="shared" ca="1" si="24"/>
        <v/>
      </c>
      <c r="Q310" s="37" t="str">
        <f t="shared" ca="1" si="25"/>
        <v/>
      </c>
      <c r="AB310" s="37" t="str">
        <f t="shared" si="26"/>
        <v/>
      </c>
    </row>
    <row r="311" spans="1:28" x14ac:dyDescent="0.25">
      <c r="A311" s="102"/>
      <c r="B311" s="33"/>
      <c r="C311" s="25"/>
      <c r="D311" s="26"/>
      <c r="E311" s="33"/>
      <c r="F311" s="25"/>
      <c r="G311" s="25"/>
      <c r="H311" s="117"/>
      <c r="I311" s="55"/>
      <c r="P311" s="37" t="str">
        <f t="shared" ca="1" si="24"/>
        <v/>
      </c>
      <c r="Q311" s="37" t="str">
        <f t="shared" ca="1" si="25"/>
        <v/>
      </c>
      <c r="AB311" s="37" t="str">
        <f t="shared" si="26"/>
        <v/>
      </c>
    </row>
    <row r="312" spans="1:28" x14ac:dyDescent="0.25">
      <c r="A312" s="102"/>
      <c r="B312" s="33"/>
      <c r="C312" s="25"/>
      <c r="D312" s="26"/>
      <c r="E312" s="33"/>
      <c r="F312" s="25"/>
      <c r="G312" s="25"/>
      <c r="H312" s="117"/>
      <c r="I312" s="55"/>
      <c r="P312" s="37" t="str">
        <f t="shared" ca="1" si="24"/>
        <v/>
      </c>
      <c r="Q312" s="37" t="str">
        <f t="shared" ca="1" si="25"/>
        <v/>
      </c>
      <c r="AB312" s="37" t="str">
        <f t="shared" si="26"/>
        <v/>
      </c>
    </row>
    <row r="313" spans="1:28" x14ac:dyDescent="0.25">
      <c r="A313" s="102"/>
      <c r="B313" s="33"/>
      <c r="C313" s="25"/>
      <c r="D313" s="26"/>
      <c r="E313" s="33"/>
      <c r="F313" s="25"/>
      <c r="G313" s="25"/>
      <c r="H313" s="117"/>
      <c r="I313" s="55"/>
      <c r="P313" s="37" t="str">
        <f t="shared" ca="1" si="24"/>
        <v/>
      </c>
      <c r="Q313" s="37" t="str">
        <f t="shared" ca="1" si="25"/>
        <v/>
      </c>
      <c r="AB313" s="37" t="str">
        <f t="shared" si="26"/>
        <v/>
      </c>
    </row>
    <row r="314" spans="1:28" x14ac:dyDescent="0.25">
      <c r="A314" s="102"/>
      <c r="B314" s="33"/>
      <c r="C314" s="25"/>
      <c r="D314" s="26"/>
      <c r="E314" s="33"/>
      <c r="F314" s="25"/>
      <c r="G314" s="25"/>
      <c r="H314" s="117"/>
      <c r="I314" s="55"/>
      <c r="P314" s="37" t="str">
        <f t="shared" ca="1" si="24"/>
        <v/>
      </c>
      <c r="Q314" s="37" t="str">
        <f t="shared" ca="1" si="25"/>
        <v/>
      </c>
      <c r="AB314" s="37" t="str">
        <f t="shared" si="26"/>
        <v/>
      </c>
    </row>
    <row r="315" spans="1:28" x14ac:dyDescent="0.25">
      <c r="A315" s="102"/>
      <c r="B315" s="33"/>
      <c r="C315" s="25"/>
      <c r="D315" s="26"/>
      <c r="E315" s="33"/>
      <c r="F315" s="25"/>
      <c r="G315" s="25"/>
      <c r="H315" s="117"/>
      <c r="I315" s="55"/>
      <c r="P315" s="37" t="str">
        <f t="shared" ca="1" si="24"/>
        <v/>
      </c>
      <c r="Q315" s="37" t="str">
        <f t="shared" ca="1" si="25"/>
        <v/>
      </c>
      <c r="AB315" s="37" t="str">
        <f t="shared" si="26"/>
        <v/>
      </c>
    </row>
    <row r="316" spans="1:28" ht="15.75" thickBot="1" x14ac:dyDescent="0.3">
      <c r="A316" s="102"/>
      <c r="B316" s="33"/>
      <c r="C316" s="25"/>
      <c r="D316" s="26"/>
      <c r="E316" s="33"/>
      <c r="F316" s="25"/>
      <c r="G316" s="25"/>
      <c r="H316" s="118"/>
      <c r="I316" s="55"/>
      <c r="P316" s="37" t="str">
        <f t="shared" ca="1" si="24"/>
        <v/>
      </c>
      <c r="Q316" s="37" t="str">
        <f t="shared" ca="1" si="25"/>
        <v/>
      </c>
      <c r="AB316" s="37" t="str">
        <f t="shared" si="26"/>
        <v/>
      </c>
    </row>
    <row r="317" spans="1:28" x14ac:dyDescent="0.25">
      <c r="A317" s="102"/>
      <c r="B317" s="33"/>
      <c r="C317" s="25"/>
      <c r="D317" s="26"/>
      <c r="E317" s="33"/>
      <c r="F317" s="25"/>
      <c r="G317" s="25"/>
      <c r="H317" s="25"/>
      <c r="I317" s="55"/>
      <c r="P317" s="37" t="str">
        <f t="shared" ca="1" si="24"/>
        <v/>
      </c>
      <c r="Q317" s="37" t="str">
        <f t="shared" ca="1" si="25"/>
        <v/>
      </c>
      <c r="AB317" s="37" t="str">
        <f t="shared" si="26"/>
        <v/>
      </c>
    </row>
    <row r="318" spans="1:28" x14ac:dyDescent="0.25">
      <c r="A318" s="102"/>
      <c r="B318" s="33"/>
      <c r="C318" s="25"/>
      <c r="D318" s="26"/>
      <c r="E318" s="33"/>
      <c r="F318" s="25"/>
      <c r="G318" s="25"/>
      <c r="H318" s="25"/>
      <c r="I318" s="55"/>
      <c r="P318" s="37" t="str">
        <f t="shared" ca="1" si="24"/>
        <v/>
      </c>
      <c r="Q318" s="37" t="str">
        <f t="shared" ca="1" si="25"/>
        <v/>
      </c>
      <c r="AB318" s="37" t="str">
        <f t="shared" si="26"/>
        <v/>
      </c>
    </row>
    <row r="319" spans="1:28" x14ac:dyDescent="0.25">
      <c r="A319" s="102"/>
      <c r="B319" s="33"/>
      <c r="C319" s="25"/>
      <c r="D319" s="26"/>
      <c r="E319" s="33"/>
      <c r="F319" s="25"/>
      <c r="G319" s="25"/>
      <c r="H319" s="25"/>
      <c r="I319" s="55"/>
      <c r="P319" s="37" t="str">
        <f t="shared" ca="1" si="24"/>
        <v/>
      </c>
      <c r="Q319" s="37" t="str">
        <f t="shared" ca="1" si="25"/>
        <v/>
      </c>
      <c r="AB319" s="37" t="str">
        <f t="shared" si="26"/>
        <v/>
      </c>
    </row>
    <row r="320" spans="1:28" x14ac:dyDescent="0.25">
      <c r="A320" s="102"/>
      <c r="B320" s="33"/>
      <c r="C320" s="25"/>
      <c r="D320" s="26"/>
      <c r="E320" s="33"/>
      <c r="F320" s="25"/>
      <c r="G320" s="25"/>
      <c r="H320" s="25"/>
      <c r="I320" s="55"/>
      <c r="P320" s="37" t="str">
        <f t="shared" ca="1" si="24"/>
        <v/>
      </c>
      <c r="Q320" s="37" t="str">
        <f t="shared" ca="1" si="25"/>
        <v/>
      </c>
      <c r="AB320" s="37" t="str">
        <f t="shared" si="26"/>
        <v/>
      </c>
    </row>
    <row r="321" spans="1:28" x14ac:dyDescent="0.25">
      <c r="A321" s="102"/>
      <c r="B321" s="33"/>
      <c r="C321" s="25"/>
      <c r="D321" s="26"/>
      <c r="E321" s="33"/>
      <c r="F321" s="25"/>
      <c r="G321" s="25"/>
      <c r="H321" s="25"/>
      <c r="I321" s="55"/>
      <c r="P321" s="37" t="str">
        <f t="shared" ca="1" si="24"/>
        <v/>
      </c>
      <c r="Q321" s="37" t="str">
        <f t="shared" ca="1" si="25"/>
        <v/>
      </c>
      <c r="AB321" s="37" t="str">
        <f t="shared" si="26"/>
        <v/>
      </c>
    </row>
    <row r="322" spans="1:28" x14ac:dyDescent="0.25">
      <c r="A322" s="102"/>
      <c r="B322" s="33"/>
      <c r="C322" s="25"/>
      <c r="D322" s="26"/>
      <c r="E322" s="33"/>
      <c r="F322" s="25"/>
      <c r="G322" s="25"/>
      <c r="H322" s="25"/>
      <c r="I322" s="55"/>
      <c r="P322" s="37" t="str">
        <f t="shared" ca="1" si="24"/>
        <v/>
      </c>
      <c r="Q322" s="37" t="str">
        <f t="shared" ca="1" si="25"/>
        <v/>
      </c>
      <c r="AB322" s="37" t="str">
        <f t="shared" si="26"/>
        <v/>
      </c>
    </row>
    <row r="323" spans="1:28" x14ac:dyDescent="0.25">
      <c r="A323" s="102"/>
      <c r="B323" s="33"/>
      <c r="C323" s="25"/>
      <c r="D323" s="26"/>
      <c r="E323" s="33"/>
      <c r="F323" s="25"/>
      <c r="G323" s="25"/>
      <c r="H323" s="25"/>
      <c r="I323" s="55"/>
      <c r="P323" s="37" t="str">
        <f t="shared" ca="1" si="24"/>
        <v/>
      </c>
      <c r="Q323" s="37" t="str">
        <f t="shared" ca="1" si="25"/>
        <v/>
      </c>
      <c r="AB323" s="37" t="str">
        <f t="shared" si="26"/>
        <v/>
      </c>
    </row>
    <row r="324" spans="1:28" x14ac:dyDescent="0.25">
      <c r="A324" s="102"/>
      <c r="B324" s="33"/>
      <c r="C324" s="25"/>
      <c r="D324" s="26"/>
      <c r="E324" s="33"/>
      <c r="F324" s="25"/>
      <c r="G324" s="25"/>
      <c r="H324" s="25"/>
      <c r="I324" s="55"/>
      <c r="P324" s="37" t="str">
        <f t="shared" ref="P324:P387" ca="1" si="27">IF(COUNTIF(N:N,L324),L324,"")</f>
        <v/>
      </c>
      <c r="Q324" s="37" t="str">
        <f t="shared" ref="Q324:Q387" ca="1" si="28">IF(P324&gt;$A$14,P324,"")</f>
        <v/>
      </c>
      <c r="AB324" s="37" t="str">
        <f t="shared" ref="AB324:AB387" si="29">IF(COUNTIF(Z:Z,X324),X324,"")</f>
        <v/>
      </c>
    </row>
    <row r="325" spans="1:28" x14ac:dyDescent="0.25">
      <c r="A325" s="102"/>
      <c r="B325" s="33"/>
      <c r="C325" s="25"/>
      <c r="D325" s="26"/>
      <c r="E325" s="33"/>
      <c r="F325" s="25"/>
      <c r="G325" s="25"/>
      <c r="H325" s="25"/>
      <c r="I325" s="55"/>
      <c r="P325" s="37" t="str">
        <f t="shared" ca="1" si="27"/>
        <v/>
      </c>
      <c r="Q325" s="37" t="str">
        <f t="shared" ca="1" si="28"/>
        <v/>
      </c>
      <c r="AB325" s="37" t="str">
        <f t="shared" si="29"/>
        <v/>
      </c>
    </row>
    <row r="326" spans="1:28" x14ac:dyDescent="0.25">
      <c r="A326" s="102"/>
      <c r="B326" s="33"/>
      <c r="C326" s="25"/>
      <c r="D326" s="26"/>
      <c r="E326" s="33"/>
      <c r="F326" s="25"/>
      <c r="G326" s="25"/>
      <c r="H326" s="25"/>
      <c r="I326" s="55"/>
      <c r="P326" s="37" t="str">
        <f t="shared" ca="1" si="27"/>
        <v/>
      </c>
      <c r="Q326" s="37" t="str">
        <f t="shared" ca="1" si="28"/>
        <v/>
      </c>
      <c r="AB326" s="37" t="str">
        <f t="shared" si="29"/>
        <v/>
      </c>
    </row>
    <row r="327" spans="1:28" x14ac:dyDescent="0.25">
      <c r="A327" s="102"/>
      <c r="B327" s="33"/>
      <c r="C327" s="25"/>
      <c r="D327" s="26"/>
      <c r="E327" s="33"/>
      <c r="F327" s="25"/>
      <c r="G327" s="25"/>
      <c r="H327" s="25"/>
      <c r="I327" s="55"/>
      <c r="P327" s="37" t="str">
        <f t="shared" ca="1" si="27"/>
        <v/>
      </c>
      <c r="Q327" s="37" t="str">
        <f t="shared" ca="1" si="28"/>
        <v/>
      </c>
      <c r="AB327" s="37" t="str">
        <f t="shared" si="29"/>
        <v/>
      </c>
    </row>
    <row r="328" spans="1:28" x14ac:dyDescent="0.25">
      <c r="A328" s="102"/>
      <c r="B328" s="33"/>
      <c r="C328" s="25"/>
      <c r="D328" s="26"/>
      <c r="E328" s="33"/>
      <c r="F328" s="25"/>
      <c r="G328" s="25"/>
      <c r="H328" s="25"/>
      <c r="I328" s="55"/>
      <c r="P328" s="37" t="str">
        <f t="shared" ca="1" si="27"/>
        <v/>
      </c>
      <c r="Q328" s="37" t="str">
        <f t="shared" ca="1" si="28"/>
        <v/>
      </c>
      <c r="AB328" s="37" t="str">
        <f t="shared" si="29"/>
        <v/>
      </c>
    </row>
    <row r="329" spans="1:28" x14ac:dyDescent="0.25">
      <c r="A329" s="102"/>
      <c r="B329" s="33"/>
      <c r="C329" s="25"/>
      <c r="D329" s="26"/>
      <c r="E329" s="33"/>
      <c r="F329" s="25"/>
      <c r="G329" s="25"/>
      <c r="H329" s="25"/>
      <c r="I329" s="55"/>
      <c r="P329" s="37" t="str">
        <f t="shared" ca="1" si="27"/>
        <v/>
      </c>
      <c r="Q329" s="37" t="str">
        <f t="shared" ca="1" si="28"/>
        <v/>
      </c>
      <c r="AB329" s="37" t="str">
        <f t="shared" si="29"/>
        <v/>
      </c>
    </row>
    <row r="330" spans="1:28" x14ac:dyDescent="0.25">
      <c r="A330" s="102"/>
      <c r="B330" s="33"/>
      <c r="C330" s="25"/>
      <c r="D330" s="26"/>
      <c r="E330" s="33"/>
      <c r="F330" s="25"/>
      <c r="G330" s="25"/>
      <c r="H330" s="25"/>
      <c r="I330" s="55"/>
      <c r="P330" s="37" t="str">
        <f t="shared" ca="1" si="27"/>
        <v/>
      </c>
      <c r="Q330" s="37" t="str">
        <f t="shared" ca="1" si="28"/>
        <v/>
      </c>
      <c r="AB330" s="37" t="str">
        <f t="shared" si="29"/>
        <v/>
      </c>
    </row>
    <row r="331" spans="1:28" x14ac:dyDescent="0.25">
      <c r="A331" s="102"/>
      <c r="B331" s="33"/>
      <c r="C331" s="25"/>
      <c r="D331" s="26"/>
      <c r="E331" s="33"/>
      <c r="F331" s="25"/>
      <c r="G331" s="25"/>
      <c r="H331" s="25"/>
      <c r="I331" s="55"/>
      <c r="P331" s="37" t="str">
        <f t="shared" ca="1" si="27"/>
        <v/>
      </c>
      <c r="Q331" s="37" t="str">
        <f t="shared" ca="1" si="28"/>
        <v/>
      </c>
      <c r="AB331" s="37" t="str">
        <f t="shared" si="29"/>
        <v/>
      </c>
    </row>
    <row r="332" spans="1:28" x14ac:dyDescent="0.25">
      <c r="A332" s="102"/>
      <c r="B332" s="33"/>
      <c r="C332" s="25"/>
      <c r="D332" s="26"/>
      <c r="E332" s="33"/>
      <c r="F332" s="25"/>
      <c r="G332" s="25"/>
      <c r="H332" s="25"/>
      <c r="I332" s="55"/>
      <c r="P332" s="37" t="str">
        <f t="shared" ca="1" si="27"/>
        <v/>
      </c>
      <c r="Q332" s="37" t="str">
        <f t="shared" ca="1" si="28"/>
        <v/>
      </c>
      <c r="AB332" s="37" t="str">
        <f t="shared" si="29"/>
        <v/>
      </c>
    </row>
    <row r="333" spans="1:28" x14ac:dyDescent="0.25">
      <c r="A333" s="102"/>
      <c r="B333" s="33"/>
      <c r="C333" s="25"/>
      <c r="D333" s="26"/>
      <c r="E333" s="33"/>
      <c r="F333" s="25"/>
      <c r="G333" s="25"/>
      <c r="H333" s="25"/>
      <c r="I333" s="55"/>
      <c r="P333" s="37" t="str">
        <f t="shared" ca="1" si="27"/>
        <v/>
      </c>
      <c r="Q333" s="37" t="str">
        <f t="shared" ca="1" si="28"/>
        <v/>
      </c>
      <c r="AB333" s="37" t="str">
        <f t="shared" si="29"/>
        <v/>
      </c>
    </row>
    <row r="334" spans="1:28" x14ac:dyDescent="0.25">
      <c r="A334" s="102"/>
      <c r="B334" s="33"/>
      <c r="C334" s="25"/>
      <c r="D334" s="26"/>
      <c r="E334" s="33"/>
      <c r="F334" s="25"/>
      <c r="G334" s="25"/>
      <c r="H334" s="25"/>
      <c r="I334" s="55"/>
      <c r="P334" s="37" t="str">
        <f t="shared" ca="1" si="27"/>
        <v/>
      </c>
      <c r="Q334" s="37" t="str">
        <f t="shared" ca="1" si="28"/>
        <v/>
      </c>
      <c r="AB334" s="37" t="str">
        <f t="shared" si="29"/>
        <v/>
      </c>
    </row>
    <row r="335" spans="1:28" x14ac:dyDescent="0.25">
      <c r="A335" s="102"/>
      <c r="B335" s="33"/>
      <c r="C335" s="25"/>
      <c r="D335" s="26"/>
      <c r="E335" s="33"/>
      <c r="F335" s="25"/>
      <c r="G335" s="25"/>
      <c r="H335" s="25"/>
      <c r="I335" s="55"/>
      <c r="P335" s="37" t="str">
        <f t="shared" ca="1" si="27"/>
        <v/>
      </c>
      <c r="Q335" s="37" t="str">
        <f t="shared" ca="1" si="28"/>
        <v/>
      </c>
      <c r="AB335" s="37" t="str">
        <f t="shared" si="29"/>
        <v/>
      </c>
    </row>
    <row r="336" spans="1:28" x14ac:dyDescent="0.25">
      <c r="A336" s="102"/>
      <c r="B336" s="33"/>
      <c r="C336" s="25"/>
      <c r="D336" s="26"/>
      <c r="E336" s="33"/>
      <c r="F336" s="25"/>
      <c r="G336" s="25"/>
      <c r="H336" s="25"/>
      <c r="I336" s="55"/>
      <c r="P336" s="37" t="str">
        <f t="shared" ca="1" si="27"/>
        <v/>
      </c>
      <c r="Q336" s="37" t="str">
        <f t="shared" ca="1" si="28"/>
        <v/>
      </c>
      <c r="AB336" s="37" t="str">
        <f t="shared" si="29"/>
        <v/>
      </c>
    </row>
    <row r="337" spans="1:28" x14ac:dyDescent="0.25">
      <c r="A337" s="102"/>
      <c r="B337" s="33"/>
      <c r="C337" s="25"/>
      <c r="D337" s="26"/>
      <c r="E337" s="33"/>
      <c r="F337" s="25"/>
      <c r="G337" s="25"/>
      <c r="H337" s="25"/>
      <c r="I337" s="55"/>
      <c r="P337" s="37" t="str">
        <f t="shared" ca="1" si="27"/>
        <v/>
      </c>
      <c r="Q337" s="37" t="str">
        <f t="shared" ca="1" si="28"/>
        <v/>
      </c>
      <c r="AB337" s="37" t="str">
        <f t="shared" si="29"/>
        <v/>
      </c>
    </row>
    <row r="338" spans="1:28" x14ac:dyDescent="0.25">
      <c r="A338" s="102"/>
      <c r="B338" s="33"/>
      <c r="C338" s="25"/>
      <c r="D338" s="26"/>
      <c r="E338" s="33"/>
      <c r="F338" s="25"/>
      <c r="G338" s="25"/>
      <c r="H338" s="25"/>
      <c r="I338" s="55"/>
      <c r="P338" s="37" t="str">
        <f t="shared" ca="1" si="27"/>
        <v/>
      </c>
      <c r="Q338" s="37" t="str">
        <f t="shared" ca="1" si="28"/>
        <v/>
      </c>
      <c r="AB338" s="37" t="str">
        <f t="shared" si="29"/>
        <v/>
      </c>
    </row>
    <row r="339" spans="1:28" x14ac:dyDescent="0.25">
      <c r="A339" s="102"/>
      <c r="B339" s="33"/>
      <c r="C339" s="25"/>
      <c r="D339" s="26"/>
      <c r="E339" s="33"/>
      <c r="F339" s="25"/>
      <c r="G339" s="25"/>
      <c r="H339" s="25"/>
      <c r="I339" s="55"/>
      <c r="P339" s="37" t="str">
        <f t="shared" ca="1" si="27"/>
        <v/>
      </c>
      <c r="Q339" s="37" t="str">
        <f t="shared" ca="1" si="28"/>
        <v/>
      </c>
      <c r="AB339" s="37" t="str">
        <f t="shared" si="29"/>
        <v/>
      </c>
    </row>
    <row r="340" spans="1:28" x14ac:dyDescent="0.25">
      <c r="A340" s="102"/>
      <c r="B340" s="33"/>
      <c r="C340" s="25"/>
      <c r="D340" s="26"/>
      <c r="E340" s="33"/>
      <c r="F340" s="25"/>
      <c r="G340" s="25"/>
      <c r="H340" s="25"/>
      <c r="I340" s="55"/>
      <c r="P340" s="37" t="str">
        <f t="shared" ca="1" si="27"/>
        <v/>
      </c>
      <c r="Q340" s="37" t="str">
        <f t="shared" ca="1" si="28"/>
        <v/>
      </c>
      <c r="AB340" s="37" t="str">
        <f t="shared" si="29"/>
        <v/>
      </c>
    </row>
    <row r="341" spans="1:28" x14ac:dyDescent="0.25">
      <c r="A341" s="102"/>
      <c r="B341" s="33"/>
      <c r="C341" s="25"/>
      <c r="D341" s="26"/>
      <c r="E341" s="33"/>
      <c r="F341" s="25"/>
      <c r="G341" s="25"/>
      <c r="H341" s="25"/>
      <c r="I341" s="55"/>
      <c r="P341" s="37" t="str">
        <f t="shared" ca="1" si="27"/>
        <v/>
      </c>
      <c r="Q341" s="37" t="str">
        <f t="shared" ca="1" si="28"/>
        <v/>
      </c>
      <c r="AB341" s="37" t="str">
        <f t="shared" si="29"/>
        <v/>
      </c>
    </row>
    <row r="342" spans="1:28" x14ac:dyDescent="0.25">
      <c r="A342" s="102"/>
      <c r="B342" s="33"/>
      <c r="C342" s="25"/>
      <c r="D342" s="26"/>
      <c r="E342" s="33"/>
      <c r="F342" s="25"/>
      <c r="G342" s="25"/>
      <c r="H342" s="25"/>
      <c r="I342" s="55"/>
      <c r="P342" s="37" t="str">
        <f t="shared" ca="1" si="27"/>
        <v/>
      </c>
      <c r="Q342" s="37" t="str">
        <f t="shared" ca="1" si="28"/>
        <v/>
      </c>
      <c r="AB342" s="37" t="str">
        <f t="shared" si="29"/>
        <v/>
      </c>
    </row>
    <row r="343" spans="1:28" x14ac:dyDescent="0.25">
      <c r="A343" s="102"/>
      <c r="B343" s="33"/>
      <c r="C343" s="25"/>
      <c r="D343" s="26"/>
      <c r="E343" s="33"/>
      <c r="F343" s="25"/>
      <c r="G343" s="25"/>
      <c r="H343" s="25"/>
      <c r="I343" s="55"/>
      <c r="P343" s="37" t="str">
        <f t="shared" ca="1" si="27"/>
        <v/>
      </c>
      <c r="Q343" s="37" t="str">
        <f t="shared" ca="1" si="28"/>
        <v/>
      </c>
      <c r="AB343" s="37" t="str">
        <f t="shared" si="29"/>
        <v/>
      </c>
    </row>
    <row r="344" spans="1:28" x14ac:dyDescent="0.25">
      <c r="A344" s="102"/>
      <c r="B344" s="33"/>
      <c r="C344" s="25"/>
      <c r="D344" s="26"/>
      <c r="E344" s="33"/>
      <c r="F344" s="25"/>
      <c r="G344" s="25"/>
      <c r="H344" s="25"/>
      <c r="I344" s="55"/>
      <c r="P344" s="37" t="str">
        <f t="shared" ca="1" si="27"/>
        <v/>
      </c>
      <c r="Q344" s="37" t="str">
        <f t="shared" ca="1" si="28"/>
        <v/>
      </c>
      <c r="AB344" s="37" t="str">
        <f t="shared" si="29"/>
        <v/>
      </c>
    </row>
    <row r="345" spans="1:28" x14ac:dyDescent="0.25">
      <c r="A345" s="102"/>
      <c r="B345" s="33"/>
      <c r="C345" s="25"/>
      <c r="D345" s="26"/>
      <c r="E345" s="33"/>
      <c r="F345" s="25"/>
      <c r="G345" s="25"/>
      <c r="H345" s="25"/>
      <c r="I345" s="55"/>
      <c r="P345" s="37" t="str">
        <f t="shared" ca="1" si="27"/>
        <v/>
      </c>
      <c r="Q345" s="37" t="str">
        <f t="shared" ca="1" si="28"/>
        <v/>
      </c>
      <c r="AB345" s="37" t="str">
        <f t="shared" si="29"/>
        <v/>
      </c>
    </row>
    <row r="346" spans="1:28" x14ac:dyDescent="0.25">
      <c r="A346" s="102"/>
      <c r="B346" s="33"/>
      <c r="C346" s="25"/>
      <c r="D346" s="26"/>
      <c r="E346" s="33"/>
      <c r="F346" s="25"/>
      <c r="G346" s="25"/>
      <c r="H346" s="25"/>
      <c r="I346" s="55"/>
      <c r="P346" s="37" t="str">
        <f t="shared" ca="1" si="27"/>
        <v/>
      </c>
      <c r="Q346" s="37" t="str">
        <f t="shared" ca="1" si="28"/>
        <v/>
      </c>
      <c r="AB346" s="37" t="str">
        <f t="shared" si="29"/>
        <v/>
      </c>
    </row>
    <row r="347" spans="1:28" x14ac:dyDescent="0.25">
      <c r="A347" s="102"/>
      <c r="B347" s="33"/>
      <c r="C347" s="25"/>
      <c r="D347" s="26"/>
      <c r="E347" s="33"/>
      <c r="F347" s="25"/>
      <c r="G347" s="25"/>
      <c r="H347" s="25"/>
      <c r="I347" s="55"/>
      <c r="P347" s="37" t="str">
        <f t="shared" ca="1" si="27"/>
        <v/>
      </c>
      <c r="Q347" s="37" t="str">
        <f t="shared" ca="1" si="28"/>
        <v/>
      </c>
      <c r="AB347" s="37" t="str">
        <f t="shared" si="29"/>
        <v/>
      </c>
    </row>
    <row r="348" spans="1:28" x14ac:dyDescent="0.25">
      <c r="A348" s="102"/>
      <c r="B348" s="33"/>
      <c r="C348" s="25"/>
      <c r="D348" s="26"/>
      <c r="E348" s="33"/>
      <c r="F348" s="25"/>
      <c r="G348" s="25"/>
      <c r="H348" s="25"/>
      <c r="I348" s="55"/>
      <c r="P348" s="37" t="str">
        <f t="shared" ca="1" si="27"/>
        <v/>
      </c>
      <c r="Q348" s="37" t="str">
        <f t="shared" ca="1" si="28"/>
        <v/>
      </c>
      <c r="AB348" s="37" t="str">
        <f t="shared" si="29"/>
        <v/>
      </c>
    </row>
    <row r="349" spans="1:28" x14ac:dyDescent="0.25">
      <c r="A349" s="102"/>
      <c r="B349" s="33"/>
      <c r="C349" s="25"/>
      <c r="D349" s="26"/>
      <c r="E349" s="33"/>
      <c r="F349" s="25"/>
      <c r="G349" s="25"/>
      <c r="H349" s="25"/>
      <c r="I349" s="55"/>
      <c r="P349" s="37" t="str">
        <f t="shared" ca="1" si="27"/>
        <v/>
      </c>
      <c r="Q349" s="37" t="str">
        <f t="shared" ca="1" si="28"/>
        <v/>
      </c>
      <c r="AB349" s="37" t="str">
        <f t="shared" si="29"/>
        <v/>
      </c>
    </row>
    <row r="350" spans="1:28" x14ac:dyDescent="0.25">
      <c r="A350" s="102"/>
      <c r="B350" s="33"/>
      <c r="C350" s="25"/>
      <c r="D350" s="26"/>
      <c r="E350" s="33"/>
      <c r="F350" s="25"/>
      <c r="G350" s="25"/>
      <c r="H350" s="25"/>
      <c r="I350" s="55"/>
      <c r="P350" s="37" t="str">
        <f t="shared" ca="1" si="27"/>
        <v/>
      </c>
      <c r="Q350" s="37" t="str">
        <f t="shared" ca="1" si="28"/>
        <v/>
      </c>
      <c r="AB350" s="37" t="str">
        <f t="shared" si="29"/>
        <v/>
      </c>
    </row>
    <row r="351" spans="1:28" x14ac:dyDescent="0.25">
      <c r="A351" s="102"/>
      <c r="B351" s="33"/>
      <c r="C351" s="25"/>
      <c r="D351" s="26"/>
      <c r="E351" s="33"/>
      <c r="F351" s="25"/>
      <c r="G351" s="25"/>
      <c r="H351" s="25"/>
      <c r="I351" s="55"/>
      <c r="P351" s="37" t="str">
        <f t="shared" ca="1" si="27"/>
        <v/>
      </c>
      <c r="Q351" s="37" t="str">
        <f t="shared" ca="1" si="28"/>
        <v/>
      </c>
      <c r="AB351" s="37" t="str">
        <f t="shared" si="29"/>
        <v/>
      </c>
    </row>
    <row r="352" spans="1:28" x14ac:dyDescent="0.25">
      <c r="A352" s="102"/>
      <c r="B352" s="33"/>
      <c r="C352" s="25"/>
      <c r="D352" s="26"/>
      <c r="E352" s="33"/>
      <c r="F352" s="25"/>
      <c r="G352" s="25"/>
      <c r="H352" s="25"/>
      <c r="I352" s="55"/>
      <c r="P352" s="37" t="str">
        <f t="shared" ca="1" si="27"/>
        <v/>
      </c>
      <c r="Q352" s="37" t="str">
        <f t="shared" ca="1" si="28"/>
        <v/>
      </c>
      <c r="AB352" s="37" t="str">
        <f t="shared" si="29"/>
        <v/>
      </c>
    </row>
    <row r="353" spans="1:28" x14ac:dyDescent="0.25">
      <c r="A353" s="102"/>
      <c r="B353" s="33"/>
      <c r="C353" s="25"/>
      <c r="D353" s="26"/>
      <c r="E353" s="33"/>
      <c r="F353" s="25"/>
      <c r="G353" s="25"/>
      <c r="H353" s="25"/>
      <c r="I353" s="55"/>
      <c r="P353" s="37" t="str">
        <f t="shared" ca="1" si="27"/>
        <v/>
      </c>
      <c r="Q353" s="37" t="str">
        <f t="shared" ca="1" si="28"/>
        <v/>
      </c>
      <c r="AB353" s="37" t="str">
        <f t="shared" si="29"/>
        <v/>
      </c>
    </row>
    <row r="354" spans="1:28" x14ac:dyDescent="0.25">
      <c r="A354" s="102"/>
      <c r="B354" s="33"/>
      <c r="C354" s="25"/>
      <c r="D354" s="26"/>
      <c r="E354" s="33"/>
      <c r="F354" s="25"/>
      <c r="G354" s="25"/>
      <c r="H354" s="25"/>
      <c r="I354" s="55"/>
      <c r="P354" s="37" t="str">
        <f t="shared" ca="1" si="27"/>
        <v/>
      </c>
      <c r="Q354" s="37" t="str">
        <f t="shared" ca="1" si="28"/>
        <v/>
      </c>
      <c r="AB354" s="37" t="str">
        <f t="shared" si="29"/>
        <v/>
      </c>
    </row>
    <row r="355" spans="1:28" x14ac:dyDescent="0.25">
      <c r="A355" s="102"/>
      <c r="B355" s="33"/>
      <c r="C355" s="25"/>
      <c r="D355" s="26"/>
      <c r="E355" s="33"/>
      <c r="F355" s="25"/>
      <c r="G355" s="25"/>
      <c r="H355" s="25"/>
      <c r="I355" s="55"/>
      <c r="P355" s="37" t="str">
        <f t="shared" ca="1" si="27"/>
        <v/>
      </c>
      <c r="Q355" s="37" t="str">
        <f t="shared" ca="1" si="28"/>
        <v/>
      </c>
      <c r="AB355" s="37" t="str">
        <f t="shared" si="29"/>
        <v/>
      </c>
    </row>
    <row r="356" spans="1:28" x14ac:dyDescent="0.25">
      <c r="A356" s="102"/>
      <c r="B356" s="33"/>
      <c r="C356" s="25"/>
      <c r="D356" s="26"/>
      <c r="E356" s="33"/>
      <c r="F356" s="25"/>
      <c r="G356" s="25"/>
      <c r="H356" s="25"/>
      <c r="I356" s="55"/>
      <c r="P356" s="37" t="str">
        <f t="shared" ca="1" si="27"/>
        <v/>
      </c>
      <c r="Q356" s="37" t="str">
        <f t="shared" ca="1" si="28"/>
        <v/>
      </c>
      <c r="AB356" s="37" t="str">
        <f t="shared" si="29"/>
        <v/>
      </c>
    </row>
    <row r="357" spans="1:28" x14ac:dyDescent="0.25">
      <c r="A357" s="102"/>
      <c r="B357" s="33"/>
      <c r="C357" s="25"/>
      <c r="D357" s="26"/>
      <c r="E357" s="33"/>
      <c r="F357" s="25"/>
      <c r="G357" s="25"/>
      <c r="H357" s="25"/>
      <c r="I357" s="55"/>
      <c r="P357" s="37" t="str">
        <f t="shared" ca="1" si="27"/>
        <v/>
      </c>
      <c r="Q357" s="37" t="str">
        <f t="shared" ca="1" si="28"/>
        <v/>
      </c>
      <c r="AB357" s="37" t="str">
        <f t="shared" si="29"/>
        <v/>
      </c>
    </row>
    <row r="358" spans="1:28" x14ac:dyDescent="0.25">
      <c r="A358" s="102"/>
      <c r="B358" s="33"/>
      <c r="C358" s="25"/>
      <c r="D358" s="26"/>
      <c r="E358" s="33"/>
      <c r="F358" s="25"/>
      <c r="G358" s="25"/>
      <c r="H358" s="25"/>
      <c r="I358" s="55"/>
      <c r="P358" s="37" t="str">
        <f t="shared" ca="1" si="27"/>
        <v/>
      </c>
      <c r="Q358" s="37" t="str">
        <f t="shared" ca="1" si="28"/>
        <v/>
      </c>
      <c r="AB358" s="37" t="str">
        <f t="shared" si="29"/>
        <v/>
      </c>
    </row>
    <row r="359" spans="1:28" x14ac:dyDescent="0.25">
      <c r="A359" s="102"/>
      <c r="B359" s="33"/>
      <c r="C359" s="25"/>
      <c r="D359" s="26"/>
      <c r="E359" s="33"/>
      <c r="F359" s="25"/>
      <c r="G359" s="25"/>
      <c r="H359" s="25"/>
      <c r="I359" s="55"/>
      <c r="P359" s="37" t="str">
        <f t="shared" ca="1" si="27"/>
        <v/>
      </c>
      <c r="Q359" s="37" t="str">
        <f t="shared" ca="1" si="28"/>
        <v/>
      </c>
      <c r="AB359" s="37" t="str">
        <f t="shared" si="29"/>
        <v/>
      </c>
    </row>
    <row r="360" spans="1:28" x14ac:dyDescent="0.25">
      <c r="A360" s="102"/>
      <c r="B360" s="33"/>
      <c r="C360" s="25"/>
      <c r="D360" s="26"/>
      <c r="E360" s="33"/>
      <c r="F360" s="25"/>
      <c r="G360" s="25"/>
      <c r="H360" s="25"/>
      <c r="I360" s="55"/>
      <c r="P360" s="37" t="str">
        <f t="shared" ca="1" si="27"/>
        <v/>
      </c>
      <c r="Q360" s="37" t="str">
        <f t="shared" ca="1" si="28"/>
        <v/>
      </c>
      <c r="AB360" s="37" t="str">
        <f t="shared" si="29"/>
        <v/>
      </c>
    </row>
    <row r="361" spans="1:28" x14ac:dyDescent="0.25">
      <c r="A361" s="102"/>
      <c r="B361" s="33"/>
      <c r="C361" s="25"/>
      <c r="D361" s="26"/>
      <c r="E361" s="33"/>
      <c r="F361" s="25"/>
      <c r="G361" s="25"/>
      <c r="H361" s="25"/>
      <c r="I361" s="55"/>
      <c r="P361" s="37" t="str">
        <f t="shared" ca="1" si="27"/>
        <v/>
      </c>
      <c r="Q361" s="37" t="str">
        <f t="shared" ca="1" si="28"/>
        <v/>
      </c>
      <c r="AB361" s="37" t="str">
        <f t="shared" si="29"/>
        <v/>
      </c>
    </row>
    <row r="362" spans="1:28" x14ac:dyDescent="0.25">
      <c r="A362" s="102"/>
      <c r="B362" s="33"/>
      <c r="C362" s="25"/>
      <c r="D362" s="26"/>
      <c r="E362" s="33"/>
      <c r="F362" s="25"/>
      <c r="G362" s="25"/>
      <c r="H362" s="25"/>
      <c r="I362" s="55"/>
      <c r="P362" s="37" t="str">
        <f t="shared" ca="1" si="27"/>
        <v/>
      </c>
      <c r="Q362" s="37" t="str">
        <f t="shared" ca="1" si="28"/>
        <v/>
      </c>
      <c r="AB362" s="37" t="str">
        <f t="shared" si="29"/>
        <v/>
      </c>
    </row>
    <row r="363" spans="1:28" x14ac:dyDescent="0.25">
      <c r="A363" s="102"/>
      <c r="B363" s="33"/>
      <c r="C363" s="25"/>
      <c r="D363" s="26"/>
      <c r="E363" s="33"/>
      <c r="F363" s="25"/>
      <c r="G363" s="25"/>
      <c r="H363" s="25"/>
      <c r="I363" s="55"/>
      <c r="P363" s="37" t="str">
        <f t="shared" ca="1" si="27"/>
        <v/>
      </c>
      <c r="Q363" s="37" t="str">
        <f t="shared" ca="1" si="28"/>
        <v/>
      </c>
      <c r="AB363" s="37" t="str">
        <f t="shared" si="29"/>
        <v/>
      </c>
    </row>
    <row r="364" spans="1:28" x14ac:dyDescent="0.25">
      <c r="A364" s="102"/>
      <c r="B364" s="33"/>
      <c r="C364" s="25"/>
      <c r="D364" s="26"/>
      <c r="E364" s="33"/>
      <c r="F364" s="25"/>
      <c r="G364" s="25"/>
      <c r="H364" s="25"/>
      <c r="I364" s="55"/>
      <c r="P364" s="37" t="str">
        <f t="shared" ca="1" si="27"/>
        <v/>
      </c>
      <c r="Q364" s="37" t="str">
        <f t="shared" ca="1" si="28"/>
        <v/>
      </c>
      <c r="AB364" s="37" t="str">
        <f t="shared" si="29"/>
        <v/>
      </c>
    </row>
    <row r="365" spans="1:28" x14ac:dyDescent="0.25">
      <c r="A365" s="102"/>
      <c r="B365" s="33"/>
      <c r="C365" s="25"/>
      <c r="D365" s="26"/>
      <c r="E365" s="33"/>
      <c r="F365" s="25"/>
      <c r="G365" s="25"/>
      <c r="H365" s="25"/>
      <c r="I365" s="55"/>
      <c r="P365" s="37" t="str">
        <f t="shared" ca="1" si="27"/>
        <v/>
      </c>
      <c r="Q365" s="37" t="str">
        <f t="shared" ca="1" si="28"/>
        <v/>
      </c>
      <c r="AB365" s="37" t="str">
        <f t="shared" si="29"/>
        <v/>
      </c>
    </row>
    <row r="366" spans="1:28" x14ac:dyDescent="0.25">
      <c r="A366" s="102"/>
      <c r="B366" s="33"/>
      <c r="C366" s="25"/>
      <c r="D366" s="26"/>
      <c r="E366" s="33"/>
      <c r="F366" s="25"/>
      <c r="G366" s="25"/>
      <c r="H366" s="25"/>
      <c r="I366" s="55"/>
      <c r="P366" s="37" t="str">
        <f t="shared" ca="1" si="27"/>
        <v/>
      </c>
      <c r="Q366" s="37" t="str">
        <f t="shared" ca="1" si="28"/>
        <v/>
      </c>
      <c r="AB366" s="37" t="str">
        <f t="shared" si="29"/>
        <v/>
      </c>
    </row>
    <row r="367" spans="1:28" x14ac:dyDescent="0.25">
      <c r="A367" s="102"/>
      <c r="B367" s="33"/>
      <c r="C367" s="25"/>
      <c r="D367" s="26"/>
      <c r="E367" s="33"/>
      <c r="F367" s="25"/>
      <c r="G367" s="25"/>
      <c r="H367" s="25"/>
      <c r="I367" s="55"/>
      <c r="P367" s="37" t="str">
        <f t="shared" ca="1" si="27"/>
        <v/>
      </c>
      <c r="Q367" s="37" t="str">
        <f t="shared" ca="1" si="28"/>
        <v/>
      </c>
      <c r="AB367" s="37" t="str">
        <f t="shared" si="29"/>
        <v/>
      </c>
    </row>
    <row r="368" spans="1:28" x14ac:dyDescent="0.25">
      <c r="A368" s="102"/>
      <c r="B368" s="33"/>
      <c r="C368" s="25"/>
      <c r="D368" s="26"/>
      <c r="E368" s="33"/>
      <c r="F368" s="25"/>
      <c r="G368" s="25"/>
      <c r="H368" s="25"/>
      <c r="I368" s="55"/>
      <c r="P368" s="37" t="str">
        <f t="shared" ca="1" si="27"/>
        <v/>
      </c>
      <c r="Q368" s="37" t="str">
        <f t="shared" ca="1" si="28"/>
        <v/>
      </c>
      <c r="AB368" s="37" t="str">
        <f t="shared" si="29"/>
        <v/>
      </c>
    </row>
    <row r="369" spans="1:28" x14ac:dyDescent="0.25">
      <c r="A369" s="102"/>
      <c r="B369" s="33"/>
      <c r="C369" s="25"/>
      <c r="D369" s="26"/>
      <c r="E369" s="33"/>
      <c r="F369" s="25"/>
      <c r="G369" s="25"/>
      <c r="H369" s="25"/>
      <c r="I369" s="55"/>
      <c r="P369" s="37" t="str">
        <f t="shared" ca="1" si="27"/>
        <v/>
      </c>
      <c r="Q369" s="37" t="str">
        <f t="shared" ca="1" si="28"/>
        <v/>
      </c>
      <c r="AB369" s="37" t="str">
        <f t="shared" si="29"/>
        <v/>
      </c>
    </row>
    <row r="370" spans="1:28" x14ac:dyDescent="0.25">
      <c r="A370" s="102"/>
      <c r="B370" s="33"/>
      <c r="C370" s="25"/>
      <c r="D370" s="26"/>
      <c r="E370" s="33"/>
      <c r="F370" s="25"/>
      <c r="G370" s="25"/>
      <c r="H370" s="25"/>
      <c r="I370" s="55"/>
      <c r="P370" s="37" t="str">
        <f t="shared" ca="1" si="27"/>
        <v/>
      </c>
      <c r="Q370" s="37" t="str">
        <f t="shared" ca="1" si="28"/>
        <v/>
      </c>
      <c r="AB370" s="37" t="str">
        <f t="shared" si="29"/>
        <v/>
      </c>
    </row>
    <row r="371" spans="1:28" x14ac:dyDescent="0.25">
      <c r="A371" s="102"/>
      <c r="B371" s="33"/>
      <c r="C371" s="25"/>
      <c r="D371" s="26"/>
      <c r="E371" s="33"/>
      <c r="F371" s="25"/>
      <c r="G371" s="25"/>
      <c r="H371" s="25"/>
      <c r="I371" s="55"/>
      <c r="P371" s="37" t="str">
        <f t="shared" ca="1" si="27"/>
        <v/>
      </c>
      <c r="Q371" s="37" t="str">
        <f t="shared" ca="1" si="28"/>
        <v/>
      </c>
      <c r="AB371" s="37" t="str">
        <f t="shared" si="29"/>
        <v/>
      </c>
    </row>
    <row r="372" spans="1:28" x14ac:dyDescent="0.25">
      <c r="A372" s="102"/>
      <c r="B372" s="33"/>
      <c r="C372" s="25"/>
      <c r="D372" s="26"/>
      <c r="E372" s="33"/>
      <c r="F372" s="25"/>
      <c r="G372" s="25"/>
      <c r="H372" s="25"/>
      <c r="I372" s="55"/>
      <c r="P372" s="37" t="str">
        <f t="shared" ca="1" si="27"/>
        <v/>
      </c>
      <c r="Q372" s="37" t="str">
        <f t="shared" ca="1" si="28"/>
        <v/>
      </c>
      <c r="AB372" s="37" t="str">
        <f t="shared" si="29"/>
        <v/>
      </c>
    </row>
    <row r="373" spans="1:28" x14ac:dyDescent="0.25">
      <c r="A373" s="102"/>
      <c r="B373" s="33"/>
      <c r="C373" s="25"/>
      <c r="D373" s="26"/>
      <c r="E373" s="33"/>
      <c r="F373" s="25"/>
      <c r="G373" s="25"/>
      <c r="H373" s="25"/>
      <c r="I373" s="55"/>
      <c r="P373" s="37" t="str">
        <f t="shared" ca="1" si="27"/>
        <v/>
      </c>
      <c r="Q373" s="37" t="str">
        <f t="shared" ca="1" si="28"/>
        <v/>
      </c>
      <c r="AB373" s="37" t="str">
        <f t="shared" si="29"/>
        <v/>
      </c>
    </row>
    <row r="374" spans="1:28" x14ac:dyDescent="0.25">
      <c r="A374" s="102"/>
      <c r="B374" s="33"/>
      <c r="C374" s="25"/>
      <c r="D374" s="26"/>
      <c r="E374" s="33"/>
      <c r="F374" s="25"/>
      <c r="G374" s="25"/>
      <c r="H374" s="25"/>
      <c r="I374" s="55"/>
      <c r="P374" s="37" t="str">
        <f t="shared" ca="1" si="27"/>
        <v/>
      </c>
      <c r="Q374" s="37" t="str">
        <f t="shared" ca="1" si="28"/>
        <v/>
      </c>
      <c r="AB374" s="37" t="str">
        <f t="shared" si="29"/>
        <v/>
      </c>
    </row>
    <row r="375" spans="1:28" x14ac:dyDescent="0.25">
      <c r="A375" s="102"/>
      <c r="B375" s="33"/>
      <c r="C375" s="25"/>
      <c r="D375" s="26"/>
      <c r="E375" s="33"/>
      <c r="F375" s="25"/>
      <c r="G375" s="25"/>
      <c r="H375" s="25"/>
      <c r="I375" s="55"/>
      <c r="P375" s="37" t="str">
        <f t="shared" ca="1" si="27"/>
        <v/>
      </c>
      <c r="Q375" s="37" t="str">
        <f t="shared" ca="1" si="28"/>
        <v/>
      </c>
      <c r="AB375" s="37" t="str">
        <f t="shared" si="29"/>
        <v/>
      </c>
    </row>
    <row r="376" spans="1:28" x14ac:dyDescent="0.25">
      <c r="A376" s="102"/>
      <c r="B376" s="33"/>
      <c r="C376" s="25"/>
      <c r="D376" s="26"/>
      <c r="E376" s="33"/>
      <c r="F376" s="25"/>
      <c r="G376" s="25"/>
      <c r="H376" s="25"/>
      <c r="I376" s="55"/>
      <c r="P376" s="37" t="str">
        <f t="shared" ca="1" si="27"/>
        <v/>
      </c>
      <c r="Q376" s="37" t="str">
        <f t="shared" ca="1" si="28"/>
        <v/>
      </c>
      <c r="AB376" s="37" t="str">
        <f t="shared" si="29"/>
        <v/>
      </c>
    </row>
    <row r="377" spans="1:28" x14ac:dyDescent="0.25">
      <c r="A377" s="102"/>
      <c r="B377" s="33"/>
      <c r="C377" s="25"/>
      <c r="D377" s="26"/>
      <c r="E377" s="33"/>
      <c r="F377" s="25"/>
      <c r="G377" s="25"/>
      <c r="H377" s="25"/>
      <c r="I377" s="55"/>
      <c r="P377" s="37" t="str">
        <f t="shared" ca="1" si="27"/>
        <v/>
      </c>
      <c r="Q377" s="37" t="str">
        <f t="shared" ca="1" si="28"/>
        <v/>
      </c>
      <c r="AB377" s="37" t="str">
        <f t="shared" si="29"/>
        <v/>
      </c>
    </row>
    <row r="378" spans="1:28" x14ac:dyDescent="0.25">
      <c r="A378" s="102"/>
      <c r="B378" s="33"/>
      <c r="C378" s="25"/>
      <c r="D378" s="26"/>
      <c r="E378" s="33"/>
      <c r="F378" s="25"/>
      <c r="G378" s="25"/>
      <c r="H378" s="25"/>
      <c r="I378" s="55"/>
      <c r="P378" s="37" t="str">
        <f t="shared" ca="1" si="27"/>
        <v/>
      </c>
      <c r="Q378" s="37" t="str">
        <f t="shared" ca="1" si="28"/>
        <v/>
      </c>
      <c r="AB378" s="37" t="str">
        <f t="shared" si="29"/>
        <v/>
      </c>
    </row>
    <row r="379" spans="1:28" x14ac:dyDescent="0.25">
      <c r="A379" s="102"/>
      <c r="B379" s="33"/>
      <c r="C379" s="25"/>
      <c r="D379" s="26"/>
      <c r="E379" s="33"/>
      <c r="F379" s="25"/>
      <c r="G379" s="25"/>
      <c r="H379" s="25"/>
      <c r="I379" s="55"/>
      <c r="P379" s="37" t="str">
        <f t="shared" ca="1" si="27"/>
        <v/>
      </c>
      <c r="Q379" s="37" t="str">
        <f t="shared" ca="1" si="28"/>
        <v/>
      </c>
      <c r="AB379" s="37" t="str">
        <f t="shared" si="29"/>
        <v/>
      </c>
    </row>
    <row r="380" spans="1:28" x14ac:dyDescent="0.25">
      <c r="A380" s="102"/>
      <c r="B380" s="33"/>
      <c r="C380" s="25"/>
      <c r="D380" s="26"/>
      <c r="E380" s="33"/>
      <c r="F380" s="25"/>
      <c r="G380" s="25"/>
      <c r="H380" s="25"/>
      <c r="I380" s="55"/>
      <c r="P380" s="37" t="str">
        <f t="shared" ca="1" si="27"/>
        <v/>
      </c>
      <c r="Q380" s="37" t="str">
        <f t="shared" ca="1" si="28"/>
        <v/>
      </c>
      <c r="AB380" s="37" t="str">
        <f t="shared" si="29"/>
        <v/>
      </c>
    </row>
    <row r="381" spans="1:28" x14ac:dyDescent="0.25">
      <c r="A381" s="102"/>
      <c r="B381" s="33"/>
      <c r="C381" s="25"/>
      <c r="D381" s="26"/>
      <c r="E381" s="33"/>
      <c r="F381" s="25"/>
      <c r="G381" s="25"/>
      <c r="H381" s="25"/>
      <c r="I381" s="55"/>
      <c r="P381" s="37" t="str">
        <f t="shared" ca="1" si="27"/>
        <v/>
      </c>
      <c r="Q381" s="37" t="str">
        <f t="shared" ca="1" si="28"/>
        <v/>
      </c>
      <c r="AB381" s="37" t="str">
        <f t="shared" si="29"/>
        <v/>
      </c>
    </row>
    <row r="382" spans="1:28" x14ac:dyDescent="0.25">
      <c r="A382" s="102"/>
      <c r="B382" s="33"/>
      <c r="C382" s="25"/>
      <c r="D382" s="26"/>
      <c r="E382" s="33"/>
      <c r="F382" s="25"/>
      <c r="G382" s="25"/>
      <c r="H382" s="25"/>
      <c r="I382" s="55"/>
      <c r="P382" s="37" t="str">
        <f t="shared" ca="1" si="27"/>
        <v/>
      </c>
      <c r="Q382" s="37" t="str">
        <f t="shared" ca="1" si="28"/>
        <v/>
      </c>
      <c r="AB382" s="37" t="str">
        <f t="shared" si="29"/>
        <v/>
      </c>
    </row>
    <row r="383" spans="1:28" x14ac:dyDescent="0.25">
      <c r="A383" s="102"/>
      <c r="B383" s="33"/>
      <c r="C383" s="25"/>
      <c r="D383" s="26"/>
      <c r="E383" s="33"/>
      <c r="F383" s="25"/>
      <c r="G383" s="25"/>
      <c r="H383" s="25"/>
      <c r="I383" s="55"/>
      <c r="P383" s="37" t="str">
        <f t="shared" ca="1" si="27"/>
        <v/>
      </c>
      <c r="Q383" s="37" t="str">
        <f t="shared" ca="1" si="28"/>
        <v/>
      </c>
      <c r="AB383" s="37" t="str">
        <f t="shared" si="29"/>
        <v/>
      </c>
    </row>
    <row r="384" spans="1:28" x14ac:dyDescent="0.25">
      <c r="A384" s="102"/>
      <c r="B384" s="33"/>
      <c r="C384" s="25"/>
      <c r="D384" s="26"/>
      <c r="E384" s="33"/>
      <c r="F384" s="25"/>
      <c r="G384" s="25"/>
      <c r="H384" s="25"/>
      <c r="I384" s="55"/>
      <c r="P384" s="37" t="str">
        <f t="shared" ca="1" si="27"/>
        <v/>
      </c>
      <c r="Q384" s="37" t="str">
        <f t="shared" ca="1" si="28"/>
        <v/>
      </c>
      <c r="AB384" s="37" t="str">
        <f t="shared" si="29"/>
        <v/>
      </c>
    </row>
    <row r="385" spans="1:28" x14ac:dyDescent="0.25">
      <c r="A385" s="102"/>
      <c r="B385" s="33"/>
      <c r="C385" s="25"/>
      <c r="D385" s="26"/>
      <c r="E385" s="33"/>
      <c r="F385" s="25"/>
      <c r="G385" s="25"/>
      <c r="H385" s="25"/>
      <c r="I385" s="55"/>
      <c r="P385" s="37" t="str">
        <f t="shared" ca="1" si="27"/>
        <v/>
      </c>
      <c r="Q385" s="37" t="str">
        <f t="shared" ca="1" si="28"/>
        <v/>
      </c>
      <c r="AB385" s="37" t="str">
        <f t="shared" si="29"/>
        <v/>
      </c>
    </row>
    <row r="386" spans="1:28" x14ac:dyDescent="0.25">
      <c r="A386" s="102"/>
      <c r="B386" s="33"/>
      <c r="C386" s="25"/>
      <c r="D386" s="26"/>
      <c r="E386" s="33"/>
      <c r="F386" s="25"/>
      <c r="G386" s="25"/>
      <c r="H386" s="25"/>
      <c r="I386" s="55"/>
      <c r="P386" s="37" t="str">
        <f t="shared" ca="1" si="27"/>
        <v/>
      </c>
      <c r="Q386" s="37" t="str">
        <f t="shared" ca="1" si="28"/>
        <v/>
      </c>
      <c r="AB386" s="37" t="str">
        <f t="shared" si="29"/>
        <v/>
      </c>
    </row>
    <row r="387" spans="1:28" x14ac:dyDescent="0.25">
      <c r="A387" s="102"/>
      <c r="B387" s="33"/>
      <c r="C387" s="25"/>
      <c r="D387" s="26"/>
      <c r="E387" s="33"/>
      <c r="F387" s="25"/>
      <c r="G387" s="25"/>
      <c r="H387" s="25"/>
      <c r="I387" s="55"/>
      <c r="P387" s="37" t="str">
        <f t="shared" ca="1" si="27"/>
        <v/>
      </c>
      <c r="Q387" s="37" t="str">
        <f t="shared" ca="1" si="28"/>
        <v/>
      </c>
      <c r="AB387" s="37" t="str">
        <f t="shared" si="29"/>
        <v/>
      </c>
    </row>
    <row r="388" spans="1:28" x14ac:dyDescent="0.25">
      <c r="A388" s="102"/>
      <c r="B388" s="33"/>
      <c r="C388" s="25"/>
      <c r="D388" s="26"/>
      <c r="E388" s="33"/>
      <c r="F388" s="25"/>
      <c r="G388" s="25"/>
      <c r="H388" s="25"/>
      <c r="I388" s="55"/>
      <c r="P388" s="37" t="str">
        <f t="shared" ref="P388:P451" ca="1" si="30">IF(COUNTIF(N:N,L388),L388,"")</f>
        <v/>
      </c>
      <c r="Q388" s="37" t="str">
        <f t="shared" ref="Q388:Q451" ca="1" si="31">IF(P388&gt;$A$14,P388,"")</f>
        <v/>
      </c>
      <c r="AB388" s="37" t="str">
        <f t="shared" ref="AB388:AB421" si="32">IF(COUNTIF(Z:Z,X388),X388,"")</f>
        <v/>
      </c>
    </row>
    <row r="389" spans="1:28" x14ac:dyDescent="0.25">
      <c r="A389" s="102"/>
      <c r="B389" s="33"/>
      <c r="C389" s="25"/>
      <c r="D389" s="26"/>
      <c r="E389" s="33"/>
      <c r="F389" s="25"/>
      <c r="G389" s="25"/>
      <c r="H389" s="25"/>
      <c r="I389" s="55"/>
      <c r="P389" s="37" t="str">
        <f t="shared" ca="1" si="30"/>
        <v/>
      </c>
      <c r="Q389" s="37" t="str">
        <f t="shared" ca="1" si="31"/>
        <v/>
      </c>
      <c r="AB389" s="37" t="str">
        <f t="shared" si="32"/>
        <v/>
      </c>
    </row>
    <row r="390" spans="1:28" x14ac:dyDescent="0.25">
      <c r="A390" s="102"/>
      <c r="B390" s="33"/>
      <c r="C390" s="25"/>
      <c r="D390" s="26"/>
      <c r="E390" s="33"/>
      <c r="F390" s="25"/>
      <c r="G390" s="25"/>
      <c r="H390" s="25"/>
      <c r="I390" s="55"/>
      <c r="P390" s="37" t="str">
        <f t="shared" ca="1" si="30"/>
        <v/>
      </c>
      <c r="Q390" s="37" t="str">
        <f t="shared" ca="1" si="31"/>
        <v/>
      </c>
      <c r="AB390" s="37" t="str">
        <f t="shared" si="32"/>
        <v/>
      </c>
    </row>
    <row r="391" spans="1:28" x14ac:dyDescent="0.25">
      <c r="A391" s="102"/>
      <c r="B391" s="33"/>
      <c r="C391" s="25"/>
      <c r="D391" s="26"/>
      <c r="E391" s="33"/>
      <c r="F391" s="25"/>
      <c r="G391" s="25"/>
      <c r="H391" s="25"/>
      <c r="I391" s="55"/>
      <c r="P391" s="37" t="str">
        <f t="shared" ca="1" si="30"/>
        <v/>
      </c>
      <c r="Q391" s="37" t="str">
        <f t="shared" ca="1" si="31"/>
        <v/>
      </c>
      <c r="AB391" s="37" t="str">
        <f t="shared" si="32"/>
        <v/>
      </c>
    </row>
    <row r="392" spans="1:28" x14ac:dyDescent="0.25">
      <c r="A392" s="102"/>
      <c r="B392" s="33"/>
      <c r="C392" s="25"/>
      <c r="D392" s="26"/>
      <c r="E392" s="33"/>
      <c r="F392" s="25"/>
      <c r="G392" s="25"/>
      <c r="H392" s="25"/>
      <c r="I392" s="55"/>
      <c r="P392" s="37" t="str">
        <f t="shared" ca="1" si="30"/>
        <v/>
      </c>
      <c r="Q392" s="37" t="str">
        <f t="shared" ca="1" si="31"/>
        <v/>
      </c>
      <c r="AB392" s="37" t="str">
        <f t="shared" si="32"/>
        <v/>
      </c>
    </row>
    <row r="393" spans="1:28" x14ac:dyDescent="0.25">
      <c r="A393" s="102"/>
      <c r="B393" s="33"/>
      <c r="C393" s="25"/>
      <c r="D393" s="26"/>
      <c r="E393" s="33"/>
      <c r="F393" s="25"/>
      <c r="G393" s="25"/>
      <c r="H393" s="25"/>
      <c r="I393" s="55"/>
      <c r="P393" s="37" t="str">
        <f t="shared" ca="1" si="30"/>
        <v/>
      </c>
      <c r="Q393" s="37" t="str">
        <f t="shared" ca="1" si="31"/>
        <v/>
      </c>
      <c r="AB393" s="37" t="str">
        <f t="shared" si="32"/>
        <v/>
      </c>
    </row>
    <row r="394" spans="1:28" x14ac:dyDescent="0.25">
      <c r="A394" s="102"/>
      <c r="B394" s="33"/>
      <c r="C394" s="25"/>
      <c r="D394" s="26"/>
      <c r="E394" s="33"/>
      <c r="F394" s="25"/>
      <c r="G394" s="25"/>
      <c r="H394" s="25"/>
      <c r="I394" s="55"/>
      <c r="P394" s="37" t="str">
        <f t="shared" ca="1" si="30"/>
        <v/>
      </c>
      <c r="Q394" s="37" t="str">
        <f t="shared" ca="1" si="31"/>
        <v/>
      </c>
      <c r="AB394" s="37" t="str">
        <f t="shared" si="32"/>
        <v/>
      </c>
    </row>
    <row r="395" spans="1:28" x14ac:dyDescent="0.25">
      <c r="A395" s="102"/>
      <c r="B395" s="33"/>
      <c r="C395" s="25"/>
      <c r="D395" s="26"/>
      <c r="E395" s="33"/>
      <c r="F395" s="25"/>
      <c r="G395" s="25"/>
      <c r="H395" s="25"/>
      <c r="I395" s="55"/>
      <c r="P395" s="37" t="str">
        <f t="shared" ca="1" si="30"/>
        <v/>
      </c>
      <c r="Q395" s="37" t="str">
        <f t="shared" ca="1" si="31"/>
        <v/>
      </c>
      <c r="AB395" s="37" t="str">
        <f t="shared" si="32"/>
        <v/>
      </c>
    </row>
    <row r="396" spans="1:28" x14ac:dyDescent="0.25">
      <c r="A396" s="102"/>
      <c r="B396" s="33"/>
      <c r="C396" s="25"/>
      <c r="D396" s="26"/>
      <c r="E396" s="33"/>
      <c r="F396" s="25"/>
      <c r="G396" s="25"/>
      <c r="H396" s="25"/>
      <c r="I396" s="55"/>
      <c r="P396" s="37" t="str">
        <f t="shared" ca="1" si="30"/>
        <v/>
      </c>
      <c r="Q396" s="37" t="str">
        <f t="shared" ca="1" si="31"/>
        <v/>
      </c>
      <c r="AB396" s="37" t="str">
        <f t="shared" si="32"/>
        <v/>
      </c>
    </row>
    <row r="397" spans="1:28" x14ac:dyDescent="0.25">
      <c r="A397" s="102"/>
      <c r="B397" s="33"/>
      <c r="C397" s="25"/>
      <c r="D397" s="26"/>
      <c r="E397" s="33"/>
      <c r="F397" s="25"/>
      <c r="G397" s="25"/>
      <c r="H397" s="25"/>
      <c r="I397" s="55"/>
      <c r="P397" s="37" t="str">
        <f t="shared" ca="1" si="30"/>
        <v/>
      </c>
      <c r="Q397" s="37" t="str">
        <f t="shared" ca="1" si="31"/>
        <v/>
      </c>
      <c r="AB397" s="37" t="str">
        <f t="shared" si="32"/>
        <v/>
      </c>
    </row>
    <row r="398" spans="1:28" x14ac:dyDescent="0.25">
      <c r="A398" s="102"/>
      <c r="B398" s="33"/>
      <c r="C398" s="25"/>
      <c r="D398" s="26"/>
      <c r="E398" s="33"/>
      <c r="F398" s="25"/>
      <c r="G398" s="25"/>
      <c r="H398" s="25"/>
      <c r="I398" s="55"/>
      <c r="P398" s="37" t="str">
        <f t="shared" ca="1" si="30"/>
        <v/>
      </c>
      <c r="Q398" s="37" t="str">
        <f t="shared" ca="1" si="31"/>
        <v/>
      </c>
      <c r="AB398" s="37" t="str">
        <f t="shared" si="32"/>
        <v/>
      </c>
    </row>
    <row r="399" spans="1:28" x14ac:dyDescent="0.25">
      <c r="A399" s="102"/>
      <c r="B399" s="33"/>
      <c r="C399" s="25"/>
      <c r="D399" s="26"/>
      <c r="E399" s="33"/>
      <c r="F399" s="25"/>
      <c r="G399" s="25"/>
      <c r="H399" s="25"/>
      <c r="I399" s="55"/>
      <c r="P399" s="37" t="str">
        <f t="shared" ca="1" si="30"/>
        <v/>
      </c>
      <c r="Q399" s="37" t="str">
        <f t="shared" ca="1" si="31"/>
        <v/>
      </c>
      <c r="AB399" s="37" t="str">
        <f t="shared" si="32"/>
        <v/>
      </c>
    </row>
    <row r="400" spans="1:28" x14ac:dyDescent="0.25">
      <c r="A400" s="102"/>
      <c r="B400" s="33"/>
      <c r="C400" s="25"/>
      <c r="D400" s="26"/>
      <c r="E400" s="33"/>
      <c r="F400" s="25"/>
      <c r="G400" s="25"/>
      <c r="H400" s="25"/>
      <c r="I400" s="55"/>
      <c r="P400" s="37" t="str">
        <f t="shared" ca="1" si="30"/>
        <v/>
      </c>
      <c r="Q400" s="37" t="str">
        <f t="shared" ca="1" si="31"/>
        <v/>
      </c>
      <c r="AB400" s="37" t="str">
        <f t="shared" si="32"/>
        <v/>
      </c>
    </row>
    <row r="401" spans="1:28" x14ac:dyDescent="0.25">
      <c r="A401" s="102"/>
      <c r="B401" s="33"/>
      <c r="C401" s="25"/>
      <c r="D401" s="26"/>
      <c r="E401" s="33"/>
      <c r="F401" s="25"/>
      <c r="G401" s="25"/>
      <c r="H401" s="25"/>
      <c r="I401" s="55"/>
      <c r="P401" s="37" t="str">
        <f t="shared" ca="1" si="30"/>
        <v/>
      </c>
      <c r="Q401" s="37" t="str">
        <f t="shared" ca="1" si="31"/>
        <v/>
      </c>
      <c r="AB401" s="37" t="str">
        <f t="shared" si="32"/>
        <v/>
      </c>
    </row>
    <row r="402" spans="1:28" x14ac:dyDescent="0.25">
      <c r="A402" s="102"/>
      <c r="B402" s="33"/>
      <c r="C402" s="25"/>
      <c r="D402" s="26"/>
      <c r="E402" s="33"/>
      <c r="F402" s="25"/>
      <c r="G402" s="25"/>
      <c r="H402" s="25"/>
      <c r="I402" s="55"/>
      <c r="P402" s="37" t="str">
        <f t="shared" ca="1" si="30"/>
        <v/>
      </c>
      <c r="Q402" s="37" t="str">
        <f t="shared" ca="1" si="31"/>
        <v/>
      </c>
      <c r="AB402" s="37" t="str">
        <f t="shared" si="32"/>
        <v/>
      </c>
    </row>
    <row r="403" spans="1:28" x14ac:dyDescent="0.25">
      <c r="A403" s="102"/>
      <c r="B403" s="33"/>
      <c r="C403" s="25"/>
      <c r="D403" s="26"/>
      <c r="E403" s="33"/>
      <c r="F403" s="25"/>
      <c r="G403" s="25"/>
      <c r="H403" s="25"/>
      <c r="I403" s="55"/>
      <c r="P403" s="37" t="str">
        <f t="shared" ca="1" si="30"/>
        <v/>
      </c>
      <c r="Q403" s="37" t="str">
        <f t="shared" ca="1" si="31"/>
        <v/>
      </c>
      <c r="AB403" s="37" t="str">
        <f t="shared" si="32"/>
        <v/>
      </c>
    </row>
    <row r="404" spans="1:28" x14ac:dyDescent="0.25">
      <c r="A404" s="102"/>
      <c r="B404" s="33"/>
      <c r="C404" s="25"/>
      <c r="D404" s="26"/>
      <c r="E404" s="33"/>
      <c r="F404" s="25"/>
      <c r="G404" s="25"/>
      <c r="H404" s="25"/>
      <c r="I404" s="55"/>
      <c r="P404" s="37" t="str">
        <f t="shared" ca="1" si="30"/>
        <v/>
      </c>
      <c r="Q404" s="37" t="str">
        <f t="shared" ca="1" si="31"/>
        <v/>
      </c>
      <c r="AB404" s="37" t="str">
        <f t="shared" si="32"/>
        <v/>
      </c>
    </row>
    <row r="405" spans="1:28" x14ac:dyDescent="0.25">
      <c r="A405" s="102"/>
      <c r="B405" s="33"/>
      <c r="C405" s="25"/>
      <c r="D405" s="26"/>
      <c r="E405" s="33"/>
      <c r="F405" s="25"/>
      <c r="G405" s="25"/>
      <c r="H405" s="25"/>
      <c r="I405" s="55"/>
      <c r="P405" s="37" t="str">
        <f t="shared" ca="1" si="30"/>
        <v/>
      </c>
      <c r="Q405" s="37" t="str">
        <f t="shared" ca="1" si="31"/>
        <v/>
      </c>
      <c r="AB405" s="37" t="str">
        <f t="shared" si="32"/>
        <v/>
      </c>
    </row>
    <row r="406" spans="1:28" x14ac:dyDescent="0.25">
      <c r="A406" s="102"/>
      <c r="B406" s="33"/>
      <c r="C406" s="25"/>
      <c r="D406" s="26"/>
      <c r="E406" s="33"/>
      <c r="F406" s="25"/>
      <c r="G406" s="25"/>
      <c r="H406" s="25"/>
      <c r="I406" s="55"/>
      <c r="P406" s="37" t="str">
        <f t="shared" ca="1" si="30"/>
        <v/>
      </c>
      <c r="Q406" s="37" t="str">
        <f t="shared" ca="1" si="31"/>
        <v/>
      </c>
      <c r="AB406" s="37" t="str">
        <f t="shared" si="32"/>
        <v/>
      </c>
    </row>
    <row r="407" spans="1:28" x14ac:dyDescent="0.25">
      <c r="A407" s="102"/>
      <c r="B407" s="33"/>
      <c r="C407" s="25"/>
      <c r="D407" s="26"/>
      <c r="E407" s="33"/>
      <c r="F407" s="25"/>
      <c r="G407" s="25"/>
      <c r="H407" s="25"/>
      <c r="I407" s="55"/>
      <c r="P407" s="37" t="str">
        <f t="shared" ca="1" si="30"/>
        <v/>
      </c>
      <c r="Q407" s="37" t="str">
        <f t="shared" ca="1" si="31"/>
        <v/>
      </c>
      <c r="AB407" s="37" t="str">
        <f t="shared" si="32"/>
        <v/>
      </c>
    </row>
    <row r="408" spans="1:28" x14ac:dyDescent="0.25">
      <c r="A408" s="102"/>
      <c r="B408" s="33"/>
      <c r="C408" s="25"/>
      <c r="D408" s="26"/>
      <c r="E408" s="33"/>
      <c r="F408" s="25"/>
      <c r="G408" s="25"/>
      <c r="H408" s="25"/>
      <c r="I408" s="55"/>
      <c r="P408" s="37" t="str">
        <f t="shared" ca="1" si="30"/>
        <v/>
      </c>
      <c r="Q408" s="37" t="str">
        <f t="shared" ca="1" si="31"/>
        <v/>
      </c>
      <c r="AB408" s="37" t="str">
        <f t="shared" si="32"/>
        <v/>
      </c>
    </row>
    <row r="409" spans="1:28" x14ac:dyDescent="0.25">
      <c r="A409" s="102"/>
      <c r="B409" s="33"/>
      <c r="C409" s="25"/>
      <c r="D409" s="26"/>
      <c r="E409" s="33"/>
      <c r="F409" s="25"/>
      <c r="G409" s="25"/>
      <c r="H409" s="25"/>
      <c r="I409" s="55"/>
      <c r="P409" s="37" t="str">
        <f t="shared" ca="1" si="30"/>
        <v/>
      </c>
      <c r="Q409" s="37" t="str">
        <f t="shared" ca="1" si="31"/>
        <v/>
      </c>
      <c r="AB409" s="37" t="str">
        <f t="shared" si="32"/>
        <v/>
      </c>
    </row>
    <row r="410" spans="1:28" x14ac:dyDescent="0.25">
      <c r="A410" s="102"/>
      <c r="B410" s="33"/>
      <c r="C410" s="25"/>
      <c r="D410" s="26"/>
      <c r="E410" s="33"/>
      <c r="F410" s="25"/>
      <c r="G410" s="25"/>
      <c r="H410" s="25"/>
      <c r="I410" s="55"/>
      <c r="P410" s="37" t="str">
        <f t="shared" ca="1" si="30"/>
        <v/>
      </c>
      <c r="Q410" s="37" t="str">
        <f t="shared" ca="1" si="31"/>
        <v/>
      </c>
      <c r="AB410" s="37" t="str">
        <f t="shared" si="32"/>
        <v/>
      </c>
    </row>
    <row r="411" spans="1:28" x14ac:dyDescent="0.25">
      <c r="A411" s="102"/>
      <c r="B411" s="33"/>
      <c r="C411" s="25"/>
      <c r="D411" s="26"/>
      <c r="E411" s="33"/>
      <c r="F411" s="25"/>
      <c r="G411" s="25"/>
      <c r="H411" s="25"/>
      <c r="I411" s="55"/>
      <c r="P411" s="37" t="str">
        <f t="shared" ca="1" si="30"/>
        <v/>
      </c>
      <c r="Q411" s="37" t="str">
        <f t="shared" ca="1" si="31"/>
        <v/>
      </c>
      <c r="AB411" s="37" t="str">
        <f t="shared" si="32"/>
        <v/>
      </c>
    </row>
    <row r="412" spans="1:28" x14ac:dyDescent="0.25">
      <c r="A412" s="102"/>
      <c r="B412" s="33"/>
      <c r="C412" s="25"/>
      <c r="D412" s="26"/>
      <c r="E412" s="33"/>
      <c r="F412" s="25"/>
      <c r="G412" s="25"/>
      <c r="H412" s="25"/>
      <c r="I412" s="55"/>
      <c r="P412" s="37" t="str">
        <f t="shared" ca="1" si="30"/>
        <v/>
      </c>
      <c r="Q412" s="37" t="str">
        <f t="shared" ca="1" si="31"/>
        <v/>
      </c>
      <c r="AB412" s="37" t="str">
        <f t="shared" si="32"/>
        <v/>
      </c>
    </row>
    <row r="413" spans="1:28" x14ac:dyDescent="0.25">
      <c r="A413" s="102"/>
      <c r="B413" s="33"/>
      <c r="C413" s="25"/>
      <c r="D413" s="26"/>
      <c r="E413" s="33"/>
      <c r="F413" s="25"/>
      <c r="G413" s="25"/>
      <c r="H413" s="25"/>
      <c r="I413" s="55"/>
      <c r="P413" s="37" t="str">
        <f t="shared" ca="1" si="30"/>
        <v/>
      </c>
      <c r="Q413" s="37" t="str">
        <f t="shared" ca="1" si="31"/>
        <v/>
      </c>
      <c r="AB413" s="37" t="str">
        <f t="shared" si="32"/>
        <v/>
      </c>
    </row>
    <row r="414" spans="1:28" x14ac:dyDescent="0.25">
      <c r="A414" s="102"/>
      <c r="B414" s="33"/>
      <c r="C414" s="25"/>
      <c r="D414" s="26"/>
      <c r="E414" s="33"/>
      <c r="F414" s="25"/>
      <c r="G414" s="25"/>
      <c r="H414" s="25"/>
      <c r="I414" s="55"/>
      <c r="P414" s="37" t="str">
        <f t="shared" ca="1" si="30"/>
        <v/>
      </c>
      <c r="Q414" s="37" t="str">
        <f t="shared" ca="1" si="31"/>
        <v/>
      </c>
      <c r="AB414" s="37" t="str">
        <f t="shared" si="32"/>
        <v/>
      </c>
    </row>
    <row r="415" spans="1:28" x14ac:dyDescent="0.25">
      <c r="A415" s="102"/>
      <c r="B415" s="33"/>
      <c r="C415" s="25"/>
      <c r="D415" s="26"/>
      <c r="E415" s="33"/>
      <c r="F415" s="25"/>
      <c r="G415" s="25"/>
      <c r="H415" s="25"/>
      <c r="I415" s="55"/>
      <c r="P415" s="37" t="str">
        <f t="shared" ca="1" si="30"/>
        <v/>
      </c>
      <c r="Q415" s="37" t="str">
        <f t="shared" ca="1" si="31"/>
        <v/>
      </c>
      <c r="AB415" s="37" t="str">
        <f t="shared" si="32"/>
        <v/>
      </c>
    </row>
    <row r="416" spans="1:28" x14ac:dyDescent="0.25">
      <c r="A416" s="102"/>
      <c r="B416" s="33"/>
      <c r="C416" s="25"/>
      <c r="D416" s="26"/>
      <c r="E416" s="33"/>
      <c r="F416" s="25"/>
      <c r="G416" s="25"/>
      <c r="H416" s="25"/>
      <c r="I416" s="55"/>
      <c r="P416" s="37" t="str">
        <f t="shared" ca="1" si="30"/>
        <v/>
      </c>
      <c r="Q416" s="37" t="str">
        <f t="shared" ca="1" si="31"/>
        <v/>
      </c>
      <c r="AB416" s="37" t="str">
        <f t="shared" si="32"/>
        <v/>
      </c>
    </row>
    <row r="417" spans="1:28" x14ac:dyDescent="0.25">
      <c r="A417" s="102"/>
      <c r="B417" s="33"/>
      <c r="C417" s="25"/>
      <c r="D417" s="26"/>
      <c r="E417" s="33"/>
      <c r="F417" s="25"/>
      <c r="G417" s="25"/>
      <c r="H417" s="25"/>
      <c r="I417" s="55"/>
      <c r="P417" s="37" t="str">
        <f t="shared" ca="1" si="30"/>
        <v/>
      </c>
      <c r="Q417" s="37" t="str">
        <f t="shared" ca="1" si="31"/>
        <v/>
      </c>
      <c r="AB417" s="37" t="str">
        <f t="shared" si="32"/>
        <v/>
      </c>
    </row>
    <row r="418" spans="1:28" x14ac:dyDescent="0.25">
      <c r="A418" s="102"/>
      <c r="B418" s="33"/>
      <c r="C418" s="25"/>
      <c r="D418" s="26"/>
      <c r="E418" s="33"/>
      <c r="F418" s="25"/>
      <c r="G418" s="25"/>
      <c r="H418" s="25"/>
      <c r="I418" s="55"/>
      <c r="P418" s="37" t="str">
        <f t="shared" ca="1" si="30"/>
        <v/>
      </c>
      <c r="Q418" s="37" t="str">
        <f t="shared" ca="1" si="31"/>
        <v/>
      </c>
      <c r="AB418" s="37" t="str">
        <f t="shared" si="32"/>
        <v/>
      </c>
    </row>
    <row r="419" spans="1:28" x14ac:dyDescent="0.25">
      <c r="A419" s="102"/>
      <c r="B419" s="33"/>
      <c r="C419" s="25"/>
      <c r="D419" s="26"/>
      <c r="E419" s="33"/>
      <c r="F419" s="25"/>
      <c r="G419" s="25"/>
      <c r="H419" s="25"/>
      <c r="I419" s="55"/>
      <c r="P419" s="37" t="str">
        <f t="shared" ca="1" si="30"/>
        <v/>
      </c>
      <c r="Q419" s="37" t="str">
        <f t="shared" ca="1" si="31"/>
        <v/>
      </c>
      <c r="AB419" s="37" t="str">
        <f t="shared" si="32"/>
        <v/>
      </c>
    </row>
    <row r="420" spans="1:28" x14ac:dyDescent="0.25">
      <c r="A420" s="102"/>
      <c r="B420" s="33"/>
      <c r="C420" s="25"/>
      <c r="D420" s="26"/>
      <c r="E420" s="33"/>
      <c r="F420" s="25"/>
      <c r="G420" s="25"/>
      <c r="H420" s="25"/>
      <c r="I420" s="55"/>
      <c r="P420" s="37" t="str">
        <f t="shared" ca="1" si="30"/>
        <v/>
      </c>
      <c r="Q420" s="37" t="str">
        <f t="shared" ca="1" si="31"/>
        <v/>
      </c>
      <c r="AB420" s="37" t="str">
        <f t="shared" si="32"/>
        <v/>
      </c>
    </row>
    <row r="421" spans="1:28" x14ac:dyDescent="0.25">
      <c r="A421" s="102"/>
      <c r="B421" s="33"/>
      <c r="C421" s="25"/>
      <c r="D421" s="26"/>
      <c r="E421" s="33"/>
      <c r="F421" s="25"/>
      <c r="G421" s="25"/>
      <c r="H421" s="25"/>
      <c r="I421" s="55"/>
      <c r="P421" s="37" t="str">
        <f t="shared" ca="1" si="30"/>
        <v/>
      </c>
      <c r="Q421" s="37" t="str">
        <f t="shared" ca="1" si="31"/>
        <v/>
      </c>
      <c r="AB421" s="37" t="str">
        <f t="shared" si="32"/>
        <v/>
      </c>
    </row>
    <row r="422" spans="1:28" x14ac:dyDescent="0.25">
      <c r="A422" s="102"/>
      <c r="B422" s="33"/>
      <c r="C422" s="25"/>
      <c r="D422" s="26"/>
      <c r="E422" s="33"/>
      <c r="F422" s="25"/>
      <c r="G422" s="25"/>
      <c r="H422" s="25"/>
      <c r="I422" s="55"/>
      <c r="P422" s="37" t="str">
        <f t="shared" ca="1" si="30"/>
        <v/>
      </c>
      <c r="Q422" s="37" t="str">
        <f t="shared" ca="1" si="31"/>
        <v/>
      </c>
    </row>
    <row r="423" spans="1:28" x14ac:dyDescent="0.25">
      <c r="A423" s="102"/>
      <c r="B423" s="33"/>
      <c r="C423" s="25"/>
      <c r="D423" s="26"/>
      <c r="E423" s="33"/>
      <c r="F423" s="25"/>
      <c r="G423" s="25"/>
      <c r="H423" s="25"/>
      <c r="I423" s="55"/>
      <c r="P423" s="37" t="str">
        <f t="shared" ca="1" si="30"/>
        <v/>
      </c>
      <c r="Q423" s="37" t="str">
        <f t="shared" ca="1" si="31"/>
        <v/>
      </c>
    </row>
    <row r="424" spans="1:28" x14ac:dyDescent="0.25">
      <c r="A424" s="102"/>
      <c r="B424" s="33"/>
      <c r="C424" s="25"/>
      <c r="D424" s="26"/>
      <c r="E424" s="33"/>
      <c r="F424" s="25"/>
      <c r="G424" s="25"/>
      <c r="H424" s="25"/>
      <c r="I424" s="55"/>
      <c r="P424" s="37" t="str">
        <f t="shared" ca="1" si="30"/>
        <v/>
      </c>
      <c r="Q424" s="37" t="str">
        <f t="shared" ca="1" si="31"/>
        <v/>
      </c>
    </row>
    <row r="425" spans="1:28" x14ac:dyDescent="0.25">
      <c r="A425" s="102"/>
      <c r="B425" s="33"/>
      <c r="C425" s="25"/>
      <c r="D425" s="26"/>
      <c r="E425" s="33"/>
      <c r="F425" s="25"/>
      <c r="G425" s="25"/>
      <c r="H425" s="25"/>
      <c r="I425" s="55"/>
      <c r="P425" s="37" t="str">
        <f t="shared" ca="1" si="30"/>
        <v/>
      </c>
      <c r="Q425" s="37" t="str">
        <f t="shared" ca="1" si="31"/>
        <v/>
      </c>
    </row>
    <row r="426" spans="1:28" x14ac:dyDescent="0.25">
      <c r="A426" s="102"/>
      <c r="B426" s="33"/>
      <c r="C426" s="25"/>
      <c r="D426" s="26"/>
      <c r="E426" s="33"/>
      <c r="F426" s="25"/>
      <c r="G426" s="25"/>
      <c r="H426" s="25"/>
      <c r="I426" s="55"/>
      <c r="P426" s="37" t="str">
        <f t="shared" ca="1" si="30"/>
        <v/>
      </c>
      <c r="Q426" s="37" t="str">
        <f t="shared" ca="1" si="31"/>
        <v/>
      </c>
    </row>
    <row r="427" spans="1:28" x14ac:dyDescent="0.25">
      <c r="A427" s="102"/>
      <c r="B427" s="33"/>
      <c r="C427" s="25"/>
      <c r="D427" s="26"/>
      <c r="E427" s="33"/>
      <c r="F427" s="25"/>
      <c r="G427" s="25"/>
      <c r="H427" s="25"/>
      <c r="I427" s="55"/>
      <c r="P427" s="37" t="str">
        <f t="shared" ca="1" si="30"/>
        <v/>
      </c>
      <c r="Q427" s="37" t="str">
        <f t="shared" ca="1" si="31"/>
        <v/>
      </c>
    </row>
    <row r="428" spans="1:28" x14ac:dyDescent="0.25">
      <c r="A428" s="102"/>
      <c r="B428" s="33"/>
      <c r="C428" s="25"/>
      <c r="D428" s="26"/>
      <c r="E428" s="33"/>
      <c r="F428" s="25"/>
      <c r="G428" s="25"/>
      <c r="H428" s="25"/>
      <c r="I428" s="55"/>
      <c r="P428" s="37" t="str">
        <f t="shared" ca="1" si="30"/>
        <v/>
      </c>
      <c r="Q428" s="37" t="str">
        <f t="shared" ca="1" si="31"/>
        <v/>
      </c>
    </row>
    <row r="429" spans="1:28" x14ac:dyDescent="0.25">
      <c r="A429" s="102"/>
      <c r="B429" s="33"/>
      <c r="C429" s="25"/>
      <c r="D429" s="26"/>
      <c r="E429" s="33"/>
      <c r="F429" s="25"/>
      <c r="G429" s="25"/>
      <c r="H429" s="25"/>
      <c r="I429" s="55"/>
      <c r="P429" s="37" t="str">
        <f t="shared" ca="1" si="30"/>
        <v/>
      </c>
      <c r="Q429" s="37" t="str">
        <f t="shared" ca="1" si="31"/>
        <v/>
      </c>
    </row>
    <row r="430" spans="1:28" x14ac:dyDescent="0.25">
      <c r="A430" s="102"/>
      <c r="B430" s="33"/>
      <c r="C430" s="25"/>
      <c r="D430" s="26"/>
      <c r="E430" s="33"/>
      <c r="F430" s="25"/>
      <c r="G430" s="25"/>
      <c r="H430" s="25"/>
      <c r="I430" s="55"/>
      <c r="P430" s="37" t="str">
        <f t="shared" ca="1" si="30"/>
        <v/>
      </c>
      <c r="Q430" s="37" t="str">
        <f t="shared" ca="1" si="31"/>
        <v/>
      </c>
    </row>
    <row r="431" spans="1:28" x14ac:dyDescent="0.25">
      <c r="A431" s="102"/>
      <c r="B431" s="33"/>
      <c r="C431" s="25"/>
      <c r="D431" s="26"/>
      <c r="E431" s="33"/>
      <c r="F431" s="25"/>
      <c r="G431" s="25"/>
      <c r="H431" s="25"/>
      <c r="I431" s="55"/>
      <c r="P431" s="37" t="str">
        <f t="shared" ca="1" si="30"/>
        <v/>
      </c>
      <c r="Q431" s="37" t="str">
        <f t="shared" ca="1" si="31"/>
        <v/>
      </c>
    </row>
    <row r="432" spans="1:28" x14ac:dyDescent="0.25">
      <c r="A432" s="102"/>
      <c r="B432" s="33"/>
      <c r="C432" s="25"/>
      <c r="D432" s="26"/>
      <c r="E432" s="33"/>
      <c r="F432" s="25"/>
      <c r="G432" s="25"/>
      <c r="H432" s="25"/>
      <c r="I432" s="55"/>
      <c r="P432" s="37" t="str">
        <f t="shared" ca="1" si="30"/>
        <v/>
      </c>
      <c r="Q432" s="37" t="str">
        <f t="shared" ca="1" si="31"/>
        <v/>
      </c>
    </row>
    <row r="433" spans="1:17" x14ac:dyDescent="0.25">
      <c r="A433" s="102"/>
      <c r="B433" s="33"/>
      <c r="C433" s="25"/>
      <c r="D433" s="26"/>
      <c r="E433" s="33"/>
      <c r="F433" s="25"/>
      <c r="G433" s="25"/>
      <c r="H433" s="25"/>
      <c r="I433" s="55"/>
      <c r="P433" s="37" t="str">
        <f t="shared" ca="1" si="30"/>
        <v/>
      </c>
      <c r="Q433" s="37" t="str">
        <f t="shared" ca="1" si="31"/>
        <v/>
      </c>
    </row>
    <row r="434" spans="1:17" x14ac:dyDescent="0.25">
      <c r="A434" s="102"/>
      <c r="B434" s="33"/>
      <c r="C434" s="25"/>
      <c r="D434" s="26"/>
      <c r="E434" s="33"/>
      <c r="F434" s="25"/>
      <c r="G434" s="25"/>
      <c r="H434" s="25"/>
      <c r="I434" s="55"/>
      <c r="P434" s="37" t="str">
        <f t="shared" ca="1" si="30"/>
        <v/>
      </c>
      <c r="Q434" s="37" t="str">
        <f t="shared" ca="1" si="31"/>
        <v/>
      </c>
    </row>
    <row r="435" spans="1:17" x14ac:dyDescent="0.25">
      <c r="A435" s="102"/>
      <c r="B435" s="33"/>
      <c r="C435" s="25"/>
      <c r="D435" s="26"/>
      <c r="E435" s="33"/>
      <c r="F435" s="25"/>
      <c r="G435" s="25"/>
      <c r="H435" s="25"/>
      <c r="I435" s="55"/>
      <c r="P435" s="37" t="str">
        <f t="shared" ca="1" si="30"/>
        <v/>
      </c>
      <c r="Q435" s="37" t="str">
        <f t="shared" ca="1" si="31"/>
        <v/>
      </c>
    </row>
    <row r="436" spans="1:17" x14ac:dyDescent="0.25">
      <c r="A436" s="102"/>
      <c r="B436" s="33"/>
      <c r="C436" s="25"/>
      <c r="D436" s="26"/>
      <c r="E436" s="33"/>
      <c r="F436" s="25"/>
      <c r="G436" s="25"/>
      <c r="H436" s="25"/>
      <c r="I436" s="55"/>
      <c r="P436" s="37" t="str">
        <f t="shared" ca="1" si="30"/>
        <v/>
      </c>
      <c r="Q436" s="37" t="str">
        <f t="shared" ca="1" si="31"/>
        <v/>
      </c>
    </row>
    <row r="437" spans="1:17" x14ac:dyDescent="0.25">
      <c r="A437" s="102"/>
      <c r="B437" s="33"/>
      <c r="C437" s="25"/>
      <c r="D437" s="26"/>
      <c r="E437" s="33"/>
      <c r="F437" s="25"/>
      <c r="G437" s="25"/>
      <c r="H437" s="25"/>
      <c r="I437" s="55"/>
      <c r="P437" s="37" t="str">
        <f t="shared" ca="1" si="30"/>
        <v/>
      </c>
      <c r="Q437" s="37" t="str">
        <f t="shared" ca="1" si="31"/>
        <v/>
      </c>
    </row>
    <row r="438" spans="1:17" x14ac:dyDescent="0.25">
      <c r="A438" s="102"/>
      <c r="B438" s="33"/>
      <c r="C438" s="25"/>
      <c r="D438" s="26"/>
      <c r="E438" s="33"/>
      <c r="F438" s="25"/>
      <c r="G438" s="25"/>
      <c r="H438" s="25"/>
      <c r="I438" s="55"/>
      <c r="P438" s="37" t="str">
        <f t="shared" ca="1" si="30"/>
        <v/>
      </c>
      <c r="Q438" s="37" t="str">
        <f t="shared" ca="1" si="31"/>
        <v/>
      </c>
    </row>
    <row r="439" spans="1:17" x14ac:dyDescent="0.25">
      <c r="A439" s="102"/>
      <c r="B439" s="33"/>
      <c r="C439" s="25"/>
      <c r="D439" s="26"/>
      <c r="E439" s="33"/>
      <c r="F439" s="25"/>
      <c r="G439" s="25"/>
      <c r="H439" s="25"/>
      <c r="I439" s="55"/>
      <c r="P439" s="37" t="str">
        <f t="shared" ca="1" si="30"/>
        <v/>
      </c>
      <c r="Q439" s="37" t="str">
        <f t="shared" ca="1" si="31"/>
        <v/>
      </c>
    </row>
    <row r="440" spans="1:17" x14ac:dyDescent="0.25">
      <c r="A440" s="102"/>
      <c r="B440" s="33"/>
      <c r="C440" s="25"/>
      <c r="D440" s="26"/>
      <c r="E440" s="33"/>
      <c r="F440" s="25"/>
      <c r="G440" s="25"/>
      <c r="H440" s="25"/>
      <c r="I440" s="55"/>
      <c r="P440" s="37" t="str">
        <f t="shared" ca="1" si="30"/>
        <v/>
      </c>
      <c r="Q440" s="37" t="str">
        <f t="shared" ca="1" si="31"/>
        <v/>
      </c>
    </row>
    <row r="441" spans="1:17" x14ac:dyDescent="0.25">
      <c r="A441" s="102"/>
      <c r="B441" s="33"/>
      <c r="C441" s="25"/>
      <c r="D441" s="26"/>
      <c r="E441" s="33"/>
      <c r="F441" s="25"/>
      <c r="G441" s="25"/>
      <c r="H441" s="25"/>
      <c r="I441" s="55"/>
      <c r="P441" s="37" t="str">
        <f t="shared" ca="1" si="30"/>
        <v/>
      </c>
      <c r="Q441" s="37" t="str">
        <f t="shared" ca="1" si="31"/>
        <v/>
      </c>
    </row>
    <row r="442" spans="1:17" x14ac:dyDescent="0.25">
      <c r="A442" s="102"/>
      <c r="B442" s="33"/>
      <c r="C442" s="25"/>
      <c r="D442" s="26"/>
      <c r="E442" s="33"/>
      <c r="F442" s="25"/>
      <c r="G442" s="25"/>
      <c r="H442" s="25"/>
      <c r="I442" s="55"/>
      <c r="P442" s="37" t="str">
        <f t="shared" ca="1" si="30"/>
        <v/>
      </c>
      <c r="Q442" s="37" t="str">
        <f t="shared" ca="1" si="31"/>
        <v/>
      </c>
    </row>
    <row r="443" spans="1:17" x14ac:dyDescent="0.25">
      <c r="A443" s="102"/>
      <c r="B443" s="33"/>
      <c r="C443" s="25"/>
      <c r="D443" s="26"/>
      <c r="E443" s="33"/>
      <c r="F443" s="25"/>
      <c r="G443" s="25"/>
      <c r="H443" s="25"/>
      <c r="I443" s="55"/>
      <c r="P443" s="37" t="str">
        <f t="shared" ca="1" si="30"/>
        <v/>
      </c>
      <c r="Q443" s="37" t="str">
        <f t="shared" ca="1" si="31"/>
        <v/>
      </c>
    </row>
    <row r="444" spans="1:17" x14ac:dyDescent="0.25">
      <c r="A444" s="102"/>
      <c r="B444" s="33"/>
      <c r="C444" s="25"/>
      <c r="D444" s="26"/>
      <c r="E444" s="33"/>
      <c r="F444" s="25"/>
      <c r="G444" s="25"/>
      <c r="H444" s="25"/>
      <c r="I444" s="55"/>
      <c r="P444" s="37" t="str">
        <f t="shared" ca="1" si="30"/>
        <v/>
      </c>
      <c r="Q444" s="37" t="str">
        <f t="shared" ca="1" si="31"/>
        <v/>
      </c>
    </row>
    <row r="445" spans="1:17" x14ac:dyDescent="0.25">
      <c r="A445" s="102"/>
      <c r="B445" s="33"/>
      <c r="C445" s="25"/>
      <c r="D445" s="26"/>
      <c r="E445" s="33"/>
      <c r="F445" s="25"/>
      <c r="G445" s="25"/>
      <c r="H445" s="25"/>
      <c r="I445" s="55"/>
      <c r="P445" s="37" t="str">
        <f t="shared" ca="1" si="30"/>
        <v/>
      </c>
      <c r="Q445" s="37" t="str">
        <f t="shared" ca="1" si="31"/>
        <v/>
      </c>
    </row>
    <row r="446" spans="1:17" x14ac:dyDescent="0.25">
      <c r="A446" s="102"/>
      <c r="B446" s="33"/>
      <c r="C446" s="25"/>
      <c r="D446" s="26"/>
      <c r="E446" s="33"/>
      <c r="F446" s="25"/>
      <c r="G446" s="25"/>
      <c r="H446" s="25"/>
      <c r="I446" s="55"/>
      <c r="P446" s="37" t="str">
        <f t="shared" ca="1" si="30"/>
        <v/>
      </c>
      <c r="Q446" s="37" t="str">
        <f t="shared" ca="1" si="31"/>
        <v/>
      </c>
    </row>
    <row r="447" spans="1:17" x14ac:dyDescent="0.25">
      <c r="A447" s="102"/>
      <c r="B447" s="33"/>
      <c r="C447" s="25"/>
      <c r="D447" s="26"/>
      <c r="E447" s="33"/>
      <c r="F447" s="25"/>
      <c r="G447" s="25"/>
      <c r="H447" s="25"/>
      <c r="I447" s="55"/>
      <c r="P447" s="37" t="str">
        <f t="shared" ca="1" si="30"/>
        <v/>
      </c>
      <c r="Q447" s="37" t="str">
        <f t="shared" ca="1" si="31"/>
        <v/>
      </c>
    </row>
    <row r="448" spans="1:17" x14ac:dyDescent="0.25">
      <c r="A448" s="102"/>
      <c r="B448" s="33"/>
      <c r="C448" s="25"/>
      <c r="D448" s="26"/>
      <c r="E448" s="33"/>
      <c r="F448" s="25"/>
      <c r="G448" s="25"/>
      <c r="H448" s="25"/>
      <c r="I448" s="55"/>
      <c r="P448" s="37" t="str">
        <f t="shared" ca="1" si="30"/>
        <v/>
      </c>
      <c r="Q448" s="37" t="str">
        <f t="shared" ca="1" si="31"/>
        <v/>
      </c>
    </row>
    <row r="449" spans="1:17" x14ac:dyDescent="0.25">
      <c r="A449" s="102"/>
      <c r="B449" s="33"/>
      <c r="C449" s="25"/>
      <c r="D449" s="26"/>
      <c r="E449" s="33"/>
      <c r="F449" s="25"/>
      <c r="G449" s="25"/>
      <c r="H449" s="25"/>
      <c r="I449" s="55"/>
      <c r="P449" s="37" t="str">
        <f t="shared" ca="1" si="30"/>
        <v/>
      </c>
      <c r="Q449" s="37" t="str">
        <f t="shared" ca="1" si="31"/>
        <v/>
      </c>
    </row>
    <row r="450" spans="1:17" x14ac:dyDescent="0.25">
      <c r="A450" s="102"/>
      <c r="B450" s="33"/>
      <c r="C450" s="25"/>
      <c r="D450" s="26"/>
      <c r="E450" s="33"/>
      <c r="F450" s="25"/>
      <c r="G450" s="25"/>
      <c r="H450" s="25"/>
      <c r="I450" s="55"/>
      <c r="P450" s="37" t="str">
        <f t="shared" ca="1" si="30"/>
        <v/>
      </c>
      <c r="Q450" s="37" t="str">
        <f t="shared" ca="1" si="31"/>
        <v/>
      </c>
    </row>
    <row r="451" spans="1:17" x14ac:dyDescent="0.25">
      <c r="A451" s="102"/>
      <c r="B451" s="33"/>
      <c r="C451" s="25"/>
      <c r="D451" s="26"/>
      <c r="E451" s="33"/>
      <c r="F451" s="25"/>
      <c r="G451" s="25"/>
      <c r="H451" s="25"/>
      <c r="I451" s="55"/>
      <c r="P451" s="37" t="str">
        <f t="shared" ca="1" si="30"/>
        <v/>
      </c>
      <c r="Q451" s="37" t="str">
        <f t="shared" ca="1" si="31"/>
        <v/>
      </c>
    </row>
    <row r="452" spans="1:17" x14ac:dyDescent="0.25">
      <c r="A452" s="102"/>
      <c r="B452" s="33"/>
      <c r="C452" s="25"/>
      <c r="D452" s="26"/>
      <c r="E452" s="33"/>
      <c r="F452" s="25"/>
      <c r="G452" s="25"/>
      <c r="H452" s="25"/>
      <c r="I452" s="55"/>
      <c r="P452" s="37" t="str">
        <f t="shared" ref="P452:P515" ca="1" si="33">IF(COUNTIF(N:N,L452),L452,"")</f>
        <v/>
      </c>
      <c r="Q452" s="37" t="str">
        <f t="shared" ref="Q452:Q515" ca="1" si="34">IF(P452&gt;$A$14,P452,"")</f>
        <v/>
      </c>
    </row>
    <row r="453" spans="1:17" x14ac:dyDescent="0.25">
      <c r="A453" s="102"/>
      <c r="B453" s="33"/>
      <c r="C453" s="25"/>
      <c r="D453" s="26"/>
      <c r="E453" s="33"/>
      <c r="F453" s="25"/>
      <c r="G453" s="25"/>
      <c r="H453" s="25"/>
      <c r="I453" s="55"/>
      <c r="P453" s="37" t="str">
        <f t="shared" ca="1" si="33"/>
        <v/>
      </c>
      <c r="Q453" s="37" t="str">
        <f t="shared" ca="1" si="34"/>
        <v/>
      </c>
    </row>
    <row r="454" spans="1:17" x14ac:dyDescent="0.25">
      <c r="A454" s="102"/>
      <c r="B454" s="33"/>
      <c r="C454" s="25"/>
      <c r="D454" s="26"/>
      <c r="E454" s="33"/>
      <c r="F454" s="25"/>
      <c r="G454" s="25"/>
      <c r="H454" s="25"/>
      <c r="I454" s="55"/>
      <c r="P454" s="37" t="str">
        <f t="shared" ca="1" si="33"/>
        <v/>
      </c>
      <c r="Q454" s="37" t="str">
        <f t="shared" ca="1" si="34"/>
        <v/>
      </c>
    </row>
    <row r="455" spans="1:17" x14ac:dyDescent="0.25">
      <c r="A455" s="102"/>
      <c r="B455" s="33"/>
      <c r="C455" s="25"/>
      <c r="D455" s="26"/>
      <c r="E455" s="33"/>
      <c r="F455" s="25"/>
      <c r="G455" s="25"/>
      <c r="H455" s="25"/>
      <c r="I455" s="55"/>
      <c r="P455" s="37" t="str">
        <f t="shared" ca="1" si="33"/>
        <v/>
      </c>
      <c r="Q455" s="37" t="str">
        <f t="shared" ca="1" si="34"/>
        <v/>
      </c>
    </row>
    <row r="456" spans="1:17" x14ac:dyDescent="0.25">
      <c r="A456" s="102"/>
      <c r="B456" s="33"/>
      <c r="C456" s="25"/>
      <c r="D456" s="26"/>
      <c r="E456" s="33"/>
      <c r="F456" s="25"/>
      <c r="G456" s="25"/>
      <c r="H456" s="25"/>
      <c r="I456" s="55"/>
      <c r="P456" s="37" t="str">
        <f t="shared" ca="1" si="33"/>
        <v/>
      </c>
      <c r="Q456" s="37" t="str">
        <f t="shared" ca="1" si="34"/>
        <v/>
      </c>
    </row>
    <row r="457" spans="1:17" x14ac:dyDescent="0.25">
      <c r="A457" s="102"/>
      <c r="B457" s="33"/>
      <c r="C457" s="25"/>
      <c r="D457" s="26"/>
      <c r="E457" s="33"/>
      <c r="F457" s="25"/>
      <c r="G457" s="25"/>
      <c r="H457" s="25"/>
      <c r="I457" s="55"/>
      <c r="P457" s="37" t="str">
        <f t="shared" ca="1" si="33"/>
        <v/>
      </c>
      <c r="Q457" s="37" t="str">
        <f t="shared" ca="1" si="34"/>
        <v/>
      </c>
    </row>
    <row r="458" spans="1:17" x14ac:dyDescent="0.25">
      <c r="A458" s="102"/>
      <c r="B458" s="33"/>
      <c r="C458" s="25"/>
      <c r="D458" s="26"/>
      <c r="E458" s="33"/>
      <c r="F458" s="25"/>
      <c r="G458" s="25"/>
      <c r="H458" s="25"/>
      <c r="I458" s="55"/>
      <c r="P458" s="37" t="str">
        <f t="shared" ca="1" si="33"/>
        <v/>
      </c>
      <c r="Q458" s="37" t="str">
        <f t="shared" ca="1" si="34"/>
        <v/>
      </c>
    </row>
    <row r="459" spans="1:17" x14ac:dyDescent="0.25">
      <c r="A459" s="102"/>
      <c r="B459" s="33"/>
      <c r="C459" s="25"/>
      <c r="D459" s="26"/>
      <c r="E459" s="33"/>
      <c r="F459" s="25"/>
      <c r="G459" s="25"/>
      <c r="H459" s="25"/>
      <c r="I459" s="55"/>
      <c r="P459" s="37" t="str">
        <f t="shared" ca="1" si="33"/>
        <v/>
      </c>
      <c r="Q459" s="37" t="str">
        <f t="shared" ca="1" si="34"/>
        <v/>
      </c>
    </row>
    <row r="460" spans="1:17" x14ac:dyDescent="0.25">
      <c r="A460" s="102"/>
      <c r="B460" s="33"/>
      <c r="C460" s="25"/>
      <c r="D460" s="26"/>
      <c r="E460" s="33"/>
      <c r="F460" s="25"/>
      <c r="G460" s="25"/>
      <c r="H460" s="25"/>
      <c r="I460" s="55"/>
      <c r="P460" s="37" t="str">
        <f t="shared" ca="1" si="33"/>
        <v/>
      </c>
      <c r="Q460" s="37" t="str">
        <f t="shared" ca="1" si="34"/>
        <v/>
      </c>
    </row>
    <row r="461" spans="1:17" x14ac:dyDescent="0.25">
      <c r="A461" s="102"/>
      <c r="B461" s="33"/>
      <c r="C461" s="25"/>
      <c r="D461" s="26"/>
      <c r="E461" s="33"/>
      <c r="F461" s="25"/>
      <c r="G461" s="25"/>
      <c r="H461" s="25"/>
      <c r="I461" s="55"/>
      <c r="P461" s="37" t="str">
        <f t="shared" ca="1" si="33"/>
        <v/>
      </c>
      <c r="Q461" s="37" t="str">
        <f t="shared" ca="1" si="34"/>
        <v/>
      </c>
    </row>
    <row r="462" spans="1:17" x14ac:dyDescent="0.25">
      <c r="A462" s="102"/>
      <c r="B462" s="33"/>
      <c r="C462" s="25"/>
      <c r="D462" s="26"/>
      <c r="E462" s="33"/>
      <c r="F462" s="25"/>
      <c r="G462" s="25"/>
      <c r="H462" s="25"/>
      <c r="I462" s="55"/>
      <c r="P462" s="37" t="str">
        <f t="shared" ca="1" si="33"/>
        <v/>
      </c>
      <c r="Q462" s="37" t="str">
        <f t="shared" ca="1" si="34"/>
        <v/>
      </c>
    </row>
    <row r="463" spans="1:17" x14ac:dyDescent="0.25">
      <c r="A463" s="102"/>
      <c r="B463" s="33"/>
      <c r="C463" s="25"/>
      <c r="D463" s="26"/>
      <c r="E463" s="33"/>
      <c r="F463" s="25"/>
      <c r="G463" s="25"/>
      <c r="H463" s="25"/>
      <c r="I463" s="55"/>
      <c r="P463" s="37" t="str">
        <f t="shared" ca="1" si="33"/>
        <v/>
      </c>
      <c r="Q463" s="37" t="str">
        <f t="shared" ca="1" si="34"/>
        <v/>
      </c>
    </row>
    <row r="464" spans="1:17" x14ac:dyDescent="0.25">
      <c r="A464" s="102"/>
      <c r="B464" s="33"/>
      <c r="C464" s="25"/>
      <c r="D464" s="26"/>
      <c r="E464" s="33"/>
      <c r="F464" s="25"/>
      <c r="G464" s="25"/>
      <c r="H464" s="25"/>
      <c r="I464" s="55"/>
      <c r="P464" s="37" t="str">
        <f t="shared" ca="1" si="33"/>
        <v/>
      </c>
      <c r="Q464" s="37" t="str">
        <f t="shared" ca="1" si="34"/>
        <v/>
      </c>
    </row>
    <row r="465" spans="1:17" x14ac:dyDescent="0.25">
      <c r="A465" s="102"/>
      <c r="B465" s="33"/>
      <c r="C465" s="25"/>
      <c r="D465" s="26"/>
      <c r="E465" s="33"/>
      <c r="F465" s="25"/>
      <c r="G465" s="25"/>
      <c r="H465" s="25"/>
      <c r="I465" s="55"/>
      <c r="P465" s="37" t="str">
        <f t="shared" ca="1" si="33"/>
        <v/>
      </c>
      <c r="Q465" s="37" t="str">
        <f t="shared" ca="1" si="34"/>
        <v/>
      </c>
    </row>
    <row r="466" spans="1:17" x14ac:dyDescent="0.25">
      <c r="A466" s="102"/>
      <c r="B466" s="33"/>
      <c r="C466" s="25"/>
      <c r="D466" s="26"/>
      <c r="E466" s="33"/>
      <c r="F466" s="25"/>
      <c r="G466" s="25"/>
      <c r="H466" s="25"/>
      <c r="I466" s="55"/>
      <c r="P466" s="37" t="str">
        <f t="shared" ca="1" si="33"/>
        <v/>
      </c>
      <c r="Q466" s="37" t="str">
        <f t="shared" ca="1" si="34"/>
        <v/>
      </c>
    </row>
    <row r="467" spans="1:17" x14ac:dyDescent="0.25">
      <c r="A467" s="102"/>
      <c r="B467" s="33"/>
      <c r="C467" s="25"/>
      <c r="D467" s="26"/>
      <c r="E467" s="33"/>
      <c r="F467" s="25"/>
      <c r="G467" s="25"/>
      <c r="H467" s="25"/>
      <c r="I467" s="55"/>
      <c r="P467" s="37" t="str">
        <f t="shared" ca="1" si="33"/>
        <v/>
      </c>
      <c r="Q467" s="37" t="str">
        <f t="shared" ca="1" si="34"/>
        <v/>
      </c>
    </row>
    <row r="468" spans="1:17" x14ac:dyDescent="0.25">
      <c r="A468" s="102"/>
      <c r="B468" s="33"/>
      <c r="C468" s="25"/>
      <c r="D468" s="26"/>
      <c r="E468" s="33"/>
      <c r="F468" s="25"/>
      <c r="G468" s="25"/>
      <c r="H468" s="25"/>
      <c r="I468" s="55"/>
      <c r="P468" s="37" t="str">
        <f t="shared" ca="1" si="33"/>
        <v/>
      </c>
      <c r="Q468" s="37" t="str">
        <f t="shared" ca="1" si="34"/>
        <v/>
      </c>
    </row>
    <row r="469" spans="1:17" x14ac:dyDescent="0.25">
      <c r="A469" s="102"/>
      <c r="B469" s="33"/>
      <c r="C469" s="25"/>
      <c r="D469" s="26"/>
      <c r="E469" s="33"/>
      <c r="F469" s="25"/>
      <c r="G469" s="25"/>
      <c r="H469" s="25"/>
      <c r="I469" s="55"/>
      <c r="P469" s="37" t="str">
        <f t="shared" ca="1" si="33"/>
        <v/>
      </c>
      <c r="Q469" s="37" t="str">
        <f t="shared" ca="1" si="34"/>
        <v/>
      </c>
    </row>
    <row r="470" spans="1:17" x14ac:dyDescent="0.25">
      <c r="A470" s="102"/>
      <c r="B470" s="33"/>
      <c r="C470" s="25"/>
      <c r="D470" s="26"/>
      <c r="E470" s="33"/>
      <c r="F470" s="25"/>
      <c r="G470" s="25"/>
      <c r="H470" s="25"/>
      <c r="I470" s="55"/>
      <c r="P470" s="37" t="str">
        <f t="shared" ca="1" si="33"/>
        <v/>
      </c>
      <c r="Q470" s="37" t="str">
        <f t="shared" ca="1" si="34"/>
        <v/>
      </c>
    </row>
    <row r="471" spans="1:17" x14ac:dyDescent="0.25">
      <c r="A471" s="102"/>
      <c r="B471" s="33"/>
      <c r="C471" s="25"/>
      <c r="D471" s="26"/>
      <c r="E471" s="33"/>
      <c r="F471" s="25"/>
      <c r="G471" s="25"/>
      <c r="H471" s="25"/>
      <c r="I471" s="55"/>
      <c r="P471" s="37" t="str">
        <f t="shared" ca="1" si="33"/>
        <v/>
      </c>
      <c r="Q471" s="37" t="str">
        <f t="shared" ca="1" si="34"/>
        <v/>
      </c>
    </row>
    <row r="472" spans="1:17" x14ac:dyDescent="0.25">
      <c r="A472" s="102"/>
      <c r="B472" s="33"/>
      <c r="C472" s="25"/>
      <c r="D472" s="26"/>
      <c r="E472" s="33"/>
      <c r="F472" s="25"/>
      <c r="G472" s="25"/>
      <c r="H472" s="25"/>
      <c r="I472" s="55"/>
      <c r="P472" s="37" t="str">
        <f t="shared" ca="1" si="33"/>
        <v/>
      </c>
      <c r="Q472" s="37" t="str">
        <f t="shared" ca="1" si="34"/>
        <v/>
      </c>
    </row>
    <row r="473" spans="1:17" x14ac:dyDescent="0.25">
      <c r="A473" s="102"/>
      <c r="B473" s="33"/>
      <c r="C473" s="25"/>
      <c r="D473" s="26"/>
      <c r="E473" s="33"/>
      <c r="F473" s="25"/>
      <c r="G473" s="25"/>
      <c r="H473" s="25"/>
      <c r="I473" s="55"/>
      <c r="P473" s="37" t="str">
        <f t="shared" ca="1" si="33"/>
        <v/>
      </c>
      <c r="Q473" s="37" t="str">
        <f t="shared" ca="1" si="34"/>
        <v/>
      </c>
    </row>
    <row r="474" spans="1:17" x14ac:dyDescent="0.25">
      <c r="A474" s="102"/>
      <c r="B474" s="33"/>
      <c r="C474" s="25"/>
      <c r="D474" s="26"/>
      <c r="E474" s="33"/>
      <c r="F474" s="25"/>
      <c r="G474" s="25"/>
      <c r="H474" s="25"/>
      <c r="I474" s="55"/>
      <c r="P474" s="37" t="str">
        <f t="shared" ca="1" si="33"/>
        <v/>
      </c>
      <c r="Q474" s="37" t="str">
        <f t="shared" ca="1" si="34"/>
        <v/>
      </c>
    </row>
    <row r="475" spans="1:17" x14ac:dyDescent="0.25">
      <c r="A475" s="102"/>
      <c r="B475" s="33"/>
      <c r="C475" s="25"/>
      <c r="D475" s="26"/>
      <c r="E475" s="33"/>
      <c r="F475" s="25"/>
      <c r="G475" s="25"/>
      <c r="H475" s="25"/>
      <c r="I475" s="55"/>
      <c r="P475" s="37" t="str">
        <f t="shared" ca="1" si="33"/>
        <v/>
      </c>
      <c r="Q475" s="37" t="str">
        <f t="shared" ca="1" si="34"/>
        <v/>
      </c>
    </row>
    <row r="476" spans="1:17" x14ac:dyDescent="0.25">
      <c r="A476" s="102"/>
      <c r="B476" s="33"/>
      <c r="C476" s="25"/>
      <c r="D476" s="26"/>
      <c r="E476" s="33"/>
      <c r="F476" s="25"/>
      <c r="G476" s="25"/>
      <c r="H476" s="25"/>
      <c r="I476" s="55"/>
      <c r="P476" s="37" t="str">
        <f t="shared" ca="1" si="33"/>
        <v/>
      </c>
      <c r="Q476" s="37" t="str">
        <f t="shared" ca="1" si="34"/>
        <v/>
      </c>
    </row>
    <row r="477" spans="1:17" x14ac:dyDescent="0.25">
      <c r="A477" s="102"/>
      <c r="B477" s="33"/>
      <c r="C477" s="25"/>
      <c r="D477" s="26"/>
      <c r="E477" s="33"/>
      <c r="F477" s="25"/>
      <c r="G477" s="25"/>
      <c r="H477" s="25"/>
      <c r="I477" s="55"/>
      <c r="P477" s="37" t="str">
        <f t="shared" ca="1" si="33"/>
        <v/>
      </c>
      <c r="Q477" s="37" t="str">
        <f t="shared" ca="1" si="34"/>
        <v/>
      </c>
    </row>
    <row r="478" spans="1:17" x14ac:dyDescent="0.25">
      <c r="A478" s="102"/>
      <c r="B478" s="33"/>
      <c r="C478" s="25"/>
      <c r="D478" s="26"/>
      <c r="E478" s="33"/>
      <c r="F478" s="25"/>
      <c r="G478" s="25"/>
      <c r="H478" s="25"/>
      <c r="I478" s="55"/>
      <c r="P478" s="37" t="str">
        <f t="shared" ca="1" si="33"/>
        <v/>
      </c>
      <c r="Q478" s="37" t="str">
        <f t="shared" ca="1" si="34"/>
        <v/>
      </c>
    </row>
    <row r="479" spans="1:17" x14ac:dyDescent="0.25">
      <c r="A479" s="102"/>
      <c r="B479" s="33"/>
      <c r="C479" s="25"/>
      <c r="D479" s="26"/>
      <c r="E479" s="33"/>
      <c r="F479" s="25"/>
      <c r="G479" s="25"/>
      <c r="H479" s="25"/>
      <c r="I479" s="55"/>
      <c r="P479" s="37" t="str">
        <f t="shared" ca="1" si="33"/>
        <v/>
      </c>
      <c r="Q479" s="37" t="str">
        <f t="shared" ca="1" si="34"/>
        <v/>
      </c>
    </row>
    <row r="480" spans="1:17" x14ac:dyDescent="0.25">
      <c r="A480" s="102"/>
      <c r="B480" s="33"/>
      <c r="C480" s="25"/>
      <c r="D480" s="26"/>
      <c r="E480" s="33"/>
      <c r="F480" s="25"/>
      <c r="G480" s="25"/>
      <c r="H480" s="25"/>
      <c r="I480" s="55"/>
      <c r="P480" s="37" t="str">
        <f t="shared" ca="1" si="33"/>
        <v/>
      </c>
      <c r="Q480" s="37" t="str">
        <f t="shared" ca="1" si="34"/>
        <v/>
      </c>
    </row>
    <row r="481" spans="1:17" x14ac:dyDescent="0.25">
      <c r="A481" s="102"/>
      <c r="B481" s="33"/>
      <c r="C481" s="25"/>
      <c r="D481" s="26"/>
      <c r="E481" s="33"/>
      <c r="F481" s="25"/>
      <c r="G481" s="25"/>
      <c r="H481" s="25"/>
      <c r="I481" s="55"/>
      <c r="P481" s="37" t="str">
        <f t="shared" ca="1" si="33"/>
        <v/>
      </c>
      <c r="Q481" s="37" t="str">
        <f t="shared" ca="1" si="34"/>
        <v/>
      </c>
    </row>
    <row r="482" spans="1:17" x14ac:dyDescent="0.25">
      <c r="A482" s="102"/>
      <c r="B482" s="33"/>
      <c r="C482" s="25"/>
      <c r="D482" s="26"/>
      <c r="E482" s="33"/>
      <c r="F482" s="25"/>
      <c r="G482" s="25"/>
      <c r="H482" s="25"/>
      <c r="I482" s="55"/>
      <c r="P482" s="37" t="str">
        <f t="shared" ca="1" si="33"/>
        <v/>
      </c>
      <c r="Q482" s="37" t="str">
        <f t="shared" ca="1" si="34"/>
        <v/>
      </c>
    </row>
    <row r="483" spans="1:17" x14ac:dyDescent="0.25">
      <c r="A483" s="102"/>
      <c r="B483" s="33"/>
      <c r="C483" s="25"/>
      <c r="D483" s="26"/>
      <c r="E483" s="33"/>
      <c r="F483" s="25"/>
      <c r="G483" s="25"/>
      <c r="H483" s="25"/>
      <c r="I483" s="55"/>
      <c r="P483" s="37" t="str">
        <f t="shared" ca="1" si="33"/>
        <v/>
      </c>
      <c r="Q483" s="37" t="str">
        <f t="shared" ca="1" si="34"/>
        <v/>
      </c>
    </row>
    <row r="484" spans="1:17" x14ac:dyDescent="0.25">
      <c r="A484" s="102"/>
      <c r="B484" s="33"/>
      <c r="C484" s="25"/>
      <c r="D484" s="26"/>
      <c r="E484" s="33"/>
      <c r="F484" s="25"/>
      <c r="G484" s="25"/>
      <c r="H484" s="25"/>
      <c r="I484" s="55"/>
      <c r="P484" s="37" t="str">
        <f t="shared" ca="1" si="33"/>
        <v/>
      </c>
      <c r="Q484" s="37" t="str">
        <f t="shared" ca="1" si="34"/>
        <v/>
      </c>
    </row>
    <row r="485" spans="1:17" x14ac:dyDescent="0.25">
      <c r="A485" s="102"/>
      <c r="B485" s="33"/>
      <c r="C485" s="25"/>
      <c r="D485" s="26"/>
      <c r="E485" s="33"/>
      <c r="F485" s="25"/>
      <c r="G485" s="25"/>
      <c r="H485" s="25"/>
      <c r="I485" s="55"/>
      <c r="P485" s="37" t="str">
        <f t="shared" ca="1" si="33"/>
        <v/>
      </c>
      <c r="Q485" s="37" t="str">
        <f t="shared" ca="1" si="34"/>
        <v/>
      </c>
    </row>
    <row r="486" spans="1:17" x14ac:dyDescent="0.25">
      <c r="A486" s="102"/>
      <c r="B486" s="33"/>
      <c r="C486" s="25"/>
      <c r="D486" s="26"/>
      <c r="E486" s="33"/>
      <c r="F486" s="25"/>
      <c r="G486" s="25"/>
      <c r="H486" s="25"/>
      <c r="I486" s="55"/>
      <c r="P486" s="37" t="str">
        <f t="shared" ca="1" si="33"/>
        <v/>
      </c>
      <c r="Q486" s="37" t="str">
        <f t="shared" ca="1" si="34"/>
        <v/>
      </c>
    </row>
    <row r="487" spans="1:17" x14ac:dyDescent="0.25">
      <c r="A487" s="102"/>
      <c r="B487" s="33"/>
      <c r="C487" s="25"/>
      <c r="D487" s="26"/>
      <c r="E487" s="33"/>
      <c r="F487" s="25"/>
      <c r="G487" s="25"/>
      <c r="H487" s="25"/>
      <c r="I487" s="55"/>
      <c r="P487" s="37" t="str">
        <f t="shared" ca="1" si="33"/>
        <v/>
      </c>
      <c r="Q487" s="37" t="str">
        <f t="shared" ca="1" si="34"/>
        <v/>
      </c>
    </row>
    <row r="488" spans="1:17" x14ac:dyDescent="0.25">
      <c r="A488" s="102"/>
      <c r="B488" s="33"/>
      <c r="C488" s="25"/>
      <c r="D488" s="26"/>
      <c r="E488" s="33"/>
      <c r="F488" s="25"/>
      <c r="G488" s="25"/>
      <c r="H488" s="25"/>
      <c r="I488" s="55"/>
      <c r="P488" s="37" t="str">
        <f t="shared" ca="1" si="33"/>
        <v/>
      </c>
      <c r="Q488" s="37" t="str">
        <f t="shared" ca="1" si="34"/>
        <v/>
      </c>
    </row>
    <row r="489" spans="1:17" x14ac:dyDescent="0.25">
      <c r="A489" s="102"/>
      <c r="B489" s="33"/>
      <c r="C489" s="25"/>
      <c r="D489" s="26"/>
      <c r="E489" s="33"/>
      <c r="F489" s="25"/>
      <c r="G489" s="25"/>
      <c r="H489" s="25"/>
      <c r="I489" s="55"/>
      <c r="P489" s="37" t="str">
        <f t="shared" ca="1" si="33"/>
        <v/>
      </c>
      <c r="Q489" s="37" t="str">
        <f t="shared" ca="1" si="34"/>
        <v/>
      </c>
    </row>
    <row r="490" spans="1:17" x14ac:dyDescent="0.25">
      <c r="A490" s="102"/>
      <c r="B490" s="33"/>
      <c r="C490" s="25"/>
      <c r="D490" s="26"/>
      <c r="E490" s="33"/>
      <c r="F490" s="25"/>
      <c r="G490" s="25"/>
      <c r="H490" s="25"/>
      <c r="I490" s="55"/>
      <c r="P490" s="37" t="str">
        <f t="shared" ca="1" si="33"/>
        <v/>
      </c>
      <c r="Q490" s="37" t="str">
        <f t="shared" ca="1" si="34"/>
        <v/>
      </c>
    </row>
    <row r="491" spans="1:17" x14ac:dyDescent="0.25">
      <c r="A491" s="102"/>
      <c r="B491" s="33"/>
      <c r="C491" s="25"/>
      <c r="D491" s="26"/>
      <c r="E491" s="33"/>
      <c r="F491" s="25"/>
      <c r="G491" s="25"/>
      <c r="H491" s="25"/>
      <c r="I491" s="55"/>
      <c r="P491" s="37" t="str">
        <f t="shared" ca="1" si="33"/>
        <v/>
      </c>
      <c r="Q491" s="37" t="str">
        <f t="shared" ca="1" si="34"/>
        <v/>
      </c>
    </row>
    <row r="492" spans="1:17" x14ac:dyDescent="0.25">
      <c r="A492" s="102"/>
      <c r="B492" s="33"/>
      <c r="C492" s="25"/>
      <c r="D492" s="26"/>
      <c r="E492" s="33"/>
      <c r="F492" s="25"/>
      <c r="G492" s="25"/>
      <c r="H492" s="25"/>
      <c r="I492" s="55"/>
      <c r="P492" s="37" t="str">
        <f t="shared" ca="1" si="33"/>
        <v/>
      </c>
      <c r="Q492" s="37" t="str">
        <f t="shared" ca="1" si="34"/>
        <v/>
      </c>
    </row>
    <row r="493" spans="1:17" x14ac:dyDescent="0.25">
      <c r="A493" s="102"/>
      <c r="B493" s="33"/>
      <c r="C493" s="25"/>
      <c r="D493" s="26"/>
      <c r="E493" s="33"/>
      <c r="F493" s="25"/>
      <c r="G493" s="25"/>
      <c r="H493" s="25"/>
      <c r="I493" s="55"/>
      <c r="P493" s="37" t="str">
        <f t="shared" ca="1" si="33"/>
        <v/>
      </c>
      <c r="Q493" s="37" t="str">
        <f t="shared" ca="1" si="34"/>
        <v/>
      </c>
    </row>
    <row r="494" spans="1:17" x14ac:dyDescent="0.25">
      <c r="A494" s="102"/>
      <c r="B494" s="33"/>
      <c r="C494" s="25"/>
      <c r="D494" s="26"/>
      <c r="E494" s="33"/>
      <c r="F494" s="25"/>
      <c r="G494" s="25"/>
      <c r="H494" s="25"/>
      <c r="I494" s="55"/>
      <c r="P494" s="37" t="str">
        <f t="shared" ca="1" si="33"/>
        <v/>
      </c>
      <c r="Q494" s="37" t="str">
        <f t="shared" ca="1" si="34"/>
        <v/>
      </c>
    </row>
    <row r="495" spans="1:17" x14ac:dyDescent="0.25">
      <c r="A495" s="102"/>
      <c r="B495" s="33"/>
      <c r="C495" s="25"/>
      <c r="D495" s="26"/>
      <c r="E495" s="33"/>
      <c r="F495" s="25"/>
      <c r="G495" s="25"/>
      <c r="H495" s="25"/>
      <c r="I495" s="55"/>
      <c r="P495" s="37" t="str">
        <f t="shared" ca="1" si="33"/>
        <v/>
      </c>
      <c r="Q495" s="37" t="str">
        <f t="shared" ca="1" si="34"/>
        <v/>
      </c>
    </row>
    <row r="496" spans="1:17" x14ac:dyDescent="0.25">
      <c r="A496" s="102"/>
      <c r="B496" s="33"/>
      <c r="C496" s="25"/>
      <c r="D496" s="26"/>
      <c r="E496" s="33"/>
      <c r="F496" s="25"/>
      <c r="G496" s="25"/>
      <c r="H496" s="25"/>
      <c r="I496" s="55"/>
      <c r="P496" s="37" t="str">
        <f t="shared" ca="1" si="33"/>
        <v/>
      </c>
      <c r="Q496" s="37" t="str">
        <f t="shared" ca="1" si="34"/>
        <v/>
      </c>
    </row>
    <row r="497" spans="1:17" x14ac:dyDescent="0.25">
      <c r="A497" s="102"/>
      <c r="B497" s="33"/>
      <c r="C497" s="25"/>
      <c r="D497" s="26"/>
      <c r="E497" s="33"/>
      <c r="F497" s="25"/>
      <c r="G497" s="25"/>
      <c r="H497" s="25"/>
      <c r="I497" s="55"/>
      <c r="P497" s="37" t="str">
        <f t="shared" ca="1" si="33"/>
        <v/>
      </c>
      <c r="Q497" s="37" t="str">
        <f t="shared" ca="1" si="34"/>
        <v/>
      </c>
    </row>
    <row r="498" spans="1:17" x14ac:dyDescent="0.25">
      <c r="A498" s="102"/>
      <c r="B498" s="33"/>
      <c r="C498" s="25"/>
      <c r="D498" s="26"/>
      <c r="E498" s="33"/>
      <c r="F498" s="25"/>
      <c r="G498" s="25"/>
      <c r="H498" s="25"/>
      <c r="I498" s="55"/>
      <c r="P498" s="37" t="str">
        <f t="shared" ca="1" si="33"/>
        <v/>
      </c>
      <c r="Q498" s="37" t="str">
        <f t="shared" ca="1" si="34"/>
        <v/>
      </c>
    </row>
    <row r="499" spans="1:17" x14ac:dyDescent="0.25">
      <c r="A499" s="102"/>
      <c r="B499" s="33"/>
      <c r="C499" s="25"/>
      <c r="D499" s="26"/>
      <c r="E499" s="33"/>
      <c r="F499" s="25"/>
      <c r="G499" s="25"/>
      <c r="H499" s="25"/>
      <c r="I499" s="55"/>
      <c r="P499" s="37" t="str">
        <f t="shared" ca="1" si="33"/>
        <v/>
      </c>
      <c r="Q499" s="37" t="str">
        <f t="shared" ca="1" si="34"/>
        <v/>
      </c>
    </row>
    <row r="500" spans="1:17" x14ac:dyDescent="0.25">
      <c r="A500" s="102"/>
      <c r="B500" s="33"/>
      <c r="C500" s="25"/>
      <c r="D500" s="26"/>
      <c r="E500" s="33"/>
      <c r="F500" s="25"/>
      <c r="G500" s="25"/>
      <c r="H500" s="25"/>
      <c r="I500" s="55"/>
      <c r="P500" s="37" t="str">
        <f t="shared" ca="1" si="33"/>
        <v/>
      </c>
      <c r="Q500" s="37" t="str">
        <f t="shared" ca="1" si="34"/>
        <v/>
      </c>
    </row>
    <row r="501" spans="1:17" x14ac:dyDescent="0.25">
      <c r="A501" s="102"/>
      <c r="B501" s="33"/>
      <c r="C501" s="25"/>
      <c r="D501" s="26"/>
      <c r="E501" s="33"/>
      <c r="F501" s="25"/>
      <c r="G501" s="25"/>
      <c r="H501" s="25"/>
      <c r="I501" s="55"/>
      <c r="P501" s="37" t="str">
        <f t="shared" ca="1" si="33"/>
        <v/>
      </c>
      <c r="Q501" s="37" t="str">
        <f t="shared" ca="1" si="34"/>
        <v/>
      </c>
    </row>
    <row r="502" spans="1:17" x14ac:dyDescent="0.25">
      <c r="A502" s="102"/>
      <c r="B502" s="33"/>
      <c r="C502" s="25"/>
      <c r="D502" s="26"/>
      <c r="E502" s="33"/>
      <c r="F502" s="25"/>
      <c r="G502" s="25"/>
      <c r="H502" s="25"/>
      <c r="I502" s="55"/>
      <c r="P502" s="37" t="str">
        <f t="shared" ca="1" si="33"/>
        <v/>
      </c>
      <c r="Q502" s="37" t="str">
        <f t="shared" ca="1" si="34"/>
        <v/>
      </c>
    </row>
    <row r="503" spans="1:17" x14ac:dyDescent="0.25">
      <c r="A503" s="102"/>
      <c r="B503" s="33"/>
      <c r="C503" s="25"/>
      <c r="D503" s="26"/>
      <c r="E503" s="33"/>
      <c r="F503" s="25"/>
      <c r="G503" s="25"/>
      <c r="H503" s="25"/>
      <c r="I503" s="55"/>
      <c r="P503" s="37" t="str">
        <f t="shared" ca="1" si="33"/>
        <v/>
      </c>
      <c r="Q503" s="37" t="str">
        <f t="shared" ca="1" si="34"/>
        <v/>
      </c>
    </row>
    <row r="504" spans="1:17" x14ac:dyDescent="0.25">
      <c r="A504" s="102"/>
      <c r="B504" s="33"/>
      <c r="C504" s="25"/>
      <c r="D504" s="26"/>
      <c r="E504" s="33"/>
      <c r="F504" s="25"/>
      <c r="G504" s="25"/>
      <c r="H504" s="25"/>
      <c r="I504" s="55"/>
      <c r="P504" s="37" t="str">
        <f t="shared" ca="1" si="33"/>
        <v/>
      </c>
      <c r="Q504" s="37" t="str">
        <f t="shared" ca="1" si="34"/>
        <v/>
      </c>
    </row>
    <row r="505" spans="1:17" x14ac:dyDescent="0.25">
      <c r="A505" s="102"/>
      <c r="B505" s="33"/>
      <c r="C505" s="25"/>
      <c r="D505" s="26"/>
      <c r="E505" s="33"/>
      <c r="F505" s="25"/>
      <c r="G505" s="25"/>
      <c r="H505" s="25"/>
      <c r="I505" s="55"/>
      <c r="P505" s="37" t="str">
        <f t="shared" ca="1" si="33"/>
        <v/>
      </c>
      <c r="Q505" s="37" t="str">
        <f t="shared" ca="1" si="34"/>
        <v/>
      </c>
    </row>
    <row r="506" spans="1:17" x14ac:dyDescent="0.25">
      <c r="A506" s="102"/>
      <c r="B506" s="33"/>
      <c r="C506" s="25"/>
      <c r="D506" s="26"/>
      <c r="E506" s="33"/>
      <c r="F506" s="25"/>
      <c r="G506" s="25"/>
      <c r="H506" s="25"/>
      <c r="I506" s="55"/>
      <c r="P506" s="37" t="str">
        <f t="shared" ca="1" si="33"/>
        <v/>
      </c>
      <c r="Q506" s="37" t="str">
        <f t="shared" ca="1" si="34"/>
        <v/>
      </c>
    </row>
    <row r="507" spans="1:17" x14ac:dyDescent="0.25">
      <c r="A507" s="102"/>
      <c r="B507" s="33"/>
      <c r="C507" s="25"/>
      <c r="D507" s="26"/>
      <c r="E507" s="33"/>
      <c r="F507" s="25"/>
      <c r="G507" s="25"/>
      <c r="H507" s="25"/>
      <c r="I507" s="55"/>
      <c r="P507" s="37" t="str">
        <f t="shared" ca="1" si="33"/>
        <v/>
      </c>
      <c r="Q507" s="37" t="str">
        <f t="shared" ca="1" si="34"/>
        <v/>
      </c>
    </row>
    <row r="508" spans="1:17" x14ac:dyDescent="0.25">
      <c r="A508" s="102"/>
      <c r="B508" s="33"/>
      <c r="C508" s="25"/>
      <c r="D508" s="26"/>
      <c r="E508" s="33"/>
      <c r="F508" s="25"/>
      <c r="G508" s="25"/>
      <c r="H508" s="25"/>
      <c r="I508" s="55"/>
      <c r="P508" s="37" t="str">
        <f t="shared" ca="1" si="33"/>
        <v/>
      </c>
      <c r="Q508" s="37" t="str">
        <f t="shared" ca="1" si="34"/>
        <v/>
      </c>
    </row>
    <row r="509" spans="1:17" x14ac:dyDescent="0.25">
      <c r="A509" s="102"/>
      <c r="B509" s="33"/>
      <c r="C509" s="25"/>
      <c r="D509" s="26"/>
      <c r="E509" s="33"/>
      <c r="F509" s="25"/>
      <c r="G509" s="25"/>
      <c r="H509" s="25"/>
      <c r="I509" s="55"/>
      <c r="P509" s="37" t="str">
        <f t="shared" ca="1" si="33"/>
        <v/>
      </c>
      <c r="Q509" s="37" t="str">
        <f t="shared" ca="1" si="34"/>
        <v/>
      </c>
    </row>
    <row r="510" spans="1:17" x14ac:dyDescent="0.25">
      <c r="A510" s="102"/>
      <c r="B510" s="33"/>
      <c r="C510" s="25"/>
      <c r="D510" s="26"/>
      <c r="E510" s="33"/>
      <c r="F510" s="25"/>
      <c r="G510" s="25"/>
      <c r="H510" s="25"/>
      <c r="I510" s="55"/>
      <c r="P510" s="37" t="str">
        <f t="shared" ca="1" si="33"/>
        <v/>
      </c>
      <c r="Q510" s="37" t="str">
        <f t="shared" ca="1" si="34"/>
        <v/>
      </c>
    </row>
    <row r="511" spans="1:17" x14ac:dyDescent="0.25">
      <c r="A511" s="102"/>
      <c r="B511" s="33"/>
      <c r="C511" s="25"/>
      <c r="D511" s="26"/>
      <c r="E511" s="33"/>
      <c r="F511" s="25"/>
      <c r="G511" s="25"/>
      <c r="H511" s="25"/>
      <c r="I511" s="55"/>
      <c r="P511" s="37" t="str">
        <f t="shared" ca="1" si="33"/>
        <v/>
      </c>
      <c r="Q511" s="37" t="str">
        <f t="shared" ca="1" si="34"/>
        <v/>
      </c>
    </row>
    <row r="512" spans="1:17" x14ac:dyDescent="0.25">
      <c r="A512" s="102"/>
      <c r="B512" s="33"/>
      <c r="C512" s="25"/>
      <c r="D512" s="26"/>
      <c r="E512" s="33"/>
      <c r="F512" s="25"/>
      <c r="G512" s="25"/>
      <c r="H512" s="25"/>
      <c r="I512" s="55"/>
      <c r="P512" s="37" t="str">
        <f t="shared" ca="1" si="33"/>
        <v/>
      </c>
      <c r="Q512" s="37" t="str">
        <f t="shared" ca="1" si="34"/>
        <v/>
      </c>
    </row>
    <row r="513" spans="1:17" x14ac:dyDescent="0.25">
      <c r="A513" s="102"/>
      <c r="B513" s="33"/>
      <c r="C513" s="25"/>
      <c r="D513" s="26"/>
      <c r="E513" s="33"/>
      <c r="F513" s="25"/>
      <c r="G513" s="25"/>
      <c r="H513" s="25"/>
      <c r="I513" s="55"/>
      <c r="P513" s="37" t="str">
        <f t="shared" ca="1" si="33"/>
        <v/>
      </c>
      <c r="Q513" s="37" t="str">
        <f t="shared" ca="1" si="34"/>
        <v/>
      </c>
    </row>
    <row r="514" spans="1:17" x14ac:dyDescent="0.25">
      <c r="A514" s="102"/>
      <c r="B514" s="33"/>
      <c r="C514" s="25"/>
      <c r="D514" s="26"/>
      <c r="E514" s="33"/>
      <c r="F514" s="25"/>
      <c r="G514" s="25"/>
      <c r="H514" s="25"/>
      <c r="I514" s="55"/>
      <c r="P514" s="37" t="str">
        <f t="shared" ca="1" si="33"/>
        <v/>
      </c>
      <c r="Q514" s="37" t="str">
        <f t="shared" ca="1" si="34"/>
        <v/>
      </c>
    </row>
    <row r="515" spans="1:17" x14ac:dyDescent="0.25">
      <c r="A515" s="102"/>
      <c r="B515" s="33"/>
      <c r="C515" s="25"/>
      <c r="D515" s="26"/>
      <c r="E515" s="33"/>
      <c r="F515" s="25"/>
      <c r="G515" s="25"/>
      <c r="H515" s="25"/>
      <c r="I515" s="55"/>
      <c r="P515" s="37" t="str">
        <f t="shared" ca="1" si="33"/>
        <v/>
      </c>
      <c r="Q515" s="37" t="str">
        <f t="shared" ca="1" si="34"/>
        <v/>
      </c>
    </row>
    <row r="516" spans="1:17" x14ac:dyDescent="0.25">
      <c r="A516" s="102"/>
      <c r="B516" s="33"/>
      <c r="C516" s="25"/>
      <c r="D516" s="26"/>
      <c r="E516" s="33"/>
      <c r="F516" s="25"/>
      <c r="G516" s="25"/>
      <c r="H516" s="25"/>
      <c r="I516" s="55"/>
      <c r="P516" s="37" t="str">
        <f t="shared" ref="P516:P579" ca="1" si="35">IF(COUNTIF(N:N,L516),L516,"")</f>
        <v/>
      </c>
      <c r="Q516" s="37" t="str">
        <f t="shared" ref="Q516:Q579" ca="1" si="36">IF(P516&gt;$A$14,P516,"")</f>
        <v/>
      </c>
    </row>
    <row r="517" spans="1:17" x14ac:dyDescent="0.25">
      <c r="A517" s="102"/>
      <c r="B517" s="33"/>
      <c r="C517" s="25"/>
      <c r="D517" s="26"/>
      <c r="E517" s="33"/>
      <c r="F517" s="25"/>
      <c r="G517" s="25"/>
      <c r="H517" s="25"/>
      <c r="I517" s="55"/>
      <c r="P517" s="37" t="str">
        <f t="shared" ca="1" si="35"/>
        <v/>
      </c>
      <c r="Q517" s="37" t="str">
        <f t="shared" ca="1" si="36"/>
        <v/>
      </c>
    </row>
    <row r="518" spans="1:17" x14ac:dyDescent="0.25">
      <c r="A518" s="102"/>
      <c r="B518" s="33"/>
      <c r="C518" s="25"/>
      <c r="D518" s="26"/>
      <c r="E518" s="33"/>
      <c r="F518" s="25"/>
      <c r="G518" s="25"/>
      <c r="H518" s="25"/>
      <c r="I518" s="55"/>
      <c r="P518" s="37" t="str">
        <f t="shared" ca="1" si="35"/>
        <v/>
      </c>
      <c r="Q518" s="37" t="str">
        <f t="shared" ca="1" si="36"/>
        <v/>
      </c>
    </row>
    <row r="519" spans="1:17" x14ac:dyDescent="0.25">
      <c r="A519" s="102"/>
      <c r="B519" s="33"/>
      <c r="C519" s="25"/>
      <c r="D519" s="26"/>
      <c r="E519" s="33"/>
      <c r="F519" s="25"/>
      <c r="G519" s="25"/>
      <c r="H519" s="25"/>
      <c r="I519" s="55"/>
      <c r="P519" s="37" t="str">
        <f t="shared" ca="1" si="35"/>
        <v/>
      </c>
      <c r="Q519" s="37" t="str">
        <f t="shared" ca="1" si="36"/>
        <v/>
      </c>
    </row>
    <row r="520" spans="1:17" x14ac:dyDescent="0.25">
      <c r="A520" s="102"/>
      <c r="B520" s="33"/>
      <c r="C520" s="25"/>
      <c r="D520" s="26"/>
      <c r="E520" s="33"/>
      <c r="F520" s="25"/>
      <c r="G520" s="25"/>
      <c r="H520" s="25"/>
      <c r="I520" s="55"/>
      <c r="P520" s="37" t="str">
        <f t="shared" ca="1" si="35"/>
        <v/>
      </c>
      <c r="Q520" s="37" t="str">
        <f t="shared" ca="1" si="36"/>
        <v/>
      </c>
    </row>
    <row r="521" spans="1:17" x14ac:dyDescent="0.25">
      <c r="A521" s="102"/>
      <c r="B521" s="33"/>
      <c r="C521" s="25"/>
      <c r="D521" s="26"/>
      <c r="E521" s="33"/>
      <c r="F521" s="25"/>
      <c r="G521" s="25"/>
      <c r="H521" s="25"/>
      <c r="I521" s="55"/>
      <c r="P521" s="37" t="str">
        <f t="shared" ca="1" si="35"/>
        <v/>
      </c>
      <c r="Q521" s="37" t="str">
        <f t="shared" ca="1" si="36"/>
        <v/>
      </c>
    </row>
    <row r="522" spans="1:17" x14ac:dyDescent="0.25">
      <c r="A522" s="102"/>
      <c r="B522" s="33"/>
      <c r="C522" s="25"/>
      <c r="D522" s="26"/>
      <c r="E522" s="33"/>
      <c r="F522" s="25"/>
      <c r="G522" s="25"/>
      <c r="H522" s="25"/>
      <c r="I522" s="55"/>
      <c r="P522" s="37" t="str">
        <f t="shared" ca="1" si="35"/>
        <v/>
      </c>
      <c r="Q522" s="37" t="str">
        <f t="shared" ca="1" si="36"/>
        <v/>
      </c>
    </row>
    <row r="523" spans="1:17" x14ac:dyDescent="0.25">
      <c r="A523" s="102"/>
      <c r="B523" s="33"/>
      <c r="C523" s="25"/>
      <c r="D523" s="26"/>
      <c r="E523" s="33"/>
      <c r="F523" s="25"/>
      <c r="G523" s="25"/>
      <c r="H523" s="25"/>
      <c r="I523" s="55"/>
      <c r="P523" s="37" t="str">
        <f t="shared" ca="1" si="35"/>
        <v/>
      </c>
      <c r="Q523" s="37" t="str">
        <f t="shared" ca="1" si="36"/>
        <v/>
      </c>
    </row>
    <row r="524" spans="1:17" x14ac:dyDescent="0.25">
      <c r="A524" s="102"/>
      <c r="B524" s="33"/>
      <c r="C524" s="25"/>
      <c r="D524" s="26"/>
      <c r="E524" s="33"/>
      <c r="F524" s="25"/>
      <c r="G524" s="25"/>
      <c r="H524" s="25"/>
      <c r="I524" s="55"/>
      <c r="P524" s="37" t="str">
        <f t="shared" ca="1" si="35"/>
        <v/>
      </c>
      <c r="Q524" s="37" t="str">
        <f t="shared" ca="1" si="36"/>
        <v/>
      </c>
    </row>
    <row r="525" spans="1:17" x14ac:dyDescent="0.25">
      <c r="A525" s="102"/>
      <c r="B525" s="33"/>
      <c r="C525" s="25"/>
      <c r="D525" s="26"/>
      <c r="E525" s="33"/>
      <c r="F525" s="25"/>
      <c r="G525" s="25"/>
      <c r="H525" s="25"/>
      <c r="I525" s="55"/>
      <c r="P525" s="37" t="str">
        <f t="shared" ca="1" si="35"/>
        <v/>
      </c>
      <c r="Q525" s="37" t="str">
        <f t="shared" ca="1" si="36"/>
        <v/>
      </c>
    </row>
    <row r="526" spans="1:17" x14ac:dyDescent="0.25">
      <c r="A526" s="102"/>
      <c r="B526" s="33"/>
      <c r="C526" s="25"/>
      <c r="D526" s="26"/>
      <c r="E526" s="33"/>
      <c r="F526" s="25"/>
      <c r="G526" s="25"/>
      <c r="H526" s="25"/>
      <c r="I526" s="55"/>
      <c r="P526" s="37" t="str">
        <f t="shared" ca="1" si="35"/>
        <v/>
      </c>
      <c r="Q526" s="37" t="str">
        <f t="shared" ca="1" si="36"/>
        <v/>
      </c>
    </row>
    <row r="527" spans="1:17" x14ac:dyDescent="0.25">
      <c r="A527" s="102"/>
      <c r="B527" s="33"/>
      <c r="C527" s="25"/>
      <c r="D527" s="26"/>
      <c r="E527" s="33"/>
      <c r="F527" s="25"/>
      <c r="G527" s="25"/>
      <c r="H527" s="25"/>
      <c r="I527" s="55"/>
      <c r="P527" s="37" t="str">
        <f t="shared" ca="1" si="35"/>
        <v/>
      </c>
      <c r="Q527" s="37" t="str">
        <f t="shared" ca="1" si="36"/>
        <v/>
      </c>
    </row>
    <row r="528" spans="1:17" x14ac:dyDescent="0.25">
      <c r="A528" s="102"/>
      <c r="B528" s="33"/>
      <c r="C528" s="25"/>
      <c r="D528" s="26"/>
      <c r="E528" s="33"/>
      <c r="F528" s="25"/>
      <c r="G528" s="25"/>
      <c r="H528" s="25"/>
      <c r="I528" s="55"/>
      <c r="P528" s="37" t="str">
        <f t="shared" ca="1" si="35"/>
        <v/>
      </c>
      <c r="Q528" s="37" t="str">
        <f t="shared" ca="1" si="36"/>
        <v/>
      </c>
    </row>
    <row r="529" spans="1:17" x14ac:dyDescent="0.25">
      <c r="A529" s="102"/>
      <c r="B529" s="33"/>
      <c r="C529" s="25"/>
      <c r="D529" s="26"/>
      <c r="E529" s="33"/>
      <c r="F529" s="25"/>
      <c r="G529" s="25"/>
      <c r="H529" s="25"/>
      <c r="I529" s="55"/>
      <c r="P529" s="37" t="str">
        <f t="shared" ca="1" si="35"/>
        <v/>
      </c>
      <c r="Q529" s="37" t="str">
        <f t="shared" ca="1" si="36"/>
        <v/>
      </c>
    </row>
    <row r="530" spans="1:17" x14ac:dyDescent="0.25">
      <c r="A530" s="102"/>
      <c r="B530" s="33"/>
      <c r="C530" s="25"/>
      <c r="D530" s="26"/>
      <c r="E530" s="33"/>
      <c r="F530" s="25"/>
      <c r="G530" s="25"/>
      <c r="H530" s="25"/>
      <c r="I530" s="55"/>
      <c r="P530" s="37" t="str">
        <f t="shared" ca="1" si="35"/>
        <v/>
      </c>
      <c r="Q530" s="37" t="str">
        <f t="shared" ca="1" si="36"/>
        <v/>
      </c>
    </row>
    <row r="531" spans="1:17" x14ac:dyDescent="0.25">
      <c r="A531" s="102"/>
      <c r="B531" s="33"/>
      <c r="C531" s="25"/>
      <c r="D531" s="26"/>
      <c r="E531" s="33"/>
      <c r="F531" s="25"/>
      <c r="G531" s="25"/>
      <c r="H531" s="25"/>
      <c r="I531" s="55"/>
      <c r="P531" s="37" t="str">
        <f t="shared" ca="1" si="35"/>
        <v/>
      </c>
      <c r="Q531" s="37" t="str">
        <f t="shared" ca="1" si="36"/>
        <v/>
      </c>
    </row>
    <row r="532" spans="1:17" x14ac:dyDescent="0.25">
      <c r="A532" s="102"/>
      <c r="B532" s="33"/>
      <c r="C532" s="25"/>
      <c r="D532" s="26"/>
      <c r="E532" s="33"/>
      <c r="F532" s="25"/>
      <c r="G532" s="25"/>
      <c r="H532" s="25"/>
      <c r="I532" s="55"/>
      <c r="P532" s="37" t="str">
        <f t="shared" ca="1" si="35"/>
        <v/>
      </c>
      <c r="Q532" s="37" t="str">
        <f t="shared" ca="1" si="36"/>
        <v/>
      </c>
    </row>
    <row r="533" spans="1:17" x14ac:dyDescent="0.25">
      <c r="A533" s="102"/>
      <c r="B533" s="33"/>
      <c r="C533" s="25"/>
      <c r="D533" s="26"/>
      <c r="E533" s="33"/>
      <c r="F533" s="25"/>
      <c r="G533" s="25"/>
      <c r="H533" s="25"/>
      <c r="I533" s="55"/>
      <c r="P533" s="37" t="str">
        <f t="shared" ca="1" si="35"/>
        <v/>
      </c>
      <c r="Q533" s="37" t="str">
        <f t="shared" ca="1" si="36"/>
        <v/>
      </c>
    </row>
    <row r="534" spans="1:17" x14ac:dyDescent="0.25">
      <c r="A534" s="102"/>
      <c r="B534" s="33"/>
      <c r="C534" s="25"/>
      <c r="D534" s="26"/>
      <c r="E534" s="33"/>
      <c r="F534" s="25"/>
      <c r="G534" s="25"/>
      <c r="H534" s="25"/>
      <c r="I534" s="55"/>
      <c r="P534" s="37" t="str">
        <f t="shared" ca="1" si="35"/>
        <v/>
      </c>
      <c r="Q534" s="37" t="str">
        <f t="shared" ca="1" si="36"/>
        <v/>
      </c>
    </row>
    <row r="535" spans="1:17" x14ac:dyDescent="0.25">
      <c r="A535" s="102"/>
      <c r="B535" s="33"/>
      <c r="C535" s="25"/>
      <c r="D535" s="26"/>
      <c r="E535" s="33"/>
      <c r="F535" s="25"/>
      <c r="G535" s="25"/>
      <c r="H535" s="25"/>
      <c r="I535" s="55"/>
      <c r="P535" s="37" t="str">
        <f t="shared" ca="1" si="35"/>
        <v/>
      </c>
      <c r="Q535" s="37" t="str">
        <f t="shared" ca="1" si="36"/>
        <v/>
      </c>
    </row>
    <row r="536" spans="1:17" x14ac:dyDescent="0.25">
      <c r="A536" s="102"/>
      <c r="B536" s="33"/>
      <c r="C536" s="25"/>
      <c r="D536" s="26"/>
      <c r="E536" s="33"/>
      <c r="F536" s="25"/>
      <c r="G536" s="25"/>
      <c r="H536" s="25"/>
      <c r="I536" s="55"/>
      <c r="P536" s="37" t="str">
        <f t="shared" ca="1" si="35"/>
        <v/>
      </c>
      <c r="Q536" s="37" t="str">
        <f t="shared" ca="1" si="36"/>
        <v/>
      </c>
    </row>
    <row r="537" spans="1:17" x14ac:dyDescent="0.25">
      <c r="A537" s="102"/>
      <c r="B537" s="33"/>
      <c r="C537" s="25"/>
      <c r="D537" s="26"/>
      <c r="E537" s="33"/>
      <c r="F537" s="25"/>
      <c r="G537" s="25"/>
      <c r="H537" s="25"/>
      <c r="I537" s="55"/>
      <c r="P537" s="37" t="str">
        <f t="shared" ca="1" si="35"/>
        <v/>
      </c>
      <c r="Q537" s="37" t="str">
        <f t="shared" ca="1" si="36"/>
        <v/>
      </c>
    </row>
    <row r="538" spans="1:17" x14ac:dyDescent="0.25">
      <c r="A538" s="102"/>
      <c r="B538" s="33"/>
      <c r="C538" s="25"/>
      <c r="D538" s="26"/>
      <c r="E538" s="33"/>
      <c r="F538" s="25"/>
      <c r="G538" s="25"/>
      <c r="H538" s="25"/>
      <c r="I538" s="55"/>
      <c r="P538" s="37" t="str">
        <f t="shared" ca="1" si="35"/>
        <v/>
      </c>
      <c r="Q538" s="37" t="str">
        <f t="shared" ca="1" si="36"/>
        <v/>
      </c>
    </row>
    <row r="539" spans="1:17" x14ac:dyDescent="0.25">
      <c r="A539" s="102"/>
      <c r="B539" s="33"/>
      <c r="C539" s="25"/>
      <c r="D539" s="26"/>
      <c r="E539" s="33"/>
      <c r="F539" s="25"/>
      <c r="G539" s="25"/>
      <c r="H539" s="25"/>
      <c r="I539" s="55"/>
      <c r="P539" s="37" t="str">
        <f t="shared" ca="1" si="35"/>
        <v/>
      </c>
      <c r="Q539" s="37" t="str">
        <f t="shared" ca="1" si="36"/>
        <v/>
      </c>
    </row>
    <row r="540" spans="1:17" x14ac:dyDescent="0.25">
      <c r="A540" s="102"/>
      <c r="B540" s="33"/>
      <c r="C540" s="25"/>
      <c r="D540" s="26"/>
      <c r="E540" s="33"/>
      <c r="F540" s="25"/>
      <c r="G540" s="25"/>
      <c r="H540" s="25"/>
      <c r="I540" s="55"/>
      <c r="P540" s="37" t="str">
        <f t="shared" ca="1" si="35"/>
        <v/>
      </c>
      <c r="Q540" s="37" t="str">
        <f t="shared" ca="1" si="36"/>
        <v/>
      </c>
    </row>
    <row r="541" spans="1:17" x14ac:dyDescent="0.25">
      <c r="A541" s="102"/>
      <c r="B541" s="33"/>
      <c r="C541" s="25"/>
      <c r="D541" s="26"/>
      <c r="E541" s="33"/>
      <c r="F541" s="25"/>
      <c r="G541" s="25"/>
      <c r="H541" s="25"/>
      <c r="I541" s="55"/>
      <c r="P541" s="37" t="str">
        <f t="shared" ca="1" si="35"/>
        <v/>
      </c>
      <c r="Q541" s="37" t="str">
        <f t="shared" ca="1" si="36"/>
        <v/>
      </c>
    </row>
    <row r="542" spans="1:17" x14ac:dyDescent="0.25">
      <c r="A542" s="102"/>
      <c r="B542" s="33"/>
      <c r="C542" s="25"/>
      <c r="D542" s="26"/>
      <c r="E542" s="33"/>
      <c r="F542" s="25"/>
      <c r="G542" s="25"/>
      <c r="H542" s="25"/>
      <c r="I542" s="55"/>
      <c r="P542" s="37" t="str">
        <f t="shared" ca="1" si="35"/>
        <v/>
      </c>
      <c r="Q542" s="37" t="str">
        <f t="shared" ca="1" si="36"/>
        <v/>
      </c>
    </row>
    <row r="543" spans="1:17" x14ac:dyDescent="0.25">
      <c r="A543" s="102"/>
      <c r="B543" s="33"/>
      <c r="C543" s="25"/>
      <c r="D543" s="26"/>
      <c r="E543" s="33"/>
      <c r="F543" s="25"/>
      <c r="G543" s="25"/>
      <c r="H543" s="25"/>
      <c r="I543" s="55"/>
      <c r="P543" s="37" t="str">
        <f t="shared" ca="1" si="35"/>
        <v/>
      </c>
      <c r="Q543" s="37" t="str">
        <f t="shared" ca="1" si="36"/>
        <v/>
      </c>
    </row>
    <row r="544" spans="1:17" x14ac:dyDescent="0.25">
      <c r="A544" s="102"/>
      <c r="B544" s="33"/>
      <c r="C544" s="25"/>
      <c r="D544" s="26"/>
      <c r="E544" s="33"/>
      <c r="F544" s="25"/>
      <c r="G544" s="25"/>
      <c r="H544" s="25"/>
      <c r="I544" s="55"/>
      <c r="P544" s="37" t="str">
        <f t="shared" ca="1" si="35"/>
        <v/>
      </c>
      <c r="Q544" s="37" t="str">
        <f t="shared" ca="1" si="36"/>
        <v/>
      </c>
    </row>
    <row r="545" spans="1:17" x14ac:dyDescent="0.25">
      <c r="A545" s="102"/>
      <c r="B545" s="33"/>
      <c r="C545" s="25"/>
      <c r="D545" s="26"/>
      <c r="E545" s="33"/>
      <c r="F545" s="25"/>
      <c r="G545" s="25"/>
      <c r="H545" s="25"/>
      <c r="I545" s="55"/>
      <c r="P545" s="37" t="str">
        <f t="shared" ca="1" si="35"/>
        <v/>
      </c>
      <c r="Q545" s="37" t="str">
        <f t="shared" ca="1" si="36"/>
        <v/>
      </c>
    </row>
    <row r="546" spans="1:17" x14ac:dyDescent="0.25">
      <c r="A546" s="102"/>
      <c r="B546" s="33"/>
      <c r="C546" s="25"/>
      <c r="D546" s="26"/>
      <c r="E546" s="33"/>
      <c r="F546" s="25"/>
      <c r="G546" s="25"/>
      <c r="H546" s="25"/>
      <c r="I546" s="55"/>
      <c r="P546" s="37" t="str">
        <f t="shared" ca="1" si="35"/>
        <v/>
      </c>
      <c r="Q546" s="37" t="str">
        <f t="shared" ca="1" si="36"/>
        <v/>
      </c>
    </row>
    <row r="547" spans="1:17" x14ac:dyDescent="0.25">
      <c r="A547" s="102"/>
      <c r="B547" s="33"/>
      <c r="C547" s="25"/>
      <c r="D547" s="26"/>
      <c r="E547" s="33"/>
      <c r="F547" s="25"/>
      <c r="G547" s="25"/>
      <c r="H547" s="25"/>
      <c r="I547" s="55"/>
      <c r="P547" s="37" t="str">
        <f t="shared" ca="1" si="35"/>
        <v/>
      </c>
      <c r="Q547" s="37" t="str">
        <f t="shared" ca="1" si="36"/>
        <v/>
      </c>
    </row>
    <row r="548" spans="1:17" x14ac:dyDescent="0.25">
      <c r="A548" s="102"/>
      <c r="B548" s="33"/>
      <c r="C548" s="25"/>
      <c r="D548" s="26"/>
      <c r="E548" s="33"/>
      <c r="F548" s="25"/>
      <c r="G548" s="25"/>
      <c r="H548" s="25"/>
      <c r="I548" s="55"/>
      <c r="P548" s="37" t="str">
        <f t="shared" ca="1" si="35"/>
        <v/>
      </c>
      <c r="Q548" s="37" t="str">
        <f t="shared" ca="1" si="36"/>
        <v/>
      </c>
    </row>
    <row r="549" spans="1:17" x14ac:dyDescent="0.25">
      <c r="A549" s="102"/>
      <c r="B549" s="33"/>
      <c r="C549" s="25"/>
      <c r="D549" s="26"/>
      <c r="E549" s="33"/>
      <c r="F549" s="25"/>
      <c r="G549" s="25"/>
      <c r="H549" s="25"/>
      <c r="I549" s="55"/>
      <c r="P549" s="37" t="str">
        <f t="shared" ca="1" si="35"/>
        <v/>
      </c>
      <c r="Q549" s="37" t="str">
        <f t="shared" ca="1" si="36"/>
        <v/>
      </c>
    </row>
    <row r="550" spans="1:17" x14ac:dyDescent="0.25">
      <c r="A550" s="102"/>
      <c r="B550" s="33"/>
      <c r="C550" s="25"/>
      <c r="D550" s="26"/>
      <c r="E550" s="33"/>
      <c r="F550" s="25"/>
      <c r="G550" s="25"/>
      <c r="H550" s="25"/>
      <c r="I550" s="55"/>
      <c r="P550" s="37" t="str">
        <f t="shared" ca="1" si="35"/>
        <v/>
      </c>
      <c r="Q550" s="37" t="str">
        <f t="shared" ca="1" si="36"/>
        <v/>
      </c>
    </row>
    <row r="551" spans="1:17" x14ac:dyDescent="0.25">
      <c r="A551" s="102"/>
      <c r="B551" s="33"/>
      <c r="C551" s="25"/>
      <c r="D551" s="26"/>
      <c r="E551" s="33"/>
      <c r="F551" s="25"/>
      <c r="G551" s="25"/>
      <c r="H551" s="25"/>
      <c r="I551" s="55"/>
      <c r="P551" s="37" t="str">
        <f t="shared" ca="1" si="35"/>
        <v/>
      </c>
      <c r="Q551" s="37" t="str">
        <f t="shared" ca="1" si="36"/>
        <v/>
      </c>
    </row>
    <row r="552" spans="1:17" x14ac:dyDescent="0.25">
      <c r="A552" s="102"/>
      <c r="B552" s="33"/>
      <c r="C552" s="25"/>
      <c r="D552" s="26"/>
      <c r="E552" s="33"/>
      <c r="F552" s="25"/>
      <c r="G552" s="25"/>
      <c r="H552" s="25"/>
      <c r="I552" s="55"/>
      <c r="P552" s="37" t="str">
        <f t="shared" ca="1" si="35"/>
        <v/>
      </c>
      <c r="Q552" s="37" t="str">
        <f t="shared" ca="1" si="36"/>
        <v/>
      </c>
    </row>
    <row r="553" spans="1:17" x14ac:dyDescent="0.25">
      <c r="A553" s="102"/>
      <c r="B553" s="33"/>
      <c r="C553" s="25"/>
      <c r="D553" s="26"/>
      <c r="E553" s="33"/>
      <c r="F553" s="25"/>
      <c r="G553" s="25"/>
      <c r="H553" s="25"/>
      <c r="I553" s="55"/>
      <c r="P553" s="37" t="str">
        <f t="shared" ca="1" si="35"/>
        <v/>
      </c>
      <c r="Q553" s="37" t="str">
        <f t="shared" ca="1" si="36"/>
        <v/>
      </c>
    </row>
    <row r="554" spans="1:17" x14ac:dyDescent="0.25">
      <c r="A554" s="102"/>
      <c r="B554" s="33"/>
      <c r="C554" s="25"/>
      <c r="D554" s="26"/>
      <c r="E554" s="33"/>
      <c r="F554" s="25"/>
      <c r="G554" s="25"/>
      <c r="H554" s="25"/>
      <c r="I554" s="55"/>
      <c r="P554" s="37" t="str">
        <f t="shared" ca="1" si="35"/>
        <v/>
      </c>
      <c r="Q554" s="37" t="str">
        <f t="shared" ca="1" si="36"/>
        <v/>
      </c>
    </row>
    <row r="555" spans="1:17" x14ac:dyDescent="0.25">
      <c r="A555" s="102"/>
      <c r="B555" s="33"/>
      <c r="C555" s="25"/>
      <c r="D555" s="26"/>
      <c r="E555" s="33"/>
      <c r="F555" s="25"/>
      <c r="G555" s="25"/>
      <c r="H555" s="25"/>
      <c r="I555" s="55"/>
      <c r="P555" s="37" t="str">
        <f t="shared" ca="1" si="35"/>
        <v/>
      </c>
      <c r="Q555" s="37" t="str">
        <f t="shared" ca="1" si="36"/>
        <v/>
      </c>
    </row>
    <row r="556" spans="1:17" x14ac:dyDescent="0.25">
      <c r="A556" s="102"/>
      <c r="B556" s="33"/>
      <c r="C556" s="25"/>
      <c r="D556" s="26"/>
      <c r="E556" s="33"/>
      <c r="F556" s="25"/>
      <c r="G556" s="25"/>
      <c r="H556" s="25"/>
      <c r="I556" s="55"/>
      <c r="P556" s="37" t="str">
        <f t="shared" ca="1" si="35"/>
        <v/>
      </c>
      <c r="Q556" s="37" t="str">
        <f t="shared" ca="1" si="36"/>
        <v/>
      </c>
    </row>
    <row r="557" spans="1:17" x14ac:dyDescent="0.25">
      <c r="A557" s="102"/>
      <c r="B557" s="33"/>
      <c r="C557" s="25"/>
      <c r="D557" s="26"/>
      <c r="E557" s="33"/>
      <c r="F557" s="25"/>
      <c r="G557" s="25"/>
      <c r="H557" s="25"/>
      <c r="I557" s="55"/>
      <c r="P557" s="37" t="str">
        <f t="shared" ca="1" si="35"/>
        <v/>
      </c>
      <c r="Q557" s="37" t="str">
        <f t="shared" ca="1" si="36"/>
        <v/>
      </c>
    </row>
    <row r="558" spans="1:17" x14ac:dyDescent="0.25">
      <c r="A558" s="102"/>
      <c r="B558" s="33"/>
      <c r="C558" s="25"/>
      <c r="D558" s="26"/>
      <c r="E558" s="33"/>
      <c r="F558" s="25"/>
      <c r="G558" s="25"/>
      <c r="H558" s="25"/>
      <c r="I558" s="55"/>
      <c r="P558" s="37" t="str">
        <f t="shared" ca="1" si="35"/>
        <v/>
      </c>
      <c r="Q558" s="37" t="str">
        <f t="shared" ca="1" si="36"/>
        <v/>
      </c>
    </row>
    <row r="559" spans="1:17" x14ac:dyDescent="0.25">
      <c r="A559" s="102"/>
      <c r="B559" s="33"/>
      <c r="C559" s="25"/>
      <c r="D559" s="26"/>
      <c r="E559" s="33"/>
      <c r="F559" s="25"/>
      <c r="G559" s="25"/>
      <c r="H559" s="25"/>
      <c r="I559" s="55"/>
      <c r="P559" s="37" t="str">
        <f t="shared" ca="1" si="35"/>
        <v/>
      </c>
      <c r="Q559" s="37" t="str">
        <f t="shared" ca="1" si="36"/>
        <v/>
      </c>
    </row>
    <row r="560" spans="1:17" x14ac:dyDescent="0.25">
      <c r="A560" s="102"/>
      <c r="B560" s="33"/>
      <c r="C560" s="25"/>
      <c r="D560" s="26"/>
      <c r="E560" s="33"/>
      <c r="F560" s="25"/>
      <c r="G560" s="25"/>
      <c r="H560" s="25"/>
      <c r="I560" s="55"/>
      <c r="P560" s="37" t="str">
        <f t="shared" ca="1" si="35"/>
        <v/>
      </c>
      <c r="Q560" s="37" t="str">
        <f t="shared" ca="1" si="36"/>
        <v/>
      </c>
    </row>
    <row r="561" spans="1:17" x14ac:dyDescent="0.25">
      <c r="A561" s="102"/>
      <c r="B561" s="33"/>
      <c r="C561" s="25"/>
      <c r="D561" s="26"/>
      <c r="E561" s="33"/>
      <c r="F561" s="25"/>
      <c r="G561" s="25"/>
      <c r="H561" s="25"/>
      <c r="I561" s="55"/>
      <c r="P561" s="37" t="str">
        <f t="shared" ca="1" si="35"/>
        <v/>
      </c>
      <c r="Q561" s="37" t="str">
        <f t="shared" ca="1" si="36"/>
        <v/>
      </c>
    </row>
    <row r="562" spans="1:17" x14ac:dyDescent="0.25">
      <c r="A562" s="102"/>
      <c r="B562" s="33"/>
      <c r="C562" s="25"/>
      <c r="D562" s="26"/>
      <c r="E562" s="33"/>
      <c r="F562" s="25"/>
      <c r="G562" s="25"/>
      <c r="H562" s="25"/>
      <c r="I562" s="55"/>
      <c r="P562" s="37" t="str">
        <f t="shared" ca="1" si="35"/>
        <v/>
      </c>
      <c r="Q562" s="37" t="str">
        <f t="shared" ca="1" si="36"/>
        <v/>
      </c>
    </row>
    <row r="563" spans="1:17" x14ac:dyDescent="0.25">
      <c r="A563" s="102"/>
      <c r="B563" s="33"/>
      <c r="C563" s="25"/>
      <c r="D563" s="26"/>
      <c r="E563" s="33"/>
      <c r="F563" s="25"/>
      <c r="G563" s="25"/>
      <c r="H563" s="25"/>
      <c r="I563" s="55"/>
      <c r="P563" s="37" t="str">
        <f t="shared" ca="1" si="35"/>
        <v/>
      </c>
      <c r="Q563" s="37" t="str">
        <f t="shared" ca="1" si="36"/>
        <v/>
      </c>
    </row>
    <row r="564" spans="1:17" x14ac:dyDescent="0.25">
      <c r="A564" s="102"/>
      <c r="B564" s="33"/>
      <c r="C564" s="25"/>
      <c r="D564" s="26"/>
      <c r="E564" s="33"/>
      <c r="F564" s="25"/>
      <c r="G564" s="25"/>
      <c r="H564" s="25"/>
      <c r="I564" s="55"/>
      <c r="P564" s="37" t="str">
        <f t="shared" ca="1" si="35"/>
        <v/>
      </c>
      <c r="Q564" s="37" t="str">
        <f t="shared" ca="1" si="36"/>
        <v/>
      </c>
    </row>
    <row r="565" spans="1:17" x14ac:dyDescent="0.25">
      <c r="A565" s="102"/>
      <c r="B565" s="33"/>
      <c r="C565" s="25"/>
      <c r="D565" s="26"/>
      <c r="E565" s="33"/>
      <c r="F565" s="25"/>
      <c r="G565" s="25"/>
      <c r="H565" s="25"/>
      <c r="I565" s="55"/>
      <c r="P565" s="37" t="str">
        <f t="shared" ca="1" si="35"/>
        <v/>
      </c>
      <c r="Q565" s="37" t="str">
        <f t="shared" ca="1" si="36"/>
        <v/>
      </c>
    </row>
    <row r="566" spans="1:17" x14ac:dyDescent="0.25">
      <c r="A566" s="102"/>
      <c r="B566" s="33"/>
      <c r="C566" s="25"/>
      <c r="D566" s="26"/>
      <c r="E566" s="33"/>
      <c r="F566" s="25"/>
      <c r="G566" s="25"/>
      <c r="H566" s="25"/>
      <c r="I566" s="55"/>
      <c r="P566" s="37" t="str">
        <f t="shared" ca="1" si="35"/>
        <v/>
      </c>
      <c r="Q566" s="37" t="str">
        <f t="shared" ca="1" si="36"/>
        <v/>
      </c>
    </row>
    <row r="567" spans="1:17" x14ac:dyDescent="0.25">
      <c r="A567" s="102"/>
      <c r="B567" s="33"/>
      <c r="C567" s="25"/>
      <c r="D567" s="26"/>
      <c r="E567" s="33"/>
      <c r="F567" s="25"/>
      <c r="G567" s="25"/>
      <c r="H567" s="25"/>
      <c r="I567" s="55"/>
      <c r="P567" s="37" t="str">
        <f t="shared" ca="1" si="35"/>
        <v/>
      </c>
      <c r="Q567" s="37" t="str">
        <f t="shared" ca="1" si="36"/>
        <v/>
      </c>
    </row>
    <row r="568" spans="1:17" x14ac:dyDescent="0.25">
      <c r="A568" s="102"/>
      <c r="B568" s="33"/>
      <c r="C568" s="25"/>
      <c r="D568" s="26"/>
      <c r="E568" s="33"/>
      <c r="F568" s="25"/>
      <c r="G568" s="25"/>
      <c r="H568" s="25"/>
      <c r="I568" s="55"/>
      <c r="P568" s="37" t="str">
        <f t="shared" ca="1" si="35"/>
        <v/>
      </c>
      <c r="Q568" s="37" t="str">
        <f t="shared" ca="1" si="36"/>
        <v/>
      </c>
    </row>
    <row r="569" spans="1:17" x14ac:dyDescent="0.25">
      <c r="A569" s="102"/>
      <c r="B569" s="33"/>
      <c r="C569" s="25"/>
      <c r="D569" s="26"/>
      <c r="E569" s="33"/>
      <c r="F569" s="25"/>
      <c r="G569" s="25"/>
      <c r="H569" s="25"/>
      <c r="I569" s="55"/>
      <c r="P569" s="37" t="str">
        <f t="shared" ca="1" si="35"/>
        <v/>
      </c>
      <c r="Q569" s="37" t="str">
        <f t="shared" ca="1" si="36"/>
        <v/>
      </c>
    </row>
    <row r="570" spans="1:17" x14ac:dyDescent="0.25">
      <c r="A570" s="102"/>
      <c r="B570" s="33"/>
      <c r="C570" s="25"/>
      <c r="D570" s="26"/>
      <c r="E570" s="33"/>
      <c r="F570" s="25"/>
      <c r="G570" s="25"/>
      <c r="H570" s="25"/>
      <c r="I570" s="55"/>
      <c r="P570" s="37" t="str">
        <f t="shared" ca="1" si="35"/>
        <v/>
      </c>
      <c r="Q570" s="37" t="str">
        <f t="shared" ca="1" si="36"/>
        <v/>
      </c>
    </row>
    <row r="571" spans="1:17" x14ac:dyDescent="0.25">
      <c r="A571" s="102"/>
      <c r="B571" s="33"/>
      <c r="C571" s="25"/>
      <c r="D571" s="26"/>
      <c r="E571" s="33"/>
      <c r="F571" s="25"/>
      <c r="G571" s="25"/>
      <c r="H571" s="25"/>
      <c r="I571" s="55"/>
      <c r="P571" s="37" t="str">
        <f t="shared" ca="1" si="35"/>
        <v/>
      </c>
      <c r="Q571" s="37" t="str">
        <f t="shared" ca="1" si="36"/>
        <v/>
      </c>
    </row>
    <row r="572" spans="1:17" x14ac:dyDescent="0.25">
      <c r="A572" s="102"/>
      <c r="B572" s="33"/>
      <c r="C572" s="25"/>
      <c r="D572" s="26"/>
      <c r="E572" s="33"/>
      <c r="F572" s="25"/>
      <c r="G572" s="25"/>
      <c r="H572" s="25"/>
      <c r="I572" s="55"/>
      <c r="P572" s="37" t="str">
        <f t="shared" ca="1" si="35"/>
        <v/>
      </c>
      <c r="Q572" s="37" t="str">
        <f t="shared" ca="1" si="36"/>
        <v/>
      </c>
    </row>
    <row r="573" spans="1:17" x14ac:dyDescent="0.25">
      <c r="A573" s="102"/>
      <c r="B573" s="33"/>
      <c r="C573" s="25"/>
      <c r="D573" s="26"/>
      <c r="E573" s="33"/>
      <c r="F573" s="25"/>
      <c r="G573" s="25"/>
      <c r="H573" s="25"/>
      <c r="I573" s="55"/>
      <c r="P573" s="37" t="str">
        <f t="shared" ca="1" si="35"/>
        <v/>
      </c>
      <c r="Q573" s="37" t="str">
        <f t="shared" ca="1" si="36"/>
        <v/>
      </c>
    </row>
    <row r="574" spans="1:17" x14ac:dyDescent="0.25">
      <c r="A574" s="102"/>
      <c r="B574" s="33"/>
      <c r="C574" s="25"/>
      <c r="D574" s="26"/>
      <c r="E574" s="33"/>
      <c r="F574" s="25"/>
      <c r="G574" s="25"/>
      <c r="H574" s="25"/>
      <c r="I574" s="55"/>
      <c r="P574" s="37" t="str">
        <f t="shared" ca="1" si="35"/>
        <v/>
      </c>
      <c r="Q574" s="37" t="str">
        <f t="shared" ca="1" si="36"/>
        <v/>
      </c>
    </row>
    <row r="575" spans="1:17" x14ac:dyDescent="0.25">
      <c r="A575" s="102"/>
      <c r="B575" s="33"/>
      <c r="C575" s="25"/>
      <c r="D575" s="26"/>
      <c r="E575" s="33"/>
      <c r="F575" s="25"/>
      <c r="G575" s="25"/>
      <c r="H575" s="25"/>
      <c r="I575" s="55"/>
      <c r="P575" s="37" t="str">
        <f t="shared" ca="1" si="35"/>
        <v/>
      </c>
      <c r="Q575" s="37" t="str">
        <f t="shared" ca="1" si="36"/>
        <v/>
      </c>
    </row>
    <row r="576" spans="1:17" x14ac:dyDescent="0.25">
      <c r="A576" s="102"/>
      <c r="B576" s="33"/>
      <c r="C576" s="25"/>
      <c r="D576" s="26"/>
      <c r="E576" s="33"/>
      <c r="F576" s="25"/>
      <c r="G576" s="25"/>
      <c r="H576" s="25"/>
      <c r="I576" s="55"/>
      <c r="P576" s="37" t="str">
        <f t="shared" ca="1" si="35"/>
        <v/>
      </c>
      <c r="Q576" s="37" t="str">
        <f t="shared" ca="1" si="36"/>
        <v/>
      </c>
    </row>
    <row r="577" spans="1:17" x14ac:dyDescent="0.25">
      <c r="A577" s="102"/>
      <c r="B577" s="33"/>
      <c r="C577" s="25"/>
      <c r="D577" s="26"/>
      <c r="E577" s="33"/>
      <c r="F577" s="25"/>
      <c r="G577" s="25"/>
      <c r="H577" s="25"/>
      <c r="I577" s="55"/>
      <c r="P577" s="37" t="str">
        <f t="shared" ca="1" si="35"/>
        <v/>
      </c>
      <c r="Q577" s="37" t="str">
        <f t="shared" ca="1" si="36"/>
        <v/>
      </c>
    </row>
    <row r="578" spans="1:17" x14ac:dyDescent="0.25">
      <c r="A578" s="102"/>
      <c r="B578" s="33"/>
      <c r="C578" s="25"/>
      <c r="D578" s="26"/>
      <c r="E578" s="33"/>
      <c r="F578" s="25"/>
      <c r="G578" s="25"/>
      <c r="H578" s="25"/>
      <c r="I578" s="55"/>
      <c r="P578" s="37" t="str">
        <f t="shared" ca="1" si="35"/>
        <v/>
      </c>
      <c r="Q578" s="37" t="str">
        <f t="shared" ca="1" si="36"/>
        <v/>
      </c>
    </row>
    <row r="579" spans="1:17" x14ac:dyDescent="0.25">
      <c r="A579" s="102"/>
      <c r="B579" s="33"/>
      <c r="C579" s="25"/>
      <c r="D579" s="26"/>
      <c r="E579" s="33"/>
      <c r="F579" s="25"/>
      <c r="G579" s="25"/>
      <c r="H579" s="25"/>
      <c r="I579" s="55"/>
      <c r="P579" s="37" t="str">
        <f t="shared" ca="1" si="35"/>
        <v/>
      </c>
      <c r="Q579" s="37" t="str">
        <f t="shared" ca="1" si="36"/>
        <v/>
      </c>
    </row>
    <row r="580" spans="1:17" x14ac:dyDescent="0.25">
      <c r="A580" s="102"/>
      <c r="B580" s="33"/>
      <c r="C580" s="25"/>
      <c r="D580" s="26"/>
      <c r="E580" s="33"/>
      <c r="F580" s="25"/>
      <c r="G580" s="25"/>
      <c r="H580" s="25"/>
      <c r="I580" s="55"/>
      <c r="P580" s="37" t="str">
        <f t="shared" ref="P580:P643" ca="1" si="37">IF(COUNTIF(N:N,L580),L580,"")</f>
        <v/>
      </c>
      <c r="Q580" s="37" t="str">
        <f t="shared" ref="Q580:Q643" ca="1" si="38">IF(P580&gt;$A$14,P580,"")</f>
        <v/>
      </c>
    </row>
    <row r="581" spans="1:17" x14ac:dyDescent="0.25">
      <c r="A581" s="102"/>
      <c r="B581" s="33"/>
      <c r="C581" s="25"/>
      <c r="D581" s="26"/>
      <c r="E581" s="33"/>
      <c r="F581" s="25"/>
      <c r="G581" s="25"/>
      <c r="H581" s="25"/>
      <c r="I581" s="55"/>
      <c r="P581" s="37" t="str">
        <f t="shared" ca="1" si="37"/>
        <v/>
      </c>
      <c r="Q581" s="37" t="str">
        <f t="shared" ca="1" si="38"/>
        <v/>
      </c>
    </row>
    <row r="582" spans="1:17" x14ac:dyDescent="0.25">
      <c r="A582" s="102"/>
      <c r="B582" s="33"/>
      <c r="C582" s="25"/>
      <c r="D582" s="26"/>
      <c r="E582" s="33"/>
      <c r="F582" s="25"/>
      <c r="G582" s="25"/>
      <c r="H582" s="25"/>
      <c r="I582" s="55"/>
      <c r="P582" s="37" t="str">
        <f t="shared" ca="1" si="37"/>
        <v/>
      </c>
      <c r="Q582" s="37" t="str">
        <f t="shared" ca="1" si="38"/>
        <v/>
      </c>
    </row>
    <row r="583" spans="1:17" x14ac:dyDescent="0.25">
      <c r="A583" s="102"/>
      <c r="B583" s="33"/>
      <c r="C583" s="25"/>
      <c r="D583" s="26"/>
      <c r="E583" s="33"/>
      <c r="F583" s="25"/>
      <c r="G583" s="25"/>
      <c r="H583" s="25"/>
      <c r="I583" s="55"/>
      <c r="P583" s="37" t="str">
        <f t="shared" ca="1" si="37"/>
        <v/>
      </c>
      <c r="Q583" s="37" t="str">
        <f t="shared" ca="1" si="38"/>
        <v/>
      </c>
    </row>
    <row r="584" spans="1:17" x14ac:dyDescent="0.25">
      <c r="A584" s="102"/>
      <c r="B584" s="33"/>
      <c r="C584" s="25"/>
      <c r="D584" s="26"/>
      <c r="E584" s="33"/>
      <c r="F584" s="25"/>
      <c r="G584" s="25"/>
      <c r="H584" s="25"/>
      <c r="I584" s="55"/>
      <c r="P584" s="37" t="str">
        <f t="shared" ca="1" si="37"/>
        <v/>
      </c>
      <c r="Q584" s="37" t="str">
        <f t="shared" ca="1" si="38"/>
        <v/>
      </c>
    </row>
    <row r="585" spans="1:17" x14ac:dyDescent="0.25">
      <c r="A585" s="102"/>
      <c r="B585" s="33"/>
      <c r="C585" s="25"/>
      <c r="D585" s="26"/>
      <c r="E585" s="33"/>
      <c r="F585" s="25"/>
      <c r="G585" s="25"/>
      <c r="H585" s="25"/>
      <c r="I585" s="55"/>
      <c r="P585" s="37" t="str">
        <f t="shared" ca="1" si="37"/>
        <v/>
      </c>
      <c r="Q585" s="37" t="str">
        <f t="shared" ca="1" si="38"/>
        <v/>
      </c>
    </row>
    <row r="586" spans="1:17" x14ac:dyDescent="0.25">
      <c r="A586" s="102"/>
      <c r="B586" s="33"/>
      <c r="C586" s="25"/>
      <c r="D586" s="26"/>
      <c r="E586" s="33"/>
      <c r="F586" s="25"/>
      <c r="G586" s="25"/>
      <c r="H586" s="25"/>
      <c r="I586" s="55"/>
      <c r="P586" s="37" t="str">
        <f t="shared" ca="1" si="37"/>
        <v/>
      </c>
      <c r="Q586" s="37" t="str">
        <f t="shared" ca="1" si="38"/>
        <v/>
      </c>
    </row>
    <row r="587" spans="1:17" x14ac:dyDescent="0.25">
      <c r="A587" s="102"/>
      <c r="B587" s="33"/>
      <c r="C587" s="25"/>
      <c r="D587" s="26"/>
      <c r="E587" s="33"/>
      <c r="F587" s="25"/>
      <c r="G587" s="25"/>
      <c r="H587" s="25"/>
      <c r="I587" s="55"/>
      <c r="P587" s="37" t="str">
        <f t="shared" ca="1" si="37"/>
        <v/>
      </c>
      <c r="Q587" s="37" t="str">
        <f t="shared" ca="1" si="38"/>
        <v/>
      </c>
    </row>
    <row r="588" spans="1:17" x14ac:dyDescent="0.25">
      <c r="A588" s="102"/>
      <c r="B588" s="33"/>
      <c r="C588" s="25"/>
      <c r="D588" s="26"/>
      <c r="E588" s="33"/>
      <c r="F588" s="25"/>
      <c r="G588" s="25"/>
      <c r="H588" s="25"/>
      <c r="I588" s="55"/>
      <c r="P588" s="37" t="str">
        <f t="shared" ca="1" si="37"/>
        <v/>
      </c>
      <c r="Q588" s="37" t="str">
        <f t="shared" ca="1" si="38"/>
        <v/>
      </c>
    </row>
    <row r="589" spans="1:17" x14ac:dyDescent="0.25">
      <c r="A589" s="102"/>
      <c r="B589" s="33"/>
      <c r="C589" s="25"/>
      <c r="D589" s="26"/>
      <c r="E589" s="33"/>
      <c r="F589" s="25"/>
      <c r="G589" s="25"/>
      <c r="H589" s="25"/>
      <c r="I589" s="55"/>
      <c r="P589" s="37" t="str">
        <f t="shared" ca="1" si="37"/>
        <v/>
      </c>
      <c r="Q589" s="37" t="str">
        <f t="shared" ca="1" si="38"/>
        <v/>
      </c>
    </row>
    <row r="590" spans="1:17" x14ac:dyDescent="0.25">
      <c r="A590" s="102"/>
      <c r="B590" s="33"/>
      <c r="C590" s="25"/>
      <c r="D590" s="26"/>
      <c r="E590" s="33"/>
      <c r="F590" s="25"/>
      <c r="G590" s="25"/>
      <c r="H590" s="25"/>
      <c r="I590" s="55"/>
      <c r="P590" s="37" t="str">
        <f t="shared" ca="1" si="37"/>
        <v/>
      </c>
      <c r="Q590" s="37" t="str">
        <f t="shared" ca="1" si="38"/>
        <v/>
      </c>
    </row>
    <row r="591" spans="1:17" x14ac:dyDescent="0.25">
      <c r="A591" s="102"/>
      <c r="B591" s="33"/>
      <c r="C591" s="25"/>
      <c r="D591" s="26"/>
      <c r="E591" s="33"/>
      <c r="F591" s="25"/>
      <c r="G591" s="25"/>
      <c r="H591" s="25"/>
      <c r="I591" s="55"/>
      <c r="P591" s="37" t="str">
        <f t="shared" ca="1" si="37"/>
        <v/>
      </c>
      <c r="Q591" s="37" t="str">
        <f t="shared" ca="1" si="38"/>
        <v/>
      </c>
    </row>
    <row r="592" spans="1:17" x14ac:dyDescent="0.25">
      <c r="A592" s="102"/>
      <c r="B592" s="33"/>
      <c r="C592" s="25"/>
      <c r="D592" s="26"/>
      <c r="E592" s="33"/>
      <c r="F592" s="25"/>
      <c r="G592" s="25"/>
      <c r="H592" s="25"/>
      <c r="I592" s="55"/>
      <c r="P592" s="37" t="str">
        <f t="shared" ca="1" si="37"/>
        <v/>
      </c>
      <c r="Q592" s="37" t="str">
        <f t="shared" ca="1" si="38"/>
        <v/>
      </c>
    </row>
    <row r="593" spans="1:17" x14ac:dyDescent="0.25">
      <c r="A593" s="102"/>
      <c r="B593" s="33"/>
      <c r="C593" s="25"/>
      <c r="D593" s="26"/>
      <c r="E593" s="33"/>
      <c r="F593" s="25"/>
      <c r="G593" s="25"/>
      <c r="H593" s="25"/>
      <c r="I593" s="55"/>
      <c r="P593" s="37" t="str">
        <f t="shared" ca="1" si="37"/>
        <v/>
      </c>
      <c r="Q593" s="37" t="str">
        <f t="shared" ca="1" si="38"/>
        <v/>
      </c>
    </row>
    <row r="594" spans="1:17" x14ac:dyDescent="0.25">
      <c r="A594" s="102"/>
      <c r="B594" s="33"/>
      <c r="C594" s="25"/>
      <c r="D594" s="26"/>
      <c r="E594" s="33"/>
      <c r="F594" s="25"/>
      <c r="G594" s="25"/>
      <c r="H594" s="25"/>
      <c r="I594" s="55"/>
      <c r="P594" s="37" t="str">
        <f t="shared" ca="1" si="37"/>
        <v/>
      </c>
      <c r="Q594" s="37" t="str">
        <f t="shared" ca="1" si="38"/>
        <v/>
      </c>
    </row>
    <row r="595" spans="1:17" x14ac:dyDescent="0.25">
      <c r="A595" s="102"/>
      <c r="B595" s="33"/>
      <c r="C595" s="25"/>
      <c r="D595" s="26"/>
      <c r="E595" s="33"/>
      <c r="F595" s="25"/>
      <c r="G595" s="25"/>
      <c r="H595" s="25"/>
      <c r="I595" s="55"/>
      <c r="P595" s="37" t="str">
        <f t="shared" ca="1" si="37"/>
        <v/>
      </c>
      <c r="Q595" s="37" t="str">
        <f t="shared" ca="1" si="38"/>
        <v/>
      </c>
    </row>
    <row r="596" spans="1:17" x14ac:dyDescent="0.25">
      <c r="A596" s="102"/>
      <c r="B596" s="33"/>
      <c r="C596" s="25"/>
      <c r="D596" s="26"/>
      <c r="E596" s="33"/>
      <c r="F596" s="25"/>
      <c r="G596" s="25"/>
      <c r="H596" s="25"/>
      <c r="I596" s="55"/>
      <c r="P596" s="37" t="str">
        <f t="shared" ca="1" si="37"/>
        <v/>
      </c>
      <c r="Q596" s="37" t="str">
        <f t="shared" ca="1" si="38"/>
        <v/>
      </c>
    </row>
    <row r="597" spans="1:17" x14ac:dyDescent="0.25">
      <c r="A597" s="102"/>
      <c r="B597" s="33"/>
      <c r="C597" s="25"/>
      <c r="D597" s="26"/>
      <c r="E597" s="33"/>
      <c r="F597" s="25"/>
      <c r="G597" s="25"/>
      <c r="H597" s="25"/>
      <c r="I597" s="55"/>
      <c r="P597" s="37" t="str">
        <f t="shared" ca="1" si="37"/>
        <v/>
      </c>
      <c r="Q597" s="37" t="str">
        <f t="shared" ca="1" si="38"/>
        <v/>
      </c>
    </row>
    <row r="598" spans="1:17" x14ac:dyDescent="0.25">
      <c r="A598" s="102"/>
      <c r="B598" s="33"/>
      <c r="C598" s="25"/>
      <c r="D598" s="26"/>
      <c r="E598" s="33"/>
      <c r="F598" s="25"/>
      <c r="G598" s="25"/>
      <c r="H598" s="25"/>
      <c r="I598" s="55"/>
      <c r="P598" s="37" t="str">
        <f t="shared" ca="1" si="37"/>
        <v/>
      </c>
      <c r="Q598" s="37" t="str">
        <f t="shared" ca="1" si="38"/>
        <v/>
      </c>
    </row>
    <row r="599" spans="1:17" x14ac:dyDescent="0.25">
      <c r="A599" s="102"/>
      <c r="B599" s="33"/>
      <c r="C599" s="25"/>
      <c r="D599" s="26"/>
      <c r="E599" s="33"/>
      <c r="F599" s="25"/>
      <c r="G599" s="25"/>
      <c r="H599" s="25"/>
      <c r="I599" s="55"/>
      <c r="P599" s="37" t="str">
        <f t="shared" ca="1" si="37"/>
        <v/>
      </c>
      <c r="Q599" s="37" t="str">
        <f t="shared" ca="1" si="38"/>
        <v/>
      </c>
    </row>
    <row r="600" spans="1:17" x14ac:dyDescent="0.25">
      <c r="A600" s="102"/>
      <c r="B600" s="33"/>
      <c r="C600" s="25"/>
      <c r="D600" s="26"/>
      <c r="E600" s="33"/>
      <c r="F600" s="25"/>
      <c r="G600" s="25"/>
      <c r="H600" s="25"/>
      <c r="I600" s="55"/>
      <c r="P600" s="37" t="str">
        <f t="shared" ca="1" si="37"/>
        <v/>
      </c>
      <c r="Q600" s="37" t="str">
        <f t="shared" ca="1" si="38"/>
        <v/>
      </c>
    </row>
    <row r="601" spans="1:17" x14ac:dyDescent="0.25">
      <c r="A601" s="102"/>
      <c r="B601" s="33"/>
      <c r="C601" s="25"/>
      <c r="D601" s="26"/>
      <c r="E601" s="33"/>
      <c r="F601" s="25"/>
      <c r="G601" s="25"/>
      <c r="H601" s="25"/>
      <c r="I601" s="55"/>
      <c r="P601" s="37" t="str">
        <f t="shared" ca="1" si="37"/>
        <v/>
      </c>
      <c r="Q601" s="37" t="str">
        <f t="shared" ca="1" si="38"/>
        <v/>
      </c>
    </row>
    <row r="602" spans="1:17" x14ac:dyDescent="0.25">
      <c r="A602" s="102"/>
      <c r="B602" s="33"/>
      <c r="C602" s="25"/>
      <c r="D602" s="26"/>
      <c r="E602" s="33"/>
      <c r="F602" s="25"/>
      <c r="G602" s="25"/>
      <c r="H602" s="25"/>
      <c r="I602" s="55"/>
      <c r="P602" s="37" t="str">
        <f t="shared" ca="1" si="37"/>
        <v/>
      </c>
      <c r="Q602" s="37" t="str">
        <f t="shared" ca="1" si="38"/>
        <v/>
      </c>
    </row>
    <row r="603" spans="1:17" x14ac:dyDescent="0.25">
      <c r="A603" s="102"/>
      <c r="B603" s="33"/>
      <c r="C603" s="25"/>
      <c r="D603" s="26"/>
      <c r="E603" s="33"/>
      <c r="F603" s="25"/>
      <c r="G603" s="25"/>
      <c r="H603" s="25"/>
      <c r="I603" s="55"/>
      <c r="P603" s="37" t="str">
        <f t="shared" ca="1" si="37"/>
        <v/>
      </c>
      <c r="Q603" s="37" t="str">
        <f t="shared" ca="1" si="38"/>
        <v/>
      </c>
    </row>
    <row r="604" spans="1:17" x14ac:dyDescent="0.25">
      <c r="A604" s="102"/>
      <c r="B604" s="33"/>
      <c r="C604" s="25"/>
      <c r="D604" s="26"/>
      <c r="E604" s="33"/>
      <c r="F604" s="25"/>
      <c r="G604" s="25"/>
      <c r="H604" s="25"/>
      <c r="I604" s="55"/>
      <c r="P604" s="37" t="str">
        <f t="shared" ca="1" si="37"/>
        <v/>
      </c>
      <c r="Q604" s="37" t="str">
        <f t="shared" ca="1" si="38"/>
        <v/>
      </c>
    </row>
    <row r="605" spans="1:17" x14ac:dyDescent="0.25">
      <c r="A605" s="102"/>
      <c r="B605" s="33"/>
      <c r="C605" s="25"/>
      <c r="D605" s="26"/>
      <c r="E605" s="33"/>
      <c r="F605" s="25"/>
      <c r="G605" s="25"/>
      <c r="H605" s="25"/>
      <c r="I605" s="55"/>
      <c r="P605" s="37" t="str">
        <f t="shared" ca="1" si="37"/>
        <v/>
      </c>
      <c r="Q605" s="37" t="str">
        <f t="shared" ca="1" si="38"/>
        <v/>
      </c>
    </row>
    <row r="606" spans="1:17" x14ac:dyDescent="0.25">
      <c r="A606" s="102"/>
      <c r="B606" s="33"/>
      <c r="C606" s="25"/>
      <c r="D606" s="26"/>
      <c r="E606" s="33"/>
      <c r="F606" s="25"/>
      <c r="G606" s="25"/>
      <c r="H606" s="25"/>
      <c r="I606" s="55"/>
      <c r="P606" s="37" t="str">
        <f t="shared" ca="1" si="37"/>
        <v/>
      </c>
      <c r="Q606" s="37" t="str">
        <f t="shared" ca="1" si="38"/>
        <v/>
      </c>
    </row>
    <row r="607" spans="1:17" x14ac:dyDescent="0.25">
      <c r="A607" s="102"/>
      <c r="B607" s="33"/>
      <c r="C607" s="25"/>
      <c r="D607" s="26"/>
      <c r="E607" s="33"/>
      <c r="F607" s="25"/>
      <c r="G607" s="25"/>
      <c r="H607" s="25"/>
      <c r="I607" s="55"/>
      <c r="P607" s="37" t="str">
        <f t="shared" ca="1" si="37"/>
        <v/>
      </c>
      <c r="Q607" s="37" t="str">
        <f t="shared" ca="1" si="38"/>
        <v/>
      </c>
    </row>
    <row r="608" spans="1:17" x14ac:dyDescent="0.25">
      <c r="A608" s="102"/>
      <c r="B608" s="33"/>
      <c r="C608" s="25"/>
      <c r="D608" s="26"/>
      <c r="E608" s="33"/>
      <c r="F608" s="25"/>
      <c r="G608" s="25"/>
      <c r="H608" s="25"/>
      <c r="I608" s="55"/>
      <c r="P608" s="37" t="str">
        <f t="shared" ca="1" si="37"/>
        <v/>
      </c>
      <c r="Q608" s="37" t="str">
        <f t="shared" ca="1" si="38"/>
        <v/>
      </c>
    </row>
    <row r="609" spans="1:17" x14ac:dyDescent="0.25">
      <c r="A609" s="102"/>
      <c r="B609" s="33"/>
      <c r="C609" s="25"/>
      <c r="D609" s="26"/>
      <c r="E609" s="33"/>
      <c r="F609" s="25"/>
      <c r="G609" s="25"/>
      <c r="H609" s="25"/>
      <c r="I609" s="55"/>
      <c r="P609" s="37" t="str">
        <f t="shared" ca="1" si="37"/>
        <v/>
      </c>
      <c r="Q609" s="37" t="str">
        <f t="shared" ca="1" si="38"/>
        <v/>
      </c>
    </row>
    <row r="610" spans="1:17" x14ac:dyDescent="0.25">
      <c r="A610" s="102"/>
      <c r="B610" s="33"/>
      <c r="C610" s="25"/>
      <c r="D610" s="26"/>
      <c r="E610" s="33"/>
      <c r="F610" s="25"/>
      <c r="G610" s="25"/>
      <c r="H610" s="25"/>
      <c r="I610" s="55"/>
      <c r="P610" s="37" t="str">
        <f t="shared" ca="1" si="37"/>
        <v/>
      </c>
      <c r="Q610" s="37" t="str">
        <f t="shared" ca="1" si="38"/>
        <v/>
      </c>
    </row>
    <row r="611" spans="1:17" x14ac:dyDescent="0.25">
      <c r="A611" s="102"/>
      <c r="B611" s="33"/>
      <c r="C611" s="25"/>
      <c r="D611" s="26"/>
      <c r="E611" s="33"/>
      <c r="F611" s="25"/>
      <c r="G611" s="25"/>
      <c r="H611" s="25"/>
      <c r="I611" s="55"/>
      <c r="P611" s="37" t="str">
        <f t="shared" ca="1" si="37"/>
        <v/>
      </c>
      <c r="Q611" s="37" t="str">
        <f t="shared" ca="1" si="38"/>
        <v/>
      </c>
    </row>
    <row r="612" spans="1:17" x14ac:dyDescent="0.25">
      <c r="A612" s="102"/>
      <c r="B612" s="33"/>
      <c r="C612" s="25"/>
      <c r="D612" s="26"/>
      <c r="E612" s="33"/>
      <c r="F612" s="25"/>
      <c r="G612" s="25"/>
      <c r="H612" s="25"/>
      <c r="I612" s="55"/>
      <c r="P612" s="37" t="str">
        <f t="shared" ca="1" si="37"/>
        <v/>
      </c>
      <c r="Q612" s="37" t="str">
        <f t="shared" ca="1" si="38"/>
        <v/>
      </c>
    </row>
    <row r="613" spans="1:17" x14ac:dyDescent="0.25">
      <c r="A613" s="102"/>
      <c r="B613" s="33"/>
      <c r="C613" s="25"/>
      <c r="D613" s="26"/>
      <c r="E613" s="33"/>
      <c r="F613" s="25"/>
      <c r="G613" s="25"/>
      <c r="H613" s="25"/>
      <c r="I613" s="55"/>
      <c r="P613" s="37" t="str">
        <f t="shared" ca="1" si="37"/>
        <v/>
      </c>
      <c r="Q613" s="37" t="str">
        <f t="shared" ca="1" si="38"/>
        <v/>
      </c>
    </row>
    <row r="614" spans="1:17" x14ac:dyDescent="0.25">
      <c r="A614" s="102"/>
      <c r="B614" s="33"/>
      <c r="C614" s="25"/>
      <c r="D614" s="26"/>
      <c r="E614" s="33"/>
      <c r="F614" s="25"/>
      <c r="G614" s="25"/>
      <c r="H614" s="25"/>
      <c r="I614" s="55"/>
      <c r="P614" s="37" t="str">
        <f t="shared" ca="1" si="37"/>
        <v/>
      </c>
      <c r="Q614" s="37" t="str">
        <f t="shared" ca="1" si="38"/>
        <v/>
      </c>
    </row>
    <row r="615" spans="1:17" x14ac:dyDescent="0.25">
      <c r="A615" s="102"/>
      <c r="B615" s="33"/>
      <c r="C615" s="25"/>
      <c r="D615" s="26"/>
      <c r="E615" s="33"/>
      <c r="F615" s="25"/>
      <c r="G615" s="25"/>
      <c r="H615" s="25"/>
      <c r="I615" s="55"/>
      <c r="P615" s="37" t="str">
        <f t="shared" ca="1" si="37"/>
        <v/>
      </c>
      <c r="Q615" s="37" t="str">
        <f t="shared" ca="1" si="38"/>
        <v/>
      </c>
    </row>
    <row r="616" spans="1:17" x14ac:dyDescent="0.25">
      <c r="A616" s="102"/>
      <c r="B616" s="33"/>
      <c r="C616" s="25"/>
      <c r="D616" s="26"/>
      <c r="E616" s="33"/>
      <c r="F616" s="25"/>
      <c r="G616" s="25"/>
      <c r="H616" s="25"/>
      <c r="I616" s="55"/>
      <c r="P616" s="37" t="str">
        <f t="shared" ca="1" si="37"/>
        <v/>
      </c>
      <c r="Q616" s="37" t="str">
        <f t="shared" ca="1" si="38"/>
        <v/>
      </c>
    </row>
    <row r="617" spans="1:17" x14ac:dyDescent="0.25">
      <c r="A617" s="102"/>
      <c r="B617" s="33"/>
      <c r="C617" s="25"/>
      <c r="D617" s="26"/>
      <c r="E617" s="33"/>
      <c r="F617" s="25"/>
      <c r="G617" s="25"/>
      <c r="H617" s="25"/>
      <c r="I617" s="55"/>
      <c r="P617" s="37" t="str">
        <f t="shared" ca="1" si="37"/>
        <v/>
      </c>
      <c r="Q617" s="37" t="str">
        <f t="shared" ca="1" si="38"/>
        <v/>
      </c>
    </row>
    <row r="618" spans="1:17" x14ac:dyDescent="0.25">
      <c r="A618" s="102"/>
      <c r="B618" s="33"/>
      <c r="C618" s="25"/>
      <c r="D618" s="26"/>
      <c r="E618" s="33"/>
      <c r="F618" s="25"/>
      <c r="G618" s="25"/>
      <c r="H618" s="25"/>
      <c r="I618" s="55"/>
      <c r="P618" s="37" t="str">
        <f t="shared" ca="1" si="37"/>
        <v/>
      </c>
      <c r="Q618" s="37" t="str">
        <f t="shared" ca="1" si="38"/>
        <v/>
      </c>
    </row>
    <row r="619" spans="1:17" x14ac:dyDescent="0.25">
      <c r="A619" s="102"/>
      <c r="B619" s="33"/>
      <c r="C619" s="25"/>
      <c r="D619" s="26"/>
      <c r="E619" s="33"/>
      <c r="F619" s="25"/>
      <c r="G619" s="25"/>
      <c r="H619" s="25"/>
      <c r="I619" s="55"/>
      <c r="P619" s="37" t="str">
        <f t="shared" ca="1" si="37"/>
        <v/>
      </c>
      <c r="Q619" s="37" t="str">
        <f t="shared" ca="1" si="38"/>
        <v/>
      </c>
    </row>
    <row r="620" spans="1:17" x14ac:dyDescent="0.25">
      <c r="A620" s="102"/>
      <c r="B620" s="33"/>
      <c r="C620" s="25"/>
      <c r="D620" s="26"/>
      <c r="E620" s="33"/>
      <c r="F620" s="25"/>
      <c r="G620" s="25"/>
      <c r="H620" s="25"/>
      <c r="I620" s="55"/>
      <c r="P620" s="37" t="str">
        <f t="shared" ca="1" si="37"/>
        <v/>
      </c>
      <c r="Q620" s="37" t="str">
        <f t="shared" ca="1" si="38"/>
        <v/>
      </c>
    </row>
    <row r="621" spans="1:17" x14ac:dyDescent="0.25">
      <c r="A621" s="102"/>
      <c r="B621" s="33"/>
      <c r="C621" s="25"/>
      <c r="D621" s="26"/>
      <c r="E621" s="33"/>
      <c r="F621" s="25"/>
      <c r="G621" s="25"/>
      <c r="H621" s="25"/>
      <c r="I621" s="55"/>
      <c r="P621" s="37" t="str">
        <f t="shared" ca="1" si="37"/>
        <v/>
      </c>
      <c r="Q621" s="37" t="str">
        <f t="shared" ca="1" si="38"/>
        <v/>
      </c>
    </row>
    <row r="622" spans="1:17" x14ac:dyDescent="0.25">
      <c r="A622" s="102"/>
      <c r="B622" s="33"/>
      <c r="C622" s="25"/>
      <c r="D622" s="26"/>
      <c r="E622" s="33"/>
      <c r="F622" s="25"/>
      <c r="G622" s="25"/>
      <c r="H622" s="25"/>
      <c r="I622" s="55"/>
      <c r="P622" s="37" t="str">
        <f t="shared" ca="1" si="37"/>
        <v/>
      </c>
      <c r="Q622" s="37" t="str">
        <f t="shared" ca="1" si="38"/>
        <v/>
      </c>
    </row>
    <row r="623" spans="1:17" x14ac:dyDescent="0.25">
      <c r="A623" s="102"/>
      <c r="B623" s="33"/>
      <c r="C623" s="25"/>
      <c r="D623" s="26"/>
      <c r="E623" s="33"/>
      <c r="F623" s="25"/>
      <c r="G623" s="25"/>
      <c r="H623" s="25"/>
      <c r="I623" s="55"/>
      <c r="P623" s="37" t="str">
        <f t="shared" ca="1" si="37"/>
        <v/>
      </c>
      <c r="Q623" s="37" t="str">
        <f t="shared" ca="1" si="38"/>
        <v/>
      </c>
    </row>
    <row r="624" spans="1:17" x14ac:dyDescent="0.25">
      <c r="A624" s="102"/>
      <c r="B624" s="33"/>
      <c r="C624" s="25"/>
      <c r="D624" s="26"/>
      <c r="E624" s="33"/>
      <c r="F624" s="25"/>
      <c r="G624" s="25"/>
      <c r="H624" s="25"/>
      <c r="I624" s="55"/>
      <c r="P624" s="37" t="str">
        <f t="shared" ca="1" si="37"/>
        <v/>
      </c>
      <c r="Q624" s="37" t="str">
        <f t="shared" ca="1" si="38"/>
        <v/>
      </c>
    </row>
    <row r="625" spans="1:17" x14ac:dyDescent="0.25">
      <c r="A625" s="102"/>
      <c r="B625" s="33"/>
      <c r="C625" s="25"/>
      <c r="D625" s="26"/>
      <c r="E625" s="33"/>
      <c r="F625" s="25"/>
      <c r="G625" s="25"/>
      <c r="H625" s="25"/>
      <c r="I625" s="55"/>
      <c r="P625" s="37" t="str">
        <f t="shared" ca="1" si="37"/>
        <v/>
      </c>
      <c r="Q625" s="37" t="str">
        <f t="shared" ca="1" si="38"/>
        <v/>
      </c>
    </row>
    <row r="626" spans="1:17" x14ac:dyDescent="0.25">
      <c r="A626" s="102"/>
      <c r="B626" s="33"/>
      <c r="C626" s="25"/>
      <c r="D626" s="26"/>
      <c r="E626" s="33"/>
      <c r="F626" s="25"/>
      <c r="G626" s="25"/>
      <c r="H626" s="25"/>
      <c r="I626" s="55"/>
      <c r="P626" s="37" t="str">
        <f t="shared" ca="1" si="37"/>
        <v/>
      </c>
      <c r="Q626" s="37" t="str">
        <f t="shared" ca="1" si="38"/>
        <v/>
      </c>
    </row>
    <row r="627" spans="1:17" x14ac:dyDescent="0.25">
      <c r="A627" s="102"/>
      <c r="B627" s="33"/>
      <c r="C627" s="25"/>
      <c r="D627" s="26"/>
      <c r="E627" s="33"/>
      <c r="F627" s="25"/>
      <c r="G627" s="25"/>
      <c r="H627" s="25"/>
      <c r="I627" s="55"/>
      <c r="P627" s="37" t="str">
        <f t="shared" ca="1" si="37"/>
        <v/>
      </c>
      <c r="Q627" s="37" t="str">
        <f t="shared" ca="1" si="38"/>
        <v/>
      </c>
    </row>
    <row r="628" spans="1:17" x14ac:dyDescent="0.25">
      <c r="A628" s="102"/>
      <c r="B628" s="33"/>
      <c r="C628" s="25"/>
      <c r="D628" s="26"/>
      <c r="E628" s="33"/>
      <c r="F628" s="25"/>
      <c r="G628" s="25"/>
      <c r="H628" s="25"/>
      <c r="I628" s="55"/>
      <c r="P628" s="37" t="str">
        <f t="shared" ca="1" si="37"/>
        <v/>
      </c>
      <c r="Q628" s="37" t="str">
        <f t="shared" ca="1" si="38"/>
        <v/>
      </c>
    </row>
    <row r="629" spans="1:17" x14ac:dyDescent="0.25">
      <c r="A629" s="102"/>
      <c r="B629" s="33"/>
      <c r="C629" s="25"/>
      <c r="D629" s="26"/>
      <c r="E629" s="33"/>
      <c r="F629" s="25"/>
      <c r="G629" s="25"/>
      <c r="H629" s="25"/>
      <c r="I629" s="55"/>
      <c r="P629" s="37" t="str">
        <f t="shared" ca="1" si="37"/>
        <v/>
      </c>
      <c r="Q629" s="37" t="str">
        <f t="shared" ca="1" si="38"/>
        <v/>
      </c>
    </row>
    <row r="630" spans="1:17" x14ac:dyDescent="0.25">
      <c r="A630" s="102"/>
      <c r="B630" s="33"/>
      <c r="C630" s="25"/>
      <c r="D630" s="26"/>
      <c r="E630" s="33"/>
      <c r="F630" s="25"/>
      <c r="G630" s="25"/>
      <c r="H630" s="25"/>
      <c r="I630" s="55"/>
      <c r="P630" s="37" t="str">
        <f t="shared" ca="1" si="37"/>
        <v/>
      </c>
      <c r="Q630" s="37" t="str">
        <f t="shared" ca="1" si="38"/>
        <v/>
      </c>
    </row>
    <row r="631" spans="1:17" x14ac:dyDescent="0.25">
      <c r="A631" s="102"/>
      <c r="B631" s="33"/>
      <c r="C631" s="25"/>
      <c r="D631" s="26"/>
      <c r="E631" s="33"/>
      <c r="F631" s="25"/>
      <c r="G631" s="25"/>
      <c r="H631" s="25"/>
      <c r="I631" s="55"/>
      <c r="P631" s="37" t="str">
        <f t="shared" ca="1" si="37"/>
        <v/>
      </c>
      <c r="Q631" s="37" t="str">
        <f t="shared" ca="1" si="38"/>
        <v/>
      </c>
    </row>
    <row r="632" spans="1:17" x14ac:dyDescent="0.25">
      <c r="A632" s="102"/>
      <c r="B632" s="33"/>
      <c r="C632" s="25"/>
      <c r="D632" s="26"/>
      <c r="E632" s="33"/>
      <c r="F632" s="25"/>
      <c r="G632" s="25"/>
      <c r="H632" s="25"/>
      <c r="I632" s="55"/>
      <c r="P632" s="37" t="str">
        <f t="shared" ca="1" si="37"/>
        <v/>
      </c>
      <c r="Q632" s="37" t="str">
        <f t="shared" ca="1" si="38"/>
        <v/>
      </c>
    </row>
    <row r="633" spans="1:17" x14ac:dyDescent="0.25">
      <c r="A633" s="102"/>
      <c r="B633" s="33"/>
      <c r="C633" s="25"/>
      <c r="D633" s="26"/>
      <c r="E633" s="33"/>
      <c r="F633" s="25"/>
      <c r="G633" s="25"/>
      <c r="H633" s="25"/>
      <c r="I633" s="55"/>
      <c r="P633" s="37" t="str">
        <f t="shared" ca="1" si="37"/>
        <v/>
      </c>
      <c r="Q633" s="37" t="str">
        <f t="shared" ca="1" si="38"/>
        <v/>
      </c>
    </row>
    <row r="634" spans="1:17" x14ac:dyDescent="0.25">
      <c r="A634" s="102"/>
      <c r="B634" s="33"/>
      <c r="C634" s="25"/>
      <c r="D634" s="26"/>
      <c r="E634" s="33"/>
      <c r="F634" s="25"/>
      <c r="G634" s="25"/>
      <c r="H634" s="25"/>
      <c r="I634" s="55"/>
      <c r="P634" s="37" t="str">
        <f t="shared" ca="1" si="37"/>
        <v/>
      </c>
      <c r="Q634" s="37" t="str">
        <f t="shared" ca="1" si="38"/>
        <v/>
      </c>
    </row>
    <row r="635" spans="1:17" x14ac:dyDescent="0.25">
      <c r="A635" s="102"/>
      <c r="B635" s="33"/>
      <c r="C635" s="25"/>
      <c r="D635" s="26"/>
      <c r="E635" s="33"/>
      <c r="F635" s="25"/>
      <c r="G635" s="25"/>
      <c r="H635" s="25"/>
      <c r="I635" s="55"/>
      <c r="P635" s="37" t="str">
        <f t="shared" ca="1" si="37"/>
        <v/>
      </c>
      <c r="Q635" s="37" t="str">
        <f t="shared" ca="1" si="38"/>
        <v/>
      </c>
    </row>
    <row r="636" spans="1:17" x14ac:dyDescent="0.25">
      <c r="A636" s="102"/>
      <c r="B636" s="33"/>
      <c r="C636" s="25"/>
      <c r="D636" s="26"/>
      <c r="E636" s="33"/>
      <c r="F636" s="25"/>
      <c r="G636" s="25"/>
      <c r="H636" s="25"/>
      <c r="I636" s="55"/>
      <c r="P636" s="37" t="str">
        <f t="shared" ca="1" si="37"/>
        <v/>
      </c>
      <c r="Q636" s="37" t="str">
        <f t="shared" ca="1" si="38"/>
        <v/>
      </c>
    </row>
    <row r="637" spans="1:17" x14ac:dyDescent="0.25">
      <c r="A637" s="102"/>
      <c r="B637" s="33"/>
      <c r="C637" s="25"/>
      <c r="D637" s="26"/>
      <c r="E637" s="33"/>
      <c r="F637" s="25"/>
      <c r="G637" s="25"/>
      <c r="H637" s="25"/>
      <c r="I637" s="55"/>
      <c r="P637" s="37" t="str">
        <f t="shared" ca="1" si="37"/>
        <v/>
      </c>
      <c r="Q637" s="37" t="str">
        <f t="shared" ca="1" si="38"/>
        <v/>
      </c>
    </row>
    <row r="638" spans="1:17" x14ac:dyDescent="0.25">
      <c r="A638" s="102"/>
      <c r="B638" s="33"/>
      <c r="C638" s="25"/>
      <c r="D638" s="26"/>
      <c r="E638" s="33"/>
      <c r="F638" s="25"/>
      <c r="G638" s="25"/>
      <c r="H638" s="25"/>
      <c r="I638" s="55"/>
      <c r="P638" s="37" t="str">
        <f t="shared" ca="1" si="37"/>
        <v/>
      </c>
      <c r="Q638" s="37" t="str">
        <f t="shared" ca="1" si="38"/>
        <v/>
      </c>
    </row>
    <row r="639" spans="1:17" x14ac:dyDescent="0.25">
      <c r="A639" s="102"/>
      <c r="B639" s="33"/>
      <c r="C639" s="25"/>
      <c r="D639" s="26"/>
      <c r="E639" s="33"/>
      <c r="F639" s="25"/>
      <c r="G639" s="25"/>
      <c r="H639" s="25"/>
      <c r="I639" s="55"/>
      <c r="P639" s="37" t="str">
        <f t="shared" ca="1" si="37"/>
        <v/>
      </c>
      <c r="Q639" s="37" t="str">
        <f t="shared" ca="1" si="38"/>
        <v/>
      </c>
    </row>
    <row r="640" spans="1:17" x14ac:dyDescent="0.25">
      <c r="A640" s="102"/>
      <c r="B640" s="33"/>
      <c r="C640" s="25"/>
      <c r="D640" s="26"/>
      <c r="E640" s="33"/>
      <c r="F640" s="25"/>
      <c r="G640" s="25"/>
      <c r="H640" s="25"/>
      <c r="I640" s="55"/>
      <c r="P640" s="37" t="str">
        <f t="shared" ca="1" si="37"/>
        <v/>
      </c>
      <c r="Q640" s="37" t="str">
        <f t="shared" ca="1" si="38"/>
        <v/>
      </c>
    </row>
    <row r="641" spans="1:17" x14ac:dyDescent="0.25">
      <c r="A641" s="102"/>
      <c r="B641" s="33"/>
      <c r="C641" s="25"/>
      <c r="D641" s="26"/>
      <c r="E641" s="33"/>
      <c r="F641" s="25"/>
      <c r="G641" s="25"/>
      <c r="H641" s="25"/>
      <c r="I641" s="55"/>
      <c r="P641" s="37" t="str">
        <f t="shared" ca="1" si="37"/>
        <v/>
      </c>
      <c r="Q641" s="37" t="str">
        <f t="shared" ca="1" si="38"/>
        <v/>
      </c>
    </row>
    <row r="642" spans="1:17" x14ac:dyDescent="0.25">
      <c r="A642" s="102"/>
      <c r="B642" s="33"/>
      <c r="C642" s="25"/>
      <c r="D642" s="26"/>
      <c r="E642" s="33"/>
      <c r="F642" s="25"/>
      <c r="G642" s="25"/>
      <c r="H642" s="25"/>
      <c r="I642" s="55"/>
      <c r="P642" s="37" t="str">
        <f t="shared" ca="1" si="37"/>
        <v/>
      </c>
      <c r="Q642" s="37" t="str">
        <f t="shared" ca="1" si="38"/>
        <v/>
      </c>
    </row>
    <row r="643" spans="1:17" x14ac:dyDescent="0.25">
      <c r="A643" s="102"/>
      <c r="B643" s="33"/>
      <c r="C643" s="25"/>
      <c r="D643" s="26"/>
      <c r="E643" s="33"/>
      <c r="F643" s="25"/>
      <c r="G643" s="25"/>
      <c r="H643" s="25"/>
      <c r="I643" s="55"/>
      <c r="P643" s="37" t="str">
        <f t="shared" ca="1" si="37"/>
        <v/>
      </c>
      <c r="Q643" s="37" t="str">
        <f t="shared" ca="1" si="38"/>
        <v/>
      </c>
    </row>
    <row r="644" spans="1:17" x14ac:dyDescent="0.25">
      <c r="A644" s="102"/>
      <c r="B644" s="33"/>
      <c r="C644" s="25"/>
      <c r="D644" s="26"/>
      <c r="E644" s="33"/>
      <c r="F644" s="25"/>
      <c r="G644" s="25"/>
      <c r="H644" s="25"/>
      <c r="I644" s="55"/>
      <c r="P644" s="37" t="str">
        <f t="shared" ref="P644:P707" ca="1" si="39">IF(COUNTIF(N:N,L644),L644,"")</f>
        <v/>
      </c>
      <c r="Q644" s="37" t="str">
        <f t="shared" ref="Q644:Q707" ca="1" si="40">IF(P644&gt;$A$14,P644,"")</f>
        <v/>
      </c>
    </row>
    <row r="645" spans="1:17" x14ac:dyDescent="0.25">
      <c r="A645" s="102"/>
      <c r="B645" s="33"/>
      <c r="C645" s="25"/>
      <c r="D645" s="26"/>
      <c r="E645" s="33"/>
      <c r="F645" s="25"/>
      <c r="G645" s="25"/>
      <c r="H645" s="25"/>
      <c r="I645" s="55"/>
      <c r="P645" s="37" t="str">
        <f t="shared" ca="1" si="39"/>
        <v/>
      </c>
      <c r="Q645" s="37" t="str">
        <f t="shared" ca="1" si="40"/>
        <v/>
      </c>
    </row>
    <row r="646" spans="1:17" x14ac:dyDescent="0.25">
      <c r="A646" s="102"/>
      <c r="B646" s="33"/>
      <c r="C646" s="25"/>
      <c r="D646" s="26"/>
      <c r="E646" s="33"/>
      <c r="F646" s="25"/>
      <c r="G646" s="25"/>
      <c r="H646" s="25"/>
      <c r="I646" s="55"/>
      <c r="P646" s="37" t="str">
        <f t="shared" ca="1" si="39"/>
        <v/>
      </c>
      <c r="Q646" s="37" t="str">
        <f t="shared" ca="1" si="40"/>
        <v/>
      </c>
    </row>
    <row r="647" spans="1:17" x14ac:dyDescent="0.25">
      <c r="A647" s="102"/>
      <c r="B647" s="33"/>
      <c r="C647" s="25"/>
      <c r="D647" s="26"/>
      <c r="E647" s="33"/>
      <c r="F647" s="25"/>
      <c r="G647" s="25"/>
      <c r="H647" s="25"/>
      <c r="I647" s="55"/>
      <c r="P647" s="37" t="str">
        <f t="shared" ca="1" si="39"/>
        <v/>
      </c>
      <c r="Q647" s="37" t="str">
        <f t="shared" ca="1" si="40"/>
        <v/>
      </c>
    </row>
    <row r="648" spans="1:17" x14ac:dyDescent="0.25">
      <c r="A648" s="102"/>
      <c r="B648" s="33"/>
      <c r="C648" s="25"/>
      <c r="D648" s="26"/>
      <c r="E648" s="33"/>
      <c r="F648" s="25"/>
      <c r="G648" s="25"/>
      <c r="H648" s="25"/>
      <c r="I648" s="55"/>
      <c r="P648" s="37" t="str">
        <f t="shared" ca="1" si="39"/>
        <v/>
      </c>
      <c r="Q648" s="37" t="str">
        <f t="shared" ca="1" si="40"/>
        <v/>
      </c>
    </row>
    <row r="649" spans="1:17" x14ac:dyDescent="0.25">
      <c r="A649" s="102"/>
      <c r="B649" s="33"/>
      <c r="C649" s="25"/>
      <c r="D649" s="26"/>
      <c r="E649" s="33"/>
      <c r="F649" s="25"/>
      <c r="G649" s="25"/>
      <c r="H649" s="25"/>
      <c r="I649" s="55"/>
      <c r="P649" s="37" t="str">
        <f t="shared" ca="1" si="39"/>
        <v/>
      </c>
      <c r="Q649" s="37" t="str">
        <f t="shared" ca="1" si="40"/>
        <v/>
      </c>
    </row>
    <row r="650" spans="1:17" x14ac:dyDescent="0.25">
      <c r="A650" s="102"/>
      <c r="B650" s="33"/>
      <c r="C650" s="25"/>
      <c r="D650" s="26"/>
      <c r="E650" s="33"/>
      <c r="F650" s="25"/>
      <c r="G650" s="25"/>
      <c r="H650" s="25"/>
      <c r="I650" s="55"/>
      <c r="P650" s="37" t="str">
        <f t="shared" ca="1" si="39"/>
        <v/>
      </c>
      <c r="Q650" s="37" t="str">
        <f t="shared" ca="1" si="40"/>
        <v/>
      </c>
    </row>
    <row r="651" spans="1:17" x14ac:dyDescent="0.25">
      <c r="A651" s="102"/>
      <c r="B651" s="33"/>
      <c r="C651" s="25"/>
      <c r="D651" s="26"/>
      <c r="E651" s="33"/>
      <c r="F651" s="25"/>
      <c r="G651" s="25"/>
      <c r="H651" s="25"/>
      <c r="I651" s="55"/>
      <c r="P651" s="37" t="str">
        <f t="shared" ca="1" si="39"/>
        <v/>
      </c>
      <c r="Q651" s="37" t="str">
        <f t="shared" ca="1" si="40"/>
        <v/>
      </c>
    </row>
    <row r="652" spans="1:17" x14ac:dyDescent="0.25">
      <c r="A652" s="102"/>
      <c r="B652" s="33"/>
      <c r="C652" s="25"/>
      <c r="D652" s="26"/>
      <c r="E652" s="33"/>
      <c r="F652" s="25"/>
      <c r="G652" s="25"/>
      <c r="H652" s="25"/>
      <c r="I652" s="55"/>
      <c r="P652" s="37" t="str">
        <f t="shared" ca="1" si="39"/>
        <v/>
      </c>
      <c r="Q652" s="37" t="str">
        <f t="shared" ca="1" si="40"/>
        <v/>
      </c>
    </row>
    <row r="653" spans="1:17" x14ac:dyDescent="0.25">
      <c r="A653" s="102"/>
      <c r="B653" s="33"/>
      <c r="C653" s="25"/>
      <c r="D653" s="26"/>
      <c r="E653" s="33"/>
      <c r="F653" s="25"/>
      <c r="G653" s="25"/>
      <c r="H653" s="25"/>
      <c r="I653" s="55"/>
      <c r="P653" s="37" t="str">
        <f t="shared" ca="1" si="39"/>
        <v/>
      </c>
      <c r="Q653" s="37" t="str">
        <f t="shared" ca="1" si="40"/>
        <v/>
      </c>
    </row>
    <row r="654" spans="1:17" x14ac:dyDescent="0.25">
      <c r="A654" s="102"/>
      <c r="B654" s="33"/>
      <c r="C654" s="25"/>
      <c r="D654" s="26"/>
      <c r="E654" s="33"/>
      <c r="F654" s="25"/>
      <c r="G654" s="25"/>
      <c r="H654" s="25"/>
      <c r="I654" s="55"/>
      <c r="P654" s="37" t="str">
        <f t="shared" ca="1" si="39"/>
        <v/>
      </c>
      <c r="Q654" s="37" t="str">
        <f t="shared" ca="1" si="40"/>
        <v/>
      </c>
    </row>
    <row r="655" spans="1:17" x14ac:dyDescent="0.25">
      <c r="A655" s="102"/>
      <c r="B655" s="33"/>
      <c r="C655" s="25"/>
      <c r="D655" s="26"/>
      <c r="E655" s="33"/>
      <c r="F655" s="25"/>
      <c r="G655" s="25"/>
      <c r="H655" s="25"/>
      <c r="I655" s="55"/>
      <c r="P655" s="37" t="str">
        <f t="shared" ca="1" si="39"/>
        <v/>
      </c>
      <c r="Q655" s="37" t="str">
        <f t="shared" ca="1" si="40"/>
        <v/>
      </c>
    </row>
    <row r="656" spans="1:17" x14ac:dyDescent="0.25">
      <c r="A656" s="102"/>
      <c r="B656" s="33"/>
      <c r="C656" s="25"/>
      <c r="D656" s="26"/>
      <c r="E656" s="33"/>
      <c r="F656" s="25"/>
      <c r="G656" s="25"/>
      <c r="H656" s="25"/>
      <c r="I656" s="55"/>
      <c r="P656" s="37" t="str">
        <f t="shared" ca="1" si="39"/>
        <v/>
      </c>
      <c r="Q656" s="37" t="str">
        <f t="shared" ca="1" si="40"/>
        <v/>
      </c>
    </row>
    <row r="657" spans="1:17" x14ac:dyDescent="0.25">
      <c r="A657" s="102"/>
      <c r="B657" s="33"/>
      <c r="C657" s="25"/>
      <c r="D657" s="26"/>
      <c r="E657" s="33"/>
      <c r="F657" s="25"/>
      <c r="G657" s="25"/>
      <c r="H657" s="25"/>
      <c r="I657" s="55"/>
      <c r="P657" s="37" t="str">
        <f t="shared" ca="1" si="39"/>
        <v/>
      </c>
      <c r="Q657" s="37" t="str">
        <f t="shared" ca="1" si="40"/>
        <v/>
      </c>
    </row>
    <row r="658" spans="1:17" x14ac:dyDescent="0.25">
      <c r="A658" s="102"/>
      <c r="B658" s="33"/>
      <c r="C658" s="25"/>
      <c r="D658" s="26"/>
      <c r="E658" s="33"/>
      <c r="F658" s="25"/>
      <c r="G658" s="25"/>
      <c r="H658" s="25"/>
      <c r="I658" s="55"/>
      <c r="P658" s="37" t="str">
        <f t="shared" ca="1" si="39"/>
        <v/>
      </c>
      <c r="Q658" s="37" t="str">
        <f t="shared" ca="1" si="40"/>
        <v/>
      </c>
    </row>
    <row r="659" spans="1:17" x14ac:dyDescent="0.25">
      <c r="A659" s="102"/>
      <c r="B659" s="33"/>
      <c r="C659" s="25"/>
      <c r="D659" s="26"/>
      <c r="E659" s="33"/>
      <c r="F659" s="25"/>
      <c r="G659" s="25"/>
      <c r="H659" s="25"/>
      <c r="I659" s="55"/>
      <c r="P659" s="37" t="str">
        <f t="shared" ca="1" si="39"/>
        <v/>
      </c>
      <c r="Q659" s="37" t="str">
        <f t="shared" ca="1" si="40"/>
        <v/>
      </c>
    </row>
    <row r="660" spans="1:17" x14ac:dyDescent="0.25">
      <c r="A660" s="102"/>
      <c r="B660" s="33"/>
      <c r="C660" s="25"/>
      <c r="D660" s="26"/>
      <c r="E660" s="33"/>
      <c r="F660" s="25"/>
      <c r="G660" s="25"/>
      <c r="H660" s="25"/>
      <c r="I660" s="55"/>
      <c r="P660" s="37" t="str">
        <f t="shared" ca="1" si="39"/>
        <v/>
      </c>
      <c r="Q660" s="37" t="str">
        <f t="shared" ca="1" si="40"/>
        <v/>
      </c>
    </row>
    <row r="661" spans="1:17" x14ac:dyDescent="0.25">
      <c r="A661" s="102"/>
      <c r="B661" s="33"/>
      <c r="C661" s="25"/>
      <c r="D661" s="26"/>
      <c r="E661" s="33"/>
      <c r="F661" s="25"/>
      <c r="G661" s="25"/>
      <c r="H661" s="25"/>
      <c r="I661" s="55"/>
      <c r="P661" s="37" t="str">
        <f t="shared" ca="1" si="39"/>
        <v/>
      </c>
      <c r="Q661" s="37" t="str">
        <f t="shared" ca="1" si="40"/>
        <v/>
      </c>
    </row>
    <row r="662" spans="1:17" x14ac:dyDescent="0.25">
      <c r="A662" s="102"/>
      <c r="B662" s="33"/>
      <c r="C662" s="25"/>
      <c r="D662" s="26"/>
      <c r="E662" s="33"/>
      <c r="F662" s="25"/>
      <c r="G662" s="25"/>
      <c r="H662" s="25"/>
      <c r="I662" s="55"/>
      <c r="P662" s="37" t="str">
        <f t="shared" ca="1" si="39"/>
        <v/>
      </c>
      <c r="Q662" s="37" t="str">
        <f t="shared" ca="1" si="40"/>
        <v/>
      </c>
    </row>
    <row r="663" spans="1:17" x14ac:dyDescent="0.25">
      <c r="A663" s="102"/>
      <c r="B663" s="33"/>
      <c r="C663" s="25"/>
      <c r="D663" s="26"/>
      <c r="E663" s="33"/>
      <c r="F663" s="25"/>
      <c r="G663" s="25"/>
      <c r="H663" s="25"/>
      <c r="I663" s="55"/>
      <c r="P663" s="37" t="str">
        <f t="shared" ca="1" si="39"/>
        <v/>
      </c>
      <c r="Q663" s="37" t="str">
        <f t="shared" ca="1" si="40"/>
        <v/>
      </c>
    </row>
    <row r="664" spans="1:17" x14ac:dyDescent="0.25">
      <c r="A664" s="102"/>
      <c r="B664" s="33"/>
      <c r="C664" s="25"/>
      <c r="D664" s="26"/>
      <c r="E664" s="33"/>
      <c r="F664" s="25"/>
      <c r="G664" s="25"/>
      <c r="H664" s="25"/>
      <c r="I664" s="55"/>
      <c r="P664" s="37" t="str">
        <f t="shared" ca="1" si="39"/>
        <v/>
      </c>
      <c r="Q664" s="37" t="str">
        <f t="shared" ca="1" si="40"/>
        <v/>
      </c>
    </row>
    <row r="665" spans="1:17" x14ac:dyDescent="0.25">
      <c r="A665" s="102"/>
      <c r="B665" s="33"/>
      <c r="C665" s="25"/>
      <c r="D665" s="26"/>
      <c r="E665" s="33"/>
      <c r="F665" s="25"/>
      <c r="G665" s="25"/>
      <c r="H665" s="25"/>
      <c r="I665" s="55"/>
      <c r="P665" s="37" t="str">
        <f t="shared" ca="1" si="39"/>
        <v/>
      </c>
      <c r="Q665" s="37" t="str">
        <f t="shared" ca="1" si="40"/>
        <v/>
      </c>
    </row>
    <row r="666" spans="1:17" x14ac:dyDescent="0.25">
      <c r="A666" s="102"/>
      <c r="B666" s="33"/>
      <c r="C666" s="25"/>
      <c r="D666" s="26"/>
      <c r="E666" s="33"/>
      <c r="F666" s="25"/>
      <c r="G666" s="25"/>
      <c r="H666" s="25"/>
      <c r="I666" s="55"/>
      <c r="P666" s="37" t="str">
        <f t="shared" ca="1" si="39"/>
        <v/>
      </c>
      <c r="Q666" s="37" t="str">
        <f t="shared" ca="1" si="40"/>
        <v/>
      </c>
    </row>
    <row r="667" spans="1:17" x14ac:dyDescent="0.25">
      <c r="A667" s="102"/>
      <c r="B667" s="33"/>
      <c r="C667" s="25"/>
      <c r="D667" s="26"/>
      <c r="E667" s="33"/>
      <c r="F667" s="25"/>
      <c r="G667" s="25"/>
      <c r="H667" s="25"/>
      <c r="I667" s="55"/>
      <c r="P667" s="37" t="str">
        <f t="shared" ca="1" si="39"/>
        <v/>
      </c>
      <c r="Q667" s="37" t="str">
        <f t="shared" ca="1" si="40"/>
        <v/>
      </c>
    </row>
    <row r="668" spans="1:17" x14ac:dyDescent="0.25">
      <c r="A668" s="102"/>
      <c r="B668" s="33"/>
      <c r="C668" s="25"/>
      <c r="D668" s="26"/>
      <c r="E668" s="33"/>
      <c r="F668" s="25"/>
      <c r="G668" s="25"/>
      <c r="H668" s="25"/>
      <c r="I668" s="55"/>
      <c r="P668" s="37" t="str">
        <f t="shared" ca="1" si="39"/>
        <v/>
      </c>
      <c r="Q668" s="37" t="str">
        <f t="shared" ca="1" si="40"/>
        <v/>
      </c>
    </row>
    <row r="669" spans="1:17" x14ac:dyDescent="0.25">
      <c r="A669" s="102"/>
      <c r="B669" s="33"/>
      <c r="C669" s="25"/>
      <c r="D669" s="26"/>
      <c r="E669" s="33"/>
      <c r="F669" s="25"/>
      <c r="G669" s="25"/>
      <c r="H669" s="25"/>
      <c r="I669" s="55"/>
      <c r="P669" s="37" t="str">
        <f t="shared" ca="1" si="39"/>
        <v/>
      </c>
      <c r="Q669" s="37" t="str">
        <f t="shared" ca="1" si="40"/>
        <v/>
      </c>
    </row>
    <row r="670" spans="1:17" x14ac:dyDescent="0.25">
      <c r="A670" s="102"/>
      <c r="B670" s="33"/>
      <c r="C670" s="25"/>
      <c r="D670" s="26"/>
      <c r="E670" s="33"/>
      <c r="F670" s="25"/>
      <c r="G670" s="25"/>
      <c r="H670" s="25"/>
      <c r="I670" s="55"/>
      <c r="P670" s="37" t="str">
        <f t="shared" ca="1" si="39"/>
        <v/>
      </c>
      <c r="Q670" s="37" t="str">
        <f t="shared" ca="1" si="40"/>
        <v/>
      </c>
    </row>
    <row r="671" spans="1:17" x14ac:dyDescent="0.25">
      <c r="A671" s="102"/>
      <c r="B671" s="33"/>
      <c r="C671" s="25"/>
      <c r="D671" s="26"/>
      <c r="E671" s="33"/>
      <c r="F671" s="25"/>
      <c r="G671" s="25"/>
      <c r="H671" s="25"/>
      <c r="I671" s="55"/>
      <c r="P671" s="37" t="str">
        <f t="shared" ca="1" si="39"/>
        <v/>
      </c>
      <c r="Q671" s="37" t="str">
        <f t="shared" ca="1" si="40"/>
        <v/>
      </c>
    </row>
    <row r="672" spans="1:17" x14ac:dyDescent="0.25">
      <c r="A672" s="102"/>
      <c r="B672" s="33"/>
      <c r="C672" s="25"/>
      <c r="D672" s="26"/>
      <c r="E672" s="33"/>
      <c r="F672" s="25"/>
      <c r="G672" s="25"/>
      <c r="H672" s="25"/>
      <c r="I672" s="55"/>
      <c r="P672" s="37" t="str">
        <f t="shared" ca="1" si="39"/>
        <v/>
      </c>
      <c r="Q672" s="37" t="str">
        <f t="shared" ca="1" si="40"/>
        <v/>
      </c>
    </row>
    <row r="673" spans="1:17" x14ac:dyDescent="0.25">
      <c r="A673" s="102"/>
      <c r="B673" s="33"/>
      <c r="C673" s="25"/>
      <c r="D673" s="26"/>
      <c r="E673" s="33"/>
      <c r="F673" s="25"/>
      <c r="G673" s="25"/>
      <c r="H673" s="25"/>
      <c r="I673" s="55"/>
      <c r="P673" s="37" t="str">
        <f t="shared" ca="1" si="39"/>
        <v/>
      </c>
      <c r="Q673" s="37" t="str">
        <f t="shared" ca="1" si="40"/>
        <v/>
      </c>
    </row>
    <row r="674" spans="1:17" x14ac:dyDescent="0.25">
      <c r="A674" s="102"/>
      <c r="B674" s="33"/>
      <c r="C674" s="25"/>
      <c r="D674" s="26"/>
      <c r="E674" s="33"/>
      <c r="F674" s="25"/>
      <c r="G674" s="25"/>
      <c r="H674" s="25"/>
      <c r="I674" s="55"/>
      <c r="P674" s="37" t="str">
        <f t="shared" ca="1" si="39"/>
        <v/>
      </c>
      <c r="Q674" s="37" t="str">
        <f t="shared" ca="1" si="40"/>
        <v/>
      </c>
    </row>
    <row r="675" spans="1:17" x14ac:dyDescent="0.25">
      <c r="A675" s="102"/>
      <c r="B675" s="33"/>
      <c r="C675" s="25"/>
      <c r="D675" s="26"/>
      <c r="E675" s="33"/>
      <c r="F675" s="25"/>
      <c r="G675" s="25"/>
      <c r="H675" s="25"/>
      <c r="I675" s="55"/>
      <c r="P675" s="37" t="str">
        <f t="shared" ca="1" si="39"/>
        <v/>
      </c>
      <c r="Q675" s="37" t="str">
        <f t="shared" ca="1" si="40"/>
        <v/>
      </c>
    </row>
    <row r="676" spans="1:17" x14ac:dyDescent="0.25">
      <c r="A676" s="102"/>
      <c r="B676" s="33"/>
      <c r="C676" s="25"/>
      <c r="D676" s="26"/>
      <c r="E676" s="33"/>
      <c r="F676" s="25"/>
      <c r="G676" s="25"/>
      <c r="H676" s="25"/>
      <c r="I676" s="55"/>
      <c r="P676" s="37" t="str">
        <f t="shared" ca="1" si="39"/>
        <v/>
      </c>
      <c r="Q676" s="37" t="str">
        <f t="shared" ca="1" si="40"/>
        <v/>
      </c>
    </row>
    <row r="677" spans="1:17" x14ac:dyDescent="0.25">
      <c r="A677" s="102"/>
      <c r="B677" s="33"/>
      <c r="C677" s="25"/>
      <c r="D677" s="26"/>
      <c r="E677" s="33"/>
      <c r="F677" s="25"/>
      <c r="G677" s="25"/>
      <c r="H677" s="25"/>
      <c r="I677" s="55"/>
      <c r="P677" s="37" t="str">
        <f t="shared" ca="1" si="39"/>
        <v/>
      </c>
      <c r="Q677" s="37" t="str">
        <f t="shared" ca="1" si="40"/>
        <v/>
      </c>
    </row>
    <row r="678" spans="1:17" x14ac:dyDescent="0.25">
      <c r="A678" s="102"/>
      <c r="B678" s="33"/>
      <c r="C678" s="25"/>
      <c r="D678" s="26"/>
      <c r="E678" s="33"/>
      <c r="F678" s="25"/>
      <c r="G678" s="25"/>
      <c r="H678" s="25"/>
      <c r="I678" s="55"/>
      <c r="P678" s="37" t="str">
        <f t="shared" ca="1" si="39"/>
        <v/>
      </c>
      <c r="Q678" s="37" t="str">
        <f t="shared" ca="1" si="40"/>
        <v/>
      </c>
    </row>
    <row r="679" spans="1:17" x14ac:dyDescent="0.25">
      <c r="A679" s="102"/>
      <c r="B679" s="33"/>
      <c r="C679" s="25"/>
      <c r="D679" s="26"/>
      <c r="E679" s="33"/>
      <c r="F679" s="25"/>
      <c r="G679" s="25"/>
      <c r="H679" s="25"/>
      <c r="I679" s="55"/>
      <c r="P679" s="37" t="str">
        <f t="shared" ca="1" si="39"/>
        <v/>
      </c>
      <c r="Q679" s="37" t="str">
        <f t="shared" ca="1" si="40"/>
        <v/>
      </c>
    </row>
    <row r="680" spans="1:17" x14ac:dyDescent="0.25">
      <c r="A680" s="102"/>
      <c r="B680" s="33"/>
      <c r="C680" s="25"/>
      <c r="D680" s="26"/>
      <c r="E680" s="33"/>
      <c r="F680" s="25"/>
      <c r="G680" s="25"/>
      <c r="H680" s="25"/>
      <c r="I680" s="55"/>
      <c r="P680" s="37" t="str">
        <f t="shared" ca="1" si="39"/>
        <v/>
      </c>
      <c r="Q680" s="37" t="str">
        <f t="shared" ca="1" si="40"/>
        <v/>
      </c>
    </row>
    <row r="681" spans="1:17" x14ac:dyDescent="0.25">
      <c r="A681" s="102"/>
      <c r="B681" s="33"/>
      <c r="C681" s="25"/>
      <c r="D681" s="26"/>
      <c r="E681" s="33"/>
      <c r="F681" s="25"/>
      <c r="G681" s="25"/>
      <c r="H681" s="25"/>
      <c r="I681" s="55"/>
      <c r="P681" s="37" t="str">
        <f t="shared" ca="1" si="39"/>
        <v/>
      </c>
      <c r="Q681" s="37" t="str">
        <f t="shared" ca="1" si="40"/>
        <v/>
      </c>
    </row>
    <row r="682" spans="1:17" x14ac:dyDescent="0.25">
      <c r="A682" s="102"/>
      <c r="B682" s="33"/>
      <c r="C682" s="25"/>
      <c r="D682" s="26"/>
      <c r="E682" s="33"/>
      <c r="F682" s="25"/>
      <c r="G682" s="25"/>
      <c r="H682" s="25"/>
      <c r="I682" s="55"/>
      <c r="P682" s="37" t="str">
        <f t="shared" ca="1" si="39"/>
        <v/>
      </c>
      <c r="Q682" s="37" t="str">
        <f t="shared" ca="1" si="40"/>
        <v/>
      </c>
    </row>
    <row r="683" spans="1:17" x14ac:dyDescent="0.25">
      <c r="A683" s="102"/>
      <c r="B683" s="33"/>
      <c r="C683" s="25"/>
      <c r="D683" s="26"/>
      <c r="E683" s="33"/>
      <c r="F683" s="25"/>
      <c r="G683" s="25"/>
      <c r="H683" s="25"/>
      <c r="I683" s="55"/>
      <c r="P683" s="37" t="str">
        <f t="shared" ca="1" si="39"/>
        <v/>
      </c>
      <c r="Q683" s="37" t="str">
        <f t="shared" ca="1" si="40"/>
        <v/>
      </c>
    </row>
    <row r="684" spans="1:17" x14ac:dyDescent="0.25">
      <c r="A684" s="102"/>
      <c r="B684" s="33"/>
      <c r="C684" s="25"/>
      <c r="D684" s="26"/>
      <c r="E684" s="33"/>
      <c r="F684" s="25"/>
      <c r="G684" s="25"/>
      <c r="H684" s="25"/>
      <c r="I684" s="55"/>
      <c r="P684" s="37" t="str">
        <f t="shared" ca="1" si="39"/>
        <v/>
      </c>
      <c r="Q684" s="37" t="str">
        <f t="shared" ca="1" si="40"/>
        <v/>
      </c>
    </row>
    <row r="685" spans="1:17" x14ac:dyDescent="0.25">
      <c r="A685" s="102"/>
      <c r="B685" s="33"/>
      <c r="C685" s="25"/>
      <c r="D685" s="26"/>
      <c r="E685" s="33"/>
      <c r="F685" s="25"/>
      <c r="G685" s="25"/>
      <c r="H685" s="25"/>
      <c r="I685" s="55"/>
      <c r="P685" s="37" t="str">
        <f t="shared" ca="1" si="39"/>
        <v/>
      </c>
      <c r="Q685" s="37" t="str">
        <f t="shared" ca="1" si="40"/>
        <v/>
      </c>
    </row>
    <row r="686" spans="1:17" x14ac:dyDescent="0.25">
      <c r="A686" s="102"/>
      <c r="B686" s="33"/>
      <c r="C686" s="25"/>
      <c r="D686" s="26"/>
      <c r="E686" s="33"/>
      <c r="F686" s="25"/>
      <c r="G686" s="25"/>
      <c r="H686" s="25"/>
      <c r="I686" s="55"/>
      <c r="P686" s="37" t="str">
        <f t="shared" ca="1" si="39"/>
        <v/>
      </c>
      <c r="Q686" s="37" t="str">
        <f t="shared" ca="1" si="40"/>
        <v/>
      </c>
    </row>
    <row r="687" spans="1:17" x14ac:dyDescent="0.25">
      <c r="A687" s="102"/>
      <c r="B687" s="33"/>
      <c r="C687" s="25"/>
      <c r="D687" s="26"/>
      <c r="E687" s="33"/>
      <c r="F687" s="25"/>
      <c r="G687" s="25"/>
      <c r="H687" s="25"/>
      <c r="I687" s="55"/>
      <c r="P687" s="37" t="str">
        <f t="shared" ca="1" si="39"/>
        <v/>
      </c>
      <c r="Q687" s="37" t="str">
        <f t="shared" ca="1" si="40"/>
        <v/>
      </c>
    </row>
    <row r="688" spans="1:17" x14ac:dyDescent="0.25">
      <c r="A688" s="102"/>
      <c r="B688" s="33"/>
      <c r="C688" s="25"/>
      <c r="D688" s="26"/>
      <c r="E688" s="33"/>
      <c r="F688" s="25"/>
      <c r="G688" s="25"/>
      <c r="H688" s="25"/>
      <c r="I688" s="55"/>
      <c r="P688" s="37" t="str">
        <f t="shared" ca="1" si="39"/>
        <v/>
      </c>
      <c r="Q688" s="37" t="str">
        <f t="shared" ca="1" si="40"/>
        <v/>
      </c>
    </row>
    <row r="689" spans="1:17" x14ac:dyDescent="0.25">
      <c r="A689" s="102"/>
      <c r="B689" s="33"/>
      <c r="C689" s="25"/>
      <c r="D689" s="26"/>
      <c r="E689" s="33"/>
      <c r="F689" s="25"/>
      <c r="G689" s="25"/>
      <c r="H689" s="25"/>
      <c r="I689" s="55"/>
      <c r="P689" s="37" t="str">
        <f t="shared" ca="1" si="39"/>
        <v/>
      </c>
      <c r="Q689" s="37" t="str">
        <f t="shared" ca="1" si="40"/>
        <v/>
      </c>
    </row>
    <row r="690" spans="1:17" x14ac:dyDescent="0.25">
      <c r="A690" s="102"/>
      <c r="B690" s="33"/>
      <c r="C690" s="25"/>
      <c r="D690" s="26"/>
      <c r="E690" s="33"/>
      <c r="F690" s="25"/>
      <c r="G690" s="25"/>
      <c r="H690" s="25"/>
      <c r="I690" s="55"/>
      <c r="P690" s="37" t="str">
        <f t="shared" ca="1" si="39"/>
        <v/>
      </c>
      <c r="Q690" s="37" t="str">
        <f t="shared" ca="1" si="40"/>
        <v/>
      </c>
    </row>
    <row r="691" spans="1:17" x14ac:dyDescent="0.25">
      <c r="A691" s="102"/>
      <c r="B691" s="33"/>
      <c r="C691" s="25"/>
      <c r="D691" s="26"/>
      <c r="E691" s="33"/>
      <c r="F691" s="25"/>
      <c r="G691" s="25"/>
      <c r="H691" s="25"/>
      <c r="I691" s="55"/>
      <c r="P691" s="37" t="str">
        <f t="shared" ca="1" si="39"/>
        <v/>
      </c>
      <c r="Q691" s="37" t="str">
        <f t="shared" ca="1" si="40"/>
        <v/>
      </c>
    </row>
    <row r="692" spans="1:17" x14ac:dyDescent="0.25">
      <c r="A692" s="102"/>
      <c r="B692" s="33"/>
      <c r="C692" s="25"/>
      <c r="D692" s="26"/>
      <c r="E692" s="33"/>
      <c r="F692" s="25"/>
      <c r="G692" s="25"/>
      <c r="H692" s="25"/>
      <c r="I692" s="55"/>
      <c r="P692" s="37" t="str">
        <f t="shared" ca="1" si="39"/>
        <v/>
      </c>
      <c r="Q692" s="37" t="str">
        <f t="shared" ca="1" si="40"/>
        <v/>
      </c>
    </row>
    <row r="693" spans="1:17" x14ac:dyDescent="0.25">
      <c r="A693" s="102"/>
      <c r="B693" s="33"/>
      <c r="C693" s="25"/>
      <c r="D693" s="26"/>
      <c r="E693" s="33"/>
      <c r="F693" s="25"/>
      <c r="G693" s="25"/>
      <c r="H693" s="25"/>
      <c r="I693" s="55"/>
      <c r="P693" s="37" t="str">
        <f t="shared" ca="1" si="39"/>
        <v/>
      </c>
      <c r="Q693" s="37" t="str">
        <f t="shared" ca="1" si="40"/>
        <v/>
      </c>
    </row>
    <row r="694" spans="1:17" x14ac:dyDescent="0.25">
      <c r="A694" s="102"/>
      <c r="B694" s="33"/>
      <c r="C694" s="25"/>
      <c r="D694" s="26"/>
      <c r="E694" s="33"/>
      <c r="F694" s="25"/>
      <c r="G694" s="25"/>
      <c r="H694" s="25"/>
      <c r="I694" s="55"/>
      <c r="P694" s="37" t="str">
        <f t="shared" ca="1" si="39"/>
        <v/>
      </c>
      <c r="Q694" s="37" t="str">
        <f t="shared" ca="1" si="40"/>
        <v/>
      </c>
    </row>
    <row r="695" spans="1:17" x14ac:dyDescent="0.25">
      <c r="A695" s="102"/>
      <c r="B695" s="33"/>
      <c r="C695" s="25"/>
      <c r="D695" s="26"/>
      <c r="E695" s="33"/>
      <c r="F695" s="25"/>
      <c r="G695" s="25"/>
      <c r="H695" s="25"/>
      <c r="I695" s="55"/>
      <c r="P695" s="37" t="str">
        <f t="shared" ca="1" si="39"/>
        <v/>
      </c>
      <c r="Q695" s="37" t="str">
        <f t="shared" ca="1" si="40"/>
        <v/>
      </c>
    </row>
    <row r="696" spans="1:17" x14ac:dyDescent="0.25">
      <c r="A696" s="102"/>
      <c r="B696" s="33"/>
      <c r="C696" s="25"/>
      <c r="D696" s="26"/>
      <c r="E696" s="33"/>
      <c r="F696" s="25"/>
      <c r="G696" s="25"/>
      <c r="H696" s="25"/>
      <c r="I696" s="55"/>
      <c r="P696" s="37" t="str">
        <f t="shared" ca="1" si="39"/>
        <v/>
      </c>
      <c r="Q696" s="37" t="str">
        <f t="shared" ca="1" si="40"/>
        <v/>
      </c>
    </row>
    <row r="697" spans="1:17" x14ac:dyDescent="0.25">
      <c r="A697" s="102"/>
      <c r="B697" s="33"/>
      <c r="C697" s="25"/>
      <c r="D697" s="26"/>
      <c r="E697" s="33"/>
      <c r="F697" s="25"/>
      <c r="G697" s="25"/>
      <c r="H697" s="25"/>
      <c r="I697" s="55"/>
      <c r="P697" s="37" t="str">
        <f t="shared" ca="1" si="39"/>
        <v/>
      </c>
      <c r="Q697" s="37" t="str">
        <f t="shared" ca="1" si="40"/>
        <v/>
      </c>
    </row>
    <row r="698" spans="1:17" x14ac:dyDescent="0.25">
      <c r="A698" s="102"/>
      <c r="B698" s="33"/>
      <c r="C698" s="25"/>
      <c r="D698" s="26"/>
      <c r="E698" s="33"/>
      <c r="F698" s="25"/>
      <c r="G698" s="25"/>
      <c r="H698" s="25"/>
      <c r="I698" s="55"/>
      <c r="P698" s="37" t="str">
        <f t="shared" ca="1" si="39"/>
        <v/>
      </c>
      <c r="Q698" s="37" t="str">
        <f t="shared" ca="1" si="40"/>
        <v/>
      </c>
    </row>
    <row r="699" spans="1:17" x14ac:dyDescent="0.25">
      <c r="A699" s="102"/>
      <c r="B699" s="33"/>
      <c r="C699" s="25"/>
      <c r="D699" s="26"/>
      <c r="E699" s="33"/>
      <c r="F699" s="25"/>
      <c r="G699" s="25"/>
      <c r="H699" s="25"/>
      <c r="I699" s="55"/>
      <c r="P699" s="37" t="str">
        <f t="shared" ca="1" si="39"/>
        <v/>
      </c>
      <c r="Q699" s="37" t="str">
        <f t="shared" ca="1" si="40"/>
        <v/>
      </c>
    </row>
    <row r="700" spans="1:17" x14ac:dyDescent="0.25">
      <c r="A700" s="102"/>
      <c r="B700" s="33"/>
      <c r="C700" s="25"/>
      <c r="D700" s="26"/>
      <c r="E700" s="33"/>
      <c r="F700" s="25"/>
      <c r="G700" s="25"/>
      <c r="H700" s="25"/>
      <c r="I700" s="55"/>
      <c r="P700" s="37" t="str">
        <f t="shared" ca="1" si="39"/>
        <v/>
      </c>
      <c r="Q700" s="37" t="str">
        <f t="shared" ca="1" si="40"/>
        <v/>
      </c>
    </row>
    <row r="701" spans="1:17" x14ac:dyDescent="0.25">
      <c r="A701" s="102"/>
      <c r="B701" s="33"/>
      <c r="C701" s="25"/>
      <c r="D701" s="26"/>
      <c r="E701" s="33"/>
      <c r="F701" s="25"/>
      <c r="G701" s="25"/>
      <c r="H701" s="25"/>
      <c r="I701" s="55"/>
      <c r="P701" s="37" t="str">
        <f t="shared" ca="1" si="39"/>
        <v/>
      </c>
      <c r="Q701" s="37" t="str">
        <f t="shared" ca="1" si="40"/>
        <v/>
      </c>
    </row>
    <row r="702" spans="1:17" x14ac:dyDescent="0.25">
      <c r="A702" s="102"/>
      <c r="B702" s="33"/>
      <c r="C702" s="25"/>
      <c r="D702" s="26"/>
      <c r="E702" s="33"/>
      <c r="F702" s="25"/>
      <c r="G702" s="25"/>
      <c r="H702" s="25"/>
      <c r="I702" s="55"/>
      <c r="P702" s="37" t="str">
        <f t="shared" ca="1" si="39"/>
        <v/>
      </c>
      <c r="Q702" s="37" t="str">
        <f t="shared" ca="1" si="40"/>
        <v/>
      </c>
    </row>
    <row r="703" spans="1:17" x14ac:dyDescent="0.25">
      <c r="A703" s="102"/>
      <c r="B703" s="33"/>
      <c r="C703" s="25"/>
      <c r="D703" s="26"/>
      <c r="E703" s="33"/>
      <c r="F703" s="25"/>
      <c r="G703" s="25"/>
      <c r="H703" s="25"/>
      <c r="I703" s="55"/>
      <c r="P703" s="37" t="str">
        <f t="shared" ca="1" si="39"/>
        <v/>
      </c>
      <c r="Q703" s="37" t="str">
        <f t="shared" ca="1" si="40"/>
        <v/>
      </c>
    </row>
    <row r="704" spans="1:17" x14ac:dyDescent="0.25">
      <c r="A704" s="102"/>
      <c r="B704" s="33"/>
      <c r="C704" s="25"/>
      <c r="D704" s="26"/>
      <c r="E704" s="33"/>
      <c r="F704" s="25"/>
      <c r="G704" s="25"/>
      <c r="H704" s="25"/>
      <c r="I704" s="55"/>
      <c r="P704" s="37" t="str">
        <f t="shared" ca="1" si="39"/>
        <v/>
      </c>
      <c r="Q704" s="37" t="str">
        <f t="shared" ca="1" si="40"/>
        <v/>
      </c>
    </row>
    <row r="705" spans="1:17" x14ac:dyDescent="0.25">
      <c r="A705" s="102"/>
      <c r="B705" s="33"/>
      <c r="C705" s="25"/>
      <c r="D705" s="26"/>
      <c r="E705" s="33"/>
      <c r="F705" s="25"/>
      <c r="G705" s="25"/>
      <c r="H705" s="25"/>
      <c r="I705" s="55"/>
      <c r="P705" s="37" t="str">
        <f t="shared" ca="1" si="39"/>
        <v/>
      </c>
      <c r="Q705" s="37" t="str">
        <f t="shared" ca="1" si="40"/>
        <v/>
      </c>
    </row>
    <row r="706" spans="1:17" x14ac:dyDescent="0.25">
      <c r="A706" s="102"/>
      <c r="B706" s="33"/>
      <c r="C706" s="25"/>
      <c r="D706" s="26"/>
      <c r="E706" s="33"/>
      <c r="F706" s="25"/>
      <c r="G706" s="25"/>
      <c r="H706" s="25"/>
      <c r="I706" s="55"/>
      <c r="P706" s="37" t="str">
        <f t="shared" ca="1" si="39"/>
        <v/>
      </c>
      <c r="Q706" s="37" t="str">
        <f t="shared" ca="1" si="40"/>
        <v/>
      </c>
    </row>
    <row r="707" spans="1:17" x14ac:dyDescent="0.25">
      <c r="A707" s="102"/>
      <c r="B707" s="33"/>
      <c r="C707" s="25"/>
      <c r="D707" s="26"/>
      <c r="E707" s="33"/>
      <c r="F707" s="25"/>
      <c r="G707" s="25"/>
      <c r="H707" s="25"/>
      <c r="I707" s="55"/>
      <c r="P707" s="37" t="str">
        <f t="shared" ca="1" si="39"/>
        <v/>
      </c>
      <c r="Q707" s="37" t="str">
        <f t="shared" ca="1" si="40"/>
        <v/>
      </c>
    </row>
    <row r="708" spans="1:17" x14ac:dyDescent="0.25">
      <c r="A708" s="102"/>
      <c r="B708" s="33"/>
      <c r="C708" s="25"/>
      <c r="D708" s="26"/>
      <c r="E708" s="33"/>
      <c r="F708" s="25"/>
      <c r="G708" s="25"/>
      <c r="H708" s="25"/>
      <c r="I708" s="55"/>
      <c r="P708" s="37" t="str">
        <f t="shared" ref="P708:P771" ca="1" si="41">IF(COUNTIF(N:N,L708),L708,"")</f>
        <v/>
      </c>
      <c r="Q708" s="37" t="str">
        <f t="shared" ref="Q708:Q771" ca="1" si="42">IF(P708&gt;$A$14,P708,"")</f>
        <v/>
      </c>
    </row>
    <row r="709" spans="1:17" x14ac:dyDescent="0.25">
      <c r="A709" s="102"/>
      <c r="B709" s="33"/>
      <c r="C709" s="25"/>
      <c r="D709" s="26"/>
      <c r="E709" s="33"/>
      <c r="F709" s="25"/>
      <c r="G709" s="25"/>
      <c r="H709" s="25"/>
      <c r="I709" s="55"/>
      <c r="P709" s="37" t="str">
        <f t="shared" ca="1" si="41"/>
        <v/>
      </c>
      <c r="Q709" s="37" t="str">
        <f t="shared" ca="1" si="42"/>
        <v/>
      </c>
    </row>
    <row r="710" spans="1:17" x14ac:dyDescent="0.25">
      <c r="A710" s="102"/>
      <c r="B710" s="33"/>
      <c r="C710" s="25"/>
      <c r="D710" s="26"/>
      <c r="E710" s="33"/>
      <c r="F710" s="25"/>
      <c r="G710" s="25"/>
      <c r="H710" s="25"/>
      <c r="I710" s="55"/>
      <c r="P710" s="37" t="str">
        <f t="shared" ca="1" si="41"/>
        <v/>
      </c>
      <c r="Q710" s="37" t="str">
        <f t="shared" ca="1" si="42"/>
        <v/>
      </c>
    </row>
    <row r="711" spans="1:17" x14ac:dyDescent="0.25">
      <c r="A711" s="102"/>
      <c r="B711" s="33"/>
      <c r="C711" s="25"/>
      <c r="D711" s="26"/>
      <c r="E711" s="33"/>
      <c r="F711" s="25"/>
      <c r="G711" s="25"/>
      <c r="H711" s="25"/>
      <c r="I711" s="55"/>
      <c r="P711" s="37" t="str">
        <f t="shared" ca="1" si="41"/>
        <v/>
      </c>
      <c r="Q711" s="37" t="str">
        <f t="shared" ca="1" si="42"/>
        <v/>
      </c>
    </row>
    <row r="712" spans="1:17" x14ac:dyDescent="0.25">
      <c r="A712" s="102"/>
      <c r="B712" s="33"/>
      <c r="C712" s="25"/>
      <c r="D712" s="26"/>
      <c r="E712" s="33"/>
      <c r="F712" s="25"/>
      <c r="G712" s="25"/>
      <c r="H712" s="25"/>
      <c r="I712" s="55"/>
      <c r="P712" s="37" t="str">
        <f t="shared" ca="1" si="41"/>
        <v/>
      </c>
      <c r="Q712" s="37" t="str">
        <f t="shared" ca="1" si="42"/>
        <v/>
      </c>
    </row>
    <row r="713" spans="1:17" x14ac:dyDescent="0.25">
      <c r="A713" s="102"/>
      <c r="B713" s="33"/>
      <c r="C713" s="25"/>
      <c r="D713" s="26"/>
      <c r="E713" s="33"/>
      <c r="F713" s="25"/>
      <c r="G713" s="25"/>
      <c r="H713" s="25"/>
      <c r="I713" s="55"/>
      <c r="P713" s="37" t="str">
        <f t="shared" ca="1" si="41"/>
        <v/>
      </c>
      <c r="Q713" s="37" t="str">
        <f t="shared" ca="1" si="42"/>
        <v/>
      </c>
    </row>
    <row r="714" spans="1:17" x14ac:dyDescent="0.25">
      <c r="A714" s="102"/>
      <c r="B714" s="33"/>
      <c r="C714" s="25"/>
      <c r="D714" s="26"/>
      <c r="E714" s="33"/>
      <c r="F714" s="25"/>
      <c r="G714" s="25"/>
      <c r="H714" s="25"/>
      <c r="I714" s="55"/>
      <c r="P714" s="37" t="str">
        <f t="shared" ca="1" si="41"/>
        <v/>
      </c>
      <c r="Q714" s="37" t="str">
        <f t="shared" ca="1" si="42"/>
        <v/>
      </c>
    </row>
    <row r="715" spans="1:17" x14ac:dyDescent="0.25">
      <c r="A715" s="102"/>
      <c r="B715" s="33"/>
      <c r="C715" s="25"/>
      <c r="D715" s="26"/>
      <c r="E715" s="33"/>
      <c r="F715" s="25"/>
      <c r="G715" s="25"/>
      <c r="H715" s="25"/>
      <c r="I715" s="55"/>
      <c r="P715" s="37" t="str">
        <f t="shared" ca="1" si="41"/>
        <v/>
      </c>
      <c r="Q715" s="37" t="str">
        <f t="shared" ca="1" si="42"/>
        <v/>
      </c>
    </row>
    <row r="716" spans="1:17" x14ac:dyDescent="0.25">
      <c r="A716" s="102"/>
      <c r="B716" s="33"/>
      <c r="C716" s="25"/>
      <c r="D716" s="26"/>
      <c r="E716" s="33"/>
      <c r="F716" s="25"/>
      <c r="G716" s="25"/>
      <c r="H716" s="25"/>
      <c r="I716" s="55"/>
      <c r="P716" s="37" t="str">
        <f t="shared" ca="1" si="41"/>
        <v/>
      </c>
      <c r="Q716" s="37" t="str">
        <f t="shared" ca="1" si="42"/>
        <v/>
      </c>
    </row>
    <row r="717" spans="1:17" x14ac:dyDescent="0.25">
      <c r="A717" s="102"/>
      <c r="B717" s="33"/>
      <c r="C717" s="25"/>
      <c r="D717" s="26"/>
      <c r="E717" s="33"/>
      <c r="F717" s="25"/>
      <c r="G717" s="25"/>
      <c r="H717" s="25"/>
      <c r="I717" s="55"/>
      <c r="P717" s="37" t="str">
        <f t="shared" ca="1" si="41"/>
        <v/>
      </c>
      <c r="Q717" s="37" t="str">
        <f t="shared" ca="1" si="42"/>
        <v/>
      </c>
    </row>
    <row r="718" spans="1:17" x14ac:dyDescent="0.25">
      <c r="A718" s="102"/>
      <c r="B718" s="33"/>
      <c r="C718" s="25"/>
      <c r="D718" s="26"/>
      <c r="E718" s="33"/>
      <c r="F718" s="25"/>
      <c r="G718" s="25"/>
      <c r="H718" s="25"/>
      <c r="I718" s="55"/>
      <c r="P718" s="37" t="str">
        <f t="shared" ca="1" si="41"/>
        <v/>
      </c>
      <c r="Q718" s="37" t="str">
        <f t="shared" ca="1" si="42"/>
        <v/>
      </c>
    </row>
    <row r="719" spans="1:17" x14ac:dyDescent="0.25">
      <c r="A719" s="102"/>
      <c r="B719" s="33"/>
      <c r="C719" s="25"/>
      <c r="D719" s="26"/>
      <c r="E719" s="33"/>
      <c r="F719" s="25"/>
      <c r="G719" s="25"/>
      <c r="H719" s="25"/>
      <c r="I719" s="55"/>
      <c r="P719" s="37" t="str">
        <f t="shared" ca="1" si="41"/>
        <v/>
      </c>
      <c r="Q719" s="37" t="str">
        <f t="shared" ca="1" si="42"/>
        <v/>
      </c>
    </row>
    <row r="720" spans="1:17" x14ac:dyDescent="0.25">
      <c r="A720" s="102"/>
      <c r="B720" s="33"/>
      <c r="C720" s="25"/>
      <c r="D720" s="26"/>
      <c r="E720" s="33"/>
      <c r="F720" s="25"/>
      <c r="G720" s="25"/>
      <c r="H720" s="25"/>
      <c r="I720" s="55"/>
      <c r="P720" s="37" t="str">
        <f t="shared" ca="1" si="41"/>
        <v/>
      </c>
      <c r="Q720" s="37" t="str">
        <f t="shared" ca="1" si="42"/>
        <v/>
      </c>
    </row>
    <row r="721" spans="1:17" x14ac:dyDescent="0.25">
      <c r="A721" s="102"/>
      <c r="B721" s="33"/>
      <c r="C721" s="25"/>
      <c r="D721" s="26"/>
      <c r="E721" s="33"/>
      <c r="F721" s="25"/>
      <c r="G721" s="25"/>
      <c r="H721" s="25"/>
      <c r="I721" s="55"/>
      <c r="P721" s="37" t="str">
        <f t="shared" ca="1" si="41"/>
        <v/>
      </c>
      <c r="Q721" s="37" t="str">
        <f t="shared" ca="1" si="42"/>
        <v/>
      </c>
    </row>
    <row r="722" spans="1:17" x14ac:dyDescent="0.25">
      <c r="A722" s="102"/>
      <c r="B722" s="33"/>
      <c r="C722" s="25"/>
      <c r="D722" s="26"/>
      <c r="E722" s="33"/>
      <c r="F722" s="25"/>
      <c r="G722" s="25"/>
      <c r="H722" s="25"/>
      <c r="I722" s="55"/>
      <c r="P722" s="37" t="str">
        <f t="shared" ca="1" si="41"/>
        <v/>
      </c>
      <c r="Q722" s="37" t="str">
        <f t="shared" ca="1" si="42"/>
        <v/>
      </c>
    </row>
    <row r="723" spans="1:17" x14ac:dyDescent="0.25">
      <c r="A723" s="102"/>
      <c r="B723" s="33"/>
      <c r="C723" s="25"/>
      <c r="D723" s="26"/>
      <c r="E723" s="33"/>
      <c r="F723" s="25"/>
      <c r="G723" s="25"/>
      <c r="H723" s="25"/>
      <c r="I723" s="55"/>
      <c r="P723" s="37" t="str">
        <f t="shared" ca="1" si="41"/>
        <v/>
      </c>
      <c r="Q723" s="37" t="str">
        <f t="shared" ca="1" si="42"/>
        <v/>
      </c>
    </row>
    <row r="724" spans="1:17" x14ac:dyDescent="0.25">
      <c r="A724" s="102"/>
      <c r="B724" s="33"/>
      <c r="C724" s="25"/>
      <c r="D724" s="26"/>
      <c r="E724" s="33"/>
      <c r="F724" s="25"/>
      <c r="G724" s="25"/>
      <c r="H724" s="25"/>
      <c r="I724" s="55"/>
      <c r="P724" s="37" t="str">
        <f t="shared" ca="1" si="41"/>
        <v/>
      </c>
      <c r="Q724" s="37" t="str">
        <f t="shared" ca="1" si="42"/>
        <v/>
      </c>
    </row>
    <row r="725" spans="1:17" x14ac:dyDescent="0.25">
      <c r="A725" s="102"/>
      <c r="B725" s="33"/>
      <c r="C725" s="25"/>
      <c r="D725" s="26"/>
      <c r="E725" s="33"/>
      <c r="F725" s="25"/>
      <c r="G725" s="25"/>
      <c r="H725" s="25"/>
      <c r="I725" s="55"/>
      <c r="P725" s="37" t="str">
        <f t="shared" ca="1" si="41"/>
        <v/>
      </c>
      <c r="Q725" s="37" t="str">
        <f t="shared" ca="1" si="42"/>
        <v/>
      </c>
    </row>
    <row r="726" spans="1:17" x14ac:dyDescent="0.25">
      <c r="A726" s="102"/>
      <c r="B726" s="33"/>
      <c r="C726" s="25"/>
      <c r="D726" s="26"/>
      <c r="E726" s="33"/>
      <c r="F726" s="25"/>
      <c r="G726" s="25"/>
      <c r="H726" s="25"/>
      <c r="I726" s="55"/>
      <c r="P726" s="37" t="str">
        <f t="shared" ca="1" si="41"/>
        <v/>
      </c>
      <c r="Q726" s="37" t="str">
        <f t="shared" ca="1" si="42"/>
        <v/>
      </c>
    </row>
    <row r="727" spans="1:17" x14ac:dyDescent="0.25">
      <c r="A727" s="102"/>
      <c r="B727" s="33"/>
      <c r="C727" s="25"/>
      <c r="D727" s="26"/>
      <c r="E727" s="33"/>
      <c r="F727" s="25"/>
      <c r="G727" s="25"/>
      <c r="H727" s="25"/>
      <c r="I727" s="55"/>
      <c r="P727" s="37" t="str">
        <f t="shared" ca="1" si="41"/>
        <v/>
      </c>
      <c r="Q727" s="37" t="str">
        <f t="shared" ca="1" si="42"/>
        <v/>
      </c>
    </row>
    <row r="728" spans="1:17" x14ac:dyDescent="0.25">
      <c r="A728" s="102"/>
      <c r="B728" s="33"/>
      <c r="C728" s="25"/>
      <c r="D728" s="26"/>
      <c r="E728" s="33"/>
      <c r="F728" s="25"/>
      <c r="G728" s="25"/>
      <c r="H728" s="25"/>
      <c r="I728" s="55"/>
      <c r="P728" s="37" t="str">
        <f t="shared" ca="1" si="41"/>
        <v/>
      </c>
      <c r="Q728" s="37" t="str">
        <f t="shared" ca="1" si="42"/>
        <v/>
      </c>
    </row>
    <row r="729" spans="1:17" x14ac:dyDescent="0.25">
      <c r="A729" s="102"/>
      <c r="B729" s="33"/>
      <c r="C729" s="25"/>
      <c r="D729" s="26"/>
      <c r="E729" s="33"/>
      <c r="F729" s="25"/>
      <c r="G729" s="25"/>
      <c r="H729" s="25"/>
      <c r="I729" s="55"/>
      <c r="P729" s="37" t="str">
        <f t="shared" ca="1" si="41"/>
        <v/>
      </c>
      <c r="Q729" s="37" t="str">
        <f t="shared" ca="1" si="42"/>
        <v/>
      </c>
    </row>
    <row r="730" spans="1:17" x14ac:dyDescent="0.25">
      <c r="A730" s="102"/>
      <c r="B730" s="33"/>
      <c r="C730" s="25"/>
      <c r="D730" s="26"/>
      <c r="E730" s="33"/>
      <c r="F730" s="25"/>
      <c r="G730" s="25"/>
      <c r="H730" s="25"/>
      <c r="I730" s="55"/>
      <c r="P730" s="37" t="str">
        <f t="shared" ca="1" si="41"/>
        <v/>
      </c>
      <c r="Q730" s="37" t="str">
        <f t="shared" ca="1" si="42"/>
        <v/>
      </c>
    </row>
    <row r="731" spans="1:17" x14ac:dyDescent="0.25">
      <c r="A731" s="102"/>
      <c r="B731" s="33"/>
      <c r="C731" s="25"/>
      <c r="D731" s="26"/>
      <c r="E731" s="33"/>
      <c r="F731" s="25"/>
      <c r="G731" s="25"/>
      <c r="H731" s="25"/>
      <c r="I731" s="55"/>
      <c r="P731" s="37" t="str">
        <f t="shared" ca="1" si="41"/>
        <v/>
      </c>
      <c r="Q731" s="37" t="str">
        <f t="shared" ca="1" si="42"/>
        <v/>
      </c>
    </row>
    <row r="732" spans="1:17" x14ac:dyDescent="0.25">
      <c r="A732" s="102"/>
      <c r="B732" s="33"/>
      <c r="C732" s="25"/>
      <c r="D732" s="26"/>
      <c r="E732" s="33"/>
      <c r="F732" s="25"/>
      <c r="G732" s="25"/>
      <c r="H732" s="25"/>
      <c r="I732" s="55"/>
      <c r="P732" s="37" t="str">
        <f t="shared" ca="1" si="41"/>
        <v/>
      </c>
      <c r="Q732" s="37" t="str">
        <f t="shared" ca="1" si="42"/>
        <v/>
      </c>
    </row>
    <row r="733" spans="1:17" x14ac:dyDescent="0.25">
      <c r="A733" s="102"/>
      <c r="B733" s="33"/>
      <c r="C733" s="25"/>
      <c r="D733" s="26"/>
      <c r="E733" s="33"/>
      <c r="F733" s="25"/>
      <c r="G733" s="25"/>
      <c r="H733" s="25"/>
      <c r="I733" s="55"/>
      <c r="P733" s="37" t="str">
        <f t="shared" ca="1" si="41"/>
        <v/>
      </c>
      <c r="Q733" s="37" t="str">
        <f t="shared" ca="1" si="42"/>
        <v/>
      </c>
    </row>
    <row r="734" spans="1:17" x14ac:dyDescent="0.25">
      <c r="A734" s="102"/>
      <c r="B734" s="33"/>
      <c r="C734" s="25"/>
      <c r="D734" s="26"/>
      <c r="E734" s="33"/>
      <c r="F734" s="25"/>
      <c r="G734" s="25"/>
      <c r="H734" s="25"/>
      <c r="I734" s="55"/>
      <c r="P734" s="37" t="str">
        <f t="shared" ca="1" si="41"/>
        <v/>
      </c>
      <c r="Q734" s="37" t="str">
        <f t="shared" ca="1" si="42"/>
        <v/>
      </c>
    </row>
    <row r="735" spans="1:17" x14ac:dyDescent="0.25">
      <c r="A735" s="102"/>
      <c r="B735" s="33"/>
      <c r="C735" s="25"/>
      <c r="D735" s="26"/>
      <c r="E735" s="33"/>
      <c r="F735" s="25"/>
      <c r="G735" s="25"/>
      <c r="H735" s="25"/>
      <c r="I735" s="55"/>
      <c r="P735" s="37" t="str">
        <f t="shared" ca="1" si="41"/>
        <v/>
      </c>
      <c r="Q735" s="37" t="str">
        <f t="shared" ca="1" si="42"/>
        <v/>
      </c>
    </row>
    <row r="736" spans="1:17" x14ac:dyDescent="0.25">
      <c r="A736" s="102"/>
      <c r="B736" s="33"/>
      <c r="C736" s="25"/>
      <c r="D736" s="26"/>
      <c r="E736" s="33"/>
      <c r="F736" s="25"/>
      <c r="G736" s="25"/>
      <c r="H736" s="25"/>
      <c r="I736" s="55"/>
      <c r="P736" s="37" t="str">
        <f t="shared" ca="1" si="41"/>
        <v/>
      </c>
      <c r="Q736" s="37" t="str">
        <f t="shared" ca="1" si="42"/>
        <v/>
      </c>
    </row>
    <row r="737" spans="1:17" x14ac:dyDescent="0.25">
      <c r="A737" s="102"/>
      <c r="B737" s="33"/>
      <c r="C737" s="25"/>
      <c r="D737" s="26"/>
      <c r="E737" s="33"/>
      <c r="F737" s="25"/>
      <c r="G737" s="25"/>
      <c r="H737" s="25"/>
      <c r="I737" s="55"/>
      <c r="P737" s="37" t="str">
        <f t="shared" ca="1" si="41"/>
        <v/>
      </c>
      <c r="Q737" s="37" t="str">
        <f t="shared" ca="1" si="42"/>
        <v/>
      </c>
    </row>
    <row r="738" spans="1:17" x14ac:dyDescent="0.25">
      <c r="A738" s="102"/>
      <c r="B738" s="33"/>
      <c r="C738" s="25"/>
      <c r="D738" s="26"/>
      <c r="E738" s="33"/>
      <c r="F738" s="25"/>
      <c r="G738" s="25"/>
      <c r="H738" s="25"/>
      <c r="I738" s="55"/>
      <c r="P738" s="37" t="str">
        <f t="shared" ca="1" si="41"/>
        <v/>
      </c>
      <c r="Q738" s="37" t="str">
        <f t="shared" ca="1" si="42"/>
        <v/>
      </c>
    </row>
    <row r="739" spans="1:17" x14ac:dyDescent="0.25">
      <c r="A739" s="102"/>
      <c r="B739" s="33"/>
      <c r="C739" s="25"/>
      <c r="D739" s="26"/>
      <c r="E739" s="33"/>
      <c r="F739" s="25"/>
      <c r="G739" s="25"/>
      <c r="H739" s="25"/>
      <c r="I739" s="55"/>
      <c r="P739" s="37" t="str">
        <f t="shared" ca="1" si="41"/>
        <v/>
      </c>
      <c r="Q739" s="37" t="str">
        <f t="shared" ca="1" si="42"/>
        <v/>
      </c>
    </row>
    <row r="740" spans="1:17" x14ac:dyDescent="0.25">
      <c r="A740" s="102"/>
      <c r="B740" s="33"/>
      <c r="C740" s="25"/>
      <c r="D740" s="26"/>
      <c r="E740" s="33"/>
      <c r="F740" s="25"/>
      <c r="G740" s="25"/>
      <c r="H740" s="25"/>
      <c r="I740" s="55"/>
      <c r="P740" s="37" t="str">
        <f t="shared" ca="1" si="41"/>
        <v/>
      </c>
      <c r="Q740" s="37" t="str">
        <f t="shared" ca="1" si="42"/>
        <v/>
      </c>
    </row>
    <row r="741" spans="1:17" x14ac:dyDescent="0.25">
      <c r="A741" s="102"/>
      <c r="B741" s="33"/>
      <c r="C741" s="25"/>
      <c r="D741" s="26"/>
      <c r="E741" s="33"/>
      <c r="F741" s="25"/>
      <c r="G741" s="25"/>
      <c r="H741" s="25"/>
      <c r="I741" s="55"/>
      <c r="P741" s="37" t="str">
        <f t="shared" ca="1" si="41"/>
        <v/>
      </c>
      <c r="Q741" s="37" t="str">
        <f t="shared" ca="1" si="42"/>
        <v/>
      </c>
    </row>
    <row r="742" spans="1:17" x14ac:dyDescent="0.25">
      <c r="A742" s="102"/>
      <c r="B742" s="33"/>
      <c r="C742" s="25"/>
      <c r="D742" s="26"/>
      <c r="E742" s="33"/>
      <c r="F742" s="25"/>
      <c r="G742" s="25"/>
      <c r="H742" s="25"/>
      <c r="I742" s="55"/>
      <c r="P742" s="37" t="str">
        <f t="shared" ca="1" si="41"/>
        <v/>
      </c>
      <c r="Q742" s="37" t="str">
        <f t="shared" ca="1" si="42"/>
        <v/>
      </c>
    </row>
    <row r="743" spans="1:17" x14ac:dyDescent="0.25">
      <c r="A743" s="102"/>
      <c r="B743" s="33"/>
      <c r="C743" s="25"/>
      <c r="D743" s="26"/>
      <c r="E743" s="33"/>
      <c r="F743" s="25"/>
      <c r="G743" s="25"/>
      <c r="H743" s="25"/>
      <c r="I743" s="55"/>
      <c r="P743" s="37" t="str">
        <f t="shared" ca="1" si="41"/>
        <v/>
      </c>
      <c r="Q743" s="37" t="str">
        <f t="shared" ca="1" si="42"/>
        <v/>
      </c>
    </row>
    <row r="744" spans="1:17" x14ac:dyDescent="0.25">
      <c r="A744" s="102"/>
      <c r="B744" s="33"/>
      <c r="C744" s="25"/>
      <c r="D744" s="26"/>
      <c r="E744" s="33"/>
      <c r="F744" s="25"/>
      <c r="G744" s="25"/>
      <c r="H744" s="25"/>
      <c r="I744" s="55"/>
      <c r="P744" s="37" t="str">
        <f t="shared" ca="1" si="41"/>
        <v/>
      </c>
      <c r="Q744" s="37" t="str">
        <f t="shared" ca="1" si="42"/>
        <v/>
      </c>
    </row>
    <row r="745" spans="1:17" x14ac:dyDescent="0.25">
      <c r="A745" s="102"/>
      <c r="B745" s="33"/>
      <c r="C745" s="25"/>
      <c r="D745" s="26"/>
      <c r="E745" s="33"/>
      <c r="F745" s="25"/>
      <c r="G745" s="25"/>
      <c r="H745" s="25"/>
      <c r="I745" s="55"/>
      <c r="P745" s="37" t="str">
        <f t="shared" ca="1" si="41"/>
        <v/>
      </c>
      <c r="Q745" s="37" t="str">
        <f t="shared" ca="1" si="42"/>
        <v/>
      </c>
    </row>
    <row r="746" spans="1:17" x14ac:dyDescent="0.25">
      <c r="A746" s="102"/>
      <c r="B746" s="33"/>
      <c r="C746" s="25"/>
      <c r="D746" s="26"/>
      <c r="E746" s="33"/>
      <c r="F746" s="25"/>
      <c r="G746" s="25"/>
      <c r="H746" s="25"/>
      <c r="I746" s="55"/>
      <c r="P746" s="37" t="str">
        <f t="shared" ca="1" si="41"/>
        <v/>
      </c>
      <c r="Q746" s="37" t="str">
        <f t="shared" ca="1" si="42"/>
        <v/>
      </c>
    </row>
    <row r="747" spans="1:17" x14ac:dyDescent="0.25">
      <c r="A747" s="102"/>
      <c r="B747" s="33"/>
      <c r="C747" s="25"/>
      <c r="D747" s="26"/>
      <c r="E747" s="33"/>
      <c r="F747" s="25"/>
      <c r="G747" s="25"/>
      <c r="H747" s="25"/>
      <c r="I747" s="55"/>
      <c r="P747" s="37" t="str">
        <f t="shared" ca="1" si="41"/>
        <v/>
      </c>
      <c r="Q747" s="37" t="str">
        <f t="shared" ca="1" si="42"/>
        <v/>
      </c>
    </row>
    <row r="748" spans="1:17" x14ac:dyDescent="0.25">
      <c r="A748" s="102"/>
      <c r="B748" s="33"/>
      <c r="C748" s="25"/>
      <c r="D748" s="26"/>
      <c r="E748" s="33"/>
      <c r="F748" s="25"/>
      <c r="G748" s="25"/>
      <c r="H748" s="25"/>
      <c r="I748" s="55"/>
      <c r="P748" s="37" t="str">
        <f t="shared" ca="1" si="41"/>
        <v/>
      </c>
      <c r="Q748" s="37" t="str">
        <f t="shared" ca="1" si="42"/>
        <v/>
      </c>
    </row>
    <row r="749" spans="1:17" x14ac:dyDescent="0.25">
      <c r="A749" s="102"/>
      <c r="B749" s="33"/>
      <c r="C749" s="25"/>
      <c r="D749" s="26"/>
      <c r="E749" s="33"/>
      <c r="F749" s="25"/>
      <c r="G749" s="25"/>
      <c r="H749" s="25"/>
      <c r="I749" s="55"/>
      <c r="P749" s="37" t="str">
        <f t="shared" ca="1" si="41"/>
        <v/>
      </c>
      <c r="Q749" s="37" t="str">
        <f t="shared" ca="1" si="42"/>
        <v/>
      </c>
    </row>
    <row r="750" spans="1:17" x14ac:dyDescent="0.25">
      <c r="A750" s="102"/>
      <c r="B750" s="33"/>
      <c r="C750" s="25"/>
      <c r="D750" s="26"/>
      <c r="E750" s="33"/>
      <c r="F750" s="25"/>
      <c r="G750" s="25"/>
      <c r="H750" s="25"/>
      <c r="I750" s="55"/>
      <c r="P750" s="37" t="str">
        <f t="shared" ca="1" si="41"/>
        <v/>
      </c>
      <c r="Q750" s="37" t="str">
        <f t="shared" ca="1" si="42"/>
        <v/>
      </c>
    </row>
    <row r="751" spans="1:17" x14ac:dyDescent="0.25">
      <c r="A751" s="102"/>
      <c r="B751" s="33"/>
      <c r="C751" s="25"/>
      <c r="D751" s="26"/>
      <c r="E751" s="33"/>
      <c r="F751" s="25"/>
      <c r="G751" s="25"/>
      <c r="H751" s="25"/>
      <c r="I751" s="55"/>
      <c r="P751" s="37" t="str">
        <f t="shared" ca="1" si="41"/>
        <v/>
      </c>
      <c r="Q751" s="37" t="str">
        <f t="shared" ca="1" si="42"/>
        <v/>
      </c>
    </row>
    <row r="752" spans="1:17" x14ac:dyDescent="0.25">
      <c r="A752" s="102"/>
      <c r="B752" s="33"/>
      <c r="C752" s="25"/>
      <c r="D752" s="26"/>
      <c r="E752" s="33"/>
      <c r="F752" s="25"/>
      <c r="G752" s="25"/>
      <c r="H752" s="25"/>
      <c r="I752" s="55"/>
      <c r="P752" s="37" t="str">
        <f t="shared" ca="1" si="41"/>
        <v/>
      </c>
      <c r="Q752" s="37" t="str">
        <f t="shared" ca="1" si="42"/>
        <v/>
      </c>
    </row>
    <row r="753" spans="1:17" x14ac:dyDescent="0.25">
      <c r="A753" s="102"/>
      <c r="B753" s="33"/>
      <c r="C753" s="25"/>
      <c r="D753" s="26"/>
      <c r="E753" s="33"/>
      <c r="F753" s="25"/>
      <c r="G753" s="25"/>
      <c r="H753" s="25"/>
      <c r="I753" s="55"/>
      <c r="P753" s="37" t="str">
        <f t="shared" ca="1" si="41"/>
        <v/>
      </c>
      <c r="Q753" s="37" t="str">
        <f t="shared" ca="1" si="42"/>
        <v/>
      </c>
    </row>
    <row r="754" spans="1:17" x14ac:dyDescent="0.25">
      <c r="A754" s="102"/>
      <c r="B754" s="33"/>
      <c r="C754" s="25"/>
      <c r="D754" s="26"/>
      <c r="E754" s="33"/>
      <c r="F754" s="25"/>
      <c r="G754" s="25"/>
      <c r="H754" s="25"/>
      <c r="I754" s="55"/>
      <c r="P754" s="37" t="str">
        <f t="shared" ca="1" si="41"/>
        <v/>
      </c>
      <c r="Q754" s="37" t="str">
        <f t="shared" ca="1" si="42"/>
        <v/>
      </c>
    </row>
    <row r="755" spans="1:17" x14ac:dyDescent="0.25">
      <c r="A755" s="102"/>
      <c r="B755" s="33"/>
      <c r="C755" s="25"/>
      <c r="D755" s="26"/>
      <c r="E755" s="33"/>
      <c r="F755" s="25"/>
      <c r="G755" s="25"/>
      <c r="H755" s="25"/>
      <c r="I755" s="55"/>
      <c r="P755" s="37" t="str">
        <f t="shared" ca="1" si="41"/>
        <v/>
      </c>
      <c r="Q755" s="37" t="str">
        <f t="shared" ca="1" si="42"/>
        <v/>
      </c>
    </row>
    <row r="756" spans="1:17" x14ac:dyDescent="0.25">
      <c r="P756" s="37" t="str">
        <f t="shared" ca="1" si="41"/>
        <v/>
      </c>
      <c r="Q756" s="37" t="str">
        <f t="shared" ca="1" si="42"/>
        <v/>
      </c>
    </row>
    <row r="757" spans="1:17" x14ac:dyDescent="0.25">
      <c r="P757" s="37" t="str">
        <f t="shared" ca="1" si="41"/>
        <v/>
      </c>
      <c r="Q757" s="37" t="str">
        <f t="shared" ca="1" si="42"/>
        <v/>
      </c>
    </row>
    <row r="758" spans="1:17" x14ac:dyDescent="0.25">
      <c r="P758" s="37" t="str">
        <f t="shared" ca="1" si="41"/>
        <v/>
      </c>
      <c r="Q758" s="37" t="str">
        <f t="shared" ca="1" si="42"/>
        <v/>
      </c>
    </row>
    <row r="759" spans="1:17" x14ac:dyDescent="0.25">
      <c r="P759" s="37" t="str">
        <f t="shared" ca="1" si="41"/>
        <v/>
      </c>
      <c r="Q759" s="37" t="str">
        <f t="shared" ca="1" si="42"/>
        <v/>
      </c>
    </row>
    <row r="760" spans="1:17" x14ac:dyDescent="0.25">
      <c r="P760" s="37" t="str">
        <f t="shared" ca="1" si="41"/>
        <v/>
      </c>
      <c r="Q760" s="37" t="str">
        <f t="shared" ca="1" si="42"/>
        <v/>
      </c>
    </row>
    <row r="761" spans="1:17" x14ac:dyDescent="0.25">
      <c r="P761" s="37" t="str">
        <f t="shared" ca="1" si="41"/>
        <v/>
      </c>
      <c r="Q761" s="37" t="str">
        <f t="shared" ca="1" si="42"/>
        <v/>
      </c>
    </row>
    <row r="762" spans="1:17" x14ac:dyDescent="0.25">
      <c r="P762" s="37" t="str">
        <f t="shared" ca="1" si="41"/>
        <v/>
      </c>
      <c r="Q762" s="37" t="str">
        <f t="shared" ca="1" si="42"/>
        <v/>
      </c>
    </row>
    <row r="763" spans="1:17" x14ac:dyDescent="0.25">
      <c r="P763" s="37" t="str">
        <f t="shared" ca="1" si="41"/>
        <v/>
      </c>
      <c r="Q763" s="37" t="str">
        <f t="shared" ca="1" si="42"/>
        <v/>
      </c>
    </row>
    <row r="764" spans="1:17" x14ac:dyDescent="0.25">
      <c r="P764" s="37" t="str">
        <f t="shared" ca="1" si="41"/>
        <v/>
      </c>
      <c r="Q764" s="37" t="str">
        <f t="shared" ca="1" si="42"/>
        <v/>
      </c>
    </row>
    <row r="765" spans="1:17" x14ac:dyDescent="0.25">
      <c r="P765" s="37" t="str">
        <f t="shared" ca="1" si="41"/>
        <v/>
      </c>
      <c r="Q765" s="37" t="str">
        <f t="shared" ca="1" si="42"/>
        <v/>
      </c>
    </row>
    <row r="766" spans="1:17" x14ac:dyDescent="0.25">
      <c r="P766" s="37" t="str">
        <f t="shared" ca="1" si="41"/>
        <v/>
      </c>
      <c r="Q766" s="37" t="str">
        <f t="shared" ca="1" si="42"/>
        <v/>
      </c>
    </row>
    <row r="767" spans="1:17" x14ac:dyDescent="0.25">
      <c r="P767" s="37" t="str">
        <f t="shared" ca="1" si="41"/>
        <v/>
      </c>
      <c r="Q767" s="37" t="str">
        <f t="shared" ca="1" si="42"/>
        <v/>
      </c>
    </row>
    <row r="768" spans="1:17" x14ac:dyDescent="0.25">
      <c r="P768" s="37" t="str">
        <f t="shared" ca="1" si="41"/>
        <v/>
      </c>
      <c r="Q768" s="37" t="str">
        <f t="shared" ca="1" si="42"/>
        <v/>
      </c>
    </row>
    <row r="769" spans="16:17" x14ac:dyDescent="0.25">
      <c r="P769" s="37" t="str">
        <f t="shared" ca="1" si="41"/>
        <v/>
      </c>
      <c r="Q769" s="37" t="str">
        <f t="shared" ca="1" si="42"/>
        <v/>
      </c>
    </row>
    <row r="770" spans="16:17" x14ac:dyDescent="0.25">
      <c r="P770" s="37" t="str">
        <f t="shared" ca="1" si="41"/>
        <v/>
      </c>
      <c r="Q770" s="37" t="str">
        <f t="shared" ca="1" si="42"/>
        <v/>
      </c>
    </row>
    <row r="771" spans="16:17" x14ac:dyDescent="0.25">
      <c r="P771" s="37" t="str">
        <f t="shared" ca="1" si="41"/>
        <v/>
      </c>
      <c r="Q771" s="37" t="str">
        <f t="shared" ca="1" si="42"/>
        <v/>
      </c>
    </row>
    <row r="772" spans="16:17" x14ac:dyDescent="0.25">
      <c r="P772" s="37" t="str">
        <f t="shared" ref="P772:P835" ca="1" si="43">IF(COUNTIF(N:N,L772),L772,"")</f>
        <v/>
      </c>
      <c r="Q772" s="37" t="str">
        <f t="shared" ref="Q772:Q835" ca="1" si="44">IF(P772&gt;$A$14,P772,"")</f>
        <v/>
      </c>
    </row>
    <row r="773" spans="16:17" x14ac:dyDescent="0.25">
      <c r="P773" s="37" t="str">
        <f t="shared" ca="1" si="43"/>
        <v/>
      </c>
      <c r="Q773" s="37" t="str">
        <f t="shared" ca="1" si="44"/>
        <v/>
      </c>
    </row>
    <row r="774" spans="16:17" x14ac:dyDescent="0.25">
      <c r="P774" s="37" t="str">
        <f t="shared" ca="1" si="43"/>
        <v/>
      </c>
      <c r="Q774" s="37" t="str">
        <f t="shared" ca="1" si="44"/>
        <v/>
      </c>
    </row>
    <row r="775" spans="16:17" x14ac:dyDescent="0.25">
      <c r="P775" s="37" t="str">
        <f t="shared" ca="1" si="43"/>
        <v/>
      </c>
      <c r="Q775" s="37" t="str">
        <f t="shared" ca="1" si="44"/>
        <v/>
      </c>
    </row>
    <row r="776" spans="16:17" x14ac:dyDescent="0.25">
      <c r="P776" s="37" t="str">
        <f t="shared" ca="1" si="43"/>
        <v/>
      </c>
      <c r="Q776" s="37" t="str">
        <f t="shared" ca="1" si="44"/>
        <v/>
      </c>
    </row>
    <row r="777" spans="16:17" x14ac:dyDescent="0.25">
      <c r="P777" s="37" t="str">
        <f t="shared" ca="1" si="43"/>
        <v/>
      </c>
      <c r="Q777" s="37" t="str">
        <f t="shared" ca="1" si="44"/>
        <v/>
      </c>
    </row>
    <row r="778" spans="16:17" x14ac:dyDescent="0.25">
      <c r="P778" s="37" t="str">
        <f t="shared" ca="1" si="43"/>
        <v/>
      </c>
      <c r="Q778" s="37" t="str">
        <f t="shared" ca="1" si="44"/>
        <v/>
      </c>
    </row>
    <row r="779" spans="16:17" x14ac:dyDescent="0.25">
      <c r="P779" s="37" t="str">
        <f t="shared" ca="1" si="43"/>
        <v/>
      </c>
      <c r="Q779" s="37" t="str">
        <f t="shared" ca="1" si="44"/>
        <v/>
      </c>
    </row>
    <row r="780" spans="16:17" x14ac:dyDescent="0.25">
      <c r="P780" s="37" t="str">
        <f t="shared" ca="1" si="43"/>
        <v/>
      </c>
      <c r="Q780" s="37" t="str">
        <f t="shared" ca="1" si="44"/>
        <v/>
      </c>
    </row>
    <row r="781" spans="16:17" x14ac:dyDescent="0.25">
      <c r="P781" s="37" t="str">
        <f t="shared" ca="1" si="43"/>
        <v/>
      </c>
      <c r="Q781" s="37" t="str">
        <f t="shared" ca="1" si="44"/>
        <v/>
      </c>
    </row>
    <row r="782" spans="16:17" x14ac:dyDescent="0.25">
      <c r="P782" s="37" t="str">
        <f t="shared" ca="1" si="43"/>
        <v/>
      </c>
      <c r="Q782" s="37" t="str">
        <f t="shared" ca="1" si="44"/>
        <v/>
      </c>
    </row>
    <row r="783" spans="16:17" x14ac:dyDescent="0.25">
      <c r="P783" s="37" t="str">
        <f t="shared" ca="1" si="43"/>
        <v/>
      </c>
      <c r="Q783" s="37" t="str">
        <f t="shared" ca="1" si="44"/>
        <v/>
      </c>
    </row>
    <row r="784" spans="16:17" x14ac:dyDescent="0.25">
      <c r="P784" s="37" t="str">
        <f t="shared" ca="1" si="43"/>
        <v/>
      </c>
      <c r="Q784" s="37" t="str">
        <f t="shared" ca="1" si="44"/>
        <v/>
      </c>
    </row>
    <row r="785" spans="16:17" x14ac:dyDescent="0.25">
      <c r="P785" s="37" t="str">
        <f t="shared" ca="1" si="43"/>
        <v/>
      </c>
      <c r="Q785" s="37" t="str">
        <f t="shared" ca="1" si="44"/>
        <v/>
      </c>
    </row>
    <row r="786" spans="16:17" x14ac:dyDescent="0.25">
      <c r="P786" s="37" t="str">
        <f t="shared" ca="1" si="43"/>
        <v/>
      </c>
      <c r="Q786" s="37" t="str">
        <f t="shared" ca="1" si="44"/>
        <v/>
      </c>
    </row>
    <row r="787" spans="16:17" x14ac:dyDescent="0.25">
      <c r="P787" s="37" t="str">
        <f t="shared" ca="1" si="43"/>
        <v/>
      </c>
      <c r="Q787" s="37" t="str">
        <f t="shared" ca="1" si="44"/>
        <v/>
      </c>
    </row>
    <row r="788" spans="16:17" x14ac:dyDescent="0.25">
      <c r="P788" s="37" t="str">
        <f t="shared" ca="1" si="43"/>
        <v/>
      </c>
      <c r="Q788" s="37" t="str">
        <f t="shared" ca="1" si="44"/>
        <v/>
      </c>
    </row>
    <row r="789" spans="16:17" x14ac:dyDescent="0.25">
      <c r="P789" s="37" t="str">
        <f t="shared" ca="1" si="43"/>
        <v/>
      </c>
      <c r="Q789" s="37" t="str">
        <f t="shared" ca="1" si="44"/>
        <v/>
      </c>
    </row>
    <row r="790" spans="16:17" x14ac:dyDescent="0.25">
      <c r="P790" s="37" t="str">
        <f t="shared" ca="1" si="43"/>
        <v/>
      </c>
      <c r="Q790" s="37" t="str">
        <f t="shared" ca="1" si="44"/>
        <v/>
      </c>
    </row>
    <row r="791" spans="16:17" x14ac:dyDescent="0.25">
      <c r="P791" s="37" t="str">
        <f t="shared" ca="1" si="43"/>
        <v/>
      </c>
      <c r="Q791" s="37" t="str">
        <f t="shared" ca="1" si="44"/>
        <v/>
      </c>
    </row>
    <row r="792" spans="16:17" x14ac:dyDescent="0.25">
      <c r="P792" s="37" t="str">
        <f t="shared" ca="1" si="43"/>
        <v/>
      </c>
      <c r="Q792" s="37" t="str">
        <f t="shared" ca="1" si="44"/>
        <v/>
      </c>
    </row>
    <row r="793" spans="16:17" x14ac:dyDescent="0.25">
      <c r="P793" s="37" t="str">
        <f t="shared" ca="1" si="43"/>
        <v/>
      </c>
      <c r="Q793" s="37" t="str">
        <f t="shared" ca="1" si="44"/>
        <v/>
      </c>
    </row>
    <row r="794" spans="16:17" x14ac:dyDescent="0.25">
      <c r="P794" s="37" t="str">
        <f t="shared" ca="1" si="43"/>
        <v/>
      </c>
      <c r="Q794" s="37" t="str">
        <f t="shared" ca="1" si="44"/>
        <v/>
      </c>
    </row>
    <row r="795" spans="16:17" x14ac:dyDescent="0.25">
      <c r="P795" s="37" t="str">
        <f t="shared" ca="1" si="43"/>
        <v/>
      </c>
      <c r="Q795" s="37" t="str">
        <f t="shared" ca="1" si="44"/>
        <v/>
      </c>
    </row>
    <row r="796" spans="16:17" x14ac:dyDescent="0.25">
      <c r="P796" s="37" t="str">
        <f t="shared" ca="1" si="43"/>
        <v/>
      </c>
      <c r="Q796" s="37" t="str">
        <f t="shared" ca="1" si="44"/>
        <v/>
      </c>
    </row>
    <row r="797" spans="16:17" x14ac:dyDescent="0.25">
      <c r="P797" s="37" t="str">
        <f t="shared" ca="1" si="43"/>
        <v/>
      </c>
      <c r="Q797" s="37" t="str">
        <f t="shared" ca="1" si="44"/>
        <v/>
      </c>
    </row>
    <row r="798" spans="16:17" x14ac:dyDescent="0.25">
      <c r="P798" s="37" t="str">
        <f t="shared" ca="1" si="43"/>
        <v/>
      </c>
      <c r="Q798" s="37" t="str">
        <f t="shared" ca="1" si="44"/>
        <v/>
      </c>
    </row>
    <row r="799" spans="16:17" x14ac:dyDescent="0.25">
      <c r="P799" s="37" t="str">
        <f t="shared" ca="1" si="43"/>
        <v/>
      </c>
      <c r="Q799" s="37" t="str">
        <f t="shared" ca="1" si="44"/>
        <v/>
      </c>
    </row>
    <row r="800" spans="16:17" x14ac:dyDescent="0.25">
      <c r="P800" s="37" t="str">
        <f t="shared" ca="1" si="43"/>
        <v/>
      </c>
      <c r="Q800" s="37" t="str">
        <f t="shared" ca="1" si="44"/>
        <v/>
      </c>
    </row>
    <row r="801" spans="16:17" x14ac:dyDescent="0.25">
      <c r="P801" s="37" t="str">
        <f t="shared" ca="1" si="43"/>
        <v/>
      </c>
      <c r="Q801" s="37" t="str">
        <f t="shared" ca="1" si="44"/>
        <v/>
      </c>
    </row>
    <row r="802" spans="16:17" x14ac:dyDescent="0.25">
      <c r="P802" s="37" t="str">
        <f t="shared" ca="1" si="43"/>
        <v/>
      </c>
      <c r="Q802" s="37" t="str">
        <f t="shared" ca="1" si="44"/>
        <v/>
      </c>
    </row>
    <row r="803" spans="16:17" x14ac:dyDescent="0.25">
      <c r="P803" s="37" t="str">
        <f t="shared" ca="1" si="43"/>
        <v/>
      </c>
      <c r="Q803" s="37" t="str">
        <f t="shared" ca="1" si="44"/>
        <v/>
      </c>
    </row>
    <row r="804" spans="16:17" x14ac:dyDescent="0.25">
      <c r="P804" s="37" t="str">
        <f t="shared" ca="1" si="43"/>
        <v/>
      </c>
      <c r="Q804" s="37" t="str">
        <f t="shared" ca="1" si="44"/>
        <v/>
      </c>
    </row>
    <row r="805" spans="16:17" x14ac:dyDescent="0.25">
      <c r="P805" s="37" t="str">
        <f t="shared" ca="1" si="43"/>
        <v/>
      </c>
      <c r="Q805" s="37" t="str">
        <f t="shared" ca="1" si="44"/>
        <v/>
      </c>
    </row>
    <row r="806" spans="16:17" x14ac:dyDescent="0.25">
      <c r="P806" s="37" t="str">
        <f t="shared" ca="1" si="43"/>
        <v/>
      </c>
      <c r="Q806" s="37" t="str">
        <f t="shared" ca="1" si="44"/>
        <v/>
      </c>
    </row>
    <row r="807" spans="16:17" x14ac:dyDescent="0.25">
      <c r="P807" s="37" t="str">
        <f t="shared" ca="1" si="43"/>
        <v/>
      </c>
      <c r="Q807" s="37" t="str">
        <f t="shared" ca="1" si="44"/>
        <v/>
      </c>
    </row>
    <row r="808" spans="16:17" x14ac:dyDescent="0.25">
      <c r="P808" s="37" t="str">
        <f t="shared" ca="1" si="43"/>
        <v/>
      </c>
      <c r="Q808" s="37" t="str">
        <f t="shared" ca="1" si="44"/>
        <v/>
      </c>
    </row>
    <row r="809" spans="16:17" x14ac:dyDescent="0.25">
      <c r="P809" s="37" t="str">
        <f t="shared" ca="1" si="43"/>
        <v/>
      </c>
      <c r="Q809" s="37" t="str">
        <f t="shared" ca="1" si="44"/>
        <v/>
      </c>
    </row>
    <row r="810" spans="16:17" x14ac:dyDescent="0.25">
      <c r="P810" s="37" t="str">
        <f t="shared" ca="1" si="43"/>
        <v/>
      </c>
      <c r="Q810" s="37" t="str">
        <f t="shared" ca="1" si="44"/>
        <v/>
      </c>
    </row>
    <row r="811" spans="16:17" x14ac:dyDescent="0.25">
      <c r="P811" s="37" t="str">
        <f t="shared" ca="1" si="43"/>
        <v/>
      </c>
      <c r="Q811" s="37" t="str">
        <f t="shared" ca="1" si="44"/>
        <v/>
      </c>
    </row>
    <row r="812" spans="16:17" x14ac:dyDescent="0.25">
      <c r="P812" s="37" t="str">
        <f t="shared" ca="1" si="43"/>
        <v/>
      </c>
      <c r="Q812" s="37" t="str">
        <f t="shared" ca="1" si="44"/>
        <v/>
      </c>
    </row>
    <row r="813" spans="16:17" x14ac:dyDescent="0.25">
      <c r="P813" s="37" t="str">
        <f t="shared" ca="1" si="43"/>
        <v/>
      </c>
      <c r="Q813" s="37" t="str">
        <f t="shared" ca="1" si="44"/>
        <v/>
      </c>
    </row>
    <row r="814" spans="16:17" x14ac:dyDescent="0.25">
      <c r="P814" s="37" t="str">
        <f t="shared" ca="1" si="43"/>
        <v/>
      </c>
      <c r="Q814" s="37" t="str">
        <f t="shared" ca="1" si="44"/>
        <v/>
      </c>
    </row>
    <row r="815" spans="16:17" x14ac:dyDescent="0.25">
      <c r="P815" s="37" t="str">
        <f t="shared" ca="1" si="43"/>
        <v/>
      </c>
      <c r="Q815" s="37" t="str">
        <f t="shared" ca="1" si="44"/>
        <v/>
      </c>
    </row>
    <row r="816" spans="16:17" x14ac:dyDescent="0.25">
      <c r="P816" s="37" t="str">
        <f t="shared" ca="1" si="43"/>
        <v/>
      </c>
      <c r="Q816" s="37" t="str">
        <f t="shared" ca="1" si="44"/>
        <v/>
      </c>
    </row>
    <row r="817" spans="16:17" x14ac:dyDescent="0.25">
      <c r="P817" s="37" t="str">
        <f t="shared" ca="1" si="43"/>
        <v/>
      </c>
      <c r="Q817" s="37" t="str">
        <f t="shared" ca="1" si="44"/>
        <v/>
      </c>
    </row>
    <row r="818" spans="16:17" x14ac:dyDescent="0.25">
      <c r="P818" s="37" t="str">
        <f t="shared" ca="1" si="43"/>
        <v/>
      </c>
      <c r="Q818" s="37" t="str">
        <f t="shared" ca="1" si="44"/>
        <v/>
      </c>
    </row>
    <row r="819" spans="16:17" x14ac:dyDescent="0.25">
      <c r="P819" s="37" t="str">
        <f t="shared" ca="1" si="43"/>
        <v/>
      </c>
      <c r="Q819" s="37" t="str">
        <f t="shared" ca="1" si="44"/>
        <v/>
      </c>
    </row>
    <row r="820" spans="16:17" x14ac:dyDescent="0.25">
      <c r="P820" s="37" t="str">
        <f t="shared" ca="1" si="43"/>
        <v/>
      </c>
      <c r="Q820" s="37" t="str">
        <f t="shared" ca="1" si="44"/>
        <v/>
      </c>
    </row>
    <row r="821" spans="16:17" x14ac:dyDescent="0.25">
      <c r="P821" s="37" t="str">
        <f t="shared" ca="1" si="43"/>
        <v/>
      </c>
      <c r="Q821" s="37" t="str">
        <f t="shared" ca="1" si="44"/>
        <v/>
      </c>
    </row>
    <row r="822" spans="16:17" x14ac:dyDescent="0.25">
      <c r="P822" s="37" t="str">
        <f t="shared" ca="1" si="43"/>
        <v/>
      </c>
      <c r="Q822" s="37" t="str">
        <f t="shared" ca="1" si="44"/>
        <v/>
      </c>
    </row>
    <row r="823" spans="16:17" x14ac:dyDescent="0.25">
      <c r="P823" s="37" t="str">
        <f t="shared" ca="1" si="43"/>
        <v/>
      </c>
      <c r="Q823" s="37" t="str">
        <f t="shared" ca="1" si="44"/>
        <v/>
      </c>
    </row>
    <row r="824" spans="16:17" x14ac:dyDescent="0.25">
      <c r="P824" s="37" t="str">
        <f t="shared" ca="1" si="43"/>
        <v/>
      </c>
      <c r="Q824" s="37" t="str">
        <f t="shared" ca="1" si="44"/>
        <v/>
      </c>
    </row>
    <row r="825" spans="16:17" x14ac:dyDescent="0.25">
      <c r="P825" s="37" t="str">
        <f t="shared" ca="1" si="43"/>
        <v/>
      </c>
      <c r="Q825" s="37" t="str">
        <f t="shared" ca="1" si="44"/>
        <v/>
      </c>
    </row>
    <row r="826" spans="16:17" x14ac:dyDescent="0.25">
      <c r="P826" s="37" t="str">
        <f t="shared" ca="1" si="43"/>
        <v/>
      </c>
      <c r="Q826" s="37" t="str">
        <f t="shared" ca="1" si="44"/>
        <v/>
      </c>
    </row>
    <row r="827" spans="16:17" x14ac:dyDescent="0.25">
      <c r="P827" s="37" t="str">
        <f t="shared" ca="1" si="43"/>
        <v/>
      </c>
      <c r="Q827" s="37" t="str">
        <f t="shared" ca="1" si="44"/>
        <v/>
      </c>
    </row>
    <row r="828" spans="16:17" x14ac:dyDescent="0.25">
      <c r="P828" s="37" t="str">
        <f t="shared" ca="1" si="43"/>
        <v/>
      </c>
      <c r="Q828" s="37" t="str">
        <f t="shared" ca="1" si="44"/>
        <v/>
      </c>
    </row>
    <row r="829" spans="16:17" x14ac:dyDescent="0.25">
      <c r="P829" s="37" t="str">
        <f t="shared" ca="1" si="43"/>
        <v/>
      </c>
      <c r="Q829" s="37" t="str">
        <f t="shared" ca="1" si="44"/>
        <v/>
      </c>
    </row>
    <row r="830" spans="16:17" x14ac:dyDescent="0.25">
      <c r="P830" s="37" t="str">
        <f t="shared" ca="1" si="43"/>
        <v/>
      </c>
      <c r="Q830" s="37" t="str">
        <f t="shared" ca="1" si="44"/>
        <v/>
      </c>
    </row>
    <row r="831" spans="16:17" x14ac:dyDescent="0.25">
      <c r="P831" s="37" t="str">
        <f t="shared" ca="1" si="43"/>
        <v/>
      </c>
      <c r="Q831" s="37" t="str">
        <f t="shared" ca="1" si="44"/>
        <v/>
      </c>
    </row>
    <row r="832" spans="16:17" x14ac:dyDescent="0.25">
      <c r="P832" s="37" t="str">
        <f t="shared" ca="1" si="43"/>
        <v/>
      </c>
      <c r="Q832" s="37" t="str">
        <f t="shared" ca="1" si="44"/>
        <v/>
      </c>
    </row>
    <row r="833" spans="16:17" x14ac:dyDescent="0.25">
      <c r="P833" s="37" t="str">
        <f t="shared" ca="1" si="43"/>
        <v/>
      </c>
      <c r="Q833" s="37" t="str">
        <f t="shared" ca="1" si="44"/>
        <v/>
      </c>
    </row>
    <row r="834" spans="16:17" x14ac:dyDescent="0.25">
      <c r="P834" s="37" t="str">
        <f t="shared" ca="1" si="43"/>
        <v/>
      </c>
      <c r="Q834" s="37" t="str">
        <f t="shared" ca="1" si="44"/>
        <v/>
      </c>
    </row>
    <row r="835" spans="16:17" x14ac:dyDescent="0.25">
      <c r="P835" s="37" t="str">
        <f t="shared" ca="1" si="43"/>
        <v/>
      </c>
      <c r="Q835" s="37" t="str">
        <f t="shared" ca="1" si="44"/>
        <v/>
      </c>
    </row>
    <row r="836" spans="16:17" x14ac:dyDescent="0.25">
      <c r="P836" s="37" t="str">
        <f t="shared" ref="P836:P899" ca="1" si="45">IF(COUNTIF(N:N,L836),L836,"")</f>
        <v/>
      </c>
      <c r="Q836" s="37" t="str">
        <f t="shared" ref="Q836:Q899" ca="1" si="46">IF(P836&gt;$A$14,P836,"")</f>
        <v/>
      </c>
    </row>
    <row r="837" spans="16:17" x14ac:dyDescent="0.25">
      <c r="P837" s="37" t="str">
        <f t="shared" ca="1" si="45"/>
        <v/>
      </c>
      <c r="Q837" s="37" t="str">
        <f t="shared" ca="1" si="46"/>
        <v/>
      </c>
    </row>
    <row r="838" spans="16:17" x14ac:dyDescent="0.25">
      <c r="P838" s="37" t="str">
        <f t="shared" ca="1" si="45"/>
        <v/>
      </c>
      <c r="Q838" s="37" t="str">
        <f t="shared" ca="1" si="46"/>
        <v/>
      </c>
    </row>
    <row r="839" spans="16:17" x14ac:dyDescent="0.25">
      <c r="P839" s="37" t="str">
        <f t="shared" ca="1" si="45"/>
        <v/>
      </c>
      <c r="Q839" s="37" t="str">
        <f t="shared" ca="1" si="46"/>
        <v/>
      </c>
    </row>
    <row r="840" spans="16:17" x14ac:dyDescent="0.25">
      <c r="P840" s="37" t="str">
        <f t="shared" ca="1" si="45"/>
        <v/>
      </c>
      <c r="Q840" s="37" t="str">
        <f t="shared" ca="1" si="46"/>
        <v/>
      </c>
    </row>
    <row r="841" spans="16:17" x14ac:dyDescent="0.25">
      <c r="P841" s="37" t="str">
        <f t="shared" ca="1" si="45"/>
        <v/>
      </c>
      <c r="Q841" s="37" t="str">
        <f t="shared" ca="1" si="46"/>
        <v/>
      </c>
    </row>
    <row r="842" spans="16:17" x14ac:dyDescent="0.25">
      <c r="P842" s="37" t="str">
        <f t="shared" ca="1" si="45"/>
        <v/>
      </c>
      <c r="Q842" s="37" t="str">
        <f t="shared" ca="1" si="46"/>
        <v/>
      </c>
    </row>
    <row r="843" spans="16:17" x14ac:dyDescent="0.25">
      <c r="P843" s="37" t="str">
        <f t="shared" ca="1" si="45"/>
        <v/>
      </c>
      <c r="Q843" s="37" t="str">
        <f t="shared" ca="1" si="46"/>
        <v/>
      </c>
    </row>
    <row r="844" spans="16:17" x14ac:dyDescent="0.25">
      <c r="P844" s="37" t="str">
        <f t="shared" ca="1" si="45"/>
        <v/>
      </c>
      <c r="Q844" s="37" t="str">
        <f t="shared" ca="1" si="46"/>
        <v/>
      </c>
    </row>
    <row r="845" spans="16:17" x14ac:dyDescent="0.25">
      <c r="P845" s="37" t="str">
        <f t="shared" ca="1" si="45"/>
        <v/>
      </c>
      <c r="Q845" s="37" t="str">
        <f t="shared" ca="1" si="46"/>
        <v/>
      </c>
    </row>
    <row r="846" spans="16:17" x14ac:dyDescent="0.25">
      <c r="P846" s="37" t="str">
        <f t="shared" ca="1" si="45"/>
        <v/>
      </c>
      <c r="Q846" s="37" t="str">
        <f t="shared" ca="1" si="46"/>
        <v/>
      </c>
    </row>
    <row r="847" spans="16:17" x14ac:dyDescent="0.25">
      <c r="P847" s="37" t="str">
        <f t="shared" ca="1" si="45"/>
        <v/>
      </c>
      <c r="Q847" s="37" t="str">
        <f t="shared" ca="1" si="46"/>
        <v/>
      </c>
    </row>
    <row r="848" spans="16:17" x14ac:dyDescent="0.25">
      <c r="P848" s="37" t="str">
        <f t="shared" ca="1" si="45"/>
        <v/>
      </c>
      <c r="Q848" s="37" t="str">
        <f t="shared" ca="1" si="46"/>
        <v/>
      </c>
    </row>
    <row r="849" spans="16:17" x14ac:dyDescent="0.25">
      <c r="P849" s="37" t="str">
        <f t="shared" ca="1" si="45"/>
        <v/>
      </c>
      <c r="Q849" s="37" t="str">
        <f t="shared" ca="1" si="46"/>
        <v/>
      </c>
    </row>
    <row r="850" spans="16:17" x14ac:dyDescent="0.25">
      <c r="P850" s="37" t="str">
        <f t="shared" ca="1" si="45"/>
        <v/>
      </c>
      <c r="Q850" s="37" t="str">
        <f t="shared" ca="1" si="46"/>
        <v/>
      </c>
    </row>
    <row r="851" spans="16:17" x14ac:dyDescent="0.25">
      <c r="P851" s="37" t="str">
        <f t="shared" ca="1" si="45"/>
        <v/>
      </c>
      <c r="Q851" s="37" t="str">
        <f t="shared" ca="1" si="46"/>
        <v/>
      </c>
    </row>
    <row r="852" spans="16:17" x14ac:dyDescent="0.25">
      <c r="P852" s="37" t="str">
        <f t="shared" ca="1" si="45"/>
        <v/>
      </c>
      <c r="Q852" s="37" t="str">
        <f t="shared" ca="1" si="46"/>
        <v/>
      </c>
    </row>
    <row r="853" spans="16:17" x14ac:dyDescent="0.25">
      <c r="P853" s="37" t="str">
        <f t="shared" ca="1" si="45"/>
        <v/>
      </c>
      <c r="Q853" s="37" t="str">
        <f t="shared" ca="1" si="46"/>
        <v/>
      </c>
    </row>
    <row r="854" spans="16:17" x14ac:dyDescent="0.25">
      <c r="P854" s="37" t="str">
        <f t="shared" ca="1" si="45"/>
        <v/>
      </c>
      <c r="Q854" s="37" t="str">
        <f t="shared" ca="1" si="46"/>
        <v/>
      </c>
    </row>
    <row r="855" spans="16:17" x14ac:dyDescent="0.25">
      <c r="P855" s="37" t="str">
        <f t="shared" ca="1" si="45"/>
        <v/>
      </c>
      <c r="Q855" s="37" t="str">
        <f t="shared" ca="1" si="46"/>
        <v/>
      </c>
    </row>
    <row r="856" spans="16:17" x14ac:dyDescent="0.25">
      <c r="P856" s="37" t="str">
        <f t="shared" ca="1" si="45"/>
        <v/>
      </c>
      <c r="Q856" s="37" t="str">
        <f t="shared" ca="1" si="46"/>
        <v/>
      </c>
    </row>
    <row r="857" spans="16:17" x14ac:dyDescent="0.25">
      <c r="P857" s="37" t="str">
        <f t="shared" ca="1" si="45"/>
        <v/>
      </c>
      <c r="Q857" s="37" t="str">
        <f t="shared" ca="1" si="46"/>
        <v/>
      </c>
    </row>
    <row r="858" spans="16:17" x14ac:dyDescent="0.25">
      <c r="P858" s="37" t="str">
        <f t="shared" ca="1" si="45"/>
        <v/>
      </c>
      <c r="Q858" s="37" t="str">
        <f t="shared" ca="1" si="46"/>
        <v/>
      </c>
    </row>
    <row r="859" spans="16:17" x14ac:dyDescent="0.25">
      <c r="P859" s="37" t="str">
        <f t="shared" ca="1" si="45"/>
        <v/>
      </c>
      <c r="Q859" s="37" t="str">
        <f t="shared" ca="1" si="46"/>
        <v/>
      </c>
    </row>
    <row r="860" spans="16:17" x14ac:dyDescent="0.25">
      <c r="P860" s="37" t="str">
        <f t="shared" ca="1" si="45"/>
        <v/>
      </c>
      <c r="Q860" s="37" t="str">
        <f t="shared" ca="1" si="46"/>
        <v/>
      </c>
    </row>
    <row r="861" spans="16:17" x14ac:dyDescent="0.25">
      <c r="P861" s="37" t="str">
        <f t="shared" ca="1" si="45"/>
        <v/>
      </c>
      <c r="Q861" s="37" t="str">
        <f t="shared" ca="1" si="46"/>
        <v/>
      </c>
    </row>
    <row r="862" spans="16:17" x14ac:dyDescent="0.25">
      <c r="P862" s="37" t="str">
        <f t="shared" ca="1" si="45"/>
        <v/>
      </c>
      <c r="Q862" s="37" t="str">
        <f t="shared" ca="1" si="46"/>
        <v/>
      </c>
    </row>
    <row r="863" spans="16:17" x14ac:dyDescent="0.25">
      <c r="P863" s="37" t="str">
        <f t="shared" ca="1" si="45"/>
        <v/>
      </c>
      <c r="Q863" s="37" t="str">
        <f t="shared" ca="1" si="46"/>
        <v/>
      </c>
    </row>
    <row r="864" spans="16:17" x14ac:dyDescent="0.25">
      <c r="P864" s="37" t="str">
        <f t="shared" ca="1" si="45"/>
        <v/>
      </c>
      <c r="Q864" s="37" t="str">
        <f t="shared" ca="1" si="46"/>
        <v/>
      </c>
    </row>
    <row r="865" spans="16:17" x14ac:dyDescent="0.25">
      <c r="P865" s="37" t="str">
        <f t="shared" ca="1" si="45"/>
        <v/>
      </c>
      <c r="Q865" s="37" t="str">
        <f t="shared" ca="1" si="46"/>
        <v/>
      </c>
    </row>
    <row r="866" spans="16:17" x14ac:dyDescent="0.25">
      <c r="P866" s="37" t="str">
        <f t="shared" ca="1" si="45"/>
        <v/>
      </c>
      <c r="Q866" s="37" t="str">
        <f t="shared" ca="1" si="46"/>
        <v/>
      </c>
    </row>
    <row r="867" spans="16:17" x14ac:dyDescent="0.25">
      <c r="P867" s="37" t="str">
        <f t="shared" ca="1" si="45"/>
        <v/>
      </c>
      <c r="Q867" s="37" t="str">
        <f t="shared" ca="1" si="46"/>
        <v/>
      </c>
    </row>
    <row r="868" spans="16:17" x14ac:dyDescent="0.25">
      <c r="P868" s="37" t="str">
        <f t="shared" ca="1" si="45"/>
        <v/>
      </c>
      <c r="Q868" s="37" t="str">
        <f t="shared" ca="1" si="46"/>
        <v/>
      </c>
    </row>
    <row r="869" spans="16:17" x14ac:dyDescent="0.25">
      <c r="P869" s="37" t="str">
        <f t="shared" ca="1" si="45"/>
        <v/>
      </c>
      <c r="Q869" s="37" t="str">
        <f t="shared" ca="1" si="46"/>
        <v/>
      </c>
    </row>
    <row r="870" spans="16:17" x14ac:dyDescent="0.25">
      <c r="P870" s="37" t="str">
        <f t="shared" ca="1" si="45"/>
        <v/>
      </c>
      <c r="Q870" s="37" t="str">
        <f t="shared" ca="1" si="46"/>
        <v/>
      </c>
    </row>
    <row r="871" spans="16:17" x14ac:dyDescent="0.25">
      <c r="P871" s="37" t="str">
        <f t="shared" ca="1" si="45"/>
        <v/>
      </c>
      <c r="Q871" s="37" t="str">
        <f t="shared" ca="1" si="46"/>
        <v/>
      </c>
    </row>
    <row r="872" spans="16:17" x14ac:dyDescent="0.25">
      <c r="P872" s="37" t="str">
        <f t="shared" ca="1" si="45"/>
        <v/>
      </c>
      <c r="Q872" s="37" t="str">
        <f t="shared" ca="1" si="46"/>
        <v/>
      </c>
    </row>
    <row r="873" spans="16:17" x14ac:dyDescent="0.25">
      <c r="P873" s="37" t="str">
        <f t="shared" ca="1" si="45"/>
        <v/>
      </c>
      <c r="Q873" s="37" t="str">
        <f t="shared" ca="1" si="46"/>
        <v/>
      </c>
    </row>
    <row r="874" spans="16:17" x14ac:dyDescent="0.25">
      <c r="P874" s="37" t="str">
        <f t="shared" ca="1" si="45"/>
        <v/>
      </c>
      <c r="Q874" s="37" t="str">
        <f t="shared" ca="1" si="46"/>
        <v/>
      </c>
    </row>
    <row r="875" spans="16:17" x14ac:dyDescent="0.25">
      <c r="P875" s="37" t="str">
        <f t="shared" ca="1" si="45"/>
        <v/>
      </c>
      <c r="Q875" s="37" t="str">
        <f t="shared" ca="1" si="46"/>
        <v/>
      </c>
    </row>
    <row r="876" spans="16:17" x14ac:dyDescent="0.25">
      <c r="P876" s="37" t="str">
        <f t="shared" ca="1" si="45"/>
        <v/>
      </c>
      <c r="Q876" s="37" t="str">
        <f t="shared" ca="1" si="46"/>
        <v/>
      </c>
    </row>
    <row r="877" spans="16:17" x14ac:dyDescent="0.25">
      <c r="P877" s="37" t="str">
        <f t="shared" ca="1" si="45"/>
        <v/>
      </c>
      <c r="Q877" s="37" t="str">
        <f t="shared" ca="1" si="46"/>
        <v/>
      </c>
    </row>
    <row r="878" spans="16:17" x14ac:dyDescent="0.25">
      <c r="P878" s="37" t="str">
        <f t="shared" ca="1" si="45"/>
        <v/>
      </c>
      <c r="Q878" s="37" t="str">
        <f t="shared" ca="1" si="46"/>
        <v/>
      </c>
    </row>
    <row r="879" spans="16:17" x14ac:dyDescent="0.25">
      <c r="P879" s="37" t="str">
        <f t="shared" ca="1" si="45"/>
        <v/>
      </c>
      <c r="Q879" s="37" t="str">
        <f t="shared" ca="1" si="46"/>
        <v/>
      </c>
    </row>
    <row r="880" spans="16:17" x14ac:dyDescent="0.25">
      <c r="P880" s="37" t="str">
        <f t="shared" ca="1" si="45"/>
        <v/>
      </c>
      <c r="Q880" s="37" t="str">
        <f t="shared" ca="1" si="46"/>
        <v/>
      </c>
    </row>
    <row r="881" spans="16:17" x14ac:dyDescent="0.25">
      <c r="P881" s="37" t="str">
        <f t="shared" ca="1" si="45"/>
        <v/>
      </c>
      <c r="Q881" s="37" t="str">
        <f t="shared" ca="1" si="46"/>
        <v/>
      </c>
    </row>
    <row r="882" spans="16:17" x14ac:dyDescent="0.25">
      <c r="P882" s="37" t="str">
        <f t="shared" ca="1" si="45"/>
        <v/>
      </c>
      <c r="Q882" s="37" t="str">
        <f t="shared" ca="1" si="46"/>
        <v/>
      </c>
    </row>
    <row r="883" spans="16:17" x14ac:dyDescent="0.25">
      <c r="P883" s="37" t="str">
        <f t="shared" ca="1" si="45"/>
        <v/>
      </c>
      <c r="Q883" s="37" t="str">
        <f t="shared" ca="1" si="46"/>
        <v/>
      </c>
    </row>
    <row r="884" spans="16:17" x14ac:dyDescent="0.25">
      <c r="P884" s="37" t="str">
        <f t="shared" ca="1" si="45"/>
        <v/>
      </c>
      <c r="Q884" s="37" t="str">
        <f t="shared" ca="1" si="46"/>
        <v/>
      </c>
    </row>
    <row r="885" spans="16:17" x14ac:dyDescent="0.25">
      <c r="P885" s="37" t="str">
        <f t="shared" ca="1" si="45"/>
        <v/>
      </c>
      <c r="Q885" s="37" t="str">
        <f t="shared" ca="1" si="46"/>
        <v/>
      </c>
    </row>
    <row r="886" spans="16:17" x14ac:dyDescent="0.25">
      <c r="P886" s="37" t="str">
        <f t="shared" ca="1" si="45"/>
        <v/>
      </c>
      <c r="Q886" s="37" t="str">
        <f t="shared" ca="1" si="46"/>
        <v/>
      </c>
    </row>
    <row r="887" spans="16:17" x14ac:dyDescent="0.25">
      <c r="P887" s="37" t="str">
        <f t="shared" ca="1" si="45"/>
        <v/>
      </c>
      <c r="Q887" s="37" t="str">
        <f t="shared" ca="1" si="46"/>
        <v/>
      </c>
    </row>
    <row r="888" spans="16:17" x14ac:dyDescent="0.25">
      <c r="P888" s="37" t="str">
        <f t="shared" ca="1" si="45"/>
        <v/>
      </c>
      <c r="Q888" s="37" t="str">
        <f t="shared" ca="1" si="46"/>
        <v/>
      </c>
    </row>
    <row r="889" spans="16:17" x14ac:dyDescent="0.25">
      <c r="P889" s="37" t="str">
        <f t="shared" ca="1" si="45"/>
        <v/>
      </c>
      <c r="Q889" s="37" t="str">
        <f t="shared" ca="1" si="46"/>
        <v/>
      </c>
    </row>
    <row r="890" spans="16:17" x14ac:dyDescent="0.25">
      <c r="P890" s="37" t="str">
        <f t="shared" ca="1" si="45"/>
        <v/>
      </c>
      <c r="Q890" s="37" t="str">
        <f t="shared" ca="1" si="46"/>
        <v/>
      </c>
    </row>
    <row r="891" spans="16:17" x14ac:dyDescent="0.25">
      <c r="P891" s="37" t="str">
        <f t="shared" ca="1" si="45"/>
        <v/>
      </c>
      <c r="Q891" s="37" t="str">
        <f t="shared" ca="1" si="46"/>
        <v/>
      </c>
    </row>
    <row r="892" spans="16:17" x14ac:dyDescent="0.25">
      <c r="P892" s="37" t="str">
        <f t="shared" ca="1" si="45"/>
        <v/>
      </c>
      <c r="Q892" s="37" t="str">
        <f t="shared" ca="1" si="46"/>
        <v/>
      </c>
    </row>
    <row r="893" spans="16:17" x14ac:dyDescent="0.25">
      <c r="P893" s="37" t="str">
        <f t="shared" ca="1" si="45"/>
        <v/>
      </c>
      <c r="Q893" s="37" t="str">
        <f t="shared" ca="1" si="46"/>
        <v/>
      </c>
    </row>
    <row r="894" spans="16:17" x14ac:dyDescent="0.25">
      <c r="P894" s="37" t="str">
        <f t="shared" ca="1" si="45"/>
        <v/>
      </c>
      <c r="Q894" s="37" t="str">
        <f t="shared" ca="1" si="46"/>
        <v/>
      </c>
    </row>
    <row r="895" spans="16:17" x14ac:dyDescent="0.25">
      <c r="P895" s="37" t="str">
        <f t="shared" ca="1" si="45"/>
        <v/>
      </c>
      <c r="Q895" s="37" t="str">
        <f t="shared" ca="1" si="46"/>
        <v/>
      </c>
    </row>
    <row r="896" spans="16:17" x14ac:dyDescent="0.25">
      <c r="P896" s="37" t="str">
        <f t="shared" ca="1" si="45"/>
        <v/>
      </c>
      <c r="Q896" s="37" t="str">
        <f t="shared" ca="1" si="46"/>
        <v/>
      </c>
    </row>
    <row r="897" spans="16:17" x14ac:dyDescent="0.25">
      <c r="P897" s="37" t="str">
        <f t="shared" ca="1" si="45"/>
        <v/>
      </c>
      <c r="Q897" s="37" t="str">
        <f t="shared" ca="1" si="46"/>
        <v/>
      </c>
    </row>
    <row r="898" spans="16:17" x14ac:dyDescent="0.25">
      <c r="P898" s="37" t="str">
        <f t="shared" ca="1" si="45"/>
        <v/>
      </c>
      <c r="Q898" s="37" t="str">
        <f t="shared" ca="1" si="46"/>
        <v/>
      </c>
    </row>
    <row r="899" spans="16:17" x14ac:dyDescent="0.25">
      <c r="P899" s="37" t="str">
        <f t="shared" ca="1" si="45"/>
        <v/>
      </c>
      <c r="Q899" s="37" t="str">
        <f t="shared" ca="1" si="46"/>
        <v/>
      </c>
    </row>
    <row r="900" spans="16:17" x14ac:dyDescent="0.25">
      <c r="P900" s="37" t="str">
        <f t="shared" ref="P900:P945" ca="1" si="47">IF(COUNTIF(N:N,L900),L900,"")</f>
        <v/>
      </c>
      <c r="Q900" s="37" t="str">
        <f t="shared" ref="Q900:Q945" ca="1" si="48">IF(P900&gt;$A$14,P900,"")</f>
        <v/>
      </c>
    </row>
    <row r="901" spans="16:17" x14ac:dyDescent="0.25">
      <c r="P901" s="37" t="str">
        <f t="shared" ca="1" si="47"/>
        <v/>
      </c>
      <c r="Q901" s="37" t="str">
        <f t="shared" ca="1" si="48"/>
        <v/>
      </c>
    </row>
    <row r="902" spans="16:17" x14ac:dyDescent="0.25">
      <c r="P902" s="37" t="str">
        <f t="shared" ca="1" si="47"/>
        <v/>
      </c>
      <c r="Q902" s="37" t="str">
        <f t="shared" ca="1" si="48"/>
        <v/>
      </c>
    </row>
    <row r="903" spans="16:17" x14ac:dyDescent="0.25">
      <c r="P903" s="37" t="str">
        <f t="shared" ca="1" si="47"/>
        <v/>
      </c>
      <c r="Q903" s="37" t="str">
        <f t="shared" ca="1" si="48"/>
        <v/>
      </c>
    </row>
    <row r="904" spans="16:17" x14ac:dyDescent="0.25">
      <c r="P904" s="37" t="str">
        <f t="shared" ca="1" si="47"/>
        <v/>
      </c>
      <c r="Q904" s="37" t="str">
        <f t="shared" ca="1" si="48"/>
        <v/>
      </c>
    </row>
    <row r="905" spans="16:17" x14ac:dyDescent="0.25">
      <c r="P905" s="37" t="str">
        <f t="shared" ca="1" si="47"/>
        <v/>
      </c>
      <c r="Q905" s="37" t="str">
        <f t="shared" ca="1" si="48"/>
        <v/>
      </c>
    </row>
    <row r="906" spans="16:17" x14ac:dyDescent="0.25">
      <c r="P906" s="37" t="str">
        <f t="shared" ca="1" si="47"/>
        <v/>
      </c>
      <c r="Q906" s="37" t="str">
        <f t="shared" ca="1" si="48"/>
        <v/>
      </c>
    </row>
    <row r="907" spans="16:17" x14ac:dyDescent="0.25">
      <c r="P907" s="37" t="str">
        <f t="shared" ca="1" si="47"/>
        <v/>
      </c>
      <c r="Q907" s="37" t="str">
        <f t="shared" ca="1" si="48"/>
        <v/>
      </c>
    </row>
    <row r="908" spans="16:17" x14ac:dyDescent="0.25">
      <c r="P908" s="37" t="str">
        <f t="shared" ca="1" si="47"/>
        <v/>
      </c>
      <c r="Q908" s="37" t="str">
        <f t="shared" ca="1" si="48"/>
        <v/>
      </c>
    </row>
    <row r="909" spans="16:17" x14ac:dyDescent="0.25">
      <c r="P909" s="37" t="str">
        <f t="shared" ca="1" si="47"/>
        <v/>
      </c>
      <c r="Q909" s="37" t="str">
        <f t="shared" ca="1" si="48"/>
        <v/>
      </c>
    </row>
    <row r="910" spans="16:17" x14ac:dyDescent="0.25">
      <c r="P910" s="37" t="str">
        <f t="shared" ca="1" si="47"/>
        <v/>
      </c>
      <c r="Q910" s="37" t="str">
        <f t="shared" ca="1" si="48"/>
        <v/>
      </c>
    </row>
    <row r="911" spans="16:17" x14ac:dyDescent="0.25">
      <c r="P911" s="37" t="str">
        <f t="shared" ca="1" si="47"/>
        <v/>
      </c>
      <c r="Q911" s="37" t="str">
        <f t="shared" ca="1" si="48"/>
        <v/>
      </c>
    </row>
    <row r="912" spans="16:17" x14ac:dyDescent="0.25">
      <c r="P912" s="37" t="str">
        <f t="shared" ca="1" si="47"/>
        <v/>
      </c>
      <c r="Q912" s="37" t="str">
        <f t="shared" ca="1" si="48"/>
        <v/>
      </c>
    </row>
    <row r="913" spans="16:17" x14ac:dyDescent="0.25">
      <c r="P913" s="37" t="str">
        <f t="shared" ca="1" si="47"/>
        <v/>
      </c>
      <c r="Q913" s="37" t="str">
        <f t="shared" ca="1" si="48"/>
        <v/>
      </c>
    </row>
    <row r="914" spans="16:17" x14ac:dyDescent="0.25">
      <c r="P914" s="37" t="str">
        <f t="shared" ca="1" si="47"/>
        <v/>
      </c>
      <c r="Q914" s="37" t="str">
        <f t="shared" ca="1" si="48"/>
        <v/>
      </c>
    </row>
    <row r="915" spans="16:17" x14ac:dyDescent="0.25">
      <c r="P915" s="37" t="str">
        <f t="shared" ca="1" si="47"/>
        <v/>
      </c>
      <c r="Q915" s="37" t="str">
        <f t="shared" ca="1" si="48"/>
        <v/>
      </c>
    </row>
    <row r="916" spans="16:17" x14ac:dyDescent="0.25">
      <c r="P916" s="37" t="str">
        <f t="shared" ca="1" si="47"/>
        <v/>
      </c>
      <c r="Q916" s="37" t="str">
        <f t="shared" ca="1" si="48"/>
        <v/>
      </c>
    </row>
    <row r="917" spans="16:17" x14ac:dyDescent="0.25">
      <c r="P917" s="37" t="str">
        <f t="shared" ca="1" si="47"/>
        <v/>
      </c>
      <c r="Q917" s="37" t="str">
        <f t="shared" ca="1" si="48"/>
        <v/>
      </c>
    </row>
    <row r="918" spans="16:17" x14ac:dyDescent="0.25">
      <c r="P918" s="37" t="str">
        <f t="shared" ca="1" si="47"/>
        <v/>
      </c>
      <c r="Q918" s="37" t="str">
        <f t="shared" ca="1" si="48"/>
        <v/>
      </c>
    </row>
    <row r="919" spans="16:17" x14ac:dyDescent="0.25">
      <c r="P919" s="37" t="str">
        <f t="shared" ca="1" si="47"/>
        <v/>
      </c>
      <c r="Q919" s="37" t="str">
        <f t="shared" ca="1" si="48"/>
        <v/>
      </c>
    </row>
    <row r="920" spans="16:17" x14ac:dyDescent="0.25">
      <c r="P920" s="37" t="str">
        <f t="shared" ca="1" si="47"/>
        <v/>
      </c>
      <c r="Q920" s="37" t="str">
        <f t="shared" ca="1" si="48"/>
        <v/>
      </c>
    </row>
    <row r="921" spans="16:17" x14ac:dyDescent="0.25">
      <c r="P921" s="37" t="str">
        <f t="shared" ca="1" si="47"/>
        <v/>
      </c>
      <c r="Q921" s="37" t="str">
        <f t="shared" ca="1" si="48"/>
        <v/>
      </c>
    </row>
    <row r="922" spans="16:17" x14ac:dyDescent="0.25">
      <c r="P922" s="37" t="str">
        <f t="shared" ca="1" si="47"/>
        <v/>
      </c>
      <c r="Q922" s="37" t="str">
        <f t="shared" ca="1" si="48"/>
        <v/>
      </c>
    </row>
    <row r="923" spans="16:17" x14ac:dyDescent="0.25">
      <c r="P923" s="37" t="str">
        <f t="shared" ca="1" si="47"/>
        <v/>
      </c>
      <c r="Q923" s="37" t="str">
        <f t="shared" ca="1" si="48"/>
        <v/>
      </c>
    </row>
    <row r="924" spans="16:17" x14ac:dyDescent="0.25">
      <c r="P924" s="37" t="str">
        <f t="shared" ca="1" si="47"/>
        <v/>
      </c>
      <c r="Q924" s="37" t="str">
        <f t="shared" ca="1" si="48"/>
        <v/>
      </c>
    </row>
    <row r="925" spans="16:17" x14ac:dyDescent="0.25">
      <c r="P925" s="37" t="str">
        <f t="shared" ca="1" si="47"/>
        <v/>
      </c>
      <c r="Q925" s="37" t="str">
        <f t="shared" ca="1" si="48"/>
        <v/>
      </c>
    </row>
    <row r="926" spans="16:17" x14ac:dyDescent="0.25">
      <c r="P926" s="37" t="str">
        <f t="shared" ca="1" si="47"/>
        <v/>
      </c>
      <c r="Q926" s="37" t="str">
        <f t="shared" ca="1" si="48"/>
        <v/>
      </c>
    </row>
    <row r="927" spans="16:17" x14ac:dyDescent="0.25">
      <c r="P927" s="37" t="str">
        <f t="shared" ca="1" si="47"/>
        <v/>
      </c>
      <c r="Q927" s="37" t="str">
        <f t="shared" ca="1" si="48"/>
        <v/>
      </c>
    </row>
    <row r="928" spans="16:17" x14ac:dyDescent="0.25">
      <c r="P928" s="37" t="str">
        <f t="shared" ca="1" si="47"/>
        <v/>
      </c>
      <c r="Q928" s="37" t="str">
        <f t="shared" ca="1" si="48"/>
        <v/>
      </c>
    </row>
    <row r="929" spans="16:17" x14ac:dyDescent="0.25">
      <c r="P929" s="37" t="str">
        <f t="shared" ca="1" si="47"/>
        <v/>
      </c>
      <c r="Q929" s="37" t="str">
        <f t="shared" ca="1" si="48"/>
        <v/>
      </c>
    </row>
    <row r="930" spans="16:17" x14ac:dyDescent="0.25">
      <c r="P930" s="37" t="str">
        <f t="shared" ca="1" si="47"/>
        <v/>
      </c>
      <c r="Q930" s="37" t="str">
        <f t="shared" ca="1" si="48"/>
        <v/>
      </c>
    </row>
    <row r="931" spans="16:17" x14ac:dyDescent="0.25">
      <c r="P931" s="37" t="str">
        <f t="shared" ca="1" si="47"/>
        <v/>
      </c>
      <c r="Q931" s="37" t="str">
        <f t="shared" ca="1" si="48"/>
        <v/>
      </c>
    </row>
    <row r="932" spans="16:17" x14ac:dyDescent="0.25">
      <c r="P932" s="37" t="str">
        <f t="shared" ca="1" si="47"/>
        <v/>
      </c>
      <c r="Q932" s="37" t="str">
        <f t="shared" ca="1" si="48"/>
        <v/>
      </c>
    </row>
    <row r="933" spans="16:17" x14ac:dyDescent="0.25">
      <c r="P933" s="37" t="str">
        <f t="shared" ca="1" si="47"/>
        <v/>
      </c>
      <c r="Q933" s="37" t="str">
        <f t="shared" ca="1" si="48"/>
        <v/>
      </c>
    </row>
    <row r="934" spans="16:17" x14ac:dyDescent="0.25">
      <c r="P934" s="37" t="str">
        <f t="shared" ca="1" si="47"/>
        <v/>
      </c>
      <c r="Q934" s="37" t="str">
        <f t="shared" ca="1" si="48"/>
        <v/>
      </c>
    </row>
    <row r="935" spans="16:17" x14ac:dyDescent="0.25">
      <c r="P935" s="37" t="str">
        <f t="shared" ca="1" si="47"/>
        <v/>
      </c>
      <c r="Q935" s="37" t="str">
        <f t="shared" ca="1" si="48"/>
        <v/>
      </c>
    </row>
    <row r="936" spans="16:17" x14ac:dyDescent="0.25">
      <c r="P936" s="37" t="str">
        <f t="shared" ca="1" si="47"/>
        <v/>
      </c>
      <c r="Q936" s="37" t="str">
        <f t="shared" ca="1" si="48"/>
        <v/>
      </c>
    </row>
    <row r="937" spans="16:17" x14ac:dyDescent="0.25">
      <c r="P937" s="37" t="str">
        <f t="shared" ca="1" si="47"/>
        <v/>
      </c>
      <c r="Q937" s="37" t="str">
        <f t="shared" ca="1" si="48"/>
        <v/>
      </c>
    </row>
    <row r="938" spans="16:17" x14ac:dyDescent="0.25">
      <c r="P938" s="37" t="str">
        <f t="shared" ca="1" si="47"/>
        <v/>
      </c>
      <c r="Q938" s="37" t="str">
        <f t="shared" ca="1" si="48"/>
        <v/>
      </c>
    </row>
    <row r="939" spans="16:17" x14ac:dyDescent="0.25">
      <c r="P939" s="37" t="str">
        <f t="shared" ca="1" si="47"/>
        <v/>
      </c>
      <c r="Q939" s="37" t="str">
        <f t="shared" ca="1" si="48"/>
        <v/>
      </c>
    </row>
    <row r="940" spans="16:17" x14ac:dyDescent="0.25">
      <c r="P940" s="37" t="str">
        <f t="shared" ca="1" si="47"/>
        <v/>
      </c>
      <c r="Q940" s="37" t="str">
        <f t="shared" ca="1" si="48"/>
        <v/>
      </c>
    </row>
    <row r="941" spans="16:17" x14ac:dyDescent="0.25">
      <c r="P941" s="37" t="str">
        <f t="shared" ca="1" si="47"/>
        <v/>
      </c>
      <c r="Q941" s="37" t="str">
        <f t="shared" ca="1" si="48"/>
        <v/>
      </c>
    </row>
    <row r="942" spans="16:17" x14ac:dyDescent="0.25">
      <c r="P942" s="37" t="str">
        <f t="shared" ca="1" si="47"/>
        <v/>
      </c>
      <c r="Q942" s="37" t="str">
        <f t="shared" ca="1" si="48"/>
        <v/>
      </c>
    </row>
    <row r="943" spans="16:17" x14ac:dyDescent="0.25">
      <c r="P943" s="37" t="str">
        <f t="shared" ca="1" si="47"/>
        <v/>
      </c>
      <c r="Q943" s="37" t="str">
        <f t="shared" ca="1" si="48"/>
        <v/>
      </c>
    </row>
    <row r="944" spans="16:17" x14ac:dyDescent="0.25">
      <c r="P944" s="37" t="str">
        <f t="shared" ca="1" si="47"/>
        <v/>
      </c>
      <c r="Q944" s="37" t="str">
        <f t="shared" ca="1" si="48"/>
        <v/>
      </c>
    </row>
    <row r="945" spans="16:17" x14ac:dyDescent="0.25">
      <c r="P945" s="37" t="str">
        <f t="shared" ca="1" si="47"/>
        <v/>
      </c>
      <c r="Q945" s="37" t="str">
        <f t="shared" ca="1" si="48"/>
        <v/>
      </c>
    </row>
  </sheetData>
  <mergeCells count="2">
    <mergeCell ref="B12:D12"/>
    <mergeCell ref="E12:G12"/>
  </mergeCells>
  <conditionalFormatting sqref="I13:J14 J15:J38 I15:I755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AD15-1EF6-42DD-B67B-FD7D1AF0CA2A}">
  <dimension ref="A1:Y891"/>
  <sheetViews>
    <sheetView zoomScaleNormal="100" workbookViewId="0">
      <selection activeCell="H5" sqref="H5"/>
    </sheetView>
  </sheetViews>
  <sheetFormatPr defaultColWidth="9.140625" defaultRowHeight="15" x14ac:dyDescent="0.25"/>
  <cols>
    <col min="1" max="1" width="16.5703125" style="95" bestFit="1" customWidth="1"/>
    <col min="2" max="2" width="21.5703125" style="3" customWidth="1"/>
    <col min="3" max="3" width="18" style="40" bestFit="1" customWidth="1"/>
    <col min="4" max="4" width="9.5703125" style="3" bestFit="1" customWidth="1"/>
    <col min="5" max="5" width="16.5703125" style="130" bestFit="1" customWidth="1"/>
    <col min="6" max="6" width="13" style="3" bestFit="1" customWidth="1"/>
    <col min="7" max="7" width="9.5703125" style="3" bestFit="1" customWidth="1"/>
    <col min="8" max="8" width="13" style="56" bestFit="1" customWidth="1"/>
    <col min="9" max="9" width="12" style="56" bestFit="1" customWidth="1"/>
    <col min="10" max="11" width="17.140625" style="3" bestFit="1" customWidth="1"/>
    <col min="12" max="12" width="8.7109375" style="3" bestFit="1" customWidth="1"/>
    <col min="13" max="15" width="17.140625" style="95" bestFit="1" customWidth="1"/>
    <col min="16" max="16" width="10.42578125" style="95" bestFit="1" customWidth="1"/>
    <col min="17" max="17" width="16.5703125" style="95" bestFit="1" customWidth="1"/>
    <col min="18" max="18" width="9.140625" style="3"/>
    <col min="19" max="19" width="17.140625" style="95" customWidth="1"/>
    <col min="20" max="20" width="9.85546875" style="3" customWidth="1"/>
    <col min="21" max="21" width="11.5703125" style="3" customWidth="1"/>
    <col min="22" max="22" width="7.7109375" style="3" customWidth="1"/>
    <col min="23" max="23" width="11.5703125" style="37" customWidth="1"/>
    <col min="24" max="24" width="16.42578125" style="3" customWidth="1"/>
    <col min="25" max="25" width="11.5703125" style="3" customWidth="1"/>
    <col min="26" max="16384" width="9.140625" style="3"/>
  </cols>
  <sheetData>
    <row r="1" spans="1:25" ht="15.75" thickBot="1" x14ac:dyDescent="0.3">
      <c r="A1" s="1"/>
      <c r="B1" s="1"/>
      <c r="C1" s="1" t="s">
        <v>85</v>
      </c>
      <c r="D1" s="25"/>
      <c r="E1" s="127"/>
      <c r="F1" s="1"/>
      <c r="G1" s="1"/>
      <c r="H1" s="1"/>
      <c r="I1" s="1"/>
      <c r="J1" s="37"/>
      <c r="O1" s="95" cm="1">
        <f t="array" aca="1" ref="O1" ca="1">LOOKUP(2,1/(O:O&lt;&gt;""),O:O)</f>
        <v>46191.625</v>
      </c>
      <c r="P1" s="95" t="s">
        <v>100</v>
      </c>
      <c r="Q1" s="37">
        <v>48001</v>
      </c>
      <c r="X1" s="56" t="s">
        <v>84</v>
      </c>
      <c r="Y1" s="37" cm="1">
        <f t="array" ref="Y1">LOOKUP(2,1/(W:W&lt;&gt;""),W:W)</f>
        <v>46190</v>
      </c>
    </row>
    <row r="2" spans="1:25" ht="15.75" thickBot="1" x14ac:dyDescent="0.3">
      <c r="A2" s="13"/>
      <c r="B2" s="22" t="s">
        <v>1</v>
      </c>
      <c r="C2" s="23" t="s">
        <v>0</v>
      </c>
      <c r="D2" s="25"/>
      <c r="E2" s="129"/>
      <c r="F2" s="73"/>
      <c r="H2" s="3"/>
      <c r="J2" s="22" t="s">
        <v>1</v>
      </c>
      <c r="K2" s="23" t="s">
        <v>0</v>
      </c>
      <c r="O2" s="95" cm="1">
        <f t="array" aca="1" ref="O2:O12" ca="1">_xlfn._xlws.SORT(_xlfn.UNIQUE(_xlfn._xlws.FILTER(N:N, ISNUMBER(N:N))))</f>
        <v>46177.625</v>
      </c>
      <c r="P2" s="3" t="s">
        <v>55</v>
      </c>
      <c r="Q2" s="37">
        <f>K3</f>
        <v>46143.625</v>
      </c>
      <c r="X2" s="3" t="s">
        <v>86</v>
      </c>
      <c r="Y2" s="3">
        <f>VLOOKUP(Y1,U:V,2)</f>
        <v>51.82</v>
      </c>
    </row>
    <row r="3" spans="1:25" x14ac:dyDescent="0.25">
      <c r="A3" s="13" t="s">
        <v>19</v>
      </c>
      <c r="B3" s="14" t="s">
        <v>80</v>
      </c>
      <c r="C3" s="5" t="s">
        <v>114</v>
      </c>
      <c r="H3" s="3"/>
      <c r="I3" s="3"/>
      <c r="J3" s="71" cm="1">
        <f t="array" aca="1" ref="J3:J36" ca="1">_xll.avmDates(Q2,Q3,"EUR")</f>
        <v>46191.625</v>
      </c>
      <c r="K3" s="71" cm="1">
        <f t="array" ref="K3:L35">_xll.BDH(C4, "LAST_PRICE", "05/01/2026 15:00:00", "01/01/2035 17:00:00", "BarSize=120", "BarType=T", "RecurDaily=True", "TZ=London")</f>
        <v>46143.625</v>
      </c>
      <c r="L3" s="3">
        <v>57.603000000000002</v>
      </c>
      <c r="M3" s="95">
        <f t="shared" ref="M3:M66" ca="1" si="0">IF(COUNTIF(K:K,J3),J3,"")</f>
        <v>46191.625</v>
      </c>
      <c r="N3" s="95">
        <f ca="1">IF(M3&gt;$A$14,M3,"")</f>
        <v>46191.625</v>
      </c>
      <c r="O3" s="95">
        <f ca="1"/>
        <v>46178.625</v>
      </c>
      <c r="P3" s="3" t="s">
        <v>56</v>
      </c>
      <c r="Q3" s="37">
        <f ca="1">INT(TODAY()) + TIME(15,0,0)</f>
        <v>46191.625</v>
      </c>
      <c r="S3" s="95" cm="1">
        <f t="array" ref="S3:T34">_xll.BDH(C1, "LAST_PRICE", "05/01/2026","")</f>
        <v>46143</v>
      </c>
      <c r="T3" s="3">
        <v>121.85680000000001</v>
      </c>
      <c r="U3" s="37" cm="1">
        <f t="array" ref="U3:V35">_xll.BDH(C4, "LAST_PRICE", "05/01/2026", "")</f>
        <v>46143</v>
      </c>
      <c r="V3" s="3">
        <v>57.603000000000002</v>
      </c>
      <c r="W3" s="37">
        <f>IF(COUNTIF(U:U,S3),S3,"")</f>
        <v>46143</v>
      </c>
      <c r="X3" s="56" t="s">
        <v>83</v>
      </c>
      <c r="Y3" s="3">
        <f>VLOOKUP(Y1,S:T,2)</f>
        <v>122.2856</v>
      </c>
    </row>
    <row r="4" spans="1:25" ht="30" customHeight="1" x14ac:dyDescent="0.25">
      <c r="A4" s="14" t="s">
        <v>20</v>
      </c>
      <c r="B4" s="16" t="s">
        <v>113</v>
      </c>
      <c r="C4" s="16" t="s">
        <v>91</v>
      </c>
      <c r="H4" s="3"/>
      <c r="I4" s="3"/>
      <c r="J4" s="71">
        <f ca="1"/>
        <v>46190.625</v>
      </c>
      <c r="K4" s="71">
        <v>46147.625</v>
      </c>
      <c r="L4" s="3">
        <v>58.122999999999998</v>
      </c>
      <c r="M4" s="95">
        <f t="shared" ca="1" si="0"/>
        <v>46190.625</v>
      </c>
      <c r="N4" s="95">
        <f t="shared" ref="N4:N67" ca="1" si="1">IF(M4&gt;$A$14,M4,"")</f>
        <v>46190.625</v>
      </c>
      <c r="O4" s="95">
        <f ca="1"/>
        <v>46181.625</v>
      </c>
      <c r="P4" s="3" t="s">
        <v>57</v>
      </c>
      <c r="Q4" s="3" t="s">
        <v>112</v>
      </c>
      <c r="S4" s="95">
        <v>46147</v>
      </c>
      <c r="T4" s="3">
        <v>121.8245</v>
      </c>
      <c r="U4" s="37">
        <v>46147</v>
      </c>
      <c r="V4" s="3">
        <v>58.122999999999998</v>
      </c>
      <c r="W4" s="37">
        <f t="shared" ref="W4:W67" si="2">IF(COUNTIF(U:U,S4),S4,"")</f>
        <v>46147</v>
      </c>
      <c r="X4" s="3" t="s">
        <v>93</v>
      </c>
      <c r="Y4" s="41">
        <f ca="1">INT(NOW())-INT(Y1)</f>
        <v>1</v>
      </c>
    </row>
    <row r="5" spans="1:25" x14ac:dyDescent="0.25">
      <c r="A5" s="14" t="s">
        <v>2</v>
      </c>
      <c r="B5" s="17">
        <f>50*10^6</f>
        <v>50000000</v>
      </c>
      <c r="C5" s="8">
        <f>38*10^6</f>
        <v>38000000</v>
      </c>
      <c r="H5" s="3"/>
      <c r="I5" s="3"/>
      <c r="J5" s="71">
        <f ca="1"/>
        <v>46189.625</v>
      </c>
      <c r="K5" s="71">
        <v>46148.625</v>
      </c>
      <c r="L5" s="3">
        <v>55.771000000000001</v>
      </c>
      <c r="M5" s="95">
        <f t="shared" ca="1" si="0"/>
        <v>46189.625</v>
      </c>
      <c r="N5" s="95">
        <f t="shared" ca="1" si="1"/>
        <v>46189.625</v>
      </c>
      <c r="O5" s="95">
        <f ca="1"/>
        <v>46182.625</v>
      </c>
      <c r="P5" s="3" t="s">
        <v>58</v>
      </c>
      <c r="Q5" s="3" t="s">
        <v>98</v>
      </c>
      <c r="S5" s="95">
        <v>46148</v>
      </c>
      <c r="T5" s="3">
        <v>121.96639999999999</v>
      </c>
      <c r="U5" s="37">
        <v>46148</v>
      </c>
      <c r="V5" s="3">
        <v>55.771000000000001</v>
      </c>
      <c r="W5" s="37">
        <f t="shared" si="2"/>
        <v>46148</v>
      </c>
    </row>
    <row r="6" spans="1:25" x14ac:dyDescent="0.25">
      <c r="A6" s="14" t="s">
        <v>3</v>
      </c>
      <c r="B6" s="18">
        <v>0.01</v>
      </c>
      <c r="C6" s="10">
        <v>0.01</v>
      </c>
      <c r="H6" s="3"/>
      <c r="I6" s="3"/>
      <c r="J6" s="71">
        <f ca="1"/>
        <v>46188.625</v>
      </c>
      <c r="K6" s="71">
        <v>46149.625</v>
      </c>
      <c r="L6" s="3">
        <v>56.514000000000003</v>
      </c>
      <c r="M6" s="95">
        <f t="shared" ca="1" si="0"/>
        <v>46188.625</v>
      </c>
      <c r="N6" s="95">
        <f t="shared" ca="1" si="1"/>
        <v>46188.625</v>
      </c>
      <c r="O6" s="95">
        <f ca="1"/>
        <v>46183.625</v>
      </c>
      <c r="P6" s="3" t="s">
        <v>59</v>
      </c>
      <c r="Q6" s="3" t="s">
        <v>60</v>
      </c>
      <c r="S6" s="95">
        <v>46149</v>
      </c>
      <c r="T6" s="3">
        <v>121.9353</v>
      </c>
      <c r="U6" s="37">
        <v>46149</v>
      </c>
      <c r="V6" s="3">
        <v>56.514000000000003</v>
      </c>
      <c r="W6" s="37">
        <f t="shared" si="2"/>
        <v>46149</v>
      </c>
    </row>
    <row r="7" spans="1:25" x14ac:dyDescent="0.25">
      <c r="A7" s="14" t="s">
        <v>4</v>
      </c>
      <c r="B7" s="18">
        <v>0</v>
      </c>
      <c r="C7" s="10">
        <v>0</v>
      </c>
      <c r="H7" s="3"/>
      <c r="I7" s="3"/>
      <c r="J7" s="71">
        <f ca="1"/>
        <v>46185.625</v>
      </c>
      <c r="K7" s="71">
        <v>46150.625</v>
      </c>
      <c r="L7" s="3">
        <v>56.433</v>
      </c>
      <c r="M7" s="95">
        <f t="shared" ca="1" si="0"/>
        <v>46185.625</v>
      </c>
      <c r="N7" s="95">
        <f t="shared" ca="1" si="1"/>
        <v>46185.625</v>
      </c>
      <c r="O7" s="95">
        <f ca="1"/>
        <v>46184.625</v>
      </c>
      <c r="P7" s="3" t="s">
        <v>61</v>
      </c>
      <c r="Q7" s="3" t="s">
        <v>99</v>
      </c>
      <c r="S7" s="95">
        <v>46150</v>
      </c>
      <c r="T7" s="3">
        <v>121.9332</v>
      </c>
      <c r="U7" s="37">
        <v>46150</v>
      </c>
      <c r="V7" s="3">
        <v>56.433</v>
      </c>
      <c r="W7" s="37">
        <f t="shared" si="2"/>
        <v>46150</v>
      </c>
    </row>
    <row r="8" spans="1:25" x14ac:dyDescent="0.25">
      <c r="A8" s="14" t="s">
        <v>5</v>
      </c>
      <c r="B8" s="14">
        <v>4.8899999999999997</v>
      </c>
      <c r="C8" s="5">
        <v>4.7690000000000001</v>
      </c>
      <c r="H8" s="3"/>
      <c r="I8" s="3"/>
      <c r="J8" s="71">
        <f ca="1"/>
        <v>46184.625</v>
      </c>
      <c r="K8" s="71">
        <v>46153.625</v>
      </c>
      <c r="L8" s="3">
        <v>56.262999999999998</v>
      </c>
      <c r="M8" s="95">
        <f t="shared" ca="1" si="0"/>
        <v>46184.625</v>
      </c>
      <c r="N8" s="95">
        <f t="shared" ca="1" si="1"/>
        <v>46184.625</v>
      </c>
      <c r="O8" s="95">
        <f ca="1"/>
        <v>46185.625</v>
      </c>
      <c r="S8" s="95">
        <v>46153</v>
      </c>
      <c r="T8" s="3">
        <v>121.9509</v>
      </c>
      <c r="U8" s="37">
        <v>46153</v>
      </c>
      <c r="V8" s="3">
        <v>56.262999999999998</v>
      </c>
      <c r="W8" s="37">
        <f t="shared" si="2"/>
        <v>46153</v>
      </c>
    </row>
    <row r="9" spans="1:25" ht="15.75" thickBot="1" x14ac:dyDescent="0.3">
      <c r="A9" s="15" t="s">
        <v>15</v>
      </c>
      <c r="B9" s="19" cm="1">
        <f t="array" ref="B9">_xll.BDP(B4,"PX_LAST")</f>
        <v>37.998449999999998</v>
      </c>
      <c r="C9" s="12" cm="1">
        <f t="array" ref="C9">_xll.BDP(C4,"PX_LAST")</f>
        <v>51.593730000000001</v>
      </c>
      <c r="D9" s="25"/>
      <c r="E9" s="127"/>
      <c r="F9" s="1"/>
      <c r="G9" s="1"/>
      <c r="H9" s="1"/>
      <c r="I9" s="1"/>
      <c r="J9" s="71">
        <f ca="1"/>
        <v>46183.625</v>
      </c>
      <c r="K9" s="71">
        <v>46154.625</v>
      </c>
      <c r="L9" s="3">
        <v>58.118000000000002</v>
      </c>
      <c r="M9" s="95">
        <f t="shared" ca="1" si="0"/>
        <v>46183.625</v>
      </c>
      <c r="N9" s="95">
        <f t="shared" ca="1" si="1"/>
        <v>46183.625</v>
      </c>
      <c r="O9" s="95">
        <f ca="1"/>
        <v>46188.625</v>
      </c>
      <c r="S9" s="95">
        <v>46154</v>
      </c>
      <c r="T9" s="3">
        <v>121.84439999999999</v>
      </c>
      <c r="U9" s="37">
        <v>46154</v>
      </c>
      <c r="V9" s="3">
        <v>58.118000000000002</v>
      </c>
      <c r="W9" s="37">
        <f t="shared" si="2"/>
        <v>46154</v>
      </c>
    </row>
    <row r="10" spans="1:25" x14ac:dyDescent="0.25">
      <c r="A10" s="95" t="s">
        <v>94</v>
      </c>
      <c r="C10" s="127">
        <f ca="1">Y3*(1-(C9-Y2)*C8*10^-4+C6/360*Y4)</f>
        <v>122.30219243667958</v>
      </c>
      <c r="D10" s="25"/>
      <c r="E10" s="127"/>
      <c r="F10" s="1"/>
      <c r="G10" s="1"/>
      <c r="H10" s="1"/>
      <c r="I10" s="1"/>
      <c r="J10" s="71">
        <f ca="1"/>
        <v>46182.625</v>
      </c>
      <c r="K10" s="71">
        <v>46155.625</v>
      </c>
      <c r="L10" s="3">
        <v>57.145000000000003</v>
      </c>
      <c r="M10" s="95">
        <f t="shared" ca="1" si="0"/>
        <v>46182.625</v>
      </c>
      <c r="N10" s="95">
        <f t="shared" ca="1" si="1"/>
        <v>46182.625</v>
      </c>
      <c r="O10" s="95">
        <f ca="1"/>
        <v>46189.625</v>
      </c>
      <c r="S10" s="95">
        <v>46155</v>
      </c>
      <c r="T10" s="3">
        <v>121.8929</v>
      </c>
      <c r="U10" s="37">
        <v>46155</v>
      </c>
      <c r="V10" s="3">
        <v>57.145000000000003</v>
      </c>
      <c r="W10" s="37">
        <f t="shared" si="2"/>
        <v>46155</v>
      </c>
    </row>
    <row r="11" spans="1:25" ht="15.75" thickBot="1" x14ac:dyDescent="0.3">
      <c r="A11" s="1"/>
      <c r="B11" s="1"/>
      <c r="C11" s="1"/>
      <c r="D11" s="25"/>
      <c r="E11" s="127"/>
      <c r="F11" s="1"/>
      <c r="G11" s="1"/>
      <c r="H11" s="1"/>
      <c r="I11" s="1"/>
      <c r="J11" s="71">
        <f ca="1"/>
        <v>46181.625</v>
      </c>
      <c r="K11" s="71">
        <v>46156.625</v>
      </c>
      <c r="L11" s="3">
        <v>56.268000000000001</v>
      </c>
      <c r="M11" s="95">
        <f t="shared" ca="1" si="0"/>
        <v>46181.625</v>
      </c>
      <c r="N11" s="95">
        <f t="shared" ca="1" si="1"/>
        <v>46181.625</v>
      </c>
      <c r="O11" s="95">
        <f ca="1"/>
        <v>46190.625</v>
      </c>
      <c r="S11" s="95">
        <v>46156</v>
      </c>
      <c r="T11" s="3">
        <v>121.9464</v>
      </c>
      <c r="U11" s="37">
        <v>46156</v>
      </c>
      <c r="V11" s="3">
        <v>56.268000000000001</v>
      </c>
      <c r="W11" s="37">
        <f t="shared" si="2"/>
        <v>46156</v>
      </c>
    </row>
    <row r="12" spans="1:25" ht="15.75" thickBot="1" x14ac:dyDescent="0.3">
      <c r="A12" s="27" t="s">
        <v>12</v>
      </c>
      <c r="B12" s="22" t="s">
        <v>1</v>
      </c>
      <c r="C12" s="93"/>
      <c r="D12" s="94"/>
      <c r="E12" s="131" t="s">
        <v>0</v>
      </c>
      <c r="F12" s="91"/>
      <c r="G12" s="92"/>
      <c r="H12" s="27" t="s">
        <v>7</v>
      </c>
      <c r="J12" s="71">
        <f ca="1"/>
        <v>46178.625</v>
      </c>
      <c r="K12" s="71">
        <v>46157.625</v>
      </c>
      <c r="L12" s="3">
        <v>58.142000000000003</v>
      </c>
      <c r="M12" s="95">
        <f t="shared" ca="1" si="0"/>
        <v>46178.625</v>
      </c>
      <c r="N12" s="95">
        <f t="shared" ca="1" si="1"/>
        <v>46178.625</v>
      </c>
      <c r="O12" s="95">
        <f ca="1"/>
        <v>46191.625</v>
      </c>
      <c r="S12" s="95">
        <v>46157</v>
      </c>
      <c r="T12" s="3">
        <v>121.8493</v>
      </c>
      <c r="U12" s="37">
        <v>46157</v>
      </c>
      <c r="V12" s="3">
        <v>58.142000000000003</v>
      </c>
      <c r="W12" s="37">
        <f t="shared" si="2"/>
        <v>46157</v>
      </c>
    </row>
    <row r="13" spans="1:25" ht="15.75" thickBot="1" x14ac:dyDescent="0.3">
      <c r="A13" s="15"/>
      <c r="B13" s="11" t="s">
        <v>14</v>
      </c>
      <c r="C13" s="36" t="s">
        <v>9</v>
      </c>
      <c r="D13" s="21" t="s">
        <v>10</v>
      </c>
      <c r="E13" s="132" t="s">
        <v>8</v>
      </c>
      <c r="F13" s="20" t="s">
        <v>11</v>
      </c>
      <c r="G13" s="21" t="s">
        <v>10</v>
      </c>
      <c r="H13" s="15"/>
      <c r="J13" s="71">
        <f ca="1"/>
        <v>46177.625</v>
      </c>
      <c r="K13" s="71">
        <v>46160.625</v>
      </c>
      <c r="L13" s="3">
        <v>57.506999999999998</v>
      </c>
      <c r="M13" s="95">
        <f t="shared" ca="1" si="0"/>
        <v>46177.625</v>
      </c>
      <c r="N13" s="95">
        <f t="shared" ca="1" si="1"/>
        <v>46177.625</v>
      </c>
      <c r="S13" s="95">
        <v>46160</v>
      </c>
      <c r="T13" s="3">
        <v>121.8806</v>
      </c>
      <c r="U13" s="37">
        <v>46160</v>
      </c>
      <c r="V13" s="3">
        <v>57.506999999999998</v>
      </c>
      <c r="W13" s="37">
        <f t="shared" si="2"/>
        <v>46160</v>
      </c>
    </row>
    <row r="14" spans="1:25" x14ac:dyDescent="0.25">
      <c r="A14" s="98">
        <v>46176.625</v>
      </c>
      <c r="B14" s="4">
        <v>41</v>
      </c>
      <c r="C14" s="25"/>
      <c r="D14" s="5"/>
      <c r="E14" s="128">
        <f>VLOOKUP(A14-TIME(15,0,0),S:T,2)/(1-(G14-F14)*10^-4*C8)</f>
        <v>122.16246037597953</v>
      </c>
      <c r="F14" s="4">
        <v>53.5</v>
      </c>
      <c r="G14" s="5">
        <v>53.81</v>
      </c>
      <c r="H14" s="54">
        <v>0</v>
      </c>
      <c r="J14" s="71">
        <f ca="1"/>
        <v>46176.625</v>
      </c>
      <c r="K14" s="71">
        <v>46161.625</v>
      </c>
      <c r="L14" s="3">
        <v>58.331000000000003</v>
      </c>
      <c r="M14" s="95">
        <f t="shared" ca="1" si="0"/>
        <v>46176.625</v>
      </c>
      <c r="N14" s="95" t="str">
        <f t="shared" ca="1" si="1"/>
        <v/>
      </c>
      <c r="S14" s="95">
        <v>46161</v>
      </c>
      <c r="T14" s="3">
        <v>121.8409</v>
      </c>
      <c r="U14" s="37">
        <v>46161</v>
      </c>
      <c r="V14" s="3">
        <v>58.331000000000003</v>
      </c>
      <c r="W14" s="37">
        <f t="shared" si="2"/>
        <v>46161</v>
      </c>
    </row>
    <row r="15" spans="1:25" x14ac:dyDescent="0.25">
      <c r="A15" s="98">
        <f ca="1">IF(AND(ISBLANK(O2), A14 = $O$1),NOW(),IF(AND(ISBLANK(O2),O2&lt;NOW()),"",O2))</f>
        <v>46177.625</v>
      </c>
      <c r="B15" s="33" cm="1">
        <f t="array" aca="1" ref="B15" ca="1">IF(COUNTIF(J:J,A15)=1,_xll.avmCdsSpreadForDate($Q$4,$Q$5,$Q$7,$Q$6,A15,$Q$1), IF(COUNTIF(J:J,A15)=0,$B$9,""))</f>
        <v>40.710693150684932</v>
      </c>
      <c r="C15" s="77">
        <f ca="1">IF(ISERROR(B15-2),"",-1*(B15-$B$14)*10^-4*$B$8*$B$5)</f>
        <v>7073.5524657534097</v>
      </c>
      <c r="D15" s="107">
        <f ca="1">IF(ISERROR(B15-2),"",(INT(A15)-INT($A$14))/360*$B$6*$B$5)</f>
        <v>1388.8888888888889</v>
      </c>
      <c r="E15" s="128">
        <f t="shared" ref="E15:E46" ca="1" si="3">IF(COUNTIF(O:O,A15)=1,VLOOKUP(A15-TIME(15,0,0),S:T,2), IF(AND(COUNTIF(O:O,A15-TIME(15,0,0))=0,NOT(ISERROR(B15-2))),$C$10,""))</f>
        <v>122.181</v>
      </c>
      <c r="F15" s="25">
        <f ca="1">IF(ISERROR(B15-2),"", (E15/$E$14-1)*$C$5)</f>
        <v>5766.9574647500885</v>
      </c>
      <c r="G15" s="107"/>
      <c r="H15" s="55">
        <f ca="1">IF(ISERROR(B15-2),"",(-1*(C15+D15))+F15+G15)</f>
        <v>-2695.4838898922098</v>
      </c>
      <c r="J15" s="71">
        <f ca="1"/>
        <v>46175.625</v>
      </c>
      <c r="K15" s="71">
        <v>46162.625</v>
      </c>
      <c r="L15" s="3">
        <v>56.151000000000003</v>
      </c>
      <c r="M15" s="95">
        <f t="shared" ca="1" si="0"/>
        <v>46175.625</v>
      </c>
      <c r="N15" s="95" t="str">
        <f t="shared" ca="1" si="1"/>
        <v/>
      </c>
      <c r="S15" s="95">
        <v>46162</v>
      </c>
      <c r="T15" s="3">
        <v>121.9667</v>
      </c>
      <c r="U15" s="37">
        <v>46162</v>
      </c>
      <c r="V15" s="3">
        <v>56.151000000000003</v>
      </c>
      <c r="W15" s="37">
        <f t="shared" si="2"/>
        <v>46162</v>
      </c>
    </row>
    <row r="16" spans="1:25" x14ac:dyDescent="0.25">
      <c r="A16" s="98">
        <f t="shared" ref="A16:A79" ca="1" si="4">IF(AND(ISBLANK(O3), A15 = $O$1),NOW(),IF(AND(ISBLANK(O3),O3&lt;NOW()),"",O3))</f>
        <v>46178.625</v>
      </c>
      <c r="B16" s="33" cm="1">
        <f t="array" aca="1" ref="B16" ca="1">IF(COUNTIF(J:J,A16)=1,_xll.avmCdsSpreadForDate($Q$4,$Q$5,$Q$7,$Q$6,A16,$Q$1), IF(COUNTIF(J:J,A16)=0,$B$9,""))</f>
        <v>40.725619178082191</v>
      </c>
      <c r="C16" s="77">
        <f t="shared" ref="C16:C79" ca="1" si="5">IF(ISERROR(B16-2),"",-1*(B16-$B$14)*10^-4*$B$8*$B$5)</f>
        <v>6708.6110958904355</v>
      </c>
      <c r="D16" s="107">
        <f t="shared" ref="D16:D79" ca="1" si="6">IF(ISERROR(B16-2),"",(INT(A16)-INT($A$14))/360*$B$6*$B$5)</f>
        <v>2777.7777777777778</v>
      </c>
      <c r="E16" s="128">
        <f t="shared" ca="1" si="3"/>
        <v>122.14749999999999</v>
      </c>
      <c r="F16" s="25">
        <f t="shared" ref="F16:F79" ca="1" si="7">IF(ISERROR(B16-2),"", (E16/$E$14-1)*$C$5)</f>
        <v>-4653.592318564215</v>
      </c>
      <c r="G16" s="107"/>
      <c r="H16" s="55">
        <f t="shared" ref="H16:H79" ca="1" si="8">IF(ISERROR(B16-2),"",(-1*(C16+D16))+F16+G16)</f>
        <v>-14139.981192232428</v>
      </c>
      <c r="J16" s="71">
        <f ca="1"/>
        <v>46174.625</v>
      </c>
      <c r="K16" s="71">
        <v>46163.625</v>
      </c>
      <c r="L16" s="3">
        <v>56.640999999999998</v>
      </c>
      <c r="M16" s="95">
        <f t="shared" ca="1" si="0"/>
        <v>46174.625</v>
      </c>
      <c r="N16" s="95" t="str">
        <f t="shared" ca="1" si="1"/>
        <v/>
      </c>
      <c r="S16" s="95">
        <v>46163</v>
      </c>
      <c r="T16" s="3">
        <v>121.9359</v>
      </c>
      <c r="U16" s="37">
        <v>46163</v>
      </c>
      <c r="V16" s="3">
        <v>56.640999999999998</v>
      </c>
      <c r="W16" s="37">
        <f t="shared" si="2"/>
        <v>46163</v>
      </c>
    </row>
    <row r="17" spans="1:23" x14ac:dyDescent="0.25">
      <c r="A17" s="98">
        <f t="shared" ca="1" si="4"/>
        <v>46181.625</v>
      </c>
      <c r="B17" s="33" cm="1">
        <f t="array" aca="1" ref="B17" ca="1">IF(COUNTIF(J:J,A17)=1,_xll.avmCdsSpreadForDate($Q$4,$Q$5,$Q$7,$Q$6,A17,$Q$1), IF(COUNTIF(J:J,A17)=0,$B$9,""))</f>
        <v>41.377221917808214</v>
      </c>
      <c r="C17" s="77">
        <f t="shared" ca="1" si="5"/>
        <v>-9223.0758904108279</v>
      </c>
      <c r="D17" s="107">
        <f t="shared" ca="1" si="6"/>
        <v>6944.4444444444443</v>
      </c>
      <c r="E17" s="128">
        <f t="shared" ca="1" si="3"/>
        <v>122.1476</v>
      </c>
      <c r="F17" s="25">
        <f t="shared" ca="1" si="7"/>
        <v>-4622.4861998065417</v>
      </c>
      <c r="G17" s="107"/>
      <c r="H17" s="55">
        <f t="shared" ca="1" si="8"/>
        <v>-2343.8547538401581</v>
      </c>
      <c r="J17" s="71">
        <f ca="1"/>
        <v>46171.625</v>
      </c>
      <c r="K17" s="71">
        <v>46164.625</v>
      </c>
      <c r="L17" s="3">
        <v>55.134999999999998</v>
      </c>
      <c r="M17" s="95">
        <f t="shared" ca="1" si="0"/>
        <v>46171.625</v>
      </c>
      <c r="N17" s="95" t="str">
        <f t="shared" ca="1" si="1"/>
        <v/>
      </c>
      <c r="S17" s="95">
        <v>46164</v>
      </c>
      <c r="T17" s="3">
        <v>122.0292</v>
      </c>
      <c r="U17" s="37">
        <v>46164</v>
      </c>
      <c r="V17" s="3">
        <v>55.134999999999998</v>
      </c>
      <c r="W17" s="37">
        <f t="shared" si="2"/>
        <v>46164</v>
      </c>
    </row>
    <row r="18" spans="1:23" x14ac:dyDescent="0.25">
      <c r="A18" s="98">
        <f t="shared" ca="1" si="4"/>
        <v>46182.625</v>
      </c>
      <c r="B18" s="33" cm="1">
        <f t="array" aca="1" ref="B18" ca="1">IF(COUNTIF(J:J,A18)=1,_xll.avmCdsSpreadForDate($Q$4,$Q$5,$Q$7,$Q$6,A18,$Q$1), IF(COUNTIF(J:J,A18)=0,$B$9,""))</f>
        <v>41.223246575342465</v>
      </c>
      <c r="C18" s="77">
        <f t="shared" ca="1" si="5"/>
        <v>-5458.3787671232649</v>
      </c>
      <c r="D18" s="107">
        <f t="shared" ca="1" si="6"/>
        <v>8333.3333333333339</v>
      </c>
      <c r="E18" s="128">
        <f t="shared" ca="1" si="3"/>
        <v>122.14319999999999</v>
      </c>
      <c r="F18" s="25">
        <f t="shared" ca="1" si="7"/>
        <v>-5991.1554250808849</v>
      </c>
      <c r="G18" s="107"/>
      <c r="H18" s="55">
        <f t="shared" ca="1" si="8"/>
        <v>-8866.109991290954</v>
      </c>
      <c r="J18" s="71">
        <f ca="1"/>
        <v>46170.625</v>
      </c>
      <c r="K18" s="71">
        <v>46168.625</v>
      </c>
      <c r="L18" s="3">
        <v>54.31</v>
      </c>
      <c r="M18" s="95">
        <f t="shared" ca="1" si="0"/>
        <v>46170.625</v>
      </c>
      <c r="N18" s="95" t="str">
        <f t="shared" ca="1" si="1"/>
        <v/>
      </c>
      <c r="S18" s="95">
        <v>46168</v>
      </c>
      <c r="T18" s="3">
        <v>122.0951</v>
      </c>
      <c r="U18" s="37">
        <v>46168</v>
      </c>
      <c r="V18" s="3">
        <v>54.31</v>
      </c>
      <c r="W18" s="37">
        <f t="shared" si="2"/>
        <v>46168</v>
      </c>
    </row>
    <row r="19" spans="1:23" x14ac:dyDescent="0.25">
      <c r="A19" s="98">
        <f t="shared" ca="1" si="4"/>
        <v>46183.625</v>
      </c>
      <c r="B19" s="33" cm="1">
        <f t="array" aca="1" ref="B19" ca="1">IF(COUNTIF(J:J,A19)=1,_xll.avmCdsSpreadForDate($Q$4,$Q$5,$Q$7,$Q$6,A19,$Q$1), IF(COUNTIF(J:J,A19)=0,$B$9,""))</f>
        <v>41.716758904109582</v>
      </c>
      <c r="C19" s="77">
        <f t="shared" ca="1" si="5"/>
        <v>-17524.755205479287</v>
      </c>
      <c r="D19" s="107">
        <f t="shared" ca="1" si="6"/>
        <v>9722.2222222222226</v>
      </c>
      <c r="E19" s="128">
        <f t="shared" ca="1" si="3"/>
        <v>122.1109</v>
      </c>
      <c r="F19" s="25">
        <f t="shared" ca="1" si="7"/>
        <v>-16038.431783315766</v>
      </c>
      <c r="G19" s="107"/>
      <c r="H19" s="55">
        <f t="shared" ca="1" si="8"/>
        <v>-8235.8988000587015</v>
      </c>
      <c r="J19" s="71">
        <f ca="1"/>
        <v>46169.625</v>
      </c>
      <c r="K19" s="71">
        <v>46169.625</v>
      </c>
      <c r="L19" s="3">
        <v>54.148000000000003</v>
      </c>
      <c r="M19" s="95">
        <f t="shared" ca="1" si="0"/>
        <v>46169.625</v>
      </c>
      <c r="N19" s="95" t="str">
        <f t="shared" ca="1" si="1"/>
        <v/>
      </c>
      <c r="S19" s="95">
        <v>46169</v>
      </c>
      <c r="T19" s="3">
        <v>122.1125</v>
      </c>
      <c r="U19" s="37">
        <v>46169</v>
      </c>
      <c r="V19" s="3">
        <v>54.148000000000003</v>
      </c>
      <c r="W19" s="37">
        <f t="shared" si="2"/>
        <v>46169</v>
      </c>
    </row>
    <row r="20" spans="1:23" x14ac:dyDescent="0.25">
      <c r="A20" s="98">
        <f t="shared" ca="1" si="4"/>
        <v>46184.625</v>
      </c>
      <c r="B20" s="33" cm="1">
        <f t="array" aca="1" ref="B20" ca="1">IF(COUNTIF(J:J,A20)=1,_xll.avmCdsSpreadForDate($Q$4,$Q$5,$Q$7,$Q$6,A20,$Q$1), IF(COUNTIF(J:J,A20)=0,$B$9,""))</f>
        <v>41.539342465753421</v>
      </c>
      <c r="C20" s="77">
        <f t="shared" ca="1" si="5"/>
        <v>-13186.923287671147</v>
      </c>
      <c r="D20" s="107">
        <f t="shared" ca="1" si="6"/>
        <v>11111.111111111111</v>
      </c>
      <c r="E20" s="128">
        <f t="shared" ca="1" si="3"/>
        <v>122.1345</v>
      </c>
      <c r="F20" s="25">
        <f t="shared" ca="1" si="7"/>
        <v>-8697.3877568634616</v>
      </c>
      <c r="G20" s="107"/>
      <c r="H20" s="55">
        <f t="shared" ca="1" si="8"/>
        <v>-6621.5755803034262</v>
      </c>
      <c r="J20" s="71">
        <f ca="1"/>
        <v>46168.625</v>
      </c>
      <c r="K20" s="71">
        <v>46170.625</v>
      </c>
      <c r="L20" s="3">
        <v>53.381999999999998</v>
      </c>
      <c r="M20" s="95">
        <f t="shared" ca="1" si="0"/>
        <v>46168.625</v>
      </c>
      <c r="N20" s="95" t="str">
        <f t="shared" ca="1" si="1"/>
        <v/>
      </c>
      <c r="S20" s="95">
        <v>46170</v>
      </c>
      <c r="T20" s="3">
        <v>122.1557</v>
      </c>
      <c r="U20" s="37">
        <v>46170</v>
      </c>
      <c r="V20" s="3">
        <v>53.381999999999998</v>
      </c>
      <c r="W20" s="37">
        <f t="shared" si="2"/>
        <v>46170</v>
      </c>
    </row>
    <row r="21" spans="1:23" x14ac:dyDescent="0.25">
      <c r="A21" s="98">
        <f t="shared" ca="1" si="4"/>
        <v>46185.625</v>
      </c>
      <c r="B21" s="33" cm="1">
        <f t="array" aca="1" ref="B21" ca="1">IF(COUNTIF(J:J,A21)=1,_xll.avmCdsSpreadForDate($Q$4,$Q$5,$Q$7,$Q$6,A21,$Q$1), IF(COUNTIF(J:J,A21)=0,$B$9,""))</f>
        <v>40.081698630136984</v>
      </c>
      <c r="C21" s="77">
        <f t="shared" ca="1" si="5"/>
        <v>22452.468493150747</v>
      </c>
      <c r="D21" s="107">
        <f t="shared" ca="1" si="6"/>
        <v>12500</v>
      </c>
      <c r="E21" s="128">
        <f t="shared" ca="1" si="3"/>
        <v>122.2521</v>
      </c>
      <c r="F21" s="25">
        <f t="shared" ca="1" si="7"/>
        <v>27883.407900384238</v>
      </c>
      <c r="G21" s="107"/>
      <c r="H21" s="55">
        <f t="shared" ca="1" si="8"/>
        <v>-7069.0605927665129</v>
      </c>
      <c r="J21" s="71">
        <f ca="1"/>
        <v>46167.625</v>
      </c>
      <c r="K21" s="71">
        <v>46171.625</v>
      </c>
      <c r="L21" s="3">
        <v>52.723999999999997</v>
      </c>
      <c r="M21" s="95" t="str">
        <f t="shared" ca="1" si="0"/>
        <v/>
      </c>
      <c r="N21" s="95" t="str">
        <f t="shared" ca="1" si="1"/>
        <v/>
      </c>
      <c r="S21" s="95">
        <v>46171</v>
      </c>
      <c r="T21" s="3">
        <v>122.197</v>
      </c>
      <c r="U21" s="37">
        <v>46171</v>
      </c>
      <c r="V21" s="3">
        <v>52.723999999999997</v>
      </c>
      <c r="W21" s="37">
        <f t="shared" si="2"/>
        <v>46171</v>
      </c>
    </row>
    <row r="22" spans="1:23" x14ac:dyDescent="0.25">
      <c r="A22" s="98">
        <f t="shared" ca="1" si="4"/>
        <v>46188.625</v>
      </c>
      <c r="B22" s="33" cm="1">
        <f t="array" aca="1" ref="B22" ca="1">IF(COUNTIF(J:J,A22)=1,_xll.avmCdsSpreadForDate($Q$4,$Q$5,$Q$7,$Q$6,A22,$Q$1), IF(COUNTIF(J:J,A22)=0,$B$9,""))</f>
        <v>39.001265753424661</v>
      </c>
      <c r="C22" s="77">
        <f t="shared" ca="1" si="5"/>
        <v>48869.052328767029</v>
      </c>
      <c r="D22" s="107">
        <f t="shared" ca="1" si="6"/>
        <v>16666.666666666668</v>
      </c>
      <c r="E22" s="128">
        <f t="shared" ca="1" si="3"/>
        <v>122.3095</v>
      </c>
      <c r="F22" s="25">
        <f t="shared" ca="1" si="7"/>
        <v>45738.320066419648</v>
      </c>
      <c r="G22" s="107"/>
      <c r="H22" s="55">
        <f t="shared" ca="1" si="8"/>
        <v>-19797.398929014045</v>
      </c>
      <c r="J22" s="71">
        <f ca="1"/>
        <v>46164.625</v>
      </c>
      <c r="K22" s="71">
        <v>46174.625</v>
      </c>
      <c r="L22" s="3">
        <v>53.673000000000002</v>
      </c>
      <c r="M22" s="95">
        <f t="shared" ca="1" si="0"/>
        <v>46164.625</v>
      </c>
      <c r="N22" s="95" t="str">
        <f t="shared" ca="1" si="1"/>
        <v/>
      </c>
      <c r="S22" s="95">
        <v>46174</v>
      </c>
      <c r="T22" s="3">
        <v>122.1514</v>
      </c>
      <c r="U22" s="37">
        <v>46174</v>
      </c>
      <c r="V22" s="3">
        <v>53.673000000000002</v>
      </c>
      <c r="W22" s="37">
        <f t="shared" si="2"/>
        <v>46174</v>
      </c>
    </row>
    <row r="23" spans="1:23" ht="14.45" customHeight="1" x14ac:dyDescent="0.25">
      <c r="A23" s="98">
        <f t="shared" ca="1" si="4"/>
        <v>46189.625</v>
      </c>
      <c r="B23" s="33" cm="1">
        <f t="array" aca="1" ref="B23" ca="1">IF(COUNTIF(J:J,A23)=1,_xll.avmCdsSpreadForDate($Q$4,$Q$5,$Q$7,$Q$6,A23,$Q$1), IF(COUNTIF(J:J,A23)=0,$B$9,""))</f>
        <v>38.856890410958897</v>
      </c>
      <c r="C23" s="77">
        <f t="shared" ca="1" si="5"/>
        <v>52399.029452054965</v>
      </c>
      <c r="D23" s="107">
        <f t="shared" ca="1" si="6"/>
        <v>18055.555555555555</v>
      </c>
      <c r="E23" s="128">
        <f t="shared" ca="1" si="3"/>
        <v>122.3023</v>
      </c>
      <c r="F23" s="25">
        <f t="shared" ca="1" si="7"/>
        <v>43498.679515976859</v>
      </c>
      <c r="G23" s="107"/>
      <c r="H23" s="55">
        <f t="shared" ca="1" si="8"/>
        <v>-26955.905491633668</v>
      </c>
      <c r="J23" s="71">
        <f ca="1"/>
        <v>46163.625</v>
      </c>
      <c r="K23" s="71">
        <v>46175.625</v>
      </c>
      <c r="L23" s="3">
        <v>52.710999999999999</v>
      </c>
      <c r="M23" s="95">
        <f t="shared" ca="1" si="0"/>
        <v>46163.625</v>
      </c>
      <c r="N23" s="95" t="str">
        <f t="shared" ca="1" si="1"/>
        <v/>
      </c>
      <c r="S23" s="95">
        <v>46175</v>
      </c>
      <c r="T23" s="3">
        <v>122.1998</v>
      </c>
      <c r="U23" s="37">
        <v>46175</v>
      </c>
      <c r="V23" s="3">
        <v>52.710999999999999</v>
      </c>
      <c r="W23" s="37">
        <f t="shared" si="2"/>
        <v>46175</v>
      </c>
    </row>
    <row r="24" spans="1:23" ht="14.45" customHeight="1" x14ac:dyDescent="0.25">
      <c r="A24" s="98">
        <f t="shared" ca="1" si="4"/>
        <v>46190.625</v>
      </c>
      <c r="B24" s="33" cm="1">
        <f t="array" aca="1" ref="B24" ca="1">IF(COUNTIF(J:J,A24)=1,_xll.avmCdsSpreadForDate($Q$4,$Q$5,$Q$7,$Q$6,A24,$Q$1), IF(COUNTIF(J:J,A24)=0,$B$9,""))</f>
        <v>39.319246575342461</v>
      </c>
      <c r="C24" s="77">
        <f t="shared" ca="1" si="5"/>
        <v>41094.421232876819</v>
      </c>
      <c r="D24" s="107">
        <f t="shared" ca="1" si="6"/>
        <v>19444.444444444445</v>
      </c>
      <c r="E24" s="128">
        <f t="shared" ca="1" si="3"/>
        <v>122.2856</v>
      </c>
      <c r="F24" s="25">
        <f t="shared" ca="1" si="7"/>
        <v>38303.957683698543</v>
      </c>
      <c r="G24" s="107"/>
      <c r="H24" s="55">
        <f t="shared" ca="1" si="8"/>
        <v>-22234.907993622721</v>
      </c>
      <c r="J24" s="71">
        <f ca="1"/>
        <v>46162.625</v>
      </c>
      <c r="K24" s="71">
        <v>46176.625</v>
      </c>
      <c r="L24" s="3">
        <v>53.81</v>
      </c>
      <c r="M24" s="95">
        <f t="shared" ca="1" si="0"/>
        <v>46162.625</v>
      </c>
      <c r="N24" s="95" t="str">
        <f t="shared" ca="1" si="1"/>
        <v/>
      </c>
      <c r="S24" s="95">
        <v>46176</v>
      </c>
      <c r="T24" s="3">
        <v>122.1444</v>
      </c>
      <c r="U24" s="37">
        <v>46176</v>
      </c>
      <c r="V24" s="3">
        <v>53.81</v>
      </c>
      <c r="W24" s="37">
        <f t="shared" si="2"/>
        <v>46176</v>
      </c>
    </row>
    <row r="25" spans="1:23" ht="14.45" customHeight="1" x14ac:dyDescent="0.25">
      <c r="A25" s="98">
        <f t="shared" ca="1" si="4"/>
        <v>46191.625</v>
      </c>
      <c r="B25" s="33" cm="1">
        <f t="array" aca="1" ref="B25" ca="1">IF(COUNTIF(J:J,A25)=1,_xll.avmCdsSpreadForDate($Q$4,$Q$5,$Q$7,$Q$6,A25,$Q$1), IF(COUNTIF(J:J,A25)=0,$B$9,""))</f>
        <v>39.22228219178082</v>
      </c>
      <c r="C25" s="77">
        <f t="shared" ca="1" si="5"/>
        <v>43465.20041095894</v>
      </c>
      <c r="D25" s="107">
        <f t="shared" ca="1" si="6"/>
        <v>20833.333333333332</v>
      </c>
      <c r="E25" s="128">
        <f t="shared" ca="1" si="3"/>
        <v>122.30219243667958</v>
      </c>
      <c r="F25" s="25">
        <f t="shared" ca="1" si="7"/>
        <v>43465.220741785604</v>
      </c>
      <c r="G25" s="107"/>
      <c r="H25" s="55">
        <f t="shared" ca="1" si="8"/>
        <v>-20833.313002506671</v>
      </c>
      <c r="J25" s="71">
        <f ca="1"/>
        <v>46161.625</v>
      </c>
      <c r="K25" s="71">
        <v>46177.625</v>
      </c>
      <c r="L25" s="3">
        <v>53.121000000000002</v>
      </c>
      <c r="M25" s="95">
        <f t="shared" ca="1" si="0"/>
        <v>46161.625</v>
      </c>
      <c r="N25" s="95" t="str">
        <f t="shared" ca="1" si="1"/>
        <v/>
      </c>
      <c r="S25" s="95">
        <v>46177</v>
      </c>
      <c r="T25" s="3">
        <v>122.181</v>
      </c>
      <c r="U25" s="37">
        <v>46177</v>
      </c>
      <c r="V25" s="3">
        <v>53.121000000000002</v>
      </c>
      <c r="W25" s="37">
        <f t="shared" si="2"/>
        <v>46177</v>
      </c>
    </row>
    <row r="26" spans="1:23" ht="14.45" customHeight="1" x14ac:dyDescent="0.25">
      <c r="A26" s="98">
        <f t="shared" ca="1" si="4"/>
        <v>46191.47081053241</v>
      </c>
      <c r="B26" s="33" cm="1">
        <f t="array" aca="1" ref="B26" ca="1">IF(COUNTIF(J:J,A26)=1,_xll.avmCdsSpreadForDate($Q$4,$Q$5,$Q$7,$Q$6,A26,$Q$1), IF(COUNTIF(J:J,A26)=0,$B$9,""))</f>
        <v>37.998449999999998</v>
      </c>
      <c r="C26" s="77">
        <f t="shared" ca="1" si="5"/>
        <v>73387.897500000036</v>
      </c>
      <c r="D26" s="107">
        <f t="shared" ca="1" si="6"/>
        <v>20833.333333333332</v>
      </c>
      <c r="E26" s="128">
        <f t="shared" ca="1" si="3"/>
        <v>122.30219243667958</v>
      </c>
      <c r="F26" s="25">
        <f t="shared" ca="1" si="7"/>
        <v>43465.220741785604</v>
      </c>
      <c r="G26" s="107"/>
      <c r="H26" s="55">
        <f t="shared" ca="1" si="8"/>
        <v>-50756.01009154776</v>
      </c>
      <c r="J26" s="71">
        <f ca="1"/>
        <v>46160.625</v>
      </c>
      <c r="K26" s="71">
        <v>46178.625</v>
      </c>
      <c r="L26" s="3">
        <v>53.723999999999997</v>
      </c>
      <c r="M26" s="95">
        <f t="shared" ca="1" si="0"/>
        <v>46160.625</v>
      </c>
      <c r="N26" s="95" t="str">
        <f t="shared" ca="1" si="1"/>
        <v/>
      </c>
      <c r="S26" s="95">
        <v>46178</v>
      </c>
      <c r="T26" s="3">
        <v>122.14749999999999</v>
      </c>
      <c r="U26" s="37">
        <v>46178</v>
      </c>
      <c r="V26" s="3">
        <v>53.723999999999997</v>
      </c>
      <c r="W26" s="37">
        <f t="shared" si="2"/>
        <v>46178</v>
      </c>
    </row>
    <row r="27" spans="1:23" ht="14.45" customHeight="1" x14ac:dyDescent="0.25">
      <c r="A27" s="98" t="str">
        <f t="shared" ca="1" si="4"/>
        <v/>
      </c>
      <c r="B27" s="33" t="str" cm="1">
        <f t="array" aca="1" ref="B27" ca="1">IF(COUNTIF(J:J,A27)=1,_xll.avmCdsSpreadForDate($Q$4,$Q$5,$Q$7,$Q$6,A27,$Q$1), IF(COUNTIF(J:J,A27)=0,$B$9,""))</f>
        <v/>
      </c>
      <c r="C27" s="77" t="str">
        <f t="shared" ca="1" si="5"/>
        <v/>
      </c>
      <c r="D27" s="107" t="str">
        <f t="shared" ca="1" si="6"/>
        <v/>
      </c>
      <c r="E27" s="128" t="str">
        <f t="shared" ca="1" si="3"/>
        <v/>
      </c>
      <c r="F27" s="25" t="str">
        <f t="shared" ca="1" si="7"/>
        <v/>
      </c>
      <c r="G27" s="107"/>
      <c r="H27" s="55" t="str">
        <f t="shared" ca="1" si="8"/>
        <v/>
      </c>
      <c r="J27" s="71">
        <f ca="1"/>
        <v>46157.625</v>
      </c>
      <c r="K27" s="71">
        <v>46181.625</v>
      </c>
      <c r="L27" s="3">
        <v>53.823999999999998</v>
      </c>
      <c r="M27" s="95">
        <f t="shared" ca="1" si="0"/>
        <v>46157.625</v>
      </c>
      <c r="N27" s="95" t="str">
        <f t="shared" ca="1" si="1"/>
        <v/>
      </c>
      <c r="S27" s="95">
        <v>46181</v>
      </c>
      <c r="T27" s="3">
        <v>122.1476</v>
      </c>
      <c r="U27" s="37">
        <v>46181</v>
      </c>
      <c r="V27" s="3">
        <v>53.823999999999998</v>
      </c>
      <c r="W27" s="37">
        <f t="shared" si="2"/>
        <v>46181</v>
      </c>
    </row>
    <row r="28" spans="1:23" ht="14.45" customHeight="1" x14ac:dyDescent="0.25">
      <c r="A28" s="98" t="str">
        <f t="shared" ca="1" si="4"/>
        <v/>
      </c>
      <c r="B28" s="33" t="str" cm="1">
        <f t="array" aca="1" ref="B28" ca="1">IF(COUNTIF(J:J,A28)=1,_xll.avmCdsSpreadForDate($Q$4,$Q$5,$Q$7,$Q$6,A28,$Q$1), IF(COUNTIF(J:J,A28)=0,$B$9,""))</f>
        <v/>
      </c>
      <c r="C28" s="77" t="str">
        <f t="shared" ca="1" si="5"/>
        <v/>
      </c>
      <c r="D28" s="107" t="str">
        <f t="shared" ca="1" si="6"/>
        <v/>
      </c>
      <c r="E28" s="128" t="str">
        <f t="shared" ca="1" si="3"/>
        <v/>
      </c>
      <c r="F28" s="25" t="str">
        <f t="shared" ca="1" si="7"/>
        <v/>
      </c>
      <c r="G28" s="107"/>
      <c r="H28" s="55" t="str">
        <f t="shared" ca="1" si="8"/>
        <v/>
      </c>
      <c r="J28" s="71">
        <f ca="1"/>
        <v>46156.625</v>
      </c>
      <c r="K28" s="71">
        <v>46182.625</v>
      </c>
      <c r="L28" s="3">
        <v>54.127000000000002</v>
      </c>
      <c r="M28" s="95">
        <f t="shared" ca="1" si="0"/>
        <v>46156.625</v>
      </c>
      <c r="N28" s="95" t="str">
        <f t="shared" ca="1" si="1"/>
        <v/>
      </c>
      <c r="S28" s="95">
        <v>46182</v>
      </c>
      <c r="T28" s="3">
        <v>122.14319999999999</v>
      </c>
      <c r="U28" s="37">
        <v>46182</v>
      </c>
      <c r="V28" s="3">
        <v>54.127000000000002</v>
      </c>
      <c r="W28" s="37">
        <f t="shared" si="2"/>
        <v>46182</v>
      </c>
    </row>
    <row r="29" spans="1:23" ht="14.45" customHeight="1" x14ac:dyDescent="0.25">
      <c r="A29" s="98" t="str">
        <f t="shared" ca="1" si="4"/>
        <v/>
      </c>
      <c r="B29" s="33" t="str" cm="1">
        <f t="array" aca="1" ref="B29" ca="1">IF(COUNTIF(J:J,A29)=1,_xll.avmCdsSpreadForDate($Q$4,$Q$5,$Q$7,$Q$6,A29,$Q$1), IF(COUNTIF(J:J,A29)=0,$B$9,""))</f>
        <v/>
      </c>
      <c r="C29" s="77" t="str">
        <f t="shared" ca="1" si="5"/>
        <v/>
      </c>
      <c r="D29" s="107" t="str">
        <f t="shared" ca="1" si="6"/>
        <v/>
      </c>
      <c r="E29" s="128" t="str">
        <f t="shared" ca="1" si="3"/>
        <v/>
      </c>
      <c r="F29" s="25" t="str">
        <f t="shared" ca="1" si="7"/>
        <v/>
      </c>
      <c r="G29" s="107"/>
      <c r="H29" s="55" t="str">
        <f t="shared" ca="1" si="8"/>
        <v/>
      </c>
      <c r="J29" s="71">
        <f ca="1"/>
        <v>46155.625</v>
      </c>
      <c r="K29" s="71">
        <v>46183.625</v>
      </c>
      <c r="L29" s="3">
        <v>54.466000000000001</v>
      </c>
      <c r="M29" s="95">
        <f t="shared" ca="1" si="0"/>
        <v>46155.625</v>
      </c>
      <c r="N29" s="95" t="str">
        <f t="shared" ca="1" si="1"/>
        <v/>
      </c>
      <c r="S29" s="95">
        <v>46183</v>
      </c>
      <c r="T29" s="3">
        <v>122.1109</v>
      </c>
      <c r="U29" s="37">
        <v>46183</v>
      </c>
      <c r="V29" s="3">
        <v>54.466000000000001</v>
      </c>
      <c r="W29" s="37">
        <f t="shared" si="2"/>
        <v>46183</v>
      </c>
    </row>
    <row r="30" spans="1:23" ht="14.45" customHeight="1" x14ac:dyDescent="0.25">
      <c r="A30" s="98" t="str">
        <f t="shared" ca="1" si="4"/>
        <v/>
      </c>
      <c r="B30" s="33" t="str" cm="1">
        <f t="array" aca="1" ref="B30" ca="1">IF(COUNTIF(J:J,A30)=1,_xll.avmCdsSpreadForDate($Q$4,$Q$5,$Q$7,$Q$6,A30,$Q$1), IF(COUNTIF(J:J,A30)=0,$B$9,""))</f>
        <v/>
      </c>
      <c r="C30" s="77" t="str">
        <f t="shared" ca="1" si="5"/>
        <v/>
      </c>
      <c r="D30" s="107" t="str">
        <f t="shared" ca="1" si="6"/>
        <v/>
      </c>
      <c r="E30" s="128" t="str">
        <f t="shared" ca="1" si="3"/>
        <v/>
      </c>
      <c r="F30" s="25" t="str">
        <f t="shared" ca="1" si="7"/>
        <v/>
      </c>
      <c r="G30" s="107"/>
      <c r="H30" s="55" t="str">
        <f t="shared" ca="1" si="8"/>
        <v/>
      </c>
      <c r="J30" s="71">
        <f ca="1"/>
        <v>46154.625</v>
      </c>
      <c r="K30" s="71">
        <v>46184.625</v>
      </c>
      <c r="L30" s="3">
        <v>54.137999999999998</v>
      </c>
      <c r="M30" s="95">
        <f t="shared" ca="1" si="0"/>
        <v>46154.625</v>
      </c>
      <c r="N30" s="95" t="str">
        <f t="shared" ca="1" si="1"/>
        <v/>
      </c>
      <c r="S30" s="95">
        <v>46184</v>
      </c>
      <c r="T30" s="3">
        <v>122.1345</v>
      </c>
      <c r="U30" s="37">
        <v>46184</v>
      </c>
      <c r="V30" s="3">
        <v>54.137999999999998</v>
      </c>
      <c r="W30" s="37">
        <f t="shared" si="2"/>
        <v>46184</v>
      </c>
    </row>
    <row r="31" spans="1:23" ht="14.45" customHeight="1" x14ac:dyDescent="0.25">
      <c r="A31" s="98" t="str">
        <f t="shared" ca="1" si="4"/>
        <v/>
      </c>
      <c r="B31" s="33" t="str" cm="1">
        <f t="array" aca="1" ref="B31" ca="1">IF(COUNTIF(J:J,A31)=1,_xll.avmCdsSpreadForDate($Q$4,$Q$5,$Q$7,$Q$6,A31,$Q$1), IF(COUNTIF(J:J,A31)=0,$B$9,""))</f>
        <v/>
      </c>
      <c r="C31" s="77" t="str">
        <f t="shared" ca="1" si="5"/>
        <v/>
      </c>
      <c r="D31" s="107" t="str">
        <f t="shared" ca="1" si="6"/>
        <v/>
      </c>
      <c r="E31" s="128" t="str">
        <f t="shared" ca="1" si="3"/>
        <v/>
      </c>
      <c r="F31" s="25" t="str">
        <f t="shared" ca="1" si="7"/>
        <v/>
      </c>
      <c r="G31" s="107"/>
      <c r="H31" s="55" t="str">
        <f t="shared" ca="1" si="8"/>
        <v/>
      </c>
      <c r="J31" s="71">
        <f ca="1"/>
        <v>46153.625</v>
      </c>
      <c r="K31" s="71">
        <v>46185.625</v>
      </c>
      <c r="L31" s="3">
        <v>52.238999999999997</v>
      </c>
      <c r="M31" s="95">
        <f t="shared" ca="1" si="0"/>
        <v>46153.625</v>
      </c>
      <c r="N31" s="95" t="str">
        <f t="shared" ca="1" si="1"/>
        <v/>
      </c>
      <c r="S31" s="95">
        <v>46185</v>
      </c>
      <c r="T31" s="3">
        <v>122.2521</v>
      </c>
      <c r="U31" s="37">
        <v>46185</v>
      </c>
      <c r="V31" s="3">
        <v>52.238999999999997</v>
      </c>
      <c r="W31" s="37">
        <f t="shared" si="2"/>
        <v>46185</v>
      </c>
    </row>
    <row r="32" spans="1:23" ht="14.45" customHeight="1" x14ac:dyDescent="0.25">
      <c r="A32" s="98" t="str">
        <f t="shared" ca="1" si="4"/>
        <v/>
      </c>
      <c r="B32" s="33" t="str" cm="1">
        <f t="array" aca="1" ref="B32" ca="1">IF(COUNTIF(J:J,A32)=1,_xll.avmCdsSpreadForDate($Q$4,$Q$5,$Q$7,$Q$6,A32,$Q$1), IF(COUNTIF(J:J,A32)=0,$B$9,""))</f>
        <v/>
      </c>
      <c r="C32" s="77" t="str">
        <f t="shared" ca="1" si="5"/>
        <v/>
      </c>
      <c r="D32" s="107" t="str">
        <f t="shared" ca="1" si="6"/>
        <v/>
      </c>
      <c r="E32" s="128" t="str">
        <f t="shared" ca="1" si="3"/>
        <v/>
      </c>
      <c r="F32" s="25" t="str">
        <f t="shared" ca="1" si="7"/>
        <v/>
      </c>
      <c r="G32" s="107"/>
      <c r="H32" s="55" t="str">
        <f t="shared" ca="1" si="8"/>
        <v/>
      </c>
      <c r="J32" s="71">
        <f ca="1"/>
        <v>46150.625</v>
      </c>
      <c r="K32" s="71">
        <v>46188.625</v>
      </c>
      <c r="L32" s="3">
        <v>51.213999999999999</v>
      </c>
      <c r="M32" s="95">
        <f t="shared" ca="1" si="0"/>
        <v>46150.625</v>
      </c>
      <c r="N32" s="95" t="str">
        <f t="shared" ca="1" si="1"/>
        <v/>
      </c>
      <c r="S32" s="95">
        <v>46188</v>
      </c>
      <c r="T32" s="3">
        <v>122.3095</v>
      </c>
      <c r="U32" s="37">
        <v>46188</v>
      </c>
      <c r="V32" s="3">
        <v>51.213999999999999</v>
      </c>
      <c r="W32" s="37">
        <f t="shared" si="2"/>
        <v>46188</v>
      </c>
    </row>
    <row r="33" spans="1:23" ht="14.45" customHeight="1" x14ac:dyDescent="0.25">
      <c r="A33" s="98" t="str">
        <f t="shared" ca="1" si="4"/>
        <v/>
      </c>
      <c r="B33" s="33" t="str" cm="1">
        <f t="array" aca="1" ref="B33" ca="1">IF(COUNTIF(J:J,A33)=1,_xll.avmCdsSpreadForDate($Q$4,$Q$5,$Q$7,$Q$6,A33,$Q$1), IF(COUNTIF(J:J,A33)=0,$B$9,""))</f>
        <v/>
      </c>
      <c r="C33" s="77" t="str">
        <f t="shared" ca="1" si="5"/>
        <v/>
      </c>
      <c r="D33" s="107" t="str">
        <f t="shared" ca="1" si="6"/>
        <v/>
      </c>
      <c r="E33" s="128" t="str">
        <f t="shared" ca="1" si="3"/>
        <v/>
      </c>
      <c r="F33" s="25" t="str">
        <f t="shared" ca="1" si="7"/>
        <v/>
      </c>
      <c r="G33" s="107"/>
      <c r="H33" s="55" t="str">
        <f t="shared" ca="1" si="8"/>
        <v/>
      </c>
      <c r="J33" s="71">
        <f ca="1"/>
        <v>46149.625</v>
      </c>
      <c r="K33" s="71">
        <v>46189.625</v>
      </c>
      <c r="L33" s="3">
        <v>51.500999999999998</v>
      </c>
      <c r="M33" s="95">
        <f t="shared" ca="1" si="0"/>
        <v>46149.625</v>
      </c>
      <c r="N33" s="95" t="str">
        <f t="shared" ca="1" si="1"/>
        <v/>
      </c>
      <c r="S33" s="95">
        <v>46189</v>
      </c>
      <c r="T33" s="3">
        <v>122.3023</v>
      </c>
      <c r="U33" s="37">
        <v>46189</v>
      </c>
      <c r="V33" s="3">
        <v>51.500999999999998</v>
      </c>
      <c r="W33" s="37">
        <f t="shared" si="2"/>
        <v>46189</v>
      </c>
    </row>
    <row r="34" spans="1:23" ht="14.45" customHeight="1" x14ac:dyDescent="0.25">
      <c r="A34" s="98" t="str">
        <f t="shared" ca="1" si="4"/>
        <v/>
      </c>
      <c r="B34" s="33" t="str" cm="1">
        <f t="array" aca="1" ref="B34" ca="1">IF(COUNTIF(J:J,A34)=1,_xll.avmCdsSpreadForDate($Q$4,$Q$5,$Q$7,$Q$6,A34,$Q$1), IF(COUNTIF(J:J,A34)=0,$B$9,""))</f>
        <v/>
      </c>
      <c r="C34" s="77" t="str">
        <f t="shared" ca="1" si="5"/>
        <v/>
      </c>
      <c r="D34" s="107" t="str">
        <f t="shared" ca="1" si="6"/>
        <v/>
      </c>
      <c r="E34" s="128" t="str">
        <f t="shared" ca="1" si="3"/>
        <v/>
      </c>
      <c r="F34" s="25" t="str">
        <f t="shared" ca="1" si="7"/>
        <v/>
      </c>
      <c r="G34" s="107"/>
      <c r="H34" s="55" t="str">
        <f t="shared" ca="1" si="8"/>
        <v/>
      </c>
      <c r="J34" s="71">
        <f ca="1"/>
        <v>46148.625</v>
      </c>
      <c r="K34" s="71">
        <v>46190.625</v>
      </c>
      <c r="L34" s="3">
        <v>51.82</v>
      </c>
      <c r="M34" s="95">
        <f t="shared" ca="1" si="0"/>
        <v>46148.625</v>
      </c>
      <c r="N34" s="95" t="str">
        <f t="shared" ca="1" si="1"/>
        <v/>
      </c>
      <c r="S34" s="95">
        <v>46190</v>
      </c>
      <c r="T34" s="3">
        <v>122.2856</v>
      </c>
      <c r="U34" s="37">
        <v>46190</v>
      </c>
      <c r="V34" s="3">
        <v>51.82</v>
      </c>
      <c r="W34" s="37">
        <f t="shared" si="2"/>
        <v>46190</v>
      </c>
    </row>
    <row r="35" spans="1:23" ht="14.45" customHeight="1" x14ac:dyDescent="0.25">
      <c r="A35" s="98" t="str">
        <f t="shared" ca="1" si="4"/>
        <v/>
      </c>
      <c r="B35" s="33" t="str" cm="1">
        <f t="array" aca="1" ref="B35" ca="1">IF(COUNTIF(J:J,A35)=1,_xll.avmCdsSpreadForDate($Q$4,$Q$5,$Q$7,$Q$6,A35,$Q$1), IF(COUNTIF(J:J,A35)=0,$B$9,""))</f>
        <v/>
      </c>
      <c r="C35" s="77" t="str">
        <f t="shared" ca="1" si="5"/>
        <v/>
      </c>
      <c r="D35" s="107" t="str">
        <f t="shared" ca="1" si="6"/>
        <v/>
      </c>
      <c r="E35" s="128" t="str">
        <f t="shared" ca="1" si="3"/>
        <v/>
      </c>
      <c r="F35" s="25" t="str">
        <f t="shared" ca="1" si="7"/>
        <v/>
      </c>
      <c r="G35" s="107"/>
      <c r="H35" s="55" t="str">
        <f t="shared" ca="1" si="8"/>
        <v/>
      </c>
      <c r="J35" s="71">
        <f ca="1"/>
        <v>46147.625</v>
      </c>
      <c r="K35" s="71">
        <v>46191.625</v>
      </c>
      <c r="L35" s="3">
        <v>51.588000000000001</v>
      </c>
      <c r="M35" s="95">
        <f t="shared" ca="1" si="0"/>
        <v>46147.625</v>
      </c>
      <c r="N35" s="95" t="str">
        <f t="shared" ca="1" si="1"/>
        <v/>
      </c>
      <c r="U35" s="37">
        <v>46191</v>
      </c>
      <c r="V35" s="3">
        <v>51.588000000000001</v>
      </c>
      <c r="W35" s="37" t="str">
        <f t="shared" si="2"/>
        <v/>
      </c>
    </row>
    <row r="36" spans="1:23" ht="14.45" customHeight="1" x14ac:dyDescent="0.25">
      <c r="A36" s="98" t="str">
        <f t="shared" ca="1" si="4"/>
        <v/>
      </c>
      <c r="B36" s="33" t="str" cm="1">
        <f t="array" aca="1" ref="B36" ca="1">IF(COUNTIF(J:J,A36)=1,_xll.avmCdsSpreadForDate($Q$4,$Q$5,$Q$7,$Q$6,A36,$Q$1), IF(COUNTIF(J:J,A36)=0,$B$9,""))</f>
        <v/>
      </c>
      <c r="C36" s="77" t="str">
        <f t="shared" ca="1" si="5"/>
        <v/>
      </c>
      <c r="D36" s="107" t="str">
        <f t="shared" ca="1" si="6"/>
        <v/>
      </c>
      <c r="E36" s="128" t="str">
        <f t="shared" ca="1" si="3"/>
        <v/>
      </c>
      <c r="F36" s="25" t="str">
        <f t="shared" ca="1" si="7"/>
        <v/>
      </c>
      <c r="G36" s="107"/>
      <c r="H36" s="55" t="str">
        <f t="shared" ca="1" si="8"/>
        <v/>
      </c>
      <c r="J36" s="71">
        <f ca="1"/>
        <v>46146.625</v>
      </c>
      <c r="K36" s="71"/>
      <c r="M36" s="95" t="str">
        <f t="shared" ca="1" si="0"/>
        <v/>
      </c>
      <c r="N36" s="95" t="str">
        <f t="shared" ca="1" si="1"/>
        <v/>
      </c>
      <c r="U36" s="37"/>
      <c r="W36" s="37" t="str">
        <f t="shared" si="2"/>
        <v/>
      </c>
    </row>
    <row r="37" spans="1:23" x14ac:dyDescent="0.25">
      <c r="A37" s="98" t="str">
        <f t="shared" ca="1" si="4"/>
        <v/>
      </c>
      <c r="B37" s="33" t="str" cm="1">
        <f t="array" aca="1" ref="B37" ca="1">IF(COUNTIF(J:J,A37)=1,_xll.avmCdsSpreadForDate($Q$4,$Q$5,$Q$7,$Q$6,A37,$Q$1), IF(COUNTIF(J:J,A37)=0,$B$9,""))</f>
        <v/>
      </c>
      <c r="C37" s="77" t="str">
        <f t="shared" ca="1" si="5"/>
        <v/>
      </c>
      <c r="D37" s="107" t="str">
        <f t="shared" ca="1" si="6"/>
        <v/>
      </c>
      <c r="E37" s="128" t="str">
        <f t="shared" ca="1" si="3"/>
        <v/>
      </c>
      <c r="F37" s="25" t="str">
        <f t="shared" ca="1" si="7"/>
        <v/>
      </c>
      <c r="G37" s="107"/>
      <c r="H37" s="55" t="str">
        <f t="shared" ca="1" si="8"/>
        <v/>
      </c>
      <c r="J37" s="71"/>
      <c r="K37" s="71"/>
      <c r="M37" s="95" t="str">
        <f t="shared" si="0"/>
        <v/>
      </c>
      <c r="N37" s="95" t="str">
        <f t="shared" si="1"/>
        <v/>
      </c>
      <c r="U37" s="37"/>
      <c r="W37" s="37" t="str">
        <f t="shared" si="2"/>
        <v/>
      </c>
    </row>
    <row r="38" spans="1:23" x14ac:dyDescent="0.25">
      <c r="A38" s="98" t="str">
        <f t="shared" ca="1" si="4"/>
        <v/>
      </c>
      <c r="B38" s="33" t="str" cm="1">
        <f t="array" aca="1" ref="B38" ca="1">IF(COUNTIF(J:J,A38)=1,_xll.avmCdsSpreadForDate($Q$4,$Q$5,$Q$7,$Q$6,A38,$Q$1), IF(COUNTIF(J:J,A38)=0,$B$9,""))</f>
        <v/>
      </c>
      <c r="C38" s="77" t="str">
        <f t="shared" ca="1" si="5"/>
        <v/>
      </c>
      <c r="D38" s="107" t="str">
        <f t="shared" ca="1" si="6"/>
        <v/>
      </c>
      <c r="E38" s="128" t="str">
        <f t="shared" ca="1" si="3"/>
        <v/>
      </c>
      <c r="F38" s="25" t="str">
        <f t="shared" ca="1" si="7"/>
        <v/>
      </c>
      <c r="G38" s="107"/>
      <c r="H38" s="55" t="str">
        <f t="shared" ca="1" si="8"/>
        <v/>
      </c>
      <c r="J38" s="71"/>
      <c r="K38" s="71"/>
      <c r="M38" s="95" t="str">
        <f t="shared" si="0"/>
        <v/>
      </c>
      <c r="N38" s="95" t="str">
        <f t="shared" si="1"/>
        <v/>
      </c>
      <c r="U38" s="37"/>
      <c r="W38" s="37" t="str">
        <f t="shared" si="2"/>
        <v/>
      </c>
    </row>
    <row r="39" spans="1:23" x14ac:dyDescent="0.25">
      <c r="A39" s="98" t="str">
        <f t="shared" ca="1" si="4"/>
        <v/>
      </c>
      <c r="B39" s="33" t="str" cm="1">
        <f t="array" aca="1" ref="B39" ca="1">IF(COUNTIF(J:J,A39)=1,_xll.avmCdsSpreadForDate($Q$4,$Q$5,$Q$7,$Q$6,A39,$Q$1), IF(COUNTIF(J:J,A39)=0,$B$9,""))</f>
        <v/>
      </c>
      <c r="C39" s="77" t="str">
        <f t="shared" ca="1" si="5"/>
        <v/>
      </c>
      <c r="D39" s="107" t="str">
        <f t="shared" ca="1" si="6"/>
        <v/>
      </c>
      <c r="E39" s="128" t="str">
        <f t="shared" ca="1" si="3"/>
        <v/>
      </c>
      <c r="F39" s="25" t="str">
        <f t="shared" ca="1" si="7"/>
        <v/>
      </c>
      <c r="G39" s="107"/>
      <c r="H39" s="55" t="str">
        <f t="shared" ca="1" si="8"/>
        <v/>
      </c>
      <c r="J39" s="71"/>
      <c r="K39" s="71"/>
      <c r="M39" s="95" t="str">
        <f t="shared" si="0"/>
        <v/>
      </c>
      <c r="N39" s="95" t="str">
        <f t="shared" si="1"/>
        <v/>
      </c>
      <c r="U39" s="37"/>
      <c r="W39" s="37" t="str">
        <f t="shared" si="2"/>
        <v/>
      </c>
    </row>
    <row r="40" spans="1:23" x14ac:dyDescent="0.25">
      <c r="A40" s="98" t="str">
        <f t="shared" ca="1" si="4"/>
        <v/>
      </c>
      <c r="B40" s="33" t="str" cm="1">
        <f t="array" aca="1" ref="B40" ca="1">IF(COUNTIF(J:J,A40)=1,_xll.avmCdsSpreadForDate($Q$4,$Q$5,$Q$7,$Q$6,A40,$Q$1), IF(COUNTIF(J:J,A40)=0,$B$9,""))</f>
        <v/>
      </c>
      <c r="C40" s="77" t="str">
        <f t="shared" ca="1" si="5"/>
        <v/>
      </c>
      <c r="D40" s="107" t="str">
        <f t="shared" ca="1" si="6"/>
        <v/>
      </c>
      <c r="E40" s="128" t="str">
        <f t="shared" ca="1" si="3"/>
        <v/>
      </c>
      <c r="F40" s="25" t="str">
        <f t="shared" ca="1" si="7"/>
        <v/>
      </c>
      <c r="G40" s="107"/>
      <c r="H40" s="55" t="str">
        <f t="shared" ca="1" si="8"/>
        <v/>
      </c>
      <c r="J40" s="71"/>
      <c r="K40" s="71"/>
      <c r="M40" s="95" t="str">
        <f t="shared" si="0"/>
        <v/>
      </c>
      <c r="N40" s="95" t="str">
        <f t="shared" si="1"/>
        <v/>
      </c>
      <c r="U40" s="37"/>
      <c r="W40" s="37" t="str">
        <f t="shared" si="2"/>
        <v/>
      </c>
    </row>
    <row r="41" spans="1:23" x14ac:dyDescent="0.25">
      <c r="A41" s="98" t="str">
        <f t="shared" ca="1" si="4"/>
        <v/>
      </c>
      <c r="B41" s="33" t="str" cm="1">
        <f t="array" aca="1" ref="B41" ca="1">IF(COUNTIF(J:J,A41)=1,_xll.avmCdsSpreadForDate($Q$4,$Q$5,$Q$7,$Q$6,A41,$Q$1), IF(COUNTIF(J:J,A41)=0,$B$9,""))</f>
        <v/>
      </c>
      <c r="C41" s="77" t="str">
        <f t="shared" ca="1" si="5"/>
        <v/>
      </c>
      <c r="D41" s="107" t="str">
        <f t="shared" ca="1" si="6"/>
        <v/>
      </c>
      <c r="E41" s="128" t="str">
        <f t="shared" ca="1" si="3"/>
        <v/>
      </c>
      <c r="F41" s="25" t="str">
        <f t="shared" ca="1" si="7"/>
        <v/>
      </c>
      <c r="G41" s="107"/>
      <c r="H41" s="55" t="str">
        <f t="shared" ca="1" si="8"/>
        <v/>
      </c>
      <c r="J41" s="71"/>
      <c r="K41" s="71"/>
      <c r="M41" s="95" t="str">
        <f t="shared" si="0"/>
        <v/>
      </c>
      <c r="N41" s="95" t="str">
        <f t="shared" si="1"/>
        <v/>
      </c>
      <c r="U41" s="37"/>
      <c r="W41" s="37" t="str">
        <f t="shared" si="2"/>
        <v/>
      </c>
    </row>
    <row r="42" spans="1:23" x14ac:dyDescent="0.25">
      <c r="A42" s="98" t="str">
        <f t="shared" ca="1" si="4"/>
        <v/>
      </c>
      <c r="B42" s="33" t="str" cm="1">
        <f t="array" aca="1" ref="B42" ca="1">IF(COUNTIF(J:J,A42)=1,_xll.avmCdsSpreadForDate($Q$4,$Q$5,$Q$7,$Q$6,A42,$Q$1), IF(COUNTIF(J:J,A42)=0,$B$9,""))</f>
        <v/>
      </c>
      <c r="C42" s="77" t="str">
        <f t="shared" ca="1" si="5"/>
        <v/>
      </c>
      <c r="D42" s="107" t="str">
        <f t="shared" ca="1" si="6"/>
        <v/>
      </c>
      <c r="E42" s="128" t="str">
        <f t="shared" ca="1" si="3"/>
        <v/>
      </c>
      <c r="F42" s="25" t="str">
        <f t="shared" ca="1" si="7"/>
        <v/>
      </c>
      <c r="G42" s="107"/>
      <c r="H42" s="55" t="str">
        <f t="shared" ca="1" si="8"/>
        <v/>
      </c>
      <c r="J42" s="71"/>
      <c r="K42" s="71"/>
      <c r="M42" s="95" t="str">
        <f t="shared" si="0"/>
        <v/>
      </c>
      <c r="N42" s="95" t="str">
        <f t="shared" si="1"/>
        <v/>
      </c>
      <c r="U42" s="37"/>
      <c r="W42" s="37" t="str">
        <f t="shared" si="2"/>
        <v/>
      </c>
    </row>
    <row r="43" spans="1:23" x14ac:dyDescent="0.25">
      <c r="A43" s="98" t="str">
        <f t="shared" ca="1" si="4"/>
        <v/>
      </c>
      <c r="B43" s="33" t="str" cm="1">
        <f t="array" aca="1" ref="B43" ca="1">IF(COUNTIF(J:J,A43)=1,_xll.avmCdsSpreadForDate($Q$4,$Q$5,$Q$7,$Q$6,A43,$Q$1), IF(COUNTIF(J:J,A43)=0,$B$9,""))</f>
        <v/>
      </c>
      <c r="C43" s="77" t="str">
        <f t="shared" ca="1" si="5"/>
        <v/>
      </c>
      <c r="D43" s="107" t="str">
        <f t="shared" ca="1" si="6"/>
        <v/>
      </c>
      <c r="E43" s="128" t="str">
        <f t="shared" ca="1" si="3"/>
        <v/>
      </c>
      <c r="F43" s="25" t="str">
        <f t="shared" ca="1" si="7"/>
        <v/>
      </c>
      <c r="G43" s="107"/>
      <c r="H43" s="55" t="str">
        <f t="shared" ca="1" si="8"/>
        <v/>
      </c>
      <c r="J43" s="71"/>
      <c r="K43" s="71"/>
      <c r="M43" s="95" t="str">
        <f t="shared" si="0"/>
        <v/>
      </c>
      <c r="N43" s="95" t="str">
        <f t="shared" si="1"/>
        <v/>
      </c>
      <c r="U43" s="37"/>
      <c r="W43" s="37" t="str">
        <f t="shared" si="2"/>
        <v/>
      </c>
    </row>
    <row r="44" spans="1:23" x14ac:dyDescent="0.25">
      <c r="A44" s="98" t="str">
        <f t="shared" ca="1" si="4"/>
        <v/>
      </c>
      <c r="B44" s="33" t="str" cm="1">
        <f t="array" aca="1" ref="B44" ca="1">IF(COUNTIF(J:J,A44)=1,_xll.avmCdsSpreadForDate($Q$4,$Q$5,$Q$7,$Q$6,A44,$Q$1), IF(COUNTIF(J:J,A44)=0,$B$9,""))</f>
        <v/>
      </c>
      <c r="C44" s="77" t="str">
        <f t="shared" ca="1" si="5"/>
        <v/>
      </c>
      <c r="D44" s="107" t="str">
        <f t="shared" ca="1" si="6"/>
        <v/>
      </c>
      <c r="E44" s="128" t="str">
        <f t="shared" ca="1" si="3"/>
        <v/>
      </c>
      <c r="F44" s="25" t="str">
        <f t="shared" ca="1" si="7"/>
        <v/>
      </c>
      <c r="G44" s="107"/>
      <c r="H44" s="55" t="str">
        <f t="shared" ca="1" si="8"/>
        <v/>
      </c>
      <c r="J44" s="71"/>
      <c r="K44" s="71"/>
      <c r="M44" s="95" t="str">
        <f t="shared" si="0"/>
        <v/>
      </c>
      <c r="N44" s="95" t="str">
        <f t="shared" si="1"/>
        <v/>
      </c>
      <c r="U44" s="37"/>
      <c r="W44" s="37" t="str">
        <f t="shared" si="2"/>
        <v/>
      </c>
    </row>
    <row r="45" spans="1:23" x14ac:dyDescent="0.25">
      <c r="A45" s="98" t="str">
        <f t="shared" ca="1" si="4"/>
        <v/>
      </c>
      <c r="B45" s="33" t="str" cm="1">
        <f t="array" aca="1" ref="B45" ca="1">IF(COUNTIF(J:J,A45)=1,_xll.avmCdsSpreadForDate($Q$4,$Q$5,$Q$7,$Q$6,A45,$Q$1), IF(COUNTIF(J:J,A45)=0,$B$9,""))</f>
        <v/>
      </c>
      <c r="C45" s="77" t="str">
        <f t="shared" ca="1" si="5"/>
        <v/>
      </c>
      <c r="D45" s="107" t="str">
        <f t="shared" ca="1" si="6"/>
        <v/>
      </c>
      <c r="E45" s="128" t="str">
        <f t="shared" ca="1" si="3"/>
        <v/>
      </c>
      <c r="F45" s="25" t="str">
        <f t="shared" ca="1" si="7"/>
        <v/>
      </c>
      <c r="G45" s="107"/>
      <c r="H45" s="55" t="str">
        <f t="shared" ca="1" si="8"/>
        <v/>
      </c>
      <c r="J45" s="71"/>
      <c r="K45" s="71"/>
      <c r="M45" s="95" t="str">
        <f t="shared" si="0"/>
        <v/>
      </c>
      <c r="N45" s="95" t="str">
        <f t="shared" si="1"/>
        <v/>
      </c>
      <c r="U45" s="37"/>
      <c r="W45" s="37" t="str">
        <f t="shared" si="2"/>
        <v/>
      </c>
    </row>
    <row r="46" spans="1:23" x14ac:dyDescent="0.25">
      <c r="A46" s="98" t="str">
        <f t="shared" ca="1" si="4"/>
        <v/>
      </c>
      <c r="B46" s="33" t="str" cm="1">
        <f t="array" aca="1" ref="B46" ca="1">IF(COUNTIF(J:J,A46)=1,_xll.avmCdsSpreadForDate($Q$4,$Q$5,$Q$7,$Q$6,A46,$Q$1), IF(COUNTIF(J:J,A46)=0,$B$9,""))</f>
        <v/>
      </c>
      <c r="C46" s="77" t="str">
        <f t="shared" ca="1" si="5"/>
        <v/>
      </c>
      <c r="D46" s="107" t="str">
        <f t="shared" ca="1" si="6"/>
        <v/>
      </c>
      <c r="E46" s="128" t="str">
        <f t="shared" ca="1" si="3"/>
        <v/>
      </c>
      <c r="F46" s="25" t="str">
        <f t="shared" ca="1" si="7"/>
        <v/>
      </c>
      <c r="G46" s="107"/>
      <c r="H46" s="55" t="str">
        <f t="shared" ca="1" si="8"/>
        <v/>
      </c>
      <c r="J46" s="71"/>
      <c r="K46" s="71"/>
      <c r="M46" s="95" t="str">
        <f t="shared" si="0"/>
        <v/>
      </c>
      <c r="N46" s="95" t="str">
        <f t="shared" si="1"/>
        <v/>
      </c>
      <c r="U46" s="37"/>
      <c r="W46" s="37" t="str">
        <f t="shared" si="2"/>
        <v/>
      </c>
    </row>
    <row r="47" spans="1:23" x14ac:dyDescent="0.25">
      <c r="A47" s="98" t="str">
        <f t="shared" ca="1" si="4"/>
        <v/>
      </c>
      <c r="B47" s="33" t="str" cm="1">
        <f t="array" aca="1" ref="B47" ca="1">IF(COUNTIF(J:J,A47)=1,_xll.avmCdsSpreadForDate($Q$4,$Q$5,$Q$7,$Q$6,A47,$Q$1), IF(COUNTIF(J:J,A47)=0,$B$9,""))</f>
        <v/>
      </c>
      <c r="C47" s="77" t="str">
        <f t="shared" ca="1" si="5"/>
        <v/>
      </c>
      <c r="D47" s="107" t="str">
        <f t="shared" ca="1" si="6"/>
        <v/>
      </c>
      <c r="E47" s="128" t="str">
        <f t="shared" ref="E47:E78" ca="1" si="9">IF(COUNTIF(O:O,A47)=1,VLOOKUP(A47-TIME(15,0,0),S:T,2), IF(AND(COUNTIF(O:O,A47-TIME(15,0,0))=0,NOT(ISERROR(B47-2))),$C$10,""))</f>
        <v/>
      </c>
      <c r="F47" s="25" t="str">
        <f t="shared" ca="1" si="7"/>
        <v/>
      </c>
      <c r="G47" s="107"/>
      <c r="H47" s="55" t="str">
        <f t="shared" ca="1" si="8"/>
        <v/>
      </c>
      <c r="J47" s="71"/>
      <c r="K47" s="71"/>
      <c r="M47" s="95" t="str">
        <f t="shared" si="0"/>
        <v/>
      </c>
      <c r="N47" s="95" t="str">
        <f t="shared" si="1"/>
        <v/>
      </c>
      <c r="U47" s="37"/>
      <c r="W47" s="37" t="str">
        <f t="shared" si="2"/>
        <v/>
      </c>
    </row>
    <row r="48" spans="1:23" x14ac:dyDescent="0.25">
      <c r="A48" s="98" t="str">
        <f t="shared" ca="1" si="4"/>
        <v/>
      </c>
      <c r="B48" s="33" t="str" cm="1">
        <f t="array" aca="1" ref="B48" ca="1">IF(COUNTIF(J:J,A48)=1,_xll.avmCdsSpreadForDate($Q$4,$Q$5,$Q$7,$Q$6,A48,$Q$1), IF(COUNTIF(J:J,A48)=0,$B$9,""))</f>
        <v/>
      </c>
      <c r="C48" s="77" t="str">
        <f t="shared" ca="1" si="5"/>
        <v/>
      </c>
      <c r="D48" s="107" t="str">
        <f t="shared" ca="1" si="6"/>
        <v/>
      </c>
      <c r="E48" s="128" t="str">
        <f t="shared" ca="1" si="9"/>
        <v/>
      </c>
      <c r="F48" s="25" t="str">
        <f t="shared" ca="1" si="7"/>
        <v/>
      </c>
      <c r="G48" s="107"/>
      <c r="H48" s="55" t="str">
        <f t="shared" ca="1" si="8"/>
        <v/>
      </c>
      <c r="J48" s="71"/>
      <c r="K48" s="71"/>
      <c r="M48" s="95" t="str">
        <f t="shared" si="0"/>
        <v/>
      </c>
      <c r="N48" s="95" t="str">
        <f t="shared" si="1"/>
        <v/>
      </c>
      <c r="U48" s="37"/>
      <c r="W48" s="37" t="str">
        <f t="shared" si="2"/>
        <v/>
      </c>
    </row>
    <row r="49" spans="1:25" x14ac:dyDescent="0.25">
      <c r="A49" s="98" t="str">
        <f t="shared" ca="1" si="4"/>
        <v/>
      </c>
      <c r="B49" s="33" t="str" cm="1">
        <f t="array" aca="1" ref="B49" ca="1">IF(COUNTIF(J:J,A49)=1,_xll.avmCdsSpreadForDate($Q$4,$Q$5,$Q$7,$Q$6,A49,$Q$1), IF(COUNTIF(J:J,A49)=0,$B$9,""))</f>
        <v/>
      </c>
      <c r="C49" s="77" t="str">
        <f t="shared" ca="1" si="5"/>
        <v/>
      </c>
      <c r="D49" s="107" t="str">
        <f t="shared" ca="1" si="6"/>
        <v/>
      </c>
      <c r="E49" s="128" t="str">
        <f t="shared" ca="1" si="9"/>
        <v/>
      </c>
      <c r="F49" s="25" t="str">
        <f t="shared" ca="1" si="7"/>
        <v/>
      </c>
      <c r="G49" s="107"/>
      <c r="H49" s="55" t="str">
        <f t="shared" ca="1" si="8"/>
        <v/>
      </c>
      <c r="J49" s="71"/>
      <c r="K49" s="71"/>
      <c r="M49" s="95" t="str">
        <f t="shared" si="0"/>
        <v/>
      </c>
      <c r="N49" s="95" t="str">
        <f t="shared" si="1"/>
        <v/>
      </c>
      <c r="U49" s="37"/>
      <c r="W49" s="37" t="str">
        <f t="shared" si="2"/>
        <v/>
      </c>
    </row>
    <row r="50" spans="1:25" x14ac:dyDescent="0.25">
      <c r="A50" s="98" t="str">
        <f t="shared" ca="1" si="4"/>
        <v/>
      </c>
      <c r="B50" s="33" t="str" cm="1">
        <f t="array" aca="1" ref="B50" ca="1">IF(COUNTIF(J:J,A50)=1,_xll.avmCdsSpreadForDate($Q$4,$Q$5,$Q$7,$Q$6,A50,$Q$1), IF(COUNTIF(J:J,A50)=0,$B$9,""))</f>
        <v/>
      </c>
      <c r="C50" s="77" t="str">
        <f t="shared" ca="1" si="5"/>
        <v/>
      </c>
      <c r="D50" s="107" t="str">
        <f t="shared" ca="1" si="6"/>
        <v/>
      </c>
      <c r="E50" s="128" t="str">
        <f t="shared" ca="1" si="9"/>
        <v/>
      </c>
      <c r="F50" s="25" t="str">
        <f t="shared" ca="1" si="7"/>
        <v/>
      </c>
      <c r="G50" s="107"/>
      <c r="H50" s="55" t="str">
        <f t="shared" ca="1" si="8"/>
        <v/>
      </c>
      <c r="J50" s="71"/>
      <c r="K50" s="71"/>
      <c r="M50" s="95" t="str">
        <f t="shared" si="0"/>
        <v/>
      </c>
      <c r="N50" s="95" t="str">
        <f t="shared" si="1"/>
        <v/>
      </c>
      <c r="U50" s="37"/>
      <c r="W50" s="37" t="str">
        <f t="shared" si="2"/>
        <v/>
      </c>
    </row>
    <row r="51" spans="1:25" x14ac:dyDescent="0.25">
      <c r="A51" s="98" t="str">
        <f t="shared" ca="1" si="4"/>
        <v/>
      </c>
      <c r="B51" s="33" t="str" cm="1">
        <f t="array" aca="1" ref="B51" ca="1">IF(COUNTIF(J:J,A51)=1,_xll.avmCdsSpreadForDate($Q$4,$Q$5,$Q$7,$Q$6,A51,$Q$1), IF(COUNTIF(J:J,A51)=0,$B$9,""))</f>
        <v/>
      </c>
      <c r="C51" s="77" t="str">
        <f t="shared" ca="1" si="5"/>
        <v/>
      </c>
      <c r="D51" s="107" t="str">
        <f t="shared" ca="1" si="6"/>
        <v/>
      </c>
      <c r="E51" s="128" t="str">
        <f t="shared" ca="1" si="9"/>
        <v/>
      </c>
      <c r="F51" s="25" t="str">
        <f t="shared" ca="1" si="7"/>
        <v/>
      </c>
      <c r="G51" s="107"/>
      <c r="H51" s="55" t="str">
        <f t="shared" ca="1" si="8"/>
        <v/>
      </c>
      <c r="J51" s="71"/>
      <c r="K51" s="71"/>
      <c r="M51" s="95" t="str">
        <f t="shared" si="0"/>
        <v/>
      </c>
      <c r="N51" s="95" t="str">
        <f t="shared" si="1"/>
        <v/>
      </c>
      <c r="U51" s="37"/>
      <c r="W51" s="37" t="str">
        <f t="shared" si="2"/>
        <v/>
      </c>
    </row>
    <row r="52" spans="1:25" x14ac:dyDescent="0.25">
      <c r="A52" s="98" t="str">
        <f t="shared" ca="1" si="4"/>
        <v/>
      </c>
      <c r="B52" s="33" t="str" cm="1">
        <f t="array" aca="1" ref="B52" ca="1">IF(COUNTIF(J:J,A52)=1,_xll.avmCdsSpreadForDate($Q$4,$Q$5,$Q$7,$Q$6,A52,$Q$1), IF(COUNTIF(J:J,A52)=0,$B$9,""))</f>
        <v/>
      </c>
      <c r="C52" s="77" t="str">
        <f t="shared" ca="1" si="5"/>
        <v/>
      </c>
      <c r="D52" s="107" t="str">
        <f t="shared" ca="1" si="6"/>
        <v/>
      </c>
      <c r="E52" s="128" t="str">
        <f t="shared" ca="1" si="9"/>
        <v/>
      </c>
      <c r="F52" s="25" t="str">
        <f t="shared" ca="1" si="7"/>
        <v/>
      </c>
      <c r="G52" s="107"/>
      <c r="H52" s="55" t="str">
        <f t="shared" ca="1" si="8"/>
        <v/>
      </c>
      <c r="J52" s="71"/>
      <c r="K52" s="71"/>
      <c r="M52" s="95" t="str">
        <f t="shared" si="0"/>
        <v/>
      </c>
      <c r="N52" s="95" t="str">
        <f t="shared" si="1"/>
        <v/>
      </c>
      <c r="U52" s="37"/>
      <c r="W52" s="37" t="str">
        <f t="shared" si="2"/>
        <v/>
      </c>
    </row>
    <row r="53" spans="1:25" x14ac:dyDescent="0.25">
      <c r="A53" s="98" t="str">
        <f t="shared" ca="1" si="4"/>
        <v/>
      </c>
      <c r="B53" s="33" t="str" cm="1">
        <f t="array" aca="1" ref="B53" ca="1">IF(COUNTIF(J:J,A53)=1,_xll.avmCdsSpreadForDate($Q$4,$Q$5,$Q$7,$Q$6,A53,$Q$1), IF(COUNTIF(J:J,A53)=0,$B$9,""))</f>
        <v/>
      </c>
      <c r="C53" s="77" t="str">
        <f t="shared" ca="1" si="5"/>
        <v/>
      </c>
      <c r="D53" s="107" t="str">
        <f t="shared" ca="1" si="6"/>
        <v/>
      </c>
      <c r="E53" s="128" t="str">
        <f t="shared" ca="1" si="9"/>
        <v/>
      </c>
      <c r="F53" s="25" t="str">
        <f t="shared" ca="1" si="7"/>
        <v/>
      </c>
      <c r="G53" s="107"/>
      <c r="H53" s="55" t="str">
        <f t="shared" ca="1" si="8"/>
        <v/>
      </c>
      <c r="J53" s="71"/>
      <c r="K53" s="71"/>
      <c r="M53" s="95" t="str">
        <f t="shared" si="0"/>
        <v/>
      </c>
      <c r="N53" s="95" t="str">
        <f t="shared" si="1"/>
        <v/>
      </c>
      <c r="U53" s="37"/>
      <c r="W53" s="37" t="str">
        <f t="shared" si="2"/>
        <v/>
      </c>
    </row>
    <row r="54" spans="1:25" x14ac:dyDescent="0.25">
      <c r="A54" s="98" t="str">
        <f t="shared" ca="1" si="4"/>
        <v/>
      </c>
      <c r="B54" s="33" t="str" cm="1">
        <f t="array" aca="1" ref="B54" ca="1">IF(COUNTIF(J:J,A54)=1,_xll.avmCdsSpreadForDate($Q$4,$Q$5,$Q$7,$Q$6,A54,$Q$1), IF(COUNTIF(J:J,A54)=0,$B$9,""))</f>
        <v/>
      </c>
      <c r="C54" s="77" t="str">
        <f t="shared" ca="1" si="5"/>
        <v/>
      </c>
      <c r="D54" s="107" t="str">
        <f t="shared" ca="1" si="6"/>
        <v/>
      </c>
      <c r="E54" s="128" t="str">
        <f t="shared" ca="1" si="9"/>
        <v/>
      </c>
      <c r="F54" s="25" t="str">
        <f t="shared" ca="1" si="7"/>
        <v/>
      </c>
      <c r="G54" s="107"/>
      <c r="H54" s="55" t="str">
        <f t="shared" ca="1" si="8"/>
        <v/>
      </c>
      <c r="J54" s="71"/>
      <c r="K54" s="71"/>
      <c r="M54" s="95" t="str">
        <f t="shared" si="0"/>
        <v/>
      </c>
      <c r="N54" s="95" t="str">
        <f t="shared" si="1"/>
        <v/>
      </c>
      <c r="U54" s="37"/>
      <c r="W54" s="37" t="str">
        <f t="shared" si="2"/>
        <v/>
      </c>
    </row>
    <row r="55" spans="1:25" x14ac:dyDescent="0.25">
      <c r="A55" s="98" t="str">
        <f t="shared" ca="1" si="4"/>
        <v/>
      </c>
      <c r="B55" s="33" t="str" cm="1">
        <f t="array" aca="1" ref="B55" ca="1">IF(COUNTIF(J:J,A55)=1,_xll.avmCdsSpreadForDate($Q$4,$Q$5,$Q$7,$Q$6,A55,$Q$1), IF(COUNTIF(J:J,A55)=0,$B$9,""))</f>
        <v/>
      </c>
      <c r="C55" s="77" t="str">
        <f t="shared" ca="1" si="5"/>
        <v/>
      </c>
      <c r="D55" s="107" t="str">
        <f t="shared" ca="1" si="6"/>
        <v/>
      </c>
      <c r="E55" s="128" t="str">
        <f t="shared" ca="1" si="9"/>
        <v/>
      </c>
      <c r="F55" s="25" t="str">
        <f t="shared" ca="1" si="7"/>
        <v/>
      </c>
      <c r="G55" s="107"/>
      <c r="H55" s="55" t="str">
        <f t="shared" ca="1" si="8"/>
        <v/>
      </c>
      <c r="J55" s="71"/>
      <c r="K55" s="71"/>
      <c r="M55" s="95" t="str">
        <f t="shared" si="0"/>
        <v/>
      </c>
      <c r="N55" s="95" t="str">
        <f t="shared" si="1"/>
        <v/>
      </c>
      <c r="U55" s="37"/>
      <c r="W55" s="37" t="str">
        <f t="shared" si="2"/>
        <v/>
      </c>
    </row>
    <row r="56" spans="1:25" x14ac:dyDescent="0.25">
      <c r="A56" s="98" t="str">
        <f t="shared" ca="1" si="4"/>
        <v/>
      </c>
      <c r="B56" s="33" t="str" cm="1">
        <f t="array" aca="1" ref="B56" ca="1">IF(COUNTIF(J:J,A56)=1,_xll.avmCdsSpreadForDate($Q$4,$Q$5,$Q$7,$Q$6,A56,$Q$1), IF(COUNTIF(J:J,A56)=0,$B$9,""))</f>
        <v/>
      </c>
      <c r="C56" s="77" t="str">
        <f t="shared" ca="1" si="5"/>
        <v/>
      </c>
      <c r="D56" s="107" t="str">
        <f t="shared" ca="1" si="6"/>
        <v/>
      </c>
      <c r="E56" s="128" t="str">
        <f t="shared" ca="1" si="9"/>
        <v/>
      </c>
      <c r="F56" s="25" t="str">
        <f t="shared" ca="1" si="7"/>
        <v/>
      </c>
      <c r="G56" s="107"/>
      <c r="H56" s="55" t="str">
        <f t="shared" ca="1" si="8"/>
        <v/>
      </c>
      <c r="J56" s="71"/>
      <c r="K56" s="71"/>
      <c r="M56" s="95" t="str">
        <f t="shared" si="0"/>
        <v/>
      </c>
      <c r="N56" s="95" t="str">
        <f t="shared" si="1"/>
        <v/>
      </c>
      <c r="U56" s="37"/>
      <c r="W56" s="37" t="str">
        <f t="shared" si="2"/>
        <v/>
      </c>
    </row>
    <row r="57" spans="1:25" x14ac:dyDescent="0.25">
      <c r="A57" s="98" t="str">
        <f t="shared" ca="1" si="4"/>
        <v/>
      </c>
      <c r="B57" s="33" t="str" cm="1">
        <f t="array" aca="1" ref="B57" ca="1">IF(COUNTIF(J:J,A57)=1,_xll.avmCdsSpreadForDate($Q$4,$Q$5,$Q$7,$Q$6,A57,$Q$1), IF(COUNTIF(J:J,A57)=0,$B$9,""))</f>
        <v/>
      </c>
      <c r="C57" s="77" t="str">
        <f t="shared" ca="1" si="5"/>
        <v/>
      </c>
      <c r="D57" s="107" t="str">
        <f t="shared" ca="1" si="6"/>
        <v/>
      </c>
      <c r="E57" s="128" t="str">
        <f t="shared" ca="1" si="9"/>
        <v/>
      </c>
      <c r="F57" s="25" t="str">
        <f t="shared" ca="1" si="7"/>
        <v/>
      </c>
      <c r="G57" s="107"/>
      <c r="H57" s="55" t="str">
        <f t="shared" ca="1" si="8"/>
        <v/>
      </c>
      <c r="J57" s="71"/>
      <c r="K57" s="71"/>
      <c r="M57" s="95" t="str">
        <f t="shared" si="0"/>
        <v/>
      </c>
      <c r="N57" s="95" t="str">
        <f t="shared" si="1"/>
        <v/>
      </c>
      <c r="U57" s="37"/>
      <c r="W57" s="37" t="str">
        <f t="shared" si="2"/>
        <v/>
      </c>
    </row>
    <row r="58" spans="1:25" x14ac:dyDescent="0.25">
      <c r="A58" s="98" t="str">
        <f t="shared" ca="1" si="4"/>
        <v/>
      </c>
      <c r="B58" s="33" t="str" cm="1">
        <f t="array" aca="1" ref="B58" ca="1">IF(COUNTIF(J:J,A58)=1,_xll.avmCdsSpreadForDate($Q$4,$Q$5,$Q$7,$Q$6,A58,$Q$1), IF(COUNTIF(J:J,A58)=0,$B$9,""))</f>
        <v/>
      </c>
      <c r="C58" s="77" t="str">
        <f t="shared" ca="1" si="5"/>
        <v/>
      </c>
      <c r="D58" s="107" t="str">
        <f t="shared" ca="1" si="6"/>
        <v/>
      </c>
      <c r="E58" s="128" t="str">
        <f t="shared" ca="1" si="9"/>
        <v/>
      </c>
      <c r="F58" s="25" t="str">
        <f t="shared" ca="1" si="7"/>
        <v/>
      </c>
      <c r="G58" s="107"/>
      <c r="H58" s="55" t="str">
        <f t="shared" ca="1" si="8"/>
        <v/>
      </c>
      <c r="J58" s="71"/>
      <c r="K58" s="71"/>
      <c r="M58" s="95" t="str">
        <f t="shared" si="0"/>
        <v/>
      </c>
      <c r="N58" s="95" t="str">
        <f t="shared" si="1"/>
        <v/>
      </c>
      <c r="U58" s="37"/>
      <c r="W58" s="37" t="str">
        <f t="shared" si="2"/>
        <v/>
      </c>
    </row>
    <row r="59" spans="1:25" x14ac:dyDescent="0.25">
      <c r="A59" s="98" t="str">
        <f t="shared" ca="1" si="4"/>
        <v/>
      </c>
      <c r="B59" s="33" t="str" cm="1">
        <f t="array" aca="1" ref="B59" ca="1">IF(COUNTIF(J:J,A59)=1,_xll.avmCdsSpreadForDate($Q$4,$Q$5,$Q$7,$Q$6,A59,$Q$1), IF(COUNTIF(J:J,A59)=0,$B$9,""))</f>
        <v/>
      </c>
      <c r="C59" s="77" t="str">
        <f t="shared" ca="1" si="5"/>
        <v/>
      </c>
      <c r="D59" s="107" t="str">
        <f t="shared" ca="1" si="6"/>
        <v/>
      </c>
      <c r="E59" s="128" t="str">
        <f t="shared" ca="1" si="9"/>
        <v/>
      </c>
      <c r="F59" s="25" t="str">
        <f t="shared" ca="1" si="7"/>
        <v/>
      </c>
      <c r="G59" s="107"/>
      <c r="H59" s="55" t="str">
        <f t="shared" ca="1" si="8"/>
        <v/>
      </c>
      <c r="J59" s="71"/>
      <c r="K59" s="71"/>
      <c r="M59" s="95" t="str">
        <f t="shared" si="0"/>
        <v/>
      </c>
      <c r="N59" s="95" t="str">
        <f t="shared" si="1"/>
        <v/>
      </c>
      <c r="U59" s="37"/>
      <c r="W59" s="37" t="str">
        <f t="shared" si="2"/>
        <v/>
      </c>
    </row>
    <row r="60" spans="1:25" x14ac:dyDescent="0.25">
      <c r="A60" s="98" t="str">
        <f t="shared" ca="1" si="4"/>
        <v/>
      </c>
      <c r="B60" s="33" t="str" cm="1">
        <f t="array" aca="1" ref="B60" ca="1">IF(COUNTIF(J:J,A60)=1,_xll.avmCdsSpreadForDate($Q$4,$Q$5,$Q$7,$Q$6,A60,$Q$1), IF(COUNTIF(J:J,A60)=0,$B$9,""))</f>
        <v/>
      </c>
      <c r="C60" s="77" t="str">
        <f t="shared" ca="1" si="5"/>
        <v/>
      </c>
      <c r="D60" s="107" t="str">
        <f t="shared" ca="1" si="6"/>
        <v/>
      </c>
      <c r="E60" s="128" t="str">
        <f t="shared" ca="1" si="9"/>
        <v/>
      </c>
      <c r="F60" s="25" t="str">
        <f t="shared" ca="1" si="7"/>
        <v/>
      </c>
      <c r="G60" s="107"/>
      <c r="H60" s="55" t="str">
        <f t="shared" ca="1" si="8"/>
        <v/>
      </c>
      <c r="J60" s="71"/>
      <c r="K60" s="71"/>
      <c r="M60" s="95" t="str">
        <f t="shared" si="0"/>
        <v/>
      </c>
      <c r="N60" s="95" t="str">
        <f t="shared" si="1"/>
        <v/>
      </c>
      <c r="U60" s="37"/>
      <c r="W60" s="37" t="str">
        <f t="shared" si="2"/>
        <v/>
      </c>
    </row>
    <row r="61" spans="1:25" x14ac:dyDescent="0.25">
      <c r="A61" s="98" t="str">
        <f t="shared" ca="1" si="4"/>
        <v/>
      </c>
      <c r="B61" s="33" t="str" cm="1">
        <f t="array" aca="1" ref="B61" ca="1">IF(COUNTIF(J:J,A61)=1,_xll.avmCdsSpreadForDate($Q$4,$Q$5,$Q$7,$Q$6,A61,$Q$1), IF(COUNTIF(J:J,A61)=0,$B$9,""))</f>
        <v/>
      </c>
      <c r="C61" s="77" t="str">
        <f t="shared" ca="1" si="5"/>
        <v/>
      </c>
      <c r="D61" s="107" t="str">
        <f t="shared" ca="1" si="6"/>
        <v/>
      </c>
      <c r="E61" s="128" t="str">
        <f t="shared" ca="1" si="9"/>
        <v/>
      </c>
      <c r="F61" s="25" t="str">
        <f t="shared" ca="1" si="7"/>
        <v/>
      </c>
      <c r="G61" s="107"/>
      <c r="H61" s="55" t="str">
        <f t="shared" ca="1" si="8"/>
        <v/>
      </c>
      <c r="J61" s="71"/>
      <c r="K61" s="71"/>
      <c r="M61" s="95" t="str">
        <f t="shared" si="0"/>
        <v/>
      </c>
      <c r="N61" s="95" t="str">
        <f t="shared" si="1"/>
        <v/>
      </c>
      <c r="U61" s="37"/>
      <c r="W61" s="37" t="str">
        <f t="shared" si="2"/>
        <v/>
      </c>
    </row>
    <row r="62" spans="1:25" x14ac:dyDescent="0.25">
      <c r="A62" s="98" t="str">
        <f t="shared" ca="1" si="4"/>
        <v/>
      </c>
      <c r="B62" s="33" t="str" cm="1">
        <f t="array" aca="1" ref="B62" ca="1">IF(COUNTIF(J:J,A62)=1,_xll.avmCdsSpreadForDate($Q$4,$Q$5,$Q$7,$Q$6,A62,$Q$1), IF(COUNTIF(J:J,A62)=0,$B$9,""))</f>
        <v/>
      </c>
      <c r="C62" s="77" t="str">
        <f t="shared" ca="1" si="5"/>
        <v/>
      </c>
      <c r="D62" s="107" t="str">
        <f t="shared" ca="1" si="6"/>
        <v/>
      </c>
      <c r="E62" s="128" t="str">
        <f t="shared" ca="1" si="9"/>
        <v/>
      </c>
      <c r="F62" s="25" t="str">
        <f t="shared" ca="1" si="7"/>
        <v/>
      </c>
      <c r="G62" s="107"/>
      <c r="H62" s="55" t="str">
        <f t="shared" ca="1" si="8"/>
        <v/>
      </c>
      <c r="J62" s="71"/>
      <c r="K62" s="71"/>
      <c r="M62" s="95" t="str">
        <f t="shared" si="0"/>
        <v/>
      </c>
      <c r="N62" s="95" t="str">
        <f t="shared" si="1"/>
        <v/>
      </c>
      <c r="U62" s="37"/>
      <c r="W62" s="37" t="str">
        <f t="shared" si="2"/>
        <v/>
      </c>
    </row>
    <row r="63" spans="1:25" x14ac:dyDescent="0.25">
      <c r="A63" s="98" t="str">
        <f t="shared" ca="1" si="4"/>
        <v/>
      </c>
      <c r="B63" s="33" t="str" cm="1">
        <f t="array" aca="1" ref="B63" ca="1">IF(COUNTIF(J:J,A63)=1,_xll.avmCdsSpreadForDate($Q$4,$Q$5,$Q$7,$Q$6,A63,$Q$1), IF(COUNTIF(J:J,A63)=0,$B$9,""))</f>
        <v/>
      </c>
      <c r="C63" s="77" t="str">
        <f t="shared" ca="1" si="5"/>
        <v/>
      </c>
      <c r="D63" s="107" t="str">
        <f t="shared" ca="1" si="6"/>
        <v/>
      </c>
      <c r="E63" s="128" t="str">
        <f t="shared" ca="1" si="9"/>
        <v/>
      </c>
      <c r="F63" s="25" t="str">
        <f t="shared" ca="1" si="7"/>
        <v/>
      </c>
      <c r="G63" s="107"/>
      <c r="H63" s="55" t="str">
        <f t="shared" ca="1" si="8"/>
        <v/>
      </c>
      <c r="J63" s="71"/>
      <c r="K63" s="71"/>
      <c r="M63" s="95" t="str">
        <f t="shared" si="0"/>
        <v/>
      </c>
      <c r="N63" s="95" t="str">
        <f t="shared" si="1"/>
        <v/>
      </c>
      <c r="U63" s="37"/>
      <c r="W63" s="37" t="str">
        <f t="shared" si="2"/>
        <v/>
      </c>
    </row>
    <row r="64" spans="1:25" x14ac:dyDescent="0.25">
      <c r="A64" s="98" t="str">
        <f t="shared" ca="1" si="4"/>
        <v/>
      </c>
      <c r="B64" s="33" t="str" cm="1">
        <f t="array" aca="1" ref="B64" ca="1">IF(COUNTIF(J:J,A64)=1,_xll.avmCdsSpreadForDate($Q$4,$Q$5,$Q$7,$Q$6,A64,$Q$1), IF(COUNTIF(J:J,A64)=0,$B$9,""))</f>
        <v/>
      </c>
      <c r="C64" s="77" t="str">
        <f t="shared" ca="1" si="5"/>
        <v/>
      </c>
      <c r="D64" s="107" t="str">
        <f t="shared" ca="1" si="6"/>
        <v/>
      </c>
      <c r="E64" s="128" t="str">
        <f t="shared" ca="1" si="9"/>
        <v/>
      </c>
      <c r="F64" s="25" t="str">
        <f t="shared" ca="1" si="7"/>
        <v/>
      </c>
      <c r="G64" s="107"/>
      <c r="H64" s="55" t="str">
        <f t="shared" ca="1" si="8"/>
        <v/>
      </c>
      <c r="J64" s="71"/>
      <c r="K64" s="71"/>
      <c r="M64" s="95" t="str">
        <f t="shared" si="0"/>
        <v/>
      </c>
      <c r="N64" s="95" t="str">
        <f t="shared" si="1"/>
        <v/>
      </c>
      <c r="T64" s="67"/>
      <c r="U64" s="126"/>
      <c r="V64" s="67"/>
      <c r="W64" s="37" t="str">
        <f t="shared" si="2"/>
        <v/>
      </c>
      <c r="X64" s="67"/>
      <c r="Y64" s="67"/>
    </row>
    <row r="65" spans="1:25" x14ac:dyDescent="0.25">
      <c r="A65" s="98" t="str">
        <f t="shared" ca="1" si="4"/>
        <v/>
      </c>
      <c r="B65" s="33" t="str" cm="1">
        <f t="array" aca="1" ref="B65" ca="1">IF(COUNTIF(J:J,A65)=1,_xll.avmCdsSpreadForDate($Q$4,$Q$5,$Q$7,$Q$6,A65,$Q$1), IF(COUNTIF(J:J,A65)=0,$B$9,""))</f>
        <v/>
      </c>
      <c r="C65" s="77" t="str">
        <f t="shared" ca="1" si="5"/>
        <v/>
      </c>
      <c r="D65" s="107" t="str">
        <f t="shared" ca="1" si="6"/>
        <v/>
      </c>
      <c r="E65" s="128" t="str">
        <f t="shared" ca="1" si="9"/>
        <v/>
      </c>
      <c r="F65" s="25" t="str">
        <f t="shared" ca="1" si="7"/>
        <v/>
      </c>
      <c r="G65" s="107"/>
      <c r="H65" s="55" t="str">
        <f t="shared" ca="1" si="8"/>
        <v/>
      </c>
      <c r="J65" s="71"/>
      <c r="K65" s="71"/>
      <c r="M65" s="95" t="str">
        <f t="shared" si="0"/>
        <v/>
      </c>
      <c r="N65" s="95" t="str">
        <f t="shared" si="1"/>
        <v/>
      </c>
      <c r="T65" s="67"/>
      <c r="U65" s="68"/>
      <c r="V65" s="69"/>
      <c r="W65" s="37" t="str">
        <f t="shared" si="2"/>
        <v/>
      </c>
      <c r="X65" s="69"/>
      <c r="Y65" s="69"/>
    </row>
    <row r="66" spans="1:25" x14ac:dyDescent="0.25">
      <c r="A66" s="98" t="str">
        <f t="shared" ca="1" si="4"/>
        <v/>
      </c>
      <c r="B66" s="33" t="str" cm="1">
        <f t="array" aca="1" ref="B66" ca="1">IF(COUNTIF(J:J,A66)=1,_xll.avmCdsSpreadForDate($Q$4,$Q$5,$Q$7,$Q$6,A66,$Q$1), IF(COUNTIF(J:J,A66)=0,$B$9,""))</f>
        <v/>
      </c>
      <c r="C66" s="77" t="str">
        <f t="shared" ca="1" si="5"/>
        <v/>
      </c>
      <c r="D66" s="107" t="str">
        <f t="shared" ca="1" si="6"/>
        <v/>
      </c>
      <c r="E66" s="128" t="str">
        <f t="shared" ca="1" si="9"/>
        <v/>
      </c>
      <c r="F66" s="25" t="str">
        <f t="shared" ca="1" si="7"/>
        <v/>
      </c>
      <c r="G66" s="107"/>
      <c r="H66" s="55" t="str">
        <f t="shared" ca="1" si="8"/>
        <v/>
      </c>
      <c r="J66" s="71"/>
      <c r="K66" s="71"/>
      <c r="M66" s="95" t="str">
        <f t="shared" si="0"/>
        <v/>
      </c>
      <c r="N66" s="95" t="str">
        <f t="shared" si="1"/>
        <v/>
      </c>
      <c r="T66" s="67"/>
      <c r="U66" s="68"/>
      <c r="V66" s="69"/>
      <c r="W66" s="37" t="str">
        <f t="shared" si="2"/>
        <v/>
      </c>
      <c r="X66" s="69"/>
      <c r="Y66" s="69"/>
    </row>
    <row r="67" spans="1:25" x14ac:dyDescent="0.25">
      <c r="A67" s="98" t="str">
        <f t="shared" ca="1" si="4"/>
        <v/>
      </c>
      <c r="B67" s="33" t="str" cm="1">
        <f t="array" aca="1" ref="B67" ca="1">IF(COUNTIF(J:J,A67)=1,_xll.avmCdsSpreadForDate($Q$4,$Q$5,$Q$7,$Q$6,A67,$Q$1), IF(COUNTIF(J:J,A67)=0,$B$9,""))</f>
        <v/>
      </c>
      <c r="C67" s="77" t="str">
        <f t="shared" ca="1" si="5"/>
        <v/>
      </c>
      <c r="D67" s="107" t="str">
        <f t="shared" ca="1" si="6"/>
        <v/>
      </c>
      <c r="E67" s="128" t="str">
        <f t="shared" ca="1" si="9"/>
        <v/>
      </c>
      <c r="F67" s="25" t="str">
        <f t="shared" ca="1" si="7"/>
        <v/>
      </c>
      <c r="G67" s="107"/>
      <c r="H67" s="55" t="str">
        <f t="shared" ca="1" si="8"/>
        <v/>
      </c>
      <c r="J67" s="71"/>
      <c r="K67" s="71"/>
      <c r="M67" s="95" t="str">
        <f t="shared" ref="M67:M130" si="10">IF(COUNTIF(K:K,J67),J67,"")</f>
        <v/>
      </c>
      <c r="N67" s="95" t="str">
        <f t="shared" si="1"/>
        <v/>
      </c>
      <c r="T67" s="67"/>
      <c r="U67" s="68"/>
      <c r="V67" s="69"/>
      <c r="W67" s="37" t="str">
        <f t="shared" si="2"/>
        <v/>
      </c>
      <c r="X67" s="69"/>
      <c r="Y67" s="69"/>
    </row>
    <row r="68" spans="1:25" x14ac:dyDescent="0.25">
      <c r="A68" s="98" t="str">
        <f t="shared" ca="1" si="4"/>
        <v/>
      </c>
      <c r="B68" s="33" t="str" cm="1">
        <f t="array" aca="1" ref="B68" ca="1">IF(COUNTIF(J:J,A68)=1,_xll.avmCdsSpreadForDate($Q$4,$Q$5,$Q$7,$Q$6,A68,$Q$1), IF(COUNTIF(J:J,A68)=0,$B$9,""))</f>
        <v/>
      </c>
      <c r="C68" s="77" t="str">
        <f t="shared" ca="1" si="5"/>
        <v/>
      </c>
      <c r="D68" s="107" t="str">
        <f t="shared" ca="1" si="6"/>
        <v/>
      </c>
      <c r="E68" s="128" t="str">
        <f t="shared" ca="1" si="9"/>
        <v/>
      </c>
      <c r="F68" s="25" t="str">
        <f t="shared" ca="1" si="7"/>
        <v/>
      </c>
      <c r="G68" s="107"/>
      <c r="H68" s="55" t="str">
        <f t="shared" ca="1" si="8"/>
        <v/>
      </c>
      <c r="J68" s="71"/>
      <c r="K68" s="71"/>
      <c r="M68" s="95" t="str">
        <f t="shared" si="10"/>
        <v/>
      </c>
      <c r="N68" s="95" t="str">
        <f t="shared" ref="N68:N131" si="11">IF(M68&gt;$A$14,M68,"")</f>
        <v/>
      </c>
      <c r="T68" s="67"/>
      <c r="U68" s="68"/>
      <c r="V68" s="69"/>
      <c r="W68" s="37" t="str">
        <f t="shared" ref="W68:W131" si="12">IF(COUNTIF(U:U,S68),S68,"")</f>
        <v/>
      </c>
      <c r="X68" s="69"/>
      <c r="Y68" s="69"/>
    </row>
    <row r="69" spans="1:25" x14ac:dyDescent="0.25">
      <c r="A69" s="98" t="str">
        <f t="shared" ca="1" si="4"/>
        <v/>
      </c>
      <c r="B69" s="33" t="str" cm="1">
        <f t="array" aca="1" ref="B69" ca="1">IF(COUNTIF(J:J,A69)=1,_xll.avmCdsSpreadForDate($Q$4,$Q$5,$Q$7,$Q$6,A69,$Q$1), IF(COUNTIF(J:J,A69)=0,$B$9,""))</f>
        <v/>
      </c>
      <c r="C69" s="77" t="str">
        <f t="shared" ca="1" si="5"/>
        <v/>
      </c>
      <c r="D69" s="107" t="str">
        <f t="shared" ca="1" si="6"/>
        <v/>
      </c>
      <c r="E69" s="128" t="str">
        <f t="shared" ca="1" si="9"/>
        <v/>
      </c>
      <c r="F69" s="25" t="str">
        <f t="shared" ca="1" si="7"/>
        <v/>
      </c>
      <c r="G69" s="107"/>
      <c r="H69" s="55" t="str">
        <f t="shared" ca="1" si="8"/>
        <v/>
      </c>
      <c r="J69" s="71"/>
      <c r="K69" s="71"/>
      <c r="M69" s="95" t="str">
        <f t="shared" si="10"/>
        <v/>
      </c>
      <c r="N69" s="95" t="str">
        <f t="shared" si="11"/>
        <v/>
      </c>
      <c r="T69" s="67"/>
      <c r="U69" s="68"/>
      <c r="V69" s="69"/>
      <c r="W69" s="37" t="str">
        <f t="shared" si="12"/>
        <v/>
      </c>
      <c r="X69" s="69"/>
      <c r="Y69" s="69"/>
    </row>
    <row r="70" spans="1:25" x14ac:dyDescent="0.25">
      <c r="A70" s="98" t="str">
        <f t="shared" ca="1" si="4"/>
        <v/>
      </c>
      <c r="B70" s="33" t="str" cm="1">
        <f t="array" aca="1" ref="B70" ca="1">IF(COUNTIF(J:J,A70)=1,_xll.avmCdsSpreadForDate($Q$4,$Q$5,$Q$7,$Q$6,A70,$Q$1), IF(COUNTIF(J:J,A70)=0,$B$9,""))</f>
        <v/>
      </c>
      <c r="C70" s="77" t="str">
        <f t="shared" ca="1" si="5"/>
        <v/>
      </c>
      <c r="D70" s="107" t="str">
        <f t="shared" ca="1" si="6"/>
        <v/>
      </c>
      <c r="E70" s="128" t="str">
        <f t="shared" ca="1" si="9"/>
        <v/>
      </c>
      <c r="F70" s="25" t="str">
        <f t="shared" ca="1" si="7"/>
        <v/>
      </c>
      <c r="G70" s="107"/>
      <c r="H70" s="55" t="str">
        <f t="shared" ca="1" si="8"/>
        <v/>
      </c>
      <c r="J70" s="71"/>
      <c r="K70" s="71"/>
      <c r="M70" s="95" t="str">
        <f t="shared" si="10"/>
        <v/>
      </c>
      <c r="N70" s="95" t="str">
        <f t="shared" si="11"/>
        <v/>
      </c>
      <c r="U70" s="37"/>
      <c r="W70" s="37" t="str">
        <f t="shared" si="12"/>
        <v/>
      </c>
    </row>
    <row r="71" spans="1:25" x14ac:dyDescent="0.25">
      <c r="A71" s="98" t="str">
        <f t="shared" ca="1" si="4"/>
        <v/>
      </c>
      <c r="B71" s="33" t="str" cm="1">
        <f t="array" aca="1" ref="B71" ca="1">IF(COUNTIF(J:J,A71)=1,_xll.avmCdsSpreadForDate($Q$4,$Q$5,$Q$7,$Q$6,A71,$Q$1), IF(COUNTIF(J:J,A71)=0,$B$9,""))</f>
        <v/>
      </c>
      <c r="C71" s="77" t="str">
        <f t="shared" ca="1" si="5"/>
        <v/>
      </c>
      <c r="D71" s="107" t="str">
        <f t="shared" ca="1" si="6"/>
        <v/>
      </c>
      <c r="E71" s="128" t="str">
        <f t="shared" ca="1" si="9"/>
        <v/>
      </c>
      <c r="F71" s="25" t="str">
        <f t="shared" ca="1" si="7"/>
        <v/>
      </c>
      <c r="G71" s="107"/>
      <c r="H71" s="55" t="str">
        <f t="shared" ca="1" si="8"/>
        <v/>
      </c>
      <c r="J71" s="71"/>
      <c r="K71" s="71"/>
      <c r="M71" s="95" t="str">
        <f t="shared" si="10"/>
        <v/>
      </c>
      <c r="N71" s="95" t="str">
        <f t="shared" si="11"/>
        <v/>
      </c>
      <c r="U71" s="37"/>
      <c r="W71" s="37" t="str">
        <f t="shared" si="12"/>
        <v/>
      </c>
    </row>
    <row r="72" spans="1:25" x14ac:dyDescent="0.25">
      <c r="A72" s="98" t="str">
        <f t="shared" ca="1" si="4"/>
        <v/>
      </c>
      <c r="B72" s="33" t="str" cm="1">
        <f t="array" aca="1" ref="B72" ca="1">IF(COUNTIF(J:J,A72)=1,_xll.avmCdsSpreadForDate($Q$4,$Q$5,$Q$7,$Q$6,A72,$Q$1), IF(COUNTIF(J:J,A72)=0,$B$9,""))</f>
        <v/>
      </c>
      <c r="C72" s="77" t="str">
        <f t="shared" ca="1" si="5"/>
        <v/>
      </c>
      <c r="D72" s="107" t="str">
        <f t="shared" ca="1" si="6"/>
        <v/>
      </c>
      <c r="E72" s="128" t="str">
        <f t="shared" ca="1" si="9"/>
        <v/>
      </c>
      <c r="F72" s="25" t="str">
        <f t="shared" ca="1" si="7"/>
        <v/>
      </c>
      <c r="G72" s="107"/>
      <c r="H72" s="55" t="str">
        <f t="shared" ca="1" si="8"/>
        <v/>
      </c>
      <c r="J72" s="71"/>
      <c r="K72" s="71"/>
      <c r="M72" s="95" t="str">
        <f t="shared" si="10"/>
        <v/>
      </c>
      <c r="N72" s="95" t="str">
        <f t="shared" si="11"/>
        <v/>
      </c>
      <c r="U72" s="37"/>
      <c r="W72" s="37" t="str">
        <f t="shared" si="12"/>
        <v/>
      </c>
    </row>
    <row r="73" spans="1:25" x14ac:dyDescent="0.25">
      <c r="A73" s="98" t="str">
        <f t="shared" ca="1" si="4"/>
        <v/>
      </c>
      <c r="B73" s="33" t="str" cm="1">
        <f t="array" aca="1" ref="B73" ca="1">IF(COUNTIF(J:J,A73)=1,_xll.avmCdsSpreadForDate($Q$4,$Q$5,$Q$7,$Q$6,A73,$Q$1), IF(COUNTIF(J:J,A73)=0,$B$9,""))</f>
        <v/>
      </c>
      <c r="C73" s="77" t="str">
        <f t="shared" ca="1" si="5"/>
        <v/>
      </c>
      <c r="D73" s="107" t="str">
        <f t="shared" ca="1" si="6"/>
        <v/>
      </c>
      <c r="E73" s="128" t="str">
        <f t="shared" ca="1" si="9"/>
        <v/>
      </c>
      <c r="F73" s="25" t="str">
        <f t="shared" ca="1" si="7"/>
        <v/>
      </c>
      <c r="G73" s="107"/>
      <c r="H73" s="55" t="str">
        <f t="shared" ca="1" si="8"/>
        <v/>
      </c>
      <c r="J73" s="71"/>
      <c r="K73" s="71"/>
      <c r="M73" s="95" t="str">
        <f t="shared" si="10"/>
        <v/>
      </c>
      <c r="N73" s="95" t="str">
        <f t="shared" si="11"/>
        <v/>
      </c>
      <c r="U73" s="37"/>
      <c r="W73" s="37" t="str">
        <f t="shared" si="12"/>
        <v/>
      </c>
    </row>
    <row r="74" spans="1:25" x14ac:dyDescent="0.25">
      <c r="A74" s="98" t="str">
        <f t="shared" ca="1" si="4"/>
        <v/>
      </c>
      <c r="B74" s="33" t="str" cm="1">
        <f t="array" aca="1" ref="B74" ca="1">IF(COUNTIF(J:J,A74)=1,_xll.avmCdsSpreadForDate($Q$4,$Q$5,$Q$7,$Q$6,A74,$Q$1), IF(COUNTIF(J:J,A74)=0,$B$9,""))</f>
        <v/>
      </c>
      <c r="C74" s="77" t="str">
        <f t="shared" ca="1" si="5"/>
        <v/>
      </c>
      <c r="D74" s="107" t="str">
        <f t="shared" ca="1" si="6"/>
        <v/>
      </c>
      <c r="E74" s="128" t="str">
        <f t="shared" ca="1" si="9"/>
        <v/>
      </c>
      <c r="F74" s="25" t="str">
        <f t="shared" ca="1" si="7"/>
        <v/>
      </c>
      <c r="G74" s="107"/>
      <c r="H74" s="55" t="str">
        <f t="shared" ca="1" si="8"/>
        <v/>
      </c>
      <c r="J74" s="71"/>
      <c r="K74" s="71"/>
      <c r="M74" s="95" t="str">
        <f t="shared" si="10"/>
        <v/>
      </c>
      <c r="N74" s="95" t="str">
        <f t="shared" si="11"/>
        <v/>
      </c>
      <c r="U74" s="37"/>
      <c r="W74" s="37" t="str">
        <f t="shared" si="12"/>
        <v/>
      </c>
    </row>
    <row r="75" spans="1:25" x14ac:dyDescent="0.25">
      <c r="A75" s="98" t="str">
        <f t="shared" ca="1" si="4"/>
        <v/>
      </c>
      <c r="B75" s="33" t="str" cm="1">
        <f t="array" aca="1" ref="B75" ca="1">IF(COUNTIF(J:J,A75)=1,_xll.avmCdsSpreadForDate($Q$4,$Q$5,$Q$7,$Q$6,A75,$Q$1), IF(COUNTIF(J:J,A75)=0,$B$9,""))</f>
        <v/>
      </c>
      <c r="C75" s="77" t="str">
        <f t="shared" ca="1" si="5"/>
        <v/>
      </c>
      <c r="D75" s="107" t="str">
        <f t="shared" ca="1" si="6"/>
        <v/>
      </c>
      <c r="E75" s="128" t="str">
        <f t="shared" ca="1" si="9"/>
        <v/>
      </c>
      <c r="F75" s="25" t="str">
        <f t="shared" ca="1" si="7"/>
        <v/>
      </c>
      <c r="G75" s="107"/>
      <c r="H75" s="55" t="str">
        <f t="shared" ca="1" si="8"/>
        <v/>
      </c>
      <c r="J75" s="71"/>
      <c r="K75" s="71"/>
      <c r="M75" s="95" t="str">
        <f t="shared" si="10"/>
        <v/>
      </c>
      <c r="N75" s="95" t="str">
        <f t="shared" si="11"/>
        <v/>
      </c>
      <c r="U75" s="37"/>
      <c r="W75" s="37" t="str">
        <f t="shared" si="12"/>
        <v/>
      </c>
    </row>
    <row r="76" spans="1:25" x14ac:dyDescent="0.25">
      <c r="A76" s="98" t="str">
        <f t="shared" ca="1" si="4"/>
        <v/>
      </c>
      <c r="B76" s="33" t="str" cm="1">
        <f t="array" aca="1" ref="B76" ca="1">IF(COUNTIF(J:J,A76)=1,_xll.avmCdsSpreadForDate($Q$4,$Q$5,$Q$7,$Q$6,A76,$Q$1), IF(COUNTIF(J:J,A76)=0,$B$9,""))</f>
        <v/>
      </c>
      <c r="C76" s="77" t="str">
        <f t="shared" ca="1" si="5"/>
        <v/>
      </c>
      <c r="D76" s="107" t="str">
        <f t="shared" ca="1" si="6"/>
        <v/>
      </c>
      <c r="E76" s="128" t="str">
        <f t="shared" ca="1" si="9"/>
        <v/>
      </c>
      <c r="F76" s="25" t="str">
        <f t="shared" ca="1" si="7"/>
        <v/>
      </c>
      <c r="G76" s="107"/>
      <c r="H76" s="55" t="str">
        <f t="shared" ca="1" si="8"/>
        <v/>
      </c>
      <c r="J76" s="71"/>
      <c r="K76" s="71"/>
      <c r="M76" s="95" t="str">
        <f t="shared" si="10"/>
        <v/>
      </c>
      <c r="N76" s="95" t="str">
        <f t="shared" si="11"/>
        <v/>
      </c>
      <c r="U76" s="37"/>
      <c r="W76" s="37" t="str">
        <f t="shared" si="12"/>
        <v/>
      </c>
    </row>
    <row r="77" spans="1:25" x14ac:dyDescent="0.25">
      <c r="A77" s="98" t="str">
        <f t="shared" ca="1" si="4"/>
        <v/>
      </c>
      <c r="B77" s="33" t="str" cm="1">
        <f t="array" aca="1" ref="B77" ca="1">IF(COUNTIF(J:J,A77)=1,_xll.avmCdsSpreadForDate($Q$4,$Q$5,$Q$7,$Q$6,A77,$Q$1), IF(COUNTIF(J:J,A77)=0,$B$9,""))</f>
        <v/>
      </c>
      <c r="C77" s="77" t="str">
        <f t="shared" ca="1" si="5"/>
        <v/>
      </c>
      <c r="D77" s="107" t="str">
        <f t="shared" ca="1" si="6"/>
        <v/>
      </c>
      <c r="E77" s="128" t="str">
        <f t="shared" ca="1" si="9"/>
        <v/>
      </c>
      <c r="F77" s="25" t="str">
        <f t="shared" ca="1" si="7"/>
        <v/>
      </c>
      <c r="G77" s="107"/>
      <c r="H77" s="55" t="str">
        <f t="shared" ca="1" si="8"/>
        <v/>
      </c>
      <c r="J77" s="71"/>
      <c r="K77" s="71"/>
      <c r="M77" s="95" t="str">
        <f t="shared" si="10"/>
        <v/>
      </c>
      <c r="N77" s="95" t="str">
        <f t="shared" si="11"/>
        <v/>
      </c>
      <c r="U77" s="37"/>
      <c r="W77" s="37" t="str">
        <f t="shared" si="12"/>
        <v/>
      </c>
    </row>
    <row r="78" spans="1:25" x14ac:dyDescent="0.25">
      <c r="A78" s="98" t="str">
        <f t="shared" ca="1" si="4"/>
        <v/>
      </c>
      <c r="B78" s="33" t="str" cm="1">
        <f t="array" aca="1" ref="B78" ca="1">IF(COUNTIF(J:J,A78)=1,_xll.avmCdsSpreadForDate($Q$4,$Q$5,$Q$7,$Q$6,A78,$Q$1), IF(COUNTIF(J:J,A78)=0,$B$9,""))</f>
        <v/>
      </c>
      <c r="C78" s="77" t="str">
        <f t="shared" ca="1" si="5"/>
        <v/>
      </c>
      <c r="D78" s="107" t="str">
        <f t="shared" ca="1" si="6"/>
        <v/>
      </c>
      <c r="E78" s="128" t="str">
        <f t="shared" ca="1" si="9"/>
        <v/>
      </c>
      <c r="F78" s="25" t="str">
        <f t="shared" ca="1" si="7"/>
        <v/>
      </c>
      <c r="G78" s="107"/>
      <c r="H78" s="55" t="str">
        <f t="shared" ca="1" si="8"/>
        <v/>
      </c>
      <c r="J78" s="71"/>
      <c r="K78" s="71"/>
      <c r="M78" s="95" t="str">
        <f t="shared" si="10"/>
        <v/>
      </c>
      <c r="N78" s="95" t="str">
        <f t="shared" si="11"/>
        <v/>
      </c>
      <c r="U78" s="37"/>
      <c r="W78" s="37" t="str">
        <f t="shared" si="12"/>
        <v/>
      </c>
    </row>
    <row r="79" spans="1:25" x14ac:dyDescent="0.25">
      <c r="A79" s="98" t="str">
        <f t="shared" ca="1" si="4"/>
        <v/>
      </c>
      <c r="B79" s="33" t="str" cm="1">
        <f t="array" aca="1" ref="B79" ca="1">IF(COUNTIF(J:J,A79)=1,_xll.avmCdsSpreadForDate($Q$4,$Q$5,$Q$7,$Q$6,A79,$Q$1), IF(COUNTIF(J:J,A79)=0,$B$9,""))</f>
        <v/>
      </c>
      <c r="C79" s="77" t="str">
        <f t="shared" ca="1" si="5"/>
        <v/>
      </c>
      <c r="D79" s="107" t="str">
        <f t="shared" ca="1" si="6"/>
        <v/>
      </c>
      <c r="E79" s="128" t="str">
        <f t="shared" ref="E79:E110" ca="1" si="13">IF(COUNTIF(O:O,A79)=1,VLOOKUP(A79-TIME(15,0,0),S:T,2), IF(AND(COUNTIF(O:O,A79-TIME(15,0,0))=0,NOT(ISERROR(B79-2))),$C$10,""))</f>
        <v/>
      </c>
      <c r="F79" s="25" t="str">
        <f t="shared" ca="1" si="7"/>
        <v/>
      </c>
      <c r="G79" s="107"/>
      <c r="H79" s="55" t="str">
        <f t="shared" ca="1" si="8"/>
        <v/>
      </c>
      <c r="J79" s="71"/>
      <c r="K79" s="71"/>
      <c r="M79" s="95" t="str">
        <f t="shared" si="10"/>
        <v/>
      </c>
      <c r="N79" s="95" t="str">
        <f t="shared" si="11"/>
        <v/>
      </c>
      <c r="U79" s="37"/>
      <c r="W79" s="37" t="str">
        <f t="shared" si="12"/>
        <v/>
      </c>
    </row>
    <row r="80" spans="1:25" x14ac:dyDescent="0.25">
      <c r="A80" s="98" t="str">
        <f t="shared" ref="A80:A136" ca="1" si="14">IF(AND(ISBLANK(O67), A79 = $O$1),NOW(),IF(AND(ISBLANK(O67),O67&lt;NOW()),"",O67))</f>
        <v/>
      </c>
      <c r="B80" s="33" t="str" cm="1">
        <f t="array" aca="1" ref="B80" ca="1">IF(COUNTIF(J:J,A80)=1,_xll.avmCdsSpreadForDate($Q$4,$Q$5,$Q$7,$Q$6,A80,$Q$1), IF(COUNTIF(J:J,A80)=0,$B$9,""))</f>
        <v/>
      </c>
      <c r="C80" s="77" t="str">
        <f t="shared" ref="C80:C136" ca="1" si="15">IF(ISERROR(B80-2),"",-1*(B80-$B$14)*10^-4*$B$8*$B$5)</f>
        <v/>
      </c>
      <c r="D80" s="107" t="str">
        <f t="shared" ref="D80:D136" ca="1" si="16">IF(ISERROR(B80-2),"",(INT(A80)-INT($A$14))/360*$B$6*$B$5)</f>
        <v/>
      </c>
      <c r="E80" s="128" t="str">
        <f t="shared" ca="1" si="13"/>
        <v/>
      </c>
      <c r="F80" s="25" t="str">
        <f t="shared" ref="F80:F136" ca="1" si="17">IF(ISERROR(B80-2),"", (E80/$E$14-1)*$C$5)</f>
        <v/>
      </c>
      <c r="G80" s="107"/>
      <c r="H80" s="55" t="str">
        <f t="shared" ref="H80:H136" ca="1" si="18">IF(ISERROR(B80-2),"",(-1*(C80+D80))+F80+G80)</f>
        <v/>
      </c>
      <c r="J80" s="71"/>
      <c r="K80" s="71"/>
      <c r="M80" s="95" t="str">
        <f t="shared" si="10"/>
        <v/>
      </c>
      <c r="N80" s="95" t="str">
        <f t="shared" si="11"/>
        <v/>
      </c>
      <c r="U80" s="37"/>
      <c r="W80" s="37" t="str">
        <f t="shared" si="12"/>
        <v/>
      </c>
    </row>
    <row r="81" spans="1:23" x14ac:dyDescent="0.25">
      <c r="A81" s="98" t="str">
        <f t="shared" ca="1" si="14"/>
        <v/>
      </c>
      <c r="B81" s="33" t="str" cm="1">
        <f t="array" aca="1" ref="B81" ca="1">IF(COUNTIF(J:J,A81)=1,_xll.avmCdsSpreadForDate($Q$4,$Q$5,$Q$7,$Q$6,A81,$Q$1), IF(COUNTIF(J:J,A81)=0,$B$9,""))</f>
        <v/>
      </c>
      <c r="C81" s="77" t="str">
        <f t="shared" ca="1" si="15"/>
        <v/>
      </c>
      <c r="D81" s="107" t="str">
        <f t="shared" ca="1" si="16"/>
        <v/>
      </c>
      <c r="E81" s="128" t="str">
        <f t="shared" ca="1" si="13"/>
        <v/>
      </c>
      <c r="F81" s="25" t="str">
        <f t="shared" ca="1" si="17"/>
        <v/>
      </c>
      <c r="G81" s="107"/>
      <c r="H81" s="55" t="str">
        <f t="shared" ca="1" si="18"/>
        <v/>
      </c>
      <c r="J81" s="71"/>
      <c r="K81" s="71"/>
      <c r="M81" s="95" t="str">
        <f t="shared" si="10"/>
        <v/>
      </c>
      <c r="N81" s="95" t="str">
        <f t="shared" si="11"/>
        <v/>
      </c>
      <c r="U81" s="37"/>
      <c r="W81" s="37" t="str">
        <f t="shared" si="12"/>
        <v/>
      </c>
    </row>
    <row r="82" spans="1:23" x14ac:dyDescent="0.25">
      <c r="A82" s="98" t="str">
        <f t="shared" ca="1" si="14"/>
        <v/>
      </c>
      <c r="B82" s="33" t="str" cm="1">
        <f t="array" aca="1" ref="B82" ca="1">IF(COUNTIF(J:J,A82)=1,_xll.avmCdsSpreadForDate($Q$4,$Q$5,$Q$7,$Q$6,A82,$Q$1), IF(COUNTIF(J:J,A82)=0,$B$9,""))</f>
        <v/>
      </c>
      <c r="C82" s="77" t="str">
        <f t="shared" ca="1" si="15"/>
        <v/>
      </c>
      <c r="D82" s="107" t="str">
        <f t="shared" ca="1" si="16"/>
        <v/>
      </c>
      <c r="E82" s="128" t="str">
        <f t="shared" ca="1" si="13"/>
        <v/>
      </c>
      <c r="F82" s="25" t="str">
        <f t="shared" ca="1" si="17"/>
        <v/>
      </c>
      <c r="G82" s="107"/>
      <c r="H82" s="55" t="str">
        <f t="shared" ca="1" si="18"/>
        <v/>
      </c>
      <c r="J82" s="71"/>
      <c r="K82" s="71"/>
      <c r="M82" s="95" t="str">
        <f t="shared" si="10"/>
        <v/>
      </c>
      <c r="N82" s="95" t="str">
        <f t="shared" si="11"/>
        <v/>
      </c>
      <c r="U82" s="37"/>
      <c r="W82" s="37" t="str">
        <f t="shared" si="12"/>
        <v/>
      </c>
    </row>
    <row r="83" spans="1:23" x14ac:dyDescent="0.25">
      <c r="A83" s="98" t="str">
        <f t="shared" ca="1" si="14"/>
        <v/>
      </c>
      <c r="B83" s="33" t="str" cm="1">
        <f t="array" aca="1" ref="B83" ca="1">IF(COUNTIF(J:J,A83)=1,_xll.avmCdsSpreadForDate($Q$4,$Q$5,$Q$7,$Q$6,A83,$Q$1), IF(COUNTIF(J:J,A83)=0,$B$9,""))</f>
        <v/>
      </c>
      <c r="C83" s="77" t="str">
        <f t="shared" ca="1" si="15"/>
        <v/>
      </c>
      <c r="D83" s="107" t="str">
        <f t="shared" ca="1" si="16"/>
        <v/>
      </c>
      <c r="E83" s="128" t="str">
        <f t="shared" ca="1" si="13"/>
        <v/>
      </c>
      <c r="F83" s="25" t="str">
        <f t="shared" ca="1" si="17"/>
        <v/>
      </c>
      <c r="G83" s="107"/>
      <c r="H83" s="55" t="str">
        <f t="shared" ca="1" si="18"/>
        <v/>
      </c>
      <c r="J83" s="71"/>
      <c r="K83" s="71"/>
      <c r="M83" s="95" t="str">
        <f t="shared" si="10"/>
        <v/>
      </c>
      <c r="N83" s="95" t="str">
        <f t="shared" si="11"/>
        <v/>
      </c>
      <c r="U83" s="37"/>
      <c r="W83" s="37" t="str">
        <f t="shared" si="12"/>
        <v/>
      </c>
    </row>
    <row r="84" spans="1:23" x14ac:dyDescent="0.25">
      <c r="A84" s="98" t="str">
        <f t="shared" ca="1" si="14"/>
        <v/>
      </c>
      <c r="B84" s="33" t="str" cm="1">
        <f t="array" aca="1" ref="B84" ca="1">IF(COUNTIF(J:J,A84)=1,_xll.avmCdsSpreadForDate($Q$4,$Q$5,$Q$7,$Q$6,A84,$Q$1), IF(COUNTIF(J:J,A84)=0,$B$9,""))</f>
        <v/>
      </c>
      <c r="C84" s="77" t="str">
        <f t="shared" ca="1" si="15"/>
        <v/>
      </c>
      <c r="D84" s="107" t="str">
        <f t="shared" ca="1" si="16"/>
        <v/>
      </c>
      <c r="E84" s="128" t="str">
        <f t="shared" ca="1" si="13"/>
        <v/>
      </c>
      <c r="F84" s="25" t="str">
        <f t="shared" ca="1" si="17"/>
        <v/>
      </c>
      <c r="G84" s="107"/>
      <c r="H84" s="55" t="str">
        <f t="shared" ca="1" si="18"/>
        <v/>
      </c>
      <c r="J84" s="71"/>
      <c r="K84" s="71"/>
      <c r="M84" s="95" t="str">
        <f t="shared" si="10"/>
        <v/>
      </c>
      <c r="N84" s="95" t="str">
        <f t="shared" si="11"/>
        <v/>
      </c>
      <c r="U84" s="37"/>
      <c r="W84" s="37" t="str">
        <f t="shared" si="12"/>
        <v/>
      </c>
    </row>
    <row r="85" spans="1:23" x14ac:dyDescent="0.25">
      <c r="A85" s="98" t="str">
        <f t="shared" ca="1" si="14"/>
        <v/>
      </c>
      <c r="B85" s="33" t="str" cm="1">
        <f t="array" aca="1" ref="B85" ca="1">IF(COUNTIF(J:J,A85)=1,_xll.avmCdsSpreadForDate($Q$4,$Q$5,$Q$7,$Q$6,A85,$Q$1), IF(COUNTIF(J:J,A85)=0,$B$9,""))</f>
        <v/>
      </c>
      <c r="C85" s="77" t="str">
        <f t="shared" ca="1" si="15"/>
        <v/>
      </c>
      <c r="D85" s="107" t="str">
        <f t="shared" ca="1" si="16"/>
        <v/>
      </c>
      <c r="E85" s="128" t="str">
        <f t="shared" ca="1" si="13"/>
        <v/>
      </c>
      <c r="F85" s="25" t="str">
        <f t="shared" ca="1" si="17"/>
        <v/>
      </c>
      <c r="G85" s="107"/>
      <c r="H85" s="55" t="str">
        <f t="shared" ca="1" si="18"/>
        <v/>
      </c>
      <c r="J85" s="71"/>
      <c r="K85" s="71"/>
      <c r="M85" s="95" t="str">
        <f t="shared" si="10"/>
        <v/>
      </c>
      <c r="N85" s="95" t="str">
        <f t="shared" si="11"/>
        <v/>
      </c>
      <c r="U85" s="37"/>
      <c r="W85" s="37" t="str">
        <f t="shared" si="12"/>
        <v/>
      </c>
    </row>
    <row r="86" spans="1:23" x14ac:dyDescent="0.25">
      <c r="A86" s="98" t="str">
        <f t="shared" ca="1" si="14"/>
        <v/>
      </c>
      <c r="B86" s="33" t="str" cm="1">
        <f t="array" aca="1" ref="B86" ca="1">IF(COUNTIF(J:J,A86)=1,_xll.avmCdsSpreadForDate($Q$4,$Q$5,$Q$7,$Q$6,A86,$Q$1), IF(COUNTIF(J:J,A86)=0,$B$9,""))</f>
        <v/>
      </c>
      <c r="C86" s="77" t="str">
        <f t="shared" ca="1" si="15"/>
        <v/>
      </c>
      <c r="D86" s="107" t="str">
        <f t="shared" ca="1" si="16"/>
        <v/>
      </c>
      <c r="E86" s="128" t="str">
        <f t="shared" ca="1" si="13"/>
        <v/>
      </c>
      <c r="F86" s="25" t="str">
        <f t="shared" ca="1" si="17"/>
        <v/>
      </c>
      <c r="G86" s="107"/>
      <c r="H86" s="55" t="str">
        <f t="shared" ca="1" si="18"/>
        <v/>
      </c>
      <c r="J86" s="71"/>
      <c r="K86" s="71"/>
      <c r="M86" s="95" t="str">
        <f t="shared" si="10"/>
        <v/>
      </c>
      <c r="N86" s="95" t="str">
        <f t="shared" si="11"/>
        <v/>
      </c>
      <c r="U86" s="37"/>
      <c r="W86" s="37" t="str">
        <f t="shared" si="12"/>
        <v/>
      </c>
    </row>
    <row r="87" spans="1:23" x14ac:dyDescent="0.25">
      <c r="A87" s="98" t="str">
        <f t="shared" ca="1" si="14"/>
        <v/>
      </c>
      <c r="B87" s="33" t="str" cm="1">
        <f t="array" aca="1" ref="B87" ca="1">IF(COUNTIF(J:J,A87)=1,_xll.avmCdsSpreadForDate($Q$4,$Q$5,$Q$7,$Q$6,A87,$Q$1), IF(COUNTIF(J:J,A87)=0,$B$9,""))</f>
        <v/>
      </c>
      <c r="C87" s="77" t="str">
        <f t="shared" ca="1" si="15"/>
        <v/>
      </c>
      <c r="D87" s="107" t="str">
        <f t="shared" ca="1" si="16"/>
        <v/>
      </c>
      <c r="E87" s="128" t="str">
        <f t="shared" ca="1" si="13"/>
        <v/>
      </c>
      <c r="F87" s="25" t="str">
        <f t="shared" ca="1" si="17"/>
        <v/>
      </c>
      <c r="G87" s="107"/>
      <c r="H87" s="55" t="str">
        <f t="shared" ca="1" si="18"/>
        <v/>
      </c>
      <c r="J87" s="71"/>
      <c r="K87" s="71"/>
      <c r="M87" s="95" t="str">
        <f t="shared" si="10"/>
        <v/>
      </c>
      <c r="N87" s="95" t="str">
        <f t="shared" si="11"/>
        <v/>
      </c>
      <c r="U87" s="37"/>
      <c r="W87" s="37" t="str">
        <f t="shared" si="12"/>
        <v/>
      </c>
    </row>
    <row r="88" spans="1:23" x14ac:dyDescent="0.25">
      <c r="A88" s="98" t="str">
        <f t="shared" ca="1" si="14"/>
        <v/>
      </c>
      <c r="B88" s="33" t="str" cm="1">
        <f t="array" aca="1" ref="B88" ca="1">IF(COUNTIF(J:J,A88)=1,_xll.avmCdsSpreadForDate($Q$4,$Q$5,$Q$7,$Q$6,A88,$Q$1), IF(COUNTIF(J:J,A88)=0,$B$9,""))</f>
        <v/>
      </c>
      <c r="C88" s="77" t="str">
        <f t="shared" ca="1" si="15"/>
        <v/>
      </c>
      <c r="D88" s="107" t="str">
        <f t="shared" ca="1" si="16"/>
        <v/>
      </c>
      <c r="E88" s="128" t="str">
        <f t="shared" ca="1" si="13"/>
        <v/>
      </c>
      <c r="F88" s="25" t="str">
        <f t="shared" ca="1" si="17"/>
        <v/>
      </c>
      <c r="G88" s="107"/>
      <c r="H88" s="55" t="str">
        <f t="shared" ca="1" si="18"/>
        <v/>
      </c>
      <c r="J88" s="71"/>
      <c r="K88" s="71"/>
      <c r="M88" s="95" t="str">
        <f t="shared" si="10"/>
        <v/>
      </c>
      <c r="N88" s="95" t="str">
        <f t="shared" si="11"/>
        <v/>
      </c>
      <c r="U88" s="37"/>
      <c r="W88" s="37" t="str">
        <f t="shared" si="12"/>
        <v/>
      </c>
    </row>
    <row r="89" spans="1:23" x14ac:dyDescent="0.25">
      <c r="A89" s="98" t="str">
        <f t="shared" ca="1" si="14"/>
        <v/>
      </c>
      <c r="B89" s="33" t="str" cm="1">
        <f t="array" aca="1" ref="B89" ca="1">IF(COUNTIF(J:J,A89)=1,_xll.avmCdsSpreadForDate($Q$4,$Q$5,$Q$7,$Q$6,A89,$Q$1), IF(COUNTIF(J:J,A89)=0,$B$9,""))</f>
        <v/>
      </c>
      <c r="C89" s="77" t="str">
        <f t="shared" ca="1" si="15"/>
        <v/>
      </c>
      <c r="D89" s="107" t="str">
        <f t="shared" ca="1" si="16"/>
        <v/>
      </c>
      <c r="E89" s="128" t="str">
        <f t="shared" ca="1" si="13"/>
        <v/>
      </c>
      <c r="F89" s="25" t="str">
        <f t="shared" ca="1" si="17"/>
        <v/>
      </c>
      <c r="G89" s="107"/>
      <c r="H89" s="55" t="str">
        <f t="shared" ca="1" si="18"/>
        <v/>
      </c>
      <c r="J89" s="71"/>
      <c r="K89" s="71"/>
      <c r="M89" s="95" t="str">
        <f t="shared" si="10"/>
        <v/>
      </c>
      <c r="N89" s="95" t="str">
        <f t="shared" si="11"/>
        <v/>
      </c>
      <c r="U89" s="37"/>
      <c r="W89" s="37" t="str">
        <f t="shared" si="12"/>
        <v/>
      </c>
    </row>
    <row r="90" spans="1:23" x14ac:dyDescent="0.25">
      <c r="A90" s="98" t="str">
        <f t="shared" ca="1" si="14"/>
        <v/>
      </c>
      <c r="B90" s="33" t="str" cm="1">
        <f t="array" aca="1" ref="B90" ca="1">IF(COUNTIF(J:J,A90)=1,_xll.avmCdsSpreadForDate($Q$4,$Q$5,$Q$7,$Q$6,A90,$Q$1), IF(COUNTIF(J:J,A90)=0,$B$9,""))</f>
        <v/>
      </c>
      <c r="C90" s="77" t="str">
        <f t="shared" ca="1" si="15"/>
        <v/>
      </c>
      <c r="D90" s="107" t="str">
        <f t="shared" ca="1" si="16"/>
        <v/>
      </c>
      <c r="E90" s="128" t="str">
        <f t="shared" ca="1" si="13"/>
        <v/>
      </c>
      <c r="F90" s="25" t="str">
        <f t="shared" ca="1" si="17"/>
        <v/>
      </c>
      <c r="G90" s="107"/>
      <c r="H90" s="55" t="str">
        <f t="shared" ca="1" si="18"/>
        <v/>
      </c>
      <c r="J90" s="71"/>
      <c r="K90" s="71"/>
      <c r="M90" s="95" t="str">
        <f t="shared" si="10"/>
        <v/>
      </c>
      <c r="N90" s="95" t="str">
        <f t="shared" si="11"/>
        <v/>
      </c>
      <c r="U90" s="37"/>
      <c r="W90" s="37" t="str">
        <f t="shared" si="12"/>
        <v/>
      </c>
    </row>
    <row r="91" spans="1:23" x14ac:dyDescent="0.25">
      <c r="A91" s="98" t="str">
        <f t="shared" ca="1" si="14"/>
        <v/>
      </c>
      <c r="B91" s="33" t="str" cm="1">
        <f t="array" aca="1" ref="B91" ca="1">IF(COUNTIF(J:J,A91)=1,_xll.avmCdsSpreadForDate($Q$4,$Q$5,$Q$7,$Q$6,A91,$Q$1), IF(COUNTIF(J:J,A91)=0,$B$9,""))</f>
        <v/>
      </c>
      <c r="C91" s="77" t="str">
        <f t="shared" ca="1" si="15"/>
        <v/>
      </c>
      <c r="D91" s="107" t="str">
        <f t="shared" ca="1" si="16"/>
        <v/>
      </c>
      <c r="E91" s="128" t="str">
        <f t="shared" ca="1" si="13"/>
        <v/>
      </c>
      <c r="F91" s="25" t="str">
        <f t="shared" ca="1" si="17"/>
        <v/>
      </c>
      <c r="G91" s="107"/>
      <c r="H91" s="55" t="str">
        <f t="shared" ca="1" si="18"/>
        <v/>
      </c>
      <c r="J91" s="71"/>
      <c r="K91" s="71"/>
      <c r="M91" s="95" t="str">
        <f t="shared" si="10"/>
        <v/>
      </c>
      <c r="N91" s="95" t="str">
        <f t="shared" si="11"/>
        <v/>
      </c>
      <c r="U91" s="37"/>
      <c r="W91" s="37" t="str">
        <f t="shared" si="12"/>
        <v/>
      </c>
    </row>
    <row r="92" spans="1:23" x14ac:dyDescent="0.25">
      <c r="A92" s="98" t="str">
        <f t="shared" ca="1" si="14"/>
        <v/>
      </c>
      <c r="B92" s="33" t="str" cm="1">
        <f t="array" aca="1" ref="B92" ca="1">IF(COUNTIF(J:J,A92)=1,_xll.avmCdsSpreadForDate($Q$4,$Q$5,$Q$7,$Q$6,A92,$Q$1), IF(COUNTIF(J:J,A92)=0,$B$9,""))</f>
        <v/>
      </c>
      <c r="C92" s="77" t="str">
        <f t="shared" ca="1" si="15"/>
        <v/>
      </c>
      <c r="D92" s="107" t="str">
        <f t="shared" ca="1" si="16"/>
        <v/>
      </c>
      <c r="E92" s="128" t="str">
        <f t="shared" ca="1" si="13"/>
        <v/>
      </c>
      <c r="F92" s="25" t="str">
        <f t="shared" ca="1" si="17"/>
        <v/>
      </c>
      <c r="G92" s="107"/>
      <c r="H92" s="55" t="str">
        <f t="shared" ca="1" si="18"/>
        <v/>
      </c>
      <c r="J92" s="71"/>
      <c r="K92" s="71"/>
      <c r="M92" s="95" t="str">
        <f t="shared" si="10"/>
        <v/>
      </c>
      <c r="N92" s="95" t="str">
        <f t="shared" si="11"/>
        <v/>
      </c>
      <c r="U92" s="37"/>
      <c r="W92" s="37" t="str">
        <f t="shared" si="12"/>
        <v/>
      </c>
    </row>
    <row r="93" spans="1:23" x14ac:dyDescent="0.25">
      <c r="A93" s="98" t="str">
        <f t="shared" ca="1" si="14"/>
        <v/>
      </c>
      <c r="B93" s="33" t="str" cm="1">
        <f t="array" aca="1" ref="B93" ca="1">IF(COUNTIF(J:J,A93)=1,_xll.avmCdsSpreadForDate($Q$4,$Q$5,$Q$7,$Q$6,A93,$Q$1), IF(COUNTIF(J:J,A93)=0,$B$9,""))</f>
        <v/>
      </c>
      <c r="C93" s="77" t="str">
        <f t="shared" ca="1" si="15"/>
        <v/>
      </c>
      <c r="D93" s="107" t="str">
        <f t="shared" ca="1" si="16"/>
        <v/>
      </c>
      <c r="E93" s="128" t="str">
        <f t="shared" ca="1" si="13"/>
        <v/>
      </c>
      <c r="F93" s="25" t="str">
        <f t="shared" ca="1" si="17"/>
        <v/>
      </c>
      <c r="G93" s="107"/>
      <c r="H93" s="55" t="str">
        <f t="shared" ca="1" si="18"/>
        <v/>
      </c>
      <c r="J93" s="71"/>
      <c r="K93" s="71"/>
      <c r="M93" s="95" t="str">
        <f t="shared" si="10"/>
        <v/>
      </c>
      <c r="N93" s="95" t="str">
        <f t="shared" si="11"/>
        <v/>
      </c>
      <c r="U93" s="37"/>
      <c r="W93" s="37" t="str">
        <f t="shared" si="12"/>
        <v/>
      </c>
    </row>
    <row r="94" spans="1:23" x14ac:dyDescent="0.25">
      <c r="A94" s="98" t="str">
        <f t="shared" ca="1" si="14"/>
        <v/>
      </c>
      <c r="B94" s="33" t="str" cm="1">
        <f t="array" aca="1" ref="B94" ca="1">IF(COUNTIF(J:J,A94)=1,_xll.avmCdsSpreadForDate($Q$4,$Q$5,$Q$7,$Q$6,A94,$Q$1), IF(COUNTIF(J:J,A94)=0,$B$9,""))</f>
        <v/>
      </c>
      <c r="C94" s="77" t="str">
        <f t="shared" ca="1" si="15"/>
        <v/>
      </c>
      <c r="D94" s="107" t="str">
        <f t="shared" ca="1" si="16"/>
        <v/>
      </c>
      <c r="E94" s="128" t="str">
        <f t="shared" ca="1" si="13"/>
        <v/>
      </c>
      <c r="F94" s="25" t="str">
        <f t="shared" ca="1" si="17"/>
        <v/>
      </c>
      <c r="G94" s="107"/>
      <c r="H94" s="55" t="str">
        <f t="shared" ca="1" si="18"/>
        <v/>
      </c>
      <c r="J94" s="71"/>
      <c r="K94" s="71"/>
      <c r="M94" s="95" t="str">
        <f t="shared" si="10"/>
        <v/>
      </c>
      <c r="N94" s="95" t="str">
        <f t="shared" si="11"/>
        <v/>
      </c>
      <c r="U94" s="37"/>
      <c r="W94" s="37" t="str">
        <f t="shared" si="12"/>
        <v/>
      </c>
    </row>
    <row r="95" spans="1:23" x14ac:dyDescent="0.25">
      <c r="A95" s="98" t="str">
        <f t="shared" ca="1" si="14"/>
        <v/>
      </c>
      <c r="B95" s="33" t="str" cm="1">
        <f t="array" aca="1" ref="B95" ca="1">IF(COUNTIF(J:J,A95)=1,_xll.avmCdsSpreadForDate($Q$4,$Q$5,$Q$7,$Q$6,A95,$Q$1), IF(COUNTIF(J:J,A95)=0,$B$9,""))</f>
        <v/>
      </c>
      <c r="C95" s="77" t="str">
        <f t="shared" ca="1" si="15"/>
        <v/>
      </c>
      <c r="D95" s="107" t="str">
        <f t="shared" ca="1" si="16"/>
        <v/>
      </c>
      <c r="E95" s="128" t="str">
        <f t="shared" ca="1" si="13"/>
        <v/>
      </c>
      <c r="F95" s="25" t="str">
        <f t="shared" ca="1" si="17"/>
        <v/>
      </c>
      <c r="G95" s="107"/>
      <c r="H95" s="55" t="str">
        <f t="shared" ca="1" si="18"/>
        <v/>
      </c>
      <c r="J95" s="71"/>
      <c r="K95" s="71"/>
      <c r="M95" s="95" t="str">
        <f t="shared" si="10"/>
        <v/>
      </c>
      <c r="N95" s="95" t="str">
        <f t="shared" si="11"/>
        <v/>
      </c>
      <c r="U95" s="37"/>
      <c r="W95" s="37" t="str">
        <f t="shared" si="12"/>
        <v/>
      </c>
    </row>
    <row r="96" spans="1:23" x14ac:dyDescent="0.25">
      <c r="A96" s="98" t="str">
        <f t="shared" ca="1" si="14"/>
        <v/>
      </c>
      <c r="B96" s="33" t="str" cm="1">
        <f t="array" aca="1" ref="B96" ca="1">IF(COUNTIF(J:J,A96)=1,_xll.avmCdsSpreadForDate($Q$4,$Q$5,$Q$7,$Q$6,A96,$Q$1), IF(COUNTIF(J:J,A96)=0,$B$9,""))</f>
        <v/>
      </c>
      <c r="C96" s="77" t="str">
        <f t="shared" ca="1" si="15"/>
        <v/>
      </c>
      <c r="D96" s="107" t="str">
        <f t="shared" ca="1" si="16"/>
        <v/>
      </c>
      <c r="E96" s="128" t="str">
        <f t="shared" ca="1" si="13"/>
        <v/>
      </c>
      <c r="F96" s="25" t="str">
        <f t="shared" ca="1" si="17"/>
        <v/>
      </c>
      <c r="G96" s="107"/>
      <c r="H96" s="55" t="str">
        <f t="shared" ca="1" si="18"/>
        <v/>
      </c>
      <c r="J96" s="71"/>
      <c r="K96" s="71"/>
      <c r="M96" s="95" t="str">
        <f t="shared" si="10"/>
        <v/>
      </c>
      <c r="N96" s="95" t="str">
        <f t="shared" si="11"/>
        <v/>
      </c>
      <c r="U96" s="37"/>
      <c r="W96" s="37" t="str">
        <f t="shared" si="12"/>
        <v/>
      </c>
    </row>
    <row r="97" spans="1:23" x14ac:dyDescent="0.25">
      <c r="A97" s="98" t="str">
        <f t="shared" ca="1" si="14"/>
        <v/>
      </c>
      <c r="B97" s="33" t="str" cm="1">
        <f t="array" aca="1" ref="B97" ca="1">IF(COUNTIF(J:J,A97)=1,_xll.avmCdsSpreadForDate($Q$4,$Q$5,$Q$7,$Q$6,A97,$Q$1), IF(COUNTIF(J:J,A97)=0,$B$9,""))</f>
        <v/>
      </c>
      <c r="C97" s="77" t="str">
        <f t="shared" ca="1" si="15"/>
        <v/>
      </c>
      <c r="D97" s="107" t="str">
        <f t="shared" ca="1" si="16"/>
        <v/>
      </c>
      <c r="E97" s="128" t="str">
        <f t="shared" ca="1" si="13"/>
        <v/>
      </c>
      <c r="F97" s="25" t="str">
        <f t="shared" ca="1" si="17"/>
        <v/>
      </c>
      <c r="G97" s="107"/>
      <c r="H97" s="55" t="str">
        <f t="shared" ca="1" si="18"/>
        <v/>
      </c>
      <c r="J97" s="71"/>
      <c r="K97" s="71"/>
      <c r="M97" s="95" t="str">
        <f t="shared" si="10"/>
        <v/>
      </c>
      <c r="N97" s="95" t="str">
        <f t="shared" si="11"/>
        <v/>
      </c>
      <c r="U97" s="37"/>
      <c r="W97" s="37" t="str">
        <f t="shared" si="12"/>
        <v/>
      </c>
    </row>
    <row r="98" spans="1:23" x14ac:dyDescent="0.25">
      <c r="A98" s="98" t="str">
        <f t="shared" ca="1" si="14"/>
        <v/>
      </c>
      <c r="B98" s="33" t="str" cm="1">
        <f t="array" aca="1" ref="B98" ca="1">IF(COUNTIF(J:J,A98)=1,_xll.avmCdsSpreadForDate($Q$4,$Q$5,$Q$7,$Q$6,A98,$Q$1), IF(COUNTIF(J:J,A98)=0,$B$9,""))</f>
        <v/>
      </c>
      <c r="C98" s="77" t="str">
        <f t="shared" ca="1" si="15"/>
        <v/>
      </c>
      <c r="D98" s="107" t="str">
        <f t="shared" ca="1" si="16"/>
        <v/>
      </c>
      <c r="E98" s="128" t="str">
        <f t="shared" ca="1" si="13"/>
        <v/>
      </c>
      <c r="F98" s="25" t="str">
        <f t="shared" ca="1" si="17"/>
        <v/>
      </c>
      <c r="G98" s="107"/>
      <c r="H98" s="55" t="str">
        <f t="shared" ca="1" si="18"/>
        <v/>
      </c>
      <c r="J98" s="71"/>
      <c r="K98" s="71"/>
      <c r="M98" s="95" t="str">
        <f t="shared" si="10"/>
        <v/>
      </c>
      <c r="N98" s="95" t="str">
        <f t="shared" si="11"/>
        <v/>
      </c>
      <c r="U98" s="37"/>
      <c r="W98" s="37" t="str">
        <f t="shared" si="12"/>
        <v/>
      </c>
    </row>
    <row r="99" spans="1:23" x14ac:dyDescent="0.25">
      <c r="A99" s="98" t="str">
        <f t="shared" ca="1" si="14"/>
        <v/>
      </c>
      <c r="B99" s="33" t="str" cm="1">
        <f t="array" aca="1" ref="B99" ca="1">IF(COUNTIF(J:J,A99)=1,_xll.avmCdsSpreadForDate($Q$4,$Q$5,$Q$7,$Q$6,A99,$Q$1), IF(COUNTIF(J:J,A99)=0,$B$9,""))</f>
        <v/>
      </c>
      <c r="C99" s="77" t="str">
        <f t="shared" ca="1" si="15"/>
        <v/>
      </c>
      <c r="D99" s="107" t="str">
        <f t="shared" ca="1" si="16"/>
        <v/>
      </c>
      <c r="E99" s="128" t="str">
        <f t="shared" ca="1" si="13"/>
        <v/>
      </c>
      <c r="F99" s="25" t="str">
        <f t="shared" ca="1" si="17"/>
        <v/>
      </c>
      <c r="G99" s="107"/>
      <c r="H99" s="55" t="str">
        <f t="shared" ca="1" si="18"/>
        <v/>
      </c>
      <c r="J99" s="71"/>
      <c r="K99" s="71"/>
      <c r="M99" s="95" t="str">
        <f t="shared" si="10"/>
        <v/>
      </c>
      <c r="N99" s="95" t="str">
        <f t="shared" si="11"/>
        <v/>
      </c>
      <c r="U99" s="37"/>
      <c r="W99" s="37" t="str">
        <f t="shared" si="12"/>
        <v/>
      </c>
    </row>
    <row r="100" spans="1:23" x14ac:dyDescent="0.25">
      <c r="A100" s="98" t="str">
        <f t="shared" ca="1" si="14"/>
        <v/>
      </c>
      <c r="B100" s="33" t="str" cm="1">
        <f t="array" aca="1" ref="B100" ca="1">IF(COUNTIF(J:J,A100)=1,_xll.avmCdsSpreadForDate($Q$4,$Q$5,$Q$7,$Q$6,A100,$Q$1), IF(COUNTIF(J:J,A100)=0,$B$9,""))</f>
        <v/>
      </c>
      <c r="C100" s="77" t="str">
        <f t="shared" ca="1" si="15"/>
        <v/>
      </c>
      <c r="D100" s="107" t="str">
        <f t="shared" ca="1" si="16"/>
        <v/>
      </c>
      <c r="E100" s="128" t="str">
        <f t="shared" ca="1" si="13"/>
        <v/>
      </c>
      <c r="F100" s="25" t="str">
        <f t="shared" ca="1" si="17"/>
        <v/>
      </c>
      <c r="G100" s="107"/>
      <c r="H100" s="55" t="str">
        <f t="shared" ca="1" si="18"/>
        <v/>
      </c>
      <c r="J100" s="71"/>
      <c r="K100" s="71"/>
      <c r="M100" s="95" t="str">
        <f t="shared" si="10"/>
        <v/>
      </c>
      <c r="N100" s="95" t="str">
        <f t="shared" si="11"/>
        <v/>
      </c>
      <c r="U100" s="37"/>
      <c r="W100" s="37" t="str">
        <f t="shared" si="12"/>
        <v/>
      </c>
    </row>
    <row r="101" spans="1:23" x14ac:dyDescent="0.25">
      <c r="A101" s="98" t="str">
        <f t="shared" ca="1" si="14"/>
        <v/>
      </c>
      <c r="B101" s="33" t="str" cm="1">
        <f t="array" aca="1" ref="B101" ca="1">IF(COUNTIF(J:J,A101)=1,_xll.avmCdsSpreadForDate($Q$4,$Q$5,$Q$7,$Q$6,A101,$Q$1), IF(COUNTIF(J:J,A101)=0,$B$9,""))</f>
        <v/>
      </c>
      <c r="C101" s="77" t="str">
        <f t="shared" ca="1" si="15"/>
        <v/>
      </c>
      <c r="D101" s="107" t="str">
        <f t="shared" ca="1" si="16"/>
        <v/>
      </c>
      <c r="E101" s="128" t="str">
        <f t="shared" ca="1" si="13"/>
        <v/>
      </c>
      <c r="F101" s="25" t="str">
        <f t="shared" ca="1" si="17"/>
        <v/>
      </c>
      <c r="G101" s="107"/>
      <c r="H101" s="55" t="str">
        <f t="shared" ca="1" si="18"/>
        <v/>
      </c>
      <c r="J101" s="71"/>
      <c r="K101" s="71"/>
      <c r="M101" s="95" t="str">
        <f t="shared" si="10"/>
        <v/>
      </c>
      <c r="N101" s="95" t="str">
        <f t="shared" si="11"/>
        <v/>
      </c>
      <c r="U101" s="37"/>
      <c r="W101" s="37" t="str">
        <f t="shared" si="12"/>
        <v/>
      </c>
    </row>
    <row r="102" spans="1:23" x14ac:dyDescent="0.25">
      <c r="A102" s="98" t="str">
        <f t="shared" ca="1" si="14"/>
        <v/>
      </c>
      <c r="B102" s="33" t="str" cm="1">
        <f t="array" aca="1" ref="B102" ca="1">IF(COUNTIF(J:J,A102)=1,_xll.avmCdsSpreadForDate($Q$4,$Q$5,$Q$7,$Q$6,A102,$Q$1), IF(COUNTIF(J:J,A102)=0,$B$9,""))</f>
        <v/>
      </c>
      <c r="C102" s="77" t="str">
        <f t="shared" ca="1" si="15"/>
        <v/>
      </c>
      <c r="D102" s="107" t="str">
        <f t="shared" ca="1" si="16"/>
        <v/>
      </c>
      <c r="E102" s="128" t="str">
        <f t="shared" ca="1" si="13"/>
        <v/>
      </c>
      <c r="F102" s="25" t="str">
        <f t="shared" ca="1" si="17"/>
        <v/>
      </c>
      <c r="G102" s="107"/>
      <c r="H102" s="55" t="str">
        <f t="shared" ca="1" si="18"/>
        <v/>
      </c>
      <c r="J102" s="71"/>
      <c r="K102" s="71"/>
      <c r="M102" s="95" t="str">
        <f t="shared" si="10"/>
        <v/>
      </c>
      <c r="N102" s="95" t="str">
        <f t="shared" si="11"/>
        <v/>
      </c>
      <c r="U102" s="37"/>
      <c r="W102" s="37" t="str">
        <f t="shared" si="12"/>
        <v/>
      </c>
    </row>
    <row r="103" spans="1:23" x14ac:dyDescent="0.25">
      <c r="A103" s="98" t="str">
        <f t="shared" ca="1" si="14"/>
        <v/>
      </c>
      <c r="B103" s="33" t="str" cm="1">
        <f t="array" aca="1" ref="B103" ca="1">IF(COUNTIF(J:J,A103)=1,_xll.avmCdsSpreadForDate($Q$4,$Q$5,$Q$7,$Q$6,A103,$Q$1), IF(COUNTIF(J:J,A103)=0,$B$9,""))</f>
        <v/>
      </c>
      <c r="C103" s="77" t="str">
        <f t="shared" ca="1" si="15"/>
        <v/>
      </c>
      <c r="D103" s="107" t="str">
        <f t="shared" ca="1" si="16"/>
        <v/>
      </c>
      <c r="E103" s="128" t="str">
        <f t="shared" ca="1" si="13"/>
        <v/>
      </c>
      <c r="F103" s="25" t="str">
        <f t="shared" ca="1" si="17"/>
        <v/>
      </c>
      <c r="G103" s="107"/>
      <c r="H103" s="55" t="str">
        <f t="shared" ca="1" si="18"/>
        <v/>
      </c>
      <c r="J103" s="71"/>
      <c r="K103" s="71"/>
      <c r="M103" s="95" t="str">
        <f t="shared" si="10"/>
        <v/>
      </c>
      <c r="N103" s="95" t="str">
        <f t="shared" si="11"/>
        <v/>
      </c>
      <c r="U103" s="37"/>
      <c r="W103" s="37" t="str">
        <f t="shared" si="12"/>
        <v/>
      </c>
    </row>
    <row r="104" spans="1:23" x14ac:dyDescent="0.25">
      <c r="A104" s="98" t="str">
        <f t="shared" ca="1" si="14"/>
        <v/>
      </c>
      <c r="B104" s="33" t="str" cm="1">
        <f t="array" aca="1" ref="B104" ca="1">IF(COUNTIF(J:J,A104)=1,_xll.avmCdsSpreadForDate($Q$4,$Q$5,$Q$7,$Q$6,A104,$Q$1), IF(COUNTIF(J:J,A104)=0,$B$9,""))</f>
        <v/>
      </c>
      <c r="C104" s="77" t="str">
        <f t="shared" ca="1" si="15"/>
        <v/>
      </c>
      <c r="D104" s="107" t="str">
        <f t="shared" ca="1" si="16"/>
        <v/>
      </c>
      <c r="E104" s="128" t="str">
        <f t="shared" ca="1" si="13"/>
        <v/>
      </c>
      <c r="F104" s="25" t="str">
        <f t="shared" ca="1" si="17"/>
        <v/>
      </c>
      <c r="G104" s="107"/>
      <c r="H104" s="55" t="str">
        <f t="shared" ca="1" si="18"/>
        <v/>
      </c>
      <c r="J104" s="71"/>
      <c r="K104" s="71"/>
      <c r="M104" s="95" t="str">
        <f t="shared" si="10"/>
        <v/>
      </c>
      <c r="N104" s="95" t="str">
        <f t="shared" si="11"/>
        <v/>
      </c>
      <c r="U104" s="37"/>
      <c r="W104" s="37" t="str">
        <f t="shared" si="12"/>
        <v/>
      </c>
    </row>
    <row r="105" spans="1:23" x14ac:dyDescent="0.25">
      <c r="A105" s="98" t="str">
        <f t="shared" ca="1" si="14"/>
        <v/>
      </c>
      <c r="B105" s="33" t="str" cm="1">
        <f t="array" aca="1" ref="B105" ca="1">IF(COUNTIF(J:J,A105)=1,_xll.avmCdsSpreadForDate($Q$4,$Q$5,$Q$7,$Q$6,A105,$Q$1), IF(COUNTIF(J:J,A105)=0,$B$9,""))</f>
        <v/>
      </c>
      <c r="C105" s="77" t="str">
        <f t="shared" ca="1" si="15"/>
        <v/>
      </c>
      <c r="D105" s="107" t="str">
        <f t="shared" ca="1" si="16"/>
        <v/>
      </c>
      <c r="E105" s="128" t="str">
        <f t="shared" ca="1" si="13"/>
        <v/>
      </c>
      <c r="F105" s="25" t="str">
        <f t="shared" ca="1" si="17"/>
        <v/>
      </c>
      <c r="G105" s="107"/>
      <c r="H105" s="55" t="str">
        <f t="shared" ca="1" si="18"/>
        <v/>
      </c>
      <c r="J105" s="71"/>
      <c r="K105" s="71"/>
      <c r="M105" s="95" t="str">
        <f t="shared" si="10"/>
        <v/>
      </c>
      <c r="N105" s="95" t="str">
        <f t="shared" si="11"/>
        <v/>
      </c>
      <c r="U105" s="37"/>
      <c r="W105" s="37" t="str">
        <f t="shared" si="12"/>
        <v/>
      </c>
    </row>
    <row r="106" spans="1:23" x14ac:dyDescent="0.25">
      <c r="A106" s="98" t="str">
        <f t="shared" ca="1" si="14"/>
        <v/>
      </c>
      <c r="B106" s="33" t="str" cm="1">
        <f t="array" aca="1" ref="B106" ca="1">IF(COUNTIF(J:J,A106)=1,_xll.avmCdsSpreadForDate($Q$4,$Q$5,$Q$7,$Q$6,A106,$Q$1), IF(COUNTIF(J:J,A106)=0,$B$9,""))</f>
        <v/>
      </c>
      <c r="C106" s="77" t="str">
        <f t="shared" ca="1" si="15"/>
        <v/>
      </c>
      <c r="D106" s="107" t="str">
        <f t="shared" ca="1" si="16"/>
        <v/>
      </c>
      <c r="E106" s="128" t="str">
        <f t="shared" ca="1" si="13"/>
        <v/>
      </c>
      <c r="F106" s="25" t="str">
        <f t="shared" ca="1" si="17"/>
        <v/>
      </c>
      <c r="G106" s="107"/>
      <c r="H106" s="55" t="str">
        <f t="shared" ca="1" si="18"/>
        <v/>
      </c>
      <c r="J106" s="71"/>
      <c r="K106" s="71"/>
      <c r="M106" s="95" t="str">
        <f t="shared" si="10"/>
        <v/>
      </c>
      <c r="N106" s="95" t="str">
        <f t="shared" si="11"/>
        <v/>
      </c>
      <c r="U106" s="37"/>
      <c r="W106" s="37" t="str">
        <f t="shared" si="12"/>
        <v/>
      </c>
    </row>
    <row r="107" spans="1:23" x14ac:dyDescent="0.25">
      <c r="A107" s="98" t="str">
        <f t="shared" ca="1" si="14"/>
        <v/>
      </c>
      <c r="B107" s="33" t="str" cm="1">
        <f t="array" aca="1" ref="B107" ca="1">IF(COUNTIF(J:J,A107)=1,_xll.avmCdsSpreadForDate($Q$4,$Q$5,$Q$7,$Q$6,A107,$Q$1), IF(COUNTIF(J:J,A107)=0,$B$9,""))</f>
        <v/>
      </c>
      <c r="C107" s="77" t="str">
        <f t="shared" ca="1" si="15"/>
        <v/>
      </c>
      <c r="D107" s="107" t="str">
        <f t="shared" ca="1" si="16"/>
        <v/>
      </c>
      <c r="E107" s="128" t="str">
        <f t="shared" ca="1" si="13"/>
        <v/>
      </c>
      <c r="F107" s="25" t="str">
        <f t="shared" ca="1" si="17"/>
        <v/>
      </c>
      <c r="G107" s="107"/>
      <c r="H107" s="55" t="str">
        <f t="shared" ca="1" si="18"/>
        <v/>
      </c>
      <c r="J107" s="71"/>
      <c r="K107" s="71"/>
      <c r="M107" s="95" t="str">
        <f t="shared" si="10"/>
        <v/>
      </c>
      <c r="N107" s="95" t="str">
        <f t="shared" si="11"/>
        <v/>
      </c>
      <c r="U107" s="37"/>
      <c r="W107" s="37" t="str">
        <f t="shared" si="12"/>
        <v/>
      </c>
    </row>
    <row r="108" spans="1:23" x14ac:dyDescent="0.25">
      <c r="A108" s="98" t="str">
        <f t="shared" ca="1" si="14"/>
        <v/>
      </c>
      <c r="B108" s="33" t="str" cm="1">
        <f t="array" aca="1" ref="B108" ca="1">IF(COUNTIF(J:J,A108)=1,_xll.avmCdsSpreadForDate($Q$4,$Q$5,$Q$7,$Q$6,A108,$Q$1), IF(COUNTIF(J:J,A108)=0,$B$9,""))</f>
        <v/>
      </c>
      <c r="C108" s="77" t="str">
        <f t="shared" ca="1" si="15"/>
        <v/>
      </c>
      <c r="D108" s="107" t="str">
        <f t="shared" ca="1" si="16"/>
        <v/>
      </c>
      <c r="E108" s="128" t="str">
        <f t="shared" ca="1" si="13"/>
        <v/>
      </c>
      <c r="F108" s="25" t="str">
        <f t="shared" ca="1" si="17"/>
        <v/>
      </c>
      <c r="G108" s="107"/>
      <c r="H108" s="55" t="str">
        <f t="shared" ca="1" si="18"/>
        <v/>
      </c>
      <c r="J108" s="71"/>
      <c r="K108" s="71"/>
      <c r="M108" s="95" t="str">
        <f t="shared" si="10"/>
        <v/>
      </c>
      <c r="N108" s="95" t="str">
        <f t="shared" si="11"/>
        <v/>
      </c>
      <c r="U108" s="37"/>
      <c r="W108" s="37" t="str">
        <f t="shared" si="12"/>
        <v/>
      </c>
    </row>
    <row r="109" spans="1:23" x14ac:dyDescent="0.25">
      <c r="A109" s="98" t="str">
        <f t="shared" ca="1" si="14"/>
        <v/>
      </c>
      <c r="B109" s="33" t="str" cm="1">
        <f t="array" aca="1" ref="B109" ca="1">IF(COUNTIF(J:J,A109)=1,_xll.avmCdsSpreadForDate($Q$4,$Q$5,$Q$7,$Q$6,A109,$Q$1), IF(COUNTIF(J:J,A109)=0,$B$9,""))</f>
        <v/>
      </c>
      <c r="C109" s="77" t="str">
        <f t="shared" ca="1" si="15"/>
        <v/>
      </c>
      <c r="D109" s="107" t="str">
        <f t="shared" ca="1" si="16"/>
        <v/>
      </c>
      <c r="E109" s="128" t="str">
        <f t="shared" ca="1" si="13"/>
        <v/>
      </c>
      <c r="F109" s="25" t="str">
        <f t="shared" ca="1" si="17"/>
        <v/>
      </c>
      <c r="G109" s="107"/>
      <c r="H109" s="55" t="str">
        <f t="shared" ca="1" si="18"/>
        <v/>
      </c>
      <c r="J109" s="71"/>
      <c r="K109" s="71"/>
      <c r="M109" s="95" t="str">
        <f t="shared" si="10"/>
        <v/>
      </c>
      <c r="N109" s="95" t="str">
        <f t="shared" si="11"/>
        <v/>
      </c>
      <c r="U109" s="37"/>
      <c r="W109" s="37" t="str">
        <f t="shared" si="12"/>
        <v/>
      </c>
    </row>
    <row r="110" spans="1:23" x14ac:dyDescent="0.25">
      <c r="A110" s="98" t="str">
        <f t="shared" ca="1" si="14"/>
        <v/>
      </c>
      <c r="B110" s="33" t="str" cm="1">
        <f t="array" aca="1" ref="B110" ca="1">IF(COUNTIF(J:J,A110)=1,_xll.avmCdsSpreadForDate($Q$4,$Q$5,$Q$7,$Q$6,A110,$Q$1), IF(COUNTIF(J:J,A110)=0,$B$9,""))</f>
        <v/>
      </c>
      <c r="C110" s="77" t="str">
        <f t="shared" ca="1" si="15"/>
        <v/>
      </c>
      <c r="D110" s="107" t="str">
        <f t="shared" ca="1" si="16"/>
        <v/>
      </c>
      <c r="E110" s="128" t="str">
        <f t="shared" ca="1" si="13"/>
        <v/>
      </c>
      <c r="F110" s="25" t="str">
        <f t="shared" ca="1" si="17"/>
        <v/>
      </c>
      <c r="G110" s="107"/>
      <c r="H110" s="55" t="str">
        <f t="shared" ca="1" si="18"/>
        <v/>
      </c>
      <c r="J110" s="71"/>
      <c r="K110" s="71"/>
      <c r="M110" s="95" t="str">
        <f t="shared" si="10"/>
        <v/>
      </c>
      <c r="N110" s="95" t="str">
        <f t="shared" si="11"/>
        <v/>
      </c>
      <c r="U110" s="37"/>
      <c r="W110" s="37" t="str">
        <f t="shared" si="12"/>
        <v/>
      </c>
    </row>
    <row r="111" spans="1:23" x14ac:dyDescent="0.25">
      <c r="A111" s="98" t="str">
        <f t="shared" ca="1" si="14"/>
        <v/>
      </c>
      <c r="B111" s="33" t="str" cm="1">
        <f t="array" aca="1" ref="B111" ca="1">IF(COUNTIF(J:J,A111)=1,_xll.avmCdsSpreadForDate($Q$4,$Q$5,$Q$7,$Q$6,A111,$Q$1), IF(COUNTIF(J:J,A111)=0,$B$9,""))</f>
        <v/>
      </c>
      <c r="C111" s="77" t="str">
        <f t="shared" ca="1" si="15"/>
        <v/>
      </c>
      <c r="D111" s="107" t="str">
        <f t="shared" ca="1" si="16"/>
        <v/>
      </c>
      <c r="E111" s="128" t="str">
        <f t="shared" ref="E111:E136" ca="1" si="19">IF(COUNTIF(O:O,A111)=1,VLOOKUP(A111-TIME(15,0,0),S:T,2), IF(AND(COUNTIF(O:O,A111-TIME(15,0,0))=0,NOT(ISERROR(B111-2))),$C$10,""))</f>
        <v/>
      </c>
      <c r="F111" s="25" t="str">
        <f t="shared" ca="1" si="17"/>
        <v/>
      </c>
      <c r="G111" s="107"/>
      <c r="H111" s="55" t="str">
        <f t="shared" ca="1" si="18"/>
        <v/>
      </c>
      <c r="J111" s="71"/>
      <c r="K111" s="71"/>
      <c r="M111" s="95" t="str">
        <f t="shared" si="10"/>
        <v/>
      </c>
      <c r="N111" s="95" t="str">
        <f t="shared" si="11"/>
        <v/>
      </c>
      <c r="U111" s="37"/>
      <c r="W111" s="37" t="str">
        <f t="shared" si="12"/>
        <v/>
      </c>
    </row>
    <row r="112" spans="1:23" x14ac:dyDescent="0.25">
      <c r="A112" s="98" t="str">
        <f t="shared" ca="1" si="14"/>
        <v/>
      </c>
      <c r="B112" s="33" t="str" cm="1">
        <f t="array" aca="1" ref="B112" ca="1">IF(COUNTIF(J:J,A112)=1,_xll.avmCdsSpreadForDate($Q$4,$Q$5,$Q$7,$Q$6,A112,$Q$1), IF(COUNTIF(J:J,A112)=0,$B$9,""))</f>
        <v/>
      </c>
      <c r="C112" s="77" t="str">
        <f t="shared" ca="1" si="15"/>
        <v/>
      </c>
      <c r="D112" s="107" t="str">
        <f t="shared" ca="1" si="16"/>
        <v/>
      </c>
      <c r="E112" s="128" t="str">
        <f t="shared" ca="1" si="19"/>
        <v/>
      </c>
      <c r="F112" s="25" t="str">
        <f t="shared" ca="1" si="17"/>
        <v/>
      </c>
      <c r="G112" s="107"/>
      <c r="H112" s="55" t="str">
        <f t="shared" ca="1" si="18"/>
        <v/>
      </c>
      <c r="J112" s="71"/>
      <c r="K112" s="71"/>
      <c r="M112" s="95" t="str">
        <f t="shared" si="10"/>
        <v/>
      </c>
      <c r="N112" s="95" t="str">
        <f t="shared" si="11"/>
        <v/>
      </c>
      <c r="U112" s="37"/>
      <c r="W112" s="37" t="str">
        <f t="shared" si="12"/>
        <v/>
      </c>
    </row>
    <row r="113" spans="1:23" x14ac:dyDescent="0.25">
      <c r="A113" s="98" t="str">
        <f t="shared" ca="1" si="14"/>
        <v/>
      </c>
      <c r="B113" s="33" t="str" cm="1">
        <f t="array" aca="1" ref="B113" ca="1">IF(COUNTIF(J:J,A113)=1,_xll.avmCdsSpreadForDate($Q$4,$Q$5,$Q$7,$Q$6,A113,$Q$1), IF(COUNTIF(J:J,A113)=0,$B$9,""))</f>
        <v/>
      </c>
      <c r="C113" s="77" t="str">
        <f t="shared" ca="1" si="15"/>
        <v/>
      </c>
      <c r="D113" s="107" t="str">
        <f t="shared" ca="1" si="16"/>
        <v/>
      </c>
      <c r="E113" s="128" t="str">
        <f t="shared" ca="1" si="19"/>
        <v/>
      </c>
      <c r="F113" s="25" t="str">
        <f t="shared" ca="1" si="17"/>
        <v/>
      </c>
      <c r="G113" s="107"/>
      <c r="H113" s="55" t="str">
        <f t="shared" ca="1" si="18"/>
        <v/>
      </c>
      <c r="J113" s="71"/>
      <c r="K113" s="71"/>
      <c r="M113" s="95" t="str">
        <f t="shared" si="10"/>
        <v/>
      </c>
      <c r="N113" s="95" t="str">
        <f t="shared" si="11"/>
        <v/>
      </c>
      <c r="U113" s="37"/>
      <c r="W113" s="37" t="str">
        <f t="shared" si="12"/>
        <v/>
      </c>
    </row>
    <row r="114" spans="1:23" x14ac:dyDescent="0.25">
      <c r="A114" s="98" t="str">
        <f t="shared" ca="1" si="14"/>
        <v/>
      </c>
      <c r="B114" s="33" t="str" cm="1">
        <f t="array" aca="1" ref="B114" ca="1">IF(COUNTIF(J:J,A114)=1,_xll.avmCdsSpreadForDate($Q$4,$Q$5,$Q$7,$Q$6,A114,$Q$1), IF(COUNTIF(J:J,A114)=0,$B$9,""))</f>
        <v/>
      </c>
      <c r="C114" s="77" t="str">
        <f t="shared" ca="1" si="15"/>
        <v/>
      </c>
      <c r="D114" s="107" t="str">
        <f t="shared" ca="1" si="16"/>
        <v/>
      </c>
      <c r="E114" s="128" t="str">
        <f t="shared" ca="1" si="19"/>
        <v/>
      </c>
      <c r="F114" s="25" t="str">
        <f t="shared" ca="1" si="17"/>
        <v/>
      </c>
      <c r="G114" s="107"/>
      <c r="H114" s="55" t="str">
        <f t="shared" ca="1" si="18"/>
        <v/>
      </c>
      <c r="J114" s="71"/>
      <c r="K114" s="71"/>
      <c r="M114" s="95" t="str">
        <f t="shared" si="10"/>
        <v/>
      </c>
      <c r="N114" s="95" t="str">
        <f t="shared" si="11"/>
        <v/>
      </c>
      <c r="U114" s="37"/>
      <c r="W114" s="37" t="str">
        <f t="shared" si="12"/>
        <v/>
      </c>
    </row>
    <row r="115" spans="1:23" x14ac:dyDescent="0.25">
      <c r="A115" s="98" t="str">
        <f t="shared" ca="1" si="14"/>
        <v/>
      </c>
      <c r="B115" s="33" t="str" cm="1">
        <f t="array" aca="1" ref="B115" ca="1">IF(COUNTIF(J:J,A115)=1,_xll.avmCdsSpreadForDate($Q$4,$Q$5,$Q$7,$Q$6,A115,$Q$1), IF(COUNTIF(J:J,A115)=0,$B$9,""))</f>
        <v/>
      </c>
      <c r="C115" s="77" t="str">
        <f t="shared" ca="1" si="15"/>
        <v/>
      </c>
      <c r="D115" s="107" t="str">
        <f t="shared" ca="1" si="16"/>
        <v/>
      </c>
      <c r="E115" s="128" t="str">
        <f t="shared" ca="1" si="19"/>
        <v/>
      </c>
      <c r="F115" s="25" t="str">
        <f t="shared" ca="1" si="17"/>
        <v/>
      </c>
      <c r="G115" s="107"/>
      <c r="H115" s="55" t="str">
        <f t="shared" ca="1" si="18"/>
        <v/>
      </c>
      <c r="J115" s="71"/>
      <c r="K115" s="71"/>
      <c r="M115" s="95" t="str">
        <f t="shared" si="10"/>
        <v/>
      </c>
      <c r="N115" s="95" t="str">
        <f t="shared" si="11"/>
        <v/>
      </c>
      <c r="U115" s="37"/>
      <c r="W115" s="37" t="str">
        <f t="shared" si="12"/>
        <v/>
      </c>
    </row>
    <row r="116" spans="1:23" x14ac:dyDescent="0.25">
      <c r="A116" s="98" t="str">
        <f t="shared" ca="1" si="14"/>
        <v/>
      </c>
      <c r="B116" s="33" t="str" cm="1">
        <f t="array" aca="1" ref="B116" ca="1">IF(COUNTIF(J:J,A116)=1,_xll.avmCdsSpreadForDate($Q$4,$Q$5,$Q$7,$Q$6,A116,$Q$1), IF(COUNTIF(J:J,A116)=0,$B$9,""))</f>
        <v/>
      </c>
      <c r="C116" s="77" t="str">
        <f t="shared" ca="1" si="15"/>
        <v/>
      </c>
      <c r="D116" s="107" t="str">
        <f t="shared" ca="1" si="16"/>
        <v/>
      </c>
      <c r="E116" s="128" t="str">
        <f t="shared" ca="1" si="19"/>
        <v/>
      </c>
      <c r="F116" s="25" t="str">
        <f t="shared" ca="1" si="17"/>
        <v/>
      </c>
      <c r="G116" s="107"/>
      <c r="H116" s="55" t="str">
        <f t="shared" ca="1" si="18"/>
        <v/>
      </c>
      <c r="J116" s="71"/>
      <c r="K116" s="71"/>
      <c r="M116" s="95" t="str">
        <f t="shared" si="10"/>
        <v/>
      </c>
      <c r="N116" s="95" t="str">
        <f t="shared" si="11"/>
        <v/>
      </c>
      <c r="U116" s="37"/>
      <c r="W116" s="37" t="str">
        <f t="shared" si="12"/>
        <v/>
      </c>
    </row>
    <row r="117" spans="1:23" x14ac:dyDescent="0.25">
      <c r="A117" s="98" t="str">
        <f t="shared" ca="1" si="14"/>
        <v/>
      </c>
      <c r="B117" s="33" t="str" cm="1">
        <f t="array" aca="1" ref="B117" ca="1">IF(COUNTIF(J:J,A117)=1,_xll.avmCdsSpreadForDate($Q$4,$Q$5,$Q$7,$Q$6,A117,$Q$1), IF(COUNTIF(J:J,A117)=0,$B$9,""))</f>
        <v/>
      </c>
      <c r="C117" s="77" t="str">
        <f t="shared" ca="1" si="15"/>
        <v/>
      </c>
      <c r="D117" s="107" t="str">
        <f t="shared" ca="1" si="16"/>
        <v/>
      </c>
      <c r="E117" s="128" t="str">
        <f t="shared" ca="1" si="19"/>
        <v/>
      </c>
      <c r="F117" s="25" t="str">
        <f t="shared" ca="1" si="17"/>
        <v/>
      </c>
      <c r="G117" s="107"/>
      <c r="H117" s="55" t="str">
        <f t="shared" ca="1" si="18"/>
        <v/>
      </c>
      <c r="J117" s="71"/>
      <c r="K117" s="71"/>
      <c r="M117" s="95" t="str">
        <f t="shared" si="10"/>
        <v/>
      </c>
      <c r="N117" s="95" t="str">
        <f t="shared" si="11"/>
        <v/>
      </c>
      <c r="U117" s="37"/>
      <c r="W117" s="37" t="str">
        <f t="shared" si="12"/>
        <v/>
      </c>
    </row>
    <row r="118" spans="1:23" x14ac:dyDescent="0.25">
      <c r="A118" s="98" t="str">
        <f t="shared" ca="1" si="14"/>
        <v/>
      </c>
      <c r="B118" s="33" t="str" cm="1">
        <f t="array" aca="1" ref="B118" ca="1">IF(COUNTIF(J:J,A118)=1,_xll.avmCdsSpreadForDate($Q$4,$Q$5,$Q$7,$Q$6,A118,$Q$1), IF(COUNTIF(J:J,A118)=0,$B$9,""))</f>
        <v/>
      </c>
      <c r="C118" s="77" t="str">
        <f t="shared" ca="1" si="15"/>
        <v/>
      </c>
      <c r="D118" s="107" t="str">
        <f t="shared" ca="1" si="16"/>
        <v/>
      </c>
      <c r="E118" s="128" t="str">
        <f t="shared" ca="1" si="19"/>
        <v/>
      </c>
      <c r="F118" s="25" t="str">
        <f t="shared" ca="1" si="17"/>
        <v/>
      </c>
      <c r="G118" s="107"/>
      <c r="H118" s="55" t="str">
        <f t="shared" ca="1" si="18"/>
        <v/>
      </c>
      <c r="J118" s="71"/>
      <c r="K118" s="71"/>
      <c r="M118" s="95" t="str">
        <f t="shared" si="10"/>
        <v/>
      </c>
      <c r="N118" s="95" t="str">
        <f t="shared" si="11"/>
        <v/>
      </c>
      <c r="U118" s="37"/>
      <c r="W118" s="37" t="str">
        <f t="shared" si="12"/>
        <v/>
      </c>
    </row>
    <row r="119" spans="1:23" x14ac:dyDescent="0.25">
      <c r="A119" s="98" t="str">
        <f t="shared" ca="1" si="14"/>
        <v/>
      </c>
      <c r="B119" s="33" t="str" cm="1">
        <f t="array" aca="1" ref="B119" ca="1">IF(COUNTIF(J:J,A119)=1,_xll.avmCdsSpreadForDate($Q$4,$Q$5,$Q$7,$Q$6,A119,$Q$1), IF(COUNTIF(J:J,A119)=0,$B$9,""))</f>
        <v/>
      </c>
      <c r="C119" s="77" t="str">
        <f t="shared" ca="1" si="15"/>
        <v/>
      </c>
      <c r="D119" s="107" t="str">
        <f t="shared" ca="1" si="16"/>
        <v/>
      </c>
      <c r="E119" s="128" t="str">
        <f t="shared" ca="1" si="19"/>
        <v/>
      </c>
      <c r="F119" s="25" t="str">
        <f t="shared" ca="1" si="17"/>
        <v/>
      </c>
      <c r="G119" s="107"/>
      <c r="H119" s="55" t="str">
        <f t="shared" ca="1" si="18"/>
        <v/>
      </c>
      <c r="J119" s="71"/>
      <c r="K119" s="71"/>
      <c r="M119" s="95" t="str">
        <f t="shared" si="10"/>
        <v/>
      </c>
      <c r="N119" s="95" t="str">
        <f t="shared" si="11"/>
        <v/>
      </c>
      <c r="U119" s="37"/>
      <c r="W119" s="37" t="str">
        <f t="shared" si="12"/>
        <v/>
      </c>
    </row>
    <row r="120" spans="1:23" x14ac:dyDescent="0.25">
      <c r="A120" s="98" t="str">
        <f t="shared" ca="1" si="14"/>
        <v/>
      </c>
      <c r="B120" s="33" t="str" cm="1">
        <f t="array" aca="1" ref="B120" ca="1">IF(COUNTIF(J:J,A120)=1,_xll.avmCdsSpreadForDate($Q$4,$Q$5,$Q$7,$Q$6,A120,$Q$1), IF(COUNTIF(J:J,A120)=0,$B$9,""))</f>
        <v/>
      </c>
      <c r="C120" s="77" t="str">
        <f t="shared" ca="1" si="15"/>
        <v/>
      </c>
      <c r="D120" s="107" t="str">
        <f t="shared" ca="1" si="16"/>
        <v/>
      </c>
      <c r="E120" s="128" t="str">
        <f t="shared" ca="1" si="19"/>
        <v/>
      </c>
      <c r="F120" s="25" t="str">
        <f t="shared" ca="1" si="17"/>
        <v/>
      </c>
      <c r="G120" s="107"/>
      <c r="H120" s="55" t="str">
        <f t="shared" ca="1" si="18"/>
        <v/>
      </c>
      <c r="J120" s="71"/>
      <c r="K120" s="71"/>
      <c r="M120" s="95" t="str">
        <f t="shared" si="10"/>
        <v/>
      </c>
      <c r="N120" s="95" t="str">
        <f t="shared" si="11"/>
        <v/>
      </c>
      <c r="U120" s="37"/>
      <c r="W120" s="37" t="str">
        <f t="shared" si="12"/>
        <v/>
      </c>
    </row>
    <row r="121" spans="1:23" x14ac:dyDescent="0.25">
      <c r="A121" s="98" t="str">
        <f t="shared" ca="1" si="14"/>
        <v/>
      </c>
      <c r="B121" s="33" t="str" cm="1">
        <f t="array" aca="1" ref="B121" ca="1">IF(COUNTIF(J:J,A121)=1,_xll.avmCdsSpreadForDate($Q$4,$Q$5,$Q$7,$Q$6,A121,$Q$1), IF(COUNTIF(J:J,A121)=0,$B$9,""))</f>
        <v/>
      </c>
      <c r="C121" s="77" t="str">
        <f t="shared" ca="1" si="15"/>
        <v/>
      </c>
      <c r="D121" s="107" t="str">
        <f t="shared" ca="1" si="16"/>
        <v/>
      </c>
      <c r="E121" s="128" t="str">
        <f t="shared" ca="1" si="19"/>
        <v/>
      </c>
      <c r="F121" s="25" t="str">
        <f t="shared" ca="1" si="17"/>
        <v/>
      </c>
      <c r="G121" s="107"/>
      <c r="H121" s="55" t="str">
        <f t="shared" ca="1" si="18"/>
        <v/>
      </c>
      <c r="J121" s="71"/>
      <c r="K121" s="71"/>
      <c r="M121" s="95" t="str">
        <f t="shared" si="10"/>
        <v/>
      </c>
      <c r="N121" s="95" t="str">
        <f t="shared" si="11"/>
        <v/>
      </c>
      <c r="U121" s="37"/>
      <c r="W121" s="37" t="str">
        <f t="shared" si="12"/>
        <v/>
      </c>
    </row>
    <row r="122" spans="1:23" x14ac:dyDescent="0.25">
      <c r="A122" s="98" t="str">
        <f t="shared" ca="1" si="14"/>
        <v/>
      </c>
      <c r="B122" s="33" t="str" cm="1">
        <f t="array" aca="1" ref="B122" ca="1">IF(COUNTIF(J:J,A122)=1,_xll.avmCdsSpreadForDate($Q$4,$Q$5,$Q$7,$Q$6,A122,$Q$1), IF(COUNTIF(J:J,A122)=0,$B$9,""))</f>
        <v/>
      </c>
      <c r="C122" s="77" t="str">
        <f t="shared" ca="1" si="15"/>
        <v/>
      </c>
      <c r="D122" s="107" t="str">
        <f t="shared" ca="1" si="16"/>
        <v/>
      </c>
      <c r="E122" s="128" t="str">
        <f t="shared" ca="1" si="19"/>
        <v/>
      </c>
      <c r="F122" s="25" t="str">
        <f t="shared" ca="1" si="17"/>
        <v/>
      </c>
      <c r="G122" s="107"/>
      <c r="H122" s="55" t="str">
        <f t="shared" ca="1" si="18"/>
        <v/>
      </c>
      <c r="J122" s="71"/>
      <c r="K122" s="71"/>
      <c r="M122" s="95" t="str">
        <f t="shared" si="10"/>
        <v/>
      </c>
      <c r="N122" s="95" t="str">
        <f t="shared" si="11"/>
        <v/>
      </c>
      <c r="U122" s="37"/>
      <c r="W122" s="37" t="str">
        <f t="shared" si="12"/>
        <v/>
      </c>
    </row>
    <row r="123" spans="1:23" x14ac:dyDescent="0.25">
      <c r="A123" s="98" t="str">
        <f t="shared" ca="1" si="14"/>
        <v/>
      </c>
      <c r="B123" s="33" t="str" cm="1">
        <f t="array" aca="1" ref="B123" ca="1">IF(COUNTIF(J:J,A123)=1,_xll.avmCdsSpreadForDate($Q$4,$Q$5,$Q$7,$Q$6,A123,$Q$1), IF(COUNTIF(J:J,A123)=0,$B$9,""))</f>
        <v/>
      </c>
      <c r="C123" s="77" t="str">
        <f t="shared" ca="1" si="15"/>
        <v/>
      </c>
      <c r="D123" s="107" t="str">
        <f t="shared" ca="1" si="16"/>
        <v/>
      </c>
      <c r="E123" s="128" t="str">
        <f t="shared" ca="1" si="19"/>
        <v/>
      </c>
      <c r="F123" s="25" t="str">
        <f t="shared" ca="1" si="17"/>
        <v/>
      </c>
      <c r="G123" s="107"/>
      <c r="H123" s="55" t="str">
        <f t="shared" ca="1" si="18"/>
        <v/>
      </c>
      <c r="J123" s="71"/>
      <c r="K123" s="71"/>
      <c r="M123" s="95" t="str">
        <f t="shared" si="10"/>
        <v/>
      </c>
      <c r="N123" s="95" t="str">
        <f t="shared" si="11"/>
        <v/>
      </c>
      <c r="U123" s="37"/>
      <c r="W123" s="37" t="str">
        <f t="shared" si="12"/>
        <v/>
      </c>
    </row>
    <row r="124" spans="1:23" x14ac:dyDescent="0.25">
      <c r="A124" s="98" t="str">
        <f t="shared" ca="1" si="14"/>
        <v/>
      </c>
      <c r="B124" s="33" t="str" cm="1">
        <f t="array" aca="1" ref="B124" ca="1">IF(COUNTIF(J:J,A124)=1,_xll.avmCdsSpreadForDate($Q$4,$Q$5,$Q$7,$Q$6,A124,$Q$1), IF(COUNTIF(J:J,A124)=0,$B$9,""))</f>
        <v/>
      </c>
      <c r="C124" s="77" t="str">
        <f t="shared" ca="1" si="15"/>
        <v/>
      </c>
      <c r="D124" s="107" t="str">
        <f t="shared" ca="1" si="16"/>
        <v/>
      </c>
      <c r="E124" s="128" t="str">
        <f t="shared" ca="1" si="19"/>
        <v/>
      </c>
      <c r="F124" s="25" t="str">
        <f t="shared" ca="1" si="17"/>
        <v/>
      </c>
      <c r="G124" s="107"/>
      <c r="H124" s="55" t="str">
        <f t="shared" ca="1" si="18"/>
        <v/>
      </c>
      <c r="J124" s="71"/>
      <c r="K124" s="71"/>
      <c r="M124" s="95" t="str">
        <f t="shared" si="10"/>
        <v/>
      </c>
      <c r="N124" s="95" t="str">
        <f t="shared" si="11"/>
        <v/>
      </c>
      <c r="U124" s="37"/>
      <c r="W124" s="37" t="str">
        <f t="shared" si="12"/>
        <v/>
      </c>
    </row>
    <row r="125" spans="1:23" x14ac:dyDescent="0.25">
      <c r="A125" s="98" t="str">
        <f t="shared" ca="1" si="14"/>
        <v/>
      </c>
      <c r="B125" s="33" t="str" cm="1">
        <f t="array" aca="1" ref="B125" ca="1">IF(COUNTIF(J:J,A125)=1,_xll.avmCdsSpreadForDate($Q$4,$Q$5,$Q$7,$Q$6,A125,$Q$1), IF(COUNTIF(J:J,A125)=0,$B$9,""))</f>
        <v/>
      </c>
      <c r="C125" s="77" t="str">
        <f t="shared" ca="1" si="15"/>
        <v/>
      </c>
      <c r="D125" s="107" t="str">
        <f t="shared" ca="1" si="16"/>
        <v/>
      </c>
      <c r="E125" s="128" t="str">
        <f t="shared" ca="1" si="19"/>
        <v/>
      </c>
      <c r="F125" s="25" t="str">
        <f t="shared" ca="1" si="17"/>
        <v/>
      </c>
      <c r="G125" s="107"/>
      <c r="H125" s="55" t="str">
        <f t="shared" ca="1" si="18"/>
        <v/>
      </c>
      <c r="J125" s="71"/>
      <c r="K125" s="71"/>
      <c r="M125" s="95" t="str">
        <f t="shared" si="10"/>
        <v/>
      </c>
      <c r="N125" s="95" t="str">
        <f t="shared" si="11"/>
        <v/>
      </c>
      <c r="U125" s="37"/>
      <c r="W125" s="37" t="str">
        <f t="shared" si="12"/>
        <v/>
      </c>
    </row>
    <row r="126" spans="1:23" x14ac:dyDescent="0.25">
      <c r="A126" s="98" t="str">
        <f t="shared" ca="1" si="14"/>
        <v/>
      </c>
      <c r="B126" s="33" t="str" cm="1">
        <f t="array" aca="1" ref="B126" ca="1">IF(COUNTIF(J:J,A126)=1,_xll.avmCdsSpreadForDate($Q$4,$Q$5,$Q$7,$Q$6,A126,$Q$1), IF(COUNTIF(J:J,A126)=0,$B$9,""))</f>
        <v/>
      </c>
      <c r="C126" s="77" t="str">
        <f t="shared" ca="1" si="15"/>
        <v/>
      </c>
      <c r="D126" s="107" t="str">
        <f t="shared" ca="1" si="16"/>
        <v/>
      </c>
      <c r="E126" s="128" t="str">
        <f t="shared" ca="1" si="19"/>
        <v/>
      </c>
      <c r="F126" s="25" t="str">
        <f t="shared" ca="1" si="17"/>
        <v/>
      </c>
      <c r="G126" s="107"/>
      <c r="H126" s="55" t="str">
        <f t="shared" ca="1" si="18"/>
        <v/>
      </c>
      <c r="J126" s="71"/>
      <c r="K126" s="71"/>
      <c r="M126" s="95" t="str">
        <f t="shared" si="10"/>
        <v/>
      </c>
      <c r="N126" s="95" t="str">
        <f t="shared" si="11"/>
        <v/>
      </c>
      <c r="U126" s="37"/>
      <c r="W126" s="37" t="str">
        <f t="shared" si="12"/>
        <v/>
      </c>
    </row>
    <row r="127" spans="1:23" x14ac:dyDescent="0.25">
      <c r="A127" s="98" t="str">
        <f t="shared" ca="1" si="14"/>
        <v/>
      </c>
      <c r="B127" s="33" t="str" cm="1">
        <f t="array" aca="1" ref="B127" ca="1">IF(COUNTIF(J:J,A127)=1,_xll.avmCdsSpreadForDate($Q$4,$Q$5,$Q$7,$Q$6,A127,$Q$1), IF(COUNTIF(J:J,A127)=0,$B$9,""))</f>
        <v/>
      </c>
      <c r="C127" s="77" t="str">
        <f t="shared" ca="1" si="15"/>
        <v/>
      </c>
      <c r="D127" s="107" t="str">
        <f t="shared" ca="1" si="16"/>
        <v/>
      </c>
      <c r="E127" s="128" t="str">
        <f t="shared" ca="1" si="19"/>
        <v/>
      </c>
      <c r="F127" s="25" t="str">
        <f t="shared" ca="1" si="17"/>
        <v/>
      </c>
      <c r="G127" s="107"/>
      <c r="H127" s="55" t="str">
        <f t="shared" ca="1" si="18"/>
        <v/>
      </c>
      <c r="J127" s="71"/>
      <c r="K127" s="71"/>
      <c r="M127" s="95" t="str">
        <f t="shared" si="10"/>
        <v/>
      </c>
      <c r="N127" s="95" t="str">
        <f t="shared" si="11"/>
        <v/>
      </c>
      <c r="U127" s="37"/>
      <c r="W127" s="37" t="str">
        <f t="shared" si="12"/>
        <v/>
      </c>
    </row>
    <row r="128" spans="1:23" x14ac:dyDescent="0.25">
      <c r="A128" s="98" t="str">
        <f t="shared" ca="1" si="14"/>
        <v/>
      </c>
      <c r="B128" s="33" t="str" cm="1">
        <f t="array" aca="1" ref="B128" ca="1">IF(COUNTIF(J:J,A128)=1,_xll.avmCdsSpreadForDate($Q$4,$Q$5,$Q$7,$Q$6,A128,$Q$1), IF(COUNTIF(J:J,A128)=0,$B$9,""))</f>
        <v/>
      </c>
      <c r="C128" s="77" t="str">
        <f t="shared" ca="1" si="15"/>
        <v/>
      </c>
      <c r="D128" s="107" t="str">
        <f t="shared" ca="1" si="16"/>
        <v/>
      </c>
      <c r="E128" s="128" t="str">
        <f t="shared" ca="1" si="19"/>
        <v/>
      </c>
      <c r="F128" s="25" t="str">
        <f t="shared" ca="1" si="17"/>
        <v/>
      </c>
      <c r="G128" s="107"/>
      <c r="H128" s="55" t="str">
        <f t="shared" ca="1" si="18"/>
        <v/>
      </c>
      <c r="J128" s="71"/>
      <c r="K128" s="71"/>
      <c r="M128" s="95" t="str">
        <f t="shared" si="10"/>
        <v/>
      </c>
      <c r="N128" s="95" t="str">
        <f t="shared" si="11"/>
        <v/>
      </c>
      <c r="U128" s="37"/>
      <c r="W128" s="37" t="str">
        <f t="shared" si="12"/>
        <v/>
      </c>
    </row>
    <row r="129" spans="1:23" x14ac:dyDescent="0.25">
      <c r="A129" s="98" t="str">
        <f t="shared" ca="1" si="14"/>
        <v/>
      </c>
      <c r="B129" s="33" t="str" cm="1">
        <f t="array" aca="1" ref="B129" ca="1">IF(COUNTIF(J:J,A129)=1,_xll.avmCdsSpreadForDate($Q$4,$Q$5,$Q$7,$Q$6,A129,$Q$1), IF(COUNTIF(J:J,A129)=0,$B$9,""))</f>
        <v/>
      </c>
      <c r="C129" s="77" t="str">
        <f t="shared" ca="1" si="15"/>
        <v/>
      </c>
      <c r="D129" s="107" t="str">
        <f t="shared" ca="1" si="16"/>
        <v/>
      </c>
      <c r="E129" s="128" t="str">
        <f t="shared" ca="1" si="19"/>
        <v/>
      </c>
      <c r="F129" s="25" t="str">
        <f t="shared" ca="1" si="17"/>
        <v/>
      </c>
      <c r="G129" s="107"/>
      <c r="H129" s="55" t="str">
        <f t="shared" ca="1" si="18"/>
        <v/>
      </c>
      <c r="J129" s="71"/>
      <c r="K129" s="71"/>
      <c r="M129" s="95" t="str">
        <f t="shared" si="10"/>
        <v/>
      </c>
      <c r="N129" s="95" t="str">
        <f t="shared" si="11"/>
        <v/>
      </c>
      <c r="U129" s="37"/>
      <c r="W129" s="37" t="str">
        <f t="shared" si="12"/>
        <v/>
      </c>
    </row>
    <row r="130" spans="1:23" x14ac:dyDescent="0.25">
      <c r="A130" s="98" t="str">
        <f t="shared" ca="1" si="14"/>
        <v/>
      </c>
      <c r="B130" s="33" t="str" cm="1">
        <f t="array" aca="1" ref="B130" ca="1">IF(COUNTIF(J:J,A130)=1,_xll.avmCdsSpreadForDate($Q$4,$Q$5,$Q$7,$Q$6,A130,$Q$1), IF(COUNTIF(J:J,A130)=0,$B$9,""))</f>
        <v/>
      </c>
      <c r="C130" s="77" t="str">
        <f t="shared" ca="1" si="15"/>
        <v/>
      </c>
      <c r="D130" s="107" t="str">
        <f t="shared" ca="1" si="16"/>
        <v/>
      </c>
      <c r="E130" s="128" t="str">
        <f t="shared" ca="1" si="19"/>
        <v/>
      </c>
      <c r="F130" s="25" t="str">
        <f t="shared" ca="1" si="17"/>
        <v/>
      </c>
      <c r="G130" s="107"/>
      <c r="H130" s="55" t="str">
        <f t="shared" ca="1" si="18"/>
        <v/>
      </c>
      <c r="J130" s="71"/>
      <c r="K130" s="71"/>
      <c r="M130" s="95" t="str">
        <f t="shared" si="10"/>
        <v/>
      </c>
      <c r="N130" s="95" t="str">
        <f t="shared" si="11"/>
        <v/>
      </c>
      <c r="U130" s="37"/>
      <c r="W130" s="37" t="str">
        <f t="shared" si="12"/>
        <v/>
      </c>
    </row>
    <row r="131" spans="1:23" x14ac:dyDescent="0.25">
      <c r="A131" s="98" t="str">
        <f t="shared" ca="1" si="14"/>
        <v/>
      </c>
      <c r="B131" s="33" t="str" cm="1">
        <f t="array" aca="1" ref="B131" ca="1">IF(COUNTIF(J:J,A131)=1,_xll.avmCdsSpreadForDate($Q$4,$Q$5,$Q$7,$Q$6,A131,$Q$1), IF(COUNTIF(J:J,A131)=0,$B$9,""))</f>
        <v/>
      </c>
      <c r="C131" s="77" t="str">
        <f t="shared" ca="1" si="15"/>
        <v/>
      </c>
      <c r="D131" s="107" t="str">
        <f t="shared" ca="1" si="16"/>
        <v/>
      </c>
      <c r="E131" s="128" t="str">
        <f t="shared" ca="1" si="19"/>
        <v/>
      </c>
      <c r="F131" s="25" t="str">
        <f t="shared" ca="1" si="17"/>
        <v/>
      </c>
      <c r="G131" s="107"/>
      <c r="H131" s="55" t="str">
        <f t="shared" ca="1" si="18"/>
        <v/>
      </c>
      <c r="J131" s="71"/>
      <c r="K131" s="71"/>
      <c r="M131" s="95" t="str">
        <f t="shared" ref="M131:M194" si="20">IF(COUNTIF(K:K,J131),J131,"")</f>
        <v/>
      </c>
      <c r="N131" s="95" t="str">
        <f t="shared" si="11"/>
        <v/>
      </c>
      <c r="U131" s="37"/>
      <c r="W131" s="37" t="str">
        <f t="shared" si="12"/>
        <v/>
      </c>
    </row>
    <row r="132" spans="1:23" x14ac:dyDescent="0.25">
      <c r="A132" s="98" t="str">
        <f t="shared" ca="1" si="14"/>
        <v/>
      </c>
      <c r="B132" s="33" t="str" cm="1">
        <f t="array" aca="1" ref="B132" ca="1">IF(COUNTIF(J:J,A132)=1,_xll.avmCdsSpreadForDate($Q$4,$Q$5,$Q$7,$Q$6,A132,$Q$1), IF(COUNTIF(J:J,A132)=0,$B$9,""))</f>
        <v/>
      </c>
      <c r="C132" s="77" t="str">
        <f t="shared" ca="1" si="15"/>
        <v/>
      </c>
      <c r="D132" s="107" t="str">
        <f t="shared" ca="1" si="16"/>
        <v/>
      </c>
      <c r="E132" s="128" t="str">
        <f t="shared" ca="1" si="19"/>
        <v/>
      </c>
      <c r="F132" s="25" t="str">
        <f t="shared" ca="1" si="17"/>
        <v/>
      </c>
      <c r="G132" s="107"/>
      <c r="H132" s="55" t="str">
        <f t="shared" ca="1" si="18"/>
        <v/>
      </c>
      <c r="J132" s="71"/>
      <c r="K132" s="71"/>
      <c r="M132" s="95" t="str">
        <f t="shared" si="20"/>
        <v/>
      </c>
      <c r="N132" s="95" t="str">
        <f t="shared" ref="N132:N195" si="21">IF(M132&gt;$A$14,M132,"")</f>
        <v/>
      </c>
      <c r="U132" s="37"/>
      <c r="W132" s="37" t="str">
        <f t="shared" ref="W132:W195" si="22">IF(COUNTIF(U:U,S132),S132,"")</f>
        <v/>
      </c>
    </row>
    <row r="133" spans="1:23" x14ac:dyDescent="0.25">
      <c r="A133" s="98" t="str">
        <f t="shared" ca="1" si="14"/>
        <v/>
      </c>
      <c r="B133" s="33" t="str" cm="1">
        <f t="array" aca="1" ref="B133" ca="1">IF(COUNTIF(J:J,A133)=1,_xll.avmCdsSpreadForDate($Q$4,$Q$5,$Q$7,$Q$6,A133,$Q$1), IF(COUNTIF(J:J,A133)=0,$B$9,""))</f>
        <v/>
      </c>
      <c r="C133" s="77" t="str">
        <f t="shared" ca="1" si="15"/>
        <v/>
      </c>
      <c r="D133" s="107" t="str">
        <f t="shared" ca="1" si="16"/>
        <v/>
      </c>
      <c r="E133" s="128" t="str">
        <f t="shared" ca="1" si="19"/>
        <v/>
      </c>
      <c r="F133" s="25" t="str">
        <f t="shared" ca="1" si="17"/>
        <v/>
      </c>
      <c r="G133" s="107"/>
      <c r="H133" s="55" t="str">
        <f t="shared" ca="1" si="18"/>
        <v/>
      </c>
      <c r="J133" s="71"/>
      <c r="K133" s="71"/>
      <c r="M133" s="95" t="str">
        <f t="shared" si="20"/>
        <v/>
      </c>
      <c r="N133" s="95" t="str">
        <f t="shared" si="21"/>
        <v/>
      </c>
      <c r="U133" s="37"/>
      <c r="W133" s="37" t="str">
        <f t="shared" si="22"/>
        <v/>
      </c>
    </row>
    <row r="134" spans="1:23" x14ac:dyDescent="0.25">
      <c r="A134" s="98" t="str">
        <f t="shared" ca="1" si="14"/>
        <v/>
      </c>
      <c r="B134" s="33" t="str" cm="1">
        <f t="array" aca="1" ref="B134" ca="1">IF(COUNTIF(J:J,A134)=1,_xll.avmCdsSpreadForDate($Q$4,$Q$5,$Q$7,$Q$6,A134,$Q$1), IF(COUNTIF(J:J,A134)=0,$B$9,""))</f>
        <v/>
      </c>
      <c r="C134" s="77" t="str">
        <f t="shared" ca="1" si="15"/>
        <v/>
      </c>
      <c r="D134" s="107" t="str">
        <f t="shared" ca="1" si="16"/>
        <v/>
      </c>
      <c r="E134" s="128" t="str">
        <f t="shared" ca="1" si="19"/>
        <v/>
      </c>
      <c r="F134" s="25" t="str">
        <f t="shared" ca="1" si="17"/>
        <v/>
      </c>
      <c r="G134" s="107"/>
      <c r="H134" s="55" t="str">
        <f t="shared" ca="1" si="18"/>
        <v/>
      </c>
      <c r="J134" s="71"/>
      <c r="K134" s="71"/>
      <c r="M134" s="95" t="str">
        <f t="shared" si="20"/>
        <v/>
      </c>
      <c r="N134" s="95" t="str">
        <f t="shared" si="21"/>
        <v/>
      </c>
      <c r="U134" s="37"/>
      <c r="W134" s="37" t="str">
        <f t="shared" si="22"/>
        <v/>
      </c>
    </row>
    <row r="135" spans="1:23" x14ac:dyDescent="0.25">
      <c r="A135" s="98" t="str">
        <f t="shared" ca="1" si="14"/>
        <v/>
      </c>
      <c r="B135" s="33" t="str" cm="1">
        <f t="array" aca="1" ref="B135" ca="1">IF(COUNTIF(J:J,A135)=1,_xll.avmCdsSpreadForDate($Q$4,$Q$5,$Q$7,$Q$6,A135,$Q$1), IF(COUNTIF(J:J,A135)=0,$B$9,""))</f>
        <v/>
      </c>
      <c r="C135" s="77" t="str">
        <f t="shared" ca="1" si="15"/>
        <v/>
      </c>
      <c r="D135" s="107" t="str">
        <f t="shared" ca="1" si="16"/>
        <v/>
      </c>
      <c r="E135" s="128" t="str">
        <f t="shared" ca="1" si="19"/>
        <v/>
      </c>
      <c r="F135" s="25" t="str">
        <f t="shared" ca="1" si="17"/>
        <v/>
      </c>
      <c r="G135" s="107"/>
      <c r="H135" s="55" t="str">
        <f t="shared" ca="1" si="18"/>
        <v/>
      </c>
      <c r="J135" s="71"/>
      <c r="K135" s="71"/>
      <c r="M135" s="95" t="str">
        <f t="shared" si="20"/>
        <v/>
      </c>
      <c r="N135" s="95" t="str">
        <f t="shared" si="21"/>
        <v/>
      </c>
      <c r="U135" s="37"/>
      <c r="W135" s="37" t="str">
        <f t="shared" si="22"/>
        <v/>
      </c>
    </row>
    <row r="136" spans="1:23" x14ac:dyDescent="0.25">
      <c r="A136" s="98" t="str">
        <f t="shared" ca="1" si="14"/>
        <v/>
      </c>
      <c r="B136" s="33" t="str" cm="1">
        <f t="array" aca="1" ref="B136" ca="1">IF(COUNTIF(J:J,A136)=1,_xll.avmCdsSpreadForDate($Q$4,$Q$5,$Q$7,$Q$6,A136,$Q$1), IF(COUNTIF(J:J,A136)=0,$B$9,""))</f>
        <v/>
      </c>
      <c r="C136" s="77" t="str">
        <f t="shared" ca="1" si="15"/>
        <v/>
      </c>
      <c r="D136" s="107" t="str">
        <f t="shared" ca="1" si="16"/>
        <v/>
      </c>
      <c r="E136" s="128" t="str">
        <f t="shared" ca="1" si="19"/>
        <v/>
      </c>
      <c r="F136" s="25" t="str">
        <f t="shared" ca="1" si="17"/>
        <v/>
      </c>
      <c r="G136" s="107"/>
      <c r="H136" s="55" t="str">
        <f t="shared" ca="1" si="18"/>
        <v/>
      </c>
      <c r="J136" s="71"/>
      <c r="K136" s="71"/>
      <c r="M136" s="95" t="str">
        <f t="shared" si="20"/>
        <v/>
      </c>
      <c r="N136" s="95" t="str">
        <f t="shared" si="21"/>
        <v/>
      </c>
      <c r="U136" s="37"/>
      <c r="W136" s="37" t="str">
        <f t="shared" si="22"/>
        <v/>
      </c>
    </row>
    <row r="137" spans="1:23" x14ac:dyDescent="0.25">
      <c r="A137" s="98"/>
      <c r="B137" s="33"/>
      <c r="C137" s="25"/>
      <c r="D137" s="26"/>
      <c r="E137" s="128"/>
      <c r="F137" s="25"/>
      <c r="G137" s="26"/>
      <c r="H137" s="55"/>
      <c r="J137" s="71"/>
      <c r="K137" s="71"/>
      <c r="M137" s="95" t="str">
        <f t="shared" si="20"/>
        <v/>
      </c>
      <c r="N137" s="95" t="str">
        <f t="shared" si="21"/>
        <v/>
      </c>
      <c r="U137" s="37"/>
      <c r="W137" s="37" t="str">
        <f t="shared" si="22"/>
        <v/>
      </c>
    </row>
    <row r="138" spans="1:23" x14ac:dyDescent="0.25">
      <c r="A138" s="98"/>
      <c r="B138" s="33"/>
      <c r="C138" s="25"/>
      <c r="D138" s="26"/>
      <c r="E138" s="128"/>
      <c r="F138" s="25"/>
      <c r="G138" s="26"/>
      <c r="H138" s="55"/>
      <c r="J138" s="71"/>
      <c r="K138" s="71"/>
      <c r="M138" s="95" t="str">
        <f t="shared" si="20"/>
        <v/>
      </c>
      <c r="N138" s="95" t="str">
        <f t="shared" si="21"/>
        <v/>
      </c>
      <c r="U138" s="37"/>
      <c r="W138" s="37" t="str">
        <f t="shared" si="22"/>
        <v/>
      </c>
    </row>
    <row r="139" spans="1:23" x14ac:dyDescent="0.25">
      <c r="A139" s="98"/>
      <c r="B139" s="33"/>
      <c r="C139" s="25"/>
      <c r="D139" s="26"/>
      <c r="E139" s="128"/>
      <c r="F139" s="25"/>
      <c r="G139" s="26"/>
      <c r="H139" s="55"/>
      <c r="J139" s="71"/>
      <c r="K139" s="71"/>
      <c r="M139" s="95" t="str">
        <f t="shared" si="20"/>
        <v/>
      </c>
      <c r="N139" s="95" t="str">
        <f t="shared" si="21"/>
        <v/>
      </c>
      <c r="U139" s="37"/>
      <c r="W139" s="37" t="str">
        <f t="shared" si="22"/>
        <v/>
      </c>
    </row>
    <row r="140" spans="1:23" x14ac:dyDescent="0.25">
      <c r="A140" s="98"/>
      <c r="B140" s="33"/>
      <c r="C140" s="25"/>
      <c r="D140" s="26"/>
      <c r="E140" s="128"/>
      <c r="F140" s="25"/>
      <c r="G140" s="26"/>
      <c r="H140" s="55"/>
      <c r="J140" s="71"/>
      <c r="M140" s="95" t="str">
        <f t="shared" si="20"/>
        <v/>
      </c>
      <c r="N140" s="95" t="str">
        <f t="shared" si="21"/>
        <v/>
      </c>
      <c r="U140" s="37"/>
      <c r="W140" s="37" t="str">
        <f t="shared" si="22"/>
        <v/>
      </c>
    </row>
    <row r="141" spans="1:23" x14ac:dyDescent="0.25">
      <c r="A141" s="98"/>
      <c r="B141" s="33"/>
      <c r="C141" s="25"/>
      <c r="D141" s="26"/>
      <c r="E141" s="128"/>
      <c r="F141" s="25"/>
      <c r="G141" s="26"/>
      <c r="H141" s="55"/>
      <c r="J141" s="71"/>
      <c r="M141" s="95" t="str">
        <f t="shared" si="20"/>
        <v/>
      </c>
      <c r="N141" s="95" t="str">
        <f t="shared" si="21"/>
        <v/>
      </c>
      <c r="U141" s="37"/>
      <c r="W141" s="37" t="str">
        <f t="shared" si="22"/>
        <v/>
      </c>
    </row>
    <row r="142" spans="1:23" x14ac:dyDescent="0.25">
      <c r="A142" s="98"/>
      <c r="B142" s="33"/>
      <c r="C142" s="25"/>
      <c r="D142" s="26"/>
      <c r="E142" s="128"/>
      <c r="F142" s="25"/>
      <c r="G142" s="26"/>
      <c r="H142" s="55"/>
      <c r="J142" s="71"/>
      <c r="M142" s="95" t="str">
        <f t="shared" si="20"/>
        <v/>
      </c>
      <c r="N142" s="95" t="str">
        <f t="shared" si="21"/>
        <v/>
      </c>
      <c r="U142" s="37"/>
      <c r="W142" s="37" t="str">
        <f t="shared" si="22"/>
        <v/>
      </c>
    </row>
    <row r="143" spans="1:23" x14ac:dyDescent="0.25">
      <c r="A143" s="98"/>
      <c r="B143" s="33"/>
      <c r="C143" s="25"/>
      <c r="D143" s="26"/>
      <c r="E143" s="128"/>
      <c r="F143" s="25"/>
      <c r="G143" s="26"/>
      <c r="H143" s="55"/>
      <c r="J143" s="71"/>
      <c r="M143" s="95" t="str">
        <f t="shared" si="20"/>
        <v/>
      </c>
      <c r="N143" s="95" t="str">
        <f t="shared" si="21"/>
        <v/>
      </c>
      <c r="U143" s="37"/>
      <c r="W143" s="37" t="str">
        <f t="shared" si="22"/>
        <v/>
      </c>
    </row>
    <row r="144" spans="1:23" x14ac:dyDescent="0.25">
      <c r="A144" s="98"/>
      <c r="B144" s="33"/>
      <c r="C144" s="25"/>
      <c r="D144" s="26"/>
      <c r="E144" s="128"/>
      <c r="F144" s="25"/>
      <c r="G144" s="26"/>
      <c r="H144" s="55"/>
      <c r="J144" s="71"/>
      <c r="M144" s="95" t="str">
        <f t="shared" si="20"/>
        <v/>
      </c>
      <c r="N144" s="95" t="str">
        <f t="shared" si="21"/>
        <v/>
      </c>
      <c r="U144" s="37"/>
      <c r="W144" s="37" t="str">
        <f t="shared" si="22"/>
        <v/>
      </c>
    </row>
    <row r="145" spans="1:23" x14ac:dyDescent="0.25">
      <c r="A145" s="98"/>
      <c r="B145" s="33"/>
      <c r="C145" s="25"/>
      <c r="D145" s="26"/>
      <c r="E145" s="128"/>
      <c r="F145" s="25"/>
      <c r="G145" s="26"/>
      <c r="H145" s="55"/>
      <c r="J145" s="71"/>
      <c r="M145" s="95" t="str">
        <f t="shared" si="20"/>
        <v/>
      </c>
      <c r="N145" s="95" t="str">
        <f t="shared" si="21"/>
        <v/>
      </c>
      <c r="U145" s="37"/>
      <c r="W145" s="37" t="str">
        <f t="shared" si="22"/>
        <v/>
      </c>
    </row>
    <row r="146" spans="1:23" x14ac:dyDescent="0.25">
      <c r="A146" s="98"/>
      <c r="B146" s="33"/>
      <c r="C146" s="25"/>
      <c r="D146" s="26"/>
      <c r="E146" s="128"/>
      <c r="F146" s="25"/>
      <c r="G146" s="26"/>
      <c r="H146" s="55"/>
      <c r="J146" s="71"/>
      <c r="M146" s="95" t="str">
        <f t="shared" si="20"/>
        <v/>
      </c>
      <c r="N146" s="95" t="str">
        <f t="shared" si="21"/>
        <v/>
      </c>
      <c r="U146" s="37"/>
      <c r="W146" s="37" t="str">
        <f t="shared" si="22"/>
        <v/>
      </c>
    </row>
    <row r="147" spans="1:23" x14ac:dyDescent="0.25">
      <c r="A147" s="98"/>
      <c r="B147" s="33"/>
      <c r="C147" s="25"/>
      <c r="D147" s="26"/>
      <c r="E147" s="128"/>
      <c r="F147" s="25"/>
      <c r="G147" s="26"/>
      <c r="H147" s="55"/>
      <c r="M147" s="95" t="str">
        <f t="shared" si="20"/>
        <v/>
      </c>
      <c r="N147" s="95" t="str">
        <f t="shared" si="21"/>
        <v/>
      </c>
      <c r="U147" s="37"/>
      <c r="W147" s="37" t="str">
        <f t="shared" si="22"/>
        <v/>
      </c>
    </row>
    <row r="148" spans="1:23" x14ac:dyDescent="0.25">
      <c r="A148" s="98"/>
      <c r="B148" s="33"/>
      <c r="C148" s="25"/>
      <c r="D148" s="26"/>
      <c r="E148" s="128"/>
      <c r="F148" s="25"/>
      <c r="G148" s="26"/>
      <c r="H148" s="55"/>
      <c r="M148" s="95" t="str">
        <f t="shared" si="20"/>
        <v/>
      </c>
      <c r="N148" s="95" t="str">
        <f t="shared" si="21"/>
        <v/>
      </c>
      <c r="U148" s="37"/>
      <c r="W148" s="37" t="str">
        <f t="shared" si="22"/>
        <v/>
      </c>
    </row>
    <row r="149" spans="1:23" x14ac:dyDescent="0.25">
      <c r="A149" s="98"/>
      <c r="B149" s="33"/>
      <c r="C149" s="25"/>
      <c r="D149" s="26"/>
      <c r="E149" s="128"/>
      <c r="F149" s="25"/>
      <c r="G149" s="26"/>
      <c r="H149" s="55"/>
      <c r="M149" s="95" t="str">
        <f t="shared" si="20"/>
        <v/>
      </c>
      <c r="N149" s="95" t="str">
        <f t="shared" si="21"/>
        <v/>
      </c>
      <c r="U149" s="37"/>
      <c r="W149" s="37" t="str">
        <f t="shared" si="22"/>
        <v/>
      </c>
    </row>
    <row r="150" spans="1:23" x14ac:dyDescent="0.25">
      <c r="A150" s="98"/>
      <c r="B150" s="33"/>
      <c r="C150" s="25"/>
      <c r="D150" s="26"/>
      <c r="E150" s="128"/>
      <c r="F150" s="25"/>
      <c r="G150" s="26"/>
      <c r="H150" s="55"/>
      <c r="M150" s="95" t="str">
        <f t="shared" si="20"/>
        <v/>
      </c>
      <c r="N150" s="95" t="str">
        <f t="shared" si="21"/>
        <v/>
      </c>
      <c r="U150" s="37"/>
      <c r="W150" s="37" t="str">
        <f t="shared" si="22"/>
        <v/>
      </c>
    </row>
    <row r="151" spans="1:23" x14ac:dyDescent="0.25">
      <c r="A151" s="98"/>
      <c r="B151" s="33"/>
      <c r="C151" s="25"/>
      <c r="D151" s="26"/>
      <c r="E151" s="128"/>
      <c r="F151" s="25"/>
      <c r="G151" s="26"/>
      <c r="H151" s="55"/>
      <c r="M151" s="95" t="str">
        <f t="shared" si="20"/>
        <v/>
      </c>
      <c r="N151" s="95" t="str">
        <f t="shared" si="21"/>
        <v/>
      </c>
      <c r="U151" s="37"/>
      <c r="W151" s="37" t="str">
        <f t="shared" si="22"/>
        <v/>
      </c>
    </row>
    <row r="152" spans="1:23" x14ac:dyDescent="0.25">
      <c r="A152" s="98"/>
      <c r="B152" s="33"/>
      <c r="C152" s="25"/>
      <c r="D152" s="26"/>
      <c r="E152" s="128"/>
      <c r="F152" s="25"/>
      <c r="G152" s="26"/>
      <c r="H152" s="55"/>
      <c r="M152" s="95" t="str">
        <f t="shared" si="20"/>
        <v/>
      </c>
      <c r="N152" s="95" t="str">
        <f t="shared" si="21"/>
        <v/>
      </c>
      <c r="U152" s="37"/>
      <c r="W152" s="37" t="str">
        <f t="shared" si="22"/>
        <v/>
      </c>
    </row>
    <row r="153" spans="1:23" x14ac:dyDescent="0.25">
      <c r="A153" s="98"/>
      <c r="B153" s="33"/>
      <c r="C153" s="25"/>
      <c r="D153" s="26"/>
      <c r="E153" s="128"/>
      <c r="F153" s="25"/>
      <c r="G153" s="26"/>
      <c r="H153" s="55"/>
      <c r="M153" s="95" t="str">
        <f t="shared" si="20"/>
        <v/>
      </c>
      <c r="N153" s="95" t="str">
        <f t="shared" si="21"/>
        <v/>
      </c>
      <c r="U153" s="37"/>
      <c r="W153" s="37" t="str">
        <f t="shared" si="22"/>
        <v/>
      </c>
    </row>
    <row r="154" spans="1:23" x14ac:dyDescent="0.25">
      <c r="A154" s="98"/>
      <c r="B154" s="33"/>
      <c r="C154" s="25"/>
      <c r="D154" s="26"/>
      <c r="E154" s="128"/>
      <c r="F154" s="25"/>
      <c r="G154" s="26"/>
      <c r="H154" s="55"/>
      <c r="M154" s="95" t="str">
        <f t="shared" si="20"/>
        <v/>
      </c>
      <c r="N154" s="95" t="str">
        <f t="shared" si="21"/>
        <v/>
      </c>
      <c r="U154" s="37"/>
      <c r="W154" s="37" t="str">
        <f t="shared" si="22"/>
        <v/>
      </c>
    </row>
    <row r="155" spans="1:23" x14ac:dyDescent="0.25">
      <c r="A155" s="98"/>
      <c r="B155" s="33"/>
      <c r="C155" s="25"/>
      <c r="D155" s="26"/>
      <c r="E155" s="128"/>
      <c r="F155" s="25"/>
      <c r="G155" s="26"/>
      <c r="H155" s="55"/>
      <c r="M155" s="95" t="str">
        <f t="shared" si="20"/>
        <v/>
      </c>
      <c r="N155" s="95" t="str">
        <f t="shared" si="21"/>
        <v/>
      </c>
      <c r="U155" s="37"/>
      <c r="W155" s="37" t="str">
        <f t="shared" si="22"/>
        <v/>
      </c>
    </row>
    <row r="156" spans="1:23" x14ac:dyDescent="0.25">
      <c r="A156" s="98"/>
      <c r="B156" s="33"/>
      <c r="C156" s="25"/>
      <c r="D156" s="26"/>
      <c r="E156" s="128"/>
      <c r="F156" s="25"/>
      <c r="G156" s="26"/>
      <c r="H156" s="55"/>
      <c r="M156" s="95" t="str">
        <f t="shared" si="20"/>
        <v/>
      </c>
      <c r="N156" s="95" t="str">
        <f t="shared" si="21"/>
        <v/>
      </c>
      <c r="U156" s="37"/>
      <c r="W156" s="37" t="str">
        <f t="shared" si="22"/>
        <v/>
      </c>
    </row>
    <row r="157" spans="1:23" x14ac:dyDescent="0.25">
      <c r="A157" s="98"/>
      <c r="B157" s="33"/>
      <c r="C157" s="25"/>
      <c r="D157" s="26"/>
      <c r="E157" s="128"/>
      <c r="F157" s="25"/>
      <c r="G157" s="26"/>
      <c r="H157" s="55"/>
      <c r="M157" s="95" t="str">
        <f t="shared" si="20"/>
        <v/>
      </c>
      <c r="N157" s="95" t="str">
        <f t="shared" si="21"/>
        <v/>
      </c>
      <c r="U157" s="37"/>
      <c r="W157" s="37" t="str">
        <f t="shared" si="22"/>
        <v/>
      </c>
    </row>
    <row r="158" spans="1:23" x14ac:dyDescent="0.25">
      <c r="A158" s="98"/>
      <c r="B158" s="33"/>
      <c r="C158" s="25"/>
      <c r="D158" s="26"/>
      <c r="E158" s="128"/>
      <c r="F158" s="25"/>
      <c r="G158" s="26"/>
      <c r="H158" s="55"/>
      <c r="M158" s="95" t="str">
        <f t="shared" si="20"/>
        <v/>
      </c>
      <c r="N158" s="95" t="str">
        <f t="shared" si="21"/>
        <v/>
      </c>
      <c r="U158" s="37"/>
      <c r="W158" s="37" t="str">
        <f t="shared" si="22"/>
        <v/>
      </c>
    </row>
    <row r="159" spans="1:23" x14ac:dyDescent="0.25">
      <c r="A159" s="98"/>
      <c r="B159" s="33"/>
      <c r="C159" s="25"/>
      <c r="D159" s="26"/>
      <c r="E159" s="128"/>
      <c r="F159" s="25"/>
      <c r="G159" s="26"/>
      <c r="H159" s="55"/>
      <c r="M159" s="95" t="str">
        <f t="shared" si="20"/>
        <v/>
      </c>
      <c r="N159" s="95" t="str">
        <f t="shared" si="21"/>
        <v/>
      </c>
      <c r="U159" s="37"/>
      <c r="W159" s="37" t="str">
        <f t="shared" si="22"/>
        <v/>
      </c>
    </row>
    <row r="160" spans="1:23" x14ac:dyDescent="0.25">
      <c r="A160" s="98"/>
      <c r="B160" s="33"/>
      <c r="C160" s="25"/>
      <c r="D160" s="26"/>
      <c r="E160" s="128"/>
      <c r="F160" s="25"/>
      <c r="G160" s="26"/>
      <c r="H160" s="55"/>
      <c r="M160" s="95" t="str">
        <f t="shared" si="20"/>
        <v/>
      </c>
      <c r="N160" s="95" t="str">
        <f t="shared" si="21"/>
        <v/>
      </c>
      <c r="U160" s="37"/>
      <c r="W160" s="37" t="str">
        <f t="shared" si="22"/>
        <v/>
      </c>
    </row>
    <row r="161" spans="1:23" x14ac:dyDescent="0.25">
      <c r="A161" s="98"/>
      <c r="B161" s="33"/>
      <c r="C161" s="25"/>
      <c r="D161" s="26"/>
      <c r="E161" s="128"/>
      <c r="F161" s="25"/>
      <c r="G161" s="26"/>
      <c r="H161" s="55"/>
      <c r="M161" s="95" t="str">
        <f t="shared" si="20"/>
        <v/>
      </c>
      <c r="N161" s="95" t="str">
        <f t="shared" si="21"/>
        <v/>
      </c>
      <c r="U161" s="37"/>
      <c r="W161" s="37" t="str">
        <f t="shared" si="22"/>
        <v/>
      </c>
    </row>
    <row r="162" spans="1:23" x14ac:dyDescent="0.25">
      <c r="A162" s="98"/>
      <c r="B162" s="33"/>
      <c r="C162" s="25"/>
      <c r="D162" s="26"/>
      <c r="E162" s="128"/>
      <c r="F162" s="25"/>
      <c r="G162" s="26"/>
      <c r="H162" s="55"/>
      <c r="M162" s="95" t="str">
        <f t="shared" si="20"/>
        <v/>
      </c>
      <c r="N162" s="95" t="str">
        <f t="shared" si="21"/>
        <v/>
      </c>
      <c r="U162" s="37"/>
      <c r="W162" s="37" t="str">
        <f t="shared" si="22"/>
        <v/>
      </c>
    </row>
    <row r="163" spans="1:23" x14ac:dyDescent="0.25">
      <c r="A163" s="98"/>
      <c r="B163" s="33"/>
      <c r="C163" s="25"/>
      <c r="D163" s="26"/>
      <c r="E163" s="128"/>
      <c r="F163" s="25"/>
      <c r="G163" s="26"/>
      <c r="H163" s="55"/>
      <c r="M163" s="95" t="str">
        <f t="shared" si="20"/>
        <v/>
      </c>
      <c r="N163" s="95" t="str">
        <f t="shared" si="21"/>
        <v/>
      </c>
      <c r="U163" s="37"/>
      <c r="W163" s="37" t="str">
        <f t="shared" si="22"/>
        <v/>
      </c>
    </row>
    <row r="164" spans="1:23" x14ac:dyDescent="0.25">
      <c r="A164" s="98"/>
      <c r="B164" s="33"/>
      <c r="C164" s="25"/>
      <c r="D164" s="26"/>
      <c r="E164" s="128"/>
      <c r="F164" s="25"/>
      <c r="G164" s="26"/>
      <c r="H164" s="55"/>
      <c r="M164" s="95" t="str">
        <f t="shared" si="20"/>
        <v/>
      </c>
      <c r="N164" s="95" t="str">
        <f t="shared" si="21"/>
        <v/>
      </c>
      <c r="U164" s="37"/>
      <c r="W164" s="37" t="str">
        <f t="shared" si="22"/>
        <v/>
      </c>
    </row>
    <row r="165" spans="1:23" x14ac:dyDescent="0.25">
      <c r="A165" s="98"/>
      <c r="B165" s="33"/>
      <c r="C165" s="25"/>
      <c r="D165" s="26"/>
      <c r="E165" s="128"/>
      <c r="F165" s="25"/>
      <c r="G165" s="26"/>
      <c r="H165" s="55"/>
      <c r="M165" s="95" t="str">
        <f t="shared" si="20"/>
        <v/>
      </c>
      <c r="N165" s="95" t="str">
        <f t="shared" si="21"/>
        <v/>
      </c>
      <c r="U165" s="37"/>
      <c r="W165" s="37" t="str">
        <f t="shared" si="22"/>
        <v/>
      </c>
    </row>
    <row r="166" spans="1:23" x14ac:dyDescent="0.25">
      <c r="A166" s="98"/>
      <c r="B166" s="33"/>
      <c r="C166" s="25"/>
      <c r="D166" s="26"/>
      <c r="E166" s="128"/>
      <c r="F166" s="25"/>
      <c r="G166" s="26"/>
      <c r="H166" s="55"/>
      <c r="M166" s="95" t="str">
        <f t="shared" si="20"/>
        <v/>
      </c>
      <c r="N166" s="95" t="str">
        <f t="shared" si="21"/>
        <v/>
      </c>
      <c r="U166" s="37"/>
      <c r="W166" s="37" t="str">
        <f t="shared" si="22"/>
        <v/>
      </c>
    </row>
    <row r="167" spans="1:23" x14ac:dyDescent="0.25">
      <c r="A167" s="98"/>
      <c r="B167" s="33"/>
      <c r="C167" s="25"/>
      <c r="D167" s="26"/>
      <c r="E167" s="128"/>
      <c r="F167" s="25"/>
      <c r="G167" s="26"/>
      <c r="H167" s="55"/>
      <c r="M167" s="95" t="str">
        <f t="shared" si="20"/>
        <v/>
      </c>
      <c r="N167" s="95" t="str">
        <f t="shared" si="21"/>
        <v/>
      </c>
      <c r="U167" s="37"/>
      <c r="W167" s="37" t="str">
        <f t="shared" si="22"/>
        <v/>
      </c>
    </row>
    <row r="168" spans="1:23" x14ac:dyDescent="0.25">
      <c r="A168" s="98"/>
      <c r="B168" s="33"/>
      <c r="C168" s="25"/>
      <c r="D168" s="26"/>
      <c r="E168" s="128"/>
      <c r="F168" s="25"/>
      <c r="G168" s="26"/>
      <c r="H168" s="55"/>
      <c r="M168" s="95" t="str">
        <f t="shared" si="20"/>
        <v/>
      </c>
      <c r="N168" s="95" t="str">
        <f t="shared" si="21"/>
        <v/>
      </c>
      <c r="U168" s="37"/>
      <c r="W168" s="37" t="str">
        <f t="shared" si="22"/>
        <v/>
      </c>
    </row>
    <row r="169" spans="1:23" x14ac:dyDescent="0.25">
      <c r="A169" s="98"/>
      <c r="B169" s="33"/>
      <c r="C169" s="25"/>
      <c r="D169" s="26"/>
      <c r="E169" s="128"/>
      <c r="F169" s="25"/>
      <c r="G169" s="26"/>
      <c r="H169" s="55"/>
      <c r="M169" s="95" t="str">
        <f t="shared" si="20"/>
        <v/>
      </c>
      <c r="N169" s="95" t="str">
        <f t="shared" si="21"/>
        <v/>
      </c>
      <c r="U169" s="37"/>
      <c r="W169" s="37" t="str">
        <f t="shared" si="22"/>
        <v/>
      </c>
    </row>
    <row r="170" spans="1:23" x14ac:dyDescent="0.25">
      <c r="A170" s="98"/>
      <c r="B170" s="33"/>
      <c r="C170" s="25"/>
      <c r="D170" s="26"/>
      <c r="E170" s="128"/>
      <c r="F170" s="25"/>
      <c r="G170" s="26"/>
      <c r="H170" s="55"/>
      <c r="M170" s="95" t="str">
        <f t="shared" si="20"/>
        <v/>
      </c>
      <c r="N170" s="95" t="str">
        <f t="shared" si="21"/>
        <v/>
      </c>
      <c r="U170" s="37"/>
      <c r="W170" s="37" t="str">
        <f t="shared" si="22"/>
        <v/>
      </c>
    </row>
    <row r="171" spans="1:23" x14ac:dyDescent="0.25">
      <c r="A171" s="98"/>
      <c r="B171" s="33"/>
      <c r="C171" s="25"/>
      <c r="D171" s="26"/>
      <c r="E171" s="128"/>
      <c r="F171" s="25"/>
      <c r="G171" s="26"/>
      <c r="H171" s="55"/>
      <c r="M171" s="95" t="str">
        <f t="shared" si="20"/>
        <v/>
      </c>
      <c r="N171" s="95" t="str">
        <f t="shared" si="21"/>
        <v/>
      </c>
      <c r="U171" s="37"/>
      <c r="W171" s="37" t="str">
        <f t="shared" si="22"/>
        <v/>
      </c>
    </row>
    <row r="172" spans="1:23" x14ac:dyDescent="0.25">
      <c r="A172" s="98"/>
      <c r="B172" s="33"/>
      <c r="C172" s="25"/>
      <c r="D172" s="26"/>
      <c r="E172" s="128"/>
      <c r="F172" s="25"/>
      <c r="G172" s="26"/>
      <c r="H172" s="55"/>
      <c r="M172" s="95" t="str">
        <f t="shared" si="20"/>
        <v/>
      </c>
      <c r="N172" s="95" t="str">
        <f t="shared" si="21"/>
        <v/>
      </c>
      <c r="U172" s="37"/>
      <c r="W172" s="37" t="str">
        <f t="shared" si="22"/>
        <v/>
      </c>
    </row>
    <row r="173" spans="1:23" x14ac:dyDescent="0.25">
      <c r="A173" s="98"/>
      <c r="B173" s="33"/>
      <c r="C173" s="25"/>
      <c r="D173" s="26"/>
      <c r="E173" s="128"/>
      <c r="F173" s="25"/>
      <c r="G173" s="26"/>
      <c r="H173" s="55"/>
      <c r="M173" s="95" t="str">
        <f t="shared" si="20"/>
        <v/>
      </c>
      <c r="N173" s="95" t="str">
        <f t="shared" si="21"/>
        <v/>
      </c>
      <c r="U173" s="37"/>
      <c r="W173" s="37" t="str">
        <f t="shared" si="22"/>
        <v/>
      </c>
    </row>
    <row r="174" spans="1:23" x14ac:dyDescent="0.25">
      <c r="A174" s="98"/>
      <c r="B174" s="33"/>
      <c r="C174" s="25"/>
      <c r="D174" s="26"/>
      <c r="E174" s="128"/>
      <c r="F174" s="25"/>
      <c r="G174" s="26"/>
      <c r="H174" s="55"/>
      <c r="M174" s="95" t="str">
        <f t="shared" si="20"/>
        <v/>
      </c>
      <c r="N174" s="95" t="str">
        <f t="shared" si="21"/>
        <v/>
      </c>
      <c r="U174" s="37"/>
      <c r="W174" s="37" t="str">
        <f t="shared" si="22"/>
        <v/>
      </c>
    </row>
    <row r="175" spans="1:23" x14ac:dyDescent="0.25">
      <c r="A175" s="98"/>
      <c r="B175" s="33"/>
      <c r="C175" s="25"/>
      <c r="D175" s="26"/>
      <c r="E175" s="128"/>
      <c r="F175" s="25"/>
      <c r="G175" s="26"/>
      <c r="H175" s="55"/>
      <c r="M175" s="95" t="str">
        <f t="shared" si="20"/>
        <v/>
      </c>
      <c r="N175" s="95" t="str">
        <f t="shared" si="21"/>
        <v/>
      </c>
      <c r="U175" s="37"/>
      <c r="W175" s="37" t="str">
        <f t="shared" si="22"/>
        <v/>
      </c>
    </row>
    <row r="176" spans="1:23" x14ac:dyDescent="0.25">
      <c r="A176" s="98"/>
      <c r="B176" s="33"/>
      <c r="C176" s="25"/>
      <c r="D176" s="26"/>
      <c r="E176" s="128"/>
      <c r="F176" s="25"/>
      <c r="G176" s="26"/>
      <c r="H176" s="55"/>
      <c r="M176" s="95" t="str">
        <f t="shared" si="20"/>
        <v/>
      </c>
      <c r="N176" s="95" t="str">
        <f t="shared" si="21"/>
        <v/>
      </c>
      <c r="U176" s="37"/>
      <c r="W176" s="37" t="str">
        <f t="shared" si="22"/>
        <v/>
      </c>
    </row>
    <row r="177" spans="1:23" x14ac:dyDescent="0.25">
      <c r="A177" s="98"/>
      <c r="B177" s="33"/>
      <c r="C177" s="25"/>
      <c r="D177" s="26"/>
      <c r="E177" s="128"/>
      <c r="F177" s="25"/>
      <c r="G177" s="26"/>
      <c r="H177" s="55"/>
      <c r="M177" s="95" t="str">
        <f t="shared" si="20"/>
        <v/>
      </c>
      <c r="N177" s="95" t="str">
        <f t="shared" si="21"/>
        <v/>
      </c>
      <c r="U177" s="37"/>
      <c r="W177" s="37" t="str">
        <f t="shared" si="22"/>
        <v/>
      </c>
    </row>
    <row r="178" spans="1:23" x14ac:dyDescent="0.25">
      <c r="A178" s="98"/>
      <c r="B178" s="33"/>
      <c r="C178" s="25"/>
      <c r="D178" s="26"/>
      <c r="E178" s="128"/>
      <c r="F178" s="25"/>
      <c r="G178" s="26"/>
      <c r="H178" s="55"/>
      <c r="M178" s="95" t="str">
        <f t="shared" si="20"/>
        <v/>
      </c>
      <c r="N178" s="95" t="str">
        <f t="shared" si="21"/>
        <v/>
      </c>
      <c r="U178" s="37"/>
      <c r="W178" s="37" t="str">
        <f t="shared" si="22"/>
        <v/>
      </c>
    </row>
    <row r="179" spans="1:23" x14ac:dyDescent="0.25">
      <c r="A179" s="98"/>
      <c r="B179" s="33"/>
      <c r="C179" s="25"/>
      <c r="D179" s="26"/>
      <c r="E179" s="128"/>
      <c r="F179" s="25"/>
      <c r="G179" s="26"/>
      <c r="H179" s="55"/>
      <c r="M179" s="95" t="str">
        <f t="shared" si="20"/>
        <v/>
      </c>
      <c r="N179" s="95" t="str">
        <f t="shared" si="21"/>
        <v/>
      </c>
      <c r="U179" s="37"/>
      <c r="W179" s="37" t="str">
        <f t="shared" si="22"/>
        <v/>
      </c>
    </row>
    <row r="180" spans="1:23" x14ac:dyDescent="0.25">
      <c r="A180" s="98"/>
      <c r="B180" s="33"/>
      <c r="C180" s="25"/>
      <c r="D180" s="26"/>
      <c r="E180" s="128"/>
      <c r="F180" s="25"/>
      <c r="G180" s="26"/>
      <c r="H180" s="55"/>
      <c r="M180" s="95" t="str">
        <f t="shared" si="20"/>
        <v/>
      </c>
      <c r="N180" s="95" t="str">
        <f t="shared" si="21"/>
        <v/>
      </c>
      <c r="U180" s="37"/>
      <c r="W180" s="37" t="str">
        <f t="shared" si="22"/>
        <v/>
      </c>
    </row>
    <row r="181" spans="1:23" x14ac:dyDescent="0.25">
      <c r="A181" s="98"/>
      <c r="B181" s="33"/>
      <c r="C181" s="25"/>
      <c r="D181" s="26"/>
      <c r="E181" s="128"/>
      <c r="F181" s="25"/>
      <c r="G181" s="26"/>
      <c r="H181" s="55"/>
      <c r="M181" s="95" t="str">
        <f t="shared" si="20"/>
        <v/>
      </c>
      <c r="N181" s="95" t="str">
        <f t="shared" si="21"/>
        <v/>
      </c>
      <c r="U181" s="37"/>
      <c r="W181" s="37" t="str">
        <f t="shared" si="22"/>
        <v/>
      </c>
    </row>
    <row r="182" spans="1:23" x14ac:dyDescent="0.25">
      <c r="A182" s="98"/>
      <c r="B182" s="33"/>
      <c r="C182" s="25"/>
      <c r="D182" s="26"/>
      <c r="E182" s="128"/>
      <c r="F182" s="25"/>
      <c r="G182" s="26"/>
      <c r="H182" s="55"/>
      <c r="M182" s="95" t="str">
        <f t="shared" si="20"/>
        <v/>
      </c>
      <c r="N182" s="95" t="str">
        <f t="shared" si="21"/>
        <v/>
      </c>
      <c r="U182" s="37"/>
      <c r="W182" s="37" t="str">
        <f t="shared" si="22"/>
        <v/>
      </c>
    </row>
    <row r="183" spans="1:23" x14ac:dyDescent="0.25">
      <c r="A183" s="98"/>
      <c r="B183" s="33"/>
      <c r="C183" s="25"/>
      <c r="D183" s="26"/>
      <c r="E183" s="128"/>
      <c r="F183" s="25"/>
      <c r="G183" s="26"/>
      <c r="H183" s="55"/>
      <c r="M183" s="95" t="str">
        <f t="shared" si="20"/>
        <v/>
      </c>
      <c r="N183" s="95" t="str">
        <f t="shared" si="21"/>
        <v/>
      </c>
      <c r="U183" s="37"/>
      <c r="W183" s="37" t="str">
        <f t="shared" si="22"/>
        <v/>
      </c>
    </row>
    <row r="184" spans="1:23" x14ac:dyDescent="0.25">
      <c r="A184" s="98"/>
      <c r="B184" s="33"/>
      <c r="C184" s="25"/>
      <c r="D184" s="26"/>
      <c r="E184" s="128"/>
      <c r="F184" s="25"/>
      <c r="G184" s="26"/>
      <c r="H184" s="55"/>
      <c r="M184" s="95" t="str">
        <f t="shared" si="20"/>
        <v/>
      </c>
      <c r="N184" s="95" t="str">
        <f t="shared" si="21"/>
        <v/>
      </c>
      <c r="U184" s="37"/>
      <c r="W184" s="37" t="str">
        <f t="shared" si="22"/>
        <v/>
      </c>
    </row>
    <row r="185" spans="1:23" x14ac:dyDescent="0.25">
      <c r="A185" s="98"/>
      <c r="B185" s="33"/>
      <c r="C185" s="25"/>
      <c r="D185" s="26"/>
      <c r="E185" s="128"/>
      <c r="F185" s="25"/>
      <c r="G185" s="26"/>
      <c r="H185" s="55"/>
      <c r="M185" s="95" t="str">
        <f t="shared" si="20"/>
        <v/>
      </c>
      <c r="N185" s="95" t="str">
        <f t="shared" si="21"/>
        <v/>
      </c>
      <c r="U185" s="37"/>
      <c r="W185" s="37" t="str">
        <f t="shared" si="22"/>
        <v/>
      </c>
    </row>
    <row r="186" spans="1:23" x14ac:dyDescent="0.25">
      <c r="A186" s="98"/>
      <c r="B186" s="33"/>
      <c r="C186" s="25"/>
      <c r="D186" s="26"/>
      <c r="E186" s="128"/>
      <c r="F186" s="25"/>
      <c r="G186" s="26"/>
      <c r="H186" s="55"/>
      <c r="M186" s="95" t="str">
        <f t="shared" si="20"/>
        <v/>
      </c>
      <c r="N186" s="95" t="str">
        <f t="shared" si="21"/>
        <v/>
      </c>
      <c r="U186" s="37"/>
      <c r="W186" s="37" t="str">
        <f t="shared" si="22"/>
        <v/>
      </c>
    </row>
    <row r="187" spans="1:23" x14ac:dyDescent="0.25">
      <c r="A187" s="98"/>
      <c r="B187" s="33"/>
      <c r="C187" s="25"/>
      <c r="D187" s="26"/>
      <c r="E187" s="128"/>
      <c r="F187" s="25"/>
      <c r="G187" s="26"/>
      <c r="H187" s="55"/>
      <c r="M187" s="95" t="str">
        <f t="shared" si="20"/>
        <v/>
      </c>
      <c r="N187" s="95" t="str">
        <f t="shared" si="21"/>
        <v/>
      </c>
      <c r="U187" s="37"/>
      <c r="W187" s="37" t="str">
        <f t="shared" si="22"/>
        <v/>
      </c>
    </row>
    <row r="188" spans="1:23" x14ac:dyDescent="0.25">
      <c r="A188" s="98"/>
      <c r="B188" s="33"/>
      <c r="C188" s="25"/>
      <c r="D188" s="26"/>
      <c r="E188" s="128"/>
      <c r="F188" s="25"/>
      <c r="G188" s="26"/>
      <c r="H188" s="55"/>
      <c r="M188" s="95" t="str">
        <f t="shared" si="20"/>
        <v/>
      </c>
      <c r="N188" s="95" t="str">
        <f t="shared" si="21"/>
        <v/>
      </c>
      <c r="U188" s="37"/>
      <c r="W188" s="37" t="str">
        <f t="shared" si="22"/>
        <v/>
      </c>
    </row>
    <row r="189" spans="1:23" x14ac:dyDescent="0.25">
      <c r="A189" s="98"/>
      <c r="B189" s="33"/>
      <c r="C189" s="25"/>
      <c r="D189" s="26"/>
      <c r="E189" s="128"/>
      <c r="F189" s="25"/>
      <c r="G189" s="26"/>
      <c r="H189" s="55"/>
      <c r="M189" s="95" t="str">
        <f t="shared" si="20"/>
        <v/>
      </c>
      <c r="N189" s="95" t="str">
        <f t="shared" si="21"/>
        <v/>
      </c>
      <c r="U189" s="37"/>
      <c r="W189" s="37" t="str">
        <f t="shared" si="22"/>
        <v/>
      </c>
    </row>
    <row r="190" spans="1:23" x14ac:dyDescent="0.25">
      <c r="A190" s="98"/>
      <c r="B190" s="33"/>
      <c r="C190" s="25"/>
      <c r="D190" s="26"/>
      <c r="E190" s="128"/>
      <c r="F190" s="25"/>
      <c r="G190" s="26"/>
      <c r="H190" s="55"/>
      <c r="M190" s="95" t="str">
        <f t="shared" si="20"/>
        <v/>
      </c>
      <c r="N190" s="95" t="str">
        <f t="shared" si="21"/>
        <v/>
      </c>
      <c r="U190" s="37"/>
      <c r="W190" s="37" t="str">
        <f t="shared" si="22"/>
        <v/>
      </c>
    </row>
    <row r="191" spans="1:23" x14ac:dyDescent="0.25">
      <c r="A191" s="98"/>
      <c r="B191" s="33"/>
      <c r="C191" s="25"/>
      <c r="D191" s="26"/>
      <c r="E191" s="128"/>
      <c r="F191" s="25"/>
      <c r="G191" s="26"/>
      <c r="H191" s="55"/>
      <c r="M191" s="95" t="str">
        <f t="shared" si="20"/>
        <v/>
      </c>
      <c r="N191" s="95" t="str">
        <f t="shared" si="21"/>
        <v/>
      </c>
      <c r="U191" s="37"/>
      <c r="W191" s="37" t="str">
        <f t="shared" si="22"/>
        <v/>
      </c>
    </row>
    <row r="192" spans="1:23" x14ac:dyDescent="0.25">
      <c r="A192" s="98"/>
      <c r="B192" s="33"/>
      <c r="C192" s="25"/>
      <c r="D192" s="26"/>
      <c r="E192" s="128"/>
      <c r="F192" s="25"/>
      <c r="G192" s="26"/>
      <c r="H192" s="55"/>
      <c r="M192" s="95" t="str">
        <f t="shared" si="20"/>
        <v/>
      </c>
      <c r="N192" s="95" t="str">
        <f t="shared" si="21"/>
        <v/>
      </c>
      <c r="U192" s="37"/>
      <c r="W192" s="37" t="str">
        <f t="shared" si="22"/>
        <v/>
      </c>
    </row>
    <row r="193" spans="1:23" x14ac:dyDescent="0.25">
      <c r="A193" s="98"/>
      <c r="B193" s="33"/>
      <c r="C193" s="25"/>
      <c r="D193" s="26"/>
      <c r="E193" s="128"/>
      <c r="F193" s="25"/>
      <c r="G193" s="26"/>
      <c r="H193" s="55"/>
      <c r="M193" s="95" t="str">
        <f t="shared" si="20"/>
        <v/>
      </c>
      <c r="N193" s="95" t="str">
        <f t="shared" si="21"/>
        <v/>
      </c>
      <c r="U193" s="37"/>
      <c r="W193" s="37" t="str">
        <f t="shared" si="22"/>
        <v/>
      </c>
    </row>
    <row r="194" spans="1:23" x14ac:dyDescent="0.25">
      <c r="A194" s="98"/>
      <c r="B194" s="33"/>
      <c r="C194" s="25"/>
      <c r="D194" s="26"/>
      <c r="E194" s="128"/>
      <c r="F194" s="25"/>
      <c r="G194" s="26"/>
      <c r="H194" s="55"/>
      <c r="M194" s="95" t="str">
        <f t="shared" si="20"/>
        <v/>
      </c>
      <c r="N194" s="95" t="str">
        <f t="shared" si="21"/>
        <v/>
      </c>
      <c r="U194" s="37"/>
      <c r="W194" s="37" t="str">
        <f t="shared" si="22"/>
        <v/>
      </c>
    </row>
    <row r="195" spans="1:23" x14ac:dyDescent="0.25">
      <c r="A195" s="98"/>
      <c r="B195" s="33"/>
      <c r="C195" s="25"/>
      <c r="D195" s="26"/>
      <c r="E195" s="128"/>
      <c r="F195" s="25"/>
      <c r="G195" s="26"/>
      <c r="H195" s="55"/>
      <c r="M195" s="95" t="str">
        <f t="shared" ref="M195:M258" si="23">IF(COUNTIF(K:K,J195),J195,"")</f>
        <v/>
      </c>
      <c r="N195" s="95" t="str">
        <f t="shared" si="21"/>
        <v/>
      </c>
      <c r="U195" s="37"/>
      <c r="W195" s="37" t="str">
        <f t="shared" si="22"/>
        <v/>
      </c>
    </row>
    <row r="196" spans="1:23" x14ac:dyDescent="0.25">
      <c r="A196" s="98"/>
      <c r="B196" s="33"/>
      <c r="C196" s="25"/>
      <c r="D196" s="26"/>
      <c r="E196" s="128"/>
      <c r="F196" s="25"/>
      <c r="G196" s="26"/>
      <c r="H196" s="55"/>
      <c r="M196" s="95" t="str">
        <f t="shared" si="23"/>
        <v/>
      </c>
      <c r="N196" s="95" t="str">
        <f t="shared" ref="N196:N259" si="24">IF(M196&gt;$A$14,M196,"")</f>
        <v/>
      </c>
      <c r="U196" s="37"/>
      <c r="W196" s="37" t="str">
        <f t="shared" ref="W196:W259" si="25">IF(COUNTIF(U:U,S196),S196,"")</f>
        <v/>
      </c>
    </row>
    <row r="197" spans="1:23" x14ac:dyDescent="0.25">
      <c r="A197" s="98"/>
      <c r="B197" s="33"/>
      <c r="C197" s="25"/>
      <c r="D197" s="26"/>
      <c r="E197" s="128"/>
      <c r="F197" s="25"/>
      <c r="G197" s="26"/>
      <c r="H197" s="55"/>
      <c r="M197" s="95" t="str">
        <f t="shared" si="23"/>
        <v/>
      </c>
      <c r="N197" s="95" t="str">
        <f t="shared" si="24"/>
        <v/>
      </c>
      <c r="U197" s="37"/>
      <c r="W197" s="37" t="str">
        <f t="shared" si="25"/>
        <v/>
      </c>
    </row>
    <row r="198" spans="1:23" x14ac:dyDescent="0.25">
      <c r="A198" s="98"/>
      <c r="B198" s="33"/>
      <c r="C198" s="25"/>
      <c r="D198" s="26"/>
      <c r="E198" s="128"/>
      <c r="F198" s="25"/>
      <c r="G198" s="26"/>
      <c r="H198" s="55"/>
      <c r="M198" s="95" t="str">
        <f t="shared" si="23"/>
        <v/>
      </c>
      <c r="N198" s="95" t="str">
        <f t="shared" si="24"/>
        <v/>
      </c>
      <c r="U198" s="37"/>
      <c r="W198" s="37" t="str">
        <f t="shared" si="25"/>
        <v/>
      </c>
    </row>
    <row r="199" spans="1:23" x14ac:dyDescent="0.25">
      <c r="A199" s="98"/>
      <c r="B199" s="33"/>
      <c r="C199" s="25"/>
      <c r="D199" s="26"/>
      <c r="E199" s="128"/>
      <c r="F199" s="25"/>
      <c r="G199" s="26"/>
      <c r="H199" s="55"/>
      <c r="M199" s="95" t="str">
        <f t="shared" si="23"/>
        <v/>
      </c>
      <c r="N199" s="95" t="str">
        <f t="shared" si="24"/>
        <v/>
      </c>
      <c r="U199" s="37"/>
      <c r="W199" s="37" t="str">
        <f t="shared" si="25"/>
        <v/>
      </c>
    </row>
    <row r="200" spans="1:23" x14ac:dyDescent="0.25">
      <c r="A200" s="98"/>
      <c r="B200" s="33"/>
      <c r="C200" s="25"/>
      <c r="D200" s="26"/>
      <c r="E200" s="128"/>
      <c r="F200" s="25"/>
      <c r="G200" s="26"/>
      <c r="H200" s="55"/>
      <c r="M200" s="95" t="str">
        <f t="shared" si="23"/>
        <v/>
      </c>
      <c r="N200" s="95" t="str">
        <f t="shared" si="24"/>
        <v/>
      </c>
      <c r="U200" s="37"/>
      <c r="W200" s="37" t="str">
        <f t="shared" si="25"/>
        <v/>
      </c>
    </row>
    <row r="201" spans="1:23" x14ac:dyDescent="0.25">
      <c r="M201" s="95" t="str">
        <f t="shared" si="23"/>
        <v/>
      </c>
      <c r="N201" s="95" t="str">
        <f t="shared" si="24"/>
        <v/>
      </c>
      <c r="U201" s="37"/>
      <c r="W201" s="37" t="str">
        <f t="shared" si="25"/>
        <v/>
      </c>
    </row>
    <row r="202" spans="1:23" x14ac:dyDescent="0.25">
      <c r="M202" s="95" t="str">
        <f t="shared" si="23"/>
        <v/>
      </c>
      <c r="N202" s="95" t="str">
        <f t="shared" si="24"/>
        <v/>
      </c>
      <c r="U202" s="37"/>
      <c r="W202" s="37" t="str">
        <f t="shared" si="25"/>
        <v/>
      </c>
    </row>
    <row r="203" spans="1:23" x14ac:dyDescent="0.25">
      <c r="M203" s="95" t="str">
        <f t="shared" si="23"/>
        <v/>
      </c>
      <c r="N203" s="95" t="str">
        <f t="shared" si="24"/>
        <v/>
      </c>
      <c r="U203" s="37"/>
      <c r="W203" s="37" t="str">
        <f t="shared" si="25"/>
        <v/>
      </c>
    </row>
    <row r="204" spans="1:23" x14ac:dyDescent="0.25">
      <c r="M204" s="95" t="str">
        <f t="shared" si="23"/>
        <v/>
      </c>
      <c r="N204" s="95" t="str">
        <f t="shared" si="24"/>
        <v/>
      </c>
      <c r="U204" s="37"/>
      <c r="W204" s="37" t="str">
        <f t="shared" si="25"/>
        <v/>
      </c>
    </row>
    <row r="205" spans="1:23" x14ac:dyDescent="0.25">
      <c r="M205" s="95" t="str">
        <f t="shared" si="23"/>
        <v/>
      </c>
      <c r="N205" s="95" t="str">
        <f t="shared" si="24"/>
        <v/>
      </c>
      <c r="U205" s="37"/>
      <c r="W205" s="37" t="str">
        <f t="shared" si="25"/>
        <v/>
      </c>
    </row>
    <row r="206" spans="1:23" x14ac:dyDescent="0.25">
      <c r="M206" s="95" t="str">
        <f t="shared" si="23"/>
        <v/>
      </c>
      <c r="N206" s="95" t="str">
        <f t="shared" si="24"/>
        <v/>
      </c>
      <c r="U206" s="37"/>
      <c r="W206" s="37" t="str">
        <f t="shared" si="25"/>
        <v/>
      </c>
    </row>
    <row r="207" spans="1:23" x14ac:dyDescent="0.25">
      <c r="M207" s="95" t="str">
        <f t="shared" si="23"/>
        <v/>
      </c>
      <c r="N207" s="95" t="str">
        <f t="shared" si="24"/>
        <v/>
      </c>
      <c r="U207" s="37"/>
      <c r="W207" s="37" t="str">
        <f t="shared" si="25"/>
        <v/>
      </c>
    </row>
    <row r="208" spans="1:23" x14ac:dyDescent="0.25">
      <c r="M208" s="95" t="str">
        <f t="shared" si="23"/>
        <v/>
      </c>
      <c r="N208" s="95" t="str">
        <f t="shared" si="24"/>
        <v/>
      </c>
      <c r="U208" s="37"/>
      <c r="W208" s="37" t="str">
        <f t="shared" si="25"/>
        <v/>
      </c>
    </row>
    <row r="209" spans="13:23" x14ac:dyDescent="0.25">
      <c r="M209" s="95" t="str">
        <f t="shared" si="23"/>
        <v/>
      </c>
      <c r="N209" s="95" t="str">
        <f t="shared" si="24"/>
        <v/>
      </c>
      <c r="U209" s="37"/>
      <c r="W209" s="37" t="str">
        <f t="shared" si="25"/>
        <v/>
      </c>
    </row>
    <row r="210" spans="13:23" x14ac:dyDescent="0.25">
      <c r="M210" s="95" t="str">
        <f t="shared" si="23"/>
        <v/>
      </c>
      <c r="N210" s="95" t="str">
        <f t="shared" si="24"/>
        <v/>
      </c>
      <c r="U210" s="37"/>
      <c r="W210" s="37" t="str">
        <f t="shared" si="25"/>
        <v/>
      </c>
    </row>
    <row r="211" spans="13:23" x14ac:dyDescent="0.25">
      <c r="M211" s="95" t="str">
        <f t="shared" si="23"/>
        <v/>
      </c>
      <c r="N211" s="95" t="str">
        <f t="shared" si="24"/>
        <v/>
      </c>
      <c r="U211" s="37"/>
      <c r="W211" s="37" t="str">
        <f t="shared" si="25"/>
        <v/>
      </c>
    </row>
    <row r="212" spans="13:23" x14ac:dyDescent="0.25">
      <c r="M212" s="95" t="str">
        <f t="shared" si="23"/>
        <v/>
      </c>
      <c r="N212" s="95" t="str">
        <f t="shared" si="24"/>
        <v/>
      </c>
      <c r="U212" s="37"/>
      <c r="W212" s="37" t="str">
        <f t="shared" si="25"/>
        <v/>
      </c>
    </row>
    <row r="213" spans="13:23" x14ac:dyDescent="0.25">
      <c r="M213" s="95" t="str">
        <f t="shared" si="23"/>
        <v/>
      </c>
      <c r="N213" s="95" t="str">
        <f t="shared" si="24"/>
        <v/>
      </c>
      <c r="U213" s="37"/>
      <c r="W213" s="37" t="str">
        <f t="shared" si="25"/>
        <v/>
      </c>
    </row>
    <row r="214" spans="13:23" x14ac:dyDescent="0.25">
      <c r="M214" s="95" t="str">
        <f t="shared" si="23"/>
        <v/>
      </c>
      <c r="N214" s="95" t="str">
        <f t="shared" si="24"/>
        <v/>
      </c>
      <c r="U214" s="37"/>
      <c r="W214" s="37" t="str">
        <f t="shared" si="25"/>
        <v/>
      </c>
    </row>
    <row r="215" spans="13:23" x14ac:dyDescent="0.25">
      <c r="M215" s="95" t="str">
        <f t="shared" si="23"/>
        <v/>
      </c>
      <c r="N215" s="95" t="str">
        <f t="shared" si="24"/>
        <v/>
      </c>
      <c r="U215" s="37"/>
      <c r="W215" s="37" t="str">
        <f t="shared" si="25"/>
        <v/>
      </c>
    </row>
    <row r="216" spans="13:23" x14ac:dyDescent="0.25">
      <c r="M216" s="95" t="str">
        <f t="shared" si="23"/>
        <v/>
      </c>
      <c r="N216" s="95" t="str">
        <f t="shared" si="24"/>
        <v/>
      </c>
      <c r="U216" s="37"/>
      <c r="W216" s="37" t="str">
        <f t="shared" si="25"/>
        <v/>
      </c>
    </row>
    <row r="217" spans="13:23" x14ac:dyDescent="0.25">
      <c r="M217" s="95" t="str">
        <f t="shared" si="23"/>
        <v/>
      </c>
      <c r="N217" s="95" t="str">
        <f t="shared" si="24"/>
        <v/>
      </c>
      <c r="U217" s="37"/>
      <c r="W217" s="37" t="str">
        <f t="shared" si="25"/>
        <v/>
      </c>
    </row>
    <row r="218" spans="13:23" x14ac:dyDescent="0.25">
      <c r="M218" s="95" t="str">
        <f t="shared" si="23"/>
        <v/>
      </c>
      <c r="N218" s="95" t="str">
        <f t="shared" si="24"/>
        <v/>
      </c>
      <c r="U218" s="37"/>
      <c r="W218" s="37" t="str">
        <f t="shared" si="25"/>
        <v/>
      </c>
    </row>
    <row r="219" spans="13:23" x14ac:dyDescent="0.25">
      <c r="M219" s="95" t="str">
        <f t="shared" si="23"/>
        <v/>
      </c>
      <c r="N219" s="95" t="str">
        <f t="shared" si="24"/>
        <v/>
      </c>
      <c r="U219" s="37"/>
      <c r="W219" s="37" t="str">
        <f t="shared" si="25"/>
        <v/>
      </c>
    </row>
    <row r="220" spans="13:23" x14ac:dyDescent="0.25">
      <c r="M220" s="95" t="str">
        <f t="shared" si="23"/>
        <v/>
      </c>
      <c r="N220" s="95" t="str">
        <f t="shared" si="24"/>
        <v/>
      </c>
      <c r="U220" s="37"/>
      <c r="W220" s="37" t="str">
        <f t="shared" si="25"/>
        <v/>
      </c>
    </row>
    <row r="221" spans="13:23" x14ac:dyDescent="0.25">
      <c r="M221" s="95" t="str">
        <f t="shared" si="23"/>
        <v/>
      </c>
      <c r="N221" s="95" t="str">
        <f t="shared" si="24"/>
        <v/>
      </c>
      <c r="U221" s="37"/>
      <c r="W221" s="37" t="str">
        <f t="shared" si="25"/>
        <v/>
      </c>
    </row>
    <row r="222" spans="13:23" x14ac:dyDescent="0.25">
      <c r="M222" s="95" t="str">
        <f t="shared" si="23"/>
        <v/>
      </c>
      <c r="N222" s="95" t="str">
        <f t="shared" si="24"/>
        <v/>
      </c>
      <c r="U222" s="37"/>
      <c r="W222" s="37" t="str">
        <f t="shared" si="25"/>
        <v/>
      </c>
    </row>
    <row r="223" spans="13:23" x14ac:dyDescent="0.25">
      <c r="M223" s="95" t="str">
        <f t="shared" si="23"/>
        <v/>
      </c>
      <c r="N223" s="95" t="str">
        <f t="shared" si="24"/>
        <v/>
      </c>
      <c r="U223" s="37"/>
      <c r="W223" s="37" t="str">
        <f t="shared" si="25"/>
        <v/>
      </c>
    </row>
    <row r="224" spans="13:23" x14ac:dyDescent="0.25">
      <c r="M224" s="95" t="str">
        <f t="shared" si="23"/>
        <v/>
      </c>
      <c r="N224" s="95" t="str">
        <f t="shared" si="24"/>
        <v/>
      </c>
      <c r="U224" s="37"/>
      <c r="W224" s="37" t="str">
        <f t="shared" si="25"/>
        <v/>
      </c>
    </row>
    <row r="225" spans="13:23" x14ac:dyDescent="0.25">
      <c r="M225" s="95" t="str">
        <f t="shared" si="23"/>
        <v/>
      </c>
      <c r="N225" s="95" t="str">
        <f t="shared" si="24"/>
        <v/>
      </c>
      <c r="U225" s="37"/>
      <c r="W225" s="37" t="str">
        <f t="shared" si="25"/>
        <v/>
      </c>
    </row>
    <row r="226" spans="13:23" x14ac:dyDescent="0.25">
      <c r="M226" s="95" t="str">
        <f t="shared" si="23"/>
        <v/>
      </c>
      <c r="N226" s="95" t="str">
        <f t="shared" si="24"/>
        <v/>
      </c>
      <c r="U226" s="37"/>
      <c r="W226" s="37" t="str">
        <f t="shared" si="25"/>
        <v/>
      </c>
    </row>
    <row r="227" spans="13:23" x14ac:dyDescent="0.25">
      <c r="M227" s="95" t="str">
        <f t="shared" si="23"/>
        <v/>
      </c>
      <c r="N227" s="95" t="str">
        <f t="shared" si="24"/>
        <v/>
      </c>
      <c r="U227" s="37"/>
      <c r="W227" s="37" t="str">
        <f t="shared" si="25"/>
        <v/>
      </c>
    </row>
    <row r="228" spans="13:23" x14ac:dyDescent="0.25">
      <c r="M228" s="95" t="str">
        <f t="shared" si="23"/>
        <v/>
      </c>
      <c r="N228" s="95" t="str">
        <f t="shared" si="24"/>
        <v/>
      </c>
      <c r="U228" s="37"/>
      <c r="W228" s="37" t="str">
        <f t="shared" si="25"/>
        <v/>
      </c>
    </row>
    <row r="229" spans="13:23" x14ac:dyDescent="0.25">
      <c r="M229" s="95" t="str">
        <f t="shared" si="23"/>
        <v/>
      </c>
      <c r="N229" s="95" t="str">
        <f t="shared" si="24"/>
        <v/>
      </c>
      <c r="U229" s="37"/>
      <c r="W229" s="37" t="str">
        <f t="shared" si="25"/>
        <v/>
      </c>
    </row>
    <row r="230" spans="13:23" x14ac:dyDescent="0.25">
      <c r="M230" s="95" t="str">
        <f t="shared" si="23"/>
        <v/>
      </c>
      <c r="N230" s="95" t="str">
        <f t="shared" si="24"/>
        <v/>
      </c>
      <c r="U230" s="37"/>
      <c r="W230" s="37" t="str">
        <f t="shared" si="25"/>
        <v/>
      </c>
    </row>
    <row r="231" spans="13:23" x14ac:dyDescent="0.25">
      <c r="M231" s="95" t="str">
        <f t="shared" si="23"/>
        <v/>
      </c>
      <c r="N231" s="95" t="str">
        <f t="shared" si="24"/>
        <v/>
      </c>
      <c r="U231" s="37"/>
      <c r="W231" s="37" t="str">
        <f t="shared" si="25"/>
        <v/>
      </c>
    </row>
    <row r="232" spans="13:23" x14ac:dyDescent="0.25">
      <c r="M232" s="95" t="str">
        <f t="shared" si="23"/>
        <v/>
      </c>
      <c r="N232" s="95" t="str">
        <f t="shared" si="24"/>
        <v/>
      </c>
      <c r="U232" s="37"/>
      <c r="W232" s="37" t="str">
        <f t="shared" si="25"/>
        <v/>
      </c>
    </row>
    <row r="233" spans="13:23" x14ac:dyDescent="0.25">
      <c r="M233" s="95" t="str">
        <f t="shared" si="23"/>
        <v/>
      </c>
      <c r="N233" s="95" t="str">
        <f t="shared" si="24"/>
        <v/>
      </c>
      <c r="U233" s="37"/>
      <c r="W233" s="37" t="str">
        <f t="shared" si="25"/>
        <v/>
      </c>
    </row>
    <row r="234" spans="13:23" x14ac:dyDescent="0.25">
      <c r="M234" s="95" t="str">
        <f t="shared" si="23"/>
        <v/>
      </c>
      <c r="N234" s="95" t="str">
        <f t="shared" si="24"/>
        <v/>
      </c>
      <c r="U234" s="37"/>
      <c r="W234" s="37" t="str">
        <f t="shared" si="25"/>
        <v/>
      </c>
    </row>
    <row r="235" spans="13:23" x14ac:dyDescent="0.25">
      <c r="M235" s="95" t="str">
        <f t="shared" si="23"/>
        <v/>
      </c>
      <c r="N235" s="95" t="str">
        <f t="shared" si="24"/>
        <v/>
      </c>
      <c r="U235" s="37"/>
      <c r="W235" s="37" t="str">
        <f t="shared" si="25"/>
        <v/>
      </c>
    </row>
    <row r="236" spans="13:23" x14ac:dyDescent="0.25">
      <c r="M236" s="95" t="str">
        <f t="shared" si="23"/>
        <v/>
      </c>
      <c r="N236" s="95" t="str">
        <f t="shared" si="24"/>
        <v/>
      </c>
      <c r="U236" s="37"/>
      <c r="W236" s="37" t="str">
        <f t="shared" si="25"/>
        <v/>
      </c>
    </row>
    <row r="237" spans="13:23" x14ac:dyDescent="0.25">
      <c r="M237" s="95" t="str">
        <f t="shared" si="23"/>
        <v/>
      </c>
      <c r="N237" s="95" t="str">
        <f t="shared" si="24"/>
        <v/>
      </c>
      <c r="U237" s="37"/>
      <c r="W237" s="37" t="str">
        <f t="shared" si="25"/>
        <v/>
      </c>
    </row>
    <row r="238" spans="13:23" x14ac:dyDescent="0.25">
      <c r="M238" s="95" t="str">
        <f t="shared" si="23"/>
        <v/>
      </c>
      <c r="N238" s="95" t="str">
        <f t="shared" si="24"/>
        <v/>
      </c>
      <c r="U238" s="37"/>
      <c r="W238" s="37" t="str">
        <f t="shared" si="25"/>
        <v/>
      </c>
    </row>
    <row r="239" spans="13:23" x14ac:dyDescent="0.25">
      <c r="M239" s="95" t="str">
        <f t="shared" si="23"/>
        <v/>
      </c>
      <c r="N239" s="95" t="str">
        <f t="shared" si="24"/>
        <v/>
      </c>
      <c r="U239" s="37"/>
      <c r="W239" s="37" t="str">
        <f t="shared" si="25"/>
        <v/>
      </c>
    </row>
    <row r="240" spans="13:23" x14ac:dyDescent="0.25">
      <c r="M240" s="95" t="str">
        <f t="shared" si="23"/>
        <v/>
      </c>
      <c r="N240" s="95" t="str">
        <f t="shared" si="24"/>
        <v/>
      </c>
      <c r="U240" s="37"/>
      <c r="W240" s="37" t="str">
        <f t="shared" si="25"/>
        <v/>
      </c>
    </row>
    <row r="241" spans="13:23" x14ac:dyDescent="0.25">
      <c r="M241" s="95" t="str">
        <f t="shared" si="23"/>
        <v/>
      </c>
      <c r="N241" s="95" t="str">
        <f t="shared" si="24"/>
        <v/>
      </c>
      <c r="U241" s="37"/>
      <c r="W241" s="37" t="str">
        <f t="shared" si="25"/>
        <v/>
      </c>
    </row>
    <row r="242" spans="13:23" x14ac:dyDescent="0.25">
      <c r="M242" s="95" t="str">
        <f t="shared" si="23"/>
        <v/>
      </c>
      <c r="N242" s="95" t="str">
        <f t="shared" si="24"/>
        <v/>
      </c>
      <c r="U242" s="37"/>
      <c r="W242" s="37" t="str">
        <f t="shared" si="25"/>
        <v/>
      </c>
    </row>
    <row r="243" spans="13:23" x14ac:dyDescent="0.25">
      <c r="M243" s="95" t="str">
        <f t="shared" si="23"/>
        <v/>
      </c>
      <c r="N243" s="95" t="str">
        <f t="shared" si="24"/>
        <v/>
      </c>
      <c r="U243" s="37"/>
      <c r="W243" s="37" t="str">
        <f t="shared" si="25"/>
        <v/>
      </c>
    </row>
    <row r="244" spans="13:23" x14ac:dyDescent="0.25">
      <c r="M244" s="95" t="str">
        <f t="shared" si="23"/>
        <v/>
      </c>
      <c r="N244" s="95" t="str">
        <f t="shared" si="24"/>
        <v/>
      </c>
      <c r="U244" s="37"/>
      <c r="W244" s="37" t="str">
        <f t="shared" si="25"/>
        <v/>
      </c>
    </row>
    <row r="245" spans="13:23" x14ac:dyDescent="0.25">
      <c r="M245" s="95" t="str">
        <f t="shared" si="23"/>
        <v/>
      </c>
      <c r="N245" s="95" t="str">
        <f t="shared" si="24"/>
        <v/>
      </c>
      <c r="U245" s="37"/>
      <c r="W245" s="37" t="str">
        <f t="shared" si="25"/>
        <v/>
      </c>
    </row>
    <row r="246" spans="13:23" x14ac:dyDescent="0.25">
      <c r="M246" s="95" t="str">
        <f t="shared" si="23"/>
        <v/>
      </c>
      <c r="N246" s="95" t="str">
        <f t="shared" si="24"/>
        <v/>
      </c>
      <c r="U246" s="37"/>
      <c r="W246" s="37" t="str">
        <f t="shared" si="25"/>
        <v/>
      </c>
    </row>
    <row r="247" spans="13:23" x14ac:dyDescent="0.25">
      <c r="M247" s="95" t="str">
        <f t="shared" si="23"/>
        <v/>
      </c>
      <c r="N247" s="95" t="str">
        <f t="shared" si="24"/>
        <v/>
      </c>
      <c r="U247" s="37"/>
      <c r="W247" s="37" t="str">
        <f t="shared" si="25"/>
        <v/>
      </c>
    </row>
    <row r="248" spans="13:23" x14ac:dyDescent="0.25">
      <c r="M248" s="95" t="str">
        <f t="shared" si="23"/>
        <v/>
      </c>
      <c r="N248" s="95" t="str">
        <f t="shared" si="24"/>
        <v/>
      </c>
      <c r="U248" s="37"/>
      <c r="W248" s="37" t="str">
        <f t="shared" si="25"/>
        <v/>
      </c>
    </row>
    <row r="249" spans="13:23" x14ac:dyDescent="0.25">
      <c r="M249" s="95" t="str">
        <f t="shared" si="23"/>
        <v/>
      </c>
      <c r="N249" s="95" t="str">
        <f t="shared" si="24"/>
        <v/>
      </c>
      <c r="U249" s="37"/>
      <c r="W249" s="37" t="str">
        <f t="shared" si="25"/>
        <v/>
      </c>
    </row>
    <row r="250" spans="13:23" x14ac:dyDescent="0.25">
      <c r="M250" s="95" t="str">
        <f t="shared" si="23"/>
        <v/>
      </c>
      <c r="N250" s="95" t="str">
        <f t="shared" si="24"/>
        <v/>
      </c>
      <c r="U250" s="37"/>
      <c r="W250" s="37" t="str">
        <f t="shared" si="25"/>
        <v/>
      </c>
    </row>
    <row r="251" spans="13:23" x14ac:dyDescent="0.25">
      <c r="M251" s="95" t="str">
        <f t="shared" si="23"/>
        <v/>
      </c>
      <c r="N251" s="95" t="str">
        <f t="shared" si="24"/>
        <v/>
      </c>
      <c r="U251" s="37"/>
      <c r="W251" s="37" t="str">
        <f t="shared" si="25"/>
        <v/>
      </c>
    </row>
    <row r="252" spans="13:23" x14ac:dyDescent="0.25">
      <c r="M252" s="95" t="str">
        <f t="shared" si="23"/>
        <v/>
      </c>
      <c r="N252" s="95" t="str">
        <f t="shared" si="24"/>
        <v/>
      </c>
      <c r="U252" s="37"/>
      <c r="W252" s="37" t="str">
        <f t="shared" si="25"/>
        <v/>
      </c>
    </row>
    <row r="253" spans="13:23" x14ac:dyDescent="0.25">
      <c r="M253" s="95" t="str">
        <f t="shared" si="23"/>
        <v/>
      </c>
      <c r="N253" s="95" t="str">
        <f t="shared" si="24"/>
        <v/>
      </c>
      <c r="U253" s="37"/>
      <c r="W253" s="37" t="str">
        <f t="shared" si="25"/>
        <v/>
      </c>
    </row>
    <row r="254" spans="13:23" x14ac:dyDescent="0.25">
      <c r="M254" s="95" t="str">
        <f t="shared" si="23"/>
        <v/>
      </c>
      <c r="N254" s="95" t="str">
        <f t="shared" si="24"/>
        <v/>
      </c>
      <c r="U254" s="37"/>
      <c r="W254" s="37" t="str">
        <f t="shared" si="25"/>
        <v/>
      </c>
    </row>
    <row r="255" spans="13:23" x14ac:dyDescent="0.25">
      <c r="M255" s="95" t="str">
        <f t="shared" si="23"/>
        <v/>
      </c>
      <c r="N255" s="95" t="str">
        <f t="shared" si="24"/>
        <v/>
      </c>
      <c r="U255" s="37"/>
      <c r="W255" s="37" t="str">
        <f t="shared" si="25"/>
        <v/>
      </c>
    </row>
    <row r="256" spans="13:23" x14ac:dyDescent="0.25">
      <c r="M256" s="95" t="str">
        <f t="shared" si="23"/>
        <v/>
      </c>
      <c r="N256" s="95" t="str">
        <f t="shared" si="24"/>
        <v/>
      </c>
      <c r="U256" s="37"/>
      <c r="W256" s="37" t="str">
        <f t="shared" si="25"/>
        <v/>
      </c>
    </row>
    <row r="257" spans="13:23" x14ac:dyDescent="0.25">
      <c r="M257" s="95" t="str">
        <f t="shared" si="23"/>
        <v/>
      </c>
      <c r="N257" s="95" t="str">
        <f t="shared" si="24"/>
        <v/>
      </c>
      <c r="U257" s="37"/>
      <c r="W257" s="37" t="str">
        <f t="shared" si="25"/>
        <v/>
      </c>
    </row>
    <row r="258" spans="13:23" x14ac:dyDescent="0.25">
      <c r="M258" s="95" t="str">
        <f t="shared" si="23"/>
        <v/>
      </c>
      <c r="N258" s="95" t="str">
        <f t="shared" si="24"/>
        <v/>
      </c>
      <c r="U258" s="37"/>
      <c r="W258" s="37" t="str">
        <f t="shared" si="25"/>
        <v/>
      </c>
    </row>
    <row r="259" spans="13:23" x14ac:dyDescent="0.25">
      <c r="M259" s="95" t="str">
        <f t="shared" ref="M259:M322" si="26">IF(COUNTIF(K:K,J259),J259,"")</f>
        <v/>
      </c>
      <c r="N259" s="95" t="str">
        <f t="shared" si="24"/>
        <v/>
      </c>
      <c r="U259" s="37"/>
      <c r="W259" s="37" t="str">
        <f t="shared" si="25"/>
        <v/>
      </c>
    </row>
    <row r="260" spans="13:23" x14ac:dyDescent="0.25">
      <c r="M260" s="95" t="str">
        <f t="shared" si="26"/>
        <v/>
      </c>
      <c r="N260" s="95" t="str">
        <f t="shared" ref="N260:N323" si="27">IF(M260&gt;$A$14,M260,"")</f>
        <v/>
      </c>
      <c r="U260" s="37"/>
      <c r="W260" s="37" t="str">
        <f t="shared" ref="W260:W323" si="28">IF(COUNTIF(U:U,S260),S260,"")</f>
        <v/>
      </c>
    </row>
    <row r="261" spans="13:23" x14ac:dyDescent="0.25">
      <c r="M261" s="95" t="str">
        <f t="shared" si="26"/>
        <v/>
      </c>
      <c r="N261" s="95" t="str">
        <f t="shared" si="27"/>
        <v/>
      </c>
      <c r="U261" s="37"/>
      <c r="W261" s="37" t="str">
        <f t="shared" si="28"/>
        <v/>
      </c>
    </row>
    <row r="262" spans="13:23" x14ac:dyDescent="0.25">
      <c r="M262" s="95" t="str">
        <f t="shared" si="26"/>
        <v/>
      </c>
      <c r="N262" s="95" t="str">
        <f t="shared" si="27"/>
        <v/>
      </c>
      <c r="U262" s="37"/>
      <c r="W262" s="37" t="str">
        <f t="shared" si="28"/>
        <v/>
      </c>
    </row>
    <row r="263" spans="13:23" x14ac:dyDescent="0.25">
      <c r="M263" s="95" t="str">
        <f t="shared" si="26"/>
        <v/>
      </c>
      <c r="N263" s="95" t="str">
        <f t="shared" si="27"/>
        <v/>
      </c>
      <c r="U263" s="37"/>
      <c r="W263" s="37" t="str">
        <f t="shared" si="28"/>
        <v/>
      </c>
    </row>
    <row r="264" spans="13:23" x14ac:dyDescent="0.25">
      <c r="M264" s="95" t="str">
        <f t="shared" si="26"/>
        <v/>
      </c>
      <c r="N264" s="95" t="str">
        <f t="shared" si="27"/>
        <v/>
      </c>
      <c r="U264" s="37"/>
      <c r="W264" s="37" t="str">
        <f t="shared" si="28"/>
        <v/>
      </c>
    </row>
    <row r="265" spans="13:23" x14ac:dyDescent="0.25">
      <c r="M265" s="95" t="str">
        <f t="shared" si="26"/>
        <v/>
      </c>
      <c r="N265" s="95" t="str">
        <f t="shared" si="27"/>
        <v/>
      </c>
      <c r="U265" s="37"/>
      <c r="W265" s="37" t="str">
        <f t="shared" si="28"/>
        <v/>
      </c>
    </row>
    <row r="266" spans="13:23" x14ac:dyDescent="0.25">
      <c r="M266" s="95" t="str">
        <f t="shared" si="26"/>
        <v/>
      </c>
      <c r="N266" s="95" t="str">
        <f t="shared" si="27"/>
        <v/>
      </c>
      <c r="U266" s="37"/>
      <c r="W266" s="37" t="str">
        <f t="shared" si="28"/>
        <v/>
      </c>
    </row>
    <row r="267" spans="13:23" x14ac:dyDescent="0.25">
      <c r="M267" s="95" t="str">
        <f t="shared" si="26"/>
        <v/>
      </c>
      <c r="N267" s="95" t="str">
        <f t="shared" si="27"/>
        <v/>
      </c>
      <c r="U267" s="37"/>
      <c r="W267" s="37" t="str">
        <f t="shared" si="28"/>
        <v/>
      </c>
    </row>
    <row r="268" spans="13:23" x14ac:dyDescent="0.25">
      <c r="M268" s="95" t="str">
        <f t="shared" si="26"/>
        <v/>
      </c>
      <c r="N268" s="95" t="str">
        <f t="shared" si="27"/>
        <v/>
      </c>
      <c r="U268" s="37"/>
      <c r="W268" s="37" t="str">
        <f t="shared" si="28"/>
        <v/>
      </c>
    </row>
    <row r="269" spans="13:23" x14ac:dyDescent="0.25">
      <c r="M269" s="95" t="str">
        <f t="shared" si="26"/>
        <v/>
      </c>
      <c r="N269" s="95" t="str">
        <f t="shared" si="27"/>
        <v/>
      </c>
      <c r="U269" s="37"/>
      <c r="W269" s="37" t="str">
        <f t="shared" si="28"/>
        <v/>
      </c>
    </row>
    <row r="270" spans="13:23" x14ac:dyDescent="0.25">
      <c r="M270" s="95" t="str">
        <f t="shared" si="26"/>
        <v/>
      </c>
      <c r="N270" s="95" t="str">
        <f t="shared" si="27"/>
        <v/>
      </c>
      <c r="W270" s="37" t="str">
        <f t="shared" si="28"/>
        <v/>
      </c>
    </row>
    <row r="271" spans="13:23" x14ac:dyDescent="0.25">
      <c r="M271" s="95" t="str">
        <f t="shared" si="26"/>
        <v/>
      </c>
      <c r="N271" s="95" t="str">
        <f t="shared" si="27"/>
        <v/>
      </c>
      <c r="W271" s="37" t="str">
        <f t="shared" si="28"/>
        <v/>
      </c>
    </row>
    <row r="272" spans="13:23" x14ac:dyDescent="0.25">
      <c r="M272" s="95" t="str">
        <f t="shared" si="26"/>
        <v/>
      </c>
      <c r="N272" s="95" t="str">
        <f t="shared" si="27"/>
        <v/>
      </c>
      <c r="W272" s="37" t="str">
        <f t="shared" si="28"/>
        <v/>
      </c>
    </row>
    <row r="273" spans="13:23" x14ac:dyDescent="0.25">
      <c r="M273" s="95" t="str">
        <f t="shared" si="26"/>
        <v/>
      </c>
      <c r="N273" s="95" t="str">
        <f t="shared" si="27"/>
        <v/>
      </c>
      <c r="W273" s="37" t="str">
        <f t="shared" si="28"/>
        <v/>
      </c>
    </row>
    <row r="274" spans="13:23" x14ac:dyDescent="0.25">
      <c r="M274" s="95" t="str">
        <f t="shared" si="26"/>
        <v/>
      </c>
      <c r="N274" s="95" t="str">
        <f t="shared" si="27"/>
        <v/>
      </c>
      <c r="W274" s="37" t="str">
        <f t="shared" si="28"/>
        <v/>
      </c>
    </row>
    <row r="275" spans="13:23" x14ac:dyDescent="0.25">
      <c r="M275" s="95" t="str">
        <f t="shared" si="26"/>
        <v/>
      </c>
      <c r="N275" s="95" t="str">
        <f t="shared" si="27"/>
        <v/>
      </c>
      <c r="W275" s="37" t="str">
        <f t="shared" si="28"/>
        <v/>
      </c>
    </row>
    <row r="276" spans="13:23" x14ac:dyDescent="0.25">
      <c r="M276" s="95" t="str">
        <f t="shared" si="26"/>
        <v/>
      </c>
      <c r="N276" s="95" t="str">
        <f t="shared" si="27"/>
        <v/>
      </c>
      <c r="W276" s="37" t="str">
        <f t="shared" si="28"/>
        <v/>
      </c>
    </row>
    <row r="277" spans="13:23" x14ac:dyDescent="0.25">
      <c r="M277" s="95" t="str">
        <f t="shared" si="26"/>
        <v/>
      </c>
      <c r="N277" s="95" t="str">
        <f t="shared" si="27"/>
        <v/>
      </c>
      <c r="W277" s="37" t="str">
        <f t="shared" si="28"/>
        <v/>
      </c>
    </row>
    <row r="278" spans="13:23" x14ac:dyDescent="0.25">
      <c r="M278" s="95" t="str">
        <f t="shared" si="26"/>
        <v/>
      </c>
      <c r="N278" s="95" t="str">
        <f t="shared" si="27"/>
        <v/>
      </c>
      <c r="W278" s="37" t="str">
        <f t="shared" si="28"/>
        <v/>
      </c>
    </row>
    <row r="279" spans="13:23" x14ac:dyDescent="0.25">
      <c r="M279" s="95" t="str">
        <f t="shared" si="26"/>
        <v/>
      </c>
      <c r="N279" s="95" t="str">
        <f t="shared" si="27"/>
        <v/>
      </c>
      <c r="W279" s="37" t="str">
        <f t="shared" si="28"/>
        <v/>
      </c>
    </row>
    <row r="280" spans="13:23" x14ac:dyDescent="0.25">
      <c r="M280" s="95" t="str">
        <f t="shared" si="26"/>
        <v/>
      </c>
      <c r="N280" s="95" t="str">
        <f t="shared" si="27"/>
        <v/>
      </c>
      <c r="W280" s="37" t="str">
        <f t="shared" si="28"/>
        <v/>
      </c>
    </row>
    <row r="281" spans="13:23" x14ac:dyDescent="0.25">
      <c r="M281" s="95" t="str">
        <f t="shared" si="26"/>
        <v/>
      </c>
      <c r="N281" s="95" t="str">
        <f t="shared" si="27"/>
        <v/>
      </c>
      <c r="W281" s="37" t="str">
        <f t="shared" si="28"/>
        <v/>
      </c>
    </row>
    <row r="282" spans="13:23" x14ac:dyDescent="0.25">
      <c r="M282" s="95" t="str">
        <f t="shared" si="26"/>
        <v/>
      </c>
      <c r="N282" s="95" t="str">
        <f t="shared" si="27"/>
        <v/>
      </c>
      <c r="W282" s="37" t="str">
        <f t="shared" si="28"/>
        <v/>
      </c>
    </row>
    <row r="283" spans="13:23" x14ac:dyDescent="0.25">
      <c r="M283" s="95" t="str">
        <f t="shared" si="26"/>
        <v/>
      </c>
      <c r="N283" s="95" t="str">
        <f t="shared" si="27"/>
        <v/>
      </c>
      <c r="W283" s="37" t="str">
        <f t="shared" si="28"/>
        <v/>
      </c>
    </row>
    <row r="284" spans="13:23" x14ac:dyDescent="0.25">
      <c r="M284" s="95" t="str">
        <f t="shared" si="26"/>
        <v/>
      </c>
      <c r="N284" s="95" t="str">
        <f t="shared" si="27"/>
        <v/>
      </c>
      <c r="W284" s="37" t="str">
        <f t="shared" si="28"/>
        <v/>
      </c>
    </row>
    <row r="285" spans="13:23" x14ac:dyDescent="0.25">
      <c r="M285" s="95" t="str">
        <f t="shared" si="26"/>
        <v/>
      </c>
      <c r="N285" s="95" t="str">
        <f t="shared" si="27"/>
        <v/>
      </c>
      <c r="W285" s="37" t="str">
        <f t="shared" si="28"/>
        <v/>
      </c>
    </row>
    <row r="286" spans="13:23" x14ac:dyDescent="0.25">
      <c r="M286" s="95" t="str">
        <f t="shared" si="26"/>
        <v/>
      </c>
      <c r="N286" s="95" t="str">
        <f t="shared" si="27"/>
        <v/>
      </c>
      <c r="W286" s="37" t="str">
        <f t="shared" si="28"/>
        <v/>
      </c>
    </row>
    <row r="287" spans="13:23" x14ac:dyDescent="0.25">
      <c r="M287" s="95" t="str">
        <f t="shared" si="26"/>
        <v/>
      </c>
      <c r="N287" s="95" t="str">
        <f t="shared" si="27"/>
        <v/>
      </c>
      <c r="W287" s="37" t="str">
        <f t="shared" si="28"/>
        <v/>
      </c>
    </row>
    <row r="288" spans="13:23" x14ac:dyDescent="0.25">
      <c r="M288" s="95" t="str">
        <f t="shared" si="26"/>
        <v/>
      </c>
      <c r="N288" s="95" t="str">
        <f t="shared" si="27"/>
        <v/>
      </c>
      <c r="W288" s="37" t="str">
        <f t="shared" si="28"/>
        <v/>
      </c>
    </row>
    <row r="289" spans="13:23" x14ac:dyDescent="0.25">
      <c r="M289" s="95" t="str">
        <f t="shared" si="26"/>
        <v/>
      </c>
      <c r="N289" s="95" t="str">
        <f t="shared" si="27"/>
        <v/>
      </c>
      <c r="W289" s="37" t="str">
        <f t="shared" si="28"/>
        <v/>
      </c>
    </row>
    <row r="290" spans="13:23" x14ac:dyDescent="0.25">
      <c r="M290" s="95" t="str">
        <f t="shared" si="26"/>
        <v/>
      </c>
      <c r="N290" s="95" t="str">
        <f t="shared" si="27"/>
        <v/>
      </c>
      <c r="W290" s="37" t="str">
        <f t="shared" si="28"/>
        <v/>
      </c>
    </row>
    <row r="291" spans="13:23" x14ac:dyDescent="0.25">
      <c r="M291" s="95" t="str">
        <f t="shared" si="26"/>
        <v/>
      </c>
      <c r="N291" s="95" t="str">
        <f t="shared" si="27"/>
        <v/>
      </c>
      <c r="W291" s="37" t="str">
        <f t="shared" si="28"/>
        <v/>
      </c>
    </row>
    <row r="292" spans="13:23" x14ac:dyDescent="0.25">
      <c r="M292" s="95" t="str">
        <f t="shared" si="26"/>
        <v/>
      </c>
      <c r="N292" s="95" t="str">
        <f t="shared" si="27"/>
        <v/>
      </c>
      <c r="W292" s="37" t="str">
        <f t="shared" si="28"/>
        <v/>
      </c>
    </row>
    <row r="293" spans="13:23" x14ac:dyDescent="0.25">
      <c r="M293" s="95" t="str">
        <f t="shared" si="26"/>
        <v/>
      </c>
      <c r="N293" s="95" t="str">
        <f t="shared" si="27"/>
        <v/>
      </c>
      <c r="W293" s="37" t="str">
        <f t="shared" si="28"/>
        <v/>
      </c>
    </row>
    <row r="294" spans="13:23" x14ac:dyDescent="0.25">
      <c r="M294" s="95" t="str">
        <f t="shared" si="26"/>
        <v/>
      </c>
      <c r="N294" s="95" t="str">
        <f t="shared" si="27"/>
        <v/>
      </c>
      <c r="W294" s="37" t="str">
        <f t="shared" si="28"/>
        <v/>
      </c>
    </row>
    <row r="295" spans="13:23" x14ac:dyDescent="0.25">
      <c r="M295" s="95" t="str">
        <f t="shared" si="26"/>
        <v/>
      </c>
      <c r="N295" s="95" t="str">
        <f t="shared" si="27"/>
        <v/>
      </c>
      <c r="W295" s="37" t="str">
        <f t="shared" si="28"/>
        <v/>
      </c>
    </row>
    <row r="296" spans="13:23" x14ac:dyDescent="0.25">
      <c r="M296" s="95" t="str">
        <f t="shared" si="26"/>
        <v/>
      </c>
      <c r="N296" s="95" t="str">
        <f t="shared" si="27"/>
        <v/>
      </c>
      <c r="W296" s="37" t="str">
        <f t="shared" si="28"/>
        <v/>
      </c>
    </row>
    <row r="297" spans="13:23" x14ac:dyDescent="0.25">
      <c r="M297" s="95" t="str">
        <f t="shared" si="26"/>
        <v/>
      </c>
      <c r="N297" s="95" t="str">
        <f t="shared" si="27"/>
        <v/>
      </c>
      <c r="W297" s="37" t="str">
        <f t="shared" si="28"/>
        <v/>
      </c>
    </row>
    <row r="298" spans="13:23" x14ac:dyDescent="0.25">
      <c r="M298" s="95" t="str">
        <f t="shared" si="26"/>
        <v/>
      </c>
      <c r="N298" s="95" t="str">
        <f t="shared" si="27"/>
        <v/>
      </c>
      <c r="W298" s="37" t="str">
        <f t="shared" si="28"/>
        <v/>
      </c>
    </row>
    <row r="299" spans="13:23" x14ac:dyDescent="0.25">
      <c r="M299" s="95" t="str">
        <f t="shared" si="26"/>
        <v/>
      </c>
      <c r="N299" s="95" t="str">
        <f t="shared" si="27"/>
        <v/>
      </c>
      <c r="W299" s="37" t="str">
        <f t="shared" si="28"/>
        <v/>
      </c>
    </row>
    <row r="300" spans="13:23" x14ac:dyDescent="0.25">
      <c r="M300" s="95" t="str">
        <f t="shared" si="26"/>
        <v/>
      </c>
      <c r="N300" s="95" t="str">
        <f t="shared" si="27"/>
        <v/>
      </c>
      <c r="W300" s="37" t="str">
        <f t="shared" si="28"/>
        <v/>
      </c>
    </row>
    <row r="301" spans="13:23" x14ac:dyDescent="0.25">
      <c r="M301" s="95" t="str">
        <f t="shared" si="26"/>
        <v/>
      </c>
      <c r="N301" s="95" t="str">
        <f t="shared" si="27"/>
        <v/>
      </c>
      <c r="W301" s="37" t="str">
        <f t="shared" si="28"/>
        <v/>
      </c>
    </row>
    <row r="302" spans="13:23" x14ac:dyDescent="0.25">
      <c r="M302" s="95" t="str">
        <f t="shared" si="26"/>
        <v/>
      </c>
      <c r="N302" s="95" t="str">
        <f t="shared" si="27"/>
        <v/>
      </c>
      <c r="W302" s="37" t="str">
        <f t="shared" si="28"/>
        <v/>
      </c>
    </row>
    <row r="303" spans="13:23" x14ac:dyDescent="0.25">
      <c r="M303" s="95" t="str">
        <f t="shared" si="26"/>
        <v/>
      </c>
      <c r="N303" s="95" t="str">
        <f t="shared" si="27"/>
        <v/>
      </c>
      <c r="W303" s="37" t="str">
        <f t="shared" si="28"/>
        <v/>
      </c>
    </row>
    <row r="304" spans="13:23" x14ac:dyDescent="0.25">
      <c r="M304" s="95" t="str">
        <f t="shared" si="26"/>
        <v/>
      </c>
      <c r="N304" s="95" t="str">
        <f t="shared" si="27"/>
        <v/>
      </c>
      <c r="W304" s="37" t="str">
        <f t="shared" si="28"/>
        <v/>
      </c>
    </row>
    <row r="305" spans="13:23" x14ac:dyDescent="0.25">
      <c r="M305" s="95" t="str">
        <f t="shared" si="26"/>
        <v/>
      </c>
      <c r="N305" s="95" t="str">
        <f t="shared" si="27"/>
        <v/>
      </c>
      <c r="W305" s="37" t="str">
        <f t="shared" si="28"/>
        <v/>
      </c>
    </row>
    <row r="306" spans="13:23" x14ac:dyDescent="0.25">
      <c r="M306" s="95" t="str">
        <f t="shared" si="26"/>
        <v/>
      </c>
      <c r="N306" s="95" t="str">
        <f t="shared" si="27"/>
        <v/>
      </c>
      <c r="W306" s="37" t="str">
        <f t="shared" si="28"/>
        <v/>
      </c>
    </row>
    <row r="307" spans="13:23" x14ac:dyDescent="0.25">
      <c r="M307" s="95" t="str">
        <f t="shared" si="26"/>
        <v/>
      </c>
      <c r="N307" s="95" t="str">
        <f t="shared" si="27"/>
        <v/>
      </c>
      <c r="W307" s="37" t="str">
        <f t="shared" si="28"/>
        <v/>
      </c>
    </row>
    <row r="308" spans="13:23" x14ac:dyDescent="0.25">
      <c r="M308" s="95" t="str">
        <f t="shared" si="26"/>
        <v/>
      </c>
      <c r="N308" s="95" t="str">
        <f t="shared" si="27"/>
        <v/>
      </c>
      <c r="W308" s="37" t="str">
        <f t="shared" si="28"/>
        <v/>
      </c>
    </row>
    <row r="309" spans="13:23" x14ac:dyDescent="0.25">
      <c r="M309" s="95" t="str">
        <f t="shared" si="26"/>
        <v/>
      </c>
      <c r="N309" s="95" t="str">
        <f t="shared" si="27"/>
        <v/>
      </c>
      <c r="W309" s="37" t="str">
        <f t="shared" si="28"/>
        <v/>
      </c>
    </row>
    <row r="310" spans="13:23" x14ac:dyDescent="0.25">
      <c r="M310" s="95" t="str">
        <f t="shared" si="26"/>
        <v/>
      </c>
      <c r="N310" s="95" t="str">
        <f t="shared" si="27"/>
        <v/>
      </c>
      <c r="W310" s="37" t="str">
        <f t="shared" si="28"/>
        <v/>
      </c>
    </row>
    <row r="311" spans="13:23" x14ac:dyDescent="0.25">
      <c r="M311" s="95" t="str">
        <f t="shared" si="26"/>
        <v/>
      </c>
      <c r="N311" s="95" t="str">
        <f t="shared" si="27"/>
        <v/>
      </c>
      <c r="W311" s="37" t="str">
        <f t="shared" si="28"/>
        <v/>
      </c>
    </row>
    <row r="312" spans="13:23" x14ac:dyDescent="0.25">
      <c r="M312" s="95" t="str">
        <f t="shared" si="26"/>
        <v/>
      </c>
      <c r="N312" s="95" t="str">
        <f t="shared" si="27"/>
        <v/>
      </c>
      <c r="W312" s="37" t="str">
        <f t="shared" si="28"/>
        <v/>
      </c>
    </row>
    <row r="313" spans="13:23" x14ac:dyDescent="0.25">
      <c r="M313" s="95" t="str">
        <f t="shared" si="26"/>
        <v/>
      </c>
      <c r="N313" s="95" t="str">
        <f t="shared" si="27"/>
        <v/>
      </c>
      <c r="W313" s="37" t="str">
        <f t="shared" si="28"/>
        <v/>
      </c>
    </row>
    <row r="314" spans="13:23" x14ac:dyDescent="0.25">
      <c r="M314" s="95" t="str">
        <f t="shared" si="26"/>
        <v/>
      </c>
      <c r="N314" s="95" t="str">
        <f t="shared" si="27"/>
        <v/>
      </c>
      <c r="W314" s="37" t="str">
        <f t="shared" si="28"/>
        <v/>
      </c>
    </row>
    <row r="315" spans="13:23" x14ac:dyDescent="0.25">
      <c r="M315" s="95" t="str">
        <f t="shared" si="26"/>
        <v/>
      </c>
      <c r="N315" s="95" t="str">
        <f t="shared" si="27"/>
        <v/>
      </c>
      <c r="W315" s="37" t="str">
        <f t="shared" si="28"/>
        <v/>
      </c>
    </row>
    <row r="316" spans="13:23" x14ac:dyDescent="0.25">
      <c r="M316" s="95" t="str">
        <f t="shared" si="26"/>
        <v/>
      </c>
      <c r="N316" s="95" t="str">
        <f t="shared" si="27"/>
        <v/>
      </c>
      <c r="W316" s="37" t="str">
        <f t="shared" si="28"/>
        <v/>
      </c>
    </row>
    <row r="317" spans="13:23" x14ac:dyDescent="0.25">
      <c r="M317" s="95" t="str">
        <f t="shared" si="26"/>
        <v/>
      </c>
      <c r="N317" s="95" t="str">
        <f t="shared" si="27"/>
        <v/>
      </c>
      <c r="W317" s="37" t="str">
        <f t="shared" si="28"/>
        <v/>
      </c>
    </row>
    <row r="318" spans="13:23" x14ac:dyDescent="0.25">
      <c r="M318" s="95" t="str">
        <f t="shared" si="26"/>
        <v/>
      </c>
      <c r="N318" s="95" t="str">
        <f t="shared" si="27"/>
        <v/>
      </c>
      <c r="W318" s="37" t="str">
        <f t="shared" si="28"/>
        <v/>
      </c>
    </row>
    <row r="319" spans="13:23" x14ac:dyDescent="0.25">
      <c r="M319" s="95" t="str">
        <f t="shared" si="26"/>
        <v/>
      </c>
      <c r="N319" s="95" t="str">
        <f t="shared" si="27"/>
        <v/>
      </c>
      <c r="W319" s="37" t="str">
        <f t="shared" si="28"/>
        <v/>
      </c>
    </row>
    <row r="320" spans="13:23" x14ac:dyDescent="0.25">
      <c r="M320" s="95" t="str">
        <f t="shared" si="26"/>
        <v/>
      </c>
      <c r="N320" s="95" t="str">
        <f t="shared" si="27"/>
        <v/>
      </c>
      <c r="W320" s="37" t="str">
        <f t="shared" si="28"/>
        <v/>
      </c>
    </row>
    <row r="321" spans="13:23" x14ac:dyDescent="0.25">
      <c r="M321" s="95" t="str">
        <f t="shared" si="26"/>
        <v/>
      </c>
      <c r="N321" s="95" t="str">
        <f t="shared" si="27"/>
        <v/>
      </c>
      <c r="W321" s="37" t="str">
        <f t="shared" si="28"/>
        <v/>
      </c>
    </row>
    <row r="322" spans="13:23" x14ac:dyDescent="0.25">
      <c r="M322" s="95" t="str">
        <f t="shared" si="26"/>
        <v/>
      </c>
      <c r="N322" s="95" t="str">
        <f t="shared" si="27"/>
        <v/>
      </c>
      <c r="W322" s="37" t="str">
        <f t="shared" si="28"/>
        <v/>
      </c>
    </row>
    <row r="323" spans="13:23" x14ac:dyDescent="0.25">
      <c r="M323" s="95" t="str">
        <f t="shared" ref="M323:M386" si="29">IF(COUNTIF(K:K,J323),J323,"")</f>
        <v/>
      </c>
      <c r="N323" s="95" t="str">
        <f t="shared" si="27"/>
        <v/>
      </c>
      <c r="W323" s="37" t="str">
        <f t="shared" si="28"/>
        <v/>
      </c>
    </row>
    <row r="324" spans="13:23" x14ac:dyDescent="0.25">
      <c r="M324" s="95" t="str">
        <f t="shared" si="29"/>
        <v/>
      </c>
      <c r="N324" s="95" t="str">
        <f t="shared" ref="N324:N387" si="30">IF(M324&gt;$A$14,M324,"")</f>
        <v/>
      </c>
      <c r="W324" s="37" t="str">
        <f t="shared" ref="W324:W387" si="31">IF(COUNTIF(U:U,S324),S324,"")</f>
        <v/>
      </c>
    </row>
    <row r="325" spans="13:23" x14ac:dyDescent="0.25">
      <c r="M325" s="95" t="str">
        <f t="shared" si="29"/>
        <v/>
      </c>
      <c r="N325" s="95" t="str">
        <f t="shared" si="30"/>
        <v/>
      </c>
      <c r="W325" s="37" t="str">
        <f t="shared" si="31"/>
        <v/>
      </c>
    </row>
    <row r="326" spans="13:23" x14ac:dyDescent="0.25">
      <c r="M326" s="95" t="str">
        <f t="shared" si="29"/>
        <v/>
      </c>
      <c r="N326" s="95" t="str">
        <f t="shared" si="30"/>
        <v/>
      </c>
      <c r="W326" s="37" t="str">
        <f t="shared" si="31"/>
        <v/>
      </c>
    </row>
    <row r="327" spans="13:23" x14ac:dyDescent="0.25">
      <c r="M327" s="95" t="str">
        <f t="shared" si="29"/>
        <v/>
      </c>
      <c r="N327" s="95" t="str">
        <f t="shared" si="30"/>
        <v/>
      </c>
      <c r="W327" s="37" t="str">
        <f t="shared" si="31"/>
        <v/>
      </c>
    </row>
    <row r="328" spans="13:23" x14ac:dyDescent="0.25">
      <c r="M328" s="95" t="str">
        <f t="shared" si="29"/>
        <v/>
      </c>
      <c r="N328" s="95" t="str">
        <f t="shared" si="30"/>
        <v/>
      </c>
      <c r="W328" s="37" t="str">
        <f t="shared" si="31"/>
        <v/>
      </c>
    </row>
    <row r="329" spans="13:23" x14ac:dyDescent="0.25">
      <c r="M329" s="95" t="str">
        <f t="shared" si="29"/>
        <v/>
      </c>
      <c r="N329" s="95" t="str">
        <f t="shared" si="30"/>
        <v/>
      </c>
      <c r="W329" s="37" t="str">
        <f t="shared" si="31"/>
        <v/>
      </c>
    </row>
    <row r="330" spans="13:23" x14ac:dyDescent="0.25">
      <c r="M330" s="95" t="str">
        <f t="shared" si="29"/>
        <v/>
      </c>
      <c r="N330" s="95" t="str">
        <f t="shared" si="30"/>
        <v/>
      </c>
      <c r="W330" s="37" t="str">
        <f t="shared" si="31"/>
        <v/>
      </c>
    </row>
    <row r="331" spans="13:23" x14ac:dyDescent="0.25">
      <c r="M331" s="95" t="str">
        <f t="shared" si="29"/>
        <v/>
      </c>
      <c r="N331" s="95" t="str">
        <f t="shared" si="30"/>
        <v/>
      </c>
      <c r="W331" s="37" t="str">
        <f t="shared" si="31"/>
        <v/>
      </c>
    </row>
    <row r="332" spans="13:23" x14ac:dyDescent="0.25">
      <c r="M332" s="95" t="str">
        <f t="shared" si="29"/>
        <v/>
      </c>
      <c r="N332" s="95" t="str">
        <f t="shared" si="30"/>
        <v/>
      </c>
      <c r="W332" s="37" t="str">
        <f t="shared" si="31"/>
        <v/>
      </c>
    </row>
    <row r="333" spans="13:23" x14ac:dyDescent="0.25">
      <c r="M333" s="95" t="str">
        <f t="shared" si="29"/>
        <v/>
      </c>
      <c r="N333" s="95" t="str">
        <f t="shared" si="30"/>
        <v/>
      </c>
      <c r="W333" s="37" t="str">
        <f t="shared" si="31"/>
        <v/>
      </c>
    </row>
    <row r="334" spans="13:23" x14ac:dyDescent="0.25">
      <c r="M334" s="95" t="str">
        <f t="shared" si="29"/>
        <v/>
      </c>
      <c r="N334" s="95" t="str">
        <f t="shared" si="30"/>
        <v/>
      </c>
      <c r="W334" s="37" t="str">
        <f t="shared" si="31"/>
        <v/>
      </c>
    </row>
    <row r="335" spans="13:23" x14ac:dyDescent="0.25">
      <c r="M335" s="95" t="str">
        <f t="shared" si="29"/>
        <v/>
      </c>
      <c r="N335" s="95" t="str">
        <f t="shared" si="30"/>
        <v/>
      </c>
      <c r="W335" s="37" t="str">
        <f t="shared" si="31"/>
        <v/>
      </c>
    </row>
    <row r="336" spans="13:23" x14ac:dyDescent="0.25">
      <c r="M336" s="95" t="str">
        <f t="shared" si="29"/>
        <v/>
      </c>
      <c r="N336" s="95" t="str">
        <f t="shared" si="30"/>
        <v/>
      </c>
      <c r="W336" s="37" t="str">
        <f t="shared" si="31"/>
        <v/>
      </c>
    </row>
    <row r="337" spans="13:23" x14ac:dyDescent="0.25">
      <c r="M337" s="95" t="str">
        <f t="shared" si="29"/>
        <v/>
      </c>
      <c r="N337" s="95" t="str">
        <f t="shared" si="30"/>
        <v/>
      </c>
      <c r="W337" s="37" t="str">
        <f t="shared" si="31"/>
        <v/>
      </c>
    </row>
    <row r="338" spans="13:23" x14ac:dyDescent="0.25">
      <c r="M338" s="95" t="str">
        <f t="shared" si="29"/>
        <v/>
      </c>
      <c r="N338" s="95" t="str">
        <f t="shared" si="30"/>
        <v/>
      </c>
      <c r="W338" s="37" t="str">
        <f t="shared" si="31"/>
        <v/>
      </c>
    </row>
    <row r="339" spans="13:23" x14ac:dyDescent="0.25">
      <c r="M339" s="95" t="str">
        <f t="shared" si="29"/>
        <v/>
      </c>
      <c r="N339" s="95" t="str">
        <f t="shared" si="30"/>
        <v/>
      </c>
      <c r="W339" s="37" t="str">
        <f t="shared" si="31"/>
        <v/>
      </c>
    </row>
    <row r="340" spans="13:23" x14ac:dyDescent="0.25">
      <c r="M340" s="95" t="str">
        <f t="shared" si="29"/>
        <v/>
      </c>
      <c r="N340" s="95" t="str">
        <f t="shared" si="30"/>
        <v/>
      </c>
      <c r="W340" s="37" t="str">
        <f t="shared" si="31"/>
        <v/>
      </c>
    </row>
    <row r="341" spans="13:23" x14ac:dyDescent="0.25">
      <c r="M341" s="95" t="str">
        <f t="shared" si="29"/>
        <v/>
      </c>
      <c r="N341" s="95" t="str">
        <f t="shared" si="30"/>
        <v/>
      </c>
      <c r="W341" s="37" t="str">
        <f t="shared" si="31"/>
        <v/>
      </c>
    </row>
    <row r="342" spans="13:23" x14ac:dyDescent="0.25">
      <c r="M342" s="95" t="str">
        <f t="shared" si="29"/>
        <v/>
      </c>
      <c r="N342" s="95" t="str">
        <f t="shared" si="30"/>
        <v/>
      </c>
      <c r="W342" s="37" t="str">
        <f t="shared" si="31"/>
        <v/>
      </c>
    </row>
    <row r="343" spans="13:23" x14ac:dyDescent="0.25">
      <c r="M343" s="95" t="str">
        <f t="shared" si="29"/>
        <v/>
      </c>
      <c r="N343" s="95" t="str">
        <f t="shared" si="30"/>
        <v/>
      </c>
      <c r="W343" s="37" t="str">
        <f t="shared" si="31"/>
        <v/>
      </c>
    </row>
    <row r="344" spans="13:23" x14ac:dyDescent="0.25">
      <c r="M344" s="95" t="str">
        <f t="shared" si="29"/>
        <v/>
      </c>
      <c r="N344" s="95" t="str">
        <f t="shared" si="30"/>
        <v/>
      </c>
      <c r="W344" s="37" t="str">
        <f t="shared" si="31"/>
        <v/>
      </c>
    </row>
    <row r="345" spans="13:23" x14ac:dyDescent="0.25">
      <c r="M345" s="95" t="str">
        <f t="shared" si="29"/>
        <v/>
      </c>
      <c r="N345" s="95" t="str">
        <f t="shared" si="30"/>
        <v/>
      </c>
      <c r="W345" s="37" t="str">
        <f t="shared" si="31"/>
        <v/>
      </c>
    </row>
    <row r="346" spans="13:23" x14ac:dyDescent="0.25">
      <c r="M346" s="95" t="str">
        <f t="shared" si="29"/>
        <v/>
      </c>
      <c r="N346" s="95" t="str">
        <f t="shared" si="30"/>
        <v/>
      </c>
      <c r="W346" s="37" t="str">
        <f t="shared" si="31"/>
        <v/>
      </c>
    </row>
    <row r="347" spans="13:23" x14ac:dyDescent="0.25">
      <c r="M347" s="95" t="str">
        <f t="shared" si="29"/>
        <v/>
      </c>
      <c r="N347" s="95" t="str">
        <f t="shared" si="30"/>
        <v/>
      </c>
      <c r="W347" s="37" t="str">
        <f t="shared" si="31"/>
        <v/>
      </c>
    </row>
    <row r="348" spans="13:23" x14ac:dyDescent="0.25">
      <c r="M348" s="95" t="str">
        <f t="shared" si="29"/>
        <v/>
      </c>
      <c r="N348" s="95" t="str">
        <f t="shared" si="30"/>
        <v/>
      </c>
      <c r="W348" s="37" t="str">
        <f t="shared" si="31"/>
        <v/>
      </c>
    </row>
    <row r="349" spans="13:23" x14ac:dyDescent="0.25">
      <c r="M349" s="95" t="str">
        <f t="shared" si="29"/>
        <v/>
      </c>
      <c r="N349" s="95" t="str">
        <f t="shared" si="30"/>
        <v/>
      </c>
      <c r="W349" s="37" t="str">
        <f t="shared" si="31"/>
        <v/>
      </c>
    </row>
    <row r="350" spans="13:23" x14ac:dyDescent="0.25">
      <c r="M350" s="95" t="str">
        <f t="shared" si="29"/>
        <v/>
      </c>
      <c r="N350" s="95" t="str">
        <f t="shared" si="30"/>
        <v/>
      </c>
      <c r="W350" s="37" t="str">
        <f t="shared" si="31"/>
        <v/>
      </c>
    </row>
    <row r="351" spans="13:23" x14ac:dyDescent="0.25">
      <c r="M351" s="95" t="str">
        <f t="shared" si="29"/>
        <v/>
      </c>
      <c r="N351" s="95" t="str">
        <f t="shared" si="30"/>
        <v/>
      </c>
      <c r="W351" s="37" t="str">
        <f t="shared" si="31"/>
        <v/>
      </c>
    </row>
    <row r="352" spans="13:23" x14ac:dyDescent="0.25">
      <c r="M352" s="95" t="str">
        <f t="shared" si="29"/>
        <v/>
      </c>
      <c r="N352" s="95" t="str">
        <f t="shared" si="30"/>
        <v/>
      </c>
      <c r="W352" s="37" t="str">
        <f t="shared" si="31"/>
        <v/>
      </c>
    </row>
    <row r="353" spans="13:23" x14ac:dyDescent="0.25">
      <c r="M353" s="95" t="str">
        <f t="shared" si="29"/>
        <v/>
      </c>
      <c r="N353" s="95" t="str">
        <f t="shared" si="30"/>
        <v/>
      </c>
      <c r="W353" s="37" t="str">
        <f t="shared" si="31"/>
        <v/>
      </c>
    </row>
    <row r="354" spans="13:23" x14ac:dyDescent="0.25">
      <c r="M354" s="95" t="str">
        <f t="shared" si="29"/>
        <v/>
      </c>
      <c r="N354" s="95" t="str">
        <f t="shared" si="30"/>
        <v/>
      </c>
      <c r="W354" s="37" t="str">
        <f t="shared" si="31"/>
        <v/>
      </c>
    </row>
    <row r="355" spans="13:23" x14ac:dyDescent="0.25">
      <c r="M355" s="95" t="str">
        <f t="shared" si="29"/>
        <v/>
      </c>
      <c r="N355" s="95" t="str">
        <f t="shared" si="30"/>
        <v/>
      </c>
      <c r="W355" s="37" t="str">
        <f t="shared" si="31"/>
        <v/>
      </c>
    </row>
    <row r="356" spans="13:23" x14ac:dyDescent="0.25">
      <c r="M356" s="95" t="str">
        <f t="shared" si="29"/>
        <v/>
      </c>
      <c r="N356" s="95" t="str">
        <f t="shared" si="30"/>
        <v/>
      </c>
      <c r="W356" s="37" t="str">
        <f t="shared" si="31"/>
        <v/>
      </c>
    </row>
    <row r="357" spans="13:23" x14ac:dyDescent="0.25">
      <c r="M357" s="95" t="str">
        <f t="shared" si="29"/>
        <v/>
      </c>
      <c r="N357" s="95" t="str">
        <f t="shared" si="30"/>
        <v/>
      </c>
      <c r="W357" s="37" t="str">
        <f t="shared" si="31"/>
        <v/>
      </c>
    </row>
    <row r="358" spans="13:23" x14ac:dyDescent="0.25">
      <c r="M358" s="95" t="str">
        <f t="shared" si="29"/>
        <v/>
      </c>
      <c r="N358" s="95" t="str">
        <f t="shared" si="30"/>
        <v/>
      </c>
      <c r="W358" s="37" t="str">
        <f t="shared" si="31"/>
        <v/>
      </c>
    </row>
    <row r="359" spans="13:23" x14ac:dyDescent="0.25">
      <c r="M359" s="95" t="str">
        <f t="shared" si="29"/>
        <v/>
      </c>
      <c r="N359" s="95" t="str">
        <f t="shared" si="30"/>
        <v/>
      </c>
      <c r="W359" s="37" t="str">
        <f t="shared" si="31"/>
        <v/>
      </c>
    </row>
    <row r="360" spans="13:23" x14ac:dyDescent="0.25">
      <c r="M360" s="95" t="str">
        <f t="shared" si="29"/>
        <v/>
      </c>
      <c r="N360" s="95" t="str">
        <f t="shared" si="30"/>
        <v/>
      </c>
      <c r="W360" s="37" t="str">
        <f t="shared" si="31"/>
        <v/>
      </c>
    </row>
    <row r="361" spans="13:23" x14ac:dyDescent="0.25">
      <c r="M361" s="95" t="str">
        <f t="shared" si="29"/>
        <v/>
      </c>
      <c r="N361" s="95" t="str">
        <f t="shared" si="30"/>
        <v/>
      </c>
      <c r="W361" s="37" t="str">
        <f t="shared" si="31"/>
        <v/>
      </c>
    </row>
    <row r="362" spans="13:23" x14ac:dyDescent="0.25">
      <c r="M362" s="95" t="str">
        <f t="shared" si="29"/>
        <v/>
      </c>
      <c r="N362" s="95" t="str">
        <f t="shared" si="30"/>
        <v/>
      </c>
      <c r="W362" s="37" t="str">
        <f t="shared" si="31"/>
        <v/>
      </c>
    </row>
    <row r="363" spans="13:23" x14ac:dyDescent="0.25">
      <c r="M363" s="95" t="str">
        <f t="shared" si="29"/>
        <v/>
      </c>
      <c r="N363" s="95" t="str">
        <f t="shared" si="30"/>
        <v/>
      </c>
      <c r="W363" s="37" t="str">
        <f t="shared" si="31"/>
        <v/>
      </c>
    </row>
    <row r="364" spans="13:23" x14ac:dyDescent="0.25">
      <c r="M364" s="95" t="str">
        <f t="shared" si="29"/>
        <v/>
      </c>
      <c r="N364" s="95" t="str">
        <f t="shared" si="30"/>
        <v/>
      </c>
      <c r="W364" s="37" t="str">
        <f t="shared" si="31"/>
        <v/>
      </c>
    </row>
    <row r="365" spans="13:23" x14ac:dyDescent="0.25">
      <c r="M365" s="95" t="str">
        <f t="shared" si="29"/>
        <v/>
      </c>
      <c r="N365" s="95" t="str">
        <f t="shared" si="30"/>
        <v/>
      </c>
      <c r="W365" s="37" t="str">
        <f t="shared" si="31"/>
        <v/>
      </c>
    </row>
    <row r="366" spans="13:23" x14ac:dyDescent="0.25">
      <c r="M366" s="95" t="str">
        <f t="shared" si="29"/>
        <v/>
      </c>
      <c r="N366" s="95" t="str">
        <f t="shared" si="30"/>
        <v/>
      </c>
      <c r="W366" s="37" t="str">
        <f t="shared" si="31"/>
        <v/>
      </c>
    </row>
    <row r="367" spans="13:23" x14ac:dyDescent="0.25">
      <c r="M367" s="95" t="str">
        <f t="shared" si="29"/>
        <v/>
      </c>
      <c r="N367" s="95" t="str">
        <f t="shared" si="30"/>
        <v/>
      </c>
      <c r="W367" s="37" t="str">
        <f t="shared" si="31"/>
        <v/>
      </c>
    </row>
    <row r="368" spans="13:23" x14ac:dyDescent="0.25">
      <c r="M368" s="95" t="str">
        <f t="shared" si="29"/>
        <v/>
      </c>
      <c r="N368" s="95" t="str">
        <f t="shared" si="30"/>
        <v/>
      </c>
      <c r="W368" s="37" t="str">
        <f t="shared" si="31"/>
        <v/>
      </c>
    </row>
    <row r="369" spans="13:23" x14ac:dyDescent="0.25">
      <c r="M369" s="95" t="str">
        <f t="shared" si="29"/>
        <v/>
      </c>
      <c r="N369" s="95" t="str">
        <f t="shared" si="30"/>
        <v/>
      </c>
      <c r="W369" s="37" t="str">
        <f t="shared" si="31"/>
        <v/>
      </c>
    </row>
    <row r="370" spans="13:23" x14ac:dyDescent="0.25">
      <c r="M370" s="95" t="str">
        <f t="shared" si="29"/>
        <v/>
      </c>
      <c r="N370" s="95" t="str">
        <f t="shared" si="30"/>
        <v/>
      </c>
      <c r="W370" s="37" t="str">
        <f t="shared" si="31"/>
        <v/>
      </c>
    </row>
    <row r="371" spans="13:23" x14ac:dyDescent="0.25">
      <c r="M371" s="95" t="str">
        <f t="shared" si="29"/>
        <v/>
      </c>
      <c r="N371" s="95" t="str">
        <f t="shared" si="30"/>
        <v/>
      </c>
      <c r="W371" s="37" t="str">
        <f t="shared" si="31"/>
        <v/>
      </c>
    </row>
    <row r="372" spans="13:23" x14ac:dyDescent="0.25">
      <c r="M372" s="95" t="str">
        <f t="shared" si="29"/>
        <v/>
      </c>
      <c r="N372" s="95" t="str">
        <f t="shared" si="30"/>
        <v/>
      </c>
      <c r="W372" s="37" t="str">
        <f t="shared" si="31"/>
        <v/>
      </c>
    </row>
    <row r="373" spans="13:23" x14ac:dyDescent="0.25">
      <c r="M373" s="95" t="str">
        <f t="shared" si="29"/>
        <v/>
      </c>
      <c r="N373" s="95" t="str">
        <f t="shared" si="30"/>
        <v/>
      </c>
      <c r="W373" s="37" t="str">
        <f t="shared" si="31"/>
        <v/>
      </c>
    </row>
    <row r="374" spans="13:23" x14ac:dyDescent="0.25">
      <c r="M374" s="95" t="str">
        <f t="shared" si="29"/>
        <v/>
      </c>
      <c r="N374" s="95" t="str">
        <f t="shared" si="30"/>
        <v/>
      </c>
      <c r="W374" s="37" t="str">
        <f t="shared" si="31"/>
        <v/>
      </c>
    </row>
    <row r="375" spans="13:23" x14ac:dyDescent="0.25">
      <c r="M375" s="95" t="str">
        <f t="shared" si="29"/>
        <v/>
      </c>
      <c r="N375" s="95" t="str">
        <f t="shared" si="30"/>
        <v/>
      </c>
      <c r="W375" s="37" t="str">
        <f t="shared" si="31"/>
        <v/>
      </c>
    </row>
    <row r="376" spans="13:23" x14ac:dyDescent="0.25">
      <c r="M376" s="95" t="str">
        <f t="shared" si="29"/>
        <v/>
      </c>
      <c r="N376" s="95" t="str">
        <f t="shared" si="30"/>
        <v/>
      </c>
      <c r="W376" s="37" t="str">
        <f t="shared" si="31"/>
        <v/>
      </c>
    </row>
    <row r="377" spans="13:23" x14ac:dyDescent="0.25">
      <c r="M377" s="95" t="str">
        <f t="shared" si="29"/>
        <v/>
      </c>
      <c r="N377" s="95" t="str">
        <f t="shared" si="30"/>
        <v/>
      </c>
      <c r="W377" s="37" t="str">
        <f t="shared" si="31"/>
        <v/>
      </c>
    </row>
    <row r="378" spans="13:23" x14ac:dyDescent="0.25">
      <c r="M378" s="95" t="str">
        <f t="shared" si="29"/>
        <v/>
      </c>
      <c r="N378" s="95" t="str">
        <f t="shared" si="30"/>
        <v/>
      </c>
      <c r="W378" s="37" t="str">
        <f t="shared" si="31"/>
        <v/>
      </c>
    </row>
    <row r="379" spans="13:23" x14ac:dyDescent="0.25">
      <c r="M379" s="95" t="str">
        <f t="shared" si="29"/>
        <v/>
      </c>
      <c r="N379" s="95" t="str">
        <f t="shared" si="30"/>
        <v/>
      </c>
      <c r="W379" s="37" t="str">
        <f t="shared" si="31"/>
        <v/>
      </c>
    </row>
    <row r="380" spans="13:23" x14ac:dyDescent="0.25">
      <c r="M380" s="95" t="str">
        <f t="shared" si="29"/>
        <v/>
      </c>
      <c r="N380" s="95" t="str">
        <f t="shared" si="30"/>
        <v/>
      </c>
      <c r="W380" s="37" t="str">
        <f t="shared" si="31"/>
        <v/>
      </c>
    </row>
    <row r="381" spans="13:23" x14ac:dyDescent="0.25">
      <c r="M381" s="95" t="str">
        <f t="shared" si="29"/>
        <v/>
      </c>
      <c r="N381" s="95" t="str">
        <f t="shared" si="30"/>
        <v/>
      </c>
      <c r="W381" s="37" t="str">
        <f t="shared" si="31"/>
        <v/>
      </c>
    </row>
    <row r="382" spans="13:23" x14ac:dyDescent="0.25">
      <c r="M382" s="95" t="str">
        <f t="shared" si="29"/>
        <v/>
      </c>
      <c r="N382" s="95" t="str">
        <f t="shared" si="30"/>
        <v/>
      </c>
      <c r="W382" s="37" t="str">
        <f t="shared" si="31"/>
        <v/>
      </c>
    </row>
    <row r="383" spans="13:23" x14ac:dyDescent="0.25">
      <c r="M383" s="95" t="str">
        <f t="shared" si="29"/>
        <v/>
      </c>
      <c r="N383" s="95" t="str">
        <f t="shared" si="30"/>
        <v/>
      </c>
      <c r="W383" s="37" t="str">
        <f t="shared" si="31"/>
        <v/>
      </c>
    </row>
    <row r="384" spans="13:23" x14ac:dyDescent="0.25">
      <c r="M384" s="95" t="str">
        <f t="shared" si="29"/>
        <v/>
      </c>
      <c r="N384" s="95" t="str">
        <f t="shared" si="30"/>
        <v/>
      </c>
      <c r="W384" s="37" t="str">
        <f t="shared" si="31"/>
        <v/>
      </c>
    </row>
    <row r="385" spans="13:23" x14ac:dyDescent="0.25">
      <c r="M385" s="95" t="str">
        <f t="shared" si="29"/>
        <v/>
      </c>
      <c r="N385" s="95" t="str">
        <f t="shared" si="30"/>
        <v/>
      </c>
      <c r="W385" s="37" t="str">
        <f t="shared" si="31"/>
        <v/>
      </c>
    </row>
    <row r="386" spans="13:23" x14ac:dyDescent="0.25">
      <c r="M386" s="95" t="str">
        <f t="shared" si="29"/>
        <v/>
      </c>
      <c r="N386" s="95" t="str">
        <f t="shared" si="30"/>
        <v/>
      </c>
      <c r="W386" s="37" t="str">
        <f t="shared" si="31"/>
        <v/>
      </c>
    </row>
    <row r="387" spans="13:23" x14ac:dyDescent="0.25">
      <c r="M387" s="95" t="str">
        <f t="shared" ref="M387:M450" si="32">IF(COUNTIF(K:K,J387),J387,"")</f>
        <v/>
      </c>
      <c r="N387" s="95" t="str">
        <f t="shared" si="30"/>
        <v/>
      </c>
      <c r="W387" s="37" t="str">
        <f t="shared" si="31"/>
        <v/>
      </c>
    </row>
    <row r="388" spans="13:23" x14ac:dyDescent="0.25">
      <c r="M388" s="95" t="str">
        <f t="shared" si="32"/>
        <v/>
      </c>
      <c r="N388" s="95" t="str">
        <f t="shared" ref="N388:N451" si="33">IF(M388&gt;$A$14,M388,"")</f>
        <v/>
      </c>
      <c r="W388" s="37" t="str">
        <f t="shared" ref="W388:W421" si="34">IF(COUNTIF(U:U,S388),S388,"")</f>
        <v/>
      </c>
    </row>
    <row r="389" spans="13:23" x14ac:dyDescent="0.25">
      <c r="M389" s="95" t="str">
        <f t="shared" si="32"/>
        <v/>
      </c>
      <c r="N389" s="95" t="str">
        <f t="shared" si="33"/>
        <v/>
      </c>
      <c r="W389" s="37" t="str">
        <f t="shared" si="34"/>
        <v/>
      </c>
    </row>
    <row r="390" spans="13:23" x14ac:dyDescent="0.25">
      <c r="M390" s="95" t="str">
        <f t="shared" si="32"/>
        <v/>
      </c>
      <c r="N390" s="95" t="str">
        <f t="shared" si="33"/>
        <v/>
      </c>
      <c r="W390" s="37" t="str">
        <f t="shared" si="34"/>
        <v/>
      </c>
    </row>
    <row r="391" spans="13:23" x14ac:dyDescent="0.25">
      <c r="M391" s="95" t="str">
        <f t="shared" si="32"/>
        <v/>
      </c>
      <c r="N391" s="95" t="str">
        <f t="shared" si="33"/>
        <v/>
      </c>
      <c r="W391" s="37" t="str">
        <f t="shared" si="34"/>
        <v/>
      </c>
    </row>
    <row r="392" spans="13:23" x14ac:dyDescent="0.25">
      <c r="M392" s="95" t="str">
        <f t="shared" si="32"/>
        <v/>
      </c>
      <c r="N392" s="95" t="str">
        <f t="shared" si="33"/>
        <v/>
      </c>
      <c r="W392" s="37" t="str">
        <f t="shared" si="34"/>
        <v/>
      </c>
    </row>
    <row r="393" spans="13:23" x14ac:dyDescent="0.25">
      <c r="M393" s="95" t="str">
        <f t="shared" si="32"/>
        <v/>
      </c>
      <c r="N393" s="95" t="str">
        <f t="shared" si="33"/>
        <v/>
      </c>
      <c r="W393" s="37" t="str">
        <f t="shared" si="34"/>
        <v/>
      </c>
    </row>
    <row r="394" spans="13:23" x14ac:dyDescent="0.25">
      <c r="M394" s="95" t="str">
        <f t="shared" si="32"/>
        <v/>
      </c>
      <c r="N394" s="95" t="str">
        <f t="shared" si="33"/>
        <v/>
      </c>
      <c r="W394" s="37" t="str">
        <f t="shared" si="34"/>
        <v/>
      </c>
    </row>
    <row r="395" spans="13:23" x14ac:dyDescent="0.25">
      <c r="M395" s="95" t="str">
        <f t="shared" si="32"/>
        <v/>
      </c>
      <c r="N395" s="95" t="str">
        <f t="shared" si="33"/>
        <v/>
      </c>
      <c r="W395" s="37" t="str">
        <f t="shared" si="34"/>
        <v/>
      </c>
    </row>
    <row r="396" spans="13:23" x14ac:dyDescent="0.25">
      <c r="M396" s="95" t="str">
        <f t="shared" si="32"/>
        <v/>
      </c>
      <c r="N396" s="95" t="str">
        <f t="shared" si="33"/>
        <v/>
      </c>
      <c r="W396" s="37" t="str">
        <f t="shared" si="34"/>
        <v/>
      </c>
    </row>
    <row r="397" spans="13:23" x14ac:dyDescent="0.25">
      <c r="M397" s="95" t="str">
        <f t="shared" si="32"/>
        <v/>
      </c>
      <c r="N397" s="95" t="str">
        <f t="shared" si="33"/>
        <v/>
      </c>
      <c r="W397" s="37" t="str">
        <f t="shared" si="34"/>
        <v/>
      </c>
    </row>
    <row r="398" spans="13:23" x14ac:dyDescent="0.25">
      <c r="M398" s="95" t="str">
        <f t="shared" si="32"/>
        <v/>
      </c>
      <c r="N398" s="95" t="str">
        <f t="shared" si="33"/>
        <v/>
      </c>
      <c r="W398" s="37" t="str">
        <f t="shared" si="34"/>
        <v/>
      </c>
    </row>
    <row r="399" spans="13:23" x14ac:dyDescent="0.25">
      <c r="M399" s="95" t="str">
        <f t="shared" si="32"/>
        <v/>
      </c>
      <c r="N399" s="95" t="str">
        <f t="shared" si="33"/>
        <v/>
      </c>
      <c r="W399" s="37" t="str">
        <f t="shared" si="34"/>
        <v/>
      </c>
    </row>
    <row r="400" spans="13:23" x14ac:dyDescent="0.25">
      <c r="M400" s="95" t="str">
        <f t="shared" si="32"/>
        <v/>
      </c>
      <c r="N400" s="95" t="str">
        <f t="shared" si="33"/>
        <v/>
      </c>
      <c r="W400" s="37" t="str">
        <f t="shared" si="34"/>
        <v/>
      </c>
    </row>
    <row r="401" spans="13:23" x14ac:dyDescent="0.25">
      <c r="M401" s="95" t="str">
        <f t="shared" si="32"/>
        <v/>
      </c>
      <c r="N401" s="95" t="str">
        <f t="shared" si="33"/>
        <v/>
      </c>
      <c r="W401" s="37" t="str">
        <f t="shared" si="34"/>
        <v/>
      </c>
    </row>
    <row r="402" spans="13:23" x14ac:dyDescent="0.25">
      <c r="M402" s="95" t="str">
        <f t="shared" si="32"/>
        <v/>
      </c>
      <c r="N402" s="95" t="str">
        <f t="shared" si="33"/>
        <v/>
      </c>
      <c r="W402" s="37" t="str">
        <f t="shared" si="34"/>
        <v/>
      </c>
    </row>
    <row r="403" spans="13:23" x14ac:dyDescent="0.25">
      <c r="M403" s="95" t="str">
        <f t="shared" si="32"/>
        <v/>
      </c>
      <c r="N403" s="95" t="str">
        <f t="shared" si="33"/>
        <v/>
      </c>
      <c r="W403" s="37" t="str">
        <f t="shared" si="34"/>
        <v/>
      </c>
    </row>
    <row r="404" spans="13:23" x14ac:dyDescent="0.25">
      <c r="M404" s="95" t="str">
        <f t="shared" si="32"/>
        <v/>
      </c>
      <c r="N404" s="95" t="str">
        <f t="shared" si="33"/>
        <v/>
      </c>
      <c r="W404" s="37" t="str">
        <f t="shared" si="34"/>
        <v/>
      </c>
    </row>
    <row r="405" spans="13:23" x14ac:dyDescent="0.25">
      <c r="M405" s="95" t="str">
        <f t="shared" si="32"/>
        <v/>
      </c>
      <c r="N405" s="95" t="str">
        <f t="shared" si="33"/>
        <v/>
      </c>
      <c r="W405" s="37" t="str">
        <f t="shared" si="34"/>
        <v/>
      </c>
    </row>
    <row r="406" spans="13:23" x14ac:dyDescent="0.25">
      <c r="M406" s="95" t="str">
        <f t="shared" si="32"/>
        <v/>
      </c>
      <c r="N406" s="95" t="str">
        <f t="shared" si="33"/>
        <v/>
      </c>
      <c r="W406" s="37" t="str">
        <f t="shared" si="34"/>
        <v/>
      </c>
    </row>
    <row r="407" spans="13:23" x14ac:dyDescent="0.25">
      <c r="M407" s="95" t="str">
        <f t="shared" si="32"/>
        <v/>
      </c>
      <c r="N407" s="95" t="str">
        <f t="shared" si="33"/>
        <v/>
      </c>
      <c r="W407" s="37" t="str">
        <f t="shared" si="34"/>
        <v/>
      </c>
    </row>
    <row r="408" spans="13:23" x14ac:dyDescent="0.25">
      <c r="M408" s="95" t="str">
        <f t="shared" si="32"/>
        <v/>
      </c>
      <c r="N408" s="95" t="str">
        <f t="shared" si="33"/>
        <v/>
      </c>
      <c r="W408" s="37" t="str">
        <f t="shared" si="34"/>
        <v/>
      </c>
    </row>
    <row r="409" spans="13:23" x14ac:dyDescent="0.25">
      <c r="M409" s="95" t="str">
        <f t="shared" si="32"/>
        <v/>
      </c>
      <c r="N409" s="95" t="str">
        <f t="shared" si="33"/>
        <v/>
      </c>
      <c r="W409" s="37" t="str">
        <f t="shared" si="34"/>
        <v/>
      </c>
    </row>
    <row r="410" spans="13:23" x14ac:dyDescent="0.25">
      <c r="M410" s="95" t="str">
        <f t="shared" si="32"/>
        <v/>
      </c>
      <c r="N410" s="95" t="str">
        <f t="shared" si="33"/>
        <v/>
      </c>
      <c r="W410" s="37" t="str">
        <f t="shared" si="34"/>
        <v/>
      </c>
    </row>
    <row r="411" spans="13:23" x14ac:dyDescent="0.25">
      <c r="M411" s="95" t="str">
        <f t="shared" si="32"/>
        <v/>
      </c>
      <c r="N411" s="95" t="str">
        <f t="shared" si="33"/>
        <v/>
      </c>
      <c r="W411" s="37" t="str">
        <f t="shared" si="34"/>
        <v/>
      </c>
    </row>
    <row r="412" spans="13:23" x14ac:dyDescent="0.25">
      <c r="M412" s="95" t="str">
        <f t="shared" si="32"/>
        <v/>
      </c>
      <c r="N412" s="95" t="str">
        <f t="shared" si="33"/>
        <v/>
      </c>
      <c r="W412" s="37" t="str">
        <f t="shared" si="34"/>
        <v/>
      </c>
    </row>
    <row r="413" spans="13:23" x14ac:dyDescent="0.25">
      <c r="M413" s="95" t="str">
        <f t="shared" si="32"/>
        <v/>
      </c>
      <c r="N413" s="95" t="str">
        <f t="shared" si="33"/>
        <v/>
      </c>
      <c r="W413" s="37" t="str">
        <f t="shared" si="34"/>
        <v/>
      </c>
    </row>
    <row r="414" spans="13:23" x14ac:dyDescent="0.25">
      <c r="M414" s="95" t="str">
        <f t="shared" si="32"/>
        <v/>
      </c>
      <c r="N414" s="95" t="str">
        <f t="shared" si="33"/>
        <v/>
      </c>
      <c r="W414" s="37" t="str">
        <f t="shared" si="34"/>
        <v/>
      </c>
    </row>
    <row r="415" spans="13:23" x14ac:dyDescent="0.25">
      <c r="M415" s="95" t="str">
        <f t="shared" si="32"/>
        <v/>
      </c>
      <c r="N415" s="95" t="str">
        <f t="shared" si="33"/>
        <v/>
      </c>
      <c r="W415" s="37" t="str">
        <f t="shared" si="34"/>
        <v/>
      </c>
    </row>
    <row r="416" spans="13:23" x14ac:dyDescent="0.25">
      <c r="M416" s="95" t="str">
        <f t="shared" si="32"/>
        <v/>
      </c>
      <c r="N416" s="95" t="str">
        <f t="shared" si="33"/>
        <v/>
      </c>
      <c r="W416" s="37" t="str">
        <f t="shared" si="34"/>
        <v/>
      </c>
    </row>
    <row r="417" spans="13:23" x14ac:dyDescent="0.25">
      <c r="M417" s="95" t="str">
        <f t="shared" si="32"/>
        <v/>
      </c>
      <c r="N417" s="95" t="str">
        <f t="shared" si="33"/>
        <v/>
      </c>
      <c r="W417" s="37" t="str">
        <f t="shared" si="34"/>
        <v/>
      </c>
    </row>
    <row r="418" spans="13:23" x14ac:dyDescent="0.25">
      <c r="M418" s="95" t="str">
        <f t="shared" si="32"/>
        <v/>
      </c>
      <c r="N418" s="95" t="str">
        <f t="shared" si="33"/>
        <v/>
      </c>
      <c r="W418" s="37" t="str">
        <f t="shared" si="34"/>
        <v/>
      </c>
    </row>
    <row r="419" spans="13:23" x14ac:dyDescent="0.25">
      <c r="M419" s="95" t="str">
        <f t="shared" si="32"/>
        <v/>
      </c>
      <c r="N419" s="95" t="str">
        <f t="shared" si="33"/>
        <v/>
      </c>
      <c r="W419" s="37" t="str">
        <f t="shared" si="34"/>
        <v/>
      </c>
    </row>
    <row r="420" spans="13:23" x14ac:dyDescent="0.25">
      <c r="M420" s="95" t="str">
        <f t="shared" si="32"/>
        <v/>
      </c>
      <c r="N420" s="95" t="str">
        <f t="shared" si="33"/>
        <v/>
      </c>
      <c r="W420" s="37" t="str">
        <f t="shared" si="34"/>
        <v/>
      </c>
    </row>
    <row r="421" spans="13:23" x14ac:dyDescent="0.25">
      <c r="M421" s="95" t="str">
        <f t="shared" si="32"/>
        <v/>
      </c>
      <c r="N421" s="95" t="str">
        <f t="shared" si="33"/>
        <v/>
      </c>
      <c r="W421" s="37" t="str">
        <f t="shared" si="34"/>
        <v/>
      </c>
    </row>
    <row r="422" spans="13:23" x14ac:dyDescent="0.25">
      <c r="M422" s="95" t="str">
        <f t="shared" si="32"/>
        <v/>
      </c>
      <c r="N422" s="95" t="str">
        <f t="shared" si="33"/>
        <v/>
      </c>
    </row>
    <row r="423" spans="13:23" x14ac:dyDescent="0.25">
      <c r="M423" s="95" t="str">
        <f t="shared" si="32"/>
        <v/>
      </c>
      <c r="N423" s="95" t="str">
        <f t="shared" si="33"/>
        <v/>
      </c>
    </row>
    <row r="424" spans="13:23" x14ac:dyDescent="0.25">
      <c r="M424" s="95" t="str">
        <f t="shared" si="32"/>
        <v/>
      </c>
      <c r="N424" s="95" t="str">
        <f t="shared" si="33"/>
        <v/>
      </c>
    </row>
    <row r="425" spans="13:23" x14ac:dyDescent="0.25">
      <c r="M425" s="95" t="str">
        <f t="shared" si="32"/>
        <v/>
      </c>
      <c r="N425" s="95" t="str">
        <f t="shared" si="33"/>
        <v/>
      </c>
    </row>
    <row r="426" spans="13:23" x14ac:dyDescent="0.25">
      <c r="M426" s="95" t="str">
        <f t="shared" si="32"/>
        <v/>
      </c>
      <c r="N426" s="95" t="str">
        <f t="shared" si="33"/>
        <v/>
      </c>
    </row>
    <row r="427" spans="13:23" x14ac:dyDescent="0.25">
      <c r="M427" s="95" t="str">
        <f t="shared" si="32"/>
        <v/>
      </c>
      <c r="N427" s="95" t="str">
        <f t="shared" si="33"/>
        <v/>
      </c>
    </row>
    <row r="428" spans="13:23" x14ac:dyDescent="0.25">
      <c r="M428" s="95" t="str">
        <f t="shared" si="32"/>
        <v/>
      </c>
      <c r="N428" s="95" t="str">
        <f t="shared" si="33"/>
        <v/>
      </c>
    </row>
    <row r="429" spans="13:23" x14ac:dyDescent="0.25">
      <c r="M429" s="95" t="str">
        <f t="shared" si="32"/>
        <v/>
      </c>
      <c r="N429" s="95" t="str">
        <f t="shared" si="33"/>
        <v/>
      </c>
    </row>
    <row r="430" spans="13:23" x14ac:dyDescent="0.25">
      <c r="M430" s="95" t="str">
        <f t="shared" si="32"/>
        <v/>
      </c>
      <c r="N430" s="95" t="str">
        <f t="shared" si="33"/>
        <v/>
      </c>
    </row>
    <row r="431" spans="13:23" x14ac:dyDescent="0.25">
      <c r="M431" s="95" t="str">
        <f t="shared" si="32"/>
        <v/>
      </c>
      <c r="N431" s="95" t="str">
        <f t="shared" si="33"/>
        <v/>
      </c>
    </row>
    <row r="432" spans="13:23" x14ac:dyDescent="0.25">
      <c r="M432" s="95" t="str">
        <f t="shared" si="32"/>
        <v/>
      </c>
      <c r="N432" s="95" t="str">
        <f t="shared" si="33"/>
        <v/>
      </c>
    </row>
    <row r="433" spans="13:14" x14ac:dyDescent="0.25">
      <c r="M433" s="95" t="str">
        <f t="shared" si="32"/>
        <v/>
      </c>
      <c r="N433" s="95" t="str">
        <f t="shared" si="33"/>
        <v/>
      </c>
    </row>
    <row r="434" spans="13:14" x14ac:dyDescent="0.25">
      <c r="M434" s="95" t="str">
        <f t="shared" si="32"/>
        <v/>
      </c>
      <c r="N434" s="95" t="str">
        <f t="shared" si="33"/>
        <v/>
      </c>
    </row>
    <row r="435" spans="13:14" x14ac:dyDescent="0.25">
      <c r="M435" s="95" t="str">
        <f t="shared" si="32"/>
        <v/>
      </c>
      <c r="N435" s="95" t="str">
        <f t="shared" si="33"/>
        <v/>
      </c>
    </row>
    <row r="436" spans="13:14" x14ac:dyDescent="0.25">
      <c r="M436" s="95" t="str">
        <f t="shared" si="32"/>
        <v/>
      </c>
      <c r="N436" s="95" t="str">
        <f t="shared" si="33"/>
        <v/>
      </c>
    </row>
    <row r="437" spans="13:14" x14ac:dyDescent="0.25">
      <c r="M437" s="95" t="str">
        <f t="shared" si="32"/>
        <v/>
      </c>
      <c r="N437" s="95" t="str">
        <f t="shared" si="33"/>
        <v/>
      </c>
    </row>
    <row r="438" spans="13:14" x14ac:dyDescent="0.25">
      <c r="M438" s="95" t="str">
        <f t="shared" si="32"/>
        <v/>
      </c>
      <c r="N438" s="95" t="str">
        <f t="shared" si="33"/>
        <v/>
      </c>
    </row>
    <row r="439" spans="13:14" x14ac:dyDescent="0.25">
      <c r="M439" s="95" t="str">
        <f t="shared" si="32"/>
        <v/>
      </c>
      <c r="N439" s="95" t="str">
        <f t="shared" si="33"/>
        <v/>
      </c>
    </row>
    <row r="440" spans="13:14" x14ac:dyDescent="0.25">
      <c r="M440" s="95" t="str">
        <f t="shared" si="32"/>
        <v/>
      </c>
      <c r="N440" s="95" t="str">
        <f t="shared" si="33"/>
        <v/>
      </c>
    </row>
    <row r="441" spans="13:14" x14ac:dyDescent="0.25">
      <c r="M441" s="95" t="str">
        <f t="shared" si="32"/>
        <v/>
      </c>
      <c r="N441" s="95" t="str">
        <f t="shared" si="33"/>
        <v/>
      </c>
    </row>
    <row r="442" spans="13:14" x14ac:dyDescent="0.25">
      <c r="M442" s="95" t="str">
        <f t="shared" si="32"/>
        <v/>
      </c>
      <c r="N442" s="95" t="str">
        <f t="shared" si="33"/>
        <v/>
      </c>
    </row>
    <row r="443" spans="13:14" x14ac:dyDescent="0.25">
      <c r="M443" s="95" t="str">
        <f t="shared" si="32"/>
        <v/>
      </c>
      <c r="N443" s="95" t="str">
        <f t="shared" si="33"/>
        <v/>
      </c>
    </row>
    <row r="444" spans="13:14" x14ac:dyDescent="0.25">
      <c r="M444" s="95" t="str">
        <f t="shared" si="32"/>
        <v/>
      </c>
      <c r="N444" s="95" t="str">
        <f t="shared" si="33"/>
        <v/>
      </c>
    </row>
    <row r="445" spans="13:14" x14ac:dyDescent="0.25">
      <c r="M445" s="95" t="str">
        <f t="shared" si="32"/>
        <v/>
      </c>
      <c r="N445" s="95" t="str">
        <f t="shared" si="33"/>
        <v/>
      </c>
    </row>
    <row r="446" spans="13:14" x14ac:dyDescent="0.25">
      <c r="M446" s="95" t="str">
        <f t="shared" si="32"/>
        <v/>
      </c>
      <c r="N446" s="95" t="str">
        <f t="shared" si="33"/>
        <v/>
      </c>
    </row>
    <row r="447" spans="13:14" x14ac:dyDescent="0.25">
      <c r="M447" s="95" t="str">
        <f t="shared" si="32"/>
        <v/>
      </c>
      <c r="N447" s="95" t="str">
        <f t="shared" si="33"/>
        <v/>
      </c>
    </row>
    <row r="448" spans="13:14" x14ac:dyDescent="0.25">
      <c r="M448" s="95" t="str">
        <f t="shared" si="32"/>
        <v/>
      </c>
      <c r="N448" s="95" t="str">
        <f t="shared" si="33"/>
        <v/>
      </c>
    </row>
    <row r="449" spans="13:14" x14ac:dyDescent="0.25">
      <c r="M449" s="95" t="str">
        <f t="shared" si="32"/>
        <v/>
      </c>
      <c r="N449" s="95" t="str">
        <f t="shared" si="33"/>
        <v/>
      </c>
    </row>
    <row r="450" spans="13:14" x14ac:dyDescent="0.25">
      <c r="M450" s="95" t="str">
        <f t="shared" si="32"/>
        <v/>
      </c>
      <c r="N450" s="95" t="str">
        <f t="shared" si="33"/>
        <v/>
      </c>
    </row>
    <row r="451" spans="13:14" x14ac:dyDescent="0.25">
      <c r="M451" s="95" t="str">
        <f t="shared" ref="M451:M514" si="35">IF(COUNTIF(K:K,J451),J451,"")</f>
        <v/>
      </c>
      <c r="N451" s="95" t="str">
        <f t="shared" si="33"/>
        <v/>
      </c>
    </row>
    <row r="452" spans="13:14" x14ac:dyDescent="0.25">
      <c r="M452" s="95" t="str">
        <f t="shared" si="35"/>
        <v/>
      </c>
      <c r="N452" s="95" t="str">
        <f t="shared" ref="N452:N515" si="36">IF(M452&gt;$A$14,M452,"")</f>
        <v/>
      </c>
    </row>
    <row r="453" spans="13:14" x14ac:dyDescent="0.25">
      <c r="M453" s="95" t="str">
        <f t="shared" si="35"/>
        <v/>
      </c>
      <c r="N453" s="95" t="str">
        <f t="shared" si="36"/>
        <v/>
      </c>
    </row>
    <row r="454" spans="13:14" x14ac:dyDescent="0.25">
      <c r="M454" s="95" t="str">
        <f t="shared" si="35"/>
        <v/>
      </c>
      <c r="N454" s="95" t="str">
        <f t="shared" si="36"/>
        <v/>
      </c>
    </row>
    <row r="455" spans="13:14" x14ac:dyDescent="0.25">
      <c r="M455" s="95" t="str">
        <f t="shared" si="35"/>
        <v/>
      </c>
      <c r="N455" s="95" t="str">
        <f t="shared" si="36"/>
        <v/>
      </c>
    </row>
    <row r="456" spans="13:14" x14ac:dyDescent="0.25">
      <c r="M456" s="95" t="str">
        <f t="shared" si="35"/>
        <v/>
      </c>
      <c r="N456" s="95" t="str">
        <f t="shared" si="36"/>
        <v/>
      </c>
    </row>
    <row r="457" spans="13:14" x14ac:dyDescent="0.25">
      <c r="M457" s="95" t="str">
        <f t="shared" si="35"/>
        <v/>
      </c>
      <c r="N457" s="95" t="str">
        <f t="shared" si="36"/>
        <v/>
      </c>
    </row>
    <row r="458" spans="13:14" x14ac:dyDescent="0.25">
      <c r="M458" s="95" t="str">
        <f t="shared" si="35"/>
        <v/>
      </c>
      <c r="N458" s="95" t="str">
        <f t="shared" si="36"/>
        <v/>
      </c>
    </row>
    <row r="459" spans="13:14" x14ac:dyDescent="0.25">
      <c r="M459" s="95" t="str">
        <f t="shared" si="35"/>
        <v/>
      </c>
      <c r="N459" s="95" t="str">
        <f t="shared" si="36"/>
        <v/>
      </c>
    </row>
    <row r="460" spans="13:14" x14ac:dyDescent="0.25">
      <c r="M460" s="95" t="str">
        <f t="shared" si="35"/>
        <v/>
      </c>
      <c r="N460" s="95" t="str">
        <f t="shared" si="36"/>
        <v/>
      </c>
    </row>
    <row r="461" spans="13:14" x14ac:dyDescent="0.25">
      <c r="M461" s="95" t="str">
        <f t="shared" si="35"/>
        <v/>
      </c>
      <c r="N461" s="95" t="str">
        <f t="shared" si="36"/>
        <v/>
      </c>
    </row>
    <row r="462" spans="13:14" x14ac:dyDescent="0.25">
      <c r="M462" s="95" t="str">
        <f t="shared" si="35"/>
        <v/>
      </c>
      <c r="N462" s="95" t="str">
        <f t="shared" si="36"/>
        <v/>
      </c>
    </row>
    <row r="463" spans="13:14" x14ac:dyDescent="0.25">
      <c r="M463" s="95" t="str">
        <f t="shared" si="35"/>
        <v/>
      </c>
      <c r="N463" s="95" t="str">
        <f t="shared" si="36"/>
        <v/>
      </c>
    </row>
    <row r="464" spans="13:14" x14ac:dyDescent="0.25">
      <c r="M464" s="95" t="str">
        <f t="shared" si="35"/>
        <v/>
      </c>
      <c r="N464" s="95" t="str">
        <f t="shared" si="36"/>
        <v/>
      </c>
    </row>
    <row r="465" spans="13:14" x14ac:dyDescent="0.25">
      <c r="M465" s="95" t="str">
        <f t="shared" si="35"/>
        <v/>
      </c>
      <c r="N465" s="95" t="str">
        <f t="shared" si="36"/>
        <v/>
      </c>
    </row>
    <row r="466" spans="13:14" x14ac:dyDescent="0.25">
      <c r="M466" s="95" t="str">
        <f t="shared" si="35"/>
        <v/>
      </c>
      <c r="N466" s="95" t="str">
        <f t="shared" si="36"/>
        <v/>
      </c>
    </row>
    <row r="467" spans="13:14" x14ac:dyDescent="0.25">
      <c r="M467" s="95" t="str">
        <f t="shared" si="35"/>
        <v/>
      </c>
      <c r="N467" s="95" t="str">
        <f t="shared" si="36"/>
        <v/>
      </c>
    </row>
    <row r="468" spans="13:14" x14ac:dyDescent="0.25">
      <c r="M468" s="95" t="str">
        <f t="shared" si="35"/>
        <v/>
      </c>
      <c r="N468" s="95" t="str">
        <f t="shared" si="36"/>
        <v/>
      </c>
    </row>
    <row r="469" spans="13:14" x14ac:dyDescent="0.25">
      <c r="M469" s="95" t="str">
        <f t="shared" si="35"/>
        <v/>
      </c>
      <c r="N469" s="95" t="str">
        <f t="shared" si="36"/>
        <v/>
      </c>
    </row>
    <row r="470" spans="13:14" x14ac:dyDescent="0.25">
      <c r="M470" s="95" t="str">
        <f t="shared" si="35"/>
        <v/>
      </c>
      <c r="N470" s="95" t="str">
        <f t="shared" si="36"/>
        <v/>
      </c>
    </row>
    <row r="471" spans="13:14" x14ac:dyDescent="0.25">
      <c r="M471" s="95" t="str">
        <f t="shared" si="35"/>
        <v/>
      </c>
      <c r="N471" s="95" t="str">
        <f t="shared" si="36"/>
        <v/>
      </c>
    </row>
    <row r="472" spans="13:14" x14ac:dyDescent="0.25">
      <c r="M472" s="95" t="str">
        <f t="shared" si="35"/>
        <v/>
      </c>
      <c r="N472" s="95" t="str">
        <f t="shared" si="36"/>
        <v/>
      </c>
    </row>
    <row r="473" spans="13:14" x14ac:dyDescent="0.25">
      <c r="M473" s="95" t="str">
        <f t="shared" si="35"/>
        <v/>
      </c>
      <c r="N473" s="95" t="str">
        <f t="shared" si="36"/>
        <v/>
      </c>
    </row>
    <row r="474" spans="13:14" x14ac:dyDescent="0.25">
      <c r="M474" s="95" t="str">
        <f t="shared" si="35"/>
        <v/>
      </c>
      <c r="N474" s="95" t="str">
        <f t="shared" si="36"/>
        <v/>
      </c>
    </row>
    <row r="475" spans="13:14" x14ac:dyDescent="0.25">
      <c r="M475" s="95" t="str">
        <f t="shared" si="35"/>
        <v/>
      </c>
      <c r="N475" s="95" t="str">
        <f t="shared" si="36"/>
        <v/>
      </c>
    </row>
    <row r="476" spans="13:14" x14ac:dyDescent="0.25">
      <c r="M476" s="95" t="str">
        <f t="shared" si="35"/>
        <v/>
      </c>
      <c r="N476" s="95" t="str">
        <f t="shared" si="36"/>
        <v/>
      </c>
    </row>
    <row r="477" spans="13:14" x14ac:dyDescent="0.25">
      <c r="M477" s="95" t="str">
        <f t="shared" si="35"/>
        <v/>
      </c>
      <c r="N477" s="95" t="str">
        <f t="shared" si="36"/>
        <v/>
      </c>
    </row>
    <row r="478" spans="13:14" x14ac:dyDescent="0.25">
      <c r="M478" s="95" t="str">
        <f t="shared" si="35"/>
        <v/>
      </c>
      <c r="N478" s="95" t="str">
        <f t="shared" si="36"/>
        <v/>
      </c>
    </row>
    <row r="479" spans="13:14" x14ac:dyDescent="0.25">
      <c r="M479" s="95" t="str">
        <f t="shared" si="35"/>
        <v/>
      </c>
      <c r="N479" s="95" t="str">
        <f t="shared" si="36"/>
        <v/>
      </c>
    </row>
    <row r="480" spans="13:14" x14ac:dyDescent="0.25">
      <c r="M480" s="95" t="str">
        <f t="shared" si="35"/>
        <v/>
      </c>
      <c r="N480" s="95" t="str">
        <f t="shared" si="36"/>
        <v/>
      </c>
    </row>
    <row r="481" spans="13:14" x14ac:dyDescent="0.25">
      <c r="M481" s="95" t="str">
        <f t="shared" si="35"/>
        <v/>
      </c>
      <c r="N481" s="95" t="str">
        <f t="shared" si="36"/>
        <v/>
      </c>
    </row>
    <row r="482" spans="13:14" x14ac:dyDescent="0.25">
      <c r="M482" s="95" t="str">
        <f t="shared" si="35"/>
        <v/>
      </c>
      <c r="N482" s="95" t="str">
        <f t="shared" si="36"/>
        <v/>
      </c>
    </row>
    <row r="483" spans="13:14" x14ac:dyDescent="0.25">
      <c r="M483" s="95" t="str">
        <f t="shared" si="35"/>
        <v/>
      </c>
      <c r="N483" s="95" t="str">
        <f t="shared" si="36"/>
        <v/>
      </c>
    </row>
    <row r="484" spans="13:14" x14ac:dyDescent="0.25">
      <c r="M484" s="95" t="str">
        <f t="shared" si="35"/>
        <v/>
      </c>
      <c r="N484" s="95" t="str">
        <f t="shared" si="36"/>
        <v/>
      </c>
    </row>
    <row r="485" spans="13:14" x14ac:dyDescent="0.25">
      <c r="M485" s="95" t="str">
        <f t="shared" si="35"/>
        <v/>
      </c>
      <c r="N485" s="95" t="str">
        <f t="shared" si="36"/>
        <v/>
      </c>
    </row>
    <row r="486" spans="13:14" x14ac:dyDescent="0.25">
      <c r="M486" s="95" t="str">
        <f t="shared" si="35"/>
        <v/>
      </c>
      <c r="N486" s="95" t="str">
        <f t="shared" si="36"/>
        <v/>
      </c>
    </row>
    <row r="487" spans="13:14" x14ac:dyDescent="0.25">
      <c r="M487" s="95" t="str">
        <f t="shared" si="35"/>
        <v/>
      </c>
      <c r="N487" s="95" t="str">
        <f t="shared" si="36"/>
        <v/>
      </c>
    </row>
    <row r="488" spans="13:14" x14ac:dyDescent="0.25">
      <c r="M488" s="95" t="str">
        <f t="shared" si="35"/>
        <v/>
      </c>
      <c r="N488" s="95" t="str">
        <f t="shared" si="36"/>
        <v/>
      </c>
    </row>
    <row r="489" spans="13:14" x14ac:dyDescent="0.25">
      <c r="M489" s="95" t="str">
        <f t="shared" si="35"/>
        <v/>
      </c>
      <c r="N489" s="95" t="str">
        <f t="shared" si="36"/>
        <v/>
      </c>
    </row>
    <row r="490" spans="13:14" x14ac:dyDescent="0.25">
      <c r="M490" s="95" t="str">
        <f t="shared" si="35"/>
        <v/>
      </c>
      <c r="N490" s="95" t="str">
        <f t="shared" si="36"/>
        <v/>
      </c>
    </row>
    <row r="491" spans="13:14" x14ac:dyDescent="0.25">
      <c r="M491" s="95" t="str">
        <f t="shared" si="35"/>
        <v/>
      </c>
      <c r="N491" s="95" t="str">
        <f t="shared" si="36"/>
        <v/>
      </c>
    </row>
    <row r="492" spans="13:14" x14ac:dyDescent="0.25">
      <c r="M492" s="95" t="str">
        <f t="shared" si="35"/>
        <v/>
      </c>
      <c r="N492" s="95" t="str">
        <f t="shared" si="36"/>
        <v/>
      </c>
    </row>
    <row r="493" spans="13:14" x14ac:dyDescent="0.25">
      <c r="M493" s="95" t="str">
        <f t="shared" si="35"/>
        <v/>
      </c>
      <c r="N493" s="95" t="str">
        <f t="shared" si="36"/>
        <v/>
      </c>
    </row>
    <row r="494" spans="13:14" x14ac:dyDescent="0.25">
      <c r="M494" s="95" t="str">
        <f t="shared" si="35"/>
        <v/>
      </c>
      <c r="N494" s="95" t="str">
        <f t="shared" si="36"/>
        <v/>
      </c>
    </row>
    <row r="495" spans="13:14" x14ac:dyDescent="0.25">
      <c r="M495" s="95" t="str">
        <f t="shared" si="35"/>
        <v/>
      </c>
      <c r="N495" s="95" t="str">
        <f t="shared" si="36"/>
        <v/>
      </c>
    </row>
    <row r="496" spans="13:14" x14ac:dyDescent="0.25">
      <c r="M496" s="95" t="str">
        <f t="shared" si="35"/>
        <v/>
      </c>
      <c r="N496" s="95" t="str">
        <f t="shared" si="36"/>
        <v/>
      </c>
    </row>
    <row r="497" spans="13:14" x14ac:dyDescent="0.25">
      <c r="M497" s="95" t="str">
        <f t="shared" si="35"/>
        <v/>
      </c>
      <c r="N497" s="95" t="str">
        <f t="shared" si="36"/>
        <v/>
      </c>
    </row>
    <row r="498" spans="13:14" x14ac:dyDescent="0.25">
      <c r="M498" s="95" t="str">
        <f t="shared" si="35"/>
        <v/>
      </c>
      <c r="N498" s="95" t="str">
        <f t="shared" si="36"/>
        <v/>
      </c>
    </row>
    <row r="499" spans="13:14" x14ac:dyDescent="0.25">
      <c r="M499" s="95" t="str">
        <f t="shared" si="35"/>
        <v/>
      </c>
      <c r="N499" s="95" t="str">
        <f t="shared" si="36"/>
        <v/>
      </c>
    </row>
    <row r="500" spans="13:14" x14ac:dyDescent="0.25">
      <c r="M500" s="95" t="str">
        <f t="shared" si="35"/>
        <v/>
      </c>
      <c r="N500" s="95" t="str">
        <f t="shared" si="36"/>
        <v/>
      </c>
    </row>
    <row r="501" spans="13:14" x14ac:dyDescent="0.25">
      <c r="M501" s="95" t="str">
        <f t="shared" si="35"/>
        <v/>
      </c>
      <c r="N501" s="95" t="str">
        <f t="shared" si="36"/>
        <v/>
      </c>
    </row>
    <row r="502" spans="13:14" x14ac:dyDescent="0.25">
      <c r="M502" s="95" t="str">
        <f t="shared" si="35"/>
        <v/>
      </c>
      <c r="N502" s="95" t="str">
        <f t="shared" si="36"/>
        <v/>
      </c>
    </row>
    <row r="503" spans="13:14" x14ac:dyDescent="0.25">
      <c r="M503" s="95" t="str">
        <f t="shared" si="35"/>
        <v/>
      </c>
      <c r="N503" s="95" t="str">
        <f t="shared" si="36"/>
        <v/>
      </c>
    </row>
    <row r="504" spans="13:14" x14ac:dyDescent="0.25">
      <c r="M504" s="95" t="str">
        <f t="shared" si="35"/>
        <v/>
      </c>
      <c r="N504" s="95" t="str">
        <f t="shared" si="36"/>
        <v/>
      </c>
    </row>
    <row r="505" spans="13:14" x14ac:dyDescent="0.25">
      <c r="M505" s="95" t="str">
        <f t="shared" si="35"/>
        <v/>
      </c>
      <c r="N505" s="95" t="str">
        <f t="shared" si="36"/>
        <v/>
      </c>
    </row>
    <row r="506" spans="13:14" x14ac:dyDescent="0.25">
      <c r="M506" s="95" t="str">
        <f t="shared" si="35"/>
        <v/>
      </c>
      <c r="N506" s="95" t="str">
        <f t="shared" si="36"/>
        <v/>
      </c>
    </row>
    <row r="507" spans="13:14" x14ac:dyDescent="0.25">
      <c r="M507" s="95" t="str">
        <f t="shared" si="35"/>
        <v/>
      </c>
      <c r="N507" s="95" t="str">
        <f t="shared" si="36"/>
        <v/>
      </c>
    </row>
    <row r="508" spans="13:14" x14ac:dyDescent="0.25">
      <c r="M508" s="95" t="str">
        <f t="shared" si="35"/>
        <v/>
      </c>
      <c r="N508" s="95" t="str">
        <f t="shared" si="36"/>
        <v/>
      </c>
    </row>
    <row r="509" spans="13:14" x14ac:dyDescent="0.25">
      <c r="M509" s="95" t="str">
        <f t="shared" si="35"/>
        <v/>
      </c>
      <c r="N509" s="95" t="str">
        <f t="shared" si="36"/>
        <v/>
      </c>
    </row>
    <row r="510" spans="13:14" x14ac:dyDescent="0.25">
      <c r="M510" s="95" t="str">
        <f t="shared" si="35"/>
        <v/>
      </c>
      <c r="N510" s="95" t="str">
        <f t="shared" si="36"/>
        <v/>
      </c>
    </row>
    <row r="511" spans="13:14" x14ac:dyDescent="0.25">
      <c r="M511" s="95" t="str">
        <f t="shared" si="35"/>
        <v/>
      </c>
      <c r="N511" s="95" t="str">
        <f t="shared" si="36"/>
        <v/>
      </c>
    </row>
    <row r="512" spans="13:14" x14ac:dyDescent="0.25">
      <c r="M512" s="95" t="str">
        <f t="shared" si="35"/>
        <v/>
      </c>
      <c r="N512" s="95" t="str">
        <f t="shared" si="36"/>
        <v/>
      </c>
    </row>
    <row r="513" spans="13:14" x14ac:dyDescent="0.25">
      <c r="M513" s="95" t="str">
        <f t="shared" si="35"/>
        <v/>
      </c>
      <c r="N513" s="95" t="str">
        <f t="shared" si="36"/>
        <v/>
      </c>
    </row>
    <row r="514" spans="13:14" x14ac:dyDescent="0.25">
      <c r="M514" s="95" t="str">
        <f t="shared" si="35"/>
        <v/>
      </c>
      <c r="N514" s="95" t="str">
        <f t="shared" si="36"/>
        <v/>
      </c>
    </row>
    <row r="515" spans="13:14" x14ac:dyDescent="0.25">
      <c r="M515" s="95" t="str">
        <f t="shared" ref="M515:M578" si="37">IF(COUNTIF(K:K,J515),J515,"")</f>
        <v/>
      </c>
      <c r="N515" s="95" t="str">
        <f t="shared" si="36"/>
        <v/>
      </c>
    </row>
    <row r="516" spans="13:14" x14ac:dyDescent="0.25">
      <c r="M516" s="95" t="str">
        <f t="shared" si="37"/>
        <v/>
      </c>
      <c r="N516" s="95" t="str">
        <f t="shared" ref="N516:N579" si="38">IF(M516&gt;$A$14,M516,"")</f>
        <v/>
      </c>
    </row>
    <row r="517" spans="13:14" x14ac:dyDescent="0.25">
      <c r="M517" s="95" t="str">
        <f t="shared" si="37"/>
        <v/>
      </c>
      <c r="N517" s="95" t="str">
        <f t="shared" si="38"/>
        <v/>
      </c>
    </row>
    <row r="518" spans="13:14" x14ac:dyDescent="0.25">
      <c r="M518" s="95" t="str">
        <f t="shared" si="37"/>
        <v/>
      </c>
      <c r="N518" s="95" t="str">
        <f t="shared" si="38"/>
        <v/>
      </c>
    </row>
    <row r="519" spans="13:14" x14ac:dyDescent="0.25">
      <c r="M519" s="95" t="str">
        <f t="shared" si="37"/>
        <v/>
      </c>
      <c r="N519" s="95" t="str">
        <f t="shared" si="38"/>
        <v/>
      </c>
    </row>
    <row r="520" spans="13:14" x14ac:dyDescent="0.25">
      <c r="M520" s="95" t="str">
        <f t="shared" si="37"/>
        <v/>
      </c>
      <c r="N520" s="95" t="str">
        <f t="shared" si="38"/>
        <v/>
      </c>
    </row>
    <row r="521" spans="13:14" x14ac:dyDescent="0.25">
      <c r="M521" s="95" t="str">
        <f t="shared" si="37"/>
        <v/>
      </c>
      <c r="N521" s="95" t="str">
        <f t="shared" si="38"/>
        <v/>
      </c>
    </row>
    <row r="522" spans="13:14" x14ac:dyDescent="0.25">
      <c r="M522" s="95" t="str">
        <f t="shared" si="37"/>
        <v/>
      </c>
      <c r="N522" s="95" t="str">
        <f t="shared" si="38"/>
        <v/>
      </c>
    </row>
    <row r="523" spans="13:14" x14ac:dyDescent="0.25">
      <c r="M523" s="95" t="str">
        <f t="shared" si="37"/>
        <v/>
      </c>
      <c r="N523" s="95" t="str">
        <f t="shared" si="38"/>
        <v/>
      </c>
    </row>
    <row r="524" spans="13:14" x14ac:dyDescent="0.25">
      <c r="M524" s="95" t="str">
        <f t="shared" si="37"/>
        <v/>
      </c>
      <c r="N524" s="95" t="str">
        <f t="shared" si="38"/>
        <v/>
      </c>
    </row>
    <row r="525" spans="13:14" x14ac:dyDescent="0.25">
      <c r="M525" s="95" t="str">
        <f t="shared" si="37"/>
        <v/>
      </c>
      <c r="N525" s="95" t="str">
        <f t="shared" si="38"/>
        <v/>
      </c>
    </row>
    <row r="526" spans="13:14" x14ac:dyDescent="0.25">
      <c r="M526" s="95" t="str">
        <f t="shared" si="37"/>
        <v/>
      </c>
      <c r="N526" s="95" t="str">
        <f t="shared" si="38"/>
        <v/>
      </c>
    </row>
    <row r="527" spans="13:14" x14ac:dyDescent="0.25">
      <c r="M527" s="95" t="str">
        <f t="shared" si="37"/>
        <v/>
      </c>
      <c r="N527" s="95" t="str">
        <f t="shared" si="38"/>
        <v/>
      </c>
    </row>
    <row r="528" spans="13:14" x14ac:dyDescent="0.25">
      <c r="M528" s="95" t="str">
        <f t="shared" si="37"/>
        <v/>
      </c>
      <c r="N528" s="95" t="str">
        <f t="shared" si="38"/>
        <v/>
      </c>
    </row>
    <row r="529" spans="13:14" x14ac:dyDescent="0.25">
      <c r="M529" s="95" t="str">
        <f t="shared" si="37"/>
        <v/>
      </c>
      <c r="N529" s="95" t="str">
        <f t="shared" si="38"/>
        <v/>
      </c>
    </row>
    <row r="530" spans="13:14" x14ac:dyDescent="0.25">
      <c r="M530" s="95" t="str">
        <f t="shared" si="37"/>
        <v/>
      </c>
      <c r="N530" s="95" t="str">
        <f t="shared" si="38"/>
        <v/>
      </c>
    </row>
    <row r="531" spans="13:14" x14ac:dyDescent="0.25">
      <c r="M531" s="95" t="str">
        <f t="shared" si="37"/>
        <v/>
      </c>
      <c r="N531" s="95" t="str">
        <f t="shared" si="38"/>
        <v/>
      </c>
    </row>
    <row r="532" spans="13:14" x14ac:dyDescent="0.25">
      <c r="M532" s="95" t="str">
        <f t="shared" si="37"/>
        <v/>
      </c>
      <c r="N532" s="95" t="str">
        <f t="shared" si="38"/>
        <v/>
      </c>
    </row>
    <row r="533" spans="13:14" x14ac:dyDescent="0.25">
      <c r="M533" s="95" t="str">
        <f t="shared" si="37"/>
        <v/>
      </c>
      <c r="N533" s="95" t="str">
        <f t="shared" si="38"/>
        <v/>
      </c>
    </row>
    <row r="534" spans="13:14" x14ac:dyDescent="0.25">
      <c r="M534" s="95" t="str">
        <f t="shared" si="37"/>
        <v/>
      </c>
      <c r="N534" s="95" t="str">
        <f t="shared" si="38"/>
        <v/>
      </c>
    </row>
    <row r="535" spans="13:14" x14ac:dyDescent="0.25">
      <c r="M535" s="95" t="str">
        <f t="shared" si="37"/>
        <v/>
      </c>
      <c r="N535" s="95" t="str">
        <f t="shared" si="38"/>
        <v/>
      </c>
    </row>
    <row r="536" spans="13:14" x14ac:dyDescent="0.25">
      <c r="M536" s="95" t="str">
        <f t="shared" si="37"/>
        <v/>
      </c>
      <c r="N536" s="95" t="str">
        <f t="shared" si="38"/>
        <v/>
      </c>
    </row>
    <row r="537" spans="13:14" x14ac:dyDescent="0.25">
      <c r="M537" s="95" t="str">
        <f t="shared" si="37"/>
        <v/>
      </c>
      <c r="N537" s="95" t="str">
        <f t="shared" si="38"/>
        <v/>
      </c>
    </row>
    <row r="538" spans="13:14" x14ac:dyDescent="0.25">
      <c r="M538" s="95" t="str">
        <f t="shared" si="37"/>
        <v/>
      </c>
      <c r="N538" s="95" t="str">
        <f t="shared" si="38"/>
        <v/>
      </c>
    </row>
    <row r="539" spans="13:14" x14ac:dyDescent="0.25">
      <c r="M539" s="95" t="str">
        <f t="shared" si="37"/>
        <v/>
      </c>
      <c r="N539" s="95" t="str">
        <f t="shared" si="38"/>
        <v/>
      </c>
    </row>
    <row r="540" spans="13:14" x14ac:dyDescent="0.25">
      <c r="M540" s="95" t="str">
        <f t="shared" si="37"/>
        <v/>
      </c>
      <c r="N540" s="95" t="str">
        <f t="shared" si="38"/>
        <v/>
      </c>
    </row>
    <row r="541" spans="13:14" x14ac:dyDescent="0.25">
      <c r="M541" s="95" t="str">
        <f t="shared" si="37"/>
        <v/>
      </c>
      <c r="N541" s="95" t="str">
        <f t="shared" si="38"/>
        <v/>
      </c>
    </row>
    <row r="542" spans="13:14" x14ac:dyDescent="0.25">
      <c r="M542" s="95" t="str">
        <f t="shared" si="37"/>
        <v/>
      </c>
      <c r="N542" s="95" t="str">
        <f t="shared" si="38"/>
        <v/>
      </c>
    </row>
    <row r="543" spans="13:14" x14ac:dyDescent="0.25">
      <c r="M543" s="95" t="str">
        <f t="shared" si="37"/>
        <v/>
      </c>
      <c r="N543" s="95" t="str">
        <f t="shared" si="38"/>
        <v/>
      </c>
    </row>
    <row r="544" spans="13:14" x14ac:dyDescent="0.25">
      <c r="M544" s="95" t="str">
        <f t="shared" si="37"/>
        <v/>
      </c>
      <c r="N544" s="95" t="str">
        <f t="shared" si="38"/>
        <v/>
      </c>
    </row>
    <row r="545" spans="13:14" x14ac:dyDescent="0.25">
      <c r="M545" s="95" t="str">
        <f t="shared" si="37"/>
        <v/>
      </c>
      <c r="N545" s="95" t="str">
        <f t="shared" si="38"/>
        <v/>
      </c>
    </row>
    <row r="546" spans="13:14" x14ac:dyDescent="0.25">
      <c r="M546" s="95" t="str">
        <f t="shared" si="37"/>
        <v/>
      </c>
      <c r="N546" s="95" t="str">
        <f t="shared" si="38"/>
        <v/>
      </c>
    </row>
    <row r="547" spans="13:14" x14ac:dyDescent="0.25">
      <c r="M547" s="95" t="str">
        <f t="shared" si="37"/>
        <v/>
      </c>
      <c r="N547" s="95" t="str">
        <f t="shared" si="38"/>
        <v/>
      </c>
    </row>
    <row r="548" spans="13:14" x14ac:dyDescent="0.25">
      <c r="M548" s="95" t="str">
        <f t="shared" si="37"/>
        <v/>
      </c>
      <c r="N548" s="95" t="str">
        <f t="shared" si="38"/>
        <v/>
      </c>
    </row>
    <row r="549" spans="13:14" x14ac:dyDescent="0.25">
      <c r="M549" s="95" t="str">
        <f t="shared" si="37"/>
        <v/>
      </c>
      <c r="N549" s="95" t="str">
        <f t="shared" si="38"/>
        <v/>
      </c>
    </row>
    <row r="550" spans="13:14" x14ac:dyDescent="0.25">
      <c r="M550" s="95" t="str">
        <f t="shared" si="37"/>
        <v/>
      </c>
      <c r="N550" s="95" t="str">
        <f t="shared" si="38"/>
        <v/>
      </c>
    </row>
    <row r="551" spans="13:14" x14ac:dyDescent="0.25">
      <c r="M551" s="95" t="str">
        <f t="shared" si="37"/>
        <v/>
      </c>
      <c r="N551" s="95" t="str">
        <f t="shared" si="38"/>
        <v/>
      </c>
    </row>
    <row r="552" spans="13:14" x14ac:dyDescent="0.25">
      <c r="M552" s="95" t="str">
        <f t="shared" si="37"/>
        <v/>
      </c>
      <c r="N552" s="95" t="str">
        <f t="shared" si="38"/>
        <v/>
      </c>
    </row>
    <row r="553" spans="13:14" x14ac:dyDescent="0.25">
      <c r="M553" s="95" t="str">
        <f t="shared" si="37"/>
        <v/>
      </c>
      <c r="N553" s="95" t="str">
        <f t="shared" si="38"/>
        <v/>
      </c>
    </row>
    <row r="554" spans="13:14" x14ac:dyDescent="0.25">
      <c r="M554" s="95" t="str">
        <f t="shared" si="37"/>
        <v/>
      </c>
      <c r="N554" s="95" t="str">
        <f t="shared" si="38"/>
        <v/>
      </c>
    </row>
    <row r="555" spans="13:14" x14ac:dyDescent="0.25">
      <c r="M555" s="95" t="str">
        <f t="shared" si="37"/>
        <v/>
      </c>
      <c r="N555" s="95" t="str">
        <f t="shared" si="38"/>
        <v/>
      </c>
    </row>
    <row r="556" spans="13:14" x14ac:dyDescent="0.25">
      <c r="M556" s="95" t="str">
        <f t="shared" si="37"/>
        <v/>
      </c>
      <c r="N556" s="95" t="str">
        <f t="shared" si="38"/>
        <v/>
      </c>
    </row>
    <row r="557" spans="13:14" x14ac:dyDescent="0.25">
      <c r="M557" s="95" t="str">
        <f t="shared" si="37"/>
        <v/>
      </c>
      <c r="N557" s="95" t="str">
        <f t="shared" si="38"/>
        <v/>
      </c>
    </row>
    <row r="558" spans="13:14" x14ac:dyDescent="0.25">
      <c r="M558" s="95" t="str">
        <f t="shared" si="37"/>
        <v/>
      </c>
      <c r="N558" s="95" t="str">
        <f t="shared" si="38"/>
        <v/>
      </c>
    </row>
    <row r="559" spans="13:14" x14ac:dyDescent="0.25">
      <c r="M559" s="95" t="str">
        <f t="shared" si="37"/>
        <v/>
      </c>
      <c r="N559" s="95" t="str">
        <f t="shared" si="38"/>
        <v/>
      </c>
    </row>
    <row r="560" spans="13:14" x14ac:dyDescent="0.25">
      <c r="M560" s="95" t="str">
        <f t="shared" si="37"/>
        <v/>
      </c>
      <c r="N560" s="95" t="str">
        <f t="shared" si="38"/>
        <v/>
      </c>
    </row>
    <row r="561" spans="13:14" x14ac:dyDescent="0.25">
      <c r="M561" s="95" t="str">
        <f t="shared" si="37"/>
        <v/>
      </c>
      <c r="N561" s="95" t="str">
        <f t="shared" si="38"/>
        <v/>
      </c>
    </row>
    <row r="562" spans="13:14" x14ac:dyDescent="0.25">
      <c r="M562" s="95" t="str">
        <f t="shared" si="37"/>
        <v/>
      </c>
      <c r="N562" s="95" t="str">
        <f t="shared" si="38"/>
        <v/>
      </c>
    </row>
    <row r="563" spans="13:14" x14ac:dyDescent="0.25">
      <c r="M563" s="95" t="str">
        <f t="shared" si="37"/>
        <v/>
      </c>
      <c r="N563" s="95" t="str">
        <f t="shared" si="38"/>
        <v/>
      </c>
    </row>
    <row r="564" spans="13:14" x14ac:dyDescent="0.25">
      <c r="M564" s="95" t="str">
        <f t="shared" si="37"/>
        <v/>
      </c>
      <c r="N564" s="95" t="str">
        <f t="shared" si="38"/>
        <v/>
      </c>
    </row>
    <row r="565" spans="13:14" x14ac:dyDescent="0.25">
      <c r="M565" s="95" t="str">
        <f t="shared" si="37"/>
        <v/>
      </c>
      <c r="N565" s="95" t="str">
        <f t="shared" si="38"/>
        <v/>
      </c>
    </row>
    <row r="566" spans="13:14" x14ac:dyDescent="0.25">
      <c r="M566" s="95" t="str">
        <f t="shared" si="37"/>
        <v/>
      </c>
      <c r="N566" s="95" t="str">
        <f t="shared" si="38"/>
        <v/>
      </c>
    </row>
    <row r="567" spans="13:14" x14ac:dyDescent="0.25">
      <c r="M567" s="95" t="str">
        <f t="shared" si="37"/>
        <v/>
      </c>
      <c r="N567" s="95" t="str">
        <f t="shared" si="38"/>
        <v/>
      </c>
    </row>
    <row r="568" spans="13:14" x14ac:dyDescent="0.25">
      <c r="M568" s="95" t="str">
        <f t="shared" si="37"/>
        <v/>
      </c>
      <c r="N568" s="95" t="str">
        <f t="shared" si="38"/>
        <v/>
      </c>
    </row>
    <row r="569" spans="13:14" x14ac:dyDescent="0.25">
      <c r="M569" s="95" t="str">
        <f t="shared" si="37"/>
        <v/>
      </c>
      <c r="N569" s="95" t="str">
        <f t="shared" si="38"/>
        <v/>
      </c>
    </row>
    <row r="570" spans="13:14" x14ac:dyDescent="0.25">
      <c r="M570" s="95" t="str">
        <f t="shared" si="37"/>
        <v/>
      </c>
      <c r="N570" s="95" t="str">
        <f t="shared" si="38"/>
        <v/>
      </c>
    </row>
    <row r="571" spans="13:14" x14ac:dyDescent="0.25">
      <c r="M571" s="95" t="str">
        <f t="shared" si="37"/>
        <v/>
      </c>
      <c r="N571" s="95" t="str">
        <f t="shared" si="38"/>
        <v/>
      </c>
    </row>
    <row r="572" spans="13:14" x14ac:dyDescent="0.25">
      <c r="M572" s="95" t="str">
        <f t="shared" si="37"/>
        <v/>
      </c>
      <c r="N572" s="95" t="str">
        <f t="shared" si="38"/>
        <v/>
      </c>
    </row>
    <row r="573" spans="13:14" x14ac:dyDescent="0.25">
      <c r="M573" s="95" t="str">
        <f t="shared" si="37"/>
        <v/>
      </c>
      <c r="N573" s="95" t="str">
        <f t="shared" si="38"/>
        <v/>
      </c>
    </row>
    <row r="574" spans="13:14" x14ac:dyDescent="0.25">
      <c r="M574" s="95" t="str">
        <f t="shared" si="37"/>
        <v/>
      </c>
      <c r="N574" s="95" t="str">
        <f t="shared" si="38"/>
        <v/>
      </c>
    </row>
    <row r="575" spans="13:14" x14ac:dyDescent="0.25">
      <c r="M575" s="95" t="str">
        <f t="shared" si="37"/>
        <v/>
      </c>
      <c r="N575" s="95" t="str">
        <f t="shared" si="38"/>
        <v/>
      </c>
    </row>
    <row r="576" spans="13:14" x14ac:dyDescent="0.25">
      <c r="M576" s="95" t="str">
        <f t="shared" si="37"/>
        <v/>
      </c>
      <c r="N576" s="95" t="str">
        <f t="shared" si="38"/>
        <v/>
      </c>
    </row>
    <row r="577" spans="13:14" x14ac:dyDescent="0.25">
      <c r="M577" s="95" t="str">
        <f t="shared" si="37"/>
        <v/>
      </c>
      <c r="N577" s="95" t="str">
        <f t="shared" si="38"/>
        <v/>
      </c>
    </row>
    <row r="578" spans="13:14" x14ac:dyDescent="0.25">
      <c r="M578" s="95" t="str">
        <f t="shared" si="37"/>
        <v/>
      </c>
      <c r="N578" s="95" t="str">
        <f t="shared" si="38"/>
        <v/>
      </c>
    </row>
    <row r="579" spans="13:14" x14ac:dyDescent="0.25">
      <c r="M579" s="95" t="str">
        <f t="shared" ref="M579:M642" si="39">IF(COUNTIF(K:K,J579),J579,"")</f>
        <v/>
      </c>
      <c r="N579" s="95" t="str">
        <f t="shared" si="38"/>
        <v/>
      </c>
    </row>
    <row r="580" spans="13:14" x14ac:dyDescent="0.25">
      <c r="M580" s="95" t="str">
        <f t="shared" si="39"/>
        <v/>
      </c>
      <c r="N580" s="95" t="str">
        <f t="shared" ref="N580:N643" si="40">IF(M580&gt;$A$14,M580,"")</f>
        <v/>
      </c>
    </row>
    <row r="581" spans="13:14" x14ac:dyDescent="0.25">
      <c r="M581" s="95" t="str">
        <f t="shared" si="39"/>
        <v/>
      </c>
      <c r="N581" s="95" t="str">
        <f t="shared" si="40"/>
        <v/>
      </c>
    </row>
    <row r="582" spans="13:14" x14ac:dyDescent="0.25">
      <c r="M582" s="95" t="str">
        <f t="shared" si="39"/>
        <v/>
      </c>
      <c r="N582" s="95" t="str">
        <f t="shared" si="40"/>
        <v/>
      </c>
    </row>
    <row r="583" spans="13:14" x14ac:dyDescent="0.25">
      <c r="M583" s="95" t="str">
        <f t="shared" si="39"/>
        <v/>
      </c>
      <c r="N583" s="95" t="str">
        <f t="shared" si="40"/>
        <v/>
      </c>
    </row>
    <row r="584" spans="13:14" x14ac:dyDescent="0.25">
      <c r="M584" s="95" t="str">
        <f t="shared" si="39"/>
        <v/>
      </c>
      <c r="N584" s="95" t="str">
        <f t="shared" si="40"/>
        <v/>
      </c>
    </row>
    <row r="585" spans="13:14" x14ac:dyDescent="0.25">
      <c r="M585" s="95" t="str">
        <f t="shared" si="39"/>
        <v/>
      </c>
      <c r="N585" s="95" t="str">
        <f t="shared" si="40"/>
        <v/>
      </c>
    </row>
    <row r="586" spans="13:14" x14ac:dyDescent="0.25">
      <c r="M586" s="95" t="str">
        <f t="shared" si="39"/>
        <v/>
      </c>
      <c r="N586" s="95" t="str">
        <f t="shared" si="40"/>
        <v/>
      </c>
    </row>
    <row r="587" spans="13:14" x14ac:dyDescent="0.25">
      <c r="M587" s="95" t="str">
        <f t="shared" si="39"/>
        <v/>
      </c>
      <c r="N587" s="95" t="str">
        <f t="shared" si="40"/>
        <v/>
      </c>
    </row>
    <row r="588" spans="13:14" x14ac:dyDescent="0.25">
      <c r="M588" s="95" t="str">
        <f t="shared" si="39"/>
        <v/>
      </c>
      <c r="N588" s="95" t="str">
        <f t="shared" si="40"/>
        <v/>
      </c>
    </row>
    <row r="589" spans="13:14" x14ac:dyDescent="0.25">
      <c r="M589" s="95" t="str">
        <f t="shared" si="39"/>
        <v/>
      </c>
      <c r="N589" s="95" t="str">
        <f t="shared" si="40"/>
        <v/>
      </c>
    </row>
    <row r="590" spans="13:14" x14ac:dyDescent="0.25">
      <c r="M590" s="95" t="str">
        <f t="shared" si="39"/>
        <v/>
      </c>
      <c r="N590" s="95" t="str">
        <f t="shared" si="40"/>
        <v/>
      </c>
    </row>
    <row r="591" spans="13:14" x14ac:dyDescent="0.25">
      <c r="M591" s="95" t="str">
        <f t="shared" si="39"/>
        <v/>
      </c>
      <c r="N591" s="95" t="str">
        <f t="shared" si="40"/>
        <v/>
      </c>
    </row>
    <row r="592" spans="13:14" x14ac:dyDescent="0.25">
      <c r="M592" s="95" t="str">
        <f t="shared" si="39"/>
        <v/>
      </c>
      <c r="N592" s="95" t="str">
        <f t="shared" si="40"/>
        <v/>
      </c>
    </row>
    <row r="593" spans="13:14" x14ac:dyDescent="0.25">
      <c r="M593" s="95" t="str">
        <f t="shared" si="39"/>
        <v/>
      </c>
      <c r="N593" s="95" t="str">
        <f t="shared" si="40"/>
        <v/>
      </c>
    </row>
    <row r="594" spans="13:14" x14ac:dyDescent="0.25">
      <c r="M594" s="95" t="str">
        <f t="shared" si="39"/>
        <v/>
      </c>
      <c r="N594" s="95" t="str">
        <f t="shared" si="40"/>
        <v/>
      </c>
    </row>
    <row r="595" spans="13:14" x14ac:dyDescent="0.25">
      <c r="M595" s="95" t="str">
        <f t="shared" si="39"/>
        <v/>
      </c>
      <c r="N595" s="95" t="str">
        <f t="shared" si="40"/>
        <v/>
      </c>
    </row>
    <row r="596" spans="13:14" x14ac:dyDescent="0.25">
      <c r="M596" s="95" t="str">
        <f t="shared" si="39"/>
        <v/>
      </c>
      <c r="N596" s="95" t="str">
        <f t="shared" si="40"/>
        <v/>
      </c>
    </row>
    <row r="597" spans="13:14" x14ac:dyDescent="0.25">
      <c r="M597" s="95" t="str">
        <f t="shared" si="39"/>
        <v/>
      </c>
      <c r="N597" s="95" t="str">
        <f t="shared" si="40"/>
        <v/>
      </c>
    </row>
    <row r="598" spans="13:14" x14ac:dyDescent="0.25">
      <c r="M598" s="95" t="str">
        <f t="shared" si="39"/>
        <v/>
      </c>
      <c r="N598" s="95" t="str">
        <f t="shared" si="40"/>
        <v/>
      </c>
    </row>
    <row r="599" spans="13:14" x14ac:dyDescent="0.25">
      <c r="M599" s="95" t="str">
        <f t="shared" si="39"/>
        <v/>
      </c>
      <c r="N599" s="95" t="str">
        <f t="shared" si="40"/>
        <v/>
      </c>
    </row>
    <row r="600" spans="13:14" x14ac:dyDescent="0.25">
      <c r="M600" s="95" t="str">
        <f t="shared" si="39"/>
        <v/>
      </c>
      <c r="N600" s="95" t="str">
        <f t="shared" si="40"/>
        <v/>
      </c>
    </row>
    <row r="601" spans="13:14" x14ac:dyDescent="0.25">
      <c r="M601" s="95" t="str">
        <f t="shared" si="39"/>
        <v/>
      </c>
      <c r="N601" s="95" t="str">
        <f t="shared" si="40"/>
        <v/>
      </c>
    </row>
    <row r="602" spans="13:14" x14ac:dyDescent="0.25">
      <c r="M602" s="95" t="str">
        <f t="shared" si="39"/>
        <v/>
      </c>
      <c r="N602" s="95" t="str">
        <f t="shared" si="40"/>
        <v/>
      </c>
    </row>
    <row r="603" spans="13:14" x14ac:dyDescent="0.25">
      <c r="M603" s="95" t="str">
        <f t="shared" si="39"/>
        <v/>
      </c>
      <c r="N603" s="95" t="str">
        <f t="shared" si="40"/>
        <v/>
      </c>
    </row>
    <row r="604" spans="13:14" x14ac:dyDescent="0.25">
      <c r="M604" s="95" t="str">
        <f t="shared" si="39"/>
        <v/>
      </c>
      <c r="N604" s="95" t="str">
        <f t="shared" si="40"/>
        <v/>
      </c>
    </row>
    <row r="605" spans="13:14" x14ac:dyDescent="0.25">
      <c r="M605" s="95" t="str">
        <f t="shared" si="39"/>
        <v/>
      </c>
      <c r="N605" s="95" t="str">
        <f t="shared" si="40"/>
        <v/>
      </c>
    </row>
    <row r="606" spans="13:14" x14ac:dyDescent="0.25">
      <c r="M606" s="95" t="str">
        <f t="shared" si="39"/>
        <v/>
      </c>
      <c r="N606" s="95" t="str">
        <f t="shared" si="40"/>
        <v/>
      </c>
    </row>
    <row r="607" spans="13:14" x14ac:dyDescent="0.25">
      <c r="M607" s="95" t="str">
        <f t="shared" si="39"/>
        <v/>
      </c>
      <c r="N607" s="95" t="str">
        <f t="shared" si="40"/>
        <v/>
      </c>
    </row>
    <row r="608" spans="13:14" x14ac:dyDescent="0.25">
      <c r="M608" s="95" t="str">
        <f t="shared" si="39"/>
        <v/>
      </c>
      <c r="N608" s="95" t="str">
        <f t="shared" si="40"/>
        <v/>
      </c>
    </row>
    <row r="609" spans="13:14" x14ac:dyDescent="0.25">
      <c r="M609" s="95" t="str">
        <f t="shared" si="39"/>
        <v/>
      </c>
      <c r="N609" s="95" t="str">
        <f t="shared" si="40"/>
        <v/>
      </c>
    </row>
    <row r="610" spans="13:14" x14ac:dyDescent="0.25">
      <c r="M610" s="95" t="str">
        <f t="shared" si="39"/>
        <v/>
      </c>
      <c r="N610" s="95" t="str">
        <f t="shared" si="40"/>
        <v/>
      </c>
    </row>
    <row r="611" spans="13:14" x14ac:dyDescent="0.25">
      <c r="M611" s="95" t="str">
        <f t="shared" si="39"/>
        <v/>
      </c>
      <c r="N611" s="95" t="str">
        <f t="shared" si="40"/>
        <v/>
      </c>
    </row>
    <row r="612" spans="13:14" x14ac:dyDescent="0.25">
      <c r="M612" s="95" t="str">
        <f t="shared" si="39"/>
        <v/>
      </c>
      <c r="N612" s="95" t="str">
        <f t="shared" si="40"/>
        <v/>
      </c>
    </row>
    <row r="613" spans="13:14" x14ac:dyDescent="0.25">
      <c r="M613" s="95" t="str">
        <f t="shared" si="39"/>
        <v/>
      </c>
      <c r="N613" s="95" t="str">
        <f t="shared" si="40"/>
        <v/>
      </c>
    </row>
    <row r="614" spans="13:14" x14ac:dyDescent="0.25">
      <c r="M614" s="95" t="str">
        <f t="shared" si="39"/>
        <v/>
      </c>
      <c r="N614" s="95" t="str">
        <f t="shared" si="40"/>
        <v/>
      </c>
    </row>
    <row r="615" spans="13:14" x14ac:dyDescent="0.25">
      <c r="M615" s="95" t="str">
        <f t="shared" si="39"/>
        <v/>
      </c>
      <c r="N615" s="95" t="str">
        <f t="shared" si="40"/>
        <v/>
      </c>
    </row>
    <row r="616" spans="13:14" x14ac:dyDescent="0.25">
      <c r="M616" s="95" t="str">
        <f t="shared" si="39"/>
        <v/>
      </c>
      <c r="N616" s="95" t="str">
        <f t="shared" si="40"/>
        <v/>
      </c>
    </row>
    <row r="617" spans="13:14" x14ac:dyDescent="0.25">
      <c r="M617" s="95" t="str">
        <f t="shared" si="39"/>
        <v/>
      </c>
      <c r="N617" s="95" t="str">
        <f t="shared" si="40"/>
        <v/>
      </c>
    </row>
    <row r="618" spans="13:14" x14ac:dyDescent="0.25">
      <c r="M618" s="95" t="str">
        <f t="shared" si="39"/>
        <v/>
      </c>
      <c r="N618" s="95" t="str">
        <f t="shared" si="40"/>
        <v/>
      </c>
    </row>
    <row r="619" spans="13:14" x14ac:dyDescent="0.25">
      <c r="M619" s="95" t="str">
        <f t="shared" si="39"/>
        <v/>
      </c>
      <c r="N619" s="95" t="str">
        <f t="shared" si="40"/>
        <v/>
      </c>
    </row>
    <row r="620" spans="13:14" x14ac:dyDescent="0.25">
      <c r="M620" s="95" t="str">
        <f t="shared" si="39"/>
        <v/>
      </c>
      <c r="N620" s="95" t="str">
        <f t="shared" si="40"/>
        <v/>
      </c>
    </row>
    <row r="621" spans="13:14" x14ac:dyDescent="0.25">
      <c r="M621" s="95" t="str">
        <f t="shared" si="39"/>
        <v/>
      </c>
      <c r="N621" s="95" t="str">
        <f t="shared" si="40"/>
        <v/>
      </c>
    </row>
    <row r="622" spans="13:14" x14ac:dyDescent="0.25">
      <c r="M622" s="95" t="str">
        <f t="shared" si="39"/>
        <v/>
      </c>
      <c r="N622" s="95" t="str">
        <f t="shared" si="40"/>
        <v/>
      </c>
    </row>
    <row r="623" spans="13:14" x14ac:dyDescent="0.25">
      <c r="M623" s="95" t="str">
        <f t="shared" si="39"/>
        <v/>
      </c>
      <c r="N623" s="95" t="str">
        <f t="shared" si="40"/>
        <v/>
      </c>
    </row>
    <row r="624" spans="13:14" x14ac:dyDescent="0.25">
      <c r="M624" s="95" t="str">
        <f t="shared" si="39"/>
        <v/>
      </c>
      <c r="N624" s="95" t="str">
        <f t="shared" si="40"/>
        <v/>
      </c>
    </row>
    <row r="625" spans="13:14" x14ac:dyDescent="0.25">
      <c r="M625" s="95" t="str">
        <f t="shared" si="39"/>
        <v/>
      </c>
      <c r="N625" s="95" t="str">
        <f t="shared" si="40"/>
        <v/>
      </c>
    </row>
    <row r="626" spans="13:14" x14ac:dyDescent="0.25">
      <c r="M626" s="95" t="str">
        <f t="shared" si="39"/>
        <v/>
      </c>
      <c r="N626" s="95" t="str">
        <f t="shared" si="40"/>
        <v/>
      </c>
    </row>
    <row r="627" spans="13:14" x14ac:dyDescent="0.25">
      <c r="M627" s="95" t="str">
        <f t="shared" si="39"/>
        <v/>
      </c>
      <c r="N627" s="95" t="str">
        <f t="shared" si="40"/>
        <v/>
      </c>
    </row>
    <row r="628" spans="13:14" x14ac:dyDescent="0.25">
      <c r="M628" s="95" t="str">
        <f t="shared" si="39"/>
        <v/>
      </c>
      <c r="N628" s="95" t="str">
        <f t="shared" si="40"/>
        <v/>
      </c>
    </row>
    <row r="629" spans="13:14" x14ac:dyDescent="0.25">
      <c r="M629" s="95" t="str">
        <f t="shared" si="39"/>
        <v/>
      </c>
      <c r="N629" s="95" t="str">
        <f t="shared" si="40"/>
        <v/>
      </c>
    </row>
    <row r="630" spans="13:14" x14ac:dyDescent="0.25">
      <c r="M630" s="95" t="str">
        <f t="shared" si="39"/>
        <v/>
      </c>
      <c r="N630" s="95" t="str">
        <f t="shared" si="40"/>
        <v/>
      </c>
    </row>
    <row r="631" spans="13:14" x14ac:dyDescent="0.25">
      <c r="M631" s="95" t="str">
        <f t="shared" si="39"/>
        <v/>
      </c>
      <c r="N631" s="95" t="str">
        <f t="shared" si="40"/>
        <v/>
      </c>
    </row>
    <row r="632" spans="13:14" x14ac:dyDescent="0.25">
      <c r="M632" s="95" t="str">
        <f t="shared" si="39"/>
        <v/>
      </c>
      <c r="N632" s="95" t="str">
        <f t="shared" si="40"/>
        <v/>
      </c>
    </row>
    <row r="633" spans="13:14" x14ac:dyDescent="0.25">
      <c r="M633" s="95" t="str">
        <f t="shared" si="39"/>
        <v/>
      </c>
      <c r="N633" s="95" t="str">
        <f t="shared" si="40"/>
        <v/>
      </c>
    </row>
    <row r="634" spans="13:14" x14ac:dyDescent="0.25">
      <c r="M634" s="95" t="str">
        <f t="shared" si="39"/>
        <v/>
      </c>
      <c r="N634" s="95" t="str">
        <f t="shared" si="40"/>
        <v/>
      </c>
    </row>
    <row r="635" spans="13:14" x14ac:dyDescent="0.25">
      <c r="M635" s="95" t="str">
        <f t="shared" si="39"/>
        <v/>
      </c>
      <c r="N635" s="95" t="str">
        <f t="shared" si="40"/>
        <v/>
      </c>
    </row>
    <row r="636" spans="13:14" x14ac:dyDescent="0.25">
      <c r="M636" s="95" t="str">
        <f t="shared" si="39"/>
        <v/>
      </c>
      <c r="N636" s="95" t="str">
        <f t="shared" si="40"/>
        <v/>
      </c>
    </row>
    <row r="637" spans="13:14" x14ac:dyDescent="0.25">
      <c r="M637" s="95" t="str">
        <f t="shared" si="39"/>
        <v/>
      </c>
      <c r="N637" s="95" t="str">
        <f t="shared" si="40"/>
        <v/>
      </c>
    </row>
    <row r="638" spans="13:14" x14ac:dyDescent="0.25">
      <c r="M638" s="95" t="str">
        <f t="shared" si="39"/>
        <v/>
      </c>
      <c r="N638" s="95" t="str">
        <f t="shared" si="40"/>
        <v/>
      </c>
    </row>
    <row r="639" spans="13:14" x14ac:dyDescent="0.25">
      <c r="M639" s="95" t="str">
        <f t="shared" si="39"/>
        <v/>
      </c>
      <c r="N639" s="95" t="str">
        <f t="shared" si="40"/>
        <v/>
      </c>
    </row>
    <row r="640" spans="13:14" x14ac:dyDescent="0.25">
      <c r="M640" s="95" t="str">
        <f t="shared" si="39"/>
        <v/>
      </c>
      <c r="N640" s="95" t="str">
        <f t="shared" si="40"/>
        <v/>
      </c>
    </row>
    <row r="641" spans="13:14" x14ac:dyDescent="0.25">
      <c r="M641" s="95" t="str">
        <f t="shared" si="39"/>
        <v/>
      </c>
      <c r="N641" s="95" t="str">
        <f t="shared" si="40"/>
        <v/>
      </c>
    </row>
    <row r="642" spans="13:14" x14ac:dyDescent="0.25">
      <c r="M642" s="95" t="str">
        <f t="shared" si="39"/>
        <v/>
      </c>
      <c r="N642" s="95" t="str">
        <f t="shared" si="40"/>
        <v/>
      </c>
    </row>
    <row r="643" spans="13:14" x14ac:dyDescent="0.25">
      <c r="M643" s="95" t="str">
        <f t="shared" ref="M643:M706" si="41">IF(COUNTIF(K:K,J643),J643,"")</f>
        <v/>
      </c>
      <c r="N643" s="95" t="str">
        <f t="shared" si="40"/>
        <v/>
      </c>
    </row>
    <row r="644" spans="13:14" x14ac:dyDescent="0.25">
      <c r="M644" s="95" t="str">
        <f t="shared" si="41"/>
        <v/>
      </c>
      <c r="N644" s="95" t="str">
        <f t="shared" ref="N644:N707" si="42">IF(M644&gt;$A$14,M644,"")</f>
        <v/>
      </c>
    </row>
    <row r="645" spans="13:14" x14ac:dyDescent="0.25">
      <c r="M645" s="95" t="str">
        <f t="shared" si="41"/>
        <v/>
      </c>
      <c r="N645" s="95" t="str">
        <f t="shared" si="42"/>
        <v/>
      </c>
    </row>
    <row r="646" spans="13:14" x14ac:dyDescent="0.25">
      <c r="M646" s="95" t="str">
        <f t="shared" si="41"/>
        <v/>
      </c>
      <c r="N646" s="95" t="str">
        <f t="shared" si="42"/>
        <v/>
      </c>
    </row>
    <row r="647" spans="13:14" x14ac:dyDescent="0.25">
      <c r="M647" s="95" t="str">
        <f t="shared" si="41"/>
        <v/>
      </c>
      <c r="N647" s="95" t="str">
        <f t="shared" si="42"/>
        <v/>
      </c>
    </row>
    <row r="648" spans="13:14" x14ac:dyDescent="0.25">
      <c r="M648" s="95" t="str">
        <f t="shared" si="41"/>
        <v/>
      </c>
      <c r="N648" s="95" t="str">
        <f t="shared" si="42"/>
        <v/>
      </c>
    </row>
    <row r="649" spans="13:14" x14ac:dyDescent="0.25">
      <c r="M649" s="95" t="str">
        <f t="shared" si="41"/>
        <v/>
      </c>
      <c r="N649" s="95" t="str">
        <f t="shared" si="42"/>
        <v/>
      </c>
    </row>
    <row r="650" spans="13:14" x14ac:dyDescent="0.25">
      <c r="M650" s="95" t="str">
        <f t="shared" si="41"/>
        <v/>
      </c>
      <c r="N650" s="95" t="str">
        <f t="shared" si="42"/>
        <v/>
      </c>
    </row>
    <row r="651" spans="13:14" x14ac:dyDescent="0.25">
      <c r="M651" s="95" t="str">
        <f t="shared" si="41"/>
        <v/>
      </c>
      <c r="N651" s="95" t="str">
        <f t="shared" si="42"/>
        <v/>
      </c>
    </row>
    <row r="652" spans="13:14" x14ac:dyDescent="0.25">
      <c r="M652" s="95" t="str">
        <f t="shared" si="41"/>
        <v/>
      </c>
      <c r="N652" s="95" t="str">
        <f t="shared" si="42"/>
        <v/>
      </c>
    </row>
    <row r="653" spans="13:14" x14ac:dyDescent="0.25">
      <c r="M653" s="95" t="str">
        <f t="shared" si="41"/>
        <v/>
      </c>
      <c r="N653" s="95" t="str">
        <f t="shared" si="42"/>
        <v/>
      </c>
    </row>
    <row r="654" spans="13:14" x14ac:dyDescent="0.25">
      <c r="M654" s="95" t="str">
        <f t="shared" si="41"/>
        <v/>
      </c>
      <c r="N654" s="95" t="str">
        <f t="shared" si="42"/>
        <v/>
      </c>
    </row>
    <row r="655" spans="13:14" x14ac:dyDescent="0.25">
      <c r="M655" s="95" t="str">
        <f t="shared" si="41"/>
        <v/>
      </c>
      <c r="N655" s="95" t="str">
        <f t="shared" si="42"/>
        <v/>
      </c>
    </row>
    <row r="656" spans="13:14" x14ac:dyDescent="0.25">
      <c r="M656" s="95" t="str">
        <f t="shared" si="41"/>
        <v/>
      </c>
      <c r="N656" s="95" t="str">
        <f t="shared" si="42"/>
        <v/>
      </c>
    </row>
    <row r="657" spans="13:14" x14ac:dyDescent="0.25">
      <c r="M657" s="95" t="str">
        <f t="shared" si="41"/>
        <v/>
      </c>
      <c r="N657" s="95" t="str">
        <f t="shared" si="42"/>
        <v/>
      </c>
    </row>
    <row r="658" spans="13:14" x14ac:dyDescent="0.25">
      <c r="M658" s="95" t="str">
        <f t="shared" si="41"/>
        <v/>
      </c>
      <c r="N658" s="95" t="str">
        <f t="shared" si="42"/>
        <v/>
      </c>
    </row>
    <row r="659" spans="13:14" x14ac:dyDescent="0.25">
      <c r="M659" s="95" t="str">
        <f t="shared" si="41"/>
        <v/>
      </c>
      <c r="N659" s="95" t="str">
        <f t="shared" si="42"/>
        <v/>
      </c>
    </row>
    <row r="660" spans="13:14" x14ac:dyDescent="0.25">
      <c r="M660" s="95" t="str">
        <f t="shared" si="41"/>
        <v/>
      </c>
      <c r="N660" s="95" t="str">
        <f t="shared" si="42"/>
        <v/>
      </c>
    </row>
    <row r="661" spans="13:14" x14ac:dyDescent="0.25">
      <c r="M661" s="95" t="str">
        <f t="shared" si="41"/>
        <v/>
      </c>
      <c r="N661" s="95" t="str">
        <f t="shared" si="42"/>
        <v/>
      </c>
    </row>
    <row r="662" spans="13:14" x14ac:dyDescent="0.25">
      <c r="M662" s="95" t="str">
        <f t="shared" si="41"/>
        <v/>
      </c>
      <c r="N662" s="95" t="str">
        <f t="shared" si="42"/>
        <v/>
      </c>
    </row>
    <row r="663" spans="13:14" x14ac:dyDescent="0.25">
      <c r="M663" s="95" t="str">
        <f t="shared" si="41"/>
        <v/>
      </c>
      <c r="N663" s="95" t="str">
        <f t="shared" si="42"/>
        <v/>
      </c>
    </row>
    <row r="664" spans="13:14" x14ac:dyDescent="0.25">
      <c r="M664" s="95" t="str">
        <f t="shared" si="41"/>
        <v/>
      </c>
      <c r="N664" s="95" t="str">
        <f t="shared" si="42"/>
        <v/>
      </c>
    </row>
    <row r="665" spans="13:14" x14ac:dyDescent="0.25">
      <c r="M665" s="95" t="str">
        <f t="shared" si="41"/>
        <v/>
      </c>
      <c r="N665" s="95" t="str">
        <f t="shared" si="42"/>
        <v/>
      </c>
    </row>
    <row r="666" spans="13:14" x14ac:dyDescent="0.25">
      <c r="M666" s="95" t="str">
        <f t="shared" si="41"/>
        <v/>
      </c>
      <c r="N666" s="95" t="str">
        <f t="shared" si="42"/>
        <v/>
      </c>
    </row>
    <row r="667" spans="13:14" x14ac:dyDescent="0.25">
      <c r="M667" s="95" t="str">
        <f t="shared" si="41"/>
        <v/>
      </c>
      <c r="N667" s="95" t="str">
        <f t="shared" si="42"/>
        <v/>
      </c>
    </row>
    <row r="668" spans="13:14" x14ac:dyDescent="0.25">
      <c r="M668" s="95" t="str">
        <f t="shared" si="41"/>
        <v/>
      </c>
      <c r="N668" s="95" t="str">
        <f t="shared" si="42"/>
        <v/>
      </c>
    </row>
    <row r="669" spans="13:14" x14ac:dyDescent="0.25">
      <c r="M669" s="95" t="str">
        <f t="shared" si="41"/>
        <v/>
      </c>
      <c r="N669" s="95" t="str">
        <f t="shared" si="42"/>
        <v/>
      </c>
    </row>
    <row r="670" spans="13:14" x14ac:dyDescent="0.25">
      <c r="M670" s="95" t="str">
        <f t="shared" si="41"/>
        <v/>
      </c>
      <c r="N670" s="95" t="str">
        <f t="shared" si="42"/>
        <v/>
      </c>
    </row>
    <row r="671" spans="13:14" x14ac:dyDescent="0.25">
      <c r="M671" s="95" t="str">
        <f t="shared" si="41"/>
        <v/>
      </c>
      <c r="N671" s="95" t="str">
        <f t="shared" si="42"/>
        <v/>
      </c>
    </row>
    <row r="672" spans="13:14" x14ac:dyDescent="0.25">
      <c r="M672" s="95" t="str">
        <f t="shared" si="41"/>
        <v/>
      </c>
      <c r="N672" s="95" t="str">
        <f t="shared" si="42"/>
        <v/>
      </c>
    </row>
    <row r="673" spans="13:14" x14ac:dyDescent="0.25">
      <c r="M673" s="95" t="str">
        <f t="shared" si="41"/>
        <v/>
      </c>
      <c r="N673" s="95" t="str">
        <f t="shared" si="42"/>
        <v/>
      </c>
    </row>
    <row r="674" spans="13:14" x14ac:dyDescent="0.25">
      <c r="M674" s="95" t="str">
        <f t="shared" si="41"/>
        <v/>
      </c>
      <c r="N674" s="95" t="str">
        <f t="shared" si="42"/>
        <v/>
      </c>
    </row>
    <row r="675" spans="13:14" x14ac:dyDescent="0.25">
      <c r="M675" s="95" t="str">
        <f t="shared" si="41"/>
        <v/>
      </c>
      <c r="N675" s="95" t="str">
        <f t="shared" si="42"/>
        <v/>
      </c>
    </row>
    <row r="676" spans="13:14" x14ac:dyDescent="0.25">
      <c r="M676" s="95" t="str">
        <f t="shared" si="41"/>
        <v/>
      </c>
      <c r="N676" s="95" t="str">
        <f t="shared" si="42"/>
        <v/>
      </c>
    </row>
    <row r="677" spans="13:14" x14ac:dyDescent="0.25">
      <c r="M677" s="95" t="str">
        <f t="shared" si="41"/>
        <v/>
      </c>
      <c r="N677" s="95" t="str">
        <f t="shared" si="42"/>
        <v/>
      </c>
    </row>
    <row r="678" spans="13:14" x14ac:dyDescent="0.25">
      <c r="M678" s="95" t="str">
        <f t="shared" si="41"/>
        <v/>
      </c>
      <c r="N678" s="95" t="str">
        <f t="shared" si="42"/>
        <v/>
      </c>
    </row>
    <row r="679" spans="13:14" x14ac:dyDescent="0.25">
      <c r="M679" s="95" t="str">
        <f t="shared" si="41"/>
        <v/>
      </c>
      <c r="N679" s="95" t="str">
        <f t="shared" si="42"/>
        <v/>
      </c>
    </row>
    <row r="680" spans="13:14" x14ac:dyDescent="0.25">
      <c r="M680" s="95" t="str">
        <f t="shared" si="41"/>
        <v/>
      </c>
      <c r="N680" s="95" t="str">
        <f t="shared" si="42"/>
        <v/>
      </c>
    </row>
    <row r="681" spans="13:14" x14ac:dyDescent="0.25">
      <c r="M681" s="95" t="str">
        <f t="shared" si="41"/>
        <v/>
      </c>
      <c r="N681" s="95" t="str">
        <f t="shared" si="42"/>
        <v/>
      </c>
    </row>
    <row r="682" spans="13:14" x14ac:dyDescent="0.25">
      <c r="M682" s="95" t="str">
        <f t="shared" si="41"/>
        <v/>
      </c>
      <c r="N682" s="95" t="str">
        <f t="shared" si="42"/>
        <v/>
      </c>
    </row>
    <row r="683" spans="13:14" x14ac:dyDescent="0.25">
      <c r="M683" s="95" t="str">
        <f t="shared" si="41"/>
        <v/>
      </c>
      <c r="N683" s="95" t="str">
        <f t="shared" si="42"/>
        <v/>
      </c>
    </row>
    <row r="684" spans="13:14" x14ac:dyDescent="0.25">
      <c r="M684" s="95" t="str">
        <f t="shared" si="41"/>
        <v/>
      </c>
      <c r="N684" s="95" t="str">
        <f t="shared" si="42"/>
        <v/>
      </c>
    </row>
    <row r="685" spans="13:14" x14ac:dyDescent="0.25">
      <c r="M685" s="95" t="str">
        <f t="shared" si="41"/>
        <v/>
      </c>
      <c r="N685" s="95" t="str">
        <f t="shared" si="42"/>
        <v/>
      </c>
    </row>
    <row r="686" spans="13:14" x14ac:dyDescent="0.25">
      <c r="M686" s="95" t="str">
        <f t="shared" si="41"/>
        <v/>
      </c>
      <c r="N686" s="95" t="str">
        <f t="shared" si="42"/>
        <v/>
      </c>
    </row>
    <row r="687" spans="13:14" x14ac:dyDescent="0.25">
      <c r="M687" s="95" t="str">
        <f t="shared" si="41"/>
        <v/>
      </c>
      <c r="N687" s="95" t="str">
        <f t="shared" si="42"/>
        <v/>
      </c>
    </row>
    <row r="688" spans="13:14" x14ac:dyDescent="0.25">
      <c r="M688" s="95" t="str">
        <f t="shared" si="41"/>
        <v/>
      </c>
      <c r="N688" s="95" t="str">
        <f t="shared" si="42"/>
        <v/>
      </c>
    </row>
    <row r="689" spans="13:14" x14ac:dyDescent="0.25">
      <c r="M689" s="95" t="str">
        <f t="shared" si="41"/>
        <v/>
      </c>
      <c r="N689" s="95" t="str">
        <f t="shared" si="42"/>
        <v/>
      </c>
    </row>
    <row r="690" spans="13:14" x14ac:dyDescent="0.25">
      <c r="M690" s="95" t="str">
        <f t="shared" si="41"/>
        <v/>
      </c>
      <c r="N690" s="95" t="str">
        <f t="shared" si="42"/>
        <v/>
      </c>
    </row>
    <row r="691" spans="13:14" x14ac:dyDescent="0.25">
      <c r="M691" s="95" t="str">
        <f t="shared" si="41"/>
        <v/>
      </c>
      <c r="N691" s="95" t="str">
        <f t="shared" si="42"/>
        <v/>
      </c>
    </row>
    <row r="692" spans="13:14" x14ac:dyDescent="0.25">
      <c r="M692" s="95" t="str">
        <f t="shared" si="41"/>
        <v/>
      </c>
      <c r="N692" s="95" t="str">
        <f t="shared" si="42"/>
        <v/>
      </c>
    </row>
    <row r="693" spans="13:14" x14ac:dyDescent="0.25">
      <c r="M693" s="95" t="str">
        <f t="shared" si="41"/>
        <v/>
      </c>
      <c r="N693" s="95" t="str">
        <f t="shared" si="42"/>
        <v/>
      </c>
    </row>
    <row r="694" spans="13:14" x14ac:dyDescent="0.25">
      <c r="M694" s="95" t="str">
        <f t="shared" si="41"/>
        <v/>
      </c>
      <c r="N694" s="95" t="str">
        <f t="shared" si="42"/>
        <v/>
      </c>
    </row>
    <row r="695" spans="13:14" x14ac:dyDescent="0.25">
      <c r="M695" s="95" t="str">
        <f t="shared" si="41"/>
        <v/>
      </c>
      <c r="N695" s="95" t="str">
        <f t="shared" si="42"/>
        <v/>
      </c>
    </row>
    <row r="696" spans="13:14" x14ac:dyDescent="0.25">
      <c r="M696" s="95" t="str">
        <f t="shared" si="41"/>
        <v/>
      </c>
      <c r="N696" s="95" t="str">
        <f t="shared" si="42"/>
        <v/>
      </c>
    </row>
    <row r="697" spans="13:14" x14ac:dyDescent="0.25">
      <c r="M697" s="95" t="str">
        <f t="shared" si="41"/>
        <v/>
      </c>
      <c r="N697" s="95" t="str">
        <f t="shared" si="42"/>
        <v/>
      </c>
    </row>
    <row r="698" spans="13:14" x14ac:dyDescent="0.25">
      <c r="M698" s="95" t="str">
        <f t="shared" si="41"/>
        <v/>
      </c>
      <c r="N698" s="95" t="str">
        <f t="shared" si="42"/>
        <v/>
      </c>
    </row>
    <row r="699" spans="13:14" x14ac:dyDescent="0.25">
      <c r="M699" s="95" t="str">
        <f t="shared" si="41"/>
        <v/>
      </c>
      <c r="N699" s="95" t="str">
        <f t="shared" si="42"/>
        <v/>
      </c>
    </row>
    <row r="700" spans="13:14" x14ac:dyDescent="0.25">
      <c r="M700" s="95" t="str">
        <f t="shared" si="41"/>
        <v/>
      </c>
      <c r="N700" s="95" t="str">
        <f t="shared" si="42"/>
        <v/>
      </c>
    </row>
    <row r="701" spans="13:14" x14ac:dyDescent="0.25">
      <c r="M701" s="95" t="str">
        <f t="shared" si="41"/>
        <v/>
      </c>
      <c r="N701" s="95" t="str">
        <f t="shared" si="42"/>
        <v/>
      </c>
    </row>
    <row r="702" spans="13:14" x14ac:dyDescent="0.25">
      <c r="M702" s="95" t="str">
        <f t="shared" si="41"/>
        <v/>
      </c>
      <c r="N702" s="95" t="str">
        <f t="shared" si="42"/>
        <v/>
      </c>
    </row>
    <row r="703" spans="13:14" x14ac:dyDescent="0.25">
      <c r="M703" s="95" t="str">
        <f t="shared" si="41"/>
        <v/>
      </c>
      <c r="N703" s="95" t="str">
        <f t="shared" si="42"/>
        <v/>
      </c>
    </row>
    <row r="704" spans="13:14" x14ac:dyDescent="0.25">
      <c r="M704" s="95" t="str">
        <f t="shared" si="41"/>
        <v/>
      </c>
      <c r="N704" s="95" t="str">
        <f t="shared" si="42"/>
        <v/>
      </c>
    </row>
    <row r="705" spans="13:14" x14ac:dyDescent="0.25">
      <c r="M705" s="95" t="str">
        <f t="shared" si="41"/>
        <v/>
      </c>
      <c r="N705" s="95" t="str">
        <f t="shared" si="42"/>
        <v/>
      </c>
    </row>
    <row r="706" spans="13:14" x14ac:dyDescent="0.25">
      <c r="M706" s="95" t="str">
        <f t="shared" si="41"/>
        <v/>
      </c>
      <c r="N706" s="95" t="str">
        <f t="shared" si="42"/>
        <v/>
      </c>
    </row>
    <row r="707" spans="13:14" x14ac:dyDescent="0.25">
      <c r="M707" s="95" t="str">
        <f t="shared" ref="M707:M770" si="43">IF(COUNTIF(K:K,J707),J707,"")</f>
        <v/>
      </c>
      <c r="N707" s="95" t="str">
        <f t="shared" si="42"/>
        <v/>
      </c>
    </row>
    <row r="708" spans="13:14" x14ac:dyDescent="0.25">
      <c r="M708" s="95" t="str">
        <f t="shared" si="43"/>
        <v/>
      </c>
      <c r="N708" s="95" t="str">
        <f t="shared" ref="N708:N771" si="44">IF(M708&gt;$A$14,M708,"")</f>
        <v/>
      </c>
    </row>
    <row r="709" spans="13:14" x14ac:dyDescent="0.25">
      <c r="M709" s="95" t="str">
        <f t="shared" si="43"/>
        <v/>
      </c>
      <c r="N709" s="95" t="str">
        <f t="shared" si="44"/>
        <v/>
      </c>
    </row>
    <row r="710" spans="13:14" x14ac:dyDescent="0.25">
      <c r="M710" s="95" t="str">
        <f t="shared" si="43"/>
        <v/>
      </c>
      <c r="N710" s="95" t="str">
        <f t="shared" si="44"/>
        <v/>
      </c>
    </row>
    <row r="711" spans="13:14" x14ac:dyDescent="0.25">
      <c r="M711" s="95" t="str">
        <f t="shared" si="43"/>
        <v/>
      </c>
      <c r="N711" s="95" t="str">
        <f t="shared" si="44"/>
        <v/>
      </c>
    </row>
    <row r="712" spans="13:14" x14ac:dyDescent="0.25">
      <c r="M712" s="95" t="str">
        <f t="shared" si="43"/>
        <v/>
      </c>
      <c r="N712" s="95" t="str">
        <f t="shared" si="44"/>
        <v/>
      </c>
    </row>
    <row r="713" spans="13:14" x14ac:dyDescent="0.25">
      <c r="M713" s="95" t="str">
        <f t="shared" si="43"/>
        <v/>
      </c>
      <c r="N713" s="95" t="str">
        <f t="shared" si="44"/>
        <v/>
      </c>
    </row>
    <row r="714" spans="13:14" x14ac:dyDescent="0.25">
      <c r="M714" s="95" t="str">
        <f t="shared" si="43"/>
        <v/>
      </c>
      <c r="N714" s="95" t="str">
        <f t="shared" si="44"/>
        <v/>
      </c>
    </row>
    <row r="715" spans="13:14" x14ac:dyDescent="0.25">
      <c r="M715" s="95" t="str">
        <f t="shared" si="43"/>
        <v/>
      </c>
      <c r="N715" s="95" t="str">
        <f t="shared" si="44"/>
        <v/>
      </c>
    </row>
    <row r="716" spans="13:14" x14ac:dyDescent="0.25">
      <c r="M716" s="95" t="str">
        <f t="shared" si="43"/>
        <v/>
      </c>
      <c r="N716" s="95" t="str">
        <f t="shared" si="44"/>
        <v/>
      </c>
    </row>
    <row r="717" spans="13:14" x14ac:dyDescent="0.25">
      <c r="M717" s="95" t="str">
        <f t="shared" si="43"/>
        <v/>
      </c>
      <c r="N717" s="95" t="str">
        <f t="shared" si="44"/>
        <v/>
      </c>
    </row>
    <row r="718" spans="13:14" x14ac:dyDescent="0.25">
      <c r="M718" s="95" t="str">
        <f t="shared" si="43"/>
        <v/>
      </c>
      <c r="N718" s="95" t="str">
        <f t="shared" si="44"/>
        <v/>
      </c>
    </row>
    <row r="719" spans="13:14" x14ac:dyDescent="0.25">
      <c r="M719" s="95" t="str">
        <f t="shared" si="43"/>
        <v/>
      </c>
      <c r="N719" s="95" t="str">
        <f t="shared" si="44"/>
        <v/>
      </c>
    </row>
    <row r="720" spans="13:14" x14ac:dyDescent="0.25">
      <c r="M720" s="95" t="str">
        <f t="shared" si="43"/>
        <v/>
      </c>
      <c r="N720" s="95" t="str">
        <f t="shared" si="44"/>
        <v/>
      </c>
    </row>
    <row r="721" spans="13:14" x14ac:dyDescent="0.25">
      <c r="M721" s="95" t="str">
        <f t="shared" si="43"/>
        <v/>
      </c>
      <c r="N721" s="95" t="str">
        <f t="shared" si="44"/>
        <v/>
      </c>
    </row>
    <row r="722" spans="13:14" x14ac:dyDescent="0.25">
      <c r="M722" s="95" t="str">
        <f t="shared" si="43"/>
        <v/>
      </c>
      <c r="N722" s="95" t="str">
        <f t="shared" si="44"/>
        <v/>
      </c>
    </row>
    <row r="723" spans="13:14" x14ac:dyDescent="0.25">
      <c r="M723" s="95" t="str">
        <f t="shared" si="43"/>
        <v/>
      </c>
      <c r="N723" s="95" t="str">
        <f t="shared" si="44"/>
        <v/>
      </c>
    </row>
    <row r="724" spans="13:14" x14ac:dyDescent="0.25">
      <c r="M724" s="95" t="str">
        <f t="shared" si="43"/>
        <v/>
      </c>
      <c r="N724" s="95" t="str">
        <f t="shared" si="44"/>
        <v/>
      </c>
    </row>
    <row r="725" spans="13:14" x14ac:dyDescent="0.25">
      <c r="M725" s="95" t="str">
        <f t="shared" si="43"/>
        <v/>
      </c>
      <c r="N725" s="95" t="str">
        <f t="shared" si="44"/>
        <v/>
      </c>
    </row>
    <row r="726" spans="13:14" x14ac:dyDescent="0.25">
      <c r="M726" s="95" t="str">
        <f t="shared" si="43"/>
        <v/>
      </c>
      <c r="N726" s="95" t="str">
        <f t="shared" si="44"/>
        <v/>
      </c>
    </row>
    <row r="727" spans="13:14" x14ac:dyDescent="0.25">
      <c r="M727" s="95" t="str">
        <f t="shared" si="43"/>
        <v/>
      </c>
      <c r="N727" s="95" t="str">
        <f t="shared" si="44"/>
        <v/>
      </c>
    </row>
    <row r="728" spans="13:14" x14ac:dyDescent="0.25">
      <c r="M728" s="95" t="str">
        <f t="shared" si="43"/>
        <v/>
      </c>
      <c r="N728" s="95" t="str">
        <f t="shared" si="44"/>
        <v/>
      </c>
    </row>
    <row r="729" spans="13:14" x14ac:dyDescent="0.25">
      <c r="M729" s="95" t="str">
        <f t="shared" si="43"/>
        <v/>
      </c>
      <c r="N729" s="95" t="str">
        <f t="shared" si="44"/>
        <v/>
      </c>
    </row>
    <row r="730" spans="13:14" x14ac:dyDescent="0.25">
      <c r="M730" s="95" t="str">
        <f t="shared" si="43"/>
        <v/>
      </c>
      <c r="N730" s="95" t="str">
        <f t="shared" si="44"/>
        <v/>
      </c>
    </row>
    <row r="731" spans="13:14" x14ac:dyDescent="0.25">
      <c r="M731" s="95" t="str">
        <f t="shared" si="43"/>
        <v/>
      </c>
      <c r="N731" s="95" t="str">
        <f t="shared" si="44"/>
        <v/>
      </c>
    </row>
    <row r="732" spans="13:14" x14ac:dyDescent="0.25">
      <c r="M732" s="95" t="str">
        <f t="shared" si="43"/>
        <v/>
      </c>
      <c r="N732" s="95" t="str">
        <f t="shared" si="44"/>
        <v/>
      </c>
    </row>
    <row r="733" spans="13:14" x14ac:dyDescent="0.25">
      <c r="M733" s="95" t="str">
        <f t="shared" si="43"/>
        <v/>
      </c>
      <c r="N733" s="95" t="str">
        <f t="shared" si="44"/>
        <v/>
      </c>
    </row>
    <row r="734" spans="13:14" x14ac:dyDescent="0.25">
      <c r="M734" s="95" t="str">
        <f t="shared" si="43"/>
        <v/>
      </c>
      <c r="N734" s="95" t="str">
        <f t="shared" si="44"/>
        <v/>
      </c>
    </row>
    <row r="735" spans="13:14" x14ac:dyDescent="0.25">
      <c r="M735" s="95" t="str">
        <f t="shared" si="43"/>
        <v/>
      </c>
      <c r="N735" s="95" t="str">
        <f t="shared" si="44"/>
        <v/>
      </c>
    </row>
    <row r="736" spans="13:14" x14ac:dyDescent="0.25">
      <c r="M736" s="95" t="str">
        <f t="shared" si="43"/>
        <v/>
      </c>
      <c r="N736" s="95" t="str">
        <f t="shared" si="44"/>
        <v/>
      </c>
    </row>
    <row r="737" spans="13:14" x14ac:dyDescent="0.25">
      <c r="M737" s="95" t="str">
        <f t="shared" si="43"/>
        <v/>
      </c>
      <c r="N737" s="95" t="str">
        <f t="shared" si="44"/>
        <v/>
      </c>
    </row>
    <row r="738" spans="13:14" x14ac:dyDescent="0.25">
      <c r="M738" s="95" t="str">
        <f t="shared" si="43"/>
        <v/>
      </c>
      <c r="N738" s="95" t="str">
        <f t="shared" si="44"/>
        <v/>
      </c>
    </row>
    <row r="739" spans="13:14" x14ac:dyDescent="0.25">
      <c r="M739" s="95" t="str">
        <f t="shared" si="43"/>
        <v/>
      </c>
      <c r="N739" s="95" t="str">
        <f t="shared" si="44"/>
        <v/>
      </c>
    </row>
    <row r="740" spans="13:14" x14ac:dyDescent="0.25">
      <c r="M740" s="95" t="str">
        <f t="shared" si="43"/>
        <v/>
      </c>
      <c r="N740" s="95" t="str">
        <f t="shared" si="44"/>
        <v/>
      </c>
    </row>
    <row r="741" spans="13:14" x14ac:dyDescent="0.25">
      <c r="M741" s="95" t="str">
        <f t="shared" si="43"/>
        <v/>
      </c>
      <c r="N741" s="95" t="str">
        <f t="shared" si="44"/>
        <v/>
      </c>
    </row>
    <row r="742" spans="13:14" x14ac:dyDescent="0.25">
      <c r="M742" s="95" t="str">
        <f t="shared" si="43"/>
        <v/>
      </c>
      <c r="N742" s="95" t="str">
        <f t="shared" si="44"/>
        <v/>
      </c>
    </row>
    <row r="743" spans="13:14" x14ac:dyDescent="0.25">
      <c r="M743" s="95" t="str">
        <f t="shared" si="43"/>
        <v/>
      </c>
      <c r="N743" s="95" t="str">
        <f t="shared" si="44"/>
        <v/>
      </c>
    </row>
    <row r="744" spans="13:14" x14ac:dyDescent="0.25">
      <c r="M744" s="95" t="str">
        <f t="shared" si="43"/>
        <v/>
      </c>
      <c r="N744" s="95" t="str">
        <f t="shared" si="44"/>
        <v/>
      </c>
    </row>
    <row r="745" spans="13:14" x14ac:dyDescent="0.25">
      <c r="M745" s="95" t="str">
        <f t="shared" si="43"/>
        <v/>
      </c>
      <c r="N745" s="95" t="str">
        <f t="shared" si="44"/>
        <v/>
      </c>
    </row>
    <row r="746" spans="13:14" x14ac:dyDescent="0.25">
      <c r="M746" s="95" t="str">
        <f t="shared" si="43"/>
        <v/>
      </c>
      <c r="N746" s="95" t="str">
        <f t="shared" si="44"/>
        <v/>
      </c>
    </row>
    <row r="747" spans="13:14" x14ac:dyDescent="0.25">
      <c r="M747" s="95" t="str">
        <f t="shared" si="43"/>
        <v/>
      </c>
      <c r="N747" s="95" t="str">
        <f t="shared" si="44"/>
        <v/>
      </c>
    </row>
    <row r="748" spans="13:14" x14ac:dyDescent="0.25">
      <c r="M748" s="95" t="str">
        <f t="shared" si="43"/>
        <v/>
      </c>
      <c r="N748" s="95" t="str">
        <f t="shared" si="44"/>
        <v/>
      </c>
    </row>
    <row r="749" spans="13:14" x14ac:dyDescent="0.25">
      <c r="M749" s="95" t="str">
        <f t="shared" si="43"/>
        <v/>
      </c>
      <c r="N749" s="95" t="str">
        <f t="shared" si="44"/>
        <v/>
      </c>
    </row>
    <row r="750" spans="13:14" x14ac:dyDescent="0.25">
      <c r="M750" s="95" t="str">
        <f t="shared" si="43"/>
        <v/>
      </c>
      <c r="N750" s="95" t="str">
        <f t="shared" si="44"/>
        <v/>
      </c>
    </row>
    <row r="751" spans="13:14" x14ac:dyDescent="0.25">
      <c r="M751" s="95" t="str">
        <f t="shared" si="43"/>
        <v/>
      </c>
      <c r="N751" s="95" t="str">
        <f t="shared" si="44"/>
        <v/>
      </c>
    </row>
    <row r="752" spans="13:14" x14ac:dyDescent="0.25">
      <c r="M752" s="95" t="str">
        <f t="shared" si="43"/>
        <v/>
      </c>
      <c r="N752" s="95" t="str">
        <f t="shared" si="44"/>
        <v/>
      </c>
    </row>
    <row r="753" spans="13:14" x14ac:dyDescent="0.25">
      <c r="M753" s="95" t="str">
        <f t="shared" si="43"/>
        <v/>
      </c>
      <c r="N753" s="95" t="str">
        <f t="shared" si="44"/>
        <v/>
      </c>
    </row>
    <row r="754" spans="13:14" x14ac:dyDescent="0.25">
      <c r="M754" s="95" t="str">
        <f t="shared" si="43"/>
        <v/>
      </c>
      <c r="N754" s="95" t="str">
        <f t="shared" si="44"/>
        <v/>
      </c>
    </row>
    <row r="755" spans="13:14" x14ac:dyDescent="0.25">
      <c r="M755" s="95" t="str">
        <f t="shared" si="43"/>
        <v/>
      </c>
      <c r="N755" s="95" t="str">
        <f t="shared" si="44"/>
        <v/>
      </c>
    </row>
    <row r="756" spans="13:14" x14ac:dyDescent="0.25">
      <c r="M756" s="95" t="str">
        <f t="shared" si="43"/>
        <v/>
      </c>
      <c r="N756" s="95" t="str">
        <f t="shared" si="44"/>
        <v/>
      </c>
    </row>
    <row r="757" spans="13:14" x14ac:dyDescent="0.25">
      <c r="M757" s="95" t="str">
        <f t="shared" si="43"/>
        <v/>
      </c>
      <c r="N757" s="95" t="str">
        <f t="shared" si="44"/>
        <v/>
      </c>
    </row>
    <row r="758" spans="13:14" x14ac:dyDescent="0.25">
      <c r="M758" s="95" t="str">
        <f t="shared" si="43"/>
        <v/>
      </c>
      <c r="N758" s="95" t="str">
        <f t="shared" si="44"/>
        <v/>
      </c>
    </row>
    <row r="759" spans="13:14" x14ac:dyDescent="0.25">
      <c r="M759" s="95" t="str">
        <f t="shared" si="43"/>
        <v/>
      </c>
      <c r="N759" s="95" t="str">
        <f t="shared" si="44"/>
        <v/>
      </c>
    </row>
    <row r="760" spans="13:14" x14ac:dyDescent="0.25">
      <c r="M760" s="95" t="str">
        <f t="shared" si="43"/>
        <v/>
      </c>
      <c r="N760" s="95" t="str">
        <f t="shared" si="44"/>
        <v/>
      </c>
    </row>
    <row r="761" spans="13:14" x14ac:dyDescent="0.25">
      <c r="M761" s="95" t="str">
        <f t="shared" si="43"/>
        <v/>
      </c>
      <c r="N761" s="95" t="str">
        <f t="shared" si="44"/>
        <v/>
      </c>
    </row>
    <row r="762" spans="13:14" x14ac:dyDescent="0.25">
      <c r="M762" s="95" t="str">
        <f t="shared" si="43"/>
        <v/>
      </c>
      <c r="N762" s="95" t="str">
        <f t="shared" si="44"/>
        <v/>
      </c>
    </row>
    <row r="763" spans="13:14" x14ac:dyDescent="0.25">
      <c r="M763" s="95" t="str">
        <f t="shared" si="43"/>
        <v/>
      </c>
      <c r="N763" s="95" t="str">
        <f t="shared" si="44"/>
        <v/>
      </c>
    </row>
    <row r="764" spans="13:14" x14ac:dyDescent="0.25">
      <c r="M764" s="95" t="str">
        <f t="shared" si="43"/>
        <v/>
      </c>
      <c r="N764" s="95" t="str">
        <f t="shared" si="44"/>
        <v/>
      </c>
    </row>
    <row r="765" spans="13:14" x14ac:dyDescent="0.25">
      <c r="M765" s="95" t="str">
        <f t="shared" si="43"/>
        <v/>
      </c>
      <c r="N765" s="95" t="str">
        <f t="shared" si="44"/>
        <v/>
      </c>
    </row>
    <row r="766" spans="13:14" x14ac:dyDescent="0.25">
      <c r="M766" s="95" t="str">
        <f t="shared" si="43"/>
        <v/>
      </c>
      <c r="N766" s="95" t="str">
        <f t="shared" si="44"/>
        <v/>
      </c>
    </row>
    <row r="767" spans="13:14" x14ac:dyDescent="0.25">
      <c r="M767" s="95" t="str">
        <f t="shared" si="43"/>
        <v/>
      </c>
      <c r="N767" s="95" t="str">
        <f t="shared" si="44"/>
        <v/>
      </c>
    </row>
    <row r="768" spans="13:14" x14ac:dyDescent="0.25">
      <c r="M768" s="95" t="str">
        <f t="shared" si="43"/>
        <v/>
      </c>
      <c r="N768" s="95" t="str">
        <f t="shared" si="44"/>
        <v/>
      </c>
    </row>
    <row r="769" spans="13:14" x14ac:dyDescent="0.25">
      <c r="M769" s="95" t="str">
        <f t="shared" si="43"/>
        <v/>
      </c>
      <c r="N769" s="95" t="str">
        <f t="shared" si="44"/>
        <v/>
      </c>
    </row>
    <row r="770" spans="13:14" x14ac:dyDescent="0.25">
      <c r="M770" s="95" t="str">
        <f t="shared" si="43"/>
        <v/>
      </c>
      <c r="N770" s="95" t="str">
        <f t="shared" si="44"/>
        <v/>
      </c>
    </row>
    <row r="771" spans="13:14" x14ac:dyDescent="0.25">
      <c r="M771" s="95" t="str">
        <f t="shared" ref="M771:M834" si="45">IF(COUNTIF(K:K,J771),J771,"")</f>
        <v/>
      </c>
      <c r="N771" s="95" t="str">
        <f t="shared" si="44"/>
        <v/>
      </c>
    </row>
    <row r="772" spans="13:14" x14ac:dyDescent="0.25">
      <c r="M772" s="95" t="str">
        <f t="shared" si="45"/>
        <v/>
      </c>
      <c r="N772" s="95" t="str">
        <f t="shared" ref="N772:N835" si="46">IF(M772&gt;$A$14,M772,"")</f>
        <v/>
      </c>
    </row>
    <row r="773" spans="13:14" x14ac:dyDescent="0.25">
      <c r="M773" s="95" t="str">
        <f t="shared" si="45"/>
        <v/>
      </c>
      <c r="N773" s="95" t="str">
        <f t="shared" si="46"/>
        <v/>
      </c>
    </row>
    <row r="774" spans="13:14" x14ac:dyDescent="0.25">
      <c r="M774" s="95" t="str">
        <f t="shared" si="45"/>
        <v/>
      </c>
      <c r="N774" s="95" t="str">
        <f t="shared" si="46"/>
        <v/>
      </c>
    </row>
    <row r="775" spans="13:14" x14ac:dyDescent="0.25">
      <c r="M775" s="95" t="str">
        <f t="shared" si="45"/>
        <v/>
      </c>
      <c r="N775" s="95" t="str">
        <f t="shared" si="46"/>
        <v/>
      </c>
    </row>
    <row r="776" spans="13:14" x14ac:dyDescent="0.25">
      <c r="M776" s="95" t="str">
        <f t="shared" si="45"/>
        <v/>
      </c>
      <c r="N776" s="95" t="str">
        <f t="shared" si="46"/>
        <v/>
      </c>
    </row>
    <row r="777" spans="13:14" x14ac:dyDescent="0.25">
      <c r="M777" s="95" t="str">
        <f t="shared" si="45"/>
        <v/>
      </c>
      <c r="N777" s="95" t="str">
        <f t="shared" si="46"/>
        <v/>
      </c>
    </row>
    <row r="778" spans="13:14" x14ac:dyDescent="0.25">
      <c r="M778" s="95" t="str">
        <f t="shared" si="45"/>
        <v/>
      </c>
      <c r="N778" s="95" t="str">
        <f t="shared" si="46"/>
        <v/>
      </c>
    </row>
    <row r="779" spans="13:14" x14ac:dyDescent="0.25">
      <c r="M779" s="95" t="str">
        <f t="shared" si="45"/>
        <v/>
      </c>
      <c r="N779" s="95" t="str">
        <f t="shared" si="46"/>
        <v/>
      </c>
    </row>
    <row r="780" spans="13:14" x14ac:dyDescent="0.25">
      <c r="M780" s="95" t="str">
        <f t="shared" si="45"/>
        <v/>
      </c>
      <c r="N780" s="95" t="str">
        <f t="shared" si="46"/>
        <v/>
      </c>
    </row>
    <row r="781" spans="13:14" x14ac:dyDescent="0.25">
      <c r="M781" s="95" t="str">
        <f t="shared" si="45"/>
        <v/>
      </c>
      <c r="N781" s="95" t="str">
        <f t="shared" si="46"/>
        <v/>
      </c>
    </row>
    <row r="782" spans="13:14" x14ac:dyDescent="0.25">
      <c r="M782" s="95" t="str">
        <f t="shared" si="45"/>
        <v/>
      </c>
      <c r="N782" s="95" t="str">
        <f t="shared" si="46"/>
        <v/>
      </c>
    </row>
    <row r="783" spans="13:14" x14ac:dyDescent="0.25">
      <c r="M783" s="95" t="str">
        <f t="shared" si="45"/>
        <v/>
      </c>
      <c r="N783" s="95" t="str">
        <f t="shared" si="46"/>
        <v/>
      </c>
    </row>
    <row r="784" spans="13:14" x14ac:dyDescent="0.25">
      <c r="M784" s="95" t="str">
        <f t="shared" si="45"/>
        <v/>
      </c>
      <c r="N784" s="95" t="str">
        <f t="shared" si="46"/>
        <v/>
      </c>
    </row>
    <row r="785" spans="13:14" x14ac:dyDescent="0.25">
      <c r="M785" s="95" t="str">
        <f t="shared" si="45"/>
        <v/>
      </c>
      <c r="N785" s="95" t="str">
        <f t="shared" si="46"/>
        <v/>
      </c>
    </row>
    <row r="786" spans="13:14" x14ac:dyDescent="0.25">
      <c r="M786" s="95" t="str">
        <f t="shared" si="45"/>
        <v/>
      </c>
      <c r="N786" s="95" t="str">
        <f t="shared" si="46"/>
        <v/>
      </c>
    </row>
    <row r="787" spans="13:14" x14ac:dyDescent="0.25">
      <c r="M787" s="95" t="str">
        <f t="shared" si="45"/>
        <v/>
      </c>
      <c r="N787" s="95" t="str">
        <f t="shared" si="46"/>
        <v/>
      </c>
    </row>
    <row r="788" spans="13:14" x14ac:dyDescent="0.25">
      <c r="M788" s="95" t="str">
        <f t="shared" si="45"/>
        <v/>
      </c>
      <c r="N788" s="95" t="str">
        <f t="shared" si="46"/>
        <v/>
      </c>
    </row>
    <row r="789" spans="13:14" x14ac:dyDescent="0.25">
      <c r="M789" s="95" t="str">
        <f t="shared" si="45"/>
        <v/>
      </c>
      <c r="N789" s="95" t="str">
        <f t="shared" si="46"/>
        <v/>
      </c>
    </row>
    <row r="790" spans="13:14" x14ac:dyDescent="0.25">
      <c r="M790" s="95" t="str">
        <f t="shared" si="45"/>
        <v/>
      </c>
      <c r="N790" s="95" t="str">
        <f t="shared" si="46"/>
        <v/>
      </c>
    </row>
    <row r="791" spans="13:14" x14ac:dyDescent="0.25">
      <c r="M791" s="95" t="str">
        <f t="shared" si="45"/>
        <v/>
      </c>
      <c r="N791" s="95" t="str">
        <f t="shared" si="46"/>
        <v/>
      </c>
    </row>
    <row r="792" spans="13:14" x14ac:dyDescent="0.25">
      <c r="M792" s="95" t="str">
        <f t="shared" si="45"/>
        <v/>
      </c>
      <c r="N792" s="95" t="str">
        <f t="shared" si="46"/>
        <v/>
      </c>
    </row>
    <row r="793" spans="13:14" x14ac:dyDescent="0.25">
      <c r="M793" s="95" t="str">
        <f t="shared" si="45"/>
        <v/>
      </c>
      <c r="N793" s="95" t="str">
        <f t="shared" si="46"/>
        <v/>
      </c>
    </row>
    <row r="794" spans="13:14" x14ac:dyDescent="0.25">
      <c r="M794" s="95" t="str">
        <f t="shared" si="45"/>
        <v/>
      </c>
      <c r="N794" s="95" t="str">
        <f t="shared" si="46"/>
        <v/>
      </c>
    </row>
    <row r="795" spans="13:14" x14ac:dyDescent="0.25">
      <c r="M795" s="95" t="str">
        <f t="shared" si="45"/>
        <v/>
      </c>
      <c r="N795" s="95" t="str">
        <f t="shared" si="46"/>
        <v/>
      </c>
    </row>
    <row r="796" spans="13:14" x14ac:dyDescent="0.25">
      <c r="M796" s="95" t="str">
        <f t="shared" si="45"/>
        <v/>
      </c>
      <c r="N796" s="95" t="str">
        <f t="shared" si="46"/>
        <v/>
      </c>
    </row>
    <row r="797" spans="13:14" x14ac:dyDescent="0.25">
      <c r="M797" s="95" t="str">
        <f t="shared" si="45"/>
        <v/>
      </c>
      <c r="N797" s="95" t="str">
        <f t="shared" si="46"/>
        <v/>
      </c>
    </row>
    <row r="798" spans="13:14" x14ac:dyDescent="0.25">
      <c r="M798" s="95" t="str">
        <f t="shared" si="45"/>
        <v/>
      </c>
      <c r="N798" s="95" t="str">
        <f t="shared" si="46"/>
        <v/>
      </c>
    </row>
    <row r="799" spans="13:14" x14ac:dyDescent="0.25">
      <c r="M799" s="95" t="str">
        <f t="shared" si="45"/>
        <v/>
      </c>
      <c r="N799" s="95" t="str">
        <f t="shared" si="46"/>
        <v/>
      </c>
    </row>
    <row r="800" spans="13:14" x14ac:dyDescent="0.25">
      <c r="M800" s="95" t="str">
        <f t="shared" si="45"/>
        <v/>
      </c>
      <c r="N800" s="95" t="str">
        <f t="shared" si="46"/>
        <v/>
      </c>
    </row>
    <row r="801" spans="13:14" x14ac:dyDescent="0.25">
      <c r="M801" s="95" t="str">
        <f t="shared" si="45"/>
        <v/>
      </c>
      <c r="N801" s="95" t="str">
        <f t="shared" si="46"/>
        <v/>
      </c>
    </row>
    <row r="802" spans="13:14" x14ac:dyDescent="0.25">
      <c r="M802" s="95" t="str">
        <f t="shared" si="45"/>
        <v/>
      </c>
      <c r="N802" s="95" t="str">
        <f t="shared" si="46"/>
        <v/>
      </c>
    </row>
    <row r="803" spans="13:14" x14ac:dyDescent="0.25">
      <c r="M803" s="95" t="str">
        <f t="shared" si="45"/>
        <v/>
      </c>
      <c r="N803" s="95" t="str">
        <f t="shared" si="46"/>
        <v/>
      </c>
    </row>
    <row r="804" spans="13:14" x14ac:dyDescent="0.25">
      <c r="M804" s="95" t="str">
        <f t="shared" si="45"/>
        <v/>
      </c>
      <c r="N804" s="95" t="str">
        <f t="shared" si="46"/>
        <v/>
      </c>
    </row>
    <row r="805" spans="13:14" x14ac:dyDescent="0.25">
      <c r="M805" s="95" t="str">
        <f t="shared" si="45"/>
        <v/>
      </c>
      <c r="N805" s="95" t="str">
        <f t="shared" si="46"/>
        <v/>
      </c>
    </row>
    <row r="806" spans="13:14" x14ac:dyDescent="0.25">
      <c r="M806" s="95" t="str">
        <f t="shared" si="45"/>
        <v/>
      </c>
      <c r="N806" s="95" t="str">
        <f t="shared" si="46"/>
        <v/>
      </c>
    </row>
    <row r="807" spans="13:14" x14ac:dyDescent="0.25">
      <c r="M807" s="95" t="str">
        <f t="shared" si="45"/>
        <v/>
      </c>
      <c r="N807" s="95" t="str">
        <f t="shared" si="46"/>
        <v/>
      </c>
    </row>
    <row r="808" spans="13:14" x14ac:dyDescent="0.25">
      <c r="M808" s="95" t="str">
        <f t="shared" si="45"/>
        <v/>
      </c>
      <c r="N808" s="95" t="str">
        <f t="shared" si="46"/>
        <v/>
      </c>
    </row>
    <row r="809" spans="13:14" x14ac:dyDescent="0.25">
      <c r="M809" s="95" t="str">
        <f t="shared" si="45"/>
        <v/>
      </c>
      <c r="N809" s="95" t="str">
        <f t="shared" si="46"/>
        <v/>
      </c>
    </row>
    <row r="810" spans="13:14" x14ac:dyDescent="0.25">
      <c r="M810" s="95" t="str">
        <f t="shared" si="45"/>
        <v/>
      </c>
      <c r="N810" s="95" t="str">
        <f t="shared" si="46"/>
        <v/>
      </c>
    </row>
    <row r="811" spans="13:14" x14ac:dyDescent="0.25">
      <c r="M811" s="95" t="str">
        <f t="shared" si="45"/>
        <v/>
      </c>
      <c r="N811" s="95" t="str">
        <f t="shared" si="46"/>
        <v/>
      </c>
    </row>
    <row r="812" spans="13:14" x14ac:dyDescent="0.25">
      <c r="M812" s="95" t="str">
        <f t="shared" si="45"/>
        <v/>
      </c>
      <c r="N812" s="95" t="str">
        <f t="shared" si="46"/>
        <v/>
      </c>
    </row>
    <row r="813" spans="13:14" x14ac:dyDescent="0.25">
      <c r="M813" s="95" t="str">
        <f t="shared" si="45"/>
        <v/>
      </c>
      <c r="N813" s="95" t="str">
        <f t="shared" si="46"/>
        <v/>
      </c>
    </row>
    <row r="814" spans="13:14" x14ac:dyDescent="0.25">
      <c r="M814" s="95" t="str">
        <f t="shared" si="45"/>
        <v/>
      </c>
      <c r="N814" s="95" t="str">
        <f t="shared" si="46"/>
        <v/>
      </c>
    </row>
    <row r="815" spans="13:14" x14ac:dyDescent="0.25">
      <c r="M815" s="95" t="str">
        <f t="shared" si="45"/>
        <v/>
      </c>
      <c r="N815" s="95" t="str">
        <f t="shared" si="46"/>
        <v/>
      </c>
    </row>
    <row r="816" spans="13:14" x14ac:dyDescent="0.25">
      <c r="M816" s="95" t="str">
        <f t="shared" si="45"/>
        <v/>
      </c>
      <c r="N816" s="95" t="str">
        <f t="shared" si="46"/>
        <v/>
      </c>
    </row>
    <row r="817" spans="13:14" x14ac:dyDescent="0.25">
      <c r="M817" s="95" t="str">
        <f t="shared" si="45"/>
        <v/>
      </c>
      <c r="N817" s="95" t="str">
        <f t="shared" si="46"/>
        <v/>
      </c>
    </row>
    <row r="818" spans="13:14" x14ac:dyDescent="0.25">
      <c r="M818" s="95" t="str">
        <f t="shared" si="45"/>
        <v/>
      </c>
      <c r="N818" s="95" t="str">
        <f t="shared" si="46"/>
        <v/>
      </c>
    </row>
    <row r="819" spans="13:14" x14ac:dyDescent="0.25">
      <c r="M819" s="95" t="str">
        <f t="shared" si="45"/>
        <v/>
      </c>
      <c r="N819" s="95" t="str">
        <f t="shared" si="46"/>
        <v/>
      </c>
    </row>
    <row r="820" spans="13:14" x14ac:dyDescent="0.25">
      <c r="M820" s="95" t="str">
        <f t="shared" si="45"/>
        <v/>
      </c>
      <c r="N820" s="95" t="str">
        <f t="shared" si="46"/>
        <v/>
      </c>
    </row>
    <row r="821" spans="13:14" x14ac:dyDescent="0.25">
      <c r="M821" s="95" t="str">
        <f t="shared" si="45"/>
        <v/>
      </c>
      <c r="N821" s="95" t="str">
        <f t="shared" si="46"/>
        <v/>
      </c>
    </row>
    <row r="822" spans="13:14" x14ac:dyDescent="0.25">
      <c r="M822" s="95" t="str">
        <f t="shared" si="45"/>
        <v/>
      </c>
      <c r="N822" s="95" t="str">
        <f t="shared" si="46"/>
        <v/>
      </c>
    </row>
    <row r="823" spans="13:14" x14ac:dyDescent="0.25">
      <c r="M823" s="95" t="str">
        <f t="shared" si="45"/>
        <v/>
      </c>
      <c r="N823" s="95" t="str">
        <f t="shared" si="46"/>
        <v/>
      </c>
    </row>
    <row r="824" spans="13:14" x14ac:dyDescent="0.25">
      <c r="M824" s="95" t="str">
        <f t="shared" si="45"/>
        <v/>
      </c>
      <c r="N824" s="95" t="str">
        <f t="shared" si="46"/>
        <v/>
      </c>
    </row>
    <row r="825" spans="13:14" x14ac:dyDescent="0.25">
      <c r="M825" s="95" t="str">
        <f t="shared" si="45"/>
        <v/>
      </c>
      <c r="N825" s="95" t="str">
        <f t="shared" si="46"/>
        <v/>
      </c>
    </row>
    <row r="826" spans="13:14" x14ac:dyDescent="0.25">
      <c r="M826" s="95" t="str">
        <f t="shared" si="45"/>
        <v/>
      </c>
      <c r="N826" s="95" t="str">
        <f t="shared" si="46"/>
        <v/>
      </c>
    </row>
    <row r="827" spans="13:14" x14ac:dyDescent="0.25">
      <c r="M827" s="95" t="str">
        <f t="shared" si="45"/>
        <v/>
      </c>
      <c r="N827" s="95" t="str">
        <f t="shared" si="46"/>
        <v/>
      </c>
    </row>
    <row r="828" spans="13:14" x14ac:dyDescent="0.25">
      <c r="M828" s="95" t="str">
        <f t="shared" si="45"/>
        <v/>
      </c>
      <c r="N828" s="95" t="str">
        <f t="shared" si="46"/>
        <v/>
      </c>
    </row>
    <row r="829" spans="13:14" x14ac:dyDescent="0.25">
      <c r="M829" s="95" t="str">
        <f t="shared" si="45"/>
        <v/>
      </c>
      <c r="N829" s="95" t="str">
        <f t="shared" si="46"/>
        <v/>
      </c>
    </row>
    <row r="830" spans="13:14" x14ac:dyDescent="0.25">
      <c r="M830" s="95" t="str">
        <f t="shared" si="45"/>
        <v/>
      </c>
      <c r="N830" s="95" t="str">
        <f t="shared" si="46"/>
        <v/>
      </c>
    </row>
    <row r="831" spans="13:14" x14ac:dyDescent="0.25">
      <c r="M831" s="95" t="str">
        <f t="shared" si="45"/>
        <v/>
      </c>
      <c r="N831" s="95" t="str">
        <f t="shared" si="46"/>
        <v/>
      </c>
    </row>
    <row r="832" spans="13:14" x14ac:dyDescent="0.25">
      <c r="M832" s="95" t="str">
        <f t="shared" si="45"/>
        <v/>
      </c>
      <c r="N832" s="95" t="str">
        <f t="shared" si="46"/>
        <v/>
      </c>
    </row>
    <row r="833" spans="13:14" x14ac:dyDescent="0.25">
      <c r="M833" s="95" t="str">
        <f t="shared" si="45"/>
        <v/>
      </c>
      <c r="N833" s="95" t="str">
        <f t="shared" si="46"/>
        <v/>
      </c>
    </row>
    <row r="834" spans="13:14" x14ac:dyDescent="0.25">
      <c r="M834" s="95" t="str">
        <f t="shared" si="45"/>
        <v/>
      </c>
      <c r="N834" s="95" t="str">
        <f t="shared" si="46"/>
        <v/>
      </c>
    </row>
    <row r="835" spans="13:14" x14ac:dyDescent="0.25">
      <c r="M835" s="95" t="str">
        <f t="shared" ref="M835:M891" si="47">IF(COUNTIF(K:K,J835),J835,"")</f>
        <v/>
      </c>
      <c r="N835" s="95" t="str">
        <f t="shared" si="46"/>
        <v/>
      </c>
    </row>
    <row r="836" spans="13:14" x14ac:dyDescent="0.25">
      <c r="M836" s="95" t="str">
        <f t="shared" si="47"/>
        <v/>
      </c>
      <c r="N836" s="95" t="str">
        <f t="shared" ref="N836:N891" si="48">IF(M836&gt;$A$14,M836,"")</f>
        <v/>
      </c>
    </row>
    <row r="837" spans="13:14" x14ac:dyDescent="0.25">
      <c r="M837" s="95" t="str">
        <f t="shared" si="47"/>
        <v/>
      </c>
      <c r="N837" s="95" t="str">
        <f t="shared" si="48"/>
        <v/>
      </c>
    </row>
    <row r="838" spans="13:14" x14ac:dyDescent="0.25">
      <c r="M838" s="95" t="str">
        <f t="shared" si="47"/>
        <v/>
      </c>
      <c r="N838" s="95" t="str">
        <f t="shared" si="48"/>
        <v/>
      </c>
    </row>
    <row r="839" spans="13:14" x14ac:dyDescent="0.25">
      <c r="M839" s="95" t="str">
        <f t="shared" si="47"/>
        <v/>
      </c>
      <c r="N839" s="95" t="str">
        <f t="shared" si="48"/>
        <v/>
      </c>
    </row>
    <row r="840" spans="13:14" x14ac:dyDescent="0.25">
      <c r="M840" s="95" t="str">
        <f t="shared" si="47"/>
        <v/>
      </c>
      <c r="N840" s="95" t="str">
        <f t="shared" si="48"/>
        <v/>
      </c>
    </row>
    <row r="841" spans="13:14" x14ac:dyDescent="0.25">
      <c r="M841" s="95" t="str">
        <f t="shared" si="47"/>
        <v/>
      </c>
      <c r="N841" s="95" t="str">
        <f t="shared" si="48"/>
        <v/>
      </c>
    </row>
    <row r="842" spans="13:14" x14ac:dyDescent="0.25">
      <c r="M842" s="95" t="str">
        <f t="shared" si="47"/>
        <v/>
      </c>
      <c r="N842" s="95" t="str">
        <f t="shared" si="48"/>
        <v/>
      </c>
    </row>
    <row r="843" spans="13:14" x14ac:dyDescent="0.25">
      <c r="M843" s="95" t="str">
        <f t="shared" si="47"/>
        <v/>
      </c>
      <c r="N843" s="95" t="str">
        <f t="shared" si="48"/>
        <v/>
      </c>
    </row>
    <row r="844" spans="13:14" x14ac:dyDescent="0.25">
      <c r="M844" s="95" t="str">
        <f t="shared" si="47"/>
        <v/>
      </c>
      <c r="N844" s="95" t="str">
        <f t="shared" si="48"/>
        <v/>
      </c>
    </row>
    <row r="845" spans="13:14" x14ac:dyDescent="0.25">
      <c r="M845" s="95" t="str">
        <f t="shared" si="47"/>
        <v/>
      </c>
      <c r="N845" s="95" t="str">
        <f t="shared" si="48"/>
        <v/>
      </c>
    </row>
    <row r="846" spans="13:14" x14ac:dyDescent="0.25">
      <c r="M846" s="95" t="str">
        <f t="shared" si="47"/>
        <v/>
      </c>
      <c r="N846" s="95" t="str">
        <f t="shared" si="48"/>
        <v/>
      </c>
    </row>
    <row r="847" spans="13:14" x14ac:dyDescent="0.25">
      <c r="M847" s="95" t="str">
        <f t="shared" si="47"/>
        <v/>
      </c>
      <c r="N847" s="95" t="str">
        <f t="shared" si="48"/>
        <v/>
      </c>
    </row>
    <row r="848" spans="13:14" x14ac:dyDescent="0.25">
      <c r="M848" s="95" t="str">
        <f t="shared" si="47"/>
        <v/>
      </c>
      <c r="N848" s="95" t="str">
        <f t="shared" si="48"/>
        <v/>
      </c>
    </row>
    <row r="849" spans="13:14" x14ac:dyDescent="0.25">
      <c r="M849" s="95" t="str">
        <f t="shared" si="47"/>
        <v/>
      </c>
      <c r="N849" s="95" t="str">
        <f t="shared" si="48"/>
        <v/>
      </c>
    </row>
    <row r="850" spans="13:14" x14ac:dyDescent="0.25">
      <c r="M850" s="95" t="str">
        <f t="shared" si="47"/>
        <v/>
      </c>
      <c r="N850" s="95" t="str">
        <f t="shared" si="48"/>
        <v/>
      </c>
    </row>
    <row r="851" spans="13:14" x14ac:dyDescent="0.25">
      <c r="M851" s="95" t="str">
        <f t="shared" si="47"/>
        <v/>
      </c>
      <c r="N851" s="95" t="str">
        <f t="shared" si="48"/>
        <v/>
      </c>
    </row>
    <row r="852" spans="13:14" x14ac:dyDescent="0.25">
      <c r="M852" s="95" t="str">
        <f t="shared" si="47"/>
        <v/>
      </c>
      <c r="N852" s="95" t="str">
        <f t="shared" si="48"/>
        <v/>
      </c>
    </row>
    <row r="853" spans="13:14" x14ac:dyDescent="0.25">
      <c r="M853" s="95" t="str">
        <f t="shared" si="47"/>
        <v/>
      </c>
      <c r="N853" s="95" t="str">
        <f t="shared" si="48"/>
        <v/>
      </c>
    </row>
    <row r="854" spans="13:14" x14ac:dyDescent="0.25">
      <c r="M854" s="95" t="str">
        <f t="shared" si="47"/>
        <v/>
      </c>
      <c r="N854" s="95" t="str">
        <f t="shared" si="48"/>
        <v/>
      </c>
    </row>
    <row r="855" spans="13:14" x14ac:dyDescent="0.25">
      <c r="M855" s="95" t="str">
        <f t="shared" si="47"/>
        <v/>
      </c>
      <c r="N855" s="95" t="str">
        <f t="shared" si="48"/>
        <v/>
      </c>
    </row>
    <row r="856" spans="13:14" x14ac:dyDescent="0.25">
      <c r="M856" s="95" t="str">
        <f t="shared" si="47"/>
        <v/>
      </c>
      <c r="N856" s="95" t="str">
        <f t="shared" si="48"/>
        <v/>
      </c>
    </row>
    <row r="857" spans="13:14" x14ac:dyDescent="0.25">
      <c r="M857" s="95" t="str">
        <f t="shared" si="47"/>
        <v/>
      </c>
      <c r="N857" s="95" t="str">
        <f t="shared" si="48"/>
        <v/>
      </c>
    </row>
    <row r="858" spans="13:14" x14ac:dyDescent="0.25">
      <c r="M858" s="95" t="str">
        <f t="shared" si="47"/>
        <v/>
      </c>
      <c r="N858" s="95" t="str">
        <f t="shared" si="48"/>
        <v/>
      </c>
    </row>
    <row r="859" spans="13:14" x14ac:dyDescent="0.25">
      <c r="M859" s="95" t="str">
        <f t="shared" si="47"/>
        <v/>
      </c>
      <c r="N859" s="95" t="str">
        <f t="shared" si="48"/>
        <v/>
      </c>
    </row>
    <row r="860" spans="13:14" x14ac:dyDescent="0.25">
      <c r="M860" s="95" t="str">
        <f t="shared" si="47"/>
        <v/>
      </c>
      <c r="N860" s="95" t="str">
        <f t="shared" si="48"/>
        <v/>
      </c>
    </row>
    <row r="861" spans="13:14" x14ac:dyDescent="0.25">
      <c r="M861" s="95" t="str">
        <f t="shared" si="47"/>
        <v/>
      </c>
      <c r="N861" s="95" t="str">
        <f t="shared" si="48"/>
        <v/>
      </c>
    </row>
    <row r="862" spans="13:14" x14ac:dyDescent="0.25">
      <c r="M862" s="95" t="str">
        <f t="shared" si="47"/>
        <v/>
      </c>
      <c r="N862" s="95" t="str">
        <f t="shared" si="48"/>
        <v/>
      </c>
    </row>
    <row r="863" spans="13:14" x14ac:dyDescent="0.25">
      <c r="M863" s="95" t="str">
        <f t="shared" si="47"/>
        <v/>
      </c>
      <c r="N863" s="95" t="str">
        <f t="shared" si="48"/>
        <v/>
      </c>
    </row>
    <row r="864" spans="13:14" x14ac:dyDescent="0.25">
      <c r="M864" s="95" t="str">
        <f t="shared" si="47"/>
        <v/>
      </c>
      <c r="N864" s="95" t="str">
        <f t="shared" si="48"/>
        <v/>
      </c>
    </row>
    <row r="865" spans="13:14" x14ac:dyDescent="0.25">
      <c r="M865" s="95" t="str">
        <f t="shared" si="47"/>
        <v/>
      </c>
      <c r="N865" s="95" t="str">
        <f t="shared" si="48"/>
        <v/>
      </c>
    </row>
    <row r="866" spans="13:14" x14ac:dyDescent="0.25">
      <c r="M866" s="95" t="str">
        <f t="shared" si="47"/>
        <v/>
      </c>
      <c r="N866" s="95" t="str">
        <f t="shared" si="48"/>
        <v/>
      </c>
    </row>
    <row r="867" spans="13:14" x14ac:dyDescent="0.25">
      <c r="M867" s="95" t="str">
        <f t="shared" si="47"/>
        <v/>
      </c>
      <c r="N867" s="95" t="str">
        <f t="shared" si="48"/>
        <v/>
      </c>
    </row>
    <row r="868" spans="13:14" x14ac:dyDescent="0.25">
      <c r="M868" s="95" t="str">
        <f t="shared" si="47"/>
        <v/>
      </c>
      <c r="N868" s="95" t="str">
        <f t="shared" si="48"/>
        <v/>
      </c>
    </row>
    <row r="869" spans="13:14" x14ac:dyDescent="0.25">
      <c r="M869" s="95" t="str">
        <f t="shared" si="47"/>
        <v/>
      </c>
      <c r="N869" s="95" t="str">
        <f t="shared" si="48"/>
        <v/>
      </c>
    </row>
    <row r="870" spans="13:14" x14ac:dyDescent="0.25">
      <c r="M870" s="95" t="str">
        <f t="shared" si="47"/>
        <v/>
      </c>
      <c r="N870" s="95" t="str">
        <f t="shared" si="48"/>
        <v/>
      </c>
    </row>
    <row r="871" spans="13:14" x14ac:dyDescent="0.25">
      <c r="M871" s="95" t="str">
        <f t="shared" si="47"/>
        <v/>
      </c>
      <c r="N871" s="95" t="str">
        <f t="shared" si="48"/>
        <v/>
      </c>
    </row>
    <row r="872" spans="13:14" x14ac:dyDescent="0.25">
      <c r="M872" s="95" t="str">
        <f t="shared" si="47"/>
        <v/>
      </c>
      <c r="N872" s="95" t="str">
        <f t="shared" si="48"/>
        <v/>
      </c>
    </row>
    <row r="873" spans="13:14" x14ac:dyDescent="0.25">
      <c r="M873" s="95" t="str">
        <f t="shared" si="47"/>
        <v/>
      </c>
      <c r="N873" s="95" t="str">
        <f t="shared" si="48"/>
        <v/>
      </c>
    </row>
    <row r="874" spans="13:14" x14ac:dyDescent="0.25">
      <c r="M874" s="95" t="str">
        <f t="shared" si="47"/>
        <v/>
      </c>
      <c r="N874" s="95" t="str">
        <f t="shared" si="48"/>
        <v/>
      </c>
    </row>
    <row r="875" spans="13:14" x14ac:dyDescent="0.25">
      <c r="M875" s="95" t="str">
        <f t="shared" si="47"/>
        <v/>
      </c>
      <c r="N875" s="95" t="str">
        <f t="shared" si="48"/>
        <v/>
      </c>
    </row>
    <row r="876" spans="13:14" x14ac:dyDescent="0.25">
      <c r="M876" s="95" t="str">
        <f t="shared" si="47"/>
        <v/>
      </c>
      <c r="N876" s="95" t="str">
        <f t="shared" si="48"/>
        <v/>
      </c>
    </row>
    <row r="877" spans="13:14" x14ac:dyDescent="0.25">
      <c r="M877" s="95" t="str">
        <f t="shared" si="47"/>
        <v/>
      </c>
      <c r="N877" s="95" t="str">
        <f t="shared" si="48"/>
        <v/>
      </c>
    </row>
    <row r="878" spans="13:14" x14ac:dyDescent="0.25">
      <c r="M878" s="95" t="str">
        <f t="shared" si="47"/>
        <v/>
      </c>
      <c r="N878" s="95" t="str">
        <f t="shared" si="48"/>
        <v/>
      </c>
    </row>
    <row r="879" spans="13:14" x14ac:dyDescent="0.25">
      <c r="M879" s="95" t="str">
        <f t="shared" si="47"/>
        <v/>
      </c>
      <c r="N879" s="95" t="str">
        <f t="shared" si="48"/>
        <v/>
      </c>
    </row>
    <row r="880" spans="13:14" x14ac:dyDescent="0.25">
      <c r="M880" s="95" t="str">
        <f t="shared" si="47"/>
        <v/>
      </c>
      <c r="N880" s="95" t="str">
        <f t="shared" si="48"/>
        <v/>
      </c>
    </row>
    <row r="881" spans="13:14" x14ac:dyDescent="0.25">
      <c r="M881" s="95" t="str">
        <f t="shared" si="47"/>
        <v/>
      </c>
      <c r="N881" s="95" t="str">
        <f t="shared" si="48"/>
        <v/>
      </c>
    </row>
    <row r="882" spans="13:14" x14ac:dyDescent="0.25">
      <c r="M882" s="95" t="str">
        <f t="shared" si="47"/>
        <v/>
      </c>
      <c r="N882" s="95" t="str">
        <f t="shared" si="48"/>
        <v/>
      </c>
    </row>
    <row r="883" spans="13:14" x14ac:dyDescent="0.25">
      <c r="M883" s="95" t="str">
        <f t="shared" si="47"/>
        <v/>
      </c>
      <c r="N883" s="95" t="str">
        <f t="shared" si="48"/>
        <v/>
      </c>
    </row>
    <row r="884" spans="13:14" x14ac:dyDescent="0.25">
      <c r="M884" s="95" t="str">
        <f t="shared" si="47"/>
        <v/>
      </c>
      <c r="N884" s="95" t="str">
        <f t="shared" si="48"/>
        <v/>
      </c>
    </row>
    <row r="885" spans="13:14" x14ac:dyDescent="0.25">
      <c r="M885" s="95" t="str">
        <f t="shared" si="47"/>
        <v/>
      </c>
      <c r="N885" s="95" t="str">
        <f t="shared" si="48"/>
        <v/>
      </c>
    </row>
    <row r="886" spans="13:14" x14ac:dyDescent="0.25">
      <c r="M886" s="95" t="str">
        <f t="shared" si="47"/>
        <v/>
      </c>
      <c r="N886" s="95" t="str">
        <f t="shared" si="48"/>
        <v/>
      </c>
    </row>
    <row r="887" spans="13:14" x14ac:dyDescent="0.25">
      <c r="M887" s="95" t="str">
        <f t="shared" si="47"/>
        <v/>
      </c>
      <c r="N887" s="95" t="str">
        <f t="shared" si="48"/>
        <v/>
      </c>
    </row>
    <row r="888" spans="13:14" x14ac:dyDescent="0.25">
      <c r="M888" s="95" t="str">
        <f t="shared" si="47"/>
        <v/>
      </c>
      <c r="N888" s="95" t="str">
        <f t="shared" si="48"/>
        <v/>
      </c>
    </row>
    <row r="889" spans="13:14" x14ac:dyDescent="0.25">
      <c r="M889" s="95" t="str">
        <f t="shared" si="47"/>
        <v/>
      </c>
      <c r="N889" s="95" t="str">
        <f t="shared" si="48"/>
        <v/>
      </c>
    </row>
    <row r="890" spans="13:14" x14ac:dyDescent="0.25">
      <c r="M890" s="95" t="str">
        <f t="shared" si="47"/>
        <v/>
      </c>
      <c r="N890" s="95" t="str">
        <f t="shared" si="48"/>
        <v/>
      </c>
    </row>
    <row r="891" spans="13:14" x14ac:dyDescent="0.25">
      <c r="M891" s="95" t="str">
        <f t="shared" si="47"/>
        <v/>
      </c>
      <c r="N891" s="95" t="str">
        <f t="shared" si="48"/>
        <v/>
      </c>
    </row>
  </sheetData>
  <conditionalFormatting sqref="C15:D136">
    <cfRule type="cellIs" dxfId="21" priority="1" operator="lessThan">
      <formula>0</formula>
    </cfRule>
  </conditionalFormatting>
  <conditionalFormatting sqref="G15:G136">
    <cfRule type="cellIs" dxfId="20" priority="2" operator="lessThan">
      <formula>0</formula>
    </cfRule>
  </conditionalFormatting>
  <conditionalFormatting sqref="H12:H1048576">
    <cfRule type="cellIs" dxfId="19" priority="3" operator="lessThan">
      <formula>0</formula>
    </cfRule>
  </conditionalFormatting>
  <conditionalFormatting sqref="I1 I9:I11">
    <cfRule type="cellIs" dxfId="18" priority="4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93A2-F62E-4EC6-8F5D-091418652327}">
  <dimension ref="A1:Q891"/>
  <sheetViews>
    <sheetView zoomScaleNormal="100" workbookViewId="0">
      <selection activeCell="I5" sqref="I5"/>
    </sheetView>
  </sheetViews>
  <sheetFormatPr defaultColWidth="9.140625" defaultRowHeight="15" x14ac:dyDescent="0.25"/>
  <cols>
    <col min="1" max="1" width="16.5703125" style="95" bestFit="1" customWidth="1"/>
    <col min="2" max="2" width="21.5703125" style="3" customWidth="1"/>
    <col min="3" max="3" width="19.28515625" style="40" bestFit="1" customWidth="1"/>
    <col min="4" max="4" width="9.5703125" style="3" bestFit="1" customWidth="1"/>
    <col min="5" max="5" width="11.28515625" style="3" customWidth="1"/>
    <col min="6" max="6" width="11.5703125" style="3" bestFit="1" customWidth="1"/>
    <col min="7" max="7" width="9.5703125" style="3" bestFit="1" customWidth="1"/>
    <col min="8" max="8" width="12.28515625" style="56" bestFit="1" customWidth="1"/>
    <col min="9" max="9" width="12" style="56" bestFit="1" customWidth="1"/>
    <col min="10" max="11" width="17.140625" style="3" bestFit="1" customWidth="1"/>
    <col min="12" max="12" width="8.7109375" style="3" bestFit="1" customWidth="1"/>
    <col min="13" max="15" width="17.140625" style="95" bestFit="1" customWidth="1"/>
    <col min="16" max="16" width="10.42578125" style="95" bestFit="1" customWidth="1"/>
    <col min="17" max="17" width="16.5703125" style="95" bestFit="1" customWidth="1"/>
    <col min="18" max="18" width="10.7109375" style="3" bestFit="1" customWidth="1"/>
    <col min="19" max="16384" width="9.140625" style="3"/>
  </cols>
  <sheetData>
    <row r="1" spans="1:17" ht="15.75" thickBot="1" x14ac:dyDescent="0.3">
      <c r="A1" s="1"/>
      <c r="B1" s="1"/>
      <c r="C1" s="1"/>
      <c r="D1" s="25"/>
      <c r="E1" s="1"/>
      <c r="F1" s="1"/>
      <c r="G1" s="1"/>
      <c r="H1" s="1"/>
      <c r="I1" s="1"/>
      <c r="J1" s="37"/>
      <c r="O1" s="95" cm="1">
        <f t="array" aca="1" ref="O1" ca="1">LOOKUP(2,1/(O:O&lt;&gt;""),O:O)</f>
        <v>46191.625</v>
      </c>
      <c r="P1" s="95" t="s">
        <v>100</v>
      </c>
      <c r="Q1" s="37">
        <v>48001</v>
      </c>
    </row>
    <row r="2" spans="1:17" ht="15.75" thickBot="1" x14ac:dyDescent="0.3">
      <c r="A2" s="13"/>
      <c r="B2" s="22" t="s">
        <v>1</v>
      </c>
      <c r="C2" s="23" t="s">
        <v>0</v>
      </c>
      <c r="D2" s="25"/>
      <c r="E2" s="72"/>
      <c r="F2" s="73"/>
      <c r="H2" s="3"/>
      <c r="J2" s="22" t="s">
        <v>1</v>
      </c>
      <c r="K2" s="23" t="s">
        <v>0</v>
      </c>
      <c r="O2" s="95" cm="1">
        <f t="array" aca="1" ref="O2:O12" ca="1">_xlfn._xlws.SORT(_xlfn.UNIQUE(_xlfn._xlws.FILTER(N:N, ISNUMBER(N:N))))</f>
        <v>46177.625</v>
      </c>
      <c r="P2" s="3" t="s">
        <v>55</v>
      </c>
      <c r="Q2" s="37">
        <f>K3</f>
        <v>46143.625</v>
      </c>
    </row>
    <row r="3" spans="1:17" x14ac:dyDescent="0.25">
      <c r="A3" s="13" t="s">
        <v>19</v>
      </c>
      <c r="B3" s="14" t="s">
        <v>80</v>
      </c>
      <c r="C3" s="5" t="s">
        <v>115</v>
      </c>
      <c r="H3" s="3"/>
      <c r="I3" s="3"/>
      <c r="J3" s="71" cm="1">
        <f t="array" aca="1" ref="J3:J37" ca="1">_xll.avmDates(Q2,Q3,"EUR")</f>
        <v>46192.625</v>
      </c>
      <c r="K3" s="71" cm="1">
        <f t="array" ref="K3:L36">_xll.BDH(C4, "LAST_PRICE", "05/01/2026 15:00:00", "01/01/2035 17:00:00", "BarSize=120", "BarType=T", "RecurDaily=True", "TZ=London")</f>
        <v>46143.625</v>
      </c>
      <c r="L3" s="3">
        <v>98.929000000000002</v>
      </c>
      <c r="M3" s="95" t="str">
        <f t="shared" ref="M3:M66" ca="1" si="0">IF(COUNTIF(K:K,J3),J3,"")</f>
        <v/>
      </c>
      <c r="N3" s="95" t="str">
        <f ca="1">IF(M3&gt;$A$14,M3,"")</f>
        <v/>
      </c>
      <c r="O3" s="95">
        <f ca="1"/>
        <v>46178.625</v>
      </c>
      <c r="P3" s="3" t="s">
        <v>56</v>
      </c>
      <c r="Q3" s="37">
        <f ca="1">INT(TODAY()+1) + TIME(15,0,0)</f>
        <v>46192.625</v>
      </c>
    </row>
    <row r="4" spans="1:17" ht="30" customHeight="1" x14ac:dyDescent="0.25">
      <c r="A4" s="14" t="s">
        <v>20</v>
      </c>
      <c r="B4" s="16" t="s">
        <v>113</v>
      </c>
      <c r="C4" s="106" t="s">
        <v>116</v>
      </c>
      <c r="H4" s="3"/>
      <c r="I4" s="3"/>
      <c r="J4" s="71">
        <f ca="1"/>
        <v>46191.625</v>
      </c>
      <c r="K4" s="71">
        <v>46146.625</v>
      </c>
      <c r="L4" s="3">
        <v>98.593999999999994</v>
      </c>
      <c r="M4" s="95">
        <f t="shared" ca="1" si="0"/>
        <v>46191.625</v>
      </c>
      <c r="N4" s="95">
        <f t="shared" ref="N4:N67" ca="1" si="1">IF(M4&gt;$A$14,M4,"")</f>
        <v>46191.625</v>
      </c>
      <c r="O4" s="95">
        <f ca="1"/>
        <v>46181.625</v>
      </c>
      <c r="P4" s="3" t="s">
        <v>57</v>
      </c>
      <c r="Q4" s="3" t="s">
        <v>112</v>
      </c>
    </row>
    <row r="5" spans="1:17" x14ac:dyDescent="0.25">
      <c r="A5" s="14" t="s">
        <v>2</v>
      </c>
      <c r="B5" s="17">
        <f>55*10^6</f>
        <v>55000000</v>
      </c>
      <c r="C5" s="8">
        <f>30*10^6</f>
        <v>30000000</v>
      </c>
      <c r="H5" s="3"/>
      <c r="I5" s="3"/>
      <c r="J5" s="71">
        <f ca="1"/>
        <v>46190.625</v>
      </c>
      <c r="K5" s="71">
        <v>46147.625</v>
      </c>
      <c r="L5" s="3">
        <v>98.816000000000003</v>
      </c>
      <c r="M5" s="95">
        <f t="shared" ca="1" si="0"/>
        <v>46190.625</v>
      </c>
      <c r="N5" s="95">
        <f t="shared" ca="1" si="1"/>
        <v>46190.625</v>
      </c>
      <c r="O5" s="95">
        <f ca="1"/>
        <v>46182.625</v>
      </c>
      <c r="P5" s="3" t="s">
        <v>58</v>
      </c>
      <c r="Q5" s="3" t="s">
        <v>98</v>
      </c>
    </row>
    <row r="6" spans="1:17" x14ac:dyDescent="0.25">
      <c r="A6" s="14" t="s">
        <v>3</v>
      </c>
      <c r="B6" s="18">
        <v>0.01</v>
      </c>
      <c r="C6" s="10">
        <v>4.675E-2</v>
      </c>
      <c r="H6" s="3"/>
      <c r="I6" s="3"/>
      <c r="J6" s="71">
        <f ca="1"/>
        <v>46189.625</v>
      </c>
      <c r="K6" s="71">
        <v>46148.625</v>
      </c>
      <c r="L6" s="3">
        <v>99.09</v>
      </c>
      <c r="M6" s="95">
        <f t="shared" ca="1" si="0"/>
        <v>46189.625</v>
      </c>
      <c r="N6" s="95">
        <f t="shared" ca="1" si="1"/>
        <v>46189.625</v>
      </c>
      <c r="O6" s="95">
        <f ca="1"/>
        <v>46183.625</v>
      </c>
      <c r="P6" s="3" t="s">
        <v>59</v>
      </c>
      <c r="Q6" s="3" t="s">
        <v>60</v>
      </c>
    </row>
    <row r="7" spans="1:17" x14ac:dyDescent="0.25">
      <c r="A7" s="14" t="s">
        <v>4</v>
      </c>
      <c r="B7" s="18">
        <v>0</v>
      </c>
      <c r="C7" s="10">
        <v>3.6499999999999998E-2</v>
      </c>
      <c r="H7" s="3"/>
      <c r="I7" s="3"/>
      <c r="J7" s="71">
        <f ca="1"/>
        <v>46188.625</v>
      </c>
      <c r="K7" s="71">
        <v>46149.625</v>
      </c>
      <c r="L7" s="3">
        <v>99.018000000000001</v>
      </c>
      <c r="M7" s="95">
        <f t="shared" ca="1" si="0"/>
        <v>46188.625</v>
      </c>
      <c r="N7" s="95">
        <f t="shared" ca="1" si="1"/>
        <v>46188.625</v>
      </c>
      <c r="O7" s="95">
        <f ca="1"/>
        <v>46184.625</v>
      </c>
      <c r="P7" s="3" t="s">
        <v>61</v>
      </c>
      <c r="Q7" s="3" t="s">
        <v>99</v>
      </c>
    </row>
    <row r="8" spans="1:17" x14ac:dyDescent="0.25">
      <c r="A8" s="14" t="s">
        <v>5</v>
      </c>
      <c r="B8" s="14">
        <v>4.8899999999999997</v>
      </c>
      <c r="C8" s="5"/>
      <c r="H8" s="3"/>
      <c r="I8" s="3"/>
      <c r="J8" s="71">
        <f ca="1"/>
        <v>46185.625</v>
      </c>
      <c r="K8" s="71">
        <v>46150.625</v>
      </c>
      <c r="L8" s="3">
        <v>99.013999999999996</v>
      </c>
      <c r="M8" s="95">
        <f t="shared" ca="1" si="0"/>
        <v>46185.625</v>
      </c>
      <c r="N8" s="95">
        <f t="shared" ca="1" si="1"/>
        <v>46185.625</v>
      </c>
      <c r="O8" s="95">
        <f ca="1"/>
        <v>46185.625</v>
      </c>
    </row>
    <row r="9" spans="1:17" x14ac:dyDescent="0.25">
      <c r="A9" s="14" t="s">
        <v>6</v>
      </c>
      <c r="B9" s="14">
        <v>1.1599999999999999</v>
      </c>
      <c r="C9" s="5"/>
      <c r="D9" s="25"/>
      <c r="E9" s="1"/>
      <c r="F9" s="1"/>
      <c r="G9" s="1"/>
      <c r="H9" s="1"/>
      <c r="I9" s="1"/>
      <c r="J9" s="71">
        <f ca="1"/>
        <v>46184.625</v>
      </c>
      <c r="K9" s="71">
        <v>46153.625</v>
      </c>
      <c r="L9" s="3">
        <v>98.932000000000002</v>
      </c>
      <c r="M9" s="95">
        <f t="shared" ca="1" si="0"/>
        <v>46184.625</v>
      </c>
      <c r="N9" s="95">
        <f t="shared" ca="1" si="1"/>
        <v>46184.625</v>
      </c>
      <c r="O9" s="95">
        <f ca="1"/>
        <v>46188.625</v>
      </c>
    </row>
    <row r="10" spans="1:17" ht="15.75" thickBot="1" x14ac:dyDescent="0.3">
      <c r="A10" s="15" t="s">
        <v>15</v>
      </c>
      <c r="B10" s="19" cm="1">
        <f t="array" ref="B10">_xll.BDP(B4,"PX_LAST")</f>
        <v>37.998449999999998</v>
      </c>
      <c r="C10" s="12" cm="1">
        <f t="array" ref="C10">_xll.BDP(C4,"PX_LAST")</f>
        <v>98.59</v>
      </c>
      <c r="D10" s="25"/>
      <c r="E10" s="1"/>
      <c r="F10" s="1"/>
      <c r="G10" s="1"/>
      <c r="H10" s="1"/>
      <c r="I10" s="1"/>
      <c r="J10" s="71">
        <f ca="1"/>
        <v>46183.625</v>
      </c>
      <c r="K10" s="71">
        <v>46154.625</v>
      </c>
      <c r="L10" s="3">
        <v>98.61</v>
      </c>
      <c r="M10" s="95">
        <f t="shared" ca="1" si="0"/>
        <v>46183.625</v>
      </c>
      <c r="N10" s="95">
        <f t="shared" ca="1" si="1"/>
        <v>46183.625</v>
      </c>
      <c r="O10" s="95">
        <f ca="1"/>
        <v>46189.625</v>
      </c>
    </row>
    <row r="11" spans="1:17" ht="15.75" thickBot="1" x14ac:dyDescent="0.3">
      <c r="A11" s="1"/>
      <c r="B11" s="1"/>
      <c r="C11" s="1"/>
      <c r="D11" s="25"/>
      <c r="E11" s="1"/>
      <c r="F11" s="1"/>
      <c r="G11" s="1"/>
      <c r="H11" s="1"/>
      <c r="I11" s="1"/>
      <c r="J11" s="71">
        <f ca="1"/>
        <v>46182.625</v>
      </c>
      <c r="K11" s="71">
        <v>46155.625</v>
      </c>
      <c r="L11" s="3">
        <v>98.563999999999993</v>
      </c>
      <c r="M11" s="95">
        <f t="shared" ca="1" si="0"/>
        <v>46182.625</v>
      </c>
      <c r="N11" s="95">
        <f t="shared" ca="1" si="1"/>
        <v>46182.625</v>
      </c>
      <c r="O11" s="95">
        <f ca="1"/>
        <v>46190.625</v>
      </c>
    </row>
    <row r="12" spans="1:17" ht="15.75" thickBot="1" x14ac:dyDescent="0.3">
      <c r="A12" s="27" t="s">
        <v>12</v>
      </c>
      <c r="B12" s="22" t="s">
        <v>1</v>
      </c>
      <c r="C12" s="93"/>
      <c r="D12" s="94"/>
      <c r="E12" s="23" t="s">
        <v>0</v>
      </c>
      <c r="F12" s="91"/>
      <c r="G12" s="92"/>
      <c r="H12" s="27" t="s">
        <v>7</v>
      </c>
      <c r="J12" s="71">
        <f ca="1"/>
        <v>46181.625</v>
      </c>
      <c r="K12" s="71">
        <v>46156.625</v>
      </c>
      <c r="L12" s="3">
        <v>98.79</v>
      </c>
      <c r="M12" s="95">
        <f t="shared" ca="1" si="0"/>
        <v>46181.625</v>
      </c>
      <c r="N12" s="95">
        <f t="shared" ca="1" si="1"/>
        <v>46181.625</v>
      </c>
      <c r="O12" s="95">
        <f ca="1"/>
        <v>46191.625</v>
      </c>
    </row>
    <row r="13" spans="1:17" ht="15.75" thickBot="1" x14ac:dyDescent="0.3">
      <c r="A13" s="15"/>
      <c r="B13" s="11" t="s">
        <v>14</v>
      </c>
      <c r="C13" s="36" t="s">
        <v>9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J13" s="71">
        <f ca="1"/>
        <v>46178.625</v>
      </c>
      <c r="K13" s="71">
        <v>46157.625</v>
      </c>
      <c r="L13" s="3">
        <v>98.176000000000002</v>
      </c>
      <c r="M13" s="95">
        <f t="shared" ca="1" si="0"/>
        <v>46178.625</v>
      </c>
      <c r="N13" s="95">
        <f t="shared" ca="1" si="1"/>
        <v>46178.625</v>
      </c>
    </row>
    <row r="14" spans="1:17" x14ac:dyDescent="0.25">
      <c r="A14" s="98">
        <v>46176.625</v>
      </c>
      <c r="B14" s="4">
        <v>41</v>
      </c>
      <c r="C14" s="25"/>
      <c r="D14" s="5"/>
      <c r="E14" s="33" cm="1">
        <f t="array" ref="E14">_xll.BDP(C4,"YAS_BOND_PX","YAS_ISPREAD_TO_GOVT=82","SETTLE_DT=20260603")</f>
        <v>98.709351278732086</v>
      </c>
      <c r="F14" s="1"/>
      <c r="G14" s="5"/>
      <c r="H14" s="54">
        <v>0</v>
      </c>
      <c r="J14" s="71">
        <f ca="1"/>
        <v>46177.625</v>
      </c>
      <c r="K14" s="71">
        <v>46160.625</v>
      </c>
      <c r="L14" s="3">
        <v>98.183999999999997</v>
      </c>
      <c r="M14" s="95">
        <f t="shared" ca="1" si="0"/>
        <v>46177.625</v>
      </c>
      <c r="N14" s="95">
        <f t="shared" ca="1" si="1"/>
        <v>46177.625</v>
      </c>
    </row>
    <row r="15" spans="1:17" x14ac:dyDescent="0.25">
      <c r="A15" s="98">
        <f ca="1">IF(AND(ISBLANK(O2), A14 = $O$1),NOW(),IF(ISBLANK(O2),"",O2))</f>
        <v>46177.625</v>
      </c>
      <c r="B15" s="33" cm="1">
        <f t="array" aca="1" ref="B15" ca="1">IF(COUNTIF(J:J,A15)=1,_xll.avmCdsSpreadForDate($Q$4,$Q$5,$Q$7,$Q$6,A15,$Q$1), IF(COUNTIF(J:J,A15)=0,$B$10,""))</f>
        <v>40.710693150684932</v>
      </c>
      <c r="C15" s="77">
        <f ca="1">IF(ISERROR(B15-2),"",-1*(B15-$B$14)*10^-4*$B$8*$B$5)</f>
        <v>7780.9077123287507</v>
      </c>
      <c r="D15" s="107">
        <f ca="1">IF(ISERROR(B15-2),"",(INT(A15)-INT($A$14))/360*$B$6*$B$5)</f>
        <v>1527.7777777777778</v>
      </c>
      <c r="E15" s="33">
        <f ca="1">IF(COUNTIF($K$2:K1000,A15)=1,VLOOKUP(A15,K:L,2), IF(COUNTIF($K$2:K1000,A15)=0,$C$10,""))</f>
        <v>98.572000000000003</v>
      </c>
      <c r="F15" s="77">
        <f ca="1">IF(ISERROR(B15-2),"",(E15-$E$14)/100*$C$5)</f>
        <v>-41205.383619625019</v>
      </c>
      <c r="G15" s="107">
        <f ca="1">IF(ISERROR(B15-2),"",(INT(A15)-INT($A$14))/360*$C$6*$C$5-(INT(A15)-INT($A$14))/360*$C$7*$C$5*$E$14/100)</f>
        <v>893.42389860523281</v>
      </c>
      <c r="H15" s="55">
        <f t="shared" ref="H15:H46" ca="1" si="2">IF(ISERROR(B15-2),"",$B$9*(-1*(C15+D15))+F15+G15)</f>
        <v>-51110.034889543364</v>
      </c>
      <c r="J15" s="71">
        <f ca="1"/>
        <v>46176.625</v>
      </c>
      <c r="K15" s="71">
        <v>46161.625</v>
      </c>
      <c r="L15" s="3">
        <v>97.825999999999993</v>
      </c>
      <c r="M15" s="95">
        <f t="shared" ca="1" si="0"/>
        <v>46176.625</v>
      </c>
      <c r="N15" s="95" t="str">
        <f t="shared" ca="1" si="1"/>
        <v/>
      </c>
    </row>
    <row r="16" spans="1:17" x14ac:dyDescent="0.25">
      <c r="A16" s="98">
        <f t="shared" ref="A16:A79" ca="1" si="3">IF(AND(ISBLANK(O3), A15 = $O$1),NOW(),IF(ISBLANK(O3),"",O3))</f>
        <v>46178.625</v>
      </c>
      <c r="B16" s="33" cm="1">
        <f t="array" aca="1" ref="B16" ca="1">IF(COUNTIF(J:J,A16)=1,_xll.avmCdsSpreadForDate($Q$4,$Q$5,$Q$7,$Q$6,A16,$Q$1), IF(COUNTIF(J:J,A16)=0,$B$10,""))</f>
        <v>40.725619178082191</v>
      </c>
      <c r="C16" s="77">
        <f t="shared" ref="C16:C79" ca="1" si="4">IF(ISERROR(B16-2),"",-1*(B16-$B$14)*10^-4*$B$8*$B$5)</f>
        <v>7379.4722054794784</v>
      </c>
      <c r="D16" s="107">
        <f t="shared" ref="D16:D79" ca="1" si="5">IF(ISERROR(B16-2),"",(INT(A16)-INT($A$14))/360*$B$6*$B$5)</f>
        <v>3055.5555555555557</v>
      </c>
      <c r="E16" s="33">
        <f ca="1">IF(COUNTIF($K$2:K1001,A16)=1,VLOOKUP(A16,K:L,2), IF(COUNTIF($K$2:K1001,A16)=0,$C$10,""))</f>
        <v>98.168999999999997</v>
      </c>
      <c r="F16" s="77">
        <f t="shared" ref="F16:F79" ca="1" si="6">IF(ISERROR(B16-2),"",(E16-$E$14)/100*$C$5)</f>
        <v>-162105.38361962675</v>
      </c>
      <c r="G16" s="107">
        <f t="shared" ref="G16:G79" ca="1" si="7">IF(ISERROR(B16-2),"",(INT(A16)-INT($A$14))/360*$C$6*$C$5-(INT(A16)-INT($A$14))/360*$C$7*$C$5*$E$14/100)</f>
        <v>1786.8477972104656</v>
      </c>
      <c r="H16" s="55">
        <f t="shared" ca="1" si="2"/>
        <v>-172423.16802521693</v>
      </c>
      <c r="J16" s="71">
        <f ca="1"/>
        <v>46175.625</v>
      </c>
      <c r="K16" s="71">
        <v>46162.625</v>
      </c>
      <c r="L16" s="3">
        <v>98.236999999999995</v>
      </c>
      <c r="M16" s="95">
        <f t="shared" ca="1" si="0"/>
        <v>46175.625</v>
      </c>
      <c r="N16" s="95" t="str">
        <f t="shared" ca="1" si="1"/>
        <v/>
      </c>
    </row>
    <row r="17" spans="1:14" x14ac:dyDescent="0.25">
      <c r="A17" s="98">
        <f t="shared" ca="1" si="3"/>
        <v>46181.625</v>
      </c>
      <c r="B17" s="33" cm="1">
        <f t="array" aca="1" ref="B17" ca="1">IF(COUNTIF(J:J,A17)=1,_xll.avmCdsSpreadForDate($Q$4,$Q$5,$Q$7,$Q$6,A17,$Q$1), IF(COUNTIF(J:J,A17)=0,$B$10,""))</f>
        <v>41.377221917808214</v>
      </c>
      <c r="C17" s="77">
        <f t="shared" ca="1" si="4"/>
        <v>-10145.383479451912</v>
      </c>
      <c r="D17" s="107">
        <f t="shared" ca="1" si="5"/>
        <v>7638.8888888888887</v>
      </c>
      <c r="E17" s="33">
        <f ca="1">IF(COUNTIF($K$2:K1002,A17)=1,VLOOKUP(A17,K:L,2), IF(COUNTIF($K$2:K1002,A17)=0,$C$10,""))</f>
        <v>98.100999999999999</v>
      </c>
      <c r="F17" s="77">
        <f t="shared" ca="1" si="6"/>
        <v>-182505.38361962614</v>
      </c>
      <c r="G17" s="107">
        <f t="shared" ca="1" si="7"/>
        <v>4467.119493026159</v>
      </c>
      <c r="H17" s="55">
        <f t="shared" ca="1" si="2"/>
        <v>-175130.73040154687</v>
      </c>
      <c r="J17" s="71">
        <f ca="1"/>
        <v>46174.625</v>
      </c>
      <c r="K17" s="71">
        <v>46163.625</v>
      </c>
      <c r="L17" s="3">
        <v>98.064999999999998</v>
      </c>
      <c r="M17" s="95">
        <f t="shared" ca="1" si="0"/>
        <v>46174.625</v>
      </c>
      <c r="N17" s="95" t="str">
        <f t="shared" ca="1" si="1"/>
        <v/>
      </c>
    </row>
    <row r="18" spans="1:14" x14ac:dyDescent="0.25">
      <c r="A18" s="98">
        <f t="shared" ca="1" si="3"/>
        <v>46182.625</v>
      </c>
      <c r="B18" s="33" cm="1">
        <f t="array" aca="1" ref="B18" ca="1">IF(COUNTIF(J:J,A18)=1,_xll.avmCdsSpreadForDate($Q$4,$Q$5,$Q$7,$Q$6,A18,$Q$1), IF(COUNTIF(J:J,A18)=0,$B$10,""))</f>
        <v>41.223246575342465</v>
      </c>
      <c r="C18" s="77">
        <f t="shared" ca="1" si="4"/>
        <v>-6004.2166438355916</v>
      </c>
      <c r="D18" s="107">
        <f t="shared" ca="1" si="5"/>
        <v>9166.6666666666661</v>
      </c>
      <c r="E18" s="33">
        <f ca="1">IF(COUNTIF($K$2:K1003,A18)=1,VLOOKUP(A18,K:L,2), IF(COUNTIF($K$2:K1003,A18)=0,$C$10,""))</f>
        <v>98.245999999999995</v>
      </c>
      <c r="F18" s="77">
        <f t="shared" ca="1" si="6"/>
        <v>-139005.3836196273</v>
      </c>
      <c r="G18" s="107">
        <f t="shared" ca="1" si="7"/>
        <v>5360.5433916313959</v>
      </c>
      <c r="H18" s="55">
        <f t="shared" ca="1" si="2"/>
        <v>-137313.28225447997</v>
      </c>
      <c r="J18" s="71">
        <f ca="1"/>
        <v>46171.625</v>
      </c>
      <c r="K18" s="71">
        <v>46164.625</v>
      </c>
      <c r="L18" s="3">
        <v>98.168000000000006</v>
      </c>
      <c r="M18" s="95">
        <f t="shared" ca="1" si="0"/>
        <v>46171.625</v>
      </c>
      <c r="N18" s="95" t="str">
        <f t="shared" ca="1" si="1"/>
        <v/>
      </c>
    </row>
    <row r="19" spans="1:14" x14ac:dyDescent="0.25">
      <c r="A19" s="98">
        <f t="shared" ca="1" si="3"/>
        <v>46183.625</v>
      </c>
      <c r="B19" s="33" cm="1">
        <f t="array" aca="1" ref="B19" ca="1">IF(COUNTIF(J:J,A19)=1,_xll.avmCdsSpreadForDate($Q$4,$Q$5,$Q$7,$Q$6,A19,$Q$1), IF(COUNTIF(J:J,A19)=0,$B$10,""))</f>
        <v>41.716758904109582</v>
      </c>
      <c r="C19" s="77">
        <f t="shared" ca="1" si="4"/>
        <v>-19277.230726027217</v>
      </c>
      <c r="D19" s="107">
        <f t="shared" ca="1" si="5"/>
        <v>10694.444444444445</v>
      </c>
      <c r="E19" s="33">
        <f ca="1">IF(COUNTIF($K$2:K1004,A19)=1,VLOOKUP(A19,K:L,2), IF(COUNTIF($K$2:K1004,A19)=0,$C$10,""))</f>
        <v>98.271000000000001</v>
      </c>
      <c r="F19" s="77">
        <f t="shared" ca="1" si="6"/>
        <v>-131505.38361962562</v>
      </c>
      <c r="G19" s="107">
        <f t="shared" ca="1" si="7"/>
        <v>6253.9672902366292</v>
      </c>
      <c r="H19" s="55">
        <f t="shared" ca="1" si="2"/>
        <v>-115295.38424275297</v>
      </c>
      <c r="J19" s="71">
        <f ca="1"/>
        <v>46170.625</v>
      </c>
      <c r="K19" s="71">
        <v>46168.625</v>
      </c>
      <c r="L19" s="3">
        <v>98.474000000000004</v>
      </c>
      <c r="M19" s="95">
        <f t="shared" ca="1" si="0"/>
        <v>46170.625</v>
      </c>
      <c r="N19" s="95" t="str">
        <f t="shared" ca="1" si="1"/>
        <v/>
      </c>
    </row>
    <row r="20" spans="1:14" x14ac:dyDescent="0.25">
      <c r="A20" s="98">
        <f t="shared" ca="1" si="3"/>
        <v>46184.625</v>
      </c>
      <c r="B20" s="33" cm="1">
        <f t="array" aca="1" ref="B20" ca="1">IF(COUNTIF(J:J,A20)=1,_xll.avmCdsSpreadForDate($Q$4,$Q$5,$Q$7,$Q$6,A20,$Q$1), IF(COUNTIF(J:J,A20)=0,$B$10,""))</f>
        <v>41.539342465753421</v>
      </c>
      <c r="C20" s="77">
        <f t="shared" ca="1" si="4"/>
        <v>-14505.615616438261</v>
      </c>
      <c r="D20" s="107">
        <f t="shared" ca="1" si="5"/>
        <v>12222.222222222223</v>
      </c>
      <c r="E20" s="33">
        <f ca="1">IF(COUNTIF($K$2:K1005,A20)=1,VLOOKUP(A20,K:L,2), IF(COUNTIF($K$2:K1005,A20)=0,$C$10,""))</f>
        <v>98.27</v>
      </c>
      <c r="F20" s="77">
        <f t="shared" ca="1" si="6"/>
        <v>-131805.38361962704</v>
      </c>
      <c r="G20" s="107">
        <f t="shared" ca="1" si="7"/>
        <v>7147.3911888418625</v>
      </c>
      <c r="H20" s="55">
        <f t="shared" ca="1" si="2"/>
        <v>-122009.25609349456</v>
      </c>
      <c r="J20" s="71">
        <f ca="1"/>
        <v>46169.625</v>
      </c>
      <c r="K20" s="71">
        <v>46169.625</v>
      </c>
      <c r="L20" s="3">
        <v>98.566000000000003</v>
      </c>
      <c r="M20" s="95">
        <f t="shared" ca="1" si="0"/>
        <v>46169.625</v>
      </c>
      <c r="N20" s="95" t="str">
        <f t="shared" ca="1" si="1"/>
        <v/>
      </c>
    </row>
    <row r="21" spans="1:14" x14ac:dyDescent="0.25">
      <c r="A21" s="98">
        <f t="shared" ca="1" si="3"/>
        <v>46185.625</v>
      </c>
      <c r="B21" s="33" cm="1">
        <f t="array" aca="1" ref="B21" ca="1">IF(COUNTIF(J:J,A21)=1,_xll.avmCdsSpreadForDate($Q$4,$Q$5,$Q$7,$Q$6,A21,$Q$1), IF(COUNTIF(J:J,A21)=0,$B$10,""))</f>
        <v>40.081698630136984</v>
      </c>
      <c r="C21" s="77">
        <f t="shared" ca="1" si="4"/>
        <v>24697.715342465825</v>
      </c>
      <c r="D21" s="107">
        <f t="shared" ca="1" si="5"/>
        <v>13750</v>
      </c>
      <c r="E21" s="33">
        <f ca="1">IF(COUNTIF($K$2:K1006,A21)=1,VLOOKUP(A21,K:L,2), IF(COUNTIF($K$2:K1006,A21)=0,$C$10,""))</f>
        <v>98.549000000000007</v>
      </c>
      <c r="F21" s="77">
        <f t="shared" ca="1" si="6"/>
        <v>-48105.383619623863</v>
      </c>
      <c r="G21" s="107">
        <f t="shared" ca="1" si="7"/>
        <v>8040.8150874470921</v>
      </c>
      <c r="H21" s="55">
        <f t="shared" ca="1" si="2"/>
        <v>-84663.918329437118</v>
      </c>
      <c r="J21" s="71">
        <f ca="1"/>
        <v>46168.625</v>
      </c>
      <c r="K21" s="71">
        <v>46170.625</v>
      </c>
      <c r="L21" s="3">
        <v>98.623999999999995</v>
      </c>
      <c r="M21" s="95">
        <f t="shared" ca="1" si="0"/>
        <v>46168.625</v>
      </c>
      <c r="N21" s="95" t="str">
        <f t="shared" ca="1" si="1"/>
        <v/>
      </c>
    </row>
    <row r="22" spans="1:14" x14ac:dyDescent="0.25">
      <c r="A22" s="98">
        <f t="shared" ca="1" si="3"/>
        <v>46188.625</v>
      </c>
      <c r="B22" s="33" cm="1">
        <f t="array" aca="1" ref="B22" ca="1">IF(COUNTIF(J:J,A22)=1,_xll.avmCdsSpreadForDate($Q$4,$Q$5,$Q$7,$Q$6,A22,$Q$1), IF(COUNTIF(J:J,A22)=0,$B$10,""))</f>
        <v>39.001265753424661</v>
      </c>
      <c r="C22" s="77">
        <f t="shared" ca="1" si="4"/>
        <v>53755.957561643736</v>
      </c>
      <c r="D22" s="107">
        <f t="shared" ca="1" si="5"/>
        <v>18333.333333333332</v>
      </c>
      <c r="E22" s="33">
        <f ca="1">IF(COUNTIF($K$2:K1007,A22)=1,VLOOKUP(A22,K:L,2), IF(COUNTIF($K$2:K1007,A22)=0,$C$10,""))</f>
        <v>98.73</v>
      </c>
      <c r="F22" s="77">
        <f t="shared" ca="1" si="6"/>
        <v>6194.6163803753507</v>
      </c>
      <c r="G22" s="107">
        <f t="shared" ca="1" si="7"/>
        <v>10721.086783262792</v>
      </c>
      <c r="H22" s="55">
        <f t="shared" ca="1" si="2"/>
        <v>-66707.87427453525</v>
      </c>
      <c r="J22" s="71">
        <f ca="1"/>
        <v>46167.625</v>
      </c>
      <c r="K22" s="71">
        <v>46171.625</v>
      </c>
      <c r="L22" s="3">
        <v>98.774000000000001</v>
      </c>
      <c r="M22" s="95" t="str">
        <f t="shared" ca="1" si="0"/>
        <v/>
      </c>
      <c r="N22" s="95" t="str">
        <f t="shared" ca="1" si="1"/>
        <v/>
      </c>
    </row>
    <row r="23" spans="1:14" ht="14.45" customHeight="1" x14ac:dyDescent="0.25">
      <c r="A23" s="98">
        <f t="shared" ca="1" si="3"/>
        <v>46189.625</v>
      </c>
      <c r="B23" s="33" cm="1">
        <f t="array" aca="1" ref="B23" ca="1">IF(COUNTIF(J:J,A23)=1,_xll.avmCdsSpreadForDate($Q$4,$Q$5,$Q$7,$Q$6,A23,$Q$1), IF(COUNTIF(J:J,A23)=0,$B$10,""))</f>
        <v>38.856890410958897</v>
      </c>
      <c r="C23" s="77">
        <f t="shared" ca="1" si="4"/>
        <v>57638.932397260462</v>
      </c>
      <c r="D23" s="107">
        <f t="shared" ca="1" si="5"/>
        <v>19861.111111111109</v>
      </c>
      <c r="E23" s="33">
        <f ca="1">IF(COUNTIF($K$2:K1008,A23)=1,VLOOKUP(A23,K:L,2), IF(COUNTIF($K$2:K1008,A23)=0,$C$10,""))</f>
        <v>98.81</v>
      </c>
      <c r="F23" s="77">
        <f t="shared" ca="1" si="6"/>
        <v>30194.616380374839</v>
      </c>
      <c r="G23" s="107">
        <f t="shared" ca="1" si="7"/>
        <v>11614.510681868014</v>
      </c>
      <c r="H23" s="55">
        <f t="shared" ca="1" si="2"/>
        <v>-48090.923407468166</v>
      </c>
      <c r="J23" s="71">
        <f ca="1"/>
        <v>46164.625</v>
      </c>
      <c r="K23" s="71">
        <v>46174.625</v>
      </c>
      <c r="L23" s="3">
        <v>98.436999999999998</v>
      </c>
      <c r="M23" s="95">
        <f t="shared" ca="1" si="0"/>
        <v>46164.625</v>
      </c>
      <c r="N23" s="95" t="str">
        <f t="shared" ca="1" si="1"/>
        <v/>
      </c>
    </row>
    <row r="24" spans="1:14" ht="14.45" customHeight="1" x14ac:dyDescent="0.25">
      <c r="A24" s="98">
        <f t="shared" ca="1" si="3"/>
        <v>46190.625</v>
      </c>
      <c r="B24" s="33" cm="1">
        <f t="array" aca="1" ref="B24" ca="1">IF(COUNTIF(J:J,A24)=1,_xll.avmCdsSpreadForDate($Q$4,$Q$5,$Q$7,$Q$6,A24,$Q$1), IF(COUNTIF(J:J,A24)=0,$B$10,""))</f>
        <v>39.319246575342461</v>
      </c>
      <c r="C24" s="77">
        <f t="shared" ca="1" si="4"/>
        <v>45203.863356164497</v>
      </c>
      <c r="D24" s="107">
        <f t="shared" ca="1" si="5"/>
        <v>21388.888888888891</v>
      </c>
      <c r="E24" s="33">
        <f ca="1">IF(COUNTIF($K$2:K1009,A24)=1,VLOOKUP(A24,K:L,2), IF(COUNTIF($K$2:K1009,A24)=0,$C$10,""))</f>
        <v>98.697000000000003</v>
      </c>
      <c r="F24" s="77">
        <f t="shared" ca="1" si="6"/>
        <v>-3705.3836196250245</v>
      </c>
      <c r="G24" s="107">
        <f t="shared" ca="1" si="7"/>
        <v>12507.934580473258</v>
      </c>
      <c r="H24" s="55">
        <f t="shared" ca="1" si="2"/>
        <v>-68445.041643413686</v>
      </c>
      <c r="J24" s="71">
        <f ca="1"/>
        <v>46163.625</v>
      </c>
      <c r="K24" s="71">
        <v>46175.625</v>
      </c>
      <c r="L24" s="3">
        <v>98.634</v>
      </c>
      <c r="M24" s="95">
        <f t="shared" ca="1" si="0"/>
        <v>46163.625</v>
      </c>
      <c r="N24" s="95" t="str">
        <f t="shared" ca="1" si="1"/>
        <v/>
      </c>
    </row>
    <row r="25" spans="1:14" ht="14.45" customHeight="1" x14ac:dyDescent="0.25">
      <c r="A25" s="98">
        <f t="shared" ca="1" si="3"/>
        <v>46191.625</v>
      </c>
      <c r="B25" s="33" cm="1">
        <f t="array" aca="1" ref="B25" ca="1">IF(COUNTIF(J:J,A25)=1,_xll.avmCdsSpreadForDate($Q$4,$Q$5,$Q$7,$Q$6,A25,$Q$1), IF(COUNTIF(J:J,A25)=0,$B$10,""))</f>
        <v>39.22228219178082</v>
      </c>
      <c r="C25" s="77">
        <f t="shared" ca="1" si="4"/>
        <v>47811.720452054833</v>
      </c>
      <c r="D25" s="107">
        <f t="shared" ca="1" si="5"/>
        <v>22916.666666666664</v>
      </c>
      <c r="E25" s="33">
        <f ca="1">IF(COUNTIF($K$2:K1010,A25)=1,VLOOKUP(A25,K:L,2), IF(COUNTIF($K$2:K1010,A25)=0,$C$10,""))</f>
        <v>98.59</v>
      </c>
      <c r="F25" s="77">
        <f t="shared" ca="1" si="6"/>
        <v>-35805.383619624823</v>
      </c>
      <c r="G25" s="107">
        <f t="shared" ca="1" si="7"/>
        <v>13401.358479078488</v>
      </c>
      <c r="H25" s="55">
        <f t="shared" ca="1" si="2"/>
        <v>-104448.95419826327</v>
      </c>
      <c r="J25" s="71">
        <f ca="1"/>
        <v>46162.625</v>
      </c>
      <c r="K25" s="71">
        <v>46176.625</v>
      </c>
      <c r="L25" s="3">
        <v>98.403999999999996</v>
      </c>
      <c r="M25" s="95">
        <f t="shared" ca="1" si="0"/>
        <v>46162.625</v>
      </c>
      <c r="N25" s="95" t="str">
        <f t="shared" ca="1" si="1"/>
        <v/>
      </c>
    </row>
    <row r="26" spans="1:14" ht="14.45" customHeight="1" x14ac:dyDescent="0.25">
      <c r="A26" s="98">
        <f t="shared" ca="1" si="3"/>
        <v>46191.47081053241</v>
      </c>
      <c r="B26" s="33" cm="1">
        <f t="array" aca="1" ref="B26" ca="1">IF(COUNTIF(J:J,A26)=1,_xll.avmCdsSpreadForDate($Q$4,$Q$5,$Q$7,$Q$6,A26,$Q$1), IF(COUNTIF(J:J,A26)=0,$B$10,""))</f>
        <v>37.998449999999998</v>
      </c>
      <c r="C26" s="77">
        <f t="shared" ca="1" si="4"/>
        <v>80726.687250000046</v>
      </c>
      <c r="D26" s="107">
        <f t="shared" ca="1" si="5"/>
        <v>22916.666666666664</v>
      </c>
      <c r="E26" s="33">
        <f ca="1">IF(COUNTIF($K$2:K1011,A26)=1,VLOOKUP(A26,K:L,2), IF(COUNTIF($K$2:K1011,A26)=0,$C$10,""))</f>
        <v>98.59</v>
      </c>
      <c r="F26" s="77">
        <f t="shared" ca="1" si="6"/>
        <v>-35805.383619624823</v>
      </c>
      <c r="G26" s="107">
        <f t="shared" ca="1" si="7"/>
        <v>13401.358479078488</v>
      </c>
      <c r="H26" s="55">
        <f t="shared" ca="1" si="2"/>
        <v>-142630.31568387971</v>
      </c>
      <c r="J26" s="71">
        <f ca="1"/>
        <v>46161.625</v>
      </c>
      <c r="K26" s="71">
        <v>46177.625</v>
      </c>
      <c r="L26" s="3">
        <v>98.572000000000003</v>
      </c>
      <c r="M26" s="95">
        <f t="shared" ca="1" si="0"/>
        <v>46161.625</v>
      </c>
      <c r="N26" s="95" t="str">
        <f t="shared" ca="1" si="1"/>
        <v/>
      </c>
    </row>
    <row r="27" spans="1:14" ht="14.45" customHeight="1" x14ac:dyDescent="0.25">
      <c r="A27" s="98" t="str">
        <f t="shared" ca="1" si="3"/>
        <v/>
      </c>
      <c r="B27" s="33" t="str" cm="1">
        <f t="array" aca="1" ref="B27" ca="1">IF(COUNTIF(J:J,A27)=1,_xll.avmCdsSpreadForDate($Q$4,$Q$5,$Q$7,$Q$6,A27,$Q$1), IF(COUNTIF(J:J,A27)=0,$B$10,""))</f>
        <v/>
      </c>
      <c r="C27" s="77" t="str">
        <f t="shared" ca="1" si="4"/>
        <v/>
      </c>
      <c r="D27" s="107" t="str">
        <f t="shared" ca="1" si="5"/>
        <v/>
      </c>
      <c r="E27" s="33" t="str">
        <f ca="1">IF(COUNTIF($K$2:K1012,A27)=1,VLOOKUP(A27,K:L,2), IF(COUNTIF($K$2:K1012,A27)=0,$C$10,""))</f>
        <v/>
      </c>
      <c r="F27" s="77" t="str">
        <f t="shared" ca="1" si="6"/>
        <v/>
      </c>
      <c r="G27" s="107" t="str">
        <f t="shared" ca="1" si="7"/>
        <v/>
      </c>
      <c r="H27" s="55" t="str">
        <f t="shared" ca="1" si="2"/>
        <v/>
      </c>
      <c r="J27" s="71">
        <f ca="1"/>
        <v>46160.625</v>
      </c>
      <c r="K27" s="71">
        <v>46178.625</v>
      </c>
      <c r="L27" s="3">
        <v>98.168999999999997</v>
      </c>
      <c r="M27" s="95">
        <f t="shared" ca="1" si="0"/>
        <v>46160.625</v>
      </c>
      <c r="N27" s="95" t="str">
        <f t="shared" ca="1" si="1"/>
        <v/>
      </c>
    </row>
    <row r="28" spans="1:14" ht="14.45" customHeight="1" x14ac:dyDescent="0.25">
      <c r="A28" s="98" t="str">
        <f t="shared" ca="1" si="3"/>
        <v/>
      </c>
      <c r="B28" s="33" t="str" cm="1">
        <f t="array" aca="1" ref="B28" ca="1">IF(COUNTIF(J:J,A28)=1,_xll.avmCdsSpreadForDate($Q$4,$Q$5,$Q$7,$Q$6,A28,$Q$1), IF(COUNTIF(J:J,A28)=0,$B$10,""))</f>
        <v/>
      </c>
      <c r="C28" s="77" t="str">
        <f t="shared" ca="1" si="4"/>
        <v/>
      </c>
      <c r="D28" s="107" t="str">
        <f t="shared" ca="1" si="5"/>
        <v/>
      </c>
      <c r="E28" s="33" t="str">
        <f ca="1">IF(COUNTIF($K$2:K1013,A28)=1,VLOOKUP(A28,K:L,2), IF(COUNTIF($K$2:K1013,A28)=0,$C$10,""))</f>
        <v/>
      </c>
      <c r="F28" s="77" t="str">
        <f t="shared" ca="1" si="6"/>
        <v/>
      </c>
      <c r="G28" s="107" t="str">
        <f t="shared" ca="1" si="7"/>
        <v/>
      </c>
      <c r="H28" s="55" t="str">
        <f t="shared" ca="1" si="2"/>
        <v/>
      </c>
      <c r="J28" s="71">
        <f ca="1"/>
        <v>46157.625</v>
      </c>
      <c r="K28" s="71">
        <v>46181.625</v>
      </c>
      <c r="L28" s="3">
        <v>98.100999999999999</v>
      </c>
      <c r="M28" s="95">
        <f t="shared" ca="1" si="0"/>
        <v>46157.625</v>
      </c>
      <c r="N28" s="95" t="str">
        <f t="shared" ca="1" si="1"/>
        <v/>
      </c>
    </row>
    <row r="29" spans="1:14" ht="14.45" customHeight="1" x14ac:dyDescent="0.25">
      <c r="A29" s="98" t="str">
        <f t="shared" ca="1" si="3"/>
        <v/>
      </c>
      <c r="B29" s="33" t="str" cm="1">
        <f t="array" aca="1" ref="B29" ca="1">IF(COUNTIF(J:J,A29)=1,_xll.avmCdsSpreadForDate($Q$4,$Q$5,$Q$7,$Q$6,A29,$Q$1), IF(COUNTIF(J:J,A29)=0,$B$10,""))</f>
        <v/>
      </c>
      <c r="C29" s="77" t="str">
        <f t="shared" ca="1" si="4"/>
        <v/>
      </c>
      <c r="D29" s="107" t="str">
        <f t="shared" ca="1" si="5"/>
        <v/>
      </c>
      <c r="E29" s="33" t="str">
        <f ca="1">IF(COUNTIF($K$2:K1014,A29)=1,VLOOKUP(A29,K:L,2), IF(COUNTIF($K$2:K1014,A29)=0,$C$10,""))</f>
        <v/>
      </c>
      <c r="F29" s="77" t="str">
        <f t="shared" ca="1" si="6"/>
        <v/>
      </c>
      <c r="G29" s="107" t="str">
        <f t="shared" ca="1" si="7"/>
        <v/>
      </c>
      <c r="H29" s="55" t="str">
        <f t="shared" ca="1" si="2"/>
        <v/>
      </c>
      <c r="J29" s="71">
        <f ca="1"/>
        <v>46156.625</v>
      </c>
      <c r="K29" s="71">
        <v>46182.625</v>
      </c>
      <c r="L29" s="3">
        <v>98.245999999999995</v>
      </c>
      <c r="M29" s="95">
        <f t="shared" ca="1" si="0"/>
        <v>46156.625</v>
      </c>
      <c r="N29" s="95" t="str">
        <f t="shared" ca="1" si="1"/>
        <v/>
      </c>
    </row>
    <row r="30" spans="1:14" ht="14.45" customHeight="1" x14ac:dyDescent="0.25">
      <c r="A30" s="98" t="str">
        <f t="shared" ca="1" si="3"/>
        <v/>
      </c>
      <c r="B30" s="33" t="str" cm="1">
        <f t="array" aca="1" ref="B30" ca="1">IF(COUNTIF(J:J,A30)=1,_xll.avmCdsSpreadForDate($Q$4,$Q$5,$Q$7,$Q$6,A30,$Q$1), IF(COUNTIF(J:J,A30)=0,$B$10,""))</f>
        <v/>
      </c>
      <c r="C30" s="77" t="str">
        <f t="shared" ca="1" si="4"/>
        <v/>
      </c>
      <c r="D30" s="107" t="str">
        <f t="shared" ca="1" si="5"/>
        <v/>
      </c>
      <c r="E30" s="33" t="str">
        <f ca="1">IF(COUNTIF($K$2:K1015,A30)=1,VLOOKUP(A30,K:L,2), IF(COUNTIF($K$2:K1015,A30)=0,$C$10,""))</f>
        <v/>
      </c>
      <c r="F30" s="77" t="str">
        <f t="shared" ca="1" si="6"/>
        <v/>
      </c>
      <c r="G30" s="107" t="str">
        <f t="shared" ca="1" si="7"/>
        <v/>
      </c>
      <c r="H30" s="55" t="str">
        <f t="shared" ca="1" si="2"/>
        <v/>
      </c>
      <c r="J30" s="71">
        <f ca="1"/>
        <v>46155.625</v>
      </c>
      <c r="K30" s="71">
        <v>46183.625</v>
      </c>
      <c r="L30" s="3">
        <v>98.271000000000001</v>
      </c>
      <c r="M30" s="95">
        <f t="shared" ca="1" si="0"/>
        <v>46155.625</v>
      </c>
      <c r="N30" s="95" t="str">
        <f t="shared" ca="1" si="1"/>
        <v/>
      </c>
    </row>
    <row r="31" spans="1:14" ht="14.45" customHeight="1" x14ac:dyDescent="0.25">
      <c r="A31" s="98" t="str">
        <f t="shared" ca="1" si="3"/>
        <v/>
      </c>
      <c r="B31" s="33" t="str" cm="1">
        <f t="array" aca="1" ref="B31" ca="1">IF(COUNTIF(J:J,A31)=1,_xll.avmCdsSpreadForDate($Q$4,$Q$5,$Q$7,$Q$6,A31,$Q$1), IF(COUNTIF(J:J,A31)=0,$B$10,""))</f>
        <v/>
      </c>
      <c r="C31" s="77" t="str">
        <f t="shared" ca="1" si="4"/>
        <v/>
      </c>
      <c r="D31" s="107" t="str">
        <f t="shared" ca="1" si="5"/>
        <v/>
      </c>
      <c r="E31" s="33" t="str">
        <f ca="1">IF(COUNTIF($K$2:K1016,A31)=1,VLOOKUP(A31,K:L,2), IF(COUNTIF($K$2:K1016,A31)=0,$C$10,""))</f>
        <v/>
      </c>
      <c r="F31" s="77" t="str">
        <f t="shared" ca="1" si="6"/>
        <v/>
      </c>
      <c r="G31" s="107" t="str">
        <f t="shared" ca="1" si="7"/>
        <v/>
      </c>
      <c r="H31" s="55" t="str">
        <f t="shared" ca="1" si="2"/>
        <v/>
      </c>
      <c r="J31" s="71">
        <f ca="1"/>
        <v>46154.625</v>
      </c>
      <c r="K31" s="71">
        <v>46184.625</v>
      </c>
      <c r="L31" s="3">
        <v>98.27</v>
      </c>
      <c r="M31" s="95">
        <f t="shared" ca="1" si="0"/>
        <v>46154.625</v>
      </c>
      <c r="N31" s="95" t="str">
        <f t="shared" ca="1" si="1"/>
        <v/>
      </c>
    </row>
    <row r="32" spans="1:14" ht="14.45" customHeight="1" x14ac:dyDescent="0.25">
      <c r="A32" s="98" t="str">
        <f t="shared" ca="1" si="3"/>
        <v/>
      </c>
      <c r="B32" s="33" t="str" cm="1">
        <f t="array" aca="1" ref="B32" ca="1">IF(COUNTIF(J:J,A32)=1,_xll.avmCdsSpreadForDate($Q$4,$Q$5,$Q$7,$Q$6,A32,$Q$1), IF(COUNTIF(J:J,A32)=0,$B$10,""))</f>
        <v/>
      </c>
      <c r="C32" s="77" t="str">
        <f t="shared" ca="1" si="4"/>
        <v/>
      </c>
      <c r="D32" s="107" t="str">
        <f t="shared" ca="1" si="5"/>
        <v/>
      </c>
      <c r="E32" s="33" t="str">
        <f ca="1">IF(COUNTIF($K$2:K1017,A32)=1,VLOOKUP(A32,K:L,2), IF(COUNTIF($K$2:K1017,A32)=0,$C$10,""))</f>
        <v/>
      </c>
      <c r="F32" s="77" t="str">
        <f t="shared" ca="1" si="6"/>
        <v/>
      </c>
      <c r="G32" s="107" t="str">
        <f t="shared" ca="1" si="7"/>
        <v/>
      </c>
      <c r="H32" s="55" t="str">
        <f t="shared" ca="1" si="2"/>
        <v/>
      </c>
      <c r="J32" s="71">
        <f ca="1"/>
        <v>46153.625</v>
      </c>
      <c r="K32" s="71">
        <v>46185.625</v>
      </c>
      <c r="L32" s="3">
        <v>98.549000000000007</v>
      </c>
      <c r="M32" s="95">
        <f t="shared" ca="1" si="0"/>
        <v>46153.625</v>
      </c>
      <c r="N32" s="95" t="str">
        <f t="shared" ca="1" si="1"/>
        <v/>
      </c>
    </row>
    <row r="33" spans="1:14" ht="14.45" customHeight="1" x14ac:dyDescent="0.25">
      <c r="A33" s="98" t="str">
        <f t="shared" ca="1" si="3"/>
        <v/>
      </c>
      <c r="B33" s="33" t="str" cm="1">
        <f t="array" aca="1" ref="B33" ca="1">IF(COUNTIF(J:J,A33)=1,_xll.avmCdsSpreadForDate($Q$4,$Q$5,$Q$7,$Q$6,A33,$Q$1), IF(COUNTIF(J:J,A33)=0,$B$10,""))</f>
        <v/>
      </c>
      <c r="C33" s="77" t="str">
        <f t="shared" ca="1" si="4"/>
        <v/>
      </c>
      <c r="D33" s="107" t="str">
        <f t="shared" ca="1" si="5"/>
        <v/>
      </c>
      <c r="E33" s="33" t="str">
        <f ca="1">IF(COUNTIF($K$2:K1018,A33)=1,VLOOKUP(A33,K:L,2), IF(COUNTIF($K$2:K1018,A33)=0,$C$10,""))</f>
        <v/>
      </c>
      <c r="F33" s="77" t="str">
        <f t="shared" ca="1" si="6"/>
        <v/>
      </c>
      <c r="G33" s="107" t="str">
        <f t="shared" ca="1" si="7"/>
        <v/>
      </c>
      <c r="H33" s="55" t="str">
        <f t="shared" ca="1" si="2"/>
        <v/>
      </c>
      <c r="J33" s="71">
        <f ca="1"/>
        <v>46150.625</v>
      </c>
      <c r="K33" s="71">
        <v>46188.625</v>
      </c>
      <c r="L33" s="3">
        <v>98.73</v>
      </c>
      <c r="M33" s="95">
        <f t="shared" ca="1" si="0"/>
        <v>46150.625</v>
      </c>
      <c r="N33" s="95" t="str">
        <f t="shared" ca="1" si="1"/>
        <v/>
      </c>
    </row>
    <row r="34" spans="1:14" ht="14.45" customHeight="1" x14ac:dyDescent="0.25">
      <c r="A34" s="98" t="str">
        <f t="shared" ca="1" si="3"/>
        <v/>
      </c>
      <c r="B34" s="33" t="str" cm="1">
        <f t="array" aca="1" ref="B34" ca="1">IF(COUNTIF(J:J,A34)=1,_xll.avmCdsSpreadForDate($Q$4,$Q$5,$Q$7,$Q$6,A34,$Q$1), IF(COUNTIF(J:J,A34)=0,$B$10,""))</f>
        <v/>
      </c>
      <c r="C34" s="77" t="str">
        <f t="shared" ca="1" si="4"/>
        <v/>
      </c>
      <c r="D34" s="107" t="str">
        <f t="shared" ca="1" si="5"/>
        <v/>
      </c>
      <c r="E34" s="33" t="str">
        <f ca="1">IF(COUNTIF($K$2:K1019,A34)=1,VLOOKUP(A34,K:L,2), IF(COUNTIF($K$2:K1019,A34)=0,$C$10,""))</f>
        <v/>
      </c>
      <c r="F34" s="77" t="str">
        <f t="shared" ca="1" si="6"/>
        <v/>
      </c>
      <c r="G34" s="107" t="str">
        <f t="shared" ca="1" si="7"/>
        <v/>
      </c>
      <c r="H34" s="55" t="str">
        <f t="shared" ca="1" si="2"/>
        <v/>
      </c>
      <c r="J34" s="71">
        <f ca="1"/>
        <v>46149.625</v>
      </c>
      <c r="K34" s="71">
        <v>46189.625</v>
      </c>
      <c r="L34" s="3">
        <v>98.81</v>
      </c>
      <c r="M34" s="95">
        <f t="shared" ca="1" si="0"/>
        <v>46149.625</v>
      </c>
      <c r="N34" s="95" t="str">
        <f t="shared" ca="1" si="1"/>
        <v/>
      </c>
    </row>
    <row r="35" spans="1:14" ht="14.45" customHeight="1" x14ac:dyDescent="0.25">
      <c r="A35" s="98" t="str">
        <f t="shared" ca="1" si="3"/>
        <v/>
      </c>
      <c r="B35" s="33" t="str" cm="1">
        <f t="array" aca="1" ref="B35" ca="1">IF(COUNTIF(J:J,A35)=1,_xll.avmCdsSpreadForDate($Q$4,$Q$5,$Q$7,$Q$6,A35,$Q$1), IF(COUNTIF(J:J,A35)=0,$B$10,""))</f>
        <v/>
      </c>
      <c r="C35" s="77" t="str">
        <f t="shared" ca="1" si="4"/>
        <v/>
      </c>
      <c r="D35" s="107" t="str">
        <f t="shared" ca="1" si="5"/>
        <v/>
      </c>
      <c r="E35" s="33" t="str">
        <f ca="1">IF(COUNTIF($K$2:K1020,A35)=1,VLOOKUP(A35,K:L,2), IF(COUNTIF($K$2:K1020,A35)=0,$C$10,""))</f>
        <v/>
      </c>
      <c r="F35" s="77" t="str">
        <f t="shared" ca="1" si="6"/>
        <v/>
      </c>
      <c r="G35" s="107" t="str">
        <f t="shared" ca="1" si="7"/>
        <v/>
      </c>
      <c r="H35" s="55" t="str">
        <f t="shared" ca="1" si="2"/>
        <v/>
      </c>
      <c r="J35" s="71">
        <f ca="1"/>
        <v>46148.625</v>
      </c>
      <c r="K35" s="71">
        <v>46190.625</v>
      </c>
      <c r="L35" s="3">
        <v>98.697000000000003</v>
      </c>
      <c r="M35" s="95">
        <f t="shared" ca="1" si="0"/>
        <v>46148.625</v>
      </c>
      <c r="N35" s="95" t="str">
        <f t="shared" ca="1" si="1"/>
        <v/>
      </c>
    </row>
    <row r="36" spans="1:14" ht="14.45" customHeight="1" x14ac:dyDescent="0.25">
      <c r="A36" s="98" t="str">
        <f t="shared" ca="1" si="3"/>
        <v/>
      </c>
      <c r="B36" s="33" t="str" cm="1">
        <f t="array" aca="1" ref="B36" ca="1">IF(COUNTIF(J:J,A36)=1,_xll.avmCdsSpreadForDate($Q$4,$Q$5,$Q$7,$Q$6,A36,$Q$1), IF(COUNTIF(J:J,A36)=0,$B$10,""))</f>
        <v/>
      </c>
      <c r="C36" s="77" t="str">
        <f t="shared" ca="1" si="4"/>
        <v/>
      </c>
      <c r="D36" s="107" t="str">
        <f t="shared" ca="1" si="5"/>
        <v/>
      </c>
      <c r="E36" s="33" t="str">
        <f ca="1">IF(COUNTIF($K$2:K1021,A36)=1,VLOOKUP(A36,K:L,2), IF(COUNTIF($K$2:K1021,A36)=0,$C$10,""))</f>
        <v/>
      </c>
      <c r="F36" s="77" t="str">
        <f t="shared" ca="1" si="6"/>
        <v/>
      </c>
      <c r="G36" s="107" t="str">
        <f t="shared" ca="1" si="7"/>
        <v/>
      </c>
      <c r="H36" s="55" t="str">
        <f t="shared" ca="1" si="2"/>
        <v/>
      </c>
      <c r="J36" s="71">
        <f ca="1"/>
        <v>46147.625</v>
      </c>
      <c r="K36" s="71">
        <v>46191.625</v>
      </c>
      <c r="L36" s="3">
        <v>98.59</v>
      </c>
      <c r="M36" s="95">
        <f t="shared" ca="1" si="0"/>
        <v>46147.625</v>
      </c>
      <c r="N36" s="95" t="str">
        <f t="shared" ca="1" si="1"/>
        <v/>
      </c>
    </row>
    <row r="37" spans="1:14" x14ac:dyDescent="0.25">
      <c r="A37" s="98" t="str">
        <f t="shared" ca="1" si="3"/>
        <v/>
      </c>
      <c r="B37" s="33" t="str" cm="1">
        <f t="array" aca="1" ref="B37" ca="1">IF(COUNTIF(J:J,A37)=1,_xll.avmCdsSpreadForDate($Q$4,$Q$5,$Q$7,$Q$6,A37,$Q$1), IF(COUNTIF(J:J,A37)=0,$B$10,""))</f>
        <v/>
      </c>
      <c r="C37" s="77" t="str">
        <f t="shared" ca="1" si="4"/>
        <v/>
      </c>
      <c r="D37" s="107" t="str">
        <f t="shared" ca="1" si="5"/>
        <v/>
      </c>
      <c r="E37" s="33" t="str">
        <f ca="1">IF(COUNTIF($K$2:K1022,A37)=1,VLOOKUP(A37,K:L,2), IF(COUNTIF($K$2:K1022,A37)=0,$C$10,""))</f>
        <v/>
      </c>
      <c r="F37" s="77" t="str">
        <f t="shared" ca="1" si="6"/>
        <v/>
      </c>
      <c r="G37" s="107" t="str">
        <f t="shared" ca="1" si="7"/>
        <v/>
      </c>
      <c r="H37" s="55" t="str">
        <f t="shared" ca="1" si="2"/>
        <v/>
      </c>
      <c r="J37" s="71">
        <f ca="1"/>
        <v>46146.625</v>
      </c>
      <c r="K37" s="71"/>
      <c r="M37" s="95">
        <f t="shared" ca="1" si="0"/>
        <v>46146.625</v>
      </c>
      <c r="N37" s="95" t="str">
        <f t="shared" ca="1" si="1"/>
        <v/>
      </c>
    </row>
    <row r="38" spans="1:14" x14ac:dyDescent="0.25">
      <c r="A38" s="98" t="str">
        <f t="shared" ca="1" si="3"/>
        <v/>
      </c>
      <c r="B38" s="33" t="str" cm="1">
        <f t="array" aca="1" ref="B38" ca="1">IF(COUNTIF(J:J,A38)=1,_xll.avmCdsSpreadForDate($Q$4,$Q$5,$Q$7,$Q$6,A38,$Q$1), IF(COUNTIF(J:J,A38)=0,$B$10,""))</f>
        <v/>
      </c>
      <c r="C38" s="77" t="str">
        <f t="shared" ca="1" si="4"/>
        <v/>
      </c>
      <c r="D38" s="107" t="str">
        <f t="shared" ca="1" si="5"/>
        <v/>
      </c>
      <c r="E38" s="33" t="str">
        <f ca="1">IF(COUNTIF($K$2:K1023,A38)=1,VLOOKUP(A38,K:L,2), IF(COUNTIF($K$2:K1023,A38)=0,$C$10,""))</f>
        <v/>
      </c>
      <c r="F38" s="77" t="str">
        <f t="shared" ca="1" si="6"/>
        <v/>
      </c>
      <c r="G38" s="107" t="str">
        <f t="shared" ca="1" si="7"/>
        <v/>
      </c>
      <c r="H38" s="55" t="str">
        <f t="shared" ca="1" si="2"/>
        <v/>
      </c>
      <c r="J38" s="71"/>
      <c r="K38" s="71"/>
      <c r="M38" s="95" t="str">
        <f t="shared" si="0"/>
        <v/>
      </c>
      <c r="N38" s="95" t="str">
        <f t="shared" si="1"/>
        <v/>
      </c>
    </row>
    <row r="39" spans="1:14" x14ac:dyDescent="0.25">
      <c r="A39" s="98" t="str">
        <f t="shared" ca="1" si="3"/>
        <v/>
      </c>
      <c r="B39" s="33" t="str" cm="1">
        <f t="array" aca="1" ref="B39" ca="1">IF(COUNTIF(J:J,A39)=1,_xll.avmCdsSpreadForDate($Q$4,$Q$5,$Q$7,$Q$6,A39,$Q$1), IF(COUNTIF(J:J,A39)=0,$B$10,""))</f>
        <v/>
      </c>
      <c r="C39" s="77" t="str">
        <f t="shared" ca="1" si="4"/>
        <v/>
      </c>
      <c r="D39" s="107" t="str">
        <f t="shared" ca="1" si="5"/>
        <v/>
      </c>
      <c r="E39" s="33" t="str">
        <f ca="1">IF(COUNTIF($K$2:K1024,A39)=1,VLOOKUP(A39,K:L,2), IF(COUNTIF($K$2:K1024,A39)=0,$C$10,""))</f>
        <v/>
      </c>
      <c r="F39" s="77" t="str">
        <f t="shared" ca="1" si="6"/>
        <v/>
      </c>
      <c r="G39" s="107" t="str">
        <f t="shared" ca="1" si="7"/>
        <v/>
      </c>
      <c r="H39" s="55" t="str">
        <f t="shared" ca="1" si="2"/>
        <v/>
      </c>
      <c r="J39" s="71"/>
      <c r="K39" s="71"/>
      <c r="M39" s="95" t="str">
        <f t="shared" si="0"/>
        <v/>
      </c>
      <c r="N39" s="95" t="str">
        <f t="shared" si="1"/>
        <v/>
      </c>
    </row>
    <row r="40" spans="1:14" x14ac:dyDescent="0.25">
      <c r="A40" s="98" t="str">
        <f t="shared" ca="1" si="3"/>
        <v/>
      </c>
      <c r="B40" s="33" t="str" cm="1">
        <f t="array" aca="1" ref="B40" ca="1">IF(COUNTIF(J:J,A40)=1,_xll.avmCdsSpreadForDate($Q$4,$Q$5,$Q$7,$Q$6,A40,$Q$1), IF(COUNTIF(J:J,A40)=0,$B$10,""))</f>
        <v/>
      </c>
      <c r="C40" s="77" t="str">
        <f t="shared" ca="1" si="4"/>
        <v/>
      </c>
      <c r="D40" s="107" t="str">
        <f t="shared" ca="1" si="5"/>
        <v/>
      </c>
      <c r="E40" s="33" t="str">
        <f ca="1">IF(COUNTIF($K$2:K1025,A40)=1,VLOOKUP(A40,K:L,2), IF(COUNTIF($K$2:K1025,A40)=0,$C$10,""))</f>
        <v/>
      </c>
      <c r="F40" s="77" t="str">
        <f t="shared" ca="1" si="6"/>
        <v/>
      </c>
      <c r="G40" s="107" t="str">
        <f t="shared" ca="1" si="7"/>
        <v/>
      </c>
      <c r="H40" s="55" t="str">
        <f t="shared" ca="1" si="2"/>
        <v/>
      </c>
      <c r="J40" s="71"/>
      <c r="K40" s="71"/>
      <c r="M40" s="95" t="str">
        <f t="shared" si="0"/>
        <v/>
      </c>
      <c r="N40" s="95" t="str">
        <f t="shared" si="1"/>
        <v/>
      </c>
    </row>
    <row r="41" spans="1:14" x14ac:dyDescent="0.25">
      <c r="A41" s="98" t="str">
        <f t="shared" ca="1" si="3"/>
        <v/>
      </c>
      <c r="B41" s="33" t="str" cm="1">
        <f t="array" aca="1" ref="B41" ca="1">IF(COUNTIF(J:J,A41)=1,_xll.avmCdsSpreadForDate($Q$4,$Q$5,$Q$7,$Q$6,A41,$Q$1), IF(COUNTIF(J:J,A41)=0,$B$10,""))</f>
        <v/>
      </c>
      <c r="C41" s="77" t="str">
        <f t="shared" ca="1" si="4"/>
        <v/>
      </c>
      <c r="D41" s="107" t="str">
        <f t="shared" ca="1" si="5"/>
        <v/>
      </c>
      <c r="E41" s="33" t="str">
        <f ca="1">IF(COUNTIF($K$2:K1026,A41)=1,VLOOKUP(A41,K:L,2), IF(COUNTIF($K$2:K1026,A41)=0,$C$10,""))</f>
        <v/>
      </c>
      <c r="F41" s="77" t="str">
        <f t="shared" ca="1" si="6"/>
        <v/>
      </c>
      <c r="G41" s="107" t="str">
        <f t="shared" ca="1" si="7"/>
        <v/>
      </c>
      <c r="H41" s="55" t="str">
        <f t="shared" ca="1" si="2"/>
        <v/>
      </c>
      <c r="J41" s="71"/>
      <c r="K41" s="71"/>
      <c r="M41" s="95" t="str">
        <f t="shared" si="0"/>
        <v/>
      </c>
      <c r="N41" s="95" t="str">
        <f t="shared" si="1"/>
        <v/>
      </c>
    </row>
    <row r="42" spans="1:14" x14ac:dyDescent="0.25">
      <c r="A42" s="98" t="str">
        <f t="shared" ca="1" si="3"/>
        <v/>
      </c>
      <c r="B42" s="33" t="str" cm="1">
        <f t="array" aca="1" ref="B42" ca="1">IF(COUNTIF(J:J,A42)=1,_xll.avmCdsSpreadForDate($Q$4,$Q$5,$Q$7,$Q$6,A42,$Q$1), IF(COUNTIF(J:J,A42)=0,$B$10,""))</f>
        <v/>
      </c>
      <c r="C42" s="77" t="str">
        <f t="shared" ca="1" si="4"/>
        <v/>
      </c>
      <c r="D42" s="107" t="str">
        <f t="shared" ca="1" si="5"/>
        <v/>
      </c>
      <c r="E42" s="33" t="str">
        <f ca="1">IF(COUNTIF($K$2:K1027,A42)=1,VLOOKUP(A42,K:L,2), IF(COUNTIF($K$2:K1027,A42)=0,$C$10,""))</f>
        <v/>
      </c>
      <c r="F42" s="77" t="str">
        <f t="shared" ca="1" si="6"/>
        <v/>
      </c>
      <c r="G42" s="107" t="str">
        <f t="shared" ca="1" si="7"/>
        <v/>
      </c>
      <c r="H42" s="55" t="str">
        <f t="shared" ca="1" si="2"/>
        <v/>
      </c>
      <c r="J42" s="71"/>
      <c r="K42" s="71"/>
      <c r="M42" s="95" t="str">
        <f t="shared" si="0"/>
        <v/>
      </c>
      <c r="N42" s="95" t="str">
        <f t="shared" si="1"/>
        <v/>
      </c>
    </row>
    <row r="43" spans="1:14" x14ac:dyDescent="0.25">
      <c r="A43" s="98" t="str">
        <f t="shared" ca="1" si="3"/>
        <v/>
      </c>
      <c r="B43" s="33" t="str" cm="1">
        <f t="array" aca="1" ref="B43" ca="1">IF(COUNTIF(J:J,A43)=1,_xll.avmCdsSpreadForDate($Q$4,$Q$5,$Q$7,$Q$6,A43,$Q$1), IF(COUNTIF(J:J,A43)=0,$B$10,""))</f>
        <v/>
      </c>
      <c r="C43" s="77" t="str">
        <f t="shared" ca="1" si="4"/>
        <v/>
      </c>
      <c r="D43" s="107" t="str">
        <f t="shared" ca="1" si="5"/>
        <v/>
      </c>
      <c r="E43" s="33" t="str">
        <f ca="1">IF(COUNTIF($K$2:K1028,A43)=1,VLOOKUP(A43,K:L,2), IF(COUNTIF($K$2:K1028,A43)=0,$C$10,""))</f>
        <v/>
      </c>
      <c r="F43" s="77" t="str">
        <f t="shared" ca="1" si="6"/>
        <v/>
      </c>
      <c r="G43" s="107" t="str">
        <f t="shared" ca="1" si="7"/>
        <v/>
      </c>
      <c r="H43" s="55" t="str">
        <f t="shared" ca="1" si="2"/>
        <v/>
      </c>
      <c r="J43" s="71"/>
      <c r="K43" s="71"/>
      <c r="M43" s="95" t="str">
        <f t="shared" si="0"/>
        <v/>
      </c>
      <c r="N43" s="95" t="str">
        <f t="shared" si="1"/>
        <v/>
      </c>
    </row>
    <row r="44" spans="1:14" x14ac:dyDescent="0.25">
      <c r="A44" s="98" t="str">
        <f t="shared" ca="1" si="3"/>
        <v/>
      </c>
      <c r="B44" s="33" t="str" cm="1">
        <f t="array" aca="1" ref="B44" ca="1">IF(COUNTIF(J:J,A44)=1,_xll.avmCdsSpreadForDate($Q$4,$Q$5,$Q$7,$Q$6,A44,$Q$1), IF(COUNTIF(J:J,A44)=0,$B$10,""))</f>
        <v/>
      </c>
      <c r="C44" s="77" t="str">
        <f t="shared" ca="1" si="4"/>
        <v/>
      </c>
      <c r="D44" s="107" t="str">
        <f t="shared" ca="1" si="5"/>
        <v/>
      </c>
      <c r="E44" s="33" t="str">
        <f ca="1">IF(COUNTIF($K$2:K1029,A44)=1,VLOOKUP(A44,K:L,2), IF(COUNTIF($K$2:K1029,A44)=0,$C$10,""))</f>
        <v/>
      </c>
      <c r="F44" s="77" t="str">
        <f t="shared" ca="1" si="6"/>
        <v/>
      </c>
      <c r="G44" s="107" t="str">
        <f t="shared" ca="1" si="7"/>
        <v/>
      </c>
      <c r="H44" s="55" t="str">
        <f t="shared" ca="1" si="2"/>
        <v/>
      </c>
      <c r="J44" s="71"/>
      <c r="K44" s="71"/>
      <c r="M44" s="95" t="str">
        <f t="shared" si="0"/>
        <v/>
      </c>
      <c r="N44" s="95" t="str">
        <f t="shared" si="1"/>
        <v/>
      </c>
    </row>
    <row r="45" spans="1:14" x14ac:dyDescent="0.25">
      <c r="A45" s="98" t="str">
        <f t="shared" ca="1" si="3"/>
        <v/>
      </c>
      <c r="B45" s="33" t="str" cm="1">
        <f t="array" aca="1" ref="B45" ca="1">IF(COUNTIF(J:J,A45)=1,_xll.avmCdsSpreadForDate($Q$4,$Q$5,$Q$7,$Q$6,A45,$Q$1), IF(COUNTIF(J:J,A45)=0,$B$10,""))</f>
        <v/>
      </c>
      <c r="C45" s="77" t="str">
        <f t="shared" ca="1" si="4"/>
        <v/>
      </c>
      <c r="D45" s="107" t="str">
        <f t="shared" ca="1" si="5"/>
        <v/>
      </c>
      <c r="E45" s="33" t="str">
        <f ca="1">IF(COUNTIF($K$2:K1030,A45)=1,VLOOKUP(A45,K:L,2), IF(COUNTIF($K$2:K1030,A45)=0,$C$10,""))</f>
        <v/>
      </c>
      <c r="F45" s="77" t="str">
        <f t="shared" ca="1" si="6"/>
        <v/>
      </c>
      <c r="G45" s="107" t="str">
        <f t="shared" ca="1" si="7"/>
        <v/>
      </c>
      <c r="H45" s="55" t="str">
        <f t="shared" ca="1" si="2"/>
        <v/>
      </c>
      <c r="J45" s="71"/>
      <c r="K45" s="71"/>
      <c r="M45" s="95" t="str">
        <f t="shared" si="0"/>
        <v/>
      </c>
      <c r="N45" s="95" t="str">
        <f t="shared" si="1"/>
        <v/>
      </c>
    </row>
    <row r="46" spans="1:14" x14ac:dyDescent="0.25">
      <c r="A46" s="98" t="str">
        <f t="shared" ca="1" si="3"/>
        <v/>
      </c>
      <c r="B46" s="33" t="str" cm="1">
        <f t="array" aca="1" ref="B46" ca="1">IF(COUNTIF(J:J,A46)=1,_xll.avmCdsSpreadForDate($Q$4,$Q$5,$Q$7,$Q$6,A46,$Q$1), IF(COUNTIF(J:J,A46)=0,$B$10,""))</f>
        <v/>
      </c>
      <c r="C46" s="77" t="str">
        <f t="shared" ca="1" si="4"/>
        <v/>
      </c>
      <c r="D46" s="107" t="str">
        <f t="shared" ca="1" si="5"/>
        <v/>
      </c>
      <c r="E46" s="33" t="str">
        <f ca="1">IF(COUNTIF($K$2:K1031,A46)=1,VLOOKUP(A46,K:L,2), IF(COUNTIF($K$2:K1031,A46)=0,$C$10,""))</f>
        <v/>
      </c>
      <c r="F46" s="77" t="str">
        <f t="shared" ca="1" si="6"/>
        <v/>
      </c>
      <c r="G46" s="107" t="str">
        <f t="shared" ca="1" si="7"/>
        <v/>
      </c>
      <c r="H46" s="55" t="str">
        <f t="shared" ca="1" si="2"/>
        <v/>
      </c>
      <c r="J46" s="71"/>
      <c r="K46" s="71"/>
      <c r="M46" s="95" t="str">
        <f t="shared" si="0"/>
        <v/>
      </c>
      <c r="N46" s="95" t="str">
        <f t="shared" si="1"/>
        <v/>
      </c>
    </row>
    <row r="47" spans="1:14" x14ac:dyDescent="0.25">
      <c r="A47" s="98" t="str">
        <f t="shared" ca="1" si="3"/>
        <v/>
      </c>
      <c r="B47" s="33" t="str" cm="1">
        <f t="array" aca="1" ref="B47" ca="1">IF(COUNTIF(J:J,A47)=1,_xll.avmCdsSpreadForDate($Q$4,$Q$5,$Q$7,$Q$6,A47,$Q$1), IF(COUNTIF(J:J,A47)=0,$B$10,""))</f>
        <v/>
      </c>
      <c r="C47" s="77" t="str">
        <f t="shared" ca="1" si="4"/>
        <v/>
      </c>
      <c r="D47" s="107" t="str">
        <f t="shared" ca="1" si="5"/>
        <v/>
      </c>
      <c r="E47" s="33" t="str">
        <f ca="1">IF(COUNTIF($K$2:K1032,A47)=1,VLOOKUP(A47,K:L,2), IF(COUNTIF($K$2:K1032,A47)=0,$C$10,""))</f>
        <v/>
      </c>
      <c r="F47" s="77" t="str">
        <f t="shared" ca="1" si="6"/>
        <v/>
      </c>
      <c r="G47" s="107" t="str">
        <f t="shared" ca="1" si="7"/>
        <v/>
      </c>
      <c r="H47" s="55" t="str">
        <f t="shared" ref="H47:H78" ca="1" si="8">IF(ISERROR(B47-2),"",$B$9*(-1*(C47+D47))+F47+G47)</f>
        <v/>
      </c>
      <c r="J47" s="71"/>
      <c r="K47" s="71"/>
      <c r="M47" s="95" t="str">
        <f t="shared" si="0"/>
        <v/>
      </c>
      <c r="N47" s="95" t="str">
        <f t="shared" si="1"/>
        <v/>
      </c>
    </row>
    <row r="48" spans="1:14" x14ac:dyDescent="0.25">
      <c r="A48" s="98" t="str">
        <f t="shared" ca="1" si="3"/>
        <v/>
      </c>
      <c r="B48" s="33" t="str" cm="1">
        <f t="array" aca="1" ref="B48" ca="1">IF(COUNTIF(J:J,A48)=1,_xll.avmCdsSpreadForDate($Q$4,$Q$5,$Q$7,$Q$6,A48,$Q$1), IF(COUNTIF(J:J,A48)=0,$B$10,""))</f>
        <v/>
      </c>
      <c r="C48" s="77" t="str">
        <f t="shared" ca="1" si="4"/>
        <v/>
      </c>
      <c r="D48" s="107" t="str">
        <f t="shared" ca="1" si="5"/>
        <v/>
      </c>
      <c r="E48" s="33" t="str">
        <f ca="1">IF(COUNTIF($K$2:K1033,A48)=1,VLOOKUP(A48,K:L,2), IF(COUNTIF($K$2:K1033,A48)=0,$C$10,""))</f>
        <v/>
      </c>
      <c r="F48" s="77" t="str">
        <f t="shared" ca="1" si="6"/>
        <v/>
      </c>
      <c r="G48" s="107" t="str">
        <f t="shared" ca="1" si="7"/>
        <v/>
      </c>
      <c r="H48" s="55" t="str">
        <f t="shared" ca="1" si="8"/>
        <v/>
      </c>
      <c r="J48" s="71"/>
      <c r="K48" s="71"/>
      <c r="M48" s="95" t="str">
        <f t="shared" si="0"/>
        <v/>
      </c>
      <c r="N48" s="95" t="str">
        <f t="shared" si="1"/>
        <v/>
      </c>
    </row>
    <row r="49" spans="1:14" x14ac:dyDescent="0.25">
      <c r="A49" s="98" t="str">
        <f t="shared" ca="1" si="3"/>
        <v/>
      </c>
      <c r="B49" s="33" t="str" cm="1">
        <f t="array" aca="1" ref="B49" ca="1">IF(COUNTIF(J:J,A49)=1,_xll.avmCdsSpreadForDate($Q$4,$Q$5,$Q$7,$Q$6,A49,$Q$1), IF(COUNTIF(J:J,A49)=0,$B$10,""))</f>
        <v/>
      </c>
      <c r="C49" s="77" t="str">
        <f t="shared" ca="1" si="4"/>
        <v/>
      </c>
      <c r="D49" s="107" t="str">
        <f t="shared" ca="1" si="5"/>
        <v/>
      </c>
      <c r="E49" s="33" t="str">
        <f ca="1">IF(COUNTIF($K$2:K1034,A49)=1,VLOOKUP(A49,K:L,2), IF(COUNTIF($K$2:K1034,A49)=0,$C$10,""))</f>
        <v/>
      </c>
      <c r="F49" s="77" t="str">
        <f t="shared" ca="1" si="6"/>
        <v/>
      </c>
      <c r="G49" s="107" t="str">
        <f t="shared" ca="1" si="7"/>
        <v/>
      </c>
      <c r="H49" s="55" t="str">
        <f t="shared" ca="1" si="8"/>
        <v/>
      </c>
      <c r="J49" s="71"/>
      <c r="K49" s="71"/>
      <c r="M49" s="95" t="str">
        <f t="shared" si="0"/>
        <v/>
      </c>
      <c r="N49" s="95" t="str">
        <f t="shared" si="1"/>
        <v/>
      </c>
    </row>
    <row r="50" spans="1:14" x14ac:dyDescent="0.25">
      <c r="A50" s="98" t="str">
        <f t="shared" ca="1" si="3"/>
        <v/>
      </c>
      <c r="B50" s="33" t="str" cm="1">
        <f t="array" aca="1" ref="B50" ca="1">IF(COUNTIF(J:J,A50)=1,_xll.avmCdsSpreadForDate($Q$4,$Q$5,$Q$7,$Q$6,A50,$Q$1), IF(COUNTIF(J:J,A50)=0,$B$10,""))</f>
        <v/>
      </c>
      <c r="C50" s="77" t="str">
        <f t="shared" ca="1" si="4"/>
        <v/>
      </c>
      <c r="D50" s="107" t="str">
        <f t="shared" ca="1" si="5"/>
        <v/>
      </c>
      <c r="E50" s="33" t="str">
        <f ca="1">IF(COUNTIF($K$2:K1035,A50)=1,VLOOKUP(A50,K:L,2), IF(COUNTIF($K$2:K1035,A50)=0,$C$10,""))</f>
        <v/>
      </c>
      <c r="F50" s="77" t="str">
        <f t="shared" ca="1" si="6"/>
        <v/>
      </c>
      <c r="G50" s="107" t="str">
        <f t="shared" ca="1" si="7"/>
        <v/>
      </c>
      <c r="H50" s="55" t="str">
        <f t="shared" ca="1" si="8"/>
        <v/>
      </c>
      <c r="J50" s="71"/>
      <c r="K50" s="71"/>
      <c r="M50" s="95" t="str">
        <f t="shared" si="0"/>
        <v/>
      </c>
      <c r="N50" s="95" t="str">
        <f t="shared" si="1"/>
        <v/>
      </c>
    </row>
    <row r="51" spans="1:14" x14ac:dyDescent="0.25">
      <c r="A51" s="98" t="str">
        <f t="shared" ca="1" si="3"/>
        <v/>
      </c>
      <c r="B51" s="33" t="str" cm="1">
        <f t="array" aca="1" ref="B51" ca="1">IF(COUNTIF(J:J,A51)=1,_xll.avmCdsSpreadForDate($Q$4,$Q$5,$Q$7,$Q$6,A51,$Q$1), IF(COUNTIF(J:J,A51)=0,$B$10,""))</f>
        <v/>
      </c>
      <c r="C51" s="77" t="str">
        <f t="shared" ca="1" si="4"/>
        <v/>
      </c>
      <c r="D51" s="107" t="str">
        <f t="shared" ca="1" si="5"/>
        <v/>
      </c>
      <c r="E51" s="33" t="str">
        <f ca="1">IF(COUNTIF($K$2:K1036,A51)=1,VLOOKUP(A51,K:L,2), IF(COUNTIF($K$2:K1036,A51)=0,$C$10,""))</f>
        <v/>
      </c>
      <c r="F51" s="77" t="str">
        <f t="shared" ca="1" si="6"/>
        <v/>
      </c>
      <c r="G51" s="107" t="str">
        <f t="shared" ca="1" si="7"/>
        <v/>
      </c>
      <c r="H51" s="55" t="str">
        <f t="shared" ca="1" si="8"/>
        <v/>
      </c>
      <c r="J51" s="71"/>
      <c r="K51" s="71"/>
      <c r="M51" s="95" t="str">
        <f t="shared" si="0"/>
        <v/>
      </c>
      <c r="N51" s="95" t="str">
        <f t="shared" si="1"/>
        <v/>
      </c>
    </row>
    <row r="52" spans="1:14" x14ac:dyDescent="0.25">
      <c r="A52" s="98" t="str">
        <f t="shared" ca="1" si="3"/>
        <v/>
      </c>
      <c r="B52" s="33" t="str" cm="1">
        <f t="array" aca="1" ref="B52" ca="1">IF(COUNTIF(J:J,A52)=1,_xll.avmCdsSpreadForDate($Q$4,$Q$5,$Q$7,$Q$6,A52,$Q$1), IF(COUNTIF(J:J,A52)=0,$B$10,""))</f>
        <v/>
      </c>
      <c r="C52" s="77" t="str">
        <f t="shared" ca="1" si="4"/>
        <v/>
      </c>
      <c r="D52" s="107" t="str">
        <f t="shared" ca="1" si="5"/>
        <v/>
      </c>
      <c r="E52" s="33" t="str">
        <f ca="1">IF(COUNTIF($K$2:K1037,A52)=1,VLOOKUP(A52,K:L,2), IF(COUNTIF($K$2:K1037,A52)=0,$C$10,""))</f>
        <v/>
      </c>
      <c r="F52" s="77" t="str">
        <f t="shared" ca="1" si="6"/>
        <v/>
      </c>
      <c r="G52" s="107" t="str">
        <f t="shared" ca="1" si="7"/>
        <v/>
      </c>
      <c r="H52" s="55" t="str">
        <f t="shared" ca="1" si="8"/>
        <v/>
      </c>
      <c r="J52" s="71"/>
      <c r="K52" s="71"/>
      <c r="M52" s="95" t="str">
        <f t="shared" si="0"/>
        <v/>
      </c>
      <c r="N52" s="95" t="str">
        <f t="shared" si="1"/>
        <v/>
      </c>
    </row>
    <row r="53" spans="1:14" x14ac:dyDescent="0.25">
      <c r="A53" s="98" t="str">
        <f t="shared" ca="1" si="3"/>
        <v/>
      </c>
      <c r="B53" s="33" t="str" cm="1">
        <f t="array" aca="1" ref="B53" ca="1">IF(COUNTIF(J:J,A53)=1,_xll.avmCdsSpreadForDate($Q$4,$Q$5,$Q$7,$Q$6,A53,$Q$1), IF(COUNTIF(J:J,A53)=0,$B$10,""))</f>
        <v/>
      </c>
      <c r="C53" s="77" t="str">
        <f t="shared" ca="1" si="4"/>
        <v/>
      </c>
      <c r="D53" s="107" t="str">
        <f t="shared" ca="1" si="5"/>
        <v/>
      </c>
      <c r="E53" s="33" t="str">
        <f ca="1">IF(COUNTIF($K$2:K1038,A53)=1,VLOOKUP(A53,K:L,2), IF(COUNTIF($K$2:K1038,A53)=0,$C$10,""))</f>
        <v/>
      </c>
      <c r="F53" s="77" t="str">
        <f t="shared" ca="1" si="6"/>
        <v/>
      </c>
      <c r="G53" s="107" t="str">
        <f t="shared" ca="1" si="7"/>
        <v/>
      </c>
      <c r="H53" s="55" t="str">
        <f t="shared" ca="1" si="8"/>
        <v/>
      </c>
      <c r="J53" s="71"/>
      <c r="K53" s="71"/>
      <c r="M53" s="95" t="str">
        <f t="shared" si="0"/>
        <v/>
      </c>
      <c r="N53" s="95" t="str">
        <f t="shared" si="1"/>
        <v/>
      </c>
    </row>
    <row r="54" spans="1:14" x14ac:dyDescent="0.25">
      <c r="A54" s="98" t="str">
        <f t="shared" ca="1" si="3"/>
        <v/>
      </c>
      <c r="B54" s="33" t="str" cm="1">
        <f t="array" aca="1" ref="B54" ca="1">IF(COUNTIF(J:J,A54)=1,_xll.avmCdsSpreadForDate($Q$4,$Q$5,$Q$7,$Q$6,A54,$Q$1), IF(COUNTIF(J:J,A54)=0,$B$10,""))</f>
        <v/>
      </c>
      <c r="C54" s="77" t="str">
        <f t="shared" ca="1" si="4"/>
        <v/>
      </c>
      <c r="D54" s="107" t="str">
        <f t="shared" ca="1" si="5"/>
        <v/>
      </c>
      <c r="E54" s="33" t="str">
        <f ca="1">IF(COUNTIF($K$2:K1039,A54)=1,VLOOKUP(A54,K:L,2), IF(COUNTIF($K$2:K1039,A54)=0,$C$10,""))</f>
        <v/>
      </c>
      <c r="F54" s="77" t="str">
        <f t="shared" ca="1" si="6"/>
        <v/>
      </c>
      <c r="G54" s="107" t="str">
        <f t="shared" ca="1" si="7"/>
        <v/>
      </c>
      <c r="H54" s="55" t="str">
        <f t="shared" ca="1" si="8"/>
        <v/>
      </c>
      <c r="J54" s="71"/>
      <c r="K54" s="71"/>
      <c r="M54" s="95" t="str">
        <f t="shared" si="0"/>
        <v/>
      </c>
      <c r="N54" s="95" t="str">
        <f t="shared" si="1"/>
        <v/>
      </c>
    </row>
    <row r="55" spans="1:14" x14ac:dyDescent="0.25">
      <c r="A55" s="98" t="str">
        <f t="shared" ca="1" si="3"/>
        <v/>
      </c>
      <c r="B55" s="33" t="str" cm="1">
        <f t="array" aca="1" ref="B55" ca="1">IF(COUNTIF(J:J,A55)=1,_xll.avmCdsSpreadForDate($Q$4,$Q$5,$Q$7,$Q$6,A55,$Q$1), IF(COUNTIF(J:J,A55)=0,$B$10,""))</f>
        <v/>
      </c>
      <c r="C55" s="77" t="str">
        <f t="shared" ca="1" si="4"/>
        <v/>
      </c>
      <c r="D55" s="107" t="str">
        <f t="shared" ca="1" si="5"/>
        <v/>
      </c>
      <c r="E55" s="33" t="str">
        <f ca="1">IF(COUNTIF($K$2:K1040,A55)=1,VLOOKUP(A55,K:L,2), IF(COUNTIF($K$2:K1040,A55)=0,$C$10,""))</f>
        <v/>
      </c>
      <c r="F55" s="77" t="str">
        <f t="shared" ca="1" si="6"/>
        <v/>
      </c>
      <c r="G55" s="107" t="str">
        <f t="shared" ca="1" si="7"/>
        <v/>
      </c>
      <c r="H55" s="55" t="str">
        <f t="shared" ca="1" si="8"/>
        <v/>
      </c>
      <c r="J55" s="71"/>
      <c r="K55" s="71"/>
      <c r="M55" s="95" t="str">
        <f t="shared" si="0"/>
        <v/>
      </c>
      <c r="N55" s="95" t="str">
        <f t="shared" si="1"/>
        <v/>
      </c>
    </row>
    <row r="56" spans="1:14" x14ac:dyDescent="0.25">
      <c r="A56" s="98" t="str">
        <f t="shared" ca="1" si="3"/>
        <v/>
      </c>
      <c r="B56" s="33" t="str" cm="1">
        <f t="array" aca="1" ref="B56" ca="1">IF(COUNTIF(J:J,A56)=1,_xll.avmCdsSpreadForDate($Q$4,$Q$5,$Q$7,$Q$6,A56,$Q$1), IF(COUNTIF(J:J,A56)=0,$B$10,""))</f>
        <v/>
      </c>
      <c r="C56" s="77" t="str">
        <f t="shared" ca="1" si="4"/>
        <v/>
      </c>
      <c r="D56" s="107" t="str">
        <f t="shared" ca="1" si="5"/>
        <v/>
      </c>
      <c r="E56" s="33" t="str">
        <f ca="1">IF(COUNTIF($K$2:K1041,A56)=1,VLOOKUP(A56,K:L,2), IF(COUNTIF($K$2:K1041,A56)=0,$C$10,""))</f>
        <v/>
      </c>
      <c r="F56" s="77" t="str">
        <f t="shared" ca="1" si="6"/>
        <v/>
      </c>
      <c r="G56" s="107" t="str">
        <f t="shared" ca="1" si="7"/>
        <v/>
      </c>
      <c r="H56" s="55" t="str">
        <f t="shared" ca="1" si="8"/>
        <v/>
      </c>
      <c r="J56" s="71"/>
      <c r="K56" s="71"/>
      <c r="M56" s="95" t="str">
        <f t="shared" si="0"/>
        <v/>
      </c>
      <c r="N56" s="95" t="str">
        <f t="shared" si="1"/>
        <v/>
      </c>
    </row>
    <row r="57" spans="1:14" x14ac:dyDescent="0.25">
      <c r="A57" s="98" t="str">
        <f t="shared" ca="1" si="3"/>
        <v/>
      </c>
      <c r="B57" s="33" t="str" cm="1">
        <f t="array" aca="1" ref="B57" ca="1">IF(COUNTIF(J:J,A57)=1,_xll.avmCdsSpreadForDate($Q$4,$Q$5,$Q$7,$Q$6,A57,$Q$1), IF(COUNTIF(J:J,A57)=0,$B$10,""))</f>
        <v/>
      </c>
      <c r="C57" s="77" t="str">
        <f t="shared" ca="1" si="4"/>
        <v/>
      </c>
      <c r="D57" s="107" t="str">
        <f t="shared" ca="1" si="5"/>
        <v/>
      </c>
      <c r="E57" s="33" t="str">
        <f ca="1">IF(COUNTIF($K$2:K1042,A57)=1,VLOOKUP(A57,K:L,2), IF(COUNTIF($K$2:K1042,A57)=0,$C$10,""))</f>
        <v/>
      </c>
      <c r="F57" s="77" t="str">
        <f t="shared" ca="1" si="6"/>
        <v/>
      </c>
      <c r="G57" s="107" t="str">
        <f t="shared" ca="1" si="7"/>
        <v/>
      </c>
      <c r="H57" s="55" t="str">
        <f t="shared" ca="1" si="8"/>
        <v/>
      </c>
      <c r="J57" s="71"/>
      <c r="K57" s="71"/>
      <c r="M57" s="95" t="str">
        <f t="shared" si="0"/>
        <v/>
      </c>
      <c r="N57" s="95" t="str">
        <f t="shared" si="1"/>
        <v/>
      </c>
    </row>
    <row r="58" spans="1:14" x14ac:dyDescent="0.25">
      <c r="A58" s="98" t="str">
        <f t="shared" ca="1" si="3"/>
        <v/>
      </c>
      <c r="B58" s="33" t="str" cm="1">
        <f t="array" aca="1" ref="B58" ca="1">IF(COUNTIF(J:J,A58)=1,_xll.avmCdsSpreadForDate($Q$4,$Q$5,$Q$7,$Q$6,A58,$Q$1), IF(COUNTIF(J:J,A58)=0,$B$10,""))</f>
        <v/>
      </c>
      <c r="C58" s="77" t="str">
        <f t="shared" ca="1" si="4"/>
        <v/>
      </c>
      <c r="D58" s="107" t="str">
        <f t="shared" ca="1" si="5"/>
        <v/>
      </c>
      <c r="E58" s="33" t="str">
        <f ca="1">IF(COUNTIF($K$2:K1043,A58)=1,VLOOKUP(A58,K:L,2), IF(COUNTIF($K$2:K1043,A58)=0,$C$10,""))</f>
        <v/>
      </c>
      <c r="F58" s="77" t="str">
        <f t="shared" ca="1" si="6"/>
        <v/>
      </c>
      <c r="G58" s="107" t="str">
        <f t="shared" ca="1" si="7"/>
        <v/>
      </c>
      <c r="H58" s="55" t="str">
        <f t="shared" ca="1" si="8"/>
        <v/>
      </c>
      <c r="J58" s="71"/>
      <c r="K58" s="71"/>
      <c r="M58" s="95" t="str">
        <f t="shared" si="0"/>
        <v/>
      </c>
      <c r="N58" s="95" t="str">
        <f t="shared" si="1"/>
        <v/>
      </c>
    </row>
    <row r="59" spans="1:14" x14ac:dyDescent="0.25">
      <c r="A59" s="98" t="str">
        <f t="shared" ca="1" si="3"/>
        <v/>
      </c>
      <c r="B59" s="33" t="str" cm="1">
        <f t="array" aca="1" ref="B59" ca="1">IF(COUNTIF(J:J,A59)=1,_xll.avmCdsSpreadForDate($Q$4,$Q$5,$Q$7,$Q$6,A59,$Q$1), IF(COUNTIF(J:J,A59)=0,$B$10,""))</f>
        <v/>
      </c>
      <c r="C59" s="77" t="str">
        <f t="shared" ca="1" si="4"/>
        <v/>
      </c>
      <c r="D59" s="107" t="str">
        <f t="shared" ca="1" si="5"/>
        <v/>
      </c>
      <c r="E59" s="33" t="str">
        <f ca="1">IF(COUNTIF($K$2:K1044,A59)=1,VLOOKUP(A59,K:L,2), IF(COUNTIF($K$2:K1044,A59)=0,$C$10,""))</f>
        <v/>
      </c>
      <c r="F59" s="77" t="str">
        <f t="shared" ca="1" si="6"/>
        <v/>
      </c>
      <c r="G59" s="107" t="str">
        <f t="shared" ca="1" si="7"/>
        <v/>
      </c>
      <c r="H59" s="55" t="str">
        <f t="shared" ca="1" si="8"/>
        <v/>
      </c>
      <c r="J59" s="71"/>
      <c r="K59" s="71"/>
      <c r="M59" s="95" t="str">
        <f t="shared" si="0"/>
        <v/>
      </c>
      <c r="N59" s="95" t="str">
        <f t="shared" si="1"/>
        <v/>
      </c>
    </row>
    <row r="60" spans="1:14" x14ac:dyDescent="0.25">
      <c r="A60" s="98" t="str">
        <f t="shared" ca="1" si="3"/>
        <v/>
      </c>
      <c r="B60" s="33" t="str" cm="1">
        <f t="array" aca="1" ref="B60" ca="1">IF(COUNTIF(J:J,A60)=1,_xll.avmCdsSpreadForDate($Q$4,$Q$5,$Q$7,$Q$6,A60,$Q$1), IF(COUNTIF(J:J,A60)=0,$B$10,""))</f>
        <v/>
      </c>
      <c r="C60" s="77" t="str">
        <f t="shared" ca="1" si="4"/>
        <v/>
      </c>
      <c r="D60" s="107" t="str">
        <f t="shared" ca="1" si="5"/>
        <v/>
      </c>
      <c r="E60" s="33" t="str">
        <f ca="1">IF(COUNTIF($K$2:K1045,A60)=1,VLOOKUP(A60,K:L,2), IF(COUNTIF($K$2:K1045,A60)=0,$C$10,""))</f>
        <v/>
      </c>
      <c r="F60" s="77" t="str">
        <f t="shared" ca="1" si="6"/>
        <v/>
      </c>
      <c r="G60" s="107" t="str">
        <f t="shared" ca="1" si="7"/>
        <v/>
      </c>
      <c r="H60" s="55" t="str">
        <f t="shared" ca="1" si="8"/>
        <v/>
      </c>
      <c r="J60" s="71"/>
      <c r="K60" s="71"/>
      <c r="M60" s="95" t="str">
        <f t="shared" si="0"/>
        <v/>
      </c>
      <c r="N60" s="95" t="str">
        <f t="shared" si="1"/>
        <v/>
      </c>
    </row>
    <row r="61" spans="1:14" x14ac:dyDescent="0.25">
      <c r="A61" s="98" t="str">
        <f t="shared" ca="1" si="3"/>
        <v/>
      </c>
      <c r="B61" s="33" t="str" cm="1">
        <f t="array" aca="1" ref="B61" ca="1">IF(COUNTIF(J:J,A61)=1,_xll.avmCdsSpreadForDate($Q$4,$Q$5,$Q$7,$Q$6,A61,$Q$1), IF(COUNTIF(J:J,A61)=0,$B$10,""))</f>
        <v/>
      </c>
      <c r="C61" s="77" t="str">
        <f t="shared" ca="1" si="4"/>
        <v/>
      </c>
      <c r="D61" s="107" t="str">
        <f t="shared" ca="1" si="5"/>
        <v/>
      </c>
      <c r="E61" s="33" t="str">
        <f ca="1">IF(COUNTIF($K$2:K1046,A61)=1,VLOOKUP(A61,K:L,2), IF(COUNTIF($K$2:K1046,A61)=0,$C$10,""))</f>
        <v/>
      </c>
      <c r="F61" s="77" t="str">
        <f t="shared" ca="1" si="6"/>
        <v/>
      </c>
      <c r="G61" s="107" t="str">
        <f t="shared" ca="1" si="7"/>
        <v/>
      </c>
      <c r="H61" s="55" t="str">
        <f t="shared" ca="1" si="8"/>
        <v/>
      </c>
      <c r="J61" s="71"/>
      <c r="K61" s="71"/>
      <c r="M61" s="95" t="str">
        <f t="shared" si="0"/>
        <v/>
      </c>
      <c r="N61" s="95" t="str">
        <f t="shared" si="1"/>
        <v/>
      </c>
    </row>
    <row r="62" spans="1:14" x14ac:dyDescent="0.25">
      <c r="A62" s="98" t="str">
        <f t="shared" ca="1" si="3"/>
        <v/>
      </c>
      <c r="B62" s="33" t="str" cm="1">
        <f t="array" aca="1" ref="B62" ca="1">IF(COUNTIF(J:J,A62)=1,_xll.avmCdsSpreadForDate($Q$4,$Q$5,$Q$7,$Q$6,A62,$Q$1), IF(COUNTIF(J:J,A62)=0,$B$10,""))</f>
        <v/>
      </c>
      <c r="C62" s="77" t="str">
        <f t="shared" ca="1" si="4"/>
        <v/>
      </c>
      <c r="D62" s="107" t="str">
        <f t="shared" ca="1" si="5"/>
        <v/>
      </c>
      <c r="E62" s="33" t="str">
        <f ca="1">IF(COUNTIF($K$2:K1047,A62)=1,VLOOKUP(A62,K:L,2), IF(COUNTIF($K$2:K1047,A62)=0,$C$10,""))</f>
        <v/>
      </c>
      <c r="F62" s="77" t="str">
        <f t="shared" ca="1" si="6"/>
        <v/>
      </c>
      <c r="G62" s="107" t="str">
        <f t="shared" ca="1" si="7"/>
        <v/>
      </c>
      <c r="H62" s="55" t="str">
        <f t="shared" ca="1" si="8"/>
        <v/>
      </c>
      <c r="J62" s="71"/>
      <c r="K62" s="71"/>
      <c r="M62" s="95" t="str">
        <f t="shared" si="0"/>
        <v/>
      </c>
      <c r="N62" s="95" t="str">
        <f t="shared" si="1"/>
        <v/>
      </c>
    </row>
    <row r="63" spans="1:14" x14ac:dyDescent="0.25">
      <c r="A63" s="98" t="str">
        <f t="shared" ca="1" si="3"/>
        <v/>
      </c>
      <c r="B63" s="33" t="str" cm="1">
        <f t="array" aca="1" ref="B63" ca="1">IF(COUNTIF(J:J,A63)=1,_xll.avmCdsSpreadForDate($Q$4,$Q$5,$Q$7,$Q$6,A63,$Q$1), IF(COUNTIF(J:J,A63)=0,$B$10,""))</f>
        <v/>
      </c>
      <c r="C63" s="77" t="str">
        <f t="shared" ca="1" si="4"/>
        <v/>
      </c>
      <c r="D63" s="107" t="str">
        <f t="shared" ca="1" si="5"/>
        <v/>
      </c>
      <c r="E63" s="33" t="str">
        <f ca="1">IF(COUNTIF($K$2:K1048,A63)=1,VLOOKUP(A63,K:L,2), IF(COUNTIF($K$2:K1048,A63)=0,$C$10,""))</f>
        <v/>
      </c>
      <c r="F63" s="77" t="str">
        <f t="shared" ca="1" si="6"/>
        <v/>
      </c>
      <c r="G63" s="107" t="str">
        <f t="shared" ca="1" si="7"/>
        <v/>
      </c>
      <c r="H63" s="55" t="str">
        <f t="shared" ca="1" si="8"/>
        <v/>
      </c>
      <c r="J63" s="71"/>
      <c r="K63" s="71"/>
      <c r="M63" s="95" t="str">
        <f t="shared" si="0"/>
        <v/>
      </c>
      <c r="N63" s="95" t="str">
        <f t="shared" si="1"/>
        <v/>
      </c>
    </row>
    <row r="64" spans="1:14" x14ac:dyDescent="0.25">
      <c r="A64" s="98" t="str">
        <f t="shared" ca="1" si="3"/>
        <v/>
      </c>
      <c r="B64" s="33" t="str" cm="1">
        <f t="array" aca="1" ref="B64" ca="1">IF(COUNTIF(J:J,A64)=1,_xll.avmCdsSpreadForDate($Q$4,$Q$5,$Q$7,$Q$6,A64,$Q$1), IF(COUNTIF(J:J,A64)=0,$B$10,""))</f>
        <v/>
      </c>
      <c r="C64" s="77" t="str">
        <f t="shared" ca="1" si="4"/>
        <v/>
      </c>
      <c r="D64" s="107" t="str">
        <f t="shared" ca="1" si="5"/>
        <v/>
      </c>
      <c r="E64" s="33" t="str">
        <f ca="1">IF(COUNTIF($K$2:K1049,A64)=1,VLOOKUP(A64,K:L,2), IF(COUNTIF($K$2:K1049,A64)=0,$C$10,""))</f>
        <v/>
      </c>
      <c r="F64" s="77" t="str">
        <f t="shared" ca="1" si="6"/>
        <v/>
      </c>
      <c r="G64" s="107" t="str">
        <f t="shared" ca="1" si="7"/>
        <v/>
      </c>
      <c r="H64" s="55" t="str">
        <f t="shared" ca="1" si="8"/>
        <v/>
      </c>
      <c r="J64" s="71"/>
      <c r="K64" s="71"/>
      <c r="M64" s="95" t="str">
        <f t="shared" si="0"/>
        <v/>
      </c>
      <c r="N64" s="95" t="str">
        <f t="shared" si="1"/>
        <v/>
      </c>
    </row>
    <row r="65" spans="1:14" x14ac:dyDescent="0.25">
      <c r="A65" s="98" t="str">
        <f t="shared" ca="1" si="3"/>
        <v/>
      </c>
      <c r="B65" s="33" t="str" cm="1">
        <f t="array" aca="1" ref="B65" ca="1">IF(COUNTIF(J:J,A65)=1,_xll.avmCdsSpreadForDate($Q$4,$Q$5,$Q$7,$Q$6,A65,$Q$1), IF(COUNTIF(J:J,A65)=0,$B$10,""))</f>
        <v/>
      </c>
      <c r="C65" s="77" t="str">
        <f t="shared" ca="1" si="4"/>
        <v/>
      </c>
      <c r="D65" s="107" t="str">
        <f t="shared" ca="1" si="5"/>
        <v/>
      </c>
      <c r="E65" s="33" t="str">
        <f ca="1">IF(COUNTIF($K$2:K1050,A65)=1,VLOOKUP(A65,K:L,2), IF(COUNTIF($K$2:K1050,A65)=0,$C$10,""))</f>
        <v/>
      </c>
      <c r="F65" s="77" t="str">
        <f t="shared" ca="1" si="6"/>
        <v/>
      </c>
      <c r="G65" s="107" t="str">
        <f t="shared" ca="1" si="7"/>
        <v/>
      </c>
      <c r="H65" s="55" t="str">
        <f t="shared" ca="1" si="8"/>
        <v/>
      </c>
      <c r="J65" s="71"/>
      <c r="K65" s="71"/>
      <c r="M65" s="95" t="str">
        <f t="shared" si="0"/>
        <v/>
      </c>
      <c r="N65" s="95" t="str">
        <f t="shared" si="1"/>
        <v/>
      </c>
    </row>
    <row r="66" spans="1:14" x14ac:dyDescent="0.25">
      <c r="A66" s="98" t="str">
        <f t="shared" ca="1" si="3"/>
        <v/>
      </c>
      <c r="B66" s="33" t="str" cm="1">
        <f t="array" aca="1" ref="B66" ca="1">IF(COUNTIF(J:J,A66)=1,_xll.avmCdsSpreadForDate($Q$4,$Q$5,$Q$7,$Q$6,A66,$Q$1), IF(COUNTIF(J:J,A66)=0,$B$10,""))</f>
        <v/>
      </c>
      <c r="C66" s="77" t="str">
        <f t="shared" ca="1" si="4"/>
        <v/>
      </c>
      <c r="D66" s="107" t="str">
        <f t="shared" ca="1" si="5"/>
        <v/>
      </c>
      <c r="E66" s="33" t="str">
        <f ca="1">IF(COUNTIF($K$2:K1051,A66)=1,VLOOKUP(A66,K:L,2), IF(COUNTIF($K$2:K1051,A66)=0,$C$10,""))</f>
        <v/>
      </c>
      <c r="F66" s="77" t="str">
        <f t="shared" ca="1" si="6"/>
        <v/>
      </c>
      <c r="G66" s="107" t="str">
        <f t="shared" ca="1" si="7"/>
        <v/>
      </c>
      <c r="H66" s="55" t="str">
        <f t="shared" ca="1" si="8"/>
        <v/>
      </c>
      <c r="J66" s="71"/>
      <c r="K66" s="71"/>
      <c r="M66" s="95" t="str">
        <f t="shared" si="0"/>
        <v/>
      </c>
      <c r="N66" s="95" t="str">
        <f t="shared" si="1"/>
        <v/>
      </c>
    </row>
    <row r="67" spans="1:14" x14ac:dyDescent="0.25">
      <c r="A67" s="98" t="str">
        <f t="shared" ca="1" si="3"/>
        <v/>
      </c>
      <c r="B67" s="33" t="str" cm="1">
        <f t="array" aca="1" ref="B67" ca="1">IF(COUNTIF(J:J,A67)=1,_xll.avmCdsSpreadForDate($Q$4,$Q$5,$Q$7,$Q$6,A67,$Q$1), IF(COUNTIF(J:J,A67)=0,$B$10,""))</f>
        <v/>
      </c>
      <c r="C67" s="77" t="str">
        <f t="shared" ca="1" si="4"/>
        <v/>
      </c>
      <c r="D67" s="107" t="str">
        <f t="shared" ca="1" si="5"/>
        <v/>
      </c>
      <c r="E67" s="33" t="str">
        <f ca="1">IF(COUNTIF($K$2:K1052,A67)=1,VLOOKUP(A67,K:L,2), IF(COUNTIF($K$2:K1052,A67)=0,$C$10,""))</f>
        <v/>
      </c>
      <c r="F67" s="77" t="str">
        <f t="shared" ca="1" si="6"/>
        <v/>
      </c>
      <c r="G67" s="107" t="str">
        <f t="shared" ca="1" si="7"/>
        <v/>
      </c>
      <c r="H67" s="55" t="str">
        <f t="shared" ca="1" si="8"/>
        <v/>
      </c>
      <c r="J67" s="71"/>
      <c r="K67" s="71"/>
      <c r="M67" s="95" t="str">
        <f t="shared" ref="M67:M130" si="9">IF(COUNTIF(K:K,J67),J67,"")</f>
        <v/>
      </c>
      <c r="N67" s="95" t="str">
        <f t="shared" si="1"/>
        <v/>
      </c>
    </row>
    <row r="68" spans="1:14" x14ac:dyDescent="0.25">
      <c r="A68" s="98" t="str">
        <f t="shared" ca="1" si="3"/>
        <v/>
      </c>
      <c r="B68" s="33" t="str" cm="1">
        <f t="array" aca="1" ref="B68" ca="1">IF(COUNTIF(J:J,A68)=1,_xll.avmCdsSpreadForDate($Q$4,$Q$5,$Q$7,$Q$6,A68,$Q$1), IF(COUNTIF(J:J,A68)=0,$B$10,""))</f>
        <v/>
      </c>
      <c r="C68" s="77" t="str">
        <f t="shared" ca="1" si="4"/>
        <v/>
      </c>
      <c r="D68" s="107" t="str">
        <f t="shared" ca="1" si="5"/>
        <v/>
      </c>
      <c r="E68" s="33" t="str">
        <f ca="1">IF(COUNTIF($K$2:K1053,A68)=1,VLOOKUP(A68,K:L,2), IF(COUNTIF($K$2:K1053,A68)=0,$C$10,""))</f>
        <v/>
      </c>
      <c r="F68" s="77" t="str">
        <f t="shared" ca="1" si="6"/>
        <v/>
      </c>
      <c r="G68" s="107" t="str">
        <f t="shared" ca="1" si="7"/>
        <v/>
      </c>
      <c r="H68" s="55" t="str">
        <f t="shared" ca="1" si="8"/>
        <v/>
      </c>
      <c r="J68" s="71"/>
      <c r="K68" s="71"/>
      <c r="M68" s="95" t="str">
        <f t="shared" si="9"/>
        <v/>
      </c>
      <c r="N68" s="95" t="str">
        <f t="shared" ref="N68:N131" si="10">IF(M68&gt;$A$14,M68,"")</f>
        <v/>
      </c>
    </row>
    <row r="69" spans="1:14" x14ac:dyDescent="0.25">
      <c r="A69" s="98" t="str">
        <f t="shared" ca="1" si="3"/>
        <v/>
      </c>
      <c r="B69" s="33" t="str" cm="1">
        <f t="array" aca="1" ref="B69" ca="1">IF(COUNTIF(J:J,A69)=1,_xll.avmCdsSpreadForDate($Q$4,$Q$5,$Q$7,$Q$6,A69,$Q$1), IF(COUNTIF(J:J,A69)=0,$B$10,""))</f>
        <v/>
      </c>
      <c r="C69" s="77" t="str">
        <f t="shared" ca="1" si="4"/>
        <v/>
      </c>
      <c r="D69" s="107" t="str">
        <f t="shared" ca="1" si="5"/>
        <v/>
      </c>
      <c r="E69" s="33" t="str">
        <f ca="1">IF(COUNTIF($K$2:K1054,A69)=1,VLOOKUP(A69,K:L,2), IF(COUNTIF($K$2:K1054,A69)=0,$C$10,""))</f>
        <v/>
      </c>
      <c r="F69" s="77" t="str">
        <f t="shared" ca="1" si="6"/>
        <v/>
      </c>
      <c r="G69" s="107" t="str">
        <f t="shared" ca="1" si="7"/>
        <v/>
      </c>
      <c r="H69" s="55" t="str">
        <f t="shared" ca="1" si="8"/>
        <v/>
      </c>
      <c r="J69" s="71"/>
      <c r="K69" s="71"/>
      <c r="M69" s="95" t="str">
        <f t="shared" si="9"/>
        <v/>
      </c>
      <c r="N69" s="95" t="str">
        <f t="shared" si="10"/>
        <v/>
      </c>
    </row>
    <row r="70" spans="1:14" x14ac:dyDescent="0.25">
      <c r="A70" s="98" t="str">
        <f t="shared" ca="1" si="3"/>
        <v/>
      </c>
      <c r="B70" s="33" t="str" cm="1">
        <f t="array" aca="1" ref="B70" ca="1">IF(COUNTIF(J:J,A70)=1,_xll.avmCdsSpreadForDate($Q$4,$Q$5,$Q$7,$Q$6,A70,$Q$1), IF(COUNTIF(J:J,A70)=0,$B$10,""))</f>
        <v/>
      </c>
      <c r="C70" s="77" t="str">
        <f t="shared" ca="1" si="4"/>
        <v/>
      </c>
      <c r="D70" s="107" t="str">
        <f t="shared" ca="1" si="5"/>
        <v/>
      </c>
      <c r="E70" s="33" t="str">
        <f ca="1">IF(COUNTIF($K$2:K1055,A70)=1,VLOOKUP(A70,K:L,2), IF(COUNTIF($K$2:K1055,A70)=0,$C$10,""))</f>
        <v/>
      </c>
      <c r="F70" s="77" t="str">
        <f t="shared" ca="1" si="6"/>
        <v/>
      </c>
      <c r="G70" s="107" t="str">
        <f t="shared" ca="1" si="7"/>
        <v/>
      </c>
      <c r="H70" s="55" t="str">
        <f t="shared" ca="1" si="8"/>
        <v/>
      </c>
      <c r="J70" s="71"/>
      <c r="K70" s="71"/>
      <c r="M70" s="95" t="str">
        <f t="shared" si="9"/>
        <v/>
      </c>
      <c r="N70" s="95" t="str">
        <f t="shared" si="10"/>
        <v/>
      </c>
    </row>
    <row r="71" spans="1:14" x14ac:dyDescent="0.25">
      <c r="A71" s="98" t="str">
        <f t="shared" ca="1" si="3"/>
        <v/>
      </c>
      <c r="B71" s="33" t="str" cm="1">
        <f t="array" aca="1" ref="B71" ca="1">IF(COUNTIF(J:J,A71)=1,_xll.avmCdsSpreadForDate($Q$4,$Q$5,$Q$7,$Q$6,A71,$Q$1), IF(COUNTIF(J:J,A71)=0,$B$10,""))</f>
        <v/>
      </c>
      <c r="C71" s="77" t="str">
        <f t="shared" ca="1" si="4"/>
        <v/>
      </c>
      <c r="D71" s="107" t="str">
        <f t="shared" ca="1" si="5"/>
        <v/>
      </c>
      <c r="E71" s="33" t="str">
        <f ca="1">IF(COUNTIF($K$2:K1056,A71)=1,VLOOKUP(A71,K:L,2), IF(COUNTIF($K$2:K1056,A71)=0,$C$10,""))</f>
        <v/>
      </c>
      <c r="F71" s="77" t="str">
        <f t="shared" ca="1" si="6"/>
        <v/>
      </c>
      <c r="G71" s="107" t="str">
        <f t="shared" ca="1" si="7"/>
        <v/>
      </c>
      <c r="H71" s="55" t="str">
        <f t="shared" ca="1" si="8"/>
        <v/>
      </c>
      <c r="J71" s="71"/>
      <c r="K71" s="71"/>
      <c r="M71" s="95" t="str">
        <f t="shared" si="9"/>
        <v/>
      </c>
      <c r="N71" s="95" t="str">
        <f t="shared" si="10"/>
        <v/>
      </c>
    </row>
    <row r="72" spans="1:14" x14ac:dyDescent="0.25">
      <c r="A72" s="98" t="str">
        <f t="shared" ca="1" si="3"/>
        <v/>
      </c>
      <c r="B72" s="33" t="str" cm="1">
        <f t="array" aca="1" ref="B72" ca="1">IF(COUNTIF(J:J,A72)=1,_xll.avmCdsSpreadForDate($Q$4,$Q$5,$Q$7,$Q$6,A72,$Q$1), IF(COUNTIF(J:J,A72)=0,$B$10,""))</f>
        <v/>
      </c>
      <c r="C72" s="77" t="str">
        <f t="shared" ca="1" si="4"/>
        <v/>
      </c>
      <c r="D72" s="107" t="str">
        <f t="shared" ca="1" si="5"/>
        <v/>
      </c>
      <c r="E72" s="33" t="str">
        <f ca="1">IF(COUNTIF($K$2:K1057,A72)=1,VLOOKUP(A72,K:L,2), IF(COUNTIF($K$2:K1057,A72)=0,$C$10,""))</f>
        <v/>
      </c>
      <c r="F72" s="77" t="str">
        <f t="shared" ca="1" si="6"/>
        <v/>
      </c>
      <c r="G72" s="107" t="str">
        <f t="shared" ca="1" si="7"/>
        <v/>
      </c>
      <c r="H72" s="55" t="str">
        <f t="shared" ca="1" si="8"/>
        <v/>
      </c>
      <c r="J72" s="71"/>
      <c r="K72" s="71"/>
      <c r="M72" s="95" t="str">
        <f t="shared" si="9"/>
        <v/>
      </c>
      <c r="N72" s="95" t="str">
        <f t="shared" si="10"/>
        <v/>
      </c>
    </row>
    <row r="73" spans="1:14" x14ac:dyDescent="0.25">
      <c r="A73" s="98" t="str">
        <f t="shared" ca="1" si="3"/>
        <v/>
      </c>
      <c r="B73" s="33" t="str" cm="1">
        <f t="array" aca="1" ref="B73" ca="1">IF(COUNTIF(J:J,A73)=1,_xll.avmCdsSpreadForDate($Q$4,$Q$5,$Q$7,$Q$6,A73,$Q$1), IF(COUNTIF(J:J,A73)=0,$B$10,""))</f>
        <v/>
      </c>
      <c r="C73" s="77" t="str">
        <f t="shared" ca="1" si="4"/>
        <v/>
      </c>
      <c r="D73" s="107" t="str">
        <f t="shared" ca="1" si="5"/>
        <v/>
      </c>
      <c r="E73" s="33" t="str">
        <f ca="1">IF(COUNTIF($K$2:K1058,A73)=1,VLOOKUP(A73,K:L,2), IF(COUNTIF($K$2:K1058,A73)=0,$C$10,""))</f>
        <v/>
      </c>
      <c r="F73" s="77" t="str">
        <f t="shared" ca="1" si="6"/>
        <v/>
      </c>
      <c r="G73" s="107" t="str">
        <f t="shared" ca="1" si="7"/>
        <v/>
      </c>
      <c r="H73" s="55" t="str">
        <f t="shared" ca="1" si="8"/>
        <v/>
      </c>
      <c r="J73" s="71"/>
      <c r="K73" s="71"/>
      <c r="M73" s="95" t="str">
        <f t="shared" si="9"/>
        <v/>
      </c>
      <c r="N73" s="95" t="str">
        <f t="shared" si="10"/>
        <v/>
      </c>
    </row>
    <row r="74" spans="1:14" x14ac:dyDescent="0.25">
      <c r="A74" s="98" t="str">
        <f t="shared" ca="1" si="3"/>
        <v/>
      </c>
      <c r="B74" s="33" t="str" cm="1">
        <f t="array" aca="1" ref="B74" ca="1">IF(COUNTIF(J:J,A74)=1,_xll.avmCdsSpreadForDate($Q$4,$Q$5,$Q$7,$Q$6,A74,$Q$1), IF(COUNTIF(J:J,A74)=0,$B$10,""))</f>
        <v/>
      </c>
      <c r="C74" s="77" t="str">
        <f t="shared" ca="1" si="4"/>
        <v/>
      </c>
      <c r="D74" s="107" t="str">
        <f t="shared" ca="1" si="5"/>
        <v/>
      </c>
      <c r="E74" s="33" t="str">
        <f ca="1">IF(COUNTIF($K$2:K1059,A74)=1,VLOOKUP(A74,K:L,2), IF(COUNTIF($K$2:K1059,A74)=0,$C$10,""))</f>
        <v/>
      </c>
      <c r="F74" s="77" t="str">
        <f t="shared" ca="1" si="6"/>
        <v/>
      </c>
      <c r="G74" s="107" t="str">
        <f t="shared" ca="1" si="7"/>
        <v/>
      </c>
      <c r="H74" s="55" t="str">
        <f t="shared" ca="1" si="8"/>
        <v/>
      </c>
      <c r="J74" s="71"/>
      <c r="K74" s="71"/>
      <c r="M74" s="95" t="str">
        <f t="shared" si="9"/>
        <v/>
      </c>
      <c r="N74" s="95" t="str">
        <f t="shared" si="10"/>
        <v/>
      </c>
    </row>
    <row r="75" spans="1:14" x14ac:dyDescent="0.25">
      <c r="A75" s="98" t="str">
        <f t="shared" ca="1" si="3"/>
        <v/>
      </c>
      <c r="B75" s="33" t="str" cm="1">
        <f t="array" aca="1" ref="B75" ca="1">IF(COUNTIF(J:J,A75)=1,_xll.avmCdsSpreadForDate($Q$4,$Q$5,$Q$7,$Q$6,A75,$Q$1), IF(COUNTIF(J:J,A75)=0,$B$10,""))</f>
        <v/>
      </c>
      <c r="C75" s="77" t="str">
        <f t="shared" ca="1" si="4"/>
        <v/>
      </c>
      <c r="D75" s="107" t="str">
        <f t="shared" ca="1" si="5"/>
        <v/>
      </c>
      <c r="E75" s="33" t="str">
        <f ca="1">IF(COUNTIF($K$2:K1060,A75)=1,VLOOKUP(A75,K:L,2), IF(COUNTIF($K$2:K1060,A75)=0,$C$10,""))</f>
        <v/>
      </c>
      <c r="F75" s="77" t="str">
        <f t="shared" ca="1" si="6"/>
        <v/>
      </c>
      <c r="G75" s="107" t="str">
        <f t="shared" ca="1" si="7"/>
        <v/>
      </c>
      <c r="H75" s="55" t="str">
        <f t="shared" ca="1" si="8"/>
        <v/>
      </c>
      <c r="J75" s="71"/>
      <c r="K75" s="71"/>
      <c r="M75" s="95" t="str">
        <f t="shared" si="9"/>
        <v/>
      </c>
      <c r="N75" s="95" t="str">
        <f t="shared" si="10"/>
        <v/>
      </c>
    </row>
    <row r="76" spans="1:14" x14ac:dyDescent="0.25">
      <c r="A76" s="98" t="str">
        <f t="shared" ca="1" si="3"/>
        <v/>
      </c>
      <c r="B76" s="33" t="str" cm="1">
        <f t="array" aca="1" ref="B76" ca="1">IF(COUNTIF(J:J,A76)=1,_xll.avmCdsSpreadForDate($Q$4,$Q$5,$Q$7,$Q$6,A76,$Q$1), IF(COUNTIF(J:J,A76)=0,$B$10,""))</f>
        <v/>
      </c>
      <c r="C76" s="77" t="str">
        <f t="shared" ca="1" si="4"/>
        <v/>
      </c>
      <c r="D76" s="107" t="str">
        <f t="shared" ca="1" si="5"/>
        <v/>
      </c>
      <c r="E76" s="33" t="str">
        <f ca="1">IF(COUNTIF($K$2:K1061,A76)=1,VLOOKUP(A76,K:L,2), IF(COUNTIF($K$2:K1061,A76)=0,$C$10,""))</f>
        <v/>
      </c>
      <c r="F76" s="77" t="str">
        <f t="shared" ca="1" si="6"/>
        <v/>
      </c>
      <c r="G76" s="107" t="str">
        <f t="shared" ca="1" si="7"/>
        <v/>
      </c>
      <c r="H76" s="55" t="str">
        <f t="shared" ca="1" si="8"/>
        <v/>
      </c>
      <c r="J76" s="71"/>
      <c r="K76" s="71"/>
      <c r="M76" s="95" t="str">
        <f t="shared" si="9"/>
        <v/>
      </c>
      <c r="N76" s="95" t="str">
        <f t="shared" si="10"/>
        <v/>
      </c>
    </row>
    <row r="77" spans="1:14" x14ac:dyDescent="0.25">
      <c r="A77" s="98" t="str">
        <f t="shared" ca="1" si="3"/>
        <v/>
      </c>
      <c r="B77" s="33" t="str" cm="1">
        <f t="array" aca="1" ref="B77" ca="1">IF(COUNTIF(J:J,A77)=1,_xll.avmCdsSpreadForDate($Q$4,$Q$5,$Q$7,$Q$6,A77,$Q$1), IF(COUNTIF(J:J,A77)=0,$B$10,""))</f>
        <v/>
      </c>
      <c r="C77" s="77" t="str">
        <f t="shared" ca="1" si="4"/>
        <v/>
      </c>
      <c r="D77" s="107" t="str">
        <f t="shared" ca="1" si="5"/>
        <v/>
      </c>
      <c r="E77" s="33" t="str">
        <f ca="1">IF(COUNTIF($K$2:K1062,A77)=1,VLOOKUP(A77,K:L,2), IF(COUNTIF($K$2:K1062,A77)=0,$C$10,""))</f>
        <v/>
      </c>
      <c r="F77" s="77" t="str">
        <f t="shared" ca="1" si="6"/>
        <v/>
      </c>
      <c r="G77" s="107" t="str">
        <f t="shared" ca="1" si="7"/>
        <v/>
      </c>
      <c r="H77" s="55" t="str">
        <f t="shared" ca="1" si="8"/>
        <v/>
      </c>
      <c r="J77" s="71"/>
      <c r="K77" s="71"/>
      <c r="M77" s="95" t="str">
        <f t="shared" si="9"/>
        <v/>
      </c>
      <c r="N77" s="95" t="str">
        <f t="shared" si="10"/>
        <v/>
      </c>
    </row>
    <row r="78" spans="1:14" x14ac:dyDescent="0.25">
      <c r="A78" s="98" t="str">
        <f t="shared" ca="1" si="3"/>
        <v/>
      </c>
      <c r="B78" s="33" t="str" cm="1">
        <f t="array" aca="1" ref="B78" ca="1">IF(COUNTIF(J:J,A78)=1,_xll.avmCdsSpreadForDate($Q$4,$Q$5,$Q$7,$Q$6,A78,$Q$1), IF(COUNTIF(J:J,A78)=0,$B$10,""))</f>
        <v/>
      </c>
      <c r="C78" s="77" t="str">
        <f t="shared" ca="1" si="4"/>
        <v/>
      </c>
      <c r="D78" s="107" t="str">
        <f t="shared" ca="1" si="5"/>
        <v/>
      </c>
      <c r="E78" s="33" t="str">
        <f ca="1">IF(COUNTIF($K$2:K1063,A78)=1,VLOOKUP(A78,K:L,2), IF(COUNTIF($K$2:K1063,A78)=0,$C$10,""))</f>
        <v/>
      </c>
      <c r="F78" s="77" t="str">
        <f t="shared" ca="1" si="6"/>
        <v/>
      </c>
      <c r="G78" s="107" t="str">
        <f t="shared" ca="1" si="7"/>
        <v/>
      </c>
      <c r="H78" s="55" t="str">
        <f t="shared" ca="1" si="8"/>
        <v/>
      </c>
      <c r="J78" s="71"/>
      <c r="K78" s="71"/>
      <c r="M78" s="95" t="str">
        <f t="shared" si="9"/>
        <v/>
      </c>
      <c r="N78" s="95" t="str">
        <f t="shared" si="10"/>
        <v/>
      </c>
    </row>
    <row r="79" spans="1:14" x14ac:dyDescent="0.25">
      <c r="A79" s="98" t="str">
        <f t="shared" ca="1" si="3"/>
        <v/>
      </c>
      <c r="B79" s="33" t="str" cm="1">
        <f t="array" aca="1" ref="B79" ca="1">IF(COUNTIF(J:J,A79)=1,_xll.avmCdsSpreadForDate($Q$4,$Q$5,$Q$7,$Q$6,A79,$Q$1), IF(COUNTIF(J:J,A79)=0,$B$10,""))</f>
        <v/>
      </c>
      <c r="C79" s="77" t="str">
        <f t="shared" ca="1" si="4"/>
        <v/>
      </c>
      <c r="D79" s="107" t="str">
        <f t="shared" ca="1" si="5"/>
        <v/>
      </c>
      <c r="E79" s="33" t="str">
        <f ca="1">IF(COUNTIF($K$2:K1064,A79)=1,VLOOKUP(A79,K:L,2), IF(COUNTIF($K$2:K1064,A79)=0,$C$10,""))</f>
        <v/>
      </c>
      <c r="F79" s="77" t="str">
        <f t="shared" ca="1" si="6"/>
        <v/>
      </c>
      <c r="G79" s="107" t="str">
        <f t="shared" ca="1" si="7"/>
        <v/>
      </c>
      <c r="H79" s="55" t="str">
        <f t="shared" ref="H79:H110" ca="1" si="11">IF(ISERROR(B79-2),"",$B$9*(-1*(C79+D79))+F79+G79)</f>
        <v/>
      </c>
      <c r="J79" s="71"/>
      <c r="K79" s="71"/>
      <c r="M79" s="95" t="str">
        <f t="shared" si="9"/>
        <v/>
      </c>
      <c r="N79" s="95" t="str">
        <f t="shared" si="10"/>
        <v/>
      </c>
    </row>
    <row r="80" spans="1:14" x14ac:dyDescent="0.25">
      <c r="A80" s="98" t="str">
        <f t="shared" ref="A80:A136" ca="1" si="12">IF(AND(ISBLANK(O67), A79 = $O$1),NOW(),IF(ISBLANK(O67),"",O67))</f>
        <v/>
      </c>
      <c r="B80" s="33" t="str" cm="1">
        <f t="array" aca="1" ref="B80" ca="1">IF(COUNTIF(J:J,A80)=1,_xll.avmCdsSpreadForDate($Q$4,$Q$5,$Q$7,$Q$6,A80,$Q$1), IF(COUNTIF(J:J,A80)=0,$B$10,""))</f>
        <v/>
      </c>
      <c r="C80" s="77" t="str">
        <f t="shared" ref="C80:C136" ca="1" si="13">IF(ISERROR(B80-2),"",-1*(B80-$B$14)*10^-4*$B$8*$B$5)</f>
        <v/>
      </c>
      <c r="D80" s="107" t="str">
        <f t="shared" ref="D80:D136" ca="1" si="14">IF(ISERROR(B80-2),"",(INT(A80)-INT($A$14))/360*$B$6*$B$5)</f>
        <v/>
      </c>
      <c r="E80" s="33" t="str">
        <f ca="1">IF(COUNTIF($K$2:K1065,A80)=1,VLOOKUP(A80,K:L,2), IF(COUNTIF($K$2:K1065,A80)=0,$C$10,""))</f>
        <v/>
      </c>
      <c r="F80" s="77" t="str">
        <f t="shared" ref="F80:F136" ca="1" si="15">IF(ISERROR(B80-2),"",(E80-$E$14)/100*$C$5)</f>
        <v/>
      </c>
      <c r="G80" s="107" t="str">
        <f t="shared" ref="G80:G136" ca="1" si="16">IF(ISERROR(B80-2),"",(INT(A80)-INT($A$14))/360*$C$6*$C$5-(INT(A80)-INT($A$14))/360*$C$7*$C$5*$E$14/100)</f>
        <v/>
      </c>
      <c r="H80" s="55" t="str">
        <f t="shared" ca="1" si="11"/>
        <v/>
      </c>
      <c r="J80" s="71"/>
      <c r="K80" s="71"/>
      <c r="M80" s="95" t="str">
        <f t="shared" si="9"/>
        <v/>
      </c>
      <c r="N80" s="95" t="str">
        <f t="shared" si="10"/>
        <v/>
      </c>
    </row>
    <row r="81" spans="1:14" x14ac:dyDescent="0.25">
      <c r="A81" s="98" t="str">
        <f t="shared" ca="1" si="12"/>
        <v/>
      </c>
      <c r="B81" s="33" t="str" cm="1">
        <f t="array" aca="1" ref="B81" ca="1">IF(COUNTIF(J:J,A81)=1,_xll.avmCdsSpreadForDate($Q$4,$Q$5,$Q$7,$Q$6,A81,$Q$1), IF(COUNTIF(J:J,A81)=0,$B$10,""))</f>
        <v/>
      </c>
      <c r="C81" s="77" t="str">
        <f t="shared" ca="1" si="13"/>
        <v/>
      </c>
      <c r="D81" s="107" t="str">
        <f t="shared" ca="1" si="14"/>
        <v/>
      </c>
      <c r="E81" s="33" t="str">
        <f ca="1">IF(COUNTIF($K$2:K1066,A81)=1,VLOOKUP(A81,K:L,2), IF(COUNTIF($K$2:K1066,A81)=0,$C$10,""))</f>
        <v/>
      </c>
      <c r="F81" s="77" t="str">
        <f t="shared" ca="1" si="15"/>
        <v/>
      </c>
      <c r="G81" s="107" t="str">
        <f t="shared" ca="1" si="16"/>
        <v/>
      </c>
      <c r="H81" s="55" t="str">
        <f t="shared" ca="1" si="11"/>
        <v/>
      </c>
      <c r="J81" s="71"/>
      <c r="K81" s="71"/>
      <c r="M81" s="95" t="str">
        <f t="shared" si="9"/>
        <v/>
      </c>
      <c r="N81" s="95" t="str">
        <f t="shared" si="10"/>
        <v/>
      </c>
    </row>
    <row r="82" spans="1:14" x14ac:dyDescent="0.25">
      <c r="A82" s="98" t="str">
        <f t="shared" ca="1" si="12"/>
        <v/>
      </c>
      <c r="B82" s="33" t="str" cm="1">
        <f t="array" aca="1" ref="B82" ca="1">IF(COUNTIF(J:J,A82)=1,_xll.avmCdsSpreadForDate($Q$4,$Q$5,$Q$7,$Q$6,A82,$Q$1), IF(COUNTIF(J:J,A82)=0,$B$10,""))</f>
        <v/>
      </c>
      <c r="C82" s="77" t="str">
        <f t="shared" ca="1" si="13"/>
        <v/>
      </c>
      <c r="D82" s="107" t="str">
        <f t="shared" ca="1" si="14"/>
        <v/>
      </c>
      <c r="E82" s="33" t="str">
        <f ca="1">IF(COUNTIF($K$2:K1067,A82)=1,VLOOKUP(A82,K:L,2), IF(COUNTIF($K$2:K1067,A82)=0,$C$10,""))</f>
        <v/>
      </c>
      <c r="F82" s="77" t="str">
        <f t="shared" ca="1" si="15"/>
        <v/>
      </c>
      <c r="G82" s="107" t="str">
        <f t="shared" ca="1" si="16"/>
        <v/>
      </c>
      <c r="H82" s="55" t="str">
        <f t="shared" ca="1" si="11"/>
        <v/>
      </c>
      <c r="J82" s="71"/>
      <c r="K82" s="71"/>
      <c r="M82" s="95" t="str">
        <f t="shared" si="9"/>
        <v/>
      </c>
      <c r="N82" s="95" t="str">
        <f t="shared" si="10"/>
        <v/>
      </c>
    </row>
    <row r="83" spans="1:14" x14ac:dyDescent="0.25">
      <c r="A83" s="98" t="str">
        <f t="shared" ca="1" si="12"/>
        <v/>
      </c>
      <c r="B83" s="33" t="str" cm="1">
        <f t="array" aca="1" ref="B83" ca="1">IF(COUNTIF(J:J,A83)=1,_xll.avmCdsSpreadForDate($Q$4,$Q$5,$Q$7,$Q$6,A83,$Q$1), IF(COUNTIF(J:J,A83)=0,$B$10,""))</f>
        <v/>
      </c>
      <c r="C83" s="77" t="str">
        <f t="shared" ca="1" si="13"/>
        <v/>
      </c>
      <c r="D83" s="107" t="str">
        <f t="shared" ca="1" si="14"/>
        <v/>
      </c>
      <c r="E83" s="33" t="str">
        <f ca="1">IF(COUNTIF($K$2:K1068,A83)=1,VLOOKUP(A83,K:L,2), IF(COUNTIF($K$2:K1068,A83)=0,$C$10,""))</f>
        <v/>
      </c>
      <c r="F83" s="77" t="str">
        <f t="shared" ca="1" si="15"/>
        <v/>
      </c>
      <c r="G83" s="107" t="str">
        <f t="shared" ca="1" si="16"/>
        <v/>
      </c>
      <c r="H83" s="55" t="str">
        <f t="shared" ca="1" si="11"/>
        <v/>
      </c>
      <c r="J83" s="71"/>
      <c r="K83" s="71"/>
      <c r="M83" s="95" t="str">
        <f t="shared" si="9"/>
        <v/>
      </c>
      <c r="N83" s="95" t="str">
        <f t="shared" si="10"/>
        <v/>
      </c>
    </row>
    <row r="84" spans="1:14" x14ac:dyDescent="0.25">
      <c r="A84" s="98" t="str">
        <f t="shared" ca="1" si="12"/>
        <v/>
      </c>
      <c r="B84" s="33" t="str" cm="1">
        <f t="array" aca="1" ref="B84" ca="1">IF(COUNTIF(J:J,A84)=1,_xll.avmCdsSpreadForDate($Q$4,$Q$5,$Q$7,$Q$6,A84,$Q$1), IF(COUNTIF(J:J,A84)=0,$B$10,""))</f>
        <v/>
      </c>
      <c r="C84" s="77" t="str">
        <f t="shared" ca="1" si="13"/>
        <v/>
      </c>
      <c r="D84" s="107" t="str">
        <f t="shared" ca="1" si="14"/>
        <v/>
      </c>
      <c r="E84" s="33" t="str">
        <f ca="1">IF(COUNTIF($K$2:K1069,A84)=1,VLOOKUP(A84,K:L,2), IF(COUNTIF($K$2:K1069,A84)=0,$C$10,""))</f>
        <v/>
      </c>
      <c r="F84" s="77" t="str">
        <f t="shared" ca="1" si="15"/>
        <v/>
      </c>
      <c r="G84" s="107" t="str">
        <f t="shared" ca="1" si="16"/>
        <v/>
      </c>
      <c r="H84" s="55" t="str">
        <f t="shared" ca="1" si="11"/>
        <v/>
      </c>
      <c r="J84" s="71"/>
      <c r="K84" s="71"/>
      <c r="M84" s="95" t="str">
        <f t="shared" si="9"/>
        <v/>
      </c>
      <c r="N84" s="95" t="str">
        <f t="shared" si="10"/>
        <v/>
      </c>
    </row>
    <row r="85" spans="1:14" x14ac:dyDescent="0.25">
      <c r="A85" s="98" t="str">
        <f t="shared" ca="1" si="12"/>
        <v/>
      </c>
      <c r="B85" s="33" t="str" cm="1">
        <f t="array" aca="1" ref="B85" ca="1">IF(COUNTIF(J:J,A85)=1,_xll.avmCdsSpreadForDate($Q$4,$Q$5,$Q$7,$Q$6,A85,$Q$1), IF(COUNTIF(J:J,A85)=0,$B$10,""))</f>
        <v/>
      </c>
      <c r="C85" s="77" t="str">
        <f t="shared" ca="1" si="13"/>
        <v/>
      </c>
      <c r="D85" s="107" t="str">
        <f t="shared" ca="1" si="14"/>
        <v/>
      </c>
      <c r="E85" s="33" t="str">
        <f ca="1">IF(COUNTIF($K$2:K1070,A85)=1,VLOOKUP(A85,K:L,2), IF(COUNTIF($K$2:K1070,A85)=0,$C$10,""))</f>
        <v/>
      </c>
      <c r="F85" s="77" t="str">
        <f t="shared" ca="1" si="15"/>
        <v/>
      </c>
      <c r="G85" s="107" t="str">
        <f t="shared" ca="1" si="16"/>
        <v/>
      </c>
      <c r="H85" s="55" t="str">
        <f t="shared" ca="1" si="11"/>
        <v/>
      </c>
      <c r="J85" s="71"/>
      <c r="K85" s="71"/>
      <c r="M85" s="95" t="str">
        <f t="shared" si="9"/>
        <v/>
      </c>
      <c r="N85" s="95" t="str">
        <f t="shared" si="10"/>
        <v/>
      </c>
    </row>
    <row r="86" spans="1:14" x14ac:dyDescent="0.25">
      <c r="A86" s="98" t="str">
        <f t="shared" ca="1" si="12"/>
        <v/>
      </c>
      <c r="B86" s="33" t="str" cm="1">
        <f t="array" aca="1" ref="B86" ca="1">IF(COUNTIF(J:J,A86)=1,_xll.avmCdsSpreadForDate($Q$4,$Q$5,$Q$7,$Q$6,A86,$Q$1), IF(COUNTIF(J:J,A86)=0,$B$10,""))</f>
        <v/>
      </c>
      <c r="C86" s="77" t="str">
        <f t="shared" ca="1" si="13"/>
        <v/>
      </c>
      <c r="D86" s="107" t="str">
        <f t="shared" ca="1" si="14"/>
        <v/>
      </c>
      <c r="E86" s="33" t="str">
        <f ca="1">IF(COUNTIF($K$2:K1071,A86)=1,VLOOKUP(A86,K:L,2), IF(COUNTIF($K$2:K1071,A86)=0,$C$10,""))</f>
        <v/>
      </c>
      <c r="F86" s="77" t="str">
        <f t="shared" ca="1" si="15"/>
        <v/>
      </c>
      <c r="G86" s="107" t="str">
        <f t="shared" ca="1" si="16"/>
        <v/>
      </c>
      <c r="H86" s="55" t="str">
        <f t="shared" ca="1" si="11"/>
        <v/>
      </c>
      <c r="J86" s="71"/>
      <c r="K86" s="71"/>
      <c r="M86" s="95" t="str">
        <f t="shared" si="9"/>
        <v/>
      </c>
      <c r="N86" s="95" t="str">
        <f t="shared" si="10"/>
        <v/>
      </c>
    </row>
    <row r="87" spans="1:14" x14ac:dyDescent="0.25">
      <c r="A87" s="98" t="str">
        <f t="shared" ca="1" si="12"/>
        <v/>
      </c>
      <c r="B87" s="33" t="str" cm="1">
        <f t="array" aca="1" ref="B87" ca="1">IF(COUNTIF(J:J,A87)=1,_xll.avmCdsSpreadForDate($Q$4,$Q$5,$Q$7,$Q$6,A87,$Q$1), IF(COUNTIF(J:J,A87)=0,$B$10,""))</f>
        <v/>
      </c>
      <c r="C87" s="77" t="str">
        <f t="shared" ca="1" si="13"/>
        <v/>
      </c>
      <c r="D87" s="107" t="str">
        <f t="shared" ca="1" si="14"/>
        <v/>
      </c>
      <c r="E87" s="33" t="str">
        <f ca="1">IF(COUNTIF($K$2:K1072,A87)=1,VLOOKUP(A87,K:L,2), IF(COUNTIF($K$2:K1072,A87)=0,$C$10,""))</f>
        <v/>
      </c>
      <c r="F87" s="77" t="str">
        <f t="shared" ca="1" si="15"/>
        <v/>
      </c>
      <c r="G87" s="107" t="str">
        <f t="shared" ca="1" si="16"/>
        <v/>
      </c>
      <c r="H87" s="55" t="str">
        <f t="shared" ca="1" si="11"/>
        <v/>
      </c>
      <c r="J87" s="71"/>
      <c r="K87" s="71"/>
      <c r="M87" s="95" t="str">
        <f t="shared" si="9"/>
        <v/>
      </c>
      <c r="N87" s="95" t="str">
        <f t="shared" si="10"/>
        <v/>
      </c>
    </row>
    <row r="88" spans="1:14" x14ac:dyDescent="0.25">
      <c r="A88" s="98" t="str">
        <f t="shared" ca="1" si="12"/>
        <v/>
      </c>
      <c r="B88" s="33" t="str" cm="1">
        <f t="array" aca="1" ref="B88" ca="1">IF(COUNTIF(J:J,A88)=1,_xll.avmCdsSpreadForDate($Q$4,$Q$5,$Q$7,$Q$6,A88,$Q$1), IF(COUNTIF(J:J,A88)=0,$B$10,""))</f>
        <v/>
      </c>
      <c r="C88" s="77" t="str">
        <f t="shared" ca="1" si="13"/>
        <v/>
      </c>
      <c r="D88" s="107" t="str">
        <f t="shared" ca="1" si="14"/>
        <v/>
      </c>
      <c r="E88" s="33" t="str">
        <f ca="1">IF(COUNTIF($K$2:K1073,A88)=1,VLOOKUP(A88,K:L,2), IF(COUNTIF($K$2:K1073,A88)=0,$C$10,""))</f>
        <v/>
      </c>
      <c r="F88" s="77" t="str">
        <f t="shared" ca="1" si="15"/>
        <v/>
      </c>
      <c r="G88" s="107" t="str">
        <f t="shared" ca="1" si="16"/>
        <v/>
      </c>
      <c r="H88" s="55" t="str">
        <f t="shared" ca="1" si="11"/>
        <v/>
      </c>
      <c r="J88" s="71"/>
      <c r="K88" s="71"/>
      <c r="M88" s="95" t="str">
        <f t="shared" si="9"/>
        <v/>
      </c>
      <c r="N88" s="95" t="str">
        <f t="shared" si="10"/>
        <v/>
      </c>
    </row>
    <row r="89" spans="1:14" x14ac:dyDescent="0.25">
      <c r="A89" s="98" t="str">
        <f t="shared" ca="1" si="12"/>
        <v/>
      </c>
      <c r="B89" s="33" t="str" cm="1">
        <f t="array" aca="1" ref="B89" ca="1">IF(COUNTIF(J:J,A89)=1,_xll.avmCdsSpreadForDate($Q$4,$Q$5,$Q$7,$Q$6,A89,$Q$1), IF(COUNTIF(J:J,A89)=0,$B$10,""))</f>
        <v/>
      </c>
      <c r="C89" s="77" t="str">
        <f t="shared" ca="1" si="13"/>
        <v/>
      </c>
      <c r="D89" s="107" t="str">
        <f t="shared" ca="1" si="14"/>
        <v/>
      </c>
      <c r="E89" s="33" t="str">
        <f ca="1">IF(COUNTIF($K$2:K1074,A89)=1,VLOOKUP(A89,K:L,2), IF(COUNTIF($K$2:K1074,A89)=0,$C$10,""))</f>
        <v/>
      </c>
      <c r="F89" s="77" t="str">
        <f t="shared" ca="1" si="15"/>
        <v/>
      </c>
      <c r="G89" s="107" t="str">
        <f t="shared" ca="1" si="16"/>
        <v/>
      </c>
      <c r="H89" s="55" t="str">
        <f t="shared" ca="1" si="11"/>
        <v/>
      </c>
      <c r="J89" s="71"/>
      <c r="K89" s="71"/>
      <c r="M89" s="95" t="str">
        <f t="shared" si="9"/>
        <v/>
      </c>
      <c r="N89" s="95" t="str">
        <f t="shared" si="10"/>
        <v/>
      </c>
    </row>
    <row r="90" spans="1:14" x14ac:dyDescent="0.25">
      <c r="A90" s="98" t="str">
        <f t="shared" ca="1" si="12"/>
        <v/>
      </c>
      <c r="B90" s="33" t="str" cm="1">
        <f t="array" aca="1" ref="B90" ca="1">IF(COUNTIF(J:J,A90)=1,_xll.avmCdsSpreadForDate($Q$4,$Q$5,$Q$7,$Q$6,A90,$Q$1), IF(COUNTIF(J:J,A90)=0,$B$10,""))</f>
        <v/>
      </c>
      <c r="C90" s="77" t="str">
        <f t="shared" ca="1" si="13"/>
        <v/>
      </c>
      <c r="D90" s="107" t="str">
        <f t="shared" ca="1" si="14"/>
        <v/>
      </c>
      <c r="E90" s="33" t="str">
        <f ca="1">IF(COUNTIF($K$2:K1075,A90)=1,VLOOKUP(A90,K:L,2), IF(COUNTIF($K$2:K1075,A90)=0,$C$10,""))</f>
        <v/>
      </c>
      <c r="F90" s="77" t="str">
        <f t="shared" ca="1" si="15"/>
        <v/>
      </c>
      <c r="G90" s="107" t="str">
        <f t="shared" ca="1" si="16"/>
        <v/>
      </c>
      <c r="H90" s="55" t="str">
        <f t="shared" ca="1" si="11"/>
        <v/>
      </c>
      <c r="J90" s="71"/>
      <c r="K90" s="71"/>
      <c r="M90" s="95" t="str">
        <f t="shared" si="9"/>
        <v/>
      </c>
      <c r="N90" s="95" t="str">
        <f t="shared" si="10"/>
        <v/>
      </c>
    </row>
    <row r="91" spans="1:14" x14ac:dyDescent="0.25">
      <c r="A91" s="98" t="str">
        <f t="shared" ca="1" si="12"/>
        <v/>
      </c>
      <c r="B91" s="33" t="str" cm="1">
        <f t="array" aca="1" ref="B91" ca="1">IF(COUNTIF(J:J,A91)=1,_xll.avmCdsSpreadForDate($Q$4,$Q$5,$Q$7,$Q$6,A91,$Q$1), IF(COUNTIF(J:J,A91)=0,$B$10,""))</f>
        <v/>
      </c>
      <c r="C91" s="77" t="str">
        <f t="shared" ca="1" si="13"/>
        <v/>
      </c>
      <c r="D91" s="107" t="str">
        <f t="shared" ca="1" si="14"/>
        <v/>
      </c>
      <c r="E91" s="33" t="str">
        <f ca="1">IF(COUNTIF($K$2:K1076,A91)=1,VLOOKUP(A91,K:L,2), IF(COUNTIF($K$2:K1076,A91)=0,$C$10,""))</f>
        <v/>
      </c>
      <c r="F91" s="77" t="str">
        <f t="shared" ca="1" si="15"/>
        <v/>
      </c>
      <c r="G91" s="107" t="str">
        <f t="shared" ca="1" si="16"/>
        <v/>
      </c>
      <c r="H91" s="55" t="str">
        <f t="shared" ca="1" si="11"/>
        <v/>
      </c>
      <c r="J91" s="71"/>
      <c r="K91" s="71"/>
      <c r="M91" s="95" t="str">
        <f t="shared" si="9"/>
        <v/>
      </c>
      <c r="N91" s="95" t="str">
        <f t="shared" si="10"/>
        <v/>
      </c>
    </row>
    <row r="92" spans="1:14" x14ac:dyDescent="0.25">
      <c r="A92" s="98" t="str">
        <f t="shared" ca="1" si="12"/>
        <v/>
      </c>
      <c r="B92" s="33" t="str" cm="1">
        <f t="array" aca="1" ref="B92" ca="1">IF(COUNTIF(J:J,A92)=1,_xll.avmCdsSpreadForDate($Q$4,$Q$5,$Q$7,$Q$6,A92,$Q$1), IF(COUNTIF(J:J,A92)=0,$B$10,""))</f>
        <v/>
      </c>
      <c r="C92" s="77" t="str">
        <f t="shared" ca="1" si="13"/>
        <v/>
      </c>
      <c r="D92" s="107" t="str">
        <f t="shared" ca="1" si="14"/>
        <v/>
      </c>
      <c r="E92" s="33" t="str">
        <f ca="1">IF(COUNTIF($K$2:K1077,A92)=1,VLOOKUP(A92,K:L,2), IF(COUNTIF($K$2:K1077,A92)=0,$C$10,""))</f>
        <v/>
      </c>
      <c r="F92" s="77" t="str">
        <f t="shared" ca="1" si="15"/>
        <v/>
      </c>
      <c r="G92" s="107" t="str">
        <f t="shared" ca="1" si="16"/>
        <v/>
      </c>
      <c r="H92" s="55" t="str">
        <f t="shared" ca="1" si="11"/>
        <v/>
      </c>
      <c r="J92" s="71"/>
      <c r="K92" s="71"/>
      <c r="M92" s="95" t="str">
        <f t="shared" si="9"/>
        <v/>
      </c>
      <c r="N92" s="95" t="str">
        <f t="shared" si="10"/>
        <v/>
      </c>
    </row>
    <row r="93" spans="1:14" x14ac:dyDescent="0.25">
      <c r="A93" s="98" t="str">
        <f t="shared" ca="1" si="12"/>
        <v/>
      </c>
      <c r="B93" s="33" t="str" cm="1">
        <f t="array" aca="1" ref="B93" ca="1">IF(COUNTIF(J:J,A93)=1,_xll.avmCdsSpreadForDate($Q$4,$Q$5,$Q$7,$Q$6,A93,$Q$1), IF(COUNTIF(J:J,A93)=0,$B$10,""))</f>
        <v/>
      </c>
      <c r="C93" s="77" t="str">
        <f t="shared" ca="1" si="13"/>
        <v/>
      </c>
      <c r="D93" s="107" t="str">
        <f t="shared" ca="1" si="14"/>
        <v/>
      </c>
      <c r="E93" s="33" t="str">
        <f ca="1">IF(COUNTIF($K$2:K1078,A93)=1,VLOOKUP(A93,K:L,2), IF(COUNTIF($K$2:K1078,A93)=0,$C$10,""))</f>
        <v/>
      </c>
      <c r="F93" s="77" t="str">
        <f t="shared" ca="1" si="15"/>
        <v/>
      </c>
      <c r="G93" s="107" t="str">
        <f t="shared" ca="1" si="16"/>
        <v/>
      </c>
      <c r="H93" s="55" t="str">
        <f t="shared" ca="1" si="11"/>
        <v/>
      </c>
      <c r="J93" s="71"/>
      <c r="K93" s="71"/>
      <c r="M93" s="95" t="str">
        <f t="shared" si="9"/>
        <v/>
      </c>
      <c r="N93" s="95" t="str">
        <f t="shared" si="10"/>
        <v/>
      </c>
    </row>
    <row r="94" spans="1:14" x14ac:dyDescent="0.25">
      <c r="A94" s="98" t="str">
        <f t="shared" ca="1" si="12"/>
        <v/>
      </c>
      <c r="B94" s="33" t="str" cm="1">
        <f t="array" aca="1" ref="B94" ca="1">IF(COUNTIF(J:J,A94)=1,_xll.avmCdsSpreadForDate($Q$4,$Q$5,$Q$7,$Q$6,A94,$Q$1), IF(COUNTIF(J:J,A94)=0,$B$10,""))</f>
        <v/>
      </c>
      <c r="C94" s="77" t="str">
        <f t="shared" ca="1" si="13"/>
        <v/>
      </c>
      <c r="D94" s="107" t="str">
        <f t="shared" ca="1" si="14"/>
        <v/>
      </c>
      <c r="E94" s="33" t="str">
        <f ca="1">IF(COUNTIF($K$2:K1079,A94)=1,VLOOKUP(A94,K:L,2), IF(COUNTIF($K$2:K1079,A94)=0,$C$10,""))</f>
        <v/>
      </c>
      <c r="F94" s="77" t="str">
        <f t="shared" ca="1" si="15"/>
        <v/>
      </c>
      <c r="G94" s="107" t="str">
        <f t="shared" ca="1" si="16"/>
        <v/>
      </c>
      <c r="H94" s="55" t="str">
        <f t="shared" ca="1" si="11"/>
        <v/>
      </c>
      <c r="J94" s="71"/>
      <c r="K94" s="71"/>
      <c r="M94" s="95" t="str">
        <f t="shared" si="9"/>
        <v/>
      </c>
      <c r="N94" s="95" t="str">
        <f t="shared" si="10"/>
        <v/>
      </c>
    </row>
    <row r="95" spans="1:14" x14ac:dyDescent="0.25">
      <c r="A95" s="98" t="str">
        <f t="shared" ca="1" si="12"/>
        <v/>
      </c>
      <c r="B95" s="33" t="str" cm="1">
        <f t="array" aca="1" ref="B95" ca="1">IF(COUNTIF(J:J,A95)=1,_xll.avmCdsSpreadForDate($Q$4,$Q$5,$Q$7,$Q$6,A95,$Q$1), IF(COUNTIF(J:J,A95)=0,$B$10,""))</f>
        <v/>
      </c>
      <c r="C95" s="77" t="str">
        <f t="shared" ca="1" si="13"/>
        <v/>
      </c>
      <c r="D95" s="107" t="str">
        <f t="shared" ca="1" si="14"/>
        <v/>
      </c>
      <c r="E95" s="33" t="str">
        <f ca="1">IF(COUNTIF($K$2:K1080,A95)=1,VLOOKUP(A95,K:L,2), IF(COUNTIF($K$2:K1080,A95)=0,$C$10,""))</f>
        <v/>
      </c>
      <c r="F95" s="77" t="str">
        <f t="shared" ca="1" si="15"/>
        <v/>
      </c>
      <c r="G95" s="107" t="str">
        <f t="shared" ca="1" si="16"/>
        <v/>
      </c>
      <c r="H95" s="55" t="str">
        <f t="shared" ca="1" si="11"/>
        <v/>
      </c>
      <c r="J95" s="71"/>
      <c r="K95" s="71"/>
      <c r="M95" s="95" t="str">
        <f t="shared" si="9"/>
        <v/>
      </c>
      <c r="N95" s="95" t="str">
        <f t="shared" si="10"/>
        <v/>
      </c>
    </row>
    <row r="96" spans="1:14" x14ac:dyDescent="0.25">
      <c r="A96" s="98" t="str">
        <f t="shared" ca="1" si="12"/>
        <v/>
      </c>
      <c r="B96" s="33" t="str" cm="1">
        <f t="array" aca="1" ref="B96" ca="1">IF(COUNTIF(J:J,A96)=1,_xll.avmCdsSpreadForDate($Q$4,$Q$5,$Q$7,$Q$6,A96,$Q$1), IF(COUNTIF(J:J,A96)=0,$B$10,""))</f>
        <v/>
      </c>
      <c r="C96" s="77" t="str">
        <f t="shared" ca="1" si="13"/>
        <v/>
      </c>
      <c r="D96" s="107" t="str">
        <f t="shared" ca="1" si="14"/>
        <v/>
      </c>
      <c r="E96" s="33" t="str">
        <f ca="1">IF(COUNTIF($K$2:K1081,A96)=1,VLOOKUP(A96,K:L,2), IF(COUNTIF($K$2:K1081,A96)=0,$C$10,""))</f>
        <v/>
      </c>
      <c r="F96" s="77" t="str">
        <f t="shared" ca="1" si="15"/>
        <v/>
      </c>
      <c r="G96" s="107" t="str">
        <f t="shared" ca="1" si="16"/>
        <v/>
      </c>
      <c r="H96" s="55" t="str">
        <f t="shared" ca="1" si="11"/>
        <v/>
      </c>
      <c r="J96" s="71"/>
      <c r="K96" s="71"/>
      <c r="M96" s="95" t="str">
        <f t="shared" si="9"/>
        <v/>
      </c>
      <c r="N96" s="95" t="str">
        <f t="shared" si="10"/>
        <v/>
      </c>
    </row>
    <row r="97" spans="1:14" x14ac:dyDescent="0.25">
      <c r="A97" s="98" t="str">
        <f t="shared" ca="1" si="12"/>
        <v/>
      </c>
      <c r="B97" s="33" t="str" cm="1">
        <f t="array" aca="1" ref="B97" ca="1">IF(COUNTIF(J:J,A97)=1,_xll.avmCdsSpreadForDate($Q$4,$Q$5,$Q$7,$Q$6,A97,$Q$1), IF(COUNTIF(J:J,A97)=0,$B$10,""))</f>
        <v/>
      </c>
      <c r="C97" s="77" t="str">
        <f t="shared" ca="1" si="13"/>
        <v/>
      </c>
      <c r="D97" s="107" t="str">
        <f t="shared" ca="1" si="14"/>
        <v/>
      </c>
      <c r="E97" s="33" t="str">
        <f ca="1">IF(COUNTIF($K$2:K1082,A97)=1,VLOOKUP(A97,K:L,2), IF(COUNTIF($K$2:K1082,A97)=0,$C$10,""))</f>
        <v/>
      </c>
      <c r="F97" s="77" t="str">
        <f t="shared" ca="1" si="15"/>
        <v/>
      </c>
      <c r="G97" s="107" t="str">
        <f t="shared" ca="1" si="16"/>
        <v/>
      </c>
      <c r="H97" s="55" t="str">
        <f t="shared" ca="1" si="11"/>
        <v/>
      </c>
      <c r="J97" s="71"/>
      <c r="K97" s="71"/>
      <c r="M97" s="95" t="str">
        <f t="shared" si="9"/>
        <v/>
      </c>
      <c r="N97" s="95" t="str">
        <f t="shared" si="10"/>
        <v/>
      </c>
    </row>
    <row r="98" spans="1:14" x14ac:dyDescent="0.25">
      <c r="A98" s="98" t="str">
        <f t="shared" ca="1" si="12"/>
        <v/>
      </c>
      <c r="B98" s="33" t="str" cm="1">
        <f t="array" aca="1" ref="B98" ca="1">IF(COUNTIF(J:J,A98)=1,_xll.avmCdsSpreadForDate($Q$4,$Q$5,$Q$7,$Q$6,A98,$Q$1), IF(COUNTIF(J:J,A98)=0,$B$10,""))</f>
        <v/>
      </c>
      <c r="C98" s="77" t="str">
        <f t="shared" ca="1" si="13"/>
        <v/>
      </c>
      <c r="D98" s="107" t="str">
        <f t="shared" ca="1" si="14"/>
        <v/>
      </c>
      <c r="E98" s="33" t="str">
        <f ca="1">IF(COUNTIF($K$2:K1083,A98)=1,VLOOKUP(A98,K:L,2), IF(COUNTIF($K$2:K1083,A98)=0,$C$10,""))</f>
        <v/>
      </c>
      <c r="F98" s="77" t="str">
        <f t="shared" ca="1" si="15"/>
        <v/>
      </c>
      <c r="G98" s="107" t="str">
        <f t="shared" ca="1" si="16"/>
        <v/>
      </c>
      <c r="H98" s="55" t="str">
        <f t="shared" ca="1" si="11"/>
        <v/>
      </c>
      <c r="J98" s="71"/>
      <c r="K98" s="71"/>
      <c r="M98" s="95" t="str">
        <f t="shared" si="9"/>
        <v/>
      </c>
      <c r="N98" s="95" t="str">
        <f t="shared" si="10"/>
        <v/>
      </c>
    </row>
    <row r="99" spans="1:14" x14ac:dyDescent="0.25">
      <c r="A99" s="98" t="str">
        <f t="shared" ca="1" si="12"/>
        <v/>
      </c>
      <c r="B99" s="33" t="str" cm="1">
        <f t="array" aca="1" ref="B99" ca="1">IF(COUNTIF(J:J,A99)=1,_xll.avmCdsSpreadForDate($Q$4,$Q$5,$Q$7,$Q$6,A99,$Q$1), IF(COUNTIF(J:J,A99)=0,$B$10,""))</f>
        <v/>
      </c>
      <c r="C99" s="77" t="str">
        <f t="shared" ca="1" si="13"/>
        <v/>
      </c>
      <c r="D99" s="107" t="str">
        <f t="shared" ca="1" si="14"/>
        <v/>
      </c>
      <c r="E99" s="33" t="str">
        <f ca="1">IF(COUNTIF($K$2:K1084,A99)=1,VLOOKUP(A99,K:L,2), IF(COUNTIF($K$2:K1084,A99)=0,$C$10,""))</f>
        <v/>
      </c>
      <c r="F99" s="77" t="str">
        <f t="shared" ca="1" si="15"/>
        <v/>
      </c>
      <c r="G99" s="107" t="str">
        <f t="shared" ca="1" si="16"/>
        <v/>
      </c>
      <c r="H99" s="55" t="str">
        <f t="shared" ca="1" si="11"/>
        <v/>
      </c>
      <c r="J99" s="71"/>
      <c r="K99" s="71"/>
      <c r="M99" s="95" t="str">
        <f t="shared" si="9"/>
        <v/>
      </c>
      <c r="N99" s="95" t="str">
        <f t="shared" si="10"/>
        <v/>
      </c>
    </row>
    <row r="100" spans="1:14" x14ac:dyDescent="0.25">
      <c r="A100" s="98" t="str">
        <f t="shared" ca="1" si="12"/>
        <v/>
      </c>
      <c r="B100" s="33" t="str" cm="1">
        <f t="array" aca="1" ref="B100" ca="1">IF(COUNTIF(J:J,A100)=1,_xll.avmCdsSpreadForDate($Q$4,$Q$5,$Q$7,$Q$6,A100,$Q$1), IF(COUNTIF(J:J,A100)=0,$B$10,""))</f>
        <v/>
      </c>
      <c r="C100" s="77" t="str">
        <f t="shared" ca="1" si="13"/>
        <v/>
      </c>
      <c r="D100" s="107" t="str">
        <f t="shared" ca="1" si="14"/>
        <v/>
      </c>
      <c r="E100" s="33" t="str">
        <f ca="1">IF(COUNTIF($K$2:K1085,A100)=1,VLOOKUP(A100,K:L,2), IF(COUNTIF($K$2:K1085,A100)=0,$C$10,""))</f>
        <v/>
      </c>
      <c r="F100" s="77" t="str">
        <f t="shared" ca="1" si="15"/>
        <v/>
      </c>
      <c r="G100" s="107" t="str">
        <f t="shared" ca="1" si="16"/>
        <v/>
      </c>
      <c r="H100" s="55" t="str">
        <f t="shared" ca="1" si="11"/>
        <v/>
      </c>
      <c r="J100" s="71"/>
      <c r="K100" s="71"/>
      <c r="M100" s="95" t="str">
        <f t="shared" si="9"/>
        <v/>
      </c>
      <c r="N100" s="95" t="str">
        <f t="shared" si="10"/>
        <v/>
      </c>
    </row>
    <row r="101" spans="1:14" x14ac:dyDescent="0.25">
      <c r="A101" s="98" t="str">
        <f t="shared" ca="1" si="12"/>
        <v/>
      </c>
      <c r="B101" s="33" t="str" cm="1">
        <f t="array" aca="1" ref="B101" ca="1">IF(COUNTIF(J:J,A101)=1,_xll.avmCdsSpreadForDate($Q$4,$Q$5,$Q$7,$Q$6,A101,$Q$1), IF(COUNTIF(J:J,A101)=0,$B$10,""))</f>
        <v/>
      </c>
      <c r="C101" s="77" t="str">
        <f t="shared" ca="1" si="13"/>
        <v/>
      </c>
      <c r="D101" s="107" t="str">
        <f t="shared" ca="1" si="14"/>
        <v/>
      </c>
      <c r="E101" s="33" t="str">
        <f ca="1">IF(COUNTIF($K$2:K1086,A101)=1,VLOOKUP(A101,K:L,2), IF(COUNTIF($K$2:K1086,A101)=0,$C$10,""))</f>
        <v/>
      </c>
      <c r="F101" s="77" t="str">
        <f t="shared" ca="1" si="15"/>
        <v/>
      </c>
      <c r="G101" s="107" t="str">
        <f t="shared" ca="1" si="16"/>
        <v/>
      </c>
      <c r="H101" s="55" t="str">
        <f t="shared" ca="1" si="11"/>
        <v/>
      </c>
      <c r="J101" s="71"/>
      <c r="K101" s="71"/>
      <c r="M101" s="95" t="str">
        <f t="shared" si="9"/>
        <v/>
      </c>
      <c r="N101" s="95" t="str">
        <f t="shared" si="10"/>
        <v/>
      </c>
    </row>
    <row r="102" spans="1:14" x14ac:dyDescent="0.25">
      <c r="A102" s="98" t="str">
        <f t="shared" ca="1" si="12"/>
        <v/>
      </c>
      <c r="B102" s="33" t="str" cm="1">
        <f t="array" aca="1" ref="B102" ca="1">IF(COUNTIF(J:J,A102)=1,_xll.avmCdsSpreadForDate($Q$4,$Q$5,$Q$7,$Q$6,A102,$Q$1), IF(COUNTIF(J:J,A102)=0,$B$10,""))</f>
        <v/>
      </c>
      <c r="C102" s="77" t="str">
        <f t="shared" ca="1" si="13"/>
        <v/>
      </c>
      <c r="D102" s="107" t="str">
        <f t="shared" ca="1" si="14"/>
        <v/>
      </c>
      <c r="E102" s="33" t="str">
        <f ca="1">IF(COUNTIF($K$2:K1087,A102)=1,VLOOKUP(A102,K:L,2), IF(COUNTIF($K$2:K1087,A102)=0,$C$10,""))</f>
        <v/>
      </c>
      <c r="F102" s="77" t="str">
        <f t="shared" ca="1" si="15"/>
        <v/>
      </c>
      <c r="G102" s="107" t="str">
        <f t="shared" ca="1" si="16"/>
        <v/>
      </c>
      <c r="H102" s="55" t="str">
        <f t="shared" ca="1" si="11"/>
        <v/>
      </c>
      <c r="J102" s="71"/>
      <c r="K102" s="71"/>
      <c r="M102" s="95" t="str">
        <f t="shared" si="9"/>
        <v/>
      </c>
      <c r="N102" s="95" t="str">
        <f t="shared" si="10"/>
        <v/>
      </c>
    </row>
    <row r="103" spans="1:14" x14ac:dyDescent="0.25">
      <c r="A103" s="98" t="str">
        <f t="shared" ca="1" si="12"/>
        <v/>
      </c>
      <c r="B103" s="33" t="str" cm="1">
        <f t="array" aca="1" ref="B103" ca="1">IF(COUNTIF(J:J,A103)=1,_xll.avmCdsSpreadForDate($Q$4,$Q$5,$Q$7,$Q$6,A103,$Q$1), IF(COUNTIF(J:J,A103)=0,$B$10,""))</f>
        <v/>
      </c>
      <c r="C103" s="77" t="str">
        <f t="shared" ca="1" si="13"/>
        <v/>
      </c>
      <c r="D103" s="107" t="str">
        <f t="shared" ca="1" si="14"/>
        <v/>
      </c>
      <c r="E103" s="33" t="str">
        <f ca="1">IF(COUNTIF($K$2:K1088,A103)=1,VLOOKUP(A103,K:L,2), IF(COUNTIF($K$2:K1088,A103)=0,$C$10,""))</f>
        <v/>
      </c>
      <c r="F103" s="77" t="str">
        <f t="shared" ca="1" si="15"/>
        <v/>
      </c>
      <c r="G103" s="107" t="str">
        <f t="shared" ca="1" si="16"/>
        <v/>
      </c>
      <c r="H103" s="55" t="str">
        <f t="shared" ca="1" si="11"/>
        <v/>
      </c>
      <c r="J103" s="71"/>
      <c r="K103" s="71"/>
      <c r="M103" s="95" t="str">
        <f t="shared" si="9"/>
        <v/>
      </c>
      <c r="N103" s="95" t="str">
        <f t="shared" si="10"/>
        <v/>
      </c>
    </row>
    <row r="104" spans="1:14" x14ac:dyDescent="0.25">
      <c r="A104" s="98" t="str">
        <f t="shared" ca="1" si="12"/>
        <v/>
      </c>
      <c r="B104" s="33" t="str" cm="1">
        <f t="array" aca="1" ref="B104" ca="1">IF(COUNTIF(J:J,A104)=1,_xll.avmCdsSpreadForDate($Q$4,$Q$5,$Q$7,$Q$6,A104,$Q$1), IF(COUNTIF(J:J,A104)=0,$B$10,""))</f>
        <v/>
      </c>
      <c r="C104" s="77" t="str">
        <f t="shared" ca="1" si="13"/>
        <v/>
      </c>
      <c r="D104" s="107" t="str">
        <f t="shared" ca="1" si="14"/>
        <v/>
      </c>
      <c r="E104" s="33" t="str">
        <f ca="1">IF(COUNTIF($K$2:K1089,A104)=1,VLOOKUP(A104,K:L,2), IF(COUNTIF($K$2:K1089,A104)=0,$C$10,""))</f>
        <v/>
      </c>
      <c r="F104" s="77" t="str">
        <f t="shared" ca="1" si="15"/>
        <v/>
      </c>
      <c r="G104" s="107" t="str">
        <f t="shared" ca="1" si="16"/>
        <v/>
      </c>
      <c r="H104" s="55" t="str">
        <f t="shared" ca="1" si="11"/>
        <v/>
      </c>
      <c r="J104" s="71"/>
      <c r="K104" s="71"/>
      <c r="M104" s="95" t="str">
        <f t="shared" si="9"/>
        <v/>
      </c>
      <c r="N104" s="95" t="str">
        <f t="shared" si="10"/>
        <v/>
      </c>
    </row>
    <row r="105" spans="1:14" x14ac:dyDescent="0.25">
      <c r="A105" s="98" t="str">
        <f t="shared" ca="1" si="12"/>
        <v/>
      </c>
      <c r="B105" s="33" t="str" cm="1">
        <f t="array" aca="1" ref="B105" ca="1">IF(COUNTIF(J:J,A105)=1,_xll.avmCdsSpreadForDate($Q$4,$Q$5,$Q$7,$Q$6,A105,$Q$1), IF(COUNTIF(J:J,A105)=0,$B$10,""))</f>
        <v/>
      </c>
      <c r="C105" s="77" t="str">
        <f t="shared" ca="1" si="13"/>
        <v/>
      </c>
      <c r="D105" s="107" t="str">
        <f t="shared" ca="1" si="14"/>
        <v/>
      </c>
      <c r="E105" s="33" t="str">
        <f ca="1">IF(COUNTIF($K$2:K1090,A105)=1,VLOOKUP(A105,K:L,2), IF(COUNTIF($K$2:K1090,A105)=0,$C$10,""))</f>
        <v/>
      </c>
      <c r="F105" s="77" t="str">
        <f t="shared" ca="1" si="15"/>
        <v/>
      </c>
      <c r="G105" s="107" t="str">
        <f t="shared" ca="1" si="16"/>
        <v/>
      </c>
      <c r="H105" s="55" t="str">
        <f t="shared" ca="1" si="11"/>
        <v/>
      </c>
      <c r="J105" s="71"/>
      <c r="K105" s="71"/>
      <c r="M105" s="95" t="str">
        <f t="shared" si="9"/>
        <v/>
      </c>
      <c r="N105" s="95" t="str">
        <f t="shared" si="10"/>
        <v/>
      </c>
    </row>
    <row r="106" spans="1:14" x14ac:dyDescent="0.25">
      <c r="A106" s="98" t="str">
        <f t="shared" ca="1" si="12"/>
        <v/>
      </c>
      <c r="B106" s="33" t="str" cm="1">
        <f t="array" aca="1" ref="B106" ca="1">IF(COUNTIF(J:J,A106)=1,_xll.avmCdsSpreadForDate($Q$4,$Q$5,$Q$7,$Q$6,A106,$Q$1), IF(COUNTIF(J:J,A106)=0,$B$10,""))</f>
        <v/>
      </c>
      <c r="C106" s="77" t="str">
        <f t="shared" ca="1" si="13"/>
        <v/>
      </c>
      <c r="D106" s="107" t="str">
        <f t="shared" ca="1" si="14"/>
        <v/>
      </c>
      <c r="E106" s="33" t="str">
        <f ca="1">IF(COUNTIF($K$2:K1091,A106)=1,VLOOKUP(A106,K:L,2), IF(COUNTIF($K$2:K1091,A106)=0,$C$10,""))</f>
        <v/>
      </c>
      <c r="F106" s="77" t="str">
        <f t="shared" ca="1" si="15"/>
        <v/>
      </c>
      <c r="G106" s="107" t="str">
        <f t="shared" ca="1" si="16"/>
        <v/>
      </c>
      <c r="H106" s="55" t="str">
        <f t="shared" ca="1" si="11"/>
        <v/>
      </c>
      <c r="J106" s="71"/>
      <c r="K106" s="71"/>
      <c r="M106" s="95" t="str">
        <f t="shared" si="9"/>
        <v/>
      </c>
      <c r="N106" s="95" t="str">
        <f t="shared" si="10"/>
        <v/>
      </c>
    </row>
    <row r="107" spans="1:14" x14ac:dyDescent="0.25">
      <c r="A107" s="98" t="str">
        <f t="shared" ca="1" si="12"/>
        <v/>
      </c>
      <c r="B107" s="33" t="str" cm="1">
        <f t="array" aca="1" ref="B107" ca="1">IF(COUNTIF(J:J,A107)=1,_xll.avmCdsSpreadForDate($Q$4,$Q$5,$Q$7,$Q$6,A107,$Q$1), IF(COUNTIF(J:J,A107)=0,$B$10,""))</f>
        <v/>
      </c>
      <c r="C107" s="77" t="str">
        <f t="shared" ca="1" si="13"/>
        <v/>
      </c>
      <c r="D107" s="107" t="str">
        <f t="shared" ca="1" si="14"/>
        <v/>
      </c>
      <c r="E107" s="33" t="str">
        <f ca="1">IF(COUNTIF($K$2:K1092,A107)=1,VLOOKUP(A107,K:L,2), IF(COUNTIF($K$2:K1092,A107)=0,$C$10,""))</f>
        <v/>
      </c>
      <c r="F107" s="77" t="str">
        <f t="shared" ca="1" si="15"/>
        <v/>
      </c>
      <c r="G107" s="107" t="str">
        <f t="shared" ca="1" si="16"/>
        <v/>
      </c>
      <c r="H107" s="55" t="str">
        <f t="shared" ca="1" si="11"/>
        <v/>
      </c>
      <c r="J107" s="71"/>
      <c r="K107" s="71"/>
      <c r="M107" s="95" t="str">
        <f t="shared" si="9"/>
        <v/>
      </c>
      <c r="N107" s="95" t="str">
        <f t="shared" si="10"/>
        <v/>
      </c>
    </row>
    <row r="108" spans="1:14" x14ac:dyDescent="0.25">
      <c r="A108" s="98" t="str">
        <f t="shared" ca="1" si="12"/>
        <v/>
      </c>
      <c r="B108" s="33" t="str" cm="1">
        <f t="array" aca="1" ref="B108" ca="1">IF(COUNTIF(J:J,A108)=1,_xll.avmCdsSpreadForDate($Q$4,$Q$5,$Q$7,$Q$6,A108,$Q$1), IF(COUNTIF(J:J,A108)=0,$B$10,""))</f>
        <v/>
      </c>
      <c r="C108" s="77" t="str">
        <f t="shared" ca="1" si="13"/>
        <v/>
      </c>
      <c r="D108" s="107" t="str">
        <f t="shared" ca="1" si="14"/>
        <v/>
      </c>
      <c r="E108" s="33" t="str">
        <f ca="1">IF(COUNTIF($K$2:K1093,A108)=1,VLOOKUP(A108,K:L,2), IF(COUNTIF($K$2:K1093,A108)=0,$C$10,""))</f>
        <v/>
      </c>
      <c r="F108" s="77" t="str">
        <f t="shared" ca="1" si="15"/>
        <v/>
      </c>
      <c r="G108" s="107" t="str">
        <f t="shared" ca="1" si="16"/>
        <v/>
      </c>
      <c r="H108" s="55" t="str">
        <f t="shared" ca="1" si="11"/>
        <v/>
      </c>
      <c r="J108" s="71"/>
      <c r="K108" s="71"/>
      <c r="M108" s="95" t="str">
        <f t="shared" si="9"/>
        <v/>
      </c>
      <c r="N108" s="95" t="str">
        <f t="shared" si="10"/>
        <v/>
      </c>
    </row>
    <row r="109" spans="1:14" x14ac:dyDescent="0.25">
      <c r="A109" s="98" t="str">
        <f t="shared" ca="1" si="12"/>
        <v/>
      </c>
      <c r="B109" s="33" t="str" cm="1">
        <f t="array" aca="1" ref="B109" ca="1">IF(COUNTIF(J:J,A109)=1,_xll.avmCdsSpreadForDate($Q$4,$Q$5,$Q$7,$Q$6,A109,$Q$1), IF(COUNTIF(J:J,A109)=0,$B$10,""))</f>
        <v/>
      </c>
      <c r="C109" s="77" t="str">
        <f t="shared" ca="1" si="13"/>
        <v/>
      </c>
      <c r="D109" s="107" t="str">
        <f t="shared" ca="1" si="14"/>
        <v/>
      </c>
      <c r="E109" s="33" t="str">
        <f ca="1">IF(COUNTIF($K$2:K1094,A109)=1,VLOOKUP(A109,K:L,2), IF(COUNTIF($K$2:K1094,A109)=0,$C$10,""))</f>
        <v/>
      </c>
      <c r="F109" s="77" t="str">
        <f t="shared" ca="1" si="15"/>
        <v/>
      </c>
      <c r="G109" s="107" t="str">
        <f t="shared" ca="1" si="16"/>
        <v/>
      </c>
      <c r="H109" s="55" t="str">
        <f t="shared" ca="1" si="11"/>
        <v/>
      </c>
      <c r="J109" s="71"/>
      <c r="K109" s="71"/>
      <c r="M109" s="95" t="str">
        <f t="shared" si="9"/>
        <v/>
      </c>
      <c r="N109" s="95" t="str">
        <f t="shared" si="10"/>
        <v/>
      </c>
    </row>
    <row r="110" spans="1:14" x14ac:dyDescent="0.25">
      <c r="A110" s="98" t="str">
        <f t="shared" ca="1" si="12"/>
        <v/>
      </c>
      <c r="B110" s="33" t="str" cm="1">
        <f t="array" aca="1" ref="B110" ca="1">IF(COUNTIF(J:J,A110)=1,_xll.avmCdsSpreadForDate($Q$4,$Q$5,$Q$7,$Q$6,A110,$Q$1), IF(COUNTIF(J:J,A110)=0,$B$10,""))</f>
        <v/>
      </c>
      <c r="C110" s="77" t="str">
        <f t="shared" ca="1" si="13"/>
        <v/>
      </c>
      <c r="D110" s="107" t="str">
        <f t="shared" ca="1" si="14"/>
        <v/>
      </c>
      <c r="E110" s="33" t="str">
        <f ca="1">IF(COUNTIF($K$2:K1095,A110)=1,VLOOKUP(A110,K:L,2), IF(COUNTIF($K$2:K1095,A110)=0,$C$10,""))</f>
        <v/>
      </c>
      <c r="F110" s="77" t="str">
        <f t="shared" ca="1" si="15"/>
        <v/>
      </c>
      <c r="G110" s="107" t="str">
        <f t="shared" ca="1" si="16"/>
        <v/>
      </c>
      <c r="H110" s="55" t="str">
        <f t="shared" ca="1" si="11"/>
        <v/>
      </c>
      <c r="J110" s="71"/>
      <c r="K110" s="71"/>
      <c r="M110" s="95" t="str">
        <f t="shared" si="9"/>
        <v/>
      </c>
      <c r="N110" s="95" t="str">
        <f t="shared" si="10"/>
        <v/>
      </c>
    </row>
    <row r="111" spans="1:14" x14ac:dyDescent="0.25">
      <c r="A111" s="98" t="str">
        <f t="shared" ca="1" si="12"/>
        <v/>
      </c>
      <c r="B111" s="33" t="str" cm="1">
        <f t="array" aca="1" ref="B111" ca="1">IF(COUNTIF(J:J,A111)=1,_xll.avmCdsSpreadForDate($Q$4,$Q$5,$Q$7,$Q$6,A111,$Q$1), IF(COUNTIF(J:J,A111)=0,$B$10,""))</f>
        <v/>
      </c>
      <c r="C111" s="77" t="str">
        <f t="shared" ca="1" si="13"/>
        <v/>
      </c>
      <c r="D111" s="107" t="str">
        <f t="shared" ca="1" si="14"/>
        <v/>
      </c>
      <c r="E111" s="33" t="str">
        <f ca="1">IF(COUNTIF($K$2:K1096,A111)=1,VLOOKUP(A111,K:L,2), IF(COUNTIF($K$2:K1096,A111)=0,$C$10,""))</f>
        <v/>
      </c>
      <c r="F111" s="77" t="str">
        <f t="shared" ca="1" si="15"/>
        <v/>
      </c>
      <c r="G111" s="107" t="str">
        <f t="shared" ca="1" si="16"/>
        <v/>
      </c>
      <c r="H111" s="55" t="str">
        <f t="shared" ref="H111:H136" ca="1" si="17">IF(ISERROR(B111-2),"",$B$9*(-1*(C111+D111))+F111+G111)</f>
        <v/>
      </c>
      <c r="J111" s="71"/>
      <c r="K111" s="71"/>
      <c r="M111" s="95" t="str">
        <f t="shared" si="9"/>
        <v/>
      </c>
      <c r="N111" s="95" t="str">
        <f t="shared" si="10"/>
        <v/>
      </c>
    </row>
    <row r="112" spans="1:14" x14ac:dyDescent="0.25">
      <c r="A112" s="98" t="str">
        <f t="shared" ca="1" si="12"/>
        <v/>
      </c>
      <c r="B112" s="33" t="str" cm="1">
        <f t="array" aca="1" ref="B112" ca="1">IF(COUNTIF(J:J,A112)=1,_xll.avmCdsSpreadForDate($Q$4,$Q$5,$Q$7,$Q$6,A112,$Q$1), IF(COUNTIF(J:J,A112)=0,$B$10,""))</f>
        <v/>
      </c>
      <c r="C112" s="77" t="str">
        <f t="shared" ca="1" si="13"/>
        <v/>
      </c>
      <c r="D112" s="107" t="str">
        <f t="shared" ca="1" si="14"/>
        <v/>
      </c>
      <c r="E112" s="33" t="str">
        <f ca="1">IF(COUNTIF($K$2:K1097,A112)=1,VLOOKUP(A112,K:L,2), IF(COUNTIF($K$2:K1097,A112)=0,$C$10,""))</f>
        <v/>
      </c>
      <c r="F112" s="77" t="str">
        <f t="shared" ca="1" si="15"/>
        <v/>
      </c>
      <c r="G112" s="107" t="str">
        <f t="shared" ca="1" si="16"/>
        <v/>
      </c>
      <c r="H112" s="55" t="str">
        <f t="shared" ca="1" si="17"/>
        <v/>
      </c>
      <c r="J112" s="71"/>
      <c r="K112" s="71"/>
      <c r="M112" s="95" t="str">
        <f t="shared" si="9"/>
        <v/>
      </c>
      <c r="N112" s="95" t="str">
        <f t="shared" si="10"/>
        <v/>
      </c>
    </row>
    <row r="113" spans="1:14" x14ac:dyDescent="0.25">
      <c r="A113" s="98" t="str">
        <f t="shared" ca="1" si="12"/>
        <v/>
      </c>
      <c r="B113" s="33" t="str" cm="1">
        <f t="array" aca="1" ref="B113" ca="1">IF(COUNTIF(J:J,A113)=1,_xll.avmCdsSpreadForDate($Q$4,$Q$5,$Q$7,$Q$6,A113,$Q$1), IF(COUNTIF(J:J,A113)=0,$B$10,""))</f>
        <v/>
      </c>
      <c r="C113" s="77" t="str">
        <f t="shared" ca="1" si="13"/>
        <v/>
      </c>
      <c r="D113" s="107" t="str">
        <f t="shared" ca="1" si="14"/>
        <v/>
      </c>
      <c r="E113" s="33" t="str">
        <f ca="1">IF(COUNTIF($K$2:K1098,A113)=1,VLOOKUP(A113,K:L,2), IF(COUNTIF($K$2:K1098,A113)=0,$C$10,""))</f>
        <v/>
      </c>
      <c r="F113" s="77" t="str">
        <f t="shared" ca="1" si="15"/>
        <v/>
      </c>
      <c r="G113" s="107" t="str">
        <f t="shared" ca="1" si="16"/>
        <v/>
      </c>
      <c r="H113" s="55" t="str">
        <f t="shared" ca="1" si="17"/>
        <v/>
      </c>
      <c r="J113" s="71"/>
      <c r="K113" s="71"/>
      <c r="M113" s="95" t="str">
        <f t="shared" si="9"/>
        <v/>
      </c>
      <c r="N113" s="95" t="str">
        <f t="shared" si="10"/>
        <v/>
      </c>
    </row>
    <row r="114" spans="1:14" x14ac:dyDescent="0.25">
      <c r="A114" s="98" t="str">
        <f t="shared" ca="1" si="12"/>
        <v/>
      </c>
      <c r="B114" s="33" t="str" cm="1">
        <f t="array" aca="1" ref="B114" ca="1">IF(COUNTIF(J:J,A114)=1,_xll.avmCdsSpreadForDate($Q$4,$Q$5,$Q$7,$Q$6,A114,$Q$1), IF(COUNTIF(J:J,A114)=0,$B$10,""))</f>
        <v/>
      </c>
      <c r="C114" s="77" t="str">
        <f t="shared" ca="1" si="13"/>
        <v/>
      </c>
      <c r="D114" s="107" t="str">
        <f t="shared" ca="1" si="14"/>
        <v/>
      </c>
      <c r="E114" s="33" t="str">
        <f ca="1">IF(COUNTIF($K$2:K1099,A114)=1,VLOOKUP(A114,K:L,2), IF(COUNTIF($K$2:K1099,A114)=0,$C$10,""))</f>
        <v/>
      </c>
      <c r="F114" s="77" t="str">
        <f t="shared" ca="1" si="15"/>
        <v/>
      </c>
      <c r="G114" s="107" t="str">
        <f t="shared" ca="1" si="16"/>
        <v/>
      </c>
      <c r="H114" s="55" t="str">
        <f t="shared" ca="1" si="17"/>
        <v/>
      </c>
      <c r="J114" s="71"/>
      <c r="K114" s="71"/>
      <c r="M114" s="95" t="str">
        <f t="shared" si="9"/>
        <v/>
      </c>
      <c r="N114" s="95" t="str">
        <f t="shared" si="10"/>
        <v/>
      </c>
    </row>
    <row r="115" spans="1:14" x14ac:dyDescent="0.25">
      <c r="A115" s="98" t="str">
        <f t="shared" ca="1" si="12"/>
        <v/>
      </c>
      <c r="B115" s="33" t="str" cm="1">
        <f t="array" aca="1" ref="B115" ca="1">IF(COUNTIF(J:J,A115)=1,_xll.avmCdsSpreadForDate($Q$4,$Q$5,$Q$7,$Q$6,A115,$Q$1), IF(COUNTIF(J:J,A115)=0,$B$10,""))</f>
        <v/>
      </c>
      <c r="C115" s="77" t="str">
        <f t="shared" ca="1" si="13"/>
        <v/>
      </c>
      <c r="D115" s="107" t="str">
        <f t="shared" ca="1" si="14"/>
        <v/>
      </c>
      <c r="E115" s="33" t="str">
        <f ca="1">IF(COUNTIF($K$2:K1100,A115)=1,VLOOKUP(A115,K:L,2), IF(COUNTIF($K$2:K1100,A115)=0,$C$10,""))</f>
        <v/>
      </c>
      <c r="F115" s="77" t="str">
        <f t="shared" ca="1" si="15"/>
        <v/>
      </c>
      <c r="G115" s="107" t="str">
        <f t="shared" ca="1" si="16"/>
        <v/>
      </c>
      <c r="H115" s="55" t="str">
        <f t="shared" ca="1" si="17"/>
        <v/>
      </c>
      <c r="J115" s="71"/>
      <c r="K115" s="71"/>
      <c r="M115" s="95" t="str">
        <f t="shared" si="9"/>
        <v/>
      </c>
      <c r="N115" s="95" t="str">
        <f t="shared" si="10"/>
        <v/>
      </c>
    </row>
    <row r="116" spans="1:14" x14ac:dyDescent="0.25">
      <c r="A116" s="98" t="str">
        <f t="shared" ca="1" si="12"/>
        <v/>
      </c>
      <c r="B116" s="33" t="str" cm="1">
        <f t="array" aca="1" ref="B116" ca="1">IF(COUNTIF(J:J,A116)=1,_xll.avmCdsSpreadForDate($Q$4,$Q$5,$Q$7,$Q$6,A116,$Q$1), IF(COUNTIF(J:J,A116)=0,$B$10,""))</f>
        <v/>
      </c>
      <c r="C116" s="77" t="str">
        <f t="shared" ca="1" si="13"/>
        <v/>
      </c>
      <c r="D116" s="107" t="str">
        <f t="shared" ca="1" si="14"/>
        <v/>
      </c>
      <c r="E116" s="33" t="str">
        <f ca="1">IF(COUNTIF($K$2:K1101,A116)=1,VLOOKUP(A116,K:L,2), IF(COUNTIF($K$2:K1101,A116)=0,$C$10,""))</f>
        <v/>
      </c>
      <c r="F116" s="77" t="str">
        <f t="shared" ca="1" si="15"/>
        <v/>
      </c>
      <c r="G116" s="107" t="str">
        <f t="shared" ca="1" si="16"/>
        <v/>
      </c>
      <c r="H116" s="55" t="str">
        <f t="shared" ca="1" si="17"/>
        <v/>
      </c>
      <c r="J116" s="71"/>
      <c r="K116" s="71"/>
      <c r="M116" s="95" t="str">
        <f t="shared" si="9"/>
        <v/>
      </c>
      <c r="N116" s="95" t="str">
        <f t="shared" si="10"/>
        <v/>
      </c>
    </row>
    <row r="117" spans="1:14" x14ac:dyDescent="0.25">
      <c r="A117" s="98" t="str">
        <f t="shared" ca="1" si="12"/>
        <v/>
      </c>
      <c r="B117" s="33" t="str" cm="1">
        <f t="array" aca="1" ref="B117" ca="1">IF(COUNTIF(J:J,A117)=1,_xll.avmCdsSpreadForDate($Q$4,$Q$5,$Q$7,$Q$6,A117,$Q$1), IF(COUNTIF(J:J,A117)=0,$B$10,""))</f>
        <v/>
      </c>
      <c r="C117" s="77" t="str">
        <f t="shared" ca="1" si="13"/>
        <v/>
      </c>
      <c r="D117" s="107" t="str">
        <f t="shared" ca="1" si="14"/>
        <v/>
      </c>
      <c r="E117" s="33" t="str">
        <f ca="1">IF(COUNTIF($K$2:K1102,A117)=1,VLOOKUP(A117,K:L,2), IF(COUNTIF($K$2:K1102,A117)=0,$C$10,""))</f>
        <v/>
      </c>
      <c r="F117" s="77" t="str">
        <f t="shared" ca="1" si="15"/>
        <v/>
      </c>
      <c r="G117" s="107" t="str">
        <f t="shared" ca="1" si="16"/>
        <v/>
      </c>
      <c r="H117" s="55" t="str">
        <f t="shared" ca="1" si="17"/>
        <v/>
      </c>
      <c r="J117" s="71"/>
      <c r="K117" s="71"/>
      <c r="M117" s="95" t="str">
        <f t="shared" si="9"/>
        <v/>
      </c>
      <c r="N117" s="95" t="str">
        <f t="shared" si="10"/>
        <v/>
      </c>
    </row>
    <row r="118" spans="1:14" x14ac:dyDescent="0.25">
      <c r="A118" s="98" t="str">
        <f t="shared" ca="1" si="12"/>
        <v/>
      </c>
      <c r="B118" s="33" t="str" cm="1">
        <f t="array" aca="1" ref="B118" ca="1">IF(COUNTIF(J:J,A118)=1,_xll.avmCdsSpreadForDate($Q$4,$Q$5,$Q$7,$Q$6,A118,$Q$1), IF(COUNTIF(J:J,A118)=0,$B$10,""))</f>
        <v/>
      </c>
      <c r="C118" s="77" t="str">
        <f t="shared" ca="1" si="13"/>
        <v/>
      </c>
      <c r="D118" s="107" t="str">
        <f t="shared" ca="1" si="14"/>
        <v/>
      </c>
      <c r="E118" s="33" t="str">
        <f ca="1">IF(COUNTIF($K$2:K1103,A118)=1,VLOOKUP(A118,K:L,2), IF(COUNTIF($K$2:K1103,A118)=0,$C$10,""))</f>
        <v/>
      </c>
      <c r="F118" s="77" t="str">
        <f t="shared" ca="1" si="15"/>
        <v/>
      </c>
      <c r="G118" s="107" t="str">
        <f t="shared" ca="1" si="16"/>
        <v/>
      </c>
      <c r="H118" s="55" t="str">
        <f t="shared" ca="1" si="17"/>
        <v/>
      </c>
      <c r="J118" s="71"/>
      <c r="K118" s="71"/>
      <c r="M118" s="95" t="str">
        <f t="shared" si="9"/>
        <v/>
      </c>
      <c r="N118" s="95" t="str">
        <f t="shared" si="10"/>
        <v/>
      </c>
    </row>
    <row r="119" spans="1:14" x14ac:dyDescent="0.25">
      <c r="A119" s="98" t="str">
        <f t="shared" ca="1" si="12"/>
        <v/>
      </c>
      <c r="B119" s="33" t="str" cm="1">
        <f t="array" aca="1" ref="B119" ca="1">IF(COUNTIF(J:J,A119)=1,_xll.avmCdsSpreadForDate($Q$4,$Q$5,$Q$7,$Q$6,A119,$Q$1), IF(COUNTIF(J:J,A119)=0,$B$10,""))</f>
        <v/>
      </c>
      <c r="C119" s="77" t="str">
        <f t="shared" ca="1" si="13"/>
        <v/>
      </c>
      <c r="D119" s="107" t="str">
        <f t="shared" ca="1" si="14"/>
        <v/>
      </c>
      <c r="E119" s="33" t="str">
        <f ca="1">IF(COUNTIF($K$2:K1104,A119)=1,VLOOKUP(A119,K:L,2), IF(COUNTIF($K$2:K1104,A119)=0,$C$10,""))</f>
        <v/>
      </c>
      <c r="F119" s="77" t="str">
        <f t="shared" ca="1" si="15"/>
        <v/>
      </c>
      <c r="G119" s="107" t="str">
        <f t="shared" ca="1" si="16"/>
        <v/>
      </c>
      <c r="H119" s="55" t="str">
        <f t="shared" ca="1" si="17"/>
        <v/>
      </c>
      <c r="J119" s="71"/>
      <c r="K119" s="71"/>
      <c r="M119" s="95" t="str">
        <f t="shared" si="9"/>
        <v/>
      </c>
      <c r="N119" s="95" t="str">
        <f t="shared" si="10"/>
        <v/>
      </c>
    </row>
    <row r="120" spans="1:14" x14ac:dyDescent="0.25">
      <c r="A120" s="98" t="str">
        <f t="shared" ca="1" si="12"/>
        <v/>
      </c>
      <c r="B120" s="33" t="str" cm="1">
        <f t="array" aca="1" ref="B120" ca="1">IF(COUNTIF(J:J,A120)=1,_xll.avmCdsSpreadForDate($Q$4,$Q$5,$Q$7,$Q$6,A120,$Q$1), IF(COUNTIF(J:J,A120)=0,$B$10,""))</f>
        <v/>
      </c>
      <c r="C120" s="77" t="str">
        <f t="shared" ca="1" si="13"/>
        <v/>
      </c>
      <c r="D120" s="107" t="str">
        <f t="shared" ca="1" si="14"/>
        <v/>
      </c>
      <c r="E120" s="33" t="str">
        <f ca="1">IF(COUNTIF($K$2:K1105,A120)=1,VLOOKUP(A120,K:L,2), IF(COUNTIF($K$2:K1105,A120)=0,$C$10,""))</f>
        <v/>
      </c>
      <c r="F120" s="77" t="str">
        <f t="shared" ca="1" si="15"/>
        <v/>
      </c>
      <c r="G120" s="107" t="str">
        <f t="shared" ca="1" si="16"/>
        <v/>
      </c>
      <c r="H120" s="55" t="str">
        <f t="shared" ca="1" si="17"/>
        <v/>
      </c>
      <c r="J120" s="71"/>
      <c r="K120" s="71"/>
      <c r="M120" s="95" t="str">
        <f t="shared" si="9"/>
        <v/>
      </c>
      <c r="N120" s="95" t="str">
        <f t="shared" si="10"/>
        <v/>
      </c>
    </row>
    <row r="121" spans="1:14" x14ac:dyDescent="0.25">
      <c r="A121" s="98" t="str">
        <f t="shared" ca="1" si="12"/>
        <v/>
      </c>
      <c r="B121" s="33" t="str" cm="1">
        <f t="array" aca="1" ref="B121" ca="1">IF(COUNTIF(J:J,A121)=1,_xll.avmCdsSpreadForDate($Q$4,$Q$5,$Q$7,$Q$6,A121,$Q$1), IF(COUNTIF(J:J,A121)=0,$B$10,""))</f>
        <v/>
      </c>
      <c r="C121" s="77" t="str">
        <f t="shared" ca="1" si="13"/>
        <v/>
      </c>
      <c r="D121" s="107" t="str">
        <f t="shared" ca="1" si="14"/>
        <v/>
      </c>
      <c r="E121" s="33" t="str">
        <f ca="1">IF(COUNTIF($K$2:K1106,A121)=1,VLOOKUP(A121,K:L,2), IF(COUNTIF($K$2:K1106,A121)=0,$C$10,""))</f>
        <v/>
      </c>
      <c r="F121" s="77" t="str">
        <f t="shared" ca="1" si="15"/>
        <v/>
      </c>
      <c r="G121" s="107" t="str">
        <f t="shared" ca="1" si="16"/>
        <v/>
      </c>
      <c r="H121" s="55" t="str">
        <f t="shared" ca="1" si="17"/>
        <v/>
      </c>
      <c r="J121" s="71"/>
      <c r="K121" s="71"/>
      <c r="M121" s="95" t="str">
        <f t="shared" si="9"/>
        <v/>
      </c>
      <c r="N121" s="95" t="str">
        <f t="shared" si="10"/>
        <v/>
      </c>
    </row>
    <row r="122" spans="1:14" x14ac:dyDescent="0.25">
      <c r="A122" s="98" t="str">
        <f t="shared" ca="1" si="12"/>
        <v/>
      </c>
      <c r="B122" s="33" t="str" cm="1">
        <f t="array" aca="1" ref="B122" ca="1">IF(COUNTIF(J:J,A122)=1,_xll.avmCdsSpreadForDate($Q$4,$Q$5,$Q$7,$Q$6,A122,$Q$1), IF(COUNTIF(J:J,A122)=0,$B$10,""))</f>
        <v/>
      </c>
      <c r="C122" s="77" t="str">
        <f t="shared" ca="1" si="13"/>
        <v/>
      </c>
      <c r="D122" s="107" t="str">
        <f t="shared" ca="1" si="14"/>
        <v/>
      </c>
      <c r="E122" s="33" t="str">
        <f ca="1">IF(COUNTIF($K$2:K1107,A122)=1,VLOOKUP(A122,K:L,2), IF(COUNTIF($K$2:K1107,A122)=0,$C$10,""))</f>
        <v/>
      </c>
      <c r="F122" s="77" t="str">
        <f t="shared" ca="1" si="15"/>
        <v/>
      </c>
      <c r="G122" s="107" t="str">
        <f t="shared" ca="1" si="16"/>
        <v/>
      </c>
      <c r="H122" s="55" t="str">
        <f t="shared" ca="1" si="17"/>
        <v/>
      </c>
      <c r="J122" s="71"/>
      <c r="K122" s="71"/>
      <c r="M122" s="95" t="str">
        <f t="shared" si="9"/>
        <v/>
      </c>
      <c r="N122" s="95" t="str">
        <f t="shared" si="10"/>
        <v/>
      </c>
    </row>
    <row r="123" spans="1:14" x14ac:dyDescent="0.25">
      <c r="A123" s="98" t="str">
        <f t="shared" ca="1" si="12"/>
        <v/>
      </c>
      <c r="B123" s="33" t="str" cm="1">
        <f t="array" aca="1" ref="B123" ca="1">IF(COUNTIF(J:J,A123)=1,_xll.avmCdsSpreadForDate($Q$4,$Q$5,$Q$7,$Q$6,A123,$Q$1), IF(COUNTIF(J:J,A123)=0,$B$10,""))</f>
        <v/>
      </c>
      <c r="C123" s="77" t="str">
        <f t="shared" ca="1" si="13"/>
        <v/>
      </c>
      <c r="D123" s="107" t="str">
        <f t="shared" ca="1" si="14"/>
        <v/>
      </c>
      <c r="E123" s="33" t="str">
        <f ca="1">IF(COUNTIF($K$2:K1108,A123)=1,VLOOKUP(A123,K:L,2), IF(COUNTIF($K$2:K1108,A123)=0,$C$10,""))</f>
        <v/>
      </c>
      <c r="F123" s="77" t="str">
        <f t="shared" ca="1" si="15"/>
        <v/>
      </c>
      <c r="G123" s="107" t="str">
        <f t="shared" ca="1" si="16"/>
        <v/>
      </c>
      <c r="H123" s="55" t="str">
        <f t="shared" ca="1" si="17"/>
        <v/>
      </c>
      <c r="J123" s="71"/>
      <c r="K123" s="71"/>
      <c r="M123" s="95" t="str">
        <f t="shared" si="9"/>
        <v/>
      </c>
      <c r="N123" s="95" t="str">
        <f t="shared" si="10"/>
        <v/>
      </c>
    </row>
    <row r="124" spans="1:14" x14ac:dyDescent="0.25">
      <c r="A124" s="98" t="str">
        <f t="shared" ca="1" si="12"/>
        <v/>
      </c>
      <c r="B124" s="33" t="str" cm="1">
        <f t="array" aca="1" ref="B124" ca="1">IF(COUNTIF(J:J,A124)=1,_xll.avmCdsSpreadForDate($Q$4,$Q$5,$Q$7,$Q$6,A124,$Q$1), IF(COUNTIF(J:J,A124)=0,$B$10,""))</f>
        <v/>
      </c>
      <c r="C124" s="77" t="str">
        <f t="shared" ca="1" si="13"/>
        <v/>
      </c>
      <c r="D124" s="107" t="str">
        <f t="shared" ca="1" si="14"/>
        <v/>
      </c>
      <c r="E124" s="33" t="str">
        <f ca="1">IF(COUNTIF($K$2:K1109,A124)=1,VLOOKUP(A124,K:L,2), IF(COUNTIF($K$2:K1109,A124)=0,$C$10,""))</f>
        <v/>
      </c>
      <c r="F124" s="77" t="str">
        <f t="shared" ca="1" si="15"/>
        <v/>
      </c>
      <c r="G124" s="107" t="str">
        <f t="shared" ca="1" si="16"/>
        <v/>
      </c>
      <c r="H124" s="55" t="str">
        <f t="shared" ca="1" si="17"/>
        <v/>
      </c>
      <c r="J124" s="71"/>
      <c r="K124" s="71"/>
      <c r="M124" s="95" t="str">
        <f t="shared" si="9"/>
        <v/>
      </c>
      <c r="N124" s="95" t="str">
        <f t="shared" si="10"/>
        <v/>
      </c>
    </row>
    <row r="125" spans="1:14" x14ac:dyDescent="0.25">
      <c r="A125" s="98" t="str">
        <f t="shared" ca="1" si="12"/>
        <v/>
      </c>
      <c r="B125" s="33" t="str" cm="1">
        <f t="array" aca="1" ref="B125" ca="1">IF(COUNTIF(J:J,A125)=1,_xll.avmCdsSpreadForDate($Q$4,$Q$5,$Q$7,$Q$6,A125,$Q$1), IF(COUNTIF(J:J,A125)=0,$B$10,""))</f>
        <v/>
      </c>
      <c r="C125" s="77" t="str">
        <f t="shared" ca="1" si="13"/>
        <v/>
      </c>
      <c r="D125" s="107" t="str">
        <f t="shared" ca="1" si="14"/>
        <v/>
      </c>
      <c r="E125" s="33" t="str">
        <f ca="1">IF(COUNTIF($K$2:K1110,A125)=1,VLOOKUP(A125,K:L,2), IF(COUNTIF($K$2:K1110,A125)=0,$C$10,""))</f>
        <v/>
      </c>
      <c r="F125" s="77" t="str">
        <f t="shared" ca="1" si="15"/>
        <v/>
      </c>
      <c r="G125" s="107" t="str">
        <f t="shared" ca="1" si="16"/>
        <v/>
      </c>
      <c r="H125" s="55" t="str">
        <f t="shared" ca="1" si="17"/>
        <v/>
      </c>
      <c r="J125" s="71"/>
      <c r="K125" s="71"/>
      <c r="M125" s="95" t="str">
        <f t="shared" si="9"/>
        <v/>
      </c>
      <c r="N125" s="95" t="str">
        <f t="shared" si="10"/>
        <v/>
      </c>
    </row>
    <row r="126" spans="1:14" x14ac:dyDescent="0.25">
      <c r="A126" s="98" t="str">
        <f t="shared" ca="1" si="12"/>
        <v/>
      </c>
      <c r="B126" s="33" t="str" cm="1">
        <f t="array" aca="1" ref="B126" ca="1">IF(COUNTIF(J:J,A126)=1,_xll.avmCdsSpreadForDate($Q$4,$Q$5,$Q$7,$Q$6,A126,$Q$1), IF(COUNTIF(J:J,A126)=0,$B$10,""))</f>
        <v/>
      </c>
      <c r="C126" s="77" t="str">
        <f t="shared" ca="1" si="13"/>
        <v/>
      </c>
      <c r="D126" s="107" t="str">
        <f t="shared" ca="1" si="14"/>
        <v/>
      </c>
      <c r="E126" s="33" t="str">
        <f ca="1">IF(COUNTIF($K$2:K1111,A126)=1,VLOOKUP(A126,K:L,2), IF(COUNTIF($K$2:K1111,A126)=0,$C$10,""))</f>
        <v/>
      </c>
      <c r="F126" s="77" t="str">
        <f t="shared" ca="1" si="15"/>
        <v/>
      </c>
      <c r="G126" s="107" t="str">
        <f t="shared" ca="1" si="16"/>
        <v/>
      </c>
      <c r="H126" s="55" t="str">
        <f t="shared" ca="1" si="17"/>
        <v/>
      </c>
      <c r="J126" s="71"/>
      <c r="K126" s="71"/>
      <c r="M126" s="95" t="str">
        <f t="shared" si="9"/>
        <v/>
      </c>
      <c r="N126" s="95" t="str">
        <f t="shared" si="10"/>
        <v/>
      </c>
    </row>
    <row r="127" spans="1:14" x14ac:dyDescent="0.25">
      <c r="A127" s="98" t="str">
        <f t="shared" ca="1" si="12"/>
        <v/>
      </c>
      <c r="B127" s="33" t="str" cm="1">
        <f t="array" aca="1" ref="B127" ca="1">IF(COUNTIF(J:J,A127)=1,_xll.avmCdsSpreadForDate($Q$4,$Q$5,$Q$7,$Q$6,A127,$Q$1), IF(COUNTIF(J:J,A127)=0,$B$10,""))</f>
        <v/>
      </c>
      <c r="C127" s="77" t="str">
        <f t="shared" ca="1" si="13"/>
        <v/>
      </c>
      <c r="D127" s="107" t="str">
        <f t="shared" ca="1" si="14"/>
        <v/>
      </c>
      <c r="E127" s="33" t="str">
        <f ca="1">IF(COUNTIF($K$2:K1112,A127)=1,VLOOKUP(A127,K:L,2), IF(COUNTIF($K$2:K1112,A127)=0,$C$10,""))</f>
        <v/>
      </c>
      <c r="F127" s="77" t="str">
        <f t="shared" ca="1" si="15"/>
        <v/>
      </c>
      <c r="G127" s="107" t="str">
        <f t="shared" ca="1" si="16"/>
        <v/>
      </c>
      <c r="H127" s="55" t="str">
        <f t="shared" ca="1" si="17"/>
        <v/>
      </c>
      <c r="J127" s="71"/>
      <c r="K127" s="71"/>
      <c r="M127" s="95" t="str">
        <f t="shared" si="9"/>
        <v/>
      </c>
      <c r="N127" s="95" t="str">
        <f t="shared" si="10"/>
        <v/>
      </c>
    </row>
    <row r="128" spans="1:14" x14ac:dyDescent="0.25">
      <c r="A128" s="98" t="str">
        <f t="shared" ca="1" si="12"/>
        <v/>
      </c>
      <c r="B128" s="33" t="str" cm="1">
        <f t="array" aca="1" ref="B128" ca="1">IF(COUNTIF(J:J,A128)=1,_xll.avmCdsSpreadForDate($Q$4,$Q$5,$Q$7,$Q$6,A128,$Q$1), IF(COUNTIF(J:J,A128)=0,$B$10,""))</f>
        <v/>
      </c>
      <c r="C128" s="77" t="str">
        <f t="shared" ca="1" si="13"/>
        <v/>
      </c>
      <c r="D128" s="107" t="str">
        <f t="shared" ca="1" si="14"/>
        <v/>
      </c>
      <c r="E128" s="33" t="str">
        <f ca="1">IF(COUNTIF($K$2:K1113,A128)=1,VLOOKUP(A128,K:L,2), IF(COUNTIF($K$2:K1113,A128)=0,$C$10,""))</f>
        <v/>
      </c>
      <c r="F128" s="77" t="str">
        <f t="shared" ca="1" si="15"/>
        <v/>
      </c>
      <c r="G128" s="107" t="str">
        <f t="shared" ca="1" si="16"/>
        <v/>
      </c>
      <c r="H128" s="55" t="str">
        <f t="shared" ca="1" si="17"/>
        <v/>
      </c>
      <c r="J128" s="71"/>
      <c r="K128" s="71"/>
      <c r="M128" s="95" t="str">
        <f t="shared" si="9"/>
        <v/>
      </c>
      <c r="N128" s="95" t="str">
        <f t="shared" si="10"/>
        <v/>
      </c>
    </row>
    <row r="129" spans="1:14" x14ac:dyDescent="0.25">
      <c r="A129" s="98" t="str">
        <f t="shared" ca="1" si="12"/>
        <v/>
      </c>
      <c r="B129" s="33" t="str" cm="1">
        <f t="array" aca="1" ref="B129" ca="1">IF(COUNTIF(J:J,A129)=1,_xll.avmCdsSpreadForDate($Q$4,$Q$5,$Q$7,$Q$6,A129,$Q$1), IF(COUNTIF(J:J,A129)=0,$B$10,""))</f>
        <v/>
      </c>
      <c r="C129" s="77" t="str">
        <f t="shared" ca="1" si="13"/>
        <v/>
      </c>
      <c r="D129" s="107" t="str">
        <f t="shared" ca="1" si="14"/>
        <v/>
      </c>
      <c r="E129" s="33" t="str">
        <f ca="1">IF(COUNTIF($K$2:K1114,A129)=1,VLOOKUP(A129,K:L,2), IF(COUNTIF($K$2:K1114,A129)=0,$C$10,""))</f>
        <v/>
      </c>
      <c r="F129" s="77" t="str">
        <f t="shared" ca="1" si="15"/>
        <v/>
      </c>
      <c r="G129" s="107" t="str">
        <f t="shared" ca="1" si="16"/>
        <v/>
      </c>
      <c r="H129" s="55" t="str">
        <f t="shared" ca="1" si="17"/>
        <v/>
      </c>
      <c r="J129" s="71"/>
      <c r="K129" s="71"/>
      <c r="M129" s="95" t="str">
        <f t="shared" si="9"/>
        <v/>
      </c>
      <c r="N129" s="95" t="str">
        <f t="shared" si="10"/>
        <v/>
      </c>
    </row>
    <row r="130" spans="1:14" x14ac:dyDescent="0.25">
      <c r="A130" s="98" t="str">
        <f t="shared" ca="1" si="12"/>
        <v/>
      </c>
      <c r="B130" s="33" t="str" cm="1">
        <f t="array" aca="1" ref="B130" ca="1">IF(COUNTIF(J:J,A130)=1,_xll.avmCdsSpreadForDate($Q$4,$Q$5,$Q$7,$Q$6,A130,$Q$1), IF(COUNTIF(J:J,A130)=0,$B$10,""))</f>
        <v/>
      </c>
      <c r="C130" s="77" t="str">
        <f t="shared" ca="1" si="13"/>
        <v/>
      </c>
      <c r="D130" s="107" t="str">
        <f t="shared" ca="1" si="14"/>
        <v/>
      </c>
      <c r="E130" s="33" t="str">
        <f ca="1">IF(COUNTIF($K$2:K1115,A130)=1,VLOOKUP(A130,K:L,2), IF(COUNTIF($K$2:K1115,A130)=0,$C$10,""))</f>
        <v/>
      </c>
      <c r="F130" s="77" t="str">
        <f t="shared" ca="1" si="15"/>
        <v/>
      </c>
      <c r="G130" s="107" t="str">
        <f t="shared" ca="1" si="16"/>
        <v/>
      </c>
      <c r="H130" s="55" t="str">
        <f t="shared" ca="1" si="17"/>
        <v/>
      </c>
      <c r="J130" s="71"/>
      <c r="K130" s="71"/>
      <c r="M130" s="95" t="str">
        <f t="shared" si="9"/>
        <v/>
      </c>
      <c r="N130" s="95" t="str">
        <f t="shared" si="10"/>
        <v/>
      </c>
    </row>
    <row r="131" spans="1:14" x14ac:dyDescent="0.25">
      <c r="A131" s="98" t="str">
        <f t="shared" ca="1" si="12"/>
        <v/>
      </c>
      <c r="B131" s="33" t="str" cm="1">
        <f t="array" aca="1" ref="B131" ca="1">IF(COUNTIF(J:J,A131)=1,_xll.avmCdsSpreadForDate($Q$4,$Q$5,$Q$7,$Q$6,A131,$Q$1), IF(COUNTIF(J:J,A131)=0,$B$10,""))</f>
        <v/>
      </c>
      <c r="C131" s="77" t="str">
        <f t="shared" ca="1" si="13"/>
        <v/>
      </c>
      <c r="D131" s="107" t="str">
        <f t="shared" ca="1" si="14"/>
        <v/>
      </c>
      <c r="E131" s="33" t="str">
        <f ca="1">IF(COUNTIF($K$2:K1116,A131)=1,VLOOKUP(A131,K:L,2), IF(COUNTIF($K$2:K1116,A131)=0,$C$10,""))</f>
        <v/>
      </c>
      <c r="F131" s="77" t="str">
        <f t="shared" ca="1" si="15"/>
        <v/>
      </c>
      <c r="G131" s="107" t="str">
        <f t="shared" ca="1" si="16"/>
        <v/>
      </c>
      <c r="H131" s="55" t="str">
        <f t="shared" ca="1" si="17"/>
        <v/>
      </c>
      <c r="J131" s="71"/>
      <c r="K131" s="71"/>
      <c r="M131" s="95" t="str">
        <f t="shared" ref="M131:M194" si="18">IF(COUNTIF(K:K,J131),J131,"")</f>
        <v/>
      </c>
      <c r="N131" s="95" t="str">
        <f t="shared" si="10"/>
        <v/>
      </c>
    </row>
    <row r="132" spans="1:14" x14ac:dyDescent="0.25">
      <c r="A132" s="98" t="str">
        <f t="shared" ca="1" si="12"/>
        <v/>
      </c>
      <c r="B132" s="33" t="str" cm="1">
        <f t="array" aca="1" ref="B132" ca="1">IF(COUNTIF(J:J,A132)=1,_xll.avmCdsSpreadForDate($Q$4,$Q$5,$Q$7,$Q$6,A132,$Q$1), IF(COUNTIF(J:J,A132)=0,$B$10,""))</f>
        <v/>
      </c>
      <c r="C132" s="77" t="str">
        <f t="shared" ca="1" si="13"/>
        <v/>
      </c>
      <c r="D132" s="107" t="str">
        <f t="shared" ca="1" si="14"/>
        <v/>
      </c>
      <c r="E132" s="33" t="str">
        <f ca="1">IF(COUNTIF($K$2:K1117,A132)=1,VLOOKUP(A132,K:L,2), IF(COUNTIF($K$2:K1117,A132)=0,$C$10,""))</f>
        <v/>
      </c>
      <c r="F132" s="77" t="str">
        <f t="shared" ca="1" si="15"/>
        <v/>
      </c>
      <c r="G132" s="107" t="str">
        <f t="shared" ca="1" si="16"/>
        <v/>
      </c>
      <c r="H132" s="55" t="str">
        <f t="shared" ca="1" si="17"/>
        <v/>
      </c>
      <c r="J132" s="71"/>
      <c r="K132" s="71"/>
      <c r="M132" s="95" t="str">
        <f t="shared" si="18"/>
        <v/>
      </c>
      <c r="N132" s="95" t="str">
        <f t="shared" ref="N132:N195" si="19">IF(M132&gt;$A$14,M132,"")</f>
        <v/>
      </c>
    </row>
    <row r="133" spans="1:14" x14ac:dyDescent="0.25">
      <c r="A133" s="98" t="str">
        <f t="shared" ca="1" si="12"/>
        <v/>
      </c>
      <c r="B133" s="33" t="str" cm="1">
        <f t="array" aca="1" ref="B133" ca="1">IF(COUNTIF(J:J,A133)=1,_xll.avmCdsSpreadForDate($Q$4,$Q$5,$Q$7,$Q$6,A133,$Q$1), IF(COUNTIF(J:J,A133)=0,$B$10,""))</f>
        <v/>
      </c>
      <c r="C133" s="77" t="str">
        <f t="shared" ca="1" si="13"/>
        <v/>
      </c>
      <c r="D133" s="107" t="str">
        <f t="shared" ca="1" si="14"/>
        <v/>
      </c>
      <c r="E133" s="33" t="str">
        <f ca="1">IF(COUNTIF($K$2:K1118,A133)=1,VLOOKUP(A133,K:L,2), IF(COUNTIF($K$2:K1118,A133)=0,$C$10,""))</f>
        <v/>
      </c>
      <c r="F133" s="77" t="str">
        <f t="shared" ca="1" si="15"/>
        <v/>
      </c>
      <c r="G133" s="107" t="str">
        <f t="shared" ca="1" si="16"/>
        <v/>
      </c>
      <c r="H133" s="55" t="str">
        <f t="shared" ca="1" si="17"/>
        <v/>
      </c>
      <c r="J133" s="71"/>
      <c r="K133" s="71"/>
      <c r="M133" s="95" t="str">
        <f t="shared" si="18"/>
        <v/>
      </c>
      <c r="N133" s="95" t="str">
        <f t="shared" si="19"/>
        <v/>
      </c>
    </row>
    <row r="134" spans="1:14" x14ac:dyDescent="0.25">
      <c r="A134" s="98" t="str">
        <f t="shared" ca="1" si="12"/>
        <v/>
      </c>
      <c r="B134" s="33" t="str" cm="1">
        <f t="array" aca="1" ref="B134" ca="1">IF(COUNTIF(J:J,A134)=1,_xll.avmCdsSpreadForDate($Q$4,$Q$5,$Q$7,$Q$6,A134,$Q$1), IF(COUNTIF(J:J,A134)=0,$B$10,""))</f>
        <v/>
      </c>
      <c r="C134" s="77" t="str">
        <f t="shared" ca="1" si="13"/>
        <v/>
      </c>
      <c r="D134" s="107" t="str">
        <f t="shared" ca="1" si="14"/>
        <v/>
      </c>
      <c r="E134" s="33" t="str">
        <f ca="1">IF(COUNTIF($K$2:K1119,A134)=1,VLOOKUP(A134,K:L,2), IF(COUNTIF($K$2:K1119,A134)=0,$C$10,""))</f>
        <v/>
      </c>
      <c r="F134" s="77" t="str">
        <f t="shared" ca="1" si="15"/>
        <v/>
      </c>
      <c r="G134" s="107" t="str">
        <f t="shared" ca="1" si="16"/>
        <v/>
      </c>
      <c r="H134" s="55" t="str">
        <f t="shared" ca="1" si="17"/>
        <v/>
      </c>
      <c r="J134" s="71"/>
      <c r="K134" s="71"/>
      <c r="M134" s="95" t="str">
        <f t="shared" si="18"/>
        <v/>
      </c>
      <c r="N134" s="95" t="str">
        <f t="shared" si="19"/>
        <v/>
      </c>
    </row>
    <row r="135" spans="1:14" x14ac:dyDescent="0.25">
      <c r="A135" s="98" t="str">
        <f t="shared" ca="1" si="12"/>
        <v/>
      </c>
      <c r="B135" s="33" t="str" cm="1">
        <f t="array" aca="1" ref="B135" ca="1">IF(COUNTIF(J:J,A135)=1,_xll.avmCdsSpreadForDate($Q$4,$Q$5,$Q$7,$Q$6,A135,$Q$1), IF(COUNTIF(J:J,A135)=0,$B$10,""))</f>
        <v/>
      </c>
      <c r="C135" s="77" t="str">
        <f t="shared" ca="1" si="13"/>
        <v/>
      </c>
      <c r="D135" s="107" t="str">
        <f t="shared" ca="1" si="14"/>
        <v/>
      </c>
      <c r="E135" s="33" t="str">
        <f ca="1">IF(COUNTIF($K$2:K1120,A135)=1,VLOOKUP(A135,K:L,2), IF(COUNTIF($K$2:K1120,A135)=0,$C$10,""))</f>
        <v/>
      </c>
      <c r="F135" s="77" t="str">
        <f t="shared" ca="1" si="15"/>
        <v/>
      </c>
      <c r="G135" s="107" t="str">
        <f t="shared" ca="1" si="16"/>
        <v/>
      </c>
      <c r="H135" s="55" t="str">
        <f t="shared" ca="1" si="17"/>
        <v/>
      </c>
      <c r="J135" s="71"/>
      <c r="K135" s="71"/>
      <c r="M135" s="95" t="str">
        <f t="shared" si="18"/>
        <v/>
      </c>
      <c r="N135" s="95" t="str">
        <f t="shared" si="19"/>
        <v/>
      </c>
    </row>
    <row r="136" spans="1:14" x14ac:dyDescent="0.25">
      <c r="A136" s="98" t="str">
        <f t="shared" ca="1" si="12"/>
        <v/>
      </c>
      <c r="B136" s="33" t="str" cm="1">
        <f t="array" aca="1" ref="B136" ca="1">IF(COUNTIF(J:J,A136)=1,_xll.avmCdsSpreadForDate($Q$4,$Q$5,$Q$7,$Q$6,A136,$Q$1), IF(COUNTIF(J:J,A136)=0,$B$10,""))</f>
        <v/>
      </c>
      <c r="C136" s="77" t="str">
        <f t="shared" ca="1" si="13"/>
        <v/>
      </c>
      <c r="D136" s="107" t="str">
        <f t="shared" ca="1" si="14"/>
        <v/>
      </c>
      <c r="E136" s="33" t="str">
        <f ca="1">IF(COUNTIF($K$2:K1121,A136)=1,VLOOKUP(A136,K:L,2), IF(COUNTIF($K$2:K1121,A136)=0,$C$10,""))</f>
        <v/>
      </c>
      <c r="F136" s="77" t="str">
        <f t="shared" ca="1" si="15"/>
        <v/>
      </c>
      <c r="G136" s="107" t="str">
        <f t="shared" ca="1" si="16"/>
        <v/>
      </c>
      <c r="H136" s="55" t="str">
        <f t="shared" ca="1" si="17"/>
        <v/>
      </c>
      <c r="J136" s="71"/>
      <c r="K136" s="71"/>
      <c r="M136" s="95" t="str">
        <f t="shared" si="18"/>
        <v/>
      </c>
      <c r="N136" s="95" t="str">
        <f t="shared" si="19"/>
        <v/>
      </c>
    </row>
    <row r="137" spans="1:14" x14ac:dyDescent="0.25">
      <c r="A137" s="98"/>
      <c r="B137" s="33"/>
      <c r="C137" s="25"/>
      <c r="D137" s="26"/>
      <c r="E137" s="33"/>
      <c r="F137" s="25"/>
      <c r="G137" s="26"/>
      <c r="H137" s="55"/>
      <c r="J137" s="71"/>
      <c r="K137" s="71"/>
      <c r="M137" s="95" t="str">
        <f t="shared" si="18"/>
        <v/>
      </c>
      <c r="N137" s="95" t="str">
        <f t="shared" si="19"/>
        <v/>
      </c>
    </row>
    <row r="138" spans="1:14" x14ac:dyDescent="0.25">
      <c r="A138" s="98"/>
      <c r="B138" s="33"/>
      <c r="C138" s="25"/>
      <c r="D138" s="26"/>
      <c r="E138" s="33"/>
      <c r="F138" s="25"/>
      <c r="G138" s="26"/>
      <c r="H138" s="55"/>
      <c r="J138" s="71"/>
      <c r="K138" s="71"/>
      <c r="M138" s="95" t="str">
        <f t="shared" si="18"/>
        <v/>
      </c>
      <c r="N138" s="95" t="str">
        <f t="shared" si="19"/>
        <v/>
      </c>
    </row>
    <row r="139" spans="1:14" x14ac:dyDescent="0.25">
      <c r="A139" s="98"/>
      <c r="B139" s="33"/>
      <c r="C139" s="25"/>
      <c r="D139" s="26"/>
      <c r="E139" s="33"/>
      <c r="F139" s="25"/>
      <c r="G139" s="26"/>
      <c r="H139" s="55"/>
      <c r="J139" s="71"/>
      <c r="K139" s="71"/>
      <c r="M139" s="95" t="str">
        <f t="shared" si="18"/>
        <v/>
      </c>
      <c r="N139" s="95" t="str">
        <f t="shared" si="19"/>
        <v/>
      </c>
    </row>
    <row r="140" spans="1:14" x14ac:dyDescent="0.25">
      <c r="A140" s="98"/>
      <c r="B140" s="33"/>
      <c r="C140" s="25"/>
      <c r="D140" s="26"/>
      <c r="E140" s="33"/>
      <c r="F140" s="25"/>
      <c r="G140" s="26"/>
      <c r="H140" s="55"/>
      <c r="J140" s="71"/>
      <c r="M140" s="95" t="str">
        <f t="shared" si="18"/>
        <v/>
      </c>
      <c r="N140" s="95" t="str">
        <f t="shared" si="19"/>
        <v/>
      </c>
    </row>
    <row r="141" spans="1:14" x14ac:dyDescent="0.25">
      <c r="A141" s="98"/>
      <c r="B141" s="33"/>
      <c r="C141" s="25"/>
      <c r="D141" s="26"/>
      <c r="E141" s="33"/>
      <c r="F141" s="25"/>
      <c r="G141" s="26"/>
      <c r="H141" s="55"/>
      <c r="J141" s="71"/>
      <c r="M141" s="95" t="str">
        <f t="shared" si="18"/>
        <v/>
      </c>
      <c r="N141" s="95" t="str">
        <f t="shared" si="19"/>
        <v/>
      </c>
    </row>
    <row r="142" spans="1:14" x14ac:dyDescent="0.25">
      <c r="A142" s="98"/>
      <c r="B142" s="33"/>
      <c r="C142" s="25"/>
      <c r="D142" s="26"/>
      <c r="E142" s="33"/>
      <c r="F142" s="25"/>
      <c r="G142" s="26"/>
      <c r="H142" s="55"/>
      <c r="J142" s="71"/>
      <c r="M142" s="95" t="str">
        <f t="shared" si="18"/>
        <v/>
      </c>
      <c r="N142" s="95" t="str">
        <f t="shared" si="19"/>
        <v/>
      </c>
    </row>
    <row r="143" spans="1:14" x14ac:dyDescent="0.25">
      <c r="A143" s="98"/>
      <c r="B143" s="33"/>
      <c r="C143" s="25"/>
      <c r="D143" s="26"/>
      <c r="E143" s="33"/>
      <c r="F143" s="25"/>
      <c r="G143" s="26"/>
      <c r="H143" s="55"/>
      <c r="J143" s="71"/>
      <c r="M143" s="95" t="str">
        <f t="shared" si="18"/>
        <v/>
      </c>
      <c r="N143" s="95" t="str">
        <f t="shared" si="19"/>
        <v/>
      </c>
    </row>
    <row r="144" spans="1:14" x14ac:dyDescent="0.25">
      <c r="A144" s="98"/>
      <c r="B144" s="33"/>
      <c r="C144" s="25"/>
      <c r="D144" s="26"/>
      <c r="E144" s="33"/>
      <c r="F144" s="25"/>
      <c r="G144" s="26"/>
      <c r="H144" s="55"/>
      <c r="J144" s="71"/>
      <c r="M144" s="95" t="str">
        <f t="shared" si="18"/>
        <v/>
      </c>
      <c r="N144" s="95" t="str">
        <f t="shared" si="19"/>
        <v/>
      </c>
    </row>
    <row r="145" spans="1:14" x14ac:dyDescent="0.25">
      <c r="A145" s="98"/>
      <c r="B145" s="33"/>
      <c r="C145" s="25"/>
      <c r="D145" s="26"/>
      <c r="E145" s="33"/>
      <c r="F145" s="25"/>
      <c r="G145" s="26"/>
      <c r="H145" s="55"/>
      <c r="J145" s="71"/>
      <c r="M145" s="95" t="str">
        <f t="shared" si="18"/>
        <v/>
      </c>
      <c r="N145" s="95" t="str">
        <f t="shared" si="19"/>
        <v/>
      </c>
    </row>
    <row r="146" spans="1:14" x14ac:dyDescent="0.25">
      <c r="A146" s="98"/>
      <c r="B146" s="33"/>
      <c r="C146" s="25"/>
      <c r="D146" s="26"/>
      <c r="E146" s="33"/>
      <c r="F146" s="25"/>
      <c r="G146" s="26"/>
      <c r="H146" s="55"/>
      <c r="J146" s="71"/>
      <c r="M146" s="95" t="str">
        <f t="shared" si="18"/>
        <v/>
      </c>
      <c r="N146" s="95" t="str">
        <f t="shared" si="19"/>
        <v/>
      </c>
    </row>
    <row r="147" spans="1:14" x14ac:dyDescent="0.25">
      <c r="A147" s="98"/>
      <c r="B147" s="33"/>
      <c r="C147" s="25"/>
      <c r="D147" s="26"/>
      <c r="E147" s="33"/>
      <c r="F147" s="25"/>
      <c r="G147" s="26"/>
      <c r="H147" s="55"/>
      <c r="M147" s="95" t="str">
        <f t="shared" si="18"/>
        <v/>
      </c>
      <c r="N147" s="95" t="str">
        <f t="shared" si="19"/>
        <v/>
      </c>
    </row>
    <row r="148" spans="1:14" x14ac:dyDescent="0.25">
      <c r="A148" s="98"/>
      <c r="B148" s="33"/>
      <c r="C148" s="25"/>
      <c r="D148" s="26"/>
      <c r="E148" s="33"/>
      <c r="F148" s="25"/>
      <c r="G148" s="26"/>
      <c r="H148" s="55"/>
      <c r="M148" s="95" t="str">
        <f t="shared" si="18"/>
        <v/>
      </c>
      <c r="N148" s="95" t="str">
        <f t="shared" si="19"/>
        <v/>
      </c>
    </row>
    <row r="149" spans="1:14" x14ac:dyDescent="0.25">
      <c r="A149" s="98"/>
      <c r="B149" s="33"/>
      <c r="C149" s="25"/>
      <c r="D149" s="26"/>
      <c r="E149" s="33"/>
      <c r="F149" s="25"/>
      <c r="G149" s="26"/>
      <c r="H149" s="55"/>
      <c r="M149" s="95" t="str">
        <f t="shared" si="18"/>
        <v/>
      </c>
      <c r="N149" s="95" t="str">
        <f t="shared" si="19"/>
        <v/>
      </c>
    </row>
    <row r="150" spans="1:14" x14ac:dyDescent="0.25">
      <c r="A150" s="98"/>
      <c r="B150" s="33"/>
      <c r="C150" s="25"/>
      <c r="D150" s="26"/>
      <c r="E150" s="33"/>
      <c r="F150" s="25"/>
      <c r="G150" s="26"/>
      <c r="H150" s="55"/>
      <c r="M150" s="95" t="str">
        <f t="shared" si="18"/>
        <v/>
      </c>
      <c r="N150" s="95" t="str">
        <f t="shared" si="19"/>
        <v/>
      </c>
    </row>
    <row r="151" spans="1:14" x14ac:dyDescent="0.25">
      <c r="A151" s="98"/>
      <c r="B151" s="33"/>
      <c r="C151" s="25"/>
      <c r="D151" s="26"/>
      <c r="E151" s="33"/>
      <c r="F151" s="25"/>
      <c r="G151" s="26"/>
      <c r="H151" s="55"/>
      <c r="M151" s="95" t="str">
        <f t="shared" si="18"/>
        <v/>
      </c>
      <c r="N151" s="95" t="str">
        <f t="shared" si="19"/>
        <v/>
      </c>
    </row>
    <row r="152" spans="1:14" x14ac:dyDescent="0.25">
      <c r="A152" s="98"/>
      <c r="B152" s="33"/>
      <c r="C152" s="25"/>
      <c r="D152" s="26"/>
      <c r="E152" s="33"/>
      <c r="F152" s="25"/>
      <c r="G152" s="26"/>
      <c r="H152" s="55"/>
      <c r="M152" s="95" t="str">
        <f t="shared" si="18"/>
        <v/>
      </c>
      <c r="N152" s="95" t="str">
        <f t="shared" si="19"/>
        <v/>
      </c>
    </row>
    <row r="153" spans="1:14" x14ac:dyDescent="0.25">
      <c r="A153" s="98"/>
      <c r="B153" s="33"/>
      <c r="C153" s="25"/>
      <c r="D153" s="26"/>
      <c r="E153" s="33"/>
      <c r="F153" s="25"/>
      <c r="G153" s="26"/>
      <c r="H153" s="55"/>
      <c r="M153" s="95" t="str">
        <f t="shared" si="18"/>
        <v/>
      </c>
      <c r="N153" s="95" t="str">
        <f t="shared" si="19"/>
        <v/>
      </c>
    </row>
    <row r="154" spans="1:14" x14ac:dyDescent="0.25">
      <c r="A154" s="98"/>
      <c r="B154" s="33"/>
      <c r="C154" s="25"/>
      <c r="D154" s="26"/>
      <c r="E154" s="33"/>
      <c r="F154" s="25"/>
      <c r="G154" s="26"/>
      <c r="H154" s="55"/>
      <c r="M154" s="95" t="str">
        <f t="shared" si="18"/>
        <v/>
      </c>
      <c r="N154" s="95" t="str">
        <f t="shared" si="19"/>
        <v/>
      </c>
    </row>
    <row r="155" spans="1:14" x14ac:dyDescent="0.25">
      <c r="A155" s="98"/>
      <c r="B155" s="33"/>
      <c r="C155" s="25"/>
      <c r="D155" s="26"/>
      <c r="E155" s="33"/>
      <c r="F155" s="25"/>
      <c r="G155" s="26"/>
      <c r="H155" s="55"/>
      <c r="M155" s="95" t="str">
        <f t="shared" si="18"/>
        <v/>
      </c>
      <c r="N155" s="95" t="str">
        <f t="shared" si="19"/>
        <v/>
      </c>
    </row>
    <row r="156" spans="1:14" x14ac:dyDescent="0.25">
      <c r="A156" s="98"/>
      <c r="B156" s="33"/>
      <c r="C156" s="25"/>
      <c r="D156" s="26"/>
      <c r="E156" s="33"/>
      <c r="F156" s="25"/>
      <c r="G156" s="26"/>
      <c r="H156" s="55"/>
      <c r="M156" s="95" t="str">
        <f t="shared" si="18"/>
        <v/>
      </c>
      <c r="N156" s="95" t="str">
        <f t="shared" si="19"/>
        <v/>
      </c>
    </row>
    <row r="157" spans="1:14" x14ac:dyDescent="0.25">
      <c r="A157" s="98"/>
      <c r="B157" s="33"/>
      <c r="C157" s="25"/>
      <c r="D157" s="26"/>
      <c r="E157" s="33"/>
      <c r="F157" s="25"/>
      <c r="G157" s="26"/>
      <c r="H157" s="55"/>
      <c r="M157" s="95" t="str">
        <f t="shared" si="18"/>
        <v/>
      </c>
      <c r="N157" s="95" t="str">
        <f t="shared" si="19"/>
        <v/>
      </c>
    </row>
    <row r="158" spans="1:14" x14ac:dyDescent="0.25">
      <c r="A158" s="98"/>
      <c r="B158" s="33"/>
      <c r="C158" s="25"/>
      <c r="D158" s="26"/>
      <c r="E158" s="33"/>
      <c r="F158" s="25"/>
      <c r="G158" s="26"/>
      <c r="H158" s="55"/>
      <c r="M158" s="95" t="str">
        <f t="shared" si="18"/>
        <v/>
      </c>
      <c r="N158" s="95" t="str">
        <f t="shared" si="19"/>
        <v/>
      </c>
    </row>
    <row r="159" spans="1:14" x14ac:dyDescent="0.25">
      <c r="A159" s="98"/>
      <c r="B159" s="33"/>
      <c r="C159" s="25"/>
      <c r="D159" s="26"/>
      <c r="E159" s="33"/>
      <c r="F159" s="25"/>
      <c r="G159" s="26"/>
      <c r="H159" s="55"/>
      <c r="M159" s="95" t="str">
        <f t="shared" si="18"/>
        <v/>
      </c>
      <c r="N159" s="95" t="str">
        <f t="shared" si="19"/>
        <v/>
      </c>
    </row>
    <row r="160" spans="1:14" x14ac:dyDescent="0.25">
      <c r="A160" s="98"/>
      <c r="B160" s="33"/>
      <c r="C160" s="25"/>
      <c r="D160" s="26"/>
      <c r="E160" s="33"/>
      <c r="F160" s="25"/>
      <c r="G160" s="26"/>
      <c r="H160" s="55"/>
      <c r="M160" s="95" t="str">
        <f t="shared" si="18"/>
        <v/>
      </c>
      <c r="N160" s="95" t="str">
        <f t="shared" si="19"/>
        <v/>
      </c>
    </row>
    <row r="161" spans="1:14" x14ac:dyDescent="0.25">
      <c r="A161" s="98"/>
      <c r="B161" s="33"/>
      <c r="C161" s="25"/>
      <c r="D161" s="26"/>
      <c r="E161" s="33"/>
      <c r="F161" s="25"/>
      <c r="G161" s="26"/>
      <c r="H161" s="55"/>
      <c r="M161" s="95" t="str">
        <f t="shared" si="18"/>
        <v/>
      </c>
      <c r="N161" s="95" t="str">
        <f t="shared" si="19"/>
        <v/>
      </c>
    </row>
    <row r="162" spans="1:14" x14ac:dyDescent="0.25">
      <c r="A162" s="98"/>
      <c r="B162" s="33"/>
      <c r="C162" s="25"/>
      <c r="D162" s="26"/>
      <c r="E162" s="33"/>
      <c r="F162" s="25"/>
      <c r="G162" s="26"/>
      <c r="H162" s="55"/>
      <c r="M162" s="95" t="str">
        <f t="shared" si="18"/>
        <v/>
      </c>
      <c r="N162" s="95" t="str">
        <f t="shared" si="19"/>
        <v/>
      </c>
    </row>
    <row r="163" spans="1:14" x14ac:dyDescent="0.25">
      <c r="A163" s="98"/>
      <c r="B163" s="33"/>
      <c r="C163" s="25"/>
      <c r="D163" s="26"/>
      <c r="E163" s="33"/>
      <c r="F163" s="25"/>
      <c r="G163" s="26"/>
      <c r="H163" s="55"/>
      <c r="M163" s="95" t="str">
        <f t="shared" si="18"/>
        <v/>
      </c>
      <c r="N163" s="95" t="str">
        <f t="shared" si="19"/>
        <v/>
      </c>
    </row>
    <row r="164" spans="1:14" x14ac:dyDescent="0.25">
      <c r="A164" s="98"/>
      <c r="B164" s="33"/>
      <c r="C164" s="25"/>
      <c r="D164" s="26"/>
      <c r="E164" s="33"/>
      <c r="F164" s="25"/>
      <c r="G164" s="26"/>
      <c r="H164" s="55"/>
      <c r="M164" s="95" t="str">
        <f t="shared" si="18"/>
        <v/>
      </c>
      <c r="N164" s="95" t="str">
        <f t="shared" si="19"/>
        <v/>
      </c>
    </row>
    <row r="165" spans="1:14" x14ac:dyDescent="0.25">
      <c r="A165" s="98"/>
      <c r="B165" s="33"/>
      <c r="C165" s="25"/>
      <c r="D165" s="26"/>
      <c r="E165" s="33"/>
      <c r="F165" s="25"/>
      <c r="G165" s="26"/>
      <c r="H165" s="55"/>
      <c r="M165" s="95" t="str">
        <f t="shared" si="18"/>
        <v/>
      </c>
      <c r="N165" s="95" t="str">
        <f t="shared" si="19"/>
        <v/>
      </c>
    </row>
    <row r="166" spans="1:14" x14ac:dyDescent="0.25">
      <c r="A166" s="98"/>
      <c r="B166" s="33"/>
      <c r="C166" s="25"/>
      <c r="D166" s="26"/>
      <c r="E166" s="33"/>
      <c r="F166" s="25"/>
      <c r="G166" s="26"/>
      <c r="H166" s="55"/>
      <c r="M166" s="95" t="str">
        <f t="shared" si="18"/>
        <v/>
      </c>
      <c r="N166" s="95" t="str">
        <f t="shared" si="19"/>
        <v/>
      </c>
    </row>
    <row r="167" spans="1:14" x14ac:dyDescent="0.25">
      <c r="A167" s="98"/>
      <c r="B167" s="33"/>
      <c r="C167" s="25"/>
      <c r="D167" s="26"/>
      <c r="E167" s="33"/>
      <c r="F167" s="25"/>
      <c r="G167" s="26"/>
      <c r="H167" s="55"/>
      <c r="M167" s="95" t="str">
        <f t="shared" si="18"/>
        <v/>
      </c>
      <c r="N167" s="95" t="str">
        <f t="shared" si="19"/>
        <v/>
      </c>
    </row>
    <row r="168" spans="1:14" x14ac:dyDescent="0.25">
      <c r="A168" s="98"/>
      <c r="B168" s="33"/>
      <c r="C168" s="25"/>
      <c r="D168" s="26"/>
      <c r="E168" s="33"/>
      <c r="F168" s="25"/>
      <c r="G168" s="26"/>
      <c r="H168" s="55"/>
      <c r="M168" s="95" t="str">
        <f t="shared" si="18"/>
        <v/>
      </c>
      <c r="N168" s="95" t="str">
        <f t="shared" si="19"/>
        <v/>
      </c>
    </row>
    <row r="169" spans="1:14" x14ac:dyDescent="0.25">
      <c r="A169" s="98"/>
      <c r="B169" s="33"/>
      <c r="C169" s="25"/>
      <c r="D169" s="26"/>
      <c r="E169" s="33"/>
      <c r="F169" s="25"/>
      <c r="G169" s="26"/>
      <c r="H169" s="55"/>
      <c r="M169" s="95" t="str">
        <f t="shared" si="18"/>
        <v/>
      </c>
      <c r="N169" s="95" t="str">
        <f t="shared" si="19"/>
        <v/>
      </c>
    </row>
    <row r="170" spans="1:14" x14ac:dyDescent="0.25">
      <c r="A170" s="98"/>
      <c r="B170" s="33"/>
      <c r="C170" s="25"/>
      <c r="D170" s="26"/>
      <c r="E170" s="33"/>
      <c r="F170" s="25"/>
      <c r="G170" s="26"/>
      <c r="H170" s="55"/>
      <c r="M170" s="95" t="str">
        <f t="shared" si="18"/>
        <v/>
      </c>
      <c r="N170" s="95" t="str">
        <f t="shared" si="19"/>
        <v/>
      </c>
    </row>
    <row r="171" spans="1:14" x14ac:dyDescent="0.25">
      <c r="A171" s="98"/>
      <c r="B171" s="33"/>
      <c r="C171" s="25"/>
      <c r="D171" s="26"/>
      <c r="E171" s="33"/>
      <c r="F171" s="25"/>
      <c r="G171" s="26"/>
      <c r="H171" s="55"/>
      <c r="M171" s="95" t="str">
        <f t="shared" si="18"/>
        <v/>
      </c>
      <c r="N171" s="95" t="str">
        <f t="shared" si="19"/>
        <v/>
      </c>
    </row>
    <row r="172" spans="1:14" x14ac:dyDescent="0.25">
      <c r="A172" s="98"/>
      <c r="B172" s="33"/>
      <c r="C172" s="25"/>
      <c r="D172" s="26"/>
      <c r="E172" s="33"/>
      <c r="F172" s="25"/>
      <c r="G172" s="26"/>
      <c r="H172" s="55"/>
      <c r="M172" s="95" t="str">
        <f t="shared" si="18"/>
        <v/>
      </c>
      <c r="N172" s="95" t="str">
        <f t="shared" si="19"/>
        <v/>
      </c>
    </row>
    <row r="173" spans="1:14" x14ac:dyDescent="0.25">
      <c r="A173" s="98"/>
      <c r="B173" s="33"/>
      <c r="C173" s="25"/>
      <c r="D173" s="26"/>
      <c r="E173" s="33"/>
      <c r="F173" s="25"/>
      <c r="G173" s="26"/>
      <c r="H173" s="55"/>
      <c r="M173" s="95" t="str">
        <f t="shared" si="18"/>
        <v/>
      </c>
      <c r="N173" s="95" t="str">
        <f t="shared" si="19"/>
        <v/>
      </c>
    </row>
    <row r="174" spans="1:14" x14ac:dyDescent="0.25">
      <c r="A174" s="98"/>
      <c r="B174" s="33"/>
      <c r="C174" s="25"/>
      <c r="D174" s="26"/>
      <c r="E174" s="33"/>
      <c r="F174" s="25"/>
      <c r="G174" s="26"/>
      <c r="H174" s="55"/>
      <c r="M174" s="95" t="str">
        <f t="shared" si="18"/>
        <v/>
      </c>
      <c r="N174" s="95" t="str">
        <f t="shared" si="19"/>
        <v/>
      </c>
    </row>
    <row r="175" spans="1:14" x14ac:dyDescent="0.25">
      <c r="A175" s="98"/>
      <c r="B175" s="33"/>
      <c r="C175" s="25"/>
      <c r="D175" s="26"/>
      <c r="E175" s="33"/>
      <c r="F175" s="25"/>
      <c r="G175" s="26"/>
      <c r="H175" s="55"/>
      <c r="M175" s="95" t="str">
        <f t="shared" si="18"/>
        <v/>
      </c>
      <c r="N175" s="95" t="str">
        <f t="shared" si="19"/>
        <v/>
      </c>
    </row>
    <row r="176" spans="1:14" x14ac:dyDescent="0.25">
      <c r="A176" s="98"/>
      <c r="B176" s="33"/>
      <c r="C176" s="25"/>
      <c r="D176" s="26"/>
      <c r="E176" s="33"/>
      <c r="F176" s="25"/>
      <c r="G176" s="26"/>
      <c r="H176" s="55"/>
      <c r="M176" s="95" t="str">
        <f t="shared" si="18"/>
        <v/>
      </c>
      <c r="N176" s="95" t="str">
        <f t="shared" si="19"/>
        <v/>
      </c>
    </row>
    <row r="177" spans="1:14" x14ac:dyDescent="0.25">
      <c r="A177" s="98"/>
      <c r="B177" s="33"/>
      <c r="C177" s="25"/>
      <c r="D177" s="26"/>
      <c r="E177" s="33"/>
      <c r="F177" s="25"/>
      <c r="G177" s="26"/>
      <c r="H177" s="55"/>
      <c r="M177" s="95" t="str">
        <f t="shared" si="18"/>
        <v/>
      </c>
      <c r="N177" s="95" t="str">
        <f t="shared" si="19"/>
        <v/>
      </c>
    </row>
    <row r="178" spans="1:14" x14ac:dyDescent="0.25">
      <c r="A178" s="98"/>
      <c r="B178" s="33"/>
      <c r="C178" s="25"/>
      <c r="D178" s="26"/>
      <c r="E178" s="33"/>
      <c r="F178" s="25"/>
      <c r="G178" s="26"/>
      <c r="H178" s="55"/>
      <c r="M178" s="95" t="str">
        <f t="shared" si="18"/>
        <v/>
      </c>
      <c r="N178" s="95" t="str">
        <f t="shared" si="19"/>
        <v/>
      </c>
    </row>
    <row r="179" spans="1:14" x14ac:dyDescent="0.25">
      <c r="A179" s="98"/>
      <c r="B179" s="33"/>
      <c r="C179" s="25"/>
      <c r="D179" s="26"/>
      <c r="E179" s="33"/>
      <c r="F179" s="25"/>
      <c r="G179" s="26"/>
      <c r="H179" s="55"/>
      <c r="M179" s="95" t="str">
        <f t="shared" si="18"/>
        <v/>
      </c>
      <c r="N179" s="95" t="str">
        <f t="shared" si="19"/>
        <v/>
      </c>
    </row>
    <row r="180" spans="1:14" x14ac:dyDescent="0.25">
      <c r="A180" s="98"/>
      <c r="B180" s="33"/>
      <c r="C180" s="25"/>
      <c r="D180" s="26"/>
      <c r="E180" s="33"/>
      <c r="F180" s="25"/>
      <c r="G180" s="26"/>
      <c r="H180" s="55"/>
      <c r="M180" s="95" t="str">
        <f t="shared" si="18"/>
        <v/>
      </c>
      <c r="N180" s="95" t="str">
        <f t="shared" si="19"/>
        <v/>
      </c>
    </row>
    <row r="181" spans="1:14" x14ac:dyDescent="0.25">
      <c r="A181" s="98"/>
      <c r="B181" s="33"/>
      <c r="C181" s="25"/>
      <c r="D181" s="26"/>
      <c r="E181" s="33"/>
      <c r="F181" s="25"/>
      <c r="G181" s="26"/>
      <c r="H181" s="55"/>
      <c r="M181" s="95" t="str">
        <f t="shared" si="18"/>
        <v/>
      </c>
      <c r="N181" s="95" t="str">
        <f t="shared" si="19"/>
        <v/>
      </c>
    </row>
    <row r="182" spans="1:14" x14ac:dyDescent="0.25">
      <c r="A182" s="98"/>
      <c r="B182" s="33"/>
      <c r="C182" s="25"/>
      <c r="D182" s="26"/>
      <c r="E182" s="33"/>
      <c r="F182" s="25"/>
      <c r="G182" s="26"/>
      <c r="H182" s="55"/>
      <c r="M182" s="95" t="str">
        <f t="shared" si="18"/>
        <v/>
      </c>
      <c r="N182" s="95" t="str">
        <f t="shared" si="19"/>
        <v/>
      </c>
    </row>
    <row r="183" spans="1:14" x14ac:dyDescent="0.25">
      <c r="A183" s="98"/>
      <c r="B183" s="33"/>
      <c r="C183" s="25"/>
      <c r="D183" s="26"/>
      <c r="E183" s="33"/>
      <c r="F183" s="25"/>
      <c r="G183" s="26"/>
      <c r="H183" s="55"/>
      <c r="M183" s="95" t="str">
        <f t="shared" si="18"/>
        <v/>
      </c>
      <c r="N183" s="95" t="str">
        <f t="shared" si="19"/>
        <v/>
      </c>
    </row>
    <row r="184" spans="1:14" x14ac:dyDescent="0.25">
      <c r="A184" s="98"/>
      <c r="B184" s="33"/>
      <c r="C184" s="25"/>
      <c r="D184" s="26"/>
      <c r="E184" s="33"/>
      <c r="F184" s="25"/>
      <c r="G184" s="26"/>
      <c r="H184" s="55"/>
      <c r="M184" s="95" t="str">
        <f t="shared" si="18"/>
        <v/>
      </c>
      <c r="N184" s="95" t="str">
        <f t="shared" si="19"/>
        <v/>
      </c>
    </row>
    <row r="185" spans="1:14" x14ac:dyDescent="0.25">
      <c r="A185" s="98"/>
      <c r="B185" s="33"/>
      <c r="C185" s="25"/>
      <c r="D185" s="26"/>
      <c r="E185" s="33"/>
      <c r="F185" s="25"/>
      <c r="G185" s="26"/>
      <c r="H185" s="55"/>
      <c r="M185" s="95" t="str">
        <f t="shared" si="18"/>
        <v/>
      </c>
      <c r="N185" s="95" t="str">
        <f t="shared" si="19"/>
        <v/>
      </c>
    </row>
    <row r="186" spans="1:14" x14ac:dyDescent="0.25">
      <c r="A186" s="98"/>
      <c r="B186" s="33"/>
      <c r="C186" s="25"/>
      <c r="D186" s="26"/>
      <c r="E186" s="33"/>
      <c r="F186" s="25"/>
      <c r="G186" s="26"/>
      <c r="H186" s="55"/>
      <c r="M186" s="95" t="str">
        <f t="shared" si="18"/>
        <v/>
      </c>
      <c r="N186" s="95" t="str">
        <f t="shared" si="19"/>
        <v/>
      </c>
    </row>
    <row r="187" spans="1:14" x14ac:dyDescent="0.25">
      <c r="A187" s="98"/>
      <c r="B187" s="33"/>
      <c r="C187" s="25"/>
      <c r="D187" s="26"/>
      <c r="E187" s="33"/>
      <c r="F187" s="25"/>
      <c r="G187" s="26"/>
      <c r="H187" s="55"/>
      <c r="M187" s="95" t="str">
        <f t="shared" si="18"/>
        <v/>
      </c>
      <c r="N187" s="95" t="str">
        <f t="shared" si="19"/>
        <v/>
      </c>
    </row>
    <row r="188" spans="1:14" x14ac:dyDescent="0.25">
      <c r="A188" s="98"/>
      <c r="B188" s="33"/>
      <c r="C188" s="25"/>
      <c r="D188" s="26"/>
      <c r="E188" s="33"/>
      <c r="F188" s="25"/>
      <c r="G188" s="26"/>
      <c r="H188" s="55"/>
      <c r="M188" s="95" t="str">
        <f t="shared" si="18"/>
        <v/>
      </c>
      <c r="N188" s="95" t="str">
        <f t="shared" si="19"/>
        <v/>
      </c>
    </row>
    <row r="189" spans="1:14" x14ac:dyDescent="0.25">
      <c r="A189" s="98"/>
      <c r="B189" s="33"/>
      <c r="C189" s="25"/>
      <c r="D189" s="26"/>
      <c r="E189" s="33"/>
      <c r="F189" s="25"/>
      <c r="G189" s="26"/>
      <c r="H189" s="55"/>
      <c r="M189" s="95" t="str">
        <f t="shared" si="18"/>
        <v/>
      </c>
      <c r="N189" s="95" t="str">
        <f t="shared" si="19"/>
        <v/>
      </c>
    </row>
    <row r="190" spans="1:14" x14ac:dyDescent="0.25">
      <c r="A190" s="98"/>
      <c r="B190" s="33"/>
      <c r="C190" s="25"/>
      <c r="D190" s="26"/>
      <c r="E190" s="33"/>
      <c r="F190" s="25"/>
      <c r="G190" s="26"/>
      <c r="H190" s="55"/>
      <c r="M190" s="95" t="str">
        <f t="shared" si="18"/>
        <v/>
      </c>
      <c r="N190" s="95" t="str">
        <f t="shared" si="19"/>
        <v/>
      </c>
    </row>
    <row r="191" spans="1:14" x14ac:dyDescent="0.25">
      <c r="A191" s="98"/>
      <c r="B191" s="33"/>
      <c r="C191" s="25"/>
      <c r="D191" s="26"/>
      <c r="E191" s="33"/>
      <c r="F191" s="25"/>
      <c r="G191" s="26"/>
      <c r="H191" s="55"/>
      <c r="M191" s="95" t="str">
        <f t="shared" si="18"/>
        <v/>
      </c>
      <c r="N191" s="95" t="str">
        <f t="shared" si="19"/>
        <v/>
      </c>
    </row>
    <row r="192" spans="1:14" x14ac:dyDescent="0.25">
      <c r="A192" s="98"/>
      <c r="B192" s="33"/>
      <c r="C192" s="25"/>
      <c r="D192" s="26"/>
      <c r="E192" s="33"/>
      <c r="F192" s="25"/>
      <c r="G192" s="26"/>
      <c r="H192" s="55"/>
      <c r="M192" s="95" t="str">
        <f t="shared" si="18"/>
        <v/>
      </c>
      <c r="N192" s="95" t="str">
        <f t="shared" si="19"/>
        <v/>
      </c>
    </row>
    <row r="193" spans="1:14" x14ac:dyDescent="0.25">
      <c r="A193" s="98"/>
      <c r="B193" s="33"/>
      <c r="C193" s="25"/>
      <c r="D193" s="26"/>
      <c r="E193" s="33"/>
      <c r="F193" s="25"/>
      <c r="G193" s="26"/>
      <c r="H193" s="55"/>
      <c r="M193" s="95" t="str">
        <f t="shared" si="18"/>
        <v/>
      </c>
      <c r="N193" s="95" t="str">
        <f t="shared" si="19"/>
        <v/>
      </c>
    </row>
    <row r="194" spans="1:14" x14ac:dyDescent="0.25">
      <c r="A194" s="98"/>
      <c r="B194" s="33"/>
      <c r="C194" s="25"/>
      <c r="D194" s="26"/>
      <c r="E194" s="33"/>
      <c r="F194" s="25"/>
      <c r="G194" s="26"/>
      <c r="H194" s="55"/>
      <c r="M194" s="95" t="str">
        <f t="shared" si="18"/>
        <v/>
      </c>
      <c r="N194" s="95" t="str">
        <f t="shared" si="19"/>
        <v/>
      </c>
    </row>
    <row r="195" spans="1:14" x14ac:dyDescent="0.25">
      <c r="A195" s="98"/>
      <c r="B195" s="33"/>
      <c r="C195" s="25"/>
      <c r="D195" s="26"/>
      <c r="E195" s="33"/>
      <c r="F195" s="25"/>
      <c r="G195" s="26"/>
      <c r="H195" s="55"/>
      <c r="M195" s="95" t="str">
        <f t="shared" ref="M195:M258" si="20">IF(COUNTIF(K:K,J195),J195,"")</f>
        <v/>
      </c>
      <c r="N195" s="95" t="str">
        <f t="shared" si="19"/>
        <v/>
      </c>
    </row>
    <row r="196" spans="1:14" x14ac:dyDescent="0.25">
      <c r="A196" s="98"/>
      <c r="B196" s="33"/>
      <c r="C196" s="25"/>
      <c r="D196" s="26"/>
      <c r="E196" s="33"/>
      <c r="F196" s="25"/>
      <c r="G196" s="26"/>
      <c r="H196" s="55"/>
      <c r="M196" s="95" t="str">
        <f t="shared" si="20"/>
        <v/>
      </c>
      <c r="N196" s="95" t="str">
        <f t="shared" ref="N196:N259" si="21">IF(M196&gt;$A$14,M196,"")</f>
        <v/>
      </c>
    </row>
    <row r="197" spans="1:14" x14ac:dyDescent="0.25">
      <c r="A197" s="98"/>
      <c r="B197" s="33"/>
      <c r="C197" s="25"/>
      <c r="D197" s="26"/>
      <c r="E197" s="33"/>
      <c r="F197" s="25"/>
      <c r="G197" s="26"/>
      <c r="H197" s="55"/>
      <c r="M197" s="95" t="str">
        <f t="shared" si="20"/>
        <v/>
      </c>
      <c r="N197" s="95" t="str">
        <f t="shared" si="21"/>
        <v/>
      </c>
    </row>
    <row r="198" spans="1:14" x14ac:dyDescent="0.25">
      <c r="A198" s="98"/>
      <c r="B198" s="33"/>
      <c r="C198" s="25"/>
      <c r="D198" s="26"/>
      <c r="E198" s="33"/>
      <c r="F198" s="25"/>
      <c r="G198" s="26"/>
      <c r="H198" s="55"/>
      <c r="M198" s="95" t="str">
        <f t="shared" si="20"/>
        <v/>
      </c>
      <c r="N198" s="95" t="str">
        <f t="shared" si="21"/>
        <v/>
      </c>
    </row>
    <row r="199" spans="1:14" x14ac:dyDescent="0.25">
      <c r="A199" s="98"/>
      <c r="B199" s="33"/>
      <c r="C199" s="25"/>
      <c r="D199" s="26"/>
      <c r="E199" s="33"/>
      <c r="F199" s="25"/>
      <c r="G199" s="26"/>
      <c r="H199" s="55"/>
      <c r="M199" s="95" t="str">
        <f t="shared" si="20"/>
        <v/>
      </c>
      <c r="N199" s="95" t="str">
        <f t="shared" si="21"/>
        <v/>
      </c>
    </row>
    <row r="200" spans="1:14" x14ac:dyDescent="0.25">
      <c r="A200" s="98"/>
      <c r="B200" s="33"/>
      <c r="C200" s="25"/>
      <c r="D200" s="26"/>
      <c r="E200" s="33"/>
      <c r="F200" s="25"/>
      <c r="G200" s="26"/>
      <c r="H200" s="55"/>
      <c r="M200" s="95" t="str">
        <f t="shared" si="20"/>
        <v/>
      </c>
      <c r="N200" s="95" t="str">
        <f t="shared" si="21"/>
        <v/>
      </c>
    </row>
    <row r="201" spans="1:14" x14ac:dyDescent="0.25">
      <c r="M201" s="95" t="str">
        <f t="shared" si="20"/>
        <v/>
      </c>
      <c r="N201" s="95" t="str">
        <f t="shared" si="21"/>
        <v/>
      </c>
    </row>
    <row r="202" spans="1:14" x14ac:dyDescent="0.25">
      <c r="M202" s="95" t="str">
        <f t="shared" si="20"/>
        <v/>
      </c>
      <c r="N202" s="95" t="str">
        <f t="shared" si="21"/>
        <v/>
      </c>
    </row>
    <row r="203" spans="1:14" x14ac:dyDescent="0.25">
      <c r="M203" s="95" t="str">
        <f t="shared" si="20"/>
        <v/>
      </c>
      <c r="N203" s="95" t="str">
        <f t="shared" si="21"/>
        <v/>
      </c>
    </row>
    <row r="204" spans="1:14" x14ac:dyDescent="0.25">
      <c r="M204" s="95" t="str">
        <f t="shared" si="20"/>
        <v/>
      </c>
      <c r="N204" s="95" t="str">
        <f t="shared" si="21"/>
        <v/>
      </c>
    </row>
    <row r="205" spans="1:14" x14ac:dyDescent="0.25">
      <c r="M205" s="95" t="str">
        <f t="shared" si="20"/>
        <v/>
      </c>
      <c r="N205" s="95" t="str">
        <f t="shared" si="21"/>
        <v/>
      </c>
    </row>
    <row r="206" spans="1:14" x14ac:dyDescent="0.25">
      <c r="M206" s="95" t="str">
        <f t="shared" si="20"/>
        <v/>
      </c>
      <c r="N206" s="95" t="str">
        <f t="shared" si="21"/>
        <v/>
      </c>
    </row>
    <row r="207" spans="1:14" x14ac:dyDescent="0.25">
      <c r="M207" s="95" t="str">
        <f t="shared" si="20"/>
        <v/>
      </c>
      <c r="N207" s="95" t="str">
        <f t="shared" si="21"/>
        <v/>
      </c>
    </row>
    <row r="208" spans="1:14" x14ac:dyDescent="0.25">
      <c r="M208" s="95" t="str">
        <f t="shared" si="20"/>
        <v/>
      </c>
      <c r="N208" s="95" t="str">
        <f t="shared" si="21"/>
        <v/>
      </c>
    </row>
    <row r="209" spans="13:14" x14ac:dyDescent="0.25">
      <c r="M209" s="95" t="str">
        <f t="shared" si="20"/>
        <v/>
      </c>
      <c r="N209" s="95" t="str">
        <f t="shared" si="21"/>
        <v/>
      </c>
    </row>
    <row r="210" spans="13:14" x14ac:dyDescent="0.25">
      <c r="M210" s="95" t="str">
        <f t="shared" si="20"/>
        <v/>
      </c>
      <c r="N210" s="95" t="str">
        <f t="shared" si="21"/>
        <v/>
      </c>
    </row>
    <row r="211" spans="13:14" x14ac:dyDescent="0.25">
      <c r="M211" s="95" t="str">
        <f t="shared" si="20"/>
        <v/>
      </c>
      <c r="N211" s="95" t="str">
        <f t="shared" si="21"/>
        <v/>
      </c>
    </row>
    <row r="212" spans="13:14" x14ac:dyDescent="0.25">
      <c r="M212" s="95" t="str">
        <f t="shared" si="20"/>
        <v/>
      </c>
      <c r="N212" s="95" t="str">
        <f t="shared" si="21"/>
        <v/>
      </c>
    </row>
    <row r="213" spans="13:14" x14ac:dyDescent="0.25">
      <c r="M213" s="95" t="str">
        <f t="shared" si="20"/>
        <v/>
      </c>
      <c r="N213" s="95" t="str">
        <f t="shared" si="21"/>
        <v/>
      </c>
    </row>
    <row r="214" spans="13:14" x14ac:dyDescent="0.25">
      <c r="M214" s="95" t="str">
        <f t="shared" si="20"/>
        <v/>
      </c>
      <c r="N214" s="95" t="str">
        <f t="shared" si="21"/>
        <v/>
      </c>
    </row>
    <row r="215" spans="13:14" x14ac:dyDescent="0.25">
      <c r="M215" s="95" t="str">
        <f t="shared" si="20"/>
        <v/>
      </c>
      <c r="N215" s="95" t="str">
        <f t="shared" si="21"/>
        <v/>
      </c>
    </row>
    <row r="216" spans="13:14" x14ac:dyDescent="0.25">
      <c r="M216" s="95" t="str">
        <f t="shared" si="20"/>
        <v/>
      </c>
      <c r="N216" s="95" t="str">
        <f t="shared" si="21"/>
        <v/>
      </c>
    </row>
    <row r="217" spans="13:14" x14ac:dyDescent="0.25">
      <c r="M217" s="95" t="str">
        <f t="shared" si="20"/>
        <v/>
      </c>
      <c r="N217" s="95" t="str">
        <f t="shared" si="21"/>
        <v/>
      </c>
    </row>
    <row r="218" spans="13:14" x14ac:dyDescent="0.25">
      <c r="M218" s="95" t="str">
        <f t="shared" si="20"/>
        <v/>
      </c>
      <c r="N218" s="95" t="str">
        <f t="shared" si="21"/>
        <v/>
      </c>
    </row>
    <row r="219" spans="13:14" x14ac:dyDescent="0.25">
      <c r="M219" s="95" t="str">
        <f t="shared" si="20"/>
        <v/>
      </c>
      <c r="N219" s="95" t="str">
        <f t="shared" si="21"/>
        <v/>
      </c>
    </row>
    <row r="220" spans="13:14" x14ac:dyDescent="0.25">
      <c r="M220" s="95" t="str">
        <f t="shared" si="20"/>
        <v/>
      </c>
      <c r="N220" s="95" t="str">
        <f t="shared" si="21"/>
        <v/>
      </c>
    </row>
    <row r="221" spans="13:14" x14ac:dyDescent="0.25">
      <c r="M221" s="95" t="str">
        <f t="shared" si="20"/>
        <v/>
      </c>
      <c r="N221" s="95" t="str">
        <f t="shared" si="21"/>
        <v/>
      </c>
    </row>
    <row r="222" spans="13:14" x14ac:dyDescent="0.25">
      <c r="M222" s="95" t="str">
        <f t="shared" si="20"/>
        <v/>
      </c>
      <c r="N222" s="95" t="str">
        <f t="shared" si="21"/>
        <v/>
      </c>
    </row>
    <row r="223" spans="13:14" x14ac:dyDescent="0.25">
      <c r="M223" s="95" t="str">
        <f t="shared" si="20"/>
        <v/>
      </c>
      <c r="N223" s="95" t="str">
        <f t="shared" si="21"/>
        <v/>
      </c>
    </row>
    <row r="224" spans="13:14" x14ac:dyDescent="0.25">
      <c r="M224" s="95" t="str">
        <f t="shared" si="20"/>
        <v/>
      </c>
      <c r="N224" s="95" t="str">
        <f t="shared" si="21"/>
        <v/>
      </c>
    </row>
    <row r="225" spans="13:14" x14ac:dyDescent="0.25">
      <c r="M225" s="95" t="str">
        <f t="shared" si="20"/>
        <v/>
      </c>
      <c r="N225" s="95" t="str">
        <f t="shared" si="21"/>
        <v/>
      </c>
    </row>
    <row r="226" spans="13:14" x14ac:dyDescent="0.25">
      <c r="M226" s="95" t="str">
        <f t="shared" si="20"/>
        <v/>
      </c>
      <c r="N226" s="95" t="str">
        <f t="shared" si="21"/>
        <v/>
      </c>
    </row>
    <row r="227" spans="13:14" x14ac:dyDescent="0.25">
      <c r="M227" s="95" t="str">
        <f t="shared" si="20"/>
        <v/>
      </c>
      <c r="N227" s="95" t="str">
        <f t="shared" si="21"/>
        <v/>
      </c>
    </row>
    <row r="228" spans="13:14" x14ac:dyDescent="0.25">
      <c r="M228" s="95" t="str">
        <f t="shared" si="20"/>
        <v/>
      </c>
      <c r="N228" s="95" t="str">
        <f t="shared" si="21"/>
        <v/>
      </c>
    </row>
    <row r="229" spans="13:14" x14ac:dyDescent="0.25">
      <c r="M229" s="95" t="str">
        <f t="shared" si="20"/>
        <v/>
      </c>
      <c r="N229" s="95" t="str">
        <f t="shared" si="21"/>
        <v/>
      </c>
    </row>
    <row r="230" spans="13:14" x14ac:dyDescent="0.25">
      <c r="M230" s="95" t="str">
        <f t="shared" si="20"/>
        <v/>
      </c>
      <c r="N230" s="95" t="str">
        <f t="shared" si="21"/>
        <v/>
      </c>
    </row>
    <row r="231" spans="13:14" x14ac:dyDescent="0.25">
      <c r="M231" s="95" t="str">
        <f t="shared" si="20"/>
        <v/>
      </c>
      <c r="N231" s="95" t="str">
        <f t="shared" si="21"/>
        <v/>
      </c>
    </row>
    <row r="232" spans="13:14" x14ac:dyDescent="0.25">
      <c r="M232" s="95" t="str">
        <f t="shared" si="20"/>
        <v/>
      </c>
      <c r="N232" s="95" t="str">
        <f t="shared" si="21"/>
        <v/>
      </c>
    </row>
    <row r="233" spans="13:14" x14ac:dyDescent="0.25">
      <c r="M233" s="95" t="str">
        <f t="shared" si="20"/>
        <v/>
      </c>
      <c r="N233" s="95" t="str">
        <f t="shared" si="21"/>
        <v/>
      </c>
    </row>
    <row r="234" spans="13:14" x14ac:dyDescent="0.25">
      <c r="M234" s="95" t="str">
        <f t="shared" si="20"/>
        <v/>
      </c>
      <c r="N234" s="95" t="str">
        <f t="shared" si="21"/>
        <v/>
      </c>
    </row>
    <row r="235" spans="13:14" x14ac:dyDescent="0.25">
      <c r="M235" s="95" t="str">
        <f t="shared" si="20"/>
        <v/>
      </c>
      <c r="N235" s="95" t="str">
        <f t="shared" si="21"/>
        <v/>
      </c>
    </row>
    <row r="236" spans="13:14" x14ac:dyDescent="0.25">
      <c r="M236" s="95" t="str">
        <f t="shared" si="20"/>
        <v/>
      </c>
      <c r="N236" s="95" t="str">
        <f t="shared" si="21"/>
        <v/>
      </c>
    </row>
    <row r="237" spans="13:14" x14ac:dyDescent="0.25">
      <c r="M237" s="95" t="str">
        <f t="shared" si="20"/>
        <v/>
      </c>
      <c r="N237" s="95" t="str">
        <f t="shared" si="21"/>
        <v/>
      </c>
    </row>
    <row r="238" spans="13:14" x14ac:dyDescent="0.25">
      <c r="M238" s="95" t="str">
        <f t="shared" si="20"/>
        <v/>
      </c>
      <c r="N238" s="95" t="str">
        <f t="shared" si="21"/>
        <v/>
      </c>
    </row>
    <row r="239" spans="13:14" x14ac:dyDescent="0.25">
      <c r="M239" s="95" t="str">
        <f t="shared" si="20"/>
        <v/>
      </c>
      <c r="N239" s="95" t="str">
        <f t="shared" si="21"/>
        <v/>
      </c>
    </row>
    <row r="240" spans="13:14" x14ac:dyDescent="0.25">
      <c r="M240" s="95" t="str">
        <f t="shared" si="20"/>
        <v/>
      </c>
      <c r="N240" s="95" t="str">
        <f t="shared" si="21"/>
        <v/>
      </c>
    </row>
    <row r="241" spans="13:14" x14ac:dyDescent="0.25">
      <c r="M241" s="95" t="str">
        <f t="shared" si="20"/>
        <v/>
      </c>
      <c r="N241" s="95" t="str">
        <f t="shared" si="21"/>
        <v/>
      </c>
    </row>
    <row r="242" spans="13:14" x14ac:dyDescent="0.25">
      <c r="M242" s="95" t="str">
        <f t="shared" si="20"/>
        <v/>
      </c>
      <c r="N242" s="95" t="str">
        <f t="shared" si="21"/>
        <v/>
      </c>
    </row>
    <row r="243" spans="13:14" x14ac:dyDescent="0.25">
      <c r="M243" s="95" t="str">
        <f t="shared" si="20"/>
        <v/>
      </c>
      <c r="N243" s="95" t="str">
        <f t="shared" si="21"/>
        <v/>
      </c>
    </row>
    <row r="244" spans="13:14" x14ac:dyDescent="0.25">
      <c r="M244" s="95" t="str">
        <f t="shared" si="20"/>
        <v/>
      </c>
      <c r="N244" s="95" t="str">
        <f t="shared" si="21"/>
        <v/>
      </c>
    </row>
    <row r="245" spans="13:14" x14ac:dyDescent="0.25">
      <c r="M245" s="95" t="str">
        <f t="shared" si="20"/>
        <v/>
      </c>
      <c r="N245" s="95" t="str">
        <f t="shared" si="21"/>
        <v/>
      </c>
    </row>
    <row r="246" spans="13:14" x14ac:dyDescent="0.25">
      <c r="M246" s="95" t="str">
        <f t="shared" si="20"/>
        <v/>
      </c>
      <c r="N246" s="95" t="str">
        <f t="shared" si="21"/>
        <v/>
      </c>
    </row>
    <row r="247" spans="13:14" x14ac:dyDescent="0.25">
      <c r="M247" s="95" t="str">
        <f t="shared" si="20"/>
        <v/>
      </c>
      <c r="N247" s="95" t="str">
        <f t="shared" si="21"/>
        <v/>
      </c>
    </row>
    <row r="248" spans="13:14" x14ac:dyDescent="0.25">
      <c r="M248" s="95" t="str">
        <f t="shared" si="20"/>
        <v/>
      </c>
      <c r="N248" s="95" t="str">
        <f t="shared" si="21"/>
        <v/>
      </c>
    </row>
    <row r="249" spans="13:14" x14ac:dyDescent="0.25">
      <c r="M249" s="95" t="str">
        <f t="shared" si="20"/>
        <v/>
      </c>
      <c r="N249" s="95" t="str">
        <f t="shared" si="21"/>
        <v/>
      </c>
    </row>
    <row r="250" spans="13:14" x14ac:dyDescent="0.25">
      <c r="M250" s="95" t="str">
        <f t="shared" si="20"/>
        <v/>
      </c>
      <c r="N250" s="95" t="str">
        <f t="shared" si="21"/>
        <v/>
      </c>
    </row>
    <row r="251" spans="13:14" x14ac:dyDescent="0.25">
      <c r="M251" s="95" t="str">
        <f t="shared" si="20"/>
        <v/>
      </c>
      <c r="N251" s="95" t="str">
        <f t="shared" si="21"/>
        <v/>
      </c>
    </row>
    <row r="252" spans="13:14" x14ac:dyDescent="0.25">
      <c r="M252" s="95" t="str">
        <f t="shared" si="20"/>
        <v/>
      </c>
      <c r="N252" s="95" t="str">
        <f t="shared" si="21"/>
        <v/>
      </c>
    </row>
    <row r="253" spans="13:14" x14ac:dyDescent="0.25">
      <c r="M253" s="95" t="str">
        <f t="shared" si="20"/>
        <v/>
      </c>
      <c r="N253" s="95" t="str">
        <f t="shared" si="21"/>
        <v/>
      </c>
    </row>
    <row r="254" spans="13:14" x14ac:dyDescent="0.25">
      <c r="M254" s="95" t="str">
        <f t="shared" si="20"/>
        <v/>
      </c>
      <c r="N254" s="95" t="str">
        <f t="shared" si="21"/>
        <v/>
      </c>
    </row>
    <row r="255" spans="13:14" x14ac:dyDescent="0.25">
      <c r="M255" s="95" t="str">
        <f t="shared" si="20"/>
        <v/>
      </c>
      <c r="N255" s="95" t="str">
        <f t="shared" si="21"/>
        <v/>
      </c>
    </row>
    <row r="256" spans="13:14" x14ac:dyDescent="0.25">
      <c r="M256" s="95" t="str">
        <f t="shared" si="20"/>
        <v/>
      </c>
      <c r="N256" s="95" t="str">
        <f t="shared" si="21"/>
        <v/>
      </c>
    </row>
    <row r="257" spans="13:14" x14ac:dyDescent="0.25">
      <c r="M257" s="95" t="str">
        <f t="shared" si="20"/>
        <v/>
      </c>
      <c r="N257" s="95" t="str">
        <f t="shared" si="21"/>
        <v/>
      </c>
    </row>
    <row r="258" spans="13:14" x14ac:dyDescent="0.25">
      <c r="M258" s="95" t="str">
        <f t="shared" si="20"/>
        <v/>
      </c>
      <c r="N258" s="95" t="str">
        <f t="shared" si="21"/>
        <v/>
      </c>
    </row>
    <row r="259" spans="13:14" x14ac:dyDescent="0.25">
      <c r="M259" s="95" t="str">
        <f t="shared" ref="M259:M322" si="22">IF(COUNTIF(K:K,J259),J259,"")</f>
        <v/>
      </c>
      <c r="N259" s="95" t="str">
        <f t="shared" si="21"/>
        <v/>
      </c>
    </row>
    <row r="260" spans="13:14" x14ac:dyDescent="0.25">
      <c r="M260" s="95" t="str">
        <f t="shared" si="22"/>
        <v/>
      </c>
      <c r="N260" s="95" t="str">
        <f t="shared" ref="N260:N323" si="23">IF(M260&gt;$A$14,M260,"")</f>
        <v/>
      </c>
    </row>
    <row r="261" spans="13:14" x14ac:dyDescent="0.25">
      <c r="M261" s="95" t="str">
        <f t="shared" si="22"/>
        <v/>
      </c>
      <c r="N261" s="95" t="str">
        <f t="shared" si="23"/>
        <v/>
      </c>
    </row>
    <row r="262" spans="13:14" x14ac:dyDescent="0.25">
      <c r="M262" s="95" t="str">
        <f t="shared" si="22"/>
        <v/>
      </c>
      <c r="N262" s="95" t="str">
        <f t="shared" si="23"/>
        <v/>
      </c>
    </row>
    <row r="263" spans="13:14" x14ac:dyDescent="0.25">
      <c r="M263" s="95" t="str">
        <f t="shared" si="22"/>
        <v/>
      </c>
      <c r="N263" s="95" t="str">
        <f t="shared" si="23"/>
        <v/>
      </c>
    </row>
    <row r="264" spans="13:14" x14ac:dyDescent="0.25">
      <c r="M264" s="95" t="str">
        <f t="shared" si="22"/>
        <v/>
      </c>
      <c r="N264" s="95" t="str">
        <f t="shared" si="23"/>
        <v/>
      </c>
    </row>
    <row r="265" spans="13:14" x14ac:dyDescent="0.25">
      <c r="M265" s="95" t="str">
        <f t="shared" si="22"/>
        <v/>
      </c>
      <c r="N265" s="95" t="str">
        <f t="shared" si="23"/>
        <v/>
      </c>
    </row>
    <row r="266" spans="13:14" x14ac:dyDescent="0.25">
      <c r="M266" s="95" t="str">
        <f t="shared" si="22"/>
        <v/>
      </c>
      <c r="N266" s="95" t="str">
        <f t="shared" si="23"/>
        <v/>
      </c>
    </row>
    <row r="267" spans="13:14" x14ac:dyDescent="0.25">
      <c r="M267" s="95" t="str">
        <f t="shared" si="22"/>
        <v/>
      </c>
      <c r="N267" s="95" t="str">
        <f t="shared" si="23"/>
        <v/>
      </c>
    </row>
    <row r="268" spans="13:14" x14ac:dyDescent="0.25">
      <c r="M268" s="95" t="str">
        <f t="shared" si="22"/>
        <v/>
      </c>
      <c r="N268" s="95" t="str">
        <f t="shared" si="23"/>
        <v/>
      </c>
    </row>
    <row r="269" spans="13:14" x14ac:dyDescent="0.25">
      <c r="M269" s="95" t="str">
        <f t="shared" si="22"/>
        <v/>
      </c>
      <c r="N269" s="95" t="str">
        <f t="shared" si="23"/>
        <v/>
      </c>
    </row>
    <row r="270" spans="13:14" x14ac:dyDescent="0.25">
      <c r="M270" s="95" t="str">
        <f t="shared" si="22"/>
        <v/>
      </c>
      <c r="N270" s="95" t="str">
        <f t="shared" si="23"/>
        <v/>
      </c>
    </row>
    <row r="271" spans="13:14" x14ac:dyDescent="0.25">
      <c r="M271" s="95" t="str">
        <f t="shared" si="22"/>
        <v/>
      </c>
      <c r="N271" s="95" t="str">
        <f t="shared" si="23"/>
        <v/>
      </c>
    </row>
    <row r="272" spans="13:14" x14ac:dyDescent="0.25">
      <c r="M272" s="95" t="str">
        <f t="shared" si="22"/>
        <v/>
      </c>
      <c r="N272" s="95" t="str">
        <f t="shared" si="23"/>
        <v/>
      </c>
    </row>
    <row r="273" spans="13:14" x14ac:dyDescent="0.25">
      <c r="M273" s="95" t="str">
        <f t="shared" si="22"/>
        <v/>
      </c>
      <c r="N273" s="95" t="str">
        <f t="shared" si="23"/>
        <v/>
      </c>
    </row>
    <row r="274" spans="13:14" x14ac:dyDescent="0.25">
      <c r="M274" s="95" t="str">
        <f t="shared" si="22"/>
        <v/>
      </c>
      <c r="N274" s="95" t="str">
        <f t="shared" si="23"/>
        <v/>
      </c>
    </row>
    <row r="275" spans="13:14" x14ac:dyDescent="0.25">
      <c r="M275" s="95" t="str">
        <f t="shared" si="22"/>
        <v/>
      </c>
      <c r="N275" s="95" t="str">
        <f t="shared" si="23"/>
        <v/>
      </c>
    </row>
    <row r="276" spans="13:14" x14ac:dyDescent="0.25">
      <c r="M276" s="95" t="str">
        <f t="shared" si="22"/>
        <v/>
      </c>
      <c r="N276" s="95" t="str">
        <f t="shared" si="23"/>
        <v/>
      </c>
    </row>
    <row r="277" spans="13:14" x14ac:dyDescent="0.25">
      <c r="M277" s="95" t="str">
        <f t="shared" si="22"/>
        <v/>
      </c>
      <c r="N277" s="95" t="str">
        <f t="shared" si="23"/>
        <v/>
      </c>
    </row>
    <row r="278" spans="13:14" x14ac:dyDescent="0.25">
      <c r="M278" s="95" t="str">
        <f t="shared" si="22"/>
        <v/>
      </c>
      <c r="N278" s="95" t="str">
        <f t="shared" si="23"/>
        <v/>
      </c>
    </row>
    <row r="279" spans="13:14" x14ac:dyDescent="0.25">
      <c r="M279" s="95" t="str">
        <f t="shared" si="22"/>
        <v/>
      </c>
      <c r="N279" s="95" t="str">
        <f t="shared" si="23"/>
        <v/>
      </c>
    </row>
    <row r="280" spans="13:14" x14ac:dyDescent="0.25">
      <c r="M280" s="95" t="str">
        <f t="shared" si="22"/>
        <v/>
      </c>
      <c r="N280" s="95" t="str">
        <f t="shared" si="23"/>
        <v/>
      </c>
    </row>
    <row r="281" spans="13:14" x14ac:dyDescent="0.25">
      <c r="M281" s="95" t="str">
        <f t="shared" si="22"/>
        <v/>
      </c>
      <c r="N281" s="95" t="str">
        <f t="shared" si="23"/>
        <v/>
      </c>
    </row>
    <row r="282" spans="13:14" x14ac:dyDescent="0.25">
      <c r="M282" s="95" t="str">
        <f t="shared" si="22"/>
        <v/>
      </c>
      <c r="N282" s="95" t="str">
        <f t="shared" si="23"/>
        <v/>
      </c>
    </row>
    <row r="283" spans="13:14" x14ac:dyDescent="0.25">
      <c r="M283" s="95" t="str">
        <f t="shared" si="22"/>
        <v/>
      </c>
      <c r="N283" s="95" t="str">
        <f t="shared" si="23"/>
        <v/>
      </c>
    </row>
    <row r="284" spans="13:14" x14ac:dyDescent="0.25">
      <c r="M284" s="95" t="str">
        <f t="shared" si="22"/>
        <v/>
      </c>
      <c r="N284" s="95" t="str">
        <f t="shared" si="23"/>
        <v/>
      </c>
    </row>
    <row r="285" spans="13:14" x14ac:dyDescent="0.25">
      <c r="M285" s="95" t="str">
        <f t="shared" si="22"/>
        <v/>
      </c>
      <c r="N285" s="95" t="str">
        <f t="shared" si="23"/>
        <v/>
      </c>
    </row>
    <row r="286" spans="13:14" x14ac:dyDescent="0.25">
      <c r="M286" s="95" t="str">
        <f t="shared" si="22"/>
        <v/>
      </c>
      <c r="N286" s="95" t="str">
        <f t="shared" si="23"/>
        <v/>
      </c>
    </row>
    <row r="287" spans="13:14" x14ac:dyDescent="0.25">
      <c r="M287" s="95" t="str">
        <f t="shared" si="22"/>
        <v/>
      </c>
      <c r="N287" s="95" t="str">
        <f t="shared" si="23"/>
        <v/>
      </c>
    </row>
    <row r="288" spans="13:14" x14ac:dyDescent="0.25">
      <c r="M288" s="95" t="str">
        <f t="shared" si="22"/>
        <v/>
      </c>
      <c r="N288" s="95" t="str">
        <f t="shared" si="23"/>
        <v/>
      </c>
    </row>
    <row r="289" spans="13:14" x14ac:dyDescent="0.25">
      <c r="M289" s="95" t="str">
        <f t="shared" si="22"/>
        <v/>
      </c>
      <c r="N289" s="95" t="str">
        <f t="shared" si="23"/>
        <v/>
      </c>
    </row>
    <row r="290" spans="13:14" x14ac:dyDescent="0.25">
      <c r="M290" s="95" t="str">
        <f t="shared" si="22"/>
        <v/>
      </c>
      <c r="N290" s="95" t="str">
        <f t="shared" si="23"/>
        <v/>
      </c>
    </row>
    <row r="291" spans="13:14" x14ac:dyDescent="0.25">
      <c r="M291" s="95" t="str">
        <f t="shared" si="22"/>
        <v/>
      </c>
      <c r="N291" s="95" t="str">
        <f t="shared" si="23"/>
        <v/>
      </c>
    </row>
    <row r="292" spans="13:14" x14ac:dyDescent="0.25">
      <c r="M292" s="95" t="str">
        <f t="shared" si="22"/>
        <v/>
      </c>
      <c r="N292" s="95" t="str">
        <f t="shared" si="23"/>
        <v/>
      </c>
    </row>
    <row r="293" spans="13:14" x14ac:dyDescent="0.25">
      <c r="M293" s="95" t="str">
        <f t="shared" si="22"/>
        <v/>
      </c>
      <c r="N293" s="95" t="str">
        <f t="shared" si="23"/>
        <v/>
      </c>
    </row>
    <row r="294" spans="13:14" x14ac:dyDescent="0.25">
      <c r="M294" s="95" t="str">
        <f t="shared" si="22"/>
        <v/>
      </c>
      <c r="N294" s="95" t="str">
        <f t="shared" si="23"/>
        <v/>
      </c>
    </row>
    <row r="295" spans="13:14" x14ac:dyDescent="0.25">
      <c r="M295" s="95" t="str">
        <f t="shared" si="22"/>
        <v/>
      </c>
      <c r="N295" s="95" t="str">
        <f t="shared" si="23"/>
        <v/>
      </c>
    </row>
    <row r="296" spans="13:14" x14ac:dyDescent="0.25">
      <c r="M296" s="95" t="str">
        <f t="shared" si="22"/>
        <v/>
      </c>
      <c r="N296" s="95" t="str">
        <f t="shared" si="23"/>
        <v/>
      </c>
    </row>
    <row r="297" spans="13:14" x14ac:dyDescent="0.25">
      <c r="M297" s="95" t="str">
        <f t="shared" si="22"/>
        <v/>
      </c>
      <c r="N297" s="95" t="str">
        <f t="shared" si="23"/>
        <v/>
      </c>
    </row>
    <row r="298" spans="13:14" x14ac:dyDescent="0.25">
      <c r="M298" s="95" t="str">
        <f t="shared" si="22"/>
        <v/>
      </c>
      <c r="N298" s="95" t="str">
        <f t="shared" si="23"/>
        <v/>
      </c>
    </row>
    <row r="299" spans="13:14" x14ac:dyDescent="0.25">
      <c r="M299" s="95" t="str">
        <f t="shared" si="22"/>
        <v/>
      </c>
      <c r="N299" s="95" t="str">
        <f t="shared" si="23"/>
        <v/>
      </c>
    </row>
    <row r="300" spans="13:14" x14ac:dyDescent="0.25">
      <c r="M300" s="95" t="str">
        <f t="shared" si="22"/>
        <v/>
      </c>
      <c r="N300" s="95" t="str">
        <f t="shared" si="23"/>
        <v/>
      </c>
    </row>
    <row r="301" spans="13:14" x14ac:dyDescent="0.25">
      <c r="M301" s="95" t="str">
        <f t="shared" si="22"/>
        <v/>
      </c>
      <c r="N301" s="95" t="str">
        <f t="shared" si="23"/>
        <v/>
      </c>
    </row>
    <row r="302" spans="13:14" x14ac:dyDescent="0.25">
      <c r="M302" s="95" t="str">
        <f t="shared" si="22"/>
        <v/>
      </c>
      <c r="N302" s="95" t="str">
        <f t="shared" si="23"/>
        <v/>
      </c>
    </row>
    <row r="303" spans="13:14" x14ac:dyDescent="0.25">
      <c r="M303" s="95" t="str">
        <f t="shared" si="22"/>
        <v/>
      </c>
      <c r="N303" s="95" t="str">
        <f t="shared" si="23"/>
        <v/>
      </c>
    </row>
    <row r="304" spans="13:14" x14ac:dyDescent="0.25">
      <c r="M304" s="95" t="str">
        <f t="shared" si="22"/>
        <v/>
      </c>
      <c r="N304" s="95" t="str">
        <f t="shared" si="23"/>
        <v/>
      </c>
    </row>
    <row r="305" spans="13:14" x14ac:dyDescent="0.25">
      <c r="M305" s="95" t="str">
        <f t="shared" si="22"/>
        <v/>
      </c>
      <c r="N305" s="95" t="str">
        <f t="shared" si="23"/>
        <v/>
      </c>
    </row>
    <row r="306" spans="13:14" x14ac:dyDescent="0.25">
      <c r="M306" s="95" t="str">
        <f t="shared" si="22"/>
        <v/>
      </c>
      <c r="N306" s="95" t="str">
        <f t="shared" si="23"/>
        <v/>
      </c>
    </row>
    <row r="307" spans="13:14" x14ac:dyDescent="0.25">
      <c r="M307" s="95" t="str">
        <f t="shared" si="22"/>
        <v/>
      </c>
      <c r="N307" s="95" t="str">
        <f t="shared" si="23"/>
        <v/>
      </c>
    </row>
    <row r="308" spans="13:14" x14ac:dyDescent="0.25">
      <c r="M308" s="95" t="str">
        <f t="shared" si="22"/>
        <v/>
      </c>
      <c r="N308" s="95" t="str">
        <f t="shared" si="23"/>
        <v/>
      </c>
    </row>
    <row r="309" spans="13:14" x14ac:dyDescent="0.25">
      <c r="M309" s="95" t="str">
        <f t="shared" si="22"/>
        <v/>
      </c>
      <c r="N309" s="95" t="str">
        <f t="shared" si="23"/>
        <v/>
      </c>
    </row>
    <row r="310" spans="13:14" x14ac:dyDescent="0.25">
      <c r="M310" s="95" t="str">
        <f t="shared" si="22"/>
        <v/>
      </c>
      <c r="N310" s="95" t="str">
        <f t="shared" si="23"/>
        <v/>
      </c>
    </row>
    <row r="311" spans="13:14" x14ac:dyDescent="0.25">
      <c r="M311" s="95" t="str">
        <f t="shared" si="22"/>
        <v/>
      </c>
      <c r="N311" s="95" t="str">
        <f t="shared" si="23"/>
        <v/>
      </c>
    </row>
    <row r="312" spans="13:14" x14ac:dyDescent="0.25">
      <c r="M312" s="95" t="str">
        <f t="shared" si="22"/>
        <v/>
      </c>
      <c r="N312" s="95" t="str">
        <f t="shared" si="23"/>
        <v/>
      </c>
    </row>
    <row r="313" spans="13:14" x14ac:dyDescent="0.25">
      <c r="M313" s="95" t="str">
        <f t="shared" si="22"/>
        <v/>
      </c>
      <c r="N313" s="95" t="str">
        <f t="shared" si="23"/>
        <v/>
      </c>
    </row>
    <row r="314" spans="13:14" x14ac:dyDescent="0.25">
      <c r="M314" s="95" t="str">
        <f t="shared" si="22"/>
        <v/>
      </c>
      <c r="N314" s="95" t="str">
        <f t="shared" si="23"/>
        <v/>
      </c>
    </row>
    <row r="315" spans="13:14" x14ac:dyDescent="0.25">
      <c r="M315" s="95" t="str">
        <f t="shared" si="22"/>
        <v/>
      </c>
      <c r="N315" s="95" t="str">
        <f t="shared" si="23"/>
        <v/>
      </c>
    </row>
    <row r="316" spans="13:14" x14ac:dyDescent="0.25">
      <c r="M316" s="95" t="str">
        <f t="shared" si="22"/>
        <v/>
      </c>
      <c r="N316" s="95" t="str">
        <f t="shared" si="23"/>
        <v/>
      </c>
    </row>
    <row r="317" spans="13:14" x14ac:dyDescent="0.25">
      <c r="M317" s="95" t="str">
        <f t="shared" si="22"/>
        <v/>
      </c>
      <c r="N317" s="95" t="str">
        <f t="shared" si="23"/>
        <v/>
      </c>
    </row>
    <row r="318" spans="13:14" x14ac:dyDescent="0.25">
      <c r="M318" s="95" t="str">
        <f t="shared" si="22"/>
        <v/>
      </c>
      <c r="N318" s="95" t="str">
        <f t="shared" si="23"/>
        <v/>
      </c>
    </row>
    <row r="319" spans="13:14" x14ac:dyDescent="0.25">
      <c r="M319" s="95" t="str">
        <f t="shared" si="22"/>
        <v/>
      </c>
      <c r="N319" s="95" t="str">
        <f t="shared" si="23"/>
        <v/>
      </c>
    </row>
    <row r="320" spans="13:14" x14ac:dyDescent="0.25">
      <c r="M320" s="95" t="str">
        <f t="shared" si="22"/>
        <v/>
      </c>
      <c r="N320" s="95" t="str">
        <f t="shared" si="23"/>
        <v/>
      </c>
    </row>
    <row r="321" spans="13:14" x14ac:dyDescent="0.25">
      <c r="M321" s="95" t="str">
        <f t="shared" si="22"/>
        <v/>
      </c>
      <c r="N321" s="95" t="str">
        <f t="shared" si="23"/>
        <v/>
      </c>
    </row>
    <row r="322" spans="13:14" x14ac:dyDescent="0.25">
      <c r="M322" s="95" t="str">
        <f t="shared" si="22"/>
        <v/>
      </c>
      <c r="N322" s="95" t="str">
        <f t="shared" si="23"/>
        <v/>
      </c>
    </row>
    <row r="323" spans="13:14" x14ac:dyDescent="0.25">
      <c r="M323" s="95" t="str">
        <f t="shared" ref="M323:M386" si="24">IF(COUNTIF(K:K,J323),J323,"")</f>
        <v/>
      </c>
      <c r="N323" s="95" t="str">
        <f t="shared" si="23"/>
        <v/>
      </c>
    </row>
    <row r="324" spans="13:14" x14ac:dyDescent="0.25">
      <c r="M324" s="95" t="str">
        <f t="shared" si="24"/>
        <v/>
      </c>
      <c r="N324" s="95" t="str">
        <f t="shared" ref="N324:N387" si="25">IF(M324&gt;$A$14,M324,"")</f>
        <v/>
      </c>
    </row>
    <row r="325" spans="13:14" x14ac:dyDescent="0.25">
      <c r="M325" s="95" t="str">
        <f t="shared" si="24"/>
        <v/>
      </c>
      <c r="N325" s="95" t="str">
        <f t="shared" si="25"/>
        <v/>
      </c>
    </row>
    <row r="326" spans="13:14" x14ac:dyDescent="0.25">
      <c r="M326" s="95" t="str">
        <f t="shared" si="24"/>
        <v/>
      </c>
      <c r="N326" s="95" t="str">
        <f t="shared" si="25"/>
        <v/>
      </c>
    </row>
    <row r="327" spans="13:14" x14ac:dyDescent="0.25">
      <c r="M327" s="95" t="str">
        <f t="shared" si="24"/>
        <v/>
      </c>
      <c r="N327" s="95" t="str">
        <f t="shared" si="25"/>
        <v/>
      </c>
    </row>
    <row r="328" spans="13:14" x14ac:dyDescent="0.25">
      <c r="M328" s="95" t="str">
        <f t="shared" si="24"/>
        <v/>
      </c>
      <c r="N328" s="95" t="str">
        <f t="shared" si="25"/>
        <v/>
      </c>
    </row>
    <row r="329" spans="13:14" x14ac:dyDescent="0.25">
      <c r="M329" s="95" t="str">
        <f t="shared" si="24"/>
        <v/>
      </c>
      <c r="N329" s="95" t="str">
        <f t="shared" si="25"/>
        <v/>
      </c>
    </row>
    <row r="330" spans="13:14" x14ac:dyDescent="0.25">
      <c r="M330" s="95" t="str">
        <f t="shared" si="24"/>
        <v/>
      </c>
      <c r="N330" s="95" t="str">
        <f t="shared" si="25"/>
        <v/>
      </c>
    </row>
    <row r="331" spans="13:14" x14ac:dyDescent="0.25">
      <c r="M331" s="95" t="str">
        <f t="shared" si="24"/>
        <v/>
      </c>
      <c r="N331" s="95" t="str">
        <f t="shared" si="25"/>
        <v/>
      </c>
    </row>
    <row r="332" spans="13:14" x14ac:dyDescent="0.25">
      <c r="M332" s="95" t="str">
        <f t="shared" si="24"/>
        <v/>
      </c>
      <c r="N332" s="95" t="str">
        <f t="shared" si="25"/>
        <v/>
      </c>
    </row>
    <row r="333" spans="13:14" x14ac:dyDescent="0.25">
      <c r="M333" s="95" t="str">
        <f t="shared" si="24"/>
        <v/>
      </c>
      <c r="N333" s="95" t="str">
        <f t="shared" si="25"/>
        <v/>
      </c>
    </row>
    <row r="334" spans="13:14" x14ac:dyDescent="0.25">
      <c r="M334" s="95" t="str">
        <f t="shared" si="24"/>
        <v/>
      </c>
      <c r="N334" s="95" t="str">
        <f t="shared" si="25"/>
        <v/>
      </c>
    </row>
    <row r="335" spans="13:14" x14ac:dyDescent="0.25">
      <c r="M335" s="95" t="str">
        <f t="shared" si="24"/>
        <v/>
      </c>
      <c r="N335" s="95" t="str">
        <f t="shared" si="25"/>
        <v/>
      </c>
    </row>
    <row r="336" spans="13:14" x14ac:dyDescent="0.25">
      <c r="M336" s="95" t="str">
        <f t="shared" si="24"/>
        <v/>
      </c>
      <c r="N336" s="95" t="str">
        <f t="shared" si="25"/>
        <v/>
      </c>
    </row>
    <row r="337" spans="13:14" x14ac:dyDescent="0.25">
      <c r="M337" s="95" t="str">
        <f t="shared" si="24"/>
        <v/>
      </c>
      <c r="N337" s="95" t="str">
        <f t="shared" si="25"/>
        <v/>
      </c>
    </row>
    <row r="338" spans="13:14" x14ac:dyDescent="0.25">
      <c r="M338" s="95" t="str">
        <f t="shared" si="24"/>
        <v/>
      </c>
      <c r="N338" s="95" t="str">
        <f t="shared" si="25"/>
        <v/>
      </c>
    </row>
    <row r="339" spans="13:14" x14ac:dyDescent="0.25">
      <c r="M339" s="95" t="str">
        <f t="shared" si="24"/>
        <v/>
      </c>
      <c r="N339" s="95" t="str">
        <f t="shared" si="25"/>
        <v/>
      </c>
    </row>
    <row r="340" spans="13:14" x14ac:dyDescent="0.25">
      <c r="M340" s="95" t="str">
        <f t="shared" si="24"/>
        <v/>
      </c>
      <c r="N340" s="95" t="str">
        <f t="shared" si="25"/>
        <v/>
      </c>
    </row>
    <row r="341" spans="13:14" x14ac:dyDescent="0.25">
      <c r="M341" s="95" t="str">
        <f t="shared" si="24"/>
        <v/>
      </c>
      <c r="N341" s="95" t="str">
        <f t="shared" si="25"/>
        <v/>
      </c>
    </row>
    <row r="342" spans="13:14" x14ac:dyDescent="0.25">
      <c r="M342" s="95" t="str">
        <f t="shared" si="24"/>
        <v/>
      </c>
      <c r="N342" s="95" t="str">
        <f t="shared" si="25"/>
        <v/>
      </c>
    </row>
    <row r="343" spans="13:14" x14ac:dyDescent="0.25">
      <c r="M343" s="95" t="str">
        <f t="shared" si="24"/>
        <v/>
      </c>
      <c r="N343" s="95" t="str">
        <f t="shared" si="25"/>
        <v/>
      </c>
    </row>
    <row r="344" spans="13:14" x14ac:dyDescent="0.25">
      <c r="M344" s="95" t="str">
        <f t="shared" si="24"/>
        <v/>
      </c>
      <c r="N344" s="95" t="str">
        <f t="shared" si="25"/>
        <v/>
      </c>
    </row>
    <row r="345" spans="13:14" x14ac:dyDescent="0.25">
      <c r="M345" s="95" t="str">
        <f t="shared" si="24"/>
        <v/>
      </c>
      <c r="N345" s="95" t="str">
        <f t="shared" si="25"/>
        <v/>
      </c>
    </row>
    <row r="346" spans="13:14" x14ac:dyDescent="0.25">
      <c r="M346" s="95" t="str">
        <f t="shared" si="24"/>
        <v/>
      </c>
      <c r="N346" s="95" t="str">
        <f t="shared" si="25"/>
        <v/>
      </c>
    </row>
    <row r="347" spans="13:14" x14ac:dyDescent="0.25">
      <c r="M347" s="95" t="str">
        <f t="shared" si="24"/>
        <v/>
      </c>
      <c r="N347" s="95" t="str">
        <f t="shared" si="25"/>
        <v/>
      </c>
    </row>
    <row r="348" spans="13:14" x14ac:dyDescent="0.25">
      <c r="M348" s="95" t="str">
        <f t="shared" si="24"/>
        <v/>
      </c>
      <c r="N348" s="95" t="str">
        <f t="shared" si="25"/>
        <v/>
      </c>
    </row>
    <row r="349" spans="13:14" x14ac:dyDescent="0.25">
      <c r="M349" s="95" t="str">
        <f t="shared" si="24"/>
        <v/>
      </c>
      <c r="N349" s="95" t="str">
        <f t="shared" si="25"/>
        <v/>
      </c>
    </row>
    <row r="350" spans="13:14" x14ac:dyDescent="0.25">
      <c r="M350" s="95" t="str">
        <f t="shared" si="24"/>
        <v/>
      </c>
      <c r="N350" s="95" t="str">
        <f t="shared" si="25"/>
        <v/>
      </c>
    </row>
    <row r="351" spans="13:14" x14ac:dyDescent="0.25">
      <c r="M351" s="95" t="str">
        <f t="shared" si="24"/>
        <v/>
      </c>
      <c r="N351" s="95" t="str">
        <f t="shared" si="25"/>
        <v/>
      </c>
    </row>
    <row r="352" spans="13:14" x14ac:dyDescent="0.25">
      <c r="M352" s="95" t="str">
        <f t="shared" si="24"/>
        <v/>
      </c>
      <c r="N352" s="95" t="str">
        <f t="shared" si="25"/>
        <v/>
      </c>
    </row>
    <row r="353" spans="13:14" x14ac:dyDescent="0.25">
      <c r="M353" s="95" t="str">
        <f t="shared" si="24"/>
        <v/>
      </c>
      <c r="N353" s="95" t="str">
        <f t="shared" si="25"/>
        <v/>
      </c>
    </row>
    <row r="354" spans="13:14" x14ac:dyDescent="0.25">
      <c r="M354" s="95" t="str">
        <f t="shared" si="24"/>
        <v/>
      </c>
      <c r="N354" s="95" t="str">
        <f t="shared" si="25"/>
        <v/>
      </c>
    </row>
    <row r="355" spans="13:14" x14ac:dyDescent="0.25">
      <c r="M355" s="95" t="str">
        <f t="shared" si="24"/>
        <v/>
      </c>
      <c r="N355" s="95" t="str">
        <f t="shared" si="25"/>
        <v/>
      </c>
    </row>
    <row r="356" spans="13:14" x14ac:dyDescent="0.25">
      <c r="M356" s="95" t="str">
        <f t="shared" si="24"/>
        <v/>
      </c>
      <c r="N356" s="95" t="str">
        <f t="shared" si="25"/>
        <v/>
      </c>
    </row>
    <row r="357" spans="13:14" x14ac:dyDescent="0.25">
      <c r="M357" s="95" t="str">
        <f t="shared" si="24"/>
        <v/>
      </c>
      <c r="N357" s="95" t="str">
        <f t="shared" si="25"/>
        <v/>
      </c>
    </row>
    <row r="358" spans="13:14" x14ac:dyDescent="0.25">
      <c r="M358" s="95" t="str">
        <f t="shared" si="24"/>
        <v/>
      </c>
      <c r="N358" s="95" t="str">
        <f t="shared" si="25"/>
        <v/>
      </c>
    </row>
    <row r="359" spans="13:14" x14ac:dyDescent="0.25">
      <c r="M359" s="95" t="str">
        <f t="shared" si="24"/>
        <v/>
      </c>
      <c r="N359" s="95" t="str">
        <f t="shared" si="25"/>
        <v/>
      </c>
    </row>
    <row r="360" spans="13:14" x14ac:dyDescent="0.25">
      <c r="M360" s="95" t="str">
        <f t="shared" si="24"/>
        <v/>
      </c>
      <c r="N360" s="95" t="str">
        <f t="shared" si="25"/>
        <v/>
      </c>
    </row>
    <row r="361" spans="13:14" x14ac:dyDescent="0.25">
      <c r="M361" s="95" t="str">
        <f t="shared" si="24"/>
        <v/>
      </c>
      <c r="N361" s="95" t="str">
        <f t="shared" si="25"/>
        <v/>
      </c>
    </row>
    <row r="362" spans="13:14" x14ac:dyDescent="0.25">
      <c r="M362" s="95" t="str">
        <f t="shared" si="24"/>
        <v/>
      </c>
      <c r="N362" s="95" t="str">
        <f t="shared" si="25"/>
        <v/>
      </c>
    </row>
    <row r="363" spans="13:14" x14ac:dyDescent="0.25">
      <c r="M363" s="95" t="str">
        <f t="shared" si="24"/>
        <v/>
      </c>
      <c r="N363" s="95" t="str">
        <f t="shared" si="25"/>
        <v/>
      </c>
    </row>
    <row r="364" spans="13:14" x14ac:dyDescent="0.25">
      <c r="M364" s="95" t="str">
        <f t="shared" si="24"/>
        <v/>
      </c>
      <c r="N364" s="95" t="str">
        <f t="shared" si="25"/>
        <v/>
      </c>
    </row>
    <row r="365" spans="13:14" x14ac:dyDescent="0.25">
      <c r="M365" s="95" t="str">
        <f t="shared" si="24"/>
        <v/>
      </c>
      <c r="N365" s="95" t="str">
        <f t="shared" si="25"/>
        <v/>
      </c>
    </row>
    <row r="366" spans="13:14" x14ac:dyDescent="0.25">
      <c r="M366" s="95" t="str">
        <f t="shared" si="24"/>
        <v/>
      </c>
      <c r="N366" s="95" t="str">
        <f t="shared" si="25"/>
        <v/>
      </c>
    </row>
    <row r="367" spans="13:14" x14ac:dyDescent="0.25">
      <c r="M367" s="95" t="str">
        <f t="shared" si="24"/>
        <v/>
      </c>
      <c r="N367" s="95" t="str">
        <f t="shared" si="25"/>
        <v/>
      </c>
    </row>
    <row r="368" spans="13:14" x14ac:dyDescent="0.25">
      <c r="M368" s="95" t="str">
        <f t="shared" si="24"/>
        <v/>
      </c>
      <c r="N368" s="95" t="str">
        <f t="shared" si="25"/>
        <v/>
      </c>
    </row>
    <row r="369" spans="13:14" x14ac:dyDescent="0.25">
      <c r="M369" s="95" t="str">
        <f t="shared" si="24"/>
        <v/>
      </c>
      <c r="N369" s="95" t="str">
        <f t="shared" si="25"/>
        <v/>
      </c>
    </row>
    <row r="370" spans="13:14" x14ac:dyDescent="0.25">
      <c r="M370" s="95" t="str">
        <f t="shared" si="24"/>
        <v/>
      </c>
      <c r="N370" s="95" t="str">
        <f t="shared" si="25"/>
        <v/>
      </c>
    </row>
    <row r="371" spans="13:14" x14ac:dyDescent="0.25">
      <c r="M371" s="95" t="str">
        <f t="shared" si="24"/>
        <v/>
      </c>
      <c r="N371" s="95" t="str">
        <f t="shared" si="25"/>
        <v/>
      </c>
    </row>
    <row r="372" spans="13:14" x14ac:dyDescent="0.25">
      <c r="M372" s="95" t="str">
        <f t="shared" si="24"/>
        <v/>
      </c>
      <c r="N372" s="95" t="str">
        <f t="shared" si="25"/>
        <v/>
      </c>
    </row>
    <row r="373" spans="13:14" x14ac:dyDescent="0.25">
      <c r="M373" s="95" t="str">
        <f t="shared" si="24"/>
        <v/>
      </c>
      <c r="N373" s="95" t="str">
        <f t="shared" si="25"/>
        <v/>
      </c>
    </row>
    <row r="374" spans="13:14" x14ac:dyDescent="0.25">
      <c r="M374" s="95" t="str">
        <f t="shared" si="24"/>
        <v/>
      </c>
      <c r="N374" s="95" t="str">
        <f t="shared" si="25"/>
        <v/>
      </c>
    </row>
    <row r="375" spans="13:14" x14ac:dyDescent="0.25">
      <c r="M375" s="95" t="str">
        <f t="shared" si="24"/>
        <v/>
      </c>
      <c r="N375" s="95" t="str">
        <f t="shared" si="25"/>
        <v/>
      </c>
    </row>
    <row r="376" spans="13:14" x14ac:dyDescent="0.25">
      <c r="M376" s="95" t="str">
        <f t="shared" si="24"/>
        <v/>
      </c>
      <c r="N376" s="95" t="str">
        <f t="shared" si="25"/>
        <v/>
      </c>
    </row>
    <row r="377" spans="13:14" x14ac:dyDescent="0.25">
      <c r="M377" s="95" t="str">
        <f t="shared" si="24"/>
        <v/>
      </c>
      <c r="N377" s="95" t="str">
        <f t="shared" si="25"/>
        <v/>
      </c>
    </row>
    <row r="378" spans="13:14" x14ac:dyDescent="0.25">
      <c r="M378" s="95" t="str">
        <f t="shared" si="24"/>
        <v/>
      </c>
      <c r="N378" s="95" t="str">
        <f t="shared" si="25"/>
        <v/>
      </c>
    </row>
    <row r="379" spans="13:14" x14ac:dyDescent="0.25">
      <c r="M379" s="95" t="str">
        <f t="shared" si="24"/>
        <v/>
      </c>
      <c r="N379" s="95" t="str">
        <f t="shared" si="25"/>
        <v/>
      </c>
    </row>
    <row r="380" spans="13:14" x14ac:dyDescent="0.25">
      <c r="M380" s="95" t="str">
        <f t="shared" si="24"/>
        <v/>
      </c>
      <c r="N380" s="95" t="str">
        <f t="shared" si="25"/>
        <v/>
      </c>
    </row>
    <row r="381" spans="13:14" x14ac:dyDescent="0.25">
      <c r="M381" s="95" t="str">
        <f t="shared" si="24"/>
        <v/>
      </c>
      <c r="N381" s="95" t="str">
        <f t="shared" si="25"/>
        <v/>
      </c>
    </row>
    <row r="382" spans="13:14" x14ac:dyDescent="0.25">
      <c r="M382" s="95" t="str">
        <f t="shared" si="24"/>
        <v/>
      </c>
      <c r="N382" s="95" t="str">
        <f t="shared" si="25"/>
        <v/>
      </c>
    </row>
    <row r="383" spans="13:14" x14ac:dyDescent="0.25">
      <c r="M383" s="95" t="str">
        <f t="shared" si="24"/>
        <v/>
      </c>
      <c r="N383" s="95" t="str">
        <f t="shared" si="25"/>
        <v/>
      </c>
    </row>
    <row r="384" spans="13:14" x14ac:dyDescent="0.25">
      <c r="M384" s="95" t="str">
        <f t="shared" si="24"/>
        <v/>
      </c>
      <c r="N384" s="95" t="str">
        <f t="shared" si="25"/>
        <v/>
      </c>
    </row>
    <row r="385" spans="13:14" x14ac:dyDescent="0.25">
      <c r="M385" s="95" t="str">
        <f t="shared" si="24"/>
        <v/>
      </c>
      <c r="N385" s="95" t="str">
        <f t="shared" si="25"/>
        <v/>
      </c>
    </row>
    <row r="386" spans="13:14" x14ac:dyDescent="0.25">
      <c r="M386" s="95" t="str">
        <f t="shared" si="24"/>
        <v/>
      </c>
      <c r="N386" s="95" t="str">
        <f t="shared" si="25"/>
        <v/>
      </c>
    </row>
    <row r="387" spans="13:14" x14ac:dyDescent="0.25">
      <c r="M387" s="95" t="str">
        <f t="shared" ref="M387:M450" si="26">IF(COUNTIF(K:K,J387),J387,"")</f>
        <v/>
      </c>
      <c r="N387" s="95" t="str">
        <f t="shared" si="25"/>
        <v/>
      </c>
    </row>
    <row r="388" spans="13:14" x14ac:dyDescent="0.25">
      <c r="M388" s="95" t="str">
        <f t="shared" si="26"/>
        <v/>
      </c>
      <c r="N388" s="95" t="str">
        <f t="shared" ref="N388:N451" si="27">IF(M388&gt;$A$14,M388,"")</f>
        <v/>
      </c>
    </row>
    <row r="389" spans="13:14" x14ac:dyDescent="0.25">
      <c r="M389" s="95" t="str">
        <f t="shared" si="26"/>
        <v/>
      </c>
      <c r="N389" s="95" t="str">
        <f t="shared" si="27"/>
        <v/>
      </c>
    </row>
    <row r="390" spans="13:14" x14ac:dyDescent="0.25">
      <c r="M390" s="95" t="str">
        <f t="shared" si="26"/>
        <v/>
      </c>
      <c r="N390" s="95" t="str">
        <f t="shared" si="27"/>
        <v/>
      </c>
    </row>
    <row r="391" spans="13:14" x14ac:dyDescent="0.25">
      <c r="M391" s="95" t="str">
        <f t="shared" si="26"/>
        <v/>
      </c>
      <c r="N391" s="95" t="str">
        <f t="shared" si="27"/>
        <v/>
      </c>
    </row>
    <row r="392" spans="13:14" x14ac:dyDescent="0.25">
      <c r="M392" s="95" t="str">
        <f t="shared" si="26"/>
        <v/>
      </c>
      <c r="N392" s="95" t="str">
        <f t="shared" si="27"/>
        <v/>
      </c>
    </row>
    <row r="393" spans="13:14" x14ac:dyDescent="0.25">
      <c r="M393" s="95" t="str">
        <f t="shared" si="26"/>
        <v/>
      </c>
      <c r="N393" s="95" t="str">
        <f t="shared" si="27"/>
        <v/>
      </c>
    </row>
    <row r="394" spans="13:14" x14ac:dyDescent="0.25">
      <c r="M394" s="95" t="str">
        <f t="shared" si="26"/>
        <v/>
      </c>
      <c r="N394" s="95" t="str">
        <f t="shared" si="27"/>
        <v/>
      </c>
    </row>
    <row r="395" spans="13:14" x14ac:dyDescent="0.25">
      <c r="M395" s="95" t="str">
        <f t="shared" si="26"/>
        <v/>
      </c>
      <c r="N395" s="95" t="str">
        <f t="shared" si="27"/>
        <v/>
      </c>
    </row>
    <row r="396" spans="13:14" x14ac:dyDescent="0.25">
      <c r="M396" s="95" t="str">
        <f t="shared" si="26"/>
        <v/>
      </c>
      <c r="N396" s="95" t="str">
        <f t="shared" si="27"/>
        <v/>
      </c>
    </row>
    <row r="397" spans="13:14" x14ac:dyDescent="0.25">
      <c r="M397" s="95" t="str">
        <f t="shared" si="26"/>
        <v/>
      </c>
      <c r="N397" s="95" t="str">
        <f t="shared" si="27"/>
        <v/>
      </c>
    </row>
    <row r="398" spans="13:14" x14ac:dyDescent="0.25">
      <c r="M398" s="95" t="str">
        <f t="shared" si="26"/>
        <v/>
      </c>
      <c r="N398" s="95" t="str">
        <f t="shared" si="27"/>
        <v/>
      </c>
    </row>
    <row r="399" spans="13:14" x14ac:dyDescent="0.25">
      <c r="M399" s="95" t="str">
        <f t="shared" si="26"/>
        <v/>
      </c>
      <c r="N399" s="95" t="str">
        <f t="shared" si="27"/>
        <v/>
      </c>
    </row>
    <row r="400" spans="13:14" x14ac:dyDescent="0.25">
      <c r="M400" s="95" t="str">
        <f t="shared" si="26"/>
        <v/>
      </c>
      <c r="N400" s="95" t="str">
        <f t="shared" si="27"/>
        <v/>
      </c>
    </row>
    <row r="401" spans="13:14" x14ac:dyDescent="0.25">
      <c r="M401" s="95" t="str">
        <f t="shared" si="26"/>
        <v/>
      </c>
      <c r="N401" s="95" t="str">
        <f t="shared" si="27"/>
        <v/>
      </c>
    </row>
    <row r="402" spans="13:14" x14ac:dyDescent="0.25">
      <c r="M402" s="95" t="str">
        <f t="shared" si="26"/>
        <v/>
      </c>
      <c r="N402" s="95" t="str">
        <f t="shared" si="27"/>
        <v/>
      </c>
    </row>
    <row r="403" spans="13:14" x14ac:dyDescent="0.25">
      <c r="M403" s="95" t="str">
        <f t="shared" si="26"/>
        <v/>
      </c>
      <c r="N403" s="95" t="str">
        <f t="shared" si="27"/>
        <v/>
      </c>
    </row>
    <row r="404" spans="13:14" x14ac:dyDescent="0.25">
      <c r="M404" s="95" t="str">
        <f t="shared" si="26"/>
        <v/>
      </c>
      <c r="N404" s="95" t="str">
        <f t="shared" si="27"/>
        <v/>
      </c>
    </row>
    <row r="405" spans="13:14" x14ac:dyDescent="0.25">
      <c r="M405" s="95" t="str">
        <f t="shared" si="26"/>
        <v/>
      </c>
      <c r="N405" s="95" t="str">
        <f t="shared" si="27"/>
        <v/>
      </c>
    </row>
    <row r="406" spans="13:14" x14ac:dyDescent="0.25">
      <c r="M406" s="95" t="str">
        <f t="shared" si="26"/>
        <v/>
      </c>
      <c r="N406" s="95" t="str">
        <f t="shared" si="27"/>
        <v/>
      </c>
    </row>
    <row r="407" spans="13:14" x14ac:dyDescent="0.25">
      <c r="M407" s="95" t="str">
        <f t="shared" si="26"/>
        <v/>
      </c>
      <c r="N407" s="95" t="str">
        <f t="shared" si="27"/>
        <v/>
      </c>
    </row>
    <row r="408" spans="13:14" x14ac:dyDescent="0.25">
      <c r="M408" s="95" t="str">
        <f t="shared" si="26"/>
        <v/>
      </c>
      <c r="N408" s="95" t="str">
        <f t="shared" si="27"/>
        <v/>
      </c>
    </row>
    <row r="409" spans="13:14" x14ac:dyDescent="0.25">
      <c r="M409" s="95" t="str">
        <f t="shared" si="26"/>
        <v/>
      </c>
      <c r="N409" s="95" t="str">
        <f t="shared" si="27"/>
        <v/>
      </c>
    </row>
    <row r="410" spans="13:14" x14ac:dyDescent="0.25">
      <c r="M410" s="95" t="str">
        <f t="shared" si="26"/>
        <v/>
      </c>
      <c r="N410" s="95" t="str">
        <f t="shared" si="27"/>
        <v/>
      </c>
    </row>
    <row r="411" spans="13:14" x14ac:dyDescent="0.25">
      <c r="M411" s="95" t="str">
        <f t="shared" si="26"/>
        <v/>
      </c>
      <c r="N411" s="95" t="str">
        <f t="shared" si="27"/>
        <v/>
      </c>
    </row>
    <row r="412" spans="13:14" x14ac:dyDescent="0.25">
      <c r="M412" s="95" t="str">
        <f t="shared" si="26"/>
        <v/>
      </c>
      <c r="N412" s="95" t="str">
        <f t="shared" si="27"/>
        <v/>
      </c>
    </row>
    <row r="413" spans="13:14" x14ac:dyDescent="0.25">
      <c r="M413" s="95" t="str">
        <f t="shared" si="26"/>
        <v/>
      </c>
      <c r="N413" s="95" t="str">
        <f t="shared" si="27"/>
        <v/>
      </c>
    </row>
    <row r="414" spans="13:14" x14ac:dyDescent="0.25">
      <c r="M414" s="95" t="str">
        <f t="shared" si="26"/>
        <v/>
      </c>
      <c r="N414" s="95" t="str">
        <f t="shared" si="27"/>
        <v/>
      </c>
    </row>
    <row r="415" spans="13:14" x14ac:dyDescent="0.25">
      <c r="M415" s="95" t="str">
        <f t="shared" si="26"/>
        <v/>
      </c>
      <c r="N415" s="95" t="str">
        <f t="shared" si="27"/>
        <v/>
      </c>
    </row>
    <row r="416" spans="13:14" x14ac:dyDescent="0.25">
      <c r="M416" s="95" t="str">
        <f t="shared" si="26"/>
        <v/>
      </c>
      <c r="N416" s="95" t="str">
        <f t="shared" si="27"/>
        <v/>
      </c>
    </row>
    <row r="417" spans="13:14" x14ac:dyDescent="0.25">
      <c r="M417" s="95" t="str">
        <f t="shared" si="26"/>
        <v/>
      </c>
      <c r="N417" s="95" t="str">
        <f t="shared" si="27"/>
        <v/>
      </c>
    </row>
    <row r="418" spans="13:14" x14ac:dyDescent="0.25">
      <c r="M418" s="95" t="str">
        <f t="shared" si="26"/>
        <v/>
      </c>
      <c r="N418" s="95" t="str">
        <f t="shared" si="27"/>
        <v/>
      </c>
    </row>
    <row r="419" spans="13:14" x14ac:dyDescent="0.25">
      <c r="M419" s="95" t="str">
        <f t="shared" si="26"/>
        <v/>
      </c>
      <c r="N419" s="95" t="str">
        <f t="shared" si="27"/>
        <v/>
      </c>
    </row>
    <row r="420" spans="13:14" x14ac:dyDescent="0.25">
      <c r="M420" s="95" t="str">
        <f t="shared" si="26"/>
        <v/>
      </c>
      <c r="N420" s="95" t="str">
        <f t="shared" si="27"/>
        <v/>
      </c>
    </row>
    <row r="421" spans="13:14" x14ac:dyDescent="0.25">
      <c r="M421" s="95" t="str">
        <f t="shared" si="26"/>
        <v/>
      </c>
      <c r="N421" s="95" t="str">
        <f t="shared" si="27"/>
        <v/>
      </c>
    </row>
    <row r="422" spans="13:14" x14ac:dyDescent="0.25">
      <c r="M422" s="95" t="str">
        <f t="shared" si="26"/>
        <v/>
      </c>
      <c r="N422" s="95" t="str">
        <f t="shared" si="27"/>
        <v/>
      </c>
    </row>
    <row r="423" spans="13:14" x14ac:dyDescent="0.25">
      <c r="M423" s="95" t="str">
        <f t="shared" si="26"/>
        <v/>
      </c>
      <c r="N423" s="95" t="str">
        <f t="shared" si="27"/>
        <v/>
      </c>
    </row>
    <row r="424" spans="13:14" x14ac:dyDescent="0.25">
      <c r="M424" s="95" t="str">
        <f t="shared" si="26"/>
        <v/>
      </c>
      <c r="N424" s="95" t="str">
        <f t="shared" si="27"/>
        <v/>
      </c>
    </row>
    <row r="425" spans="13:14" x14ac:dyDescent="0.25">
      <c r="M425" s="95" t="str">
        <f t="shared" si="26"/>
        <v/>
      </c>
      <c r="N425" s="95" t="str">
        <f t="shared" si="27"/>
        <v/>
      </c>
    </row>
    <row r="426" spans="13:14" x14ac:dyDescent="0.25">
      <c r="M426" s="95" t="str">
        <f t="shared" si="26"/>
        <v/>
      </c>
      <c r="N426" s="95" t="str">
        <f t="shared" si="27"/>
        <v/>
      </c>
    </row>
    <row r="427" spans="13:14" x14ac:dyDescent="0.25">
      <c r="M427" s="95" t="str">
        <f t="shared" si="26"/>
        <v/>
      </c>
      <c r="N427" s="95" t="str">
        <f t="shared" si="27"/>
        <v/>
      </c>
    </row>
    <row r="428" spans="13:14" x14ac:dyDescent="0.25">
      <c r="M428" s="95" t="str">
        <f t="shared" si="26"/>
        <v/>
      </c>
      <c r="N428" s="95" t="str">
        <f t="shared" si="27"/>
        <v/>
      </c>
    </row>
    <row r="429" spans="13:14" x14ac:dyDescent="0.25">
      <c r="M429" s="95" t="str">
        <f t="shared" si="26"/>
        <v/>
      </c>
      <c r="N429" s="95" t="str">
        <f t="shared" si="27"/>
        <v/>
      </c>
    </row>
    <row r="430" spans="13:14" x14ac:dyDescent="0.25">
      <c r="M430" s="95" t="str">
        <f t="shared" si="26"/>
        <v/>
      </c>
      <c r="N430" s="95" t="str">
        <f t="shared" si="27"/>
        <v/>
      </c>
    </row>
    <row r="431" spans="13:14" x14ac:dyDescent="0.25">
      <c r="M431" s="95" t="str">
        <f t="shared" si="26"/>
        <v/>
      </c>
      <c r="N431" s="95" t="str">
        <f t="shared" si="27"/>
        <v/>
      </c>
    </row>
    <row r="432" spans="13:14" x14ac:dyDescent="0.25">
      <c r="M432" s="95" t="str">
        <f t="shared" si="26"/>
        <v/>
      </c>
      <c r="N432" s="95" t="str">
        <f t="shared" si="27"/>
        <v/>
      </c>
    </row>
    <row r="433" spans="13:14" x14ac:dyDescent="0.25">
      <c r="M433" s="95" t="str">
        <f t="shared" si="26"/>
        <v/>
      </c>
      <c r="N433" s="95" t="str">
        <f t="shared" si="27"/>
        <v/>
      </c>
    </row>
    <row r="434" spans="13:14" x14ac:dyDescent="0.25">
      <c r="M434" s="95" t="str">
        <f t="shared" si="26"/>
        <v/>
      </c>
      <c r="N434" s="95" t="str">
        <f t="shared" si="27"/>
        <v/>
      </c>
    </row>
    <row r="435" spans="13:14" x14ac:dyDescent="0.25">
      <c r="M435" s="95" t="str">
        <f t="shared" si="26"/>
        <v/>
      </c>
      <c r="N435" s="95" t="str">
        <f t="shared" si="27"/>
        <v/>
      </c>
    </row>
    <row r="436" spans="13:14" x14ac:dyDescent="0.25">
      <c r="M436" s="95" t="str">
        <f t="shared" si="26"/>
        <v/>
      </c>
      <c r="N436" s="95" t="str">
        <f t="shared" si="27"/>
        <v/>
      </c>
    </row>
    <row r="437" spans="13:14" x14ac:dyDescent="0.25">
      <c r="M437" s="95" t="str">
        <f t="shared" si="26"/>
        <v/>
      </c>
      <c r="N437" s="95" t="str">
        <f t="shared" si="27"/>
        <v/>
      </c>
    </row>
    <row r="438" spans="13:14" x14ac:dyDescent="0.25">
      <c r="M438" s="95" t="str">
        <f t="shared" si="26"/>
        <v/>
      </c>
      <c r="N438" s="95" t="str">
        <f t="shared" si="27"/>
        <v/>
      </c>
    </row>
    <row r="439" spans="13:14" x14ac:dyDescent="0.25">
      <c r="M439" s="95" t="str">
        <f t="shared" si="26"/>
        <v/>
      </c>
      <c r="N439" s="95" t="str">
        <f t="shared" si="27"/>
        <v/>
      </c>
    </row>
    <row r="440" spans="13:14" x14ac:dyDescent="0.25">
      <c r="M440" s="95" t="str">
        <f t="shared" si="26"/>
        <v/>
      </c>
      <c r="N440" s="95" t="str">
        <f t="shared" si="27"/>
        <v/>
      </c>
    </row>
    <row r="441" spans="13:14" x14ac:dyDescent="0.25">
      <c r="M441" s="95" t="str">
        <f t="shared" si="26"/>
        <v/>
      </c>
      <c r="N441" s="95" t="str">
        <f t="shared" si="27"/>
        <v/>
      </c>
    </row>
    <row r="442" spans="13:14" x14ac:dyDescent="0.25">
      <c r="M442" s="95" t="str">
        <f t="shared" si="26"/>
        <v/>
      </c>
      <c r="N442" s="95" t="str">
        <f t="shared" si="27"/>
        <v/>
      </c>
    </row>
    <row r="443" spans="13:14" x14ac:dyDescent="0.25">
      <c r="M443" s="95" t="str">
        <f t="shared" si="26"/>
        <v/>
      </c>
      <c r="N443" s="95" t="str">
        <f t="shared" si="27"/>
        <v/>
      </c>
    </row>
    <row r="444" spans="13:14" x14ac:dyDescent="0.25">
      <c r="M444" s="95" t="str">
        <f t="shared" si="26"/>
        <v/>
      </c>
      <c r="N444" s="95" t="str">
        <f t="shared" si="27"/>
        <v/>
      </c>
    </row>
    <row r="445" spans="13:14" x14ac:dyDescent="0.25">
      <c r="M445" s="95" t="str">
        <f t="shared" si="26"/>
        <v/>
      </c>
      <c r="N445" s="95" t="str">
        <f t="shared" si="27"/>
        <v/>
      </c>
    </row>
    <row r="446" spans="13:14" x14ac:dyDescent="0.25">
      <c r="M446" s="95" t="str">
        <f t="shared" si="26"/>
        <v/>
      </c>
      <c r="N446" s="95" t="str">
        <f t="shared" si="27"/>
        <v/>
      </c>
    </row>
    <row r="447" spans="13:14" x14ac:dyDescent="0.25">
      <c r="M447" s="95" t="str">
        <f t="shared" si="26"/>
        <v/>
      </c>
      <c r="N447" s="95" t="str">
        <f t="shared" si="27"/>
        <v/>
      </c>
    </row>
    <row r="448" spans="13:14" x14ac:dyDescent="0.25">
      <c r="M448" s="95" t="str">
        <f t="shared" si="26"/>
        <v/>
      </c>
      <c r="N448" s="95" t="str">
        <f t="shared" si="27"/>
        <v/>
      </c>
    </row>
    <row r="449" spans="13:14" x14ac:dyDescent="0.25">
      <c r="M449" s="95" t="str">
        <f t="shared" si="26"/>
        <v/>
      </c>
      <c r="N449" s="95" t="str">
        <f t="shared" si="27"/>
        <v/>
      </c>
    </row>
    <row r="450" spans="13:14" x14ac:dyDescent="0.25">
      <c r="M450" s="95" t="str">
        <f t="shared" si="26"/>
        <v/>
      </c>
      <c r="N450" s="95" t="str">
        <f t="shared" si="27"/>
        <v/>
      </c>
    </row>
    <row r="451" spans="13:14" x14ac:dyDescent="0.25">
      <c r="M451" s="95" t="str">
        <f t="shared" ref="M451:M514" si="28">IF(COUNTIF(K:K,J451),J451,"")</f>
        <v/>
      </c>
      <c r="N451" s="95" t="str">
        <f t="shared" si="27"/>
        <v/>
      </c>
    </row>
    <row r="452" spans="13:14" x14ac:dyDescent="0.25">
      <c r="M452" s="95" t="str">
        <f t="shared" si="28"/>
        <v/>
      </c>
      <c r="N452" s="95" t="str">
        <f t="shared" ref="N452:N515" si="29">IF(M452&gt;$A$14,M452,"")</f>
        <v/>
      </c>
    </row>
    <row r="453" spans="13:14" x14ac:dyDescent="0.25">
      <c r="M453" s="95" t="str">
        <f t="shared" si="28"/>
        <v/>
      </c>
      <c r="N453" s="95" t="str">
        <f t="shared" si="29"/>
        <v/>
      </c>
    </row>
    <row r="454" spans="13:14" x14ac:dyDescent="0.25">
      <c r="M454" s="95" t="str">
        <f t="shared" si="28"/>
        <v/>
      </c>
      <c r="N454" s="95" t="str">
        <f t="shared" si="29"/>
        <v/>
      </c>
    </row>
    <row r="455" spans="13:14" x14ac:dyDescent="0.25">
      <c r="M455" s="95" t="str">
        <f t="shared" si="28"/>
        <v/>
      </c>
      <c r="N455" s="95" t="str">
        <f t="shared" si="29"/>
        <v/>
      </c>
    </row>
    <row r="456" spans="13:14" x14ac:dyDescent="0.25">
      <c r="M456" s="95" t="str">
        <f t="shared" si="28"/>
        <v/>
      </c>
      <c r="N456" s="95" t="str">
        <f t="shared" si="29"/>
        <v/>
      </c>
    </row>
    <row r="457" spans="13:14" x14ac:dyDescent="0.25">
      <c r="M457" s="95" t="str">
        <f t="shared" si="28"/>
        <v/>
      </c>
      <c r="N457" s="95" t="str">
        <f t="shared" si="29"/>
        <v/>
      </c>
    </row>
    <row r="458" spans="13:14" x14ac:dyDescent="0.25">
      <c r="M458" s="95" t="str">
        <f t="shared" si="28"/>
        <v/>
      </c>
      <c r="N458" s="95" t="str">
        <f t="shared" si="29"/>
        <v/>
      </c>
    </row>
    <row r="459" spans="13:14" x14ac:dyDescent="0.25">
      <c r="M459" s="95" t="str">
        <f t="shared" si="28"/>
        <v/>
      </c>
      <c r="N459" s="95" t="str">
        <f t="shared" si="29"/>
        <v/>
      </c>
    </row>
    <row r="460" spans="13:14" x14ac:dyDescent="0.25">
      <c r="M460" s="95" t="str">
        <f t="shared" si="28"/>
        <v/>
      </c>
      <c r="N460" s="95" t="str">
        <f t="shared" si="29"/>
        <v/>
      </c>
    </row>
    <row r="461" spans="13:14" x14ac:dyDescent="0.25">
      <c r="M461" s="95" t="str">
        <f t="shared" si="28"/>
        <v/>
      </c>
      <c r="N461" s="95" t="str">
        <f t="shared" si="29"/>
        <v/>
      </c>
    </row>
    <row r="462" spans="13:14" x14ac:dyDescent="0.25">
      <c r="M462" s="95" t="str">
        <f t="shared" si="28"/>
        <v/>
      </c>
      <c r="N462" s="95" t="str">
        <f t="shared" si="29"/>
        <v/>
      </c>
    </row>
    <row r="463" spans="13:14" x14ac:dyDescent="0.25">
      <c r="M463" s="95" t="str">
        <f t="shared" si="28"/>
        <v/>
      </c>
      <c r="N463" s="95" t="str">
        <f t="shared" si="29"/>
        <v/>
      </c>
    </row>
    <row r="464" spans="13:14" x14ac:dyDescent="0.25">
      <c r="M464" s="95" t="str">
        <f t="shared" si="28"/>
        <v/>
      </c>
      <c r="N464" s="95" t="str">
        <f t="shared" si="29"/>
        <v/>
      </c>
    </row>
    <row r="465" spans="13:14" x14ac:dyDescent="0.25">
      <c r="M465" s="95" t="str">
        <f t="shared" si="28"/>
        <v/>
      </c>
      <c r="N465" s="95" t="str">
        <f t="shared" si="29"/>
        <v/>
      </c>
    </row>
    <row r="466" spans="13:14" x14ac:dyDescent="0.25">
      <c r="M466" s="95" t="str">
        <f t="shared" si="28"/>
        <v/>
      </c>
      <c r="N466" s="95" t="str">
        <f t="shared" si="29"/>
        <v/>
      </c>
    </row>
    <row r="467" spans="13:14" x14ac:dyDescent="0.25">
      <c r="M467" s="95" t="str">
        <f t="shared" si="28"/>
        <v/>
      </c>
      <c r="N467" s="95" t="str">
        <f t="shared" si="29"/>
        <v/>
      </c>
    </row>
    <row r="468" spans="13:14" x14ac:dyDescent="0.25">
      <c r="M468" s="95" t="str">
        <f t="shared" si="28"/>
        <v/>
      </c>
      <c r="N468" s="95" t="str">
        <f t="shared" si="29"/>
        <v/>
      </c>
    </row>
    <row r="469" spans="13:14" x14ac:dyDescent="0.25">
      <c r="M469" s="95" t="str">
        <f t="shared" si="28"/>
        <v/>
      </c>
      <c r="N469" s="95" t="str">
        <f t="shared" si="29"/>
        <v/>
      </c>
    </row>
    <row r="470" spans="13:14" x14ac:dyDescent="0.25">
      <c r="M470" s="95" t="str">
        <f t="shared" si="28"/>
        <v/>
      </c>
      <c r="N470" s="95" t="str">
        <f t="shared" si="29"/>
        <v/>
      </c>
    </row>
    <row r="471" spans="13:14" x14ac:dyDescent="0.25">
      <c r="M471" s="95" t="str">
        <f t="shared" si="28"/>
        <v/>
      </c>
      <c r="N471" s="95" t="str">
        <f t="shared" si="29"/>
        <v/>
      </c>
    </row>
    <row r="472" spans="13:14" x14ac:dyDescent="0.25">
      <c r="M472" s="95" t="str">
        <f t="shared" si="28"/>
        <v/>
      </c>
      <c r="N472" s="95" t="str">
        <f t="shared" si="29"/>
        <v/>
      </c>
    </row>
    <row r="473" spans="13:14" x14ac:dyDescent="0.25">
      <c r="M473" s="95" t="str">
        <f t="shared" si="28"/>
        <v/>
      </c>
      <c r="N473" s="95" t="str">
        <f t="shared" si="29"/>
        <v/>
      </c>
    </row>
    <row r="474" spans="13:14" x14ac:dyDescent="0.25">
      <c r="M474" s="95" t="str">
        <f t="shared" si="28"/>
        <v/>
      </c>
      <c r="N474" s="95" t="str">
        <f t="shared" si="29"/>
        <v/>
      </c>
    </row>
    <row r="475" spans="13:14" x14ac:dyDescent="0.25">
      <c r="M475" s="95" t="str">
        <f t="shared" si="28"/>
        <v/>
      </c>
      <c r="N475" s="95" t="str">
        <f t="shared" si="29"/>
        <v/>
      </c>
    </row>
    <row r="476" spans="13:14" x14ac:dyDescent="0.25">
      <c r="M476" s="95" t="str">
        <f t="shared" si="28"/>
        <v/>
      </c>
      <c r="N476" s="95" t="str">
        <f t="shared" si="29"/>
        <v/>
      </c>
    </row>
    <row r="477" spans="13:14" x14ac:dyDescent="0.25">
      <c r="M477" s="95" t="str">
        <f t="shared" si="28"/>
        <v/>
      </c>
      <c r="N477" s="95" t="str">
        <f t="shared" si="29"/>
        <v/>
      </c>
    </row>
    <row r="478" spans="13:14" x14ac:dyDescent="0.25">
      <c r="M478" s="95" t="str">
        <f t="shared" si="28"/>
        <v/>
      </c>
      <c r="N478" s="95" t="str">
        <f t="shared" si="29"/>
        <v/>
      </c>
    </row>
    <row r="479" spans="13:14" x14ac:dyDescent="0.25">
      <c r="M479" s="95" t="str">
        <f t="shared" si="28"/>
        <v/>
      </c>
      <c r="N479" s="95" t="str">
        <f t="shared" si="29"/>
        <v/>
      </c>
    </row>
    <row r="480" spans="13:14" x14ac:dyDescent="0.25">
      <c r="M480" s="95" t="str">
        <f t="shared" si="28"/>
        <v/>
      </c>
      <c r="N480" s="95" t="str">
        <f t="shared" si="29"/>
        <v/>
      </c>
    </row>
    <row r="481" spans="13:14" x14ac:dyDescent="0.25">
      <c r="M481" s="95" t="str">
        <f t="shared" si="28"/>
        <v/>
      </c>
      <c r="N481" s="95" t="str">
        <f t="shared" si="29"/>
        <v/>
      </c>
    </row>
    <row r="482" spans="13:14" x14ac:dyDescent="0.25">
      <c r="M482" s="95" t="str">
        <f t="shared" si="28"/>
        <v/>
      </c>
      <c r="N482" s="95" t="str">
        <f t="shared" si="29"/>
        <v/>
      </c>
    </row>
    <row r="483" spans="13:14" x14ac:dyDescent="0.25">
      <c r="M483" s="95" t="str">
        <f t="shared" si="28"/>
        <v/>
      </c>
      <c r="N483" s="95" t="str">
        <f t="shared" si="29"/>
        <v/>
      </c>
    </row>
    <row r="484" spans="13:14" x14ac:dyDescent="0.25">
      <c r="M484" s="95" t="str">
        <f t="shared" si="28"/>
        <v/>
      </c>
      <c r="N484" s="95" t="str">
        <f t="shared" si="29"/>
        <v/>
      </c>
    </row>
    <row r="485" spans="13:14" x14ac:dyDescent="0.25">
      <c r="M485" s="95" t="str">
        <f t="shared" si="28"/>
        <v/>
      </c>
      <c r="N485" s="95" t="str">
        <f t="shared" si="29"/>
        <v/>
      </c>
    </row>
    <row r="486" spans="13:14" x14ac:dyDescent="0.25">
      <c r="M486" s="95" t="str">
        <f t="shared" si="28"/>
        <v/>
      </c>
      <c r="N486" s="95" t="str">
        <f t="shared" si="29"/>
        <v/>
      </c>
    </row>
    <row r="487" spans="13:14" x14ac:dyDescent="0.25">
      <c r="M487" s="95" t="str">
        <f t="shared" si="28"/>
        <v/>
      </c>
      <c r="N487" s="95" t="str">
        <f t="shared" si="29"/>
        <v/>
      </c>
    </row>
    <row r="488" spans="13:14" x14ac:dyDescent="0.25">
      <c r="M488" s="95" t="str">
        <f t="shared" si="28"/>
        <v/>
      </c>
      <c r="N488" s="95" t="str">
        <f t="shared" si="29"/>
        <v/>
      </c>
    </row>
    <row r="489" spans="13:14" x14ac:dyDescent="0.25">
      <c r="M489" s="95" t="str">
        <f t="shared" si="28"/>
        <v/>
      </c>
      <c r="N489" s="95" t="str">
        <f t="shared" si="29"/>
        <v/>
      </c>
    </row>
    <row r="490" spans="13:14" x14ac:dyDescent="0.25">
      <c r="M490" s="95" t="str">
        <f t="shared" si="28"/>
        <v/>
      </c>
      <c r="N490" s="95" t="str">
        <f t="shared" si="29"/>
        <v/>
      </c>
    </row>
    <row r="491" spans="13:14" x14ac:dyDescent="0.25">
      <c r="M491" s="95" t="str">
        <f t="shared" si="28"/>
        <v/>
      </c>
      <c r="N491" s="95" t="str">
        <f t="shared" si="29"/>
        <v/>
      </c>
    </row>
    <row r="492" spans="13:14" x14ac:dyDescent="0.25">
      <c r="M492" s="95" t="str">
        <f t="shared" si="28"/>
        <v/>
      </c>
      <c r="N492" s="95" t="str">
        <f t="shared" si="29"/>
        <v/>
      </c>
    </row>
    <row r="493" spans="13:14" x14ac:dyDescent="0.25">
      <c r="M493" s="95" t="str">
        <f t="shared" si="28"/>
        <v/>
      </c>
      <c r="N493" s="95" t="str">
        <f t="shared" si="29"/>
        <v/>
      </c>
    </row>
    <row r="494" spans="13:14" x14ac:dyDescent="0.25">
      <c r="M494" s="95" t="str">
        <f t="shared" si="28"/>
        <v/>
      </c>
      <c r="N494" s="95" t="str">
        <f t="shared" si="29"/>
        <v/>
      </c>
    </row>
    <row r="495" spans="13:14" x14ac:dyDescent="0.25">
      <c r="M495" s="95" t="str">
        <f t="shared" si="28"/>
        <v/>
      </c>
      <c r="N495" s="95" t="str">
        <f t="shared" si="29"/>
        <v/>
      </c>
    </row>
    <row r="496" spans="13:14" x14ac:dyDescent="0.25">
      <c r="M496" s="95" t="str">
        <f t="shared" si="28"/>
        <v/>
      </c>
      <c r="N496" s="95" t="str">
        <f t="shared" si="29"/>
        <v/>
      </c>
    </row>
    <row r="497" spans="13:14" x14ac:dyDescent="0.25">
      <c r="M497" s="95" t="str">
        <f t="shared" si="28"/>
        <v/>
      </c>
      <c r="N497" s="95" t="str">
        <f t="shared" si="29"/>
        <v/>
      </c>
    </row>
    <row r="498" spans="13:14" x14ac:dyDescent="0.25">
      <c r="M498" s="95" t="str">
        <f t="shared" si="28"/>
        <v/>
      </c>
      <c r="N498" s="95" t="str">
        <f t="shared" si="29"/>
        <v/>
      </c>
    </row>
    <row r="499" spans="13:14" x14ac:dyDescent="0.25">
      <c r="M499" s="95" t="str">
        <f t="shared" si="28"/>
        <v/>
      </c>
      <c r="N499" s="95" t="str">
        <f t="shared" si="29"/>
        <v/>
      </c>
    </row>
    <row r="500" spans="13:14" x14ac:dyDescent="0.25">
      <c r="M500" s="95" t="str">
        <f t="shared" si="28"/>
        <v/>
      </c>
      <c r="N500" s="95" t="str">
        <f t="shared" si="29"/>
        <v/>
      </c>
    </row>
    <row r="501" spans="13:14" x14ac:dyDescent="0.25">
      <c r="M501" s="95" t="str">
        <f t="shared" si="28"/>
        <v/>
      </c>
      <c r="N501" s="95" t="str">
        <f t="shared" si="29"/>
        <v/>
      </c>
    </row>
    <row r="502" spans="13:14" x14ac:dyDescent="0.25">
      <c r="M502" s="95" t="str">
        <f t="shared" si="28"/>
        <v/>
      </c>
      <c r="N502" s="95" t="str">
        <f t="shared" si="29"/>
        <v/>
      </c>
    </row>
    <row r="503" spans="13:14" x14ac:dyDescent="0.25">
      <c r="M503" s="95" t="str">
        <f t="shared" si="28"/>
        <v/>
      </c>
      <c r="N503" s="95" t="str">
        <f t="shared" si="29"/>
        <v/>
      </c>
    </row>
    <row r="504" spans="13:14" x14ac:dyDescent="0.25">
      <c r="M504" s="95" t="str">
        <f t="shared" si="28"/>
        <v/>
      </c>
      <c r="N504" s="95" t="str">
        <f t="shared" si="29"/>
        <v/>
      </c>
    </row>
    <row r="505" spans="13:14" x14ac:dyDescent="0.25">
      <c r="M505" s="95" t="str">
        <f t="shared" si="28"/>
        <v/>
      </c>
      <c r="N505" s="95" t="str">
        <f t="shared" si="29"/>
        <v/>
      </c>
    </row>
    <row r="506" spans="13:14" x14ac:dyDescent="0.25">
      <c r="M506" s="95" t="str">
        <f t="shared" si="28"/>
        <v/>
      </c>
      <c r="N506" s="95" t="str">
        <f t="shared" si="29"/>
        <v/>
      </c>
    </row>
    <row r="507" spans="13:14" x14ac:dyDescent="0.25">
      <c r="M507" s="95" t="str">
        <f t="shared" si="28"/>
        <v/>
      </c>
      <c r="N507" s="95" t="str">
        <f t="shared" si="29"/>
        <v/>
      </c>
    </row>
    <row r="508" spans="13:14" x14ac:dyDescent="0.25">
      <c r="M508" s="95" t="str">
        <f t="shared" si="28"/>
        <v/>
      </c>
      <c r="N508" s="95" t="str">
        <f t="shared" si="29"/>
        <v/>
      </c>
    </row>
    <row r="509" spans="13:14" x14ac:dyDescent="0.25">
      <c r="M509" s="95" t="str">
        <f t="shared" si="28"/>
        <v/>
      </c>
      <c r="N509" s="95" t="str">
        <f t="shared" si="29"/>
        <v/>
      </c>
    </row>
    <row r="510" spans="13:14" x14ac:dyDescent="0.25">
      <c r="M510" s="95" t="str">
        <f t="shared" si="28"/>
        <v/>
      </c>
      <c r="N510" s="95" t="str">
        <f t="shared" si="29"/>
        <v/>
      </c>
    </row>
    <row r="511" spans="13:14" x14ac:dyDescent="0.25">
      <c r="M511" s="95" t="str">
        <f t="shared" si="28"/>
        <v/>
      </c>
      <c r="N511" s="95" t="str">
        <f t="shared" si="29"/>
        <v/>
      </c>
    </row>
    <row r="512" spans="13:14" x14ac:dyDescent="0.25">
      <c r="M512" s="95" t="str">
        <f t="shared" si="28"/>
        <v/>
      </c>
      <c r="N512" s="95" t="str">
        <f t="shared" si="29"/>
        <v/>
      </c>
    </row>
    <row r="513" spans="13:14" x14ac:dyDescent="0.25">
      <c r="M513" s="95" t="str">
        <f t="shared" si="28"/>
        <v/>
      </c>
      <c r="N513" s="95" t="str">
        <f t="shared" si="29"/>
        <v/>
      </c>
    </row>
    <row r="514" spans="13:14" x14ac:dyDescent="0.25">
      <c r="M514" s="95" t="str">
        <f t="shared" si="28"/>
        <v/>
      </c>
      <c r="N514" s="95" t="str">
        <f t="shared" si="29"/>
        <v/>
      </c>
    </row>
    <row r="515" spans="13:14" x14ac:dyDescent="0.25">
      <c r="M515" s="95" t="str">
        <f t="shared" ref="M515:M578" si="30">IF(COUNTIF(K:K,J515),J515,"")</f>
        <v/>
      </c>
      <c r="N515" s="95" t="str">
        <f t="shared" si="29"/>
        <v/>
      </c>
    </row>
    <row r="516" spans="13:14" x14ac:dyDescent="0.25">
      <c r="M516" s="95" t="str">
        <f t="shared" si="30"/>
        <v/>
      </c>
      <c r="N516" s="95" t="str">
        <f t="shared" ref="N516:N579" si="31">IF(M516&gt;$A$14,M516,"")</f>
        <v/>
      </c>
    </row>
    <row r="517" spans="13:14" x14ac:dyDescent="0.25">
      <c r="M517" s="95" t="str">
        <f t="shared" si="30"/>
        <v/>
      </c>
      <c r="N517" s="95" t="str">
        <f t="shared" si="31"/>
        <v/>
      </c>
    </row>
    <row r="518" spans="13:14" x14ac:dyDescent="0.25">
      <c r="M518" s="95" t="str">
        <f t="shared" si="30"/>
        <v/>
      </c>
      <c r="N518" s="95" t="str">
        <f t="shared" si="31"/>
        <v/>
      </c>
    </row>
    <row r="519" spans="13:14" x14ac:dyDescent="0.25">
      <c r="M519" s="95" t="str">
        <f t="shared" si="30"/>
        <v/>
      </c>
      <c r="N519" s="95" t="str">
        <f t="shared" si="31"/>
        <v/>
      </c>
    </row>
    <row r="520" spans="13:14" x14ac:dyDescent="0.25">
      <c r="M520" s="95" t="str">
        <f t="shared" si="30"/>
        <v/>
      </c>
      <c r="N520" s="95" t="str">
        <f t="shared" si="31"/>
        <v/>
      </c>
    </row>
    <row r="521" spans="13:14" x14ac:dyDescent="0.25">
      <c r="M521" s="95" t="str">
        <f t="shared" si="30"/>
        <v/>
      </c>
      <c r="N521" s="95" t="str">
        <f t="shared" si="31"/>
        <v/>
      </c>
    </row>
    <row r="522" spans="13:14" x14ac:dyDescent="0.25">
      <c r="M522" s="95" t="str">
        <f t="shared" si="30"/>
        <v/>
      </c>
      <c r="N522" s="95" t="str">
        <f t="shared" si="31"/>
        <v/>
      </c>
    </row>
    <row r="523" spans="13:14" x14ac:dyDescent="0.25">
      <c r="M523" s="95" t="str">
        <f t="shared" si="30"/>
        <v/>
      </c>
      <c r="N523" s="95" t="str">
        <f t="shared" si="31"/>
        <v/>
      </c>
    </row>
    <row r="524" spans="13:14" x14ac:dyDescent="0.25">
      <c r="M524" s="95" t="str">
        <f t="shared" si="30"/>
        <v/>
      </c>
      <c r="N524" s="95" t="str">
        <f t="shared" si="31"/>
        <v/>
      </c>
    </row>
    <row r="525" spans="13:14" x14ac:dyDescent="0.25">
      <c r="M525" s="95" t="str">
        <f t="shared" si="30"/>
        <v/>
      </c>
      <c r="N525" s="95" t="str">
        <f t="shared" si="31"/>
        <v/>
      </c>
    </row>
    <row r="526" spans="13:14" x14ac:dyDescent="0.25">
      <c r="M526" s="95" t="str">
        <f t="shared" si="30"/>
        <v/>
      </c>
      <c r="N526" s="95" t="str">
        <f t="shared" si="31"/>
        <v/>
      </c>
    </row>
    <row r="527" spans="13:14" x14ac:dyDescent="0.25">
      <c r="M527" s="95" t="str">
        <f t="shared" si="30"/>
        <v/>
      </c>
      <c r="N527" s="95" t="str">
        <f t="shared" si="31"/>
        <v/>
      </c>
    </row>
    <row r="528" spans="13:14" x14ac:dyDescent="0.25">
      <c r="M528" s="95" t="str">
        <f t="shared" si="30"/>
        <v/>
      </c>
      <c r="N528" s="95" t="str">
        <f t="shared" si="31"/>
        <v/>
      </c>
    </row>
    <row r="529" spans="13:14" x14ac:dyDescent="0.25">
      <c r="M529" s="95" t="str">
        <f t="shared" si="30"/>
        <v/>
      </c>
      <c r="N529" s="95" t="str">
        <f t="shared" si="31"/>
        <v/>
      </c>
    </row>
    <row r="530" spans="13:14" x14ac:dyDescent="0.25">
      <c r="M530" s="95" t="str">
        <f t="shared" si="30"/>
        <v/>
      </c>
      <c r="N530" s="95" t="str">
        <f t="shared" si="31"/>
        <v/>
      </c>
    </row>
    <row r="531" spans="13:14" x14ac:dyDescent="0.25">
      <c r="M531" s="95" t="str">
        <f t="shared" si="30"/>
        <v/>
      </c>
      <c r="N531" s="95" t="str">
        <f t="shared" si="31"/>
        <v/>
      </c>
    </row>
    <row r="532" spans="13:14" x14ac:dyDescent="0.25">
      <c r="M532" s="95" t="str">
        <f t="shared" si="30"/>
        <v/>
      </c>
      <c r="N532" s="95" t="str">
        <f t="shared" si="31"/>
        <v/>
      </c>
    </row>
    <row r="533" spans="13:14" x14ac:dyDescent="0.25">
      <c r="M533" s="95" t="str">
        <f t="shared" si="30"/>
        <v/>
      </c>
      <c r="N533" s="95" t="str">
        <f t="shared" si="31"/>
        <v/>
      </c>
    </row>
    <row r="534" spans="13:14" x14ac:dyDescent="0.25">
      <c r="M534" s="95" t="str">
        <f t="shared" si="30"/>
        <v/>
      </c>
      <c r="N534" s="95" t="str">
        <f t="shared" si="31"/>
        <v/>
      </c>
    </row>
    <row r="535" spans="13:14" x14ac:dyDescent="0.25">
      <c r="M535" s="95" t="str">
        <f t="shared" si="30"/>
        <v/>
      </c>
      <c r="N535" s="95" t="str">
        <f t="shared" si="31"/>
        <v/>
      </c>
    </row>
    <row r="536" spans="13:14" x14ac:dyDescent="0.25">
      <c r="M536" s="95" t="str">
        <f t="shared" si="30"/>
        <v/>
      </c>
      <c r="N536" s="95" t="str">
        <f t="shared" si="31"/>
        <v/>
      </c>
    </row>
    <row r="537" spans="13:14" x14ac:dyDescent="0.25">
      <c r="M537" s="95" t="str">
        <f t="shared" si="30"/>
        <v/>
      </c>
      <c r="N537" s="95" t="str">
        <f t="shared" si="31"/>
        <v/>
      </c>
    </row>
    <row r="538" spans="13:14" x14ac:dyDescent="0.25">
      <c r="M538" s="95" t="str">
        <f t="shared" si="30"/>
        <v/>
      </c>
      <c r="N538" s="95" t="str">
        <f t="shared" si="31"/>
        <v/>
      </c>
    </row>
    <row r="539" spans="13:14" x14ac:dyDescent="0.25">
      <c r="M539" s="95" t="str">
        <f t="shared" si="30"/>
        <v/>
      </c>
      <c r="N539" s="95" t="str">
        <f t="shared" si="31"/>
        <v/>
      </c>
    </row>
    <row r="540" spans="13:14" x14ac:dyDescent="0.25">
      <c r="M540" s="95" t="str">
        <f t="shared" si="30"/>
        <v/>
      </c>
      <c r="N540" s="95" t="str">
        <f t="shared" si="31"/>
        <v/>
      </c>
    </row>
    <row r="541" spans="13:14" x14ac:dyDescent="0.25">
      <c r="M541" s="95" t="str">
        <f t="shared" si="30"/>
        <v/>
      </c>
      <c r="N541" s="95" t="str">
        <f t="shared" si="31"/>
        <v/>
      </c>
    </row>
    <row r="542" spans="13:14" x14ac:dyDescent="0.25">
      <c r="M542" s="95" t="str">
        <f t="shared" si="30"/>
        <v/>
      </c>
      <c r="N542" s="95" t="str">
        <f t="shared" si="31"/>
        <v/>
      </c>
    </row>
    <row r="543" spans="13:14" x14ac:dyDescent="0.25">
      <c r="M543" s="95" t="str">
        <f t="shared" si="30"/>
        <v/>
      </c>
      <c r="N543" s="95" t="str">
        <f t="shared" si="31"/>
        <v/>
      </c>
    </row>
    <row r="544" spans="13:14" x14ac:dyDescent="0.25">
      <c r="M544" s="95" t="str">
        <f t="shared" si="30"/>
        <v/>
      </c>
      <c r="N544" s="95" t="str">
        <f t="shared" si="31"/>
        <v/>
      </c>
    </row>
    <row r="545" spans="13:14" x14ac:dyDescent="0.25">
      <c r="M545" s="95" t="str">
        <f t="shared" si="30"/>
        <v/>
      </c>
      <c r="N545" s="95" t="str">
        <f t="shared" si="31"/>
        <v/>
      </c>
    </row>
    <row r="546" spans="13:14" x14ac:dyDescent="0.25">
      <c r="M546" s="95" t="str">
        <f t="shared" si="30"/>
        <v/>
      </c>
      <c r="N546" s="95" t="str">
        <f t="shared" si="31"/>
        <v/>
      </c>
    </row>
    <row r="547" spans="13:14" x14ac:dyDescent="0.25">
      <c r="M547" s="95" t="str">
        <f t="shared" si="30"/>
        <v/>
      </c>
      <c r="N547" s="95" t="str">
        <f t="shared" si="31"/>
        <v/>
      </c>
    </row>
    <row r="548" spans="13:14" x14ac:dyDescent="0.25">
      <c r="M548" s="95" t="str">
        <f t="shared" si="30"/>
        <v/>
      </c>
      <c r="N548" s="95" t="str">
        <f t="shared" si="31"/>
        <v/>
      </c>
    </row>
    <row r="549" spans="13:14" x14ac:dyDescent="0.25">
      <c r="M549" s="95" t="str">
        <f t="shared" si="30"/>
        <v/>
      </c>
      <c r="N549" s="95" t="str">
        <f t="shared" si="31"/>
        <v/>
      </c>
    </row>
    <row r="550" spans="13:14" x14ac:dyDescent="0.25">
      <c r="M550" s="95" t="str">
        <f t="shared" si="30"/>
        <v/>
      </c>
      <c r="N550" s="95" t="str">
        <f t="shared" si="31"/>
        <v/>
      </c>
    </row>
    <row r="551" spans="13:14" x14ac:dyDescent="0.25">
      <c r="M551" s="95" t="str">
        <f t="shared" si="30"/>
        <v/>
      </c>
      <c r="N551" s="95" t="str">
        <f t="shared" si="31"/>
        <v/>
      </c>
    </row>
    <row r="552" spans="13:14" x14ac:dyDescent="0.25">
      <c r="M552" s="95" t="str">
        <f t="shared" si="30"/>
        <v/>
      </c>
      <c r="N552" s="95" t="str">
        <f t="shared" si="31"/>
        <v/>
      </c>
    </row>
    <row r="553" spans="13:14" x14ac:dyDescent="0.25">
      <c r="M553" s="95" t="str">
        <f t="shared" si="30"/>
        <v/>
      </c>
      <c r="N553" s="95" t="str">
        <f t="shared" si="31"/>
        <v/>
      </c>
    </row>
    <row r="554" spans="13:14" x14ac:dyDescent="0.25">
      <c r="M554" s="95" t="str">
        <f t="shared" si="30"/>
        <v/>
      </c>
      <c r="N554" s="95" t="str">
        <f t="shared" si="31"/>
        <v/>
      </c>
    </row>
    <row r="555" spans="13:14" x14ac:dyDescent="0.25">
      <c r="M555" s="95" t="str">
        <f t="shared" si="30"/>
        <v/>
      </c>
      <c r="N555" s="95" t="str">
        <f t="shared" si="31"/>
        <v/>
      </c>
    </row>
    <row r="556" spans="13:14" x14ac:dyDescent="0.25">
      <c r="M556" s="95" t="str">
        <f t="shared" si="30"/>
        <v/>
      </c>
      <c r="N556" s="95" t="str">
        <f t="shared" si="31"/>
        <v/>
      </c>
    </row>
    <row r="557" spans="13:14" x14ac:dyDescent="0.25">
      <c r="M557" s="95" t="str">
        <f t="shared" si="30"/>
        <v/>
      </c>
      <c r="N557" s="95" t="str">
        <f t="shared" si="31"/>
        <v/>
      </c>
    </row>
    <row r="558" spans="13:14" x14ac:dyDescent="0.25">
      <c r="M558" s="95" t="str">
        <f t="shared" si="30"/>
        <v/>
      </c>
      <c r="N558" s="95" t="str">
        <f t="shared" si="31"/>
        <v/>
      </c>
    </row>
    <row r="559" spans="13:14" x14ac:dyDescent="0.25">
      <c r="M559" s="95" t="str">
        <f t="shared" si="30"/>
        <v/>
      </c>
      <c r="N559" s="95" t="str">
        <f t="shared" si="31"/>
        <v/>
      </c>
    </row>
    <row r="560" spans="13:14" x14ac:dyDescent="0.25">
      <c r="M560" s="95" t="str">
        <f t="shared" si="30"/>
        <v/>
      </c>
      <c r="N560" s="95" t="str">
        <f t="shared" si="31"/>
        <v/>
      </c>
    </row>
    <row r="561" spans="13:14" x14ac:dyDescent="0.25">
      <c r="M561" s="95" t="str">
        <f t="shared" si="30"/>
        <v/>
      </c>
      <c r="N561" s="95" t="str">
        <f t="shared" si="31"/>
        <v/>
      </c>
    </row>
    <row r="562" spans="13:14" x14ac:dyDescent="0.25">
      <c r="M562" s="95" t="str">
        <f t="shared" si="30"/>
        <v/>
      </c>
      <c r="N562" s="95" t="str">
        <f t="shared" si="31"/>
        <v/>
      </c>
    </row>
    <row r="563" spans="13:14" x14ac:dyDescent="0.25">
      <c r="M563" s="95" t="str">
        <f t="shared" si="30"/>
        <v/>
      </c>
      <c r="N563" s="95" t="str">
        <f t="shared" si="31"/>
        <v/>
      </c>
    </row>
    <row r="564" spans="13:14" x14ac:dyDescent="0.25">
      <c r="M564" s="95" t="str">
        <f t="shared" si="30"/>
        <v/>
      </c>
      <c r="N564" s="95" t="str">
        <f t="shared" si="31"/>
        <v/>
      </c>
    </row>
    <row r="565" spans="13:14" x14ac:dyDescent="0.25">
      <c r="M565" s="95" t="str">
        <f t="shared" si="30"/>
        <v/>
      </c>
      <c r="N565" s="95" t="str">
        <f t="shared" si="31"/>
        <v/>
      </c>
    </row>
    <row r="566" spans="13:14" x14ac:dyDescent="0.25">
      <c r="M566" s="95" t="str">
        <f t="shared" si="30"/>
        <v/>
      </c>
      <c r="N566" s="95" t="str">
        <f t="shared" si="31"/>
        <v/>
      </c>
    </row>
    <row r="567" spans="13:14" x14ac:dyDescent="0.25">
      <c r="M567" s="95" t="str">
        <f t="shared" si="30"/>
        <v/>
      </c>
      <c r="N567" s="95" t="str">
        <f t="shared" si="31"/>
        <v/>
      </c>
    </row>
    <row r="568" spans="13:14" x14ac:dyDescent="0.25">
      <c r="M568" s="95" t="str">
        <f t="shared" si="30"/>
        <v/>
      </c>
      <c r="N568" s="95" t="str">
        <f t="shared" si="31"/>
        <v/>
      </c>
    </row>
    <row r="569" spans="13:14" x14ac:dyDescent="0.25">
      <c r="M569" s="95" t="str">
        <f t="shared" si="30"/>
        <v/>
      </c>
      <c r="N569" s="95" t="str">
        <f t="shared" si="31"/>
        <v/>
      </c>
    </row>
    <row r="570" spans="13:14" x14ac:dyDescent="0.25">
      <c r="M570" s="95" t="str">
        <f t="shared" si="30"/>
        <v/>
      </c>
      <c r="N570" s="95" t="str">
        <f t="shared" si="31"/>
        <v/>
      </c>
    </row>
    <row r="571" spans="13:14" x14ac:dyDescent="0.25">
      <c r="M571" s="95" t="str">
        <f t="shared" si="30"/>
        <v/>
      </c>
      <c r="N571" s="95" t="str">
        <f t="shared" si="31"/>
        <v/>
      </c>
    </row>
    <row r="572" spans="13:14" x14ac:dyDescent="0.25">
      <c r="M572" s="95" t="str">
        <f t="shared" si="30"/>
        <v/>
      </c>
      <c r="N572" s="95" t="str">
        <f t="shared" si="31"/>
        <v/>
      </c>
    </row>
    <row r="573" spans="13:14" x14ac:dyDescent="0.25">
      <c r="M573" s="95" t="str">
        <f t="shared" si="30"/>
        <v/>
      </c>
      <c r="N573" s="95" t="str">
        <f t="shared" si="31"/>
        <v/>
      </c>
    </row>
    <row r="574" spans="13:14" x14ac:dyDescent="0.25">
      <c r="M574" s="95" t="str">
        <f t="shared" si="30"/>
        <v/>
      </c>
      <c r="N574" s="95" t="str">
        <f t="shared" si="31"/>
        <v/>
      </c>
    </row>
    <row r="575" spans="13:14" x14ac:dyDescent="0.25">
      <c r="M575" s="95" t="str">
        <f t="shared" si="30"/>
        <v/>
      </c>
      <c r="N575" s="95" t="str">
        <f t="shared" si="31"/>
        <v/>
      </c>
    </row>
    <row r="576" spans="13:14" x14ac:dyDescent="0.25">
      <c r="M576" s="95" t="str">
        <f t="shared" si="30"/>
        <v/>
      </c>
      <c r="N576" s="95" t="str">
        <f t="shared" si="31"/>
        <v/>
      </c>
    </row>
    <row r="577" spans="13:14" x14ac:dyDescent="0.25">
      <c r="M577" s="95" t="str">
        <f t="shared" si="30"/>
        <v/>
      </c>
      <c r="N577" s="95" t="str">
        <f t="shared" si="31"/>
        <v/>
      </c>
    </row>
    <row r="578" spans="13:14" x14ac:dyDescent="0.25">
      <c r="M578" s="95" t="str">
        <f t="shared" si="30"/>
        <v/>
      </c>
      <c r="N578" s="95" t="str">
        <f t="shared" si="31"/>
        <v/>
      </c>
    </row>
    <row r="579" spans="13:14" x14ac:dyDescent="0.25">
      <c r="M579" s="95" t="str">
        <f t="shared" ref="M579:M642" si="32">IF(COUNTIF(K:K,J579),J579,"")</f>
        <v/>
      </c>
      <c r="N579" s="95" t="str">
        <f t="shared" si="31"/>
        <v/>
      </c>
    </row>
    <row r="580" spans="13:14" x14ac:dyDescent="0.25">
      <c r="M580" s="95" t="str">
        <f t="shared" si="32"/>
        <v/>
      </c>
      <c r="N580" s="95" t="str">
        <f t="shared" ref="N580:N643" si="33">IF(M580&gt;$A$14,M580,"")</f>
        <v/>
      </c>
    </row>
    <row r="581" spans="13:14" x14ac:dyDescent="0.25">
      <c r="M581" s="95" t="str">
        <f t="shared" si="32"/>
        <v/>
      </c>
      <c r="N581" s="95" t="str">
        <f t="shared" si="33"/>
        <v/>
      </c>
    </row>
    <row r="582" spans="13:14" x14ac:dyDescent="0.25">
      <c r="M582" s="95" t="str">
        <f t="shared" si="32"/>
        <v/>
      </c>
      <c r="N582" s="95" t="str">
        <f t="shared" si="33"/>
        <v/>
      </c>
    </row>
    <row r="583" spans="13:14" x14ac:dyDescent="0.25">
      <c r="M583" s="95" t="str">
        <f t="shared" si="32"/>
        <v/>
      </c>
      <c r="N583" s="95" t="str">
        <f t="shared" si="33"/>
        <v/>
      </c>
    </row>
    <row r="584" spans="13:14" x14ac:dyDescent="0.25">
      <c r="M584" s="95" t="str">
        <f t="shared" si="32"/>
        <v/>
      </c>
      <c r="N584" s="95" t="str">
        <f t="shared" si="33"/>
        <v/>
      </c>
    </row>
    <row r="585" spans="13:14" x14ac:dyDescent="0.25">
      <c r="M585" s="95" t="str">
        <f t="shared" si="32"/>
        <v/>
      </c>
      <c r="N585" s="95" t="str">
        <f t="shared" si="33"/>
        <v/>
      </c>
    </row>
    <row r="586" spans="13:14" x14ac:dyDescent="0.25">
      <c r="M586" s="95" t="str">
        <f t="shared" si="32"/>
        <v/>
      </c>
      <c r="N586" s="95" t="str">
        <f t="shared" si="33"/>
        <v/>
      </c>
    </row>
    <row r="587" spans="13:14" x14ac:dyDescent="0.25">
      <c r="M587" s="95" t="str">
        <f t="shared" si="32"/>
        <v/>
      </c>
      <c r="N587" s="95" t="str">
        <f t="shared" si="33"/>
        <v/>
      </c>
    </row>
    <row r="588" spans="13:14" x14ac:dyDescent="0.25">
      <c r="M588" s="95" t="str">
        <f t="shared" si="32"/>
        <v/>
      </c>
      <c r="N588" s="95" t="str">
        <f t="shared" si="33"/>
        <v/>
      </c>
    </row>
    <row r="589" spans="13:14" x14ac:dyDescent="0.25">
      <c r="M589" s="95" t="str">
        <f t="shared" si="32"/>
        <v/>
      </c>
      <c r="N589" s="95" t="str">
        <f t="shared" si="33"/>
        <v/>
      </c>
    </row>
    <row r="590" spans="13:14" x14ac:dyDescent="0.25">
      <c r="M590" s="95" t="str">
        <f t="shared" si="32"/>
        <v/>
      </c>
      <c r="N590" s="95" t="str">
        <f t="shared" si="33"/>
        <v/>
      </c>
    </row>
    <row r="591" spans="13:14" x14ac:dyDescent="0.25">
      <c r="M591" s="95" t="str">
        <f t="shared" si="32"/>
        <v/>
      </c>
      <c r="N591" s="95" t="str">
        <f t="shared" si="33"/>
        <v/>
      </c>
    </row>
    <row r="592" spans="13:14" x14ac:dyDescent="0.25">
      <c r="M592" s="95" t="str">
        <f t="shared" si="32"/>
        <v/>
      </c>
      <c r="N592" s="95" t="str">
        <f t="shared" si="33"/>
        <v/>
      </c>
    </row>
    <row r="593" spans="13:14" x14ac:dyDescent="0.25">
      <c r="M593" s="95" t="str">
        <f t="shared" si="32"/>
        <v/>
      </c>
      <c r="N593" s="95" t="str">
        <f t="shared" si="33"/>
        <v/>
      </c>
    </row>
    <row r="594" spans="13:14" x14ac:dyDescent="0.25">
      <c r="M594" s="95" t="str">
        <f t="shared" si="32"/>
        <v/>
      </c>
      <c r="N594" s="95" t="str">
        <f t="shared" si="33"/>
        <v/>
      </c>
    </row>
    <row r="595" spans="13:14" x14ac:dyDescent="0.25">
      <c r="M595" s="95" t="str">
        <f t="shared" si="32"/>
        <v/>
      </c>
      <c r="N595" s="95" t="str">
        <f t="shared" si="33"/>
        <v/>
      </c>
    </row>
    <row r="596" spans="13:14" x14ac:dyDescent="0.25">
      <c r="M596" s="95" t="str">
        <f t="shared" si="32"/>
        <v/>
      </c>
      <c r="N596" s="95" t="str">
        <f t="shared" si="33"/>
        <v/>
      </c>
    </row>
    <row r="597" spans="13:14" x14ac:dyDescent="0.25">
      <c r="M597" s="95" t="str">
        <f t="shared" si="32"/>
        <v/>
      </c>
      <c r="N597" s="95" t="str">
        <f t="shared" si="33"/>
        <v/>
      </c>
    </row>
    <row r="598" spans="13:14" x14ac:dyDescent="0.25">
      <c r="M598" s="95" t="str">
        <f t="shared" si="32"/>
        <v/>
      </c>
      <c r="N598" s="95" t="str">
        <f t="shared" si="33"/>
        <v/>
      </c>
    </row>
    <row r="599" spans="13:14" x14ac:dyDescent="0.25">
      <c r="M599" s="95" t="str">
        <f t="shared" si="32"/>
        <v/>
      </c>
      <c r="N599" s="95" t="str">
        <f t="shared" si="33"/>
        <v/>
      </c>
    </row>
    <row r="600" spans="13:14" x14ac:dyDescent="0.25">
      <c r="M600" s="95" t="str">
        <f t="shared" si="32"/>
        <v/>
      </c>
      <c r="N600" s="95" t="str">
        <f t="shared" si="33"/>
        <v/>
      </c>
    </row>
    <row r="601" spans="13:14" x14ac:dyDescent="0.25">
      <c r="M601" s="95" t="str">
        <f t="shared" si="32"/>
        <v/>
      </c>
      <c r="N601" s="95" t="str">
        <f t="shared" si="33"/>
        <v/>
      </c>
    </row>
    <row r="602" spans="13:14" x14ac:dyDescent="0.25">
      <c r="M602" s="95" t="str">
        <f t="shared" si="32"/>
        <v/>
      </c>
      <c r="N602" s="95" t="str">
        <f t="shared" si="33"/>
        <v/>
      </c>
    </row>
    <row r="603" spans="13:14" x14ac:dyDescent="0.25">
      <c r="M603" s="95" t="str">
        <f t="shared" si="32"/>
        <v/>
      </c>
      <c r="N603" s="95" t="str">
        <f t="shared" si="33"/>
        <v/>
      </c>
    </row>
    <row r="604" spans="13:14" x14ac:dyDescent="0.25">
      <c r="M604" s="95" t="str">
        <f t="shared" si="32"/>
        <v/>
      </c>
      <c r="N604" s="95" t="str">
        <f t="shared" si="33"/>
        <v/>
      </c>
    </row>
    <row r="605" spans="13:14" x14ac:dyDescent="0.25">
      <c r="M605" s="95" t="str">
        <f t="shared" si="32"/>
        <v/>
      </c>
      <c r="N605" s="95" t="str">
        <f t="shared" si="33"/>
        <v/>
      </c>
    </row>
    <row r="606" spans="13:14" x14ac:dyDescent="0.25">
      <c r="M606" s="95" t="str">
        <f t="shared" si="32"/>
        <v/>
      </c>
      <c r="N606" s="95" t="str">
        <f t="shared" si="33"/>
        <v/>
      </c>
    </row>
    <row r="607" spans="13:14" x14ac:dyDescent="0.25">
      <c r="M607" s="95" t="str">
        <f t="shared" si="32"/>
        <v/>
      </c>
      <c r="N607" s="95" t="str">
        <f t="shared" si="33"/>
        <v/>
      </c>
    </row>
    <row r="608" spans="13:14" x14ac:dyDescent="0.25">
      <c r="M608" s="95" t="str">
        <f t="shared" si="32"/>
        <v/>
      </c>
      <c r="N608" s="95" t="str">
        <f t="shared" si="33"/>
        <v/>
      </c>
    </row>
    <row r="609" spans="13:14" x14ac:dyDescent="0.25">
      <c r="M609" s="95" t="str">
        <f t="shared" si="32"/>
        <v/>
      </c>
      <c r="N609" s="95" t="str">
        <f t="shared" si="33"/>
        <v/>
      </c>
    </row>
    <row r="610" spans="13:14" x14ac:dyDescent="0.25">
      <c r="M610" s="95" t="str">
        <f t="shared" si="32"/>
        <v/>
      </c>
      <c r="N610" s="95" t="str">
        <f t="shared" si="33"/>
        <v/>
      </c>
    </row>
    <row r="611" spans="13:14" x14ac:dyDescent="0.25">
      <c r="M611" s="95" t="str">
        <f t="shared" si="32"/>
        <v/>
      </c>
      <c r="N611" s="95" t="str">
        <f t="shared" si="33"/>
        <v/>
      </c>
    </row>
    <row r="612" spans="13:14" x14ac:dyDescent="0.25">
      <c r="M612" s="95" t="str">
        <f t="shared" si="32"/>
        <v/>
      </c>
      <c r="N612" s="95" t="str">
        <f t="shared" si="33"/>
        <v/>
      </c>
    </row>
    <row r="613" spans="13:14" x14ac:dyDescent="0.25">
      <c r="M613" s="95" t="str">
        <f t="shared" si="32"/>
        <v/>
      </c>
      <c r="N613" s="95" t="str">
        <f t="shared" si="33"/>
        <v/>
      </c>
    </row>
    <row r="614" spans="13:14" x14ac:dyDescent="0.25">
      <c r="M614" s="95" t="str">
        <f t="shared" si="32"/>
        <v/>
      </c>
      <c r="N614" s="95" t="str">
        <f t="shared" si="33"/>
        <v/>
      </c>
    </row>
    <row r="615" spans="13:14" x14ac:dyDescent="0.25">
      <c r="M615" s="95" t="str">
        <f t="shared" si="32"/>
        <v/>
      </c>
      <c r="N615" s="95" t="str">
        <f t="shared" si="33"/>
        <v/>
      </c>
    </row>
    <row r="616" spans="13:14" x14ac:dyDescent="0.25">
      <c r="M616" s="95" t="str">
        <f t="shared" si="32"/>
        <v/>
      </c>
      <c r="N616" s="95" t="str">
        <f t="shared" si="33"/>
        <v/>
      </c>
    </row>
    <row r="617" spans="13:14" x14ac:dyDescent="0.25">
      <c r="M617" s="95" t="str">
        <f t="shared" si="32"/>
        <v/>
      </c>
      <c r="N617" s="95" t="str">
        <f t="shared" si="33"/>
        <v/>
      </c>
    </row>
    <row r="618" spans="13:14" x14ac:dyDescent="0.25">
      <c r="M618" s="95" t="str">
        <f t="shared" si="32"/>
        <v/>
      </c>
      <c r="N618" s="95" t="str">
        <f t="shared" si="33"/>
        <v/>
      </c>
    </row>
    <row r="619" spans="13:14" x14ac:dyDescent="0.25">
      <c r="M619" s="95" t="str">
        <f t="shared" si="32"/>
        <v/>
      </c>
      <c r="N619" s="95" t="str">
        <f t="shared" si="33"/>
        <v/>
      </c>
    </row>
    <row r="620" spans="13:14" x14ac:dyDescent="0.25">
      <c r="M620" s="95" t="str">
        <f t="shared" si="32"/>
        <v/>
      </c>
      <c r="N620" s="95" t="str">
        <f t="shared" si="33"/>
        <v/>
      </c>
    </row>
    <row r="621" spans="13:14" x14ac:dyDescent="0.25">
      <c r="M621" s="95" t="str">
        <f t="shared" si="32"/>
        <v/>
      </c>
      <c r="N621" s="95" t="str">
        <f t="shared" si="33"/>
        <v/>
      </c>
    </row>
    <row r="622" spans="13:14" x14ac:dyDescent="0.25">
      <c r="M622" s="95" t="str">
        <f t="shared" si="32"/>
        <v/>
      </c>
      <c r="N622" s="95" t="str">
        <f t="shared" si="33"/>
        <v/>
      </c>
    </row>
    <row r="623" spans="13:14" x14ac:dyDescent="0.25">
      <c r="M623" s="95" t="str">
        <f t="shared" si="32"/>
        <v/>
      </c>
      <c r="N623" s="95" t="str">
        <f t="shared" si="33"/>
        <v/>
      </c>
    </row>
    <row r="624" spans="13:14" x14ac:dyDescent="0.25">
      <c r="M624" s="95" t="str">
        <f t="shared" si="32"/>
        <v/>
      </c>
      <c r="N624" s="95" t="str">
        <f t="shared" si="33"/>
        <v/>
      </c>
    </row>
    <row r="625" spans="13:14" x14ac:dyDescent="0.25">
      <c r="M625" s="95" t="str">
        <f t="shared" si="32"/>
        <v/>
      </c>
      <c r="N625" s="95" t="str">
        <f t="shared" si="33"/>
        <v/>
      </c>
    </row>
    <row r="626" spans="13:14" x14ac:dyDescent="0.25">
      <c r="M626" s="95" t="str">
        <f t="shared" si="32"/>
        <v/>
      </c>
      <c r="N626" s="95" t="str">
        <f t="shared" si="33"/>
        <v/>
      </c>
    </row>
    <row r="627" spans="13:14" x14ac:dyDescent="0.25">
      <c r="M627" s="95" t="str">
        <f t="shared" si="32"/>
        <v/>
      </c>
      <c r="N627" s="95" t="str">
        <f t="shared" si="33"/>
        <v/>
      </c>
    </row>
    <row r="628" spans="13:14" x14ac:dyDescent="0.25">
      <c r="M628" s="95" t="str">
        <f t="shared" si="32"/>
        <v/>
      </c>
      <c r="N628" s="95" t="str">
        <f t="shared" si="33"/>
        <v/>
      </c>
    </row>
    <row r="629" spans="13:14" x14ac:dyDescent="0.25">
      <c r="M629" s="95" t="str">
        <f t="shared" si="32"/>
        <v/>
      </c>
      <c r="N629" s="95" t="str">
        <f t="shared" si="33"/>
        <v/>
      </c>
    </row>
    <row r="630" spans="13:14" x14ac:dyDescent="0.25">
      <c r="M630" s="95" t="str">
        <f t="shared" si="32"/>
        <v/>
      </c>
      <c r="N630" s="95" t="str">
        <f t="shared" si="33"/>
        <v/>
      </c>
    </row>
    <row r="631" spans="13:14" x14ac:dyDescent="0.25">
      <c r="M631" s="95" t="str">
        <f t="shared" si="32"/>
        <v/>
      </c>
      <c r="N631" s="95" t="str">
        <f t="shared" si="33"/>
        <v/>
      </c>
    </row>
    <row r="632" spans="13:14" x14ac:dyDescent="0.25">
      <c r="M632" s="95" t="str">
        <f t="shared" si="32"/>
        <v/>
      </c>
      <c r="N632" s="95" t="str">
        <f t="shared" si="33"/>
        <v/>
      </c>
    </row>
    <row r="633" spans="13:14" x14ac:dyDescent="0.25">
      <c r="M633" s="95" t="str">
        <f t="shared" si="32"/>
        <v/>
      </c>
      <c r="N633" s="95" t="str">
        <f t="shared" si="33"/>
        <v/>
      </c>
    </row>
    <row r="634" spans="13:14" x14ac:dyDescent="0.25">
      <c r="M634" s="95" t="str">
        <f t="shared" si="32"/>
        <v/>
      </c>
      <c r="N634" s="95" t="str">
        <f t="shared" si="33"/>
        <v/>
      </c>
    </row>
    <row r="635" spans="13:14" x14ac:dyDescent="0.25">
      <c r="M635" s="95" t="str">
        <f t="shared" si="32"/>
        <v/>
      </c>
      <c r="N635" s="95" t="str">
        <f t="shared" si="33"/>
        <v/>
      </c>
    </row>
    <row r="636" spans="13:14" x14ac:dyDescent="0.25">
      <c r="M636" s="95" t="str">
        <f t="shared" si="32"/>
        <v/>
      </c>
      <c r="N636" s="95" t="str">
        <f t="shared" si="33"/>
        <v/>
      </c>
    </row>
    <row r="637" spans="13:14" x14ac:dyDescent="0.25">
      <c r="M637" s="95" t="str">
        <f t="shared" si="32"/>
        <v/>
      </c>
      <c r="N637" s="95" t="str">
        <f t="shared" si="33"/>
        <v/>
      </c>
    </row>
    <row r="638" spans="13:14" x14ac:dyDescent="0.25">
      <c r="M638" s="95" t="str">
        <f t="shared" si="32"/>
        <v/>
      </c>
      <c r="N638" s="95" t="str">
        <f t="shared" si="33"/>
        <v/>
      </c>
    </row>
    <row r="639" spans="13:14" x14ac:dyDescent="0.25">
      <c r="M639" s="95" t="str">
        <f t="shared" si="32"/>
        <v/>
      </c>
      <c r="N639" s="95" t="str">
        <f t="shared" si="33"/>
        <v/>
      </c>
    </row>
    <row r="640" spans="13:14" x14ac:dyDescent="0.25">
      <c r="M640" s="95" t="str">
        <f t="shared" si="32"/>
        <v/>
      </c>
      <c r="N640" s="95" t="str">
        <f t="shared" si="33"/>
        <v/>
      </c>
    </row>
    <row r="641" spans="13:14" x14ac:dyDescent="0.25">
      <c r="M641" s="95" t="str">
        <f t="shared" si="32"/>
        <v/>
      </c>
      <c r="N641" s="95" t="str">
        <f t="shared" si="33"/>
        <v/>
      </c>
    </row>
    <row r="642" spans="13:14" x14ac:dyDescent="0.25">
      <c r="M642" s="95" t="str">
        <f t="shared" si="32"/>
        <v/>
      </c>
      <c r="N642" s="95" t="str">
        <f t="shared" si="33"/>
        <v/>
      </c>
    </row>
    <row r="643" spans="13:14" x14ac:dyDescent="0.25">
      <c r="M643" s="95" t="str">
        <f t="shared" ref="M643:M706" si="34">IF(COUNTIF(K:K,J643),J643,"")</f>
        <v/>
      </c>
      <c r="N643" s="95" t="str">
        <f t="shared" si="33"/>
        <v/>
      </c>
    </row>
    <row r="644" spans="13:14" x14ac:dyDescent="0.25">
      <c r="M644" s="95" t="str">
        <f t="shared" si="34"/>
        <v/>
      </c>
      <c r="N644" s="95" t="str">
        <f t="shared" ref="N644:N707" si="35">IF(M644&gt;$A$14,M644,"")</f>
        <v/>
      </c>
    </row>
    <row r="645" spans="13:14" x14ac:dyDescent="0.25">
      <c r="M645" s="95" t="str">
        <f t="shared" si="34"/>
        <v/>
      </c>
      <c r="N645" s="95" t="str">
        <f t="shared" si="35"/>
        <v/>
      </c>
    </row>
    <row r="646" spans="13:14" x14ac:dyDescent="0.25">
      <c r="M646" s="95" t="str">
        <f t="shared" si="34"/>
        <v/>
      </c>
      <c r="N646" s="95" t="str">
        <f t="shared" si="35"/>
        <v/>
      </c>
    </row>
    <row r="647" spans="13:14" x14ac:dyDescent="0.25">
      <c r="M647" s="95" t="str">
        <f t="shared" si="34"/>
        <v/>
      </c>
      <c r="N647" s="95" t="str">
        <f t="shared" si="35"/>
        <v/>
      </c>
    </row>
    <row r="648" spans="13:14" x14ac:dyDescent="0.25">
      <c r="M648" s="95" t="str">
        <f t="shared" si="34"/>
        <v/>
      </c>
      <c r="N648" s="95" t="str">
        <f t="shared" si="35"/>
        <v/>
      </c>
    </row>
    <row r="649" spans="13:14" x14ac:dyDescent="0.25">
      <c r="M649" s="95" t="str">
        <f t="shared" si="34"/>
        <v/>
      </c>
      <c r="N649" s="95" t="str">
        <f t="shared" si="35"/>
        <v/>
      </c>
    </row>
    <row r="650" spans="13:14" x14ac:dyDescent="0.25">
      <c r="M650" s="95" t="str">
        <f t="shared" si="34"/>
        <v/>
      </c>
      <c r="N650" s="95" t="str">
        <f t="shared" si="35"/>
        <v/>
      </c>
    </row>
    <row r="651" spans="13:14" x14ac:dyDescent="0.25">
      <c r="M651" s="95" t="str">
        <f t="shared" si="34"/>
        <v/>
      </c>
      <c r="N651" s="95" t="str">
        <f t="shared" si="35"/>
        <v/>
      </c>
    </row>
    <row r="652" spans="13:14" x14ac:dyDescent="0.25">
      <c r="M652" s="95" t="str">
        <f t="shared" si="34"/>
        <v/>
      </c>
      <c r="N652" s="95" t="str">
        <f t="shared" si="35"/>
        <v/>
      </c>
    </row>
    <row r="653" spans="13:14" x14ac:dyDescent="0.25">
      <c r="M653" s="95" t="str">
        <f t="shared" si="34"/>
        <v/>
      </c>
      <c r="N653" s="95" t="str">
        <f t="shared" si="35"/>
        <v/>
      </c>
    </row>
    <row r="654" spans="13:14" x14ac:dyDescent="0.25">
      <c r="M654" s="95" t="str">
        <f t="shared" si="34"/>
        <v/>
      </c>
      <c r="N654" s="95" t="str">
        <f t="shared" si="35"/>
        <v/>
      </c>
    </row>
    <row r="655" spans="13:14" x14ac:dyDescent="0.25">
      <c r="M655" s="95" t="str">
        <f t="shared" si="34"/>
        <v/>
      </c>
      <c r="N655" s="95" t="str">
        <f t="shared" si="35"/>
        <v/>
      </c>
    </row>
    <row r="656" spans="13:14" x14ac:dyDescent="0.25">
      <c r="M656" s="95" t="str">
        <f t="shared" si="34"/>
        <v/>
      </c>
      <c r="N656" s="95" t="str">
        <f t="shared" si="35"/>
        <v/>
      </c>
    </row>
    <row r="657" spans="13:14" x14ac:dyDescent="0.25">
      <c r="M657" s="95" t="str">
        <f t="shared" si="34"/>
        <v/>
      </c>
      <c r="N657" s="95" t="str">
        <f t="shared" si="35"/>
        <v/>
      </c>
    </row>
    <row r="658" spans="13:14" x14ac:dyDescent="0.25">
      <c r="M658" s="95" t="str">
        <f t="shared" si="34"/>
        <v/>
      </c>
      <c r="N658" s="95" t="str">
        <f t="shared" si="35"/>
        <v/>
      </c>
    </row>
    <row r="659" spans="13:14" x14ac:dyDescent="0.25">
      <c r="M659" s="95" t="str">
        <f t="shared" si="34"/>
        <v/>
      </c>
      <c r="N659" s="95" t="str">
        <f t="shared" si="35"/>
        <v/>
      </c>
    </row>
    <row r="660" spans="13:14" x14ac:dyDescent="0.25">
      <c r="M660" s="95" t="str">
        <f t="shared" si="34"/>
        <v/>
      </c>
      <c r="N660" s="95" t="str">
        <f t="shared" si="35"/>
        <v/>
      </c>
    </row>
    <row r="661" spans="13:14" x14ac:dyDescent="0.25">
      <c r="M661" s="95" t="str">
        <f t="shared" si="34"/>
        <v/>
      </c>
      <c r="N661" s="95" t="str">
        <f t="shared" si="35"/>
        <v/>
      </c>
    </row>
    <row r="662" spans="13:14" x14ac:dyDescent="0.25">
      <c r="M662" s="95" t="str">
        <f t="shared" si="34"/>
        <v/>
      </c>
      <c r="N662" s="95" t="str">
        <f t="shared" si="35"/>
        <v/>
      </c>
    </row>
    <row r="663" spans="13:14" x14ac:dyDescent="0.25">
      <c r="M663" s="95" t="str">
        <f t="shared" si="34"/>
        <v/>
      </c>
      <c r="N663" s="95" t="str">
        <f t="shared" si="35"/>
        <v/>
      </c>
    </row>
    <row r="664" spans="13:14" x14ac:dyDescent="0.25">
      <c r="M664" s="95" t="str">
        <f t="shared" si="34"/>
        <v/>
      </c>
      <c r="N664" s="95" t="str">
        <f t="shared" si="35"/>
        <v/>
      </c>
    </row>
    <row r="665" spans="13:14" x14ac:dyDescent="0.25">
      <c r="M665" s="95" t="str">
        <f t="shared" si="34"/>
        <v/>
      </c>
      <c r="N665" s="95" t="str">
        <f t="shared" si="35"/>
        <v/>
      </c>
    </row>
    <row r="666" spans="13:14" x14ac:dyDescent="0.25">
      <c r="M666" s="95" t="str">
        <f t="shared" si="34"/>
        <v/>
      </c>
      <c r="N666" s="95" t="str">
        <f t="shared" si="35"/>
        <v/>
      </c>
    </row>
    <row r="667" spans="13:14" x14ac:dyDescent="0.25">
      <c r="M667" s="95" t="str">
        <f t="shared" si="34"/>
        <v/>
      </c>
      <c r="N667" s="95" t="str">
        <f t="shared" si="35"/>
        <v/>
      </c>
    </row>
    <row r="668" spans="13:14" x14ac:dyDescent="0.25">
      <c r="M668" s="95" t="str">
        <f t="shared" si="34"/>
        <v/>
      </c>
      <c r="N668" s="95" t="str">
        <f t="shared" si="35"/>
        <v/>
      </c>
    </row>
    <row r="669" spans="13:14" x14ac:dyDescent="0.25">
      <c r="M669" s="95" t="str">
        <f t="shared" si="34"/>
        <v/>
      </c>
      <c r="N669" s="95" t="str">
        <f t="shared" si="35"/>
        <v/>
      </c>
    </row>
    <row r="670" spans="13:14" x14ac:dyDescent="0.25">
      <c r="M670" s="95" t="str">
        <f t="shared" si="34"/>
        <v/>
      </c>
      <c r="N670" s="95" t="str">
        <f t="shared" si="35"/>
        <v/>
      </c>
    </row>
    <row r="671" spans="13:14" x14ac:dyDescent="0.25">
      <c r="M671" s="95" t="str">
        <f t="shared" si="34"/>
        <v/>
      </c>
      <c r="N671" s="95" t="str">
        <f t="shared" si="35"/>
        <v/>
      </c>
    </row>
    <row r="672" spans="13:14" x14ac:dyDescent="0.25">
      <c r="M672" s="95" t="str">
        <f t="shared" si="34"/>
        <v/>
      </c>
      <c r="N672" s="95" t="str">
        <f t="shared" si="35"/>
        <v/>
      </c>
    </row>
    <row r="673" spans="13:14" x14ac:dyDescent="0.25">
      <c r="M673" s="95" t="str">
        <f t="shared" si="34"/>
        <v/>
      </c>
      <c r="N673" s="95" t="str">
        <f t="shared" si="35"/>
        <v/>
      </c>
    </row>
    <row r="674" spans="13:14" x14ac:dyDescent="0.25">
      <c r="M674" s="95" t="str">
        <f t="shared" si="34"/>
        <v/>
      </c>
      <c r="N674" s="95" t="str">
        <f t="shared" si="35"/>
        <v/>
      </c>
    </row>
    <row r="675" spans="13:14" x14ac:dyDescent="0.25">
      <c r="M675" s="95" t="str">
        <f t="shared" si="34"/>
        <v/>
      </c>
      <c r="N675" s="95" t="str">
        <f t="shared" si="35"/>
        <v/>
      </c>
    </row>
    <row r="676" spans="13:14" x14ac:dyDescent="0.25">
      <c r="M676" s="95" t="str">
        <f t="shared" si="34"/>
        <v/>
      </c>
      <c r="N676" s="95" t="str">
        <f t="shared" si="35"/>
        <v/>
      </c>
    </row>
    <row r="677" spans="13:14" x14ac:dyDescent="0.25">
      <c r="M677" s="95" t="str">
        <f t="shared" si="34"/>
        <v/>
      </c>
      <c r="N677" s="95" t="str">
        <f t="shared" si="35"/>
        <v/>
      </c>
    </row>
    <row r="678" spans="13:14" x14ac:dyDescent="0.25">
      <c r="M678" s="95" t="str">
        <f t="shared" si="34"/>
        <v/>
      </c>
      <c r="N678" s="95" t="str">
        <f t="shared" si="35"/>
        <v/>
      </c>
    </row>
    <row r="679" spans="13:14" x14ac:dyDescent="0.25">
      <c r="M679" s="95" t="str">
        <f t="shared" si="34"/>
        <v/>
      </c>
      <c r="N679" s="95" t="str">
        <f t="shared" si="35"/>
        <v/>
      </c>
    </row>
    <row r="680" spans="13:14" x14ac:dyDescent="0.25">
      <c r="M680" s="95" t="str">
        <f t="shared" si="34"/>
        <v/>
      </c>
      <c r="N680" s="95" t="str">
        <f t="shared" si="35"/>
        <v/>
      </c>
    </row>
    <row r="681" spans="13:14" x14ac:dyDescent="0.25">
      <c r="M681" s="95" t="str">
        <f t="shared" si="34"/>
        <v/>
      </c>
      <c r="N681" s="95" t="str">
        <f t="shared" si="35"/>
        <v/>
      </c>
    </row>
    <row r="682" spans="13:14" x14ac:dyDescent="0.25">
      <c r="M682" s="95" t="str">
        <f t="shared" si="34"/>
        <v/>
      </c>
      <c r="N682" s="95" t="str">
        <f t="shared" si="35"/>
        <v/>
      </c>
    </row>
    <row r="683" spans="13:14" x14ac:dyDescent="0.25">
      <c r="M683" s="95" t="str">
        <f t="shared" si="34"/>
        <v/>
      </c>
      <c r="N683" s="95" t="str">
        <f t="shared" si="35"/>
        <v/>
      </c>
    </row>
    <row r="684" spans="13:14" x14ac:dyDescent="0.25">
      <c r="M684" s="95" t="str">
        <f t="shared" si="34"/>
        <v/>
      </c>
      <c r="N684" s="95" t="str">
        <f t="shared" si="35"/>
        <v/>
      </c>
    </row>
    <row r="685" spans="13:14" x14ac:dyDescent="0.25">
      <c r="M685" s="95" t="str">
        <f t="shared" si="34"/>
        <v/>
      </c>
      <c r="N685" s="95" t="str">
        <f t="shared" si="35"/>
        <v/>
      </c>
    </row>
    <row r="686" spans="13:14" x14ac:dyDescent="0.25">
      <c r="M686" s="95" t="str">
        <f t="shared" si="34"/>
        <v/>
      </c>
      <c r="N686" s="95" t="str">
        <f t="shared" si="35"/>
        <v/>
      </c>
    </row>
    <row r="687" spans="13:14" x14ac:dyDescent="0.25">
      <c r="M687" s="95" t="str">
        <f t="shared" si="34"/>
        <v/>
      </c>
      <c r="N687" s="95" t="str">
        <f t="shared" si="35"/>
        <v/>
      </c>
    </row>
    <row r="688" spans="13:14" x14ac:dyDescent="0.25">
      <c r="M688" s="95" t="str">
        <f t="shared" si="34"/>
        <v/>
      </c>
      <c r="N688" s="95" t="str">
        <f t="shared" si="35"/>
        <v/>
      </c>
    </row>
    <row r="689" spans="13:14" x14ac:dyDescent="0.25">
      <c r="M689" s="95" t="str">
        <f t="shared" si="34"/>
        <v/>
      </c>
      <c r="N689" s="95" t="str">
        <f t="shared" si="35"/>
        <v/>
      </c>
    </row>
    <row r="690" spans="13:14" x14ac:dyDescent="0.25">
      <c r="M690" s="95" t="str">
        <f t="shared" si="34"/>
        <v/>
      </c>
      <c r="N690" s="95" t="str">
        <f t="shared" si="35"/>
        <v/>
      </c>
    </row>
    <row r="691" spans="13:14" x14ac:dyDescent="0.25">
      <c r="M691" s="95" t="str">
        <f t="shared" si="34"/>
        <v/>
      </c>
      <c r="N691" s="95" t="str">
        <f t="shared" si="35"/>
        <v/>
      </c>
    </row>
    <row r="692" spans="13:14" x14ac:dyDescent="0.25">
      <c r="M692" s="95" t="str">
        <f t="shared" si="34"/>
        <v/>
      </c>
      <c r="N692" s="95" t="str">
        <f t="shared" si="35"/>
        <v/>
      </c>
    </row>
    <row r="693" spans="13:14" x14ac:dyDescent="0.25">
      <c r="M693" s="95" t="str">
        <f t="shared" si="34"/>
        <v/>
      </c>
      <c r="N693" s="95" t="str">
        <f t="shared" si="35"/>
        <v/>
      </c>
    </row>
    <row r="694" spans="13:14" x14ac:dyDescent="0.25">
      <c r="M694" s="95" t="str">
        <f t="shared" si="34"/>
        <v/>
      </c>
      <c r="N694" s="95" t="str">
        <f t="shared" si="35"/>
        <v/>
      </c>
    </row>
    <row r="695" spans="13:14" x14ac:dyDescent="0.25">
      <c r="M695" s="95" t="str">
        <f t="shared" si="34"/>
        <v/>
      </c>
      <c r="N695" s="95" t="str">
        <f t="shared" si="35"/>
        <v/>
      </c>
    </row>
    <row r="696" spans="13:14" x14ac:dyDescent="0.25">
      <c r="M696" s="95" t="str">
        <f t="shared" si="34"/>
        <v/>
      </c>
      <c r="N696" s="95" t="str">
        <f t="shared" si="35"/>
        <v/>
      </c>
    </row>
    <row r="697" spans="13:14" x14ac:dyDescent="0.25">
      <c r="M697" s="95" t="str">
        <f t="shared" si="34"/>
        <v/>
      </c>
      <c r="N697" s="95" t="str">
        <f t="shared" si="35"/>
        <v/>
      </c>
    </row>
    <row r="698" spans="13:14" x14ac:dyDescent="0.25">
      <c r="M698" s="95" t="str">
        <f t="shared" si="34"/>
        <v/>
      </c>
      <c r="N698" s="95" t="str">
        <f t="shared" si="35"/>
        <v/>
      </c>
    </row>
    <row r="699" spans="13:14" x14ac:dyDescent="0.25">
      <c r="M699" s="95" t="str">
        <f t="shared" si="34"/>
        <v/>
      </c>
      <c r="N699" s="95" t="str">
        <f t="shared" si="35"/>
        <v/>
      </c>
    </row>
    <row r="700" spans="13:14" x14ac:dyDescent="0.25">
      <c r="M700" s="95" t="str">
        <f t="shared" si="34"/>
        <v/>
      </c>
      <c r="N700" s="95" t="str">
        <f t="shared" si="35"/>
        <v/>
      </c>
    </row>
    <row r="701" spans="13:14" x14ac:dyDescent="0.25">
      <c r="M701" s="95" t="str">
        <f t="shared" si="34"/>
        <v/>
      </c>
      <c r="N701" s="95" t="str">
        <f t="shared" si="35"/>
        <v/>
      </c>
    </row>
    <row r="702" spans="13:14" x14ac:dyDescent="0.25">
      <c r="M702" s="95" t="str">
        <f t="shared" si="34"/>
        <v/>
      </c>
      <c r="N702" s="95" t="str">
        <f t="shared" si="35"/>
        <v/>
      </c>
    </row>
    <row r="703" spans="13:14" x14ac:dyDescent="0.25">
      <c r="M703" s="95" t="str">
        <f t="shared" si="34"/>
        <v/>
      </c>
      <c r="N703" s="95" t="str">
        <f t="shared" si="35"/>
        <v/>
      </c>
    </row>
    <row r="704" spans="13:14" x14ac:dyDescent="0.25">
      <c r="M704" s="95" t="str">
        <f t="shared" si="34"/>
        <v/>
      </c>
      <c r="N704" s="95" t="str">
        <f t="shared" si="35"/>
        <v/>
      </c>
    </row>
    <row r="705" spans="13:14" x14ac:dyDescent="0.25">
      <c r="M705" s="95" t="str">
        <f t="shared" si="34"/>
        <v/>
      </c>
      <c r="N705" s="95" t="str">
        <f t="shared" si="35"/>
        <v/>
      </c>
    </row>
    <row r="706" spans="13:14" x14ac:dyDescent="0.25">
      <c r="M706" s="95" t="str">
        <f t="shared" si="34"/>
        <v/>
      </c>
      <c r="N706" s="95" t="str">
        <f t="shared" si="35"/>
        <v/>
      </c>
    </row>
    <row r="707" spans="13:14" x14ac:dyDescent="0.25">
      <c r="M707" s="95" t="str">
        <f t="shared" ref="M707:M770" si="36">IF(COUNTIF(K:K,J707),J707,"")</f>
        <v/>
      </c>
      <c r="N707" s="95" t="str">
        <f t="shared" si="35"/>
        <v/>
      </c>
    </row>
    <row r="708" spans="13:14" x14ac:dyDescent="0.25">
      <c r="M708" s="95" t="str">
        <f t="shared" si="36"/>
        <v/>
      </c>
      <c r="N708" s="95" t="str">
        <f t="shared" ref="N708:N771" si="37">IF(M708&gt;$A$14,M708,"")</f>
        <v/>
      </c>
    </row>
    <row r="709" spans="13:14" x14ac:dyDescent="0.25">
      <c r="M709" s="95" t="str">
        <f t="shared" si="36"/>
        <v/>
      </c>
      <c r="N709" s="95" t="str">
        <f t="shared" si="37"/>
        <v/>
      </c>
    </row>
    <row r="710" spans="13:14" x14ac:dyDescent="0.25">
      <c r="M710" s="95" t="str">
        <f t="shared" si="36"/>
        <v/>
      </c>
      <c r="N710" s="95" t="str">
        <f t="shared" si="37"/>
        <v/>
      </c>
    </row>
    <row r="711" spans="13:14" x14ac:dyDescent="0.25">
      <c r="M711" s="95" t="str">
        <f t="shared" si="36"/>
        <v/>
      </c>
      <c r="N711" s="95" t="str">
        <f t="shared" si="37"/>
        <v/>
      </c>
    </row>
    <row r="712" spans="13:14" x14ac:dyDescent="0.25">
      <c r="M712" s="95" t="str">
        <f t="shared" si="36"/>
        <v/>
      </c>
      <c r="N712" s="95" t="str">
        <f t="shared" si="37"/>
        <v/>
      </c>
    </row>
    <row r="713" spans="13:14" x14ac:dyDescent="0.25">
      <c r="M713" s="95" t="str">
        <f t="shared" si="36"/>
        <v/>
      </c>
      <c r="N713" s="95" t="str">
        <f t="shared" si="37"/>
        <v/>
      </c>
    </row>
    <row r="714" spans="13:14" x14ac:dyDescent="0.25">
      <c r="M714" s="95" t="str">
        <f t="shared" si="36"/>
        <v/>
      </c>
      <c r="N714" s="95" t="str">
        <f t="shared" si="37"/>
        <v/>
      </c>
    </row>
    <row r="715" spans="13:14" x14ac:dyDescent="0.25">
      <c r="M715" s="95" t="str">
        <f t="shared" si="36"/>
        <v/>
      </c>
      <c r="N715" s="95" t="str">
        <f t="shared" si="37"/>
        <v/>
      </c>
    </row>
    <row r="716" spans="13:14" x14ac:dyDescent="0.25">
      <c r="M716" s="95" t="str">
        <f t="shared" si="36"/>
        <v/>
      </c>
      <c r="N716" s="95" t="str">
        <f t="shared" si="37"/>
        <v/>
      </c>
    </row>
    <row r="717" spans="13:14" x14ac:dyDescent="0.25">
      <c r="M717" s="95" t="str">
        <f t="shared" si="36"/>
        <v/>
      </c>
      <c r="N717" s="95" t="str">
        <f t="shared" si="37"/>
        <v/>
      </c>
    </row>
    <row r="718" spans="13:14" x14ac:dyDescent="0.25">
      <c r="M718" s="95" t="str">
        <f t="shared" si="36"/>
        <v/>
      </c>
      <c r="N718" s="95" t="str">
        <f t="shared" si="37"/>
        <v/>
      </c>
    </row>
    <row r="719" spans="13:14" x14ac:dyDescent="0.25">
      <c r="M719" s="95" t="str">
        <f t="shared" si="36"/>
        <v/>
      </c>
      <c r="N719" s="95" t="str">
        <f t="shared" si="37"/>
        <v/>
      </c>
    </row>
    <row r="720" spans="13:14" x14ac:dyDescent="0.25">
      <c r="M720" s="95" t="str">
        <f t="shared" si="36"/>
        <v/>
      </c>
      <c r="N720" s="95" t="str">
        <f t="shared" si="37"/>
        <v/>
      </c>
    </row>
    <row r="721" spans="13:14" x14ac:dyDescent="0.25">
      <c r="M721" s="95" t="str">
        <f t="shared" si="36"/>
        <v/>
      </c>
      <c r="N721" s="95" t="str">
        <f t="shared" si="37"/>
        <v/>
      </c>
    </row>
    <row r="722" spans="13:14" x14ac:dyDescent="0.25">
      <c r="M722" s="95" t="str">
        <f t="shared" si="36"/>
        <v/>
      </c>
      <c r="N722" s="95" t="str">
        <f t="shared" si="37"/>
        <v/>
      </c>
    </row>
    <row r="723" spans="13:14" x14ac:dyDescent="0.25">
      <c r="M723" s="95" t="str">
        <f t="shared" si="36"/>
        <v/>
      </c>
      <c r="N723" s="95" t="str">
        <f t="shared" si="37"/>
        <v/>
      </c>
    </row>
    <row r="724" spans="13:14" x14ac:dyDescent="0.25">
      <c r="M724" s="95" t="str">
        <f t="shared" si="36"/>
        <v/>
      </c>
      <c r="N724" s="95" t="str">
        <f t="shared" si="37"/>
        <v/>
      </c>
    </row>
    <row r="725" spans="13:14" x14ac:dyDescent="0.25">
      <c r="M725" s="95" t="str">
        <f t="shared" si="36"/>
        <v/>
      </c>
      <c r="N725" s="95" t="str">
        <f t="shared" si="37"/>
        <v/>
      </c>
    </row>
    <row r="726" spans="13:14" x14ac:dyDescent="0.25">
      <c r="M726" s="95" t="str">
        <f t="shared" si="36"/>
        <v/>
      </c>
      <c r="N726" s="95" t="str">
        <f t="shared" si="37"/>
        <v/>
      </c>
    </row>
    <row r="727" spans="13:14" x14ac:dyDescent="0.25">
      <c r="M727" s="95" t="str">
        <f t="shared" si="36"/>
        <v/>
      </c>
      <c r="N727" s="95" t="str">
        <f t="shared" si="37"/>
        <v/>
      </c>
    </row>
    <row r="728" spans="13:14" x14ac:dyDescent="0.25">
      <c r="M728" s="95" t="str">
        <f t="shared" si="36"/>
        <v/>
      </c>
      <c r="N728" s="95" t="str">
        <f t="shared" si="37"/>
        <v/>
      </c>
    </row>
    <row r="729" spans="13:14" x14ac:dyDescent="0.25">
      <c r="M729" s="95" t="str">
        <f t="shared" si="36"/>
        <v/>
      </c>
      <c r="N729" s="95" t="str">
        <f t="shared" si="37"/>
        <v/>
      </c>
    </row>
    <row r="730" spans="13:14" x14ac:dyDescent="0.25">
      <c r="M730" s="95" t="str">
        <f t="shared" si="36"/>
        <v/>
      </c>
      <c r="N730" s="95" t="str">
        <f t="shared" si="37"/>
        <v/>
      </c>
    </row>
    <row r="731" spans="13:14" x14ac:dyDescent="0.25">
      <c r="M731" s="95" t="str">
        <f t="shared" si="36"/>
        <v/>
      </c>
      <c r="N731" s="95" t="str">
        <f t="shared" si="37"/>
        <v/>
      </c>
    </row>
    <row r="732" spans="13:14" x14ac:dyDescent="0.25">
      <c r="M732" s="95" t="str">
        <f t="shared" si="36"/>
        <v/>
      </c>
      <c r="N732" s="95" t="str">
        <f t="shared" si="37"/>
        <v/>
      </c>
    </row>
    <row r="733" spans="13:14" x14ac:dyDescent="0.25">
      <c r="M733" s="95" t="str">
        <f t="shared" si="36"/>
        <v/>
      </c>
      <c r="N733" s="95" t="str">
        <f t="shared" si="37"/>
        <v/>
      </c>
    </row>
    <row r="734" spans="13:14" x14ac:dyDescent="0.25">
      <c r="M734" s="95" t="str">
        <f t="shared" si="36"/>
        <v/>
      </c>
      <c r="N734" s="95" t="str">
        <f t="shared" si="37"/>
        <v/>
      </c>
    </row>
    <row r="735" spans="13:14" x14ac:dyDescent="0.25">
      <c r="M735" s="95" t="str">
        <f t="shared" si="36"/>
        <v/>
      </c>
      <c r="N735" s="95" t="str">
        <f t="shared" si="37"/>
        <v/>
      </c>
    </row>
    <row r="736" spans="13:14" x14ac:dyDescent="0.25">
      <c r="M736" s="95" t="str">
        <f t="shared" si="36"/>
        <v/>
      </c>
      <c r="N736" s="95" t="str">
        <f t="shared" si="37"/>
        <v/>
      </c>
    </row>
    <row r="737" spans="13:14" x14ac:dyDescent="0.25">
      <c r="M737" s="95" t="str">
        <f t="shared" si="36"/>
        <v/>
      </c>
      <c r="N737" s="95" t="str">
        <f t="shared" si="37"/>
        <v/>
      </c>
    </row>
    <row r="738" spans="13:14" x14ac:dyDescent="0.25">
      <c r="M738" s="95" t="str">
        <f t="shared" si="36"/>
        <v/>
      </c>
      <c r="N738" s="95" t="str">
        <f t="shared" si="37"/>
        <v/>
      </c>
    </row>
    <row r="739" spans="13:14" x14ac:dyDescent="0.25">
      <c r="M739" s="95" t="str">
        <f t="shared" si="36"/>
        <v/>
      </c>
      <c r="N739" s="95" t="str">
        <f t="shared" si="37"/>
        <v/>
      </c>
    </row>
    <row r="740" spans="13:14" x14ac:dyDescent="0.25">
      <c r="M740" s="95" t="str">
        <f t="shared" si="36"/>
        <v/>
      </c>
      <c r="N740" s="95" t="str">
        <f t="shared" si="37"/>
        <v/>
      </c>
    </row>
    <row r="741" spans="13:14" x14ac:dyDescent="0.25">
      <c r="M741" s="95" t="str">
        <f t="shared" si="36"/>
        <v/>
      </c>
      <c r="N741" s="95" t="str">
        <f t="shared" si="37"/>
        <v/>
      </c>
    </row>
    <row r="742" spans="13:14" x14ac:dyDescent="0.25">
      <c r="M742" s="95" t="str">
        <f t="shared" si="36"/>
        <v/>
      </c>
      <c r="N742" s="95" t="str">
        <f t="shared" si="37"/>
        <v/>
      </c>
    </row>
    <row r="743" spans="13:14" x14ac:dyDescent="0.25">
      <c r="M743" s="95" t="str">
        <f t="shared" si="36"/>
        <v/>
      </c>
      <c r="N743" s="95" t="str">
        <f t="shared" si="37"/>
        <v/>
      </c>
    </row>
    <row r="744" spans="13:14" x14ac:dyDescent="0.25">
      <c r="M744" s="95" t="str">
        <f t="shared" si="36"/>
        <v/>
      </c>
      <c r="N744" s="95" t="str">
        <f t="shared" si="37"/>
        <v/>
      </c>
    </row>
    <row r="745" spans="13:14" x14ac:dyDescent="0.25">
      <c r="M745" s="95" t="str">
        <f t="shared" si="36"/>
        <v/>
      </c>
      <c r="N745" s="95" t="str">
        <f t="shared" si="37"/>
        <v/>
      </c>
    </row>
    <row r="746" spans="13:14" x14ac:dyDescent="0.25">
      <c r="M746" s="95" t="str">
        <f t="shared" si="36"/>
        <v/>
      </c>
      <c r="N746" s="95" t="str">
        <f t="shared" si="37"/>
        <v/>
      </c>
    </row>
    <row r="747" spans="13:14" x14ac:dyDescent="0.25">
      <c r="M747" s="95" t="str">
        <f t="shared" si="36"/>
        <v/>
      </c>
      <c r="N747" s="95" t="str">
        <f t="shared" si="37"/>
        <v/>
      </c>
    </row>
    <row r="748" spans="13:14" x14ac:dyDescent="0.25">
      <c r="M748" s="95" t="str">
        <f t="shared" si="36"/>
        <v/>
      </c>
      <c r="N748" s="95" t="str">
        <f t="shared" si="37"/>
        <v/>
      </c>
    </row>
    <row r="749" spans="13:14" x14ac:dyDescent="0.25">
      <c r="M749" s="95" t="str">
        <f t="shared" si="36"/>
        <v/>
      </c>
      <c r="N749" s="95" t="str">
        <f t="shared" si="37"/>
        <v/>
      </c>
    </row>
    <row r="750" spans="13:14" x14ac:dyDescent="0.25">
      <c r="M750" s="95" t="str">
        <f t="shared" si="36"/>
        <v/>
      </c>
      <c r="N750" s="95" t="str">
        <f t="shared" si="37"/>
        <v/>
      </c>
    </row>
    <row r="751" spans="13:14" x14ac:dyDescent="0.25">
      <c r="M751" s="95" t="str">
        <f t="shared" si="36"/>
        <v/>
      </c>
      <c r="N751" s="95" t="str">
        <f t="shared" si="37"/>
        <v/>
      </c>
    </row>
    <row r="752" spans="13:14" x14ac:dyDescent="0.25">
      <c r="M752" s="95" t="str">
        <f t="shared" si="36"/>
        <v/>
      </c>
      <c r="N752" s="95" t="str">
        <f t="shared" si="37"/>
        <v/>
      </c>
    </row>
    <row r="753" spans="13:14" x14ac:dyDescent="0.25">
      <c r="M753" s="95" t="str">
        <f t="shared" si="36"/>
        <v/>
      </c>
      <c r="N753" s="95" t="str">
        <f t="shared" si="37"/>
        <v/>
      </c>
    </row>
    <row r="754" spans="13:14" x14ac:dyDescent="0.25">
      <c r="M754" s="95" t="str">
        <f t="shared" si="36"/>
        <v/>
      </c>
      <c r="N754" s="95" t="str">
        <f t="shared" si="37"/>
        <v/>
      </c>
    </row>
    <row r="755" spans="13:14" x14ac:dyDescent="0.25">
      <c r="M755" s="95" t="str">
        <f t="shared" si="36"/>
        <v/>
      </c>
      <c r="N755" s="95" t="str">
        <f t="shared" si="37"/>
        <v/>
      </c>
    </row>
    <row r="756" spans="13:14" x14ac:dyDescent="0.25">
      <c r="M756" s="95" t="str">
        <f t="shared" si="36"/>
        <v/>
      </c>
      <c r="N756" s="95" t="str">
        <f t="shared" si="37"/>
        <v/>
      </c>
    </row>
    <row r="757" spans="13:14" x14ac:dyDescent="0.25">
      <c r="M757" s="95" t="str">
        <f t="shared" si="36"/>
        <v/>
      </c>
      <c r="N757" s="95" t="str">
        <f t="shared" si="37"/>
        <v/>
      </c>
    </row>
    <row r="758" spans="13:14" x14ac:dyDescent="0.25">
      <c r="M758" s="95" t="str">
        <f t="shared" si="36"/>
        <v/>
      </c>
      <c r="N758" s="95" t="str">
        <f t="shared" si="37"/>
        <v/>
      </c>
    </row>
    <row r="759" spans="13:14" x14ac:dyDescent="0.25">
      <c r="M759" s="95" t="str">
        <f t="shared" si="36"/>
        <v/>
      </c>
      <c r="N759" s="95" t="str">
        <f t="shared" si="37"/>
        <v/>
      </c>
    </row>
    <row r="760" spans="13:14" x14ac:dyDescent="0.25">
      <c r="M760" s="95" t="str">
        <f t="shared" si="36"/>
        <v/>
      </c>
      <c r="N760" s="95" t="str">
        <f t="shared" si="37"/>
        <v/>
      </c>
    </row>
    <row r="761" spans="13:14" x14ac:dyDescent="0.25">
      <c r="M761" s="95" t="str">
        <f t="shared" si="36"/>
        <v/>
      </c>
      <c r="N761" s="95" t="str">
        <f t="shared" si="37"/>
        <v/>
      </c>
    </row>
    <row r="762" spans="13:14" x14ac:dyDescent="0.25">
      <c r="M762" s="95" t="str">
        <f t="shared" si="36"/>
        <v/>
      </c>
      <c r="N762" s="95" t="str">
        <f t="shared" si="37"/>
        <v/>
      </c>
    </row>
    <row r="763" spans="13:14" x14ac:dyDescent="0.25">
      <c r="M763" s="95" t="str">
        <f t="shared" si="36"/>
        <v/>
      </c>
      <c r="N763" s="95" t="str">
        <f t="shared" si="37"/>
        <v/>
      </c>
    </row>
    <row r="764" spans="13:14" x14ac:dyDescent="0.25">
      <c r="M764" s="95" t="str">
        <f t="shared" si="36"/>
        <v/>
      </c>
      <c r="N764" s="95" t="str">
        <f t="shared" si="37"/>
        <v/>
      </c>
    </row>
    <row r="765" spans="13:14" x14ac:dyDescent="0.25">
      <c r="M765" s="95" t="str">
        <f t="shared" si="36"/>
        <v/>
      </c>
      <c r="N765" s="95" t="str">
        <f t="shared" si="37"/>
        <v/>
      </c>
    </row>
    <row r="766" spans="13:14" x14ac:dyDescent="0.25">
      <c r="M766" s="95" t="str">
        <f t="shared" si="36"/>
        <v/>
      </c>
      <c r="N766" s="95" t="str">
        <f t="shared" si="37"/>
        <v/>
      </c>
    </row>
    <row r="767" spans="13:14" x14ac:dyDescent="0.25">
      <c r="M767" s="95" t="str">
        <f t="shared" si="36"/>
        <v/>
      </c>
      <c r="N767" s="95" t="str">
        <f t="shared" si="37"/>
        <v/>
      </c>
    </row>
    <row r="768" spans="13:14" x14ac:dyDescent="0.25">
      <c r="M768" s="95" t="str">
        <f t="shared" si="36"/>
        <v/>
      </c>
      <c r="N768" s="95" t="str">
        <f t="shared" si="37"/>
        <v/>
      </c>
    </row>
    <row r="769" spans="13:14" x14ac:dyDescent="0.25">
      <c r="M769" s="95" t="str">
        <f t="shared" si="36"/>
        <v/>
      </c>
      <c r="N769" s="95" t="str">
        <f t="shared" si="37"/>
        <v/>
      </c>
    </row>
    <row r="770" spans="13:14" x14ac:dyDescent="0.25">
      <c r="M770" s="95" t="str">
        <f t="shared" si="36"/>
        <v/>
      </c>
      <c r="N770" s="95" t="str">
        <f t="shared" si="37"/>
        <v/>
      </c>
    </row>
    <row r="771" spans="13:14" x14ac:dyDescent="0.25">
      <c r="M771" s="95" t="str">
        <f t="shared" ref="M771:M834" si="38">IF(COUNTIF(K:K,J771),J771,"")</f>
        <v/>
      </c>
      <c r="N771" s="95" t="str">
        <f t="shared" si="37"/>
        <v/>
      </c>
    </row>
    <row r="772" spans="13:14" x14ac:dyDescent="0.25">
      <c r="M772" s="95" t="str">
        <f t="shared" si="38"/>
        <v/>
      </c>
      <c r="N772" s="95" t="str">
        <f t="shared" ref="N772:N835" si="39">IF(M772&gt;$A$14,M772,"")</f>
        <v/>
      </c>
    </row>
    <row r="773" spans="13:14" x14ac:dyDescent="0.25">
      <c r="M773" s="95" t="str">
        <f t="shared" si="38"/>
        <v/>
      </c>
      <c r="N773" s="95" t="str">
        <f t="shared" si="39"/>
        <v/>
      </c>
    </row>
    <row r="774" spans="13:14" x14ac:dyDescent="0.25">
      <c r="M774" s="95" t="str">
        <f t="shared" si="38"/>
        <v/>
      </c>
      <c r="N774" s="95" t="str">
        <f t="shared" si="39"/>
        <v/>
      </c>
    </row>
    <row r="775" spans="13:14" x14ac:dyDescent="0.25">
      <c r="M775" s="95" t="str">
        <f t="shared" si="38"/>
        <v/>
      </c>
      <c r="N775" s="95" t="str">
        <f t="shared" si="39"/>
        <v/>
      </c>
    </row>
    <row r="776" spans="13:14" x14ac:dyDescent="0.25">
      <c r="M776" s="95" t="str">
        <f t="shared" si="38"/>
        <v/>
      </c>
      <c r="N776" s="95" t="str">
        <f t="shared" si="39"/>
        <v/>
      </c>
    </row>
    <row r="777" spans="13:14" x14ac:dyDescent="0.25">
      <c r="M777" s="95" t="str">
        <f t="shared" si="38"/>
        <v/>
      </c>
      <c r="N777" s="95" t="str">
        <f t="shared" si="39"/>
        <v/>
      </c>
    </row>
    <row r="778" spans="13:14" x14ac:dyDescent="0.25">
      <c r="M778" s="95" t="str">
        <f t="shared" si="38"/>
        <v/>
      </c>
      <c r="N778" s="95" t="str">
        <f t="shared" si="39"/>
        <v/>
      </c>
    </row>
    <row r="779" spans="13:14" x14ac:dyDescent="0.25">
      <c r="M779" s="95" t="str">
        <f t="shared" si="38"/>
        <v/>
      </c>
      <c r="N779" s="95" t="str">
        <f t="shared" si="39"/>
        <v/>
      </c>
    </row>
    <row r="780" spans="13:14" x14ac:dyDescent="0.25">
      <c r="M780" s="95" t="str">
        <f t="shared" si="38"/>
        <v/>
      </c>
      <c r="N780" s="95" t="str">
        <f t="shared" si="39"/>
        <v/>
      </c>
    </row>
    <row r="781" spans="13:14" x14ac:dyDescent="0.25">
      <c r="M781" s="95" t="str">
        <f t="shared" si="38"/>
        <v/>
      </c>
      <c r="N781" s="95" t="str">
        <f t="shared" si="39"/>
        <v/>
      </c>
    </row>
    <row r="782" spans="13:14" x14ac:dyDescent="0.25">
      <c r="M782" s="95" t="str">
        <f t="shared" si="38"/>
        <v/>
      </c>
      <c r="N782" s="95" t="str">
        <f t="shared" si="39"/>
        <v/>
      </c>
    </row>
    <row r="783" spans="13:14" x14ac:dyDescent="0.25">
      <c r="M783" s="95" t="str">
        <f t="shared" si="38"/>
        <v/>
      </c>
      <c r="N783" s="95" t="str">
        <f t="shared" si="39"/>
        <v/>
      </c>
    </row>
    <row r="784" spans="13:14" x14ac:dyDescent="0.25">
      <c r="M784" s="95" t="str">
        <f t="shared" si="38"/>
        <v/>
      </c>
      <c r="N784" s="95" t="str">
        <f t="shared" si="39"/>
        <v/>
      </c>
    </row>
    <row r="785" spans="13:14" x14ac:dyDescent="0.25">
      <c r="M785" s="95" t="str">
        <f t="shared" si="38"/>
        <v/>
      </c>
      <c r="N785" s="95" t="str">
        <f t="shared" si="39"/>
        <v/>
      </c>
    </row>
    <row r="786" spans="13:14" x14ac:dyDescent="0.25">
      <c r="M786" s="95" t="str">
        <f t="shared" si="38"/>
        <v/>
      </c>
      <c r="N786" s="95" t="str">
        <f t="shared" si="39"/>
        <v/>
      </c>
    </row>
    <row r="787" spans="13:14" x14ac:dyDescent="0.25">
      <c r="M787" s="95" t="str">
        <f t="shared" si="38"/>
        <v/>
      </c>
      <c r="N787" s="95" t="str">
        <f t="shared" si="39"/>
        <v/>
      </c>
    </row>
    <row r="788" spans="13:14" x14ac:dyDescent="0.25">
      <c r="M788" s="95" t="str">
        <f t="shared" si="38"/>
        <v/>
      </c>
      <c r="N788" s="95" t="str">
        <f t="shared" si="39"/>
        <v/>
      </c>
    </row>
    <row r="789" spans="13:14" x14ac:dyDescent="0.25">
      <c r="M789" s="95" t="str">
        <f t="shared" si="38"/>
        <v/>
      </c>
      <c r="N789" s="95" t="str">
        <f t="shared" si="39"/>
        <v/>
      </c>
    </row>
    <row r="790" spans="13:14" x14ac:dyDescent="0.25">
      <c r="M790" s="95" t="str">
        <f t="shared" si="38"/>
        <v/>
      </c>
      <c r="N790" s="95" t="str">
        <f t="shared" si="39"/>
        <v/>
      </c>
    </row>
    <row r="791" spans="13:14" x14ac:dyDescent="0.25">
      <c r="M791" s="95" t="str">
        <f t="shared" si="38"/>
        <v/>
      </c>
      <c r="N791" s="95" t="str">
        <f t="shared" si="39"/>
        <v/>
      </c>
    </row>
    <row r="792" spans="13:14" x14ac:dyDescent="0.25">
      <c r="M792" s="95" t="str">
        <f t="shared" si="38"/>
        <v/>
      </c>
      <c r="N792" s="95" t="str">
        <f t="shared" si="39"/>
        <v/>
      </c>
    </row>
    <row r="793" spans="13:14" x14ac:dyDescent="0.25">
      <c r="M793" s="95" t="str">
        <f t="shared" si="38"/>
        <v/>
      </c>
      <c r="N793" s="95" t="str">
        <f t="shared" si="39"/>
        <v/>
      </c>
    </row>
    <row r="794" spans="13:14" x14ac:dyDescent="0.25">
      <c r="M794" s="95" t="str">
        <f t="shared" si="38"/>
        <v/>
      </c>
      <c r="N794" s="95" t="str">
        <f t="shared" si="39"/>
        <v/>
      </c>
    </row>
    <row r="795" spans="13:14" x14ac:dyDescent="0.25">
      <c r="M795" s="95" t="str">
        <f t="shared" si="38"/>
        <v/>
      </c>
      <c r="N795" s="95" t="str">
        <f t="shared" si="39"/>
        <v/>
      </c>
    </row>
    <row r="796" spans="13:14" x14ac:dyDescent="0.25">
      <c r="M796" s="95" t="str">
        <f t="shared" si="38"/>
        <v/>
      </c>
      <c r="N796" s="95" t="str">
        <f t="shared" si="39"/>
        <v/>
      </c>
    </row>
    <row r="797" spans="13:14" x14ac:dyDescent="0.25">
      <c r="M797" s="95" t="str">
        <f t="shared" si="38"/>
        <v/>
      </c>
      <c r="N797" s="95" t="str">
        <f t="shared" si="39"/>
        <v/>
      </c>
    </row>
    <row r="798" spans="13:14" x14ac:dyDescent="0.25">
      <c r="M798" s="95" t="str">
        <f t="shared" si="38"/>
        <v/>
      </c>
      <c r="N798" s="95" t="str">
        <f t="shared" si="39"/>
        <v/>
      </c>
    </row>
    <row r="799" spans="13:14" x14ac:dyDescent="0.25">
      <c r="M799" s="95" t="str">
        <f t="shared" si="38"/>
        <v/>
      </c>
      <c r="N799" s="95" t="str">
        <f t="shared" si="39"/>
        <v/>
      </c>
    </row>
    <row r="800" spans="13:14" x14ac:dyDescent="0.25">
      <c r="M800" s="95" t="str">
        <f t="shared" si="38"/>
        <v/>
      </c>
      <c r="N800" s="95" t="str">
        <f t="shared" si="39"/>
        <v/>
      </c>
    </row>
    <row r="801" spans="13:14" x14ac:dyDescent="0.25">
      <c r="M801" s="95" t="str">
        <f t="shared" si="38"/>
        <v/>
      </c>
      <c r="N801" s="95" t="str">
        <f t="shared" si="39"/>
        <v/>
      </c>
    </row>
    <row r="802" spans="13:14" x14ac:dyDescent="0.25">
      <c r="M802" s="95" t="str">
        <f t="shared" si="38"/>
        <v/>
      </c>
      <c r="N802" s="95" t="str">
        <f t="shared" si="39"/>
        <v/>
      </c>
    </row>
    <row r="803" spans="13:14" x14ac:dyDescent="0.25">
      <c r="M803" s="95" t="str">
        <f t="shared" si="38"/>
        <v/>
      </c>
      <c r="N803" s="95" t="str">
        <f t="shared" si="39"/>
        <v/>
      </c>
    </row>
    <row r="804" spans="13:14" x14ac:dyDescent="0.25">
      <c r="M804" s="95" t="str">
        <f t="shared" si="38"/>
        <v/>
      </c>
      <c r="N804" s="95" t="str">
        <f t="shared" si="39"/>
        <v/>
      </c>
    </row>
    <row r="805" spans="13:14" x14ac:dyDescent="0.25">
      <c r="M805" s="95" t="str">
        <f t="shared" si="38"/>
        <v/>
      </c>
      <c r="N805" s="95" t="str">
        <f t="shared" si="39"/>
        <v/>
      </c>
    </row>
    <row r="806" spans="13:14" x14ac:dyDescent="0.25">
      <c r="M806" s="95" t="str">
        <f t="shared" si="38"/>
        <v/>
      </c>
      <c r="N806" s="95" t="str">
        <f t="shared" si="39"/>
        <v/>
      </c>
    </row>
    <row r="807" spans="13:14" x14ac:dyDescent="0.25">
      <c r="M807" s="95" t="str">
        <f t="shared" si="38"/>
        <v/>
      </c>
      <c r="N807" s="95" t="str">
        <f t="shared" si="39"/>
        <v/>
      </c>
    </row>
    <row r="808" spans="13:14" x14ac:dyDescent="0.25">
      <c r="M808" s="95" t="str">
        <f t="shared" si="38"/>
        <v/>
      </c>
      <c r="N808" s="95" t="str">
        <f t="shared" si="39"/>
        <v/>
      </c>
    </row>
    <row r="809" spans="13:14" x14ac:dyDescent="0.25">
      <c r="M809" s="95" t="str">
        <f t="shared" si="38"/>
        <v/>
      </c>
      <c r="N809" s="95" t="str">
        <f t="shared" si="39"/>
        <v/>
      </c>
    </row>
    <row r="810" spans="13:14" x14ac:dyDescent="0.25">
      <c r="M810" s="95" t="str">
        <f t="shared" si="38"/>
        <v/>
      </c>
      <c r="N810" s="95" t="str">
        <f t="shared" si="39"/>
        <v/>
      </c>
    </row>
    <row r="811" spans="13:14" x14ac:dyDescent="0.25">
      <c r="M811" s="95" t="str">
        <f t="shared" si="38"/>
        <v/>
      </c>
      <c r="N811" s="95" t="str">
        <f t="shared" si="39"/>
        <v/>
      </c>
    </row>
    <row r="812" spans="13:14" x14ac:dyDescent="0.25">
      <c r="M812" s="95" t="str">
        <f t="shared" si="38"/>
        <v/>
      </c>
      <c r="N812" s="95" t="str">
        <f t="shared" si="39"/>
        <v/>
      </c>
    </row>
    <row r="813" spans="13:14" x14ac:dyDescent="0.25">
      <c r="M813" s="95" t="str">
        <f t="shared" si="38"/>
        <v/>
      </c>
      <c r="N813" s="95" t="str">
        <f t="shared" si="39"/>
        <v/>
      </c>
    </row>
    <row r="814" spans="13:14" x14ac:dyDescent="0.25">
      <c r="M814" s="95" t="str">
        <f t="shared" si="38"/>
        <v/>
      </c>
      <c r="N814" s="95" t="str">
        <f t="shared" si="39"/>
        <v/>
      </c>
    </row>
    <row r="815" spans="13:14" x14ac:dyDescent="0.25">
      <c r="M815" s="95" t="str">
        <f t="shared" si="38"/>
        <v/>
      </c>
      <c r="N815" s="95" t="str">
        <f t="shared" si="39"/>
        <v/>
      </c>
    </row>
    <row r="816" spans="13:14" x14ac:dyDescent="0.25">
      <c r="M816" s="95" t="str">
        <f t="shared" si="38"/>
        <v/>
      </c>
      <c r="N816" s="95" t="str">
        <f t="shared" si="39"/>
        <v/>
      </c>
    </row>
    <row r="817" spans="13:14" x14ac:dyDescent="0.25">
      <c r="M817" s="95" t="str">
        <f t="shared" si="38"/>
        <v/>
      </c>
      <c r="N817" s="95" t="str">
        <f t="shared" si="39"/>
        <v/>
      </c>
    </row>
    <row r="818" spans="13:14" x14ac:dyDescent="0.25">
      <c r="M818" s="95" t="str">
        <f t="shared" si="38"/>
        <v/>
      </c>
      <c r="N818" s="95" t="str">
        <f t="shared" si="39"/>
        <v/>
      </c>
    </row>
    <row r="819" spans="13:14" x14ac:dyDescent="0.25">
      <c r="M819" s="95" t="str">
        <f t="shared" si="38"/>
        <v/>
      </c>
      <c r="N819" s="95" t="str">
        <f t="shared" si="39"/>
        <v/>
      </c>
    </row>
    <row r="820" spans="13:14" x14ac:dyDescent="0.25">
      <c r="M820" s="95" t="str">
        <f t="shared" si="38"/>
        <v/>
      </c>
      <c r="N820" s="95" t="str">
        <f t="shared" si="39"/>
        <v/>
      </c>
    </row>
    <row r="821" spans="13:14" x14ac:dyDescent="0.25">
      <c r="M821" s="95" t="str">
        <f t="shared" si="38"/>
        <v/>
      </c>
      <c r="N821" s="95" t="str">
        <f t="shared" si="39"/>
        <v/>
      </c>
    </row>
    <row r="822" spans="13:14" x14ac:dyDescent="0.25">
      <c r="M822" s="95" t="str">
        <f t="shared" si="38"/>
        <v/>
      </c>
      <c r="N822" s="95" t="str">
        <f t="shared" si="39"/>
        <v/>
      </c>
    </row>
    <row r="823" spans="13:14" x14ac:dyDescent="0.25">
      <c r="M823" s="95" t="str">
        <f t="shared" si="38"/>
        <v/>
      </c>
      <c r="N823" s="95" t="str">
        <f t="shared" si="39"/>
        <v/>
      </c>
    </row>
    <row r="824" spans="13:14" x14ac:dyDescent="0.25">
      <c r="M824" s="95" t="str">
        <f t="shared" si="38"/>
        <v/>
      </c>
      <c r="N824" s="95" t="str">
        <f t="shared" si="39"/>
        <v/>
      </c>
    </row>
    <row r="825" spans="13:14" x14ac:dyDescent="0.25">
      <c r="M825" s="95" t="str">
        <f t="shared" si="38"/>
        <v/>
      </c>
      <c r="N825" s="95" t="str">
        <f t="shared" si="39"/>
        <v/>
      </c>
    </row>
    <row r="826" spans="13:14" x14ac:dyDescent="0.25">
      <c r="M826" s="95" t="str">
        <f t="shared" si="38"/>
        <v/>
      </c>
      <c r="N826" s="95" t="str">
        <f t="shared" si="39"/>
        <v/>
      </c>
    </row>
    <row r="827" spans="13:14" x14ac:dyDescent="0.25">
      <c r="M827" s="95" t="str">
        <f t="shared" si="38"/>
        <v/>
      </c>
      <c r="N827" s="95" t="str">
        <f t="shared" si="39"/>
        <v/>
      </c>
    </row>
    <row r="828" spans="13:14" x14ac:dyDescent="0.25">
      <c r="M828" s="95" t="str">
        <f t="shared" si="38"/>
        <v/>
      </c>
      <c r="N828" s="95" t="str">
        <f t="shared" si="39"/>
        <v/>
      </c>
    </row>
    <row r="829" spans="13:14" x14ac:dyDescent="0.25">
      <c r="M829" s="95" t="str">
        <f t="shared" si="38"/>
        <v/>
      </c>
      <c r="N829" s="95" t="str">
        <f t="shared" si="39"/>
        <v/>
      </c>
    </row>
    <row r="830" spans="13:14" x14ac:dyDescent="0.25">
      <c r="M830" s="95" t="str">
        <f t="shared" si="38"/>
        <v/>
      </c>
      <c r="N830" s="95" t="str">
        <f t="shared" si="39"/>
        <v/>
      </c>
    </row>
    <row r="831" spans="13:14" x14ac:dyDescent="0.25">
      <c r="M831" s="95" t="str">
        <f t="shared" si="38"/>
        <v/>
      </c>
      <c r="N831" s="95" t="str">
        <f t="shared" si="39"/>
        <v/>
      </c>
    </row>
    <row r="832" spans="13:14" x14ac:dyDescent="0.25">
      <c r="M832" s="95" t="str">
        <f t="shared" si="38"/>
        <v/>
      </c>
      <c r="N832" s="95" t="str">
        <f t="shared" si="39"/>
        <v/>
      </c>
    </row>
    <row r="833" spans="13:14" x14ac:dyDescent="0.25">
      <c r="M833" s="95" t="str">
        <f t="shared" si="38"/>
        <v/>
      </c>
      <c r="N833" s="95" t="str">
        <f t="shared" si="39"/>
        <v/>
      </c>
    </row>
    <row r="834" spans="13:14" x14ac:dyDescent="0.25">
      <c r="M834" s="95" t="str">
        <f t="shared" si="38"/>
        <v/>
      </c>
      <c r="N834" s="95" t="str">
        <f t="shared" si="39"/>
        <v/>
      </c>
    </row>
    <row r="835" spans="13:14" x14ac:dyDescent="0.25">
      <c r="M835" s="95" t="str">
        <f t="shared" ref="M835:M891" si="40">IF(COUNTIF(K:K,J835),J835,"")</f>
        <v/>
      </c>
      <c r="N835" s="95" t="str">
        <f t="shared" si="39"/>
        <v/>
      </c>
    </row>
    <row r="836" spans="13:14" x14ac:dyDescent="0.25">
      <c r="M836" s="95" t="str">
        <f t="shared" si="40"/>
        <v/>
      </c>
      <c r="N836" s="95" t="str">
        <f t="shared" ref="N836:N891" si="41">IF(M836&gt;$A$14,M836,"")</f>
        <v/>
      </c>
    </row>
    <row r="837" spans="13:14" x14ac:dyDescent="0.25">
      <c r="M837" s="95" t="str">
        <f t="shared" si="40"/>
        <v/>
      </c>
      <c r="N837" s="95" t="str">
        <f t="shared" si="41"/>
        <v/>
      </c>
    </row>
    <row r="838" spans="13:14" x14ac:dyDescent="0.25">
      <c r="M838" s="95" t="str">
        <f t="shared" si="40"/>
        <v/>
      </c>
      <c r="N838" s="95" t="str">
        <f t="shared" si="41"/>
        <v/>
      </c>
    </row>
    <row r="839" spans="13:14" x14ac:dyDescent="0.25">
      <c r="M839" s="95" t="str">
        <f t="shared" si="40"/>
        <v/>
      </c>
      <c r="N839" s="95" t="str">
        <f t="shared" si="41"/>
        <v/>
      </c>
    </row>
    <row r="840" spans="13:14" x14ac:dyDescent="0.25">
      <c r="M840" s="95" t="str">
        <f t="shared" si="40"/>
        <v/>
      </c>
      <c r="N840" s="95" t="str">
        <f t="shared" si="41"/>
        <v/>
      </c>
    </row>
    <row r="841" spans="13:14" x14ac:dyDescent="0.25">
      <c r="M841" s="95" t="str">
        <f t="shared" si="40"/>
        <v/>
      </c>
      <c r="N841" s="95" t="str">
        <f t="shared" si="41"/>
        <v/>
      </c>
    </row>
    <row r="842" spans="13:14" x14ac:dyDescent="0.25">
      <c r="M842" s="95" t="str">
        <f t="shared" si="40"/>
        <v/>
      </c>
      <c r="N842" s="95" t="str">
        <f t="shared" si="41"/>
        <v/>
      </c>
    </row>
    <row r="843" spans="13:14" x14ac:dyDescent="0.25">
      <c r="M843" s="95" t="str">
        <f t="shared" si="40"/>
        <v/>
      </c>
      <c r="N843" s="95" t="str">
        <f t="shared" si="41"/>
        <v/>
      </c>
    </row>
    <row r="844" spans="13:14" x14ac:dyDescent="0.25">
      <c r="M844" s="95" t="str">
        <f t="shared" si="40"/>
        <v/>
      </c>
      <c r="N844" s="95" t="str">
        <f t="shared" si="41"/>
        <v/>
      </c>
    </row>
    <row r="845" spans="13:14" x14ac:dyDescent="0.25">
      <c r="M845" s="95" t="str">
        <f t="shared" si="40"/>
        <v/>
      </c>
      <c r="N845" s="95" t="str">
        <f t="shared" si="41"/>
        <v/>
      </c>
    </row>
    <row r="846" spans="13:14" x14ac:dyDescent="0.25">
      <c r="M846" s="95" t="str">
        <f t="shared" si="40"/>
        <v/>
      </c>
      <c r="N846" s="95" t="str">
        <f t="shared" si="41"/>
        <v/>
      </c>
    </row>
    <row r="847" spans="13:14" x14ac:dyDescent="0.25">
      <c r="M847" s="95" t="str">
        <f t="shared" si="40"/>
        <v/>
      </c>
      <c r="N847" s="95" t="str">
        <f t="shared" si="41"/>
        <v/>
      </c>
    </row>
    <row r="848" spans="13:14" x14ac:dyDescent="0.25">
      <c r="M848" s="95" t="str">
        <f t="shared" si="40"/>
        <v/>
      </c>
      <c r="N848" s="95" t="str">
        <f t="shared" si="41"/>
        <v/>
      </c>
    </row>
    <row r="849" spans="13:14" x14ac:dyDescent="0.25">
      <c r="M849" s="95" t="str">
        <f t="shared" si="40"/>
        <v/>
      </c>
      <c r="N849" s="95" t="str">
        <f t="shared" si="41"/>
        <v/>
      </c>
    </row>
    <row r="850" spans="13:14" x14ac:dyDescent="0.25">
      <c r="M850" s="95" t="str">
        <f t="shared" si="40"/>
        <v/>
      </c>
      <c r="N850" s="95" t="str">
        <f t="shared" si="41"/>
        <v/>
      </c>
    </row>
    <row r="851" spans="13:14" x14ac:dyDescent="0.25">
      <c r="M851" s="95" t="str">
        <f t="shared" si="40"/>
        <v/>
      </c>
      <c r="N851" s="95" t="str">
        <f t="shared" si="41"/>
        <v/>
      </c>
    </row>
    <row r="852" spans="13:14" x14ac:dyDescent="0.25">
      <c r="M852" s="95" t="str">
        <f t="shared" si="40"/>
        <v/>
      </c>
      <c r="N852" s="95" t="str">
        <f t="shared" si="41"/>
        <v/>
      </c>
    </row>
    <row r="853" spans="13:14" x14ac:dyDescent="0.25">
      <c r="M853" s="95" t="str">
        <f t="shared" si="40"/>
        <v/>
      </c>
      <c r="N853" s="95" t="str">
        <f t="shared" si="41"/>
        <v/>
      </c>
    </row>
    <row r="854" spans="13:14" x14ac:dyDescent="0.25">
      <c r="M854" s="95" t="str">
        <f t="shared" si="40"/>
        <v/>
      </c>
      <c r="N854" s="95" t="str">
        <f t="shared" si="41"/>
        <v/>
      </c>
    </row>
    <row r="855" spans="13:14" x14ac:dyDescent="0.25">
      <c r="M855" s="95" t="str">
        <f t="shared" si="40"/>
        <v/>
      </c>
      <c r="N855" s="95" t="str">
        <f t="shared" si="41"/>
        <v/>
      </c>
    </row>
    <row r="856" spans="13:14" x14ac:dyDescent="0.25">
      <c r="M856" s="95" t="str">
        <f t="shared" si="40"/>
        <v/>
      </c>
      <c r="N856" s="95" t="str">
        <f t="shared" si="41"/>
        <v/>
      </c>
    </row>
    <row r="857" spans="13:14" x14ac:dyDescent="0.25">
      <c r="M857" s="95" t="str">
        <f t="shared" si="40"/>
        <v/>
      </c>
      <c r="N857" s="95" t="str">
        <f t="shared" si="41"/>
        <v/>
      </c>
    </row>
    <row r="858" spans="13:14" x14ac:dyDescent="0.25">
      <c r="M858" s="95" t="str">
        <f t="shared" si="40"/>
        <v/>
      </c>
      <c r="N858" s="95" t="str">
        <f t="shared" si="41"/>
        <v/>
      </c>
    </row>
    <row r="859" spans="13:14" x14ac:dyDescent="0.25">
      <c r="M859" s="95" t="str">
        <f t="shared" si="40"/>
        <v/>
      </c>
      <c r="N859" s="95" t="str">
        <f t="shared" si="41"/>
        <v/>
      </c>
    </row>
    <row r="860" spans="13:14" x14ac:dyDescent="0.25">
      <c r="M860" s="95" t="str">
        <f t="shared" si="40"/>
        <v/>
      </c>
      <c r="N860" s="95" t="str">
        <f t="shared" si="41"/>
        <v/>
      </c>
    </row>
    <row r="861" spans="13:14" x14ac:dyDescent="0.25">
      <c r="M861" s="95" t="str">
        <f t="shared" si="40"/>
        <v/>
      </c>
      <c r="N861" s="95" t="str">
        <f t="shared" si="41"/>
        <v/>
      </c>
    </row>
    <row r="862" spans="13:14" x14ac:dyDescent="0.25">
      <c r="M862" s="95" t="str">
        <f t="shared" si="40"/>
        <v/>
      </c>
      <c r="N862" s="95" t="str">
        <f t="shared" si="41"/>
        <v/>
      </c>
    </row>
    <row r="863" spans="13:14" x14ac:dyDescent="0.25">
      <c r="M863" s="95" t="str">
        <f t="shared" si="40"/>
        <v/>
      </c>
      <c r="N863" s="95" t="str">
        <f t="shared" si="41"/>
        <v/>
      </c>
    </row>
    <row r="864" spans="13:14" x14ac:dyDescent="0.25">
      <c r="M864" s="95" t="str">
        <f t="shared" si="40"/>
        <v/>
      </c>
      <c r="N864" s="95" t="str">
        <f t="shared" si="41"/>
        <v/>
      </c>
    </row>
    <row r="865" spans="13:14" x14ac:dyDescent="0.25">
      <c r="M865" s="95" t="str">
        <f t="shared" si="40"/>
        <v/>
      </c>
      <c r="N865" s="95" t="str">
        <f t="shared" si="41"/>
        <v/>
      </c>
    </row>
    <row r="866" spans="13:14" x14ac:dyDescent="0.25">
      <c r="M866" s="95" t="str">
        <f t="shared" si="40"/>
        <v/>
      </c>
      <c r="N866" s="95" t="str">
        <f t="shared" si="41"/>
        <v/>
      </c>
    </row>
    <row r="867" spans="13:14" x14ac:dyDescent="0.25">
      <c r="M867" s="95" t="str">
        <f t="shared" si="40"/>
        <v/>
      </c>
      <c r="N867" s="95" t="str">
        <f t="shared" si="41"/>
        <v/>
      </c>
    </row>
    <row r="868" spans="13:14" x14ac:dyDescent="0.25">
      <c r="M868" s="95" t="str">
        <f t="shared" si="40"/>
        <v/>
      </c>
      <c r="N868" s="95" t="str">
        <f t="shared" si="41"/>
        <v/>
      </c>
    </row>
    <row r="869" spans="13:14" x14ac:dyDescent="0.25">
      <c r="M869" s="95" t="str">
        <f t="shared" si="40"/>
        <v/>
      </c>
      <c r="N869" s="95" t="str">
        <f t="shared" si="41"/>
        <v/>
      </c>
    </row>
    <row r="870" spans="13:14" x14ac:dyDescent="0.25">
      <c r="M870" s="95" t="str">
        <f t="shared" si="40"/>
        <v/>
      </c>
      <c r="N870" s="95" t="str">
        <f t="shared" si="41"/>
        <v/>
      </c>
    </row>
    <row r="871" spans="13:14" x14ac:dyDescent="0.25">
      <c r="M871" s="95" t="str">
        <f t="shared" si="40"/>
        <v/>
      </c>
      <c r="N871" s="95" t="str">
        <f t="shared" si="41"/>
        <v/>
      </c>
    </row>
    <row r="872" spans="13:14" x14ac:dyDescent="0.25">
      <c r="M872" s="95" t="str">
        <f t="shared" si="40"/>
        <v/>
      </c>
      <c r="N872" s="95" t="str">
        <f t="shared" si="41"/>
        <v/>
      </c>
    </row>
    <row r="873" spans="13:14" x14ac:dyDescent="0.25">
      <c r="M873" s="95" t="str">
        <f t="shared" si="40"/>
        <v/>
      </c>
      <c r="N873" s="95" t="str">
        <f t="shared" si="41"/>
        <v/>
      </c>
    </row>
    <row r="874" spans="13:14" x14ac:dyDescent="0.25">
      <c r="M874" s="95" t="str">
        <f t="shared" si="40"/>
        <v/>
      </c>
      <c r="N874" s="95" t="str">
        <f t="shared" si="41"/>
        <v/>
      </c>
    </row>
    <row r="875" spans="13:14" x14ac:dyDescent="0.25">
      <c r="M875" s="95" t="str">
        <f t="shared" si="40"/>
        <v/>
      </c>
      <c r="N875" s="95" t="str">
        <f t="shared" si="41"/>
        <v/>
      </c>
    </row>
    <row r="876" spans="13:14" x14ac:dyDescent="0.25">
      <c r="M876" s="95" t="str">
        <f t="shared" si="40"/>
        <v/>
      </c>
      <c r="N876" s="95" t="str">
        <f t="shared" si="41"/>
        <v/>
      </c>
    </row>
    <row r="877" spans="13:14" x14ac:dyDescent="0.25">
      <c r="M877" s="95" t="str">
        <f t="shared" si="40"/>
        <v/>
      </c>
      <c r="N877" s="95" t="str">
        <f t="shared" si="41"/>
        <v/>
      </c>
    </row>
    <row r="878" spans="13:14" x14ac:dyDescent="0.25">
      <c r="M878" s="95" t="str">
        <f t="shared" si="40"/>
        <v/>
      </c>
      <c r="N878" s="95" t="str">
        <f t="shared" si="41"/>
        <v/>
      </c>
    </row>
    <row r="879" spans="13:14" x14ac:dyDescent="0.25">
      <c r="M879" s="95" t="str">
        <f t="shared" si="40"/>
        <v/>
      </c>
      <c r="N879" s="95" t="str">
        <f t="shared" si="41"/>
        <v/>
      </c>
    </row>
    <row r="880" spans="13:14" x14ac:dyDescent="0.25">
      <c r="M880" s="95" t="str">
        <f t="shared" si="40"/>
        <v/>
      </c>
      <c r="N880" s="95" t="str">
        <f t="shared" si="41"/>
        <v/>
      </c>
    </row>
    <row r="881" spans="13:14" x14ac:dyDescent="0.25">
      <c r="M881" s="95" t="str">
        <f t="shared" si="40"/>
        <v/>
      </c>
      <c r="N881" s="95" t="str">
        <f t="shared" si="41"/>
        <v/>
      </c>
    </row>
    <row r="882" spans="13:14" x14ac:dyDescent="0.25">
      <c r="M882" s="95" t="str">
        <f t="shared" si="40"/>
        <v/>
      </c>
      <c r="N882" s="95" t="str">
        <f t="shared" si="41"/>
        <v/>
      </c>
    </row>
    <row r="883" spans="13:14" x14ac:dyDescent="0.25">
      <c r="M883" s="95" t="str">
        <f t="shared" si="40"/>
        <v/>
      </c>
      <c r="N883" s="95" t="str">
        <f t="shared" si="41"/>
        <v/>
      </c>
    </row>
    <row r="884" spans="13:14" x14ac:dyDescent="0.25">
      <c r="M884" s="95" t="str">
        <f t="shared" si="40"/>
        <v/>
      </c>
      <c r="N884" s="95" t="str">
        <f t="shared" si="41"/>
        <v/>
      </c>
    </row>
    <row r="885" spans="13:14" x14ac:dyDescent="0.25">
      <c r="M885" s="95" t="str">
        <f t="shared" si="40"/>
        <v/>
      </c>
      <c r="N885" s="95" t="str">
        <f t="shared" si="41"/>
        <v/>
      </c>
    </row>
    <row r="886" spans="13:14" x14ac:dyDescent="0.25">
      <c r="M886" s="95" t="str">
        <f t="shared" si="40"/>
        <v/>
      </c>
      <c r="N886" s="95" t="str">
        <f t="shared" si="41"/>
        <v/>
      </c>
    </row>
    <row r="887" spans="13:14" x14ac:dyDescent="0.25">
      <c r="M887" s="95" t="str">
        <f t="shared" si="40"/>
        <v/>
      </c>
      <c r="N887" s="95" t="str">
        <f t="shared" si="41"/>
        <v/>
      </c>
    </row>
    <row r="888" spans="13:14" x14ac:dyDescent="0.25">
      <c r="M888" s="95" t="str">
        <f t="shared" si="40"/>
        <v/>
      </c>
      <c r="N888" s="95" t="str">
        <f t="shared" si="41"/>
        <v/>
      </c>
    </row>
    <row r="889" spans="13:14" x14ac:dyDescent="0.25">
      <c r="M889" s="95" t="str">
        <f t="shared" si="40"/>
        <v/>
      </c>
      <c r="N889" s="95" t="str">
        <f t="shared" si="41"/>
        <v/>
      </c>
    </row>
    <row r="890" spans="13:14" x14ac:dyDescent="0.25">
      <c r="M890" s="95" t="str">
        <f t="shared" si="40"/>
        <v/>
      </c>
      <c r="N890" s="95" t="str">
        <f t="shared" si="41"/>
        <v/>
      </c>
    </row>
    <row r="891" spans="13:14" x14ac:dyDescent="0.25">
      <c r="M891" s="95" t="str">
        <f t="shared" si="40"/>
        <v/>
      </c>
      <c r="N891" s="95" t="str">
        <f t="shared" si="41"/>
        <v/>
      </c>
    </row>
  </sheetData>
  <conditionalFormatting sqref="C15:D136">
    <cfRule type="cellIs" dxfId="17" priority="1" operator="lessThan">
      <formula>0</formula>
    </cfRule>
  </conditionalFormatting>
  <conditionalFormatting sqref="F15:G136">
    <cfRule type="cellIs" dxfId="16" priority="2" operator="lessThan">
      <formula>0</formula>
    </cfRule>
  </conditionalFormatting>
  <conditionalFormatting sqref="H12:H1048576">
    <cfRule type="cellIs" dxfId="15" priority="3" operator="lessThan">
      <formula>0</formula>
    </cfRule>
  </conditionalFormatting>
  <conditionalFormatting sqref="I1 I9:I11">
    <cfRule type="cellIs" dxfId="14" priority="4" operator="lessThan">
      <formula>0</formula>
    </cfRule>
  </conditionalFormatting>
  <hyperlinks>
    <hyperlink ref="C4" r:id="rId1" xr:uid="{9C9F54A2-C71F-4264-B093-A19A0C05CF61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5082-8B6D-4F7E-AC38-7BFF11FB5A3E}">
  <dimension ref="A1:P1032"/>
  <sheetViews>
    <sheetView zoomScale="80" zoomScaleNormal="80" workbookViewId="0">
      <selection activeCell="C64" sqref="C64"/>
    </sheetView>
  </sheetViews>
  <sheetFormatPr defaultColWidth="8.85546875" defaultRowHeight="15" x14ac:dyDescent="0.25"/>
  <cols>
    <col min="1" max="1" width="16.5703125" style="95" bestFit="1" customWidth="1"/>
    <col min="2" max="2" width="24.140625" style="3" bestFit="1" customWidth="1"/>
    <col min="3" max="3" width="21.28515625" style="3" bestFit="1" customWidth="1"/>
    <col min="4" max="4" width="9.140625" style="3" bestFit="1" customWidth="1"/>
    <col min="5" max="6" width="8.7109375" style="3" bestFit="1" customWidth="1"/>
    <col min="7" max="7" width="9.140625" style="3" bestFit="1" customWidth="1"/>
    <col min="8" max="8" width="12.28515625" style="3" bestFit="1" customWidth="1"/>
    <col min="9" max="9" width="10.7109375" style="3" bestFit="1" customWidth="1"/>
    <col min="10" max="10" width="17.140625" style="3" bestFit="1" customWidth="1"/>
    <col min="11" max="11" width="7.140625" style="41" bestFit="1" customWidth="1"/>
    <col min="12" max="12" width="17.140625" style="3" bestFit="1" customWidth="1"/>
    <col min="13" max="13" width="7.140625" style="41" bestFit="1" customWidth="1"/>
    <col min="14" max="16" width="17.140625" style="95" bestFit="1" customWidth="1"/>
    <col min="17" max="16384" width="8.85546875" style="3"/>
  </cols>
  <sheetData>
    <row r="1" spans="1:16" ht="15.75" thickBot="1" x14ac:dyDescent="0.3">
      <c r="A1" s="1"/>
      <c r="B1" s="1"/>
      <c r="C1" s="1"/>
      <c r="D1" s="1"/>
      <c r="I1" s="1"/>
      <c r="J1" s="38"/>
      <c r="L1" s="1"/>
      <c r="M1" s="34"/>
      <c r="P1" s="95" cm="1">
        <f t="array" ref="P1">LOOKUP(2,1/(P:P&lt;&gt;""),P:P)</f>
        <v>46191</v>
      </c>
    </row>
    <row r="2" spans="1:16" ht="15.75" thickBot="1" x14ac:dyDescent="0.3">
      <c r="A2" s="24"/>
      <c r="B2" s="28" t="s">
        <v>0</v>
      </c>
      <c r="C2" s="23" t="s">
        <v>1</v>
      </c>
      <c r="E2" s="72"/>
      <c r="F2" s="73"/>
      <c r="J2" s="22" t="s">
        <v>0</v>
      </c>
      <c r="K2" s="34"/>
      <c r="L2" s="23" t="s">
        <v>1</v>
      </c>
      <c r="M2" s="34"/>
      <c r="P2" s="3" cm="1">
        <f t="array" ref="P2:P14">_xlfn._xlws.SORT(_xlfn.UNIQUE(_xlfn._xlws.FILTER(O:O, ISNUMBER(O:O))))</f>
        <v>46175</v>
      </c>
    </row>
    <row r="3" spans="1:16" x14ac:dyDescent="0.25">
      <c r="A3" s="14" t="s">
        <v>19</v>
      </c>
      <c r="B3" s="43" t="s">
        <v>103</v>
      </c>
      <c r="C3" s="44" t="s">
        <v>104</v>
      </c>
      <c r="J3" s="37" cm="1">
        <f t="array" ref="J3:K33">_xll.BDH(B4, "LAST_PRICE", "09/01/2025", "01/01/2035")</f>
        <v>46149</v>
      </c>
      <c r="K3" s="34">
        <v>99.745000000000005</v>
      </c>
      <c r="L3" s="37" cm="1">
        <f t="array" ref="L3:M36">_xll.BDH(C4, "LAST_PRICE", "05/01/2026", "01/01/2035")</f>
        <v>46146</v>
      </c>
      <c r="M3" s="34">
        <v>95.450999999999993</v>
      </c>
      <c r="N3" s="95">
        <f>IF(COUNTIF(L:L,J3)=1,J3,"")</f>
        <v>46149</v>
      </c>
      <c r="O3" s="95" t="str">
        <f>IF(N3&gt;$A$14,N3,"")</f>
        <v/>
      </c>
      <c r="P3" s="95">
        <v>46176</v>
      </c>
    </row>
    <row r="4" spans="1:16" ht="32.25" customHeight="1" x14ac:dyDescent="0.25">
      <c r="A4" s="14" t="s">
        <v>20</v>
      </c>
      <c r="B4" s="84" t="s">
        <v>105</v>
      </c>
      <c r="C4" s="106" t="s">
        <v>106</v>
      </c>
      <c r="I4" s="1"/>
      <c r="J4" s="38">
        <v>46150</v>
      </c>
      <c r="K4" s="34">
        <v>99.614999999999995</v>
      </c>
      <c r="L4" s="38">
        <v>46147</v>
      </c>
      <c r="M4" s="34">
        <v>94.754000000000005</v>
      </c>
      <c r="N4" s="95">
        <f t="shared" ref="N4:N67" si="0">IF(COUNTIF(L:L,J4)=1,J4,"")</f>
        <v>46150</v>
      </c>
      <c r="O4" s="95" t="str">
        <f t="shared" ref="O4:O67" si="1">IF(N4&gt;$A$14,N4,"")</f>
        <v/>
      </c>
      <c r="P4" s="95">
        <v>46177</v>
      </c>
    </row>
    <row r="5" spans="1:16" x14ac:dyDescent="0.25">
      <c r="A5" s="14" t="s">
        <v>2</v>
      </c>
      <c r="B5" s="46">
        <f>7*10^6</f>
        <v>7000000</v>
      </c>
      <c r="C5" s="8">
        <f>10*10^6</f>
        <v>10000000</v>
      </c>
      <c r="I5" s="1"/>
      <c r="J5" s="38">
        <v>46153</v>
      </c>
      <c r="K5" s="34">
        <v>98.974999999999994</v>
      </c>
      <c r="L5" s="38">
        <v>46148</v>
      </c>
      <c r="M5" s="34">
        <v>95.322000000000003</v>
      </c>
      <c r="N5" s="95">
        <f t="shared" si="0"/>
        <v>46153</v>
      </c>
      <c r="O5" s="95" t="str">
        <f t="shared" si="1"/>
        <v/>
      </c>
      <c r="P5" s="95">
        <v>46178</v>
      </c>
    </row>
    <row r="6" spans="1:16" x14ac:dyDescent="0.25">
      <c r="A6" s="14" t="s">
        <v>3</v>
      </c>
      <c r="B6" s="47">
        <v>4.8000000000000001E-2</v>
      </c>
      <c r="C6" s="42">
        <v>0.04</v>
      </c>
      <c r="I6" s="1"/>
      <c r="J6" s="38">
        <v>46154</v>
      </c>
      <c r="K6" s="34">
        <v>98.102999999999994</v>
      </c>
      <c r="L6" s="38">
        <v>46149</v>
      </c>
      <c r="M6" s="34">
        <v>95.271000000000001</v>
      </c>
      <c r="N6" s="95">
        <f t="shared" si="0"/>
        <v>46154</v>
      </c>
      <c r="O6" s="95" t="str">
        <f t="shared" si="1"/>
        <v/>
      </c>
      <c r="P6" s="95">
        <v>46181</v>
      </c>
    </row>
    <row r="7" spans="1:16" x14ac:dyDescent="0.25">
      <c r="A7" s="14" t="s">
        <v>4</v>
      </c>
      <c r="B7" s="48">
        <v>2.2450000000000001E-2</v>
      </c>
      <c r="C7" s="10">
        <v>2.2450000000000001E-2</v>
      </c>
      <c r="I7" s="1"/>
      <c r="J7" s="38">
        <v>46155</v>
      </c>
      <c r="K7" s="34">
        <v>98.128</v>
      </c>
      <c r="L7" s="38">
        <v>46150</v>
      </c>
      <c r="M7" s="34">
        <v>95.308999999999997</v>
      </c>
      <c r="N7" s="95">
        <f t="shared" si="0"/>
        <v>46155</v>
      </c>
      <c r="O7" s="95" t="str">
        <f t="shared" si="1"/>
        <v/>
      </c>
      <c r="P7" s="95">
        <v>46182</v>
      </c>
    </row>
    <row r="8" spans="1:16" x14ac:dyDescent="0.25">
      <c r="A8" s="14" t="s">
        <v>5</v>
      </c>
      <c r="B8" s="4" t="s">
        <v>13</v>
      </c>
      <c r="C8" s="5" t="s">
        <v>13</v>
      </c>
      <c r="E8" s="1"/>
      <c r="F8" s="1"/>
      <c r="G8" s="1"/>
      <c r="H8" s="1"/>
      <c r="I8" s="1"/>
      <c r="J8" s="37">
        <v>46156</v>
      </c>
      <c r="K8" s="41">
        <v>99.097999999999999</v>
      </c>
      <c r="L8" s="37">
        <v>46153</v>
      </c>
      <c r="M8" s="41">
        <v>94.881</v>
      </c>
      <c r="N8" s="95">
        <f t="shared" si="0"/>
        <v>46156</v>
      </c>
      <c r="O8" s="95" t="str">
        <f t="shared" si="1"/>
        <v/>
      </c>
      <c r="P8" s="95">
        <v>46183</v>
      </c>
    </row>
    <row r="9" spans="1:16" x14ac:dyDescent="0.25">
      <c r="A9" s="14" t="s">
        <v>6</v>
      </c>
      <c r="B9" s="4" t="s">
        <v>13</v>
      </c>
      <c r="C9" s="5" t="s">
        <v>13</v>
      </c>
      <c r="E9" s="1"/>
      <c r="F9" s="1"/>
      <c r="G9" s="1"/>
      <c r="H9" s="1"/>
      <c r="I9" s="1"/>
      <c r="J9" s="37">
        <v>46157</v>
      </c>
      <c r="K9" s="41">
        <v>97.501000000000005</v>
      </c>
      <c r="L9" s="37">
        <v>46154</v>
      </c>
      <c r="M9" s="41">
        <v>94.266000000000005</v>
      </c>
      <c r="N9" s="95">
        <f t="shared" si="0"/>
        <v>46157</v>
      </c>
      <c r="O9" s="95" t="str">
        <f t="shared" si="1"/>
        <v/>
      </c>
      <c r="P9" s="95">
        <v>46184</v>
      </c>
    </row>
    <row r="10" spans="1:16" ht="15.75" thickBot="1" x14ac:dyDescent="0.3">
      <c r="A10" s="15" t="s">
        <v>15</v>
      </c>
      <c r="B10" s="11" cm="1">
        <f t="array" ref="B10">_xll.BDP(B4,"px_last")</f>
        <v>101.631</v>
      </c>
      <c r="C10" s="21" cm="1">
        <f t="array" ref="C10">_xll.BDP(C4,"px_last")</f>
        <v>96.960999999999999</v>
      </c>
      <c r="D10" s="86" t="s">
        <v>107</v>
      </c>
      <c r="E10" s="1"/>
      <c r="F10" s="1"/>
      <c r="G10" s="1"/>
      <c r="H10" s="1"/>
      <c r="I10" s="1"/>
      <c r="J10" s="37">
        <v>46160</v>
      </c>
      <c r="K10" s="41">
        <v>97.557000000000002</v>
      </c>
      <c r="L10" s="37">
        <v>46155</v>
      </c>
      <c r="M10" s="41">
        <v>94.429000000000002</v>
      </c>
      <c r="N10" s="95">
        <f t="shared" si="0"/>
        <v>46160</v>
      </c>
      <c r="O10" s="95" t="str">
        <f t="shared" si="1"/>
        <v/>
      </c>
      <c r="P10" s="95">
        <v>46185</v>
      </c>
    </row>
    <row r="11" spans="1:16" ht="15.75" thickBot="1" x14ac:dyDescent="0.3">
      <c r="A11" s="3"/>
      <c r="C11" s="1"/>
      <c r="D11" s="1"/>
      <c r="E11" s="1"/>
      <c r="F11" s="1"/>
      <c r="G11" s="1"/>
      <c r="H11" s="1"/>
      <c r="I11" s="1"/>
      <c r="J11" s="37">
        <v>46161</v>
      </c>
      <c r="K11" s="41">
        <v>97.158000000000001</v>
      </c>
      <c r="L11" s="37">
        <v>46156</v>
      </c>
      <c r="M11" s="41">
        <v>95.201999999999998</v>
      </c>
      <c r="N11" s="95">
        <f t="shared" si="0"/>
        <v>46161</v>
      </c>
      <c r="O11" s="95" t="str">
        <f t="shared" si="1"/>
        <v/>
      </c>
      <c r="P11" s="95">
        <v>46188</v>
      </c>
    </row>
    <row r="12" spans="1:16" ht="15.75" thickBot="1" x14ac:dyDescent="0.3">
      <c r="A12" s="27" t="s">
        <v>12</v>
      </c>
      <c r="B12" s="138" t="s">
        <v>0</v>
      </c>
      <c r="C12" s="139"/>
      <c r="D12" s="144"/>
      <c r="E12" s="140" t="s">
        <v>1</v>
      </c>
      <c r="F12" s="141"/>
      <c r="G12" s="142"/>
      <c r="H12" s="27" t="s">
        <v>7</v>
      </c>
      <c r="I12" s="1"/>
      <c r="J12" s="37">
        <v>46162</v>
      </c>
      <c r="K12" s="41">
        <v>98.597999999999999</v>
      </c>
      <c r="L12" s="37">
        <v>46157</v>
      </c>
      <c r="M12" s="41">
        <v>93.941000000000003</v>
      </c>
      <c r="N12" s="95">
        <f t="shared" si="0"/>
        <v>46162</v>
      </c>
      <c r="O12" s="95" t="str">
        <f t="shared" si="1"/>
        <v/>
      </c>
      <c r="P12" s="95">
        <v>46189</v>
      </c>
    </row>
    <row r="13" spans="1:16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I13" s="1"/>
      <c r="J13" s="37">
        <v>46163</v>
      </c>
      <c r="K13" s="41">
        <v>98.417000000000002</v>
      </c>
      <c r="L13" s="37">
        <v>46160</v>
      </c>
      <c r="M13" s="41">
        <v>94.138000000000005</v>
      </c>
      <c r="N13" s="95">
        <f t="shared" si="0"/>
        <v>46163</v>
      </c>
      <c r="O13" s="95" t="str">
        <f t="shared" si="1"/>
        <v/>
      </c>
      <c r="P13" s="95">
        <v>46190</v>
      </c>
    </row>
    <row r="14" spans="1:16" x14ac:dyDescent="0.25">
      <c r="A14" s="98">
        <v>46174.625</v>
      </c>
      <c r="B14" s="33" cm="1">
        <f t="array" ref="B14">_xll.BDP(B4,"YAS_BOND_PX","YAS_ZSPREAD=166.1","SETTLE_DT=20260601")</f>
        <v>101.21465011761815</v>
      </c>
      <c r="C14" s="34"/>
      <c r="D14" s="35"/>
      <c r="E14" s="53" cm="1">
        <f t="array" ref="E14">_xll.BDP(C4,"YAS_BOND_PX","YAS_ZSPREAD=111.6","SETTLE_DT=20260601")</f>
        <v>96.30162258309602</v>
      </c>
      <c r="F14" s="1"/>
      <c r="G14" s="5"/>
      <c r="H14" s="54">
        <v>0</v>
      </c>
      <c r="I14" s="1"/>
      <c r="J14" s="37">
        <v>46164</v>
      </c>
      <c r="K14" s="41">
        <v>99.349000000000004</v>
      </c>
      <c r="L14" s="37">
        <v>46161</v>
      </c>
      <c r="M14" s="41">
        <v>93.822000000000003</v>
      </c>
      <c r="N14" s="95">
        <f t="shared" si="0"/>
        <v>46164</v>
      </c>
      <c r="O14" s="95" t="str">
        <f t="shared" si="1"/>
        <v/>
      </c>
      <c r="P14" s="95">
        <v>46191</v>
      </c>
    </row>
    <row r="15" spans="1:16" x14ac:dyDescent="0.25">
      <c r="A15" s="98">
        <f ca="1">IF(AND(ISBLANK(P2), A14 = $P$1),NOW(),IF(ISBLANK(P2),"",P2))</f>
        <v>46175</v>
      </c>
      <c r="B15" s="33">
        <f ca="1">IF(COUNTIF(J:J,A15)=1,VLOOKUP(A15,J:K,2), IF(COUNTIF(J:J,A15)=0,$B$10,""))</f>
        <v>101.166</v>
      </c>
      <c r="C15" s="25">
        <f ca="1">IF(ISERROR(B15-2),"",(B15-$B$14)/100*$B$5)</f>
        <v>-3405.5082332706374</v>
      </c>
      <c r="D15" s="26">
        <f ca="1">IF(ISERROR(B15-2),"",(INT(A15)-INT($A$14))/360*$B$6*$B$5-(INT(A15)-INT($A$14))/360*$B$7*$B$5*$B$14/100)</f>
        <v>491.50327038934194</v>
      </c>
      <c r="E15" s="4">
        <f ca="1">IF(COUNTIF(L:L,A15)=1,VLOOKUP(A15,L:M,2), IF(COUNTIF(L:L,A15)=0,$C$10,""))</f>
        <v>96.766999999999996</v>
      </c>
      <c r="F15" s="25">
        <f ca="1">IF(ISERROR(E15-2), "", (E15-$E$14)/100*$C$5)</f>
        <v>46537.741690397641</v>
      </c>
      <c r="G15" s="26">
        <f ca="1">IF(ISERROR(E15-2),"",(INT(A15)-INT($A$14))/360*$C$6*$C$5-(INT(A15)-INT($A$14))/360*$C$7*$C$5*$E$14/100)</f>
        <v>510.56349250263725</v>
      </c>
      <c r="H15" s="55">
        <f ca="1">IF(ISERROR(E15-2),"",C15+D15-F15-G15)</f>
        <v>-49962.310145781572</v>
      </c>
      <c r="I15" s="1"/>
      <c r="J15" s="37">
        <v>46167</v>
      </c>
      <c r="K15" s="41">
        <v>100.407</v>
      </c>
      <c r="L15" s="37">
        <v>46162</v>
      </c>
      <c r="M15" s="41">
        <v>94.728999999999999</v>
      </c>
      <c r="N15" s="95">
        <f t="shared" si="0"/>
        <v>46167</v>
      </c>
      <c r="O15" s="95" t="str">
        <f t="shared" si="1"/>
        <v/>
      </c>
    </row>
    <row r="16" spans="1:16" x14ac:dyDescent="0.25">
      <c r="A16" s="98">
        <f t="shared" ref="A16:A79" ca="1" si="2">IF(AND(ISBLANK(P3), A15 = $P$1),NOW(),IF(ISBLANK(P3),"",P3))</f>
        <v>46176</v>
      </c>
      <c r="B16" s="33">
        <f t="shared" ref="B16:B36" ca="1" si="3">IF(COUNTIF(J:J,A16)=1,VLOOKUP(A16,J:K,2), IF(COUNTIF(J:J,A16)=0,$B$10,""))</f>
        <v>100.34399999999999</v>
      </c>
      <c r="C16" s="25">
        <f t="shared" ref="C16:C79" ca="1" si="4">IF(ISERROR(B16-2),"",(B16-$B$14)/100*$B$5)</f>
        <v>-60945.508233270826</v>
      </c>
      <c r="D16" s="26">
        <f t="shared" ref="D16:D79" ca="1" si="5">IF(ISERROR(B16-2),"",(INT(A16)-INT($A$14))/360*$B$6*$B$5-(INT(A16)-INT($A$14))/360*$B$7*$B$5*$B$14/100)</f>
        <v>983.00654077868387</v>
      </c>
      <c r="E16" s="4">
        <f t="shared" ref="E16:E36" ca="1" si="6">IF(COUNTIF(L:L,A16)=1,VLOOKUP(A16,L:M,2), IF(COUNTIF(L:L,A16)=0,$C$10,""))</f>
        <v>96.119</v>
      </c>
      <c r="F16" s="25">
        <f t="shared" ref="F16:F79" ca="1" si="7">IF(ISERROR(E16-2), "", (E16-$E$14)/100*$C$5)</f>
        <v>-18262.258309601973</v>
      </c>
      <c r="G16" s="26">
        <f t="shared" ref="G16:G79" ca="1" si="8">IF(ISERROR(E16-2),"",(INT(A16)-INT($A$14))/360*$C$6*$C$5-(INT(A16)-INT($A$14))/360*$C$7*$C$5*$E$14/100)</f>
        <v>1021.1269850052745</v>
      </c>
      <c r="H16" s="55">
        <f t="shared" ref="H16:H36" ca="1" si="9">IF(ISERROR(E16-2),"",C16+D16-F16-G16)</f>
        <v>-42721.370367895448</v>
      </c>
      <c r="I16" s="1"/>
      <c r="J16" s="37">
        <v>46168</v>
      </c>
      <c r="K16" s="41">
        <v>100.17100000000001</v>
      </c>
      <c r="L16" s="37">
        <v>46163</v>
      </c>
      <c r="M16" s="41">
        <v>94.747</v>
      </c>
      <c r="N16" s="95">
        <f t="shared" si="0"/>
        <v>46168</v>
      </c>
      <c r="O16" s="95" t="str">
        <f t="shared" si="1"/>
        <v/>
      </c>
    </row>
    <row r="17" spans="1:15" x14ac:dyDescent="0.25">
      <c r="A17" s="98">
        <f t="shared" ca="1" si="2"/>
        <v>46177</v>
      </c>
      <c r="B17" s="33">
        <f t="shared" ca="1" si="3"/>
        <v>100.533</v>
      </c>
      <c r="C17" s="25">
        <f t="shared" ca="1" si="4"/>
        <v>-47715.508233270331</v>
      </c>
      <c r="D17" s="26">
        <f t="shared" ca="1" si="5"/>
        <v>1474.5098111680254</v>
      </c>
      <c r="E17" s="4">
        <f t="shared" ca="1" si="6"/>
        <v>96.272999999999996</v>
      </c>
      <c r="F17" s="25">
        <f t="shared" ca="1" si="7"/>
        <v>-2862.2583096023391</v>
      </c>
      <c r="G17" s="26">
        <f t="shared" ca="1" si="8"/>
        <v>1531.6904775079115</v>
      </c>
      <c r="H17" s="55">
        <f t="shared" ca="1" si="9"/>
        <v>-44910.430590007876</v>
      </c>
      <c r="I17" s="1"/>
      <c r="J17" s="37">
        <v>46169</v>
      </c>
      <c r="K17" s="41">
        <v>99.861999999999995</v>
      </c>
      <c r="L17" s="37">
        <v>46164</v>
      </c>
      <c r="M17" s="41">
        <v>95.453000000000003</v>
      </c>
      <c r="N17" s="95">
        <f t="shared" si="0"/>
        <v>46169</v>
      </c>
      <c r="O17" s="95" t="str">
        <f t="shared" si="1"/>
        <v/>
      </c>
    </row>
    <row r="18" spans="1:15" x14ac:dyDescent="0.25">
      <c r="A18" s="98">
        <f t="shared" ca="1" si="2"/>
        <v>46178</v>
      </c>
      <c r="B18" s="33">
        <f t="shared" ca="1" si="3"/>
        <v>100.375</v>
      </c>
      <c r="C18" s="25">
        <f t="shared" ca="1" si="4"/>
        <v>-58775.508233270419</v>
      </c>
      <c r="D18" s="26">
        <f t="shared" ca="1" si="5"/>
        <v>1966.0130815573677</v>
      </c>
      <c r="E18" s="4">
        <f t="shared" ca="1" si="6"/>
        <v>96.125</v>
      </c>
      <c r="F18" s="25">
        <f t="shared" ca="1" si="7"/>
        <v>-17662.258309601955</v>
      </c>
      <c r="G18" s="26">
        <f t="shared" ca="1" si="8"/>
        <v>2042.253970010549</v>
      </c>
      <c r="H18" s="55">
        <f t="shared" ca="1" si="9"/>
        <v>-41189.49081212165</v>
      </c>
      <c r="I18" s="1"/>
      <c r="J18" s="37">
        <v>46170</v>
      </c>
      <c r="K18" s="41">
        <v>100.31</v>
      </c>
      <c r="L18" s="37">
        <v>46167</v>
      </c>
      <c r="M18" s="41">
        <v>96.427999999999997</v>
      </c>
      <c r="N18" s="95">
        <f t="shared" si="0"/>
        <v>46170</v>
      </c>
      <c r="O18" s="95" t="str">
        <f t="shared" si="1"/>
        <v/>
      </c>
    </row>
    <row r="19" spans="1:15" x14ac:dyDescent="0.25">
      <c r="A19" s="98">
        <f t="shared" ca="1" si="2"/>
        <v>46181</v>
      </c>
      <c r="B19" s="33">
        <f t="shared" ca="1" si="3"/>
        <v>99.816000000000003</v>
      </c>
      <c r="C19" s="25">
        <f t="shared" ca="1" si="4"/>
        <v>-97905.508233270244</v>
      </c>
      <c r="D19" s="26">
        <f t="shared" ca="1" si="5"/>
        <v>3440.5228927253925</v>
      </c>
      <c r="E19" s="4">
        <f t="shared" ca="1" si="6"/>
        <v>95.778000000000006</v>
      </c>
      <c r="F19" s="25">
        <f t="shared" ca="1" si="7"/>
        <v>-52362.25830960137</v>
      </c>
      <c r="G19" s="26">
        <f t="shared" ca="1" si="8"/>
        <v>3573.9444475184619</v>
      </c>
      <c r="H19" s="55">
        <f t="shared" ca="1" si="9"/>
        <v>-45676.671478461947</v>
      </c>
      <c r="I19" s="1"/>
      <c r="J19" s="37">
        <v>46171</v>
      </c>
      <c r="K19" s="41">
        <v>100.529</v>
      </c>
      <c r="L19" s="37">
        <v>46168</v>
      </c>
      <c r="M19" s="41">
        <v>96.173000000000002</v>
      </c>
      <c r="N19" s="95">
        <f t="shared" si="0"/>
        <v>46171</v>
      </c>
      <c r="O19" s="95" t="str">
        <f t="shared" si="1"/>
        <v/>
      </c>
    </row>
    <row r="20" spans="1:15" x14ac:dyDescent="0.25">
      <c r="A20" s="98">
        <f t="shared" ca="1" si="2"/>
        <v>46182</v>
      </c>
      <c r="B20" s="33">
        <f t="shared" ca="1" si="3"/>
        <v>99.725999999999999</v>
      </c>
      <c r="C20" s="25">
        <f t="shared" ca="1" si="4"/>
        <v>-104205.50823327048</v>
      </c>
      <c r="D20" s="26">
        <f t="shared" ca="1" si="5"/>
        <v>3932.0261631147355</v>
      </c>
      <c r="E20" s="4">
        <f t="shared" ca="1" si="6"/>
        <v>95.76</v>
      </c>
      <c r="F20" s="25">
        <f t="shared" ca="1" si="7"/>
        <v>-54162.258309601435</v>
      </c>
      <c r="G20" s="26">
        <f t="shared" ca="1" si="8"/>
        <v>4084.507940021098</v>
      </c>
      <c r="H20" s="55">
        <f t="shared" ca="1" si="9"/>
        <v>-50195.731700575408</v>
      </c>
      <c r="I20" s="1"/>
      <c r="J20" s="37">
        <v>46174</v>
      </c>
      <c r="K20" s="41">
        <v>100.13200000000001</v>
      </c>
      <c r="L20" s="37">
        <v>46169</v>
      </c>
      <c r="M20" s="41">
        <v>95.941000000000003</v>
      </c>
      <c r="N20" s="95">
        <f t="shared" si="0"/>
        <v>46174</v>
      </c>
      <c r="O20" s="95" t="str">
        <f t="shared" si="1"/>
        <v/>
      </c>
    </row>
    <row r="21" spans="1:15" x14ac:dyDescent="0.25">
      <c r="A21" s="98">
        <f t="shared" ca="1" si="2"/>
        <v>46183</v>
      </c>
      <c r="B21" s="33">
        <f t="shared" ca="1" si="3"/>
        <v>99.363</v>
      </c>
      <c r="C21" s="25">
        <f t="shared" ca="1" si="4"/>
        <v>-129615.50823327043</v>
      </c>
      <c r="D21" s="26">
        <f t="shared" ca="1" si="5"/>
        <v>4423.5294335040771</v>
      </c>
      <c r="E21" s="4">
        <f t="shared" ca="1" si="6"/>
        <v>95.376999999999995</v>
      </c>
      <c r="F21" s="25">
        <f t="shared" ca="1" si="7"/>
        <v>-92462.258309602417</v>
      </c>
      <c r="G21" s="26">
        <f t="shared" ca="1" si="8"/>
        <v>4595.0714325237359</v>
      </c>
      <c r="H21" s="55">
        <f t="shared" ca="1" si="9"/>
        <v>-37324.791922687669</v>
      </c>
      <c r="I21" s="1"/>
      <c r="J21" s="37">
        <v>46175</v>
      </c>
      <c r="K21" s="41">
        <v>101.166</v>
      </c>
      <c r="L21" s="37">
        <v>46170</v>
      </c>
      <c r="M21" s="41">
        <v>96.155000000000001</v>
      </c>
      <c r="N21" s="95">
        <f t="shared" si="0"/>
        <v>46175</v>
      </c>
      <c r="O21" s="95">
        <f t="shared" si="1"/>
        <v>46175</v>
      </c>
    </row>
    <row r="22" spans="1:15" x14ac:dyDescent="0.25">
      <c r="A22" s="98">
        <f t="shared" ca="1" si="2"/>
        <v>46184</v>
      </c>
      <c r="B22" s="33">
        <f t="shared" ca="1" si="3"/>
        <v>99.951999999999998</v>
      </c>
      <c r="C22" s="25">
        <f t="shared" ca="1" si="4"/>
        <v>-88385.508233270535</v>
      </c>
      <c r="D22" s="26">
        <f t="shared" ca="1" si="5"/>
        <v>4915.0327038934174</v>
      </c>
      <c r="E22" s="4">
        <f t="shared" ca="1" si="6"/>
        <v>95.817999999999998</v>
      </c>
      <c r="F22" s="25">
        <f t="shared" ca="1" si="7"/>
        <v>-48362.25830960217</v>
      </c>
      <c r="G22" s="26">
        <f t="shared" ca="1" si="8"/>
        <v>5105.6349250263729</v>
      </c>
      <c r="H22" s="55">
        <f t="shared" ca="1" si="9"/>
        <v>-40213.85214480132</v>
      </c>
      <c r="I22" s="1"/>
      <c r="J22" s="37">
        <v>46176</v>
      </c>
      <c r="K22" s="41">
        <v>100.34399999999999</v>
      </c>
      <c r="L22" s="37">
        <v>46171</v>
      </c>
      <c r="M22" s="41">
        <v>96.433000000000007</v>
      </c>
      <c r="N22" s="95">
        <f t="shared" si="0"/>
        <v>46176</v>
      </c>
      <c r="O22" s="95">
        <f t="shared" si="1"/>
        <v>46176</v>
      </c>
    </row>
    <row r="23" spans="1:15" x14ac:dyDescent="0.25">
      <c r="A23" s="98">
        <f t="shared" ca="1" si="2"/>
        <v>46185</v>
      </c>
      <c r="B23" s="33">
        <f t="shared" ca="1" si="3"/>
        <v>100.254</v>
      </c>
      <c r="C23" s="25">
        <f t="shared" ca="1" si="4"/>
        <v>-67245.508233270069</v>
      </c>
      <c r="D23" s="26">
        <f t="shared" ca="1" si="5"/>
        <v>5406.5359742827604</v>
      </c>
      <c r="E23" s="4">
        <f t="shared" ca="1" si="6"/>
        <v>96.094999999999999</v>
      </c>
      <c r="F23" s="25">
        <f t="shared" ca="1" si="7"/>
        <v>-20662.258309602064</v>
      </c>
      <c r="G23" s="26">
        <f t="shared" ca="1" si="8"/>
        <v>5616.1984175290108</v>
      </c>
      <c r="H23" s="55">
        <f t="shared" ca="1" si="9"/>
        <v>-46792.912366914257</v>
      </c>
      <c r="I23" s="1"/>
      <c r="J23" s="37">
        <v>46177</v>
      </c>
      <c r="K23" s="41">
        <v>100.533</v>
      </c>
      <c r="L23" s="37">
        <v>46174</v>
      </c>
      <c r="M23" s="41">
        <v>95.992999999999995</v>
      </c>
      <c r="N23" s="95">
        <f t="shared" si="0"/>
        <v>46177</v>
      </c>
      <c r="O23" s="95">
        <f t="shared" si="1"/>
        <v>46177</v>
      </c>
    </row>
    <row r="24" spans="1:15" x14ac:dyDescent="0.25">
      <c r="A24" s="98">
        <f t="shared" ca="1" si="2"/>
        <v>46188</v>
      </c>
      <c r="B24" s="33">
        <f t="shared" ca="1" si="3"/>
        <v>100.85299999999999</v>
      </c>
      <c r="C24" s="25">
        <f t="shared" ca="1" si="4"/>
        <v>-25315.508233270804</v>
      </c>
      <c r="D24" s="26">
        <f t="shared" ca="1" si="5"/>
        <v>6881.0457854507849</v>
      </c>
      <c r="E24" s="4">
        <f t="shared" ca="1" si="6"/>
        <v>96.524000000000001</v>
      </c>
      <c r="F24" s="25">
        <f t="shared" ca="1" si="7"/>
        <v>22237.741690398139</v>
      </c>
      <c r="G24" s="26">
        <f t="shared" ca="1" si="8"/>
        <v>7147.8888950369237</v>
      </c>
      <c r="H24" s="55">
        <f t="shared" ca="1" si="9"/>
        <v>-47820.093033255085</v>
      </c>
      <c r="I24" s="1"/>
      <c r="J24" s="37">
        <v>46178</v>
      </c>
      <c r="K24" s="41">
        <v>100.375</v>
      </c>
      <c r="L24" s="37">
        <v>46175</v>
      </c>
      <c r="M24" s="41">
        <v>96.766999999999996</v>
      </c>
      <c r="N24" s="95">
        <f t="shared" si="0"/>
        <v>46178</v>
      </c>
      <c r="O24" s="95">
        <f t="shared" si="1"/>
        <v>46178</v>
      </c>
    </row>
    <row r="25" spans="1:15" x14ac:dyDescent="0.25">
      <c r="A25" s="98">
        <f t="shared" ca="1" si="2"/>
        <v>46189</v>
      </c>
      <c r="B25" s="33">
        <f t="shared" ca="1" si="3"/>
        <v>101.381</v>
      </c>
      <c r="C25" s="25">
        <f t="shared" ca="1" si="4"/>
        <v>11644.491766729601</v>
      </c>
      <c r="D25" s="26">
        <f t="shared" ca="1" si="5"/>
        <v>7372.5490558401289</v>
      </c>
      <c r="E25" s="4">
        <f t="shared" ca="1" si="6"/>
        <v>96.893000000000001</v>
      </c>
      <c r="F25" s="25">
        <f t="shared" ca="1" si="7"/>
        <v>59137.741690398121</v>
      </c>
      <c r="G25" s="26">
        <f t="shared" ca="1" si="8"/>
        <v>7658.4523875395589</v>
      </c>
      <c r="H25" s="55">
        <f t="shared" ca="1" si="9"/>
        <v>-47779.15325536795</v>
      </c>
      <c r="I25" s="1"/>
      <c r="J25" s="37">
        <v>46181</v>
      </c>
      <c r="K25" s="41">
        <v>99.816000000000003</v>
      </c>
      <c r="L25" s="37">
        <v>46176</v>
      </c>
      <c r="M25" s="41">
        <v>96.119</v>
      </c>
      <c r="N25" s="95">
        <f t="shared" si="0"/>
        <v>46181</v>
      </c>
      <c r="O25" s="95">
        <f t="shared" si="1"/>
        <v>46181</v>
      </c>
    </row>
    <row r="26" spans="1:15" x14ac:dyDescent="0.25">
      <c r="A26" s="98">
        <f t="shared" ca="1" si="2"/>
        <v>46190</v>
      </c>
      <c r="B26" s="33">
        <f t="shared" ca="1" si="3"/>
        <v>101.508</v>
      </c>
      <c r="C26" s="25">
        <f t="shared" ca="1" si="4"/>
        <v>20534.491766729276</v>
      </c>
      <c r="D26" s="26">
        <f t="shared" ca="1" si="5"/>
        <v>7864.052326229471</v>
      </c>
      <c r="E26" s="4">
        <f t="shared" ca="1" si="6"/>
        <v>96.968000000000004</v>
      </c>
      <c r="F26" s="25">
        <f t="shared" ca="1" si="7"/>
        <v>66637.741690398398</v>
      </c>
      <c r="G26" s="26">
        <f t="shared" ca="1" si="8"/>
        <v>8169.0158800421959</v>
      </c>
      <c r="H26" s="55">
        <f t="shared" ca="1" si="9"/>
        <v>-46408.213477481841</v>
      </c>
      <c r="I26" s="1"/>
      <c r="J26" s="37">
        <v>46182</v>
      </c>
      <c r="K26" s="41">
        <v>99.725999999999999</v>
      </c>
      <c r="L26" s="37">
        <v>46177</v>
      </c>
      <c r="M26" s="41">
        <v>96.272999999999996</v>
      </c>
      <c r="N26" s="95">
        <f t="shared" si="0"/>
        <v>46182</v>
      </c>
      <c r="O26" s="95">
        <f t="shared" si="1"/>
        <v>46182</v>
      </c>
    </row>
    <row r="27" spans="1:15" x14ac:dyDescent="0.25">
      <c r="A27" s="98">
        <f t="shared" ca="1" si="2"/>
        <v>46191</v>
      </c>
      <c r="B27" s="33">
        <f t="shared" ca="1" si="3"/>
        <v>101.626</v>
      </c>
      <c r="C27" s="25">
        <f t="shared" ca="1" si="4"/>
        <v>28794.491766729916</v>
      </c>
      <c r="D27" s="26">
        <f t="shared" ca="1" si="5"/>
        <v>8355.5555966188131</v>
      </c>
      <c r="E27" s="4">
        <f t="shared" ca="1" si="6"/>
        <v>96.960999999999999</v>
      </c>
      <c r="F27" s="25">
        <f t="shared" ca="1" si="7"/>
        <v>65937.741690397903</v>
      </c>
      <c r="G27" s="26">
        <f t="shared" ca="1" si="8"/>
        <v>8679.5793725448366</v>
      </c>
      <c r="H27" s="55">
        <f t="shared" ca="1" si="9"/>
        <v>-37467.273699594014</v>
      </c>
      <c r="I27" s="1"/>
      <c r="J27" s="37">
        <v>46183</v>
      </c>
      <c r="K27" s="41">
        <v>99.363</v>
      </c>
      <c r="L27" s="37">
        <v>46178</v>
      </c>
      <c r="M27" s="41">
        <v>96.125</v>
      </c>
      <c r="N27" s="95">
        <f t="shared" si="0"/>
        <v>46183</v>
      </c>
      <c r="O27" s="95">
        <f t="shared" si="1"/>
        <v>46183</v>
      </c>
    </row>
    <row r="28" spans="1:15" x14ac:dyDescent="0.25">
      <c r="A28" s="98">
        <f t="shared" ca="1" si="2"/>
        <v>46191.47081053241</v>
      </c>
      <c r="B28" s="33">
        <f t="shared" ca="1" si="3"/>
        <v>101.631</v>
      </c>
      <c r="C28" s="25">
        <f t="shared" ca="1" si="4"/>
        <v>29144.491766729599</v>
      </c>
      <c r="D28" s="26">
        <f t="shared" ca="1" si="5"/>
        <v>8355.5555966188131</v>
      </c>
      <c r="E28" s="4">
        <f t="shared" ca="1" si="6"/>
        <v>96.960999999999999</v>
      </c>
      <c r="F28" s="25">
        <f t="shared" ca="1" si="7"/>
        <v>65937.741690397903</v>
      </c>
      <c r="G28" s="26">
        <f t="shared" ca="1" si="8"/>
        <v>8679.5793725448366</v>
      </c>
      <c r="H28" s="55">
        <f t="shared" ca="1" si="9"/>
        <v>-37117.273699594327</v>
      </c>
      <c r="I28" s="1"/>
      <c r="J28" s="37">
        <v>46184</v>
      </c>
      <c r="K28" s="41">
        <v>99.951999999999998</v>
      </c>
      <c r="L28" s="37">
        <v>46181</v>
      </c>
      <c r="M28" s="41">
        <v>95.778000000000006</v>
      </c>
      <c r="N28" s="95">
        <f t="shared" si="0"/>
        <v>46184</v>
      </c>
      <c r="O28" s="95">
        <f t="shared" si="1"/>
        <v>46184</v>
      </c>
    </row>
    <row r="29" spans="1:15" x14ac:dyDescent="0.25">
      <c r="A29" s="98" t="str">
        <f t="shared" ca="1" si="2"/>
        <v/>
      </c>
      <c r="B29" s="33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4" t="str">
        <f t="shared" ca="1" si="6"/>
        <v/>
      </c>
      <c r="F29" s="25" t="str">
        <f t="shared" ca="1" si="7"/>
        <v/>
      </c>
      <c r="G29" s="26" t="str">
        <f t="shared" ca="1" si="8"/>
        <v/>
      </c>
      <c r="H29" s="55" t="str">
        <f t="shared" ca="1" si="9"/>
        <v/>
      </c>
      <c r="I29" s="1"/>
      <c r="J29" s="37">
        <v>46185</v>
      </c>
      <c r="K29" s="41">
        <v>100.254</v>
      </c>
      <c r="L29" s="37">
        <v>46182</v>
      </c>
      <c r="M29" s="41">
        <v>95.76</v>
      </c>
      <c r="N29" s="95">
        <f t="shared" si="0"/>
        <v>46185</v>
      </c>
      <c r="O29" s="95">
        <f t="shared" si="1"/>
        <v>46185</v>
      </c>
    </row>
    <row r="30" spans="1:15" x14ac:dyDescent="0.25">
      <c r="A30" s="98" t="str">
        <f t="shared" ca="1" si="2"/>
        <v/>
      </c>
      <c r="B30" s="33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4" t="str">
        <f t="shared" ca="1" si="6"/>
        <v/>
      </c>
      <c r="F30" s="25" t="str">
        <f t="shared" ca="1" si="7"/>
        <v/>
      </c>
      <c r="G30" s="26" t="str">
        <f t="shared" ca="1" si="8"/>
        <v/>
      </c>
      <c r="H30" s="55" t="str">
        <f t="shared" ca="1" si="9"/>
        <v/>
      </c>
      <c r="I30" s="1"/>
      <c r="J30" s="37">
        <v>46188</v>
      </c>
      <c r="K30" s="41">
        <v>100.85299999999999</v>
      </c>
      <c r="L30" s="37">
        <v>46183</v>
      </c>
      <c r="M30" s="41">
        <v>95.376999999999995</v>
      </c>
      <c r="N30" s="95">
        <f t="shared" si="0"/>
        <v>46188</v>
      </c>
      <c r="O30" s="95">
        <f t="shared" si="1"/>
        <v>46188</v>
      </c>
    </row>
    <row r="31" spans="1:15" x14ac:dyDescent="0.25">
      <c r="A31" s="98" t="str">
        <f t="shared" ca="1" si="2"/>
        <v/>
      </c>
      <c r="B31" s="33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4" t="str">
        <f t="shared" ca="1" si="6"/>
        <v/>
      </c>
      <c r="F31" s="25" t="str">
        <f t="shared" ca="1" si="7"/>
        <v/>
      </c>
      <c r="G31" s="26" t="str">
        <f t="shared" ca="1" si="8"/>
        <v/>
      </c>
      <c r="H31" s="55" t="str">
        <f t="shared" ca="1" si="9"/>
        <v/>
      </c>
      <c r="I31" s="1"/>
      <c r="J31" s="37">
        <v>46189</v>
      </c>
      <c r="K31" s="41">
        <v>101.381</v>
      </c>
      <c r="L31" s="37">
        <v>46184</v>
      </c>
      <c r="M31" s="41">
        <v>95.817999999999998</v>
      </c>
      <c r="N31" s="95">
        <f t="shared" si="0"/>
        <v>46189</v>
      </c>
      <c r="O31" s="95">
        <f t="shared" si="1"/>
        <v>46189</v>
      </c>
    </row>
    <row r="32" spans="1:15" x14ac:dyDescent="0.25">
      <c r="A32" s="98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4" t="str">
        <f t="shared" ca="1" si="6"/>
        <v/>
      </c>
      <c r="F32" s="25" t="str">
        <f t="shared" ca="1" si="7"/>
        <v/>
      </c>
      <c r="G32" s="26" t="str">
        <f t="shared" ca="1" si="8"/>
        <v/>
      </c>
      <c r="H32" s="55" t="str">
        <f t="shared" ca="1" si="9"/>
        <v/>
      </c>
      <c r="I32" s="1"/>
      <c r="J32" s="37">
        <v>46190</v>
      </c>
      <c r="K32" s="41">
        <v>101.508</v>
      </c>
      <c r="L32" s="37">
        <v>46185</v>
      </c>
      <c r="M32" s="41">
        <v>96.094999999999999</v>
      </c>
      <c r="N32" s="95">
        <f t="shared" si="0"/>
        <v>46190</v>
      </c>
      <c r="O32" s="95">
        <f t="shared" si="1"/>
        <v>46190</v>
      </c>
    </row>
    <row r="33" spans="1:15" x14ac:dyDescent="0.25">
      <c r="A33" s="98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4" t="str">
        <f t="shared" ca="1" si="6"/>
        <v/>
      </c>
      <c r="F33" s="25" t="str">
        <f t="shared" ca="1" si="7"/>
        <v/>
      </c>
      <c r="G33" s="26" t="str">
        <f t="shared" ca="1" si="8"/>
        <v/>
      </c>
      <c r="H33" s="55" t="str">
        <f t="shared" ca="1" si="9"/>
        <v/>
      </c>
      <c r="I33" s="1"/>
      <c r="J33" s="37">
        <v>46191</v>
      </c>
      <c r="K33" s="41">
        <v>101.626</v>
      </c>
      <c r="L33" s="37">
        <v>46188</v>
      </c>
      <c r="M33" s="41">
        <v>96.524000000000001</v>
      </c>
      <c r="N33" s="95">
        <f t="shared" si="0"/>
        <v>46191</v>
      </c>
      <c r="O33" s="95">
        <f t="shared" si="1"/>
        <v>46191</v>
      </c>
    </row>
    <row r="34" spans="1:15" x14ac:dyDescent="0.25">
      <c r="A34" s="98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4" t="str">
        <f t="shared" ca="1" si="6"/>
        <v/>
      </c>
      <c r="F34" s="25" t="str">
        <f t="shared" ca="1" si="7"/>
        <v/>
      </c>
      <c r="G34" s="26" t="str">
        <f t="shared" ca="1" si="8"/>
        <v/>
      </c>
      <c r="H34" s="55" t="str">
        <f t="shared" ca="1" si="9"/>
        <v/>
      </c>
      <c r="I34" s="1"/>
      <c r="J34" s="37"/>
      <c r="L34" s="37">
        <v>46189</v>
      </c>
      <c r="M34" s="41">
        <v>96.893000000000001</v>
      </c>
      <c r="N34" s="95" t="str">
        <f t="shared" si="0"/>
        <v/>
      </c>
      <c r="O34" s="95" t="str">
        <f t="shared" si="1"/>
        <v/>
      </c>
    </row>
    <row r="35" spans="1:15" x14ac:dyDescent="0.25">
      <c r="A35" s="98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4" t="str">
        <f t="shared" ca="1" si="6"/>
        <v/>
      </c>
      <c r="F35" s="25" t="str">
        <f t="shared" ca="1" si="7"/>
        <v/>
      </c>
      <c r="G35" s="26" t="str">
        <f t="shared" ca="1" si="8"/>
        <v/>
      </c>
      <c r="H35" s="55" t="str">
        <f t="shared" ca="1" si="9"/>
        <v/>
      </c>
      <c r="I35" s="1"/>
      <c r="J35" s="37"/>
      <c r="L35" s="37">
        <v>46190</v>
      </c>
      <c r="M35" s="41">
        <v>96.968000000000004</v>
      </c>
      <c r="N35" s="95" t="str">
        <f t="shared" si="0"/>
        <v/>
      </c>
      <c r="O35" s="95" t="str">
        <f t="shared" si="1"/>
        <v/>
      </c>
    </row>
    <row r="36" spans="1:15" x14ac:dyDescent="0.25">
      <c r="A36" s="98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4" t="str">
        <f t="shared" ca="1" si="6"/>
        <v/>
      </c>
      <c r="F36" s="25" t="str">
        <f t="shared" ca="1" si="7"/>
        <v/>
      </c>
      <c r="G36" s="26" t="str">
        <f t="shared" ca="1" si="8"/>
        <v/>
      </c>
      <c r="H36" s="55" t="str">
        <f t="shared" ca="1" si="9"/>
        <v/>
      </c>
      <c r="I36" s="1"/>
      <c r="J36" s="37"/>
      <c r="L36" s="37">
        <v>46191</v>
      </c>
      <c r="M36" s="41">
        <v>96.960999999999999</v>
      </c>
      <c r="N36" s="95" t="str">
        <f t="shared" si="0"/>
        <v/>
      </c>
      <c r="O36" s="95" t="str">
        <f t="shared" si="1"/>
        <v/>
      </c>
    </row>
    <row r="37" spans="1:15" x14ac:dyDescent="0.25">
      <c r="A37" s="98" t="str">
        <f t="shared" ca="1" si="2"/>
        <v/>
      </c>
      <c r="B37" s="33" t="str">
        <f ca="1">IF(COUNTIF(J:J,A37)=1,VLOOKUP(A37,J:K,2), IF(COUNTIF(J:J,A37)=0,$B$10,""))</f>
        <v/>
      </c>
      <c r="C37" s="25" t="str">
        <f t="shared" ca="1" si="4"/>
        <v/>
      </c>
      <c r="D37" s="26" t="str">
        <f t="shared" ca="1" si="5"/>
        <v/>
      </c>
      <c r="E37" s="4" t="str">
        <f ca="1">IF(COUNTIF(L:L,A37)=1,VLOOKUP(A37,L:M,2), IF(COUNTIF(L:L,A37)=0,$C$10,""))</f>
        <v/>
      </c>
      <c r="F37" s="25" t="str">
        <f t="shared" ca="1" si="7"/>
        <v/>
      </c>
      <c r="G37" s="26" t="str">
        <f t="shared" ca="1" si="8"/>
        <v/>
      </c>
      <c r="H37" s="55" t="str">
        <f ca="1">IF(ISERROR(E37-2),"",C37+D37-F37-G37)</f>
        <v/>
      </c>
      <c r="I37" s="1"/>
      <c r="J37" s="37"/>
      <c r="L37" s="37"/>
      <c r="N37" s="95" t="str">
        <f t="shared" si="0"/>
        <v/>
      </c>
      <c r="O37" s="95" t="str">
        <f t="shared" si="1"/>
        <v/>
      </c>
    </row>
    <row r="38" spans="1:15" x14ac:dyDescent="0.25">
      <c r="A38" s="98" t="str">
        <f t="shared" ca="1" si="2"/>
        <v/>
      </c>
      <c r="B38" s="33" t="str">
        <f ca="1">IF(COUNTIF(J:J,A38)=1,VLOOKUP(A38,J:K,2), IF(COUNTIF(J:J,A38)=0,$B$10,""))</f>
        <v/>
      </c>
      <c r="C38" s="25" t="str">
        <f t="shared" ca="1" si="4"/>
        <v/>
      </c>
      <c r="D38" s="26" t="str">
        <f t="shared" ca="1" si="5"/>
        <v/>
      </c>
      <c r="E38" s="4" t="str">
        <f ca="1">IF(COUNTIF(L:L,A38)=1,VLOOKUP(A38,L:M,2), IF(COUNTIF(L:L,A38)=0,$C$10,""))</f>
        <v/>
      </c>
      <c r="F38" s="25" t="str">
        <f t="shared" ca="1" si="7"/>
        <v/>
      </c>
      <c r="G38" s="26" t="str">
        <f t="shared" ca="1" si="8"/>
        <v/>
      </c>
      <c r="H38" s="55" t="str">
        <f ca="1">IF(ISERROR(E38-2),"",C38+D38-F38-G38)</f>
        <v/>
      </c>
      <c r="I38" s="1"/>
      <c r="J38" s="37"/>
      <c r="L38" s="37"/>
      <c r="N38" s="95" t="str">
        <f t="shared" si="0"/>
        <v/>
      </c>
      <c r="O38" s="95" t="str">
        <f t="shared" si="1"/>
        <v/>
      </c>
    </row>
    <row r="39" spans="1:15" x14ac:dyDescent="0.25">
      <c r="A39" s="98" t="str">
        <f t="shared" ca="1" si="2"/>
        <v/>
      </c>
      <c r="B39" s="33" t="str">
        <f t="shared" ref="B39:B102" ca="1" si="10">IF(COUNTIF(J:J,A39)=1,VLOOKUP(A39,J:K,2), IF(COUNTIF(J:J,A39)=0,$B$10,""))</f>
        <v/>
      </c>
      <c r="C39" s="25" t="str">
        <f t="shared" ca="1" si="4"/>
        <v/>
      </c>
      <c r="D39" s="26" t="str">
        <f t="shared" ca="1" si="5"/>
        <v/>
      </c>
      <c r="E39" s="4" t="str">
        <f t="shared" ref="E39:E102" ca="1" si="11">IF(COUNTIF(L:L,A39)=1,VLOOKUP(A39,L:M,2), IF(COUNTIF(L:L,A39)=0,$C$10,""))</f>
        <v/>
      </c>
      <c r="F39" s="25" t="str">
        <f t="shared" ca="1" si="7"/>
        <v/>
      </c>
      <c r="G39" s="26" t="str">
        <f t="shared" ca="1" si="8"/>
        <v/>
      </c>
      <c r="H39" s="55" t="str">
        <f t="shared" ref="H39:H102" ca="1" si="12">IF(ISERROR(E39-2),"",C39+D39-F39-G39)</f>
        <v/>
      </c>
      <c r="I39" s="1"/>
      <c r="J39" s="37"/>
      <c r="L39" s="37"/>
      <c r="N39" s="95" t="str">
        <f t="shared" si="0"/>
        <v/>
      </c>
      <c r="O39" s="95" t="str">
        <f t="shared" si="1"/>
        <v/>
      </c>
    </row>
    <row r="40" spans="1:15" x14ac:dyDescent="0.25">
      <c r="A40" s="98" t="str">
        <f t="shared" ca="1" si="2"/>
        <v/>
      </c>
      <c r="B40" s="33" t="str">
        <f t="shared" ca="1" si="10"/>
        <v/>
      </c>
      <c r="C40" s="25" t="str">
        <f t="shared" ca="1" si="4"/>
        <v/>
      </c>
      <c r="D40" s="26" t="str">
        <f t="shared" ca="1" si="5"/>
        <v/>
      </c>
      <c r="E40" s="4" t="str">
        <f t="shared" ca="1" si="11"/>
        <v/>
      </c>
      <c r="F40" s="25" t="str">
        <f t="shared" ca="1" si="7"/>
        <v/>
      </c>
      <c r="G40" s="26" t="str">
        <f t="shared" ca="1" si="8"/>
        <v/>
      </c>
      <c r="H40" s="55" t="str">
        <f t="shared" ca="1" si="12"/>
        <v/>
      </c>
      <c r="I40" s="1"/>
      <c r="J40" s="37"/>
      <c r="L40" s="37"/>
      <c r="N40" s="95" t="str">
        <f t="shared" si="0"/>
        <v/>
      </c>
      <c r="O40" s="95" t="str">
        <f t="shared" si="1"/>
        <v/>
      </c>
    </row>
    <row r="41" spans="1:15" x14ac:dyDescent="0.25">
      <c r="A41" s="98" t="str">
        <f t="shared" ca="1" si="2"/>
        <v/>
      </c>
      <c r="B41" s="33" t="str">
        <f t="shared" ca="1" si="10"/>
        <v/>
      </c>
      <c r="C41" s="25" t="str">
        <f t="shared" ca="1" si="4"/>
        <v/>
      </c>
      <c r="D41" s="26" t="str">
        <f t="shared" ca="1" si="5"/>
        <v/>
      </c>
      <c r="E41" s="4" t="str">
        <f t="shared" ca="1" si="11"/>
        <v/>
      </c>
      <c r="F41" s="25" t="str">
        <f t="shared" ca="1" si="7"/>
        <v/>
      </c>
      <c r="G41" s="26" t="str">
        <f t="shared" ca="1" si="8"/>
        <v/>
      </c>
      <c r="H41" s="55" t="str">
        <f t="shared" ca="1" si="12"/>
        <v/>
      </c>
      <c r="I41" s="1"/>
      <c r="J41" s="37"/>
      <c r="L41" s="37"/>
      <c r="N41" s="95" t="str">
        <f t="shared" si="0"/>
        <v/>
      </c>
      <c r="O41" s="95" t="str">
        <f t="shared" si="1"/>
        <v/>
      </c>
    </row>
    <row r="42" spans="1:15" x14ac:dyDescent="0.25">
      <c r="A42" s="98" t="str">
        <f t="shared" ca="1" si="2"/>
        <v/>
      </c>
      <c r="B42" s="33" t="str">
        <f t="shared" ca="1" si="10"/>
        <v/>
      </c>
      <c r="C42" s="25" t="str">
        <f t="shared" ca="1" si="4"/>
        <v/>
      </c>
      <c r="D42" s="26" t="str">
        <f t="shared" ca="1" si="5"/>
        <v/>
      </c>
      <c r="E42" s="4" t="str">
        <f t="shared" ca="1" si="11"/>
        <v/>
      </c>
      <c r="F42" s="25" t="str">
        <f t="shared" ca="1" si="7"/>
        <v/>
      </c>
      <c r="G42" s="26" t="str">
        <f t="shared" ca="1" si="8"/>
        <v/>
      </c>
      <c r="H42" s="55" t="str">
        <f t="shared" ca="1" si="12"/>
        <v/>
      </c>
      <c r="I42" s="1"/>
      <c r="J42" s="37"/>
      <c r="L42" s="37"/>
      <c r="N42" s="95" t="str">
        <f t="shared" si="0"/>
        <v/>
      </c>
      <c r="O42" s="95" t="str">
        <f t="shared" si="1"/>
        <v/>
      </c>
    </row>
    <row r="43" spans="1:15" x14ac:dyDescent="0.25">
      <c r="A43" s="98" t="str">
        <f t="shared" ca="1" si="2"/>
        <v/>
      </c>
      <c r="B43" s="33" t="str">
        <f t="shared" ca="1" si="10"/>
        <v/>
      </c>
      <c r="C43" s="25" t="str">
        <f t="shared" ca="1" si="4"/>
        <v/>
      </c>
      <c r="D43" s="26" t="str">
        <f t="shared" ca="1" si="5"/>
        <v/>
      </c>
      <c r="E43" s="4" t="str">
        <f t="shared" ca="1" si="11"/>
        <v/>
      </c>
      <c r="F43" s="25" t="str">
        <f t="shared" ca="1" si="7"/>
        <v/>
      </c>
      <c r="G43" s="26" t="str">
        <f t="shared" ca="1" si="8"/>
        <v/>
      </c>
      <c r="H43" s="55" t="str">
        <f t="shared" ca="1" si="12"/>
        <v/>
      </c>
      <c r="I43" s="1"/>
      <c r="J43" s="37"/>
      <c r="L43" s="37"/>
      <c r="N43" s="95" t="str">
        <f t="shared" si="0"/>
        <v/>
      </c>
      <c r="O43" s="95" t="str">
        <f t="shared" si="1"/>
        <v/>
      </c>
    </row>
    <row r="44" spans="1:15" x14ac:dyDescent="0.25">
      <c r="A44" s="98" t="str">
        <f t="shared" ca="1" si="2"/>
        <v/>
      </c>
      <c r="B44" s="33" t="str">
        <f t="shared" ca="1" si="10"/>
        <v/>
      </c>
      <c r="C44" s="25" t="str">
        <f t="shared" ca="1" si="4"/>
        <v/>
      </c>
      <c r="D44" s="26" t="str">
        <f t="shared" ca="1" si="5"/>
        <v/>
      </c>
      <c r="E44" s="4" t="str">
        <f t="shared" ca="1" si="11"/>
        <v/>
      </c>
      <c r="F44" s="25" t="str">
        <f t="shared" ca="1" si="7"/>
        <v/>
      </c>
      <c r="G44" s="26" t="str">
        <f t="shared" ca="1" si="8"/>
        <v/>
      </c>
      <c r="H44" s="55" t="str">
        <f t="shared" ca="1" si="12"/>
        <v/>
      </c>
      <c r="I44" s="1"/>
      <c r="J44" s="37"/>
      <c r="L44" s="37"/>
      <c r="N44" s="95" t="str">
        <f t="shared" si="0"/>
        <v/>
      </c>
      <c r="O44" s="95" t="str">
        <f t="shared" si="1"/>
        <v/>
      </c>
    </row>
    <row r="45" spans="1:15" x14ac:dyDescent="0.25">
      <c r="A45" s="98" t="str">
        <f t="shared" ca="1" si="2"/>
        <v/>
      </c>
      <c r="B45" s="33" t="str">
        <f t="shared" ca="1" si="10"/>
        <v/>
      </c>
      <c r="C45" s="25" t="str">
        <f t="shared" ca="1" si="4"/>
        <v/>
      </c>
      <c r="D45" s="26" t="str">
        <f t="shared" ca="1" si="5"/>
        <v/>
      </c>
      <c r="E45" s="4" t="str">
        <f t="shared" ca="1" si="11"/>
        <v/>
      </c>
      <c r="F45" s="25" t="str">
        <f t="shared" ca="1" si="7"/>
        <v/>
      </c>
      <c r="G45" s="26" t="str">
        <f t="shared" ca="1" si="8"/>
        <v/>
      </c>
      <c r="H45" s="55" t="str">
        <f t="shared" ca="1" si="12"/>
        <v/>
      </c>
      <c r="I45" s="1"/>
      <c r="J45" s="37"/>
      <c r="L45" s="37"/>
      <c r="N45" s="95" t="str">
        <f t="shared" si="0"/>
        <v/>
      </c>
      <c r="O45" s="95" t="str">
        <f t="shared" si="1"/>
        <v/>
      </c>
    </row>
    <row r="46" spans="1:15" x14ac:dyDescent="0.25">
      <c r="A46" s="98" t="str">
        <f t="shared" ca="1" si="2"/>
        <v/>
      </c>
      <c r="B46" s="33" t="str">
        <f t="shared" ca="1" si="10"/>
        <v/>
      </c>
      <c r="C46" s="25" t="str">
        <f t="shared" ca="1" si="4"/>
        <v/>
      </c>
      <c r="D46" s="26" t="str">
        <f t="shared" ca="1" si="5"/>
        <v/>
      </c>
      <c r="E46" s="4" t="str">
        <f t="shared" ca="1" si="11"/>
        <v/>
      </c>
      <c r="F46" s="25" t="str">
        <f t="shared" ca="1" si="7"/>
        <v/>
      </c>
      <c r="G46" s="26" t="str">
        <f t="shared" ca="1" si="8"/>
        <v/>
      </c>
      <c r="H46" s="55" t="str">
        <f t="shared" ca="1" si="12"/>
        <v/>
      </c>
      <c r="I46" s="1"/>
      <c r="J46" s="37"/>
      <c r="L46" s="37"/>
      <c r="N46" s="95" t="str">
        <f t="shared" si="0"/>
        <v/>
      </c>
      <c r="O46" s="95" t="str">
        <f t="shared" si="1"/>
        <v/>
      </c>
    </row>
    <row r="47" spans="1:15" x14ac:dyDescent="0.25">
      <c r="A47" s="98" t="str">
        <f t="shared" ca="1" si="2"/>
        <v/>
      </c>
      <c r="B47" s="33" t="str">
        <f t="shared" ca="1" si="10"/>
        <v/>
      </c>
      <c r="C47" s="25" t="str">
        <f t="shared" ca="1" si="4"/>
        <v/>
      </c>
      <c r="D47" s="26" t="str">
        <f t="shared" ca="1" si="5"/>
        <v/>
      </c>
      <c r="E47" s="4" t="str">
        <f t="shared" ca="1" si="11"/>
        <v/>
      </c>
      <c r="F47" s="25" t="str">
        <f t="shared" ca="1" si="7"/>
        <v/>
      </c>
      <c r="G47" s="26" t="str">
        <f t="shared" ca="1" si="8"/>
        <v/>
      </c>
      <c r="H47" s="55" t="str">
        <f t="shared" ca="1" si="12"/>
        <v/>
      </c>
      <c r="I47" s="1"/>
      <c r="J47" s="37"/>
      <c r="L47" s="37"/>
      <c r="N47" s="95" t="str">
        <f t="shared" si="0"/>
        <v/>
      </c>
      <c r="O47" s="95" t="str">
        <f t="shared" si="1"/>
        <v/>
      </c>
    </row>
    <row r="48" spans="1:15" x14ac:dyDescent="0.25">
      <c r="A48" s="98" t="str">
        <f t="shared" ca="1" si="2"/>
        <v/>
      </c>
      <c r="B48" s="33" t="str">
        <f t="shared" ca="1" si="10"/>
        <v/>
      </c>
      <c r="C48" s="25" t="str">
        <f t="shared" ca="1" si="4"/>
        <v/>
      </c>
      <c r="D48" s="26" t="str">
        <f t="shared" ca="1" si="5"/>
        <v/>
      </c>
      <c r="E48" s="4" t="str">
        <f t="shared" ca="1" si="11"/>
        <v/>
      </c>
      <c r="F48" s="25" t="str">
        <f t="shared" ca="1" si="7"/>
        <v/>
      </c>
      <c r="G48" s="26" t="str">
        <f t="shared" ca="1" si="8"/>
        <v/>
      </c>
      <c r="H48" s="55" t="str">
        <f t="shared" ca="1" si="12"/>
        <v/>
      </c>
      <c r="I48" s="1"/>
      <c r="J48" s="37"/>
      <c r="L48" s="37"/>
      <c r="N48" s="95" t="str">
        <f t="shared" si="0"/>
        <v/>
      </c>
      <c r="O48" s="95" t="str">
        <f t="shared" si="1"/>
        <v/>
      </c>
    </row>
    <row r="49" spans="1:15" x14ac:dyDescent="0.25">
      <c r="A49" s="98" t="str">
        <f t="shared" ca="1" si="2"/>
        <v/>
      </c>
      <c r="B49" s="33" t="str">
        <f t="shared" ca="1" si="10"/>
        <v/>
      </c>
      <c r="C49" s="25" t="str">
        <f t="shared" ca="1" si="4"/>
        <v/>
      </c>
      <c r="D49" s="26" t="str">
        <f t="shared" ca="1" si="5"/>
        <v/>
      </c>
      <c r="E49" s="4" t="str">
        <f t="shared" ca="1" si="11"/>
        <v/>
      </c>
      <c r="F49" s="25" t="str">
        <f t="shared" ca="1" si="7"/>
        <v/>
      </c>
      <c r="G49" s="26" t="str">
        <f t="shared" ca="1" si="8"/>
        <v/>
      </c>
      <c r="H49" s="55" t="str">
        <f t="shared" ca="1" si="12"/>
        <v/>
      </c>
      <c r="J49" s="37"/>
      <c r="L49" s="37"/>
      <c r="N49" s="95" t="str">
        <f t="shared" si="0"/>
        <v/>
      </c>
      <c r="O49" s="95" t="str">
        <f t="shared" si="1"/>
        <v/>
      </c>
    </row>
    <row r="50" spans="1:15" x14ac:dyDescent="0.25">
      <c r="A50" s="98" t="str">
        <f t="shared" ca="1" si="2"/>
        <v/>
      </c>
      <c r="B50" s="33" t="str">
        <f t="shared" ca="1" si="10"/>
        <v/>
      </c>
      <c r="C50" s="25" t="str">
        <f t="shared" ca="1" si="4"/>
        <v/>
      </c>
      <c r="D50" s="26" t="str">
        <f t="shared" ca="1" si="5"/>
        <v/>
      </c>
      <c r="E50" s="4" t="str">
        <f t="shared" ca="1" si="11"/>
        <v/>
      </c>
      <c r="F50" s="25" t="str">
        <f t="shared" ca="1" si="7"/>
        <v/>
      </c>
      <c r="G50" s="26" t="str">
        <f t="shared" ca="1" si="8"/>
        <v/>
      </c>
      <c r="H50" s="55" t="str">
        <f t="shared" ca="1" si="12"/>
        <v/>
      </c>
      <c r="J50" s="37"/>
      <c r="L50" s="37"/>
      <c r="N50" s="95" t="str">
        <f t="shared" si="0"/>
        <v/>
      </c>
      <c r="O50" s="95" t="str">
        <f t="shared" si="1"/>
        <v/>
      </c>
    </row>
    <row r="51" spans="1:15" x14ac:dyDescent="0.25">
      <c r="A51" s="98" t="str">
        <f t="shared" ca="1" si="2"/>
        <v/>
      </c>
      <c r="B51" s="33" t="str">
        <f t="shared" ca="1" si="10"/>
        <v/>
      </c>
      <c r="C51" s="25" t="str">
        <f t="shared" ca="1" si="4"/>
        <v/>
      </c>
      <c r="D51" s="26" t="str">
        <f t="shared" ca="1" si="5"/>
        <v/>
      </c>
      <c r="E51" s="4" t="str">
        <f t="shared" ca="1" si="11"/>
        <v/>
      </c>
      <c r="F51" s="25" t="str">
        <f t="shared" ca="1" si="7"/>
        <v/>
      </c>
      <c r="G51" s="26" t="str">
        <f t="shared" ca="1" si="8"/>
        <v/>
      </c>
      <c r="H51" s="55" t="str">
        <f t="shared" ca="1" si="12"/>
        <v/>
      </c>
      <c r="J51" s="37"/>
      <c r="L51" s="37"/>
      <c r="N51" s="95" t="str">
        <f t="shared" si="0"/>
        <v/>
      </c>
      <c r="O51" s="95" t="str">
        <f t="shared" si="1"/>
        <v/>
      </c>
    </row>
    <row r="52" spans="1:15" x14ac:dyDescent="0.25">
      <c r="A52" s="98" t="str">
        <f t="shared" ca="1" si="2"/>
        <v/>
      </c>
      <c r="B52" s="33" t="str">
        <f t="shared" ca="1" si="10"/>
        <v/>
      </c>
      <c r="C52" s="25" t="str">
        <f t="shared" ca="1" si="4"/>
        <v/>
      </c>
      <c r="D52" s="26" t="str">
        <f t="shared" ca="1" si="5"/>
        <v/>
      </c>
      <c r="E52" s="4" t="str">
        <f t="shared" ca="1" si="11"/>
        <v/>
      </c>
      <c r="F52" s="25" t="str">
        <f t="shared" ca="1" si="7"/>
        <v/>
      </c>
      <c r="G52" s="26" t="str">
        <f t="shared" ca="1" si="8"/>
        <v/>
      </c>
      <c r="H52" s="55" t="str">
        <f t="shared" ca="1" si="12"/>
        <v/>
      </c>
      <c r="J52" s="37"/>
      <c r="L52" s="37"/>
      <c r="N52" s="95" t="str">
        <f t="shared" si="0"/>
        <v/>
      </c>
      <c r="O52" s="95" t="str">
        <f t="shared" si="1"/>
        <v/>
      </c>
    </row>
    <row r="53" spans="1:15" x14ac:dyDescent="0.25">
      <c r="A53" s="98" t="str">
        <f t="shared" ca="1" si="2"/>
        <v/>
      </c>
      <c r="B53" s="33" t="str">
        <f t="shared" ca="1" si="10"/>
        <v/>
      </c>
      <c r="C53" s="25" t="str">
        <f t="shared" ca="1" si="4"/>
        <v/>
      </c>
      <c r="D53" s="26" t="str">
        <f t="shared" ca="1" si="5"/>
        <v/>
      </c>
      <c r="E53" s="4" t="str">
        <f t="shared" ca="1" si="11"/>
        <v/>
      </c>
      <c r="F53" s="25" t="str">
        <f t="shared" ca="1" si="7"/>
        <v/>
      </c>
      <c r="G53" s="26" t="str">
        <f t="shared" ca="1" si="8"/>
        <v/>
      </c>
      <c r="H53" s="55" t="str">
        <f t="shared" ca="1" si="12"/>
        <v/>
      </c>
      <c r="J53" s="37"/>
      <c r="L53" s="37"/>
      <c r="N53" s="95" t="str">
        <f t="shared" si="0"/>
        <v/>
      </c>
      <c r="O53" s="95" t="str">
        <f t="shared" si="1"/>
        <v/>
      </c>
    </row>
    <row r="54" spans="1:15" x14ac:dyDescent="0.25">
      <c r="A54" s="98" t="str">
        <f t="shared" ca="1" si="2"/>
        <v/>
      </c>
      <c r="B54" s="33" t="str">
        <f t="shared" ca="1" si="10"/>
        <v/>
      </c>
      <c r="C54" s="25" t="str">
        <f t="shared" ca="1" si="4"/>
        <v/>
      </c>
      <c r="D54" s="26" t="str">
        <f t="shared" ca="1" si="5"/>
        <v/>
      </c>
      <c r="E54" s="4" t="str">
        <f t="shared" ca="1" si="11"/>
        <v/>
      </c>
      <c r="F54" s="25" t="str">
        <f t="shared" ca="1" si="7"/>
        <v/>
      </c>
      <c r="G54" s="26" t="str">
        <f t="shared" ca="1" si="8"/>
        <v/>
      </c>
      <c r="H54" s="55" t="str">
        <f t="shared" ca="1" si="12"/>
        <v/>
      </c>
      <c r="J54" s="37"/>
      <c r="L54" s="37"/>
      <c r="N54" s="95" t="str">
        <f t="shared" si="0"/>
        <v/>
      </c>
      <c r="O54" s="95" t="str">
        <f t="shared" si="1"/>
        <v/>
      </c>
    </row>
    <row r="55" spans="1:15" x14ac:dyDescent="0.25">
      <c r="A55" s="98" t="str">
        <f t="shared" ca="1" si="2"/>
        <v/>
      </c>
      <c r="B55" s="33" t="str">
        <f t="shared" ca="1" si="10"/>
        <v/>
      </c>
      <c r="C55" s="25" t="str">
        <f t="shared" ca="1" si="4"/>
        <v/>
      </c>
      <c r="D55" s="26" t="str">
        <f t="shared" ca="1" si="5"/>
        <v/>
      </c>
      <c r="E55" s="4" t="str">
        <f t="shared" ca="1" si="11"/>
        <v/>
      </c>
      <c r="F55" s="25" t="str">
        <f t="shared" ca="1" si="7"/>
        <v/>
      </c>
      <c r="G55" s="26" t="str">
        <f t="shared" ca="1" si="8"/>
        <v/>
      </c>
      <c r="H55" s="55" t="str">
        <f t="shared" ca="1" si="12"/>
        <v/>
      </c>
      <c r="J55" s="37"/>
      <c r="L55" s="37"/>
      <c r="N55" s="95" t="str">
        <f t="shared" si="0"/>
        <v/>
      </c>
      <c r="O55" s="95" t="str">
        <f t="shared" si="1"/>
        <v/>
      </c>
    </row>
    <row r="56" spans="1:15" x14ac:dyDescent="0.25">
      <c r="A56" s="98" t="str">
        <f t="shared" ca="1" si="2"/>
        <v/>
      </c>
      <c r="B56" s="33" t="str">
        <f t="shared" ca="1" si="10"/>
        <v/>
      </c>
      <c r="C56" s="25" t="str">
        <f t="shared" ca="1" si="4"/>
        <v/>
      </c>
      <c r="D56" s="26" t="str">
        <f t="shared" ca="1" si="5"/>
        <v/>
      </c>
      <c r="E56" s="4" t="str">
        <f t="shared" ca="1" si="11"/>
        <v/>
      </c>
      <c r="F56" s="25" t="str">
        <f t="shared" ca="1" si="7"/>
        <v/>
      </c>
      <c r="G56" s="26" t="str">
        <f t="shared" ca="1" si="8"/>
        <v/>
      </c>
      <c r="H56" s="55" t="str">
        <f t="shared" ca="1" si="12"/>
        <v/>
      </c>
      <c r="J56" s="37"/>
      <c r="L56" s="37"/>
      <c r="N56" s="95" t="str">
        <f t="shared" si="0"/>
        <v/>
      </c>
      <c r="O56" s="95" t="str">
        <f t="shared" si="1"/>
        <v/>
      </c>
    </row>
    <row r="57" spans="1:15" x14ac:dyDescent="0.25">
      <c r="A57" s="98" t="str">
        <f t="shared" ca="1" si="2"/>
        <v/>
      </c>
      <c r="B57" s="33" t="str">
        <f t="shared" ca="1" si="10"/>
        <v/>
      </c>
      <c r="C57" s="25" t="str">
        <f t="shared" ca="1" si="4"/>
        <v/>
      </c>
      <c r="D57" s="26" t="str">
        <f t="shared" ca="1" si="5"/>
        <v/>
      </c>
      <c r="E57" s="4" t="str">
        <f t="shared" ca="1" si="11"/>
        <v/>
      </c>
      <c r="F57" s="25" t="str">
        <f t="shared" ca="1" si="7"/>
        <v/>
      </c>
      <c r="G57" s="26" t="str">
        <f t="shared" ca="1" si="8"/>
        <v/>
      </c>
      <c r="H57" s="55" t="str">
        <f t="shared" ca="1" si="12"/>
        <v/>
      </c>
      <c r="J57" s="37"/>
      <c r="L57" s="37"/>
      <c r="N57" s="95" t="str">
        <f t="shared" si="0"/>
        <v/>
      </c>
      <c r="O57" s="95" t="str">
        <f t="shared" si="1"/>
        <v/>
      </c>
    </row>
    <row r="58" spans="1:15" x14ac:dyDescent="0.25">
      <c r="A58" s="98" t="str">
        <f t="shared" ca="1" si="2"/>
        <v/>
      </c>
      <c r="B58" s="33" t="str">
        <f t="shared" ca="1" si="10"/>
        <v/>
      </c>
      <c r="C58" s="25" t="str">
        <f t="shared" ca="1" si="4"/>
        <v/>
      </c>
      <c r="D58" s="26" t="str">
        <f t="shared" ca="1" si="5"/>
        <v/>
      </c>
      <c r="E58" s="4" t="str">
        <f t="shared" ca="1" si="11"/>
        <v/>
      </c>
      <c r="F58" s="25" t="str">
        <f t="shared" ca="1" si="7"/>
        <v/>
      </c>
      <c r="G58" s="26" t="str">
        <f t="shared" ca="1" si="8"/>
        <v/>
      </c>
      <c r="H58" s="55" t="str">
        <f t="shared" ca="1" si="12"/>
        <v/>
      </c>
      <c r="J58" s="37"/>
      <c r="L58" s="37"/>
      <c r="N58" s="95" t="str">
        <f t="shared" si="0"/>
        <v/>
      </c>
      <c r="O58" s="95" t="str">
        <f t="shared" si="1"/>
        <v/>
      </c>
    </row>
    <row r="59" spans="1:15" x14ac:dyDescent="0.25">
      <c r="A59" s="98" t="str">
        <f t="shared" ca="1" si="2"/>
        <v/>
      </c>
      <c r="B59" s="33" t="str">
        <f t="shared" ca="1" si="10"/>
        <v/>
      </c>
      <c r="C59" s="25" t="str">
        <f t="shared" ca="1" si="4"/>
        <v/>
      </c>
      <c r="D59" s="26" t="str">
        <f t="shared" ca="1" si="5"/>
        <v/>
      </c>
      <c r="E59" s="4" t="str">
        <f t="shared" ca="1" si="11"/>
        <v/>
      </c>
      <c r="F59" s="25" t="str">
        <f t="shared" ca="1" si="7"/>
        <v/>
      </c>
      <c r="G59" s="26" t="str">
        <f t="shared" ca="1" si="8"/>
        <v/>
      </c>
      <c r="H59" s="55" t="str">
        <f t="shared" ca="1" si="12"/>
        <v/>
      </c>
      <c r="J59" s="37"/>
      <c r="L59" s="37"/>
      <c r="N59" s="95" t="str">
        <f t="shared" si="0"/>
        <v/>
      </c>
      <c r="O59" s="95" t="str">
        <f t="shared" si="1"/>
        <v/>
      </c>
    </row>
    <row r="60" spans="1:15" x14ac:dyDescent="0.25">
      <c r="A60" s="98" t="str">
        <f t="shared" ca="1" si="2"/>
        <v/>
      </c>
      <c r="B60" s="33" t="str">
        <f t="shared" ca="1" si="10"/>
        <v/>
      </c>
      <c r="C60" s="25" t="str">
        <f t="shared" ca="1" si="4"/>
        <v/>
      </c>
      <c r="D60" s="26" t="str">
        <f t="shared" ca="1" si="5"/>
        <v/>
      </c>
      <c r="E60" s="4" t="str">
        <f t="shared" ca="1" si="11"/>
        <v/>
      </c>
      <c r="F60" s="25" t="str">
        <f t="shared" ca="1" si="7"/>
        <v/>
      </c>
      <c r="G60" s="26" t="str">
        <f t="shared" ca="1" si="8"/>
        <v/>
      </c>
      <c r="H60" s="55" t="str">
        <f t="shared" ca="1" si="12"/>
        <v/>
      </c>
      <c r="J60" s="37"/>
      <c r="L60" s="37"/>
      <c r="N60" s="95" t="str">
        <f t="shared" si="0"/>
        <v/>
      </c>
      <c r="O60" s="95" t="str">
        <f t="shared" si="1"/>
        <v/>
      </c>
    </row>
    <row r="61" spans="1:15" x14ac:dyDescent="0.25">
      <c r="A61" s="98" t="str">
        <f t="shared" ca="1" si="2"/>
        <v/>
      </c>
      <c r="B61" s="33" t="str">
        <f t="shared" ca="1" si="10"/>
        <v/>
      </c>
      <c r="C61" s="25" t="str">
        <f t="shared" ca="1" si="4"/>
        <v/>
      </c>
      <c r="D61" s="26" t="str">
        <f t="shared" ca="1" si="5"/>
        <v/>
      </c>
      <c r="E61" s="4" t="str">
        <f t="shared" ca="1" si="11"/>
        <v/>
      </c>
      <c r="F61" s="25" t="str">
        <f t="shared" ca="1" si="7"/>
        <v/>
      </c>
      <c r="G61" s="26" t="str">
        <f t="shared" ca="1" si="8"/>
        <v/>
      </c>
      <c r="H61" s="55" t="str">
        <f t="shared" ca="1" si="12"/>
        <v/>
      </c>
      <c r="J61" s="37"/>
      <c r="L61" s="37"/>
      <c r="N61" s="95" t="str">
        <f t="shared" si="0"/>
        <v/>
      </c>
      <c r="O61" s="95" t="str">
        <f t="shared" si="1"/>
        <v/>
      </c>
    </row>
    <row r="62" spans="1:15" x14ac:dyDescent="0.25">
      <c r="A62" s="98" t="str">
        <f t="shared" ca="1" si="2"/>
        <v/>
      </c>
      <c r="B62" s="33" t="str">
        <f t="shared" ca="1" si="10"/>
        <v/>
      </c>
      <c r="C62" s="25" t="str">
        <f t="shared" ca="1" si="4"/>
        <v/>
      </c>
      <c r="D62" s="26" t="str">
        <f t="shared" ca="1" si="5"/>
        <v/>
      </c>
      <c r="E62" s="4" t="str">
        <f t="shared" ca="1" si="11"/>
        <v/>
      </c>
      <c r="F62" s="25" t="str">
        <f t="shared" ca="1" si="7"/>
        <v/>
      </c>
      <c r="G62" s="26" t="str">
        <f t="shared" ca="1" si="8"/>
        <v/>
      </c>
      <c r="H62" s="55" t="str">
        <f t="shared" ca="1" si="12"/>
        <v/>
      </c>
      <c r="J62" s="37"/>
      <c r="L62" s="37"/>
      <c r="N62" s="95" t="str">
        <f t="shared" si="0"/>
        <v/>
      </c>
      <c r="O62" s="95" t="str">
        <f t="shared" si="1"/>
        <v/>
      </c>
    </row>
    <row r="63" spans="1:15" x14ac:dyDescent="0.25">
      <c r="A63" s="98" t="str">
        <f t="shared" ca="1" si="2"/>
        <v/>
      </c>
      <c r="B63" s="33" t="str">
        <f t="shared" ca="1" si="10"/>
        <v/>
      </c>
      <c r="C63" s="25" t="str">
        <f t="shared" ca="1" si="4"/>
        <v/>
      </c>
      <c r="D63" s="26" t="str">
        <f t="shared" ca="1" si="5"/>
        <v/>
      </c>
      <c r="E63" s="4" t="str">
        <f t="shared" ca="1" si="11"/>
        <v/>
      </c>
      <c r="F63" s="25" t="str">
        <f t="shared" ca="1" si="7"/>
        <v/>
      </c>
      <c r="G63" s="26" t="str">
        <f t="shared" ca="1" si="8"/>
        <v/>
      </c>
      <c r="H63" s="55" t="str">
        <f t="shared" ca="1" si="12"/>
        <v/>
      </c>
      <c r="J63" s="37"/>
      <c r="L63" s="37"/>
      <c r="N63" s="95" t="str">
        <f t="shared" si="0"/>
        <v/>
      </c>
      <c r="O63" s="95" t="str">
        <f t="shared" si="1"/>
        <v/>
      </c>
    </row>
    <row r="64" spans="1:15" x14ac:dyDescent="0.25">
      <c r="A64" s="98" t="str">
        <f t="shared" ca="1" si="2"/>
        <v/>
      </c>
      <c r="B64" s="33" t="str">
        <f t="shared" ca="1" si="10"/>
        <v/>
      </c>
      <c r="C64" s="25" t="str">
        <f t="shared" ca="1" si="4"/>
        <v/>
      </c>
      <c r="D64" s="26" t="str">
        <f t="shared" ca="1" si="5"/>
        <v/>
      </c>
      <c r="E64" s="4" t="str">
        <f t="shared" ca="1" si="11"/>
        <v/>
      </c>
      <c r="F64" s="25" t="str">
        <f t="shared" ca="1" si="7"/>
        <v/>
      </c>
      <c r="G64" s="26" t="str">
        <f t="shared" ca="1" si="8"/>
        <v/>
      </c>
      <c r="H64" s="55" t="str">
        <f t="shared" ca="1" si="12"/>
        <v/>
      </c>
      <c r="J64" s="37"/>
      <c r="L64" s="37"/>
      <c r="N64" s="95" t="str">
        <f t="shared" si="0"/>
        <v/>
      </c>
      <c r="O64" s="95" t="str">
        <f t="shared" si="1"/>
        <v/>
      </c>
    </row>
    <row r="65" spans="1:15" x14ac:dyDescent="0.25">
      <c r="A65" s="98" t="str">
        <f t="shared" ca="1" si="2"/>
        <v/>
      </c>
      <c r="B65" s="33" t="str">
        <f t="shared" ca="1" si="10"/>
        <v/>
      </c>
      <c r="C65" s="25" t="str">
        <f t="shared" ca="1" si="4"/>
        <v/>
      </c>
      <c r="D65" s="26" t="str">
        <f t="shared" ca="1" si="5"/>
        <v/>
      </c>
      <c r="E65" s="4" t="str">
        <f t="shared" ca="1" si="11"/>
        <v/>
      </c>
      <c r="F65" s="25" t="str">
        <f t="shared" ca="1" si="7"/>
        <v/>
      </c>
      <c r="G65" s="26" t="str">
        <f t="shared" ca="1" si="8"/>
        <v/>
      </c>
      <c r="H65" s="55" t="str">
        <f t="shared" ca="1" si="12"/>
        <v/>
      </c>
      <c r="J65" s="37"/>
      <c r="L65" s="37"/>
      <c r="N65" s="95" t="str">
        <f t="shared" si="0"/>
        <v/>
      </c>
      <c r="O65" s="95" t="str">
        <f t="shared" si="1"/>
        <v/>
      </c>
    </row>
    <row r="66" spans="1:15" x14ac:dyDescent="0.25">
      <c r="A66" s="98" t="str">
        <f t="shared" ca="1" si="2"/>
        <v/>
      </c>
      <c r="B66" s="33" t="str">
        <f t="shared" ca="1" si="10"/>
        <v/>
      </c>
      <c r="C66" s="25" t="str">
        <f t="shared" ca="1" si="4"/>
        <v/>
      </c>
      <c r="D66" s="26" t="str">
        <f t="shared" ca="1" si="5"/>
        <v/>
      </c>
      <c r="E66" s="4" t="str">
        <f t="shared" ca="1" si="11"/>
        <v/>
      </c>
      <c r="F66" s="25" t="str">
        <f t="shared" ca="1" si="7"/>
        <v/>
      </c>
      <c r="G66" s="26" t="str">
        <f t="shared" ca="1" si="8"/>
        <v/>
      </c>
      <c r="H66" s="55" t="str">
        <f t="shared" ca="1" si="12"/>
        <v/>
      </c>
      <c r="J66" s="37"/>
      <c r="L66" s="37"/>
      <c r="N66" s="95" t="str">
        <f t="shared" si="0"/>
        <v/>
      </c>
      <c r="O66" s="95" t="str">
        <f t="shared" si="1"/>
        <v/>
      </c>
    </row>
    <row r="67" spans="1:15" x14ac:dyDescent="0.25">
      <c r="A67" s="98" t="str">
        <f t="shared" ca="1" si="2"/>
        <v/>
      </c>
      <c r="B67" s="33" t="str">
        <f t="shared" ca="1" si="10"/>
        <v/>
      </c>
      <c r="C67" s="25" t="str">
        <f t="shared" ca="1" si="4"/>
        <v/>
      </c>
      <c r="D67" s="26" t="str">
        <f t="shared" ca="1" si="5"/>
        <v/>
      </c>
      <c r="E67" s="4" t="str">
        <f t="shared" ca="1" si="11"/>
        <v/>
      </c>
      <c r="F67" s="25" t="str">
        <f t="shared" ca="1" si="7"/>
        <v/>
      </c>
      <c r="G67" s="26" t="str">
        <f t="shared" ca="1" si="8"/>
        <v/>
      </c>
      <c r="H67" s="55" t="str">
        <f t="shared" ca="1" si="12"/>
        <v/>
      </c>
      <c r="J67" s="37"/>
      <c r="L67" s="37"/>
      <c r="N67" s="95" t="str">
        <f t="shared" si="0"/>
        <v/>
      </c>
      <c r="O67" s="95" t="str">
        <f t="shared" si="1"/>
        <v/>
      </c>
    </row>
    <row r="68" spans="1:15" x14ac:dyDescent="0.25">
      <c r="A68" s="98" t="str">
        <f t="shared" ca="1" si="2"/>
        <v/>
      </c>
      <c r="B68" s="33" t="str">
        <f t="shared" ca="1" si="10"/>
        <v/>
      </c>
      <c r="C68" s="25" t="str">
        <f t="shared" ca="1" si="4"/>
        <v/>
      </c>
      <c r="D68" s="26" t="str">
        <f t="shared" ca="1" si="5"/>
        <v/>
      </c>
      <c r="E68" s="4" t="str">
        <f t="shared" ca="1" si="11"/>
        <v/>
      </c>
      <c r="F68" s="25" t="str">
        <f t="shared" ca="1" si="7"/>
        <v/>
      </c>
      <c r="G68" s="26" t="str">
        <f t="shared" ca="1" si="8"/>
        <v/>
      </c>
      <c r="H68" s="55" t="str">
        <f t="shared" ca="1" si="12"/>
        <v/>
      </c>
      <c r="J68" s="37"/>
      <c r="L68" s="37"/>
      <c r="N68" s="95" t="str">
        <f t="shared" ref="N68:N131" si="13">IF(COUNTIF(L:L,J68)=1,J68,"")</f>
        <v/>
      </c>
      <c r="O68" s="95" t="str">
        <f t="shared" ref="O68:O131" si="14">IF(N68&gt;$A$14,N68,"")</f>
        <v/>
      </c>
    </row>
    <row r="69" spans="1:15" x14ac:dyDescent="0.25">
      <c r="A69" s="98" t="str">
        <f t="shared" ca="1" si="2"/>
        <v/>
      </c>
      <c r="B69" s="33" t="str">
        <f t="shared" ca="1" si="10"/>
        <v/>
      </c>
      <c r="C69" s="25" t="str">
        <f t="shared" ca="1" si="4"/>
        <v/>
      </c>
      <c r="D69" s="26" t="str">
        <f t="shared" ca="1" si="5"/>
        <v/>
      </c>
      <c r="E69" s="4" t="str">
        <f t="shared" ca="1" si="11"/>
        <v/>
      </c>
      <c r="F69" s="25" t="str">
        <f t="shared" ca="1" si="7"/>
        <v/>
      </c>
      <c r="G69" s="26" t="str">
        <f t="shared" ca="1" si="8"/>
        <v/>
      </c>
      <c r="H69" s="55" t="str">
        <f t="shared" ca="1" si="12"/>
        <v/>
      </c>
      <c r="J69" s="37"/>
      <c r="L69" s="37"/>
      <c r="N69" s="95" t="str">
        <f t="shared" si="13"/>
        <v/>
      </c>
      <c r="O69" s="95" t="str">
        <f t="shared" si="14"/>
        <v/>
      </c>
    </row>
    <row r="70" spans="1:15" x14ac:dyDescent="0.25">
      <c r="A70" s="98" t="str">
        <f t="shared" ca="1" si="2"/>
        <v/>
      </c>
      <c r="B70" s="33" t="str">
        <f t="shared" ca="1" si="10"/>
        <v/>
      </c>
      <c r="C70" s="25" t="str">
        <f t="shared" ca="1" si="4"/>
        <v/>
      </c>
      <c r="D70" s="26" t="str">
        <f t="shared" ca="1" si="5"/>
        <v/>
      </c>
      <c r="E70" s="4" t="str">
        <f t="shared" ca="1" si="11"/>
        <v/>
      </c>
      <c r="F70" s="25" t="str">
        <f t="shared" ca="1" si="7"/>
        <v/>
      </c>
      <c r="G70" s="26" t="str">
        <f t="shared" ca="1" si="8"/>
        <v/>
      </c>
      <c r="H70" s="55" t="str">
        <f t="shared" ca="1" si="12"/>
        <v/>
      </c>
      <c r="J70" s="37"/>
      <c r="L70" s="37"/>
      <c r="N70" s="95" t="str">
        <f t="shared" si="13"/>
        <v/>
      </c>
      <c r="O70" s="95" t="str">
        <f t="shared" si="14"/>
        <v/>
      </c>
    </row>
    <row r="71" spans="1:15" x14ac:dyDescent="0.25">
      <c r="A71" s="98" t="str">
        <f t="shared" ca="1" si="2"/>
        <v/>
      </c>
      <c r="B71" s="33" t="str">
        <f t="shared" ca="1" si="10"/>
        <v/>
      </c>
      <c r="C71" s="25" t="str">
        <f t="shared" ca="1" si="4"/>
        <v/>
      </c>
      <c r="D71" s="26" t="str">
        <f t="shared" ca="1" si="5"/>
        <v/>
      </c>
      <c r="E71" s="4" t="str">
        <f t="shared" ca="1" si="11"/>
        <v/>
      </c>
      <c r="F71" s="25" t="str">
        <f t="shared" ca="1" si="7"/>
        <v/>
      </c>
      <c r="G71" s="26" t="str">
        <f t="shared" ca="1" si="8"/>
        <v/>
      </c>
      <c r="H71" s="55" t="str">
        <f t="shared" ca="1" si="12"/>
        <v/>
      </c>
      <c r="J71" s="37"/>
      <c r="L71" s="37"/>
      <c r="N71" s="95" t="str">
        <f t="shared" si="13"/>
        <v/>
      </c>
      <c r="O71" s="95" t="str">
        <f t="shared" si="14"/>
        <v/>
      </c>
    </row>
    <row r="72" spans="1:15" x14ac:dyDescent="0.25">
      <c r="A72" s="98" t="str">
        <f t="shared" ca="1" si="2"/>
        <v/>
      </c>
      <c r="B72" s="33" t="str">
        <f t="shared" ca="1" si="10"/>
        <v/>
      </c>
      <c r="C72" s="25" t="str">
        <f t="shared" ca="1" si="4"/>
        <v/>
      </c>
      <c r="D72" s="26" t="str">
        <f t="shared" ca="1" si="5"/>
        <v/>
      </c>
      <c r="E72" s="4" t="str">
        <f t="shared" ca="1" si="11"/>
        <v/>
      </c>
      <c r="F72" s="25" t="str">
        <f t="shared" ca="1" si="7"/>
        <v/>
      </c>
      <c r="G72" s="26" t="str">
        <f t="shared" ca="1" si="8"/>
        <v/>
      </c>
      <c r="H72" s="55" t="str">
        <f t="shared" ca="1" si="12"/>
        <v/>
      </c>
      <c r="J72" s="37"/>
      <c r="L72" s="37"/>
      <c r="N72" s="95" t="str">
        <f t="shared" si="13"/>
        <v/>
      </c>
      <c r="O72" s="95" t="str">
        <f t="shared" si="14"/>
        <v/>
      </c>
    </row>
    <row r="73" spans="1:15" x14ac:dyDescent="0.25">
      <c r="A73" s="98" t="str">
        <f t="shared" ca="1" si="2"/>
        <v/>
      </c>
      <c r="B73" s="33" t="str">
        <f t="shared" ca="1" si="10"/>
        <v/>
      </c>
      <c r="C73" s="25" t="str">
        <f t="shared" ca="1" si="4"/>
        <v/>
      </c>
      <c r="D73" s="26" t="str">
        <f t="shared" ca="1" si="5"/>
        <v/>
      </c>
      <c r="E73" s="4" t="str">
        <f t="shared" ca="1" si="11"/>
        <v/>
      </c>
      <c r="F73" s="25" t="str">
        <f t="shared" ca="1" si="7"/>
        <v/>
      </c>
      <c r="G73" s="26" t="str">
        <f t="shared" ca="1" si="8"/>
        <v/>
      </c>
      <c r="H73" s="55" t="str">
        <f t="shared" ca="1" si="12"/>
        <v/>
      </c>
      <c r="J73" s="37"/>
      <c r="L73" s="37"/>
      <c r="N73" s="95" t="str">
        <f t="shared" si="13"/>
        <v/>
      </c>
      <c r="O73" s="95" t="str">
        <f t="shared" si="14"/>
        <v/>
      </c>
    </row>
    <row r="74" spans="1:15" x14ac:dyDescent="0.25">
      <c r="A74" s="98" t="str">
        <f t="shared" ca="1" si="2"/>
        <v/>
      </c>
      <c r="B74" s="33" t="str">
        <f t="shared" ca="1" si="10"/>
        <v/>
      </c>
      <c r="C74" s="25" t="str">
        <f t="shared" ca="1" si="4"/>
        <v/>
      </c>
      <c r="D74" s="26" t="str">
        <f t="shared" ca="1" si="5"/>
        <v/>
      </c>
      <c r="E74" s="4" t="str">
        <f t="shared" ca="1" si="11"/>
        <v/>
      </c>
      <c r="F74" s="25" t="str">
        <f t="shared" ca="1" si="7"/>
        <v/>
      </c>
      <c r="G74" s="26" t="str">
        <f t="shared" ca="1" si="8"/>
        <v/>
      </c>
      <c r="H74" s="55" t="str">
        <f t="shared" ca="1" si="12"/>
        <v/>
      </c>
      <c r="J74" s="37"/>
      <c r="L74" s="37"/>
      <c r="N74" s="95" t="str">
        <f t="shared" si="13"/>
        <v/>
      </c>
      <c r="O74" s="95" t="str">
        <f t="shared" si="14"/>
        <v/>
      </c>
    </row>
    <row r="75" spans="1:15" x14ac:dyDescent="0.25">
      <c r="A75" s="98" t="str">
        <f t="shared" ca="1" si="2"/>
        <v/>
      </c>
      <c r="B75" s="33" t="str">
        <f t="shared" ca="1" si="10"/>
        <v/>
      </c>
      <c r="C75" s="25" t="str">
        <f t="shared" ca="1" si="4"/>
        <v/>
      </c>
      <c r="D75" s="26" t="str">
        <f t="shared" ca="1" si="5"/>
        <v/>
      </c>
      <c r="E75" s="4" t="str">
        <f t="shared" ca="1" si="11"/>
        <v/>
      </c>
      <c r="F75" s="25" t="str">
        <f t="shared" ca="1" si="7"/>
        <v/>
      </c>
      <c r="G75" s="26" t="str">
        <f t="shared" ca="1" si="8"/>
        <v/>
      </c>
      <c r="H75" s="55" t="str">
        <f t="shared" ca="1" si="12"/>
        <v/>
      </c>
      <c r="J75" s="37"/>
      <c r="L75" s="37"/>
      <c r="N75" s="95" t="str">
        <f t="shared" si="13"/>
        <v/>
      </c>
      <c r="O75" s="95" t="str">
        <f t="shared" si="14"/>
        <v/>
      </c>
    </row>
    <row r="76" spans="1:15" x14ac:dyDescent="0.25">
      <c r="A76" s="98" t="str">
        <f t="shared" ca="1" si="2"/>
        <v/>
      </c>
      <c r="B76" s="33" t="str">
        <f t="shared" ca="1" si="10"/>
        <v/>
      </c>
      <c r="C76" s="25" t="str">
        <f t="shared" ca="1" si="4"/>
        <v/>
      </c>
      <c r="D76" s="26" t="str">
        <f t="shared" ca="1" si="5"/>
        <v/>
      </c>
      <c r="E76" s="4" t="str">
        <f t="shared" ca="1" si="11"/>
        <v/>
      </c>
      <c r="F76" s="25" t="str">
        <f t="shared" ca="1" si="7"/>
        <v/>
      </c>
      <c r="G76" s="26" t="str">
        <f t="shared" ca="1" si="8"/>
        <v/>
      </c>
      <c r="H76" s="55" t="str">
        <f t="shared" ca="1" si="12"/>
        <v/>
      </c>
      <c r="J76" s="37"/>
      <c r="L76" s="37"/>
      <c r="N76" s="95" t="str">
        <f t="shared" si="13"/>
        <v/>
      </c>
      <c r="O76" s="95" t="str">
        <f t="shared" si="14"/>
        <v/>
      </c>
    </row>
    <row r="77" spans="1:15" x14ac:dyDescent="0.25">
      <c r="A77" s="98" t="str">
        <f t="shared" ca="1" si="2"/>
        <v/>
      </c>
      <c r="B77" s="33" t="str">
        <f t="shared" ca="1" si="10"/>
        <v/>
      </c>
      <c r="C77" s="25" t="str">
        <f t="shared" ca="1" si="4"/>
        <v/>
      </c>
      <c r="D77" s="26" t="str">
        <f t="shared" ca="1" si="5"/>
        <v/>
      </c>
      <c r="E77" s="4" t="str">
        <f t="shared" ca="1" si="11"/>
        <v/>
      </c>
      <c r="F77" s="25" t="str">
        <f t="shared" ca="1" si="7"/>
        <v/>
      </c>
      <c r="G77" s="26" t="str">
        <f t="shared" ca="1" si="8"/>
        <v/>
      </c>
      <c r="H77" s="55" t="str">
        <f t="shared" ca="1" si="12"/>
        <v/>
      </c>
      <c r="J77" s="37"/>
      <c r="L77" s="37"/>
      <c r="N77" s="95" t="str">
        <f t="shared" si="13"/>
        <v/>
      </c>
      <c r="O77" s="95" t="str">
        <f t="shared" si="14"/>
        <v/>
      </c>
    </row>
    <row r="78" spans="1:15" x14ac:dyDescent="0.25">
      <c r="A78" s="98" t="str">
        <f t="shared" ca="1" si="2"/>
        <v/>
      </c>
      <c r="B78" s="33" t="str">
        <f t="shared" ca="1" si="10"/>
        <v/>
      </c>
      <c r="C78" s="25" t="str">
        <f t="shared" ca="1" si="4"/>
        <v/>
      </c>
      <c r="D78" s="26" t="str">
        <f t="shared" ca="1" si="5"/>
        <v/>
      </c>
      <c r="E78" s="4" t="str">
        <f t="shared" ca="1" si="11"/>
        <v/>
      </c>
      <c r="F78" s="25" t="str">
        <f t="shared" ca="1" si="7"/>
        <v/>
      </c>
      <c r="G78" s="26" t="str">
        <f t="shared" ca="1" si="8"/>
        <v/>
      </c>
      <c r="H78" s="55" t="str">
        <f t="shared" ca="1" si="12"/>
        <v/>
      </c>
      <c r="J78" s="37"/>
      <c r="L78" s="37"/>
      <c r="N78" s="95" t="str">
        <f t="shared" si="13"/>
        <v/>
      </c>
      <c r="O78" s="95" t="str">
        <f t="shared" si="14"/>
        <v/>
      </c>
    </row>
    <row r="79" spans="1:15" x14ac:dyDescent="0.25">
      <c r="A79" s="98" t="str">
        <f t="shared" ca="1" si="2"/>
        <v/>
      </c>
      <c r="B79" s="33" t="str">
        <f t="shared" ca="1" si="10"/>
        <v/>
      </c>
      <c r="C79" s="25" t="str">
        <f t="shared" ca="1" si="4"/>
        <v/>
      </c>
      <c r="D79" s="26" t="str">
        <f t="shared" ca="1" si="5"/>
        <v/>
      </c>
      <c r="E79" s="4" t="str">
        <f t="shared" ca="1" si="11"/>
        <v/>
      </c>
      <c r="F79" s="25" t="str">
        <f t="shared" ca="1" si="7"/>
        <v/>
      </c>
      <c r="G79" s="26" t="str">
        <f t="shared" ca="1" si="8"/>
        <v/>
      </c>
      <c r="H79" s="55" t="str">
        <f t="shared" ca="1" si="12"/>
        <v/>
      </c>
      <c r="J79" s="37"/>
      <c r="L79" s="37"/>
      <c r="N79" s="95" t="str">
        <f t="shared" si="13"/>
        <v/>
      </c>
      <c r="O79" s="95" t="str">
        <f t="shared" si="14"/>
        <v/>
      </c>
    </row>
    <row r="80" spans="1:15" x14ac:dyDescent="0.25">
      <c r="A80" s="98" t="str">
        <f t="shared" ref="A80:A143" ca="1" si="15">IF(AND(ISBLANK(P67), A79 = $P$1),NOW(),IF(ISBLANK(P67),"",P67))</f>
        <v/>
      </c>
      <c r="B80" s="33" t="str">
        <f t="shared" ca="1" si="10"/>
        <v/>
      </c>
      <c r="C80" s="25" t="str">
        <f t="shared" ref="C80:C136" ca="1" si="16">IF(ISERROR(B80-2),"",(B80-$B$14)/100*$B$5)</f>
        <v/>
      </c>
      <c r="D80" s="26" t="str">
        <f t="shared" ref="D80:D136" ca="1" si="17">IF(ISERROR(B80-2),"",(INT(A80)-INT($A$14))/360*$B$6*$B$5-(INT(A80)-INT($A$14))/360*$B$7*$B$5*$B$14/100)</f>
        <v/>
      </c>
      <c r="E80" s="4" t="str">
        <f t="shared" ca="1" si="11"/>
        <v/>
      </c>
      <c r="F80" s="25" t="str">
        <f t="shared" ref="F80:F136" ca="1" si="18">IF(ISERROR(E80-2), "", (E80-$E$14)/100*$C$5)</f>
        <v/>
      </c>
      <c r="G80" s="26" t="str">
        <f t="shared" ref="G80:G136" ca="1" si="19">IF(ISERROR(E80-2),"",(INT(A80)-INT($A$14))/360*$C$6*$C$5-(INT(A80)-INT($A$14))/360*$C$7*$C$5*$E$14/100)</f>
        <v/>
      </c>
      <c r="H80" s="55" t="str">
        <f t="shared" ca="1" si="12"/>
        <v/>
      </c>
      <c r="J80" s="37"/>
      <c r="L80" s="37"/>
      <c r="N80" s="95" t="str">
        <f t="shared" si="13"/>
        <v/>
      </c>
      <c r="O80" s="95" t="str">
        <f t="shared" si="14"/>
        <v/>
      </c>
    </row>
    <row r="81" spans="1:15" x14ac:dyDescent="0.25">
      <c r="A81" s="98" t="str">
        <f t="shared" ca="1" si="15"/>
        <v/>
      </c>
      <c r="B81" s="33" t="str">
        <f t="shared" ca="1" si="10"/>
        <v/>
      </c>
      <c r="C81" s="25" t="str">
        <f t="shared" ca="1" si="16"/>
        <v/>
      </c>
      <c r="D81" s="26" t="str">
        <f t="shared" ca="1" si="17"/>
        <v/>
      </c>
      <c r="E81" s="4" t="str">
        <f t="shared" ca="1" si="11"/>
        <v/>
      </c>
      <c r="F81" s="25" t="str">
        <f t="shared" ca="1" si="18"/>
        <v/>
      </c>
      <c r="G81" s="26" t="str">
        <f t="shared" ca="1" si="19"/>
        <v/>
      </c>
      <c r="H81" s="55" t="str">
        <f t="shared" ca="1" si="12"/>
        <v/>
      </c>
      <c r="J81" s="37"/>
      <c r="L81" s="37"/>
      <c r="N81" s="95" t="str">
        <f t="shared" si="13"/>
        <v/>
      </c>
      <c r="O81" s="95" t="str">
        <f t="shared" si="14"/>
        <v/>
      </c>
    </row>
    <row r="82" spans="1:15" x14ac:dyDescent="0.25">
      <c r="A82" s="98" t="str">
        <f t="shared" ca="1" si="15"/>
        <v/>
      </c>
      <c r="B82" s="33" t="str">
        <f t="shared" ca="1" si="10"/>
        <v/>
      </c>
      <c r="C82" s="25" t="str">
        <f t="shared" ca="1" si="16"/>
        <v/>
      </c>
      <c r="D82" s="26" t="str">
        <f t="shared" ca="1" si="17"/>
        <v/>
      </c>
      <c r="E82" s="4" t="str">
        <f t="shared" ca="1" si="11"/>
        <v/>
      </c>
      <c r="F82" s="25" t="str">
        <f t="shared" ca="1" si="18"/>
        <v/>
      </c>
      <c r="G82" s="26" t="str">
        <f t="shared" ca="1" si="19"/>
        <v/>
      </c>
      <c r="H82" s="55" t="str">
        <f t="shared" ca="1" si="12"/>
        <v/>
      </c>
      <c r="J82" s="37"/>
      <c r="L82" s="37"/>
      <c r="N82" s="95" t="str">
        <f t="shared" si="13"/>
        <v/>
      </c>
      <c r="O82" s="95" t="str">
        <f t="shared" si="14"/>
        <v/>
      </c>
    </row>
    <row r="83" spans="1:15" x14ac:dyDescent="0.25">
      <c r="A83" s="98" t="str">
        <f t="shared" ca="1" si="15"/>
        <v/>
      </c>
      <c r="B83" s="33" t="str">
        <f t="shared" ca="1" si="10"/>
        <v/>
      </c>
      <c r="C83" s="25" t="str">
        <f t="shared" ca="1" si="16"/>
        <v/>
      </c>
      <c r="D83" s="26" t="str">
        <f t="shared" ca="1" si="17"/>
        <v/>
      </c>
      <c r="E83" s="4" t="str">
        <f t="shared" ca="1" si="11"/>
        <v/>
      </c>
      <c r="F83" s="25" t="str">
        <f t="shared" ca="1" si="18"/>
        <v/>
      </c>
      <c r="G83" s="26" t="str">
        <f t="shared" ca="1" si="19"/>
        <v/>
      </c>
      <c r="H83" s="55" t="str">
        <f t="shared" ca="1" si="12"/>
        <v/>
      </c>
      <c r="J83" s="37"/>
      <c r="L83" s="37"/>
      <c r="N83" s="95" t="str">
        <f t="shared" si="13"/>
        <v/>
      </c>
      <c r="O83" s="95" t="str">
        <f t="shared" si="14"/>
        <v/>
      </c>
    </row>
    <row r="84" spans="1:15" x14ac:dyDescent="0.25">
      <c r="A84" s="98" t="str">
        <f t="shared" ca="1" si="15"/>
        <v/>
      </c>
      <c r="B84" s="33" t="str">
        <f t="shared" ca="1" si="10"/>
        <v/>
      </c>
      <c r="C84" s="25" t="str">
        <f t="shared" ca="1" si="16"/>
        <v/>
      </c>
      <c r="D84" s="26" t="str">
        <f t="shared" ca="1" si="17"/>
        <v/>
      </c>
      <c r="E84" s="4" t="str">
        <f t="shared" ca="1" si="11"/>
        <v/>
      </c>
      <c r="F84" s="25" t="str">
        <f t="shared" ca="1" si="18"/>
        <v/>
      </c>
      <c r="G84" s="26" t="str">
        <f t="shared" ca="1" si="19"/>
        <v/>
      </c>
      <c r="H84" s="55" t="str">
        <f t="shared" ca="1" si="12"/>
        <v/>
      </c>
      <c r="J84" s="37"/>
      <c r="L84" s="37"/>
      <c r="N84" s="95" t="str">
        <f t="shared" si="13"/>
        <v/>
      </c>
      <c r="O84" s="95" t="str">
        <f t="shared" si="14"/>
        <v/>
      </c>
    </row>
    <row r="85" spans="1:15" x14ac:dyDescent="0.25">
      <c r="A85" s="98" t="str">
        <f t="shared" ca="1" si="15"/>
        <v/>
      </c>
      <c r="B85" s="33" t="str">
        <f t="shared" ca="1" si="10"/>
        <v/>
      </c>
      <c r="C85" s="25" t="str">
        <f t="shared" ca="1" si="16"/>
        <v/>
      </c>
      <c r="D85" s="26" t="str">
        <f t="shared" ca="1" si="17"/>
        <v/>
      </c>
      <c r="E85" s="4" t="str">
        <f t="shared" ca="1" si="11"/>
        <v/>
      </c>
      <c r="F85" s="25" t="str">
        <f t="shared" ca="1" si="18"/>
        <v/>
      </c>
      <c r="G85" s="26" t="str">
        <f t="shared" ca="1" si="19"/>
        <v/>
      </c>
      <c r="H85" s="55" t="str">
        <f t="shared" ca="1" si="12"/>
        <v/>
      </c>
      <c r="J85" s="37"/>
      <c r="L85" s="37"/>
      <c r="N85" s="95" t="str">
        <f t="shared" si="13"/>
        <v/>
      </c>
      <c r="O85" s="95" t="str">
        <f t="shared" si="14"/>
        <v/>
      </c>
    </row>
    <row r="86" spans="1:15" x14ac:dyDescent="0.25">
      <c r="A86" s="98" t="str">
        <f t="shared" ca="1" si="15"/>
        <v/>
      </c>
      <c r="B86" s="33" t="str">
        <f t="shared" ca="1" si="10"/>
        <v/>
      </c>
      <c r="C86" s="25" t="str">
        <f t="shared" ca="1" si="16"/>
        <v/>
      </c>
      <c r="D86" s="26" t="str">
        <f t="shared" ca="1" si="17"/>
        <v/>
      </c>
      <c r="E86" s="4" t="str">
        <f t="shared" ca="1" si="11"/>
        <v/>
      </c>
      <c r="F86" s="25" t="str">
        <f t="shared" ca="1" si="18"/>
        <v/>
      </c>
      <c r="G86" s="26" t="str">
        <f t="shared" ca="1" si="19"/>
        <v/>
      </c>
      <c r="H86" s="55" t="str">
        <f t="shared" ca="1" si="12"/>
        <v/>
      </c>
      <c r="J86" s="37"/>
      <c r="L86" s="37"/>
      <c r="N86" s="95" t="str">
        <f t="shared" si="13"/>
        <v/>
      </c>
      <c r="O86" s="95" t="str">
        <f t="shared" si="14"/>
        <v/>
      </c>
    </row>
    <row r="87" spans="1:15" x14ac:dyDescent="0.25">
      <c r="A87" s="98" t="str">
        <f t="shared" ca="1" si="15"/>
        <v/>
      </c>
      <c r="B87" s="33" t="str">
        <f t="shared" ca="1" si="10"/>
        <v/>
      </c>
      <c r="C87" s="25" t="str">
        <f t="shared" ca="1" si="16"/>
        <v/>
      </c>
      <c r="D87" s="26" t="str">
        <f t="shared" ca="1" si="17"/>
        <v/>
      </c>
      <c r="E87" s="4" t="str">
        <f t="shared" ca="1" si="11"/>
        <v/>
      </c>
      <c r="F87" s="25" t="str">
        <f t="shared" ca="1" si="18"/>
        <v/>
      </c>
      <c r="G87" s="26" t="str">
        <f t="shared" ca="1" si="19"/>
        <v/>
      </c>
      <c r="H87" s="55" t="str">
        <f t="shared" ca="1" si="12"/>
        <v/>
      </c>
      <c r="J87" s="37"/>
      <c r="L87" s="37"/>
      <c r="N87" s="95" t="str">
        <f t="shared" si="13"/>
        <v/>
      </c>
      <c r="O87" s="95" t="str">
        <f t="shared" si="14"/>
        <v/>
      </c>
    </row>
    <row r="88" spans="1:15" x14ac:dyDescent="0.25">
      <c r="A88" s="98" t="str">
        <f t="shared" ca="1" si="15"/>
        <v/>
      </c>
      <c r="B88" s="33" t="str">
        <f t="shared" ca="1" si="10"/>
        <v/>
      </c>
      <c r="C88" s="25" t="str">
        <f t="shared" ca="1" si="16"/>
        <v/>
      </c>
      <c r="D88" s="26" t="str">
        <f t="shared" ca="1" si="17"/>
        <v/>
      </c>
      <c r="E88" s="4" t="str">
        <f t="shared" ca="1" si="11"/>
        <v/>
      </c>
      <c r="F88" s="25" t="str">
        <f t="shared" ca="1" si="18"/>
        <v/>
      </c>
      <c r="G88" s="26" t="str">
        <f t="shared" ca="1" si="19"/>
        <v/>
      </c>
      <c r="H88" s="55" t="str">
        <f t="shared" ca="1" si="12"/>
        <v/>
      </c>
      <c r="J88" s="37"/>
      <c r="L88" s="37"/>
      <c r="N88" s="95" t="str">
        <f t="shared" si="13"/>
        <v/>
      </c>
      <c r="O88" s="95" t="str">
        <f t="shared" si="14"/>
        <v/>
      </c>
    </row>
    <row r="89" spans="1:15" x14ac:dyDescent="0.25">
      <c r="A89" s="98" t="str">
        <f t="shared" ca="1" si="15"/>
        <v/>
      </c>
      <c r="B89" s="33" t="str">
        <f t="shared" ca="1" si="10"/>
        <v/>
      </c>
      <c r="C89" s="25" t="str">
        <f t="shared" ca="1" si="16"/>
        <v/>
      </c>
      <c r="D89" s="26" t="str">
        <f t="shared" ca="1" si="17"/>
        <v/>
      </c>
      <c r="E89" s="4" t="str">
        <f t="shared" ca="1" si="11"/>
        <v/>
      </c>
      <c r="F89" s="25" t="str">
        <f t="shared" ca="1" si="18"/>
        <v/>
      </c>
      <c r="G89" s="26" t="str">
        <f t="shared" ca="1" si="19"/>
        <v/>
      </c>
      <c r="H89" s="55" t="str">
        <f t="shared" ca="1" si="12"/>
        <v/>
      </c>
      <c r="J89" s="37"/>
      <c r="L89" s="37"/>
      <c r="N89" s="95" t="str">
        <f t="shared" si="13"/>
        <v/>
      </c>
      <c r="O89" s="95" t="str">
        <f t="shared" si="14"/>
        <v/>
      </c>
    </row>
    <row r="90" spans="1:15" x14ac:dyDescent="0.25">
      <c r="A90" s="98" t="str">
        <f t="shared" ca="1" si="15"/>
        <v/>
      </c>
      <c r="B90" s="33" t="str">
        <f t="shared" ca="1" si="10"/>
        <v/>
      </c>
      <c r="C90" s="25" t="str">
        <f t="shared" ca="1" si="16"/>
        <v/>
      </c>
      <c r="D90" s="26" t="str">
        <f t="shared" ca="1" si="17"/>
        <v/>
      </c>
      <c r="E90" s="4" t="str">
        <f t="shared" ca="1" si="11"/>
        <v/>
      </c>
      <c r="F90" s="25" t="str">
        <f t="shared" ca="1" si="18"/>
        <v/>
      </c>
      <c r="G90" s="26" t="str">
        <f t="shared" ca="1" si="19"/>
        <v/>
      </c>
      <c r="H90" s="55" t="str">
        <f t="shared" ca="1" si="12"/>
        <v/>
      </c>
      <c r="J90" s="37"/>
      <c r="L90" s="37"/>
      <c r="N90" s="95" t="str">
        <f t="shared" si="13"/>
        <v/>
      </c>
      <c r="O90" s="95" t="str">
        <f t="shared" si="14"/>
        <v/>
      </c>
    </row>
    <row r="91" spans="1:15" x14ac:dyDescent="0.25">
      <c r="A91" s="98" t="str">
        <f t="shared" ca="1" si="15"/>
        <v/>
      </c>
      <c r="B91" s="33" t="str">
        <f t="shared" ca="1" si="10"/>
        <v/>
      </c>
      <c r="C91" s="25" t="str">
        <f t="shared" ca="1" si="16"/>
        <v/>
      </c>
      <c r="D91" s="26" t="str">
        <f t="shared" ca="1" si="17"/>
        <v/>
      </c>
      <c r="E91" s="4" t="str">
        <f t="shared" ca="1" si="11"/>
        <v/>
      </c>
      <c r="F91" s="25" t="str">
        <f t="shared" ca="1" si="18"/>
        <v/>
      </c>
      <c r="G91" s="26" t="str">
        <f t="shared" ca="1" si="19"/>
        <v/>
      </c>
      <c r="H91" s="55" t="str">
        <f t="shared" ca="1" si="12"/>
        <v/>
      </c>
      <c r="J91" s="37"/>
      <c r="L91" s="37"/>
      <c r="N91" s="95" t="str">
        <f t="shared" si="13"/>
        <v/>
      </c>
      <c r="O91" s="95" t="str">
        <f t="shared" si="14"/>
        <v/>
      </c>
    </row>
    <row r="92" spans="1:15" x14ac:dyDescent="0.25">
      <c r="A92" s="98" t="str">
        <f t="shared" ca="1" si="15"/>
        <v/>
      </c>
      <c r="B92" s="33" t="str">
        <f t="shared" ca="1" si="10"/>
        <v/>
      </c>
      <c r="C92" s="25" t="str">
        <f t="shared" ca="1" si="16"/>
        <v/>
      </c>
      <c r="D92" s="26" t="str">
        <f t="shared" ca="1" si="17"/>
        <v/>
      </c>
      <c r="E92" s="4" t="str">
        <f t="shared" ca="1" si="11"/>
        <v/>
      </c>
      <c r="F92" s="25" t="str">
        <f t="shared" ca="1" si="18"/>
        <v/>
      </c>
      <c r="G92" s="26" t="str">
        <f t="shared" ca="1" si="19"/>
        <v/>
      </c>
      <c r="H92" s="55" t="str">
        <f t="shared" ca="1" si="12"/>
        <v/>
      </c>
      <c r="J92" s="37"/>
      <c r="L92" s="37"/>
      <c r="N92" s="95" t="str">
        <f t="shared" si="13"/>
        <v/>
      </c>
      <c r="O92" s="95" t="str">
        <f t="shared" si="14"/>
        <v/>
      </c>
    </row>
    <row r="93" spans="1:15" x14ac:dyDescent="0.25">
      <c r="A93" s="98" t="str">
        <f t="shared" ca="1" si="15"/>
        <v/>
      </c>
      <c r="B93" s="33" t="str">
        <f t="shared" ca="1" si="10"/>
        <v/>
      </c>
      <c r="C93" s="25" t="str">
        <f t="shared" ca="1" si="16"/>
        <v/>
      </c>
      <c r="D93" s="26" t="str">
        <f t="shared" ca="1" si="17"/>
        <v/>
      </c>
      <c r="E93" s="4" t="str">
        <f t="shared" ca="1" si="11"/>
        <v/>
      </c>
      <c r="F93" s="25" t="str">
        <f t="shared" ca="1" si="18"/>
        <v/>
      </c>
      <c r="G93" s="26" t="str">
        <f t="shared" ca="1" si="19"/>
        <v/>
      </c>
      <c r="H93" s="55" t="str">
        <f t="shared" ca="1" si="12"/>
        <v/>
      </c>
      <c r="J93" s="37"/>
      <c r="L93" s="37"/>
      <c r="N93" s="95" t="str">
        <f t="shared" si="13"/>
        <v/>
      </c>
      <c r="O93" s="95" t="str">
        <f t="shared" si="14"/>
        <v/>
      </c>
    </row>
    <row r="94" spans="1:15" x14ac:dyDescent="0.25">
      <c r="A94" s="98" t="str">
        <f t="shared" ca="1" si="15"/>
        <v/>
      </c>
      <c r="B94" s="33" t="str">
        <f t="shared" ca="1" si="10"/>
        <v/>
      </c>
      <c r="C94" s="25" t="str">
        <f t="shared" ca="1" si="16"/>
        <v/>
      </c>
      <c r="D94" s="26" t="str">
        <f t="shared" ca="1" si="17"/>
        <v/>
      </c>
      <c r="E94" s="4" t="str">
        <f t="shared" ca="1" si="11"/>
        <v/>
      </c>
      <c r="F94" s="25" t="str">
        <f t="shared" ca="1" si="18"/>
        <v/>
      </c>
      <c r="G94" s="26" t="str">
        <f t="shared" ca="1" si="19"/>
        <v/>
      </c>
      <c r="H94" s="55" t="str">
        <f t="shared" ca="1" si="12"/>
        <v/>
      </c>
      <c r="J94" s="37"/>
      <c r="L94" s="37"/>
      <c r="N94" s="95" t="str">
        <f t="shared" si="13"/>
        <v/>
      </c>
      <c r="O94" s="95" t="str">
        <f t="shared" si="14"/>
        <v/>
      </c>
    </row>
    <row r="95" spans="1:15" x14ac:dyDescent="0.25">
      <c r="A95" s="98" t="str">
        <f t="shared" ca="1" si="15"/>
        <v/>
      </c>
      <c r="B95" s="33" t="str">
        <f t="shared" ca="1" si="10"/>
        <v/>
      </c>
      <c r="C95" s="25" t="str">
        <f t="shared" ca="1" si="16"/>
        <v/>
      </c>
      <c r="D95" s="26" t="str">
        <f t="shared" ca="1" si="17"/>
        <v/>
      </c>
      <c r="E95" s="4" t="str">
        <f t="shared" ca="1" si="11"/>
        <v/>
      </c>
      <c r="F95" s="25" t="str">
        <f t="shared" ca="1" si="18"/>
        <v/>
      </c>
      <c r="G95" s="26" t="str">
        <f t="shared" ca="1" si="19"/>
        <v/>
      </c>
      <c r="H95" s="55" t="str">
        <f t="shared" ca="1" si="12"/>
        <v/>
      </c>
      <c r="J95" s="37"/>
      <c r="L95" s="37"/>
      <c r="N95" s="95" t="str">
        <f t="shared" si="13"/>
        <v/>
      </c>
      <c r="O95" s="95" t="str">
        <f t="shared" si="14"/>
        <v/>
      </c>
    </row>
    <row r="96" spans="1:15" x14ac:dyDescent="0.25">
      <c r="A96" s="98" t="str">
        <f t="shared" ca="1" si="15"/>
        <v/>
      </c>
      <c r="B96" s="33" t="str">
        <f t="shared" ca="1" si="10"/>
        <v/>
      </c>
      <c r="C96" s="25" t="str">
        <f t="shared" ca="1" si="16"/>
        <v/>
      </c>
      <c r="D96" s="26" t="str">
        <f t="shared" ca="1" si="17"/>
        <v/>
      </c>
      <c r="E96" s="4" t="str">
        <f t="shared" ca="1" si="11"/>
        <v/>
      </c>
      <c r="F96" s="25" t="str">
        <f t="shared" ca="1" si="18"/>
        <v/>
      </c>
      <c r="G96" s="26" t="str">
        <f t="shared" ca="1" si="19"/>
        <v/>
      </c>
      <c r="H96" s="55" t="str">
        <f t="shared" ca="1" si="12"/>
        <v/>
      </c>
      <c r="J96" s="37"/>
      <c r="L96" s="37"/>
      <c r="N96" s="95" t="str">
        <f t="shared" si="13"/>
        <v/>
      </c>
      <c r="O96" s="95" t="str">
        <f t="shared" si="14"/>
        <v/>
      </c>
    </row>
    <row r="97" spans="1:15" x14ac:dyDescent="0.25">
      <c r="A97" s="98" t="str">
        <f t="shared" ca="1" si="15"/>
        <v/>
      </c>
      <c r="B97" s="33" t="str">
        <f t="shared" ca="1" si="10"/>
        <v/>
      </c>
      <c r="C97" s="25" t="str">
        <f t="shared" ca="1" si="16"/>
        <v/>
      </c>
      <c r="D97" s="26" t="str">
        <f t="shared" ca="1" si="17"/>
        <v/>
      </c>
      <c r="E97" s="4" t="str">
        <f t="shared" ca="1" si="11"/>
        <v/>
      </c>
      <c r="F97" s="25" t="str">
        <f t="shared" ca="1" si="18"/>
        <v/>
      </c>
      <c r="G97" s="26" t="str">
        <f t="shared" ca="1" si="19"/>
        <v/>
      </c>
      <c r="H97" s="55" t="str">
        <f t="shared" ca="1" si="12"/>
        <v/>
      </c>
      <c r="J97" s="37"/>
      <c r="L97" s="37"/>
      <c r="N97" s="95" t="str">
        <f t="shared" si="13"/>
        <v/>
      </c>
      <c r="O97" s="95" t="str">
        <f t="shared" si="14"/>
        <v/>
      </c>
    </row>
    <row r="98" spans="1:15" x14ac:dyDescent="0.25">
      <c r="A98" s="98" t="str">
        <f t="shared" ca="1" si="15"/>
        <v/>
      </c>
      <c r="B98" s="33" t="str">
        <f t="shared" ca="1" si="10"/>
        <v/>
      </c>
      <c r="C98" s="25" t="str">
        <f t="shared" ca="1" si="16"/>
        <v/>
      </c>
      <c r="D98" s="26" t="str">
        <f t="shared" ca="1" si="17"/>
        <v/>
      </c>
      <c r="E98" s="4" t="str">
        <f t="shared" ca="1" si="11"/>
        <v/>
      </c>
      <c r="F98" s="25" t="str">
        <f t="shared" ca="1" si="18"/>
        <v/>
      </c>
      <c r="G98" s="26" t="str">
        <f t="shared" ca="1" si="19"/>
        <v/>
      </c>
      <c r="H98" s="55" t="str">
        <f t="shared" ca="1" si="12"/>
        <v/>
      </c>
      <c r="J98" s="37"/>
      <c r="L98" s="37"/>
      <c r="N98" s="95" t="str">
        <f t="shared" si="13"/>
        <v/>
      </c>
      <c r="O98" s="95" t="str">
        <f t="shared" si="14"/>
        <v/>
      </c>
    </row>
    <row r="99" spans="1:15" x14ac:dyDescent="0.25">
      <c r="A99" s="98" t="str">
        <f t="shared" ca="1" si="15"/>
        <v/>
      </c>
      <c r="B99" s="33" t="str">
        <f t="shared" ca="1" si="10"/>
        <v/>
      </c>
      <c r="C99" s="25" t="str">
        <f t="shared" ca="1" si="16"/>
        <v/>
      </c>
      <c r="D99" s="26" t="str">
        <f t="shared" ca="1" si="17"/>
        <v/>
      </c>
      <c r="E99" s="4" t="str">
        <f t="shared" ca="1" si="11"/>
        <v/>
      </c>
      <c r="F99" s="25" t="str">
        <f t="shared" ca="1" si="18"/>
        <v/>
      </c>
      <c r="G99" s="26" t="str">
        <f t="shared" ca="1" si="19"/>
        <v/>
      </c>
      <c r="H99" s="55" t="str">
        <f t="shared" ca="1" si="12"/>
        <v/>
      </c>
      <c r="J99" s="37"/>
      <c r="L99" s="37"/>
      <c r="N99" s="95" t="str">
        <f t="shared" si="13"/>
        <v/>
      </c>
      <c r="O99" s="95" t="str">
        <f t="shared" si="14"/>
        <v/>
      </c>
    </row>
    <row r="100" spans="1:15" x14ac:dyDescent="0.25">
      <c r="A100" s="98" t="str">
        <f t="shared" ca="1" si="15"/>
        <v/>
      </c>
      <c r="B100" s="33" t="str">
        <f t="shared" ca="1" si="10"/>
        <v/>
      </c>
      <c r="C100" s="25" t="str">
        <f t="shared" ca="1" si="16"/>
        <v/>
      </c>
      <c r="D100" s="26" t="str">
        <f t="shared" ca="1" si="17"/>
        <v/>
      </c>
      <c r="E100" s="4" t="str">
        <f t="shared" ca="1" si="11"/>
        <v/>
      </c>
      <c r="F100" s="25" t="str">
        <f t="shared" ca="1" si="18"/>
        <v/>
      </c>
      <c r="G100" s="26" t="str">
        <f t="shared" ca="1" si="19"/>
        <v/>
      </c>
      <c r="H100" s="55" t="str">
        <f t="shared" ca="1" si="12"/>
        <v/>
      </c>
      <c r="J100" s="37"/>
      <c r="L100" s="37"/>
      <c r="N100" s="95" t="str">
        <f t="shared" si="13"/>
        <v/>
      </c>
      <c r="O100" s="95" t="str">
        <f t="shared" si="14"/>
        <v/>
      </c>
    </row>
    <row r="101" spans="1:15" x14ac:dyDescent="0.25">
      <c r="A101" s="98" t="str">
        <f t="shared" ca="1" si="15"/>
        <v/>
      </c>
      <c r="B101" s="33" t="str">
        <f t="shared" ca="1" si="10"/>
        <v/>
      </c>
      <c r="C101" s="25" t="str">
        <f t="shared" ca="1" si="16"/>
        <v/>
      </c>
      <c r="D101" s="26" t="str">
        <f t="shared" ca="1" si="17"/>
        <v/>
      </c>
      <c r="E101" s="4" t="str">
        <f t="shared" ca="1" si="11"/>
        <v/>
      </c>
      <c r="F101" s="25" t="str">
        <f t="shared" ca="1" si="18"/>
        <v/>
      </c>
      <c r="G101" s="26" t="str">
        <f t="shared" ca="1" si="19"/>
        <v/>
      </c>
      <c r="H101" s="55" t="str">
        <f t="shared" ca="1" si="12"/>
        <v/>
      </c>
      <c r="J101" s="37"/>
      <c r="L101" s="37"/>
      <c r="N101" s="95" t="str">
        <f t="shared" si="13"/>
        <v/>
      </c>
      <c r="O101" s="95" t="str">
        <f t="shared" si="14"/>
        <v/>
      </c>
    </row>
    <row r="102" spans="1:15" x14ac:dyDescent="0.25">
      <c r="A102" s="98" t="str">
        <f t="shared" ca="1" si="15"/>
        <v/>
      </c>
      <c r="B102" s="33" t="str">
        <f t="shared" ca="1" si="10"/>
        <v/>
      </c>
      <c r="C102" s="25" t="str">
        <f t="shared" ca="1" si="16"/>
        <v/>
      </c>
      <c r="D102" s="26" t="str">
        <f t="shared" ca="1" si="17"/>
        <v/>
      </c>
      <c r="E102" s="4" t="str">
        <f t="shared" ca="1" si="11"/>
        <v/>
      </c>
      <c r="F102" s="25" t="str">
        <f t="shared" ca="1" si="18"/>
        <v/>
      </c>
      <c r="G102" s="26" t="str">
        <f t="shared" ca="1" si="19"/>
        <v/>
      </c>
      <c r="H102" s="55" t="str">
        <f t="shared" ca="1" si="12"/>
        <v/>
      </c>
      <c r="J102" s="37"/>
      <c r="L102" s="37"/>
      <c r="N102" s="95" t="str">
        <f t="shared" si="13"/>
        <v/>
      </c>
      <c r="O102" s="95" t="str">
        <f t="shared" si="14"/>
        <v/>
      </c>
    </row>
    <row r="103" spans="1:15" x14ac:dyDescent="0.25">
      <c r="A103" s="98" t="str">
        <f t="shared" ca="1" si="15"/>
        <v/>
      </c>
      <c r="B103" s="33" t="str">
        <f t="shared" ref="B103:B136" ca="1" si="20">IF(COUNTIF(J:J,A103)=1,VLOOKUP(A103,J:K,2), IF(COUNTIF(J:J,A103)=0,$B$10,""))</f>
        <v/>
      </c>
      <c r="C103" s="25" t="str">
        <f t="shared" ca="1" si="16"/>
        <v/>
      </c>
      <c r="D103" s="26" t="str">
        <f t="shared" ca="1" si="17"/>
        <v/>
      </c>
      <c r="E103" s="4" t="str">
        <f t="shared" ref="E103:E136" ca="1" si="21">IF(COUNTIF(L:L,A103)=1,VLOOKUP(A103,L:M,2), IF(COUNTIF(L:L,A103)=0,$C$10,""))</f>
        <v/>
      </c>
      <c r="F103" s="25" t="str">
        <f t="shared" ca="1" si="18"/>
        <v/>
      </c>
      <c r="G103" s="26" t="str">
        <f t="shared" ca="1" si="19"/>
        <v/>
      </c>
      <c r="H103" s="55" t="str">
        <f t="shared" ref="H103:H136" ca="1" si="22">IF(ISERROR(E103-2),"",C103+D103-F103-G103)</f>
        <v/>
      </c>
      <c r="J103" s="37"/>
      <c r="L103" s="37"/>
      <c r="N103" s="95" t="str">
        <f t="shared" si="13"/>
        <v/>
      </c>
      <c r="O103" s="95" t="str">
        <f t="shared" si="14"/>
        <v/>
      </c>
    </row>
    <row r="104" spans="1:15" x14ac:dyDescent="0.25">
      <c r="A104" s="98" t="str">
        <f t="shared" ca="1" si="15"/>
        <v/>
      </c>
      <c r="B104" s="33" t="str">
        <f t="shared" ca="1" si="20"/>
        <v/>
      </c>
      <c r="C104" s="25" t="str">
        <f t="shared" ca="1" si="16"/>
        <v/>
      </c>
      <c r="D104" s="26" t="str">
        <f t="shared" ca="1" si="17"/>
        <v/>
      </c>
      <c r="E104" s="4" t="str">
        <f t="shared" ca="1" si="21"/>
        <v/>
      </c>
      <c r="F104" s="25" t="str">
        <f t="shared" ca="1" si="18"/>
        <v/>
      </c>
      <c r="G104" s="26" t="str">
        <f t="shared" ca="1" si="19"/>
        <v/>
      </c>
      <c r="H104" s="55" t="str">
        <f t="shared" ca="1" si="22"/>
        <v/>
      </c>
      <c r="J104" s="37"/>
      <c r="L104" s="37"/>
      <c r="N104" s="95" t="str">
        <f t="shared" si="13"/>
        <v/>
      </c>
      <c r="O104" s="95" t="str">
        <f t="shared" si="14"/>
        <v/>
      </c>
    </row>
    <row r="105" spans="1:15" x14ac:dyDescent="0.25">
      <c r="A105" s="98" t="str">
        <f t="shared" ca="1" si="15"/>
        <v/>
      </c>
      <c r="B105" s="33" t="str">
        <f t="shared" ca="1" si="20"/>
        <v/>
      </c>
      <c r="C105" s="25" t="str">
        <f t="shared" ca="1" si="16"/>
        <v/>
      </c>
      <c r="D105" s="26" t="str">
        <f t="shared" ca="1" si="17"/>
        <v/>
      </c>
      <c r="E105" s="4" t="str">
        <f t="shared" ca="1" si="21"/>
        <v/>
      </c>
      <c r="F105" s="25" t="str">
        <f t="shared" ca="1" si="18"/>
        <v/>
      </c>
      <c r="G105" s="26" t="str">
        <f t="shared" ca="1" si="19"/>
        <v/>
      </c>
      <c r="H105" s="55" t="str">
        <f t="shared" ca="1" si="22"/>
        <v/>
      </c>
      <c r="J105" s="37"/>
      <c r="L105" s="37"/>
      <c r="N105" s="95" t="str">
        <f t="shared" si="13"/>
        <v/>
      </c>
      <c r="O105" s="95" t="str">
        <f t="shared" si="14"/>
        <v/>
      </c>
    </row>
    <row r="106" spans="1:15" x14ac:dyDescent="0.25">
      <c r="A106" s="98" t="str">
        <f t="shared" ca="1" si="15"/>
        <v/>
      </c>
      <c r="B106" s="33" t="str">
        <f t="shared" ca="1" si="20"/>
        <v/>
      </c>
      <c r="C106" s="25" t="str">
        <f t="shared" ca="1" si="16"/>
        <v/>
      </c>
      <c r="D106" s="26" t="str">
        <f t="shared" ca="1" si="17"/>
        <v/>
      </c>
      <c r="E106" s="4" t="str">
        <f t="shared" ca="1" si="21"/>
        <v/>
      </c>
      <c r="F106" s="25" t="str">
        <f t="shared" ca="1" si="18"/>
        <v/>
      </c>
      <c r="G106" s="26" t="str">
        <f t="shared" ca="1" si="19"/>
        <v/>
      </c>
      <c r="H106" s="55" t="str">
        <f t="shared" ca="1" si="22"/>
        <v/>
      </c>
      <c r="J106" s="37"/>
      <c r="L106" s="37"/>
      <c r="N106" s="95" t="str">
        <f t="shared" si="13"/>
        <v/>
      </c>
      <c r="O106" s="95" t="str">
        <f t="shared" si="14"/>
        <v/>
      </c>
    </row>
    <row r="107" spans="1:15" x14ac:dyDescent="0.25">
      <c r="A107" s="98" t="str">
        <f t="shared" ca="1" si="15"/>
        <v/>
      </c>
      <c r="B107" s="33" t="str">
        <f t="shared" ca="1" si="20"/>
        <v/>
      </c>
      <c r="C107" s="25" t="str">
        <f t="shared" ca="1" si="16"/>
        <v/>
      </c>
      <c r="D107" s="26" t="str">
        <f t="shared" ca="1" si="17"/>
        <v/>
      </c>
      <c r="E107" s="4" t="str">
        <f t="shared" ca="1" si="21"/>
        <v/>
      </c>
      <c r="F107" s="25" t="str">
        <f t="shared" ca="1" si="18"/>
        <v/>
      </c>
      <c r="G107" s="26" t="str">
        <f t="shared" ca="1" si="19"/>
        <v/>
      </c>
      <c r="H107" s="55" t="str">
        <f t="shared" ca="1" si="22"/>
        <v/>
      </c>
      <c r="J107" s="37"/>
      <c r="L107" s="37"/>
      <c r="N107" s="95" t="str">
        <f t="shared" si="13"/>
        <v/>
      </c>
      <c r="O107" s="95" t="str">
        <f t="shared" si="14"/>
        <v/>
      </c>
    </row>
    <row r="108" spans="1:15" x14ac:dyDescent="0.25">
      <c r="A108" s="98" t="str">
        <f t="shared" ca="1" si="15"/>
        <v/>
      </c>
      <c r="B108" s="33" t="str">
        <f t="shared" ca="1" si="20"/>
        <v/>
      </c>
      <c r="C108" s="25" t="str">
        <f t="shared" ca="1" si="16"/>
        <v/>
      </c>
      <c r="D108" s="26" t="str">
        <f t="shared" ca="1" si="17"/>
        <v/>
      </c>
      <c r="E108" s="4" t="str">
        <f t="shared" ca="1" si="21"/>
        <v/>
      </c>
      <c r="F108" s="25" t="str">
        <f t="shared" ca="1" si="18"/>
        <v/>
      </c>
      <c r="G108" s="26" t="str">
        <f t="shared" ca="1" si="19"/>
        <v/>
      </c>
      <c r="H108" s="55" t="str">
        <f t="shared" ca="1" si="22"/>
        <v/>
      </c>
      <c r="J108" s="37"/>
      <c r="L108" s="37"/>
      <c r="N108" s="95" t="str">
        <f t="shared" si="13"/>
        <v/>
      </c>
      <c r="O108" s="95" t="str">
        <f t="shared" si="14"/>
        <v/>
      </c>
    </row>
    <row r="109" spans="1:15" x14ac:dyDescent="0.25">
      <c r="A109" s="98" t="str">
        <f t="shared" ca="1" si="15"/>
        <v/>
      </c>
      <c r="B109" s="33" t="str">
        <f t="shared" ca="1" si="20"/>
        <v/>
      </c>
      <c r="C109" s="25" t="str">
        <f t="shared" ca="1" si="16"/>
        <v/>
      </c>
      <c r="D109" s="26" t="str">
        <f t="shared" ca="1" si="17"/>
        <v/>
      </c>
      <c r="E109" s="4" t="str">
        <f t="shared" ca="1" si="21"/>
        <v/>
      </c>
      <c r="F109" s="25" t="str">
        <f t="shared" ca="1" si="18"/>
        <v/>
      </c>
      <c r="G109" s="26" t="str">
        <f t="shared" ca="1" si="19"/>
        <v/>
      </c>
      <c r="H109" s="55" t="str">
        <f t="shared" ca="1" si="22"/>
        <v/>
      </c>
      <c r="J109" s="37"/>
      <c r="L109" s="37"/>
      <c r="N109" s="95" t="str">
        <f t="shared" si="13"/>
        <v/>
      </c>
      <c r="O109" s="95" t="str">
        <f t="shared" si="14"/>
        <v/>
      </c>
    </row>
    <row r="110" spans="1:15" x14ac:dyDescent="0.25">
      <c r="A110" s="98" t="str">
        <f t="shared" ca="1" si="15"/>
        <v/>
      </c>
      <c r="B110" s="33" t="str">
        <f t="shared" ca="1" si="20"/>
        <v/>
      </c>
      <c r="C110" s="25" t="str">
        <f t="shared" ca="1" si="16"/>
        <v/>
      </c>
      <c r="D110" s="26" t="str">
        <f t="shared" ca="1" si="17"/>
        <v/>
      </c>
      <c r="E110" s="4" t="str">
        <f t="shared" ca="1" si="21"/>
        <v/>
      </c>
      <c r="F110" s="25" t="str">
        <f t="shared" ca="1" si="18"/>
        <v/>
      </c>
      <c r="G110" s="26" t="str">
        <f t="shared" ca="1" si="19"/>
        <v/>
      </c>
      <c r="H110" s="55" t="str">
        <f t="shared" ca="1" si="22"/>
        <v/>
      </c>
      <c r="J110" s="37"/>
      <c r="L110" s="37"/>
      <c r="N110" s="95" t="str">
        <f t="shared" si="13"/>
        <v/>
      </c>
      <c r="O110" s="95" t="str">
        <f t="shared" si="14"/>
        <v/>
      </c>
    </row>
    <row r="111" spans="1:15" x14ac:dyDescent="0.25">
      <c r="A111" s="98" t="str">
        <f t="shared" ca="1" si="15"/>
        <v/>
      </c>
      <c r="B111" s="33" t="str">
        <f t="shared" ca="1" si="20"/>
        <v/>
      </c>
      <c r="C111" s="25" t="str">
        <f t="shared" ca="1" si="16"/>
        <v/>
      </c>
      <c r="D111" s="26" t="str">
        <f t="shared" ca="1" si="17"/>
        <v/>
      </c>
      <c r="E111" s="4" t="str">
        <f t="shared" ca="1" si="21"/>
        <v/>
      </c>
      <c r="F111" s="25" t="str">
        <f t="shared" ca="1" si="18"/>
        <v/>
      </c>
      <c r="G111" s="26" t="str">
        <f t="shared" ca="1" si="19"/>
        <v/>
      </c>
      <c r="H111" s="55" t="str">
        <f t="shared" ca="1" si="22"/>
        <v/>
      </c>
      <c r="J111" s="37"/>
      <c r="L111" s="37"/>
      <c r="N111" s="95" t="str">
        <f t="shared" si="13"/>
        <v/>
      </c>
      <c r="O111" s="95" t="str">
        <f t="shared" si="14"/>
        <v/>
      </c>
    </row>
    <row r="112" spans="1:15" x14ac:dyDescent="0.25">
      <c r="A112" s="98" t="str">
        <f t="shared" ca="1" si="15"/>
        <v/>
      </c>
      <c r="B112" s="33" t="str">
        <f t="shared" ca="1" si="20"/>
        <v/>
      </c>
      <c r="C112" s="25" t="str">
        <f t="shared" ca="1" si="16"/>
        <v/>
      </c>
      <c r="D112" s="26" t="str">
        <f t="shared" ca="1" si="17"/>
        <v/>
      </c>
      <c r="E112" s="4" t="str">
        <f t="shared" ca="1" si="21"/>
        <v/>
      </c>
      <c r="F112" s="25" t="str">
        <f t="shared" ca="1" si="18"/>
        <v/>
      </c>
      <c r="G112" s="26" t="str">
        <f t="shared" ca="1" si="19"/>
        <v/>
      </c>
      <c r="H112" s="55" t="str">
        <f t="shared" ca="1" si="22"/>
        <v/>
      </c>
      <c r="J112" s="37"/>
      <c r="L112" s="37"/>
      <c r="N112" s="95" t="str">
        <f t="shared" si="13"/>
        <v/>
      </c>
      <c r="O112" s="95" t="str">
        <f t="shared" si="14"/>
        <v/>
      </c>
    </row>
    <row r="113" spans="1:15" x14ac:dyDescent="0.25">
      <c r="A113" s="98" t="str">
        <f t="shared" ca="1" si="15"/>
        <v/>
      </c>
      <c r="B113" s="33" t="str">
        <f t="shared" ca="1" si="20"/>
        <v/>
      </c>
      <c r="C113" s="25" t="str">
        <f t="shared" ca="1" si="16"/>
        <v/>
      </c>
      <c r="D113" s="26" t="str">
        <f t="shared" ca="1" si="17"/>
        <v/>
      </c>
      <c r="E113" s="4" t="str">
        <f t="shared" ca="1" si="21"/>
        <v/>
      </c>
      <c r="F113" s="25" t="str">
        <f t="shared" ca="1" si="18"/>
        <v/>
      </c>
      <c r="G113" s="26" t="str">
        <f t="shared" ca="1" si="19"/>
        <v/>
      </c>
      <c r="H113" s="55" t="str">
        <f t="shared" ca="1" si="22"/>
        <v/>
      </c>
      <c r="J113" s="37"/>
      <c r="L113" s="37"/>
      <c r="N113" s="95" t="str">
        <f t="shared" si="13"/>
        <v/>
      </c>
      <c r="O113" s="95" t="str">
        <f t="shared" si="14"/>
        <v/>
      </c>
    </row>
    <row r="114" spans="1:15" x14ac:dyDescent="0.25">
      <c r="A114" s="98" t="str">
        <f t="shared" ca="1" si="15"/>
        <v/>
      </c>
      <c r="B114" s="33" t="str">
        <f t="shared" ca="1" si="20"/>
        <v/>
      </c>
      <c r="C114" s="25" t="str">
        <f t="shared" ca="1" si="16"/>
        <v/>
      </c>
      <c r="D114" s="26" t="str">
        <f t="shared" ca="1" si="17"/>
        <v/>
      </c>
      <c r="E114" s="4" t="str">
        <f t="shared" ca="1" si="21"/>
        <v/>
      </c>
      <c r="F114" s="25" t="str">
        <f t="shared" ca="1" si="18"/>
        <v/>
      </c>
      <c r="G114" s="26" t="str">
        <f t="shared" ca="1" si="19"/>
        <v/>
      </c>
      <c r="H114" s="55" t="str">
        <f t="shared" ca="1" si="22"/>
        <v/>
      </c>
      <c r="J114" s="37"/>
      <c r="L114" s="37"/>
      <c r="N114" s="95" t="str">
        <f t="shared" si="13"/>
        <v/>
      </c>
      <c r="O114" s="95" t="str">
        <f t="shared" si="14"/>
        <v/>
      </c>
    </row>
    <row r="115" spans="1:15" x14ac:dyDescent="0.25">
      <c r="A115" s="98" t="str">
        <f t="shared" ca="1" si="15"/>
        <v/>
      </c>
      <c r="B115" s="33" t="str">
        <f t="shared" ca="1" si="20"/>
        <v/>
      </c>
      <c r="C115" s="25" t="str">
        <f t="shared" ca="1" si="16"/>
        <v/>
      </c>
      <c r="D115" s="26" t="str">
        <f t="shared" ca="1" si="17"/>
        <v/>
      </c>
      <c r="E115" s="4" t="str">
        <f t="shared" ca="1" si="21"/>
        <v/>
      </c>
      <c r="F115" s="25" t="str">
        <f t="shared" ca="1" si="18"/>
        <v/>
      </c>
      <c r="G115" s="26" t="str">
        <f t="shared" ca="1" si="19"/>
        <v/>
      </c>
      <c r="H115" s="55" t="str">
        <f t="shared" ca="1" si="22"/>
        <v/>
      </c>
      <c r="J115" s="37"/>
      <c r="L115" s="37"/>
      <c r="N115" s="95" t="str">
        <f t="shared" si="13"/>
        <v/>
      </c>
      <c r="O115" s="95" t="str">
        <f t="shared" si="14"/>
        <v/>
      </c>
    </row>
    <row r="116" spans="1:15" x14ac:dyDescent="0.25">
      <c r="A116" s="98" t="str">
        <f t="shared" ca="1" si="15"/>
        <v/>
      </c>
      <c r="B116" s="33" t="str">
        <f t="shared" ca="1" si="20"/>
        <v/>
      </c>
      <c r="C116" s="25" t="str">
        <f t="shared" ca="1" si="16"/>
        <v/>
      </c>
      <c r="D116" s="26" t="str">
        <f t="shared" ca="1" si="17"/>
        <v/>
      </c>
      <c r="E116" s="4" t="str">
        <f t="shared" ca="1" si="21"/>
        <v/>
      </c>
      <c r="F116" s="25" t="str">
        <f t="shared" ca="1" si="18"/>
        <v/>
      </c>
      <c r="G116" s="26" t="str">
        <f t="shared" ca="1" si="19"/>
        <v/>
      </c>
      <c r="H116" s="55" t="str">
        <f t="shared" ca="1" si="22"/>
        <v/>
      </c>
      <c r="J116" s="37"/>
      <c r="L116" s="37"/>
      <c r="N116" s="95" t="str">
        <f t="shared" si="13"/>
        <v/>
      </c>
      <c r="O116" s="95" t="str">
        <f t="shared" si="14"/>
        <v/>
      </c>
    </row>
    <row r="117" spans="1:15" x14ac:dyDescent="0.25">
      <c r="A117" s="98" t="str">
        <f t="shared" ca="1" si="15"/>
        <v/>
      </c>
      <c r="B117" s="33" t="str">
        <f t="shared" ca="1" si="20"/>
        <v/>
      </c>
      <c r="C117" s="25" t="str">
        <f t="shared" ca="1" si="16"/>
        <v/>
      </c>
      <c r="D117" s="26" t="str">
        <f t="shared" ca="1" si="17"/>
        <v/>
      </c>
      <c r="E117" s="4" t="str">
        <f t="shared" ca="1" si="21"/>
        <v/>
      </c>
      <c r="F117" s="25" t="str">
        <f t="shared" ca="1" si="18"/>
        <v/>
      </c>
      <c r="G117" s="26" t="str">
        <f t="shared" ca="1" si="19"/>
        <v/>
      </c>
      <c r="H117" s="55" t="str">
        <f t="shared" ca="1" si="22"/>
        <v/>
      </c>
      <c r="J117" s="37"/>
      <c r="L117" s="37"/>
      <c r="N117" s="95" t="str">
        <f t="shared" si="13"/>
        <v/>
      </c>
      <c r="O117" s="95" t="str">
        <f t="shared" si="14"/>
        <v/>
      </c>
    </row>
    <row r="118" spans="1:15" x14ac:dyDescent="0.25">
      <c r="A118" s="98" t="str">
        <f t="shared" ca="1" si="15"/>
        <v/>
      </c>
      <c r="B118" s="33" t="str">
        <f t="shared" ca="1" si="20"/>
        <v/>
      </c>
      <c r="C118" s="25" t="str">
        <f t="shared" ca="1" si="16"/>
        <v/>
      </c>
      <c r="D118" s="26" t="str">
        <f t="shared" ca="1" si="17"/>
        <v/>
      </c>
      <c r="E118" s="4" t="str">
        <f t="shared" ca="1" si="21"/>
        <v/>
      </c>
      <c r="F118" s="25" t="str">
        <f t="shared" ca="1" si="18"/>
        <v/>
      </c>
      <c r="G118" s="26" t="str">
        <f t="shared" ca="1" si="19"/>
        <v/>
      </c>
      <c r="H118" s="55" t="str">
        <f t="shared" ca="1" si="22"/>
        <v/>
      </c>
      <c r="J118" s="37"/>
      <c r="L118" s="37"/>
      <c r="N118" s="95" t="str">
        <f t="shared" si="13"/>
        <v/>
      </c>
      <c r="O118" s="95" t="str">
        <f t="shared" si="14"/>
        <v/>
      </c>
    </row>
    <row r="119" spans="1:15" x14ac:dyDescent="0.25">
      <c r="A119" s="98" t="str">
        <f t="shared" ca="1" si="15"/>
        <v/>
      </c>
      <c r="B119" s="33" t="str">
        <f t="shared" ca="1" si="20"/>
        <v/>
      </c>
      <c r="C119" s="25" t="str">
        <f t="shared" ca="1" si="16"/>
        <v/>
      </c>
      <c r="D119" s="26" t="str">
        <f t="shared" ca="1" si="17"/>
        <v/>
      </c>
      <c r="E119" s="4" t="str">
        <f t="shared" ca="1" si="21"/>
        <v/>
      </c>
      <c r="F119" s="25" t="str">
        <f t="shared" ca="1" si="18"/>
        <v/>
      </c>
      <c r="G119" s="26" t="str">
        <f t="shared" ca="1" si="19"/>
        <v/>
      </c>
      <c r="H119" s="55" t="str">
        <f t="shared" ca="1" si="22"/>
        <v/>
      </c>
      <c r="J119" s="37"/>
      <c r="L119" s="37"/>
      <c r="N119" s="95" t="str">
        <f t="shared" si="13"/>
        <v/>
      </c>
      <c r="O119" s="95" t="str">
        <f t="shared" si="14"/>
        <v/>
      </c>
    </row>
    <row r="120" spans="1:15" x14ac:dyDescent="0.25">
      <c r="A120" s="98" t="str">
        <f t="shared" ca="1" si="15"/>
        <v/>
      </c>
      <c r="B120" s="33" t="str">
        <f t="shared" ca="1" si="20"/>
        <v/>
      </c>
      <c r="C120" s="25" t="str">
        <f t="shared" ca="1" si="16"/>
        <v/>
      </c>
      <c r="D120" s="26" t="str">
        <f t="shared" ca="1" si="17"/>
        <v/>
      </c>
      <c r="E120" s="4" t="str">
        <f t="shared" ca="1" si="21"/>
        <v/>
      </c>
      <c r="F120" s="25" t="str">
        <f t="shared" ca="1" si="18"/>
        <v/>
      </c>
      <c r="G120" s="26" t="str">
        <f t="shared" ca="1" si="19"/>
        <v/>
      </c>
      <c r="H120" s="55" t="str">
        <f t="shared" ca="1" si="22"/>
        <v/>
      </c>
      <c r="J120" s="37"/>
      <c r="L120" s="37"/>
      <c r="N120" s="95" t="str">
        <f t="shared" si="13"/>
        <v/>
      </c>
      <c r="O120" s="95" t="str">
        <f t="shared" si="14"/>
        <v/>
      </c>
    </row>
    <row r="121" spans="1:15" x14ac:dyDescent="0.25">
      <c r="A121" s="98" t="str">
        <f t="shared" ca="1" si="15"/>
        <v/>
      </c>
      <c r="B121" s="33" t="str">
        <f t="shared" ca="1" si="20"/>
        <v/>
      </c>
      <c r="C121" s="25" t="str">
        <f t="shared" ca="1" si="16"/>
        <v/>
      </c>
      <c r="D121" s="26" t="str">
        <f t="shared" ca="1" si="17"/>
        <v/>
      </c>
      <c r="E121" s="4" t="str">
        <f t="shared" ca="1" si="21"/>
        <v/>
      </c>
      <c r="F121" s="25" t="str">
        <f t="shared" ca="1" si="18"/>
        <v/>
      </c>
      <c r="G121" s="26" t="str">
        <f t="shared" ca="1" si="19"/>
        <v/>
      </c>
      <c r="H121" s="55" t="str">
        <f t="shared" ca="1" si="22"/>
        <v/>
      </c>
      <c r="J121" s="37"/>
      <c r="L121" s="37"/>
      <c r="N121" s="95" t="str">
        <f t="shared" si="13"/>
        <v/>
      </c>
      <c r="O121" s="95" t="str">
        <f t="shared" si="14"/>
        <v/>
      </c>
    </row>
    <row r="122" spans="1:15" x14ac:dyDescent="0.25">
      <c r="A122" s="98" t="str">
        <f t="shared" ca="1" si="15"/>
        <v/>
      </c>
      <c r="B122" s="33" t="str">
        <f t="shared" ca="1" si="20"/>
        <v/>
      </c>
      <c r="C122" s="25" t="str">
        <f t="shared" ca="1" si="16"/>
        <v/>
      </c>
      <c r="D122" s="26" t="str">
        <f t="shared" ca="1" si="17"/>
        <v/>
      </c>
      <c r="E122" s="4" t="str">
        <f t="shared" ca="1" si="21"/>
        <v/>
      </c>
      <c r="F122" s="25" t="str">
        <f t="shared" ca="1" si="18"/>
        <v/>
      </c>
      <c r="G122" s="26" t="str">
        <f t="shared" ca="1" si="19"/>
        <v/>
      </c>
      <c r="H122" s="55" t="str">
        <f t="shared" ca="1" si="22"/>
        <v/>
      </c>
      <c r="J122" s="37"/>
      <c r="L122" s="37"/>
      <c r="N122" s="95" t="str">
        <f t="shared" si="13"/>
        <v/>
      </c>
      <c r="O122" s="95" t="str">
        <f t="shared" si="14"/>
        <v/>
      </c>
    </row>
    <row r="123" spans="1:15" x14ac:dyDescent="0.25">
      <c r="A123" s="98" t="str">
        <f t="shared" ca="1" si="15"/>
        <v/>
      </c>
      <c r="B123" s="33" t="str">
        <f t="shared" ca="1" si="20"/>
        <v/>
      </c>
      <c r="C123" s="25" t="str">
        <f t="shared" ca="1" si="16"/>
        <v/>
      </c>
      <c r="D123" s="26" t="str">
        <f t="shared" ca="1" si="17"/>
        <v/>
      </c>
      <c r="E123" s="4" t="str">
        <f t="shared" ca="1" si="21"/>
        <v/>
      </c>
      <c r="F123" s="25" t="str">
        <f t="shared" ca="1" si="18"/>
        <v/>
      </c>
      <c r="G123" s="26" t="str">
        <f t="shared" ca="1" si="19"/>
        <v/>
      </c>
      <c r="H123" s="55" t="str">
        <f t="shared" ca="1" si="22"/>
        <v/>
      </c>
      <c r="J123" s="37"/>
      <c r="L123" s="37"/>
      <c r="N123" s="95" t="str">
        <f t="shared" si="13"/>
        <v/>
      </c>
      <c r="O123" s="95" t="str">
        <f t="shared" si="14"/>
        <v/>
      </c>
    </row>
    <row r="124" spans="1:15" x14ac:dyDescent="0.25">
      <c r="A124" s="98" t="str">
        <f t="shared" ca="1" si="15"/>
        <v/>
      </c>
      <c r="B124" s="33" t="str">
        <f t="shared" ca="1" si="20"/>
        <v/>
      </c>
      <c r="C124" s="25" t="str">
        <f t="shared" ca="1" si="16"/>
        <v/>
      </c>
      <c r="D124" s="26" t="str">
        <f t="shared" ca="1" si="17"/>
        <v/>
      </c>
      <c r="E124" s="4" t="str">
        <f t="shared" ca="1" si="21"/>
        <v/>
      </c>
      <c r="F124" s="25" t="str">
        <f t="shared" ca="1" si="18"/>
        <v/>
      </c>
      <c r="G124" s="26" t="str">
        <f t="shared" ca="1" si="19"/>
        <v/>
      </c>
      <c r="H124" s="55" t="str">
        <f t="shared" ca="1" si="22"/>
        <v/>
      </c>
      <c r="J124" s="37"/>
      <c r="L124" s="37"/>
      <c r="N124" s="95" t="str">
        <f t="shared" si="13"/>
        <v/>
      </c>
      <c r="O124" s="95" t="str">
        <f t="shared" si="14"/>
        <v/>
      </c>
    </row>
    <row r="125" spans="1:15" x14ac:dyDescent="0.25">
      <c r="A125" s="98" t="str">
        <f t="shared" ca="1" si="15"/>
        <v/>
      </c>
      <c r="B125" s="33" t="str">
        <f t="shared" ca="1" si="20"/>
        <v/>
      </c>
      <c r="C125" s="25" t="str">
        <f t="shared" ca="1" si="16"/>
        <v/>
      </c>
      <c r="D125" s="26" t="str">
        <f t="shared" ca="1" si="17"/>
        <v/>
      </c>
      <c r="E125" s="4" t="str">
        <f t="shared" ca="1" si="21"/>
        <v/>
      </c>
      <c r="F125" s="25" t="str">
        <f t="shared" ca="1" si="18"/>
        <v/>
      </c>
      <c r="G125" s="26" t="str">
        <f t="shared" ca="1" si="19"/>
        <v/>
      </c>
      <c r="H125" s="55" t="str">
        <f t="shared" ca="1" si="22"/>
        <v/>
      </c>
      <c r="J125" s="37"/>
      <c r="L125" s="37"/>
      <c r="N125" s="95" t="str">
        <f t="shared" si="13"/>
        <v/>
      </c>
      <c r="O125" s="95" t="str">
        <f t="shared" si="14"/>
        <v/>
      </c>
    </row>
    <row r="126" spans="1:15" x14ac:dyDescent="0.25">
      <c r="A126" s="98" t="str">
        <f t="shared" ca="1" si="15"/>
        <v/>
      </c>
      <c r="B126" s="33" t="str">
        <f t="shared" ca="1" si="20"/>
        <v/>
      </c>
      <c r="C126" s="25" t="str">
        <f t="shared" ca="1" si="16"/>
        <v/>
      </c>
      <c r="D126" s="26" t="str">
        <f t="shared" ca="1" si="17"/>
        <v/>
      </c>
      <c r="E126" s="4" t="str">
        <f t="shared" ca="1" si="21"/>
        <v/>
      </c>
      <c r="F126" s="25" t="str">
        <f t="shared" ca="1" si="18"/>
        <v/>
      </c>
      <c r="G126" s="26" t="str">
        <f t="shared" ca="1" si="19"/>
        <v/>
      </c>
      <c r="H126" s="55" t="str">
        <f t="shared" ca="1" si="22"/>
        <v/>
      </c>
      <c r="J126" s="37"/>
      <c r="L126" s="37"/>
      <c r="N126" s="95" t="str">
        <f t="shared" si="13"/>
        <v/>
      </c>
      <c r="O126" s="95" t="str">
        <f t="shared" si="14"/>
        <v/>
      </c>
    </row>
    <row r="127" spans="1:15" x14ac:dyDescent="0.25">
      <c r="A127" s="98" t="str">
        <f t="shared" ca="1" si="15"/>
        <v/>
      </c>
      <c r="B127" s="33" t="str">
        <f t="shared" ca="1" si="20"/>
        <v/>
      </c>
      <c r="C127" s="25" t="str">
        <f t="shared" ca="1" si="16"/>
        <v/>
      </c>
      <c r="D127" s="26" t="str">
        <f t="shared" ca="1" si="17"/>
        <v/>
      </c>
      <c r="E127" s="4" t="str">
        <f t="shared" ca="1" si="21"/>
        <v/>
      </c>
      <c r="F127" s="25" t="str">
        <f t="shared" ca="1" si="18"/>
        <v/>
      </c>
      <c r="G127" s="26" t="str">
        <f t="shared" ca="1" si="19"/>
        <v/>
      </c>
      <c r="H127" s="55" t="str">
        <f t="shared" ca="1" si="22"/>
        <v/>
      </c>
      <c r="J127" s="37"/>
      <c r="L127" s="37"/>
      <c r="N127" s="95" t="str">
        <f t="shared" si="13"/>
        <v/>
      </c>
      <c r="O127" s="95" t="str">
        <f t="shared" si="14"/>
        <v/>
      </c>
    </row>
    <row r="128" spans="1:15" x14ac:dyDescent="0.25">
      <c r="A128" s="98" t="str">
        <f t="shared" ca="1" si="15"/>
        <v/>
      </c>
      <c r="B128" s="33" t="str">
        <f t="shared" ca="1" si="20"/>
        <v/>
      </c>
      <c r="C128" s="25" t="str">
        <f t="shared" ca="1" si="16"/>
        <v/>
      </c>
      <c r="D128" s="26" t="str">
        <f t="shared" ca="1" si="17"/>
        <v/>
      </c>
      <c r="E128" s="4" t="str">
        <f t="shared" ca="1" si="21"/>
        <v/>
      </c>
      <c r="F128" s="25" t="str">
        <f t="shared" ca="1" si="18"/>
        <v/>
      </c>
      <c r="G128" s="26" t="str">
        <f t="shared" ca="1" si="19"/>
        <v/>
      </c>
      <c r="H128" s="55" t="str">
        <f t="shared" ca="1" si="22"/>
        <v/>
      </c>
      <c r="J128" s="37"/>
      <c r="L128" s="37"/>
      <c r="N128" s="95" t="str">
        <f t="shared" si="13"/>
        <v/>
      </c>
      <c r="O128" s="95" t="str">
        <f t="shared" si="14"/>
        <v/>
      </c>
    </row>
    <row r="129" spans="1:15" x14ac:dyDescent="0.25">
      <c r="A129" s="98" t="str">
        <f t="shared" ca="1" si="15"/>
        <v/>
      </c>
      <c r="B129" s="33" t="str">
        <f t="shared" ca="1" si="20"/>
        <v/>
      </c>
      <c r="C129" s="25" t="str">
        <f t="shared" ca="1" si="16"/>
        <v/>
      </c>
      <c r="D129" s="26" t="str">
        <f t="shared" ca="1" si="17"/>
        <v/>
      </c>
      <c r="E129" s="4" t="str">
        <f t="shared" ca="1" si="21"/>
        <v/>
      </c>
      <c r="F129" s="25" t="str">
        <f t="shared" ca="1" si="18"/>
        <v/>
      </c>
      <c r="G129" s="26" t="str">
        <f t="shared" ca="1" si="19"/>
        <v/>
      </c>
      <c r="H129" s="55" t="str">
        <f t="shared" ca="1" si="22"/>
        <v/>
      </c>
      <c r="J129" s="37"/>
      <c r="L129" s="37"/>
      <c r="N129" s="95" t="str">
        <f t="shared" si="13"/>
        <v/>
      </c>
      <c r="O129" s="95" t="str">
        <f t="shared" si="14"/>
        <v/>
      </c>
    </row>
    <row r="130" spans="1:15" x14ac:dyDescent="0.25">
      <c r="A130" s="98" t="str">
        <f t="shared" ca="1" si="15"/>
        <v/>
      </c>
      <c r="B130" s="33" t="str">
        <f t="shared" ca="1" si="20"/>
        <v/>
      </c>
      <c r="C130" s="25" t="str">
        <f t="shared" ca="1" si="16"/>
        <v/>
      </c>
      <c r="D130" s="26" t="str">
        <f t="shared" ca="1" si="17"/>
        <v/>
      </c>
      <c r="E130" s="4" t="str">
        <f t="shared" ca="1" si="21"/>
        <v/>
      </c>
      <c r="F130" s="25" t="str">
        <f t="shared" ca="1" si="18"/>
        <v/>
      </c>
      <c r="G130" s="26" t="str">
        <f t="shared" ca="1" si="19"/>
        <v/>
      </c>
      <c r="H130" s="55" t="str">
        <f t="shared" ca="1" si="22"/>
        <v/>
      </c>
      <c r="J130" s="37"/>
      <c r="L130" s="37"/>
      <c r="N130" s="95" t="str">
        <f t="shared" si="13"/>
        <v/>
      </c>
      <c r="O130" s="95" t="str">
        <f t="shared" si="14"/>
        <v/>
      </c>
    </row>
    <row r="131" spans="1:15" x14ac:dyDescent="0.25">
      <c r="A131" s="98" t="str">
        <f t="shared" ca="1" si="15"/>
        <v/>
      </c>
      <c r="B131" s="33" t="str">
        <f t="shared" ca="1" si="20"/>
        <v/>
      </c>
      <c r="C131" s="25" t="str">
        <f t="shared" ca="1" si="16"/>
        <v/>
      </c>
      <c r="D131" s="26" t="str">
        <f t="shared" ca="1" si="17"/>
        <v/>
      </c>
      <c r="E131" s="4" t="str">
        <f t="shared" ca="1" si="21"/>
        <v/>
      </c>
      <c r="F131" s="25" t="str">
        <f t="shared" ca="1" si="18"/>
        <v/>
      </c>
      <c r="G131" s="26" t="str">
        <f t="shared" ca="1" si="19"/>
        <v/>
      </c>
      <c r="H131" s="55" t="str">
        <f t="shared" ca="1" si="22"/>
        <v/>
      </c>
      <c r="J131" s="37"/>
      <c r="L131" s="37"/>
      <c r="N131" s="95" t="str">
        <f t="shared" si="13"/>
        <v/>
      </c>
      <c r="O131" s="95" t="str">
        <f t="shared" si="14"/>
        <v/>
      </c>
    </row>
    <row r="132" spans="1:15" x14ac:dyDescent="0.25">
      <c r="A132" s="98" t="str">
        <f t="shared" ca="1" si="15"/>
        <v/>
      </c>
      <c r="B132" s="33" t="str">
        <f t="shared" ca="1" si="20"/>
        <v/>
      </c>
      <c r="C132" s="25" t="str">
        <f t="shared" ca="1" si="16"/>
        <v/>
      </c>
      <c r="D132" s="26" t="str">
        <f t="shared" ca="1" si="17"/>
        <v/>
      </c>
      <c r="E132" s="4" t="str">
        <f t="shared" ca="1" si="21"/>
        <v/>
      </c>
      <c r="F132" s="25" t="str">
        <f t="shared" ca="1" si="18"/>
        <v/>
      </c>
      <c r="G132" s="26" t="str">
        <f t="shared" ca="1" si="19"/>
        <v/>
      </c>
      <c r="H132" s="55" t="str">
        <f t="shared" ca="1" si="22"/>
        <v/>
      </c>
      <c r="J132" s="37"/>
      <c r="L132" s="37"/>
      <c r="N132" s="95" t="str">
        <f t="shared" ref="N132:N195" si="23">IF(COUNTIF(L:L,J132)=1,J132,"")</f>
        <v/>
      </c>
      <c r="O132" s="95" t="str">
        <f t="shared" ref="O132:O195" si="24">IF(N132&gt;$A$14,N132,"")</f>
        <v/>
      </c>
    </row>
    <row r="133" spans="1:15" x14ac:dyDescent="0.25">
      <c r="A133" s="98" t="str">
        <f t="shared" ca="1" si="15"/>
        <v/>
      </c>
      <c r="B133" s="33" t="str">
        <f t="shared" ca="1" si="20"/>
        <v/>
      </c>
      <c r="C133" s="25" t="str">
        <f t="shared" ca="1" si="16"/>
        <v/>
      </c>
      <c r="D133" s="26" t="str">
        <f t="shared" ca="1" si="17"/>
        <v/>
      </c>
      <c r="E133" s="4" t="str">
        <f t="shared" ca="1" si="21"/>
        <v/>
      </c>
      <c r="F133" s="25" t="str">
        <f t="shared" ca="1" si="18"/>
        <v/>
      </c>
      <c r="G133" s="26" t="str">
        <f t="shared" ca="1" si="19"/>
        <v/>
      </c>
      <c r="H133" s="55" t="str">
        <f t="shared" ca="1" si="22"/>
        <v/>
      </c>
      <c r="J133" s="37"/>
      <c r="L133" s="37"/>
      <c r="N133" s="95" t="str">
        <f t="shared" si="23"/>
        <v/>
      </c>
      <c r="O133" s="95" t="str">
        <f t="shared" si="24"/>
        <v/>
      </c>
    </row>
    <row r="134" spans="1:15" x14ac:dyDescent="0.25">
      <c r="A134" s="98" t="str">
        <f t="shared" ca="1" si="15"/>
        <v/>
      </c>
      <c r="B134" s="33" t="str">
        <f t="shared" ca="1" si="20"/>
        <v/>
      </c>
      <c r="C134" s="25" t="str">
        <f t="shared" ca="1" si="16"/>
        <v/>
      </c>
      <c r="D134" s="26" t="str">
        <f t="shared" ca="1" si="17"/>
        <v/>
      </c>
      <c r="E134" s="4" t="str">
        <f t="shared" ca="1" si="21"/>
        <v/>
      </c>
      <c r="F134" s="25" t="str">
        <f t="shared" ca="1" si="18"/>
        <v/>
      </c>
      <c r="G134" s="26" t="str">
        <f t="shared" ca="1" si="19"/>
        <v/>
      </c>
      <c r="H134" s="55" t="str">
        <f t="shared" ca="1" si="22"/>
        <v/>
      </c>
      <c r="J134" s="37"/>
      <c r="L134" s="37"/>
      <c r="N134" s="95" t="str">
        <f t="shared" si="23"/>
        <v/>
      </c>
      <c r="O134" s="95" t="str">
        <f t="shared" si="24"/>
        <v/>
      </c>
    </row>
    <row r="135" spans="1:15" x14ac:dyDescent="0.25">
      <c r="A135" s="98" t="str">
        <f t="shared" ca="1" si="15"/>
        <v/>
      </c>
      <c r="B135" s="33" t="str">
        <f t="shared" ca="1" si="20"/>
        <v/>
      </c>
      <c r="C135" s="25" t="str">
        <f t="shared" ca="1" si="16"/>
        <v/>
      </c>
      <c r="D135" s="26" t="str">
        <f t="shared" ca="1" si="17"/>
        <v/>
      </c>
      <c r="E135" s="4" t="str">
        <f t="shared" ca="1" si="21"/>
        <v/>
      </c>
      <c r="F135" s="25" t="str">
        <f t="shared" ca="1" si="18"/>
        <v/>
      </c>
      <c r="G135" s="26" t="str">
        <f t="shared" ca="1" si="19"/>
        <v/>
      </c>
      <c r="H135" s="55" t="str">
        <f t="shared" ca="1" si="22"/>
        <v/>
      </c>
      <c r="J135" s="37"/>
      <c r="L135" s="37"/>
      <c r="N135" s="95" t="str">
        <f t="shared" si="23"/>
        <v/>
      </c>
      <c r="O135" s="95" t="str">
        <f t="shared" si="24"/>
        <v/>
      </c>
    </row>
    <row r="136" spans="1:15" x14ac:dyDescent="0.25">
      <c r="A136" s="98" t="str">
        <f t="shared" ca="1" si="15"/>
        <v/>
      </c>
      <c r="B136" s="33" t="str">
        <f t="shared" ca="1" si="20"/>
        <v/>
      </c>
      <c r="C136" s="25" t="str">
        <f t="shared" ca="1" si="16"/>
        <v/>
      </c>
      <c r="D136" s="26" t="str">
        <f t="shared" ca="1" si="17"/>
        <v/>
      </c>
      <c r="E136" s="4" t="str">
        <f t="shared" ca="1" si="21"/>
        <v/>
      </c>
      <c r="F136" s="25" t="str">
        <f t="shared" ca="1" si="18"/>
        <v/>
      </c>
      <c r="G136" s="26" t="str">
        <f t="shared" ca="1" si="19"/>
        <v/>
      </c>
      <c r="H136" s="55" t="str">
        <f t="shared" ca="1" si="22"/>
        <v/>
      </c>
      <c r="J136" s="37"/>
      <c r="L136" s="37"/>
      <c r="N136" s="95" t="str">
        <f t="shared" si="23"/>
        <v/>
      </c>
      <c r="O136" s="95" t="str">
        <f t="shared" si="24"/>
        <v/>
      </c>
    </row>
    <row r="137" spans="1:15" x14ac:dyDescent="0.25">
      <c r="A137" s="98" t="str">
        <f t="shared" ca="1" si="15"/>
        <v/>
      </c>
      <c r="B137" s="33" t="str">
        <f ca="1">IF(COUNTIF(J:J,A137)=1,VLOOKUP(A137,J:K,2), IF(COUNTIF(J:J,A137)=0,$B$10,""))</f>
        <v/>
      </c>
      <c r="C137" s="25" t="str">
        <f ca="1">IF(ISERROR(B137-2),"",(B137-$B$14)/100*$B$5)</f>
        <v/>
      </c>
      <c r="D137" s="26" t="str">
        <f ca="1">IF(ISERROR(B137-2),"",(INT(A137)-INT($A$14))/360*$B$6*$B$5-(INT(A137)-INT($A$14))/360*$B$7*$B$5*$B$14/100)</f>
        <v/>
      </c>
      <c r="E137" s="4" t="str">
        <f ca="1">IF(COUNTIF(L:L,A137)=1,VLOOKUP(A137,L:M,2), IF(COUNTIF(L:L,A137)=0,$C$10,""))</f>
        <v/>
      </c>
      <c r="F137" s="25" t="str">
        <f ca="1">IF(ISERROR(E137-2), "", (E137-$E$14)/100*$C$5)</f>
        <v/>
      </c>
      <c r="G137" s="26" t="str">
        <f ca="1">IF(ISERROR(E137-2),"",(INT(A137)-INT($A$14))/360*$C$6*$C$5-(INT(A137)-INT($A$14))/360*$C$7*$C$5*$E$14/100)</f>
        <v/>
      </c>
      <c r="H137" s="55" t="str">
        <f ca="1">IF(ISERROR(E137-2),"",C137+D137-F137-G137)</f>
        <v/>
      </c>
      <c r="J137" s="37"/>
      <c r="L137" s="37"/>
      <c r="N137" s="95" t="str">
        <f t="shared" si="23"/>
        <v/>
      </c>
      <c r="O137" s="95" t="str">
        <f t="shared" si="24"/>
        <v/>
      </c>
    </row>
    <row r="138" spans="1:15" x14ac:dyDescent="0.25">
      <c r="A138" s="98" t="str">
        <f t="shared" ca="1" si="15"/>
        <v/>
      </c>
      <c r="B138" s="33" t="str">
        <f t="shared" ref="B138:B201" ca="1" si="25">IF(COUNTIF(J:J,A138)=1,VLOOKUP(A138,J:K,2), IF(COUNTIF(J:J,A138)=0,$B$10,""))</f>
        <v/>
      </c>
      <c r="C138" s="25" t="str">
        <f t="shared" ref="C138:C201" ca="1" si="26">IF(ISERROR(B138-2),"",(B138-$B$14)/100*$B$5)</f>
        <v/>
      </c>
      <c r="D138" s="26" t="str">
        <f t="shared" ref="D138:D201" ca="1" si="27">IF(ISERROR(B138-2),"",(INT(A138)-INT($A$14))/360*$B$6*$B$5-(INT(A138)-INT($A$14))/360*$B$7*$B$5*$B$14/100)</f>
        <v/>
      </c>
      <c r="E138" s="4" t="str">
        <f t="shared" ref="E138:E201" ca="1" si="28">IF(COUNTIF(L:L,A138)=1,VLOOKUP(A138,L:M,2), IF(COUNTIF(L:L,A138)=0,$C$10,""))</f>
        <v/>
      </c>
      <c r="F138" s="25" t="str">
        <f t="shared" ref="F138:F201" ca="1" si="29">IF(ISERROR(E138-2), "", (E138-$E$14)/100*$C$5)</f>
        <v/>
      </c>
      <c r="G138" s="26" t="str">
        <f t="shared" ref="G138:G201" ca="1" si="30">IF(ISERROR(E138-2),"",(INT(A138)-INT($A$14))/360*$C$6*$C$5-(INT(A138)-INT($A$14))/360*$C$7*$C$5*$E$14/100)</f>
        <v/>
      </c>
      <c r="H138" s="55" t="str">
        <f t="shared" ref="H138:H201" ca="1" si="31">IF(ISERROR(E138-2),"",C138+D138-F138-G138)</f>
        <v/>
      </c>
      <c r="J138" s="37"/>
      <c r="L138" s="37"/>
      <c r="N138" s="95" t="str">
        <f t="shared" si="23"/>
        <v/>
      </c>
      <c r="O138" s="95" t="str">
        <f t="shared" si="24"/>
        <v/>
      </c>
    </row>
    <row r="139" spans="1:15" x14ac:dyDescent="0.25">
      <c r="A139" s="98" t="str">
        <f t="shared" ca="1" si="15"/>
        <v/>
      </c>
      <c r="B139" s="33" t="str">
        <f t="shared" ca="1" si="25"/>
        <v/>
      </c>
      <c r="C139" s="25" t="str">
        <f t="shared" ca="1" si="26"/>
        <v/>
      </c>
      <c r="D139" s="26" t="str">
        <f t="shared" ca="1" si="27"/>
        <v/>
      </c>
      <c r="E139" s="4" t="str">
        <f t="shared" ca="1" si="28"/>
        <v/>
      </c>
      <c r="F139" s="25" t="str">
        <f t="shared" ca="1" si="29"/>
        <v/>
      </c>
      <c r="G139" s="26" t="str">
        <f t="shared" ca="1" si="30"/>
        <v/>
      </c>
      <c r="H139" s="55" t="str">
        <f t="shared" ca="1" si="31"/>
        <v/>
      </c>
      <c r="J139" s="37"/>
      <c r="L139" s="37"/>
      <c r="N139" s="95" t="str">
        <f t="shared" si="23"/>
        <v/>
      </c>
      <c r="O139" s="95" t="str">
        <f t="shared" si="24"/>
        <v/>
      </c>
    </row>
    <row r="140" spans="1:15" x14ac:dyDescent="0.25">
      <c r="A140" s="98" t="str">
        <f t="shared" ca="1" si="15"/>
        <v/>
      </c>
      <c r="B140" s="33" t="str">
        <f t="shared" ca="1" si="25"/>
        <v/>
      </c>
      <c r="C140" s="25" t="str">
        <f t="shared" ca="1" si="26"/>
        <v/>
      </c>
      <c r="D140" s="26" t="str">
        <f t="shared" ca="1" si="27"/>
        <v/>
      </c>
      <c r="E140" s="4" t="str">
        <f t="shared" ca="1" si="28"/>
        <v/>
      </c>
      <c r="F140" s="25" t="str">
        <f t="shared" ca="1" si="29"/>
        <v/>
      </c>
      <c r="G140" s="26" t="str">
        <f t="shared" ca="1" si="30"/>
        <v/>
      </c>
      <c r="H140" s="55" t="str">
        <f t="shared" ca="1" si="31"/>
        <v/>
      </c>
      <c r="J140" s="37"/>
      <c r="L140" s="37"/>
      <c r="N140" s="95" t="str">
        <f t="shared" si="23"/>
        <v/>
      </c>
      <c r="O140" s="95" t="str">
        <f t="shared" si="24"/>
        <v/>
      </c>
    </row>
    <row r="141" spans="1:15" x14ac:dyDescent="0.25">
      <c r="A141" s="98" t="str">
        <f t="shared" ca="1" si="15"/>
        <v/>
      </c>
      <c r="B141" s="33" t="str">
        <f t="shared" ca="1" si="25"/>
        <v/>
      </c>
      <c r="C141" s="25" t="str">
        <f t="shared" ca="1" si="26"/>
        <v/>
      </c>
      <c r="D141" s="26" t="str">
        <f t="shared" ca="1" si="27"/>
        <v/>
      </c>
      <c r="E141" s="4" t="str">
        <f t="shared" ca="1" si="28"/>
        <v/>
      </c>
      <c r="F141" s="25" t="str">
        <f t="shared" ca="1" si="29"/>
        <v/>
      </c>
      <c r="G141" s="26" t="str">
        <f t="shared" ca="1" si="30"/>
        <v/>
      </c>
      <c r="H141" s="55" t="str">
        <f t="shared" ca="1" si="31"/>
        <v/>
      </c>
      <c r="J141" s="37"/>
      <c r="L141" s="37"/>
      <c r="N141" s="95" t="str">
        <f t="shared" si="23"/>
        <v/>
      </c>
      <c r="O141" s="95" t="str">
        <f t="shared" si="24"/>
        <v/>
      </c>
    </row>
    <row r="142" spans="1:15" x14ac:dyDescent="0.25">
      <c r="A142" s="98" t="str">
        <f t="shared" ca="1" si="15"/>
        <v/>
      </c>
      <c r="B142" s="33" t="str">
        <f t="shared" ca="1" si="25"/>
        <v/>
      </c>
      <c r="C142" s="25" t="str">
        <f t="shared" ca="1" si="26"/>
        <v/>
      </c>
      <c r="D142" s="26" t="str">
        <f t="shared" ca="1" si="27"/>
        <v/>
      </c>
      <c r="E142" s="4" t="str">
        <f t="shared" ca="1" si="28"/>
        <v/>
      </c>
      <c r="F142" s="25" t="str">
        <f t="shared" ca="1" si="29"/>
        <v/>
      </c>
      <c r="G142" s="26" t="str">
        <f t="shared" ca="1" si="30"/>
        <v/>
      </c>
      <c r="H142" s="55" t="str">
        <f t="shared" ca="1" si="31"/>
        <v/>
      </c>
      <c r="J142" s="37"/>
      <c r="L142" s="37"/>
      <c r="N142" s="95" t="str">
        <f t="shared" si="23"/>
        <v/>
      </c>
      <c r="O142" s="95" t="str">
        <f t="shared" si="24"/>
        <v/>
      </c>
    </row>
    <row r="143" spans="1:15" x14ac:dyDescent="0.25">
      <c r="A143" s="98" t="str">
        <f t="shared" ca="1" si="15"/>
        <v/>
      </c>
      <c r="B143" s="33" t="str">
        <f t="shared" ca="1" si="25"/>
        <v/>
      </c>
      <c r="C143" s="25" t="str">
        <f t="shared" ca="1" si="26"/>
        <v/>
      </c>
      <c r="D143" s="26" t="str">
        <f t="shared" ca="1" si="27"/>
        <v/>
      </c>
      <c r="E143" s="4" t="str">
        <f t="shared" ca="1" si="28"/>
        <v/>
      </c>
      <c r="F143" s="25" t="str">
        <f t="shared" ca="1" si="29"/>
        <v/>
      </c>
      <c r="G143" s="26" t="str">
        <f t="shared" ca="1" si="30"/>
        <v/>
      </c>
      <c r="H143" s="55" t="str">
        <f t="shared" ca="1" si="31"/>
        <v/>
      </c>
      <c r="J143" s="37"/>
      <c r="L143" s="37"/>
      <c r="N143" s="95" t="str">
        <f t="shared" si="23"/>
        <v/>
      </c>
      <c r="O143" s="95" t="str">
        <f t="shared" si="24"/>
        <v/>
      </c>
    </row>
    <row r="144" spans="1:15" x14ac:dyDescent="0.25">
      <c r="A144" s="98" t="str">
        <f t="shared" ref="A144:A207" ca="1" si="32">IF(AND(ISBLANK(P131), A143 = $P$1),NOW(),IF(ISBLANK(P131),"",P131))</f>
        <v/>
      </c>
      <c r="B144" s="33" t="str">
        <f t="shared" ca="1" si="25"/>
        <v/>
      </c>
      <c r="C144" s="25" t="str">
        <f t="shared" ca="1" si="26"/>
        <v/>
      </c>
      <c r="D144" s="26" t="str">
        <f t="shared" ca="1" si="27"/>
        <v/>
      </c>
      <c r="E144" s="4" t="str">
        <f t="shared" ca="1" si="28"/>
        <v/>
      </c>
      <c r="F144" s="25" t="str">
        <f t="shared" ca="1" si="29"/>
        <v/>
      </c>
      <c r="G144" s="26" t="str">
        <f t="shared" ca="1" si="30"/>
        <v/>
      </c>
      <c r="H144" s="55" t="str">
        <f t="shared" ca="1" si="31"/>
        <v/>
      </c>
      <c r="J144" s="37"/>
      <c r="L144" s="37"/>
      <c r="N144" s="95" t="str">
        <f t="shared" si="23"/>
        <v/>
      </c>
      <c r="O144" s="95" t="str">
        <f t="shared" si="24"/>
        <v/>
      </c>
    </row>
    <row r="145" spans="1:15" x14ac:dyDescent="0.25">
      <c r="A145" s="98" t="str">
        <f t="shared" ca="1" si="32"/>
        <v/>
      </c>
      <c r="B145" s="33" t="str">
        <f t="shared" ca="1" si="25"/>
        <v/>
      </c>
      <c r="C145" s="25" t="str">
        <f t="shared" ca="1" si="26"/>
        <v/>
      </c>
      <c r="D145" s="26" t="str">
        <f t="shared" ca="1" si="27"/>
        <v/>
      </c>
      <c r="E145" s="4" t="str">
        <f t="shared" ca="1" si="28"/>
        <v/>
      </c>
      <c r="F145" s="25" t="str">
        <f t="shared" ca="1" si="29"/>
        <v/>
      </c>
      <c r="G145" s="26" t="str">
        <f t="shared" ca="1" si="30"/>
        <v/>
      </c>
      <c r="H145" s="55" t="str">
        <f t="shared" ca="1" si="31"/>
        <v/>
      </c>
      <c r="J145" s="37"/>
      <c r="L145" s="37"/>
      <c r="N145" s="95" t="str">
        <f t="shared" si="23"/>
        <v/>
      </c>
      <c r="O145" s="95" t="str">
        <f t="shared" si="24"/>
        <v/>
      </c>
    </row>
    <row r="146" spans="1:15" x14ac:dyDescent="0.25">
      <c r="A146" s="98" t="str">
        <f t="shared" ca="1" si="32"/>
        <v/>
      </c>
      <c r="B146" s="33" t="str">
        <f t="shared" ca="1" si="25"/>
        <v/>
      </c>
      <c r="C146" s="25" t="str">
        <f t="shared" ca="1" si="26"/>
        <v/>
      </c>
      <c r="D146" s="26" t="str">
        <f t="shared" ca="1" si="27"/>
        <v/>
      </c>
      <c r="E146" s="4" t="str">
        <f t="shared" ca="1" si="28"/>
        <v/>
      </c>
      <c r="F146" s="25" t="str">
        <f t="shared" ca="1" si="29"/>
        <v/>
      </c>
      <c r="G146" s="26" t="str">
        <f t="shared" ca="1" si="30"/>
        <v/>
      </c>
      <c r="H146" s="55" t="str">
        <f t="shared" ca="1" si="31"/>
        <v/>
      </c>
      <c r="J146" s="37"/>
      <c r="L146" s="37"/>
      <c r="N146" s="95" t="str">
        <f t="shared" si="23"/>
        <v/>
      </c>
      <c r="O146" s="95" t="str">
        <f t="shared" si="24"/>
        <v/>
      </c>
    </row>
    <row r="147" spans="1:15" x14ac:dyDescent="0.25">
      <c r="A147" s="98" t="str">
        <f t="shared" ca="1" si="32"/>
        <v/>
      </c>
      <c r="B147" s="33" t="str">
        <f t="shared" ca="1" si="25"/>
        <v/>
      </c>
      <c r="C147" s="25" t="str">
        <f t="shared" ca="1" si="26"/>
        <v/>
      </c>
      <c r="D147" s="26" t="str">
        <f t="shared" ca="1" si="27"/>
        <v/>
      </c>
      <c r="E147" s="4" t="str">
        <f t="shared" ca="1" si="28"/>
        <v/>
      </c>
      <c r="F147" s="25" t="str">
        <f t="shared" ca="1" si="29"/>
        <v/>
      </c>
      <c r="G147" s="26" t="str">
        <f t="shared" ca="1" si="30"/>
        <v/>
      </c>
      <c r="H147" s="55" t="str">
        <f t="shared" ca="1" si="31"/>
        <v/>
      </c>
      <c r="J147" s="37"/>
      <c r="L147" s="37"/>
      <c r="N147" s="95" t="str">
        <f t="shared" si="23"/>
        <v/>
      </c>
      <c r="O147" s="95" t="str">
        <f t="shared" si="24"/>
        <v/>
      </c>
    </row>
    <row r="148" spans="1:15" x14ac:dyDescent="0.25">
      <c r="A148" s="98" t="str">
        <f t="shared" ca="1" si="32"/>
        <v/>
      </c>
      <c r="B148" s="33" t="str">
        <f t="shared" ca="1" si="25"/>
        <v/>
      </c>
      <c r="C148" s="25" t="str">
        <f t="shared" ca="1" si="26"/>
        <v/>
      </c>
      <c r="D148" s="26" t="str">
        <f t="shared" ca="1" si="27"/>
        <v/>
      </c>
      <c r="E148" s="4" t="str">
        <f t="shared" ca="1" si="28"/>
        <v/>
      </c>
      <c r="F148" s="25" t="str">
        <f t="shared" ca="1" si="29"/>
        <v/>
      </c>
      <c r="G148" s="26" t="str">
        <f t="shared" ca="1" si="30"/>
        <v/>
      </c>
      <c r="H148" s="55" t="str">
        <f t="shared" ca="1" si="31"/>
        <v/>
      </c>
      <c r="J148" s="37"/>
      <c r="L148" s="37"/>
      <c r="N148" s="95" t="str">
        <f t="shared" si="23"/>
        <v/>
      </c>
      <c r="O148" s="95" t="str">
        <f t="shared" si="24"/>
        <v/>
      </c>
    </row>
    <row r="149" spans="1:15" x14ac:dyDescent="0.25">
      <c r="A149" s="98" t="str">
        <f t="shared" ca="1" si="32"/>
        <v/>
      </c>
      <c r="B149" s="33" t="str">
        <f t="shared" ca="1" si="25"/>
        <v/>
      </c>
      <c r="C149" s="25" t="str">
        <f t="shared" ca="1" si="26"/>
        <v/>
      </c>
      <c r="D149" s="26" t="str">
        <f t="shared" ca="1" si="27"/>
        <v/>
      </c>
      <c r="E149" s="4" t="str">
        <f t="shared" ca="1" si="28"/>
        <v/>
      </c>
      <c r="F149" s="25" t="str">
        <f t="shared" ca="1" si="29"/>
        <v/>
      </c>
      <c r="G149" s="26" t="str">
        <f t="shared" ca="1" si="30"/>
        <v/>
      </c>
      <c r="H149" s="55" t="str">
        <f t="shared" ca="1" si="31"/>
        <v/>
      </c>
      <c r="J149" s="37"/>
      <c r="L149" s="37"/>
      <c r="N149" s="95" t="str">
        <f t="shared" si="23"/>
        <v/>
      </c>
      <c r="O149" s="95" t="str">
        <f t="shared" si="24"/>
        <v/>
      </c>
    </row>
    <row r="150" spans="1:15" x14ac:dyDescent="0.25">
      <c r="A150" s="98" t="str">
        <f t="shared" ca="1" si="32"/>
        <v/>
      </c>
      <c r="B150" s="33" t="str">
        <f t="shared" ca="1" si="25"/>
        <v/>
      </c>
      <c r="C150" s="25" t="str">
        <f t="shared" ca="1" si="26"/>
        <v/>
      </c>
      <c r="D150" s="26" t="str">
        <f t="shared" ca="1" si="27"/>
        <v/>
      </c>
      <c r="E150" s="4" t="str">
        <f t="shared" ca="1" si="28"/>
        <v/>
      </c>
      <c r="F150" s="25" t="str">
        <f t="shared" ca="1" si="29"/>
        <v/>
      </c>
      <c r="G150" s="26" t="str">
        <f t="shared" ca="1" si="30"/>
        <v/>
      </c>
      <c r="H150" s="55" t="str">
        <f t="shared" ca="1" si="31"/>
        <v/>
      </c>
      <c r="J150" s="37"/>
      <c r="L150" s="37"/>
      <c r="N150" s="95" t="str">
        <f t="shared" si="23"/>
        <v/>
      </c>
      <c r="O150" s="95" t="str">
        <f t="shared" si="24"/>
        <v/>
      </c>
    </row>
    <row r="151" spans="1:15" x14ac:dyDescent="0.25">
      <c r="A151" s="98" t="str">
        <f t="shared" ca="1" si="32"/>
        <v/>
      </c>
      <c r="B151" s="33" t="str">
        <f t="shared" ca="1" si="25"/>
        <v/>
      </c>
      <c r="C151" s="25" t="str">
        <f t="shared" ca="1" si="26"/>
        <v/>
      </c>
      <c r="D151" s="26" t="str">
        <f t="shared" ca="1" si="27"/>
        <v/>
      </c>
      <c r="E151" s="4" t="str">
        <f t="shared" ca="1" si="28"/>
        <v/>
      </c>
      <c r="F151" s="25" t="str">
        <f t="shared" ca="1" si="29"/>
        <v/>
      </c>
      <c r="G151" s="26" t="str">
        <f t="shared" ca="1" si="30"/>
        <v/>
      </c>
      <c r="H151" s="55" t="str">
        <f t="shared" ca="1" si="31"/>
        <v/>
      </c>
      <c r="J151" s="37"/>
      <c r="L151" s="37"/>
      <c r="N151" s="95" t="str">
        <f t="shared" si="23"/>
        <v/>
      </c>
      <c r="O151" s="95" t="str">
        <f t="shared" si="24"/>
        <v/>
      </c>
    </row>
    <row r="152" spans="1:15" x14ac:dyDescent="0.25">
      <c r="A152" s="98" t="str">
        <f t="shared" ca="1" si="32"/>
        <v/>
      </c>
      <c r="B152" s="33" t="str">
        <f t="shared" ca="1" si="25"/>
        <v/>
      </c>
      <c r="C152" s="25" t="str">
        <f t="shared" ca="1" si="26"/>
        <v/>
      </c>
      <c r="D152" s="26" t="str">
        <f t="shared" ca="1" si="27"/>
        <v/>
      </c>
      <c r="E152" s="4" t="str">
        <f t="shared" ca="1" si="28"/>
        <v/>
      </c>
      <c r="F152" s="25" t="str">
        <f t="shared" ca="1" si="29"/>
        <v/>
      </c>
      <c r="G152" s="26" t="str">
        <f t="shared" ca="1" si="30"/>
        <v/>
      </c>
      <c r="H152" s="55" t="str">
        <f t="shared" ca="1" si="31"/>
        <v/>
      </c>
      <c r="J152" s="37"/>
      <c r="L152" s="37"/>
      <c r="N152" s="95" t="str">
        <f t="shared" si="23"/>
        <v/>
      </c>
      <c r="O152" s="95" t="str">
        <f t="shared" si="24"/>
        <v/>
      </c>
    </row>
    <row r="153" spans="1:15" x14ac:dyDescent="0.25">
      <c r="A153" s="98" t="str">
        <f t="shared" ca="1" si="32"/>
        <v/>
      </c>
      <c r="B153" s="33" t="str">
        <f t="shared" ca="1" si="25"/>
        <v/>
      </c>
      <c r="C153" s="25" t="str">
        <f t="shared" ca="1" si="26"/>
        <v/>
      </c>
      <c r="D153" s="26" t="str">
        <f t="shared" ca="1" si="27"/>
        <v/>
      </c>
      <c r="E153" s="4" t="str">
        <f t="shared" ca="1" si="28"/>
        <v/>
      </c>
      <c r="F153" s="25" t="str">
        <f t="shared" ca="1" si="29"/>
        <v/>
      </c>
      <c r="G153" s="26" t="str">
        <f t="shared" ca="1" si="30"/>
        <v/>
      </c>
      <c r="H153" s="55" t="str">
        <f t="shared" ca="1" si="31"/>
        <v/>
      </c>
      <c r="J153" s="37"/>
      <c r="L153" s="37"/>
      <c r="N153" s="95" t="str">
        <f t="shared" si="23"/>
        <v/>
      </c>
      <c r="O153" s="95" t="str">
        <f t="shared" si="24"/>
        <v/>
      </c>
    </row>
    <row r="154" spans="1:15" x14ac:dyDescent="0.25">
      <c r="A154" s="98" t="str">
        <f t="shared" ca="1" si="32"/>
        <v/>
      </c>
      <c r="B154" s="33" t="str">
        <f t="shared" ca="1" si="25"/>
        <v/>
      </c>
      <c r="C154" s="25" t="str">
        <f t="shared" ca="1" si="26"/>
        <v/>
      </c>
      <c r="D154" s="26" t="str">
        <f t="shared" ca="1" si="27"/>
        <v/>
      </c>
      <c r="E154" s="4" t="str">
        <f t="shared" ca="1" si="28"/>
        <v/>
      </c>
      <c r="F154" s="25" t="str">
        <f t="shared" ca="1" si="29"/>
        <v/>
      </c>
      <c r="G154" s="26" t="str">
        <f t="shared" ca="1" si="30"/>
        <v/>
      </c>
      <c r="H154" s="55" t="str">
        <f t="shared" ca="1" si="31"/>
        <v/>
      </c>
      <c r="J154" s="37"/>
      <c r="L154" s="37"/>
      <c r="N154" s="95" t="str">
        <f t="shared" si="23"/>
        <v/>
      </c>
      <c r="O154" s="95" t="str">
        <f t="shared" si="24"/>
        <v/>
      </c>
    </row>
    <row r="155" spans="1:15" x14ac:dyDescent="0.25">
      <c r="A155" s="98" t="str">
        <f t="shared" ca="1" si="32"/>
        <v/>
      </c>
      <c r="B155" s="33" t="str">
        <f t="shared" ca="1" si="25"/>
        <v/>
      </c>
      <c r="C155" s="25" t="str">
        <f t="shared" ca="1" si="26"/>
        <v/>
      </c>
      <c r="D155" s="26" t="str">
        <f t="shared" ca="1" si="27"/>
        <v/>
      </c>
      <c r="E155" s="4" t="str">
        <f t="shared" ca="1" si="28"/>
        <v/>
      </c>
      <c r="F155" s="25" t="str">
        <f t="shared" ca="1" si="29"/>
        <v/>
      </c>
      <c r="G155" s="26" t="str">
        <f t="shared" ca="1" si="30"/>
        <v/>
      </c>
      <c r="H155" s="55" t="str">
        <f t="shared" ca="1" si="31"/>
        <v/>
      </c>
      <c r="J155" s="37"/>
      <c r="L155" s="37"/>
      <c r="N155" s="95" t="str">
        <f t="shared" si="23"/>
        <v/>
      </c>
      <c r="O155" s="95" t="str">
        <f t="shared" si="24"/>
        <v/>
      </c>
    </row>
    <row r="156" spans="1:15" x14ac:dyDescent="0.25">
      <c r="A156" s="98" t="str">
        <f t="shared" ca="1" si="32"/>
        <v/>
      </c>
      <c r="B156" s="33" t="str">
        <f t="shared" ca="1" si="25"/>
        <v/>
      </c>
      <c r="C156" s="25" t="str">
        <f t="shared" ca="1" si="26"/>
        <v/>
      </c>
      <c r="D156" s="26" t="str">
        <f t="shared" ca="1" si="27"/>
        <v/>
      </c>
      <c r="E156" s="4" t="str">
        <f t="shared" ca="1" si="28"/>
        <v/>
      </c>
      <c r="F156" s="25" t="str">
        <f t="shared" ca="1" si="29"/>
        <v/>
      </c>
      <c r="G156" s="26" t="str">
        <f t="shared" ca="1" si="30"/>
        <v/>
      </c>
      <c r="H156" s="55" t="str">
        <f t="shared" ca="1" si="31"/>
        <v/>
      </c>
      <c r="J156" s="37"/>
      <c r="L156" s="37"/>
      <c r="N156" s="95" t="str">
        <f t="shared" si="23"/>
        <v/>
      </c>
      <c r="O156" s="95" t="str">
        <f t="shared" si="24"/>
        <v/>
      </c>
    </row>
    <row r="157" spans="1:15" x14ac:dyDescent="0.25">
      <c r="A157" s="98" t="str">
        <f t="shared" ca="1" si="32"/>
        <v/>
      </c>
      <c r="B157" s="33" t="str">
        <f t="shared" ca="1" si="25"/>
        <v/>
      </c>
      <c r="C157" s="25" t="str">
        <f t="shared" ca="1" si="26"/>
        <v/>
      </c>
      <c r="D157" s="26" t="str">
        <f t="shared" ca="1" si="27"/>
        <v/>
      </c>
      <c r="E157" s="4" t="str">
        <f t="shared" ca="1" si="28"/>
        <v/>
      </c>
      <c r="F157" s="25" t="str">
        <f t="shared" ca="1" si="29"/>
        <v/>
      </c>
      <c r="G157" s="26" t="str">
        <f t="shared" ca="1" si="30"/>
        <v/>
      </c>
      <c r="H157" s="55" t="str">
        <f t="shared" ca="1" si="31"/>
        <v/>
      </c>
      <c r="J157" s="37"/>
      <c r="L157" s="37"/>
      <c r="N157" s="95" t="str">
        <f t="shared" si="23"/>
        <v/>
      </c>
      <c r="O157" s="95" t="str">
        <f t="shared" si="24"/>
        <v/>
      </c>
    </row>
    <row r="158" spans="1:15" x14ac:dyDescent="0.25">
      <c r="A158" s="98" t="str">
        <f t="shared" ca="1" si="32"/>
        <v/>
      </c>
      <c r="B158" s="33" t="str">
        <f t="shared" ca="1" si="25"/>
        <v/>
      </c>
      <c r="C158" s="25" t="str">
        <f t="shared" ca="1" si="26"/>
        <v/>
      </c>
      <c r="D158" s="26" t="str">
        <f t="shared" ca="1" si="27"/>
        <v/>
      </c>
      <c r="E158" s="4" t="str">
        <f t="shared" ca="1" si="28"/>
        <v/>
      </c>
      <c r="F158" s="25" t="str">
        <f t="shared" ca="1" si="29"/>
        <v/>
      </c>
      <c r="G158" s="26" t="str">
        <f t="shared" ca="1" si="30"/>
        <v/>
      </c>
      <c r="H158" s="55" t="str">
        <f t="shared" ca="1" si="31"/>
        <v/>
      </c>
      <c r="J158" s="37"/>
      <c r="L158" s="37"/>
      <c r="N158" s="95" t="str">
        <f t="shared" si="23"/>
        <v/>
      </c>
      <c r="O158" s="95" t="str">
        <f t="shared" si="24"/>
        <v/>
      </c>
    </row>
    <row r="159" spans="1:15" x14ac:dyDescent="0.25">
      <c r="A159" s="98" t="str">
        <f t="shared" ca="1" si="32"/>
        <v/>
      </c>
      <c r="B159" s="33" t="str">
        <f t="shared" ca="1" si="25"/>
        <v/>
      </c>
      <c r="C159" s="25" t="str">
        <f t="shared" ca="1" si="26"/>
        <v/>
      </c>
      <c r="D159" s="26" t="str">
        <f t="shared" ca="1" si="27"/>
        <v/>
      </c>
      <c r="E159" s="4" t="str">
        <f t="shared" ca="1" si="28"/>
        <v/>
      </c>
      <c r="F159" s="25" t="str">
        <f t="shared" ca="1" si="29"/>
        <v/>
      </c>
      <c r="G159" s="26" t="str">
        <f t="shared" ca="1" si="30"/>
        <v/>
      </c>
      <c r="H159" s="55" t="str">
        <f t="shared" ca="1" si="31"/>
        <v/>
      </c>
      <c r="J159" s="37"/>
      <c r="L159" s="37"/>
      <c r="N159" s="95" t="str">
        <f t="shared" si="23"/>
        <v/>
      </c>
      <c r="O159" s="95" t="str">
        <f t="shared" si="24"/>
        <v/>
      </c>
    </row>
    <row r="160" spans="1:15" x14ac:dyDescent="0.25">
      <c r="A160" s="98" t="str">
        <f t="shared" ca="1" si="32"/>
        <v/>
      </c>
      <c r="B160" s="33" t="str">
        <f t="shared" ca="1" si="25"/>
        <v/>
      </c>
      <c r="C160" s="25" t="str">
        <f t="shared" ca="1" si="26"/>
        <v/>
      </c>
      <c r="D160" s="26" t="str">
        <f t="shared" ca="1" si="27"/>
        <v/>
      </c>
      <c r="E160" s="4" t="str">
        <f t="shared" ca="1" si="28"/>
        <v/>
      </c>
      <c r="F160" s="25" t="str">
        <f t="shared" ca="1" si="29"/>
        <v/>
      </c>
      <c r="G160" s="26" t="str">
        <f t="shared" ca="1" si="30"/>
        <v/>
      </c>
      <c r="H160" s="55" t="str">
        <f t="shared" ca="1" si="31"/>
        <v/>
      </c>
      <c r="J160" s="37"/>
      <c r="L160" s="37"/>
      <c r="N160" s="95" t="str">
        <f t="shared" si="23"/>
        <v/>
      </c>
      <c r="O160" s="95" t="str">
        <f t="shared" si="24"/>
        <v/>
      </c>
    </row>
    <row r="161" spans="1:15" x14ac:dyDescent="0.25">
      <c r="A161" s="98" t="str">
        <f t="shared" ca="1" si="32"/>
        <v/>
      </c>
      <c r="B161" s="33" t="str">
        <f t="shared" ca="1" si="25"/>
        <v/>
      </c>
      <c r="C161" s="25" t="str">
        <f t="shared" ca="1" si="26"/>
        <v/>
      </c>
      <c r="D161" s="26" t="str">
        <f t="shared" ca="1" si="27"/>
        <v/>
      </c>
      <c r="E161" s="4" t="str">
        <f t="shared" ca="1" si="28"/>
        <v/>
      </c>
      <c r="F161" s="25" t="str">
        <f t="shared" ca="1" si="29"/>
        <v/>
      </c>
      <c r="G161" s="26" t="str">
        <f t="shared" ca="1" si="30"/>
        <v/>
      </c>
      <c r="H161" s="55" t="str">
        <f t="shared" ca="1" si="31"/>
        <v/>
      </c>
      <c r="J161" s="37"/>
      <c r="L161" s="37"/>
      <c r="N161" s="95" t="str">
        <f t="shared" si="23"/>
        <v/>
      </c>
      <c r="O161" s="95" t="str">
        <f t="shared" si="24"/>
        <v/>
      </c>
    </row>
    <row r="162" spans="1:15" x14ac:dyDescent="0.25">
      <c r="A162" s="98" t="str">
        <f t="shared" ca="1" si="32"/>
        <v/>
      </c>
      <c r="B162" s="33" t="str">
        <f t="shared" ca="1" si="25"/>
        <v/>
      </c>
      <c r="C162" s="25" t="str">
        <f t="shared" ca="1" si="26"/>
        <v/>
      </c>
      <c r="D162" s="26" t="str">
        <f t="shared" ca="1" si="27"/>
        <v/>
      </c>
      <c r="E162" s="4" t="str">
        <f t="shared" ca="1" si="28"/>
        <v/>
      </c>
      <c r="F162" s="25" t="str">
        <f t="shared" ca="1" si="29"/>
        <v/>
      </c>
      <c r="G162" s="26" t="str">
        <f t="shared" ca="1" si="30"/>
        <v/>
      </c>
      <c r="H162" s="55" t="str">
        <f t="shared" ca="1" si="31"/>
        <v/>
      </c>
      <c r="J162" s="37"/>
      <c r="L162" s="37"/>
      <c r="N162" s="95" t="str">
        <f t="shared" si="23"/>
        <v/>
      </c>
      <c r="O162" s="95" t="str">
        <f t="shared" si="24"/>
        <v/>
      </c>
    </row>
    <row r="163" spans="1:15" x14ac:dyDescent="0.25">
      <c r="A163" s="98" t="str">
        <f t="shared" ca="1" si="32"/>
        <v/>
      </c>
      <c r="B163" s="33" t="str">
        <f t="shared" ca="1" si="25"/>
        <v/>
      </c>
      <c r="C163" s="25" t="str">
        <f t="shared" ca="1" si="26"/>
        <v/>
      </c>
      <c r="D163" s="26" t="str">
        <f t="shared" ca="1" si="27"/>
        <v/>
      </c>
      <c r="E163" s="4" t="str">
        <f t="shared" ca="1" si="28"/>
        <v/>
      </c>
      <c r="F163" s="25" t="str">
        <f t="shared" ca="1" si="29"/>
        <v/>
      </c>
      <c r="G163" s="26" t="str">
        <f t="shared" ca="1" si="30"/>
        <v/>
      </c>
      <c r="H163" s="55" t="str">
        <f t="shared" ca="1" si="31"/>
        <v/>
      </c>
      <c r="J163" s="37"/>
      <c r="L163" s="37"/>
      <c r="N163" s="95" t="str">
        <f t="shared" si="23"/>
        <v/>
      </c>
      <c r="O163" s="95" t="str">
        <f t="shared" si="24"/>
        <v/>
      </c>
    </row>
    <row r="164" spans="1:15" x14ac:dyDescent="0.25">
      <c r="A164" s="98" t="str">
        <f t="shared" ca="1" si="32"/>
        <v/>
      </c>
      <c r="B164" s="33" t="str">
        <f t="shared" ca="1" si="25"/>
        <v/>
      </c>
      <c r="C164" s="25" t="str">
        <f t="shared" ca="1" si="26"/>
        <v/>
      </c>
      <c r="D164" s="26" t="str">
        <f t="shared" ca="1" si="27"/>
        <v/>
      </c>
      <c r="E164" s="4" t="str">
        <f t="shared" ca="1" si="28"/>
        <v/>
      </c>
      <c r="F164" s="25" t="str">
        <f t="shared" ca="1" si="29"/>
        <v/>
      </c>
      <c r="G164" s="26" t="str">
        <f t="shared" ca="1" si="30"/>
        <v/>
      </c>
      <c r="H164" s="55" t="str">
        <f t="shared" ca="1" si="31"/>
        <v/>
      </c>
      <c r="J164" s="37"/>
      <c r="L164" s="37"/>
      <c r="N164" s="95" t="str">
        <f t="shared" si="23"/>
        <v/>
      </c>
      <c r="O164" s="95" t="str">
        <f t="shared" si="24"/>
        <v/>
      </c>
    </row>
    <row r="165" spans="1:15" x14ac:dyDescent="0.25">
      <c r="A165" s="98" t="str">
        <f t="shared" ca="1" si="32"/>
        <v/>
      </c>
      <c r="B165" s="33" t="str">
        <f t="shared" ca="1" si="25"/>
        <v/>
      </c>
      <c r="C165" s="25" t="str">
        <f t="shared" ca="1" si="26"/>
        <v/>
      </c>
      <c r="D165" s="26" t="str">
        <f t="shared" ca="1" si="27"/>
        <v/>
      </c>
      <c r="E165" s="4" t="str">
        <f t="shared" ca="1" si="28"/>
        <v/>
      </c>
      <c r="F165" s="25" t="str">
        <f t="shared" ca="1" si="29"/>
        <v/>
      </c>
      <c r="G165" s="26" t="str">
        <f t="shared" ca="1" si="30"/>
        <v/>
      </c>
      <c r="H165" s="55" t="str">
        <f t="shared" ca="1" si="31"/>
        <v/>
      </c>
      <c r="J165" s="37"/>
      <c r="L165" s="37"/>
      <c r="N165" s="95" t="str">
        <f t="shared" si="23"/>
        <v/>
      </c>
      <c r="O165" s="95" t="str">
        <f t="shared" si="24"/>
        <v/>
      </c>
    </row>
    <row r="166" spans="1:15" x14ac:dyDescent="0.25">
      <c r="A166" s="98" t="str">
        <f t="shared" ca="1" si="32"/>
        <v/>
      </c>
      <c r="B166" s="33" t="str">
        <f t="shared" ca="1" si="25"/>
        <v/>
      </c>
      <c r="C166" s="25" t="str">
        <f t="shared" ca="1" si="26"/>
        <v/>
      </c>
      <c r="D166" s="26" t="str">
        <f t="shared" ca="1" si="27"/>
        <v/>
      </c>
      <c r="E166" s="4" t="str">
        <f t="shared" ca="1" si="28"/>
        <v/>
      </c>
      <c r="F166" s="25" t="str">
        <f t="shared" ca="1" si="29"/>
        <v/>
      </c>
      <c r="G166" s="26" t="str">
        <f t="shared" ca="1" si="30"/>
        <v/>
      </c>
      <c r="H166" s="55" t="str">
        <f t="shared" ca="1" si="31"/>
        <v/>
      </c>
      <c r="J166" s="37"/>
      <c r="L166" s="37"/>
      <c r="N166" s="95" t="str">
        <f t="shared" si="23"/>
        <v/>
      </c>
      <c r="O166" s="95" t="str">
        <f t="shared" si="24"/>
        <v/>
      </c>
    </row>
    <row r="167" spans="1:15" x14ac:dyDescent="0.25">
      <c r="A167" s="98" t="str">
        <f t="shared" ca="1" si="32"/>
        <v/>
      </c>
      <c r="B167" s="33" t="str">
        <f t="shared" ca="1" si="25"/>
        <v/>
      </c>
      <c r="C167" s="25" t="str">
        <f t="shared" ca="1" si="26"/>
        <v/>
      </c>
      <c r="D167" s="26" t="str">
        <f t="shared" ca="1" si="27"/>
        <v/>
      </c>
      <c r="E167" s="4" t="str">
        <f t="shared" ca="1" si="28"/>
        <v/>
      </c>
      <c r="F167" s="25" t="str">
        <f t="shared" ca="1" si="29"/>
        <v/>
      </c>
      <c r="G167" s="26" t="str">
        <f t="shared" ca="1" si="30"/>
        <v/>
      </c>
      <c r="H167" s="55" t="str">
        <f t="shared" ca="1" si="31"/>
        <v/>
      </c>
      <c r="J167" s="37"/>
      <c r="L167" s="37"/>
      <c r="N167" s="95" t="str">
        <f t="shared" si="23"/>
        <v/>
      </c>
      <c r="O167" s="95" t="str">
        <f t="shared" si="24"/>
        <v/>
      </c>
    </row>
    <row r="168" spans="1:15" x14ac:dyDescent="0.25">
      <c r="A168" s="98" t="str">
        <f t="shared" ca="1" si="32"/>
        <v/>
      </c>
      <c r="B168" s="33" t="str">
        <f t="shared" ca="1" si="25"/>
        <v/>
      </c>
      <c r="C168" s="25" t="str">
        <f t="shared" ca="1" si="26"/>
        <v/>
      </c>
      <c r="D168" s="26" t="str">
        <f t="shared" ca="1" si="27"/>
        <v/>
      </c>
      <c r="E168" s="4" t="str">
        <f t="shared" ca="1" si="28"/>
        <v/>
      </c>
      <c r="F168" s="25" t="str">
        <f t="shared" ca="1" si="29"/>
        <v/>
      </c>
      <c r="G168" s="26" t="str">
        <f t="shared" ca="1" si="30"/>
        <v/>
      </c>
      <c r="H168" s="55" t="str">
        <f t="shared" ca="1" si="31"/>
        <v/>
      </c>
      <c r="J168" s="37"/>
      <c r="L168" s="37"/>
      <c r="N168" s="95" t="str">
        <f t="shared" si="23"/>
        <v/>
      </c>
      <c r="O168" s="95" t="str">
        <f t="shared" si="24"/>
        <v/>
      </c>
    </row>
    <row r="169" spans="1:15" x14ac:dyDescent="0.25">
      <c r="A169" s="98" t="str">
        <f t="shared" ca="1" si="32"/>
        <v/>
      </c>
      <c r="B169" s="33" t="str">
        <f t="shared" ca="1" si="25"/>
        <v/>
      </c>
      <c r="C169" s="25" t="str">
        <f t="shared" ca="1" si="26"/>
        <v/>
      </c>
      <c r="D169" s="26" t="str">
        <f t="shared" ca="1" si="27"/>
        <v/>
      </c>
      <c r="E169" s="4" t="str">
        <f t="shared" ca="1" si="28"/>
        <v/>
      </c>
      <c r="F169" s="25" t="str">
        <f t="shared" ca="1" si="29"/>
        <v/>
      </c>
      <c r="G169" s="26" t="str">
        <f t="shared" ca="1" si="30"/>
        <v/>
      </c>
      <c r="H169" s="55" t="str">
        <f t="shared" ca="1" si="31"/>
        <v/>
      </c>
      <c r="J169" s="37"/>
      <c r="L169" s="37"/>
      <c r="N169" s="95" t="str">
        <f t="shared" si="23"/>
        <v/>
      </c>
      <c r="O169" s="95" t="str">
        <f t="shared" si="24"/>
        <v/>
      </c>
    </row>
    <row r="170" spans="1:15" x14ac:dyDescent="0.25">
      <c r="A170" s="98" t="str">
        <f t="shared" ca="1" si="32"/>
        <v/>
      </c>
      <c r="B170" s="33" t="str">
        <f t="shared" ca="1" si="25"/>
        <v/>
      </c>
      <c r="C170" s="25" t="str">
        <f t="shared" ca="1" si="26"/>
        <v/>
      </c>
      <c r="D170" s="26" t="str">
        <f t="shared" ca="1" si="27"/>
        <v/>
      </c>
      <c r="E170" s="4" t="str">
        <f t="shared" ca="1" si="28"/>
        <v/>
      </c>
      <c r="F170" s="25" t="str">
        <f t="shared" ca="1" si="29"/>
        <v/>
      </c>
      <c r="G170" s="26" t="str">
        <f t="shared" ca="1" si="30"/>
        <v/>
      </c>
      <c r="H170" s="55" t="str">
        <f t="shared" ca="1" si="31"/>
        <v/>
      </c>
      <c r="J170" s="37"/>
      <c r="L170" s="37"/>
      <c r="N170" s="95" t="str">
        <f t="shared" si="23"/>
        <v/>
      </c>
      <c r="O170" s="95" t="str">
        <f t="shared" si="24"/>
        <v/>
      </c>
    </row>
    <row r="171" spans="1:15" x14ac:dyDescent="0.25">
      <c r="A171" s="98" t="str">
        <f t="shared" ca="1" si="32"/>
        <v/>
      </c>
      <c r="B171" s="33" t="str">
        <f t="shared" ca="1" si="25"/>
        <v/>
      </c>
      <c r="C171" s="25" t="str">
        <f t="shared" ca="1" si="26"/>
        <v/>
      </c>
      <c r="D171" s="26" t="str">
        <f t="shared" ca="1" si="27"/>
        <v/>
      </c>
      <c r="E171" s="4" t="str">
        <f t="shared" ca="1" si="28"/>
        <v/>
      </c>
      <c r="F171" s="25" t="str">
        <f t="shared" ca="1" si="29"/>
        <v/>
      </c>
      <c r="G171" s="26" t="str">
        <f t="shared" ca="1" si="30"/>
        <v/>
      </c>
      <c r="H171" s="55" t="str">
        <f t="shared" ca="1" si="31"/>
        <v/>
      </c>
      <c r="J171" s="37"/>
      <c r="L171" s="37"/>
      <c r="N171" s="95" t="str">
        <f t="shared" si="23"/>
        <v/>
      </c>
      <c r="O171" s="95" t="str">
        <f t="shared" si="24"/>
        <v/>
      </c>
    </row>
    <row r="172" spans="1:15" x14ac:dyDescent="0.25">
      <c r="A172" s="98" t="str">
        <f t="shared" ca="1" si="32"/>
        <v/>
      </c>
      <c r="B172" s="33" t="str">
        <f t="shared" ca="1" si="25"/>
        <v/>
      </c>
      <c r="C172" s="25" t="str">
        <f t="shared" ca="1" si="26"/>
        <v/>
      </c>
      <c r="D172" s="26" t="str">
        <f t="shared" ca="1" si="27"/>
        <v/>
      </c>
      <c r="E172" s="4" t="str">
        <f t="shared" ca="1" si="28"/>
        <v/>
      </c>
      <c r="F172" s="25" t="str">
        <f t="shared" ca="1" si="29"/>
        <v/>
      </c>
      <c r="G172" s="26" t="str">
        <f t="shared" ca="1" si="30"/>
        <v/>
      </c>
      <c r="H172" s="55" t="str">
        <f t="shared" ca="1" si="31"/>
        <v/>
      </c>
      <c r="J172" s="37"/>
      <c r="L172" s="37"/>
      <c r="N172" s="95" t="str">
        <f t="shared" si="23"/>
        <v/>
      </c>
      <c r="O172" s="95" t="str">
        <f t="shared" si="24"/>
        <v/>
      </c>
    </row>
    <row r="173" spans="1:15" x14ac:dyDescent="0.25">
      <c r="A173" s="98" t="str">
        <f t="shared" ca="1" si="32"/>
        <v/>
      </c>
      <c r="B173" s="33" t="str">
        <f t="shared" ca="1" si="25"/>
        <v/>
      </c>
      <c r="C173" s="25" t="str">
        <f t="shared" ca="1" si="26"/>
        <v/>
      </c>
      <c r="D173" s="26" t="str">
        <f t="shared" ca="1" si="27"/>
        <v/>
      </c>
      <c r="E173" s="4" t="str">
        <f t="shared" ca="1" si="28"/>
        <v/>
      </c>
      <c r="F173" s="25" t="str">
        <f t="shared" ca="1" si="29"/>
        <v/>
      </c>
      <c r="G173" s="26" t="str">
        <f t="shared" ca="1" si="30"/>
        <v/>
      </c>
      <c r="H173" s="55" t="str">
        <f t="shared" ca="1" si="31"/>
        <v/>
      </c>
      <c r="J173" s="37"/>
      <c r="L173" s="37"/>
      <c r="N173" s="95" t="str">
        <f t="shared" si="23"/>
        <v/>
      </c>
      <c r="O173" s="95" t="str">
        <f t="shared" si="24"/>
        <v/>
      </c>
    </row>
    <row r="174" spans="1:15" x14ac:dyDescent="0.25">
      <c r="A174" s="98" t="str">
        <f t="shared" ca="1" si="32"/>
        <v/>
      </c>
      <c r="B174" s="33" t="str">
        <f t="shared" ca="1" si="25"/>
        <v/>
      </c>
      <c r="C174" s="25" t="str">
        <f t="shared" ca="1" si="26"/>
        <v/>
      </c>
      <c r="D174" s="26" t="str">
        <f t="shared" ca="1" si="27"/>
        <v/>
      </c>
      <c r="E174" s="4" t="str">
        <f t="shared" ca="1" si="28"/>
        <v/>
      </c>
      <c r="F174" s="25" t="str">
        <f t="shared" ca="1" si="29"/>
        <v/>
      </c>
      <c r="G174" s="26" t="str">
        <f t="shared" ca="1" si="30"/>
        <v/>
      </c>
      <c r="H174" s="55" t="str">
        <f t="shared" ca="1" si="31"/>
        <v/>
      </c>
      <c r="J174" s="37"/>
      <c r="L174" s="37"/>
      <c r="N174" s="95" t="str">
        <f t="shared" si="23"/>
        <v/>
      </c>
      <c r="O174" s="95" t="str">
        <f t="shared" si="24"/>
        <v/>
      </c>
    </row>
    <row r="175" spans="1:15" x14ac:dyDescent="0.25">
      <c r="A175" s="98" t="str">
        <f t="shared" ca="1" si="32"/>
        <v/>
      </c>
      <c r="B175" s="33" t="str">
        <f t="shared" ca="1" si="25"/>
        <v/>
      </c>
      <c r="C175" s="25" t="str">
        <f t="shared" ca="1" si="26"/>
        <v/>
      </c>
      <c r="D175" s="26" t="str">
        <f t="shared" ca="1" si="27"/>
        <v/>
      </c>
      <c r="E175" s="4" t="str">
        <f t="shared" ca="1" si="28"/>
        <v/>
      </c>
      <c r="F175" s="25" t="str">
        <f t="shared" ca="1" si="29"/>
        <v/>
      </c>
      <c r="G175" s="26" t="str">
        <f t="shared" ca="1" si="30"/>
        <v/>
      </c>
      <c r="H175" s="55" t="str">
        <f t="shared" ca="1" si="31"/>
        <v/>
      </c>
      <c r="J175" s="37"/>
      <c r="L175" s="37"/>
      <c r="N175" s="95" t="str">
        <f t="shared" si="23"/>
        <v/>
      </c>
      <c r="O175" s="95" t="str">
        <f t="shared" si="24"/>
        <v/>
      </c>
    </row>
    <row r="176" spans="1:15" x14ac:dyDescent="0.25">
      <c r="A176" s="98" t="str">
        <f t="shared" ca="1" si="32"/>
        <v/>
      </c>
      <c r="B176" s="33" t="str">
        <f t="shared" ca="1" si="25"/>
        <v/>
      </c>
      <c r="C176" s="25" t="str">
        <f t="shared" ca="1" si="26"/>
        <v/>
      </c>
      <c r="D176" s="26" t="str">
        <f t="shared" ca="1" si="27"/>
        <v/>
      </c>
      <c r="E176" s="4" t="str">
        <f t="shared" ca="1" si="28"/>
        <v/>
      </c>
      <c r="F176" s="25" t="str">
        <f t="shared" ca="1" si="29"/>
        <v/>
      </c>
      <c r="G176" s="26" t="str">
        <f t="shared" ca="1" si="30"/>
        <v/>
      </c>
      <c r="H176" s="55" t="str">
        <f t="shared" ca="1" si="31"/>
        <v/>
      </c>
      <c r="J176" s="37"/>
      <c r="L176" s="37"/>
      <c r="N176" s="95" t="str">
        <f t="shared" si="23"/>
        <v/>
      </c>
      <c r="O176" s="95" t="str">
        <f t="shared" si="24"/>
        <v/>
      </c>
    </row>
    <row r="177" spans="1:15" x14ac:dyDescent="0.25">
      <c r="A177" s="98" t="str">
        <f t="shared" ca="1" si="32"/>
        <v/>
      </c>
      <c r="B177" s="33" t="str">
        <f t="shared" ca="1" si="25"/>
        <v/>
      </c>
      <c r="C177" s="25" t="str">
        <f t="shared" ca="1" si="26"/>
        <v/>
      </c>
      <c r="D177" s="26" t="str">
        <f t="shared" ca="1" si="27"/>
        <v/>
      </c>
      <c r="E177" s="4" t="str">
        <f t="shared" ca="1" si="28"/>
        <v/>
      </c>
      <c r="F177" s="25" t="str">
        <f t="shared" ca="1" si="29"/>
        <v/>
      </c>
      <c r="G177" s="26" t="str">
        <f t="shared" ca="1" si="30"/>
        <v/>
      </c>
      <c r="H177" s="55" t="str">
        <f t="shared" ca="1" si="31"/>
        <v/>
      </c>
      <c r="J177" s="37"/>
      <c r="L177" s="37"/>
      <c r="N177" s="95" t="str">
        <f t="shared" si="23"/>
        <v/>
      </c>
      <c r="O177" s="95" t="str">
        <f t="shared" si="24"/>
        <v/>
      </c>
    </row>
    <row r="178" spans="1:15" x14ac:dyDescent="0.25">
      <c r="A178" s="98" t="str">
        <f t="shared" ca="1" si="32"/>
        <v/>
      </c>
      <c r="B178" s="33" t="str">
        <f t="shared" ca="1" si="25"/>
        <v/>
      </c>
      <c r="C178" s="25" t="str">
        <f t="shared" ca="1" si="26"/>
        <v/>
      </c>
      <c r="D178" s="26" t="str">
        <f t="shared" ca="1" si="27"/>
        <v/>
      </c>
      <c r="E178" s="4" t="str">
        <f t="shared" ca="1" si="28"/>
        <v/>
      </c>
      <c r="F178" s="25" t="str">
        <f t="shared" ca="1" si="29"/>
        <v/>
      </c>
      <c r="G178" s="26" t="str">
        <f t="shared" ca="1" si="30"/>
        <v/>
      </c>
      <c r="H178" s="55" t="str">
        <f t="shared" ca="1" si="31"/>
        <v/>
      </c>
      <c r="J178" s="37"/>
      <c r="L178" s="37"/>
      <c r="N178" s="95" t="str">
        <f t="shared" si="23"/>
        <v/>
      </c>
      <c r="O178" s="95" t="str">
        <f t="shared" si="24"/>
        <v/>
      </c>
    </row>
    <row r="179" spans="1:15" x14ac:dyDescent="0.25">
      <c r="A179" s="98" t="str">
        <f t="shared" ca="1" si="32"/>
        <v/>
      </c>
      <c r="B179" s="33" t="str">
        <f t="shared" ca="1" si="25"/>
        <v/>
      </c>
      <c r="C179" s="25" t="str">
        <f t="shared" ca="1" si="26"/>
        <v/>
      </c>
      <c r="D179" s="26" t="str">
        <f t="shared" ca="1" si="27"/>
        <v/>
      </c>
      <c r="E179" s="4" t="str">
        <f t="shared" ca="1" si="28"/>
        <v/>
      </c>
      <c r="F179" s="25" t="str">
        <f t="shared" ca="1" si="29"/>
        <v/>
      </c>
      <c r="G179" s="26" t="str">
        <f t="shared" ca="1" si="30"/>
        <v/>
      </c>
      <c r="H179" s="55" t="str">
        <f t="shared" ca="1" si="31"/>
        <v/>
      </c>
      <c r="J179" s="37"/>
      <c r="L179" s="37"/>
      <c r="N179" s="95" t="str">
        <f t="shared" si="23"/>
        <v/>
      </c>
      <c r="O179" s="95" t="str">
        <f t="shared" si="24"/>
        <v/>
      </c>
    </row>
    <row r="180" spans="1:15" x14ac:dyDescent="0.25">
      <c r="A180" s="98" t="str">
        <f t="shared" ca="1" si="32"/>
        <v/>
      </c>
      <c r="B180" s="33" t="str">
        <f t="shared" ca="1" si="25"/>
        <v/>
      </c>
      <c r="C180" s="25" t="str">
        <f t="shared" ca="1" si="26"/>
        <v/>
      </c>
      <c r="D180" s="26" t="str">
        <f t="shared" ca="1" si="27"/>
        <v/>
      </c>
      <c r="E180" s="4" t="str">
        <f t="shared" ca="1" si="28"/>
        <v/>
      </c>
      <c r="F180" s="25" t="str">
        <f t="shared" ca="1" si="29"/>
        <v/>
      </c>
      <c r="G180" s="26" t="str">
        <f t="shared" ca="1" si="30"/>
        <v/>
      </c>
      <c r="H180" s="55" t="str">
        <f t="shared" ca="1" si="31"/>
        <v/>
      </c>
      <c r="J180" s="37"/>
      <c r="L180" s="37"/>
      <c r="N180" s="95" t="str">
        <f t="shared" si="23"/>
        <v/>
      </c>
      <c r="O180" s="95" t="str">
        <f t="shared" si="24"/>
        <v/>
      </c>
    </row>
    <row r="181" spans="1:15" x14ac:dyDescent="0.25">
      <c r="A181" s="98" t="str">
        <f t="shared" ca="1" si="32"/>
        <v/>
      </c>
      <c r="B181" s="33" t="str">
        <f t="shared" ca="1" si="25"/>
        <v/>
      </c>
      <c r="C181" s="25" t="str">
        <f t="shared" ca="1" si="26"/>
        <v/>
      </c>
      <c r="D181" s="26" t="str">
        <f t="shared" ca="1" si="27"/>
        <v/>
      </c>
      <c r="E181" s="4" t="str">
        <f t="shared" ca="1" si="28"/>
        <v/>
      </c>
      <c r="F181" s="25" t="str">
        <f t="shared" ca="1" si="29"/>
        <v/>
      </c>
      <c r="G181" s="26" t="str">
        <f t="shared" ca="1" si="30"/>
        <v/>
      </c>
      <c r="H181" s="55" t="str">
        <f t="shared" ca="1" si="31"/>
        <v/>
      </c>
      <c r="J181" s="37"/>
      <c r="L181" s="37"/>
      <c r="N181" s="95" t="str">
        <f t="shared" si="23"/>
        <v/>
      </c>
      <c r="O181" s="95" t="str">
        <f t="shared" si="24"/>
        <v/>
      </c>
    </row>
    <row r="182" spans="1:15" x14ac:dyDescent="0.25">
      <c r="A182" s="98" t="str">
        <f t="shared" ca="1" si="32"/>
        <v/>
      </c>
      <c r="B182" s="33" t="str">
        <f t="shared" ca="1" si="25"/>
        <v/>
      </c>
      <c r="C182" s="25" t="str">
        <f t="shared" ca="1" si="26"/>
        <v/>
      </c>
      <c r="D182" s="26" t="str">
        <f t="shared" ca="1" si="27"/>
        <v/>
      </c>
      <c r="E182" s="4" t="str">
        <f t="shared" ca="1" si="28"/>
        <v/>
      </c>
      <c r="F182" s="25" t="str">
        <f t="shared" ca="1" si="29"/>
        <v/>
      </c>
      <c r="G182" s="26" t="str">
        <f t="shared" ca="1" si="30"/>
        <v/>
      </c>
      <c r="H182" s="55" t="str">
        <f t="shared" ca="1" si="31"/>
        <v/>
      </c>
      <c r="J182" s="37"/>
      <c r="L182" s="37"/>
      <c r="N182" s="95" t="str">
        <f t="shared" si="23"/>
        <v/>
      </c>
      <c r="O182" s="95" t="str">
        <f t="shared" si="24"/>
        <v/>
      </c>
    </row>
    <row r="183" spans="1:15" x14ac:dyDescent="0.25">
      <c r="A183" s="98" t="str">
        <f t="shared" ca="1" si="32"/>
        <v/>
      </c>
      <c r="B183" s="33" t="str">
        <f t="shared" ca="1" si="25"/>
        <v/>
      </c>
      <c r="C183" s="25" t="str">
        <f t="shared" ca="1" si="26"/>
        <v/>
      </c>
      <c r="D183" s="26" t="str">
        <f t="shared" ca="1" si="27"/>
        <v/>
      </c>
      <c r="E183" s="4" t="str">
        <f t="shared" ca="1" si="28"/>
        <v/>
      </c>
      <c r="F183" s="25" t="str">
        <f t="shared" ca="1" si="29"/>
        <v/>
      </c>
      <c r="G183" s="26" t="str">
        <f t="shared" ca="1" si="30"/>
        <v/>
      </c>
      <c r="H183" s="55" t="str">
        <f t="shared" ca="1" si="31"/>
        <v/>
      </c>
      <c r="J183" s="37"/>
      <c r="L183" s="37"/>
      <c r="N183" s="95" t="str">
        <f t="shared" si="23"/>
        <v/>
      </c>
      <c r="O183" s="95" t="str">
        <f t="shared" si="24"/>
        <v/>
      </c>
    </row>
    <row r="184" spans="1:15" x14ac:dyDescent="0.25">
      <c r="A184" s="98" t="str">
        <f t="shared" ca="1" si="32"/>
        <v/>
      </c>
      <c r="B184" s="33" t="str">
        <f t="shared" ca="1" si="25"/>
        <v/>
      </c>
      <c r="C184" s="25" t="str">
        <f t="shared" ca="1" si="26"/>
        <v/>
      </c>
      <c r="D184" s="26" t="str">
        <f t="shared" ca="1" si="27"/>
        <v/>
      </c>
      <c r="E184" s="4" t="str">
        <f t="shared" ca="1" si="28"/>
        <v/>
      </c>
      <c r="F184" s="25" t="str">
        <f t="shared" ca="1" si="29"/>
        <v/>
      </c>
      <c r="G184" s="26" t="str">
        <f t="shared" ca="1" si="30"/>
        <v/>
      </c>
      <c r="H184" s="55" t="str">
        <f t="shared" ca="1" si="31"/>
        <v/>
      </c>
      <c r="J184" s="37"/>
      <c r="L184" s="37"/>
      <c r="N184" s="95" t="str">
        <f t="shared" si="23"/>
        <v/>
      </c>
      <c r="O184" s="95" t="str">
        <f t="shared" si="24"/>
        <v/>
      </c>
    </row>
    <row r="185" spans="1:15" x14ac:dyDescent="0.25">
      <c r="A185" s="98" t="str">
        <f t="shared" ca="1" si="32"/>
        <v/>
      </c>
      <c r="B185" s="33" t="str">
        <f t="shared" ca="1" si="25"/>
        <v/>
      </c>
      <c r="C185" s="25" t="str">
        <f t="shared" ca="1" si="26"/>
        <v/>
      </c>
      <c r="D185" s="26" t="str">
        <f t="shared" ca="1" si="27"/>
        <v/>
      </c>
      <c r="E185" s="4" t="str">
        <f t="shared" ca="1" si="28"/>
        <v/>
      </c>
      <c r="F185" s="25" t="str">
        <f t="shared" ca="1" si="29"/>
        <v/>
      </c>
      <c r="G185" s="26" t="str">
        <f t="shared" ca="1" si="30"/>
        <v/>
      </c>
      <c r="H185" s="55" t="str">
        <f t="shared" ca="1" si="31"/>
        <v/>
      </c>
      <c r="J185" s="37"/>
      <c r="L185" s="37"/>
      <c r="N185" s="95" t="str">
        <f t="shared" si="23"/>
        <v/>
      </c>
      <c r="O185" s="95" t="str">
        <f t="shared" si="24"/>
        <v/>
      </c>
    </row>
    <row r="186" spans="1:15" x14ac:dyDescent="0.25">
      <c r="A186" s="98" t="str">
        <f t="shared" ca="1" si="32"/>
        <v/>
      </c>
      <c r="B186" s="33" t="str">
        <f t="shared" ca="1" si="25"/>
        <v/>
      </c>
      <c r="C186" s="25" t="str">
        <f t="shared" ca="1" si="26"/>
        <v/>
      </c>
      <c r="D186" s="26" t="str">
        <f t="shared" ca="1" si="27"/>
        <v/>
      </c>
      <c r="E186" s="4" t="str">
        <f t="shared" ca="1" si="28"/>
        <v/>
      </c>
      <c r="F186" s="25" t="str">
        <f t="shared" ca="1" si="29"/>
        <v/>
      </c>
      <c r="G186" s="26" t="str">
        <f t="shared" ca="1" si="30"/>
        <v/>
      </c>
      <c r="H186" s="55" t="str">
        <f t="shared" ca="1" si="31"/>
        <v/>
      </c>
      <c r="J186" s="37"/>
      <c r="L186" s="37"/>
      <c r="N186" s="95" t="str">
        <f t="shared" si="23"/>
        <v/>
      </c>
      <c r="O186" s="95" t="str">
        <f t="shared" si="24"/>
        <v/>
      </c>
    </row>
    <row r="187" spans="1:15" x14ac:dyDescent="0.25">
      <c r="A187" s="98" t="str">
        <f t="shared" ca="1" si="32"/>
        <v/>
      </c>
      <c r="B187" s="33" t="str">
        <f t="shared" ca="1" si="25"/>
        <v/>
      </c>
      <c r="C187" s="25" t="str">
        <f t="shared" ca="1" si="26"/>
        <v/>
      </c>
      <c r="D187" s="26" t="str">
        <f t="shared" ca="1" si="27"/>
        <v/>
      </c>
      <c r="E187" s="4" t="str">
        <f t="shared" ca="1" si="28"/>
        <v/>
      </c>
      <c r="F187" s="25" t="str">
        <f t="shared" ca="1" si="29"/>
        <v/>
      </c>
      <c r="G187" s="26" t="str">
        <f t="shared" ca="1" si="30"/>
        <v/>
      </c>
      <c r="H187" s="55" t="str">
        <f t="shared" ca="1" si="31"/>
        <v/>
      </c>
      <c r="J187" s="37"/>
      <c r="L187" s="37"/>
      <c r="N187" s="95" t="str">
        <f t="shared" si="23"/>
        <v/>
      </c>
      <c r="O187" s="95" t="str">
        <f t="shared" si="24"/>
        <v/>
      </c>
    </row>
    <row r="188" spans="1:15" x14ac:dyDescent="0.25">
      <c r="A188" s="98" t="str">
        <f t="shared" ca="1" si="32"/>
        <v/>
      </c>
      <c r="B188" s="33" t="str">
        <f t="shared" ca="1" si="25"/>
        <v/>
      </c>
      <c r="C188" s="25" t="str">
        <f t="shared" ca="1" si="26"/>
        <v/>
      </c>
      <c r="D188" s="26" t="str">
        <f t="shared" ca="1" si="27"/>
        <v/>
      </c>
      <c r="E188" s="4" t="str">
        <f t="shared" ca="1" si="28"/>
        <v/>
      </c>
      <c r="F188" s="25" t="str">
        <f t="shared" ca="1" si="29"/>
        <v/>
      </c>
      <c r="G188" s="26" t="str">
        <f t="shared" ca="1" si="30"/>
        <v/>
      </c>
      <c r="H188" s="55" t="str">
        <f t="shared" ca="1" si="31"/>
        <v/>
      </c>
      <c r="J188" s="37"/>
      <c r="L188" s="37"/>
      <c r="N188" s="95" t="str">
        <f t="shared" si="23"/>
        <v/>
      </c>
      <c r="O188" s="95" t="str">
        <f t="shared" si="24"/>
        <v/>
      </c>
    </row>
    <row r="189" spans="1:15" x14ac:dyDescent="0.25">
      <c r="A189" s="98" t="str">
        <f t="shared" ca="1" si="32"/>
        <v/>
      </c>
      <c r="B189" s="33" t="str">
        <f t="shared" ca="1" si="25"/>
        <v/>
      </c>
      <c r="C189" s="25" t="str">
        <f t="shared" ca="1" si="26"/>
        <v/>
      </c>
      <c r="D189" s="26" t="str">
        <f t="shared" ca="1" si="27"/>
        <v/>
      </c>
      <c r="E189" s="4" t="str">
        <f t="shared" ca="1" si="28"/>
        <v/>
      </c>
      <c r="F189" s="25" t="str">
        <f t="shared" ca="1" si="29"/>
        <v/>
      </c>
      <c r="G189" s="26" t="str">
        <f t="shared" ca="1" si="30"/>
        <v/>
      </c>
      <c r="H189" s="55" t="str">
        <f t="shared" ca="1" si="31"/>
        <v/>
      </c>
      <c r="J189" s="37"/>
      <c r="L189" s="37"/>
      <c r="N189" s="95" t="str">
        <f t="shared" si="23"/>
        <v/>
      </c>
      <c r="O189" s="95" t="str">
        <f t="shared" si="24"/>
        <v/>
      </c>
    </row>
    <row r="190" spans="1:15" x14ac:dyDescent="0.25">
      <c r="A190" s="98" t="str">
        <f t="shared" ca="1" si="32"/>
        <v/>
      </c>
      <c r="B190" s="33" t="str">
        <f t="shared" ca="1" si="25"/>
        <v/>
      </c>
      <c r="C190" s="25" t="str">
        <f t="shared" ca="1" si="26"/>
        <v/>
      </c>
      <c r="D190" s="26" t="str">
        <f t="shared" ca="1" si="27"/>
        <v/>
      </c>
      <c r="E190" s="4" t="str">
        <f t="shared" ca="1" si="28"/>
        <v/>
      </c>
      <c r="F190" s="25" t="str">
        <f t="shared" ca="1" si="29"/>
        <v/>
      </c>
      <c r="G190" s="26" t="str">
        <f t="shared" ca="1" si="30"/>
        <v/>
      </c>
      <c r="H190" s="55" t="str">
        <f t="shared" ca="1" si="31"/>
        <v/>
      </c>
      <c r="J190" s="37"/>
      <c r="L190" s="37"/>
      <c r="N190" s="95" t="str">
        <f t="shared" si="23"/>
        <v/>
      </c>
      <c r="O190" s="95" t="str">
        <f t="shared" si="24"/>
        <v/>
      </c>
    </row>
    <row r="191" spans="1:15" x14ac:dyDescent="0.25">
      <c r="A191" s="98" t="str">
        <f t="shared" ca="1" si="32"/>
        <v/>
      </c>
      <c r="B191" s="33" t="str">
        <f t="shared" ca="1" si="25"/>
        <v/>
      </c>
      <c r="C191" s="25" t="str">
        <f t="shared" ca="1" si="26"/>
        <v/>
      </c>
      <c r="D191" s="26" t="str">
        <f t="shared" ca="1" si="27"/>
        <v/>
      </c>
      <c r="E191" s="4" t="str">
        <f t="shared" ca="1" si="28"/>
        <v/>
      </c>
      <c r="F191" s="25" t="str">
        <f t="shared" ca="1" si="29"/>
        <v/>
      </c>
      <c r="G191" s="26" t="str">
        <f t="shared" ca="1" si="30"/>
        <v/>
      </c>
      <c r="H191" s="55" t="str">
        <f t="shared" ca="1" si="31"/>
        <v/>
      </c>
      <c r="J191" s="37"/>
      <c r="L191" s="37"/>
      <c r="N191" s="95" t="str">
        <f t="shared" si="23"/>
        <v/>
      </c>
      <c r="O191" s="95" t="str">
        <f t="shared" si="24"/>
        <v/>
      </c>
    </row>
    <row r="192" spans="1:15" x14ac:dyDescent="0.25">
      <c r="A192" s="98" t="str">
        <f t="shared" ca="1" si="32"/>
        <v/>
      </c>
      <c r="B192" s="33" t="str">
        <f t="shared" ca="1" si="25"/>
        <v/>
      </c>
      <c r="C192" s="25" t="str">
        <f t="shared" ca="1" si="26"/>
        <v/>
      </c>
      <c r="D192" s="26" t="str">
        <f t="shared" ca="1" si="27"/>
        <v/>
      </c>
      <c r="E192" s="4" t="str">
        <f t="shared" ca="1" si="28"/>
        <v/>
      </c>
      <c r="F192" s="25" t="str">
        <f t="shared" ca="1" si="29"/>
        <v/>
      </c>
      <c r="G192" s="26" t="str">
        <f t="shared" ca="1" si="30"/>
        <v/>
      </c>
      <c r="H192" s="55" t="str">
        <f t="shared" ca="1" si="31"/>
        <v/>
      </c>
      <c r="J192" s="37"/>
      <c r="L192" s="37"/>
      <c r="N192" s="95" t="str">
        <f t="shared" si="23"/>
        <v/>
      </c>
      <c r="O192" s="95" t="str">
        <f t="shared" si="24"/>
        <v/>
      </c>
    </row>
    <row r="193" spans="1:15" x14ac:dyDescent="0.25">
      <c r="A193" s="98" t="str">
        <f t="shared" ca="1" si="32"/>
        <v/>
      </c>
      <c r="B193" s="33" t="str">
        <f t="shared" ca="1" si="25"/>
        <v/>
      </c>
      <c r="C193" s="25" t="str">
        <f t="shared" ca="1" si="26"/>
        <v/>
      </c>
      <c r="D193" s="26" t="str">
        <f t="shared" ca="1" si="27"/>
        <v/>
      </c>
      <c r="E193" s="4" t="str">
        <f t="shared" ca="1" si="28"/>
        <v/>
      </c>
      <c r="F193" s="25" t="str">
        <f t="shared" ca="1" si="29"/>
        <v/>
      </c>
      <c r="G193" s="26" t="str">
        <f t="shared" ca="1" si="30"/>
        <v/>
      </c>
      <c r="H193" s="55" t="str">
        <f t="shared" ca="1" si="31"/>
        <v/>
      </c>
      <c r="J193" s="37"/>
      <c r="L193" s="37"/>
      <c r="N193" s="95" t="str">
        <f t="shared" si="23"/>
        <v/>
      </c>
      <c r="O193" s="95" t="str">
        <f t="shared" si="24"/>
        <v/>
      </c>
    </row>
    <row r="194" spans="1:15" x14ac:dyDescent="0.25">
      <c r="A194" s="98" t="str">
        <f t="shared" ca="1" si="32"/>
        <v/>
      </c>
      <c r="B194" s="33" t="str">
        <f t="shared" ca="1" si="25"/>
        <v/>
      </c>
      <c r="C194" s="25" t="str">
        <f t="shared" ca="1" si="26"/>
        <v/>
      </c>
      <c r="D194" s="26" t="str">
        <f t="shared" ca="1" si="27"/>
        <v/>
      </c>
      <c r="E194" s="4" t="str">
        <f t="shared" ca="1" si="28"/>
        <v/>
      </c>
      <c r="F194" s="25" t="str">
        <f t="shared" ca="1" si="29"/>
        <v/>
      </c>
      <c r="G194" s="26" t="str">
        <f t="shared" ca="1" si="30"/>
        <v/>
      </c>
      <c r="H194" s="55" t="str">
        <f t="shared" ca="1" si="31"/>
        <v/>
      </c>
      <c r="J194" s="37"/>
      <c r="L194" s="37"/>
      <c r="N194" s="95" t="str">
        <f t="shared" si="23"/>
        <v/>
      </c>
      <c r="O194" s="95" t="str">
        <f t="shared" si="24"/>
        <v/>
      </c>
    </row>
    <row r="195" spans="1:15" x14ac:dyDescent="0.25">
      <c r="A195" s="98" t="str">
        <f t="shared" ca="1" si="32"/>
        <v/>
      </c>
      <c r="B195" s="33" t="str">
        <f t="shared" ca="1" si="25"/>
        <v/>
      </c>
      <c r="C195" s="25" t="str">
        <f t="shared" ca="1" si="26"/>
        <v/>
      </c>
      <c r="D195" s="26" t="str">
        <f t="shared" ca="1" si="27"/>
        <v/>
      </c>
      <c r="E195" s="4" t="str">
        <f t="shared" ca="1" si="28"/>
        <v/>
      </c>
      <c r="F195" s="25" t="str">
        <f t="shared" ca="1" si="29"/>
        <v/>
      </c>
      <c r="G195" s="26" t="str">
        <f t="shared" ca="1" si="30"/>
        <v/>
      </c>
      <c r="H195" s="55" t="str">
        <f t="shared" ca="1" si="31"/>
        <v/>
      </c>
      <c r="J195" s="37"/>
      <c r="L195" s="37"/>
      <c r="N195" s="95" t="str">
        <f t="shared" si="23"/>
        <v/>
      </c>
      <c r="O195" s="95" t="str">
        <f t="shared" si="24"/>
        <v/>
      </c>
    </row>
    <row r="196" spans="1:15" x14ac:dyDescent="0.25">
      <c r="A196" s="98" t="str">
        <f t="shared" ca="1" si="32"/>
        <v/>
      </c>
      <c r="B196" s="33" t="str">
        <f t="shared" ca="1" si="25"/>
        <v/>
      </c>
      <c r="C196" s="25" t="str">
        <f t="shared" ca="1" si="26"/>
        <v/>
      </c>
      <c r="D196" s="26" t="str">
        <f t="shared" ca="1" si="27"/>
        <v/>
      </c>
      <c r="E196" s="4" t="str">
        <f t="shared" ca="1" si="28"/>
        <v/>
      </c>
      <c r="F196" s="25" t="str">
        <f t="shared" ca="1" si="29"/>
        <v/>
      </c>
      <c r="G196" s="26" t="str">
        <f t="shared" ca="1" si="30"/>
        <v/>
      </c>
      <c r="H196" s="55" t="str">
        <f t="shared" ca="1" si="31"/>
        <v/>
      </c>
      <c r="J196" s="37"/>
      <c r="L196" s="37"/>
      <c r="N196" s="95" t="str">
        <f t="shared" ref="N196:N259" si="33">IF(COUNTIF(L:L,J196)=1,J196,"")</f>
        <v/>
      </c>
      <c r="O196" s="95" t="str">
        <f t="shared" ref="O196:O259" si="34">IF(N196&gt;$A$14,N196,"")</f>
        <v/>
      </c>
    </row>
    <row r="197" spans="1:15" x14ac:dyDescent="0.25">
      <c r="A197" s="98" t="str">
        <f t="shared" ca="1" si="32"/>
        <v/>
      </c>
      <c r="B197" s="33" t="str">
        <f t="shared" ca="1" si="25"/>
        <v/>
      </c>
      <c r="C197" s="25" t="str">
        <f t="shared" ca="1" si="26"/>
        <v/>
      </c>
      <c r="D197" s="26" t="str">
        <f t="shared" ca="1" si="27"/>
        <v/>
      </c>
      <c r="E197" s="4" t="str">
        <f t="shared" ca="1" si="28"/>
        <v/>
      </c>
      <c r="F197" s="25" t="str">
        <f t="shared" ca="1" si="29"/>
        <v/>
      </c>
      <c r="G197" s="26" t="str">
        <f t="shared" ca="1" si="30"/>
        <v/>
      </c>
      <c r="H197" s="55" t="str">
        <f t="shared" ca="1" si="31"/>
        <v/>
      </c>
      <c r="J197" s="37"/>
      <c r="L197" s="37"/>
      <c r="N197" s="95" t="str">
        <f t="shared" si="33"/>
        <v/>
      </c>
      <c r="O197" s="95" t="str">
        <f t="shared" si="34"/>
        <v/>
      </c>
    </row>
    <row r="198" spans="1:15" x14ac:dyDescent="0.25">
      <c r="A198" s="98" t="str">
        <f t="shared" ca="1" si="32"/>
        <v/>
      </c>
      <c r="B198" s="33" t="str">
        <f t="shared" ca="1" si="25"/>
        <v/>
      </c>
      <c r="C198" s="25" t="str">
        <f t="shared" ca="1" si="26"/>
        <v/>
      </c>
      <c r="D198" s="26" t="str">
        <f t="shared" ca="1" si="27"/>
        <v/>
      </c>
      <c r="E198" s="4" t="str">
        <f t="shared" ca="1" si="28"/>
        <v/>
      </c>
      <c r="F198" s="25" t="str">
        <f t="shared" ca="1" si="29"/>
        <v/>
      </c>
      <c r="G198" s="26" t="str">
        <f t="shared" ca="1" si="30"/>
        <v/>
      </c>
      <c r="H198" s="55" t="str">
        <f t="shared" ca="1" si="31"/>
        <v/>
      </c>
      <c r="J198" s="37"/>
      <c r="L198" s="37"/>
      <c r="N198" s="95" t="str">
        <f t="shared" si="33"/>
        <v/>
      </c>
      <c r="O198" s="95" t="str">
        <f t="shared" si="34"/>
        <v/>
      </c>
    </row>
    <row r="199" spans="1:15" x14ac:dyDescent="0.25">
      <c r="A199" s="98" t="str">
        <f t="shared" ca="1" si="32"/>
        <v/>
      </c>
      <c r="B199" s="33" t="str">
        <f t="shared" ca="1" si="25"/>
        <v/>
      </c>
      <c r="C199" s="25" t="str">
        <f t="shared" ca="1" si="26"/>
        <v/>
      </c>
      <c r="D199" s="26" t="str">
        <f t="shared" ca="1" si="27"/>
        <v/>
      </c>
      <c r="E199" s="4" t="str">
        <f t="shared" ca="1" si="28"/>
        <v/>
      </c>
      <c r="F199" s="25" t="str">
        <f t="shared" ca="1" si="29"/>
        <v/>
      </c>
      <c r="G199" s="26" t="str">
        <f t="shared" ca="1" si="30"/>
        <v/>
      </c>
      <c r="H199" s="55" t="str">
        <f t="shared" ca="1" si="31"/>
        <v/>
      </c>
      <c r="J199" s="37"/>
      <c r="L199" s="37"/>
      <c r="N199" s="95" t="str">
        <f t="shared" si="33"/>
        <v/>
      </c>
      <c r="O199" s="95" t="str">
        <f t="shared" si="34"/>
        <v/>
      </c>
    </row>
    <row r="200" spans="1:15" x14ac:dyDescent="0.25">
      <c r="A200" s="98" t="str">
        <f t="shared" ca="1" si="32"/>
        <v/>
      </c>
      <c r="B200" s="33" t="str">
        <f t="shared" ca="1" si="25"/>
        <v/>
      </c>
      <c r="C200" s="25" t="str">
        <f t="shared" ca="1" si="26"/>
        <v/>
      </c>
      <c r="D200" s="26" t="str">
        <f t="shared" ca="1" si="27"/>
        <v/>
      </c>
      <c r="E200" s="4" t="str">
        <f t="shared" ca="1" si="28"/>
        <v/>
      </c>
      <c r="F200" s="25" t="str">
        <f t="shared" ca="1" si="29"/>
        <v/>
      </c>
      <c r="G200" s="26" t="str">
        <f t="shared" ca="1" si="30"/>
        <v/>
      </c>
      <c r="H200" s="55" t="str">
        <f t="shared" ca="1" si="31"/>
        <v/>
      </c>
      <c r="J200" s="37"/>
      <c r="L200" s="37"/>
      <c r="N200" s="95" t="str">
        <f t="shared" si="33"/>
        <v/>
      </c>
      <c r="O200" s="95" t="str">
        <f t="shared" si="34"/>
        <v/>
      </c>
    </row>
    <row r="201" spans="1:15" x14ac:dyDescent="0.25">
      <c r="A201" s="98" t="str">
        <f t="shared" ca="1" si="32"/>
        <v/>
      </c>
      <c r="B201" s="33" t="str">
        <f t="shared" ca="1" si="25"/>
        <v/>
      </c>
      <c r="C201" s="25" t="str">
        <f t="shared" ca="1" si="26"/>
        <v/>
      </c>
      <c r="D201" s="26" t="str">
        <f t="shared" ca="1" si="27"/>
        <v/>
      </c>
      <c r="E201" s="4" t="str">
        <f t="shared" ca="1" si="28"/>
        <v/>
      </c>
      <c r="F201" s="25" t="str">
        <f t="shared" ca="1" si="29"/>
        <v/>
      </c>
      <c r="G201" s="26" t="str">
        <f t="shared" ca="1" si="30"/>
        <v/>
      </c>
      <c r="H201" s="55" t="str">
        <f t="shared" ca="1" si="31"/>
        <v/>
      </c>
      <c r="J201" s="37"/>
      <c r="L201" s="37"/>
      <c r="N201" s="95" t="str">
        <f t="shared" si="33"/>
        <v/>
      </c>
      <c r="O201" s="95" t="str">
        <f t="shared" si="34"/>
        <v/>
      </c>
    </row>
    <row r="202" spans="1:15" x14ac:dyDescent="0.25">
      <c r="A202" s="98" t="str">
        <f t="shared" ca="1" si="32"/>
        <v/>
      </c>
      <c r="B202" s="33" t="str">
        <f t="shared" ref="B202:B265" ca="1" si="35">IF(COUNTIF(J:J,A202)=1,VLOOKUP(A202,J:K,2), IF(COUNTIF(J:J,A202)=0,$B$10,""))</f>
        <v/>
      </c>
      <c r="C202" s="25" t="str">
        <f t="shared" ref="C202:C265" ca="1" si="36">IF(ISERROR(B202-2),"",(B202-$B$14)/100*$B$5)</f>
        <v/>
      </c>
      <c r="D202" s="26" t="str">
        <f t="shared" ref="D202:D265" ca="1" si="37">IF(ISERROR(B202-2),"",(INT(A202)-INT($A$14))/360*$B$6*$B$5-(INT(A202)-INT($A$14))/360*$B$7*$B$5*$B$14/100)</f>
        <v/>
      </c>
      <c r="E202" s="4" t="str">
        <f t="shared" ref="E202:E265" ca="1" si="38">IF(COUNTIF(L:L,A202)=1,VLOOKUP(A202,L:M,2), IF(COUNTIF(L:L,A202)=0,$C$10,""))</f>
        <v/>
      </c>
      <c r="F202" s="25" t="str">
        <f t="shared" ref="F202:F265" ca="1" si="39">IF(ISERROR(E202-2), "", (E202-$E$14)/100*$C$5)</f>
        <v/>
      </c>
      <c r="G202" s="26" t="str">
        <f t="shared" ref="G202:G265" ca="1" si="40">IF(ISERROR(E202-2),"",(INT(A202)-INT($A$14))/360*$C$6*$C$5-(INT(A202)-INT($A$14))/360*$C$7*$C$5*$E$14/100)</f>
        <v/>
      </c>
      <c r="H202" s="55" t="str">
        <f t="shared" ref="H202:H265" ca="1" si="41">IF(ISERROR(E202-2),"",C202+D202-F202-G202)</f>
        <v/>
      </c>
      <c r="J202" s="37"/>
      <c r="L202" s="37"/>
      <c r="N202" s="95" t="str">
        <f t="shared" si="33"/>
        <v/>
      </c>
      <c r="O202" s="95" t="str">
        <f t="shared" si="34"/>
        <v/>
      </c>
    </row>
    <row r="203" spans="1:15" x14ac:dyDescent="0.25">
      <c r="A203" s="98" t="str">
        <f t="shared" ca="1" si="32"/>
        <v/>
      </c>
      <c r="B203" s="33" t="str">
        <f t="shared" ca="1" si="35"/>
        <v/>
      </c>
      <c r="C203" s="25" t="str">
        <f t="shared" ca="1" si="36"/>
        <v/>
      </c>
      <c r="D203" s="26" t="str">
        <f t="shared" ca="1" si="37"/>
        <v/>
      </c>
      <c r="E203" s="4" t="str">
        <f t="shared" ca="1" si="38"/>
        <v/>
      </c>
      <c r="F203" s="25" t="str">
        <f t="shared" ca="1" si="39"/>
        <v/>
      </c>
      <c r="G203" s="26" t="str">
        <f t="shared" ca="1" si="40"/>
        <v/>
      </c>
      <c r="H203" s="55" t="str">
        <f t="shared" ca="1" si="41"/>
        <v/>
      </c>
      <c r="J203" s="37"/>
      <c r="L203" s="37"/>
      <c r="N203" s="95" t="str">
        <f t="shared" si="33"/>
        <v/>
      </c>
      <c r="O203" s="95" t="str">
        <f t="shared" si="34"/>
        <v/>
      </c>
    </row>
    <row r="204" spans="1:15" x14ac:dyDescent="0.25">
      <c r="A204" s="98" t="str">
        <f t="shared" ca="1" si="32"/>
        <v/>
      </c>
      <c r="B204" s="33" t="str">
        <f t="shared" ca="1" si="35"/>
        <v/>
      </c>
      <c r="C204" s="25" t="str">
        <f t="shared" ca="1" si="36"/>
        <v/>
      </c>
      <c r="D204" s="26" t="str">
        <f t="shared" ca="1" si="37"/>
        <v/>
      </c>
      <c r="E204" s="4" t="str">
        <f t="shared" ca="1" si="38"/>
        <v/>
      </c>
      <c r="F204" s="25" t="str">
        <f t="shared" ca="1" si="39"/>
        <v/>
      </c>
      <c r="G204" s="26" t="str">
        <f t="shared" ca="1" si="40"/>
        <v/>
      </c>
      <c r="H204" s="55" t="str">
        <f t="shared" ca="1" si="41"/>
        <v/>
      </c>
      <c r="J204" s="37"/>
      <c r="L204" s="37"/>
      <c r="N204" s="95" t="str">
        <f t="shared" si="33"/>
        <v/>
      </c>
      <c r="O204" s="95" t="str">
        <f t="shared" si="34"/>
        <v/>
      </c>
    </row>
    <row r="205" spans="1:15" x14ac:dyDescent="0.25">
      <c r="A205" s="98" t="str">
        <f t="shared" ca="1" si="32"/>
        <v/>
      </c>
      <c r="B205" s="33" t="str">
        <f t="shared" ca="1" si="35"/>
        <v/>
      </c>
      <c r="C205" s="25" t="str">
        <f t="shared" ca="1" si="36"/>
        <v/>
      </c>
      <c r="D205" s="26" t="str">
        <f t="shared" ca="1" si="37"/>
        <v/>
      </c>
      <c r="E205" s="4" t="str">
        <f t="shared" ca="1" si="38"/>
        <v/>
      </c>
      <c r="F205" s="25" t="str">
        <f t="shared" ca="1" si="39"/>
        <v/>
      </c>
      <c r="G205" s="26" t="str">
        <f t="shared" ca="1" si="40"/>
        <v/>
      </c>
      <c r="H205" s="55" t="str">
        <f t="shared" ca="1" si="41"/>
        <v/>
      </c>
      <c r="J205" s="37"/>
      <c r="L205" s="37"/>
      <c r="N205" s="95" t="str">
        <f t="shared" si="33"/>
        <v/>
      </c>
      <c r="O205" s="95" t="str">
        <f t="shared" si="34"/>
        <v/>
      </c>
    </row>
    <row r="206" spans="1:15" x14ac:dyDescent="0.25">
      <c r="A206" s="98" t="str">
        <f t="shared" ca="1" si="32"/>
        <v/>
      </c>
      <c r="B206" s="33" t="str">
        <f t="shared" ca="1" si="35"/>
        <v/>
      </c>
      <c r="C206" s="25" t="str">
        <f t="shared" ca="1" si="36"/>
        <v/>
      </c>
      <c r="D206" s="26" t="str">
        <f t="shared" ca="1" si="37"/>
        <v/>
      </c>
      <c r="E206" s="4" t="str">
        <f t="shared" ca="1" si="38"/>
        <v/>
      </c>
      <c r="F206" s="25" t="str">
        <f t="shared" ca="1" si="39"/>
        <v/>
      </c>
      <c r="G206" s="26" t="str">
        <f t="shared" ca="1" si="40"/>
        <v/>
      </c>
      <c r="H206" s="55" t="str">
        <f t="shared" ca="1" si="41"/>
        <v/>
      </c>
      <c r="J206" s="37"/>
      <c r="L206" s="37"/>
      <c r="N206" s="95" t="str">
        <f t="shared" si="33"/>
        <v/>
      </c>
      <c r="O206" s="95" t="str">
        <f t="shared" si="34"/>
        <v/>
      </c>
    </row>
    <row r="207" spans="1:15" x14ac:dyDescent="0.25">
      <c r="A207" s="98" t="str">
        <f t="shared" ca="1" si="32"/>
        <v/>
      </c>
      <c r="B207" s="33" t="str">
        <f t="shared" ca="1" si="35"/>
        <v/>
      </c>
      <c r="C207" s="25" t="str">
        <f t="shared" ca="1" si="36"/>
        <v/>
      </c>
      <c r="D207" s="26" t="str">
        <f t="shared" ca="1" si="37"/>
        <v/>
      </c>
      <c r="E207" s="4" t="str">
        <f t="shared" ca="1" si="38"/>
        <v/>
      </c>
      <c r="F207" s="25" t="str">
        <f t="shared" ca="1" si="39"/>
        <v/>
      </c>
      <c r="G207" s="26" t="str">
        <f t="shared" ca="1" si="40"/>
        <v/>
      </c>
      <c r="H207" s="55" t="str">
        <f t="shared" ca="1" si="41"/>
        <v/>
      </c>
      <c r="J207" s="37"/>
      <c r="L207" s="37"/>
      <c r="N207" s="95" t="str">
        <f t="shared" si="33"/>
        <v/>
      </c>
      <c r="O207" s="95" t="str">
        <f t="shared" si="34"/>
        <v/>
      </c>
    </row>
    <row r="208" spans="1:15" x14ac:dyDescent="0.25">
      <c r="A208" s="98" t="str">
        <f t="shared" ref="A208:A271" ca="1" si="42">IF(AND(ISBLANK(P195), A207 = $P$1),NOW(),IF(ISBLANK(P195),"",P195))</f>
        <v/>
      </c>
      <c r="B208" s="33" t="str">
        <f t="shared" ca="1" si="35"/>
        <v/>
      </c>
      <c r="C208" s="25" t="str">
        <f t="shared" ca="1" si="36"/>
        <v/>
      </c>
      <c r="D208" s="26" t="str">
        <f t="shared" ca="1" si="37"/>
        <v/>
      </c>
      <c r="E208" s="4" t="str">
        <f t="shared" ca="1" si="38"/>
        <v/>
      </c>
      <c r="F208" s="25" t="str">
        <f t="shared" ca="1" si="39"/>
        <v/>
      </c>
      <c r="G208" s="26" t="str">
        <f t="shared" ca="1" si="40"/>
        <v/>
      </c>
      <c r="H208" s="55" t="str">
        <f t="shared" ca="1" si="41"/>
        <v/>
      </c>
      <c r="J208" s="37"/>
      <c r="L208" s="37"/>
      <c r="N208" s="95" t="str">
        <f t="shared" si="33"/>
        <v/>
      </c>
      <c r="O208" s="95" t="str">
        <f t="shared" si="34"/>
        <v/>
      </c>
    </row>
    <row r="209" spans="1:15" x14ac:dyDescent="0.25">
      <c r="A209" s="98" t="str">
        <f t="shared" ca="1" si="42"/>
        <v/>
      </c>
      <c r="B209" s="33" t="str">
        <f t="shared" ca="1" si="35"/>
        <v/>
      </c>
      <c r="C209" s="25" t="str">
        <f t="shared" ca="1" si="36"/>
        <v/>
      </c>
      <c r="D209" s="26" t="str">
        <f t="shared" ca="1" si="37"/>
        <v/>
      </c>
      <c r="E209" s="4" t="str">
        <f t="shared" ca="1" si="38"/>
        <v/>
      </c>
      <c r="F209" s="25" t="str">
        <f t="shared" ca="1" si="39"/>
        <v/>
      </c>
      <c r="G209" s="26" t="str">
        <f t="shared" ca="1" si="40"/>
        <v/>
      </c>
      <c r="H209" s="55" t="str">
        <f t="shared" ca="1" si="41"/>
        <v/>
      </c>
      <c r="J209" s="37"/>
      <c r="L209" s="37"/>
      <c r="N209" s="95" t="str">
        <f t="shared" si="33"/>
        <v/>
      </c>
      <c r="O209" s="95" t="str">
        <f t="shared" si="34"/>
        <v/>
      </c>
    </row>
    <row r="210" spans="1:15" x14ac:dyDescent="0.25">
      <c r="A210" s="98" t="str">
        <f t="shared" ca="1" si="42"/>
        <v/>
      </c>
      <c r="B210" s="33" t="str">
        <f t="shared" ca="1" si="35"/>
        <v/>
      </c>
      <c r="C210" s="25" t="str">
        <f t="shared" ca="1" si="36"/>
        <v/>
      </c>
      <c r="D210" s="26" t="str">
        <f t="shared" ca="1" si="37"/>
        <v/>
      </c>
      <c r="E210" s="4" t="str">
        <f t="shared" ca="1" si="38"/>
        <v/>
      </c>
      <c r="F210" s="25" t="str">
        <f t="shared" ca="1" si="39"/>
        <v/>
      </c>
      <c r="G210" s="26" t="str">
        <f t="shared" ca="1" si="40"/>
        <v/>
      </c>
      <c r="H210" s="55" t="str">
        <f t="shared" ca="1" si="41"/>
        <v/>
      </c>
      <c r="J210" s="37"/>
      <c r="L210" s="37"/>
      <c r="N210" s="95" t="str">
        <f t="shared" si="33"/>
        <v/>
      </c>
      <c r="O210" s="95" t="str">
        <f t="shared" si="34"/>
        <v/>
      </c>
    </row>
    <row r="211" spans="1:15" x14ac:dyDescent="0.25">
      <c r="A211" s="98" t="str">
        <f t="shared" ca="1" si="42"/>
        <v/>
      </c>
      <c r="B211" s="33" t="str">
        <f t="shared" ca="1" si="35"/>
        <v/>
      </c>
      <c r="C211" s="25" t="str">
        <f t="shared" ca="1" si="36"/>
        <v/>
      </c>
      <c r="D211" s="26" t="str">
        <f t="shared" ca="1" si="37"/>
        <v/>
      </c>
      <c r="E211" s="4" t="str">
        <f t="shared" ca="1" si="38"/>
        <v/>
      </c>
      <c r="F211" s="25" t="str">
        <f t="shared" ca="1" si="39"/>
        <v/>
      </c>
      <c r="G211" s="26" t="str">
        <f t="shared" ca="1" si="40"/>
        <v/>
      </c>
      <c r="H211" s="55" t="str">
        <f t="shared" ca="1" si="41"/>
        <v/>
      </c>
      <c r="J211" s="37"/>
      <c r="L211" s="37"/>
      <c r="N211" s="95" t="str">
        <f t="shared" si="33"/>
        <v/>
      </c>
      <c r="O211" s="95" t="str">
        <f t="shared" si="34"/>
        <v/>
      </c>
    </row>
    <row r="212" spans="1:15" x14ac:dyDescent="0.25">
      <c r="A212" s="98" t="str">
        <f t="shared" ca="1" si="42"/>
        <v/>
      </c>
      <c r="B212" s="33" t="str">
        <f t="shared" ca="1" si="35"/>
        <v/>
      </c>
      <c r="C212" s="25" t="str">
        <f t="shared" ca="1" si="36"/>
        <v/>
      </c>
      <c r="D212" s="26" t="str">
        <f t="shared" ca="1" si="37"/>
        <v/>
      </c>
      <c r="E212" s="4" t="str">
        <f t="shared" ca="1" si="38"/>
        <v/>
      </c>
      <c r="F212" s="25" t="str">
        <f t="shared" ca="1" si="39"/>
        <v/>
      </c>
      <c r="G212" s="26" t="str">
        <f t="shared" ca="1" si="40"/>
        <v/>
      </c>
      <c r="H212" s="55" t="str">
        <f t="shared" ca="1" si="41"/>
        <v/>
      </c>
      <c r="J212" s="37"/>
      <c r="L212" s="37"/>
      <c r="N212" s="95" t="str">
        <f t="shared" si="33"/>
        <v/>
      </c>
      <c r="O212" s="95" t="str">
        <f t="shared" si="34"/>
        <v/>
      </c>
    </row>
    <row r="213" spans="1:15" x14ac:dyDescent="0.25">
      <c r="A213" s="98" t="str">
        <f t="shared" ca="1" si="42"/>
        <v/>
      </c>
      <c r="B213" s="33" t="str">
        <f t="shared" ca="1" si="35"/>
        <v/>
      </c>
      <c r="C213" s="25" t="str">
        <f t="shared" ca="1" si="36"/>
        <v/>
      </c>
      <c r="D213" s="26" t="str">
        <f t="shared" ca="1" si="37"/>
        <v/>
      </c>
      <c r="E213" s="4" t="str">
        <f t="shared" ca="1" si="38"/>
        <v/>
      </c>
      <c r="F213" s="25" t="str">
        <f t="shared" ca="1" si="39"/>
        <v/>
      </c>
      <c r="G213" s="26" t="str">
        <f t="shared" ca="1" si="40"/>
        <v/>
      </c>
      <c r="H213" s="55" t="str">
        <f t="shared" ca="1" si="41"/>
        <v/>
      </c>
      <c r="J213" s="37"/>
      <c r="L213" s="37"/>
      <c r="N213" s="95" t="str">
        <f t="shared" si="33"/>
        <v/>
      </c>
      <c r="O213" s="95" t="str">
        <f t="shared" si="34"/>
        <v/>
      </c>
    </row>
    <row r="214" spans="1:15" x14ac:dyDescent="0.25">
      <c r="A214" s="98" t="str">
        <f t="shared" ca="1" si="42"/>
        <v/>
      </c>
      <c r="B214" s="33" t="str">
        <f t="shared" ca="1" si="35"/>
        <v/>
      </c>
      <c r="C214" s="25" t="str">
        <f t="shared" ca="1" si="36"/>
        <v/>
      </c>
      <c r="D214" s="26" t="str">
        <f t="shared" ca="1" si="37"/>
        <v/>
      </c>
      <c r="E214" s="4" t="str">
        <f t="shared" ca="1" si="38"/>
        <v/>
      </c>
      <c r="F214" s="25" t="str">
        <f t="shared" ca="1" si="39"/>
        <v/>
      </c>
      <c r="G214" s="26" t="str">
        <f t="shared" ca="1" si="40"/>
        <v/>
      </c>
      <c r="H214" s="55" t="str">
        <f t="shared" ca="1" si="41"/>
        <v/>
      </c>
      <c r="J214" s="37"/>
      <c r="L214" s="37"/>
      <c r="N214" s="95" t="str">
        <f t="shared" si="33"/>
        <v/>
      </c>
      <c r="O214" s="95" t="str">
        <f t="shared" si="34"/>
        <v/>
      </c>
    </row>
    <row r="215" spans="1:15" x14ac:dyDescent="0.25">
      <c r="A215" s="98" t="str">
        <f t="shared" ca="1" si="42"/>
        <v/>
      </c>
      <c r="B215" s="33" t="str">
        <f t="shared" ca="1" si="35"/>
        <v/>
      </c>
      <c r="C215" s="25" t="str">
        <f t="shared" ca="1" si="36"/>
        <v/>
      </c>
      <c r="D215" s="26" t="str">
        <f t="shared" ca="1" si="37"/>
        <v/>
      </c>
      <c r="E215" s="4" t="str">
        <f t="shared" ca="1" si="38"/>
        <v/>
      </c>
      <c r="F215" s="25" t="str">
        <f t="shared" ca="1" si="39"/>
        <v/>
      </c>
      <c r="G215" s="26" t="str">
        <f t="shared" ca="1" si="40"/>
        <v/>
      </c>
      <c r="H215" s="55" t="str">
        <f t="shared" ca="1" si="41"/>
        <v/>
      </c>
      <c r="J215" s="37"/>
      <c r="L215" s="37"/>
      <c r="N215" s="95" t="str">
        <f t="shared" si="33"/>
        <v/>
      </c>
      <c r="O215" s="95" t="str">
        <f t="shared" si="34"/>
        <v/>
      </c>
    </row>
    <row r="216" spans="1:15" x14ac:dyDescent="0.25">
      <c r="A216" s="98" t="str">
        <f t="shared" ca="1" si="42"/>
        <v/>
      </c>
      <c r="B216" s="33" t="str">
        <f t="shared" ca="1" si="35"/>
        <v/>
      </c>
      <c r="C216" s="25" t="str">
        <f t="shared" ca="1" si="36"/>
        <v/>
      </c>
      <c r="D216" s="26" t="str">
        <f t="shared" ca="1" si="37"/>
        <v/>
      </c>
      <c r="E216" s="4" t="str">
        <f t="shared" ca="1" si="38"/>
        <v/>
      </c>
      <c r="F216" s="25" t="str">
        <f t="shared" ca="1" si="39"/>
        <v/>
      </c>
      <c r="G216" s="26" t="str">
        <f t="shared" ca="1" si="40"/>
        <v/>
      </c>
      <c r="H216" s="55" t="str">
        <f t="shared" ca="1" si="41"/>
        <v/>
      </c>
      <c r="J216" s="37"/>
      <c r="L216" s="37"/>
      <c r="N216" s="95" t="str">
        <f t="shared" si="33"/>
        <v/>
      </c>
      <c r="O216" s="95" t="str">
        <f t="shared" si="34"/>
        <v/>
      </c>
    </row>
    <row r="217" spans="1:15" x14ac:dyDescent="0.25">
      <c r="A217" s="98" t="str">
        <f t="shared" ca="1" si="42"/>
        <v/>
      </c>
      <c r="B217" s="33" t="str">
        <f t="shared" ca="1" si="35"/>
        <v/>
      </c>
      <c r="C217" s="25" t="str">
        <f t="shared" ca="1" si="36"/>
        <v/>
      </c>
      <c r="D217" s="26" t="str">
        <f t="shared" ca="1" si="37"/>
        <v/>
      </c>
      <c r="E217" s="4" t="str">
        <f t="shared" ca="1" si="38"/>
        <v/>
      </c>
      <c r="F217" s="25" t="str">
        <f t="shared" ca="1" si="39"/>
        <v/>
      </c>
      <c r="G217" s="26" t="str">
        <f t="shared" ca="1" si="40"/>
        <v/>
      </c>
      <c r="H217" s="55" t="str">
        <f t="shared" ca="1" si="41"/>
        <v/>
      </c>
      <c r="J217" s="37"/>
      <c r="L217" s="37"/>
      <c r="N217" s="95" t="str">
        <f t="shared" si="33"/>
        <v/>
      </c>
      <c r="O217" s="95" t="str">
        <f t="shared" si="34"/>
        <v/>
      </c>
    </row>
    <row r="218" spans="1:15" x14ac:dyDescent="0.25">
      <c r="A218" s="98" t="str">
        <f t="shared" ca="1" si="42"/>
        <v/>
      </c>
      <c r="B218" s="33" t="str">
        <f t="shared" ca="1" si="35"/>
        <v/>
      </c>
      <c r="C218" s="25" t="str">
        <f t="shared" ca="1" si="36"/>
        <v/>
      </c>
      <c r="D218" s="26" t="str">
        <f t="shared" ca="1" si="37"/>
        <v/>
      </c>
      <c r="E218" s="4" t="str">
        <f t="shared" ca="1" si="38"/>
        <v/>
      </c>
      <c r="F218" s="25" t="str">
        <f t="shared" ca="1" si="39"/>
        <v/>
      </c>
      <c r="G218" s="26" t="str">
        <f t="shared" ca="1" si="40"/>
        <v/>
      </c>
      <c r="H218" s="55" t="str">
        <f t="shared" ca="1" si="41"/>
        <v/>
      </c>
      <c r="J218" s="37"/>
      <c r="L218" s="37"/>
      <c r="N218" s="95" t="str">
        <f t="shared" si="33"/>
        <v/>
      </c>
      <c r="O218" s="95" t="str">
        <f t="shared" si="34"/>
        <v/>
      </c>
    </row>
    <row r="219" spans="1:15" x14ac:dyDescent="0.25">
      <c r="A219" s="98" t="str">
        <f t="shared" ca="1" si="42"/>
        <v/>
      </c>
      <c r="B219" s="33" t="str">
        <f t="shared" ca="1" si="35"/>
        <v/>
      </c>
      <c r="C219" s="25" t="str">
        <f t="shared" ca="1" si="36"/>
        <v/>
      </c>
      <c r="D219" s="26" t="str">
        <f t="shared" ca="1" si="37"/>
        <v/>
      </c>
      <c r="E219" s="4" t="str">
        <f t="shared" ca="1" si="38"/>
        <v/>
      </c>
      <c r="F219" s="25" t="str">
        <f t="shared" ca="1" si="39"/>
        <v/>
      </c>
      <c r="G219" s="26" t="str">
        <f t="shared" ca="1" si="40"/>
        <v/>
      </c>
      <c r="H219" s="55" t="str">
        <f t="shared" ca="1" si="41"/>
        <v/>
      </c>
      <c r="J219" s="37"/>
      <c r="L219" s="37"/>
      <c r="N219" s="95" t="str">
        <f t="shared" si="33"/>
        <v/>
      </c>
      <c r="O219" s="95" t="str">
        <f t="shared" si="34"/>
        <v/>
      </c>
    </row>
    <row r="220" spans="1:15" x14ac:dyDescent="0.25">
      <c r="A220" s="98" t="str">
        <f t="shared" ca="1" si="42"/>
        <v/>
      </c>
      <c r="B220" s="33" t="str">
        <f t="shared" ca="1" si="35"/>
        <v/>
      </c>
      <c r="C220" s="25" t="str">
        <f t="shared" ca="1" si="36"/>
        <v/>
      </c>
      <c r="D220" s="26" t="str">
        <f t="shared" ca="1" si="37"/>
        <v/>
      </c>
      <c r="E220" s="4" t="str">
        <f t="shared" ca="1" si="38"/>
        <v/>
      </c>
      <c r="F220" s="25" t="str">
        <f t="shared" ca="1" si="39"/>
        <v/>
      </c>
      <c r="G220" s="26" t="str">
        <f t="shared" ca="1" si="40"/>
        <v/>
      </c>
      <c r="H220" s="55" t="str">
        <f t="shared" ca="1" si="41"/>
        <v/>
      </c>
      <c r="J220" s="37"/>
      <c r="L220" s="37"/>
      <c r="N220" s="95" t="str">
        <f t="shared" si="33"/>
        <v/>
      </c>
      <c r="O220" s="95" t="str">
        <f t="shared" si="34"/>
        <v/>
      </c>
    </row>
    <row r="221" spans="1:15" x14ac:dyDescent="0.25">
      <c r="A221" s="98" t="str">
        <f t="shared" ca="1" si="42"/>
        <v/>
      </c>
      <c r="B221" s="33" t="str">
        <f t="shared" ca="1" si="35"/>
        <v/>
      </c>
      <c r="C221" s="25" t="str">
        <f t="shared" ca="1" si="36"/>
        <v/>
      </c>
      <c r="D221" s="26" t="str">
        <f t="shared" ca="1" si="37"/>
        <v/>
      </c>
      <c r="E221" s="4" t="str">
        <f t="shared" ca="1" si="38"/>
        <v/>
      </c>
      <c r="F221" s="25" t="str">
        <f t="shared" ca="1" si="39"/>
        <v/>
      </c>
      <c r="G221" s="26" t="str">
        <f t="shared" ca="1" si="40"/>
        <v/>
      </c>
      <c r="H221" s="55" t="str">
        <f t="shared" ca="1" si="41"/>
        <v/>
      </c>
      <c r="J221" s="37"/>
      <c r="N221" s="95" t="str">
        <f t="shared" si="33"/>
        <v/>
      </c>
      <c r="O221" s="95" t="str">
        <f t="shared" si="34"/>
        <v/>
      </c>
    </row>
    <row r="222" spans="1:15" x14ac:dyDescent="0.25">
      <c r="A222" s="98" t="str">
        <f t="shared" ca="1" si="42"/>
        <v/>
      </c>
      <c r="B222" s="33" t="str">
        <f t="shared" ca="1" si="35"/>
        <v/>
      </c>
      <c r="C222" s="25" t="str">
        <f t="shared" ca="1" si="36"/>
        <v/>
      </c>
      <c r="D222" s="26" t="str">
        <f t="shared" ca="1" si="37"/>
        <v/>
      </c>
      <c r="E222" s="4" t="str">
        <f t="shared" ca="1" si="38"/>
        <v/>
      </c>
      <c r="F222" s="25" t="str">
        <f t="shared" ca="1" si="39"/>
        <v/>
      </c>
      <c r="G222" s="26" t="str">
        <f t="shared" ca="1" si="40"/>
        <v/>
      </c>
      <c r="H222" s="55" t="str">
        <f t="shared" ca="1" si="41"/>
        <v/>
      </c>
      <c r="J222" s="37"/>
      <c r="N222" s="95" t="str">
        <f t="shared" si="33"/>
        <v/>
      </c>
      <c r="O222" s="95" t="str">
        <f t="shared" si="34"/>
        <v/>
      </c>
    </row>
    <row r="223" spans="1:15" x14ac:dyDescent="0.25">
      <c r="A223" s="98" t="str">
        <f t="shared" ca="1" si="42"/>
        <v/>
      </c>
      <c r="B223" s="33" t="str">
        <f t="shared" ca="1" si="35"/>
        <v/>
      </c>
      <c r="C223" s="25" t="str">
        <f t="shared" ca="1" si="36"/>
        <v/>
      </c>
      <c r="D223" s="26" t="str">
        <f t="shared" ca="1" si="37"/>
        <v/>
      </c>
      <c r="E223" s="4" t="str">
        <f t="shared" ca="1" si="38"/>
        <v/>
      </c>
      <c r="F223" s="25" t="str">
        <f t="shared" ca="1" si="39"/>
        <v/>
      </c>
      <c r="G223" s="26" t="str">
        <f t="shared" ca="1" si="40"/>
        <v/>
      </c>
      <c r="H223" s="55" t="str">
        <f t="shared" ca="1" si="41"/>
        <v/>
      </c>
      <c r="J223" s="37"/>
      <c r="N223" s="95" t="str">
        <f t="shared" si="33"/>
        <v/>
      </c>
      <c r="O223" s="95" t="str">
        <f t="shared" si="34"/>
        <v/>
      </c>
    </row>
    <row r="224" spans="1:15" x14ac:dyDescent="0.25">
      <c r="A224" s="98" t="str">
        <f t="shared" ca="1" si="42"/>
        <v/>
      </c>
      <c r="B224" s="33" t="str">
        <f t="shared" ca="1" si="35"/>
        <v/>
      </c>
      <c r="C224" s="25" t="str">
        <f t="shared" ca="1" si="36"/>
        <v/>
      </c>
      <c r="D224" s="26" t="str">
        <f t="shared" ca="1" si="37"/>
        <v/>
      </c>
      <c r="E224" s="4" t="str">
        <f t="shared" ca="1" si="38"/>
        <v/>
      </c>
      <c r="F224" s="25" t="str">
        <f t="shared" ca="1" si="39"/>
        <v/>
      </c>
      <c r="G224" s="26" t="str">
        <f t="shared" ca="1" si="40"/>
        <v/>
      </c>
      <c r="H224" s="55" t="str">
        <f t="shared" ca="1" si="41"/>
        <v/>
      </c>
      <c r="J224" s="37"/>
      <c r="N224" s="95" t="str">
        <f t="shared" si="33"/>
        <v/>
      </c>
      <c r="O224" s="95" t="str">
        <f t="shared" si="34"/>
        <v/>
      </c>
    </row>
    <row r="225" spans="1:15" x14ac:dyDescent="0.25">
      <c r="A225" s="98" t="str">
        <f t="shared" ca="1" si="42"/>
        <v/>
      </c>
      <c r="B225" s="33" t="str">
        <f t="shared" ca="1" si="35"/>
        <v/>
      </c>
      <c r="C225" s="25" t="str">
        <f t="shared" ca="1" si="36"/>
        <v/>
      </c>
      <c r="D225" s="26" t="str">
        <f t="shared" ca="1" si="37"/>
        <v/>
      </c>
      <c r="E225" s="4" t="str">
        <f t="shared" ca="1" si="38"/>
        <v/>
      </c>
      <c r="F225" s="25" t="str">
        <f t="shared" ca="1" si="39"/>
        <v/>
      </c>
      <c r="G225" s="26" t="str">
        <f t="shared" ca="1" si="40"/>
        <v/>
      </c>
      <c r="H225" s="55" t="str">
        <f t="shared" ca="1" si="41"/>
        <v/>
      </c>
      <c r="J225" s="37"/>
      <c r="N225" s="95" t="str">
        <f t="shared" si="33"/>
        <v/>
      </c>
      <c r="O225" s="95" t="str">
        <f t="shared" si="34"/>
        <v/>
      </c>
    </row>
    <row r="226" spans="1:15" x14ac:dyDescent="0.25">
      <c r="A226" s="98" t="str">
        <f t="shared" ca="1" si="42"/>
        <v/>
      </c>
      <c r="B226" s="33" t="str">
        <f t="shared" ca="1" si="35"/>
        <v/>
      </c>
      <c r="C226" s="25" t="str">
        <f t="shared" ca="1" si="36"/>
        <v/>
      </c>
      <c r="D226" s="26" t="str">
        <f t="shared" ca="1" si="37"/>
        <v/>
      </c>
      <c r="E226" s="4" t="str">
        <f t="shared" ca="1" si="38"/>
        <v/>
      </c>
      <c r="F226" s="25" t="str">
        <f t="shared" ca="1" si="39"/>
        <v/>
      </c>
      <c r="G226" s="26" t="str">
        <f t="shared" ca="1" si="40"/>
        <v/>
      </c>
      <c r="H226" s="55" t="str">
        <f t="shared" ca="1" si="41"/>
        <v/>
      </c>
      <c r="J226" s="37"/>
      <c r="N226" s="95" t="str">
        <f t="shared" si="33"/>
        <v/>
      </c>
      <c r="O226" s="95" t="str">
        <f t="shared" si="34"/>
        <v/>
      </c>
    </row>
    <row r="227" spans="1:15" x14ac:dyDescent="0.25">
      <c r="A227" s="98" t="str">
        <f t="shared" ca="1" si="42"/>
        <v/>
      </c>
      <c r="B227" s="33" t="str">
        <f t="shared" ca="1" si="35"/>
        <v/>
      </c>
      <c r="C227" s="25" t="str">
        <f t="shared" ca="1" si="36"/>
        <v/>
      </c>
      <c r="D227" s="26" t="str">
        <f t="shared" ca="1" si="37"/>
        <v/>
      </c>
      <c r="E227" s="4" t="str">
        <f t="shared" ca="1" si="38"/>
        <v/>
      </c>
      <c r="F227" s="25" t="str">
        <f t="shared" ca="1" si="39"/>
        <v/>
      </c>
      <c r="G227" s="26" t="str">
        <f t="shared" ca="1" si="40"/>
        <v/>
      </c>
      <c r="H227" s="55" t="str">
        <f t="shared" ca="1" si="41"/>
        <v/>
      </c>
      <c r="J227" s="37"/>
      <c r="N227" s="95" t="str">
        <f t="shared" si="33"/>
        <v/>
      </c>
      <c r="O227" s="95" t="str">
        <f t="shared" si="34"/>
        <v/>
      </c>
    </row>
    <row r="228" spans="1:15" x14ac:dyDescent="0.25">
      <c r="A228" s="98" t="str">
        <f t="shared" ca="1" si="42"/>
        <v/>
      </c>
      <c r="B228" s="33" t="str">
        <f t="shared" ca="1" si="35"/>
        <v/>
      </c>
      <c r="C228" s="25" t="str">
        <f t="shared" ca="1" si="36"/>
        <v/>
      </c>
      <c r="D228" s="26" t="str">
        <f t="shared" ca="1" si="37"/>
        <v/>
      </c>
      <c r="E228" s="4" t="str">
        <f t="shared" ca="1" si="38"/>
        <v/>
      </c>
      <c r="F228" s="25" t="str">
        <f t="shared" ca="1" si="39"/>
        <v/>
      </c>
      <c r="G228" s="26" t="str">
        <f t="shared" ca="1" si="40"/>
        <v/>
      </c>
      <c r="H228" s="55" t="str">
        <f t="shared" ca="1" si="41"/>
        <v/>
      </c>
      <c r="J228" s="37"/>
      <c r="N228" s="95" t="str">
        <f t="shared" si="33"/>
        <v/>
      </c>
      <c r="O228" s="95" t="str">
        <f t="shared" si="34"/>
        <v/>
      </c>
    </row>
    <row r="229" spans="1:15" x14ac:dyDescent="0.25">
      <c r="A229" s="98" t="str">
        <f t="shared" ca="1" si="42"/>
        <v/>
      </c>
      <c r="B229" s="33" t="str">
        <f t="shared" ca="1" si="35"/>
        <v/>
      </c>
      <c r="C229" s="25" t="str">
        <f t="shared" ca="1" si="36"/>
        <v/>
      </c>
      <c r="D229" s="26" t="str">
        <f t="shared" ca="1" si="37"/>
        <v/>
      </c>
      <c r="E229" s="4" t="str">
        <f t="shared" ca="1" si="38"/>
        <v/>
      </c>
      <c r="F229" s="25" t="str">
        <f t="shared" ca="1" si="39"/>
        <v/>
      </c>
      <c r="G229" s="26" t="str">
        <f t="shared" ca="1" si="40"/>
        <v/>
      </c>
      <c r="H229" s="55" t="str">
        <f t="shared" ca="1" si="41"/>
        <v/>
      </c>
      <c r="J229" s="37"/>
      <c r="N229" s="95" t="str">
        <f t="shared" si="33"/>
        <v/>
      </c>
      <c r="O229" s="95" t="str">
        <f t="shared" si="34"/>
        <v/>
      </c>
    </row>
    <row r="230" spans="1:15" x14ac:dyDescent="0.25">
      <c r="A230" s="98" t="str">
        <f t="shared" ca="1" si="42"/>
        <v/>
      </c>
      <c r="B230" s="33" t="str">
        <f t="shared" ca="1" si="35"/>
        <v/>
      </c>
      <c r="C230" s="25" t="str">
        <f t="shared" ca="1" si="36"/>
        <v/>
      </c>
      <c r="D230" s="26" t="str">
        <f t="shared" ca="1" si="37"/>
        <v/>
      </c>
      <c r="E230" s="4" t="str">
        <f t="shared" ca="1" si="38"/>
        <v/>
      </c>
      <c r="F230" s="25" t="str">
        <f t="shared" ca="1" si="39"/>
        <v/>
      </c>
      <c r="G230" s="26" t="str">
        <f t="shared" ca="1" si="40"/>
        <v/>
      </c>
      <c r="H230" s="55" t="str">
        <f t="shared" ca="1" si="41"/>
        <v/>
      </c>
      <c r="J230" s="37"/>
      <c r="N230" s="95" t="str">
        <f t="shared" si="33"/>
        <v/>
      </c>
      <c r="O230" s="95" t="str">
        <f t="shared" si="34"/>
        <v/>
      </c>
    </row>
    <row r="231" spans="1:15" x14ac:dyDescent="0.25">
      <c r="A231" s="98" t="str">
        <f t="shared" ca="1" si="42"/>
        <v/>
      </c>
      <c r="B231" s="33" t="str">
        <f t="shared" ca="1" si="35"/>
        <v/>
      </c>
      <c r="C231" s="25" t="str">
        <f t="shared" ca="1" si="36"/>
        <v/>
      </c>
      <c r="D231" s="26" t="str">
        <f t="shared" ca="1" si="37"/>
        <v/>
      </c>
      <c r="E231" s="4" t="str">
        <f t="shared" ca="1" si="38"/>
        <v/>
      </c>
      <c r="F231" s="25" t="str">
        <f t="shared" ca="1" si="39"/>
        <v/>
      </c>
      <c r="G231" s="26" t="str">
        <f t="shared" ca="1" si="40"/>
        <v/>
      </c>
      <c r="H231" s="55" t="str">
        <f t="shared" ca="1" si="41"/>
        <v/>
      </c>
      <c r="J231" s="37"/>
      <c r="N231" s="95" t="str">
        <f t="shared" si="33"/>
        <v/>
      </c>
      <c r="O231" s="95" t="str">
        <f t="shared" si="34"/>
        <v/>
      </c>
    </row>
    <row r="232" spans="1:15" x14ac:dyDescent="0.25">
      <c r="A232" s="98" t="str">
        <f t="shared" ca="1" si="42"/>
        <v/>
      </c>
      <c r="B232" s="33" t="str">
        <f t="shared" ca="1" si="35"/>
        <v/>
      </c>
      <c r="C232" s="25" t="str">
        <f t="shared" ca="1" si="36"/>
        <v/>
      </c>
      <c r="D232" s="26" t="str">
        <f t="shared" ca="1" si="37"/>
        <v/>
      </c>
      <c r="E232" s="4" t="str">
        <f t="shared" ca="1" si="38"/>
        <v/>
      </c>
      <c r="F232" s="25" t="str">
        <f t="shared" ca="1" si="39"/>
        <v/>
      </c>
      <c r="G232" s="26" t="str">
        <f t="shared" ca="1" si="40"/>
        <v/>
      </c>
      <c r="H232" s="55" t="str">
        <f t="shared" ca="1" si="41"/>
        <v/>
      </c>
      <c r="J232" s="37"/>
      <c r="N232" s="95" t="str">
        <f t="shared" si="33"/>
        <v/>
      </c>
      <c r="O232" s="95" t="str">
        <f t="shared" si="34"/>
        <v/>
      </c>
    </row>
    <row r="233" spans="1:15" x14ac:dyDescent="0.25">
      <c r="A233" s="98" t="str">
        <f t="shared" ca="1" si="42"/>
        <v/>
      </c>
      <c r="B233" s="33" t="str">
        <f t="shared" ca="1" si="35"/>
        <v/>
      </c>
      <c r="C233" s="25" t="str">
        <f t="shared" ca="1" si="36"/>
        <v/>
      </c>
      <c r="D233" s="26" t="str">
        <f t="shared" ca="1" si="37"/>
        <v/>
      </c>
      <c r="E233" s="4" t="str">
        <f t="shared" ca="1" si="38"/>
        <v/>
      </c>
      <c r="F233" s="25" t="str">
        <f t="shared" ca="1" si="39"/>
        <v/>
      </c>
      <c r="G233" s="26" t="str">
        <f t="shared" ca="1" si="40"/>
        <v/>
      </c>
      <c r="H233" s="55" t="str">
        <f t="shared" ca="1" si="41"/>
        <v/>
      </c>
      <c r="J233" s="37"/>
      <c r="N233" s="95" t="str">
        <f t="shared" si="33"/>
        <v/>
      </c>
      <c r="O233" s="95" t="str">
        <f t="shared" si="34"/>
        <v/>
      </c>
    </row>
    <row r="234" spans="1:15" x14ac:dyDescent="0.25">
      <c r="A234" s="98" t="str">
        <f t="shared" ca="1" si="42"/>
        <v/>
      </c>
      <c r="B234" s="33" t="str">
        <f t="shared" ca="1" si="35"/>
        <v/>
      </c>
      <c r="C234" s="25" t="str">
        <f t="shared" ca="1" si="36"/>
        <v/>
      </c>
      <c r="D234" s="26" t="str">
        <f t="shared" ca="1" si="37"/>
        <v/>
      </c>
      <c r="E234" s="4" t="str">
        <f t="shared" ca="1" si="38"/>
        <v/>
      </c>
      <c r="F234" s="25" t="str">
        <f t="shared" ca="1" si="39"/>
        <v/>
      </c>
      <c r="G234" s="26" t="str">
        <f t="shared" ca="1" si="40"/>
        <v/>
      </c>
      <c r="H234" s="55" t="str">
        <f t="shared" ca="1" si="41"/>
        <v/>
      </c>
      <c r="J234" s="37"/>
      <c r="N234" s="95" t="str">
        <f t="shared" si="33"/>
        <v/>
      </c>
      <c r="O234" s="95" t="str">
        <f t="shared" si="34"/>
        <v/>
      </c>
    </row>
    <row r="235" spans="1:15" x14ac:dyDescent="0.25">
      <c r="A235" s="98" t="str">
        <f t="shared" ca="1" si="42"/>
        <v/>
      </c>
      <c r="B235" s="33" t="str">
        <f t="shared" ca="1" si="35"/>
        <v/>
      </c>
      <c r="C235" s="25" t="str">
        <f t="shared" ca="1" si="36"/>
        <v/>
      </c>
      <c r="D235" s="26" t="str">
        <f t="shared" ca="1" si="37"/>
        <v/>
      </c>
      <c r="E235" s="4" t="str">
        <f t="shared" ca="1" si="38"/>
        <v/>
      </c>
      <c r="F235" s="25" t="str">
        <f t="shared" ca="1" si="39"/>
        <v/>
      </c>
      <c r="G235" s="26" t="str">
        <f t="shared" ca="1" si="40"/>
        <v/>
      </c>
      <c r="H235" s="55" t="str">
        <f t="shared" ca="1" si="41"/>
        <v/>
      </c>
      <c r="J235" s="37"/>
      <c r="N235" s="95" t="str">
        <f t="shared" si="33"/>
        <v/>
      </c>
      <c r="O235" s="95" t="str">
        <f t="shared" si="34"/>
        <v/>
      </c>
    </row>
    <row r="236" spans="1:15" x14ac:dyDescent="0.25">
      <c r="A236" s="98" t="str">
        <f t="shared" ca="1" si="42"/>
        <v/>
      </c>
      <c r="B236" s="33" t="str">
        <f t="shared" ca="1" si="35"/>
        <v/>
      </c>
      <c r="C236" s="25" t="str">
        <f t="shared" ca="1" si="36"/>
        <v/>
      </c>
      <c r="D236" s="26" t="str">
        <f t="shared" ca="1" si="37"/>
        <v/>
      </c>
      <c r="E236" s="4" t="str">
        <f t="shared" ca="1" si="38"/>
        <v/>
      </c>
      <c r="F236" s="25" t="str">
        <f t="shared" ca="1" si="39"/>
        <v/>
      </c>
      <c r="G236" s="26" t="str">
        <f t="shared" ca="1" si="40"/>
        <v/>
      </c>
      <c r="H236" s="55" t="str">
        <f t="shared" ca="1" si="41"/>
        <v/>
      </c>
      <c r="J236" s="37"/>
      <c r="N236" s="95" t="str">
        <f t="shared" si="33"/>
        <v/>
      </c>
      <c r="O236" s="95" t="str">
        <f t="shared" si="34"/>
        <v/>
      </c>
    </row>
    <row r="237" spans="1:15" x14ac:dyDescent="0.25">
      <c r="A237" s="98" t="str">
        <f t="shared" ca="1" si="42"/>
        <v/>
      </c>
      <c r="B237" s="33" t="str">
        <f t="shared" ca="1" si="35"/>
        <v/>
      </c>
      <c r="C237" s="25" t="str">
        <f t="shared" ca="1" si="36"/>
        <v/>
      </c>
      <c r="D237" s="26" t="str">
        <f t="shared" ca="1" si="37"/>
        <v/>
      </c>
      <c r="E237" s="4" t="str">
        <f t="shared" ca="1" si="38"/>
        <v/>
      </c>
      <c r="F237" s="25" t="str">
        <f t="shared" ca="1" si="39"/>
        <v/>
      </c>
      <c r="G237" s="26" t="str">
        <f t="shared" ca="1" si="40"/>
        <v/>
      </c>
      <c r="H237" s="55" t="str">
        <f t="shared" ca="1" si="41"/>
        <v/>
      </c>
      <c r="J237" s="37"/>
      <c r="N237" s="95" t="str">
        <f t="shared" si="33"/>
        <v/>
      </c>
      <c r="O237" s="95" t="str">
        <f t="shared" si="34"/>
        <v/>
      </c>
    </row>
    <row r="238" spans="1:15" x14ac:dyDescent="0.25">
      <c r="A238" s="98" t="str">
        <f t="shared" ca="1" si="42"/>
        <v/>
      </c>
      <c r="B238" s="33" t="str">
        <f t="shared" ca="1" si="35"/>
        <v/>
      </c>
      <c r="C238" s="25" t="str">
        <f t="shared" ca="1" si="36"/>
        <v/>
      </c>
      <c r="D238" s="26" t="str">
        <f t="shared" ca="1" si="37"/>
        <v/>
      </c>
      <c r="E238" s="4" t="str">
        <f t="shared" ca="1" si="38"/>
        <v/>
      </c>
      <c r="F238" s="25" t="str">
        <f t="shared" ca="1" si="39"/>
        <v/>
      </c>
      <c r="G238" s="26" t="str">
        <f t="shared" ca="1" si="40"/>
        <v/>
      </c>
      <c r="H238" s="55" t="str">
        <f t="shared" ca="1" si="41"/>
        <v/>
      </c>
      <c r="J238" s="37"/>
      <c r="N238" s="95" t="str">
        <f t="shared" si="33"/>
        <v/>
      </c>
      <c r="O238" s="95" t="str">
        <f t="shared" si="34"/>
        <v/>
      </c>
    </row>
    <row r="239" spans="1:15" x14ac:dyDescent="0.25">
      <c r="A239" s="98" t="str">
        <f t="shared" ca="1" si="42"/>
        <v/>
      </c>
      <c r="B239" s="33" t="str">
        <f t="shared" ca="1" si="35"/>
        <v/>
      </c>
      <c r="C239" s="25" t="str">
        <f t="shared" ca="1" si="36"/>
        <v/>
      </c>
      <c r="D239" s="26" t="str">
        <f t="shared" ca="1" si="37"/>
        <v/>
      </c>
      <c r="E239" s="4" t="str">
        <f t="shared" ca="1" si="38"/>
        <v/>
      </c>
      <c r="F239" s="25" t="str">
        <f t="shared" ca="1" si="39"/>
        <v/>
      </c>
      <c r="G239" s="26" t="str">
        <f t="shared" ca="1" si="40"/>
        <v/>
      </c>
      <c r="H239" s="55" t="str">
        <f t="shared" ca="1" si="41"/>
        <v/>
      </c>
      <c r="J239" s="37"/>
      <c r="N239" s="95" t="str">
        <f t="shared" si="33"/>
        <v/>
      </c>
      <c r="O239" s="95" t="str">
        <f t="shared" si="34"/>
        <v/>
      </c>
    </row>
    <row r="240" spans="1:15" x14ac:dyDescent="0.25">
      <c r="A240" s="98" t="str">
        <f t="shared" ca="1" si="42"/>
        <v/>
      </c>
      <c r="B240" s="33" t="str">
        <f t="shared" ca="1" si="35"/>
        <v/>
      </c>
      <c r="C240" s="25" t="str">
        <f t="shared" ca="1" si="36"/>
        <v/>
      </c>
      <c r="D240" s="26" t="str">
        <f t="shared" ca="1" si="37"/>
        <v/>
      </c>
      <c r="E240" s="4" t="str">
        <f t="shared" ca="1" si="38"/>
        <v/>
      </c>
      <c r="F240" s="25" t="str">
        <f t="shared" ca="1" si="39"/>
        <v/>
      </c>
      <c r="G240" s="26" t="str">
        <f t="shared" ca="1" si="40"/>
        <v/>
      </c>
      <c r="H240" s="55" t="str">
        <f t="shared" ca="1" si="41"/>
        <v/>
      </c>
      <c r="J240" s="37"/>
      <c r="N240" s="95" t="str">
        <f t="shared" si="33"/>
        <v/>
      </c>
      <c r="O240" s="95" t="str">
        <f t="shared" si="34"/>
        <v/>
      </c>
    </row>
    <row r="241" spans="1:15" x14ac:dyDescent="0.25">
      <c r="A241" s="98" t="str">
        <f t="shared" ca="1" si="42"/>
        <v/>
      </c>
      <c r="B241" s="33" t="str">
        <f t="shared" ca="1" si="35"/>
        <v/>
      </c>
      <c r="C241" s="25" t="str">
        <f t="shared" ca="1" si="36"/>
        <v/>
      </c>
      <c r="D241" s="26" t="str">
        <f t="shared" ca="1" si="37"/>
        <v/>
      </c>
      <c r="E241" s="4" t="str">
        <f t="shared" ca="1" si="38"/>
        <v/>
      </c>
      <c r="F241" s="25" t="str">
        <f t="shared" ca="1" si="39"/>
        <v/>
      </c>
      <c r="G241" s="26" t="str">
        <f t="shared" ca="1" si="40"/>
        <v/>
      </c>
      <c r="H241" s="55" t="str">
        <f t="shared" ca="1" si="41"/>
        <v/>
      </c>
      <c r="J241" s="37"/>
      <c r="N241" s="95" t="str">
        <f t="shared" si="33"/>
        <v/>
      </c>
      <c r="O241" s="95" t="str">
        <f t="shared" si="34"/>
        <v/>
      </c>
    </row>
    <row r="242" spans="1:15" x14ac:dyDescent="0.25">
      <c r="A242" s="98" t="str">
        <f t="shared" ca="1" si="42"/>
        <v/>
      </c>
      <c r="B242" s="33" t="str">
        <f t="shared" ca="1" si="35"/>
        <v/>
      </c>
      <c r="C242" s="25" t="str">
        <f t="shared" ca="1" si="36"/>
        <v/>
      </c>
      <c r="D242" s="26" t="str">
        <f t="shared" ca="1" si="37"/>
        <v/>
      </c>
      <c r="E242" s="4" t="str">
        <f t="shared" ca="1" si="38"/>
        <v/>
      </c>
      <c r="F242" s="25" t="str">
        <f t="shared" ca="1" si="39"/>
        <v/>
      </c>
      <c r="G242" s="26" t="str">
        <f t="shared" ca="1" si="40"/>
        <v/>
      </c>
      <c r="H242" s="55" t="str">
        <f t="shared" ca="1" si="41"/>
        <v/>
      </c>
      <c r="J242" s="37"/>
      <c r="N242" s="95" t="str">
        <f t="shared" si="33"/>
        <v/>
      </c>
      <c r="O242" s="95" t="str">
        <f t="shared" si="34"/>
        <v/>
      </c>
    </row>
    <row r="243" spans="1:15" x14ac:dyDescent="0.25">
      <c r="A243" s="98" t="str">
        <f t="shared" ca="1" si="42"/>
        <v/>
      </c>
      <c r="B243" s="33" t="str">
        <f t="shared" ca="1" si="35"/>
        <v/>
      </c>
      <c r="C243" s="25" t="str">
        <f t="shared" ca="1" si="36"/>
        <v/>
      </c>
      <c r="D243" s="26" t="str">
        <f t="shared" ca="1" si="37"/>
        <v/>
      </c>
      <c r="E243" s="4" t="str">
        <f t="shared" ca="1" si="38"/>
        <v/>
      </c>
      <c r="F243" s="25" t="str">
        <f t="shared" ca="1" si="39"/>
        <v/>
      </c>
      <c r="G243" s="26" t="str">
        <f t="shared" ca="1" si="40"/>
        <v/>
      </c>
      <c r="H243" s="55" t="str">
        <f t="shared" ca="1" si="41"/>
        <v/>
      </c>
      <c r="J243" s="37"/>
      <c r="N243" s="95" t="str">
        <f t="shared" si="33"/>
        <v/>
      </c>
      <c r="O243" s="95" t="str">
        <f t="shared" si="34"/>
        <v/>
      </c>
    </row>
    <row r="244" spans="1:15" x14ac:dyDescent="0.25">
      <c r="A244" s="98" t="str">
        <f t="shared" ca="1" si="42"/>
        <v/>
      </c>
      <c r="B244" s="33" t="str">
        <f t="shared" ca="1" si="35"/>
        <v/>
      </c>
      <c r="C244" s="25" t="str">
        <f t="shared" ca="1" si="36"/>
        <v/>
      </c>
      <c r="D244" s="26" t="str">
        <f t="shared" ca="1" si="37"/>
        <v/>
      </c>
      <c r="E244" s="4" t="str">
        <f t="shared" ca="1" si="38"/>
        <v/>
      </c>
      <c r="F244" s="25" t="str">
        <f t="shared" ca="1" si="39"/>
        <v/>
      </c>
      <c r="G244" s="26" t="str">
        <f t="shared" ca="1" si="40"/>
        <v/>
      </c>
      <c r="H244" s="55" t="str">
        <f t="shared" ca="1" si="41"/>
        <v/>
      </c>
      <c r="J244" s="37"/>
      <c r="N244" s="95" t="str">
        <f t="shared" si="33"/>
        <v/>
      </c>
      <c r="O244" s="95" t="str">
        <f t="shared" si="34"/>
        <v/>
      </c>
    </row>
    <row r="245" spans="1:15" x14ac:dyDescent="0.25">
      <c r="A245" s="98" t="str">
        <f t="shared" ca="1" si="42"/>
        <v/>
      </c>
      <c r="B245" s="33" t="str">
        <f t="shared" ca="1" si="35"/>
        <v/>
      </c>
      <c r="C245" s="25" t="str">
        <f t="shared" ca="1" si="36"/>
        <v/>
      </c>
      <c r="D245" s="26" t="str">
        <f t="shared" ca="1" si="37"/>
        <v/>
      </c>
      <c r="E245" s="4" t="str">
        <f t="shared" ca="1" si="38"/>
        <v/>
      </c>
      <c r="F245" s="25" t="str">
        <f t="shared" ca="1" si="39"/>
        <v/>
      </c>
      <c r="G245" s="26" t="str">
        <f t="shared" ca="1" si="40"/>
        <v/>
      </c>
      <c r="H245" s="55" t="str">
        <f t="shared" ca="1" si="41"/>
        <v/>
      </c>
      <c r="J245" s="37"/>
      <c r="N245" s="95" t="str">
        <f t="shared" si="33"/>
        <v/>
      </c>
      <c r="O245" s="95" t="str">
        <f t="shared" si="34"/>
        <v/>
      </c>
    </row>
    <row r="246" spans="1:15" x14ac:dyDescent="0.25">
      <c r="A246" s="98" t="str">
        <f t="shared" ca="1" si="42"/>
        <v/>
      </c>
      <c r="B246" s="33" t="str">
        <f t="shared" ca="1" si="35"/>
        <v/>
      </c>
      <c r="C246" s="25" t="str">
        <f t="shared" ca="1" si="36"/>
        <v/>
      </c>
      <c r="D246" s="26" t="str">
        <f t="shared" ca="1" si="37"/>
        <v/>
      </c>
      <c r="E246" s="4" t="str">
        <f t="shared" ca="1" si="38"/>
        <v/>
      </c>
      <c r="F246" s="25" t="str">
        <f t="shared" ca="1" si="39"/>
        <v/>
      </c>
      <c r="G246" s="26" t="str">
        <f t="shared" ca="1" si="40"/>
        <v/>
      </c>
      <c r="H246" s="55" t="str">
        <f t="shared" ca="1" si="41"/>
        <v/>
      </c>
      <c r="J246" s="37"/>
      <c r="N246" s="95" t="str">
        <f t="shared" si="33"/>
        <v/>
      </c>
      <c r="O246" s="95" t="str">
        <f t="shared" si="34"/>
        <v/>
      </c>
    </row>
    <row r="247" spans="1:15" x14ac:dyDescent="0.25">
      <c r="A247" s="98" t="str">
        <f t="shared" ca="1" si="42"/>
        <v/>
      </c>
      <c r="B247" s="33" t="str">
        <f t="shared" ca="1" si="35"/>
        <v/>
      </c>
      <c r="C247" s="25" t="str">
        <f t="shared" ca="1" si="36"/>
        <v/>
      </c>
      <c r="D247" s="26" t="str">
        <f t="shared" ca="1" si="37"/>
        <v/>
      </c>
      <c r="E247" s="4" t="str">
        <f t="shared" ca="1" si="38"/>
        <v/>
      </c>
      <c r="F247" s="25" t="str">
        <f t="shared" ca="1" si="39"/>
        <v/>
      </c>
      <c r="G247" s="26" t="str">
        <f t="shared" ca="1" si="40"/>
        <v/>
      </c>
      <c r="H247" s="55" t="str">
        <f t="shared" ca="1" si="41"/>
        <v/>
      </c>
      <c r="J247" s="37"/>
      <c r="N247" s="95" t="str">
        <f t="shared" si="33"/>
        <v/>
      </c>
      <c r="O247" s="95" t="str">
        <f t="shared" si="34"/>
        <v/>
      </c>
    </row>
    <row r="248" spans="1:15" x14ac:dyDescent="0.25">
      <c r="A248" s="98" t="str">
        <f t="shared" ca="1" si="42"/>
        <v/>
      </c>
      <c r="B248" s="33" t="str">
        <f t="shared" ca="1" si="35"/>
        <v/>
      </c>
      <c r="C248" s="25" t="str">
        <f t="shared" ca="1" si="36"/>
        <v/>
      </c>
      <c r="D248" s="26" t="str">
        <f t="shared" ca="1" si="37"/>
        <v/>
      </c>
      <c r="E248" s="4" t="str">
        <f t="shared" ca="1" si="38"/>
        <v/>
      </c>
      <c r="F248" s="25" t="str">
        <f t="shared" ca="1" si="39"/>
        <v/>
      </c>
      <c r="G248" s="26" t="str">
        <f t="shared" ca="1" si="40"/>
        <v/>
      </c>
      <c r="H248" s="55" t="str">
        <f t="shared" ca="1" si="41"/>
        <v/>
      </c>
      <c r="J248" s="37"/>
      <c r="N248" s="95" t="str">
        <f t="shared" si="33"/>
        <v/>
      </c>
      <c r="O248" s="95" t="str">
        <f t="shared" si="34"/>
        <v/>
      </c>
    </row>
    <row r="249" spans="1:15" x14ac:dyDescent="0.25">
      <c r="A249" s="98" t="str">
        <f t="shared" ca="1" si="42"/>
        <v/>
      </c>
      <c r="B249" s="33" t="str">
        <f t="shared" ca="1" si="35"/>
        <v/>
      </c>
      <c r="C249" s="25" t="str">
        <f t="shared" ca="1" si="36"/>
        <v/>
      </c>
      <c r="D249" s="26" t="str">
        <f t="shared" ca="1" si="37"/>
        <v/>
      </c>
      <c r="E249" s="4" t="str">
        <f t="shared" ca="1" si="38"/>
        <v/>
      </c>
      <c r="F249" s="25" t="str">
        <f t="shared" ca="1" si="39"/>
        <v/>
      </c>
      <c r="G249" s="26" t="str">
        <f t="shared" ca="1" si="40"/>
        <v/>
      </c>
      <c r="H249" s="55" t="str">
        <f t="shared" ca="1" si="41"/>
        <v/>
      </c>
      <c r="J249" s="37"/>
      <c r="N249" s="95" t="str">
        <f t="shared" si="33"/>
        <v/>
      </c>
      <c r="O249" s="95" t="str">
        <f t="shared" si="34"/>
        <v/>
      </c>
    </row>
    <row r="250" spans="1:15" x14ac:dyDescent="0.25">
      <c r="A250" s="98" t="str">
        <f t="shared" ca="1" si="42"/>
        <v/>
      </c>
      <c r="B250" s="33" t="str">
        <f t="shared" ca="1" si="35"/>
        <v/>
      </c>
      <c r="C250" s="25" t="str">
        <f t="shared" ca="1" si="36"/>
        <v/>
      </c>
      <c r="D250" s="26" t="str">
        <f t="shared" ca="1" si="37"/>
        <v/>
      </c>
      <c r="E250" s="4" t="str">
        <f t="shared" ca="1" si="38"/>
        <v/>
      </c>
      <c r="F250" s="25" t="str">
        <f t="shared" ca="1" si="39"/>
        <v/>
      </c>
      <c r="G250" s="26" t="str">
        <f t="shared" ca="1" si="40"/>
        <v/>
      </c>
      <c r="H250" s="55" t="str">
        <f t="shared" ca="1" si="41"/>
        <v/>
      </c>
      <c r="J250" s="37"/>
      <c r="N250" s="95" t="str">
        <f t="shared" si="33"/>
        <v/>
      </c>
      <c r="O250" s="95" t="str">
        <f t="shared" si="34"/>
        <v/>
      </c>
    </row>
    <row r="251" spans="1:15" x14ac:dyDescent="0.25">
      <c r="A251" s="98" t="str">
        <f t="shared" ca="1" si="42"/>
        <v/>
      </c>
      <c r="B251" s="33" t="str">
        <f t="shared" ca="1" si="35"/>
        <v/>
      </c>
      <c r="C251" s="25" t="str">
        <f t="shared" ca="1" si="36"/>
        <v/>
      </c>
      <c r="D251" s="26" t="str">
        <f t="shared" ca="1" si="37"/>
        <v/>
      </c>
      <c r="E251" s="4" t="str">
        <f t="shared" ca="1" si="38"/>
        <v/>
      </c>
      <c r="F251" s="25" t="str">
        <f t="shared" ca="1" si="39"/>
        <v/>
      </c>
      <c r="G251" s="26" t="str">
        <f t="shared" ca="1" si="40"/>
        <v/>
      </c>
      <c r="H251" s="55" t="str">
        <f t="shared" ca="1" si="41"/>
        <v/>
      </c>
      <c r="J251" s="37"/>
      <c r="N251" s="95" t="str">
        <f t="shared" si="33"/>
        <v/>
      </c>
      <c r="O251" s="95" t="str">
        <f t="shared" si="34"/>
        <v/>
      </c>
    </row>
    <row r="252" spans="1:15" x14ac:dyDescent="0.25">
      <c r="A252" s="98" t="str">
        <f t="shared" ca="1" si="42"/>
        <v/>
      </c>
      <c r="B252" s="33" t="str">
        <f t="shared" ca="1" si="35"/>
        <v/>
      </c>
      <c r="C252" s="25" t="str">
        <f t="shared" ca="1" si="36"/>
        <v/>
      </c>
      <c r="D252" s="26" t="str">
        <f t="shared" ca="1" si="37"/>
        <v/>
      </c>
      <c r="E252" s="4" t="str">
        <f t="shared" ca="1" si="38"/>
        <v/>
      </c>
      <c r="F252" s="25" t="str">
        <f t="shared" ca="1" si="39"/>
        <v/>
      </c>
      <c r="G252" s="26" t="str">
        <f t="shared" ca="1" si="40"/>
        <v/>
      </c>
      <c r="H252" s="55" t="str">
        <f t="shared" ca="1" si="41"/>
        <v/>
      </c>
      <c r="J252" s="37"/>
      <c r="N252" s="95" t="str">
        <f t="shared" si="33"/>
        <v/>
      </c>
      <c r="O252" s="95" t="str">
        <f t="shared" si="34"/>
        <v/>
      </c>
    </row>
    <row r="253" spans="1:15" x14ac:dyDescent="0.25">
      <c r="A253" s="98" t="str">
        <f t="shared" ca="1" si="42"/>
        <v/>
      </c>
      <c r="B253" s="33" t="str">
        <f t="shared" ca="1" si="35"/>
        <v/>
      </c>
      <c r="C253" s="25" t="str">
        <f t="shared" ca="1" si="36"/>
        <v/>
      </c>
      <c r="D253" s="26" t="str">
        <f t="shared" ca="1" si="37"/>
        <v/>
      </c>
      <c r="E253" s="4" t="str">
        <f t="shared" ca="1" si="38"/>
        <v/>
      </c>
      <c r="F253" s="25" t="str">
        <f t="shared" ca="1" si="39"/>
        <v/>
      </c>
      <c r="G253" s="26" t="str">
        <f t="shared" ca="1" si="40"/>
        <v/>
      </c>
      <c r="H253" s="55" t="str">
        <f t="shared" ca="1" si="41"/>
        <v/>
      </c>
      <c r="J253" s="37"/>
      <c r="N253" s="95" t="str">
        <f t="shared" si="33"/>
        <v/>
      </c>
      <c r="O253" s="95" t="str">
        <f t="shared" si="34"/>
        <v/>
      </c>
    </row>
    <row r="254" spans="1:15" x14ac:dyDescent="0.25">
      <c r="A254" s="98" t="str">
        <f t="shared" ca="1" si="42"/>
        <v/>
      </c>
      <c r="B254" s="33" t="str">
        <f t="shared" ca="1" si="35"/>
        <v/>
      </c>
      <c r="C254" s="25" t="str">
        <f t="shared" ca="1" si="36"/>
        <v/>
      </c>
      <c r="D254" s="26" t="str">
        <f t="shared" ca="1" si="37"/>
        <v/>
      </c>
      <c r="E254" s="4" t="str">
        <f t="shared" ca="1" si="38"/>
        <v/>
      </c>
      <c r="F254" s="25" t="str">
        <f t="shared" ca="1" si="39"/>
        <v/>
      </c>
      <c r="G254" s="26" t="str">
        <f t="shared" ca="1" si="40"/>
        <v/>
      </c>
      <c r="H254" s="55" t="str">
        <f t="shared" ca="1" si="41"/>
        <v/>
      </c>
      <c r="J254" s="37"/>
      <c r="N254" s="95" t="str">
        <f t="shared" si="33"/>
        <v/>
      </c>
      <c r="O254" s="95" t="str">
        <f t="shared" si="34"/>
        <v/>
      </c>
    </row>
    <row r="255" spans="1:15" x14ac:dyDescent="0.25">
      <c r="A255" s="98" t="str">
        <f t="shared" ca="1" si="42"/>
        <v/>
      </c>
      <c r="B255" s="33" t="str">
        <f t="shared" ca="1" si="35"/>
        <v/>
      </c>
      <c r="C255" s="25" t="str">
        <f t="shared" ca="1" si="36"/>
        <v/>
      </c>
      <c r="D255" s="26" t="str">
        <f t="shared" ca="1" si="37"/>
        <v/>
      </c>
      <c r="E255" s="4" t="str">
        <f t="shared" ca="1" si="38"/>
        <v/>
      </c>
      <c r="F255" s="25" t="str">
        <f t="shared" ca="1" si="39"/>
        <v/>
      </c>
      <c r="G255" s="26" t="str">
        <f t="shared" ca="1" si="40"/>
        <v/>
      </c>
      <c r="H255" s="55" t="str">
        <f t="shared" ca="1" si="41"/>
        <v/>
      </c>
      <c r="J255" s="37"/>
      <c r="N255" s="95" t="str">
        <f t="shared" si="33"/>
        <v/>
      </c>
      <c r="O255" s="95" t="str">
        <f t="shared" si="34"/>
        <v/>
      </c>
    </row>
    <row r="256" spans="1:15" x14ac:dyDescent="0.25">
      <c r="A256" s="98" t="str">
        <f t="shared" ca="1" si="42"/>
        <v/>
      </c>
      <c r="B256" s="33" t="str">
        <f t="shared" ca="1" si="35"/>
        <v/>
      </c>
      <c r="C256" s="25" t="str">
        <f t="shared" ca="1" si="36"/>
        <v/>
      </c>
      <c r="D256" s="26" t="str">
        <f t="shared" ca="1" si="37"/>
        <v/>
      </c>
      <c r="E256" s="4" t="str">
        <f t="shared" ca="1" si="38"/>
        <v/>
      </c>
      <c r="F256" s="25" t="str">
        <f t="shared" ca="1" si="39"/>
        <v/>
      </c>
      <c r="G256" s="26" t="str">
        <f t="shared" ca="1" si="40"/>
        <v/>
      </c>
      <c r="H256" s="55" t="str">
        <f t="shared" ca="1" si="41"/>
        <v/>
      </c>
      <c r="J256" s="37"/>
      <c r="N256" s="95" t="str">
        <f t="shared" si="33"/>
        <v/>
      </c>
      <c r="O256" s="95" t="str">
        <f t="shared" si="34"/>
        <v/>
      </c>
    </row>
    <row r="257" spans="1:15" x14ac:dyDescent="0.25">
      <c r="A257" s="98" t="str">
        <f t="shared" ca="1" si="42"/>
        <v/>
      </c>
      <c r="B257" s="33" t="str">
        <f t="shared" ca="1" si="35"/>
        <v/>
      </c>
      <c r="C257" s="25" t="str">
        <f t="shared" ca="1" si="36"/>
        <v/>
      </c>
      <c r="D257" s="26" t="str">
        <f t="shared" ca="1" si="37"/>
        <v/>
      </c>
      <c r="E257" s="4" t="str">
        <f t="shared" ca="1" si="38"/>
        <v/>
      </c>
      <c r="F257" s="25" t="str">
        <f t="shared" ca="1" si="39"/>
        <v/>
      </c>
      <c r="G257" s="26" t="str">
        <f t="shared" ca="1" si="40"/>
        <v/>
      </c>
      <c r="H257" s="55" t="str">
        <f t="shared" ca="1" si="41"/>
        <v/>
      </c>
      <c r="J257" s="37"/>
      <c r="N257" s="95" t="str">
        <f t="shared" si="33"/>
        <v/>
      </c>
      <c r="O257" s="95" t="str">
        <f t="shared" si="34"/>
        <v/>
      </c>
    </row>
    <row r="258" spans="1:15" x14ac:dyDescent="0.25">
      <c r="A258" s="98" t="str">
        <f t="shared" ca="1" si="42"/>
        <v/>
      </c>
      <c r="B258" s="33" t="str">
        <f t="shared" ca="1" si="35"/>
        <v/>
      </c>
      <c r="C258" s="25" t="str">
        <f t="shared" ca="1" si="36"/>
        <v/>
      </c>
      <c r="D258" s="26" t="str">
        <f t="shared" ca="1" si="37"/>
        <v/>
      </c>
      <c r="E258" s="4" t="str">
        <f t="shared" ca="1" si="38"/>
        <v/>
      </c>
      <c r="F258" s="25" t="str">
        <f t="shared" ca="1" si="39"/>
        <v/>
      </c>
      <c r="G258" s="26" t="str">
        <f t="shared" ca="1" si="40"/>
        <v/>
      </c>
      <c r="H258" s="55" t="str">
        <f t="shared" ca="1" si="41"/>
        <v/>
      </c>
      <c r="J258" s="37"/>
      <c r="N258" s="95" t="str">
        <f t="shared" si="33"/>
        <v/>
      </c>
      <c r="O258" s="95" t="str">
        <f t="shared" si="34"/>
        <v/>
      </c>
    </row>
    <row r="259" spans="1:15" x14ac:dyDescent="0.25">
      <c r="A259" s="98" t="str">
        <f t="shared" ca="1" si="42"/>
        <v/>
      </c>
      <c r="B259" s="33" t="str">
        <f t="shared" ca="1" si="35"/>
        <v/>
      </c>
      <c r="C259" s="25" t="str">
        <f t="shared" ca="1" si="36"/>
        <v/>
      </c>
      <c r="D259" s="26" t="str">
        <f t="shared" ca="1" si="37"/>
        <v/>
      </c>
      <c r="E259" s="4" t="str">
        <f t="shared" ca="1" si="38"/>
        <v/>
      </c>
      <c r="F259" s="25" t="str">
        <f t="shared" ca="1" si="39"/>
        <v/>
      </c>
      <c r="G259" s="26" t="str">
        <f t="shared" ca="1" si="40"/>
        <v/>
      </c>
      <c r="H259" s="55" t="str">
        <f t="shared" ca="1" si="41"/>
        <v/>
      </c>
      <c r="J259" s="37"/>
      <c r="N259" s="95" t="str">
        <f t="shared" si="33"/>
        <v/>
      </c>
      <c r="O259" s="95" t="str">
        <f t="shared" si="34"/>
        <v/>
      </c>
    </row>
    <row r="260" spans="1:15" x14ac:dyDescent="0.25">
      <c r="A260" s="98" t="str">
        <f t="shared" ca="1" si="42"/>
        <v/>
      </c>
      <c r="B260" s="33" t="str">
        <f t="shared" ca="1" si="35"/>
        <v/>
      </c>
      <c r="C260" s="25" t="str">
        <f t="shared" ca="1" si="36"/>
        <v/>
      </c>
      <c r="D260" s="26" t="str">
        <f t="shared" ca="1" si="37"/>
        <v/>
      </c>
      <c r="E260" s="4" t="str">
        <f t="shared" ca="1" si="38"/>
        <v/>
      </c>
      <c r="F260" s="25" t="str">
        <f t="shared" ca="1" si="39"/>
        <v/>
      </c>
      <c r="G260" s="26" t="str">
        <f t="shared" ca="1" si="40"/>
        <v/>
      </c>
      <c r="H260" s="55" t="str">
        <f t="shared" ca="1" si="41"/>
        <v/>
      </c>
      <c r="J260" s="37"/>
      <c r="N260" s="95" t="str">
        <f t="shared" ref="N260:N323" si="43">IF(COUNTIF(L:L,J260)=1,J260,"")</f>
        <v/>
      </c>
      <c r="O260" s="95" t="str">
        <f t="shared" ref="O260:O323" si="44">IF(N260&gt;$A$14,N260,"")</f>
        <v/>
      </c>
    </row>
    <row r="261" spans="1:15" x14ac:dyDescent="0.25">
      <c r="A261" s="98" t="str">
        <f t="shared" ca="1" si="42"/>
        <v/>
      </c>
      <c r="B261" s="33" t="str">
        <f t="shared" ca="1" si="35"/>
        <v/>
      </c>
      <c r="C261" s="25" t="str">
        <f t="shared" ca="1" si="36"/>
        <v/>
      </c>
      <c r="D261" s="26" t="str">
        <f t="shared" ca="1" si="37"/>
        <v/>
      </c>
      <c r="E261" s="4" t="str">
        <f t="shared" ca="1" si="38"/>
        <v/>
      </c>
      <c r="F261" s="25" t="str">
        <f t="shared" ca="1" si="39"/>
        <v/>
      </c>
      <c r="G261" s="26" t="str">
        <f t="shared" ca="1" si="40"/>
        <v/>
      </c>
      <c r="H261" s="55" t="str">
        <f t="shared" ca="1" si="41"/>
        <v/>
      </c>
      <c r="J261" s="37"/>
      <c r="N261" s="95" t="str">
        <f t="shared" si="43"/>
        <v/>
      </c>
      <c r="O261" s="95" t="str">
        <f t="shared" si="44"/>
        <v/>
      </c>
    </row>
    <row r="262" spans="1:15" x14ac:dyDescent="0.25">
      <c r="A262" s="98" t="str">
        <f t="shared" ca="1" si="42"/>
        <v/>
      </c>
      <c r="B262" s="33" t="str">
        <f t="shared" ca="1" si="35"/>
        <v/>
      </c>
      <c r="C262" s="25" t="str">
        <f t="shared" ca="1" si="36"/>
        <v/>
      </c>
      <c r="D262" s="26" t="str">
        <f t="shared" ca="1" si="37"/>
        <v/>
      </c>
      <c r="E262" s="4" t="str">
        <f t="shared" ca="1" si="38"/>
        <v/>
      </c>
      <c r="F262" s="25" t="str">
        <f t="shared" ca="1" si="39"/>
        <v/>
      </c>
      <c r="G262" s="26" t="str">
        <f t="shared" ca="1" si="40"/>
        <v/>
      </c>
      <c r="H262" s="55" t="str">
        <f t="shared" ca="1" si="41"/>
        <v/>
      </c>
      <c r="J262" s="37"/>
      <c r="N262" s="95" t="str">
        <f t="shared" si="43"/>
        <v/>
      </c>
      <c r="O262" s="95" t="str">
        <f t="shared" si="44"/>
        <v/>
      </c>
    </row>
    <row r="263" spans="1:15" x14ac:dyDescent="0.25">
      <c r="A263" s="98" t="str">
        <f t="shared" ca="1" si="42"/>
        <v/>
      </c>
      <c r="B263" s="33" t="str">
        <f t="shared" ca="1" si="35"/>
        <v/>
      </c>
      <c r="C263" s="25" t="str">
        <f t="shared" ca="1" si="36"/>
        <v/>
      </c>
      <c r="D263" s="26" t="str">
        <f t="shared" ca="1" si="37"/>
        <v/>
      </c>
      <c r="E263" s="4" t="str">
        <f t="shared" ca="1" si="38"/>
        <v/>
      </c>
      <c r="F263" s="25" t="str">
        <f t="shared" ca="1" si="39"/>
        <v/>
      </c>
      <c r="G263" s="26" t="str">
        <f t="shared" ca="1" si="40"/>
        <v/>
      </c>
      <c r="H263" s="55" t="str">
        <f t="shared" ca="1" si="41"/>
        <v/>
      </c>
      <c r="J263" s="37"/>
      <c r="N263" s="95" t="str">
        <f t="shared" si="43"/>
        <v/>
      </c>
      <c r="O263" s="95" t="str">
        <f t="shared" si="44"/>
        <v/>
      </c>
    </row>
    <row r="264" spans="1:15" x14ac:dyDescent="0.25">
      <c r="A264" s="98" t="str">
        <f t="shared" ca="1" si="42"/>
        <v/>
      </c>
      <c r="B264" s="33" t="str">
        <f t="shared" ca="1" si="35"/>
        <v/>
      </c>
      <c r="C264" s="25" t="str">
        <f t="shared" ca="1" si="36"/>
        <v/>
      </c>
      <c r="D264" s="26" t="str">
        <f t="shared" ca="1" si="37"/>
        <v/>
      </c>
      <c r="E264" s="4" t="str">
        <f t="shared" ca="1" si="38"/>
        <v/>
      </c>
      <c r="F264" s="25" t="str">
        <f t="shared" ca="1" si="39"/>
        <v/>
      </c>
      <c r="G264" s="26" t="str">
        <f t="shared" ca="1" si="40"/>
        <v/>
      </c>
      <c r="H264" s="55" t="str">
        <f t="shared" ca="1" si="41"/>
        <v/>
      </c>
      <c r="J264" s="37"/>
      <c r="N264" s="95" t="str">
        <f t="shared" si="43"/>
        <v/>
      </c>
      <c r="O264" s="95" t="str">
        <f t="shared" si="44"/>
        <v/>
      </c>
    </row>
    <row r="265" spans="1:15" x14ac:dyDescent="0.25">
      <c r="A265" s="98" t="str">
        <f t="shared" ca="1" si="42"/>
        <v/>
      </c>
      <c r="B265" s="33" t="str">
        <f t="shared" ca="1" si="35"/>
        <v/>
      </c>
      <c r="C265" s="25" t="str">
        <f t="shared" ca="1" si="36"/>
        <v/>
      </c>
      <c r="D265" s="26" t="str">
        <f t="shared" ca="1" si="37"/>
        <v/>
      </c>
      <c r="E265" s="4" t="str">
        <f t="shared" ca="1" si="38"/>
        <v/>
      </c>
      <c r="F265" s="25" t="str">
        <f t="shared" ca="1" si="39"/>
        <v/>
      </c>
      <c r="G265" s="26" t="str">
        <f t="shared" ca="1" si="40"/>
        <v/>
      </c>
      <c r="H265" s="55" t="str">
        <f t="shared" ca="1" si="41"/>
        <v/>
      </c>
      <c r="J265" s="37"/>
      <c r="N265" s="95" t="str">
        <f t="shared" si="43"/>
        <v/>
      </c>
      <c r="O265" s="95" t="str">
        <f t="shared" si="44"/>
        <v/>
      </c>
    </row>
    <row r="266" spans="1:15" x14ac:dyDescent="0.25">
      <c r="A266" s="98" t="str">
        <f t="shared" ca="1" si="42"/>
        <v/>
      </c>
      <c r="B266" s="33" t="str">
        <f t="shared" ref="B266:B329" ca="1" si="45">IF(COUNTIF(J:J,A266)=1,VLOOKUP(A266,J:K,2), IF(COUNTIF(J:J,A266)=0,$B$10,""))</f>
        <v/>
      </c>
      <c r="C266" s="25" t="str">
        <f t="shared" ref="C266:C329" ca="1" si="46">IF(ISERROR(B266-2),"",(B266-$B$14)/100*$B$5)</f>
        <v/>
      </c>
      <c r="D266" s="26" t="str">
        <f t="shared" ref="D266:D329" ca="1" si="47">IF(ISERROR(B266-2),"",(INT(A266)-INT($A$14))/360*$B$6*$B$5-(INT(A266)-INT($A$14))/360*$B$7*$B$5*$B$14/100)</f>
        <v/>
      </c>
      <c r="E266" s="4" t="str">
        <f t="shared" ref="E266:E329" ca="1" si="48">IF(COUNTIF(L:L,A266)=1,VLOOKUP(A266,L:M,2), IF(COUNTIF(L:L,A266)=0,$C$10,""))</f>
        <v/>
      </c>
      <c r="F266" s="25" t="str">
        <f t="shared" ref="F266:F329" ca="1" si="49">IF(ISERROR(E266-2), "", (E266-$E$14)/100*$C$5)</f>
        <v/>
      </c>
      <c r="G266" s="26" t="str">
        <f t="shared" ref="G266:G329" ca="1" si="50">IF(ISERROR(E266-2),"",(INT(A266)-INT($A$14))/360*$C$6*$C$5-(INT(A266)-INT($A$14))/360*$C$7*$C$5*$E$14/100)</f>
        <v/>
      </c>
      <c r="H266" s="55" t="str">
        <f t="shared" ref="H266:H329" ca="1" si="51">IF(ISERROR(E266-2),"",C266+D266-F266-G266)</f>
        <v/>
      </c>
      <c r="J266" s="37"/>
      <c r="N266" s="95" t="str">
        <f t="shared" si="43"/>
        <v/>
      </c>
      <c r="O266" s="95" t="str">
        <f t="shared" si="44"/>
        <v/>
      </c>
    </row>
    <row r="267" spans="1:15" x14ac:dyDescent="0.25">
      <c r="A267" s="98" t="str">
        <f t="shared" ca="1" si="42"/>
        <v/>
      </c>
      <c r="B267" s="33" t="str">
        <f t="shared" ca="1" si="45"/>
        <v/>
      </c>
      <c r="C267" s="25" t="str">
        <f t="shared" ca="1" si="46"/>
        <v/>
      </c>
      <c r="D267" s="26" t="str">
        <f t="shared" ca="1" si="47"/>
        <v/>
      </c>
      <c r="E267" s="4" t="str">
        <f t="shared" ca="1" si="48"/>
        <v/>
      </c>
      <c r="F267" s="25" t="str">
        <f t="shared" ca="1" si="49"/>
        <v/>
      </c>
      <c r="G267" s="26" t="str">
        <f t="shared" ca="1" si="50"/>
        <v/>
      </c>
      <c r="H267" s="55" t="str">
        <f t="shared" ca="1" si="51"/>
        <v/>
      </c>
      <c r="J267" s="37"/>
      <c r="N267" s="95" t="str">
        <f t="shared" si="43"/>
        <v/>
      </c>
      <c r="O267" s="95" t="str">
        <f t="shared" si="44"/>
        <v/>
      </c>
    </row>
    <row r="268" spans="1:15" x14ac:dyDescent="0.25">
      <c r="A268" s="98" t="str">
        <f t="shared" ca="1" si="42"/>
        <v/>
      </c>
      <c r="B268" s="33" t="str">
        <f t="shared" ca="1" si="45"/>
        <v/>
      </c>
      <c r="C268" s="25" t="str">
        <f t="shared" ca="1" si="46"/>
        <v/>
      </c>
      <c r="D268" s="26" t="str">
        <f t="shared" ca="1" si="47"/>
        <v/>
      </c>
      <c r="E268" s="4" t="str">
        <f t="shared" ca="1" si="48"/>
        <v/>
      </c>
      <c r="F268" s="25" t="str">
        <f t="shared" ca="1" si="49"/>
        <v/>
      </c>
      <c r="G268" s="26" t="str">
        <f t="shared" ca="1" si="50"/>
        <v/>
      </c>
      <c r="H268" s="55" t="str">
        <f t="shared" ca="1" si="51"/>
        <v/>
      </c>
      <c r="J268" s="37"/>
      <c r="N268" s="95" t="str">
        <f t="shared" si="43"/>
        <v/>
      </c>
      <c r="O268" s="95" t="str">
        <f t="shared" si="44"/>
        <v/>
      </c>
    </row>
    <row r="269" spans="1:15" x14ac:dyDescent="0.25">
      <c r="A269" s="98" t="str">
        <f t="shared" ca="1" si="42"/>
        <v/>
      </c>
      <c r="B269" s="33" t="str">
        <f t="shared" ca="1" si="45"/>
        <v/>
      </c>
      <c r="C269" s="25" t="str">
        <f t="shared" ca="1" si="46"/>
        <v/>
      </c>
      <c r="D269" s="26" t="str">
        <f t="shared" ca="1" si="47"/>
        <v/>
      </c>
      <c r="E269" s="4" t="str">
        <f t="shared" ca="1" si="48"/>
        <v/>
      </c>
      <c r="F269" s="25" t="str">
        <f t="shared" ca="1" si="49"/>
        <v/>
      </c>
      <c r="G269" s="26" t="str">
        <f t="shared" ca="1" si="50"/>
        <v/>
      </c>
      <c r="H269" s="55" t="str">
        <f t="shared" ca="1" si="51"/>
        <v/>
      </c>
      <c r="J269" s="37"/>
      <c r="N269" s="95" t="str">
        <f t="shared" si="43"/>
        <v/>
      </c>
      <c r="O269" s="95" t="str">
        <f t="shared" si="44"/>
        <v/>
      </c>
    </row>
    <row r="270" spans="1:15" x14ac:dyDescent="0.25">
      <c r="A270" s="98" t="str">
        <f t="shared" ca="1" si="42"/>
        <v/>
      </c>
      <c r="B270" s="33" t="str">
        <f t="shared" ca="1" si="45"/>
        <v/>
      </c>
      <c r="C270" s="25" t="str">
        <f t="shared" ca="1" si="46"/>
        <v/>
      </c>
      <c r="D270" s="26" t="str">
        <f t="shared" ca="1" si="47"/>
        <v/>
      </c>
      <c r="E270" s="4" t="str">
        <f t="shared" ca="1" si="48"/>
        <v/>
      </c>
      <c r="F270" s="25" t="str">
        <f t="shared" ca="1" si="49"/>
        <v/>
      </c>
      <c r="G270" s="26" t="str">
        <f t="shared" ca="1" si="50"/>
        <v/>
      </c>
      <c r="H270" s="55" t="str">
        <f t="shared" ca="1" si="51"/>
        <v/>
      </c>
      <c r="J270" s="37"/>
      <c r="N270" s="95" t="str">
        <f t="shared" si="43"/>
        <v/>
      </c>
      <c r="O270" s="95" t="str">
        <f t="shared" si="44"/>
        <v/>
      </c>
    </row>
    <row r="271" spans="1:15" x14ac:dyDescent="0.25">
      <c r="A271" s="98" t="str">
        <f t="shared" ca="1" si="42"/>
        <v/>
      </c>
      <c r="B271" s="33" t="str">
        <f t="shared" ca="1" si="45"/>
        <v/>
      </c>
      <c r="C271" s="25" t="str">
        <f t="shared" ca="1" si="46"/>
        <v/>
      </c>
      <c r="D271" s="26" t="str">
        <f t="shared" ca="1" si="47"/>
        <v/>
      </c>
      <c r="E271" s="4" t="str">
        <f t="shared" ca="1" si="48"/>
        <v/>
      </c>
      <c r="F271" s="25" t="str">
        <f t="shared" ca="1" si="49"/>
        <v/>
      </c>
      <c r="G271" s="26" t="str">
        <f t="shared" ca="1" si="50"/>
        <v/>
      </c>
      <c r="H271" s="55" t="str">
        <f t="shared" ca="1" si="51"/>
        <v/>
      </c>
      <c r="J271" s="37"/>
      <c r="N271" s="95" t="str">
        <f t="shared" si="43"/>
        <v/>
      </c>
      <c r="O271" s="95" t="str">
        <f t="shared" si="44"/>
        <v/>
      </c>
    </row>
    <row r="272" spans="1:15" x14ac:dyDescent="0.25">
      <c r="A272" s="98" t="str">
        <f t="shared" ref="A272:A335" ca="1" si="52">IF(AND(ISBLANK(P259), A271 = $P$1),NOW(),IF(ISBLANK(P259),"",P259))</f>
        <v/>
      </c>
      <c r="B272" s="33" t="str">
        <f t="shared" ca="1" si="45"/>
        <v/>
      </c>
      <c r="C272" s="25" t="str">
        <f t="shared" ca="1" si="46"/>
        <v/>
      </c>
      <c r="D272" s="26" t="str">
        <f t="shared" ca="1" si="47"/>
        <v/>
      </c>
      <c r="E272" s="4" t="str">
        <f t="shared" ca="1" si="48"/>
        <v/>
      </c>
      <c r="F272" s="25" t="str">
        <f t="shared" ca="1" si="49"/>
        <v/>
      </c>
      <c r="G272" s="26" t="str">
        <f t="shared" ca="1" si="50"/>
        <v/>
      </c>
      <c r="H272" s="55" t="str">
        <f t="shared" ca="1" si="51"/>
        <v/>
      </c>
      <c r="J272" s="37"/>
      <c r="N272" s="95" t="str">
        <f t="shared" si="43"/>
        <v/>
      </c>
      <c r="O272" s="95" t="str">
        <f t="shared" si="44"/>
        <v/>
      </c>
    </row>
    <row r="273" spans="1:15" x14ac:dyDescent="0.25">
      <c r="A273" s="98" t="str">
        <f t="shared" ca="1" si="52"/>
        <v/>
      </c>
      <c r="B273" s="33" t="str">
        <f t="shared" ca="1" si="45"/>
        <v/>
      </c>
      <c r="C273" s="25" t="str">
        <f t="shared" ca="1" si="46"/>
        <v/>
      </c>
      <c r="D273" s="26" t="str">
        <f t="shared" ca="1" si="47"/>
        <v/>
      </c>
      <c r="E273" s="4" t="str">
        <f t="shared" ca="1" si="48"/>
        <v/>
      </c>
      <c r="F273" s="25" t="str">
        <f t="shared" ca="1" si="49"/>
        <v/>
      </c>
      <c r="G273" s="26" t="str">
        <f t="shared" ca="1" si="50"/>
        <v/>
      </c>
      <c r="H273" s="55" t="str">
        <f t="shared" ca="1" si="51"/>
        <v/>
      </c>
      <c r="J273" s="37"/>
      <c r="N273" s="95" t="str">
        <f t="shared" si="43"/>
        <v/>
      </c>
      <c r="O273" s="95" t="str">
        <f t="shared" si="44"/>
        <v/>
      </c>
    </row>
    <row r="274" spans="1:15" x14ac:dyDescent="0.25">
      <c r="A274" s="98" t="str">
        <f t="shared" ca="1" si="52"/>
        <v/>
      </c>
      <c r="B274" s="33" t="str">
        <f t="shared" ca="1" si="45"/>
        <v/>
      </c>
      <c r="C274" s="25" t="str">
        <f t="shared" ca="1" si="46"/>
        <v/>
      </c>
      <c r="D274" s="26" t="str">
        <f t="shared" ca="1" si="47"/>
        <v/>
      </c>
      <c r="E274" s="4" t="str">
        <f t="shared" ca="1" si="48"/>
        <v/>
      </c>
      <c r="F274" s="25" t="str">
        <f t="shared" ca="1" si="49"/>
        <v/>
      </c>
      <c r="G274" s="26" t="str">
        <f t="shared" ca="1" si="50"/>
        <v/>
      </c>
      <c r="H274" s="55" t="str">
        <f t="shared" ca="1" si="51"/>
        <v/>
      </c>
      <c r="J274" s="37"/>
      <c r="N274" s="95" t="str">
        <f t="shared" si="43"/>
        <v/>
      </c>
      <c r="O274" s="95" t="str">
        <f t="shared" si="44"/>
        <v/>
      </c>
    </row>
    <row r="275" spans="1:15" x14ac:dyDescent="0.25">
      <c r="A275" s="98" t="str">
        <f t="shared" ca="1" si="52"/>
        <v/>
      </c>
      <c r="B275" s="33" t="str">
        <f t="shared" ca="1" si="45"/>
        <v/>
      </c>
      <c r="C275" s="25" t="str">
        <f t="shared" ca="1" si="46"/>
        <v/>
      </c>
      <c r="D275" s="26" t="str">
        <f t="shared" ca="1" si="47"/>
        <v/>
      </c>
      <c r="E275" s="4" t="str">
        <f t="shared" ca="1" si="48"/>
        <v/>
      </c>
      <c r="F275" s="25" t="str">
        <f t="shared" ca="1" si="49"/>
        <v/>
      </c>
      <c r="G275" s="26" t="str">
        <f t="shared" ca="1" si="50"/>
        <v/>
      </c>
      <c r="H275" s="55" t="str">
        <f t="shared" ca="1" si="51"/>
        <v/>
      </c>
      <c r="J275" s="37"/>
      <c r="N275" s="95" t="str">
        <f t="shared" si="43"/>
        <v/>
      </c>
      <c r="O275" s="95" t="str">
        <f t="shared" si="44"/>
        <v/>
      </c>
    </row>
    <row r="276" spans="1:15" x14ac:dyDescent="0.25">
      <c r="A276" s="98" t="str">
        <f t="shared" ca="1" si="52"/>
        <v/>
      </c>
      <c r="B276" s="33" t="str">
        <f t="shared" ca="1" si="45"/>
        <v/>
      </c>
      <c r="C276" s="25" t="str">
        <f t="shared" ca="1" si="46"/>
        <v/>
      </c>
      <c r="D276" s="26" t="str">
        <f t="shared" ca="1" si="47"/>
        <v/>
      </c>
      <c r="E276" s="4" t="str">
        <f t="shared" ca="1" si="48"/>
        <v/>
      </c>
      <c r="F276" s="25" t="str">
        <f t="shared" ca="1" si="49"/>
        <v/>
      </c>
      <c r="G276" s="26" t="str">
        <f t="shared" ca="1" si="50"/>
        <v/>
      </c>
      <c r="H276" s="55" t="str">
        <f t="shared" ca="1" si="51"/>
        <v/>
      </c>
      <c r="J276" s="37"/>
      <c r="N276" s="95" t="str">
        <f t="shared" si="43"/>
        <v/>
      </c>
      <c r="O276" s="95" t="str">
        <f t="shared" si="44"/>
        <v/>
      </c>
    </row>
    <row r="277" spans="1:15" x14ac:dyDescent="0.25">
      <c r="A277" s="98" t="str">
        <f t="shared" ca="1" si="52"/>
        <v/>
      </c>
      <c r="B277" s="33" t="str">
        <f t="shared" ca="1" si="45"/>
        <v/>
      </c>
      <c r="C277" s="25" t="str">
        <f t="shared" ca="1" si="46"/>
        <v/>
      </c>
      <c r="D277" s="26" t="str">
        <f t="shared" ca="1" si="47"/>
        <v/>
      </c>
      <c r="E277" s="4" t="str">
        <f t="shared" ca="1" si="48"/>
        <v/>
      </c>
      <c r="F277" s="25" t="str">
        <f t="shared" ca="1" si="49"/>
        <v/>
      </c>
      <c r="G277" s="26" t="str">
        <f t="shared" ca="1" si="50"/>
        <v/>
      </c>
      <c r="H277" s="55" t="str">
        <f t="shared" ca="1" si="51"/>
        <v/>
      </c>
      <c r="J277" s="37"/>
      <c r="N277" s="95" t="str">
        <f t="shared" si="43"/>
        <v/>
      </c>
      <c r="O277" s="95" t="str">
        <f t="shared" si="44"/>
        <v/>
      </c>
    </row>
    <row r="278" spans="1:15" x14ac:dyDescent="0.25">
      <c r="A278" s="98" t="str">
        <f t="shared" ca="1" si="52"/>
        <v/>
      </c>
      <c r="B278" s="33" t="str">
        <f t="shared" ca="1" si="45"/>
        <v/>
      </c>
      <c r="C278" s="25" t="str">
        <f t="shared" ca="1" si="46"/>
        <v/>
      </c>
      <c r="D278" s="26" t="str">
        <f t="shared" ca="1" si="47"/>
        <v/>
      </c>
      <c r="E278" s="4" t="str">
        <f t="shared" ca="1" si="48"/>
        <v/>
      </c>
      <c r="F278" s="25" t="str">
        <f t="shared" ca="1" si="49"/>
        <v/>
      </c>
      <c r="G278" s="26" t="str">
        <f t="shared" ca="1" si="50"/>
        <v/>
      </c>
      <c r="H278" s="55" t="str">
        <f t="shared" ca="1" si="51"/>
        <v/>
      </c>
      <c r="J278" s="37"/>
      <c r="N278" s="95" t="str">
        <f t="shared" si="43"/>
        <v/>
      </c>
      <c r="O278" s="95" t="str">
        <f t="shared" si="44"/>
        <v/>
      </c>
    </row>
    <row r="279" spans="1:15" x14ac:dyDescent="0.25">
      <c r="A279" s="98" t="str">
        <f t="shared" ca="1" si="52"/>
        <v/>
      </c>
      <c r="B279" s="33" t="str">
        <f t="shared" ca="1" si="45"/>
        <v/>
      </c>
      <c r="C279" s="25" t="str">
        <f t="shared" ca="1" si="46"/>
        <v/>
      </c>
      <c r="D279" s="26" t="str">
        <f t="shared" ca="1" si="47"/>
        <v/>
      </c>
      <c r="E279" s="4" t="str">
        <f t="shared" ca="1" si="48"/>
        <v/>
      </c>
      <c r="F279" s="25" t="str">
        <f t="shared" ca="1" si="49"/>
        <v/>
      </c>
      <c r="G279" s="26" t="str">
        <f t="shared" ca="1" si="50"/>
        <v/>
      </c>
      <c r="H279" s="55" t="str">
        <f t="shared" ca="1" si="51"/>
        <v/>
      </c>
      <c r="J279" s="37"/>
      <c r="N279" s="95" t="str">
        <f t="shared" si="43"/>
        <v/>
      </c>
      <c r="O279" s="95" t="str">
        <f t="shared" si="44"/>
        <v/>
      </c>
    </row>
    <row r="280" spans="1:15" x14ac:dyDescent="0.25">
      <c r="A280" s="98" t="str">
        <f t="shared" ca="1" si="52"/>
        <v/>
      </c>
      <c r="B280" s="33" t="str">
        <f t="shared" ca="1" si="45"/>
        <v/>
      </c>
      <c r="C280" s="25" t="str">
        <f t="shared" ca="1" si="46"/>
        <v/>
      </c>
      <c r="D280" s="26" t="str">
        <f t="shared" ca="1" si="47"/>
        <v/>
      </c>
      <c r="E280" s="4" t="str">
        <f t="shared" ca="1" si="48"/>
        <v/>
      </c>
      <c r="F280" s="25" t="str">
        <f t="shared" ca="1" si="49"/>
        <v/>
      </c>
      <c r="G280" s="26" t="str">
        <f t="shared" ca="1" si="50"/>
        <v/>
      </c>
      <c r="H280" s="55" t="str">
        <f t="shared" ca="1" si="51"/>
        <v/>
      </c>
      <c r="J280" s="37"/>
      <c r="N280" s="95" t="str">
        <f t="shared" si="43"/>
        <v/>
      </c>
      <c r="O280" s="95" t="str">
        <f t="shared" si="44"/>
        <v/>
      </c>
    </row>
    <row r="281" spans="1:15" x14ac:dyDescent="0.25">
      <c r="A281" s="98" t="str">
        <f t="shared" ca="1" si="52"/>
        <v/>
      </c>
      <c r="B281" s="33" t="str">
        <f t="shared" ca="1" si="45"/>
        <v/>
      </c>
      <c r="C281" s="25" t="str">
        <f t="shared" ca="1" si="46"/>
        <v/>
      </c>
      <c r="D281" s="26" t="str">
        <f t="shared" ca="1" si="47"/>
        <v/>
      </c>
      <c r="E281" s="4" t="str">
        <f t="shared" ca="1" si="48"/>
        <v/>
      </c>
      <c r="F281" s="25" t="str">
        <f t="shared" ca="1" si="49"/>
        <v/>
      </c>
      <c r="G281" s="26" t="str">
        <f t="shared" ca="1" si="50"/>
        <v/>
      </c>
      <c r="H281" s="55" t="str">
        <f t="shared" ca="1" si="51"/>
        <v/>
      </c>
      <c r="J281" s="37"/>
      <c r="N281" s="95" t="str">
        <f t="shared" si="43"/>
        <v/>
      </c>
      <c r="O281" s="95" t="str">
        <f t="shared" si="44"/>
        <v/>
      </c>
    </row>
    <row r="282" spans="1:15" x14ac:dyDescent="0.25">
      <c r="A282" s="98" t="str">
        <f t="shared" ca="1" si="52"/>
        <v/>
      </c>
      <c r="B282" s="33" t="str">
        <f t="shared" ca="1" si="45"/>
        <v/>
      </c>
      <c r="C282" s="25" t="str">
        <f t="shared" ca="1" si="46"/>
        <v/>
      </c>
      <c r="D282" s="26" t="str">
        <f t="shared" ca="1" si="47"/>
        <v/>
      </c>
      <c r="E282" s="4" t="str">
        <f t="shared" ca="1" si="48"/>
        <v/>
      </c>
      <c r="F282" s="25" t="str">
        <f t="shared" ca="1" si="49"/>
        <v/>
      </c>
      <c r="G282" s="26" t="str">
        <f t="shared" ca="1" si="50"/>
        <v/>
      </c>
      <c r="H282" s="55" t="str">
        <f t="shared" ca="1" si="51"/>
        <v/>
      </c>
      <c r="J282" s="37"/>
      <c r="N282" s="95" t="str">
        <f t="shared" si="43"/>
        <v/>
      </c>
      <c r="O282" s="95" t="str">
        <f t="shared" si="44"/>
        <v/>
      </c>
    </row>
    <row r="283" spans="1:15" x14ac:dyDescent="0.25">
      <c r="A283" s="98" t="str">
        <f t="shared" ca="1" si="52"/>
        <v/>
      </c>
      <c r="B283" s="33" t="str">
        <f t="shared" ca="1" si="45"/>
        <v/>
      </c>
      <c r="C283" s="25" t="str">
        <f t="shared" ca="1" si="46"/>
        <v/>
      </c>
      <c r="D283" s="26" t="str">
        <f t="shared" ca="1" si="47"/>
        <v/>
      </c>
      <c r="E283" s="4" t="str">
        <f t="shared" ca="1" si="48"/>
        <v/>
      </c>
      <c r="F283" s="25" t="str">
        <f t="shared" ca="1" si="49"/>
        <v/>
      </c>
      <c r="G283" s="26" t="str">
        <f t="shared" ca="1" si="50"/>
        <v/>
      </c>
      <c r="H283" s="55" t="str">
        <f t="shared" ca="1" si="51"/>
        <v/>
      </c>
      <c r="J283" s="37"/>
      <c r="N283" s="95" t="str">
        <f t="shared" si="43"/>
        <v/>
      </c>
      <c r="O283" s="95" t="str">
        <f t="shared" si="44"/>
        <v/>
      </c>
    </row>
    <row r="284" spans="1:15" x14ac:dyDescent="0.25">
      <c r="A284" s="98" t="str">
        <f t="shared" ca="1" si="52"/>
        <v/>
      </c>
      <c r="B284" s="33" t="str">
        <f t="shared" ca="1" si="45"/>
        <v/>
      </c>
      <c r="C284" s="25" t="str">
        <f t="shared" ca="1" si="46"/>
        <v/>
      </c>
      <c r="D284" s="26" t="str">
        <f t="shared" ca="1" si="47"/>
        <v/>
      </c>
      <c r="E284" s="4" t="str">
        <f t="shared" ca="1" si="48"/>
        <v/>
      </c>
      <c r="F284" s="25" t="str">
        <f t="shared" ca="1" si="49"/>
        <v/>
      </c>
      <c r="G284" s="26" t="str">
        <f t="shared" ca="1" si="50"/>
        <v/>
      </c>
      <c r="H284" s="55" t="str">
        <f t="shared" ca="1" si="51"/>
        <v/>
      </c>
      <c r="J284" s="37"/>
      <c r="N284" s="95" t="str">
        <f t="shared" si="43"/>
        <v/>
      </c>
      <c r="O284" s="95" t="str">
        <f t="shared" si="44"/>
        <v/>
      </c>
    </row>
    <row r="285" spans="1:15" x14ac:dyDescent="0.25">
      <c r="A285" s="98" t="str">
        <f t="shared" ca="1" si="52"/>
        <v/>
      </c>
      <c r="B285" s="33" t="str">
        <f t="shared" ca="1" si="45"/>
        <v/>
      </c>
      <c r="C285" s="25" t="str">
        <f t="shared" ca="1" si="46"/>
        <v/>
      </c>
      <c r="D285" s="26" t="str">
        <f t="shared" ca="1" si="47"/>
        <v/>
      </c>
      <c r="E285" s="4" t="str">
        <f t="shared" ca="1" si="48"/>
        <v/>
      </c>
      <c r="F285" s="25" t="str">
        <f t="shared" ca="1" si="49"/>
        <v/>
      </c>
      <c r="G285" s="26" t="str">
        <f t="shared" ca="1" si="50"/>
        <v/>
      </c>
      <c r="H285" s="55" t="str">
        <f t="shared" ca="1" si="51"/>
        <v/>
      </c>
      <c r="J285" s="37"/>
      <c r="N285" s="95" t="str">
        <f t="shared" si="43"/>
        <v/>
      </c>
      <c r="O285" s="95" t="str">
        <f t="shared" si="44"/>
        <v/>
      </c>
    </row>
    <row r="286" spans="1:15" x14ac:dyDescent="0.25">
      <c r="A286" s="98" t="str">
        <f t="shared" ca="1" si="52"/>
        <v/>
      </c>
      <c r="B286" s="33" t="str">
        <f t="shared" ca="1" si="45"/>
        <v/>
      </c>
      <c r="C286" s="25" t="str">
        <f t="shared" ca="1" si="46"/>
        <v/>
      </c>
      <c r="D286" s="26" t="str">
        <f t="shared" ca="1" si="47"/>
        <v/>
      </c>
      <c r="E286" s="4" t="str">
        <f t="shared" ca="1" si="48"/>
        <v/>
      </c>
      <c r="F286" s="25" t="str">
        <f t="shared" ca="1" si="49"/>
        <v/>
      </c>
      <c r="G286" s="26" t="str">
        <f t="shared" ca="1" si="50"/>
        <v/>
      </c>
      <c r="H286" s="55" t="str">
        <f t="shared" ca="1" si="51"/>
        <v/>
      </c>
      <c r="J286" s="37"/>
      <c r="N286" s="95" t="str">
        <f t="shared" si="43"/>
        <v/>
      </c>
      <c r="O286" s="95" t="str">
        <f t="shared" si="44"/>
        <v/>
      </c>
    </row>
    <row r="287" spans="1:15" x14ac:dyDescent="0.25">
      <c r="A287" s="98" t="str">
        <f t="shared" ca="1" si="52"/>
        <v/>
      </c>
      <c r="B287" s="33" t="str">
        <f t="shared" ca="1" si="45"/>
        <v/>
      </c>
      <c r="C287" s="25" t="str">
        <f t="shared" ca="1" si="46"/>
        <v/>
      </c>
      <c r="D287" s="26" t="str">
        <f t="shared" ca="1" si="47"/>
        <v/>
      </c>
      <c r="E287" s="4" t="str">
        <f t="shared" ca="1" si="48"/>
        <v/>
      </c>
      <c r="F287" s="25" t="str">
        <f t="shared" ca="1" si="49"/>
        <v/>
      </c>
      <c r="G287" s="26" t="str">
        <f t="shared" ca="1" si="50"/>
        <v/>
      </c>
      <c r="H287" s="55" t="str">
        <f t="shared" ca="1" si="51"/>
        <v/>
      </c>
      <c r="J287" s="37"/>
      <c r="N287" s="95" t="str">
        <f t="shared" si="43"/>
        <v/>
      </c>
      <c r="O287" s="95" t="str">
        <f t="shared" si="44"/>
        <v/>
      </c>
    </row>
    <row r="288" spans="1:15" x14ac:dyDescent="0.25">
      <c r="A288" s="98" t="str">
        <f t="shared" ca="1" si="52"/>
        <v/>
      </c>
      <c r="B288" s="33" t="str">
        <f t="shared" ca="1" si="45"/>
        <v/>
      </c>
      <c r="C288" s="25" t="str">
        <f t="shared" ca="1" si="46"/>
        <v/>
      </c>
      <c r="D288" s="26" t="str">
        <f t="shared" ca="1" si="47"/>
        <v/>
      </c>
      <c r="E288" s="4" t="str">
        <f t="shared" ca="1" si="48"/>
        <v/>
      </c>
      <c r="F288" s="25" t="str">
        <f t="shared" ca="1" si="49"/>
        <v/>
      </c>
      <c r="G288" s="26" t="str">
        <f t="shared" ca="1" si="50"/>
        <v/>
      </c>
      <c r="H288" s="55" t="str">
        <f t="shared" ca="1" si="51"/>
        <v/>
      </c>
      <c r="J288" s="37"/>
      <c r="N288" s="95" t="str">
        <f t="shared" si="43"/>
        <v/>
      </c>
      <c r="O288" s="95" t="str">
        <f t="shared" si="44"/>
        <v/>
      </c>
    </row>
    <row r="289" spans="1:15" x14ac:dyDescent="0.25">
      <c r="A289" s="98" t="str">
        <f t="shared" ca="1" si="52"/>
        <v/>
      </c>
      <c r="B289" s="33" t="str">
        <f t="shared" ca="1" si="45"/>
        <v/>
      </c>
      <c r="C289" s="25" t="str">
        <f t="shared" ca="1" si="46"/>
        <v/>
      </c>
      <c r="D289" s="26" t="str">
        <f t="shared" ca="1" si="47"/>
        <v/>
      </c>
      <c r="E289" s="4" t="str">
        <f t="shared" ca="1" si="48"/>
        <v/>
      </c>
      <c r="F289" s="25" t="str">
        <f t="shared" ca="1" si="49"/>
        <v/>
      </c>
      <c r="G289" s="26" t="str">
        <f t="shared" ca="1" si="50"/>
        <v/>
      </c>
      <c r="H289" s="55" t="str">
        <f t="shared" ca="1" si="51"/>
        <v/>
      </c>
      <c r="J289" s="37"/>
      <c r="N289" s="95" t="str">
        <f t="shared" si="43"/>
        <v/>
      </c>
      <c r="O289" s="95" t="str">
        <f t="shared" si="44"/>
        <v/>
      </c>
    </row>
    <row r="290" spans="1:15" x14ac:dyDescent="0.25">
      <c r="A290" s="98" t="str">
        <f t="shared" ca="1" si="52"/>
        <v/>
      </c>
      <c r="B290" s="33" t="str">
        <f t="shared" ca="1" si="45"/>
        <v/>
      </c>
      <c r="C290" s="25" t="str">
        <f t="shared" ca="1" si="46"/>
        <v/>
      </c>
      <c r="D290" s="26" t="str">
        <f t="shared" ca="1" si="47"/>
        <v/>
      </c>
      <c r="E290" s="4" t="str">
        <f t="shared" ca="1" si="48"/>
        <v/>
      </c>
      <c r="F290" s="25" t="str">
        <f t="shared" ca="1" si="49"/>
        <v/>
      </c>
      <c r="G290" s="26" t="str">
        <f t="shared" ca="1" si="50"/>
        <v/>
      </c>
      <c r="H290" s="55" t="str">
        <f t="shared" ca="1" si="51"/>
        <v/>
      </c>
      <c r="J290" s="37"/>
      <c r="N290" s="95" t="str">
        <f t="shared" si="43"/>
        <v/>
      </c>
      <c r="O290" s="95" t="str">
        <f t="shared" si="44"/>
        <v/>
      </c>
    </row>
    <row r="291" spans="1:15" x14ac:dyDescent="0.25">
      <c r="A291" s="98" t="str">
        <f t="shared" ca="1" si="52"/>
        <v/>
      </c>
      <c r="B291" s="33" t="str">
        <f t="shared" ca="1" si="45"/>
        <v/>
      </c>
      <c r="C291" s="25" t="str">
        <f t="shared" ca="1" si="46"/>
        <v/>
      </c>
      <c r="D291" s="26" t="str">
        <f t="shared" ca="1" si="47"/>
        <v/>
      </c>
      <c r="E291" s="4" t="str">
        <f t="shared" ca="1" si="48"/>
        <v/>
      </c>
      <c r="F291" s="25" t="str">
        <f t="shared" ca="1" si="49"/>
        <v/>
      </c>
      <c r="G291" s="26" t="str">
        <f t="shared" ca="1" si="50"/>
        <v/>
      </c>
      <c r="H291" s="55" t="str">
        <f t="shared" ca="1" si="51"/>
        <v/>
      </c>
      <c r="J291" s="37"/>
      <c r="N291" s="95" t="str">
        <f t="shared" si="43"/>
        <v/>
      </c>
      <c r="O291" s="95" t="str">
        <f t="shared" si="44"/>
        <v/>
      </c>
    </row>
    <row r="292" spans="1:15" x14ac:dyDescent="0.25">
      <c r="A292" s="98" t="str">
        <f t="shared" ca="1" si="52"/>
        <v/>
      </c>
      <c r="B292" s="33" t="str">
        <f t="shared" ca="1" si="45"/>
        <v/>
      </c>
      <c r="C292" s="25" t="str">
        <f t="shared" ca="1" si="46"/>
        <v/>
      </c>
      <c r="D292" s="26" t="str">
        <f t="shared" ca="1" si="47"/>
        <v/>
      </c>
      <c r="E292" s="4" t="str">
        <f t="shared" ca="1" si="48"/>
        <v/>
      </c>
      <c r="F292" s="25" t="str">
        <f t="shared" ca="1" si="49"/>
        <v/>
      </c>
      <c r="G292" s="26" t="str">
        <f t="shared" ca="1" si="50"/>
        <v/>
      </c>
      <c r="H292" s="55" t="str">
        <f t="shared" ca="1" si="51"/>
        <v/>
      </c>
      <c r="J292" s="37"/>
      <c r="N292" s="95" t="str">
        <f t="shared" si="43"/>
        <v/>
      </c>
      <c r="O292" s="95" t="str">
        <f t="shared" si="44"/>
        <v/>
      </c>
    </row>
    <row r="293" spans="1:15" x14ac:dyDescent="0.25">
      <c r="A293" s="98" t="str">
        <f t="shared" ca="1" si="52"/>
        <v/>
      </c>
      <c r="B293" s="33" t="str">
        <f t="shared" ca="1" si="45"/>
        <v/>
      </c>
      <c r="C293" s="25" t="str">
        <f t="shared" ca="1" si="46"/>
        <v/>
      </c>
      <c r="D293" s="26" t="str">
        <f t="shared" ca="1" si="47"/>
        <v/>
      </c>
      <c r="E293" s="4" t="str">
        <f t="shared" ca="1" si="48"/>
        <v/>
      </c>
      <c r="F293" s="25" t="str">
        <f t="shared" ca="1" si="49"/>
        <v/>
      </c>
      <c r="G293" s="26" t="str">
        <f t="shared" ca="1" si="50"/>
        <v/>
      </c>
      <c r="H293" s="55" t="str">
        <f t="shared" ca="1" si="51"/>
        <v/>
      </c>
      <c r="J293" s="37"/>
      <c r="N293" s="95" t="str">
        <f t="shared" si="43"/>
        <v/>
      </c>
      <c r="O293" s="95" t="str">
        <f t="shared" si="44"/>
        <v/>
      </c>
    </row>
    <row r="294" spans="1:15" x14ac:dyDescent="0.25">
      <c r="A294" s="98" t="str">
        <f t="shared" ca="1" si="52"/>
        <v/>
      </c>
      <c r="B294" s="33" t="str">
        <f t="shared" ca="1" si="45"/>
        <v/>
      </c>
      <c r="C294" s="25" t="str">
        <f t="shared" ca="1" si="46"/>
        <v/>
      </c>
      <c r="D294" s="26" t="str">
        <f t="shared" ca="1" si="47"/>
        <v/>
      </c>
      <c r="E294" s="4" t="str">
        <f t="shared" ca="1" si="48"/>
        <v/>
      </c>
      <c r="F294" s="25" t="str">
        <f t="shared" ca="1" si="49"/>
        <v/>
      </c>
      <c r="G294" s="26" t="str">
        <f t="shared" ca="1" si="50"/>
        <v/>
      </c>
      <c r="H294" s="55" t="str">
        <f t="shared" ca="1" si="51"/>
        <v/>
      </c>
      <c r="J294" s="37"/>
      <c r="N294" s="95" t="str">
        <f t="shared" si="43"/>
        <v/>
      </c>
      <c r="O294" s="95" t="str">
        <f t="shared" si="44"/>
        <v/>
      </c>
    </row>
    <row r="295" spans="1:15" x14ac:dyDescent="0.25">
      <c r="A295" s="98" t="str">
        <f t="shared" ca="1" si="52"/>
        <v/>
      </c>
      <c r="B295" s="33" t="str">
        <f t="shared" ca="1" si="45"/>
        <v/>
      </c>
      <c r="C295" s="25" t="str">
        <f t="shared" ca="1" si="46"/>
        <v/>
      </c>
      <c r="D295" s="26" t="str">
        <f t="shared" ca="1" si="47"/>
        <v/>
      </c>
      <c r="E295" s="4" t="str">
        <f t="shared" ca="1" si="48"/>
        <v/>
      </c>
      <c r="F295" s="25" t="str">
        <f t="shared" ca="1" si="49"/>
        <v/>
      </c>
      <c r="G295" s="26" t="str">
        <f t="shared" ca="1" si="50"/>
        <v/>
      </c>
      <c r="H295" s="55" t="str">
        <f t="shared" ca="1" si="51"/>
        <v/>
      </c>
      <c r="J295" s="37"/>
      <c r="N295" s="95" t="str">
        <f t="shared" si="43"/>
        <v/>
      </c>
      <c r="O295" s="95" t="str">
        <f t="shared" si="44"/>
        <v/>
      </c>
    </row>
    <row r="296" spans="1:15" x14ac:dyDescent="0.25">
      <c r="A296" s="98" t="str">
        <f t="shared" ca="1" si="52"/>
        <v/>
      </c>
      <c r="B296" s="33" t="str">
        <f t="shared" ca="1" si="45"/>
        <v/>
      </c>
      <c r="C296" s="25" t="str">
        <f t="shared" ca="1" si="46"/>
        <v/>
      </c>
      <c r="D296" s="26" t="str">
        <f t="shared" ca="1" si="47"/>
        <v/>
      </c>
      <c r="E296" s="4" t="str">
        <f t="shared" ca="1" si="48"/>
        <v/>
      </c>
      <c r="F296" s="25" t="str">
        <f t="shared" ca="1" si="49"/>
        <v/>
      </c>
      <c r="G296" s="26" t="str">
        <f t="shared" ca="1" si="50"/>
        <v/>
      </c>
      <c r="H296" s="55" t="str">
        <f t="shared" ca="1" si="51"/>
        <v/>
      </c>
      <c r="J296" s="37"/>
      <c r="N296" s="95" t="str">
        <f t="shared" si="43"/>
        <v/>
      </c>
      <c r="O296" s="95" t="str">
        <f t="shared" si="44"/>
        <v/>
      </c>
    </row>
    <row r="297" spans="1:15" x14ac:dyDescent="0.25">
      <c r="A297" s="98" t="str">
        <f t="shared" ca="1" si="52"/>
        <v/>
      </c>
      <c r="B297" s="33" t="str">
        <f t="shared" ca="1" si="45"/>
        <v/>
      </c>
      <c r="C297" s="25" t="str">
        <f t="shared" ca="1" si="46"/>
        <v/>
      </c>
      <c r="D297" s="26" t="str">
        <f t="shared" ca="1" si="47"/>
        <v/>
      </c>
      <c r="E297" s="4" t="str">
        <f t="shared" ca="1" si="48"/>
        <v/>
      </c>
      <c r="F297" s="25" t="str">
        <f t="shared" ca="1" si="49"/>
        <v/>
      </c>
      <c r="G297" s="26" t="str">
        <f t="shared" ca="1" si="50"/>
        <v/>
      </c>
      <c r="H297" s="55" t="str">
        <f t="shared" ca="1" si="51"/>
        <v/>
      </c>
      <c r="J297" s="37"/>
      <c r="N297" s="95" t="str">
        <f t="shared" si="43"/>
        <v/>
      </c>
      <c r="O297" s="95" t="str">
        <f t="shared" si="44"/>
        <v/>
      </c>
    </row>
    <row r="298" spans="1:15" x14ac:dyDescent="0.25">
      <c r="A298" s="98" t="str">
        <f t="shared" ca="1" si="52"/>
        <v/>
      </c>
      <c r="B298" s="33" t="str">
        <f t="shared" ca="1" si="45"/>
        <v/>
      </c>
      <c r="C298" s="25" t="str">
        <f t="shared" ca="1" si="46"/>
        <v/>
      </c>
      <c r="D298" s="26" t="str">
        <f t="shared" ca="1" si="47"/>
        <v/>
      </c>
      <c r="E298" s="4" t="str">
        <f t="shared" ca="1" si="48"/>
        <v/>
      </c>
      <c r="F298" s="25" t="str">
        <f t="shared" ca="1" si="49"/>
        <v/>
      </c>
      <c r="G298" s="26" t="str">
        <f t="shared" ca="1" si="50"/>
        <v/>
      </c>
      <c r="H298" s="55" t="str">
        <f t="shared" ca="1" si="51"/>
        <v/>
      </c>
      <c r="J298" s="37"/>
      <c r="N298" s="95" t="str">
        <f t="shared" si="43"/>
        <v/>
      </c>
      <c r="O298" s="95" t="str">
        <f t="shared" si="44"/>
        <v/>
      </c>
    </row>
    <row r="299" spans="1:15" x14ac:dyDescent="0.25">
      <c r="A299" s="98" t="str">
        <f t="shared" ca="1" si="52"/>
        <v/>
      </c>
      <c r="B299" s="33" t="str">
        <f t="shared" ca="1" si="45"/>
        <v/>
      </c>
      <c r="C299" s="25" t="str">
        <f t="shared" ca="1" si="46"/>
        <v/>
      </c>
      <c r="D299" s="26" t="str">
        <f t="shared" ca="1" si="47"/>
        <v/>
      </c>
      <c r="E299" s="4" t="str">
        <f t="shared" ca="1" si="48"/>
        <v/>
      </c>
      <c r="F299" s="25" t="str">
        <f t="shared" ca="1" si="49"/>
        <v/>
      </c>
      <c r="G299" s="26" t="str">
        <f t="shared" ca="1" si="50"/>
        <v/>
      </c>
      <c r="H299" s="55" t="str">
        <f t="shared" ca="1" si="51"/>
        <v/>
      </c>
      <c r="J299" s="37"/>
      <c r="N299" s="95" t="str">
        <f t="shared" si="43"/>
        <v/>
      </c>
      <c r="O299" s="95" t="str">
        <f t="shared" si="44"/>
        <v/>
      </c>
    </row>
    <row r="300" spans="1:15" x14ac:dyDescent="0.25">
      <c r="A300" s="98" t="str">
        <f t="shared" ca="1" si="52"/>
        <v/>
      </c>
      <c r="B300" s="33" t="str">
        <f t="shared" ca="1" si="45"/>
        <v/>
      </c>
      <c r="C300" s="25" t="str">
        <f t="shared" ca="1" si="46"/>
        <v/>
      </c>
      <c r="D300" s="26" t="str">
        <f t="shared" ca="1" si="47"/>
        <v/>
      </c>
      <c r="E300" s="4" t="str">
        <f t="shared" ca="1" si="48"/>
        <v/>
      </c>
      <c r="F300" s="25" t="str">
        <f t="shared" ca="1" si="49"/>
        <v/>
      </c>
      <c r="G300" s="26" t="str">
        <f t="shared" ca="1" si="50"/>
        <v/>
      </c>
      <c r="H300" s="55" t="str">
        <f t="shared" ca="1" si="51"/>
        <v/>
      </c>
      <c r="J300" s="37"/>
      <c r="N300" s="95" t="str">
        <f t="shared" si="43"/>
        <v/>
      </c>
      <c r="O300" s="95" t="str">
        <f t="shared" si="44"/>
        <v/>
      </c>
    </row>
    <row r="301" spans="1:15" x14ac:dyDescent="0.25">
      <c r="A301" s="98" t="str">
        <f t="shared" ca="1" si="52"/>
        <v/>
      </c>
      <c r="B301" s="33" t="str">
        <f t="shared" ca="1" si="45"/>
        <v/>
      </c>
      <c r="C301" s="25" t="str">
        <f t="shared" ca="1" si="46"/>
        <v/>
      </c>
      <c r="D301" s="26" t="str">
        <f t="shared" ca="1" si="47"/>
        <v/>
      </c>
      <c r="E301" s="4" t="str">
        <f t="shared" ca="1" si="48"/>
        <v/>
      </c>
      <c r="F301" s="25" t="str">
        <f t="shared" ca="1" si="49"/>
        <v/>
      </c>
      <c r="G301" s="26" t="str">
        <f t="shared" ca="1" si="50"/>
        <v/>
      </c>
      <c r="H301" s="55" t="str">
        <f t="shared" ca="1" si="51"/>
        <v/>
      </c>
      <c r="J301" s="37"/>
      <c r="N301" s="95" t="str">
        <f t="shared" si="43"/>
        <v/>
      </c>
      <c r="O301" s="95" t="str">
        <f t="shared" si="44"/>
        <v/>
      </c>
    </row>
    <row r="302" spans="1:15" x14ac:dyDescent="0.25">
      <c r="A302" s="98" t="str">
        <f t="shared" ca="1" si="52"/>
        <v/>
      </c>
      <c r="B302" s="33" t="str">
        <f t="shared" ca="1" si="45"/>
        <v/>
      </c>
      <c r="C302" s="25" t="str">
        <f t="shared" ca="1" si="46"/>
        <v/>
      </c>
      <c r="D302" s="26" t="str">
        <f t="shared" ca="1" si="47"/>
        <v/>
      </c>
      <c r="E302" s="4" t="str">
        <f t="shared" ca="1" si="48"/>
        <v/>
      </c>
      <c r="F302" s="25" t="str">
        <f t="shared" ca="1" si="49"/>
        <v/>
      </c>
      <c r="G302" s="26" t="str">
        <f t="shared" ca="1" si="50"/>
        <v/>
      </c>
      <c r="H302" s="55" t="str">
        <f t="shared" ca="1" si="51"/>
        <v/>
      </c>
      <c r="J302" s="37"/>
      <c r="N302" s="95" t="str">
        <f t="shared" si="43"/>
        <v/>
      </c>
      <c r="O302" s="95" t="str">
        <f t="shared" si="44"/>
        <v/>
      </c>
    </row>
    <row r="303" spans="1:15" x14ac:dyDescent="0.25">
      <c r="A303" s="98" t="str">
        <f t="shared" ca="1" si="52"/>
        <v/>
      </c>
      <c r="B303" s="33" t="str">
        <f t="shared" ca="1" si="45"/>
        <v/>
      </c>
      <c r="C303" s="25" t="str">
        <f t="shared" ca="1" si="46"/>
        <v/>
      </c>
      <c r="D303" s="26" t="str">
        <f t="shared" ca="1" si="47"/>
        <v/>
      </c>
      <c r="E303" s="4" t="str">
        <f t="shared" ca="1" si="48"/>
        <v/>
      </c>
      <c r="F303" s="25" t="str">
        <f t="shared" ca="1" si="49"/>
        <v/>
      </c>
      <c r="G303" s="26" t="str">
        <f t="shared" ca="1" si="50"/>
        <v/>
      </c>
      <c r="H303" s="55" t="str">
        <f t="shared" ca="1" si="51"/>
        <v/>
      </c>
      <c r="J303" s="37"/>
      <c r="N303" s="95" t="str">
        <f t="shared" si="43"/>
        <v/>
      </c>
      <c r="O303" s="95" t="str">
        <f t="shared" si="44"/>
        <v/>
      </c>
    </row>
    <row r="304" spans="1:15" x14ac:dyDescent="0.25">
      <c r="A304" s="98" t="str">
        <f t="shared" ca="1" si="52"/>
        <v/>
      </c>
      <c r="B304" s="33" t="str">
        <f t="shared" ca="1" si="45"/>
        <v/>
      </c>
      <c r="C304" s="25" t="str">
        <f t="shared" ca="1" si="46"/>
        <v/>
      </c>
      <c r="D304" s="26" t="str">
        <f t="shared" ca="1" si="47"/>
        <v/>
      </c>
      <c r="E304" s="4" t="str">
        <f t="shared" ca="1" si="48"/>
        <v/>
      </c>
      <c r="F304" s="25" t="str">
        <f t="shared" ca="1" si="49"/>
        <v/>
      </c>
      <c r="G304" s="26" t="str">
        <f t="shared" ca="1" si="50"/>
        <v/>
      </c>
      <c r="H304" s="55" t="str">
        <f t="shared" ca="1" si="51"/>
        <v/>
      </c>
      <c r="J304" s="37"/>
      <c r="N304" s="95" t="str">
        <f t="shared" si="43"/>
        <v/>
      </c>
      <c r="O304" s="95" t="str">
        <f t="shared" si="44"/>
        <v/>
      </c>
    </row>
    <row r="305" spans="1:15" x14ac:dyDescent="0.25">
      <c r="A305" s="98" t="str">
        <f t="shared" ca="1" si="52"/>
        <v/>
      </c>
      <c r="B305" s="33" t="str">
        <f t="shared" ca="1" si="45"/>
        <v/>
      </c>
      <c r="C305" s="25" t="str">
        <f t="shared" ca="1" si="46"/>
        <v/>
      </c>
      <c r="D305" s="26" t="str">
        <f t="shared" ca="1" si="47"/>
        <v/>
      </c>
      <c r="E305" s="4" t="str">
        <f t="shared" ca="1" si="48"/>
        <v/>
      </c>
      <c r="F305" s="25" t="str">
        <f t="shared" ca="1" si="49"/>
        <v/>
      </c>
      <c r="G305" s="26" t="str">
        <f t="shared" ca="1" si="50"/>
        <v/>
      </c>
      <c r="H305" s="55" t="str">
        <f t="shared" ca="1" si="51"/>
        <v/>
      </c>
      <c r="J305" s="37"/>
      <c r="N305" s="95" t="str">
        <f t="shared" si="43"/>
        <v/>
      </c>
      <c r="O305" s="95" t="str">
        <f t="shared" si="44"/>
        <v/>
      </c>
    </row>
    <row r="306" spans="1:15" x14ac:dyDescent="0.25">
      <c r="A306" s="98" t="str">
        <f t="shared" ca="1" si="52"/>
        <v/>
      </c>
      <c r="B306" s="33" t="str">
        <f t="shared" ca="1" si="45"/>
        <v/>
      </c>
      <c r="C306" s="25" t="str">
        <f t="shared" ca="1" si="46"/>
        <v/>
      </c>
      <c r="D306" s="26" t="str">
        <f t="shared" ca="1" si="47"/>
        <v/>
      </c>
      <c r="E306" s="4" t="str">
        <f t="shared" ca="1" si="48"/>
        <v/>
      </c>
      <c r="F306" s="25" t="str">
        <f t="shared" ca="1" si="49"/>
        <v/>
      </c>
      <c r="G306" s="26" t="str">
        <f t="shared" ca="1" si="50"/>
        <v/>
      </c>
      <c r="H306" s="55" t="str">
        <f t="shared" ca="1" si="51"/>
        <v/>
      </c>
      <c r="J306" s="37"/>
      <c r="N306" s="95" t="str">
        <f t="shared" si="43"/>
        <v/>
      </c>
      <c r="O306" s="95" t="str">
        <f t="shared" si="44"/>
        <v/>
      </c>
    </row>
    <row r="307" spans="1:15" x14ac:dyDescent="0.25">
      <c r="A307" s="98" t="str">
        <f t="shared" ca="1" si="52"/>
        <v/>
      </c>
      <c r="B307" s="33" t="str">
        <f t="shared" ca="1" si="45"/>
        <v/>
      </c>
      <c r="C307" s="25" t="str">
        <f t="shared" ca="1" si="46"/>
        <v/>
      </c>
      <c r="D307" s="26" t="str">
        <f t="shared" ca="1" si="47"/>
        <v/>
      </c>
      <c r="E307" s="4" t="str">
        <f t="shared" ca="1" si="48"/>
        <v/>
      </c>
      <c r="F307" s="25" t="str">
        <f t="shared" ca="1" si="49"/>
        <v/>
      </c>
      <c r="G307" s="26" t="str">
        <f t="shared" ca="1" si="50"/>
        <v/>
      </c>
      <c r="H307" s="55" t="str">
        <f t="shared" ca="1" si="51"/>
        <v/>
      </c>
      <c r="J307" s="37"/>
      <c r="N307" s="95" t="str">
        <f t="shared" si="43"/>
        <v/>
      </c>
      <c r="O307" s="95" t="str">
        <f t="shared" si="44"/>
        <v/>
      </c>
    </row>
    <row r="308" spans="1:15" x14ac:dyDescent="0.25">
      <c r="A308" s="98" t="str">
        <f t="shared" ca="1" si="52"/>
        <v/>
      </c>
      <c r="B308" s="33" t="str">
        <f t="shared" ca="1" si="45"/>
        <v/>
      </c>
      <c r="C308" s="25" t="str">
        <f t="shared" ca="1" si="46"/>
        <v/>
      </c>
      <c r="D308" s="26" t="str">
        <f t="shared" ca="1" si="47"/>
        <v/>
      </c>
      <c r="E308" s="4" t="str">
        <f t="shared" ca="1" si="48"/>
        <v/>
      </c>
      <c r="F308" s="25" t="str">
        <f t="shared" ca="1" si="49"/>
        <v/>
      </c>
      <c r="G308" s="26" t="str">
        <f t="shared" ca="1" si="50"/>
        <v/>
      </c>
      <c r="H308" s="55" t="str">
        <f t="shared" ca="1" si="51"/>
        <v/>
      </c>
      <c r="J308" s="37"/>
      <c r="N308" s="95" t="str">
        <f t="shared" si="43"/>
        <v/>
      </c>
      <c r="O308" s="95" t="str">
        <f t="shared" si="44"/>
        <v/>
      </c>
    </row>
    <row r="309" spans="1:15" x14ac:dyDescent="0.25">
      <c r="A309" s="98" t="str">
        <f t="shared" ca="1" si="52"/>
        <v/>
      </c>
      <c r="B309" s="33" t="str">
        <f t="shared" ca="1" si="45"/>
        <v/>
      </c>
      <c r="C309" s="25" t="str">
        <f t="shared" ca="1" si="46"/>
        <v/>
      </c>
      <c r="D309" s="26" t="str">
        <f t="shared" ca="1" si="47"/>
        <v/>
      </c>
      <c r="E309" s="4" t="str">
        <f t="shared" ca="1" si="48"/>
        <v/>
      </c>
      <c r="F309" s="25" t="str">
        <f t="shared" ca="1" si="49"/>
        <v/>
      </c>
      <c r="G309" s="26" t="str">
        <f t="shared" ca="1" si="50"/>
        <v/>
      </c>
      <c r="H309" s="55" t="str">
        <f t="shared" ca="1" si="51"/>
        <v/>
      </c>
      <c r="J309" s="37"/>
      <c r="N309" s="95" t="str">
        <f t="shared" si="43"/>
        <v/>
      </c>
      <c r="O309" s="95" t="str">
        <f t="shared" si="44"/>
        <v/>
      </c>
    </row>
    <row r="310" spans="1:15" x14ac:dyDescent="0.25">
      <c r="A310" s="98" t="str">
        <f t="shared" ca="1" si="52"/>
        <v/>
      </c>
      <c r="B310" s="33" t="str">
        <f t="shared" ca="1" si="45"/>
        <v/>
      </c>
      <c r="C310" s="25" t="str">
        <f t="shared" ca="1" si="46"/>
        <v/>
      </c>
      <c r="D310" s="26" t="str">
        <f t="shared" ca="1" si="47"/>
        <v/>
      </c>
      <c r="E310" s="4" t="str">
        <f t="shared" ca="1" si="48"/>
        <v/>
      </c>
      <c r="F310" s="25" t="str">
        <f t="shared" ca="1" si="49"/>
        <v/>
      </c>
      <c r="G310" s="26" t="str">
        <f t="shared" ca="1" si="50"/>
        <v/>
      </c>
      <c r="H310" s="55" t="str">
        <f t="shared" ca="1" si="51"/>
        <v/>
      </c>
      <c r="J310" s="37"/>
      <c r="N310" s="95" t="str">
        <f t="shared" si="43"/>
        <v/>
      </c>
      <c r="O310" s="95" t="str">
        <f t="shared" si="44"/>
        <v/>
      </c>
    </row>
    <row r="311" spans="1:15" x14ac:dyDescent="0.25">
      <c r="A311" s="98" t="str">
        <f t="shared" ca="1" si="52"/>
        <v/>
      </c>
      <c r="B311" s="33" t="str">
        <f t="shared" ca="1" si="45"/>
        <v/>
      </c>
      <c r="C311" s="25" t="str">
        <f t="shared" ca="1" si="46"/>
        <v/>
      </c>
      <c r="D311" s="26" t="str">
        <f t="shared" ca="1" si="47"/>
        <v/>
      </c>
      <c r="E311" s="4" t="str">
        <f t="shared" ca="1" si="48"/>
        <v/>
      </c>
      <c r="F311" s="25" t="str">
        <f t="shared" ca="1" si="49"/>
        <v/>
      </c>
      <c r="G311" s="26" t="str">
        <f t="shared" ca="1" si="50"/>
        <v/>
      </c>
      <c r="H311" s="55" t="str">
        <f t="shared" ca="1" si="51"/>
        <v/>
      </c>
      <c r="J311" s="37"/>
      <c r="N311" s="95" t="str">
        <f t="shared" si="43"/>
        <v/>
      </c>
      <c r="O311" s="95" t="str">
        <f t="shared" si="44"/>
        <v/>
      </c>
    </row>
    <row r="312" spans="1:15" x14ac:dyDescent="0.25">
      <c r="A312" s="98" t="str">
        <f t="shared" ca="1" si="52"/>
        <v/>
      </c>
      <c r="B312" s="33" t="str">
        <f t="shared" ca="1" si="45"/>
        <v/>
      </c>
      <c r="C312" s="25" t="str">
        <f t="shared" ca="1" si="46"/>
        <v/>
      </c>
      <c r="D312" s="26" t="str">
        <f t="shared" ca="1" si="47"/>
        <v/>
      </c>
      <c r="E312" s="4" t="str">
        <f t="shared" ca="1" si="48"/>
        <v/>
      </c>
      <c r="F312" s="25" t="str">
        <f t="shared" ca="1" si="49"/>
        <v/>
      </c>
      <c r="G312" s="26" t="str">
        <f t="shared" ca="1" si="50"/>
        <v/>
      </c>
      <c r="H312" s="55" t="str">
        <f t="shared" ca="1" si="51"/>
        <v/>
      </c>
      <c r="J312" s="37"/>
      <c r="N312" s="95" t="str">
        <f t="shared" si="43"/>
        <v/>
      </c>
      <c r="O312" s="95" t="str">
        <f t="shared" si="44"/>
        <v/>
      </c>
    </row>
    <row r="313" spans="1:15" x14ac:dyDescent="0.25">
      <c r="A313" s="98" t="str">
        <f t="shared" ca="1" si="52"/>
        <v/>
      </c>
      <c r="B313" s="33" t="str">
        <f t="shared" ca="1" si="45"/>
        <v/>
      </c>
      <c r="C313" s="25" t="str">
        <f t="shared" ca="1" si="46"/>
        <v/>
      </c>
      <c r="D313" s="26" t="str">
        <f t="shared" ca="1" si="47"/>
        <v/>
      </c>
      <c r="E313" s="4" t="str">
        <f t="shared" ca="1" si="48"/>
        <v/>
      </c>
      <c r="F313" s="25" t="str">
        <f t="shared" ca="1" si="49"/>
        <v/>
      </c>
      <c r="G313" s="26" t="str">
        <f t="shared" ca="1" si="50"/>
        <v/>
      </c>
      <c r="H313" s="55" t="str">
        <f t="shared" ca="1" si="51"/>
        <v/>
      </c>
      <c r="J313" s="37"/>
      <c r="N313" s="95" t="str">
        <f t="shared" si="43"/>
        <v/>
      </c>
      <c r="O313" s="95" t="str">
        <f t="shared" si="44"/>
        <v/>
      </c>
    </row>
    <row r="314" spans="1:15" x14ac:dyDescent="0.25">
      <c r="A314" s="98" t="str">
        <f t="shared" ca="1" si="52"/>
        <v/>
      </c>
      <c r="B314" s="33" t="str">
        <f t="shared" ca="1" si="45"/>
        <v/>
      </c>
      <c r="C314" s="25" t="str">
        <f t="shared" ca="1" si="46"/>
        <v/>
      </c>
      <c r="D314" s="26" t="str">
        <f t="shared" ca="1" si="47"/>
        <v/>
      </c>
      <c r="E314" s="4" t="str">
        <f t="shared" ca="1" si="48"/>
        <v/>
      </c>
      <c r="F314" s="25" t="str">
        <f t="shared" ca="1" si="49"/>
        <v/>
      </c>
      <c r="G314" s="26" t="str">
        <f t="shared" ca="1" si="50"/>
        <v/>
      </c>
      <c r="H314" s="55" t="str">
        <f t="shared" ca="1" si="51"/>
        <v/>
      </c>
      <c r="J314" s="37"/>
      <c r="N314" s="95" t="str">
        <f t="shared" si="43"/>
        <v/>
      </c>
      <c r="O314" s="95" t="str">
        <f t="shared" si="44"/>
        <v/>
      </c>
    </row>
    <row r="315" spans="1:15" x14ac:dyDescent="0.25">
      <c r="A315" s="98" t="str">
        <f t="shared" ca="1" si="52"/>
        <v/>
      </c>
      <c r="B315" s="33" t="str">
        <f t="shared" ca="1" si="45"/>
        <v/>
      </c>
      <c r="C315" s="25" t="str">
        <f t="shared" ca="1" si="46"/>
        <v/>
      </c>
      <c r="D315" s="26" t="str">
        <f t="shared" ca="1" si="47"/>
        <v/>
      </c>
      <c r="E315" s="4" t="str">
        <f t="shared" ca="1" si="48"/>
        <v/>
      </c>
      <c r="F315" s="25" t="str">
        <f t="shared" ca="1" si="49"/>
        <v/>
      </c>
      <c r="G315" s="26" t="str">
        <f t="shared" ca="1" si="50"/>
        <v/>
      </c>
      <c r="H315" s="55" t="str">
        <f t="shared" ca="1" si="51"/>
        <v/>
      </c>
      <c r="J315" s="37"/>
      <c r="N315" s="95" t="str">
        <f t="shared" si="43"/>
        <v/>
      </c>
      <c r="O315" s="95" t="str">
        <f t="shared" si="44"/>
        <v/>
      </c>
    </row>
    <row r="316" spans="1:15" x14ac:dyDescent="0.25">
      <c r="A316" s="98" t="str">
        <f t="shared" ca="1" si="52"/>
        <v/>
      </c>
      <c r="B316" s="33" t="str">
        <f t="shared" ca="1" si="45"/>
        <v/>
      </c>
      <c r="C316" s="25" t="str">
        <f t="shared" ca="1" si="46"/>
        <v/>
      </c>
      <c r="D316" s="26" t="str">
        <f t="shared" ca="1" si="47"/>
        <v/>
      </c>
      <c r="E316" s="4" t="str">
        <f t="shared" ca="1" si="48"/>
        <v/>
      </c>
      <c r="F316" s="25" t="str">
        <f t="shared" ca="1" si="49"/>
        <v/>
      </c>
      <c r="G316" s="26" t="str">
        <f t="shared" ca="1" si="50"/>
        <v/>
      </c>
      <c r="H316" s="55" t="str">
        <f t="shared" ca="1" si="51"/>
        <v/>
      </c>
      <c r="J316" s="37"/>
      <c r="N316" s="95" t="str">
        <f t="shared" si="43"/>
        <v/>
      </c>
      <c r="O316" s="95" t="str">
        <f t="shared" si="44"/>
        <v/>
      </c>
    </row>
    <row r="317" spans="1:15" x14ac:dyDescent="0.25">
      <c r="A317" s="98" t="str">
        <f t="shared" ca="1" si="52"/>
        <v/>
      </c>
      <c r="B317" s="33" t="str">
        <f t="shared" ca="1" si="45"/>
        <v/>
      </c>
      <c r="C317" s="25" t="str">
        <f t="shared" ca="1" si="46"/>
        <v/>
      </c>
      <c r="D317" s="26" t="str">
        <f t="shared" ca="1" si="47"/>
        <v/>
      </c>
      <c r="E317" s="4" t="str">
        <f t="shared" ca="1" si="48"/>
        <v/>
      </c>
      <c r="F317" s="25" t="str">
        <f t="shared" ca="1" si="49"/>
        <v/>
      </c>
      <c r="G317" s="26" t="str">
        <f t="shared" ca="1" si="50"/>
        <v/>
      </c>
      <c r="H317" s="55" t="str">
        <f t="shared" ca="1" si="51"/>
        <v/>
      </c>
      <c r="J317" s="37"/>
      <c r="N317" s="95" t="str">
        <f t="shared" si="43"/>
        <v/>
      </c>
      <c r="O317" s="95" t="str">
        <f t="shared" si="44"/>
        <v/>
      </c>
    </row>
    <row r="318" spans="1:15" x14ac:dyDescent="0.25">
      <c r="A318" s="98" t="str">
        <f t="shared" ca="1" si="52"/>
        <v/>
      </c>
      <c r="B318" s="33" t="str">
        <f t="shared" ca="1" si="45"/>
        <v/>
      </c>
      <c r="C318" s="25" t="str">
        <f t="shared" ca="1" si="46"/>
        <v/>
      </c>
      <c r="D318" s="26" t="str">
        <f t="shared" ca="1" si="47"/>
        <v/>
      </c>
      <c r="E318" s="4" t="str">
        <f t="shared" ca="1" si="48"/>
        <v/>
      </c>
      <c r="F318" s="25" t="str">
        <f t="shared" ca="1" si="49"/>
        <v/>
      </c>
      <c r="G318" s="26" t="str">
        <f t="shared" ca="1" si="50"/>
        <v/>
      </c>
      <c r="H318" s="55" t="str">
        <f t="shared" ca="1" si="51"/>
        <v/>
      </c>
      <c r="J318" s="37"/>
      <c r="N318" s="95" t="str">
        <f t="shared" si="43"/>
        <v/>
      </c>
      <c r="O318" s="95" t="str">
        <f t="shared" si="44"/>
        <v/>
      </c>
    </row>
    <row r="319" spans="1:15" x14ac:dyDescent="0.25">
      <c r="A319" s="98" t="str">
        <f t="shared" ca="1" si="52"/>
        <v/>
      </c>
      <c r="B319" s="33" t="str">
        <f t="shared" ca="1" si="45"/>
        <v/>
      </c>
      <c r="C319" s="25" t="str">
        <f t="shared" ca="1" si="46"/>
        <v/>
      </c>
      <c r="D319" s="26" t="str">
        <f t="shared" ca="1" si="47"/>
        <v/>
      </c>
      <c r="E319" s="4" t="str">
        <f t="shared" ca="1" si="48"/>
        <v/>
      </c>
      <c r="F319" s="25" t="str">
        <f t="shared" ca="1" si="49"/>
        <v/>
      </c>
      <c r="G319" s="26" t="str">
        <f t="shared" ca="1" si="50"/>
        <v/>
      </c>
      <c r="H319" s="55" t="str">
        <f t="shared" ca="1" si="51"/>
        <v/>
      </c>
      <c r="J319" s="37"/>
      <c r="N319" s="95" t="str">
        <f t="shared" si="43"/>
        <v/>
      </c>
      <c r="O319" s="95" t="str">
        <f t="shared" si="44"/>
        <v/>
      </c>
    </row>
    <row r="320" spans="1:15" x14ac:dyDescent="0.25">
      <c r="A320" s="98" t="str">
        <f t="shared" ca="1" si="52"/>
        <v/>
      </c>
      <c r="B320" s="33" t="str">
        <f t="shared" ca="1" si="45"/>
        <v/>
      </c>
      <c r="C320" s="25" t="str">
        <f t="shared" ca="1" si="46"/>
        <v/>
      </c>
      <c r="D320" s="26" t="str">
        <f t="shared" ca="1" si="47"/>
        <v/>
      </c>
      <c r="E320" s="4" t="str">
        <f t="shared" ca="1" si="48"/>
        <v/>
      </c>
      <c r="F320" s="25" t="str">
        <f t="shared" ca="1" si="49"/>
        <v/>
      </c>
      <c r="G320" s="26" t="str">
        <f t="shared" ca="1" si="50"/>
        <v/>
      </c>
      <c r="H320" s="55" t="str">
        <f t="shared" ca="1" si="51"/>
        <v/>
      </c>
      <c r="J320" s="37"/>
      <c r="N320" s="95" t="str">
        <f t="shared" si="43"/>
        <v/>
      </c>
      <c r="O320" s="95" t="str">
        <f t="shared" si="44"/>
        <v/>
      </c>
    </row>
    <row r="321" spans="1:15" x14ac:dyDescent="0.25">
      <c r="A321" s="98" t="str">
        <f t="shared" ca="1" si="52"/>
        <v/>
      </c>
      <c r="B321" s="33" t="str">
        <f t="shared" ca="1" si="45"/>
        <v/>
      </c>
      <c r="C321" s="25" t="str">
        <f t="shared" ca="1" si="46"/>
        <v/>
      </c>
      <c r="D321" s="26" t="str">
        <f t="shared" ca="1" si="47"/>
        <v/>
      </c>
      <c r="E321" s="4" t="str">
        <f t="shared" ca="1" si="48"/>
        <v/>
      </c>
      <c r="F321" s="25" t="str">
        <f t="shared" ca="1" si="49"/>
        <v/>
      </c>
      <c r="G321" s="26" t="str">
        <f t="shared" ca="1" si="50"/>
        <v/>
      </c>
      <c r="H321" s="55" t="str">
        <f t="shared" ca="1" si="51"/>
        <v/>
      </c>
      <c r="J321" s="37"/>
      <c r="N321" s="95" t="str">
        <f t="shared" si="43"/>
        <v/>
      </c>
      <c r="O321" s="95" t="str">
        <f t="shared" si="44"/>
        <v/>
      </c>
    </row>
    <row r="322" spans="1:15" x14ac:dyDescent="0.25">
      <c r="A322" s="98" t="str">
        <f t="shared" ca="1" si="52"/>
        <v/>
      </c>
      <c r="B322" s="33" t="str">
        <f t="shared" ca="1" si="45"/>
        <v/>
      </c>
      <c r="C322" s="25" t="str">
        <f t="shared" ca="1" si="46"/>
        <v/>
      </c>
      <c r="D322" s="26" t="str">
        <f t="shared" ca="1" si="47"/>
        <v/>
      </c>
      <c r="E322" s="4" t="str">
        <f t="shared" ca="1" si="48"/>
        <v/>
      </c>
      <c r="F322" s="25" t="str">
        <f t="shared" ca="1" si="49"/>
        <v/>
      </c>
      <c r="G322" s="26" t="str">
        <f t="shared" ca="1" si="50"/>
        <v/>
      </c>
      <c r="H322" s="55" t="str">
        <f t="shared" ca="1" si="51"/>
        <v/>
      </c>
      <c r="J322" s="37"/>
      <c r="N322" s="95" t="str">
        <f t="shared" si="43"/>
        <v/>
      </c>
      <c r="O322" s="95" t="str">
        <f t="shared" si="44"/>
        <v/>
      </c>
    </row>
    <row r="323" spans="1:15" x14ac:dyDescent="0.25">
      <c r="A323" s="98" t="str">
        <f t="shared" ca="1" si="52"/>
        <v/>
      </c>
      <c r="B323" s="33" t="str">
        <f t="shared" ca="1" si="45"/>
        <v/>
      </c>
      <c r="C323" s="25" t="str">
        <f t="shared" ca="1" si="46"/>
        <v/>
      </c>
      <c r="D323" s="26" t="str">
        <f t="shared" ca="1" si="47"/>
        <v/>
      </c>
      <c r="E323" s="4" t="str">
        <f t="shared" ca="1" si="48"/>
        <v/>
      </c>
      <c r="F323" s="25" t="str">
        <f t="shared" ca="1" si="49"/>
        <v/>
      </c>
      <c r="G323" s="26" t="str">
        <f t="shared" ca="1" si="50"/>
        <v/>
      </c>
      <c r="H323" s="55" t="str">
        <f t="shared" ca="1" si="51"/>
        <v/>
      </c>
      <c r="J323" s="37"/>
      <c r="N323" s="95" t="str">
        <f t="shared" si="43"/>
        <v/>
      </c>
      <c r="O323" s="95" t="str">
        <f t="shared" si="44"/>
        <v/>
      </c>
    </row>
    <row r="324" spans="1:15" x14ac:dyDescent="0.25">
      <c r="A324" s="98" t="str">
        <f t="shared" ca="1" si="52"/>
        <v/>
      </c>
      <c r="B324" s="33" t="str">
        <f t="shared" ca="1" si="45"/>
        <v/>
      </c>
      <c r="C324" s="25" t="str">
        <f t="shared" ca="1" si="46"/>
        <v/>
      </c>
      <c r="D324" s="26" t="str">
        <f t="shared" ca="1" si="47"/>
        <v/>
      </c>
      <c r="E324" s="4" t="str">
        <f t="shared" ca="1" si="48"/>
        <v/>
      </c>
      <c r="F324" s="25" t="str">
        <f t="shared" ca="1" si="49"/>
        <v/>
      </c>
      <c r="G324" s="26" t="str">
        <f t="shared" ca="1" si="50"/>
        <v/>
      </c>
      <c r="H324" s="55" t="str">
        <f t="shared" ca="1" si="51"/>
        <v/>
      </c>
      <c r="J324" s="37"/>
      <c r="N324" s="95" t="str">
        <f t="shared" ref="N324:N387" si="53">IF(COUNTIF(L:L,J324)=1,J324,"")</f>
        <v/>
      </c>
      <c r="O324" s="95" t="str">
        <f t="shared" ref="O324:O387" si="54">IF(N324&gt;$A$14,N324,"")</f>
        <v/>
      </c>
    </row>
    <row r="325" spans="1:15" x14ac:dyDescent="0.25">
      <c r="A325" s="98" t="str">
        <f t="shared" ca="1" si="52"/>
        <v/>
      </c>
      <c r="B325" s="33" t="str">
        <f t="shared" ca="1" si="45"/>
        <v/>
      </c>
      <c r="C325" s="25" t="str">
        <f t="shared" ca="1" si="46"/>
        <v/>
      </c>
      <c r="D325" s="26" t="str">
        <f t="shared" ca="1" si="47"/>
        <v/>
      </c>
      <c r="E325" s="4" t="str">
        <f t="shared" ca="1" si="48"/>
        <v/>
      </c>
      <c r="F325" s="25" t="str">
        <f t="shared" ca="1" si="49"/>
        <v/>
      </c>
      <c r="G325" s="26" t="str">
        <f t="shared" ca="1" si="50"/>
        <v/>
      </c>
      <c r="H325" s="55" t="str">
        <f t="shared" ca="1" si="51"/>
        <v/>
      </c>
      <c r="J325" s="37"/>
      <c r="N325" s="95" t="str">
        <f t="shared" si="53"/>
        <v/>
      </c>
      <c r="O325" s="95" t="str">
        <f t="shared" si="54"/>
        <v/>
      </c>
    </row>
    <row r="326" spans="1:15" x14ac:dyDescent="0.25">
      <c r="A326" s="98" t="str">
        <f t="shared" ca="1" si="52"/>
        <v/>
      </c>
      <c r="B326" s="33" t="str">
        <f t="shared" ca="1" si="45"/>
        <v/>
      </c>
      <c r="C326" s="25" t="str">
        <f t="shared" ca="1" si="46"/>
        <v/>
      </c>
      <c r="D326" s="26" t="str">
        <f t="shared" ca="1" si="47"/>
        <v/>
      </c>
      <c r="E326" s="4" t="str">
        <f t="shared" ca="1" si="48"/>
        <v/>
      </c>
      <c r="F326" s="25" t="str">
        <f t="shared" ca="1" si="49"/>
        <v/>
      </c>
      <c r="G326" s="26" t="str">
        <f t="shared" ca="1" si="50"/>
        <v/>
      </c>
      <c r="H326" s="55" t="str">
        <f t="shared" ca="1" si="51"/>
        <v/>
      </c>
      <c r="J326" s="37"/>
      <c r="N326" s="95" t="str">
        <f t="shared" si="53"/>
        <v/>
      </c>
      <c r="O326" s="95" t="str">
        <f t="shared" si="54"/>
        <v/>
      </c>
    </row>
    <row r="327" spans="1:15" x14ac:dyDescent="0.25">
      <c r="A327" s="98" t="str">
        <f t="shared" ca="1" si="52"/>
        <v/>
      </c>
      <c r="B327" s="33" t="str">
        <f t="shared" ca="1" si="45"/>
        <v/>
      </c>
      <c r="C327" s="25" t="str">
        <f t="shared" ca="1" si="46"/>
        <v/>
      </c>
      <c r="D327" s="26" t="str">
        <f t="shared" ca="1" si="47"/>
        <v/>
      </c>
      <c r="E327" s="4" t="str">
        <f t="shared" ca="1" si="48"/>
        <v/>
      </c>
      <c r="F327" s="25" t="str">
        <f t="shared" ca="1" si="49"/>
        <v/>
      </c>
      <c r="G327" s="26" t="str">
        <f t="shared" ca="1" si="50"/>
        <v/>
      </c>
      <c r="H327" s="55" t="str">
        <f t="shared" ca="1" si="51"/>
        <v/>
      </c>
      <c r="J327" s="37"/>
      <c r="N327" s="95" t="str">
        <f t="shared" si="53"/>
        <v/>
      </c>
      <c r="O327" s="95" t="str">
        <f t="shared" si="54"/>
        <v/>
      </c>
    </row>
    <row r="328" spans="1:15" x14ac:dyDescent="0.25">
      <c r="A328" s="98" t="str">
        <f t="shared" ca="1" si="52"/>
        <v/>
      </c>
      <c r="B328" s="33" t="str">
        <f t="shared" ca="1" si="45"/>
        <v/>
      </c>
      <c r="C328" s="25" t="str">
        <f t="shared" ca="1" si="46"/>
        <v/>
      </c>
      <c r="D328" s="26" t="str">
        <f t="shared" ca="1" si="47"/>
        <v/>
      </c>
      <c r="E328" s="4" t="str">
        <f t="shared" ca="1" si="48"/>
        <v/>
      </c>
      <c r="F328" s="25" t="str">
        <f t="shared" ca="1" si="49"/>
        <v/>
      </c>
      <c r="G328" s="26" t="str">
        <f t="shared" ca="1" si="50"/>
        <v/>
      </c>
      <c r="H328" s="55" t="str">
        <f t="shared" ca="1" si="51"/>
        <v/>
      </c>
      <c r="J328" s="37"/>
      <c r="N328" s="95" t="str">
        <f t="shared" si="53"/>
        <v/>
      </c>
      <c r="O328" s="95" t="str">
        <f t="shared" si="54"/>
        <v/>
      </c>
    </row>
    <row r="329" spans="1:15" x14ac:dyDescent="0.25">
      <c r="A329" s="98" t="str">
        <f t="shared" ca="1" si="52"/>
        <v/>
      </c>
      <c r="B329" s="33" t="str">
        <f t="shared" ca="1" si="45"/>
        <v/>
      </c>
      <c r="C329" s="25" t="str">
        <f t="shared" ca="1" si="46"/>
        <v/>
      </c>
      <c r="D329" s="26" t="str">
        <f t="shared" ca="1" si="47"/>
        <v/>
      </c>
      <c r="E329" s="4" t="str">
        <f t="shared" ca="1" si="48"/>
        <v/>
      </c>
      <c r="F329" s="25" t="str">
        <f t="shared" ca="1" si="49"/>
        <v/>
      </c>
      <c r="G329" s="26" t="str">
        <f t="shared" ca="1" si="50"/>
        <v/>
      </c>
      <c r="H329" s="55" t="str">
        <f t="shared" ca="1" si="51"/>
        <v/>
      </c>
      <c r="J329" s="37"/>
      <c r="N329" s="95" t="str">
        <f t="shared" si="53"/>
        <v/>
      </c>
      <c r="O329" s="95" t="str">
        <f t="shared" si="54"/>
        <v/>
      </c>
    </row>
    <row r="330" spans="1:15" x14ac:dyDescent="0.25">
      <c r="A330" s="98" t="str">
        <f t="shared" ca="1" si="52"/>
        <v/>
      </c>
      <c r="B330" s="33" t="str">
        <f t="shared" ref="B330:B393" ca="1" si="55">IF(COUNTIF(J:J,A330)=1,VLOOKUP(A330,J:K,2), IF(COUNTIF(J:J,A330)=0,$B$10,""))</f>
        <v/>
      </c>
      <c r="C330" s="25" t="str">
        <f t="shared" ref="C330:C393" ca="1" si="56">IF(ISERROR(B330-2),"",(B330-$B$14)/100*$B$5)</f>
        <v/>
      </c>
      <c r="D330" s="26" t="str">
        <f t="shared" ref="D330:D393" ca="1" si="57">IF(ISERROR(B330-2),"",(INT(A330)-INT($A$14))/360*$B$6*$B$5-(INT(A330)-INT($A$14))/360*$B$7*$B$5*$B$14/100)</f>
        <v/>
      </c>
      <c r="E330" s="4" t="str">
        <f t="shared" ref="E330:E393" ca="1" si="58">IF(COUNTIF(L:L,A330)=1,VLOOKUP(A330,L:M,2), IF(COUNTIF(L:L,A330)=0,$C$10,""))</f>
        <v/>
      </c>
      <c r="F330" s="25" t="str">
        <f t="shared" ref="F330:F393" ca="1" si="59">IF(ISERROR(E330-2), "", (E330-$E$14)/100*$C$5)</f>
        <v/>
      </c>
      <c r="G330" s="26" t="str">
        <f t="shared" ref="G330:G393" ca="1" si="60">IF(ISERROR(E330-2),"",(INT(A330)-INT($A$14))/360*$C$6*$C$5-(INT(A330)-INT($A$14))/360*$C$7*$C$5*$E$14/100)</f>
        <v/>
      </c>
      <c r="H330" s="55" t="str">
        <f t="shared" ref="H330:H393" ca="1" si="61">IF(ISERROR(E330-2),"",C330+D330-F330-G330)</f>
        <v/>
      </c>
      <c r="J330" s="37"/>
      <c r="N330" s="95" t="str">
        <f t="shared" si="53"/>
        <v/>
      </c>
      <c r="O330" s="95" t="str">
        <f t="shared" si="54"/>
        <v/>
      </c>
    </row>
    <row r="331" spans="1:15" x14ac:dyDescent="0.25">
      <c r="A331" s="98" t="str">
        <f t="shared" ca="1" si="52"/>
        <v/>
      </c>
      <c r="B331" s="33" t="str">
        <f t="shared" ca="1" si="55"/>
        <v/>
      </c>
      <c r="C331" s="25" t="str">
        <f t="shared" ca="1" si="56"/>
        <v/>
      </c>
      <c r="D331" s="26" t="str">
        <f t="shared" ca="1" si="57"/>
        <v/>
      </c>
      <c r="E331" s="4" t="str">
        <f t="shared" ca="1" si="58"/>
        <v/>
      </c>
      <c r="F331" s="25" t="str">
        <f t="shared" ca="1" si="59"/>
        <v/>
      </c>
      <c r="G331" s="26" t="str">
        <f t="shared" ca="1" si="60"/>
        <v/>
      </c>
      <c r="H331" s="55" t="str">
        <f t="shared" ca="1" si="61"/>
        <v/>
      </c>
      <c r="J331" s="37"/>
      <c r="N331" s="95" t="str">
        <f t="shared" si="53"/>
        <v/>
      </c>
      <c r="O331" s="95" t="str">
        <f t="shared" si="54"/>
        <v/>
      </c>
    </row>
    <row r="332" spans="1:15" x14ac:dyDescent="0.25">
      <c r="A332" s="98" t="str">
        <f t="shared" ca="1" si="52"/>
        <v/>
      </c>
      <c r="B332" s="33" t="str">
        <f t="shared" ca="1" si="55"/>
        <v/>
      </c>
      <c r="C332" s="25" t="str">
        <f t="shared" ca="1" si="56"/>
        <v/>
      </c>
      <c r="D332" s="26" t="str">
        <f t="shared" ca="1" si="57"/>
        <v/>
      </c>
      <c r="E332" s="4" t="str">
        <f t="shared" ca="1" si="58"/>
        <v/>
      </c>
      <c r="F332" s="25" t="str">
        <f t="shared" ca="1" si="59"/>
        <v/>
      </c>
      <c r="G332" s="26" t="str">
        <f t="shared" ca="1" si="60"/>
        <v/>
      </c>
      <c r="H332" s="55" t="str">
        <f t="shared" ca="1" si="61"/>
        <v/>
      </c>
      <c r="J332" s="37"/>
      <c r="N332" s="95" t="str">
        <f t="shared" si="53"/>
        <v/>
      </c>
      <c r="O332" s="95" t="str">
        <f t="shared" si="54"/>
        <v/>
      </c>
    </row>
    <row r="333" spans="1:15" x14ac:dyDescent="0.25">
      <c r="A333" s="98" t="str">
        <f t="shared" ca="1" si="52"/>
        <v/>
      </c>
      <c r="B333" s="33" t="str">
        <f t="shared" ca="1" si="55"/>
        <v/>
      </c>
      <c r="C333" s="25" t="str">
        <f t="shared" ca="1" si="56"/>
        <v/>
      </c>
      <c r="D333" s="26" t="str">
        <f t="shared" ca="1" si="57"/>
        <v/>
      </c>
      <c r="E333" s="4" t="str">
        <f t="shared" ca="1" si="58"/>
        <v/>
      </c>
      <c r="F333" s="25" t="str">
        <f t="shared" ca="1" si="59"/>
        <v/>
      </c>
      <c r="G333" s="26" t="str">
        <f t="shared" ca="1" si="60"/>
        <v/>
      </c>
      <c r="H333" s="55" t="str">
        <f t="shared" ca="1" si="61"/>
        <v/>
      </c>
      <c r="J333" s="37"/>
      <c r="N333" s="95" t="str">
        <f t="shared" si="53"/>
        <v/>
      </c>
      <c r="O333" s="95" t="str">
        <f t="shared" si="54"/>
        <v/>
      </c>
    </row>
    <row r="334" spans="1:15" x14ac:dyDescent="0.25">
      <c r="A334" s="98" t="str">
        <f t="shared" ca="1" si="52"/>
        <v/>
      </c>
      <c r="B334" s="33" t="str">
        <f t="shared" ca="1" si="55"/>
        <v/>
      </c>
      <c r="C334" s="25" t="str">
        <f t="shared" ca="1" si="56"/>
        <v/>
      </c>
      <c r="D334" s="26" t="str">
        <f t="shared" ca="1" si="57"/>
        <v/>
      </c>
      <c r="E334" s="4" t="str">
        <f t="shared" ca="1" si="58"/>
        <v/>
      </c>
      <c r="F334" s="25" t="str">
        <f t="shared" ca="1" si="59"/>
        <v/>
      </c>
      <c r="G334" s="26" t="str">
        <f t="shared" ca="1" si="60"/>
        <v/>
      </c>
      <c r="H334" s="55" t="str">
        <f t="shared" ca="1" si="61"/>
        <v/>
      </c>
      <c r="J334" s="37"/>
      <c r="N334" s="95" t="str">
        <f t="shared" si="53"/>
        <v/>
      </c>
      <c r="O334" s="95" t="str">
        <f t="shared" si="54"/>
        <v/>
      </c>
    </row>
    <row r="335" spans="1:15" x14ac:dyDescent="0.25">
      <c r="A335" s="98" t="str">
        <f t="shared" ca="1" si="52"/>
        <v/>
      </c>
      <c r="B335" s="33" t="str">
        <f t="shared" ca="1" si="55"/>
        <v/>
      </c>
      <c r="C335" s="25" t="str">
        <f t="shared" ca="1" si="56"/>
        <v/>
      </c>
      <c r="D335" s="26" t="str">
        <f t="shared" ca="1" si="57"/>
        <v/>
      </c>
      <c r="E335" s="4" t="str">
        <f t="shared" ca="1" si="58"/>
        <v/>
      </c>
      <c r="F335" s="25" t="str">
        <f t="shared" ca="1" si="59"/>
        <v/>
      </c>
      <c r="G335" s="26" t="str">
        <f t="shared" ca="1" si="60"/>
        <v/>
      </c>
      <c r="H335" s="55" t="str">
        <f t="shared" ca="1" si="61"/>
        <v/>
      </c>
      <c r="J335" s="37"/>
      <c r="N335" s="95" t="str">
        <f t="shared" si="53"/>
        <v/>
      </c>
      <c r="O335" s="95" t="str">
        <f t="shared" si="54"/>
        <v/>
      </c>
    </row>
    <row r="336" spans="1:15" x14ac:dyDescent="0.25">
      <c r="A336" s="98" t="str">
        <f t="shared" ref="A336:A399" ca="1" si="62">IF(AND(ISBLANK(P323), A335 = $P$1),NOW(),IF(ISBLANK(P323),"",P323))</f>
        <v/>
      </c>
      <c r="B336" s="33" t="str">
        <f t="shared" ca="1" si="55"/>
        <v/>
      </c>
      <c r="C336" s="25" t="str">
        <f t="shared" ca="1" si="56"/>
        <v/>
      </c>
      <c r="D336" s="26" t="str">
        <f t="shared" ca="1" si="57"/>
        <v/>
      </c>
      <c r="E336" s="4" t="str">
        <f t="shared" ca="1" si="58"/>
        <v/>
      </c>
      <c r="F336" s="25" t="str">
        <f t="shared" ca="1" si="59"/>
        <v/>
      </c>
      <c r="G336" s="26" t="str">
        <f t="shared" ca="1" si="60"/>
        <v/>
      </c>
      <c r="H336" s="55" t="str">
        <f t="shared" ca="1" si="61"/>
        <v/>
      </c>
      <c r="J336" s="37"/>
      <c r="N336" s="95" t="str">
        <f t="shared" si="53"/>
        <v/>
      </c>
      <c r="O336" s="95" t="str">
        <f t="shared" si="54"/>
        <v/>
      </c>
    </row>
    <row r="337" spans="1:15" x14ac:dyDescent="0.25">
      <c r="A337" s="98" t="str">
        <f t="shared" ca="1" si="62"/>
        <v/>
      </c>
      <c r="B337" s="33" t="str">
        <f t="shared" ca="1" si="55"/>
        <v/>
      </c>
      <c r="C337" s="25" t="str">
        <f t="shared" ca="1" si="56"/>
        <v/>
      </c>
      <c r="D337" s="26" t="str">
        <f t="shared" ca="1" si="57"/>
        <v/>
      </c>
      <c r="E337" s="4" t="str">
        <f t="shared" ca="1" si="58"/>
        <v/>
      </c>
      <c r="F337" s="25" t="str">
        <f t="shared" ca="1" si="59"/>
        <v/>
      </c>
      <c r="G337" s="26" t="str">
        <f t="shared" ca="1" si="60"/>
        <v/>
      </c>
      <c r="H337" s="55" t="str">
        <f t="shared" ca="1" si="61"/>
        <v/>
      </c>
      <c r="J337" s="37"/>
      <c r="N337" s="95" t="str">
        <f t="shared" si="53"/>
        <v/>
      </c>
      <c r="O337" s="95" t="str">
        <f t="shared" si="54"/>
        <v/>
      </c>
    </row>
    <row r="338" spans="1:15" x14ac:dyDescent="0.25">
      <c r="A338" s="98" t="str">
        <f t="shared" ca="1" si="62"/>
        <v/>
      </c>
      <c r="B338" s="33" t="str">
        <f t="shared" ca="1" si="55"/>
        <v/>
      </c>
      <c r="C338" s="25" t="str">
        <f t="shared" ca="1" si="56"/>
        <v/>
      </c>
      <c r="D338" s="26" t="str">
        <f t="shared" ca="1" si="57"/>
        <v/>
      </c>
      <c r="E338" s="4" t="str">
        <f t="shared" ca="1" si="58"/>
        <v/>
      </c>
      <c r="F338" s="25" t="str">
        <f t="shared" ca="1" si="59"/>
        <v/>
      </c>
      <c r="G338" s="26" t="str">
        <f t="shared" ca="1" si="60"/>
        <v/>
      </c>
      <c r="H338" s="55" t="str">
        <f t="shared" ca="1" si="61"/>
        <v/>
      </c>
      <c r="J338" s="37"/>
      <c r="N338" s="95" t="str">
        <f t="shared" si="53"/>
        <v/>
      </c>
      <c r="O338" s="95" t="str">
        <f t="shared" si="54"/>
        <v/>
      </c>
    </row>
    <row r="339" spans="1:15" x14ac:dyDescent="0.25">
      <c r="A339" s="98" t="str">
        <f t="shared" ca="1" si="62"/>
        <v/>
      </c>
      <c r="B339" s="33" t="str">
        <f t="shared" ca="1" si="55"/>
        <v/>
      </c>
      <c r="C339" s="25" t="str">
        <f t="shared" ca="1" si="56"/>
        <v/>
      </c>
      <c r="D339" s="26" t="str">
        <f t="shared" ca="1" si="57"/>
        <v/>
      </c>
      <c r="E339" s="4" t="str">
        <f t="shared" ca="1" si="58"/>
        <v/>
      </c>
      <c r="F339" s="25" t="str">
        <f t="shared" ca="1" si="59"/>
        <v/>
      </c>
      <c r="G339" s="26" t="str">
        <f t="shared" ca="1" si="60"/>
        <v/>
      </c>
      <c r="H339" s="55" t="str">
        <f t="shared" ca="1" si="61"/>
        <v/>
      </c>
      <c r="J339" s="37"/>
      <c r="N339" s="95" t="str">
        <f t="shared" si="53"/>
        <v/>
      </c>
      <c r="O339" s="95" t="str">
        <f t="shared" si="54"/>
        <v/>
      </c>
    </row>
    <row r="340" spans="1:15" x14ac:dyDescent="0.25">
      <c r="A340" s="98" t="str">
        <f t="shared" ca="1" si="62"/>
        <v/>
      </c>
      <c r="B340" s="33" t="str">
        <f t="shared" ca="1" si="55"/>
        <v/>
      </c>
      <c r="C340" s="25" t="str">
        <f t="shared" ca="1" si="56"/>
        <v/>
      </c>
      <c r="D340" s="26" t="str">
        <f t="shared" ca="1" si="57"/>
        <v/>
      </c>
      <c r="E340" s="4" t="str">
        <f t="shared" ca="1" si="58"/>
        <v/>
      </c>
      <c r="F340" s="25" t="str">
        <f t="shared" ca="1" si="59"/>
        <v/>
      </c>
      <c r="G340" s="26" t="str">
        <f t="shared" ca="1" si="60"/>
        <v/>
      </c>
      <c r="H340" s="55" t="str">
        <f t="shared" ca="1" si="61"/>
        <v/>
      </c>
      <c r="J340" s="37"/>
      <c r="N340" s="95" t="str">
        <f t="shared" si="53"/>
        <v/>
      </c>
      <c r="O340" s="95" t="str">
        <f t="shared" si="54"/>
        <v/>
      </c>
    </row>
    <row r="341" spans="1:15" x14ac:dyDescent="0.25">
      <c r="A341" s="98" t="str">
        <f t="shared" ca="1" si="62"/>
        <v/>
      </c>
      <c r="B341" s="33" t="str">
        <f t="shared" ca="1" si="55"/>
        <v/>
      </c>
      <c r="C341" s="25" t="str">
        <f t="shared" ca="1" si="56"/>
        <v/>
      </c>
      <c r="D341" s="26" t="str">
        <f t="shared" ca="1" si="57"/>
        <v/>
      </c>
      <c r="E341" s="4" t="str">
        <f t="shared" ca="1" si="58"/>
        <v/>
      </c>
      <c r="F341" s="25" t="str">
        <f t="shared" ca="1" si="59"/>
        <v/>
      </c>
      <c r="G341" s="26" t="str">
        <f t="shared" ca="1" si="60"/>
        <v/>
      </c>
      <c r="H341" s="55" t="str">
        <f t="shared" ca="1" si="61"/>
        <v/>
      </c>
      <c r="J341" s="37"/>
      <c r="N341" s="95" t="str">
        <f t="shared" si="53"/>
        <v/>
      </c>
      <c r="O341" s="95" t="str">
        <f t="shared" si="54"/>
        <v/>
      </c>
    </row>
    <row r="342" spans="1:15" x14ac:dyDescent="0.25">
      <c r="A342" s="98" t="str">
        <f t="shared" ca="1" si="62"/>
        <v/>
      </c>
      <c r="B342" s="33" t="str">
        <f t="shared" ca="1" si="55"/>
        <v/>
      </c>
      <c r="C342" s="25" t="str">
        <f t="shared" ca="1" si="56"/>
        <v/>
      </c>
      <c r="D342" s="26" t="str">
        <f t="shared" ca="1" si="57"/>
        <v/>
      </c>
      <c r="E342" s="4" t="str">
        <f t="shared" ca="1" si="58"/>
        <v/>
      </c>
      <c r="F342" s="25" t="str">
        <f t="shared" ca="1" si="59"/>
        <v/>
      </c>
      <c r="G342" s="26" t="str">
        <f t="shared" ca="1" si="60"/>
        <v/>
      </c>
      <c r="H342" s="55" t="str">
        <f t="shared" ca="1" si="61"/>
        <v/>
      </c>
      <c r="J342" s="37"/>
      <c r="N342" s="95" t="str">
        <f t="shared" si="53"/>
        <v/>
      </c>
      <c r="O342" s="95" t="str">
        <f t="shared" si="54"/>
        <v/>
      </c>
    </row>
    <row r="343" spans="1:15" x14ac:dyDescent="0.25">
      <c r="A343" s="98" t="str">
        <f t="shared" ca="1" si="62"/>
        <v/>
      </c>
      <c r="B343" s="33" t="str">
        <f t="shared" ca="1" si="55"/>
        <v/>
      </c>
      <c r="C343" s="25" t="str">
        <f t="shared" ca="1" si="56"/>
        <v/>
      </c>
      <c r="D343" s="26" t="str">
        <f t="shared" ca="1" si="57"/>
        <v/>
      </c>
      <c r="E343" s="4" t="str">
        <f t="shared" ca="1" si="58"/>
        <v/>
      </c>
      <c r="F343" s="25" t="str">
        <f t="shared" ca="1" si="59"/>
        <v/>
      </c>
      <c r="G343" s="26" t="str">
        <f t="shared" ca="1" si="60"/>
        <v/>
      </c>
      <c r="H343" s="55" t="str">
        <f t="shared" ca="1" si="61"/>
        <v/>
      </c>
      <c r="J343" s="37"/>
      <c r="N343" s="95" t="str">
        <f t="shared" si="53"/>
        <v/>
      </c>
      <c r="O343" s="95" t="str">
        <f t="shared" si="54"/>
        <v/>
      </c>
    </row>
    <row r="344" spans="1:15" x14ac:dyDescent="0.25">
      <c r="A344" s="98" t="str">
        <f t="shared" ca="1" si="62"/>
        <v/>
      </c>
      <c r="B344" s="33" t="str">
        <f t="shared" ca="1" si="55"/>
        <v/>
      </c>
      <c r="C344" s="25" t="str">
        <f t="shared" ca="1" si="56"/>
        <v/>
      </c>
      <c r="D344" s="26" t="str">
        <f t="shared" ca="1" si="57"/>
        <v/>
      </c>
      <c r="E344" s="4" t="str">
        <f t="shared" ca="1" si="58"/>
        <v/>
      </c>
      <c r="F344" s="25" t="str">
        <f t="shared" ca="1" si="59"/>
        <v/>
      </c>
      <c r="G344" s="26" t="str">
        <f t="shared" ca="1" si="60"/>
        <v/>
      </c>
      <c r="H344" s="55" t="str">
        <f t="shared" ca="1" si="61"/>
        <v/>
      </c>
      <c r="J344" s="37"/>
      <c r="N344" s="95" t="str">
        <f t="shared" si="53"/>
        <v/>
      </c>
      <c r="O344" s="95" t="str">
        <f t="shared" si="54"/>
        <v/>
      </c>
    </row>
    <row r="345" spans="1:15" x14ac:dyDescent="0.25">
      <c r="A345" s="98" t="str">
        <f t="shared" ca="1" si="62"/>
        <v/>
      </c>
      <c r="B345" s="33" t="str">
        <f t="shared" ca="1" si="55"/>
        <v/>
      </c>
      <c r="C345" s="25" t="str">
        <f t="shared" ca="1" si="56"/>
        <v/>
      </c>
      <c r="D345" s="26" t="str">
        <f t="shared" ca="1" si="57"/>
        <v/>
      </c>
      <c r="E345" s="4" t="str">
        <f t="shared" ca="1" si="58"/>
        <v/>
      </c>
      <c r="F345" s="25" t="str">
        <f t="shared" ca="1" si="59"/>
        <v/>
      </c>
      <c r="G345" s="26" t="str">
        <f t="shared" ca="1" si="60"/>
        <v/>
      </c>
      <c r="H345" s="55" t="str">
        <f t="shared" ca="1" si="61"/>
        <v/>
      </c>
      <c r="J345" s="37"/>
      <c r="N345" s="95" t="str">
        <f t="shared" si="53"/>
        <v/>
      </c>
      <c r="O345" s="95" t="str">
        <f t="shared" si="54"/>
        <v/>
      </c>
    </row>
    <row r="346" spans="1:15" x14ac:dyDescent="0.25">
      <c r="A346" s="98" t="str">
        <f t="shared" ca="1" si="62"/>
        <v/>
      </c>
      <c r="B346" s="33" t="str">
        <f t="shared" ca="1" si="55"/>
        <v/>
      </c>
      <c r="C346" s="25" t="str">
        <f t="shared" ca="1" si="56"/>
        <v/>
      </c>
      <c r="D346" s="26" t="str">
        <f t="shared" ca="1" si="57"/>
        <v/>
      </c>
      <c r="E346" s="4" t="str">
        <f t="shared" ca="1" si="58"/>
        <v/>
      </c>
      <c r="F346" s="25" t="str">
        <f t="shared" ca="1" si="59"/>
        <v/>
      </c>
      <c r="G346" s="26" t="str">
        <f t="shared" ca="1" si="60"/>
        <v/>
      </c>
      <c r="H346" s="55" t="str">
        <f t="shared" ca="1" si="61"/>
        <v/>
      </c>
      <c r="J346" s="37"/>
      <c r="N346" s="95" t="str">
        <f t="shared" si="53"/>
        <v/>
      </c>
      <c r="O346" s="95" t="str">
        <f t="shared" si="54"/>
        <v/>
      </c>
    </row>
    <row r="347" spans="1:15" x14ac:dyDescent="0.25">
      <c r="A347" s="98" t="str">
        <f t="shared" ca="1" si="62"/>
        <v/>
      </c>
      <c r="B347" s="33" t="str">
        <f t="shared" ca="1" si="55"/>
        <v/>
      </c>
      <c r="C347" s="25" t="str">
        <f t="shared" ca="1" si="56"/>
        <v/>
      </c>
      <c r="D347" s="26" t="str">
        <f t="shared" ca="1" si="57"/>
        <v/>
      </c>
      <c r="E347" s="4" t="str">
        <f t="shared" ca="1" si="58"/>
        <v/>
      </c>
      <c r="F347" s="25" t="str">
        <f t="shared" ca="1" si="59"/>
        <v/>
      </c>
      <c r="G347" s="26" t="str">
        <f t="shared" ca="1" si="60"/>
        <v/>
      </c>
      <c r="H347" s="55" t="str">
        <f t="shared" ca="1" si="61"/>
        <v/>
      </c>
      <c r="J347" s="37"/>
      <c r="N347" s="95" t="str">
        <f t="shared" si="53"/>
        <v/>
      </c>
      <c r="O347" s="95" t="str">
        <f t="shared" si="54"/>
        <v/>
      </c>
    </row>
    <row r="348" spans="1:15" x14ac:dyDescent="0.25">
      <c r="A348" s="98" t="str">
        <f t="shared" ca="1" si="62"/>
        <v/>
      </c>
      <c r="B348" s="33" t="str">
        <f t="shared" ca="1" si="55"/>
        <v/>
      </c>
      <c r="C348" s="25" t="str">
        <f t="shared" ca="1" si="56"/>
        <v/>
      </c>
      <c r="D348" s="26" t="str">
        <f t="shared" ca="1" si="57"/>
        <v/>
      </c>
      <c r="E348" s="4" t="str">
        <f t="shared" ca="1" si="58"/>
        <v/>
      </c>
      <c r="F348" s="25" t="str">
        <f t="shared" ca="1" si="59"/>
        <v/>
      </c>
      <c r="G348" s="26" t="str">
        <f t="shared" ca="1" si="60"/>
        <v/>
      </c>
      <c r="H348" s="55" t="str">
        <f t="shared" ca="1" si="61"/>
        <v/>
      </c>
      <c r="J348" s="37"/>
      <c r="N348" s="95" t="str">
        <f t="shared" si="53"/>
        <v/>
      </c>
      <c r="O348" s="95" t="str">
        <f t="shared" si="54"/>
        <v/>
      </c>
    </row>
    <row r="349" spans="1:15" x14ac:dyDescent="0.25">
      <c r="A349" s="98" t="str">
        <f t="shared" ca="1" si="62"/>
        <v/>
      </c>
      <c r="B349" s="33" t="str">
        <f t="shared" ca="1" si="55"/>
        <v/>
      </c>
      <c r="C349" s="25" t="str">
        <f t="shared" ca="1" si="56"/>
        <v/>
      </c>
      <c r="D349" s="26" t="str">
        <f t="shared" ca="1" si="57"/>
        <v/>
      </c>
      <c r="E349" s="4" t="str">
        <f t="shared" ca="1" si="58"/>
        <v/>
      </c>
      <c r="F349" s="25" t="str">
        <f t="shared" ca="1" si="59"/>
        <v/>
      </c>
      <c r="G349" s="26" t="str">
        <f t="shared" ca="1" si="60"/>
        <v/>
      </c>
      <c r="H349" s="55" t="str">
        <f t="shared" ca="1" si="61"/>
        <v/>
      </c>
      <c r="J349" s="37"/>
      <c r="N349" s="95" t="str">
        <f t="shared" si="53"/>
        <v/>
      </c>
      <c r="O349" s="95" t="str">
        <f t="shared" si="54"/>
        <v/>
      </c>
    </row>
    <row r="350" spans="1:15" x14ac:dyDescent="0.25">
      <c r="A350" s="98" t="str">
        <f t="shared" ca="1" si="62"/>
        <v/>
      </c>
      <c r="B350" s="33" t="str">
        <f t="shared" ca="1" si="55"/>
        <v/>
      </c>
      <c r="C350" s="25" t="str">
        <f t="shared" ca="1" si="56"/>
        <v/>
      </c>
      <c r="D350" s="26" t="str">
        <f t="shared" ca="1" si="57"/>
        <v/>
      </c>
      <c r="E350" s="4" t="str">
        <f t="shared" ca="1" si="58"/>
        <v/>
      </c>
      <c r="F350" s="25" t="str">
        <f t="shared" ca="1" si="59"/>
        <v/>
      </c>
      <c r="G350" s="26" t="str">
        <f t="shared" ca="1" si="60"/>
        <v/>
      </c>
      <c r="H350" s="55" t="str">
        <f t="shared" ca="1" si="61"/>
        <v/>
      </c>
      <c r="J350" s="37"/>
      <c r="N350" s="95" t="str">
        <f t="shared" si="53"/>
        <v/>
      </c>
      <c r="O350" s="95" t="str">
        <f t="shared" si="54"/>
        <v/>
      </c>
    </row>
    <row r="351" spans="1:15" x14ac:dyDescent="0.25">
      <c r="A351" s="98" t="str">
        <f t="shared" ca="1" si="62"/>
        <v/>
      </c>
      <c r="B351" s="33" t="str">
        <f t="shared" ca="1" si="55"/>
        <v/>
      </c>
      <c r="C351" s="25" t="str">
        <f t="shared" ca="1" si="56"/>
        <v/>
      </c>
      <c r="D351" s="26" t="str">
        <f t="shared" ca="1" si="57"/>
        <v/>
      </c>
      <c r="E351" s="4" t="str">
        <f t="shared" ca="1" si="58"/>
        <v/>
      </c>
      <c r="F351" s="25" t="str">
        <f t="shared" ca="1" si="59"/>
        <v/>
      </c>
      <c r="G351" s="26" t="str">
        <f t="shared" ca="1" si="60"/>
        <v/>
      </c>
      <c r="H351" s="55" t="str">
        <f t="shared" ca="1" si="61"/>
        <v/>
      </c>
      <c r="J351" s="37"/>
      <c r="N351" s="95" t="str">
        <f t="shared" si="53"/>
        <v/>
      </c>
      <c r="O351" s="95" t="str">
        <f t="shared" si="54"/>
        <v/>
      </c>
    </row>
    <row r="352" spans="1:15" x14ac:dyDescent="0.25">
      <c r="A352" s="98" t="str">
        <f t="shared" ca="1" si="62"/>
        <v/>
      </c>
      <c r="B352" s="33" t="str">
        <f t="shared" ca="1" si="55"/>
        <v/>
      </c>
      <c r="C352" s="25" t="str">
        <f t="shared" ca="1" si="56"/>
        <v/>
      </c>
      <c r="D352" s="26" t="str">
        <f t="shared" ca="1" si="57"/>
        <v/>
      </c>
      <c r="E352" s="4" t="str">
        <f t="shared" ca="1" si="58"/>
        <v/>
      </c>
      <c r="F352" s="25" t="str">
        <f t="shared" ca="1" si="59"/>
        <v/>
      </c>
      <c r="G352" s="26" t="str">
        <f t="shared" ca="1" si="60"/>
        <v/>
      </c>
      <c r="H352" s="55" t="str">
        <f t="shared" ca="1" si="61"/>
        <v/>
      </c>
      <c r="J352" s="37"/>
      <c r="N352" s="95" t="str">
        <f t="shared" si="53"/>
        <v/>
      </c>
      <c r="O352" s="95" t="str">
        <f t="shared" si="54"/>
        <v/>
      </c>
    </row>
    <row r="353" spans="1:15" x14ac:dyDescent="0.25">
      <c r="A353" s="98" t="str">
        <f t="shared" ca="1" si="62"/>
        <v/>
      </c>
      <c r="B353" s="33" t="str">
        <f t="shared" ca="1" si="55"/>
        <v/>
      </c>
      <c r="C353" s="25" t="str">
        <f t="shared" ca="1" si="56"/>
        <v/>
      </c>
      <c r="D353" s="26" t="str">
        <f t="shared" ca="1" si="57"/>
        <v/>
      </c>
      <c r="E353" s="4" t="str">
        <f t="shared" ca="1" si="58"/>
        <v/>
      </c>
      <c r="F353" s="25" t="str">
        <f t="shared" ca="1" si="59"/>
        <v/>
      </c>
      <c r="G353" s="26" t="str">
        <f t="shared" ca="1" si="60"/>
        <v/>
      </c>
      <c r="H353" s="55" t="str">
        <f t="shared" ca="1" si="61"/>
        <v/>
      </c>
      <c r="J353" s="37"/>
      <c r="N353" s="95" t="str">
        <f t="shared" si="53"/>
        <v/>
      </c>
      <c r="O353" s="95" t="str">
        <f t="shared" si="54"/>
        <v/>
      </c>
    </row>
    <row r="354" spans="1:15" x14ac:dyDescent="0.25">
      <c r="A354" s="98" t="str">
        <f t="shared" ca="1" si="62"/>
        <v/>
      </c>
      <c r="B354" s="33" t="str">
        <f t="shared" ca="1" si="55"/>
        <v/>
      </c>
      <c r="C354" s="25" t="str">
        <f t="shared" ca="1" si="56"/>
        <v/>
      </c>
      <c r="D354" s="26" t="str">
        <f t="shared" ca="1" si="57"/>
        <v/>
      </c>
      <c r="E354" s="4" t="str">
        <f t="shared" ca="1" si="58"/>
        <v/>
      </c>
      <c r="F354" s="25" t="str">
        <f t="shared" ca="1" si="59"/>
        <v/>
      </c>
      <c r="G354" s="26" t="str">
        <f t="shared" ca="1" si="60"/>
        <v/>
      </c>
      <c r="H354" s="55" t="str">
        <f t="shared" ca="1" si="61"/>
        <v/>
      </c>
      <c r="J354" s="37"/>
      <c r="N354" s="95" t="str">
        <f t="shared" si="53"/>
        <v/>
      </c>
      <c r="O354" s="95" t="str">
        <f t="shared" si="54"/>
        <v/>
      </c>
    </row>
    <row r="355" spans="1:15" x14ac:dyDescent="0.25">
      <c r="A355" s="98" t="str">
        <f t="shared" ca="1" si="62"/>
        <v/>
      </c>
      <c r="B355" s="33" t="str">
        <f t="shared" ca="1" si="55"/>
        <v/>
      </c>
      <c r="C355" s="25" t="str">
        <f t="shared" ca="1" si="56"/>
        <v/>
      </c>
      <c r="D355" s="26" t="str">
        <f t="shared" ca="1" si="57"/>
        <v/>
      </c>
      <c r="E355" s="4" t="str">
        <f t="shared" ca="1" si="58"/>
        <v/>
      </c>
      <c r="F355" s="25" t="str">
        <f t="shared" ca="1" si="59"/>
        <v/>
      </c>
      <c r="G355" s="26" t="str">
        <f t="shared" ca="1" si="60"/>
        <v/>
      </c>
      <c r="H355" s="55" t="str">
        <f t="shared" ca="1" si="61"/>
        <v/>
      </c>
      <c r="J355" s="37"/>
      <c r="N355" s="95" t="str">
        <f t="shared" si="53"/>
        <v/>
      </c>
      <c r="O355" s="95" t="str">
        <f t="shared" si="54"/>
        <v/>
      </c>
    </row>
    <row r="356" spans="1:15" x14ac:dyDescent="0.25">
      <c r="A356" s="98" t="str">
        <f t="shared" ca="1" si="62"/>
        <v/>
      </c>
      <c r="B356" s="33" t="str">
        <f t="shared" ca="1" si="55"/>
        <v/>
      </c>
      <c r="C356" s="25" t="str">
        <f t="shared" ca="1" si="56"/>
        <v/>
      </c>
      <c r="D356" s="26" t="str">
        <f t="shared" ca="1" si="57"/>
        <v/>
      </c>
      <c r="E356" s="4" t="str">
        <f t="shared" ca="1" si="58"/>
        <v/>
      </c>
      <c r="F356" s="25" t="str">
        <f t="shared" ca="1" si="59"/>
        <v/>
      </c>
      <c r="G356" s="26" t="str">
        <f t="shared" ca="1" si="60"/>
        <v/>
      </c>
      <c r="H356" s="55" t="str">
        <f t="shared" ca="1" si="61"/>
        <v/>
      </c>
      <c r="N356" s="95" t="str">
        <f t="shared" si="53"/>
        <v/>
      </c>
      <c r="O356" s="95" t="str">
        <f t="shared" si="54"/>
        <v/>
      </c>
    </row>
    <row r="357" spans="1:15" x14ac:dyDescent="0.25">
      <c r="A357" s="98" t="str">
        <f t="shared" ca="1" si="62"/>
        <v/>
      </c>
      <c r="B357" s="33" t="str">
        <f t="shared" ca="1" si="55"/>
        <v/>
      </c>
      <c r="C357" s="25" t="str">
        <f t="shared" ca="1" si="56"/>
        <v/>
      </c>
      <c r="D357" s="26" t="str">
        <f t="shared" ca="1" si="57"/>
        <v/>
      </c>
      <c r="E357" s="4" t="str">
        <f t="shared" ca="1" si="58"/>
        <v/>
      </c>
      <c r="F357" s="25" t="str">
        <f t="shared" ca="1" si="59"/>
        <v/>
      </c>
      <c r="G357" s="26" t="str">
        <f t="shared" ca="1" si="60"/>
        <v/>
      </c>
      <c r="H357" s="55" t="str">
        <f t="shared" ca="1" si="61"/>
        <v/>
      </c>
      <c r="N357" s="95" t="str">
        <f t="shared" si="53"/>
        <v/>
      </c>
      <c r="O357" s="95" t="str">
        <f t="shared" si="54"/>
        <v/>
      </c>
    </row>
    <row r="358" spans="1:15" x14ac:dyDescent="0.25">
      <c r="A358" s="98" t="str">
        <f t="shared" ca="1" si="62"/>
        <v/>
      </c>
      <c r="B358" s="33" t="str">
        <f t="shared" ca="1" si="55"/>
        <v/>
      </c>
      <c r="C358" s="25" t="str">
        <f t="shared" ca="1" si="56"/>
        <v/>
      </c>
      <c r="D358" s="26" t="str">
        <f t="shared" ca="1" si="57"/>
        <v/>
      </c>
      <c r="E358" s="4" t="str">
        <f t="shared" ca="1" si="58"/>
        <v/>
      </c>
      <c r="F358" s="25" t="str">
        <f t="shared" ca="1" si="59"/>
        <v/>
      </c>
      <c r="G358" s="26" t="str">
        <f t="shared" ca="1" si="60"/>
        <v/>
      </c>
      <c r="H358" s="55" t="str">
        <f t="shared" ca="1" si="61"/>
        <v/>
      </c>
      <c r="N358" s="95" t="str">
        <f t="shared" si="53"/>
        <v/>
      </c>
      <c r="O358" s="95" t="str">
        <f t="shared" si="54"/>
        <v/>
      </c>
    </row>
    <row r="359" spans="1:15" x14ac:dyDescent="0.25">
      <c r="A359" s="98" t="str">
        <f t="shared" ca="1" si="62"/>
        <v/>
      </c>
      <c r="B359" s="33" t="str">
        <f t="shared" ca="1" si="55"/>
        <v/>
      </c>
      <c r="C359" s="25" t="str">
        <f t="shared" ca="1" si="56"/>
        <v/>
      </c>
      <c r="D359" s="26" t="str">
        <f t="shared" ca="1" si="57"/>
        <v/>
      </c>
      <c r="E359" s="4" t="str">
        <f t="shared" ca="1" si="58"/>
        <v/>
      </c>
      <c r="F359" s="25" t="str">
        <f t="shared" ca="1" si="59"/>
        <v/>
      </c>
      <c r="G359" s="26" t="str">
        <f t="shared" ca="1" si="60"/>
        <v/>
      </c>
      <c r="H359" s="55" t="str">
        <f t="shared" ca="1" si="61"/>
        <v/>
      </c>
      <c r="N359" s="95" t="str">
        <f t="shared" si="53"/>
        <v/>
      </c>
      <c r="O359" s="95" t="str">
        <f t="shared" si="54"/>
        <v/>
      </c>
    </row>
    <row r="360" spans="1:15" x14ac:dyDescent="0.25">
      <c r="A360" s="98" t="str">
        <f t="shared" ca="1" si="62"/>
        <v/>
      </c>
      <c r="B360" s="33" t="str">
        <f t="shared" ca="1" si="55"/>
        <v/>
      </c>
      <c r="C360" s="25" t="str">
        <f t="shared" ca="1" si="56"/>
        <v/>
      </c>
      <c r="D360" s="26" t="str">
        <f t="shared" ca="1" si="57"/>
        <v/>
      </c>
      <c r="E360" s="4" t="str">
        <f t="shared" ca="1" si="58"/>
        <v/>
      </c>
      <c r="F360" s="25" t="str">
        <f t="shared" ca="1" si="59"/>
        <v/>
      </c>
      <c r="G360" s="26" t="str">
        <f t="shared" ca="1" si="60"/>
        <v/>
      </c>
      <c r="H360" s="55" t="str">
        <f t="shared" ca="1" si="61"/>
        <v/>
      </c>
      <c r="N360" s="95" t="str">
        <f t="shared" si="53"/>
        <v/>
      </c>
      <c r="O360" s="95" t="str">
        <f t="shared" si="54"/>
        <v/>
      </c>
    </row>
    <row r="361" spans="1:15" x14ac:dyDescent="0.25">
      <c r="A361" s="98" t="str">
        <f t="shared" ca="1" si="62"/>
        <v/>
      </c>
      <c r="B361" s="33" t="str">
        <f t="shared" ca="1" si="55"/>
        <v/>
      </c>
      <c r="C361" s="25" t="str">
        <f t="shared" ca="1" si="56"/>
        <v/>
      </c>
      <c r="D361" s="26" t="str">
        <f t="shared" ca="1" si="57"/>
        <v/>
      </c>
      <c r="E361" s="4" t="str">
        <f t="shared" ca="1" si="58"/>
        <v/>
      </c>
      <c r="F361" s="25" t="str">
        <f t="shared" ca="1" si="59"/>
        <v/>
      </c>
      <c r="G361" s="26" t="str">
        <f t="shared" ca="1" si="60"/>
        <v/>
      </c>
      <c r="H361" s="55" t="str">
        <f t="shared" ca="1" si="61"/>
        <v/>
      </c>
      <c r="N361" s="95" t="str">
        <f t="shared" si="53"/>
        <v/>
      </c>
      <c r="O361" s="95" t="str">
        <f t="shared" si="54"/>
        <v/>
      </c>
    </row>
    <row r="362" spans="1:15" x14ac:dyDescent="0.25">
      <c r="A362" s="98" t="str">
        <f t="shared" ca="1" si="62"/>
        <v/>
      </c>
      <c r="B362" s="33" t="str">
        <f t="shared" ca="1" si="55"/>
        <v/>
      </c>
      <c r="C362" s="25" t="str">
        <f t="shared" ca="1" si="56"/>
        <v/>
      </c>
      <c r="D362" s="26" t="str">
        <f t="shared" ca="1" si="57"/>
        <v/>
      </c>
      <c r="E362" s="4" t="str">
        <f t="shared" ca="1" si="58"/>
        <v/>
      </c>
      <c r="F362" s="25" t="str">
        <f t="shared" ca="1" si="59"/>
        <v/>
      </c>
      <c r="G362" s="26" t="str">
        <f t="shared" ca="1" si="60"/>
        <v/>
      </c>
      <c r="H362" s="55" t="str">
        <f t="shared" ca="1" si="61"/>
        <v/>
      </c>
      <c r="N362" s="95" t="str">
        <f t="shared" si="53"/>
        <v/>
      </c>
      <c r="O362" s="95" t="str">
        <f t="shared" si="54"/>
        <v/>
      </c>
    </row>
    <row r="363" spans="1:15" x14ac:dyDescent="0.25">
      <c r="A363" s="98" t="str">
        <f t="shared" ca="1" si="62"/>
        <v/>
      </c>
      <c r="B363" s="33" t="str">
        <f t="shared" ca="1" si="55"/>
        <v/>
      </c>
      <c r="C363" s="25" t="str">
        <f t="shared" ca="1" si="56"/>
        <v/>
      </c>
      <c r="D363" s="26" t="str">
        <f t="shared" ca="1" si="57"/>
        <v/>
      </c>
      <c r="E363" s="4" t="str">
        <f t="shared" ca="1" si="58"/>
        <v/>
      </c>
      <c r="F363" s="25" t="str">
        <f t="shared" ca="1" si="59"/>
        <v/>
      </c>
      <c r="G363" s="26" t="str">
        <f t="shared" ca="1" si="60"/>
        <v/>
      </c>
      <c r="H363" s="55" t="str">
        <f t="shared" ca="1" si="61"/>
        <v/>
      </c>
      <c r="N363" s="95" t="str">
        <f t="shared" si="53"/>
        <v/>
      </c>
      <c r="O363" s="95" t="str">
        <f t="shared" si="54"/>
        <v/>
      </c>
    </row>
    <row r="364" spans="1:15" x14ac:dyDescent="0.25">
      <c r="A364" s="98" t="str">
        <f t="shared" ca="1" si="62"/>
        <v/>
      </c>
      <c r="B364" s="33" t="str">
        <f t="shared" ca="1" si="55"/>
        <v/>
      </c>
      <c r="C364" s="25" t="str">
        <f t="shared" ca="1" si="56"/>
        <v/>
      </c>
      <c r="D364" s="26" t="str">
        <f t="shared" ca="1" si="57"/>
        <v/>
      </c>
      <c r="E364" s="4" t="str">
        <f t="shared" ca="1" si="58"/>
        <v/>
      </c>
      <c r="F364" s="25" t="str">
        <f t="shared" ca="1" si="59"/>
        <v/>
      </c>
      <c r="G364" s="26" t="str">
        <f t="shared" ca="1" si="60"/>
        <v/>
      </c>
      <c r="H364" s="55" t="str">
        <f t="shared" ca="1" si="61"/>
        <v/>
      </c>
      <c r="N364" s="95" t="str">
        <f t="shared" si="53"/>
        <v/>
      </c>
      <c r="O364" s="95" t="str">
        <f t="shared" si="54"/>
        <v/>
      </c>
    </row>
    <row r="365" spans="1:15" x14ac:dyDescent="0.25">
      <c r="A365" s="98" t="str">
        <f t="shared" ca="1" si="62"/>
        <v/>
      </c>
      <c r="B365" s="33" t="str">
        <f t="shared" ca="1" si="55"/>
        <v/>
      </c>
      <c r="C365" s="25" t="str">
        <f t="shared" ca="1" si="56"/>
        <v/>
      </c>
      <c r="D365" s="26" t="str">
        <f t="shared" ca="1" si="57"/>
        <v/>
      </c>
      <c r="E365" s="4" t="str">
        <f t="shared" ca="1" si="58"/>
        <v/>
      </c>
      <c r="F365" s="25" t="str">
        <f t="shared" ca="1" si="59"/>
        <v/>
      </c>
      <c r="G365" s="26" t="str">
        <f t="shared" ca="1" si="60"/>
        <v/>
      </c>
      <c r="H365" s="55" t="str">
        <f t="shared" ca="1" si="61"/>
        <v/>
      </c>
      <c r="N365" s="95" t="str">
        <f t="shared" si="53"/>
        <v/>
      </c>
      <c r="O365" s="95" t="str">
        <f t="shared" si="54"/>
        <v/>
      </c>
    </row>
    <row r="366" spans="1:15" x14ac:dyDescent="0.25">
      <c r="A366" s="98" t="str">
        <f t="shared" ca="1" si="62"/>
        <v/>
      </c>
      <c r="B366" s="33" t="str">
        <f t="shared" ca="1" si="55"/>
        <v/>
      </c>
      <c r="C366" s="25" t="str">
        <f t="shared" ca="1" si="56"/>
        <v/>
      </c>
      <c r="D366" s="26" t="str">
        <f t="shared" ca="1" si="57"/>
        <v/>
      </c>
      <c r="E366" s="4" t="str">
        <f t="shared" ca="1" si="58"/>
        <v/>
      </c>
      <c r="F366" s="25" t="str">
        <f t="shared" ca="1" si="59"/>
        <v/>
      </c>
      <c r="G366" s="26" t="str">
        <f t="shared" ca="1" si="60"/>
        <v/>
      </c>
      <c r="H366" s="55" t="str">
        <f t="shared" ca="1" si="61"/>
        <v/>
      </c>
      <c r="N366" s="95" t="str">
        <f t="shared" si="53"/>
        <v/>
      </c>
      <c r="O366" s="95" t="str">
        <f t="shared" si="54"/>
        <v/>
      </c>
    </row>
    <row r="367" spans="1:15" x14ac:dyDescent="0.25">
      <c r="A367" s="98" t="str">
        <f t="shared" ca="1" si="62"/>
        <v/>
      </c>
      <c r="B367" s="33" t="str">
        <f t="shared" ca="1" si="55"/>
        <v/>
      </c>
      <c r="C367" s="25" t="str">
        <f t="shared" ca="1" si="56"/>
        <v/>
      </c>
      <c r="D367" s="26" t="str">
        <f t="shared" ca="1" si="57"/>
        <v/>
      </c>
      <c r="E367" s="4" t="str">
        <f t="shared" ca="1" si="58"/>
        <v/>
      </c>
      <c r="F367" s="25" t="str">
        <f t="shared" ca="1" si="59"/>
        <v/>
      </c>
      <c r="G367" s="26" t="str">
        <f t="shared" ca="1" si="60"/>
        <v/>
      </c>
      <c r="H367" s="55" t="str">
        <f t="shared" ca="1" si="61"/>
        <v/>
      </c>
      <c r="N367" s="95" t="str">
        <f t="shared" si="53"/>
        <v/>
      </c>
      <c r="O367" s="95" t="str">
        <f t="shared" si="54"/>
        <v/>
      </c>
    </row>
    <row r="368" spans="1:15" x14ac:dyDescent="0.25">
      <c r="A368" s="98" t="str">
        <f t="shared" ca="1" si="62"/>
        <v/>
      </c>
      <c r="B368" s="33" t="str">
        <f t="shared" ca="1" si="55"/>
        <v/>
      </c>
      <c r="C368" s="25" t="str">
        <f t="shared" ca="1" si="56"/>
        <v/>
      </c>
      <c r="D368" s="26" t="str">
        <f t="shared" ca="1" si="57"/>
        <v/>
      </c>
      <c r="E368" s="4" t="str">
        <f t="shared" ca="1" si="58"/>
        <v/>
      </c>
      <c r="F368" s="25" t="str">
        <f t="shared" ca="1" si="59"/>
        <v/>
      </c>
      <c r="G368" s="26" t="str">
        <f t="shared" ca="1" si="60"/>
        <v/>
      </c>
      <c r="H368" s="55" t="str">
        <f t="shared" ca="1" si="61"/>
        <v/>
      </c>
      <c r="N368" s="95" t="str">
        <f t="shared" si="53"/>
        <v/>
      </c>
      <c r="O368" s="95" t="str">
        <f t="shared" si="54"/>
        <v/>
      </c>
    </row>
    <row r="369" spans="1:15" x14ac:dyDescent="0.25">
      <c r="A369" s="98" t="str">
        <f t="shared" ca="1" si="62"/>
        <v/>
      </c>
      <c r="B369" s="33" t="str">
        <f t="shared" ca="1" si="55"/>
        <v/>
      </c>
      <c r="C369" s="25" t="str">
        <f t="shared" ca="1" si="56"/>
        <v/>
      </c>
      <c r="D369" s="26" t="str">
        <f t="shared" ca="1" si="57"/>
        <v/>
      </c>
      <c r="E369" s="4" t="str">
        <f t="shared" ca="1" si="58"/>
        <v/>
      </c>
      <c r="F369" s="25" t="str">
        <f t="shared" ca="1" si="59"/>
        <v/>
      </c>
      <c r="G369" s="26" t="str">
        <f t="shared" ca="1" si="60"/>
        <v/>
      </c>
      <c r="H369" s="55" t="str">
        <f t="shared" ca="1" si="61"/>
        <v/>
      </c>
      <c r="N369" s="95" t="str">
        <f t="shared" si="53"/>
        <v/>
      </c>
      <c r="O369" s="95" t="str">
        <f t="shared" si="54"/>
        <v/>
      </c>
    </row>
    <row r="370" spans="1:15" x14ac:dyDescent="0.25">
      <c r="A370" s="98" t="str">
        <f t="shared" ca="1" si="62"/>
        <v/>
      </c>
      <c r="B370" s="33" t="str">
        <f t="shared" ca="1" si="55"/>
        <v/>
      </c>
      <c r="C370" s="25" t="str">
        <f t="shared" ca="1" si="56"/>
        <v/>
      </c>
      <c r="D370" s="26" t="str">
        <f t="shared" ca="1" si="57"/>
        <v/>
      </c>
      <c r="E370" s="4" t="str">
        <f t="shared" ca="1" si="58"/>
        <v/>
      </c>
      <c r="F370" s="25" t="str">
        <f t="shared" ca="1" si="59"/>
        <v/>
      </c>
      <c r="G370" s="26" t="str">
        <f t="shared" ca="1" si="60"/>
        <v/>
      </c>
      <c r="H370" s="55" t="str">
        <f t="shared" ca="1" si="61"/>
        <v/>
      </c>
      <c r="N370" s="95" t="str">
        <f t="shared" si="53"/>
        <v/>
      </c>
      <c r="O370" s="95" t="str">
        <f t="shared" si="54"/>
        <v/>
      </c>
    </row>
    <row r="371" spans="1:15" x14ac:dyDescent="0.25">
      <c r="A371" s="98" t="str">
        <f t="shared" ca="1" si="62"/>
        <v/>
      </c>
      <c r="B371" s="33" t="str">
        <f t="shared" ca="1" si="55"/>
        <v/>
      </c>
      <c r="C371" s="25" t="str">
        <f t="shared" ca="1" si="56"/>
        <v/>
      </c>
      <c r="D371" s="26" t="str">
        <f t="shared" ca="1" si="57"/>
        <v/>
      </c>
      <c r="E371" s="4" t="str">
        <f t="shared" ca="1" si="58"/>
        <v/>
      </c>
      <c r="F371" s="25" t="str">
        <f t="shared" ca="1" si="59"/>
        <v/>
      </c>
      <c r="G371" s="26" t="str">
        <f t="shared" ca="1" si="60"/>
        <v/>
      </c>
      <c r="H371" s="55" t="str">
        <f t="shared" ca="1" si="61"/>
        <v/>
      </c>
      <c r="N371" s="95" t="str">
        <f t="shared" si="53"/>
        <v/>
      </c>
      <c r="O371" s="95" t="str">
        <f t="shared" si="54"/>
        <v/>
      </c>
    </row>
    <row r="372" spans="1:15" x14ac:dyDescent="0.25">
      <c r="A372" s="98" t="str">
        <f t="shared" ca="1" si="62"/>
        <v/>
      </c>
      <c r="B372" s="33" t="str">
        <f t="shared" ca="1" si="55"/>
        <v/>
      </c>
      <c r="C372" s="25" t="str">
        <f t="shared" ca="1" si="56"/>
        <v/>
      </c>
      <c r="D372" s="26" t="str">
        <f t="shared" ca="1" si="57"/>
        <v/>
      </c>
      <c r="E372" s="4" t="str">
        <f t="shared" ca="1" si="58"/>
        <v/>
      </c>
      <c r="F372" s="25" t="str">
        <f t="shared" ca="1" si="59"/>
        <v/>
      </c>
      <c r="G372" s="26" t="str">
        <f t="shared" ca="1" si="60"/>
        <v/>
      </c>
      <c r="H372" s="55" t="str">
        <f t="shared" ca="1" si="61"/>
        <v/>
      </c>
      <c r="N372" s="95" t="str">
        <f t="shared" si="53"/>
        <v/>
      </c>
      <c r="O372" s="95" t="str">
        <f t="shared" si="54"/>
        <v/>
      </c>
    </row>
    <row r="373" spans="1:15" x14ac:dyDescent="0.25">
      <c r="A373" s="98" t="str">
        <f t="shared" ca="1" si="62"/>
        <v/>
      </c>
      <c r="B373" s="33" t="str">
        <f t="shared" ca="1" si="55"/>
        <v/>
      </c>
      <c r="C373" s="25" t="str">
        <f t="shared" ca="1" si="56"/>
        <v/>
      </c>
      <c r="D373" s="26" t="str">
        <f t="shared" ca="1" si="57"/>
        <v/>
      </c>
      <c r="E373" s="4" t="str">
        <f t="shared" ca="1" si="58"/>
        <v/>
      </c>
      <c r="F373" s="25" t="str">
        <f t="shared" ca="1" si="59"/>
        <v/>
      </c>
      <c r="G373" s="26" t="str">
        <f t="shared" ca="1" si="60"/>
        <v/>
      </c>
      <c r="H373" s="55" t="str">
        <f t="shared" ca="1" si="61"/>
        <v/>
      </c>
      <c r="N373" s="95" t="str">
        <f t="shared" si="53"/>
        <v/>
      </c>
      <c r="O373" s="95" t="str">
        <f t="shared" si="54"/>
        <v/>
      </c>
    </row>
    <row r="374" spans="1:15" x14ac:dyDescent="0.25">
      <c r="A374" s="98" t="str">
        <f t="shared" ca="1" si="62"/>
        <v/>
      </c>
      <c r="B374" s="33" t="str">
        <f t="shared" ca="1" si="55"/>
        <v/>
      </c>
      <c r="C374" s="25" t="str">
        <f t="shared" ca="1" si="56"/>
        <v/>
      </c>
      <c r="D374" s="26" t="str">
        <f t="shared" ca="1" si="57"/>
        <v/>
      </c>
      <c r="E374" s="4" t="str">
        <f t="shared" ca="1" si="58"/>
        <v/>
      </c>
      <c r="F374" s="25" t="str">
        <f t="shared" ca="1" si="59"/>
        <v/>
      </c>
      <c r="G374" s="26" t="str">
        <f t="shared" ca="1" si="60"/>
        <v/>
      </c>
      <c r="H374" s="55" t="str">
        <f t="shared" ca="1" si="61"/>
        <v/>
      </c>
      <c r="N374" s="95" t="str">
        <f t="shared" si="53"/>
        <v/>
      </c>
      <c r="O374" s="95" t="str">
        <f t="shared" si="54"/>
        <v/>
      </c>
    </row>
    <row r="375" spans="1:15" x14ac:dyDescent="0.25">
      <c r="A375" s="98" t="str">
        <f t="shared" ca="1" si="62"/>
        <v/>
      </c>
      <c r="B375" s="33" t="str">
        <f t="shared" ca="1" si="55"/>
        <v/>
      </c>
      <c r="C375" s="25" t="str">
        <f t="shared" ca="1" si="56"/>
        <v/>
      </c>
      <c r="D375" s="26" t="str">
        <f t="shared" ca="1" si="57"/>
        <v/>
      </c>
      <c r="E375" s="4" t="str">
        <f t="shared" ca="1" si="58"/>
        <v/>
      </c>
      <c r="F375" s="25" t="str">
        <f t="shared" ca="1" si="59"/>
        <v/>
      </c>
      <c r="G375" s="26" t="str">
        <f t="shared" ca="1" si="60"/>
        <v/>
      </c>
      <c r="H375" s="55" t="str">
        <f t="shared" ca="1" si="61"/>
        <v/>
      </c>
      <c r="N375" s="95" t="str">
        <f t="shared" si="53"/>
        <v/>
      </c>
      <c r="O375" s="95" t="str">
        <f t="shared" si="54"/>
        <v/>
      </c>
    </row>
    <row r="376" spans="1:15" x14ac:dyDescent="0.25">
      <c r="A376" s="98" t="str">
        <f t="shared" ca="1" si="62"/>
        <v/>
      </c>
      <c r="B376" s="33" t="str">
        <f t="shared" ca="1" si="55"/>
        <v/>
      </c>
      <c r="C376" s="25" t="str">
        <f t="shared" ca="1" si="56"/>
        <v/>
      </c>
      <c r="D376" s="26" t="str">
        <f t="shared" ca="1" si="57"/>
        <v/>
      </c>
      <c r="E376" s="4" t="str">
        <f t="shared" ca="1" si="58"/>
        <v/>
      </c>
      <c r="F376" s="25" t="str">
        <f t="shared" ca="1" si="59"/>
        <v/>
      </c>
      <c r="G376" s="26" t="str">
        <f t="shared" ca="1" si="60"/>
        <v/>
      </c>
      <c r="H376" s="55" t="str">
        <f t="shared" ca="1" si="61"/>
        <v/>
      </c>
      <c r="N376" s="95" t="str">
        <f t="shared" si="53"/>
        <v/>
      </c>
      <c r="O376" s="95" t="str">
        <f t="shared" si="54"/>
        <v/>
      </c>
    </row>
    <row r="377" spans="1:15" x14ac:dyDescent="0.25">
      <c r="A377" s="98" t="str">
        <f t="shared" ca="1" si="62"/>
        <v/>
      </c>
      <c r="B377" s="33" t="str">
        <f t="shared" ca="1" si="55"/>
        <v/>
      </c>
      <c r="C377" s="25" t="str">
        <f t="shared" ca="1" si="56"/>
        <v/>
      </c>
      <c r="D377" s="26" t="str">
        <f t="shared" ca="1" si="57"/>
        <v/>
      </c>
      <c r="E377" s="4" t="str">
        <f t="shared" ca="1" si="58"/>
        <v/>
      </c>
      <c r="F377" s="25" t="str">
        <f t="shared" ca="1" si="59"/>
        <v/>
      </c>
      <c r="G377" s="26" t="str">
        <f t="shared" ca="1" si="60"/>
        <v/>
      </c>
      <c r="H377" s="55" t="str">
        <f t="shared" ca="1" si="61"/>
        <v/>
      </c>
      <c r="N377" s="95" t="str">
        <f t="shared" si="53"/>
        <v/>
      </c>
      <c r="O377" s="95" t="str">
        <f t="shared" si="54"/>
        <v/>
      </c>
    </row>
    <row r="378" spans="1:15" x14ac:dyDescent="0.25">
      <c r="A378" s="98" t="str">
        <f t="shared" ca="1" si="62"/>
        <v/>
      </c>
      <c r="B378" s="33" t="str">
        <f t="shared" ca="1" si="55"/>
        <v/>
      </c>
      <c r="C378" s="25" t="str">
        <f t="shared" ca="1" si="56"/>
        <v/>
      </c>
      <c r="D378" s="26" t="str">
        <f t="shared" ca="1" si="57"/>
        <v/>
      </c>
      <c r="E378" s="4" t="str">
        <f t="shared" ca="1" si="58"/>
        <v/>
      </c>
      <c r="F378" s="25" t="str">
        <f t="shared" ca="1" si="59"/>
        <v/>
      </c>
      <c r="G378" s="26" t="str">
        <f t="shared" ca="1" si="60"/>
        <v/>
      </c>
      <c r="H378" s="55" t="str">
        <f t="shared" ca="1" si="61"/>
        <v/>
      </c>
      <c r="N378" s="95" t="str">
        <f t="shared" si="53"/>
        <v/>
      </c>
      <c r="O378" s="95" t="str">
        <f t="shared" si="54"/>
        <v/>
      </c>
    </row>
    <row r="379" spans="1:15" x14ac:dyDescent="0.25">
      <c r="A379" s="98" t="str">
        <f t="shared" ca="1" si="62"/>
        <v/>
      </c>
      <c r="B379" s="33" t="str">
        <f t="shared" ca="1" si="55"/>
        <v/>
      </c>
      <c r="C379" s="25" t="str">
        <f t="shared" ca="1" si="56"/>
        <v/>
      </c>
      <c r="D379" s="26" t="str">
        <f t="shared" ca="1" si="57"/>
        <v/>
      </c>
      <c r="E379" s="4" t="str">
        <f t="shared" ca="1" si="58"/>
        <v/>
      </c>
      <c r="F379" s="25" t="str">
        <f t="shared" ca="1" si="59"/>
        <v/>
      </c>
      <c r="G379" s="26" t="str">
        <f t="shared" ca="1" si="60"/>
        <v/>
      </c>
      <c r="H379" s="55" t="str">
        <f t="shared" ca="1" si="61"/>
        <v/>
      </c>
      <c r="N379" s="95" t="str">
        <f t="shared" si="53"/>
        <v/>
      </c>
      <c r="O379" s="95" t="str">
        <f t="shared" si="54"/>
        <v/>
      </c>
    </row>
    <row r="380" spans="1:15" x14ac:dyDescent="0.25">
      <c r="A380" s="98" t="str">
        <f t="shared" ca="1" si="62"/>
        <v/>
      </c>
      <c r="B380" s="33" t="str">
        <f t="shared" ca="1" si="55"/>
        <v/>
      </c>
      <c r="C380" s="25" t="str">
        <f t="shared" ca="1" si="56"/>
        <v/>
      </c>
      <c r="D380" s="26" t="str">
        <f t="shared" ca="1" si="57"/>
        <v/>
      </c>
      <c r="E380" s="4" t="str">
        <f t="shared" ca="1" si="58"/>
        <v/>
      </c>
      <c r="F380" s="25" t="str">
        <f t="shared" ca="1" si="59"/>
        <v/>
      </c>
      <c r="G380" s="26" t="str">
        <f t="shared" ca="1" si="60"/>
        <v/>
      </c>
      <c r="H380" s="55" t="str">
        <f t="shared" ca="1" si="61"/>
        <v/>
      </c>
      <c r="N380" s="95" t="str">
        <f t="shared" si="53"/>
        <v/>
      </c>
      <c r="O380" s="95" t="str">
        <f t="shared" si="54"/>
        <v/>
      </c>
    </row>
    <row r="381" spans="1:15" x14ac:dyDescent="0.25">
      <c r="A381" s="98" t="str">
        <f t="shared" ca="1" si="62"/>
        <v/>
      </c>
      <c r="B381" s="33" t="str">
        <f t="shared" ca="1" si="55"/>
        <v/>
      </c>
      <c r="C381" s="25" t="str">
        <f t="shared" ca="1" si="56"/>
        <v/>
      </c>
      <c r="D381" s="26" t="str">
        <f t="shared" ca="1" si="57"/>
        <v/>
      </c>
      <c r="E381" s="4" t="str">
        <f t="shared" ca="1" si="58"/>
        <v/>
      </c>
      <c r="F381" s="25" t="str">
        <f t="shared" ca="1" si="59"/>
        <v/>
      </c>
      <c r="G381" s="26" t="str">
        <f t="shared" ca="1" si="60"/>
        <v/>
      </c>
      <c r="H381" s="55" t="str">
        <f t="shared" ca="1" si="61"/>
        <v/>
      </c>
      <c r="N381" s="95" t="str">
        <f t="shared" si="53"/>
        <v/>
      </c>
      <c r="O381" s="95" t="str">
        <f t="shared" si="54"/>
        <v/>
      </c>
    </row>
    <row r="382" spans="1:15" x14ac:dyDescent="0.25">
      <c r="A382" s="98" t="str">
        <f t="shared" ca="1" si="62"/>
        <v/>
      </c>
      <c r="B382" s="33" t="str">
        <f t="shared" ca="1" si="55"/>
        <v/>
      </c>
      <c r="C382" s="25" t="str">
        <f t="shared" ca="1" si="56"/>
        <v/>
      </c>
      <c r="D382" s="26" t="str">
        <f t="shared" ca="1" si="57"/>
        <v/>
      </c>
      <c r="E382" s="4" t="str">
        <f t="shared" ca="1" si="58"/>
        <v/>
      </c>
      <c r="F382" s="25" t="str">
        <f t="shared" ca="1" si="59"/>
        <v/>
      </c>
      <c r="G382" s="26" t="str">
        <f t="shared" ca="1" si="60"/>
        <v/>
      </c>
      <c r="H382" s="55" t="str">
        <f t="shared" ca="1" si="61"/>
        <v/>
      </c>
      <c r="N382" s="95" t="str">
        <f t="shared" si="53"/>
        <v/>
      </c>
      <c r="O382" s="95" t="str">
        <f t="shared" si="54"/>
        <v/>
      </c>
    </row>
    <row r="383" spans="1:15" x14ac:dyDescent="0.25">
      <c r="A383" s="98" t="str">
        <f t="shared" ca="1" si="62"/>
        <v/>
      </c>
      <c r="B383" s="33" t="str">
        <f t="shared" ca="1" si="55"/>
        <v/>
      </c>
      <c r="C383" s="25" t="str">
        <f t="shared" ca="1" si="56"/>
        <v/>
      </c>
      <c r="D383" s="26" t="str">
        <f t="shared" ca="1" si="57"/>
        <v/>
      </c>
      <c r="E383" s="4" t="str">
        <f t="shared" ca="1" si="58"/>
        <v/>
      </c>
      <c r="F383" s="25" t="str">
        <f t="shared" ca="1" si="59"/>
        <v/>
      </c>
      <c r="G383" s="26" t="str">
        <f t="shared" ca="1" si="60"/>
        <v/>
      </c>
      <c r="H383" s="55" t="str">
        <f t="shared" ca="1" si="61"/>
        <v/>
      </c>
      <c r="N383" s="95" t="str">
        <f t="shared" si="53"/>
        <v/>
      </c>
      <c r="O383" s="95" t="str">
        <f t="shared" si="54"/>
        <v/>
      </c>
    </row>
    <row r="384" spans="1:15" x14ac:dyDescent="0.25">
      <c r="A384" s="98" t="str">
        <f t="shared" ca="1" si="62"/>
        <v/>
      </c>
      <c r="B384" s="33" t="str">
        <f t="shared" ca="1" si="55"/>
        <v/>
      </c>
      <c r="C384" s="25" t="str">
        <f t="shared" ca="1" si="56"/>
        <v/>
      </c>
      <c r="D384" s="26" t="str">
        <f t="shared" ca="1" si="57"/>
        <v/>
      </c>
      <c r="E384" s="4" t="str">
        <f t="shared" ca="1" si="58"/>
        <v/>
      </c>
      <c r="F384" s="25" t="str">
        <f t="shared" ca="1" si="59"/>
        <v/>
      </c>
      <c r="G384" s="26" t="str">
        <f t="shared" ca="1" si="60"/>
        <v/>
      </c>
      <c r="H384" s="55" t="str">
        <f t="shared" ca="1" si="61"/>
        <v/>
      </c>
      <c r="N384" s="95" t="str">
        <f t="shared" si="53"/>
        <v/>
      </c>
      <c r="O384" s="95" t="str">
        <f t="shared" si="54"/>
        <v/>
      </c>
    </row>
    <row r="385" spans="1:15" x14ac:dyDescent="0.25">
      <c r="A385" s="98" t="str">
        <f t="shared" ca="1" si="62"/>
        <v/>
      </c>
      <c r="B385" s="33" t="str">
        <f t="shared" ca="1" si="55"/>
        <v/>
      </c>
      <c r="C385" s="25" t="str">
        <f t="shared" ca="1" si="56"/>
        <v/>
      </c>
      <c r="D385" s="26" t="str">
        <f t="shared" ca="1" si="57"/>
        <v/>
      </c>
      <c r="E385" s="4" t="str">
        <f t="shared" ca="1" si="58"/>
        <v/>
      </c>
      <c r="F385" s="25" t="str">
        <f t="shared" ca="1" si="59"/>
        <v/>
      </c>
      <c r="G385" s="26" t="str">
        <f t="shared" ca="1" si="60"/>
        <v/>
      </c>
      <c r="H385" s="55" t="str">
        <f t="shared" ca="1" si="61"/>
        <v/>
      </c>
      <c r="N385" s="95" t="str">
        <f t="shared" si="53"/>
        <v/>
      </c>
      <c r="O385" s="95" t="str">
        <f t="shared" si="54"/>
        <v/>
      </c>
    </row>
    <row r="386" spans="1:15" x14ac:dyDescent="0.25">
      <c r="A386" s="98" t="str">
        <f t="shared" ca="1" si="62"/>
        <v/>
      </c>
      <c r="B386" s="33" t="str">
        <f t="shared" ca="1" si="55"/>
        <v/>
      </c>
      <c r="C386" s="25" t="str">
        <f t="shared" ca="1" si="56"/>
        <v/>
      </c>
      <c r="D386" s="26" t="str">
        <f t="shared" ca="1" si="57"/>
        <v/>
      </c>
      <c r="E386" s="4" t="str">
        <f t="shared" ca="1" si="58"/>
        <v/>
      </c>
      <c r="F386" s="25" t="str">
        <f t="shared" ca="1" si="59"/>
        <v/>
      </c>
      <c r="G386" s="26" t="str">
        <f t="shared" ca="1" si="60"/>
        <v/>
      </c>
      <c r="H386" s="55" t="str">
        <f t="shared" ca="1" si="61"/>
        <v/>
      </c>
      <c r="N386" s="95" t="str">
        <f t="shared" si="53"/>
        <v/>
      </c>
      <c r="O386" s="95" t="str">
        <f t="shared" si="54"/>
        <v/>
      </c>
    </row>
    <row r="387" spans="1:15" x14ac:dyDescent="0.25">
      <c r="A387" s="98" t="str">
        <f t="shared" ca="1" si="62"/>
        <v/>
      </c>
      <c r="B387" s="33" t="str">
        <f t="shared" ca="1" si="55"/>
        <v/>
      </c>
      <c r="C387" s="25" t="str">
        <f t="shared" ca="1" si="56"/>
        <v/>
      </c>
      <c r="D387" s="26" t="str">
        <f t="shared" ca="1" si="57"/>
        <v/>
      </c>
      <c r="E387" s="4" t="str">
        <f t="shared" ca="1" si="58"/>
        <v/>
      </c>
      <c r="F387" s="25" t="str">
        <f t="shared" ca="1" si="59"/>
        <v/>
      </c>
      <c r="G387" s="26" t="str">
        <f t="shared" ca="1" si="60"/>
        <v/>
      </c>
      <c r="H387" s="55" t="str">
        <f t="shared" ca="1" si="61"/>
        <v/>
      </c>
      <c r="N387" s="95" t="str">
        <f t="shared" si="53"/>
        <v/>
      </c>
      <c r="O387" s="95" t="str">
        <f t="shared" si="54"/>
        <v/>
      </c>
    </row>
    <row r="388" spans="1:15" x14ac:dyDescent="0.25">
      <c r="A388" s="98" t="str">
        <f t="shared" ca="1" si="62"/>
        <v/>
      </c>
      <c r="B388" s="33" t="str">
        <f t="shared" ca="1" si="55"/>
        <v/>
      </c>
      <c r="C388" s="25" t="str">
        <f t="shared" ca="1" si="56"/>
        <v/>
      </c>
      <c r="D388" s="26" t="str">
        <f t="shared" ca="1" si="57"/>
        <v/>
      </c>
      <c r="E388" s="4" t="str">
        <f t="shared" ca="1" si="58"/>
        <v/>
      </c>
      <c r="F388" s="25" t="str">
        <f t="shared" ca="1" si="59"/>
        <v/>
      </c>
      <c r="G388" s="26" t="str">
        <f t="shared" ca="1" si="60"/>
        <v/>
      </c>
      <c r="H388" s="55" t="str">
        <f t="shared" ca="1" si="61"/>
        <v/>
      </c>
      <c r="N388" s="95" t="str">
        <f t="shared" ref="N388:N451" si="63">IF(COUNTIF(L:L,J388)=1,J388,"")</f>
        <v/>
      </c>
      <c r="O388" s="95" t="str">
        <f t="shared" ref="O388:O451" si="64">IF(N388&gt;$A$14,N388,"")</f>
        <v/>
      </c>
    </row>
    <row r="389" spans="1:15" x14ac:dyDescent="0.25">
      <c r="A389" s="98" t="str">
        <f t="shared" ca="1" si="62"/>
        <v/>
      </c>
      <c r="B389" s="33" t="str">
        <f t="shared" ca="1" si="55"/>
        <v/>
      </c>
      <c r="C389" s="25" t="str">
        <f t="shared" ca="1" si="56"/>
        <v/>
      </c>
      <c r="D389" s="26" t="str">
        <f t="shared" ca="1" si="57"/>
        <v/>
      </c>
      <c r="E389" s="4" t="str">
        <f t="shared" ca="1" si="58"/>
        <v/>
      </c>
      <c r="F389" s="25" t="str">
        <f t="shared" ca="1" si="59"/>
        <v/>
      </c>
      <c r="G389" s="26" t="str">
        <f t="shared" ca="1" si="60"/>
        <v/>
      </c>
      <c r="H389" s="55" t="str">
        <f t="shared" ca="1" si="61"/>
        <v/>
      </c>
      <c r="N389" s="95" t="str">
        <f t="shared" si="63"/>
        <v/>
      </c>
      <c r="O389" s="95" t="str">
        <f t="shared" si="64"/>
        <v/>
      </c>
    </row>
    <row r="390" spans="1:15" x14ac:dyDescent="0.25">
      <c r="A390" s="98" t="str">
        <f t="shared" ca="1" si="62"/>
        <v/>
      </c>
      <c r="B390" s="33" t="str">
        <f t="shared" ca="1" si="55"/>
        <v/>
      </c>
      <c r="C390" s="25" t="str">
        <f t="shared" ca="1" si="56"/>
        <v/>
      </c>
      <c r="D390" s="26" t="str">
        <f t="shared" ca="1" si="57"/>
        <v/>
      </c>
      <c r="E390" s="4" t="str">
        <f t="shared" ca="1" si="58"/>
        <v/>
      </c>
      <c r="F390" s="25" t="str">
        <f t="shared" ca="1" si="59"/>
        <v/>
      </c>
      <c r="G390" s="26" t="str">
        <f t="shared" ca="1" si="60"/>
        <v/>
      </c>
      <c r="H390" s="55" t="str">
        <f t="shared" ca="1" si="61"/>
        <v/>
      </c>
      <c r="N390" s="95" t="str">
        <f t="shared" si="63"/>
        <v/>
      </c>
      <c r="O390" s="95" t="str">
        <f t="shared" si="64"/>
        <v/>
      </c>
    </row>
    <row r="391" spans="1:15" x14ac:dyDescent="0.25">
      <c r="A391" s="98" t="str">
        <f t="shared" ca="1" si="62"/>
        <v/>
      </c>
      <c r="B391" s="33" t="str">
        <f t="shared" ca="1" si="55"/>
        <v/>
      </c>
      <c r="C391" s="25" t="str">
        <f t="shared" ca="1" si="56"/>
        <v/>
      </c>
      <c r="D391" s="26" t="str">
        <f t="shared" ca="1" si="57"/>
        <v/>
      </c>
      <c r="E391" s="4" t="str">
        <f t="shared" ca="1" si="58"/>
        <v/>
      </c>
      <c r="F391" s="25" t="str">
        <f t="shared" ca="1" si="59"/>
        <v/>
      </c>
      <c r="G391" s="26" t="str">
        <f t="shared" ca="1" si="60"/>
        <v/>
      </c>
      <c r="H391" s="55" t="str">
        <f t="shared" ca="1" si="61"/>
        <v/>
      </c>
      <c r="N391" s="95" t="str">
        <f t="shared" si="63"/>
        <v/>
      </c>
      <c r="O391" s="95" t="str">
        <f t="shared" si="64"/>
        <v/>
      </c>
    </row>
    <row r="392" spans="1:15" x14ac:dyDescent="0.25">
      <c r="A392" s="98" t="str">
        <f t="shared" ca="1" si="62"/>
        <v/>
      </c>
      <c r="B392" s="33" t="str">
        <f t="shared" ca="1" si="55"/>
        <v/>
      </c>
      <c r="C392" s="25" t="str">
        <f t="shared" ca="1" si="56"/>
        <v/>
      </c>
      <c r="D392" s="26" t="str">
        <f t="shared" ca="1" si="57"/>
        <v/>
      </c>
      <c r="E392" s="4" t="str">
        <f t="shared" ca="1" si="58"/>
        <v/>
      </c>
      <c r="F392" s="25" t="str">
        <f t="shared" ca="1" si="59"/>
        <v/>
      </c>
      <c r="G392" s="26" t="str">
        <f t="shared" ca="1" si="60"/>
        <v/>
      </c>
      <c r="H392" s="55" t="str">
        <f t="shared" ca="1" si="61"/>
        <v/>
      </c>
      <c r="N392" s="95" t="str">
        <f t="shared" si="63"/>
        <v/>
      </c>
      <c r="O392" s="95" t="str">
        <f t="shared" si="64"/>
        <v/>
      </c>
    </row>
    <row r="393" spans="1:15" x14ac:dyDescent="0.25">
      <c r="A393" s="98" t="str">
        <f t="shared" ca="1" si="62"/>
        <v/>
      </c>
      <c r="B393" s="33" t="str">
        <f t="shared" ca="1" si="55"/>
        <v/>
      </c>
      <c r="C393" s="25" t="str">
        <f t="shared" ca="1" si="56"/>
        <v/>
      </c>
      <c r="D393" s="26" t="str">
        <f t="shared" ca="1" si="57"/>
        <v/>
      </c>
      <c r="E393" s="4" t="str">
        <f t="shared" ca="1" si="58"/>
        <v/>
      </c>
      <c r="F393" s="25" t="str">
        <f t="shared" ca="1" si="59"/>
        <v/>
      </c>
      <c r="G393" s="26" t="str">
        <f t="shared" ca="1" si="60"/>
        <v/>
      </c>
      <c r="H393" s="55" t="str">
        <f t="shared" ca="1" si="61"/>
        <v/>
      </c>
      <c r="N393" s="95" t="str">
        <f t="shared" si="63"/>
        <v/>
      </c>
      <c r="O393" s="95" t="str">
        <f t="shared" si="64"/>
        <v/>
      </c>
    </row>
    <row r="394" spans="1:15" x14ac:dyDescent="0.25">
      <c r="A394" s="98" t="str">
        <f t="shared" ca="1" si="62"/>
        <v/>
      </c>
      <c r="B394" s="33" t="str">
        <f t="shared" ref="B394:B457" ca="1" si="65">IF(COUNTIF(J:J,A394)=1,VLOOKUP(A394,J:K,2), IF(COUNTIF(J:J,A394)=0,$B$10,""))</f>
        <v/>
      </c>
      <c r="C394" s="25" t="str">
        <f t="shared" ref="C394:C457" ca="1" si="66">IF(ISERROR(B394-2),"",(B394-$B$14)/100*$B$5)</f>
        <v/>
      </c>
      <c r="D394" s="26" t="str">
        <f t="shared" ref="D394:D457" ca="1" si="67">IF(ISERROR(B394-2),"",(INT(A394)-INT($A$14))/360*$B$6*$B$5-(INT(A394)-INT($A$14))/360*$B$7*$B$5*$B$14/100)</f>
        <v/>
      </c>
      <c r="E394" s="4" t="str">
        <f t="shared" ref="E394:E457" ca="1" si="68">IF(COUNTIF(L:L,A394)=1,VLOOKUP(A394,L:M,2), IF(COUNTIF(L:L,A394)=0,$C$10,""))</f>
        <v/>
      </c>
      <c r="F394" s="25" t="str">
        <f t="shared" ref="F394:F457" ca="1" si="69">IF(ISERROR(E394-2), "", (E394-$E$14)/100*$C$5)</f>
        <v/>
      </c>
      <c r="G394" s="26" t="str">
        <f t="shared" ref="G394:G457" ca="1" si="70">IF(ISERROR(E394-2),"",(INT(A394)-INT($A$14))/360*$C$6*$C$5-(INT(A394)-INT($A$14))/360*$C$7*$C$5*$E$14/100)</f>
        <v/>
      </c>
      <c r="H394" s="55" t="str">
        <f t="shared" ref="H394:H457" ca="1" si="71">IF(ISERROR(E394-2),"",C394+D394-F394-G394)</f>
        <v/>
      </c>
      <c r="N394" s="95" t="str">
        <f t="shared" si="63"/>
        <v/>
      </c>
      <c r="O394" s="95" t="str">
        <f t="shared" si="64"/>
        <v/>
      </c>
    </row>
    <row r="395" spans="1:15" x14ac:dyDescent="0.25">
      <c r="A395" s="98" t="str">
        <f t="shared" ca="1" si="62"/>
        <v/>
      </c>
      <c r="B395" s="33" t="str">
        <f t="shared" ca="1" si="65"/>
        <v/>
      </c>
      <c r="C395" s="25" t="str">
        <f t="shared" ca="1" si="66"/>
        <v/>
      </c>
      <c r="D395" s="26" t="str">
        <f t="shared" ca="1" si="67"/>
        <v/>
      </c>
      <c r="E395" s="4" t="str">
        <f t="shared" ca="1" si="68"/>
        <v/>
      </c>
      <c r="F395" s="25" t="str">
        <f t="shared" ca="1" si="69"/>
        <v/>
      </c>
      <c r="G395" s="26" t="str">
        <f t="shared" ca="1" si="70"/>
        <v/>
      </c>
      <c r="H395" s="55" t="str">
        <f t="shared" ca="1" si="71"/>
        <v/>
      </c>
      <c r="N395" s="95" t="str">
        <f t="shared" si="63"/>
        <v/>
      </c>
      <c r="O395" s="95" t="str">
        <f t="shared" si="64"/>
        <v/>
      </c>
    </row>
    <row r="396" spans="1:15" x14ac:dyDescent="0.25">
      <c r="A396" s="98" t="str">
        <f t="shared" ca="1" si="62"/>
        <v/>
      </c>
      <c r="B396" s="33" t="str">
        <f t="shared" ca="1" si="65"/>
        <v/>
      </c>
      <c r="C396" s="25" t="str">
        <f t="shared" ca="1" si="66"/>
        <v/>
      </c>
      <c r="D396" s="26" t="str">
        <f t="shared" ca="1" si="67"/>
        <v/>
      </c>
      <c r="E396" s="4" t="str">
        <f t="shared" ca="1" si="68"/>
        <v/>
      </c>
      <c r="F396" s="25" t="str">
        <f t="shared" ca="1" si="69"/>
        <v/>
      </c>
      <c r="G396" s="26" t="str">
        <f t="shared" ca="1" si="70"/>
        <v/>
      </c>
      <c r="H396" s="55" t="str">
        <f t="shared" ca="1" si="71"/>
        <v/>
      </c>
      <c r="N396" s="95" t="str">
        <f t="shared" si="63"/>
        <v/>
      </c>
      <c r="O396" s="95" t="str">
        <f t="shared" si="64"/>
        <v/>
      </c>
    </row>
    <row r="397" spans="1:15" x14ac:dyDescent="0.25">
      <c r="A397" s="98" t="str">
        <f t="shared" ca="1" si="62"/>
        <v/>
      </c>
      <c r="B397" s="33" t="str">
        <f t="shared" ca="1" si="65"/>
        <v/>
      </c>
      <c r="C397" s="25" t="str">
        <f t="shared" ca="1" si="66"/>
        <v/>
      </c>
      <c r="D397" s="26" t="str">
        <f t="shared" ca="1" si="67"/>
        <v/>
      </c>
      <c r="E397" s="4" t="str">
        <f t="shared" ca="1" si="68"/>
        <v/>
      </c>
      <c r="F397" s="25" t="str">
        <f t="shared" ca="1" si="69"/>
        <v/>
      </c>
      <c r="G397" s="26" t="str">
        <f t="shared" ca="1" si="70"/>
        <v/>
      </c>
      <c r="H397" s="55" t="str">
        <f t="shared" ca="1" si="71"/>
        <v/>
      </c>
      <c r="N397" s="95" t="str">
        <f t="shared" si="63"/>
        <v/>
      </c>
      <c r="O397" s="95" t="str">
        <f t="shared" si="64"/>
        <v/>
      </c>
    </row>
    <row r="398" spans="1:15" x14ac:dyDescent="0.25">
      <c r="A398" s="98" t="str">
        <f t="shared" ca="1" si="62"/>
        <v/>
      </c>
      <c r="B398" s="33" t="str">
        <f t="shared" ca="1" si="65"/>
        <v/>
      </c>
      <c r="C398" s="25" t="str">
        <f t="shared" ca="1" si="66"/>
        <v/>
      </c>
      <c r="D398" s="26" t="str">
        <f t="shared" ca="1" si="67"/>
        <v/>
      </c>
      <c r="E398" s="4" t="str">
        <f t="shared" ca="1" si="68"/>
        <v/>
      </c>
      <c r="F398" s="25" t="str">
        <f t="shared" ca="1" si="69"/>
        <v/>
      </c>
      <c r="G398" s="26" t="str">
        <f t="shared" ca="1" si="70"/>
        <v/>
      </c>
      <c r="H398" s="55" t="str">
        <f t="shared" ca="1" si="71"/>
        <v/>
      </c>
      <c r="N398" s="95" t="str">
        <f t="shared" si="63"/>
        <v/>
      </c>
      <c r="O398" s="95" t="str">
        <f t="shared" si="64"/>
        <v/>
      </c>
    </row>
    <row r="399" spans="1:15" x14ac:dyDescent="0.25">
      <c r="A399" s="98" t="str">
        <f t="shared" ca="1" si="62"/>
        <v/>
      </c>
      <c r="B399" s="33" t="str">
        <f t="shared" ca="1" si="65"/>
        <v/>
      </c>
      <c r="C399" s="25" t="str">
        <f t="shared" ca="1" si="66"/>
        <v/>
      </c>
      <c r="D399" s="26" t="str">
        <f t="shared" ca="1" si="67"/>
        <v/>
      </c>
      <c r="E399" s="4" t="str">
        <f t="shared" ca="1" si="68"/>
        <v/>
      </c>
      <c r="F399" s="25" t="str">
        <f t="shared" ca="1" si="69"/>
        <v/>
      </c>
      <c r="G399" s="26" t="str">
        <f t="shared" ca="1" si="70"/>
        <v/>
      </c>
      <c r="H399" s="55" t="str">
        <f t="shared" ca="1" si="71"/>
        <v/>
      </c>
      <c r="N399" s="95" t="str">
        <f t="shared" si="63"/>
        <v/>
      </c>
      <c r="O399" s="95" t="str">
        <f t="shared" si="64"/>
        <v/>
      </c>
    </row>
    <row r="400" spans="1:15" x14ac:dyDescent="0.25">
      <c r="A400" s="98" t="str">
        <f t="shared" ref="A400:A463" ca="1" si="72">IF(AND(ISBLANK(P387), A399 = $P$1),NOW(),IF(ISBLANK(P387),"",P387))</f>
        <v/>
      </c>
      <c r="B400" s="33" t="str">
        <f t="shared" ca="1" si="65"/>
        <v/>
      </c>
      <c r="C400" s="25" t="str">
        <f t="shared" ca="1" si="66"/>
        <v/>
      </c>
      <c r="D400" s="26" t="str">
        <f t="shared" ca="1" si="67"/>
        <v/>
      </c>
      <c r="E400" s="4" t="str">
        <f t="shared" ca="1" si="68"/>
        <v/>
      </c>
      <c r="F400" s="25" t="str">
        <f t="shared" ca="1" si="69"/>
        <v/>
      </c>
      <c r="G400" s="26" t="str">
        <f t="shared" ca="1" si="70"/>
        <v/>
      </c>
      <c r="H400" s="55" t="str">
        <f t="shared" ca="1" si="71"/>
        <v/>
      </c>
      <c r="N400" s="95" t="str">
        <f t="shared" si="63"/>
        <v/>
      </c>
      <c r="O400" s="95" t="str">
        <f t="shared" si="64"/>
        <v/>
      </c>
    </row>
    <row r="401" spans="1:15" x14ac:dyDescent="0.25">
      <c r="A401" s="98" t="str">
        <f t="shared" ca="1" si="72"/>
        <v/>
      </c>
      <c r="B401" s="33" t="str">
        <f t="shared" ca="1" si="65"/>
        <v/>
      </c>
      <c r="C401" s="25" t="str">
        <f t="shared" ca="1" si="66"/>
        <v/>
      </c>
      <c r="D401" s="26" t="str">
        <f t="shared" ca="1" si="67"/>
        <v/>
      </c>
      <c r="E401" s="4" t="str">
        <f t="shared" ca="1" si="68"/>
        <v/>
      </c>
      <c r="F401" s="25" t="str">
        <f t="shared" ca="1" si="69"/>
        <v/>
      </c>
      <c r="G401" s="26" t="str">
        <f t="shared" ca="1" si="70"/>
        <v/>
      </c>
      <c r="H401" s="55" t="str">
        <f t="shared" ca="1" si="71"/>
        <v/>
      </c>
      <c r="N401" s="95" t="str">
        <f t="shared" si="63"/>
        <v/>
      </c>
      <c r="O401" s="95" t="str">
        <f t="shared" si="64"/>
        <v/>
      </c>
    </row>
    <row r="402" spans="1:15" x14ac:dyDescent="0.25">
      <c r="A402" s="98" t="str">
        <f t="shared" ca="1" si="72"/>
        <v/>
      </c>
      <c r="B402" s="33" t="str">
        <f t="shared" ca="1" si="65"/>
        <v/>
      </c>
      <c r="C402" s="25" t="str">
        <f t="shared" ca="1" si="66"/>
        <v/>
      </c>
      <c r="D402" s="26" t="str">
        <f t="shared" ca="1" si="67"/>
        <v/>
      </c>
      <c r="E402" s="4" t="str">
        <f t="shared" ca="1" si="68"/>
        <v/>
      </c>
      <c r="F402" s="25" t="str">
        <f t="shared" ca="1" si="69"/>
        <v/>
      </c>
      <c r="G402" s="26" t="str">
        <f t="shared" ca="1" si="70"/>
        <v/>
      </c>
      <c r="H402" s="55" t="str">
        <f t="shared" ca="1" si="71"/>
        <v/>
      </c>
      <c r="N402" s="95" t="str">
        <f t="shared" si="63"/>
        <v/>
      </c>
      <c r="O402" s="95" t="str">
        <f t="shared" si="64"/>
        <v/>
      </c>
    </row>
    <row r="403" spans="1:15" x14ac:dyDescent="0.25">
      <c r="A403" s="98" t="str">
        <f t="shared" ca="1" si="72"/>
        <v/>
      </c>
      <c r="B403" s="33" t="str">
        <f t="shared" ca="1" si="65"/>
        <v/>
      </c>
      <c r="C403" s="25" t="str">
        <f t="shared" ca="1" si="66"/>
        <v/>
      </c>
      <c r="D403" s="26" t="str">
        <f t="shared" ca="1" si="67"/>
        <v/>
      </c>
      <c r="E403" s="4" t="str">
        <f t="shared" ca="1" si="68"/>
        <v/>
      </c>
      <c r="F403" s="25" t="str">
        <f t="shared" ca="1" si="69"/>
        <v/>
      </c>
      <c r="G403" s="26" t="str">
        <f t="shared" ca="1" si="70"/>
        <v/>
      </c>
      <c r="H403" s="55" t="str">
        <f t="shared" ca="1" si="71"/>
        <v/>
      </c>
      <c r="N403" s="95" t="str">
        <f t="shared" si="63"/>
        <v/>
      </c>
      <c r="O403" s="95" t="str">
        <f t="shared" si="64"/>
        <v/>
      </c>
    </row>
    <row r="404" spans="1:15" x14ac:dyDescent="0.25">
      <c r="A404" s="98" t="str">
        <f t="shared" ca="1" si="72"/>
        <v/>
      </c>
      <c r="B404" s="33" t="str">
        <f t="shared" ca="1" si="65"/>
        <v/>
      </c>
      <c r="C404" s="25" t="str">
        <f t="shared" ca="1" si="66"/>
        <v/>
      </c>
      <c r="D404" s="26" t="str">
        <f t="shared" ca="1" si="67"/>
        <v/>
      </c>
      <c r="E404" s="4" t="str">
        <f t="shared" ca="1" si="68"/>
        <v/>
      </c>
      <c r="F404" s="25" t="str">
        <f t="shared" ca="1" si="69"/>
        <v/>
      </c>
      <c r="G404" s="26" t="str">
        <f t="shared" ca="1" si="70"/>
        <v/>
      </c>
      <c r="H404" s="55" t="str">
        <f t="shared" ca="1" si="71"/>
        <v/>
      </c>
      <c r="N404" s="95" t="str">
        <f t="shared" si="63"/>
        <v/>
      </c>
      <c r="O404" s="95" t="str">
        <f t="shared" si="64"/>
        <v/>
      </c>
    </row>
    <row r="405" spans="1:15" x14ac:dyDescent="0.25">
      <c r="A405" s="98" t="str">
        <f t="shared" ca="1" si="72"/>
        <v/>
      </c>
      <c r="B405" s="33" t="str">
        <f t="shared" ca="1" si="65"/>
        <v/>
      </c>
      <c r="C405" s="25" t="str">
        <f t="shared" ca="1" si="66"/>
        <v/>
      </c>
      <c r="D405" s="26" t="str">
        <f t="shared" ca="1" si="67"/>
        <v/>
      </c>
      <c r="E405" s="4" t="str">
        <f t="shared" ca="1" si="68"/>
        <v/>
      </c>
      <c r="F405" s="25" t="str">
        <f t="shared" ca="1" si="69"/>
        <v/>
      </c>
      <c r="G405" s="26" t="str">
        <f t="shared" ca="1" si="70"/>
        <v/>
      </c>
      <c r="H405" s="55" t="str">
        <f t="shared" ca="1" si="71"/>
        <v/>
      </c>
      <c r="N405" s="95" t="str">
        <f t="shared" si="63"/>
        <v/>
      </c>
      <c r="O405" s="95" t="str">
        <f t="shared" si="64"/>
        <v/>
      </c>
    </row>
    <row r="406" spans="1:15" x14ac:dyDescent="0.25">
      <c r="A406" s="98" t="str">
        <f t="shared" ca="1" si="72"/>
        <v/>
      </c>
      <c r="B406" s="33" t="str">
        <f t="shared" ca="1" si="65"/>
        <v/>
      </c>
      <c r="C406" s="25" t="str">
        <f t="shared" ca="1" si="66"/>
        <v/>
      </c>
      <c r="D406" s="26" t="str">
        <f t="shared" ca="1" si="67"/>
        <v/>
      </c>
      <c r="E406" s="4" t="str">
        <f t="shared" ca="1" si="68"/>
        <v/>
      </c>
      <c r="F406" s="25" t="str">
        <f t="shared" ca="1" si="69"/>
        <v/>
      </c>
      <c r="G406" s="26" t="str">
        <f t="shared" ca="1" si="70"/>
        <v/>
      </c>
      <c r="H406" s="55" t="str">
        <f t="shared" ca="1" si="71"/>
        <v/>
      </c>
      <c r="N406" s="95" t="str">
        <f t="shared" si="63"/>
        <v/>
      </c>
      <c r="O406" s="95" t="str">
        <f t="shared" si="64"/>
        <v/>
      </c>
    </row>
    <row r="407" spans="1:15" x14ac:dyDescent="0.25">
      <c r="A407" s="98" t="str">
        <f t="shared" ca="1" si="72"/>
        <v/>
      </c>
      <c r="B407" s="33" t="str">
        <f t="shared" ca="1" si="65"/>
        <v/>
      </c>
      <c r="C407" s="25" t="str">
        <f t="shared" ca="1" si="66"/>
        <v/>
      </c>
      <c r="D407" s="26" t="str">
        <f t="shared" ca="1" si="67"/>
        <v/>
      </c>
      <c r="E407" s="4" t="str">
        <f t="shared" ca="1" si="68"/>
        <v/>
      </c>
      <c r="F407" s="25" t="str">
        <f t="shared" ca="1" si="69"/>
        <v/>
      </c>
      <c r="G407" s="26" t="str">
        <f t="shared" ca="1" si="70"/>
        <v/>
      </c>
      <c r="H407" s="55" t="str">
        <f t="shared" ca="1" si="71"/>
        <v/>
      </c>
      <c r="N407" s="95" t="str">
        <f t="shared" si="63"/>
        <v/>
      </c>
      <c r="O407" s="95" t="str">
        <f t="shared" si="64"/>
        <v/>
      </c>
    </row>
    <row r="408" spans="1:15" x14ac:dyDescent="0.25">
      <c r="A408" s="98" t="str">
        <f t="shared" ca="1" si="72"/>
        <v/>
      </c>
      <c r="B408" s="33" t="str">
        <f t="shared" ca="1" si="65"/>
        <v/>
      </c>
      <c r="C408" s="25" t="str">
        <f t="shared" ca="1" si="66"/>
        <v/>
      </c>
      <c r="D408" s="26" t="str">
        <f t="shared" ca="1" si="67"/>
        <v/>
      </c>
      <c r="E408" s="4" t="str">
        <f t="shared" ca="1" si="68"/>
        <v/>
      </c>
      <c r="F408" s="25" t="str">
        <f t="shared" ca="1" si="69"/>
        <v/>
      </c>
      <c r="G408" s="26" t="str">
        <f t="shared" ca="1" si="70"/>
        <v/>
      </c>
      <c r="H408" s="55" t="str">
        <f t="shared" ca="1" si="71"/>
        <v/>
      </c>
      <c r="N408" s="95" t="str">
        <f t="shared" si="63"/>
        <v/>
      </c>
      <c r="O408" s="95" t="str">
        <f t="shared" si="64"/>
        <v/>
      </c>
    </row>
    <row r="409" spans="1:15" x14ac:dyDescent="0.25">
      <c r="A409" s="98" t="str">
        <f t="shared" ca="1" si="72"/>
        <v/>
      </c>
      <c r="B409" s="33" t="str">
        <f t="shared" ca="1" si="65"/>
        <v/>
      </c>
      <c r="C409" s="25" t="str">
        <f t="shared" ca="1" si="66"/>
        <v/>
      </c>
      <c r="D409" s="26" t="str">
        <f t="shared" ca="1" si="67"/>
        <v/>
      </c>
      <c r="E409" s="4" t="str">
        <f t="shared" ca="1" si="68"/>
        <v/>
      </c>
      <c r="F409" s="25" t="str">
        <f t="shared" ca="1" si="69"/>
        <v/>
      </c>
      <c r="G409" s="26" t="str">
        <f t="shared" ca="1" si="70"/>
        <v/>
      </c>
      <c r="H409" s="55" t="str">
        <f t="shared" ca="1" si="71"/>
        <v/>
      </c>
      <c r="N409" s="95" t="str">
        <f t="shared" si="63"/>
        <v/>
      </c>
      <c r="O409" s="95" t="str">
        <f t="shared" si="64"/>
        <v/>
      </c>
    </row>
    <row r="410" spans="1:15" x14ac:dyDescent="0.25">
      <c r="A410" s="98" t="str">
        <f t="shared" ca="1" si="72"/>
        <v/>
      </c>
      <c r="B410" s="33" t="str">
        <f t="shared" ca="1" si="65"/>
        <v/>
      </c>
      <c r="C410" s="25" t="str">
        <f t="shared" ca="1" si="66"/>
        <v/>
      </c>
      <c r="D410" s="26" t="str">
        <f t="shared" ca="1" si="67"/>
        <v/>
      </c>
      <c r="E410" s="4" t="str">
        <f t="shared" ca="1" si="68"/>
        <v/>
      </c>
      <c r="F410" s="25" t="str">
        <f t="shared" ca="1" si="69"/>
        <v/>
      </c>
      <c r="G410" s="26" t="str">
        <f t="shared" ca="1" si="70"/>
        <v/>
      </c>
      <c r="H410" s="55" t="str">
        <f t="shared" ca="1" si="71"/>
        <v/>
      </c>
      <c r="N410" s="95" t="str">
        <f t="shared" si="63"/>
        <v/>
      </c>
      <c r="O410" s="95" t="str">
        <f t="shared" si="64"/>
        <v/>
      </c>
    </row>
    <row r="411" spans="1:15" x14ac:dyDescent="0.25">
      <c r="A411" s="98" t="str">
        <f t="shared" ca="1" si="72"/>
        <v/>
      </c>
      <c r="B411" s="33" t="str">
        <f t="shared" ca="1" si="65"/>
        <v/>
      </c>
      <c r="C411" s="25" t="str">
        <f t="shared" ca="1" si="66"/>
        <v/>
      </c>
      <c r="D411" s="26" t="str">
        <f t="shared" ca="1" si="67"/>
        <v/>
      </c>
      <c r="E411" s="4" t="str">
        <f t="shared" ca="1" si="68"/>
        <v/>
      </c>
      <c r="F411" s="25" t="str">
        <f t="shared" ca="1" si="69"/>
        <v/>
      </c>
      <c r="G411" s="26" t="str">
        <f t="shared" ca="1" si="70"/>
        <v/>
      </c>
      <c r="H411" s="55" t="str">
        <f t="shared" ca="1" si="71"/>
        <v/>
      </c>
      <c r="N411" s="95" t="str">
        <f t="shared" si="63"/>
        <v/>
      </c>
      <c r="O411" s="95" t="str">
        <f t="shared" si="64"/>
        <v/>
      </c>
    </row>
    <row r="412" spans="1:15" x14ac:dyDescent="0.25">
      <c r="A412" s="98" t="str">
        <f t="shared" ca="1" si="72"/>
        <v/>
      </c>
      <c r="B412" s="33" t="str">
        <f t="shared" ca="1" si="65"/>
        <v/>
      </c>
      <c r="C412" s="25" t="str">
        <f t="shared" ca="1" si="66"/>
        <v/>
      </c>
      <c r="D412" s="26" t="str">
        <f t="shared" ca="1" si="67"/>
        <v/>
      </c>
      <c r="E412" s="4" t="str">
        <f t="shared" ca="1" si="68"/>
        <v/>
      </c>
      <c r="F412" s="25" t="str">
        <f t="shared" ca="1" si="69"/>
        <v/>
      </c>
      <c r="G412" s="26" t="str">
        <f t="shared" ca="1" si="70"/>
        <v/>
      </c>
      <c r="H412" s="55" t="str">
        <f t="shared" ca="1" si="71"/>
        <v/>
      </c>
      <c r="N412" s="95" t="str">
        <f t="shared" si="63"/>
        <v/>
      </c>
      <c r="O412" s="95" t="str">
        <f t="shared" si="64"/>
        <v/>
      </c>
    </row>
    <row r="413" spans="1:15" x14ac:dyDescent="0.25">
      <c r="A413" s="98" t="str">
        <f t="shared" ca="1" si="72"/>
        <v/>
      </c>
      <c r="B413" s="33" t="str">
        <f t="shared" ca="1" si="65"/>
        <v/>
      </c>
      <c r="C413" s="25" t="str">
        <f t="shared" ca="1" si="66"/>
        <v/>
      </c>
      <c r="D413" s="26" t="str">
        <f t="shared" ca="1" si="67"/>
        <v/>
      </c>
      <c r="E413" s="4" t="str">
        <f t="shared" ca="1" si="68"/>
        <v/>
      </c>
      <c r="F413" s="25" t="str">
        <f t="shared" ca="1" si="69"/>
        <v/>
      </c>
      <c r="G413" s="26" t="str">
        <f t="shared" ca="1" si="70"/>
        <v/>
      </c>
      <c r="H413" s="55" t="str">
        <f t="shared" ca="1" si="71"/>
        <v/>
      </c>
      <c r="N413" s="95" t="str">
        <f t="shared" si="63"/>
        <v/>
      </c>
      <c r="O413" s="95" t="str">
        <f t="shared" si="64"/>
        <v/>
      </c>
    </row>
    <row r="414" spans="1:15" x14ac:dyDescent="0.25">
      <c r="A414" s="98" t="str">
        <f t="shared" ca="1" si="72"/>
        <v/>
      </c>
      <c r="B414" s="33" t="str">
        <f t="shared" ca="1" si="65"/>
        <v/>
      </c>
      <c r="C414" s="25" t="str">
        <f t="shared" ca="1" si="66"/>
        <v/>
      </c>
      <c r="D414" s="26" t="str">
        <f t="shared" ca="1" si="67"/>
        <v/>
      </c>
      <c r="E414" s="4" t="str">
        <f t="shared" ca="1" si="68"/>
        <v/>
      </c>
      <c r="F414" s="25" t="str">
        <f t="shared" ca="1" si="69"/>
        <v/>
      </c>
      <c r="G414" s="26" t="str">
        <f t="shared" ca="1" si="70"/>
        <v/>
      </c>
      <c r="H414" s="55" t="str">
        <f t="shared" ca="1" si="71"/>
        <v/>
      </c>
      <c r="N414" s="95" t="str">
        <f t="shared" si="63"/>
        <v/>
      </c>
      <c r="O414" s="95" t="str">
        <f t="shared" si="64"/>
        <v/>
      </c>
    </row>
    <row r="415" spans="1:15" x14ac:dyDescent="0.25">
      <c r="A415" s="98" t="str">
        <f t="shared" ca="1" si="72"/>
        <v/>
      </c>
      <c r="B415" s="33" t="str">
        <f t="shared" ca="1" si="65"/>
        <v/>
      </c>
      <c r="C415" s="25" t="str">
        <f t="shared" ca="1" si="66"/>
        <v/>
      </c>
      <c r="D415" s="26" t="str">
        <f t="shared" ca="1" si="67"/>
        <v/>
      </c>
      <c r="E415" s="4" t="str">
        <f t="shared" ca="1" si="68"/>
        <v/>
      </c>
      <c r="F415" s="25" t="str">
        <f t="shared" ca="1" si="69"/>
        <v/>
      </c>
      <c r="G415" s="26" t="str">
        <f t="shared" ca="1" si="70"/>
        <v/>
      </c>
      <c r="H415" s="55" t="str">
        <f t="shared" ca="1" si="71"/>
        <v/>
      </c>
      <c r="N415" s="95" t="str">
        <f t="shared" si="63"/>
        <v/>
      </c>
      <c r="O415" s="95" t="str">
        <f t="shared" si="64"/>
        <v/>
      </c>
    </row>
    <row r="416" spans="1:15" x14ac:dyDescent="0.25">
      <c r="A416" s="98" t="str">
        <f t="shared" ca="1" si="72"/>
        <v/>
      </c>
      <c r="B416" s="33" t="str">
        <f t="shared" ca="1" si="65"/>
        <v/>
      </c>
      <c r="C416" s="25" t="str">
        <f t="shared" ca="1" si="66"/>
        <v/>
      </c>
      <c r="D416" s="26" t="str">
        <f t="shared" ca="1" si="67"/>
        <v/>
      </c>
      <c r="E416" s="4" t="str">
        <f t="shared" ca="1" si="68"/>
        <v/>
      </c>
      <c r="F416" s="25" t="str">
        <f t="shared" ca="1" si="69"/>
        <v/>
      </c>
      <c r="G416" s="26" t="str">
        <f t="shared" ca="1" si="70"/>
        <v/>
      </c>
      <c r="H416" s="55" t="str">
        <f t="shared" ca="1" si="71"/>
        <v/>
      </c>
      <c r="N416" s="95" t="str">
        <f t="shared" si="63"/>
        <v/>
      </c>
      <c r="O416" s="95" t="str">
        <f t="shared" si="64"/>
        <v/>
      </c>
    </row>
    <row r="417" spans="1:15" x14ac:dyDescent="0.25">
      <c r="A417" s="98" t="str">
        <f t="shared" ca="1" si="72"/>
        <v/>
      </c>
      <c r="B417" s="33" t="str">
        <f t="shared" ca="1" si="65"/>
        <v/>
      </c>
      <c r="C417" s="25" t="str">
        <f t="shared" ca="1" si="66"/>
        <v/>
      </c>
      <c r="D417" s="26" t="str">
        <f t="shared" ca="1" si="67"/>
        <v/>
      </c>
      <c r="E417" s="4" t="str">
        <f t="shared" ca="1" si="68"/>
        <v/>
      </c>
      <c r="F417" s="25" t="str">
        <f t="shared" ca="1" si="69"/>
        <v/>
      </c>
      <c r="G417" s="26" t="str">
        <f t="shared" ca="1" si="70"/>
        <v/>
      </c>
      <c r="H417" s="55" t="str">
        <f t="shared" ca="1" si="71"/>
        <v/>
      </c>
      <c r="N417" s="95" t="str">
        <f t="shared" si="63"/>
        <v/>
      </c>
      <c r="O417" s="95" t="str">
        <f t="shared" si="64"/>
        <v/>
      </c>
    </row>
    <row r="418" spans="1:15" x14ac:dyDescent="0.25">
      <c r="A418" s="98" t="str">
        <f t="shared" ca="1" si="72"/>
        <v/>
      </c>
      <c r="B418" s="33" t="str">
        <f t="shared" ca="1" si="65"/>
        <v/>
      </c>
      <c r="C418" s="25" t="str">
        <f t="shared" ca="1" si="66"/>
        <v/>
      </c>
      <c r="D418" s="26" t="str">
        <f t="shared" ca="1" si="67"/>
        <v/>
      </c>
      <c r="E418" s="4" t="str">
        <f t="shared" ca="1" si="68"/>
        <v/>
      </c>
      <c r="F418" s="25" t="str">
        <f t="shared" ca="1" si="69"/>
        <v/>
      </c>
      <c r="G418" s="26" t="str">
        <f t="shared" ca="1" si="70"/>
        <v/>
      </c>
      <c r="H418" s="55" t="str">
        <f t="shared" ca="1" si="71"/>
        <v/>
      </c>
      <c r="N418" s="95" t="str">
        <f t="shared" si="63"/>
        <v/>
      </c>
      <c r="O418" s="95" t="str">
        <f t="shared" si="64"/>
        <v/>
      </c>
    </row>
    <row r="419" spans="1:15" x14ac:dyDescent="0.25">
      <c r="A419" s="98" t="str">
        <f t="shared" ca="1" si="72"/>
        <v/>
      </c>
      <c r="B419" s="33" t="str">
        <f t="shared" ca="1" si="65"/>
        <v/>
      </c>
      <c r="C419" s="25" t="str">
        <f t="shared" ca="1" si="66"/>
        <v/>
      </c>
      <c r="D419" s="26" t="str">
        <f t="shared" ca="1" si="67"/>
        <v/>
      </c>
      <c r="E419" s="4" t="str">
        <f t="shared" ca="1" si="68"/>
        <v/>
      </c>
      <c r="F419" s="25" t="str">
        <f t="shared" ca="1" si="69"/>
        <v/>
      </c>
      <c r="G419" s="26" t="str">
        <f t="shared" ca="1" si="70"/>
        <v/>
      </c>
      <c r="H419" s="55" t="str">
        <f t="shared" ca="1" si="71"/>
        <v/>
      </c>
      <c r="N419" s="95" t="str">
        <f t="shared" si="63"/>
        <v/>
      </c>
      <c r="O419" s="95" t="str">
        <f t="shared" si="64"/>
        <v/>
      </c>
    </row>
    <row r="420" spans="1:15" x14ac:dyDescent="0.25">
      <c r="A420" s="98" t="str">
        <f t="shared" ca="1" si="72"/>
        <v/>
      </c>
      <c r="B420" s="33" t="str">
        <f t="shared" ca="1" si="65"/>
        <v/>
      </c>
      <c r="C420" s="25" t="str">
        <f t="shared" ca="1" si="66"/>
        <v/>
      </c>
      <c r="D420" s="26" t="str">
        <f t="shared" ca="1" si="67"/>
        <v/>
      </c>
      <c r="E420" s="4" t="str">
        <f t="shared" ca="1" si="68"/>
        <v/>
      </c>
      <c r="F420" s="25" t="str">
        <f t="shared" ca="1" si="69"/>
        <v/>
      </c>
      <c r="G420" s="26" t="str">
        <f t="shared" ca="1" si="70"/>
        <v/>
      </c>
      <c r="H420" s="55" t="str">
        <f t="shared" ca="1" si="71"/>
        <v/>
      </c>
      <c r="N420" s="95" t="str">
        <f t="shared" si="63"/>
        <v/>
      </c>
      <c r="O420" s="95" t="str">
        <f t="shared" si="64"/>
        <v/>
      </c>
    </row>
    <row r="421" spans="1:15" x14ac:dyDescent="0.25">
      <c r="A421" s="98" t="str">
        <f t="shared" ca="1" si="72"/>
        <v/>
      </c>
      <c r="B421" s="33" t="str">
        <f t="shared" ca="1" si="65"/>
        <v/>
      </c>
      <c r="C421" s="25" t="str">
        <f t="shared" ca="1" si="66"/>
        <v/>
      </c>
      <c r="D421" s="26" t="str">
        <f t="shared" ca="1" si="67"/>
        <v/>
      </c>
      <c r="E421" s="4" t="str">
        <f t="shared" ca="1" si="68"/>
        <v/>
      </c>
      <c r="F421" s="25" t="str">
        <f t="shared" ca="1" si="69"/>
        <v/>
      </c>
      <c r="G421" s="26" t="str">
        <f t="shared" ca="1" si="70"/>
        <v/>
      </c>
      <c r="H421" s="55" t="str">
        <f t="shared" ca="1" si="71"/>
        <v/>
      </c>
      <c r="N421" s="95" t="str">
        <f t="shared" si="63"/>
        <v/>
      </c>
      <c r="O421" s="95" t="str">
        <f t="shared" si="64"/>
        <v/>
      </c>
    </row>
    <row r="422" spans="1:15" x14ac:dyDescent="0.25">
      <c r="A422" s="98" t="str">
        <f t="shared" ca="1" si="72"/>
        <v/>
      </c>
      <c r="B422" s="33" t="str">
        <f t="shared" ca="1" si="65"/>
        <v/>
      </c>
      <c r="C422" s="25" t="str">
        <f t="shared" ca="1" si="66"/>
        <v/>
      </c>
      <c r="D422" s="26" t="str">
        <f t="shared" ca="1" si="67"/>
        <v/>
      </c>
      <c r="E422" s="4" t="str">
        <f t="shared" ca="1" si="68"/>
        <v/>
      </c>
      <c r="F422" s="25" t="str">
        <f t="shared" ca="1" si="69"/>
        <v/>
      </c>
      <c r="G422" s="26" t="str">
        <f t="shared" ca="1" si="70"/>
        <v/>
      </c>
      <c r="H422" s="55" t="str">
        <f t="shared" ca="1" si="71"/>
        <v/>
      </c>
      <c r="N422" s="95" t="str">
        <f t="shared" si="63"/>
        <v/>
      </c>
      <c r="O422" s="95" t="str">
        <f t="shared" si="64"/>
        <v/>
      </c>
    </row>
    <row r="423" spans="1:15" x14ac:dyDescent="0.25">
      <c r="A423" s="98" t="str">
        <f t="shared" ca="1" si="72"/>
        <v/>
      </c>
      <c r="B423" s="33" t="str">
        <f t="shared" ca="1" si="65"/>
        <v/>
      </c>
      <c r="C423" s="25" t="str">
        <f t="shared" ca="1" si="66"/>
        <v/>
      </c>
      <c r="D423" s="26" t="str">
        <f t="shared" ca="1" si="67"/>
        <v/>
      </c>
      <c r="E423" s="4" t="str">
        <f t="shared" ca="1" si="68"/>
        <v/>
      </c>
      <c r="F423" s="25" t="str">
        <f t="shared" ca="1" si="69"/>
        <v/>
      </c>
      <c r="G423" s="26" t="str">
        <f t="shared" ca="1" si="70"/>
        <v/>
      </c>
      <c r="H423" s="55" t="str">
        <f t="shared" ca="1" si="71"/>
        <v/>
      </c>
      <c r="N423" s="95" t="str">
        <f t="shared" si="63"/>
        <v/>
      </c>
      <c r="O423" s="95" t="str">
        <f t="shared" si="64"/>
        <v/>
      </c>
    </row>
    <row r="424" spans="1:15" x14ac:dyDescent="0.25">
      <c r="A424" s="98" t="str">
        <f t="shared" ca="1" si="72"/>
        <v/>
      </c>
      <c r="B424" s="33" t="str">
        <f t="shared" ca="1" si="65"/>
        <v/>
      </c>
      <c r="C424" s="25" t="str">
        <f t="shared" ca="1" si="66"/>
        <v/>
      </c>
      <c r="D424" s="26" t="str">
        <f t="shared" ca="1" si="67"/>
        <v/>
      </c>
      <c r="E424" s="4" t="str">
        <f t="shared" ca="1" si="68"/>
        <v/>
      </c>
      <c r="F424" s="25" t="str">
        <f t="shared" ca="1" si="69"/>
        <v/>
      </c>
      <c r="G424" s="26" t="str">
        <f t="shared" ca="1" si="70"/>
        <v/>
      </c>
      <c r="H424" s="55" t="str">
        <f t="shared" ca="1" si="71"/>
        <v/>
      </c>
      <c r="N424" s="95" t="str">
        <f t="shared" si="63"/>
        <v/>
      </c>
      <c r="O424" s="95" t="str">
        <f t="shared" si="64"/>
        <v/>
      </c>
    </row>
    <row r="425" spans="1:15" x14ac:dyDescent="0.25">
      <c r="A425" s="98" t="str">
        <f t="shared" ca="1" si="72"/>
        <v/>
      </c>
      <c r="B425" s="33" t="str">
        <f t="shared" ca="1" si="65"/>
        <v/>
      </c>
      <c r="C425" s="25" t="str">
        <f t="shared" ca="1" si="66"/>
        <v/>
      </c>
      <c r="D425" s="26" t="str">
        <f t="shared" ca="1" si="67"/>
        <v/>
      </c>
      <c r="E425" s="4" t="str">
        <f t="shared" ca="1" si="68"/>
        <v/>
      </c>
      <c r="F425" s="25" t="str">
        <f t="shared" ca="1" si="69"/>
        <v/>
      </c>
      <c r="G425" s="26" t="str">
        <f t="shared" ca="1" si="70"/>
        <v/>
      </c>
      <c r="H425" s="55" t="str">
        <f t="shared" ca="1" si="71"/>
        <v/>
      </c>
      <c r="N425" s="95" t="str">
        <f t="shared" si="63"/>
        <v/>
      </c>
      <c r="O425" s="95" t="str">
        <f t="shared" si="64"/>
        <v/>
      </c>
    </row>
    <row r="426" spans="1:15" x14ac:dyDescent="0.25">
      <c r="A426" s="98" t="str">
        <f t="shared" ca="1" si="72"/>
        <v/>
      </c>
      <c r="B426" s="33" t="str">
        <f t="shared" ca="1" si="65"/>
        <v/>
      </c>
      <c r="C426" s="25" t="str">
        <f t="shared" ca="1" si="66"/>
        <v/>
      </c>
      <c r="D426" s="26" t="str">
        <f t="shared" ca="1" si="67"/>
        <v/>
      </c>
      <c r="E426" s="4" t="str">
        <f t="shared" ca="1" si="68"/>
        <v/>
      </c>
      <c r="F426" s="25" t="str">
        <f t="shared" ca="1" si="69"/>
        <v/>
      </c>
      <c r="G426" s="26" t="str">
        <f t="shared" ca="1" si="70"/>
        <v/>
      </c>
      <c r="H426" s="55" t="str">
        <f t="shared" ca="1" si="71"/>
        <v/>
      </c>
      <c r="N426" s="95" t="str">
        <f t="shared" si="63"/>
        <v/>
      </c>
      <c r="O426" s="95" t="str">
        <f t="shared" si="64"/>
        <v/>
      </c>
    </row>
    <row r="427" spans="1:15" x14ac:dyDescent="0.25">
      <c r="A427" s="98" t="str">
        <f t="shared" ca="1" si="72"/>
        <v/>
      </c>
      <c r="B427" s="33" t="str">
        <f t="shared" ca="1" si="65"/>
        <v/>
      </c>
      <c r="C427" s="25" t="str">
        <f t="shared" ca="1" si="66"/>
        <v/>
      </c>
      <c r="D427" s="26" t="str">
        <f t="shared" ca="1" si="67"/>
        <v/>
      </c>
      <c r="E427" s="4" t="str">
        <f t="shared" ca="1" si="68"/>
        <v/>
      </c>
      <c r="F427" s="25" t="str">
        <f t="shared" ca="1" si="69"/>
        <v/>
      </c>
      <c r="G427" s="26" t="str">
        <f t="shared" ca="1" si="70"/>
        <v/>
      </c>
      <c r="H427" s="55" t="str">
        <f t="shared" ca="1" si="71"/>
        <v/>
      </c>
      <c r="N427" s="95" t="str">
        <f t="shared" si="63"/>
        <v/>
      </c>
      <c r="O427" s="95" t="str">
        <f t="shared" si="64"/>
        <v/>
      </c>
    </row>
    <row r="428" spans="1:15" x14ac:dyDescent="0.25">
      <c r="A428" s="98" t="str">
        <f t="shared" ca="1" si="72"/>
        <v/>
      </c>
      <c r="B428" s="33" t="str">
        <f t="shared" ca="1" si="65"/>
        <v/>
      </c>
      <c r="C428" s="25" t="str">
        <f t="shared" ca="1" si="66"/>
        <v/>
      </c>
      <c r="D428" s="26" t="str">
        <f t="shared" ca="1" si="67"/>
        <v/>
      </c>
      <c r="E428" s="4" t="str">
        <f t="shared" ca="1" si="68"/>
        <v/>
      </c>
      <c r="F428" s="25" t="str">
        <f t="shared" ca="1" si="69"/>
        <v/>
      </c>
      <c r="G428" s="26" t="str">
        <f t="shared" ca="1" si="70"/>
        <v/>
      </c>
      <c r="H428" s="55" t="str">
        <f t="shared" ca="1" si="71"/>
        <v/>
      </c>
      <c r="N428" s="95" t="str">
        <f t="shared" si="63"/>
        <v/>
      </c>
      <c r="O428" s="95" t="str">
        <f t="shared" si="64"/>
        <v/>
      </c>
    </row>
    <row r="429" spans="1:15" x14ac:dyDescent="0.25">
      <c r="A429" s="98" t="str">
        <f t="shared" ca="1" si="72"/>
        <v/>
      </c>
      <c r="B429" s="33" t="str">
        <f t="shared" ca="1" si="65"/>
        <v/>
      </c>
      <c r="C429" s="25" t="str">
        <f t="shared" ca="1" si="66"/>
        <v/>
      </c>
      <c r="D429" s="26" t="str">
        <f t="shared" ca="1" si="67"/>
        <v/>
      </c>
      <c r="E429" s="4" t="str">
        <f t="shared" ca="1" si="68"/>
        <v/>
      </c>
      <c r="F429" s="25" t="str">
        <f t="shared" ca="1" si="69"/>
        <v/>
      </c>
      <c r="G429" s="26" t="str">
        <f t="shared" ca="1" si="70"/>
        <v/>
      </c>
      <c r="H429" s="55" t="str">
        <f t="shared" ca="1" si="71"/>
        <v/>
      </c>
      <c r="N429" s="95" t="str">
        <f t="shared" si="63"/>
        <v/>
      </c>
      <c r="O429" s="95" t="str">
        <f t="shared" si="64"/>
        <v/>
      </c>
    </row>
    <row r="430" spans="1:15" x14ac:dyDescent="0.25">
      <c r="A430" s="98" t="str">
        <f t="shared" ca="1" si="72"/>
        <v/>
      </c>
      <c r="B430" s="33" t="str">
        <f t="shared" ca="1" si="65"/>
        <v/>
      </c>
      <c r="C430" s="25" t="str">
        <f t="shared" ca="1" si="66"/>
        <v/>
      </c>
      <c r="D430" s="26" t="str">
        <f t="shared" ca="1" si="67"/>
        <v/>
      </c>
      <c r="E430" s="4" t="str">
        <f t="shared" ca="1" si="68"/>
        <v/>
      </c>
      <c r="F430" s="25" t="str">
        <f t="shared" ca="1" si="69"/>
        <v/>
      </c>
      <c r="G430" s="26" t="str">
        <f t="shared" ca="1" si="70"/>
        <v/>
      </c>
      <c r="H430" s="55" t="str">
        <f t="shared" ca="1" si="71"/>
        <v/>
      </c>
      <c r="N430" s="95" t="str">
        <f t="shared" si="63"/>
        <v/>
      </c>
      <c r="O430" s="95" t="str">
        <f t="shared" si="64"/>
        <v/>
      </c>
    </row>
    <row r="431" spans="1:15" x14ac:dyDescent="0.25">
      <c r="A431" s="98" t="str">
        <f t="shared" ca="1" si="72"/>
        <v/>
      </c>
      <c r="B431" s="33" t="str">
        <f t="shared" ca="1" si="65"/>
        <v/>
      </c>
      <c r="C431" s="25" t="str">
        <f t="shared" ca="1" si="66"/>
        <v/>
      </c>
      <c r="D431" s="26" t="str">
        <f t="shared" ca="1" si="67"/>
        <v/>
      </c>
      <c r="E431" s="4" t="str">
        <f t="shared" ca="1" si="68"/>
        <v/>
      </c>
      <c r="F431" s="25" t="str">
        <f t="shared" ca="1" si="69"/>
        <v/>
      </c>
      <c r="G431" s="26" t="str">
        <f t="shared" ca="1" si="70"/>
        <v/>
      </c>
      <c r="H431" s="55" t="str">
        <f t="shared" ca="1" si="71"/>
        <v/>
      </c>
      <c r="N431" s="95" t="str">
        <f t="shared" si="63"/>
        <v/>
      </c>
      <c r="O431" s="95" t="str">
        <f t="shared" si="64"/>
        <v/>
      </c>
    </row>
    <row r="432" spans="1:15" x14ac:dyDescent="0.25">
      <c r="A432" s="98" t="str">
        <f t="shared" ca="1" si="72"/>
        <v/>
      </c>
      <c r="B432" s="33" t="str">
        <f t="shared" ca="1" si="65"/>
        <v/>
      </c>
      <c r="C432" s="25" t="str">
        <f t="shared" ca="1" si="66"/>
        <v/>
      </c>
      <c r="D432" s="26" t="str">
        <f t="shared" ca="1" si="67"/>
        <v/>
      </c>
      <c r="E432" s="4" t="str">
        <f t="shared" ca="1" si="68"/>
        <v/>
      </c>
      <c r="F432" s="25" t="str">
        <f t="shared" ca="1" si="69"/>
        <v/>
      </c>
      <c r="G432" s="26" t="str">
        <f t="shared" ca="1" si="70"/>
        <v/>
      </c>
      <c r="H432" s="55" t="str">
        <f t="shared" ca="1" si="71"/>
        <v/>
      </c>
      <c r="N432" s="95" t="str">
        <f t="shared" si="63"/>
        <v/>
      </c>
      <c r="O432" s="95" t="str">
        <f t="shared" si="64"/>
        <v/>
      </c>
    </row>
    <row r="433" spans="1:15" x14ac:dyDescent="0.25">
      <c r="A433" s="98" t="str">
        <f t="shared" ca="1" si="72"/>
        <v/>
      </c>
      <c r="B433" s="33" t="str">
        <f t="shared" ca="1" si="65"/>
        <v/>
      </c>
      <c r="C433" s="25" t="str">
        <f t="shared" ca="1" si="66"/>
        <v/>
      </c>
      <c r="D433" s="26" t="str">
        <f t="shared" ca="1" si="67"/>
        <v/>
      </c>
      <c r="E433" s="4" t="str">
        <f t="shared" ca="1" si="68"/>
        <v/>
      </c>
      <c r="F433" s="25" t="str">
        <f t="shared" ca="1" si="69"/>
        <v/>
      </c>
      <c r="G433" s="26" t="str">
        <f t="shared" ca="1" si="70"/>
        <v/>
      </c>
      <c r="H433" s="55" t="str">
        <f t="shared" ca="1" si="71"/>
        <v/>
      </c>
      <c r="N433" s="95" t="str">
        <f t="shared" si="63"/>
        <v/>
      </c>
      <c r="O433" s="95" t="str">
        <f t="shared" si="64"/>
        <v/>
      </c>
    </row>
    <row r="434" spans="1:15" x14ac:dyDescent="0.25">
      <c r="A434" s="98" t="str">
        <f t="shared" ca="1" si="72"/>
        <v/>
      </c>
      <c r="B434" s="33" t="str">
        <f t="shared" ca="1" si="65"/>
        <v/>
      </c>
      <c r="C434" s="25" t="str">
        <f t="shared" ca="1" si="66"/>
        <v/>
      </c>
      <c r="D434" s="26" t="str">
        <f t="shared" ca="1" si="67"/>
        <v/>
      </c>
      <c r="E434" s="4" t="str">
        <f t="shared" ca="1" si="68"/>
        <v/>
      </c>
      <c r="F434" s="25" t="str">
        <f t="shared" ca="1" si="69"/>
        <v/>
      </c>
      <c r="G434" s="26" t="str">
        <f t="shared" ca="1" si="70"/>
        <v/>
      </c>
      <c r="H434" s="55" t="str">
        <f t="shared" ca="1" si="71"/>
        <v/>
      </c>
      <c r="N434" s="95" t="str">
        <f t="shared" si="63"/>
        <v/>
      </c>
      <c r="O434" s="95" t="str">
        <f t="shared" si="64"/>
        <v/>
      </c>
    </row>
    <row r="435" spans="1:15" x14ac:dyDescent="0.25">
      <c r="A435" s="98" t="str">
        <f t="shared" ca="1" si="72"/>
        <v/>
      </c>
      <c r="B435" s="33" t="str">
        <f t="shared" ca="1" si="65"/>
        <v/>
      </c>
      <c r="C435" s="25" t="str">
        <f t="shared" ca="1" si="66"/>
        <v/>
      </c>
      <c r="D435" s="26" t="str">
        <f t="shared" ca="1" si="67"/>
        <v/>
      </c>
      <c r="E435" s="4" t="str">
        <f t="shared" ca="1" si="68"/>
        <v/>
      </c>
      <c r="F435" s="25" t="str">
        <f t="shared" ca="1" si="69"/>
        <v/>
      </c>
      <c r="G435" s="26" t="str">
        <f t="shared" ca="1" si="70"/>
        <v/>
      </c>
      <c r="H435" s="55" t="str">
        <f t="shared" ca="1" si="71"/>
        <v/>
      </c>
      <c r="N435" s="95" t="str">
        <f t="shared" si="63"/>
        <v/>
      </c>
      <c r="O435" s="95" t="str">
        <f t="shared" si="64"/>
        <v/>
      </c>
    </row>
    <row r="436" spans="1:15" x14ac:dyDescent="0.25">
      <c r="A436" s="98" t="str">
        <f t="shared" ca="1" si="72"/>
        <v/>
      </c>
      <c r="B436" s="33" t="str">
        <f t="shared" ca="1" si="65"/>
        <v/>
      </c>
      <c r="C436" s="25" t="str">
        <f t="shared" ca="1" si="66"/>
        <v/>
      </c>
      <c r="D436" s="26" t="str">
        <f t="shared" ca="1" si="67"/>
        <v/>
      </c>
      <c r="E436" s="4" t="str">
        <f t="shared" ca="1" si="68"/>
        <v/>
      </c>
      <c r="F436" s="25" t="str">
        <f t="shared" ca="1" si="69"/>
        <v/>
      </c>
      <c r="G436" s="26" t="str">
        <f t="shared" ca="1" si="70"/>
        <v/>
      </c>
      <c r="H436" s="55" t="str">
        <f t="shared" ca="1" si="71"/>
        <v/>
      </c>
      <c r="N436" s="95" t="str">
        <f t="shared" si="63"/>
        <v/>
      </c>
      <c r="O436" s="95" t="str">
        <f t="shared" si="64"/>
        <v/>
      </c>
    </row>
    <row r="437" spans="1:15" x14ac:dyDescent="0.25">
      <c r="A437" s="98" t="str">
        <f t="shared" ca="1" si="72"/>
        <v/>
      </c>
      <c r="B437" s="33" t="str">
        <f t="shared" ca="1" si="65"/>
        <v/>
      </c>
      <c r="C437" s="25" t="str">
        <f t="shared" ca="1" si="66"/>
        <v/>
      </c>
      <c r="D437" s="26" t="str">
        <f t="shared" ca="1" si="67"/>
        <v/>
      </c>
      <c r="E437" s="4" t="str">
        <f t="shared" ca="1" si="68"/>
        <v/>
      </c>
      <c r="F437" s="25" t="str">
        <f t="shared" ca="1" si="69"/>
        <v/>
      </c>
      <c r="G437" s="26" t="str">
        <f t="shared" ca="1" si="70"/>
        <v/>
      </c>
      <c r="H437" s="55" t="str">
        <f t="shared" ca="1" si="71"/>
        <v/>
      </c>
      <c r="N437" s="95" t="str">
        <f t="shared" si="63"/>
        <v/>
      </c>
      <c r="O437" s="95" t="str">
        <f t="shared" si="64"/>
        <v/>
      </c>
    </row>
    <row r="438" spans="1:15" x14ac:dyDescent="0.25">
      <c r="A438" s="98" t="str">
        <f t="shared" ca="1" si="72"/>
        <v/>
      </c>
      <c r="B438" s="33" t="str">
        <f t="shared" ca="1" si="65"/>
        <v/>
      </c>
      <c r="C438" s="25" t="str">
        <f t="shared" ca="1" si="66"/>
        <v/>
      </c>
      <c r="D438" s="26" t="str">
        <f t="shared" ca="1" si="67"/>
        <v/>
      </c>
      <c r="E438" s="4" t="str">
        <f t="shared" ca="1" si="68"/>
        <v/>
      </c>
      <c r="F438" s="25" t="str">
        <f t="shared" ca="1" si="69"/>
        <v/>
      </c>
      <c r="G438" s="26" t="str">
        <f t="shared" ca="1" si="70"/>
        <v/>
      </c>
      <c r="H438" s="55" t="str">
        <f t="shared" ca="1" si="71"/>
        <v/>
      </c>
      <c r="N438" s="95" t="str">
        <f t="shared" si="63"/>
        <v/>
      </c>
      <c r="O438" s="95" t="str">
        <f t="shared" si="64"/>
        <v/>
      </c>
    </row>
    <row r="439" spans="1:15" x14ac:dyDescent="0.25">
      <c r="A439" s="98" t="str">
        <f t="shared" ca="1" si="72"/>
        <v/>
      </c>
      <c r="B439" s="33" t="str">
        <f t="shared" ca="1" si="65"/>
        <v/>
      </c>
      <c r="C439" s="25" t="str">
        <f t="shared" ca="1" si="66"/>
        <v/>
      </c>
      <c r="D439" s="26" t="str">
        <f t="shared" ca="1" si="67"/>
        <v/>
      </c>
      <c r="E439" s="4" t="str">
        <f t="shared" ca="1" si="68"/>
        <v/>
      </c>
      <c r="F439" s="25" t="str">
        <f t="shared" ca="1" si="69"/>
        <v/>
      </c>
      <c r="G439" s="26" t="str">
        <f t="shared" ca="1" si="70"/>
        <v/>
      </c>
      <c r="H439" s="55" t="str">
        <f t="shared" ca="1" si="71"/>
        <v/>
      </c>
      <c r="N439" s="95" t="str">
        <f t="shared" si="63"/>
        <v/>
      </c>
      <c r="O439" s="95" t="str">
        <f t="shared" si="64"/>
        <v/>
      </c>
    </row>
    <row r="440" spans="1:15" x14ac:dyDescent="0.25">
      <c r="A440" s="98" t="str">
        <f t="shared" ca="1" si="72"/>
        <v/>
      </c>
      <c r="B440" s="33" t="str">
        <f t="shared" ca="1" si="65"/>
        <v/>
      </c>
      <c r="C440" s="25" t="str">
        <f t="shared" ca="1" si="66"/>
        <v/>
      </c>
      <c r="D440" s="26" t="str">
        <f t="shared" ca="1" si="67"/>
        <v/>
      </c>
      <c r="E440" s="4" t="str">
        <f t="shared" ca="1" si="68"/>
        <v/>
      </c>
      <c r="F440" s="25" t="str">
        <f t="shared" ca="1" si="69"/>
        <v/>
      </c>
      <c r="G440" s="26" t="str">
        <f t="shared" ca="1" si="70"/>
        <v/>
      </c>
      <c r="H440" s="55" t="str">
        <f t="shared" ca="1" si="71"/>
        <v/>
      </c>
      <c r="N440" s="95" t="str">
        <f t="shared" si="63"/>
        <v/>
      </c>
      <c r="O440" s="95" t="str">
        <f t="shared" si="64"/>
        <v/>
      </c>
    </row>
    <row r="441" spans="1:15" x14ac:dyDescent="0.25">
      <c r="A441" s="98" t="str">
        <f t="shared" ca="1" si="72"/>
        <v/>
      </c>
      <c r="B441" s="33" t="str">
        <f t="shared" ca="1" si="65"/>
        <v/>
      </c>
      <c r="C441" s="25" t="str">
        <f t="shared" ca="1" si="66"/>
        <v/>
      </c>
      <c r="D441" s="26" t="str">
        <f t="shared" ca="1" si="67"/>
        <v/>
      </c>
      <c r="E441" s="4" t="str">
        <f t="shared" ca="1" si="68"/>
        <v/>
      </c>
      <c r="F441" s="25" t="str">
        <f t="shared" ca="1" si="69"/>
        <v/>
      </c>
      <c r="G441" s="26" t="str">
        <f t="shared" ca="1" si="70"/>
        <v/>
      </c>
      <c r="H441" s="55" t="str">
        <f t="shared" ca="1" si="71"/>
        <v/>
      </c>
      <c r="N441" s="95" t="str">
        <f t="shared" si="63"/>
        <v/>
      </c>
      <c r="O441" s="95" t="str">
        <f t="shared" si="64"/>
        <v/>
      </c>
    </row>
    <row r="442" spans="1:15" x14ac:dyDescent="0.25">
      <c r="A442" s="98" t="str">
        <f t="shared" ca="1" si="72"/>
        <v/>
      </c>
      <c r="B442" s="33" t="str">
        <f t="shared" ca="1" si="65"/>
        <v/>
      </c>
      <c r="C442" s="25" t="str">
        <f t="shared" ca="1" si="66"/>
        <v/>
      </c>
      <c r="D442" s="26" t="str">
        <f t="shared" ca="1" si="67"/>
        <v/>
      </c>
      <c r="E442" s="4" t="str">
        <f t="shared" ca="1" si="68"/>
        <v/>
      </c>
      <c r="F442" s="25" t="str">
        <f t="shared" ca="1" si="69"/>
        <v/>
      </c>
      <c r="G442" s="26" t="str">
        <f t="shared" ca="1" si="70"/>
        <v/>
      </c>
      <c r="H442" s="55" t="str">
        <f t="shared" ca="1" si="71"/>
        <v/>
      </c>
      <c r="N442" s="95" t="str">
        <f t="shared" si="63"/>
        <v/>
      </c>
      <c r="O442" s="95" t="str">
        <f t="shared" si="64"/>
        <v/>
      </c>
    </row>
    <row r="443" spans="1:15" x14ac:dyDescent="0.25">
      <c r="A443" s="98" t="str">
        <f t="shared" ca="1" si="72"/>
        <v/>
      </c>
      <c r="B443" s="33" t="str">
        <f t="shared" ca="1" si="65"/>
        <v/>
      </c>
      <c r="C443" s="25" t="str">
        <f t="shared" ca="1" si="66"/>
        <v/>
      </c>
      <c r="D443" s="26" t="str">
        <f t="shared" ca="1" si="67"/>
        <v/>
      </c>
      <c r="E443" s="4" t="str">
        <f t="shared" ca="1" si="68"/>
        <v/>
      </c>
      <c r="F443" s="25" t="str">
        <f t="shared" ca="1" si="69"/>
        <v/>
      </c>
      <c r="G443" s="26" t="str">
        <f t="shared" ca="1" si="70"/>
        <v/>
      </c>
      <c r="H443" s="55" t="str">
        <f t="shared" ca="1" si="71"/>
        <v/>
      </c>
      <c r="N443" s="95" t="str">
        <f t="shared" si="63"/>
        <v/>
      </c>
      <c r="O443" s="95" t="str">
        <f t="shared" si="64"/>
        <v/>
      </c>
    </row>
    <row r="444" spans="1:15" x14ac:dyDescent="0.25">
      <c r="A444" s="98" t="str">
        <f t="shared" ca="1" si="72"/>
        <v/>
      </c>
      <c r="B444" s="33" t="str">
        <f t="shared" ca="1" si="65"/>
        <v/>
      </c>
      <c r="C444" s="25" t="str">
        <f t="shared" ca="1" si="66"/>
        <v/>
      </c>
      <c r="D444" s="26" t="str">
        <f t="shared" ca="1" si="67"/>
        <v/>
      </c>
      <c r="E444" s="4" t="str">
        <f t="shared" ca="1" si="68"/>
        <v/>
      </c>
      <c r="F444" s="25" t="str">
        <f t="shared" ca="1" si="69"/>
        <v/>
      </c>
      <c r="G444" s="26" t="str">
        <f t="shared" ca="1" si="70"/>
        <v/>
      </c>
      <c r="H444" s="55" t="str">
        <f t="shared" ca="1" si="71"/>
        <v/>
      </c>
      <c r="N444" s="95" t="str">
        <f t="shared" si="63"/>
        <v/>
      </c>
      <c r="O444" s="95" t="str">
        <f t="shared" si="64"/>
        <v/>
      </c>
    </row>
    <row r="445" spans="1:15" x14ac:dyDescent="0.25">
      <c r="A445" s="98" t="str">
        <f t="shared" ca="1" si="72"/>
        <v/>
      </c>
      <c r="B445" s="33" t="str">
        <f t="shared" ca="1" si="65"/>
        <v/>
      </c>
      <c r="C445" s="25" t="str">
        <f t="shared" ca="1" si="66"/>
        <v/>
      </c>
      <c r="D445" s="26" t="str">
        <f t="shared" ca="1" si="67"/>
        <v/>
      </c>
      <c r="E445" s="4" t="str">
        <f t="shared" ca="1" si="68"/>
        <v/>
      </c>
      <c r="F445" s="25" t="str">
        <f t="shared" ca="1" si="69"/>
        <v/>
      </c>
      <c r="G445" s="26" t="str">
        <f t="shared" ca="1" si="70"/>
        <v/>
      </c>
      <c r="H445" s="55" t="str">
        <f t="shared" ca="1" si="71"/>
        <v/>
      </c>
      <c r="N445" s="95" t="str">
        <f t="shared" si="63"/>
        <v/>
      </c>
      <c r="O445" s="95" t="str">
        <f t="shared" si="64"/>
        <v/>
      </c>
    </row>
    <row r="446" spans="1:15" x14ac:dyDescent="0.25">
      <c r="A446" s="98" t="str">
        <f t="shared" ca="1" si="72"/>
        <v/>
      </c>
      <c r="B446" s="33" t="str">
        <f t="shared" ca="1" si="65"/>
        <v/>
      </c>
      <c r="C446" s="25" t="str">
        <f t="shared" ca="1" si="66"/>
        <v/>
      </c>
      <c r="D446" s="26" t="str">
        <f t="shared" ca="1" si="67"/>
        <v/>
      </c>
      <c r="E446" s="4" t="str">
        <f t="shared" ca="1" si="68"/>
        <v/>
      </c>
      <c r="F446" s="25" t="str">
        <f t="shared" ca="1" si="69"/>
        <v/>
      </c>
      <c r="G446" s="26" t="str">
        <f t="shared" ca="1" si="70"/>
        <v/>
      </c>
      <c r="H446" s="55" t="str">
        <f t="shared" ca="1" si="71"/>
        <v/>
      </c>
      <c r="N446" s="95" t="str">
        <f t="shared" si="63"/>
        <v/>
      </c>
      <c r="O446" s="95" t="str">
        <f t="shared" si="64"/>
        <v/>
      </c>
    </row>
    <row r="447" spans="1:15" x14ac:dyDescent="0.25">
      <c r="A447" s="98" t="str">
        <f t="shared" ca="1" si="72"/>
        <v/>
      </c>
      <c r="B447" s="33" t="str">
        <f t="shared" ca="1" si="65"/>
        <v/>
      </c>
      <c r="C447" s="25" t="str">
        <f t="shared" ca="1" si="66"/>
        <v/>
      </c>
      <c r="D447" s="26" t="str">
        <f t="shared" ca="1" si="67"/>
        <v/>
      </c>
      <c r="E447" s="4" t="str">
        <f t="shared" ca="1" si="68"/>
        <v/>
      </c>
      <c r="F447" s="25" t="str">
        <f t="shared" ca="1" si="69"/>
        <v/>
      </c>
      <c r="G447" s="26" t="str">
        <f t="shared" ca="1" si="70"/>
        <v/>
      </c>
      <c r="H447" s="55" t="str">
        <f t="shared" ca="1" si="71"/>
        <v/>
      </c>
      <c r="N447" s="95" t="str">
        <f t="shared" si="63"/>
        <v/>
      </c>
      <c r="O447" s="95" t="str">
        <f t="shared" si="64"/>
        <v/>
      </c>
    </row>
    <row r="448" spans="1:15" x14ac:dyDescent="0.25">
      <c r="A448" s="98" t="str">
        <f t="shared" ca="1" si="72"/>
        <v/>
      </c>
      <c r="B448" s="33" t="str">
        <f t="shared" ca="1" si="65"/>
        <v/>
      </c>
      <c r="C448" s="25" t="str">
        <f t="shared" ca="1" si="66"/>
        <v/>
      </c>
      <c r="D448" s="26" t="str">
        <f t="shared" ca="1" si="67"/>
        <v/>
      </c>
      <c r="E448" s="4" t="str">
        <f t="shared" ca="1" si="68"/>
        <v/>
      </c>
      <c r="F448" s="25" t="str">
        <f t="shared" ca="1" si="69"/>
        <v/>
      </c>
      <c r="G448" s="26" t="str">
        <f t="shared" ca="1" si="70"/>
        <v/>
      </c>
      <c r="H448" s="55" t="str">
        <f t="shared" ca="1" si="71"/>
        <v/>
      </c>
      <c r="N448" s="95" t="str">
        <f t="shared" si="63"/>
        <v/>
      </c>
      <c r="O448" s="95" t="str">
        <f t="shared" si="64"/>
        <v/>
      </c>
    </row>
    <row r="449" spans="1:15" x14ac:dyDescent="0.25">
      <c r="A449" s="98" t="str">
        <f t="shared" ca="1" si="72"/>
        <v/>
      </c>
      <c r="B449" s="33" t="str">
        <f t="shared" ca="1" si="65"/>
        <v/>
      </c>
      <c r="C449" s="25" t="str">
        <f t="shared" ca="1" si="66"/>
        <v/>
      </c>
      <c r="D449" s="26" t="str">
        <f t="shared" ca="1" si="67"/>
        <v/>
      </c>
      <c r="E449" s="4" t="str">
        <f t="shared" ca="1" si="68"/>
        <v/>
      </c>
      <c r="F449" s="25" t="str">
        <f t="shared" ca="1" si="69"/>
        <v/>
      </c>
      <c r="G449" s="26" t="str">
        <f t="shared" ca="1" si="70"/>
        <v/>
      </c>
      <c r="H449" s="55" t="str">
        <f t="shared" ca="1" si="71"/>
        <v/>
      </c>
      <c r="N449" s="95" t="str">
        <f t="shared" si="63"/>
        <v/>
      </c>
      <c r="O449" s="95" t="str">
        <f t="shared" si="64"/>
        <v/>
      </c>
    </row>
    <row r="450" spans="1:15" x14ac:dyDescent="0.25">
      <c r="A450" s="98" t="str">
        <f t="shared" ca="1" si="72"/>
        <v/>
      </c>
      <c r="B450" s="33" t="str">
        <f t="shared" ca="1" si="65"/>
        <v/>
      </c>
      <c r="C450" s="25" t="str">
        <f t="shared" ca="1" si="66"/>
        <v/>
      </c>
      <c r="D450" s="26" t="str">
        <f t="shared" ca="1" si="67"/>
        <v/>
      </c>
      <c r="E450" s="4" t="str">
        <f t="shared" ca="1" si="68"/>
        <v/>
      </c>
      <c r="F450" s="25" t="str">
        <f t="shared" ca="1" si="69"/>
        <v/>
      </c>
      <c r="G450" s="26" t="str">
        <f t="shared" ca="1" si="70"/>
        <v/>
      </c>
      <c r="H450" s="55" t="str">
        <f t="shared" ca="1" si="71"/>
        <v/>
      </c>
      <c r="N450" s="95" t="str">
        <f t="shared" si="63"/>
        <v/>
      </c>
      <c r="O450" s="95" t="str">
        <f t="shared" si="64"/>
        <v/>
      </c>
    </row>
    <row r="451" spans="1:15" x14ac:dyDescent="0.25">
      <c r="A451" s="98" t="str">
        <f t="shared" ca="1" si="72"/>
        <v/>
      </c>
      <c r="B451" s="33" t="str">
        <f t="shared" ca="1" si="65"/>
        <v/>
      </c>
      <c r="C451" s="25" t="str">
        <f t="shared" ca="1" si="66"/>
        <v/>
      </c>
      <c r="D451" s="26" t="str">
        <f t="shared" ca="1" si="67"/>
        <v/>
      </c>
      <c r="E451" s="4" t="str">
        <f t="shared" ca="1" si="68"/>
        <v/>
      </c>
      <c r="F451" s="25" t="str">
        <f t="shared" ca="1" si="69"/>
        <v/>
      </c>
      <c r="G451" s="26" t="str">
        <f t="shared" ca="1" si="70"/>
        <v/>
      </c>
      <c r="H451" s="55" t="str">
        <f t="shared" ca="1" si="71"/>
        <v/>
      </c>
      <c r="N451" s="95" t="str">
        <f t="shared" si="63"/>
        <v/>
      </c>
      <c r="O451" s="95" t="str">
        <f t="shared" si="64"/>
        <v/>
      </c>
    </row>
    <row r="452" spans="1:15" x14ac:dyDescent="0.25">
      <c r="A452" s="98" t="str">
        <f t="shared" ca="1" si="72"/>
        <v/>
      </c>
      <c r="B452" s="33" t="str">
        <f t="shared" ca="1" si="65"/>
        <v/>
      </c>
      <c r="C452" s="25" t="str">
        <f t="shared" ca="1" si="66"/>
        <v/>
      </c>
      <c r="D452" s="26" t="str">
        <f t="shared" ca="1" si="67"/>
        <v/>
      </c>
      <c r="E452" s="4" t="str">
        <f t="shared" ca="1" si="68"/>
        <v/>
      </c>
      <c r="F452" s="25" t="str">
        <f t="shared" ca="1" si="69"/>
        <v/>
      </c>
      <c r="G452" s="26" t="str">
        <f t="shared" ca="1" si="70"/>
        <v/>
      </c>
      <c r="H452" s="55" t="str">
        <f t="shared" ca="1" si="71"/>
        <v/>
      </c>
      <c r="N452" s="95" t="str">
        <f t="shared" ref="N452:N515" si="73">IF(COUNTIF(L:L,J452)=1,J452,"")</f>
        <v/>
      </c>
      <c r="O452" s="95" t="str">
        <f t="shared" ref="O452:O515" si="74">IF(N452&gt;$A$14,N452,"")</f>
        <v/>
      </c>
    </row>
    <row r="453" spans="1:15" x14ac:dyDescent="0.25">
      <c r="A453" s="98" t="str">
        <f t="shared" ca="1" si="72"/>
        <v/>
      </c>
      <c r="B453" s="33" t="str">
        <f t="shared" ca="1" si="65"/>
        <v/>
      </c>
      <c r="C453" s="25" t="str">
        <f t="shared" ca="1" si="66"/>
        <v/>
      </c>
      <c r="D453" s="26" t="str">
        <f t="shared" ca="1" si="67"/>
        <v/>
      </c>
      <c r="E453" s="4" t="str">
        <f t="shared" ca="1" si="68"/>
        <v/>
      </c>
      <c r="F453" s="25" t="str">
        <f t="shared" ca="1" si="69"/>
        <v/>
      </c>
      <c r="G453" s="26" t="str">
        <f t="shared" ca="1" si="70"/>
        <v/>
      </c>
      <c r="H453" s="55" t="str">
        <f t="shared" ca="1" si="71"/>
        <v/>
      </c>
      <c r="N453" s="95" t="str">
        <f t="shared" si="73"/>
        <v/>
      </c>
      <c r="O453" s="95" t="str">
        <f t="shared" si="74"/>
        <v/>
      </c>
    </row>
    <row r="454" spans="1:15" x14ac:dyDescent="0.25">
      <c r="A454" s="98" t="str">
        <f t="shared" ca="1" si="72"/>
        <v/>
      </c>
      <c r="B454" s="33" t="str">
        <f t="shared" ca="1" si="65"/>
        <v/>
      </c>
      <c r="C454" s="25" t="str">
        <f t="shared" ca="1" si="66"/>
        <v/>
      </c>
      <c r="D454" s="26" t="str">
        <f t="shared" ca="1" si="67"/>
        <v/>
      </c>
      <c r="E454" s="4" t="str">
        <f t="shared" ca="1" si="68"/>
        <v/>
      </c>
      <c r="F454" s="25" t="str">
        <f t="shared" ca="1" si="69"/>
        <v/>
      </c>
      <c r="G454" s="26" t="str">
        <f t="shared" ca="1" si="70"/>
        <v/>
      </c>
      <c r="H454" s="55" t="str">
        <f t="shared" ca="1" si="71"/>
        <v/>
      </c>
      <c r="N454" s="95" t="str">
        <f t="shared" si="73"/>
        <v/>
      </c>
      <c r="O454" s="95" t="str">
        <f t="shared" si="74"/>
        <v/>
      </c>
    </row>
    <row r="455" spans="1:15" x14ac:dyDescent="0.25">
      <c r="A455" s="98" t="str">
        <f t="shared" ca="1" si="72"/>
        <v/>
      </c>
      <c r="B455" s="33" t="str">
        <f t="shared" ca="1" si="65"/>
        <v/>
      </c>
      <c r="C455" s="25" t="str">
        <f t="shared" ca="1" si="66"/>
        <v/>
      </c>
      <c r="D455" s="26" t="str">
        <f t="shared" ca="1" si="67"/>
        <v/>
      </c>
      <c r="E455" s="4" t="str">
        <f t="shared" ca="1" si="68"/>
        <v/>
      </c>
      <c r="F455" s="25" t="str">
        <f t="shared" ca="1" si="69"/>
        <v/>
      </c>
      <c r="G455" s="26" t="str">
        <f t="shared" ca="1" si="70"/>
        <v/>
      </c>
      <c r="H455" s="55" t="str">
        <f t="shared" ca="1" si="71"/>
        <v/>
      </c>
      <c r="N455" s="95" t="str">
        <f t="shared" si="73"/>
        <v/>
      </c>
      <c r="O455" s="95" t="str">
        <f t="shared" si="74"/>
        <v/>
      </c>
    </row>
    <row r="456" spans="1:15" x14ac:dyDescent="0.25">
      <c r="A456" s="98" t="str">
        <f t="shared" ca="1" si="72"/>
        <v/>
      </c>
      <c r="B456" s="33" t="str">
        <f t="shared" ca="1" si="65"/>
        <v/>
      </c>
      <c r="C456" s="25" t="str">
        <f t="shared" ca="1" si="66"/>
        <v/>
      </c>
      <c r="D456" s="26" t="str">
        <f t="shared" ca="1" si="67"/>
        <v/>
      </c>
      <c r="E456" s="4" t="str">
        <f t="shared" ca="1" si="68"/>
        <v/>
      </c>
      <c r="F456" s="25" t="str">
        <f t="shared" ca="1" si="69"/>
        <v/>
      </c>
      <c r="G456" s="26" t="str">
        <f t="shared" ca="1" si="70"/>
        <v/>
      </c>
      <c r="H456" s="55" t="str">
        <f t="shared" ca="1" si="71"/>
        <v/>
      </c>
      <c r="N456" s="95" t="str">
        <f t="shared" si="73"/>
        <v/>
      </c>
      <c r="O456" s="95" t="str">
        <f t="shared" si="74"/>
        <v/>
      </c>
    </row>
    <row r="457" spans="1:15" x14ac:dyDescent="0.25">
      <c r="A457" s="98" t="str">
        <f t="shared" ca="1" si="72"/>
        <v/>
      </c>
      <c r="B457" s="33" t="str">
        <f t="shared" ca="1" si="65"/>
        <v/>
      </c>
      <c r="C457" s="25" t="str">
        <f t="shared" ca="1" si="66"/>
        <v/>
      </c>
      <c r="D457" s="26" t="str">
        <f t="shared" ca="1" si="67"/>
        <v/>
      </c>
      <c r="E457" s="4" t="str">
        <f t="shared" ca="1" si="68"/>
        <v/>
      </c>
      <c r="F457" s="25" t="str">
        <f t="shared" ca="1" si="69"/>
        <v/>
      </c>
      <c r="G457" s="26" t="str">
        <f t="shared" ca="1" si="70"/>
        <v/>
      </c>
      <c r="H457" s="55" t="str">
        <f t="shared" ca="1" si="71"/>
        <v/>
      </c>
      <c r="N457" s="95" t="str">
        <f t="shared" si="73"/>
        <v/>
      </c>
      <c r="O457" s="95" t="str">
        <f t="shared" si="74"/>
        <v/>
      </c>
    </row>
    <row r="458" spans="1:15" x14ac:dyDescent="0.25">
      <c r="A458" s="98" t="str">
        <f t="shared" ca="1" si="72"/>
        <v/>
      </c>
      <c r="B458" s="33" t="str">
        <f t="shared" ref="B458:B521" ca="1" si="75">IF(COUNTIF(J:J,A458)=1,VLOOKUP(A458,J:K,2), IF(COUNTIF(J:J,A458)=0,$B$10,""))</f>
        <v/>
      </c>
      <c r="C458" s="25" t="str">
        <f t="shared" ref="C458:C521" ca="1" si="76">IF(ISERROR(B458-2),"",(B458-$B$14)/100*$B$5)</f>
        <v/>
      </c>
      <c r="D458" s="26" t="str">
        <f t="shared" ref="D458:D521" ca="1" si="77">IF(ISERROR(B458-2),"",(INT(A458)-INT($A$14))/360*$B$6*$B$5-(INT(A458)-INT($A$14))/360*$B$7*$B$5*$B$14/100)</f>
        <v/>
      </c>
      <c r="E458" s="4" t="str">
        <f t="shared" ref="E458:E521" ca="1" si="78">IF(COUNTIF(L:L,A458)=1,VLOOKUP(A458,L:M,2), IF(COUNTIF(L:L,A458)=0,$C$10,""))</f>
        <v/>
      </c>
      <c r="F458" s="25" t="str">
        <f t="shared" ref="F458:F521" ca="1" si="79">IF(ISERROR(E458-2), "", (E458-$E$14)/100*$C$5)</f>
        <v/>
      </c>
      <c r="G458" s="26" t="str">
        <f t="shared" ref="G458:G521" ca="1" si="80">IF(ISERROR(E458-2),"",(INT(A458)-INT($A$14))/360*$C$6*$C$5-(INT(A458)-INT($A$14))/360*$C$7*$C$5*$E$14/100)</f>
        <v/>
      </c>
      <c r="H458" s="55" t="str">
        <f t="shared" ref="H458:H521" ca="1" si="81">IF(ISERROR(E458-2),"",C458+D458-F458-G458)</f>
        <v/>
      </c>
      <c r="N458" s="95" t="str">
        <f t="shared" si="73"/>
        <v/>
      </c>
      <c r="O458" s="95" t="str">
        <f t="shared" si="74"/>
        <v/>
      </c>
    </row>
    <row r="459" spans="1:15" x14ac:dyDescent="0.25">
      <c r="A459" s="98" t="str">
        <f t="shared" ca="1" si="72"/>
        <v/>
      </c>
      <c r="B459" s="33" t="str">
        <f t="shared" ca="1" si="75"/>
        <v/>
      </c>
      <c r="C459" s="25" t="str">
        <f t="shared" ca="1" si="76"/>
        <v/>
      </c>
      <c r="D459" s="26" t="str">
        <f t="shared" ca="1" si="77"/>
        <v/>
      </c>
      <c r="E459" s="4" t="str">
        <f t="shared" ca="1" si="78"/>
        <v/>
      </c>
      <c r="F459" s="25" t="str">
        <f t="shared" ca="1" si="79"/>
        <v/>
      </c>
      <c r="G459" s="26" t="str">
        <f t="shared" ca="1" si="80"/>
        <v/>
      </c>
      <c r="H459" s="55" t="str">
        <f t="shared" ca="1" si="81"/>
        <v/>
      </c>
      <c r="N459" s="95" t="str">
        <f t="shared" si="73"/>
        <v/>
      </c>
      <c r="O459" s="95" t="str">
        <f t="shared" si="74"/>
        <v/>
      </c>
    </row>
    <row r="460" spans="1:15" x14ac:dyDescent="0.25">
      <c r="A460" s="98" t="str">
        <f t="shared" ca="1" si="72"/>
        <v/>
      </c>
      <c r="B460" s="33" t="str">
        <f t="shared" ca="1" si="75"/>
        <v/>
      </c>
      <c r="C460" s="25" t="str">
        <f t="shared" ca="1" si="76"/>
        <v/>
      </c>
      <c r="D460" s="26" t="str">
        <f t="shared" ca="1" si="77"/>
        <v/>
      </c>
      <c r="E460" s="4" t="str">
        <f t="shared" ca="1" si="78"/>
        <v/>
      </c>
      <c r="F460" s="25" t="str">
        <f t="shared" ca="1" si="79"/>
        <v/>
      </c>
      <c r="G460" s="26" t="str">
        <f t="shared" ca="1" si="80"/>
        <v/>
      </c>
      <c r="H460" s="55" t="str">
        <f t="shared" ca="1" si="81"/>
        <v/>
      </c>
      <c r="N460" s="95" t="str">
        <f t="shared" si="73"/>
        <v/>
      </c>
      <c r="O460" s="95" t="str">
        <f t="shared" si="74"/>
        <v/>
      </c>
    </row>
    <row r="461" spans="1:15" x14ac:dyDescent="0.25">
      <c r="A461" s="98" t="str">
        <f t="shared" ca="1" si="72"/>
        <v/>
      </c>
      <c r="B461" s="33" t="str">
        <f t="shared" ca="1" si="75"/>
        <v/>
      </c>
      <c r="C461" s="25" t="str">
        <f t="shared" ca="1" si="76"/>
        <v/>
      </c>
      <c r="D461" s="26" t="str">
        <f t="shared" ca="1" si="77"/>
        <v/>
      </c>
      <c r="E461" s="4" t="str">
        <f t="shared" ca="1" si="78"/>
        <v/>
      </c>
      <c r="F461" s="25" t="str">
        <f t="shared" ca="1" si="79"/>
        <v/>
      </c>
      <c r="G461" s="26" t="str">
        <f t="shared" ca="1" si="80"/>
        <v/>
      </c>
      <c r="H461" s="55" t="str">
        <f t="shared" ca="1" si="81"/>
        <v/>
      </c>
      <c r="N461" s="95" t="str">
        <f t="shared" si="73"/>
        <v/>
      </c>
      <c r="O461" s="95" t="str">
        <f t="shared" si="74"/>
        <v/>
      </c>
    </row>
    <row r="462" spans="1:15" x14ac:dyDescent="0.25">
      <c r="A462" s="98" t="str">
        <f t="shared" ca="1" si="72"/>
        <v/>
      </c>
      <c r="B462" s="33" t="str">
        <f t="shared" ca="1" si="75"/>
        <v/>
      </c>
      <c r="C462" s="25" t="str">
        <f t="shared" ca="1" si="76"/>
        <v/>
      </c>
      <c r="D462" s="26" t="str">
        <f t="shared" ca="1" si="77"/>
        <v/>
      </c>
      <c r="E462" s="4" t="str">
        <f t="shared" ca="1" si="78"/>
        <v/>
      </c>
      <c r="F462" s="25" t="str">
        <f t="shared" ca="1" si="79"/>
        <v/>
      </c>
      <c r="G462" s="26" t="str">
        <f t="shared" ca="1" si="80"/>
        <v/>
      </c>
      <c r="H462" s="55" t="str">
        <f t="shared" ca="1" si="81"/>
        <v/>
      </c>
      <c r="N462" s="95" t="str">
        <f t="shared" si="73"/>
        <v/>
      </c>
      <c r="O462" s="95" t="str">
        <f t="shared" si="74"/>
        <v/>
      </c>
    </row>
    <row r="463" spans="1:15" x14ac:dyDescent="0.25">
      <c r="A463" s="98" t="str">
        <f t="shared" ca="1" si="72"/>
        <v/>
      </c>
      <c r="B463" s="33" t="str">
        <f t="shared" ca="1" si="75"/>
        <v/>
      </c>
      <c r="C463" s="25" t="str">
        <f t="shared" ca="1" si="76"/>
        <v/>
      </c>
      <c r="D463" s="26" t="str">
        <f t="shared" ca="1" si="77"/>
        <v/>
      </c>
      <c r="E463" s="4" t="str">
        <f t="shared" ca="1" si="78"/>
        <v/>
      </c>
      <c r="F463" s="25" t="str">
        <f t="shared" ca="1" si="79"/>
        <v/>
      </c>
      <c r="G463" s="26" t="str">
        <f t="shared" ca="1" si="80"/>
        <v/>
      </c>
      <c r="H463" s="55" t="str">
        <f t="shared" ca="1" si="81"/>
        <v/>
      </c>
      <c r="N463" s="95" t="str">
        <f t="shared" si="73"/>
        <v/>
      </c>
      <c r="O463" s="95" t="str">
        <f t="shared" si="74"/>
        <v/>
      </c>
    </row>
    <row r="464" spans="1:15" x14ac:dyDescent="0.25">
      <c r="A464" s="98" t="str">
        <f t="shared" ref="A464:A527" ca="1" si="82">IF(AND(ISBLANK(P451), A463 = $P$1),NOW(),IF(ISBLANK(P451),"",P451))</f>
        <v/>
      </c>
      <c r="B464" s="33" t="str">
        <f t="shared" ca="1" si="75"/>
        <v/>
      </c>
      <c r="C464" s="25" t="str">
        <f t="shared" ca="1" si="76"/>
        <v/>
      </c>
      <c r="D464" s="26" t="str">
        <f t="shared" ca="1" si="77"/>
        <v/>
      </c>
      <c r="E464" s="4" t="str">
        <f t="shared" ca="1" si="78"/>
        <v/>
      </c>
      <c r="F464" s="25" t="str">
        <f t="shared" ca="1" si="79"/>
        <v/>
      </c>
      <c r="G464" s="26" t="str">
        <f t="shared" ca="1" si="80"/>
        <v/>
      </c>
      <c r="H464" s="55" t="str">
        <f t="shared" ca="1" si="81"/>
        <v/>
      </c>
      <c r="N464" s="95" t="str">
        <f t="shared" si="73"/>
        <v/>
      </c>
      <c r="O464" s="95" t="str">
        <f t="shared" si="74"/>
        <v/>
      </c>
    </row>
    <row r="465" spans="1:15" x14ac:dyDescent="0.25">
      <c r="A465" s="98" t="str">
        <f t="shared" ca="1" si="82"/>
        <v/>
      </c>
      <c r="B465" s="33" t="str">
        <f t="shared" ca="1" si="75"/>
        <v/>
      </c>
      <c r="C465" s="25" t="str">
        <f t="shared" ca="1" si="76"/>
        <v/>
      </c>
      <c r="D465" s="26" t="str">
        <f t="shared" ca="1" si="77"/>
        <v/>
      </c>
      <c r="E465" s="4" t="str">
        <f t="shared" ca="1" si="78"/>
        <v/>
      </c>
      <c r="F465" s="25" t="str">
        <f t="shared" ca="1" si="79"/>
        <v/>
      </c>
      <c r="G465" s="26" t="str">
        <f t="shared" ca="1" si="80"/>
        <v/>
      </c>
      <c r="H465" s="55" t="str">
        <f t="shared" ca="1" si="81"/>
        <v/>
      </c>
      <c r="N465" s="95" t="str">
        <f t="shared" si="73"/>
        <v/>
      </c>
      <c r="O465" s="95" t="str">
        <f t="shared" si="74"/>
        <v/>
      </c>
    </row>
    <row r="466" spans="1:15" x14ac:dyDescent="0.25">
      <c r="A466" s="98" t="str">
        <f t="shared" ca="1" si="82"/>
        <v/>
      </c>
      <c r="B466" s="33" t="str">
        <f t="shared" ca="1" si="75"/>
        <v/>
      </c>
      <c r="C466" s="25" t="str">
        <f t="shared" ca="1" si="76"/>
        <v/>
      </c>
      <c r="D466" s="26" t="str">
        <f t="shared" ca="1" si="77"/>
        <v/>
      </c>
      <c r="E466" s="4" t="str">
        <f t="shared" ca="1" si="78"/>
        <v/>
      </c>
      <c r="F466" s="25" t="str">
        <f t="shared" ca="1" si="79"/>
        <v/>
      </c>
      <c r="G466" s="26" t="str">
        <f t="shared" ca="1" si="80"/>
        <v/>
      </c>
      <c r="H466" s="55" t="str">
        <f t="shared" ca="1" si="81"/>
        <v/>
      </c>
      <c r="N466" s="95" t="str">
        <f t="shared" si="73"/>
        <v/>
      </c>
      <c r="O466" s="95" t="str">
        <f t="shared" si="74"/>
        <v/>
      </c>
    </row>
    <row r="467" spans="1:15" x14ac:dyDescent="0.25">
      <c r="A467" s="98" t="str">
        <f t="shared" ca="1" si="82"/>
        <v/>
      </c>
      <c r="B467" s="33" t="str">
        <f t="shared" ca="1" si="75"/>
        <v/>
      </c>
      <c r="C467" s="25" t="str">
        <f t="shared" ca="1" si="76"/>
        <v/>
      </c>
      <c r="D467" s="26" t="str">
        <f t="shared" ca="1" si="77"/>
        <v/>
      </c>
      <c r="E467" s="4" t="str">
        <f t="shared" ca="1" si="78"/>
        <v/>
      </c>
      <c r="F467" s="25" t="str">
        <f t="shared" ca="1" si="79"/>
        <v/>
      </c>
      <c r="G467" s="26" t="str">
        <f t="shared" ca="1" si="80"/>
        <v/>
      </c>
      <c r="H467" s="55" t="str">
        <f t="shared" ca="1" si="81"/>
        <v/>
      </c>
      <c r="N467" s="95" t="str">
        <f t="shared" si="73"/>
        <v/>
      </c>
      <c r="O467" s="95" t="str">
        <f t="shared" si="74"/>
        <v/>
      </c>
    </row>
    <row r="468" spans="1:15" x14ac:dyDescent="0.25">
      <c r="A468" s="98" t="str">
        <f t="shared" ca="1" si="82"/>
        <v/>
      </c>
      <c r="B468" s="33" t="str">
        <f t="shared" ca="1" si="75"/>
        <v/>
      </c>
      <c r="C468" s="25" t="str">
        <f t="shared" ca="1" si="76"/>
        <v/>
      </c>
      <c r="D468" s="26" t="str">
        <f t="shared" ca="1" si="77"/>
        <v/>
      </c>
      <c r="E468" s="4" t="str">
        <f t="shared" ca="1" si="78"/>
        <v/>
      </c>
      <c r="F468" s="25" t="str">
        <f t="shared" ca="1" si="79"/>
        <v/>
      </c>
      <c r="G468" s="26" t="str">
        <f t="shared" ca="1" si="80"/>
        <v/>
      </c>
      <c r="H468" s="55" t="str">
        <f t="shared" ca="1" si="81"/>
        <v/>
      </c>
      <c r="N468" s="95" t="str">
        <f t="shared" si="73"/>
        <v/>
      </c>
      <c r="O468" s="95" t="str">
        <f t="shared" si="74"/>
        <v/>
      </c>
    </row>
    <row r="469" spans="1:15" x14ac:dyDescent="0.25">
      <c r="A469" s="98" t="str">
        <f t="shared" ca="1" si="82"/>
        <v/>
      </c>
      <c r="B469" s="33" t="str">
        <f t="shared" ca="1" si="75"/>
        <v/>
      </c>
      <c r="C469" s="25" t="str">
        <f t="shared" ca="1" si="76"/>
        <v/>
      </c>
      <c r="D469" s="26" t="str">
        <f t="shared" ca="1" si="77"/>
        <v/>
      </c>
      <c r="E469" s="4" t="str">
        <f t="shared" ca="1" si="78"/>
        <v/>
      </c>
      <c r="F469" s="25" t="str">
        <f t="shared" ca="1" si="79"/>
        <v/>
      </c>
      <c r="G469" s="26" t="str">
        <f t="shared" ca="1" si="80"/>
        <v/>
      </c>
      <c r="H469" s="55" t="str">
        <f t="shared" ca="1" si="81"/>
        <v/>
      </c>
      <c r="N469" s="95" t="str">
        <f t="shared" si="73"/>
        <v/>
      </c>
      <c r="O469" s="95" t="str">
        <f t="shared" si="74"/>
        <v/>
      </c>
    </row>
    <row r="470" spans="1:15" x14ac:dyDescent="0.25">
      <c r="A470" s="98" t="str">
        <f t="shared" ca="1" si="82"/>
        <v/>
      </c>
      <c r="B470" s="33" t="str">
        <f t="shared" ca="1" si="75"/>
        <v/>
      </c>
      <c r="C470" s="25" t="str">
        <f t="shared" ca="1" si="76"/>
        <v/>
      </c>
      <c r="D470" s="26" t="str">
        <f t="shared" ca="1" si="77"/>
        <v/>
      </c>
      <c r="E470" s="4" t="str">
        <f t="shared" ca="1" si="78"/>
        <v/>
      </c>
      <c r="F470" s="25" t="str">
        <f t="shared" ca="1" si="79"/>
        <v/>
      </c>
      <c r="G470" s="26" t="str">
        <f t="shared" ca="1" si="80"/>
        <v/>
      </c>
      <c r="H470" s="55" t="str">
        <f t="shared" ca="1" si="81"/>
        <v/>
      </c>
      <c r="N470" s="95" t="str">
        <f t="shared" si="73"/>
        <v/>
      </c>
      <c r="O470" s="95" t="str">
        <f t="shared" si="74"/>
        <v/>
      </c>
    </row>
    <row r="471" spans="1:15" x14ac:dyDescent="0.25">
      <c r="A471" s="98" t="str">
        <f t="shared" ca="1" si="82"/>
        <v/>
      </c>
      <c r="B471" s="33" t="str">
        <f t="shared" ca="1" si="75"/>
        <v/>
      </c>
      <c r="C471" s="25" t="str">
        <f t="shared" ca="1" si="76"/>
        <v/>
      </c>
      <c r="D471" s="26" t="str">
        <f t="shared" ca="1" si="77"/>
        <v/>
      </c>
      <c r="E471" s="4" t="str">
        <f t="shared" ca="1" si="78"/>
        <v/>
      </c>
      <c r="F471" s="25" t="str">
        <f t="shared" ca="1" si="79"/>
        <v/>
      </c>
      <c r="G471" s="26" t="str">
        <f t="shared" ca="1" si="80"/>
        <v/>
      </c>
      <c r="H471" s="55" t="str">
        <f t="shared" ca="1" si="81"/>
        <v/>
      </c>
      <c r="N471" s="95" t="str">
        <f t="shared" si="73"/>
        <v/>
      </c>
      <c r="O471" s="95" t="str">
        <f t="shared" si="74"/>
        <v/>
      </c>
    </row>
    <row r="472" spans="1:15" x14ac:dyDescent="0.25">
      <c r="A472" s="98" t="str">
        <f t="shared" ca="1" si="82"/>
        <v/>
      </c>
      <c r="B472" s="33" t="str">
        <f t="shared" ca="1" si="75"/>
        <v/>
      </c>
      <c r="C472" s="25" t="str">
        <f t="shared" ca="1" si="76"/>
        <v/>
      </c>
      <c r="D472" s="26" t="str">
        <f t="shared" ca="1" si="77"/>
        <v/>
      </c>
      <c r="E472" s="4" t="str">
        <f t="shared" ca="1" si="78"/>
        <v/>
      </c>
      <c r="F472" s="25" t="str">
        <f t="shared" ca="1" si="79"/>
        <v/>
      </c>
      <c r="G472" s="26" t="str">
        <f t="shared" ca="1" si="80"/>
        <v/>
      </c>
      <c r="H472" s="55" t="str">
        <f t="shared" ca="1" si="81"/>
        <v/>
      </c>
      <c r="N472" s="95" t="str">
        <f t="shared" si="73"/>
        <v/>
      </c>
      <c r="O472" s="95" t="str">
        <f t="shared" si="74"/>
        <v/>
      </c>
    </row>
    <row r="473" spans="1:15" x14ac:dyDescent="0.25">
      <c r="A473" s="98" t="str">
        <f t="shared" ca="1" si="82"/>
        <v/>
      </c>
      <c r="B473" s="33" t="str">
        <f t="shared" ca="1" si="75"/>
        <v/>
      </c>
      <c r="C473" s="25" t="str">
        <f t="shared" ca="1" si="76"/>
        <v/>
      </c>
      <c r="D473" s="26" t="str">
        <f t="shared" ca="1" si="77"/>
        <v/>
      </c>
      <c r="E473" s="4" t="str">
        <f t="shared" ca="1" si="78"/>
        <v/>
      </c>
      <c r="F473" s="25" t="str">
        <f t="shared" ca="1" si="79"/>
        <v/>
      </c>
      <c r="G473" s="26" t="str">
        <f t="shared" ca="1" si="80"/>
        <v/>
      </c>
      <c r="H473" s="55" t="str">
        <f t="shared" ca="1" si="81"/>
        <v/>
      </c>
      <c r="N473" s="95" t="str">
        <f t="shared" si="73"/>
        <v/>
      </c>
      <c r="O473" s="95" t="str">
        <f t="shared" si="74"/>
        <v/>
      </c>
    </row>
    <row r="474" spans="1:15" x14ac:dyDescent="0.25">
      <c r="A474" s="98" t="str">
        <f t="shared" ca="1" si="82"/>
        <v/>
      </c>
      <c r="B474" s="33" t="str">
        <f t="shared" ca="1" si="75"/>
        <v/>
      </c>
      <c r="C474" s="25" t="str">
        <f t="shared" ca="1" si="76"/>
        <v/>
      </c>
      <c r="D474" s="26" t="str">
        <f t="shared" ca="1" si="77"/>
        <v/>
      </c>
      <c r="E474" s="4" t="str">
        <f t="shared" ca="1" si="78"/>
        <v/>
      </c>
      <c r="F474" s="25" t="str">
        <f t="shared" ca="1" si="79"/>
        <v/>
      </c>
      <c r="G474" s="26" t="str">
        <f t="shared" ca="1" si="80"/>
        <v/>
      </c>
      <c r="H474" s="55" t="str">
        <f t="shared" ca="1" si="81"/>
        <v/>
      </c>
      <c r="N474" s="95" t="str">
        <f t="shared" si="73"/>
        <v/>
      </c>
      <c r="O474" s="95" t="str">
        <f t="shared" si="74"/>
        <v/>
      </c>
    </row>
    <row r="475" spans="1:15" x14ac:dyDescent="0.25">
      <c r="A475" s="98" t="str">
        <f t="shared" ca="1" si="82"/>
        <v/>
      </c>
      <c r="B475" s="33" t="str">
        <f t="shared" ca="1" si="75"/>
        <v/>
      </c>
      <c r="C475" s="25" t="str">
        <f t="shared" ca="1" si="76"/>
        <v/>
      </c>
      <c r="D475" s="26" t="str">
        <f t="shared" ca="1" si="77"/>
        <v/>
      </c>
      <c r="E475" s="4" t="str">
        <f t="shared" ca="1" si="78"/>
        <v/>
      </c>
      <c r="F475" s="25" t="str">
        <f t="shared" ca="1" si="79"/>
        <v/>
      </c>
      <c r="G475" s="26" t="str">
        <f t="shared" ca="1" si="80"/>
        <v/>
      </c>
      <c r="H475" s="55" t="str">
        <f t="shared" ca="1" si="81"/>
        <v/>
      </c>
      <c r="N475" s="95" t="str">
        <f t="shared" si="73"/>
        <v/>
      </c>
      <c r="O475" s="95" t="str">
        <f t="shared" si="74"/>
        <v/>
      </c>
    </row>
    <row r="476" spans="1:15" x14ac:dyDescent="0.25">
      <c r="A476" s="98" t="str">
        <f t="shared" ca="1" si="82"/>
        <v/>
      </c>
      <c r="B476" s="33" t="str">
        <f t="shared" ca="1" si="75"/>
        <v/>
      </c>
      <c r="C476" s="25" t="str">
        <f t="shared" ca="1" si="76"/>
        <v/>
      </c>
      <c r="D476" s="26" t="str">
        <f t="shared" ca="1" si="77"/>
        <v/>
      </c>
      <c r="E476" s="4" t="str">
        <f t="shared" ca="1" si="78"/>
        <v/>
      </c>
      <c r="F476" s="25" t="str">
        <f t="shared" ca="1" si="79"/>
        <v/>
      </c>
      <c r="G476" s="26" t="str">
        <f t="shared" ca="1" si="80"/>
        <v/>
      </c>
      <c r="H476" s="55" t="str">
        <f t="shared" ca="1" si="81"/>
        <v/>
      </c>
      <c r="N476" s="95" t="str">
        <f t="shared" si="73"/>
        <v/>
      </c>
      <c r="O476" s="95" t="str">
        <f t="shared" si="74"/>
        <v/>
      </c>
    </row>
    <row r="477" spans="1:15" x14ac:dyDescent="0.25">
      <c r="A477" s="98" t="str">
        <f t="shared" ca="1" si="82"/>
        <v/>
      </c>
      <c r="B477" s="33" t="str">
        <f t="shared" ca="1" si="75"/>
        <v/>
      </c>
      <c r="C477" s="25" t="str">
        <f t="shared" ca="1" si="76"/>
        <v/>
      </c>
      <c r="D477" s="26" t="str">
        <f t="shared" ca="1" si="77"/>
        <v/>
      </c>
      <c r="E477" s="4" t="str">
        <f t="shared" ca="1" si="78"/>
        <v/>
      </c>
      <c r="F477" s="25" t="str">
        <f t="shared" ca="1" si="79"/>
        <v/>
      </c>
      <c r="G477" s="26" t="str">
        <f t="shared" ca="1" si="80"/>
        <v/>
      </c>
      <c r="H477" s="55" t="str">
        <f t="shared" ca="1" si="81"/>
        <v/>
      </c>
      <c r="N477" s="95" t="str">
        <f t="shared" si="73"/>
        <v/>
      </c>
      <c r="O477" s="95" t="str">
        <f t="shared" si="74"/>
        <v/>
      </c>
    </row>
    <row r="478" spans="1:15" x14ac:dyDescent="0.25">
      <c r="A478" s="98" t="str">
        <f t="shared" ca="1" si="82"/>
        <v/>
      </c>
      <c r="B478" s="33" t="str">
        <f t="shared" ca="1" si="75"/>
        <v/>
      </c>
      <c r="C478" s="25" t="str">
        <f t="shared" ca="1" si="76"/>
        <v/>
      </c>
      <c r="D478" s="26" t="str">
        <f t="shared" ca="1" si="77"/>
        <v/>
      </c>
      <c r="E478" s="4" t="str">
        <f t="shared" ca="1" si="78"/>
        <v/>
      </c>
      <c r="F478" s="25" t="str">
        <f t="shared" ca="1" si="79"/>
        <v/>
      </c>
      <c r="G478" s="26" t="str">
        <f t="shared" ca="1" si="80"/>
        <v/>
      </c>
      <c r="H478" s="55" t="str">
        <f t="shared" ca="1" si="81"/>
        <v/>
      </c>
      <c r="N478" s="95" t="str">
        <f t="shared" si="73"/>
        <v/>
      </c>
      <c r="O478" s="95" t="str">
        <f t="shared" si="74"/>
        <v/>
      </c>
    </row>
    <row r="479" spans="1:15" x14ac:dyDescent="0.25">
      <c r="A479" s="98" t="str">
        <f t="shared" ca="1" si="82"/>
        <v/>
      </c>
      <c r="B479" s="33" t="str">
        <f t="shared" ca="1" si="75"/>
        <v/>
      </c>
      <c r="C479" s="25" t="str">
        <f t="shared" ca="1" si="76"/>
        <v/>
      </c>
      <c r="D479" s="26" t="str">
        <f t="shared" ca="1" si="77"/>
        <v/>
      </c>
      <c r="E479" s="4" t="str">
        <f t="shared" ca="1" si="78"/>
        <v/>
      </c>
      <c r="F479" s="25" t="str">
        <f t="shared" ca="1" si="79"/>
        <v/>
      </c>
      <c r="G479" s="26" t="str">
        <f t="shared" ca="1" si="80"/>
        <v/>
      </c>
      <c r="H479" s="55" t="str">
        <f t="shared" ca="1" si="81"/>
        <v/>
      </c>
      <c r="N479" s="95" t="str">
        <f t="shared" si="73"/>
        <v/>
      </c>
      <c r="O479" s="95" t="str">
        <f t="shared" si="74"/>
        <v/>
      </c>
    </row>
    <row r="480" spans="1:15" x14ac:dyDescent="0.25">
      <c r="A480" s="98" t="str">
        <f t="shared" ca="1" si="82"/>
        <v/>
      </c>
      <c r="B480" s="33" t="str">
        <f t="shared" ca="1" si="75"/>
        <v/>
      </c>
      <c r="C480" s="25" t="str">
        <f t="shared" ca="1" si="76"/>
        <v/>
      </c>
      <c r="D480" s="26" t="str">
        <f t="shared" ca="1" si="77"/>
        <v/>
      </c>
      <c r="E480" s="4" t="str">
        <f t="shared" ca="1" si="78"/>
        <v/>
      </c>
      <c r="F480" s="25" t="str">
        <f t="shared" ca="1" si="79"/>
        <v/>
      </c>
      <c r="G480" s="26" t="str">
        <f t="shared" ca="1" si="80"/>
        <v/>
      </c>
      <c r="H480" s="55" t="str">
        <f t="shared" ca="1" si="81"/>
        <v/>
      </c>
      <c r="N480" s="95" t="str">
        <f t="shared" si="73"/>
        <v/>
      </c>
      <c r="O480" s="95" t="str">
        <f t="shared" si="74"/>
        <v/>
      </c>
    </row>
    <row r="481" spans="1:15" x14ac:dyDescent="0.25">
      <c r="A481" s="98" t="str">
        <f t="shared" ca="1" si="82"/>
        <v/>
      </c>
      <c r="B481" s="33" t="str">
        <f t="shared" ca="1" si="75"/>
        <v/>
      </c>
      <c r="C481" s="25" t="str">
        <f t="shared" ca="1" si="76"/>
        <v/>
      </c>
      <c r="D481" s="26" t="str">
        <f t="shared" ca="1" si="77"/>
        <v/>
      </c>
      <c r="E481" s="4" t="str">
        <f t="shared" ca="1" si="78"/>
        <v/>
      </c>
      <c r="F481" s="25" t="str">
        <f t="shared" ca="1" si="79"/>
        <v/>
      </c>
      <c r="G481" s="26" t="str">
        <f t="shared" ca="1" si="80"/>
        <v/>
      </c>
      <c r="H481" s="55" t="str">
        <f t="shared" ca="1" si="81"/>
        <v/>
      </c>
      <c r="N481" s="95" t="str">
        <f t="shared" si="73"/>
        <v/>
      </c>
      <c r="O481" s="95" t="str">
        <f t="shared" si="74"/>
        <v/>
      </c>
    </row>
    <row r="482" spans="1:15" x14ac:dyDescent="0.25">
      <c r="A482" s="98" t="str">
        <f t="shared" ca="1" si="82"/>
        <v/>
      </c>
      <c r="B482" s="33" t="str">
        <f t="shared" ca="1" si="75"/>
        <v/>
      </c>
      <c r="C482" s="25" t="str">
        <f t="shared" ca="1" si="76"/>
        <v/>
      </c>
      <c r="D482" s="26" t="str">
        <f t="shared" ca="1" si="77"/>
        <v/>
      </c>
      <c r="E482" s="4" t="str">
        <f t="shared" ca="1" si="78"/>
        <v/>
      </c>
      <c r="F482" s="25" t="str">
        <f t="shared" ca="1" si="79"/>
        <v/>
      </c>
      <c r="G482" s="26" t="str">
        <f t="shared" ca="1" si="80"/>
        <v/>
      </c>
      <c r="H482" s="55" t="str">
        <f t="shared" ca="1" si="81"/>
        <v/>
      </c>
      <c r="N482" s="95" t="str">
        <f t="shared" si="73"/>
        <v/>
      </c>
      <c r="O482" s="95" t="str">
        <f t="shared" si="74"/>
        <v/>
      </c>
    </row>
    <row r="483" spans="1:15" x14ac:dyDescent="0.25">
      <c r="A483" s="98" t="str">
        <f t="shared" ca="1" si="82"/>
        <v/>
      </c>
      <c r="B483" s="33" t="str">
        <f t="shared" ca="1" si="75"/>
        <v/>
      </c>
      <c r="C483" s="25" t="str">
        <f t="shared" ca="1" si="76"/>
        <v/>
      </c>
      <c r="D483" s="26" t="str">
        <f t="shared" ca="1" si="77"/>
        <v/>
      </c>
      <c r="E483" s="4" t="str">
        <f t="shared" ca="1" si="78"/>
        <v/>
      </c>
      <c r="F483" s="25" t="str">
        <f t="shared" ca="1" si="79"/>
        <v/>
      </c>
      <c r="G483" s="26" t="str">
        <f t="shared" ca="1" si="80"/>
        <v/>
      </c>
      <c r="H483" s="55" t="str">
        <f t="shared" ca="1" si="81"/>
        <v/>
      </c>
      <c r="N483" s="95" t="str">
        <f t="shared" si="73"/>
        <v/>
      </c>
      <c r="O483" s="95" t="str">
        <f t="shared" si="74"/>
        <v/>
      </c>
    </row>
    <row r="484" spans="1:15" x14ac:dyDescent="0.25">
      <c r="A484" s="98" t="str">
        <f t="shared" ca="1" si="82"/>
        <v/>
      </c>
      <c r="B484" s="33" t="str">
        <f t="shared" ca="1" si="75"/>
        <v/>
      </c>
      <c r="C484" s="25" t="str">
        <f t="shared" ca="1" si="76"/>
        <v/>
      </c>
      <c r="D484" s="26" t="str">
        <f t="shared" ca="1" si="77"/>
        <v/>
      </c>
      <c r="E484" s="4" t="str">
        <f t="shared" ca="1" si="78"/>
        <v/>
      </c>
      <c r="F484" s="25" t="str">
        <f t="shared" ca="1" si="79"/>
        <v/>
      </c>
      <c r="G484" s="26" t="str">
        <f t="shared" ca="1" si="80"/>
        <v/>
      </c>
      <c r="H484" s="55" t="str">
        <f t="shared" ca="1" si="81"/>
        <v/>
      </c>
      <c r="N484" s="95" t="str">
        <f t="shared" si="73"/>
        <v/>
      </c>
      <c r="O484" s="95" t="str">
        <f t="shared" si="74"/>
        <v/>
      </c>
    </row>
    <row r="485" spans="1:15" x14ac:dyDescent="0.25">
      <c r="A485" s="98" t="str">
        <f t="shared" ca="1" si="82"/>
        <v/>
      </c>
      <c r="B485" s="33" t="str">
        <f t="shared" ca="1" si="75"/>
        <v/>
      </c>
      <c r="C485" s="25" t="str">
        <f t="shared" ca="1" si="76"/>
        <v/>
      </c>
      <c r="D485" s="26" t="str">
        <f t="shared" ca="1" si="77"/>
        <v/>
      </c>
      <c r="E485" s="4" t="str">
        <f t="shared" ca="1" si="78"/>
        <v/>
      </c>
      <c r="F485" s="25" t="str">
        <f t="shared" ca="1" si="79"/>
        <v/>
      </c>
      <c r="G485" s="26" t="str">
        <f t="shared" ca="1" si="80"/>
        <v/>
      </c>
      <c r="H485" s="55" t="str">
        <f t="shared" ca="1" si="81"/>
        <v/>
      </c>
      <c r="N485" s="95" t="str">
        <f t="shared" si="73"/>
        <v/>
      </c>
      <c r="O485" s="95" t="str">
        <f t="shared" si="74"/>
        <v/>
      </c>
    </row>
    <row r="486" spans="1:15" x14ac:dyDescent="0.25">
      <c r="A486" s="98" t="str">
        <f t="shared" ca="1" si="82"/>
        <v/>
      </c>
      <c r="B486" s="33" t="str">
        <f t="shared" ca="1" si="75"/>
        <v/>
      </c>
      <c r="C486" s="25" t="str">
        <f t="shared" ca="1" si="76"/>
        <v/>
      </c>
      <c r="D486" s="26" t="str">
        <f t="shared" ca="1" si="77"/>
        <v/>
      </c>
      <c r="E486" s="4" t="str">
        <f t="shared" ca="1" si="78"/>
        <v/>
      </c>
      <c r="F486" s="25" t="str">
        <f t="shared" ca="1" si="79"/>
        <v/>
      </c>
      <c r="G486" s="26" t="str">
        <f t="shared" ca="1" si="80"/>
        <v/>
      </c>
      <c r="H486" s="55" t="str">
        <f t="shared" ca="1" si="81"/>
        <v/>
      </c>
      <c r="N486" s="95" t="str">
        <f t="shared" si="73"/>
        <v/>
      </c>
      <c r="O486" s="95" t="str">
        <f t="shared" si="74"/>
        <v/>
      </c>
    </row>
    <row r="487" spans="1:15" x14ac:dyDescent="0.25">
      <c r="A487" s="98" t="str">
        <f t="shared" ca="1" si="82"/>
        <v/>
      </c>
      <c r="B487" s="33" t="str">
        <f t="shared" ca="1" si="75"/>
        <v/>
      </c>
      <c r="C487" s="25" t="str">
        <f t="shared" ca="1" si="76"/>
        <v/>
      </c>
      <c r="D487" s="26" t="str">
        <f t="shared" ca="1" si="77"/>
        <v/>
      </c>
      <c r="E487" s="4" t="str">
        <f t="shared" ca="1" si="78"/>
        <v/>
      </c>
      <c r="F487" s="25" t="str">
        <f t="shared" ca="1" si="79"/>
        <v/>
      </c>
      <c r="G487" s="26" t="str">
        <f t="shared" ca="1" si="80"/>
        <v/>
      </c>
      <c r="H487" s="55" t="str">
        <f t="shared" ca="1" si="81"/>
        <v/>
      </c>
      <c r="N487" s="95" t="str">
        <f t="shared" si="73"/>
        <v/>
      </c>
      <c r="O487" s="95" t="str">
        <f t="shared" si="74"/>
        <v/>
      </c>
    </row>
    <row r="488" spans="1:15" x14ac:dyDescent="0.25">
      <c r="A488" s="98" t="str">
        <f t="shared" ca="1" si="82"/>
        <v/>
      </c>
      <c r="B488" s="33" t="str">
        <f t="shared" ca="1" si="75"/>
        <v/>
      </c>
      <c r="C488" s="25" t="str">
        <f t="shared" ca="1" si="76"/>
        <v/>
      </c>
      <c r="D488" s="26" t="str">
        <f t="shared" ca="1" si="77"/>
        <v/>
      </c>
      <c r="E488" s="4" t="str">
        <f t="shared" ca="1" si="78"/>
        <v/>
      </c>
      <c r="F488" s="25" t="str">
        <f t="shared" ca="1" si="79"/>
        <v/>
      </c>
      <c r="G488" s="26" t="str">
        <f t="shared" ca="1" si="80"/>
        <v/>
      </c>
      <c r="H488" s="55" t="str">
        <f t="shared" ca="1" si="81"/>
        <v/>
      </c>
      <c r="N488" s="95" t="str">
        <f t="shared" si="73"/>
        <v/>
      </c>
      <c r="O488" s="95" t="str">
        <f t="shared" si="74"/>
        <v/>
      </c>
    </row>
    <row r="489" spans="1:15" x14ac:dyDescent="0.25">
      <c r="A489" s="98" t="str">
        <f t="shared" ca="1" si="82"/>
        <v/>
      </c>
      <c r="B489" s="33" t="str">
        <f t="shared" ca="1" si="75"/>
        <v/>
      </c>
      <c r="C489" s="25" t="str">
        <f t="shared" ca="1" si="76"/>
        <v/>
      </c>
      <c r="D489" s="26" t="str">
        <f t="shared" ca="1" si="77"/>
        <v/>
      </c>
      <c r="E489" s="4" t="str">
        <f t="shared" ca="1" si="78"/>
        <v/>
      </c>
      <c r="F489" s="25" t="str">
        <f t="shared" ca="1" si="79"/>
        <v/>
      </c>
      <c r="G489" s="26" t="str">
        <f t="shared" ca="1" si="80"/>
        <v/>
      </c>
      <c r="H489" s="55" t="str">
        <f t="shared" ca="1" si="81"/>
        <v/>
      </c>
      <c r="N489" s="95" t="str">
        <f t="shared" si="73"/>
        <v/>
      </c>
      <c r="O489" s="95" t="str">
        <f t="shared" si="74"/>
        <v/>
      </c>
    </row>
    <row r="490" spans="1:15" x14ac:dyDescent="0.25">
      <c r="A490" s="98" t="str">
        <f t="shared" ca="1" si="82"/>
        <v/>
      </c>
      <c r="B490" s="33" t="str">
        <f t="shared" ca="1" si="75"/>
        <v/>
      </c>
      <c r="C490" s="25" t="str">
        <f t="shared" ca="1" si="76"/>
        <v/>
      </c>
      <c r="D490" s="26" t="str">
        <f t="shared" ca="1" si="77"/>
        <v/>
      </c>
      <c r="E490" s="4" t="str">
        <f t="shared" ca="1" si="78"/>
        <v/>
      </c>
      <c r="F490" s="25" t="str">
        <f t="shared" ca="1" si="79"/>
        <v/>
      </c>
      <c r="G490" s="26" t="str">
        <f t="shared" ca="1" si="80"/>
        <v/>
      </c>
      <c r="H490" s="55" t="str">
        <f t="shared" ca="1" si="81"/>
        <v/>
      </c>
      <c r="N490" s="95" t="str">
        <f t="shared" si="73"/>
        <v/>
      </c>
      <c r="O490" s="95" t="str">
        <f t="shared" si="74"/>
        <v/>
      </c>
    </row>
    <row r="491" spans="1:15" x14ac:dyDescent="0.25">
      <c r="A491" s="98" t="str">
        <f t="shared" ca="1" si="82"/>
        <v/>
      </c>
      <c r="B491" s="33" t="str">
        <f t="shared" ca="1" si="75"/>
        <v/>
      </c>
      <c r="C491" s="25" t="str">
        <f t="shared" ca="1" si="76"/>
        <v/>
      </c>
      <c r="D491" s="26" t="str">
        <f t="shared" ca="1" si="77"/>
        <v/>
      </c>
      <c r="E491" s="4" t="str">
        <f t="shared" ca="1" si="78"/>
        <v/>
      </c>
      <c r="F491" s="25" t="str">
        <f t="shared" ca="1" si="79"/>
        <v/>
      </c>
      <c r="G491" s="26" t="str">
        <f t="shared" ca="1" si="80"/>
        <v/>
      </c>
      <c r="H491" s="55" t="str">
        <f t="shared" ca="1" si="81"/>
        <v/>
      </c>
      <c r="N491" s="95" t="str">
        <f t="shared" si="73"/>
        <v/>
      </c>
      <c r="O491" s="95" t="str">
        <f t="shared" si="74"/>
        <v/>
      </c>
    </row>
    <row r="492" spans="1:15" x14ac:dyDescent="0.25">
      <c r="A492" s="98" t="str">
        <f t="shared" ca="1" si="82"/>
        <v/>
      </c>
      <c r="B492" s="33" t="str">
        <f t="shared" ca="1" si="75"/>
        <v/>
      </c>
      <c r="C492" s="25" t="str">
        <f t="shared" ca="1" si="76"/>
        <v/>
      </c>
      <c r="D492" s="26" t="str">
        <f t="shared" ca="1" si="77"/>
        <v/>
      </c>
      <c r="E492" s="4" t="str">
        <f t="shared" ca="1" si="78"/>
        <v/>
      </c>
      <c r="F492" s="25" t="str">
        <f t="shared" ca="1" si="79"/>
        <v/>
      </c>
      <c r="G492" s="26" t="str">
        <f t="shared" ca="1" si="80"/>
        <v/>
      </c>
      <c r="H492" s="55" t="str">
        <f t="shared" ca="1" si="81"/>
        <v/>
      </c>
      <c r="N492" s="95" t="str">
        <f t="shared" si="73"/>
        <v/>
      </c>
      <c r="O492" s="95" t="str">
        <f t="shared" si="74"/>
        <v/>
      </c>
    </row>
    <row r="493" spans="1:15" x14ac:dyDescent="0.25">
      <c r="A493" s="98" t="str">
        <f t="shared" ca="1" si="82"/>
        <v/>
      </c>
      <c r="B493" s="33" t="str">
        <f t="shared" ca="1" si="75"/>
        <v/>
      </c>
      <c r="C493" s="25" t="str">
        <f t="shared" ca="1" si="76"/>
        <v/>
      </c>
      <c r="D493" s="26" t="str">
        <f t="shared" ca="1" si="77"/>
        <v/>
      </c>
      <c r="E493" s="4" t="str">
        <f t="shared" ca="1" si="78"/>
        <v/>
      </c>
      <c r="F493" s="25" t="str">
        <f t="shared" ca="1" si="79"/>
        <v/>
      </c>
      <c r="G493" s="26" t="str">
        <f t="shared" ca="1" si="80"/>
        <v/>
      </c>
      <c r="H493" s="55" t="str">
        <f t="shared" ca="1" si="81"/>
        <v/>
      </c>
      <c r="N493" s="95" t="str">
        <f t="shared" si="73"/>
        <v/>
      </c>
      <c r="O493" s="95" t="str">
        <f t="shared" si="74"/>
        <v/>
      </c>
    </row>
    <row r="494" spans="1:15" x14ac:dyDescent="0.25">
      <c r="A494" s="98" t="str">
        <f t="shared" ca="1" si="82"/>
        <v/>
      </c>
      <c r="B494" s="33" t="str">
        <f t="shared" ca="1" si="75"/>
        <v/>
      </c>
      <c r="C494" s="25" t="str">
        <f t="shared" ca="1" si="76"/>
        <v/>
      </c>
      <c r="D494" s="26" t="str">
        <f t="shared" ca="1" si="77"/>
        <v/>
      </c>
      <c r="E494" s="4" t="str">
        <f t="shared" ca="1" si="78"/>
        <v/>
      </c>
      <c r="F494" s="25" t="str">
        <f t="shared" ca="1" si="79"/>
        <v/>
      </c>
      <c r="G494" s="26" t="str">
        <f t="shared" ca="1" si="80"/>
        <v/>
      </c>
      <c r="H494" s="55" t="str">
        <f t="shared" ca="1" si="81"/>
        <v/>
      </c>
      <c r="N494" s="95" t="str">
        <f t="shared" si="73"/>
        <v/>
      </c>
      <c r="O494" s="95" t="str">
        <f t="shared" si="74"/>
        <v/>
      </c>
    </row>
    <row r="495" spans="1:15" x14ac:dyDescent="0.25">
      <c r="A495" s="98" t="str">
        <f t="shared" ca="1" si="82"/>
        <v/>
      </c>
      <c r="B495" s="33" t="str">
        <f t="shared" ca="1" si="75"/>
        <v/>
      </c>
      <c r="C495" s="25" t="str">
        <f t="shared" ca="1" si="76"/>
        <v/>
      </c>
      <c r="D495" s="26" t="str">
        <f t="shared" ca="1" si="77"/>
        <v/>
      </c>
      <c r="E495" s="4" t="str">
        <f t="shared" ca="1" si="78"/>
        <v/>
      </c>
      <c r="F495" s="25" t="str">
        <f t="shared" ca="1" si="79"/>
        <v/>
      </c>
      <c r="G495" s="26" t="str">
        <f t="shared" ca="1" si="80"/>
        <v/>
      </c>
      <c r="H495" s="55" t="str">
        <f t="shared" ca="1" si="81"/>
        <v/>
      </c>
      <c r="N495" s="95" t="str">
        <f t="shared" si="73"/>
        <v/>
      </c>
      <c r="O495" s="95" t="str">
        <f t="shared" si="74"/>
        <v/>
      </c>
    </row>
    <row r="496" spans="1:15" x14ac:dyDescent="0.25">
      <c r="A496" s="98" t="str">
        <f t="shared" ca="1" si="82"/>
        <v/>
      </c>
      <c r="B496" s="33" t="str">
        <f t="shared" ca="1" si="75"/>
        <v/>
      </c>
      <c r="C496" s="25" t="str">
        <f t="shared" ca="1" si="76"/>
        <v/>
      </c>
      <c r="D496" s="26" t="str">
        <f t="shared" ca="1" si="77"/>
        <v/>
      </c>
      <c r="E496" s="4" t="str">
        <f t="shared" ca="1" si="78"/>
        <v/>
      </c>
      <c r="F496" s="25" t="str">
        <f t="shared" ca="1" si="79"/>
        <v/>
      </c>
      <c r="G496" s="26" t="str">
        <f t="shared" ca="1" si="80"/>
        <v/>
      </c>
      <c r="H496" s="55" t="str">
        <f t="shared" ca="1" si="81"/>
        <v/>
      </c>
      <c r="N496" s="95" t="str">
        <f t="shared" si="73"/>
        <v/>
      </c>
      <c r="O496" s="95" t="str">
        <f t="shared" si="74"/>
        <v/>
      </c>
    </row>
    <row r="497" spans="1:15" x14ac:dyDescent="0.25">
      <c r="A497" s="98" t="str">
        <f t="shared" ca="1" si="82"/>
        <v/>
      </c>
      <c r="B497" s="33" t="str">
        <f t="shared" ca="1" si="75"/>
        <v/>
      </c>
      <c r="C497" s="25" t="str">
        <f t="shared" ca="1" si="76"/>
        <v/>
      </c>
      <c r="D497" s="26" t="str">
        <f t="shared" ca="1" si="77"/>
        <v/>
      </c>
      <c r="E497" s="4" t="str">
        <f t="shared" ca="1" si="78"/>
        <v/>
      </c>
      <c r="F497" s="25" t="str">
        <f t="shared" ca="1" si="79"/>
        <v/>
      </c>
      <c r="G497" s="26" t="str">
        <f t="shared" ca="1" si="80"/>
        <v/>
      </c>
      <c r="H497" s="55" t="str">
        <f t="shared" ca="1" si="81"/>
        <v/>
      </c>
      <c r="N497" s="95" t="str">
        <f t="shared" si="73"/>
        <v/>
      </c>
      <c r="O497" s="95" t="str">
        <f t="shared" si="74"/>
        <v/>
      </c>
    </row>
    <row r="498" spans="1:15" x14ac:dyDescent="0.25">
      <c r="A498" s="98" t="str">
        <f t="shared" ca="1" si="82"/>
        <v/>
      </c>
      <c r="B498" s="33" t="str">
        <f t="shared" ca="1" si="75"/>
        <v/>
      </c>
      <c r="C498" s="25" t="str">
        <f t="shared" ca="1" si="76"/>
        <v/>
      </c>
      <c r="D498" s="26" t="str">
        <f t="shared" ca="1" si="77"/>
        <v/>
      </c>
      <c r="E498" s="4" t="str">
        <f t="shared" ca="1" si="78"/>
        <v/>
      </c>
      <c r="F498" s="25" t="str">
        <f t="shared" ca="1" si="79"/>
        <v/>
      </c>
      <c r="G498" s="26" t="str">
        <f t="shared" ca="1" si="80"/>
        <v/>
      </c>
      <c r="H498" s="55" t="str">
        <f t="shared" ca="1" si="81"/>
        <v/>
      </c>
      <c r="N498" s="95" t="str">
        <f t="shared" si="73"/>
        <v/>
      </c>
      <c r="O498" s="95" t="str">
        <f t="shared" si="74"/>
        <v/>
      </c>
    </row>
    <row r="499" spans="1:15" x14ac:dyDescent="0.25">
      <c r="A499" s="98" t="str">
        <f t="shared" ca="1" si="82"/>
        <v/>
      </c>
      <c r="B499" s="33" t="str">
        <f t="shared" ca="1" si="75"/>
        <v/>
      </c>
      <c r="C499" s="25" t="str">
        <f t="shared" ca="1" si="76"/>
        <v/>
      </c>
      <c r="D499" s="26" t="str">
        <f t="shared" ca="1" si="77"/>
        <v/>
      </c>
      <c r="E499" s="4" t="str">
        <f t="shared" ca="1" si="78"/>
        <v/>
      </c>
      <c r="F499" s="25" t="str">
        <f t="shared" ca="1" si="79"/>
        <v/>
      </c>
      <c r="G499" s="26" t="str">
        <f t="shared" ca="1" si="80"/>
        <v/>
      </c>
      <c r="H499" s="55" t="str">
        <f t="shared" ca="1" si="81"/>
        <v/>
      </c>
      <c r="N499" s="95" t="str">
        <f t="shared" si="73"/>
        <v/>
      </c>
      <c r="O499" s="95" t="str">
        <f t="shared" si="74"/>
        <v/>
      </c>
    </row>
    <row r="500" spans="1:15" x14ac:dyDescent="0.25">
      <c r="A500" s="98" t="str">
        <f t="shared" ca="1" si="82"/>
        <v/>
      </c>
      <c r="B500" s="33" t="str">
        <f t="shared" ca="1" si="75"/>
        <v/>
      </c>
      <c r="C500" s="25" t="str">
        <f t="shared" ca="1" si="76"/>
        <v/>
      </c>
      <c r="D500" s="26" t="str">
        <f t="shared" ca="1" si="77"/>
        <v/>
      </c>
      <c r="E500" s="4" t="str">
        <f t="shared" ca="1" si="78"/>
        <v/>
      </c>
      <c r="F500" s="25" t="str">
        <f t="shared" ca="1" si="79"/>
        <v/>
      </c>
      <c r="G500" s="26" t="str">
        <f t="shared" ca="1" si="80"/>
        <v/>
      </c>
      <c r="H500" s="55" t="str">
        <f t="shared" ca="1" si="81"/>
        <v/>
      </c>
      <c r="N500" s="95" t="str">
        <f t="shared" si="73"/>
        <v/>
      </c>
      <c r="O500" s="95" t="str">
        <f t="shared" si="74"/>
        <v/>
      </c>
    </row>
    <row r="501" spans="1:15" x14ac:dyDescent="0.25">
      <c r="A501" s="98" t="str">
        <f t="shared" ca="1" si="82"/>
        <v/>
      </c>
      <c r="B501" s="33" t="str">
        <f t="shared" ca="1" si="75"/>
        <v/>
      </c>
      <c r="C501" s="25" t="str">
        <f t="shared" ca="1" si="76"/>
        <v/>
      </c>
      <c r="D501" s="26" t="str">
        <f t="shared" ca="1" si="77"/>
        <v/>
      </c>
      <c r="E501" s="4" t="str">
        <f t="shared" ca="1" si="78"/>
        <v/>
      </c>
      <c r="F501" s="25" t="str">
        <f t="shared" ca="1" si="79"/>
        <v/>
      </c>
      <c r="G501" s="26" t="str">
        <f t="shared" ca="1" si="80"/>
        <v/>
      </c>
      <c r="H501" s="55" t="str">
        <f t="shared" ca="1" si="81"/>
        <v/>
      </c>
      <c r="N501" s="95" t="str">
        <f t="shared" si="73"/>
        <v/>
      </c>
      <c r="O501" s="95" t="str">
        <f t="shared" si="74"/>
        <v/>
      </c>
    </row>
    <row r="502" spans="1:15" x14ac:dyDescent="0.25">
      <c r="A502" s="98" t="str">
        <f t="shared" ca="1" si="82"/>
        <v/>
      </c>
      <c r="B502" s="33" t="str">
        <f t="shared" ca="1" si="75"/>
        <v/>
      </c>
      <c r="C502" s="25" t="str">
        <f t="shared" ca="1" si="76"/>
        <v/>
      </c>
      <c r="D502" s="26" t="str">
        <f t="shared" ca="1" si="77"/>
        <v/>
      </c>
      <c r="E502" s="4" t="str">
        <f t="shared" ca="1" si="78"/>
        <v/>
      </c>
      <c r="F502" s="25" t="str">
        <f t="shared" ca="1" si="79"/>
        <v/>
      </c>
      <c r="G502" s="26" t="str">
        <f t="shared" ca="1" si="80"/>
        <v/>
      </c>
      <c r="H502" s="55" t="str">
        <f t="shared" ca="1" si="81"/>
        <v/>
      </c>
      <c r="N502" s="95" t="str">
        <f t="shared" si="73"/>
        <v/>
      </c>
      <c r="O502" s="95" t="str">
        <f t="shared" si="74"/>
        <v/>
      </c>
    </row>
    <row r="503" spans="1:15" x14ac:dyDescent="0.25">
      <c r="A503" s="98" t="str">
        <f t="shared" ca="1" si="82"/>
        <v/>
      </c>
      <c r="B503" s="33" t="str">
        <f t="shared" ca="1" si="75"/>
        <v/>
      </c>
      <c r="C503" s="25" t="str">
        <f t="shared" ca="1" si="76"/>
        <v/>
      </c>
      <c r="D503" s="26" t="str">
        <f t="shared" ca="1" si="77"/>
        <v/>
      </c>
      <c r="E503" s="4" t="str">
        <f t="shared" ca="1" si="78"/>
        <v/>
      </c>
      <c r="F503" s="25" t="str">
        <f t="shared" ca="1" si="79"/>
        <v/>
      </c>
      <c r="G503" s="26" t="str">
        <f t="shared" ca="1" si="80"/>
        <v/>
      </c>
      <c r="H503" s="55" t="str">
        <f t="shared" ca="1" si="81"/>
        <v/>
      </c>
      <c r="N503" s="95" t="str">
        <f t="shared" si="73"/>
        <v/>
      </c>
      <c r="O503" s="95" t="str">
        <f t="shared" si="74"/>
        <v/>
      </c>
    </row>
    <row r="504" spans="1:15" x14ac:dyDescent="0.25">
      <c r="A504" s="98" t="str">
        <f t="shared" ca="1" si="82"/>
        <v/>
      </c>
      <c r="B504" s="33" t="str">
        <f t="shared" ca="1" si="75"/>
        <v/>
      </c>
      <c r="C504" s="25" t="str">
        <f t="shared" ca="1" si="76"/>
        <v/>
      </c>
      <c r="D504" s="26" t="str">
        <f t="shared" ca="1" si="77"/>
        <v/>
      </c>
      <c r="E504" s="4" t="str">
        <f t="shared" ca="1" si="78"/>
        <v/>
      </c>
      <c r="F504" s="25" t="str">
        <f t="shared" ca="1" si="79"/>
        <v/>
      </c>
      <c r="G504" s="26" t="str">
        <f t="shared" ca="1" si="80"/>
        <v/>
      </c>
      <c r="H504" s="55" t="str">
        <f t="shared" ca="1" si="81"/>
        <v/>
      </c>
      <c r="N504" s="95" t="str">
        <f t="shared" si="73"/>
        <v/>
      </c>
      <c r="O504" s="95" t="str">
        <f t="shared" si="74"/>
        <v/>
      </c>
    </row>
    <row r="505" spans="1:15" x14ac:dyDescent="0.25">
      <c r="A505" s="98" t="str">
        <f t="shared" ca="1" si="82"/>
        <v/>
      </c>
      <c r="B505" s="33" t="str">
        <f t="shared" ca="1" si="75"/>
        <v/>
      </c>
      <c r="C505" s="25" t="str">
        <f t="shared" ca="1" si="76"/>
        <v/>
      </c>
      <c r="D505" s="26" t="str">
        <f t="shared" ca="1" si="77"/>
        <v/>
      </c>
      <c r="E505" s="4" t="str">
        <f t="shared" ca="1" si="78"/>
        <v/>
      </c>
      <c r="F505" s="25" t="str">
        <f t="shared" ca="1" si="79"/>
        <v/>
      </c>
      <c r="G505" s="26" t="str">
        <f t="shared" ca="1" si="80"/>
        <v/>
      </c>
      <c r="H505" s="55" t="str">
        <f t="shared" ca="1" si="81"/>
        <v/>
      </c>
      <c r="N505" s="95" t="str">
        <f t="shared" si="73"/>
        <v/>
      </c>
      <c r="O505" s="95" t="str">
        <f t="shared" si="74"/>
        <v/>
      </c>
    </row>
    <row r="506" spans="1:15" x14ac:dyDescent="0.25">
      <c r="A506" s="98" t="str">
        <f t="shared" ca="1" si="82"/>
        <v/>
      </c>
      <c r="B506" s="33" t="str">
        <f t="shared" ca="1" si="75"/>
        <v/>
      </c>
      <c r="C506" s="25" t="str">
        <f t="shared" ca="1" si="76"/>
        <v/>
      </c>
      <c r="D506" s="26" t="str">
        <f t="shared" ca="1" si="77"/>
        <v/>
      </c>
      <c r="E506" s="4" t="str">
        <f t="shared" ca="1" si="78"/>
        <v/>
      </c>
      <c r="F506" s="25" t="str">
        <f t="shared" ca="1" si="79"/>
        <v/>
      </c>
      <c r="G506" s="26" t="str">
        <f t="shared" ca="1" si="80"/>
        <v/>
      </c>
      <c r="H506" s="55" t="str">
        <f t="shared" ca="1" si="81"/>
        <v/>
      </c>
      <c r="N506" s="95" t="str">
        <f t="shared" si="73"/>
        <v/>
      </c>
      <c r="O506" s="95" t="str">
        <f t="shared" si="74"/>
        <v/>
      </c>
    </row>
    <row r="507" spans="1:15" x14ac:dyDescent="0.25">
      <c r="A507" s="98" t="str">
        <f t="shared" ca="1" si="82"/>
        <v/>
      </c>
      <c r="B507" s="33" t="str">
        <f t="shared" ca="1" si="75"/>
        <v/>
      </c>
      <c r="C507" s="25" t="str">
        <f t="shared" ca="1" si="76"/>
        <v/>
      </c>
      <c r="D507" s="26" t="str">
        <f t="shared" ca="1" si="77"/>
        <v/>
      </c>
      <c r="E507" s="4" t="str">
        <f t="shared" ca="1" si="78"/>
        <v/>
      </c>
      <c r="F507" s="25" t="str">
        <f t="shared" ca="1" si="79"/>
        <v/>
      </c>
      <c r="G507" s="26" t="str">
        <f t="shared" ca="1" si="80"/>
        <v/>
      </c>
      <c r="H507" s="55" t="str">
        <f t="shared" ca="1" si="81"/>
        <v/>
      </c>
      <c r="N507" s="95" t="str">
        <f t="shared" si="73"/>
        <v/>
      </c>
      <c r="O507" s="95" t="str">
        <f t="shared" si="74"/>
        <v/>
      </c>
    </row>
    <row r="508" spans="1:15" x14ac:dyDescent="0.25">
      <c r="A508" s="98" t="str">
        <f t="shared" ca="1" si="82"/>
        <v/>
      </c>
      <c r="B508" s="33" t="str">
        <f t="shared" ca="1" si="75"/>
        <v/>
      </c>
      <c r="C508" s="25" t="str">
        <f t="shared" ca="1" si="76"/>
        <v/>
      </c>
      <c r="D508" s="26" t="str">
        <f t="shared" ca="1" si="77"/>
        <v/>
      </c>
      <c r="E508" s="4" t="str">
        <f t="shared" ca="1" si="78"/>
        <v/>
      </c>
      <c r="F508" s="25" t="str">
        <f t="shared" ca="1" si="79"/>
        <v/>
      </c>
      <c r="G508" s="26" t="str">
        <f t="shared" ca="1" si="80"/>
        <v/>
      </c>
      <c r="H508" s="55" t="str">
        <f t="shared" ca="1" si="81"/>
        <v/>
      </c>
      <c r="N508" s="95" t="str">
        <f t="shared" si="73"/>
        <v/>
      </c>
      <c r="O508" s="95" t="str">
        <f t="shared" si="74"/>
        <v/>
      </c>
    </row>
    <row r="509" spans="1:15" x14ac:dyDescent="0.25">
      <c r="A509" s="98" t="str">
        <f t="shared" ca="1" si="82"/>
        <v/>
      </c>
      <c r="B509" s="33" t="str">
        <f t="shared" ca="1" si="75"/>
        <v/>
      </c>
      <c r="C509" s="25" t="str">
        <f t="shared" ca="1" si="76"/>
        <v/>
      </c>
      <c r="D509" s="26" t="str">
        <f t="shared" ca="1" si="77"/>
        <v/>
      </c>
      <c r="E509" s="4" t="str">
        <f t="shared" ca="1" si="78"/>
        <v/>
      </c>
      <c r="F509" s="25" t="str">
        <f t="shared" ca="1" si="79"/>
        <v/>
      </c>
      <c r="G509" s="26" t="str">
        <f t="shared" ca="1" si="80"/>
        <v/>
      </c>
      <c r="H509" s="55" t="str">
        <f t="shared" ca="1" si="81"/>
        <v/>
      </c>
      <c r="N509" s="95" t="str">
        <f t="shared" si="73"/>
        <v/>
      </c>
      <c r="O509" s="95" t="str">
        <f t="shared" si="74"/>
        <v/>
      </c>
    </row>
    <row r="510" spans="1:15" x14ac:dyDescent="0.25">
      <c r="A510" s="98" t="str">
        <f t="shared" ca="1" si="82"/>
        <v/>
      </c>
      <c r="B510" s="33" t="str">
        <f t="shared" ca="1" si="75"/>
        <v/>
      </c>
      <c r="C510" s="25" t="str">
        <f t="shared" ca="1" si="76"/>
        <v/>
      </c>
      <c r="D510" s="26" t="str">
        <f t="shared" ca="1" si="77"/>
        <v/>
      </c>
      <c r="E510" s="4" t="str">
        <f t="shared" ca="1" si="78"/>
        <v/>
      </c>
      <c r="F510" s="25" t="str">
        <f t="shared" ca="1" si="79"/>
        <v/>
      </c>
      <c r="G510" s="26" t="str">
        <f t="shared" ca="1" si="80"/>
        <v/>
      </c>
      <c r="H510" s="55" t="str">
        <f t="shared" ca="1" si="81"/>
        <v/>
      </c>
      <c r="N510" s="95" t="str">
        <f t="shared" si="73"/>
        <v/>
      </c>
      <c r="O510" s="95" t="str">
        <f t="shared" si="74"/>
        <v/>
      </c>
    </row>
    <row r="511" spans="1:15" x14ac:dyDescent="0.25">
      <c r="A511" s="98" t="str">
        <f t="shared" ca="1" si="82"/>
        <v/>
      </c>
      <c r="B511" s="33" t="str">
        <f t="shared" ca="1" si="75"/>
        <v/>
      </c>
      <c r="C511" s="25" t="str">
        <f t="shared" ca="1" si="76"/>
        <v/>
      </c>
      <c r="D511" s="26" t="str">
        <f t="shared" ca="1" si="77"/>
        <v/>
      </c>
      <c r="E511" s="4" t="str">
        <f t="shared" ca="1" si="78"/>
        <v/>
      </c>
      <c r="F511" s="25" t="str">
        <f t="shared" ca="1" si="79"/>
        <v/>
      </c>
      <c r="G511" s="26" t="str">
        <f t="shared" ca="1" si="80"/>
        <v/>
      </c>
      <c r="H511" s="55" t="str">
        <f t="shared" ca="1" si="81"/>
        <v/>
      </c>
      <c r="N511" s="95" t="str">
        <f t="shared" si="73"/>
        <v/>
      </c>
      <c r="O511" s="95" t="str">
        <f t="shared" si="74"/>
        <v/>
      </c>
    </row>
    <row r="512" spans="1:15" x14ac:dyDescent="0.25">
      <c r="A512" s="98" t="str">
        <f t="shared" ca="1" si="82"/>
        <v/>
      </c>
      <c r="B512" s="33" t="str">
        <f t="shared" ca="1" si="75"/>
        <v/>
      </c>
      <c r="C512" s="25" t="str">
        <f t="shared" ca="1" si="76"/>
        <v/>
      </c>
      <c r="D512" s="26" t="str">
        <f t="shared" ca="1" si="77"/>
        <v/>
      </c>
      <c r="E512" s="4" t="str">
        <f t="shared" ca="1" si="78"/>
        <v/>
      </c>
      <c r="F512" s="25" t="str">
        <f t="shared" ca="1" si="79"/>
        <v/>
      </c>
      <c r="G512" s="26" t="str">
        <f t="shared" ca="1" si="80"/>
        <v/>
      </c>
      <c r="H512" s="55" t="str">
        <f t="shared" ca="1" si="81"/>
        <v/>
      </c>
      <c r="N512" s="95" t="str">
        <f t="shared" si="73"/>
        <v/>
      </c>
      <c r="O512" s="95" t="str">
        <f t="shared" si="74"/>
        <v/>
      </c>
    </row>
    <row r="513" spans="1:15" x14ac:dyDescent="0.25">
      <c r="A513" s="98" t="str">
        <f t="shared" ca="1" si="82"/>
        <v/>
      </c>
      <c r="B513" s="33" t="str">
        <f t="shared" ca="1" si="75"/>
        <v/>
      </c>
      <c r="C513" s="25" t="str">
        <f t="shared" ca="1" si="76"/>
        <v/>
      </c>
      <c r="D513" s="26" t="str">
        <f t="shared" ca="1" si="77"/>
        <v/>
      </c>
      <c r="E513" s="4" t="str">
        <f t="shared" ca="1" si="78"/>
        <v/>
      </c>
      <c r="F513" s="25" t="str">
        <f t="shared" ca="1" si="79"/>
        <v/>
      </c>
      <c r="G513" s="26" t="str">
        <f t="shared" ca="1" si="80"/>
        <v/>
      </c>
      <c r="H513" s="55" t="str">
        <f t="shared" ca="1" si="81"/>
        <v/>
      </c>
      <c r="N513" s="95" t="str">
        <f t="shared" si="73"/>
        <v/>
      </c>
      <c r="O513" s="95" t="str">
        <f t="shared" si="74"/>
        <v/>
      </c>
    </row>
    <row r="514" spans="1:15" x14ac:dyDescent="0.25">
      <c r="A514" s="98" t="str">
        <f t="shared" ca="1" si="82"/>
        <v/>
      </c>
      <c r="B514" s="33" t="str">
        <f t="shared" ca="1" si="75"/>
        <v/>
      </c>
      <c r="C514" s="25" t="str">
        <f t="shared" ca="1" si="76"/>
        <v/>
      </c>
      <c r="D514" s="26" t="str">
        <f t="shared" ca="1" si="77"/>
        <v/>
      </c>
      <c r="E514" s="4" t="str">
        <f t="shared" ca="1" si="78"/>
        <v/>
      </c>
      <c r="F514" s="25" t="str">
        <f t="shared" ca="1" si="79"/>
        <v/>
      </c>
      <c r="G514" s="26" t="str">
        <f t="shared" ca="1" si="80"/>
        <v/>
      </c>
      <c r="H514" s="55" t="str">
        <f t="shared" ca="1" si="81"/>
        <v/>
      </c>
      <c r="N514" s="95" t="str">
        <f t="shared" si="73"/>
        <v/>
      </c>
      <c r="O514" s="95" t="str">
        <f t="shared" si="74"/>
        <v/>
      </c>
    </row>
    <row r="515" spans="1:15" x14ac:dyDescent="0.25">
      <c r="A515" s="98" t="str">
        <f t="shared" ca="1" si="82"/>
        <v/>
      </c>
      <c r="B515" s="33" t="str">
        <f t="shared" ca="1" si="75"/>
        <v/>
      </c>
      <c r="C515" s="25" t="str">
        <f t="shared" ca="1" si="76"/>
        <v/>
      </c>
      <c r="D515" s="26" t="str">
        <f t="shared" ca="1" si="77"/>
        <v/>
      </c>
      <c r="E515" s="4" t="str">
        <f t="shared" ca="1" si="78"/>
        <v/>
      </c>
      <c r="F515" s="25" t="str">
        <f t="shared" ca="1" si="79"/>
        <v/>
      </c>
      <c r="G515" s="26" t="str">
        <f t="shared" ca="1" si="80"/>
        <v/>
      </c>
      <c r="H515" s="55" t="str">
        <f t="shared" ca="1" si="81"/>
        <v/>
      </c>
      <c r="N515" s="95" t="str">
        <f t="shared" si="73"/>
        <v/>
      </c>
      <c r="O515" s="95" t="str">
        <f t="shared" si="74"/>
        <v/>
      </c>
    </row>
    <row r="516" spans="1:15" x14ac:dyDescent="0.25">
      <c r="A516" s="98" t="str">
        <f t="shared" ca="1" si="82"/>
        <v/>
      </c>
      <c r="B516" s="33" t="str">
        <f t="shared" ca="1" si="75"/>
        <v/>
      </c>
      <c r="C516" s="25" t="str">
        <f t="shared" ca="1" si="76"/>
        <v/>
      </c>
      <c r="D516" s="26" t="str">
        <f t="shared" ca="1" si="77"/>
        <v/>
      </c>
      <c r="E516" s="4" t="str">
        <f t="shared" ca="1" si="78"/>
        <v/>
      </c>
      <c r="F516" s="25" t="str">
        <f t="shared" ca="1" si="79"/>
        <v/>
      </c>
      <c r="G516" s="26" t="str">
        <f t="shared" ca="1" si="80"/>
        <v/>
      </c>
      <c r="H516" s="55" t="str">
        <f t="shared" ca="1" si="81"/>
        <v/>
      </c>
      <c r="N516" s="95" t="str">
        <f t="shared" ref="N516:N579" si="83">IF(COUNTIF(L:L,J516)=1,J516,"")</f>
        <v/>
      </c>
      <c r="O516" s="95" t="str">
        <f t="shared" ref="O516:O579" si="84">IF(N516&gt;$A$14,N516,"")</f>
        <v/>
      </c>
    </row>
    <row r="517" spans="1:15" x14ac:dyDescent="0.25">
      <c r="A517" s="98" t="str">
        <f t="shared" ca="1" si="82"/>
        <v/>
      </c>
      <c r="B517" s="33" t="str">
        <f t="shared" ca="1" si="75"/>
        <v/>
      </c>
      <c r="C517" s="25" t="str">
        <f t="shared" ca="1" si="76"/>
        <v/>
      </c>
      <c r="D517" s="26" t="str">
        <f t="shared" ca="1" si="77"/>
        <v/>
      </c>
      <c r="E517" s="4" t="str">
        <f t="shared" ca="1" si="78"/>
        <v/>
      </c>
      <c r="F517" s="25" t="str">
        <f t="shared" ca="1" si="79"/>
        <v/>
      </c>
      <c r="G517" s="26" t="str">
        <f t="shared" ca="1" si="80"/>
        <v/>
      </c>
      <c r="H517" s="55" t="str">
        <f t="shared" ca="1" si="81"/>
        <v/>
      </c>
      <c r="N517" s="95" t="str">
        <f t="shared" si="83"/>
        <v/>
      </c>
      <c r="O517" s="95" t="str">
        <f t="shared" si="84"/>
        <v/>
      </c>
    </row>
    <row r="518" spans="1:15" x14ac:dyDescent="0.25">
      <c r="A518" s="98" t="str">
        <f t="shared" ca="1" si="82"/>
        <v/>
      </c>
      <c r="B518" s="33" t="str">
        <f t="shared" ca="1" si="75"/>
        <v/>
      </c>
      <c r="C518" s="25" t="str">
        <f t="shared" ca="1" si="76"/>
        <v/>
      </c>
      <c r="D518" s="26" t="str">
        <f t="shared" ca="1" si="77"/>
        <v/>
      </c>
      <c r="E518" s="4" t="str">
        <f t="shared" ca="1" si="78"/>
        <v/>
      </c>
      <c r="F518" s="25" t="str">
        <f t="shared" ca="1" si="79"/>
        <v/>
      </c>
      <c r="G518" s="26" t="str">
        <f t="shared" ca="1" si="80"/>
        <v/>
      </c>
      <c r="H518" s="55" t="str">
        <f t="shared" ca="1" si="81"/>
        <v/>
      </c>
      <c r="N518" s="95" t="str">
        <f t="shared" si="83"/>
        <v/>
      </c>
      <c r="O518" s="95" t="str">
        <f t="shared" si="84"/>
        <v/>
      </c>
    </row>
    <row r="519" spans="1:15" x14ac:dyDescent="0.25">
      <c r="A519" s="98" t="str">
        <f t="shared" ca="1" si="82"/>
        <v/>
      </c>
      <c r="B519" s="33" t="str">
        <f t="shared" ca="1" si="75"/>
        <v/>
      </c>
      <c r="C519" s="25" t="str">
        <f t="shared" ca="1" si="76"/>
        <v/>
      </c>
      <c r="D519" s="26" t="str">
        <f t="shared" ca="1" si="77"/>
        <v/>
      </c>
      <c r="E519" s="4" t="str">
        <f t="shared" ca="1" si="78"/>
        <v/>
      </c>
      <c r="F519" s="25" t="str">
        <f t="shared" ca="1" si="79"/>
        <v/>
      </c>
      <c r="G519" s="26" t="str">
        <f t="shared" ca="1" si="80"/>
        <v/>
      </c>
      <c r="H519" s="55" t="str">
        <f t="shared" ca="1" si="81"/>
        <v/>
      </c>
      <c r="N519" s="95" t="str">
        <f t="shared" si="83"/>
        <v/>
      </c>
      <c r="O519" s="95" t="str">
        <f t="shared" si="84"/>
        <v/>
      </c>
    </row>
    <row r="520" spans="1:15" x14ac:dyDescent="0.25">
      <c r="A520" s="98" t="str">
        <f t="shared" ca="1" si="82"/>
        <v/>
      </c>
      <c r="B520" s="33" t="str">
        <f t="shared" ca="1" si="75"/>
        <v/>
      </c>
      <c r="C520" s="25" t="str">
        <f t="shared" ca="1" si="76"/>
        <v/>
      </c>
      <c r="D520" s="26" t="str">
        <f t="shared" ca="1" si="77"/>
        <v/>
      </c>
      <c r="E520" s="4" t="str">
        <f t="shared" ca="1" si="78"/>
        <v/>
      </c>
      <c r="F520" s="25" t="str">
        <f t="shared" ca="1" si="79"/>
        <v/>
      </c>
      <c r="G520" s="26" t="str">
        <f t="shared" ca="1" si="80"/>
        <v/>
      </c>
      <c r="H520" s="55" t="str">
        <f t="shared" ca="1" si="81"/>
        <v/>
      </c>
      <c r="N520" s="95" t="str">
        <f t="shared" si="83"/>
        <v/>
      </c>
      <c r="O520" s="95" t="str">
        <f t="shared" si="84"/>
        <v/>
      </c>
    </row>
    <row r="521" spans="1:15" x14ac:dyDescent="0.25">
      <c r="A521" s="98" t="str">
        <f t="shared" ca="1" si="82"/>
        <v/>
      </c>
      <c r="B521" s="33" t="str">
        <f t="shared" ca="1" si="75"/>
        <v/>
      </c>
      <c r="C521" s="25" t="str">
        <f t="shared" ca="1" si="76"/>
        <v/>
      </c>
      <c r="D521" s="26" t="str">
        <f t="shared" ca="1" si="77"/>
        <v/>
      </c>
      <c r="E521" s="4" t="str">
        <f t="shared" ca="1" si="78"/>
        <v/>
      </c>
      <c r="F521" s="25" t="str">
        <f t="shared" ca="1" si="79"/>
        <v/>
      </c>
      <c r="G521" s="26" t="str">
        <f t="shared" ca="1" si="80"/>
        <v/>
      </c>
      <c r="H521" s="55" t="str">
        <f t="shared" ca="1" si="81"/>
        <v/>
      </c>
      <c r="N521" s="95" t="str">
        <f t="shared" si="83"/>
        <v/>
      </c>
      <c r="O521" s="95" t="str">
        <f t="shared" si="84"/>
        <v/>
      </c>
    </row>
    <row r="522" spans="1:15" x14ac:dyDescent="0.25">
      <c r="A522" s="98" t="str">
        <f t="shared" ca="1" si="82"/>
        <v/>
      </c>
      <c r="B522" s="33" t="str">
        <f t="shared" ref="B522:B574" ca="1" si="85">IF(COUNTIF(J:J,A522)=1,VLOOKUP(A522,J:K,2), IF(COUNTIF(J:J,A522)=0,$B$10,""))</f>
        <v/>
      </c>
      <c r="C522" s="25" t="str">
        <f t="shared" ref="C522:C574" ca="1" si="86">IF(ISERROR(B522-2),"",(B522-$B$14)/100*$B$5)</f>
        <v/>
      </c>
      <c r="D522" s="26" t="str">
        <f t="shared" ref="D522:D574" ca="1" si="87">IF(ISERROR(B522-2),"",(INT(A522)-INT($A$14))/360*$B$6*$B$5-(INT(A522)-INT($A$14))/360*$B$7*$B$5*$B$14/100)</f>
        <v/>
      </c>
      <c r="E522" s="4" t="str">
        <f t="shared" ref="E522:E574" ca="1" si="88">IF(COUNTIF(L:L,A522)=1,VLOOKUP(A522,L:M,2), IF(COUNTIF(L:L,A522)=0,$C$10,""))</f>
        <v/>
      </c>
      <c r="F522" s="25" t="str">
        <f t="shared" ref="F522:F574" ca="1" si="89">IF(ISERROR(E522-2), "", (E522-$E$14)/100*$C$5)</f>
        <v/>
      </c>
      <c r="G522" s="26" t="str">
        <f t="shared" ref="G522:G574" ca="1" si="90">IF(ISERROR(E522-2),"",(INT(A522)-INT($A$14))/360*$C$6*$C$5-(INT(A522)-INT($A$14))/360*$C$7*$C$5*$E$14/100)</f>
        <v/>
      </c>
      <c r="H522" s="55" t="str">
        <f t="shared" ref="H522:H574" ca="1" si="91">IF(ISERROR(E522-2),"",C522+D522-F522-G522)</f>
        <v/>
      </c>
      <c r="N522" s="95" t="str">
        <f t="shared" si="83"/>
        <v/>
      </c>
      <c r="O522" s="95" t="str">
        <f t="shared" si="84"/>
        <v/>
      </c>
    </row>
    <row r="523" spans="1:15" x14ac:dyDescent="0.25">
      <c r="A523" s="98" t="str">
        <f t="shared" ca="1" si="82"/>
        <v/>
      </c>
      <c r="B523" s="33" t="str">
        <f t="shared" ca="1" si="85"/>
        <v/>
      </c>
      <c r="C523" s="25" t="str">
        <f t="shared" ca="1" si="86"/>
        <v/>
      </c>
      <c r="D523" s="26" t="str">
        <f t="shared" ca="1" si="87"/>
        <v/>
      </c>
      <c r="E523" s="4" t="str">
        <f t="shared" ca="1" si="88"/>
        <v/>
      </c>
      <c r="F523" s="25" t="str">
        <f t="shared" ca="1" si="89"/>
        <v/>
      </c>
      <c r="G523" s="26" t="str">
        <f t="shared" ca="1" si="90"/>
        <v/>
      </c>
      <c r="H523" s="55" t="str">
        <f t="shared" ca="1" si="91"/>
        <v/>
      </c>
      <c r="N523" s="95" t="str">
        <f t="shared" si="83"/>
        <v/>
      </c>
      <c r="O523" s="95" t="str">
        <f t="shared" si="84"/>
        <v/>
      </c>
    </row>
    <row r="524" spans="1:15" x14ac:dyDescent="0.25">
      <c r="A524" s="98" t="str">
        <f t="shared" ca="1" si="82"/>
        <v/>
      </c>
      <c r="B524" s="33" t="str">
        <f t="shared" ca="1" si="85"/>
        <v/>
      </c>
      <c r="C524" s="25" t="str">
        <f t="shared" ca="1" si="86"/>
        <v/>
      </c>
      <c r="D524" s="26" t="str">
        <f t="shared" ca="1" si="87"/>
        <v/>
      </c>
      <c r="E524" s="4" t="str">
        <f t="shared" ca="1" si="88"/>
        <v/>
      </c>
      <c r="F524" s="25" t="str">
        <f t="shared" ca="1" si="89"/>
        <v/>
      </c>
      <c r="G524" s="26" t="str">
        <f t="shared" ca="1" si="90"/>
        <v/>
      </c>
      <c r="H524" s="55" t="str">
        <f t="shared" ca="1" si="91"/>
        <v/>
      </c>
      <c r="N524" s="95" t="str">
        <f t="shared" si="83"/>
        <v/>
      </c>
      <c r="O524" s="95" t="str">
        <f t="shared" si="84"/>
        <v/>
      </c>
    </row>
    <row r="525" spans="1:15" x14ac:dyDescent="0.25">
      <c r="A525" s="98" t="str">
        <f t="shared" ca="1" si="82"/>
        <v/>
      </c>
      <c r="B525" s="33" t="str">
        <f t="shared" ca="1" si="85"/>
        <v/>
      </c>
      <c r="C525" s="25" t="str">
        <f t="shared" ca="1" si="86"/>
        <v/>
      </c>
      <c r="D525" s="26" t="str">
        <f t="shared" ca="1" si="87"/>
        <v/>
      </c>
      <c r="E525" s="4" t="str">
        <f t="shared" ca="1" si="88"/>
        <v/>
      </c>
      <c r="F525" s="25" t="str">
        <f t="shared" ca="1" si="89"/>
        <v/>
      </c>
      <c r="G525" s="26" t="str">
        <f t="shared" ca="1" si="90"/>
        <v/>
      </c>
      <c r="H525" s="55" t="str">
        <f t="shared" ca="1" si="91"/>
        <v/>
      </c>
      <c r="N525" s="95" t="str">
        <f t="shared" si="83"/>
        <v/>
      </c>
      <c r="O525" s="95" t="str">
        <f t="shared" si="84"/>
        <v/>
      </c>
    </row>
    <row r="526" spans="1:15" x14ac:dyDescent="0.25">
      <c r="A526" s="98" t="str">
        <f t="shared" ca="1" si="82"/>
        <v/>
      </c>
      <c r="B526" s="33" t="str">
        <f t="shared" ca="1" si="85"/>
        <v/>
      </c>
      <c r="C526" s="25" t="str">
        <f t="shared" ca="1" si="86"/>
        <v/>
      </c>
      <c r="D526" s="26" t="str">
        <f t="shared" ca="1" si="87"/>
        <v/>
      </c>
      <c r="E526" s="4" t="str">
        <f t="shared" ca="1" si="88"/>
        <v/>
      </c>
      <c r="F526" s="25" t="str">
        <f t="shared" ca="1" si="89"/>
        <v/>
      </c>
      <c r="G526" s="26" t="str">
        <f t="shared" ca="1" si="90"/>
        <v/>
      </c>
      <c r="H526" s="55" t="str">
        <f t="shared" ca="1" si="91"/>
        <v/>
      </c>
      <c r="N526" s="95" t="str">
        <f t="shared" si="83"/>
        <v/>
      </c>
      <c r="O526" s="95" t="str">
        <f t="shared" si="84"/>
        <v/>
      </c>
    </row>
    <row r="527" spans="1:15" x14ac:dyDescent="0.25">
      <c r="A527" s="98" t="str">
        <f t="shared" ca="1" si="82"/>
        <v/>
      </c>
      <c r="B527" s="33" t="str">
        <f t="shared" ca="1" si="85"/>
        <v/>
      </c>
      <c r="C527" s="25" t="str">
        <f t="shared" ca="1" si="86"/>
        <v/>
      </c>
      <c r="D527" s="26" t="str">
        <f t="shared" ca="1" si="87"/>
        <v/>
      </c>
      <c r="E527" s="4" t="str">
        <f t="shared" ca="1" si="88"/>
        <v/>
      </c>
      <c r="F527" s="25" t="str">
        <f t="shared" ca="1" si="89"/>
        <v/>
      </c>
      <c r="G527" s="26" t="str">
        <f t="shared" ca="1" si="90"/>
        <v/>
      </c>
      <c r="H527" s="55" t="str">
        <f t="shared" ca="1" si="91"/>
        <v/>
      </c>
      <c r="N527" s="95" t="str">
        <f t="shared" si="83"/>
        <v/>
      </c>
      <c r="O527" s="95" t="str">
        <f t="shared" si="84"/>
        <v/>
      </c>
    </row>
    <row r="528" spans="1:15" x14ac:dyDescent="0.25">
      <c r="A528" s="98" t="str">
        <f t="shared" ref="A528:A574" ca="1" si="92">IF(AND(ISBLANK(P515), A527 = $P$1),NOW(),IF(ISBLANK(P515),"",P515))</f>
        <v/>
      </c>
      <c r="B528" s="33" t="str">
        <f t="shared" ca="1" si="85"/>
        <v/>
      </c>
      <c r="C528" s="25" t="str">
        <f t="shared" ca="1" si="86"/>
        <v/>
      </c>
      <c r="D528" s="26" t="str">
        <f t="shared" ca="1" si="87"/>
        <v/>
      </c>
      <c r="E528" s="4" t="str">
        <f t="shared" ca="1" si="88"/>
        <v/>
      </c>
      <c r="F528" s="25" t="str">
        <f t="shared" ca="1" si="89"/>
        <v/>
      </c>
      <c r="G528" s="26" t="str">
        <f t="shared" ca="1" si="90"/>
        <v/>
      </c>
      <c r="H528" s="55" t="str">
        <f t="shared" ca="1" si="91"/>
        <v/>
      </c>
      <c r="N528" s="95" t="str">
        <f t="shared" si="83"/>
        <v/>
      </c>
      <c r="O528" s="95" t="str">
        <f t="shared" si="84"/>
        <v/>
      </c>
    </row>
    <row r="529" spans="1:15" x14ac:dyDescent="0.25">
      <c r="A529" s="98" t="str">
        <f t="shared" ca="1" si="92"/>
        <v/>
      </c>
      <c r="B529" s="33" t="str">
        <f t="shared" ca="1" si="85"/>
        <v/>
      </c>
      <c r="C529" s="25" t="str">
        <f t="shared" ca="1" si="86"/>
        <v/>
      </c>
      <c r="D529" s="26" t="str">
        <f t="shared" ca="1" si="87"/>
        <v/>
      </c>
      <c r="E529" s="4" t="str">
        <f t="shared" ca="1" si="88"/>
        <v/>
      </c>
      <c r="F529" s="25" t="str">
        <f t="shared" ca="1" si="89"/>
        <v/>
      </c>
      <c r="G529" s="26" t="str">
        <f t="shared" ca="1" si="90"/>
        <v/>
      </c>
      <c r="H529" s="55" t="str">
        <f t="shared" ca="1" si="91"/>
        <v/>
      </c>
      <c r="N529" s="95" t="str">
        <f t="shared" si="83"/>
        <v/>
      </c>
      <c r="O529" s="95" t="str">
        <f t="shared" si="84"/>
        <v/>
      </c>
    </row>
    <row r="530" spans="1:15" x14ac:dyDescent="0.25">
      <c r="A530" s="98" t="str">
        <f t="shared" ca="1" si="92"/>
        <v/>
      </c>
      <c r="B530" s="33" t="str">
        <f t="shared" ca="1" si="85"/>
        <v/>
      </c>
      <c r="C530" s="25" t="str">
        <f t="shared" ca="1" si="86"/>
        <v/>
      </c>
      <c r="D530" s="26" t="str">
        <f t="shared" ca="1" si="87"/>
        <v/>
      </c>
      <c r="E530" s="4" t="str">
        <f t="shared" ca="1" si="88"/>
        <v/>
      </c>
      <c r="F530" s="25" t="str">
        <f t="shared" ca="1" si="89"/>
        <v/>
      </c>
      <c r="G530" s="26" t="str">
        <f t="shared" ca="1" si="90"/>
        <v/>
      </c>
      <c r="H530" s="55" t="str">
        <f t="shared" ca="1" si="91"/>
        <v/>
      </c>
      <c r="N530" s="95" t="str">
        <f t="shared" si="83"/>
        <v/>
      </c>
      <c r="O530" s="95" t="str">
        <f t="shared" si="84"/>
        <v/>
      </c>
    </row>
    <row r="531" spans="1:15" x14ac:dyDescent="0.25">
      <c r="A531" s="98" t="str">
        <f t="shared" ca="1" si="92"/>
        <v/>
      </c>
      <c r="B531" s="33" t="str">
        <f t="shared" ca="1" si="85"/>
        <v/>
      </c>
      <c r="C531" s="25" t="str">
        <f t="shared" ca="1" si="86"/>
        <v/>
      </c>
      <c r="D531" s="26" t="str">
        <f t="shared" ca="1" si="87"/>
        <v/>
      </c>
      <c r="E531" s="4" t="str">
        <f t="shared" ca="1" si="88"/>
        <v/>
      </c>
      <c r="F531" s="25" t="str">
        <f t="shared" ca="1" si="89"/>
        <v/>
      </c>
      <c r="G531" s="26" t="str">
        <f t="shared" ca="1" si="90"/>
        <v/>
      </c>
      <c r="H531" s="55" t="str">
        <f t="shared" ca="1" si="91"/>
        <v/>
      </c>
      <c r="N531" s="95" t="str">
        <f t="shared" si="83"/>
        <v/>
      </c>
      <c r="O531" s="95" t="str">
        <f t="shared" si="84"/>
        <v/>
      </c>
    </row>
    <row r="532" spans="1:15" x14ac:dyDescent="0.25">
      <c r="A532" s="98" t="str">
        <f t="shared" ca="1" si="92"/>
        <v/>
      </c>
      <c r="B532" s="33" t="str">
        <f t="shared" ca="1" si="85"/>
        <v/>
      </c>
      <c r="C532" s="25" t="str">
        <f t="shared" ca="1" si="86"/>
        <v/>
      </c>
      <c r="D532" s="26" t="str">
        <f t="shared" ca="1" si="87"/>
        <v/>
      </c>
      <c r="E532" s="4" t="str">
        <f t="shared" ca="1" si="88"/>
        <v/>
      </c>
      <c r="F532" s="25" t="str">
        <f t="shared" ca="1" si="89"/>
        <v/>
      </c>
      <c r="G532" s="26" t="str">
        <f t="shared" ca="1" si="90"/>
        <v/>
      </c>
      <c r="H532" s="55" t="str">
        <f t="shared" ca="1" si="91"/>
        <v/>
      </c>
      <c r="N532" s="95" t="str">
        <f t="shared" si="83"/>
        <v/>
      </c>
      <c r="O532" s="95" t="str">
        <f t="shared" si="84"/>
        <v/>
      </c>
    </row>
    <row r="533" spans="1:15" x14ac:dyDescent="0.25">
      <c r="A533" s="98" t="str">
        <f t="shared" ca="1" si="92"/>
        <v/>
      </c>
      <c r="B533" s="33" t="str">
        <f t="shared" ca="1" si="85"/>
        <v/>
      </c>
      <c r="C533" s="25" t="str">
        <f t="shared" ca="1" si="86"/>
        <v/>
      </c>
      <c r="D533" s="26" t="str">
        <f t="shared" ca="1" si="87"/>
        <v/>
      </c>
      <c r="E533" s="4" t="str">
        <f t="shared" ca="1" si="88"/>
        <v/>
      </c>
      <c r="F533" s="25" t="str">
        <f t="shared" ca="1" si="89"/>
        <v/>
      </c>
      <c r="G533" s="26" t="str">
        <f t="shared" ca="1" si="90"/>
        <v/>
      </c>
      <c r="H533" s="55" t="str">
        <f t="shared" ca="1" si="91"/>
        <v/>
      </c>
      <c r="N533" s="95" t="str">
        <f t="shared" si="83"/>
        <v/>
      </c>
      <c r="O533" s="95" t="str">
        <f t="shared" si="84"/>
        <v/>
      </c>
    </row>
    <row r="534" spans="1:15" x14ac:dyDescent="0.25">
      <c r="A534" s="98" t="str">
        <f t="shared" ca="1" si="92"/>
        <v/>
      </c>
      <c r="B534" s="33" t="str">
        <f t="shared" ca="1" si="85"/>
        <v/>
      </c>
      <c r="C534" s="25" t="str">
        <f t="shared" ca="1" si="86"/>
        <v/>
      </c>
      <c r="D534" s="26" t="str">
        <f t="shared" ca="1" si="87"/>
        <v/>
      </c>
      <c r="E534" s="4" t="str">
        <f t="shared" ca="1" si="88"/>
        <v/>
      </c>
      <c r="F534" s="25" t="str">
        <f t="shared" ca="1" si="89"/>
        <v/>
      </c>
      <c r="G534" s="26" t="str">
        <f t="shared" ca="1" si="90"/>
        <v/>
      </c>
      <c r="H534" s="55" t="str">
        <f t="shared" ca="1" si="91"/>
        <v/>
      </c>
      <c r="N534" s="95" t="str">
        <f t="shared" si="83"/>
        <v/>
      </c>
      <c r="O534" s="95" t="str">
        <f t="shared" si="84"/>
        <v/>
      </c>
    </row>
    <row r="535" spans="1:15" x14ac:dyDescent="0.25">
      <c r="A535" s="98" t="str">
        <f t="shared" ca="1" si="92"/>
        <v/>
      </c>
      <c r="B535" s="33" t="str">
        <f t="shared" ca="1" si="85"/>
        <v/>
      </c>
      <c r="C535" s="25" t="str">
        <f t="shared" ca="1" si="86"/>
        <v/>
      </c>
      <c r="D535" s="26" t="str">
        <f t="shared" ca="1" si="87"/>
        <v/>
      </c>
      <c r="E535" s="4" t="str">
        <f t="shared" ca="1" si="88"/>
        <v/>
      </c>
      <c r="F535" s="25" t="str">
        <f t="shared" ca="1" si="89"/>
        <v/>
      </c>
      <c r="G535" s="26" t="str">
        <f t="shared" ca="1" si="90"/>
        <v/>
      </c>
      <c r="H535" s="55" t="str">
        <f t="shared" ca="1" si="91"/>
        <v/>
      </c>
      <c r="N535" s="95" t="str">
        <f t="shared" si="83"/>
        <v/>
      </c>
      <c r="O535" s="95" t="str">
        <f t="shared" si="84"/>
        <v/>
      </c>
    </row>
    <row r="536" spans="1:15" x14ac:dyDescent="0.25">
      <c r="A536" s="98" t="str">
        <f t="shared" ca="1" si="92"/>
        <v/>
      </c>
      <c r="B536" s="33" t="str">
        <f t="shared" ca="1" si="85"/>
        <v/>
      </c>
      <c r="C536" s="25" t="str">
        <f t="shared" ca="1" si="86"/>
        <v/>
      </c>
      <c r="D536" s="26" t="str">
        <f t="shared" ca="1" si="87"/>
        <v/>
      </c>
      <c r="E536" s="4" t="str">
        <f t="shared" ca="1" si="88"/>
        <v/>
      </c>
      <c r="F536" s="25" t="str">
        <f t="shared" ca="1" si="89"/>
        <v/>
      </c>
      <c r="G536" s="26" t="str">
        <f t="shared" ca="1" si="90"/>
        <v/>
      </c>
      <c r="H536" s="55" t="str">
        <f t="shared" ca="1" si="91"/>
        <v/>
      </c>
      <c r="N536" s="95" t="str">
        <f t="shared" si="83"/>
        <v/>
      </c>
      <c r="O536" s="95" t="str">
        <f t="shared" si="84"/>
        <v/>
      </c>
    </row>
    <row r="537" spans="1:15" x14ac:dyDescent="0.25">
      <c r="A537" s="98" t="str">
        <f t="shared" ca="1" si="92"/>
        <v/>
      </c>
      <c r="B537" s="33" t="str">
        <f t="shared" ca="1" si="85"/>
        <v/>
      </c>
      <c r="C537" s="25" t="str">
        <f t="shared" ca="1" si="86"/>
        <v/>
      </c>
      <c r="D537" s="26" t="str">
        <f t="shared" ca="1" si="87"/>
        <v/>
      </c>
      <c r="E537" s="4" t="str">
        <f t="shared" ca="1" si="88"/>
        <v/>
      </c>
      <c r="F537" s="25" t="str">
        <f t="shared" ca="1" si="89"/>
        <v/>
      </c>
      <c r="G537" s="26" t="str">
        <f t="shared" ca="1" si="90"/>
        <v/>
      </c>
      <c r="H537" s="55" t="str">
        <f t="shared" ca="1" si="91"/>
        <v/>
      </c>
      <c r="N537" s="95" t="str">
        <f t="shared" si="83"/>
        <v/>
      </c>
      <c r="O537" s="95" t="str">
        <f t="shared" si="84"/>
        <v/>
      </c>
    </row>
    <row r="538" spans="1:15" x14ac:dyDescent="0.25">
      <c r="A538" s="98" t="str">
        <f t="shared" ca="1" si="92"/>
        <v/>
      </c>
      <c r="B538" s="33" t="str">
        <f t="shared" ca="1" si="85"/>
        <v/>
      </c>
      <c r="C538" s="25" t="str">
        <f t="shared" ca="1" si="86"/>
        <v/>
      </c>
      <c r="D538" s="26" t="str">
        <f t="shared" ca="1" si="87"/>
        <v/>
      </c>
      <c r="E538" s="4" t="str">
        <f t="shared" ca="1" si="88"/>
        <v/>
      </c>
      <c r="F538" s="25" t="str">
        <f t="shared" ca="1" si="89"/>
        <v/>
      </c>
      <c r="G538" s="26" t="str">
        <f t="shared" ca="1" si="90"/>
        <v/>
      </c>
      <c r="H538" s="55" t="str">
        <f t="shared" ca="1" si="91"/>
        <v/>
      </c>
      <c r="N538" s="95" t="str">
        <f t="shared" si="83"/>
        <v/>
      </c>
      <c r="O538" s="95" t="str">
        <f t="shared" si="84"/>
        <v/>
      </c>
    </row>
    <row r="539" spans="1:15" x14ac:dyDescent="0.25">
      <c r="A539" s="98" t="str">
        <f t="shared" ca="1" si="92"/>
        <v/>
      </c>
      <c r="B539" s="33" t="str">
        <f t="shared" ca="1" si="85"/>
        <v/>
      </c>
      <c r="C539" s="25" t="str">
        <f t="shared" ca="1" si="86"/>
        <v/>
      </c>
      <c r="D539" s="26" t="str">
        <f t="shared" ca="1" si="87"/>
        <v/>
      </c>
      <c r="E539" s="4" t="str">
        <f t="shared" ca="1" si="88"/>
        <v/>
      </c>
      <c r="F539" s="25" t="str">
        <f t="shared" ca="1" si="89"/>
        <v/>
      </c>
      <c r="G539" s="26" t="str">
        <f t="shared" ca="1" si="90"/>
        <v/>
      </c>
      <c r="H539" s="55" t="str">
        <f t="shared" ca="1" si="91"/>
        <v/>
      </c>
      <c r="N539" s="95" t="str">
        <f t="shared" si="83"/>
        <v/>
      </c>
      <c r="O539" s="95" t="str">
        <f t="shared" si="84"/>
        <v/>
      </c>
    </row>
    <row r="540" spans="1:15" x14ac:dyDescent="0.25">
      <c r="A540" s="98" t="str">
        <f t="shared" ca="1" si="92"/>
        <v/>
      </c>
      <c r="B540" s="33" t="str">
        <f t="shared" ca="1" si="85"/>
        <v/>
      </c>
      <c r="C540" s="25" t="str">
        <f t="shared" ca="1" si="86"/>
        <v/>
      </c>
      <c r="D540" s="26" t="str">
        <f t="shared" ca="1" si="87"/>
        <v/>
      </c>
      <c r="E540" s="4" t="str">
        <f t="shared" ca="1" si="88"/>
        <v/>
      </c>
      <c r="F540" s="25" t="str">
        <f t="shared" ca="1" si="89"/>
        <v/>
      </c>
      <c r="G540" s="26" t="str">
        <f t="shared" ca="1" si="90"/>
        <v/>
      </c>
      <c r="H540" s="55" t="str">
        <f t="shared" ca="1" si="91"/>
        <v/>
      </c>
      <c r="N540" s="95" t="str">
        <f t="shared" si="83"/>
        <v/>
      </c>
      <c r="O540" s="95" t="str">
        <f t="shared" si="84"/>
        <v/>
      </c>
    </row>
    <row r="541" spans="1:15" x14ac:dyDescent="0.25">
      <c r="A541" s="98" t="str">
        <f t="shared" ca="1" si="92"/>
        <v/>
      </c>
      <c r="B541" s="33" t="str">
        <f t="shared" ca="1" si="85"/>
        <v/>
      </c>
      <c r="C541" s="25" t="str">
        <f t="shared" ca="1" si="86"/>
        <v/>
      </c>
      <c r="D541" s="26" t="str">
        <f t="shared" ca="1" si="87"/>
        <v/>
      </c>
      <c r="E541" s="4" t="str">
        <f t="shared" ca="1" si="88"/>
        <v/>
      </c>
      <c r="F541" s="25" t="str">
        <f t="shared" ca="1" si="89"/>
        <v/>
      </c>
      <c r="G541" s="26" t="str">
        <f t="shared" ca="1" si="90"/>
        <v/>
      </c>
      <c r="H541" s="55" t="str">
        <f t="shared" ca="1" si="91"/>
        <v/>
      </c>
      <c r="N541" s="95" t="str">
        <f t="shared" si="83"/>
        <v/>
      </c>
      <c r="O541" s="95" t="str">
        <f t="shared" si="84"/>
        <v/>
      </c>
    </row>
    <row r="542" spans="1:15" x14ac:dyDescent="0.25">
      <c r="A542" s="98" t="str">
        <f t="shared" ca="1" si="92"/>
        <v/>
      </c>
      <c r="B542" s="33" t="str">
        <f t="shared" ca="1" si="85"/>
        <v/>
      </c>
      <c r="C542" s="25" t="str">
        <f t="shared" ca="1" si="86"/>
        <v/>
      </c>
      <c r="D542" s="26" t="str">
        <f t="shared" ca="1" si="87"/>
        <v/>
      </c>
      <c r="E542" s="4" t="str">
        <f t="shared" ca="1" si="88"/>
        <v/>
      </c>
      <c r="F542" s="25" t="str">
        <f t="shared" ca="1" si="89"/>
        <v/>
      </c>
      <c r="G542" s="26" t="str">
        <f t="shared" ca="1" si="90"/>
        <v/>
      </c>
      <c r="H542" s="55" t="str">
        <f t="shared" ca="1" si="91"/>
        <v/>
      </c>
      <c r="N542" s="95" t="str">
        <f t="shared" si="83"/>
        <v/>
      </c>
      <c r="O542" s="95" t="str">
        <f t="shared" si="84"/>
        <v/>
      </c>
    </row>
    <row r="543" spans="1:15" x14ac:dyDescent="0.25">
      <c r="A543" s="98" t="str">
        <f t="shared" ca="1" si="92"/>
        <v/>
      </c>
      <c r="B543" s="33" t="str">
        <f t="shared" ca="1" si="85"/>
        <v/>
      </c>
      <c r="C543" s="25" t="str">
        <f t="shared" ca="1" si="86"/>
        <v/>
      </c>
      <c r="D543" s="26" t="str">
        <f t="shared" ca="1" si="87"/>
        <v/>
      </c>
      <c r="E543" s="4" t="str">
        <f t="shared" ca="1" si="88"/>
        <v/>
      </c>
      <c r="F543" s="25" t="str">
        <f t="shared" ca="1" si="89"/>
        <v/>
      </c>
      <c r="G543" s="26" t="str">
        <f t="shared" ca="1" si="90"/>
        <v/>
      </c>
      <c r="H543" s="55" t="str">
        <f t="shared" ca="1" si="91"/>
        <v/>
      </c>
      <c r="N543" s="95" t="str">
        <f t="shared" si="83"/>
        <v/>
      </c>
      <c r="O543" s="95" t="str">
        <f t="shared" si="84"/>
        <v/>
      </c>
    </row>
    <row r="544" spans="1:15" x14ac:dyDescent="0.25">
      <c r="A544" s="98" t="str">
        <f t="shared" ca="1" si="92"/>
        <v/>
      </c>
      <c r="B544" s="33" t="str">
        <f t="shared" ca="1" si="85"/>
        <v/>
      </c>
      <c r="C544" s="25" t="str">
        <f t="shared" ca="1" si="86"/>
        <v/>
      </c>
      <c r="D544" s="26" t="str">
        <f t="shared" ca="1" si="87"/>
        <v/>
      </c>
      <c r="E544" s="4" t="str">
        <f t="shared" ca="1" si="88"/>
        <v/>
      </c>
      <c r="F544" s="25" t="str">
        <f t="shared" ca="1" si="89"/>
        <v/>
      </c>
      <c r="G544" s="26" t="str">
        <f t="shared" ca="1" si="90"/>
        <v/>
      </c>
      <c r="H544" s="55" t="str">
        <f t="shared" ca="1" si="91"/>
        <v/>
      </c>
      <c r="N544" s="95" t="str">
        <f t="shared" si="83"/>
        <v/>
      </c>
      <c r="O544" s="95" t="str">
        <f t="shared" si="84"/>
        <v/>
      </c>
    </row>
    <row r="545" spans="1:15" x14ac:dyDescent="0.25">
      <c r="A545" s="98" t="str">
        <f t="shared" ca="1" si="92"/>
        <v/>
      </c>
      <c r="B545" s="33" t="str">
        <f t="shared" ca="1" si="85"/>
        <v/>
      </c>
      <c r="C545" s="25" t="str">
        <f t="shared" ca="1" si="86"/>
        <v/>
      </c>
      <c r="D545" s="26" t="str">
        <f t="shared" ca="1" si="87"/>
        <v/>
      </c>
      <c r="E545" s="4" t="str">
        <f t="shared" ca="1" si="88"/>
        <v/>
      </c>
      <c r="F545" s="25" t="str">
        <f t="shared" ca="1" si="89"/>
        <v/>
      </c>
      <c r="G545" s="26" t="str">
        <f t="shared" ca="1" si="90"/>
        <v/>
      </c>
      <c r="H545" s="55" t="str">
        <f t="shared" ca="1" si="91"/>
        <v/>
      </c>
      <c r="N545" s="95" t="str">
        <f t="shared" si="83"/>
        <v/>
      </c>
      <c r="O545" s="95" t="str">
        <f t="shared" si="84"/>
        <v/>
      </c>
    </row>
    <row r="546" spans="1:15" x14ac:dyDescent="0.25">
      <c r="A546" s="98" t="str">
        <f t="shared" ca="1" si="92"/>
        <v/>
      </c>
      <c r="B546" s="33" t="str">
        <f t="shared" ca="1" si="85"/>
        <v/>
      </c>
      <c r="C546" s="25" t="str">
        <f t="shared" ca="1" si="86"/>
        <v/>
      </c>
      <c r="D546" s="26" t="str">
        <f t="shared" ca="1" si="87"/>
        <v/>
      </c>
      <c r="E546" s="4" t="str">
        <f t="shared" ca="1" si="88"/>
        <v/>
      </c>
      <c r="F546" s="25" t="str">
        <f t="shared" ca="1" si="89"/>
        <v/>
      </c>
      <c r="G546" s="26" t="str">
        <f t="shared" ca="1" si="90"/>
        <v/>
      </c>
      <c r="H546" s="55" t="str">
        <f t="shared" ca="1" si="91"/>
        <v/>
      </c>
      <c r="N546" s="95" t="str">
        <f t="shared" si="83"/>
        <v/>
      </c>
      <c r="O546" s="95" t="str">
        <f t="shared" si="84"/>
        <v/>
      </c>
    </row>
    <row r="547" spans="1:15" x14ac:dyDescent="0.25">
      <c r="A547" s="98" t="str">
        <f t="shared" ca="1" si="92"/>
        <v/>
      </c>
      <c r="B547" s="33" t="str">
        <f t="shared" ca="1" si="85"/>
        <v/>
      </c>
      <c r="C547" s="25" t="str">
        <f t="shared" ca="1" si="86"/>
        <v/>
      </c>
      <c r="D547" s="26" t="str">
        <f t="shared" ca="1" si="87"/>
        <v/>
      </c>
      <c r="E547" s="4" t="str">
        <f t="shared" ca="1" si="88"/>
        <v/>
      </c>
      <c r="F547" s="25" t="str">
        <f t="shared" ca="1" si="89"/>
        <v/>
      </c>
      <c r="G547" s="26" t="str">
        <f t="shared" ca="1" si="90"/>
        <v/>
      </c>
      <c r="H547" s="55" t="str">
        <f t="shared" ca="1" si="91"/>
        <v/>
      </c>
      <c r="N547" s="95" t="str">
        <f t="shared" si="83"/>
        <v/>
      </c>
      <c r="O547" s="95" t="str">
        <f t="shared" si="84"/>
        <v/>
      </c>
    </row>
    <row r="548" spans="1:15" x14ac:dyDescent="0.25">
      <c r="A548" s="98" t="str">
        <f t="shared" ca="1" si="92"/>
        <v/>
      </c>
      <c r="B548" s="33" t="str">
        <f t="shared" ca="1" si="85"/>
        <v/>
      </c>
      <c r="C548" s="25" t="str">
        <f t="shared" ca="1" si="86"/>
        <v/>
      </c>
      <c r="D548" s="26" t="str">
        <f t="shared" ca="1" si="87"/>
        <v/>
      </c>
      <c r="E548" s="4" t="str">
        <f t="shared" ca="1" si="88"/>
        <v/>
      </c>
      <c r="F548" s="25" t="str">
        <f t="shared" ca="1" si="89"/>
        <v/>
      </c>
      <c r="G548" s="26" t="str">
        <f t="shared" ca="1" si="90"/>
        <v/>
      </c>
      <c r="H548" s="55" t="str">
        <f t="shared" ca="1" si="91"/>
        <v/>
      </c>
      <c r="N548" s="95" t="str">
        <f t="shared" si="83"/>
        <v/>
      </c>
      <c r="O548" s="95" t="str">
        <f t="shared" si="84"/>
        <v/>
      </c>
    </row>
    <row r="549" spans="1:15" x14ac:dyDescent="0.25">
      <c r="A549" s="98" t="str">
        <f t="shared" ca="1" si="92"/>
        <v/>
      </c>
      <c r="B549" s="33" t="str">
        <f t="shared" ca="1" si="85"/>
        <v/>
      </c>
      <c r="C549" s="25" t="str">
        <f t="shared" ca="1" si="86"/>
        <v/>
      </c>
      <c r="D549" s="26" t="str">
        <f t="shared" ca="1" si="87"/>
        <v/>
      </c>
      <c r="E549" s="4" t="str">
        <f t="shared" ca="1" si="88"/>
        <v/>
      </c>
      <c r="F549" s="25" t="str">
        <f t="shared" ca="1" si="89"/>
        <v/>
      </c>
      <c r="G549" s="26" t="str">
        <f t="shared" ca="1" si="90"/>
        <v/>
      </c>
      <c r="H549" s="55" t="str">
        <f t="shared" ca="1" si="91"/>
        <v/>
      </c>
      <c r="N549" s="95" t="str">
        <f t="shared" si="83"/>
        <v/>
      </c>
      <c r="O549" s="95" t="str">
        <f t="shared" si="84"/>
        <v/>
      </c>
    </row>
    <row r="550" spans="1:15" x14ac:dyDescent="0.25">
      <c r="A550" s="98" t="str">
        <f t="shared" ca="1" si="92"/>
        <v/>
      </c>
      <c r="B550" s="33" t="str">
        <f t="shared" ca="1" si="85"/>
        <v/>
      </c>
      <c r="C550" s="25" t="str">
        <f t="shared" ca="1" si="86"/>
        <v/>
      </c>
      <c r="D550" s="26" t="str">
        <f t="shared" ca="1" si="87"/>
        <v/>
      </c>
      <c r="E550" s="4" t="str">
        <f t="shared" ca="1" si="88"/>
        <v/>
      </c>
      <c r="F550" s="25" t="str">
        <f t="shared" ca="1" si="89"/>
        <v/>
      </c>
      <c r="G550" s="26" t="str">
        <f t="shared" ca="1" si="90"/>
        <v/>
      </c>
      <c r="H550" s="55" t="str">
        <f t="shared" ca="1" si="91"/>
        <v/>
      </c>
      <c r="N550" s="95" t="str">
        <f t="shared" si="83"/>
        <v/>
      </c>
      <c r="O550" s="95" t="str">
        <f t="shared" si="84"/>
        <v/>
      </c>
    </row>
    <row r="551" spans="1:15" x14ac:dyDescent="0.25">
      <c r="A551" s="98" t="str">
        <f t="shared" ca="1" si="92"/>
        <v/>
      </c>
      <c r="B551" s="33" t="str">
        <f t="shared" ca="1" si="85"/>
        <v/>
      </c>
      <c r="C551" s="25" t="str">
        <f t="shared" ca="1" si="86"/>
        <v/>
      </c>
      <c r="D551" s="26" t="str">
        <f t="shared" ca="1" si="87"/>
        <v/>
      </c>
      <c r="E551" s="4" t="str">
        <f t="shared" ca="1" si="88"/>
        <v/>
      </c>
      <c r="F551" s="25" t="str">
        <f t="shared" ca="1" si="89"/>
        <v/>
      </c>
      <c r="G551" s="26" t="str">
        <f t="shared" ca="1" si="90"/>
        <v/>
      </c>
      <c r="H551" s="55" t="str">
        <f t="shared" ca="1" si="91"/>
        <v/>
      </c>
      <c r="N551" s="95" t="str">
        <f t="shared" si="83"/>
        <v/>
      </c>
      <c r="O551" s="95" t="str">
        <f t="shared" si="84"/>
        <v/>
      </c>
    </row>
    <row r="552" spans="1:15" x14ac:dyDescent="0.25">
      <c r="A552" s="98" t="str">
        <f t="shared" ca="1" si="92"/>
        <v/>
      </c>
      <c r="B552" s="33" t="str">
        <f t="shared" ca="1" si="85"/>
        <v/>
      </c>
      <c r="C552" s="25" t="str">
        <f t="shared" ca="1" si="86"/>
        <v/>
      </c>
      <c r="D552" s="26" t="str">
        <f t="shared" ca="1" si="87"/>
        <v/>
      </c>
      <c r="E552" s="4" t="str">
        <f t="shared" ca="1" si="88"/>
        <v/>
      </c>
      <c r="F552" s="25" t="str">
        <f t="shared" ca="1" si="89"/>
        <v/>
      </c>
      <c r="G552" s="26" t="str">
        <f t="shared" ca="1" si="90"/>
        <v/>
      </c>
      <c r="H552" s="55" t="str">
        <f t="shared" ca="1" si="91"/>
        <v/>
      </c>
      <c r="N552" s="95" t="str">
        <f t="shared" si="83"/>
        <v/>
      </c>
      <c r="O552" s="95" t="str">
        <f t="shared" si="84"/>
        <v/>
      </c>
    </row>
    <row r="553" spans="1:15" x14ac:dyDescent="0.25">
      <c r="A553" s="98" t="str">
        <f t="shared" ca="1" si="92"/>
        <v/>
      </c>
      <c r="B553" s="33" t="str">
        <f t="shared" ca="1" si="85"/>
        <v/>
      </c>
      <c r="C553" s="25" t="str">
        <f t="shared" ca="1" si="86"/>
        <v/>
      </c>
      <c r="D553" s="26" t="str">
        <f t="shared" ca="1" si="87"/>
        <v/>
      </c>
      <c r="E553" s="4" t="str">
        <f t="shared" ca="1" si="88"/>
        <v/>
      </c>
      <c r="F553" s="25" t="str">
        <f t="shared" ca="1" si="89"/>
        <v/>
      </c>
      <c r="G553" s="26" t="str">
        <f t="shared" ca="1" si="90"/>
        <v/>
      </c>
      <c r="H553" s="55" t="str">
        <f t="shared" ca="1" si="91"/>
        <v/>
      </c>
      <c r="N553" s="95" t="str">
        <f t="shared" si="83"/>
        <v/>
      </c>
      <c r="O553" s="95" t="str">
        <f t="shared" si="84"/>
        <v/>
      </c>
    </row>
    <row r="554" spans="1:15" x14ac:dyDescent="0.25">
      <c r="A554" s="98" t="str">
        <f t="shared" ca="1" si="92"/>
        <v/>
      </c>
      <c r="B554" s="33" t="str">
        <f t="shared" ca="1" si="85"/>
        <v/>
      </c>
      <c r="C554" s="25" t="str">
        <f t="shared" ca="1" si="86"/>
        <v/>
      </c>
      <c r="D554" s="26" t="str">
        <f t="shared" ca="1" si="87"/>
        <v/>
      </c>
      <c r="E554" s="4" t="str">
        <f t="shared" ca="1" si="88"/>
        <v/>
      </c>
      <c r="F554" s="25" t="str">
        <f t="shared" ca="1" si="89"/>
        <v/>
      </c>
      <c r="G554" s="26" t="str">
        <f t="shared" ca="1" si="90"/>
        <v/>
      </c>
      <c r="H554" s="55" t="str">
        <f t="shared" ca="1" si="91"/>
        <v/>
      </c>
      <c r="N554" s="95" t="str">
        <f t="shared" si="83"/>
        <v/>
      </c>
      <c r="O554" s="95" t="str">
        <f t="shared" si="84"/>
        <v/>
      </c>
    </row>
    <row r="555" spans="1:15" x14ac:dyDescent="0.25">
      <c r="A555" s="98" t="str">
        <f t="shared" ca="1" si="92"/>
        <v/>
      </c>
      <c r="B555" s="33" t="str">
        <f t="shared" ca="1" si="85"/>
        <v/>
      </c>
      <c r="C555" s="25" t="str">
        <f t="shared" ca="1" si="86"/>
        <v/>
      </c>
      <c r="D555" s="26" t="str">
        <f t="shared" ca="1" si="87"/>
        <v/>
      </c>
      <c r="E555" s="4" t="str">
        <f t="shared" ca="1" si="88"/>
        <v/>
      </c>
      <c r="F555" s="25" t="str">
        <f t="shared" ca="1" si="89"/>
        <v/>
      </c>
      <c r="G555" s="26" t="str">
        <f t="shared" ca="1" si="90"/>
        <v/>
      </c>
      <c r="H555" s="55" t="str">
        <f t="shared" ca="1" si="91"/>
        <v/>
      </c>
      <c r="N555" s="95" t="str">
        <f t="shared" si="83"/>
        <v/>
      </c>
      <c r="O555" s="95" t="str">
        <f t="shared" si="84"/>
        <v/>
      </c>
    </row>
    <row r="556" spans="1:15" x14ac:dyDescent="0.25">
      <c r="A556" s="98" t="str">
        <f t="shared" ca="1" si="92"/>
        <v/>
      </c>
      <c r="B556" s="33" t="str">
        <f t="shared" ca="1" si="85"/>
        <v/>
      </c>
      <c r="C556" s="25" t="str">
        <f t="shared" ca="1" si="86"/>
        <v/>
      </c>
      <c r="D556" s="26" t="str">
        <f t="shared" ca="1" si="87"/>
        <v/>
      </c>
      <c r="E556" s="4" t="str">
        <f t="shared" ca="1" si="88"/>
        <v/>
      </c>
      <c r="F556" s="25" t="str">
        <f t="shared" ca="1" si="89"/>
        <v/>
      </c>
      <c r="G556" s="26" t="str">
        <f t="shared" ca="1" si="90"/>
        <v/>
      </c>
      <c r="H556" s="55" t="str">
        <f t="shared" ca="1" si="91"/>
        <v/>
      </c>
      <c r="N556" s="95" t="str">
        <f t="shared" si="83"/>
        <v/>
      </c>
      <c r="O556" s="95" t="str">
        <f t="shared" si="84"/>
        <v/>
      </c>
    </row>
    <row r="557" spans="1:15" x14ac:dyDescent="0.25">
      <c r="A557" s="98" t="str">
        <f t="shared" ca="1" si="92"/>
        <v/>
      </c>
      <c r="B557" s="33" t="str">
        <f t="shared" ca="1" si="85"/>
        <v/>
      </c>
      <c r="C557" s="25" t="str">
        <f t="shared" ca="1" si="86"/>
        <v/>
      </c>
      <c r="D557" s="26" t="str">
        <f t="shared" ca="1" si="87"/>
        <v/>
      </c>
      <c r="E557" s="4" t="str">
        <f t="shared" ca="1" si="88"/>
        <v/>
      </c>
      <c r="F557" s="25" t="str">
        <f t="shared" ca="1" si="89"/>
        <v/>
      </c>
      <c r="G557" s="26" t="str">
        <f t="shared" ca="1" si="90"/>
        <v/>
      </c>
      <c r="H557" s="55" t="str">
        <f t="shared" ca="1" si="91"/>
        <v/>
      </c>
      <c r="N557" s="95" t="str">
        <f t="shared" si="83"/>
        <v/>
      </c>
      <c r="O557" s="95" t="str">
        <f t="shared" si="84"/>
        <v/>
      </c>
    </row>
    <row r="558" spans="1:15" x14ac:dyDescent="0.25">
      <c r="A558" s="98" t="str">
        <f t="shared" ca="1" si="92"/>
        <v/>
      </c>
      <c r="B558" s="33" t="str">
        <f t="shared" ca="1" si="85"/>
        <v/>
      </c>
      <c r="C558" s="25" t="str">
        <f t="shared" ca="1" si="86"/>
        <v/>
      </c>
      <c r="D558" s="26" t="str">
        <f t="shared" ca="1" si="87"/>
        <v/>
      </c>
      <c r="E558" s="4" t="str">
        <f t="shared" ca="1" si="88"/>
        <v/>
      </c>
      <c r="F558" s="25" t="str">
        <f t="shared" ca="1" si="89"/>
        <v/>
      </c>
      <c r="G558" s="26" t="str">
        <f t="shared" ca="1" si="90"/>
        <v/>
      </c>
      <c r="H558" s="55" t="str">
        <f t="shared" ca="1" si="91"/>
        <v/>
      </c>
      <c r="N558" s="95" t="str">
        <f t="shared" si="83"/>
        <v/>
      </c>
      <c r="O558" s="95" t="str">
        <f t="shared" si="84"/>
        <v/>
      </c>
    </row>
    <row r="559" spans="1:15" x14ac:dyDescent="0.25">
      <c r="A559" s="98" t="str">
        <f t="shared" ca="1" si="92"/>
        <v/>
      </c>
      <c r="B559" s="33" t="str">
        <f t="shared" ca="1" si="85"/>
        <v/>
      </c>
      <c r="C559" s="25" t="str">
        <f t="shared" ca="1" si="86"/>
        <v/>
      </c>
      <c r="D559" s="26" t="str">
        <f t="shared" ca="1" si="87"/>
        <v/>
      </c>
      <c r="E559" s="4" t="str">
        <f t="shared" ca="1" si="88"/>
        <v/>
      </c>
      <c r="F559" s="25" t="str">
        <f t="shared" ca="1" si="89"/>
        <v/>
      </c>
      <c r="G559" s="26" t="str">
        <f t="shared" ca="1" si="90"/>
        <v/>
      </c>
      <c r="H559" s="55" t="str">
        <f t="shared" ca="1" si="91"/>
        <v/>
      </c>
      <c r="N559" s="95" t="str">
        <f t="shared" si="83"/>
        <v/>
      </c>
      <c r="O559" s="95" t="str">
        <f t="shared" si="84"/>
        <v/>
      </c>
    </row>
    <row r="560" spans="1:15" x14ac:dyDescent="0.25">
      <c r="A560" s="98" t="str">
        <f t="shared" ca="1" si="92"/>
        <v/>
      </c>
      <c r="B560" s="33" t="str">
        <f t="shared" ca="1" si="85"/>
        <v/>
      </c>
      <c r="C560" s="25" t="str">
        <f t="shared" ca="1" si="86"/>
        <v/>
      </c>
      <c r="D560" s="26" t="str">
        <f t="shared" ca="1" si="87"/>
        <v/>
      </c>
      <c r="E560" s="4" t="str">
        <f t="shared" ca="1" si="88"/>
        <v/>
      </c>
      <c r="F560" s="25" t="str">
        <f t="shared" ca="1" si="89"/>
        <v/>
      </c>
      <c r="G560" s="26" t="str">
        <f t="shared" ca="1" si="90"/>
        <v/>
      </c>
      <c r="H560" s="55" t="str">
        <f t="shared" ca="1" si="91"/>
        <v/>
      </c>
      <c r="N560" s="95" t="str">
        <f t="shared" si="83"/>
        <v/>
      </c>
      <c r="O560" s="95" t="str">
        <f t="shared" si="84"/>
        <v/>
      </c>
    </row>
    <row r="561" spans="1:15" x14ac:dyDescent="0.25">
      <c r="A561" s="98" t="str">
        <f t="shared" ca="1" si="92"/>
        <v/>
      </c>
      <c r="B561" s="33" t="str">
        <f t="shared" ca="1" si="85"/>
        <v/>
      </c>
      <c r="C561" s="25" t="str">
        <f t="shared" ca="1" si="86"/>
        <v/>
      </c>
      <c r="D561" s="26" t="str">
        <f t="shared" ca="1" si="87"/>
        <v/>
      </c>
      <c r="E561" s="4" t="str">
        <f t="shared" ca="1" si="88"/>
        <v/>
      </c>
      <c r="F561" s="25" t="str">
        <f t="shared" ca="1" si="89"/>
        <v/>
      </c>
      <c r="G561" s="26" t="str">
        <f t="shared" ca="1" si="90"/>
        <v/>
      </c>
      <c r="H561" s="55" t="str">
        <f t="shared" ca="1" si="91"/>
        <v/>
      </c>
      <c r="N561" s="95" t="str">
        <f t="shared" si="83"/>
        <v/>
      </c>
      <c r="O561" s="95" t="str">
        <f t="shared" si="84"/>
        <v/>
      </c>
    </row>
    <row r="562" spans="1:15" x14ac:dyDescent="0.25">
      <c r="A562" s="98" t="str">
        <f t="shared" ca="1" si="92"/>
        <v/>
      </c>
      <c r="B562" s="33" t="str">
        <f t="shared" ca="1" si="85"/>
        <v/>
      </c>
      <c r="C562" s="25" t="str">
        <f t="shared" ca="1" si="86"/>
        <v/>
      </c>
      <c r="D562" s="26" t="str">
        <f t="shared" ca="1" si="87"/>
        <v/>
      </c>
      <c r="E562" s="4" t="str">
        <f t="shared" ca="1" si="88"/>
        <v/>
      </c>
      <c r="F562" s="25" t="str">
        <f t="shared" ca="1" si="89"/>
        <v/>
      </c>
      <c r="G562" s="26" t="str">
        <f t="shared" ca="1" si="90"/>
        <v/>
      </c>
      <c r="H562" s="55" t="str">
        <f t="shared" ca="1" si="91"/>
        <v/>
      </c>
      <c r="N562" s="95" t="str">
        <f t="shared" si="83"/>
        <v/>
      </c>
      <c r="O562" s="95" t="str">
        <f t="shared" si="84"/>
        <v/>
      </c>
    </row>
    <row r="563" spans="1:15" x14ac:dyDescent="0.25">
      <c r="A563" s="98" t="str">
        <f t="shared" ca="1" si="92"/>
        <v/>
      </c>
      <c r="B563" s="33" t="str">
        <f t="shared" ca="1" si="85"/>
        <v/>
      </c>
      <c r="C563" s="25" t="str">
        <f t="shared" ca="1" si="86"/>
        <v/>
      </c>
      <c r="D563" s="26" t="str">
        <f t="shared" ca="1" si="87"/>
        <v/>
      </c>
      <c r="E563" s="4" t="str">
        <f t="shared" ca="1" si="88"/>
        <v/>
      </c>
      <c r="F563" s="25" t="str">
        <f t="shared" ca="1" si="89"/>
        <v/>
      </c>
      <c r="G563" s="26" t="str">
        <f t="shared" ca="1" si="90"/>
        <v/>
      </c>
      <c r="H563" s="55" t="str">
        <f t="shared" ca="1" si="91"/>
        <v/>
      </c>
      <c r="N563" s="95" t="str">
        <f t="shared" si="83"/>
        <v/>
      </c>
      <c r="O563" s="95" t="str">
        <f t="shared" si="84"/>
        <v/>
      </c>
    </row>
    <row r="564" spans="1:15" x14ac:dyDescent="0.25">
      <c r="A564" s="98" t="str">
        <f t="shared" ca="1" si="92"/>
        <v/>
      </c>
      <c r="B564" s="33" t="str">
        <f t="shared" ca="1" si="85"/>
        <v/>
      </c>
      <c r="C564" s="25" t="str">
        <f t="shared" ca="1" si="86"/>
        <v/>
      </c>
      <c r="D564" s="26" t="str">
        <f t="shared" ca="1" si="87"/>
        <v/>
      </c>
      <c r="E564" s="4" t="str">
        <f t="shared" ca="1" si="88"/>
        <v/>
      </c>
      <c r="F564" s="25" t="str">
        <f t="shared" ca="1" si="89"/>
        <v/>
      </c>
      <c r="G564" s="26" t="str">
        <f t="shared" ca="1" si="90"/>
        <v/>
      </c>
      <c r="H564" s="55" t="str">
        <f t="shared" ca="1" si="91"/>
        <v/>
      </c>
      <c r="N564" s="95" t="str">
        <f t="shared" si="83"/>
        <v/>
      </c>
      <c r="O564" s="95" t="str">
        <f t="shared" si="84"/>
        <v/>
      </c>
    </row>
    <row r="565" spans="1:15" x14ac:dyDescent="0.25">
      <c r="A565" s="98" t="str">
        <f t="shared" ca="1" si="92"/>
        <v/>
      </c>
      <c r="B565" s="33" t="str">
        <f t="shared" ca="1" si="85"/>
        <v/>
      </c>
      <c r="C565" s="25" t="str">
        <f t="shared" ca="1" si="86"/>
        <v/>
      </c>
      <c r="D565" s="26" t="str">
        <f t="shared" ca="1" si="87"/>
        <v/>
      </c>
      <c r="E565" s="4" t="str">
        <f t="shared" ca="1" si="88"/>
        <v/>
      </c>
      <c r="F565" s="25" t="str">
        <f t="shared" ca="1" si="89"/>
        <v/>
      </c>
      <c r="G565" s="26" t="str">
        <f t="shared" ca="1" si="90"/>
        <v/>
      </c>
      <c r="H565" s="55" t="str">
        <f t="shared" ca="1" si="91"/>
        <v/>
      </c>
      <c r="N565" s="95" t="str">
        <f t="shared" si="83"/>
        <v/>
      </c>
      <c r="O565" s="95" t="str">
        <f t="shared" si="84"/>
        <v/>
      </c>
    </row>
    <row r="566" spans="1:15" x14ac:dyDescent="0.25">
      <c r="A566" s="98" t="str">
        <f t="shared" ca="1" si="92"/>
        <v/>
      </c>
      <c r="B566" s="33" t="str">
        <f t="shared" ca="1" si="85"/>
        <v/>
      </c>
      <c r="C566" s="25" t="str">
        <f t="shared" ca="1" si="86"/>
        <v/>
      </c>
      <c r="D566" s="26" t="str">
        <f t="shared" ca="1" si="87"/>
        <v/>
      </c>
      <c r="E566" s="4" t="str">
        <f t="shared" ca="1" si="88"/>
        <v/>
      </c>
      <c r="F566" s="25" t="str">
        <f t="shared" ca="1" si="89"/>
        <v/>
      </c>
      <c r="G566" s="26" t="str">
        <f t="shared" ca="1" si="90"/>
        <v/>
      </c>
      <c r="H566" s="55" t="str">
        <f t="shared" ca="1" si="91"/>
        <v/>
      </c>
      <c r="N566" s="95" t="str">
        <f t="shared" si="83"/>
        <v/>
      </c>
      <c r="O566" s="95" t="str">
        <f t="shared" si="84"/>
        <v/>
      </c>
    </row>
    <row r="567" spans="1:15" x14ac:dyDescent="0.25">
      <c r="A567" s="98" t="str">
        <f t="shared" ca="1" si="92"/>
        <v/>
      </c>
      <c r="B567" s="33" t="str">
        <f t="shared" ca="1" si="85"/>
        <v/>
      </c>
      <c r="C567" s="25" t="str">
        <f t="shared" ca="1" si="86"/>
        <v/>
      </c>
      <c r="D567" s="26" t="str">
        <f t="shared" ca="1" si="87"/>
        <v/>
      </c>
      <c r="E567" s="4" t="str">
        <f t="shared" ca="1" si="88"/>
        <v/>
      </c>
      <c r="F567" s="25" t="str">
        <f t="shared" ca="1" si="89"/>
        <v/>
      </c>
      <c r="G567" s="26" t="str">
        <f t="shared" ca="1" si="90"/>
        <v/>
      </c>
      <c r="H567" s="55" t="str">
        <f t="shared" ca="1" si="91"/>
        <v/>
      </c>
      <c r="N567" s="95" t="str">
        <f t="shared" si="83"/>
        <v/>
      </c>
      <c r="O567" s="95" t="str">
        <f t="shared" si="84"/>
        <v/>
      </c>
    </row>
    <row r="568" spans="1:15" x14ac:dyDescent="0.25">
      <c r="A568" s="98" t="str">
        <f t="shared" ca="1" si="92"/>
        <v/>
      </c>
      <c r="B568" s="33" t="str">
        <f t="shared" ca="1" si="85"/>
        <v/>
      </c>
      <c r="C568" s="25" t="str">
        <f t="shared" ca="1" si="86"/>
        <v/>
      </c>
      <c r="D568" s="26" t="str">
        <f t="shared" ca="1" si="87"/>
        <v/>
      </c>
      <c r="E568" s="4" t="str">
        <f t="shared" ca="1" si="88"/>
        <v/>
      </c>
      <c r="F568" s="25" t="str">
        <f t="shared" ca="1" si="89"/>
        <v/>
      </c>
      <c r="G568" s="26" t="str">
        <f t="shared" ca="1" si="90"/>
        <v/>
      </c>
      <c r="H568" s="55" t="str">
        <f t="shared" ca="1" si="91"/>
        <v/>
      </c>
      <c r="N568" s="95" t="str">
        <f t="shared" si="83"/>
        <v/>
      </c>
      <c r="O568" s="95" t="str">
        <f t="shared" si="84"/>
        <v/>
      </c>
    </row>
    <row r="569" spans="1:15" x14ac:dyDescent="0.25">
      <c r="A569" s="98" t="str">
        <f t="shared" ca="1" si="92"/>
        <v/>
      </c>
      <c r="B569" s="33" t="str">
        <f t="shared" ca="1" si="85"/>
        <v/>
      </c>
      <c r="C569" s="25" t="str">
        <f t="shared" ca="1" si="86"/>
        <v/>
      </c>
      <c r="D569" s="26" t="str">
        <f t="shared" ca="1" si="87"/>
        <v/>
      </c>
      <c r="E569" s="4" t="str">
        <f t="shared" ca="1" si="88"/>
        <v/>
      </c>
      <c r="F569" s="25" t="str">
        <f t="shared" ca="1" si="89"/>
        <v/>
      </c>
      <c r="G569" s="26" t="str">
        <f t="shared" ca="1" si="90"/>
        <v/>
      </c>
      <c r="H569" s="55" t="str">
        <f t="shared" ca="1" si="91"/>
        <v/>
      </c>
      <c r="N569" s="95" t="str">
        <f t="shared" si="83"/>
        <v/>
      </c>
      <c r="O569" s="95" t="str">
        <f t="shared" si="84"/>
        <v/>
      </c>
    </row>
    <row r="570" spans="1:15" x14ac:dyDescent="0.25">
      <c r="A570" s="98" t="str">
        <f t="shared" ca="1" si="92"/>
        <v/>
      </c>
      <c r="B570" s="33" t="str">
        <f t="shared" ca="1" si="85"/>
        <v/>
      </c>
      <c r="C570" s="25" t="str">
        <f t="shared" ca="1" si="86"/>
        <v/>
      </c>
      <c r="D570" s="26" t="str">
        <f t="shared" ca="1" si="87"/>
        <v/>
      </c>
      <c r="E570" s="4" t="str">
        <f t="shared" ca="1" si="88"/>
        <v/>
      </c>
      <c r="F570" s="25" t="str">
        <f t="shared" ca="1" si="89"/>
        <v/>
      </c>
      <c r="G570" s="26" t="str">
        <f t="shared" ca="1" si="90"/>
        <v/>
      </c>
      <c r="H570" s="55" t="str">
        <f t="shared" ca="1" si="91"/>
        <v/>
      </c>
      <c r="N570" s="95" t="str">
        <f t="shared" si="83"/>
        <v/>
      </c>
      <c r="O570" s="95" t="str">
        <f t="shared" si="84"/>
        <v/>
      </c>
    </row>
    <row r="571" spans="1:15" x14ac:dyDescent="0.25">
      <c r="A571" s="98" t="str">
        <f t="shared" ca="1" si="92"/>
        <v/>
      </c>
      <c r="B571" s="33" t="str">
        <f t="shared" ca="1" si="85"/>
        <v/>
      </c>
      <c r="C571" s="25" t="str">
        <f t="shared" ca="1" si="86"/>
        <v/>
      </c>
      <c r="D571" s="26" t="str">
        <f t="shared" ca="1" si="87"/>
        <v/>
      </c>
      <c r="E571" s="4" t="str">
        <f t="shared" ca="1" si="88"/>
        <v/>
      </c>
      <c r="F571" s="25" t="str">
        <f t="shared" ca="1" si="89"/>
        <v/>
      </c>
      <c r="G571" s="26" t="str">
        <f t="shared" ca="1" si="90"/>
        <v/>
      </c>
      <c r="H571" s="55" t="str">
        <f t="shared" ca="1" si="91"/>
        <v/>
      </c>
      <c r="N571" s="95" t="str">
        <f t="shared" si="83"/>
        <v/>
      </c>
      <c r="O571" s="95" t="str">
        <f t="shared" si="84"/>
        <v/>
      </c>
    </row>
    <row r="572" spans="1:15" x14ac:dyDescent="0.25">
      <c r="A572" s="98" t="str">
        <f t="shared" ca="1" si="92"/>
        <v/>
      </c>
      <c r="B572" s="33" t="str">
        <f t="shared" ca="1" si="85"/>
        <v/>
      </c>
      <c r="C572" s="25" t="str">
        <f t="shared" ca="1" si="86"/>
        <v/>
      </c>
      <c r="D572" s="26" t="str">
        <f t="shared" ca="1" si="87"/>
        <v/>
      </c>
      <c r="E572" s="4" t="str">
        <f t="shared" ca="1" si="88"/>
        <v/>
      </c>
      <c r="F572" s="25" t="str">
        <f t="shared" ca="1" si="89"/>
        <v/>
      </c>
      <c r="G572" s="26" t="str">
        <f t="shared" ca="1" si="90"/>
        <v/>
      </c>
      <c r="H572" s="55" t="str">
        <f t="shared" ca="1" si="91"/>
        <v/>
      </c>
      <c r="N572" s="95" t="str">
        <f t="shared" si="83"/>
        <v/>
      </c>
      <c r="O572" s="95" t="str">
        <f t="shared" si="84"/>
        <v/>
      </c>
    </row>
    <row r="573" spans="1:15" x14ac:dyDescent="0.25">
      <c r="A573" s="98" t="str">
        <f t="shared" ca="1" si="92"/>
        <v/>
      </c>
      <c r="B573" s="33" t="str">
        <f t="shared" ca="1" si="85"/>
        <v/>
      </c>
      <c r="C573" s="25" t="str">
        <f t="shared" ca="1" si="86"/>
        <v/>
      </c>
      <c r="D573" s="26" t="str">
        <f t="shared" ca="1" si="87"/>
        <v/>
      </c>
      <c r="E573" s="4" t="str">
        <f t="shared" ca="1" si="88"/>
        <v/>
      </c>
      <c r="F573" s="25" t="str">
        <f t="shared" ca="1" si="89"/>
        <v/>
      </c>
      <c r="G573" s="26" t="str">
        <f t="shared" ca="1" si="90"/>
        <v/>
      </c>
      <c r="H573" s="55" t="str">
        <f t="shared" ca="1" si="91"/>
        <v/>
      </c>
      <c r="N573" s="95" t="str">
        <f t="shared" si="83"/>
        <v/>
      </c>
      <c r="O573" s="95" t="str">
        <f t="shared" si="84"/>
        <v/>
      </c>
    </row>
    <row r="574" spans="1:15" x14ac:dyDescent="0.25">
      <c r="A574" s="98" t="str">
        <f t="shared" ca="1" si="92"/>
        <v/>
      </c>
      <c r="B574" s="33" t="str">
        <f t="shared" ca="1" si="85"/>
        <v/>
      </c>
      <c r="C574" s="25" t="str">
        <f t="shared" ca="1" si="86"/>
        <v/>
      </c>
      <c r="D574" s="26" t="str">
        <f t="shared" ca="1" si="87"/>
        <v/>
      </c>
      <c r="E574" s="4" t="str">
        <f t="shared" ca="1" si="88"/>
        <v/>
      </c>
      <c r="F574" s="25" t="str">
        <f t="shared" ca="1" si="89"/>
        <v/>
      </c>
      <c r="G574" s="26" t="str">
        <f t="shared" ca="1" si="90"/>
        <v/>
      </c>
      <c r="H574" s="55" t="str">
        <f t="shared" ca="1" si="91"/>
        <v/>
      </c>
      <c r="N574" s="95" t="str">
        <f t="shared" si="83"/>
        <v/>
      </c>
      <c r="O574" s="95" t="str">
        <f t="shared" si="84"/>
        <v/>
      </c>
    </row>
    <row r="575" spans="1:15" x14ac:dyDescent="0.25">
      <c r="N575" s="95" t="str">
        <f t="shared" si="83"/>
        <v/>
      </c>
      <c r="O575" s="95" t="str">
        <f t="shared" si="84"/>
        <v/>
      </c>
    </row>
    <row r="576" spans="1:15" x14ac:dyDescent="0.25">
      <c r="N576" s="95" t="str">
        <f t="shared" si="83"/>
        <v/>
      </c>
      <c r="O576" s="95" t="str">
        <f t="shared" si="84"/>
        <v/>
      </c>
    </row>
    <row r="577" spans="14:15" x14ac:dyDescent="0.25">
      <c r="N577" s="95" t="str">
        <f t="shared" si="83"/>
        <v/>
      </c>
      <c r="O577" s="95" t="str">
        <f t="shared" si="84"/>
        <v/>
      </c>
    </row>
    <row r="578" spans="14:15" x14ac:dyDescent="0.25">
      <c r="N578" s="95" t="str">
        <f t="shared" si="83"/>
        <v/>
      </c>
      <c r="O578" s="95" t="str">
        <f t="shared" si="84"/>
        <v/>
      </c>
    </row>
    <row r="579" spans="14:15" x14ac:dyDescent="0.25">
      <c r="N579" s="95" t="str">
        <f t="shared" si="83"/>
        <v/>
      </c>
      <c r="O579" s="95" t="str">
        <f t="shared" si="84"/>
        <v/>
      </c>
    </row>
    <row r="580" spans="14:15" x14ac:dyDescent="0.25">
      <c r="N580" s="95" t="str">
        <f t="shared" ref="N580:N643" si="93">IF(COUNTIF(L:L,J580)=1,J580,"")</f>
        <v/>
      </c>
      <c r="O580" s="95" t="str">
        <f t="shared" ref="O580:O643" si="94">IF(N580&gt;$A$14,N580,"")</f>
        <v/>
      </c>
    </row>
    <row r="581" spans="14:15" x14ac:dyDescent="0.25">
      <c r="N581" s="95" t="str">
        <f t="shared" si="93"/>
        <v/>
      </c>
      <c r="O581" s="95" t="str">
        <f t="shared" si="94"/>
        <v/>
      </c>
    </row>
    <row r="582" spans="14:15" x14ac:dyDescent="0.25">
      <c r="N582" s="95" t="str">
        <f t="shared" si="93"/>
        <v/>
      </c>
      <c r="O582" s="95" t="str">
        <f t="shared" si="94"/>
        <v/>
      </c>
    </row>
    <row r="583" spans="14:15" x14ac:dyDescent="0.25">
      <c r="N583" s="95" t="str">
        <f t="shared" si="93"/>
        <v/>
      </c>
      <c r="O583" s="95" t="str">
        <f t="shared" si="94"/>
        <v/>
      </c>
    </row>
    <row r="584" spans="14:15" x14ac:dyDescent="0.25">
      <c r="N584" s="95" t="str">
        <f t="shared" si="93"/>
        <v/>
      </c>
      <c r="O584" s="95" t="str">
        <f t="shared" si="94"/>
        <v/>
      </c>
    </row>
    <row r="585" spans="14:15" x14ac:dyDescent="0.25">
      <c r="N585" s="95" t="str">
        <f t="shared" si="93"/>
        <v/>
      </c>
      <c r="O585" s="95" t="str">
        <f t="shared" si="94"/>
        <v/>
      </c>
    </row>
    <row r="586" spans="14:15" x14ac:dyDescent="0.25">
      <c r="N586" s="95" t="str">
        <f t="shared" si="93"/>
        <v/>
      </c>
      <c r="O586" s="95" t="str">
        <f t="shared" si="94"/>
        <v/>
      </c>
    </row>
    <row r="587" spans="14:15" x14ac:dyDescent="0.25">
      <c r="N587" s="95" t="str">
        <f t="shared" si="93"/>
        <v/>
      </c>
      <c r="O587" s="95" t="str">
        <f t="shared" si="94"/>
        <v/>
      </c>
    </row>
    <row r="588" spans="14:15" x14ac:dyDescent="0.25">
      <c r="N588" s="95" t="str">
        <f t="shared" si="93"/>
        <v/>
      </c>
      <c r="O588" s="95" t="str">
        <f t="shared" si="94"/>
        <v/>
      </c>
    </row>
    <row r="589" spans="14:15" x14ac:dyDescent="0.25">
      <c r="N589" s="95" t="str">
        <f t="shared" si="93"/>
        <v/>
      </c>
      <c r="O589" s="95" t="str">
        <f t="shared" si="94"/>
        <v/>
      </c>
    </row>
    <row r="590" spans="14:15" x14ac:dyDescent="0.25">
      <c r="N590" s="95" t="str">
        <f t="shared" si="93"/>
        <v/>
      </c>
      <c r="O590" s="95" t="str">
        <f t="shared" si="94"/>
        <v/>
      </c>
    </row>
    <row r="591" spans="14:15" x14ac:dyDescent="0.25">
      <c r="N591" s="95" t="str">
        <f t="shared" si="93"/>
        <v/>
      </c>
      <c r="O591" s="95" t="str">
        <f t="shared" si="94"/>
        <v/>
      </c>
    </row>
    <row r="592" spans="14:15" x14ac:dyDescent="0.25">
      <c r="N592" s="95" t="str">
        <f t="shared" si="93"/>
        <v/>
      </c>
      <c r="O592" s="95" t="str">
        <f t="shared" si="94"/>
        <v/>
      </c>
    </row>
    <row r="593" spans="14:15" x14ac:dyDescent="0.25">
      <c r="N593" s="95" t="str">
        <f t="shared" si="93"/>
        <v/>
      </c>
      <c r="O593" s="95" t="str">
        <f t="shared" si="94"/>
        <v/>
      </c>
    </row>
    <row r="594" spans="14:15" x14ac:dyDescent="0.25">
      <c r="N594" s="95" t="str">
        <f t="shared" si="93"/>
        <v/>
      </c>
      <c r="O594" s="95" t="str">
        <f t="shared" si="94"/>
        <v/>
      </c>
    </row>
    <row r="595" spans="14:15" x14ac:dyDescent="0.25">
      <c r="N595" s="95" t="str">
        <f t="shared" si="93"/>
        <v/>
      </c>
      <c r="O595" s="95" t="str">
        <f t="shared" si="94"/>
        <v/>
      </c>
    </row>
    <row r="596" spans="14:15" x14ac:dyDescent="0.25">
      <c r="N596" s="95" t="str">
        <f t="shared" si="93"/>
        <v/>
      </c>
      <c r="O596" s="95" t="str">
        <f t="shared" si="94"/>
        <v/>
      </c>
    </row>
    <row r="597" spans="14:15" x14ac:dyDescent="0.25">
      <c r="N597" s="95" t="str">
        <f t="shared" si="93"/>
        <v/>
      </c>
      <c r="O597" s="95" t="str">
        <f t="shared" si="94"/>
        <v/>
      </c>
    </row>
    <row r="598" spans="14:15" x14ac:dyDescent="0.25">
      <c r="N598" s="95" t="str">
        <f t="shared" si="93"/>
        <v/>
      </c>
      <c r="O598" s="95" t="str">
        <f t="shared" si="94"/>
        <v/>
      </c>
    </row>
    <row r="599" spans="14:15" x14ac:dyDescent="0.25">
      <c r="N599" s="95" t="str">
        <f t="shared" si="93"/>
        <v/>
      </c>
      <c r="O599" s="95" t="str">
        <f t="shared" si="94"/>
        <v/>
      </c>
    </row>
    <row r="600" spans="14:15" x14ac:dyDescent="0.25">
      <c r="N600" s="95" t="str">
        <f t="shared" si="93"/>
        <v/>
      </c>
      <c r="O600" s="95" t="str">
        <f t="shared" si="94"/>
        <v/>
      </c>
    </row>
    <row r="601" spans="14:15" x14ac:dyDescent="0.25">
      <c r="N601" s="95" t="str">
        <f t="shared" si="93"/>
        <v/>
      </c>
      <c r="O601" s="95" t="str">
        <f t="shared" si="94"/>
        <v/>
      </c>
    </row>
    <row r="602" spans="14:15" x14ac:dyDescent="0.25">
      <c r="N602" s="95" t="str">
        <f t="shared" si="93"/>
        <v/>
      </c>
      <c r="O602" s="95" t="str">
        <f t="shared" si="94"/>
        <v/>
      </c>
    </row>
    <row r="603" spans="14:15" x14ac:dyDescent="0.25">
      <c r="N603" s="95" t="str">
        <f t="shared" si="93"/>
        <v/>
      </c>
      <c r="O603" s="95" t="str">
        <f t="shared" si="94"/>
        <v/>
      </c>
    </row>
    <row r="604" spans="14:15" x14ac:dyDescent="0.25">
      <c r="N604" s="95" t="str">
        <f t="shared" si="93"/>
        <v/>
      </c>
      <c r="O604" s="95" t="str">
        <f t="shared" si="94"/>
        <v/>
      </c>
    </row>
    <row r="605" spans="14:15" x14ac:dyDescent="0.25">
      <c r="N605" s="95" t="str">
        <f t="shared" si="93"/>
        <v/>
      </c>
      <c r="O605" s="95" t="str">
        <f t="shared" si="94"/>
        <v/>
      </c>
    </row>
    <row r="606" spans="14:15" x14ac:dyDescent="0.25">
      <c r="N606" s="95" t="str">
        <f t="shared" si="93"/>
        <v/>
      </c>
      <c r="O606" s="95" t="str">
        <f t="shared" si="94"/>
        <v/>
      </c>
    </row>
    <row r="607" spans="14:15" x14ac:dyDescent="0.25">
      <c r="N607" s="95" t="str">
        <f t="shared" si="93"/>
        <v/>
      </c>
      <c r="O607" s="95" t="str">
        <f t="shared" si="94"/>
        <v/>
      </c>
    </row>
    <row r="608" spans="14:15" x14ac:dyDescent="0.25">
      <c r="N608" s="95" t="str">
        <f t="shared" si="93"/>
        <v/>
      </c>
      <c r="O608" s="95" t="str">
        <f t="shared" si="94"/>
        <v/>
      </c>
    </row>
    <row r="609" spans="14:15" x14ac:dyDescent="0.25">
      <c r="N609" s="95" t="str">
        <f t="shared" si="93"/>
        <v/>
      </c>
      <c r="O609" s="95" t="str">
        <f t="shared" si="94"/>
        <v/>
      </c>
    </row>
    <row r="610" spans="14:15" x14ac:dyDescent="0.25">
      <c r="N610" s="95" t="str">
        <f t="shared" si="93"/>
        <v/>
      </c>
      <c r="O610" s="95" t="str">
        <f t="shared" si="94"/>
        <v/>
      </c>
    </row>
    <row r="611" spans="14:15" x14ac:dyDescent="0.25">
      <c r="N611" s="95" t="str">
        <f t="shared" si="93"/>
        <v/>
      </c>
      <c r="O611" s="95" t="str">
        <f t="shared" si="94"/>
        <v/>
      </c>
    </row>
    <row r="612" spans="14:15" x14ac:dyDescent="0.25">
      <c r="N612" s="95" t="str">
        <f t="shared" si="93"/>
        <v/>
      </c>
      <c r="O612" s="95" t="str">
        <f t="shared" si="94"/>
        <v/>
      </c>
    </row>
    <row r="613" spans="14:15" x14ac:dyDescent="0.25">
      <c r="N613" s="95" t="str">
        <f t="shared" si="93"/>
        <v/>
      </c>
      <c r="O613" s="95" t="str">
        <f t="shared" si="94"/>
        <v/>
      </c>
    </row>
    <row r="614" spans="14:15" x14ac:dyDescent="0.25">
      <c r="N614" s="95" t="str">
        <f t="shared" si="93"/>
        <v/>
      </c>
      <c r="O614" s="95" t="str">
        <f t="shared" si="94"/>
        <v/>
      </c>
    </row>
    <row r="615" spans="14:15" x14ac:dyDescent="0.25">
      <c r="N615" s="95" t="str">
        <f t="shared" si="93"/>
        <v/>
      </c>
      <c r="O615" s="95" t="str">
        <f t="shared" si="94"/>
        <v/>
      </c>
    </row>
    <row r="616" spans="14:15" x14ac:dyDescent="0.25">
      <c r="N616" s="95" t="str">
        <f t="shared" si="93"/>
        <v/>
      </c>
      <c r="O616" s="95" t="str">
        <f t="shared" si="94"/>
        <v/>
      </c>
    </row>
    <row r="617" spans="14:15" x14ac:dyDescent="0.25">
      <c r="N617" s="95" t="str">
        <f t="shared" si="93"/>
        <v/>
      </c>
      <c r="O617" s="95" t="str">
        <f t="shared" si="94"/>
        <v/>
      </c>
    </row>
    <row r="618" spans="14:15" x14ac:dyDescent="0.25">
      <c r="N618" s="95" t="str">
        <f t="shared" si="93"/>
        <v/>
      </c>
      <c r="O618" s="95" t="str">
        <f t="shared" si="94"/>
        <v/>
      </c>
    </row>
    <row r="619" spans="14:15" x14ac:dyDescent="0.25">
      <c r="N619" s="95" t="str">
        <f t="shared" si="93"/>
        <v/>
      </c>
      <c r="O619" s="95" t="str">
        <f t="shared" si="94"/>
        <v/>
      </c>
    </row>
    <row r="620" spans="14:15" x14ac:dyDescent="0.25">
      <c r="N620" s="95" t="str">
        <f t="shared" si="93"/>
        <v/>
      </c>
      <c r="O620" s="95" t="str">
        <f t="shared" si="94"/>
        <v/>
      </c>
    </row>
    <row r="621" spans="14:15" x14ac:dyDescent="0.25">
      <c r="N621" s="95" t="str">
        <f t="shared" si="93"/>
        <v/>
      </c>
      <c r="O621" s="95" t="str">
        <f t="shared" si="94"/>
        <v/>
      </c>
    </row>
    <row r="622" spans="14:15" x14ac:dyDescent="0.25">
      <c r="N622" s="95" t="str">
        <f t="shared" si="93"/>
        <v/>
      </c>
      <c r="O622" s="95" t="str">
        <f t="shared" si="94"/>
        <v/>
      </c>
    </row>
    <row r="623" spans="14:15" x14ac:dyDescent="0.25">
      <c r="N623" s="95" t="str">
        <f t="shared" si="93"/>
        <v/>
      </c>
      <c r="O623" s="95" t="str">
        <f t="shared" si="94"/>
        <v/>
      </c>
    </row>
    <row r="624" spans="14:15" x14ac:dyDescent="0.25">
      <c r="N624" s="95" t="str">
        <f t="shared" si="93"/>
        <v/>
      </c>
      <c r="O624" s="95" t="str">
        <f t="shared" si="94"/>
        <v/>
      </c>
    </row>
    <row r="625" spans="14:15" x14ac:dyDescent="0.25">
      <c r="N625" s="95" t="str">
        <f t="shared" si="93"/>
        <v/>
      </c>
      <c r="O625" s="95" t="str">
        <f t="shared" si="94"/>
        <v/>
      </c>
    </row>
    <row r="626" spans="14:15" x14ac:dyDescent="0.25">
      <c r="N626" s="95" t="str">
        <f t="shared" si="93"/>
        <v/>
      </c>
      <c r="O626" s="95" t="str">
        <f t="shared" si="94"/>
        <v/>
      </c>
    </row>
    <row r="627" spans="14:15" x14ac:dyDescent="0.25">
      <c r="N627" s="95" t="str">
        <f t="shared" si="93"/>
        <v/>
      </c>
      <c r="O627" s="95" t="str">
        <f t="shared" si="94"/>
        <v/>
      </c>
    </row>
    <row r="628" spans="14:15" x14ac:dyDescent="0.25">
      <c r="N628" s="95" t="str">
        <f t="shared" si="93"/>
        <v/>
      </c>
      <c r="O628" s="95" t="str">
        <f t="shared" si="94"/>
        <v/>
      </c>
    </row>
    <row r="629" spans="14:15" x14ac:dyDescent="0.25">
      <c r="N629" s="95" t="str">
        <f t="shared" si="93"/>
        <v/>
      </c>
      <c r="O629" s="95" t="str">
        <f t="shared" si="94"/>
        <v/>
      </c>
    </row>
    <row r="630" spans="14:15" x14ac:dyDescent="0.25">
      <c r="N630" s="95" t="str">
        <f t="shared" si="93"/>
        <v/>
      </c>
      <c r="O630" s="95" t="str">
        <f t="shared" si="94"/>
        <v/>
      </c>
    </row>
    <row r="631" spans="14:15" x14ac:dyDescent="0.25">
      <c r="N631" s="95" t="str">
        <f t="shared" si="93"/>
        <v/>
      </c>
      <c r="O631" s="95" t="str">
        <f t="shared" si="94"/>
        <v/>
      </c>
    </row>
    <row r="632" spans="14:15" x14ac:dyDescent="0.25">
      <c r="N632" s="95" t="str">
        <f t="shared" si="93"/>
        <v/>
      </c>
      <c r="O632" s="95" t="str">
        <f t="shared" si="94"/>
        <v/>
      </c>
    </row>
    <row r="633" spans="14:15" x14ac:dyDescent="0.25">
      <c r="N633" s="95" t="str">
        <f t="shared" si="93"/>
        <v/>
      </c>
      <c r="O633" s="95" t="str">
        <f t="shared" si="94"/>
        <v/>
      </c>
    </row>
    <row r="634" spans="14:15" x14ac:dyDescent="0.25">
      <c r="N634" s="95" t="str">
        <f t="shared" si="93"/>
        <v/>
      </c>
      <c r="O634" s="95" t="str">
        <f t="shared" si="94"/>
        <v/>
      </c>
    </row>
    <row r="635" spans="14:15" x14ac:dyDescent="0.25">
      <c r="N635" s="95" t="str">
        <f t="shared" si="93"/>
        <v/>
      </c>
      <c r="O635" s="95" t="str">
        <f t="shared" si="94"/>
        <v/>
      </c>
    </row>
    <row r="636" spans="14:15" x14ac:dyDescent="0.25">
      <c r="N636" s="95" t="str">
        <f t="shared" si="93"/>
        <v/>
      </c>
      <c r="O636" s="95" t="str">
        <f t="shared" si="94"/>
        <v/>
      </c>
    </row>
    <row r="637" spans="14:15" x14ac:dyDescent="0.25">
      <c r="N637" s="95" t="str">
        <f t="shared" si="93"/>
        <v/>
      </c>
      <c r="O637" s="95" t="str">
        <f t="shared" si="94"/>
        <v/>
      </c>
    </row>
    <row r="638" spans="14:15" x14ac:dyDescent="0.25">
      <c r="N638" s="95" t="str">
        <f t="shared" si="93"/>
        <v/>
      </c>
      <c r="O638" s="95" t="str">
        <f t="shared" si="94"/>
        <v/>
      </c>
    </row>
    <row r="639" spans="14:15" x14ac:dyDescent="0.25">
      <c r="N639" s="95" t="str">
        <f t="shared" si="93"/>
        <v/>
      </c>
      <c r="O639" s="95" t="str">
        <f t="shared" si="94"/>
        <v/>
      </c>
    </row>
    <row r="640" spans="14:15" x14ac:dyDescent="0.25">
      <c r="N640" s="95" t="str">
        <f t="shared" si="93"/>
        <v/>
      </c>
      <c r="O640" s="95" t="str">
        <f t="shared" si="94"/>
        <v/>
      </c>
    </row>
    <row r="641" spans="14:15" x14ac:dyDescent="0.25">
      <c r="N641" s="95" t="str">
        <f t="shared" si="93"/>
        <v/>
      </c>
      <c r="O641" s="95" t="str">
        <f t="shared" si="94"/>
        <v/>
      </c>
    </row>
    <row r="642" spans="14:15" x14ac:dyDescent="0.25">
      <c r="N642" s="95" t="str">
        <f t="shared" si="93"/>
        <v/>
      </c>
      <c r="O642" s="95" t="str">
        <f t="shared" si="94"/>
        <v/>
      </c>
    </row>
    <row r="643" spans="14:15" x14ac:dyDescent="0.25">
      <c r="N643" s="95" t="str">
        <f t="shared" si="93"/>
        <v/>
      </c>
      <c r="O643" s="95" t="str">
        <f t="shared" si="94"/>
        <v/>
      </c>
    </row>
    <row r="644" spans="14:15" x14ac:dyDescent="0.25">
      <c r="N644" s="95" t="str">
        <f t="shared" ref="N644:N707" si="95">IF(COUNTIF(L:L,J644)=1,J644,"")</f>
        <v/>
      </c>
      <c r="O644" s="95" t="str">
        <f t="shared" ref="O644:O707" si="96">IF(N644&gt;$A$14,N644,"")</f>
        <v/>
      </c>
    </row>
    <row r="645" spans="14:15" x14ac:dyDescent="0.25">
      <c r="N645" s="95" t="str">
        <f t="shared" si="95"/>
        <v/>
      </c>
      <c r="O645" s="95" t="str">
        <f t="shared" si="96"/>
        <v/>
      </c>
    </row>
    <row r="646" spans="14:15" x14ac:dyDescent="0.25">
      <c r="N646" s="95" t="str">
        <f t="shared" si="95"/>
        <v/>
      </c>
      <c r="O646" s="95" t="str">
        <f t="shared" si="96"/>
        <v/>
      </c>
    </row>
    <row r="647" spans="14:15" x14ac:dyDescent="0.25">
      <c r="N647" s="95" t="str">
        <f t="shared" si="95"/>
        <v/>
      </c>
      <c r="O647" s="95" t="str">
        <f t="shared" si="96"/>
        <v/>
      </c>
    </row>
    <row r="648" spans="14:15" x14ac:dyDescent="0.25">
      <c r="N648" s="95" t="str">
        <f t="shared" si="95"/>
        <v/>
      </c>
      <c r="O648" s="95" t="str">
        <f t="shared" si="96"/>
        <v/>
      </c>
    </row>
    <row r="649" spans="14:15" x14ac:dyDescent="0.25">
      <c r="N649" s="95" t="str">
        <f t="shared" si="95"/>
        <v/>
      </c>
      <c r="O649" s="95" t="str">
        <f t="shared" si="96"/>
        <v/>
      </c>
    </row>
    <row r="650" spans="14:15" x14ac:dyDescent="0.25">
      <c r="N650" s="95" t="str">
        <f t="shared" si="95"/>
        <v/>
      </c>
      <c r="O650" s="95" t="str">
        <f t="shared" si="96"/>
        <v/>
      </c>
    </row>
    <row r="651" spans="14:15" x14ac:dyDescent="0.25">
      <c r="N651" s="95" t="str">
        <f t="shared" si="95"/>
        <v/>
      </c>
      <c r="O651" s="95" t="str">
        <f t="shared" si="96"/>
        <v/>
      </c>
    </row>
    <row r="652" spans="14:15" x14ac:dyDescent="0.25">
      <c r="N652" s="95" t="str">
        <f t="shared" si="95"/>
        <v/>
      </c>
      <c r="O652" s="95" t="str">
        <f t="shared" si="96"/>
        <v/>
      </c>
    </row>
    <row r="653" spans="14:15" x14ac:dyDescent="0.25">
      <c r="N653" s="95" t="str">
        <f t="shared" si="95"/>
        <v/>
      </c>
      <c r="O653" s="95" t="str">
        <f t="shared" si="96"/>
        <v/>
      </c>
    </row>
    <row r="654" spans="14:15" x14ac:dyDescent="0.25">
      <c r="N654" s="95" t="str">
        <f t="shared" si="95"/>
        <v/>
      </c>
      <c r="O654" s="95" t="str">
        <f t="shared" si="96"/>
        <v/>
      </c>
    </row>
    <row r="655" spans="14:15" x14ac:dyDescent="0.25">
      <c r="N655" s="95" t="str">
        <f t="shared" si="95"/>
        <v/>
      </c>
      <c r="O655" s="95" t="str">
        <f t="shared" si="96"/>
        <v/>
      </c>
    </row>
    <row r="656" spans="14:15" x14ac:dyDescent="0.25">
      <c r="N656" s="95" t="str">
        <f t="shared" si="95"/>
        <v/>
      </c>
      <c r="O656" s="95" t="str">
        <f t="shared" si="96"/>
        <v/>
      </c>
    </row>
    <row r="657" spans="14:15" x14ac:dyDescent="0.25">
      <c r="N657" s="95" t="str">
        <f t="shared" si="95"/>
        <v/>
      </c>
      <c r="O657" s="95" t="str">
        <f t="shared" si="96"/>
        <v/>
      </c>
    </row>
    <row r="658" spans="14:15" x14ac:dyDescent="0.25">
      <c r="N658" s="95" t="str">
        <f t="shared" si="95"/>
        <v/>
      </c>
      <c r="O658" s="95" t="str">
        <f t="shared" si="96"/>
        <v/>
      </c>
    </row>
    <row r="659" spans="14:15" x14ac:dyDescent="0.25">
      <c r="N659" s="95" t="str">
        <f t="shared" si="95"/>
        <v/>
      </c>
      <c r="O659" s="95" t="str">
        <f t="shared" si="96"/>
        <v/>
      </c>
    </row>
    <row r="660" spans="14:15" x14ac:dyDescent="0.25">
      <c r="N660" s="95" t="str">
        <f t="shared" si="95"/>
        <v/>
      </c>
      <c r="O660" s="95" t="str">
        <f t="shared" si="96"/>
        <v/>
      </c>
    </row>
    <row r="661" spans="14:15" x14ac:dyDescent="0.25">
      <c r="N661" s="95" t="str">
        <f t="shared" si="95"/>
        <v/>
      </c>
      <c r="O661" s="95" t="str">
        <f t="shared" si="96"/>
        <v/>
      </c>
    </row>
    <row r="662" spans="14:15" x14ac:dyDescent="0.25">
      <c r="N662" s="95" t="str">
        <f t="shared" si="95"/>
        <v/>
      </c>
      <c r="O662" s="95" t="str">
        <f t="shared" si="96"/>
        <v/>
      </c>
    </row>
    <row r="663" spans="14:15" x14ac:dyDescent="0.25">
      <c r="N663" s="95" t="str">
        <f t="shared" si="95"/>
        <v/>
      </c>
      <c r="O663" s="95" t="str">
        <f t="shared" si="96"/>
        <v/>
      </c>
    </row>
    <row r="664" spans="14:15" x14ac:dyDescent="0.25">
      <c r="N664" s="95" t="str">
        <f t="shared" si="95"/>
        <v/>
      </c>
      <c r="O664" s="95" t="str">
        <f t="shared" si="96"/>
        <v/>
      </c>
    </row>
    <row r="665" spans="14:15" x14ac:dyDescent="0.25">
      <c r="N665" s="95" t="str">
        <f t="shared" si="95"/>
        <v/>
      </c>
      <c r="O665" s="95" t="str">
        <f t="shared" si="96"/>
        <v/>
      </c>
    </row>
    <row r="666" spans="14:15" x14ac:dyDescent="0.25">
      <c r="N666" s="95" t="str">
        <f t="shared" si="95"/>
        <v/>
      </c>
      <c r="O666" s="95" t="str">
        <f t="shared" si="96"/>
        <v/>
      </c>
    </row>
    <row r="667" spans="14:15" x14ac:dyDescent="0.25">
      <c r="N667" s="95" t="str">
        <f t="shared" si="95"/>
        <v/>
      </c>
      <c r="O667" s="95" t="str">
        <f t="shared" si="96"/>
        <v/>
      </c>
    </row>
    <row r="668" spans="14:15" x14ac:dyDescent="0.25">
      <c r="N668" s="95" t="str">
        <f t="shared" si="95"/>
        <v/>
      </c>
      <c r="O668" s="95" t="str">
        <f t="shared" si="96"/>
        <v/>
      </c>
    </row>
    <row r="669" spans="14:15" x14ac:dyDescent="0.25">
      <c r="N669" s="95" t="str">
        <f t="shared" si="95"/>
        <v/>
      </c>
      <c r="O669" s="95" t="str">
        <f t="shared" si="96"/>
        <v/>
      </c>
    </row>
    <row r="670" spans="14:15" x14ac:dyDescent="0.25">
      <c r="N670" s="95" t="str">
        <f t="shared" si="95"/>
        <v/>
      </c>
      <c r="O670" s="95" t="str">
        <f t="shared" si="96"/>
        <v/>
      </c>
    </row>
    <row r="671" spans="14:15" x14ac:dyDescent="0.25">
      <c r="N671" s="95" t="str">
        <f t="shared" si="95"/>
        <v/>
      </c>
      <c r="O671" s="95" t="str">
        <f t="shared" si="96"/>
        <v/>
      </c>
    </row>
    <row r="672" spans="14:15" x14ac:dyDescent="0.25">
      <c r="N672" s="95" t="str">
        <f t="shared" si="95"/>
        <v/>
      </c>
      <c r="O672" s="95" t="str">
        <f t="shared" si="96"/>
        <v/>
      </c>
    </row>
    <row r="673" spans="14:15" x14ac:dyDescent="0.25">
      <c r="N673" s="95" t="str">
        <f t="shared" si="95"/>
        <v/>
      </c>
      <c r="O673" s="95" t="str">
        <f t="shared" si="96"/>
        <v/>
      </c>
    </row>
    <row r="674" spans="14:15" x14ac:dyDescent="0.25">
      <c r="N674" s="95" t="str">
        <f t="shared" si="95"/>
        <v/>
      </c>
      <c r="O674" s="95" t="str">
        <f t="shared" si="96"/>
        <v/>
      </c>
    </row>
    <row r="675" spans="14:15" x14ac:dyDescent="0.25">
      <c r="N675" s="95" t="str">
        <f t="shared" si="95"/>
        <v/>
      </c>
      <c r="O675" s="95" t="str">
        <f t="shared" si="96"/>
        <v/>
      </c>
    </row>
    <row r="676" spans="14:15" x14ac:dyDescent="0.25">
      <c r="N676" s="95" t="str">
        <f t="shared" si="95"/>
        <v/>
      </c>
      <c r="O676" s="95" t="str">
        <f t="shared" si="96"/>
        <v/>
      </c>
    </row>
    <row r="677" spans="14:15" x14ac:dyDescent="0.25">
      <c r="N677" s="95" t="str">
        <f t="shared" si="95"/>
        <v/>
      </c>
      <c r="O677" s="95" t="str">
        <f t="shared" si="96"/>
        <v/>
      </c>
    </row>
    <row r="678" spans="14:15" x14ac:dyDescent="0.25">
      <c r="N678" s="95" t="str">
        <f t="shared" si="95"/>
        <v/>
      </c>
      <c r="O678" s="95" t="str">
        <f t="shared" si="96"/>
        <v/>
      </c>
    </row>
    <row r="679" spans="14:15" x14ac:dyDescent="0.25">
      <c r="N679" s="95" t="str">
        <f t="shared" si="95"/>
        <v/>
      </c>
      <c r="O679" s="95" t="str">
        <f t="shared" si="96"/>
        <v/>
      </c>
    </row>
    <row r="680" spans="14:15" x14ac:dyDescent="0.25">
      <c r="N680" s="95" t="str">
        <f t="shared" si="95"/>
        <v/>
      </c>
      <c r="O680" s="95" t="str">
        <f t="shared" si="96"/>
        <v/>
      </c>
    </row>
    <row r="681" spans="14:15" x14ac:dyDescent="0.25">
      <c r="N681" s="95" t="str">
        <f t="shared" si="95"/>
        <v/>
      </c>
      <c r="O681" s="95" t="str">
        <f t="shared" si="96"/>
        <v/>
      </c>
    </row>
    <row r="682" spans="14:15" x14ac:dyDescent="0.25">
      <c r="N682" s="95" t="str">
        <f t="shared" si="95"/>
        <v/>
      </c>
      <c r="O682" s="95" t="str">
        <f t="shared" si="96"/>
        <v/>
      </c>
    </row>
    <row r="683" spans="14:15" x14ac:dyDescent="0.25">
      <c r="N683" s="95" t="str">
        <f t="shared" si="95"/>
        <v/>
      </c>
      <c r="O683" s="95" t="str">
        <f t="shared" si="96"/>
        <v/>
      </c>
    </row>
    <row r="684" spans="14:15" x14ac:dyDescent="0.25">
      <c r="N684" s="95" t="str">
        <f t="shared" si="95"/>
        <v/>
      </c>
      <c r="O684" s="95" t="str">
        <f t="shared" si="96"/>
        <v/>
      </c>
    </row>
    <row r="685" spans="14:15" x14ac:dyDescent="0.25">
      <c r="N685" s="95" t="str">
        <f t="shared" si="95"/>
        <v/>
      </c>
      <c r="O685" s="95" t="str">
        <f t="shared" si="96"/>
        <v/>
      </c>
    </row>
    <row r="686" spans="14:15" x14ac:dyDescent="0.25">
      <c r="N686" s="95" t="str">
        <f t="shared" si="95"/>
        <v/>
      </c>
      <c r="O686" s="95" t="str">
        <f t="shared" si="96"/>
        <v/>
      </c>
    </row>
    <row r="687" spans="14:15" x14ac:dyDescent="0.25">
      <c r="N687" s="95" t="str">
        <f t="shared" si="95"/>
        <v/>
      </c>
      <c r="O687" s="95" t="str">
        <f t="shared" si="96"/>
        <v/>
      </c>
    </row>
    <row r="688" spans="14:15" x14ac:dyDescent="0.25">
      <c r="N688" s="95" t="str">
        <f t="shared" si="95"/>
        <v/>
      </c>
      <c r="O688" s="95" t="str">
        <f t="shared" si="96"/>
        <v/>
      </c>
    </row>
    <row r="689" spans="14:15" x14ac:dyDescent="0.25">
      <c r="N689" s="95" t="str">
        <f t="shared" si="95"/>
        <v/>
      </c>
      <c r="O689" s="95" t="str">
        <f t="shared" si="96"/>
        <v/>
      </c>
    </row>
    <row r="690" spans="14:15" x14ac:dyDescent="0.25">
      <c r="N690" s="95" t="str">
        <f t="shared" si="95"/>
        <v/>
      </c>
      <c r="O690" s="95" t="str">
        <f t="shared" si="96"/>
        <v/>
      </c>
    </row>
    <row r="691" spans="14:15" x14ac:dyDescent="0.25">
      <c r="N691" s="95" t="str">
        <f t="shared" si="95"/>
        <v/>
      </c>
      <c r="O691" s="95" t="str">
        <f t="shared" si="96"/>
        <v/>
      </c>
    </row>
    <row r="692" spans="14:15" x14ac:dyDescent="0.25">
      <c r="N692" s="95" t="str">
        <f t="shared" si="95"/>
        <v/>
      </c>
      <c r="O692" s="95" t="str">
        <f t="shared" si="96"/>
        <v/>
      </c>
    </row>
    <row r="693" spans="14:15" x14ac:dyDescent="0.25">
      <c r="N693" s="95" t="str">
        <f t="shared" si="95"/>
        <v/>
      </c>
      <c r="O693" s="95" t="str">
        <f t="shared" si="96"/>
        <v/>
      </c>
    </row>
    <row r="694" spans="14:15" x14ac:dyDescent="0.25">
      <c r="N694" s="95" t="str">
        <f t="shared" si="95"/>
        <v/>
      </c>
      <c r="O694" s="95" t="str">
        <f t="shared" si="96"/>
        <v/>
      </c>
    </row>
    <row r="695" spans="14:15" x14ac:dyDescent="0.25">
      <c r="N695" s="95" t="str">
        <f t="shared" si="95"/>
        <v/>
      </c>
      <c r="O695" s="95" t="str">
        <f t="shared" si="96"/>
        <v/>
      </c>
    </row>
    <row r="696" spans="14:15" x14ac:dyDescent="0.25">
      <c r="N696" s="95" t="str">
        <f t="shared" si="95"/>
        <v/>
      </c>
      <c r="O696" s="95" t="str">
        <f t="shared" si="96"/>
        <v/>
      </c>
    </row>
    <row r="697" spans="14:15" x14ac:dyDescent="0.25">
      <c r="N697" s="95" t="str">
        <f t="shared" si="95"/>
        <v/>
      </c>
      <c r="O697" s="95" t="str">
        <f t="shared" si="96"/>
        <v/>
      </c>
    </row>
    <row r="698" spans="14:15" x14ac:dyDescent="0.25">
      <c r="N698" s="95" t="str">
        <f t="shared" si="95"/>
        <v/>
      </c>
      <c r="O698" s="95" t="str">
        <f t="shared" si="96"/>
        <v/>
      </c>
    </row>
    <row r="699" spans="14:15" x14ac:dyDescent="0.25">
      <c r="N699" s="95" t="str">
        <f t="shared" si="95"/>
        <v/>
      </c>
      <c r="O699" s="95" t="str">
        <f t="shared" si="96"/>
        <v/>
      </c>
    </row>
    <row r="700" spans="14:15" x14ac:dyDescent="0.25">
      <c r="N700" s="95" t="str">
        <f t="shared" si="95"/>
        <v/>
      </c>
      <c r="O700" s="95" t="str">
        <f t="shared" si="96"/>
        <v/>
      </c>
    </row>
    <row r="701" spans="14:15" x14ac:dyDescent="0.25">
      <c r="N701" s="95" t="str">
        <f t="shared" si="95"/>
        <v/>
      </c>
      <c r="O701" s="95" t="str">
        <f t="shared" si="96"/>
        <v/>
      </c>
    </row>
    <row r="702" spans="14:15" x14ac:dyDescent="0.25">
      <c r="N702" s="95" t="str">
        <f t="shared" si="95"/>
        <v/>
      </c>
      <c r="O702" s="95" t="str">
        <f t="shared" si="96"/>
        <v/>
      </c>
    </row>
    <row r="703" spans="14:15" x14ac:dyDescent="0.25">
      <c r="N703" s="95" t="str">
        <f t="shared" si="95"/>
        <v/>
      </c>
      <c r="O703" s="95" t="str">
        <f t="shared" si="96"/>
        <v/>
      </c>
    </row>
    <row r="704" spans="14:15" x14ac:dyDescent="0.25">
      <c r="N704" s="95" t="str">
        <f t="shared" si="95"/>
        <v/>
      </c>
      <c r="O704" s="95" t="str">
        <f t="shared" si="96"/>
        <v/>
      </c>
    </row>
    <row r="705" spans="14:15" x14ac:dyDescent="0.25">
      <c r="N705" s="95" t="str">
        <f t="shared" si="95"/>
        <v/>
      </c>
      <c r="O705" s="95" t="str">
        <f t="shared" si="96"/>
        <v/>
      </c>
    </row>
    <row r="706" spans="14:15" x14ac:dyDescent="0.25">
      <c r="N706" s="95" t="str">
        <f t="shared" si="95"/>
        <v/>
      </c>
      <c r="O706" s="95" t="str">
        <f t="shared" si="96"/>
        <v/>
      </c>
    </row>
    <row r="707" spans="14:15" x14ac:dyDescent="0.25">
      <c r="N707" s="95" t="str">
        <f t="shared" si="95"/>
        <v/>
      </c>
      <c r="O707" s="95" t="str">
        <f t="shared" si="96"/>
        <v/>
      </c>
    </row>
    <row r="708" spans="14:15" x14ac:dyDescent="0.25">
      <c r="N708" s="95" t="str">
        <f t="shared" ref="N708:N771" si="97">IF(COUNTIF(L:L,J708)=1,J708,"")</f>
        <v/>
      </c>
      <c r="O708" s="95" t="str">
        <f t="shared" ref="O708:O771" si="98">IF(N708&gt;$A$14,N708,"")</f>
        <v/>
      </c>
    </row>
    <row r="709" spans="14:15" x14ac:dyDescent="0.25">
      <c r="N709" s="95" t="str">
        <f t="shared" si="97"/>
        <v/>
      </c>
      <c r="O709" s="95" t="str">
        <f t="shared" si="98"/>
        <v/>
      </c>
    </row>
    <row r="710" spans="14:15" x14ac:dyDescent="0.25">
      <c r="N710" s="95" t="str">
        <f t="shared" si="97"/>
        <v/>
      </c>
      <c r="O710" s="95" t="str">
        <f t="shared" si="98"/>
        <v/>
      </c>
    </row>
    <row r="711" spans="14:15" x14ac:dyDescent="0.25">
      <c r="N711" s="95" t="str">
        <f t="shared" si="97"/>
        <v/>
      </c>
      <c r="O711" s="95" t="str">
        <f t="shared" si="98"/>
        <v/>
      </c>
    </row>
    <row r="712" spans="14:15" x14ac:dyDescent="0.25">
      <c r="N712" s="95" t="str">
        <f t="shared" si="97"/>
        <v/>
      </c>
      <c r="O712" s="95" t="str">
        <f t="shared" si="98"/>
        <v/>
      </c>
    </row>
    <row r="713" spans="14:15" x14ac:dyDescent="0.25">
      <c r="N713" s="95" t="str">
        <f t="shared" si="97"/>
        <v/>
      </c>
      <c r="O713" s="95" t="str">
        <f t="shared" si="98"/>
        <v/>
      </c>
    </row>
    <row r="714" spans="14:15" x14ac:dyDescent="0.25">
      <c r="N714" s="95" t="str">
        <f t="shared" si="97"/>
        <v/>
      </c>
      <c r="O714" s="95" t="str">
        <f t="shared" si="98"/>
        <v/>
      </c>
    </row>
    <row r="715" spans="14:15" x14ac:dyDescent="0.25">
      <c r="N715" s="95" t="str">
        <f t="shared" si="97"/>
        <v/>
      </c>
      <c r="O715" s="95" t="str">
        <f t="shared" si="98"/>
        <v/>
      </c>
    </row>
    <row r="716" spans="14:15" x14ac:dyDescent="0.25">
      <c r="N716" s="95" t="str">
        <f t="shared" si="97"/>
        <v/>
      </c>
      <c r="O716" s="95" t="str">
        <f t="shared" si="98"/>
        <v/>
      </c>
    </row>
    <row r="717" spans="14:15" x14ac:dyDescent="0.25">
      <c r="N717" s="95" t="str">
        <f t="shared" si="97"/>
        <v/>
      </c>
      <c r="O717" s="95" t="str">
        <f t="shared" si="98"/>
        <v/>
      </c>
    </row>
    <row r="718" spans="14:15" x14ac:dyDescent="0.25">
      <c r="N718" s="95" t="str">
        <f t="shared" si="97"/>
        <v/>
      </c>
      <c r="O718" s="95" t="str">
        <f t="shared" si="98"/>
        <v/>
      </c>
    </row>
    <row r="719" spans="14:15" x14ac:dyDescent="0.25">
      <c r="N719" s="95" t="str">
        <f t="shared" si="97"/>
        <v/>
      </c>
      <c r="O719" s="95" t="str">
        <f t="shared" si="98"/>
        <v/>
      </c>
    </row>
    <row r="720" spans="14:15" x14ac:dyDescent="0.25">
      <c r="N720" s="95" t="str">
        <f t="shared" si="97"/>
        <v/>
      </c>
      <c r="O720" s="95" t="str">
        <f t="shared" si="98"/>
        <v/>
      </c>
    </row>
    <row r="721" spans="14:15" x14ac:dyDescent="0.25">
      <c r="N721" s="95" t="str">
        <f t="shared" si="97"/>
        <v/>
      </c>
      <c r="O721" s="95" t="str">
        <f t="shared" si="98"/>
        <v/>
      </c>
    </row>
    <row r="722" spans="14:15" x14ac:dyDescent="0.25">
      <c r="N722" s="95" t="str">
        <f t="shared" si="97"/>
        <v/>
      </c>
      <c r="O722" s="95" t="str">
        <f t="shared" si="98"/>
        <v/>
      </c>
    </row>
    <row r="723" spans="14:15" x14ac:dyDescent="0.25">
      <c r="N723" s="95" t="str">
        <f t="shared" si="97"/>
        <v/>
      </c>
      <c r="O723" s="95" t="str">
        <f t="shared" si="98"/>
        <v/>
      </c>
    </row>
    <row r="724" spans="14:15" x14ac:dyDescent="0.25">
      <c r="N724" s="95" t="str">
        <f t="shared" si="97"/>
        <v/>
      </c>
      <c r="O724" s="95" t="str">
        <f t="shared" si="98"/>
        <v/>
      </c>
    </row>
    <row r="725" spans="14:15" x14ac:dyDescent="0.25">
      <c r="N725" s="95" t="str">
        <f t="shared" si="97"/>
        <v/>
      </c>
      <c r="O725" s="95" t="str">
        <f t="shared" si="98"/>
        <v/>
      </c>
    </row>
    <row r="726" spans="14:15" x14ac:dyDescent="0.25">
      <c r="N726" s="95" t="str">
        <f t="shared" si="97"/>
        <v/>
      </c>
      <c r="O726" s="95" t="str">
        <f t="shared" si="98"/>
        <v/>
      </c>
    </row>
    <row r="727" spans="14:15" x14ac:dyDescent="0.25">
      <c r="N727" s="95" t="str">
        <f t="shared" si="97"/>
        <v/>
      </c>
      <c r="O727" s="95" t="str">
        <f t="shared" si="98"/>
        <v/>
      </c>
    </row>
    <row r="728" spans="14:15" x14ac:dyDescent="0.25">
      <c r="N728" s="95" t="str">
        <f t="shared" si="97"/>
        <v/>
      </c>
      <c r="O728" s="95" t="str">
        <f t="shared" si="98"/>
        <v/>
      </c>
    </row>
    <row r="729" spans="14:15" x14ac:dyDescent="0.25">
      <c r="N729" s="95" t="str">
        <f t="shared" si="97"/>
        <v/>
      </c>
      <c r="O729" s="95" t="str">
        <f t="shared" si="98"/>
        <v/>
      </c>
    </row>
    <row r="730" spans="14:15" x14ac:dyDescent="0.25">
      <c r="N730" s="95" t="str">
        <f t="shared" si="97"/>
        <v/>
      </c>
      <c r="O730" s="95" t="str">
        <f t="shared" si="98"/>
        <v/>
      </c>
    </row>
    <row r="731" spans="14:15" x14ac:dyDescent="0.25">
      <c r="N731" s="95" t="str">
        <f t="shared" si="97"/>
        <v/>
      </c>
      <c r="O731" s="95" t="str">
        <f t="shared" si="98"/>
        <v/>
      </c>
    </row>
    <row r="732" spans="14:15" x14ac:dyDescent="0.25">
      <c r="N732" s="95" t="str">
        <f t="shared" si="97"/>
        <v/>
      </c>
      <c r="O732" s="95" t="str">
        <f t="shared" si="98"/>
        <v/>
      </c>
    </row>
    <row r="733" spans="14:15" x14ac:dyDescent="0.25">
      <c r="N733" s="95" t="str">
        <f t="shared" si="97"/>
        <v/>
      </c>
      <c r="O733" s="95" t="str">
        <f t="shared" si="98"/>
        <v/>
      </c>
    </row>
    <row r="734" spans="14:15" x14ac:dyDescent="0.25">
      <c r="N734" s="95" t="str">
        <f t="shared" si="97"/>
        <v/>
      </c>
      <c r="O734" s="95" t="str">
        <f t="shared" si="98"/>
        <v/>
      </c>
    </row>
    <row r="735" spans="14:15" x14ac:dyDescent="0.25">
      <c r="N735" s="95" t="str">
        <f t="shared" si="97"/>
        <v/>
      </c>
      <c r="O735" s="95" t="str">
        <f t="shared" si="98"/>
        <v/>
      </c>
    </row>
    <row r="736" spans="14:15" x14ac:dyDescent="0.25">
      <c r="N736" s="95" t="str">
        <f t="shared" si="97"/>
        <v/>
      </c>
      <c r="O736" s="95" t="str">
        <f t="shared" si="98"/>
        <v/>
      </c>
    </row>
    <row r="737" spans="14:15" x14ac:dyDescent="0.25">
      <c r="N737" s="95" t="str">
        <f t="shared" si="97"/>
        <v/>
      </c>
      <c r="O737" s="95" t="str">
        <f t="shared" si="98"/>
        <v/>
      </c>
    </row>
    <row r="738" spans="14:15" x14ac:dyDescent="0.25">
      <c r="N738" s="95" t="str">
        <f t="shared" si="97"/>
        <v/>
      </c>
      <c r="O738" s="95" t="str">
        <f t="shared" si="98"/>
        <v/>
      </c>
    </row>
    <row r="739" spans="14:15" x14ac:dyDescent="0.25">
      <c r="N739" s="95" t="str">
        <f t="shared" si="97"/>
        <v/>
      </c>
      <c r="O739" s="95" t="str">
        <f t="shared" si="98"/>
        <v/>
      </c>
    </row>
    <row r="740" spans="14:15" x14ac:dyDescent="0.25">
      <c r="N740" s="95" t="str">
        <f t="shared" si="97"/>
        <v/>
      </c>
      <c r="O740" s="95" t="str">
        <f t="shared" si="98"/>
        <v/>
      </c>
    </row>
    <row r="741" spans="14:15" x14ac:dyDescent="0.25">
      <c r="N741" s="95" t="str">
        <f t="shared" si="97"/>
        <v/>
      </c>
      <c r="O741" s="95" t="str">
        <f t="shared" si="98"/>
        <v/>
      </c>
    </row>
    <row r="742" spans="14:15" x14ac:dyDescent="0.25">
      <c r="N742" s="95" t="str">
        <f t="shared" si="97"/>
        <v/>
      </c>
      <c r="O742" s="95" t="str">
        <f t="shared" si="98"/>
        <v/>
      </c>
    </row>
    <row r="743" spans="14:15" x14ac:dyDescent="0.25">
      <c r="N743" s="95" t="str">
        <f t="shared" si="97"/>
        <v/>
      </c>
      <c r="O743" s="95" t="str">
        <f t="shared" si="98"/>
        <v/>
      </c>
    </row>
    <row r="744" spans="14:15" x14ac:dyDescent="0.25">
      <c r="N744" s="95" t="str">
        <f t="shared" si="97"/>
        <v/>
      </c>
      <c r="O744" s="95" t="str">
        <f t="shared" si="98"/>
        <v/>
      </c>
    </row>
    <row r="745" spans="14:15" x14ac:dyDescent="0.25">
      <c r="N745" s="95" t="str">
        <f t="shared" si="97"/>
        <v/>
      </c>
      <c r="O745" s="95" t="str">
        <f t="shared" si="98"/>
        <v/>
      </c>
    </row>
    <row r="746" spans="14:15" x14ac:dyDescent="0.25">
      <c r="N746" s="95" t="str">
        <f t="shared" si="97"/>
        <v/>
      </c>
      <c r="O746" s="95" t="str">
        <f t="shared" si="98"/>
        <v/>
      </c>
    </row>
    <row r="747" spans="14:15" x14ac:dyDescent="0.25">
      <c r="N747" s="95" t="str">
        <f t="shared" si="97"/>
        <v/>
      </c>
      <c r="O747" s="95" t="str">
        <f t="shared" si="98"/>
        <v/>
      </c>
    </row>
    <row r="748" spans="14:15" x14ac:dyDescent="0.25">
      <c r="N748" s="95" t="str">
        <f t="shared" si="97"/>
        <v/>
      </c>
      <c r="O748" s="95" t="str">
        <f t="shared" si="98"/>
        <v/>
      </c>
    </row>
    <row r="749" spans="14:15" x14ac:dyDescent="0.25">
      <c r="N749" s="95" t="str">
        <f t="shared" si="97"/>
        <v/>
      </c>
      <c r="O749" s="95" t="str">
        <f t="shared" si="98"/>
        <v/>
      </c>
    </row>
    <row r="750" spans="14:15" x14ac:dyDescent="0.25">
      <c r="N750" s="95" t="str">
        <f t="shared" si="97"/>
        <v/>
      </c>
      <c r="O750" s="95" t="str">
        <f t="shared" si="98"/>
        <v/>
      </c>
    </row>
    <row r="751" spans="14:15" x14ac:dyDescent="0.25">
      <c r="N751" s="95" t="str">
        <f t="shared" si="97"/>
        <v/>
      </c>
      <c r="O751" s="95" t="str">
        <f t="shared" si="98"/>
        <v/>
      </c>
    </row>
    <row r="752" spans="14:15" x14ac:dyDescent="0.25">
      <c r="N752" s="95" t="str">
        <f t="shared" si="97"/>
        <v/>
      </c>
      <c r="O752" s="95" t="str">
        <f t="shared" si="98"/>
        <v/>
      </c>
    </row>
    <row r="753" spans="14:15" x14ac:dyDescent="0.25">
      <c r="N753" s="95" t="str">
        <f t="shared" si="97"/>
        <v/>
      </c>
      <c r="O753" s="95" t="str">
        <f t="shared" si="98"/>
        <v/>
      </c>
    </row>
    <row r="754" spans="14:15" x14ac:dyDescent="0.25">
      <c r="N754" s="95" t="str">
        <f t="shared" si="97"/>
        <v/>
      </c>
      <c r="O754" s="95" t="str">
        <f t="shared" si="98"/>
        <v/>
      </c>
    </row>
    <row r="755" spans="14:15" x14ac:dyDescent="0.25">
      <c r="N755" s="95" t="str">
        <f t="shared" si="97"/>
        <v/>
      </c>
      <c r="O755" s="95" t="str">
        <f t="shared" si="98"/>
        <v/>
      </c>
    </row>
    <row r="756" spans="14:15" x14ac:dyDescent="0.25">
      <c r="N756" s="95" t="str">
        <f t="shared" si="97"/>
        <v/>
      </c>
      <c r="O756" s="95" t="str">
        <f t="shared" si="98"/>
        <v/>
      </c>
    </row>
    <row r="757" spans="14:15" x14ac:dyDescent="0.25">
      <c r="N757" s="95" t="str">
        <f t="shared" si="97"/>
        <v/>
      </c>
      <c r="O757" s="95" t="str">
        <f t="shared" si="98"/>
        <v/>
      </c>
    </row>
    <row r="758" spans="14:15" x14ac:dyDescent="0.25">
      <c r="N758" s="95" t="str">
        <f t="shared" si="97"/>
        <v/>
      </c>
      <c r="O758" s="95" t="str">
        <f t="shared" si="98"/>
        <v/>
      </c>
    </row>
    <row r="759" spans="14:15" x14ac:dyDescent="0.25">
      <c r="N759" s="95" t="str">
        <f t="shared" si="97"/>
        <v/>
      </c>
      <c r="O759" s="95" t="str">
        <f t="shared" si="98"/>
        <v/>
      </c>
    </row>
    <row r="760" spans="14:15" x14ac:dyDescent="0.25">
      <c r="N760" s="95" t="str">
        <f t="shared" si="97"/>
        <v/>
      </c>
      <c r="O760" s="95" t="str">
        <f t="shared" si="98"/>
        <v/>
      </c>
    </row>
    <row r="761" spans="14:15" x14ac:dyDescent="0.25">
      <c r="N761" s="95" t="str">
        <f t="shared" si="97"/>
        <v/>
      </c>
      <c r="O761" s="95" t="str">
        <f t="shared" si="98"/>
        <v/>
      </c>
    </row>
    <row r="762" spans="14:15" x14ac:dyDescent="0.25">
      <c r="N762" s="95" t="str">
        <f t="shared" si="97"/>
        <v/>
      </c>
      <c r="O762" s="95" t="str">
        <f t="shared" si="98"/>
        <v/>
      </c>
    </row>
    <row r="763" spans="14:15" x14ac:dyDescent="0.25">
      <c r="N763" s="95" t="str">
        <f t="shared" si="97"/>
        <v/>
      </c>
      <c r="O763" s="95" t="str">
        <f t="shared" si="98"/>
        <v/>
      </c>
    </row>
    <row r="764" spans="14:15" x14ac:dyDescent="0.25">
      <c r="N764" s="95" t="str">
        <f t="shared" si="97"/>
        <v/>
      </c>
      <c r="O764" s="95" t="str">
        <f t="shared" si="98"/>
        <v/>
      </c>
    </row>
    <row r="765" spans="14:15" x14ac:dyDescent="0.25">
      <c r="N765" s="95" t="str">
        <f t="shared" si="97"/>
        <v/>
      </c>
      <c r="O765" s="95" t="str">
        <f t="shared" si="98"/>
        <v/>
      </c>
    </row>
    <row r="766" spans="14:15" x14ac:dyDescent="0.25">
      <c r="N766" s="95" t="str">
        <f t="shared" si="97"/>
        <v/>
      </c>
      <c r="O766" s="95" t="str">
        <f t="shared" si="98"/>
        <v/>
      </c>
    </row>
    <row r="767" spans="14:15" x14ac:dyDescent="0.25">
      <c r="N767" s="95" t="str">
        <f t="shared" si="97"/>
        <v/>
      </c>
      <c r="O767" s="95" t="str">
        <f t="shared" si="98"/>
        <v/>
      </c>
    </row>
    <row r="768" spans="14:15" x14ac:dyDescent="0.25">
      <c r="N768" s="95" t="str">
        <f t="shared" si="97"/>
        <v/>
      </c>
      <c r="O768" s="95" t="str">
        <f t="shared" si="98"/>
        <v/>
      </c>
    </row>
    <row r="769" spans="14:15" x14ac:dyDescent="0.25">
      <c r="N769" s="95" t="str">
        <f t="shared" si="97"/>
        <v/>
      </c>
      <c r="O769" s="95" t="str">
        <f t="shared" si="98"/>
        <v/>
      </c>
    </row>
    <row r="770" spans="14:15" x14ac:dyDescent="0.25">
      <c r="N770" s="95" t="str">
        <f t="shared" si="97"/>
        <v/>
      </c>
      <c r="O770" s="95" t="str">
        <f t="shared" si="98"/>
        <v/>
      </c>
    </row>
    <row r="771" spans="14:15" x14ac:dyDescent="0.25">
      <c r="N771" s="95" t="str">
        <f t="shared" si="97"/>
        <v/>
      </c>
      <c r="O771" s="95" t="str">
        <f t="shared" si="98"/>
        <v/>
      </c>
    </row>
    <row r="772" spans="14:15" x14ac:dyDescent="0.25">
      <c r="N772" s="95" t="str">
        <f t="shared" ref="N772:N835" si="99">IF(COUNTIF(L:L,J772)=1,J772,"")</f>
        <v/>
      </c>
      <c r="O772" s="95" t="str">
        <f t="shared" ref="O772:O835" si="100">IF(N772&gt;$A$14,N772,"")</f>
        <v/>
      </c>
    </row>
    <row r="773" spans="14:15" x14ac:dyDescent="0.25">
      <c r="N773" s="95" t="str">
        <f t="shared" si="99"/>
        <v/>
      </c>
      <c r="O773" s="95" t="str">
        <f t="shared" si="100"/>
        <v/>
      </c>
    </row>
    <row r="774" spans="14:15" x14ac:dyDescent="0.25">
      <c r="N774" s="95" t="str">
        <f t="shared" si="99"/>
        <v/>
      </c>
      <c r="O774" s="95" t="str">
        <f t="shared" si="100"/>
        <v/>
      </c>
    </row>
    <row r="775" spans="14:15" x14ac:dyDescent="0.25">
      <c r="N775" s="95" t="str">
        <f t="shared" si="99"/>
        <v/>
      </c>
      <c r="O775" s="95" t="str">
        <f t="shared" si="100"/>
        <v/>
      </c>
    </row>
    <row r="776" spans="14:15" x14ac:dyDescent="0.25">
      <c r="N776" s="95" t="str">
        <f t="shared" si="99"/>
        <v/>
      </c>
      <c r="O776" s="95" t="str">
        <f t="shared" si="100"/>
        <v/>
      </c>
    </row>
    <row r="777" spans="14:15" x14ac:dyDescent="0.25">
      <c r="N777" s="95" t="str">
        <f t="shared" si="99"/>
        <v/>
      </c>
      <c r="O777" s="95" t="str">
        <f t="shared" si="100"/>
        <v/>
      </c>
    </row>
    <row r="778" spans="14:15" x14ac:dyDescent="0.25">
      <c r="N778" s="95" t="str">
        <f t="shared" si="99"/>
        <v/>
      </c>
      <c r="O778" s="95" t="str">
        <f t="shared" si="100"/>
        <v/>
      </c>
    </row>
    <row r="779" spans="14:15" x14ac:dyDescent="0.25">
      <c r="N779" s="95" t="str">
        <f t="shared" si="99"/>
        <v/>
      </c>
      <c r="O779" s="95" t="str">
        <f t="shared" si="100"/>
        <v/>
      </c>
    </row>
    <row r="780" spans="14:15" x14ac:dyDescent="0.25">
      <c r="N780" s="95" t="str">
        <f t="shared" si="99"/>
        <v/>
      </c>
      <c r="O780" s="95" t="str">
        <f t="shared" si="100"/>
        <v/>
      </c>
    </row>
    <row r="781" spans="14:15" x14ac:dyDescent="0.25">
      <c r="N781" s="95" t="str">
        <f t="shared" si="99"/>
        <v/>
      </c>
      <c r="O781" s="95" t="str">
        <f t="shared" si="100"/>
        <v/>
      </c>
    </row>
    <row r="782" spans="14:15" x14ac:dyDescent="0.25">
      <c r="N782" s="95" t="str">
        <f t="shared" si="99"/>
        <v/>
      </c>
      <c r="O782" s="95" t="str">
        <f t="shared" si="100"/>
        <v/>
      </c>
    </row>
    <row r="783" spans="14:15" x14ac:dyDescent="0.25">
      <c r="N783" s="95" t="str">
        <f t="shared" si="99"/>
        <v/>
      </c>
      <c r="O783" s="95" t="str">
        <f t="shared" si="100"/>
        <v/>
      </c>
    </row>
    <row r="784" spans="14:15" x14ac:dyDescent="0.25">
      <c r="N784" s="95" t="str">
        <f t="shared" si="99"/>
        <v/>
      </c>
      <c r="O784" s="95" t="str">
        <f t="shared" si="100"/>
        <v/>
      </c>
    </row>
    <row r="785" spans="14:15" x14ac:dyDescent="0.25">
      <c r="N785" s="95" t="str">
        <f t="shared" si="99"/>
        <v/>
      </c>
      <c r="O785" s="95" t="str">
        <f t="shared" si="100"/>
        <v/>
      </c>
    </row>
    <row r="786" spans="14:15" x14ac:dyDescent="0.25">
      <c r="N786" s="95" t="str">
        <f t="shared" si="99"/>
        <v/>
      </c>
      <c r="O786" s="95" t="str">
        <f t="shared" si="100"/>
        <v/>
      </c>
    </row>
    <row r="787" spans="14:15" x14ac:dyDescent="0.25">
      <c r="N787" s="95" t="str">
        <f t="shared" si="99"/>
        <v/>
      </c>
      <c r="O787" s="95" t="str">
        <f t="shared" si="100"/>
        <v/>
      </c>
    </row>
    <row r="788" spans="14:15" x14ac:dyDescent="0.25">
      <c r="N788" s="95" t="str">
        <f t="shared" si="99"/>
        <v/>
      </c>
      <c r="O788" s="95" t="str">
        <f t="shared" si="100"/>
        <v/>
      </c>
    </row>
    <row r="789" spans="14:15" x14ac:dyDescent="0.25">
      <c r="N789" s="95" t="str">
        <f t="shared" si="99"/>
        <v/>
      </c>
      <c r="O789" s="95" t="str">
        <f t="shared" si="100"/>
        <v/>
      </c>
    </row>
    <row r="790" spans="14:15" x14ac:dyDescent="0.25">
      <c r="N790" s="95" t="str">
        <f t="shared" si="99"/>
        <v/>
      </c>
      <c r="O790" s="95" t="str">
        <f t="shared" si="100"/>
        <v/>
      </c>
    </row>
    <row r="791" spans="14:15" x14ac:dyDescent="0.25">
      <c r="N791" s="95" t="str">
        <f t="shared" si="99"/>
        <v/>
      </c>
      <c r="O791" s="95" t="str">
        <f t="shared" si="100"/>
        <v/>
      </c>
    </row>
    <row r="792" spans="14:15" x14ac:dyDescent="0.25">
      <c r="N792" s="95" t="str">
        <f t="shared" si="99"/>
        <v/>
      </c>
      <c r="O792" s="95" t="str">
        <f t="shared" si="100"/>
        <v/>
      </c>
    </row>
    <row r="793" spans="14:15" x14ac:dyDescent="0.25">
      <c r="N793" s="95" t="str">
        <f t="shared" si="99"/>
        <v/>
      </c>
      <c r="O793" s="95" t="str">
        <f t="shared" si="100"/>
        <v/>
      </c>
    </row>
    <row r="794" spans="14:15" x14ac:dyDescent="0.25">
      <c r="N794" s="95" t="str">
        <f t="shared" si="99"/>
        <v/>
      </c>
      <c r="O794" s="95" t="str">
        <f t="shared" si="100"/>
        <v/>
      </c>
    </row>
    <row r="795" spans="14:15" x14ac:dyDescent="0.25">
      <c r="N795" s="95" t="str">
        <f t="shared" si="99"/>
        <v/>
      </c>
      <c r="O795" s="95" t="str">
        <f t="shared" si="100"/>
        <v/>
      </c>
    </row>
    <row r="796" spans="14:15" x14ac:dyDescent="0.25">
      <c r="N796" s="95" t="str">
        <f t="shared" si="99"/>
        <v/>
      </c>
      <c r="O796" s="95" t="str">
        <f t="shared" si="100"/>
        <v/>
      </c>
    </row>
    <row r="797" spans="14:15" x14ac:dyDescent="0.25">
      <c r="N797" s="95" t="str">
        <f t="shared" si="99"/>
        <v/>
      </c>
      <c r="O797" s="95" t="str">
        <f t="shared" si="100"/>
        <v/>
      </c>
    </row>
    <row r="798" spans="14:15" x14ac:dyDescent="0.25">
      <c r="N798" s="95" t="str">
        <f t="shared" si="99"/>
        <v/>
      </c>
      <c r="O798" s="95" t="str">
        <f t="shared" si="100"/>
        <v/>
      </c>
    </row>
    <row r="799" spans="14:15" x14ac:dyDescent="0.25">
      <c r="N799" s="95" t="str">
        <f t="shared" si="99"/>
        <v/>
      </c>
      <c r="O799" s="95" t="str">
        <f t="shared" si="100"/>
        <v/>
      </c>
    </row>
    <row r="800" spans="14:15" x14ac:dyDescent="0.25">
      <c r="N800" s="95" t="str">
        <f t="shared" si="99"/>
        <v/>
      </c>
      <c r="O800" s="95" t="str">
        <f t="shared" si="100"/>
        <v/>
      </c>
    </row>
    <row r="801" spans="14:15" x14ac:dyDescent="0.25">
      <c r="N801" s="95" t="str">
        <f t="shared" si="99"/>
        <v/>
      </c>
      <c r="O801" s="95" t="str">
        <f t="shared" si="100"/>
        <v/>
      </c>
    </row>
    <row r="802" spans="14:15" x14ac:dyDescent="0.25">
      <c r="N802" s="95" t="str">
        <f t="shared" si="99"/>
        <v/>
      </c>
      <c r="O802" s="95" t="str">
        <f t="shared" si="100"/>
        <v/>
      </c>
    </row>
    <row r="803" spans="14:15" x14ac:dyDescent="0.25">
      <c r="N803" s="95" t="str">
        <f t="shared" si="99"/>
        <v/>
      </c>
      <c r="O803" s="95" t="str">
        <f t="shared" si="100"/>
        <v/>
      </c>
    </row>
    <row r="804" spans="14:15" x14ac:dyDescent="0.25">
      <c r="N804" s="95" t="str">
        <f t="shared" si="99"/>
        <v/>
      </c>
      <c r="O804" s="95" t="str">
        <f t="shared" si="100"/>
        <v/>
      </c>
    </row>
    <row r="805" spans="14:15" x14ac:dyDescent="0.25">
      <c r="N805" s="95" t="str">
        <f t="shared" si="99"/>
        <v/>
      </c>
      <c r="O805" s="95" t="str">
        <f t="shared" si="100"/>
        <v/>
      </c>
    </row>
    <row r="806" spans="14:15" x14ac:dyDescent="0.25">
      <c r="N806" s="95" t="str">
        <f t="shared" si="99"/>
        <v/>
      </c>
      <c r="O806" s="95" t="str">
        <f t="shared" si="100"/>
        <v/>
      </c>
    </row>
    <row r="807" spans="14:15" x14ac:dyDescent="0.25">
      <c r="N807" s="95" t="str">
        <f t="shared" si="99"/>
        <v/>
      </c>
      <c r="O807" s="95" t="str">
        <f t="shared" si="100"/>
        <v/>
      </c>
    </row>
    <row r="808" spans="14:15" x14ac:dyDescent="0.25">
      <c r="N808" s="95" t="str">
        <f t="shared" si="99"/>
        <v/>
      </c>
      <c r="O808" s="95" t="str">
        <f t="shared" si="100"/>
        <v/>
      </c>
    </row>
    <row r="809" spans="14:15" x14ac:dyDescent="0.25">
      <c r="N809" s="95" t="str">
        <f t="shared" si="99"/>
        <v/>
      </c>
      <c r="O809" s="95" t="str">
        <f t="shared" si="100"/>
        <v/>
      </c>
    </row>
    <row r="810" spans="14:15" x14ac:dyDescent="0.25">
      <c r="N810" s="95" t="str">
        <f t="shared" si="99"/>
        <v/>
      </c>
      <c r="O810" s="95" t="str">
        <f t="shared" si="100"/>
        <v/>
      </c>
    </row>
    <row r="811" spans="14:15" x14ac:dyDescent="0.25">
      <c r="N811" s="95" t="str">
        <f t="shared" si="99"/>
        <v/>
      </c>
      <c r="O811" s="95" t="str">
        <f t="shared" si="100"/>
        <v/>
      </c>
    </row>
    <row r="812" spans="14:15" x14ac:dyDescent="0.25">
      <c r="N812" s="95" t="str">
        <f t="shared" si="99"/>
        <v/>
      </c>
      <c r="O812" s="95" t="str">
        <f t="shared" si="100"/>
        <v/>
      </c>
    </row>
    <row r="813" spans="14:15" x14ac:dyDescent="0.25">
      <c r="N813" s="95" t="str">
        <f t="shared" si="99"/>
        <v/>
      </c>
      <c r="O813" s="95" t="str">
        <f t="shared" si="100"/>
        <v/>
      </c>
    </row>
    <row r="814" spans="14:15" x14ac:dyDescent="0.25">
      <c r="N814" s="95" t="str">
        <f t="shared" si="99"/>
        <v/>
      </c>
      <c r="O814" s="95" t="str">
        <f t="shared" si="100"/>
        <v/>
      </c>
    </row>
    <row r="815" spans="14:15" x14ac:dyDescent="0.25">
      <c r="N815" s="95" t="str">
        <f t="shared" si="99"/>
        <v/>
      </c>
      <c r="O815" s="95" t="str">
        <f t="shared" si="100"/>
        <v/>
      </c>
    </row>
    <row r="816" spans="14:15" x14ac:dyDescent="0.25">
      <c r="N816" s="95" t="str">
        <f t="shared" si="99"/>
        <v/>
      </c>
      <c r="O816" s="95" t="str">
        <f t="shared" si="100"/>
        <v/>
      </c>
    </row>
    <row r="817" spans="14:15" x14ac:dyDescent="0.25">
      <c r="N817" s="95" t="str">
        <f t="shared" si="99"/>
        <v/>
      </c>
      <c r="O817" s="95" t="str">
        <f t="shared" si="100"/>
        <v/>
      </c>
    </row>
    <row r="818" spans="14:15" x14ac:dyDescent="0.25">
      <c r="N818" s="95" t="str">
        <f t="shared" si="99"/>
        <v/>
      </c>
      <c r="O818" s="95" t="str">
        <f t="shared" si="100"/>
        <v/>
      </c>
    </row>
    <row r="819" spans="14:15" x14ac:dyDescent="0.25">
      <c r="N819" s="95" t="str">
        <f t="shared" si="99"/>
        <v/>
      </c>
      <c r="O819" s="95" t="str">
        <f t="shared" si="100"/>
        <v/>
      </c>
    </row>
    <row r="820" spans="14:15" x14ac:dyDescent="0.25">
      <c r="N820" s="95" t="str">
        <f t="shared" si="99"/>
        <v/>
      </c>
      <c r="O820" s="95" t="str">
        <f t="shared" si="100"/>
        <v/>
      </c>
    </row>
    <row r="821" spans="14:15" x14ac:dyDescent="0.25">
      <c r="N821" s="95" t="str">
        <f t="shared" si="99"/>
        <v/>
      </c>
      <c r="O821" s="95" t="str">
        <f t="shared" si="100"/>
        <v/>
      </c>
    </row>
    <row r="822" spans="14:15" x14ac:dyDescent="0.25">
      <c r="N822" s="95" t="str">
        <f t="shared" si="99"/>
        <v/>
      </c>
      <c r="O822" s="95" t="str">
        <f t="shared" si="100"/>
        <v/>
      </c>
    </row>
    <row r="823" spans="14:15" x14ac:dyDescent="0.25">
      <c r="N823" s="95" t="str">
        <f t="shared" si="99"/>
        <v/>
      </c>
      <c r="O823" s="95" t="str">
        <f t="shared" si="100"/>
        <v/>
      </c>
    </row>
    <row r="824" spans="14:15" x14ac:dyDescent="0.25">
      <c r="N824" s="95" t="str">
        <f t="shared" si="99"/>
        <v/>
      </c>
      <c r="O824" s="95" t="str">
        <f t="shared" si="100"/>
        <v/>
      </c>
    </row>
    <row r="825" spans="14:15" x14ac:dyDescent="0.25">
      <c r="N825" s="95" t="str">
        <f t="shared" si="99"/>
        <v/>
      </c>
      <c r="O825" s="95" t="str">
        <f t="shared" si="100"/>
        <v/>
      </c>
    </row>
    <row r="826" spans="14:15" x14ac:dyDescent="0.25">
      <c r="N826" s="95" t="str">
        <f t="shared" si="99"/>
        <v/>
      </c>
      <c r="O826" s="95" t="str">
        <f t="shared" si="100"/>
        <v/>
      </c>
    </row>
    <row r="827" spans="14:15" x14ac:dyDescent="0.25">
      <c r="N827" s="95" t="str">
        <f t="shared" si="99"/>
        <v/>
      </c>
      <c r="O827" s="95" t="str">
        <f t="shared" si="100"/>
        <v/>
      </c>
    </row>
    <row r="828" spans="14:15" x14ac:dyDescent="0.25">
      <c r="N828" s="95" t="str">
        <f t="shared" si="99"/>
        <v/>
      </c>
      <c r="O828" s="95" t="str">
        <f t="shared" si="100"/>
        <v/>
      </c>
    </row>
    <row r="829" spans="14:15" x14ac:dyDescent="0.25">
      <c r="N829" s="95" t="str">
        <f t="shared" si="99"/>
        <v/>
      </c>
      <c r="O829" s="95" t="str">
        <f t="shared" si="100"/>
        <v/>
      </c>
    </row>
    <row r="830" spans="14:15" x14ac:dyDescent="0.25">
      <c r="N830" s="95" t="str">
        <f t="shared" si="99"/>
        <v/>
      </c>
      <c r="O830" s="95" t="str">
        <f t="shared" si="100"/>
        <v/>
      </c>
    </row>
    <row r="831" spans="14:15" x14ac:dyDescent="0.25">
      <c r="N831" s="95" t="str">
        <f t="shared" si="99"/>
        <v/>
      </c>
      <c r="O831" s="95" t="str">
        <f t="shared" si="100"/>
        <v/>
      </c>
    </row>
    <row r="832" spans="14:15" x14ac:dyDescent="0.25">
      <c r="N832" s="95" t="str">
        <f t="shared" si="99"/>
        <v/>
      </c>
      <c r="O832" s="95" t="str">
        <f t="shared" si="100"/>
        <v/>
      </c>
    </row>
    <row r="833" spans="14:15" x14ac:dyDescent="0.25">
      <c r="N833" s="95" t="str">
        <f t="shared" si="99"/>
        <v/>
      </c>
      <c r="O833" s="95" t="str">
        <f t="shared" si="100"/>
        <v/>
      </c>
    </row>
    <row r="834" spans="14:15" x14ac:dyDescent="0.25">
      <c r="N834" s="95" t="str">
        <f t="shared" si="99"/>
        <v/>
      </c>
      <c r="O834" s="95" t="str">
        <f t="shared" si="100"/>
        <v/>
      </c>
    </row>
    <row r="835" spans="14:15" x14ac:dyDescent="0.25">
      <c r="N835" s="95" t="str">
        <f t="shared" si="99"/>
        <v/>
      </c>
      <c r="O835" s="95" t="str">
        <f t="shared" si="100"/>
        <v/>
      </c>
    </row>
    <row r="836" spans="14:15" x14ac:dyDescent="0.25">
      <c r="N836" s="95" t="str">
        <f t="shared" ref="N836:N899" si="101">IF(COUNTIF(L:L,J836)=1,J836,"")</f>
        <v/>
      </c>
      <c r="O836" s="95" t="str">
        <f t="shared" ref="O836:O899" si="102">IF(N836&gt;$A$14,N836,"")</f>
        <v/>
      </c>
    </row>
    <row r="837" spans="14:15" x14ac:dyDescent="0.25">
      <c r="N837" s="95" t="str">
        <f t="shared" si="101"/>
        <v/>
      </c>
      <c r="O837" s="95" t="str">
        <f t="shared" si="102"/>
        <v/>
      </c>
    </row>
    <row r="838" spans="14:15" x14ac:dyDescent="0.25">
      <c r="N838" s="95" t="str">
        <f t="shared" si="101"/>
        <v/>
      </c>
      <c r="O838" s="95" t="str">
        <f t="shared" si="102"/>
        <v/>
      </c>
    </row>
    <row r="839" spans="14:15" x14ac:dyDescent="0.25">
      <c r="N839" s="95" t="str">
        <f t="shared" si="101"/>
        <v/>
      </c>
      <c r="O839" s="95" t="str">
        <f t="shared" si="102"/>
        <v/>
      </c>
    </row>
    <row r="840" spans="14:15" x14ac:dyDescent="0.25">
      <c r="N840" s="95" t="str">
        <f t="shared" si="101"/>
        <v/>
      </c>
      <c r="O840" s="95" t="str">
        <f t="shared" si="102"/>
        <v/>
      </c>
    </row>
    <row r="841" spans="14:15" x14ac:dyDescent="0.25">
      <c r="N841" s="95" t="str">
        <f t="shared" si="101"/>
        <v/>
      </c>
      <c r="O841" s="95" t="str">
        <f t="shared" si="102"/>
        <v/>
      </c>
    </row>
    <row r="842" spans="14:15" x14ac:dyDescent="0.25">
      <c r="N842" s="95" t="str">
        <f t="shared" si="101"/>
        <v/>
      </c>
      <c r="O842" s="95" t="str">
        <f t="shared" si="102"/>
        <v/>
      </c>
    </row>
    <row r="843" spans="14:15" x14ac:dyDescent="0.25">
      <c r="N843" s="95" t="str">
        <f t="shared" si="101"/>
        <v/>
      </c>
      <c r="O843" s="95" t="str">
        <f t="shared" si="102"/>
        <v/>
      </c>
    </row>
    <row r="844" spans="14:15" x14ac:dyDescent="0.25">
      <c r="N844" s="95" t="str">
        <f t="shared" si="101"/>
        <v/>
      </c>
      <c r="O844" s="95" t="str">
        <f t="shared" si="102"/>
        <v/>
      </c>
    </row>
    <row r="845" spans="14:15" x14ac:dyDescent="0.25">
      <c r="N845" s="95" t="str">
        <f t="shared" si="101"/>
        <v/>
      </c>
      <c r="O845" s="95" t="str">
        <f t="shared" si="102"/>
        <v/>
      </c>
    </row>
    <row r="846" spans="14:15" x14ac:dyDescent="0.25">
      <c r="N846" s="95" t="str">
        <f t="shared" si="101"/>
        <v/>
      </c>
      <c r="O846" s="95" t="str">
        <f t="shared" si="102"/>
        <v/>
      </c>
    </row>
    <row r="847" spans="14:15" x14ac:dyDescent="0.25">
      <c r="N847" s="95" t="str">
        <f t="shared" si="101"/>
        <v/>
      </c>
      <c r="O847" s="95" t="str">
        <f t="shared" si="102"/>
        <v/>
      </c>
    </row>
    <row r="848" spans="14:15" x14ac:dyDescent="0.25">
      <c r="N848" s="95" t="str">
        <f t="shared" si="101"/>
        <v/>
      </c>
      <c r="O848" s="95" t="str">
        <f t="shared" si="102"/>
        <v/>
      </c>
    </row>
    <row r="849" spans="14:15" x14ac:dyDescent="0.25">
      <c r="N849" s="95" t="str">
        <f t="shared" si="101"/>
        <v/>
      </c>
      <c r="O849" s="95" t="str">
        <f t="shared" si="102"/>
        <v/>
      </c>
    </row>
    <row r="850" spans="14:15" x14ac:dyDescent="0.25">
      <c r="N850" s="95" t="str">
        <f t="shared" si="101"/>
        <v/>
      </c>
      <c r="O850" s="95" t="str">
        <f t="shared" si="102"/>
        <v/>
      </c>
    </row>
    <row r="851" spans="14:15" x14ac:dyDescent="0.25">
      <c r="N851" s="95" t="str">
        <f t="shared" si="101"/>
        <v/>
      </c>
      <c r="O851" s="95" t="str">
        <f t="shared" si="102"/>
        <v/>
      </c>
    </row>
    <row r="852" spans="14:15" x14ac:dyDescent="0.25">
      <c r="N852" s="95" t="str">
        <f t="shared" si="101"/>
        <v/>
      </c>
      <c r="O852" s="95" t="str">
        <f t="shared" si="102"/>
        <v/>
      </c>
    </row>
    <row r="853" spans="14:15" x14ac:dyDescent="0.25">
      <c r="N853" s="95" t="str">
        <f t="shared" si="101"/>
        <v/>
      </c>
      <c r="O853" s="95" t="str">
        <f t="shared" si="102"/>
        <v/>
      </c>
    </row>
    <row r="854" spans="14:15" x14ac:dyDescent="0.25">
      <c r="N854" s="95" t="str">
        <f t="shared" si="101"/>
        <v/>
      </c>
      <c r="O854" s="95" t="str">
        <f t="shared" si="102"/>
        <v/>
      </c>
    </row>
    <row r="855" spans="14:15" x14ac:dyDescent="0.25">
      <c r="N855" s="95" t="str">
        <f t="shared" si="101"/>
        <v/>
      </c>
      <c r="O855" s="95" t="str">
        <f t="shared" si="102"/>
        <v/>
      </c>
    </row>
    <row r="856" spans="14:15" x14ac:dyDescent="0.25">
      <c r="N856" s="95" t="str">
        <f t="shared" si="101"/>
        <v/>
      </c>
      <c r="O856" s="95" t="str">
        <f t="shared" si="102"/>
        <v/>
      </c>
    </row>
    <row r="857" spans="14:15" x14ac:dyDescent="0.25">
      <c r="N857" s="95" t="str">
        <f t="shared" si="101"/>
        <v/>
      </c>
      <c r="O857" s="95" t="str">
        <f t="shared" si="102"/>
        <v/>
      </c>
    </row>
    <row r="858" spans="14:15" x14ac:dyDescent="0.25">
      <c r="N858" s="95" t="str">
        <f t="shared" si="101"/>
        <v/>
      </c>
      <c r="O858" s="95" t="str">
        <f t="shared" si="102"/>
        <v/>
      </c>
    </row>
    <row r="859" spans="14:15" x14ac:dyDescent="0.25">
      <c r="N859" s="95" t="str">
        <f t="shared" si="101"/>
        <v/>
      </c>
      <c r="O859" s="95" t="str">
        <f t="shared" si="102"/>
        <v/>
      </c>
    </row>
    <row r="860" spans="14:15" x14ac:dyDescent="0.25">
      <c r="N860" s="95" t="str">
        <f t="shared" si="101"/>
        <v/>
      </c>
      <c r="O860" s="95" t="str">
        <f t="shared" si="102"/>
        <v/>
      </c>
    </row>
    <row r="861" spans="14:15" x14ac:dyDescent="0.25">
      <c r="N861" s="95" t="str">
        <f t="shared" si="101"/>
        <v/>
      </c>
      <c r="O861" s="95" t="str">
        <f t="shared" si="102"/>
        <v/>
      </c>
    </row>
    <row r="862" spans="14:15" x14ac:dyDescent="0.25">
      <c r="N862" s="95" t="str">
        <f t="shared" si="101"/>
        <v/>
      </c>
      <c r="O862" s="95" t="str">
        <f t="shared" si="102"/>
        <v/>
      </c>
    </row>
    <row r="863" spans="14:15" x14ac:dyDescent="0.25">
      <c r="N863" s="95" t="str">
        <f t="shared" si="101"/>
        <v/>
      </c>
      <c r="O863" s="95" t="str">
        <f t="shared" si="102"/>
        <v/>
      </c>
    </row>
    <row r="864" spans="14:15" x14ac:dyDescent="0.25">
      <c r="N864" s="95" t="str">
        <f t="shared" si="101"/>
        <v/>
      </c>
      <c r="O864" s="95" t="str">
        <f t="shared" si="102"/>
        <v/>
      </c>
    </row>
    <row r="865" spans="14:15" x14ac:dyDescent="0.25">
      <c r="N865" s="95" t="str">
        <f t="shared" si="101"/>
        <v/>
      </c>
      <c r="O865" s="95" t="str">
        <f t="shared" si="102"/>
        <v/>
      </c>
    </row>
    <row r="866" spans="14:15" x14ac:dyDescent="0.25">
      <c r="N866" s="95" t="str">
        <f t="shared" si="101"/>
        <v/>
      </c>
      <c r="O866" s="95" t="str">
        <f t="shared" si="102"/>
        <v/>
      </c>
    </row>
    <row r="867" spans="14:15" x14ac:dyDescent="0.25">
      <c r="N867" s="95" t="str">
        <f t="shared" si="101"/>
        <v/>
      </c>
      <c r="O867" s="95" t="str">
        <f t="shared" si="102"/>
        <v/>
      </c>
    </row>
    <row r="868" spans="14:15" x14ac:dyDescent="0.25">
      <c r="N868" s="95" t="str">
        <f t="shared" si="101"/>
        <v/>
      </c>
      <c r="O868" s="95" t="str">
        <f t="shared" si="102"/>
        <v/>
      </c>
    </row>
    <row r="869" spans="14:15" x14ac:dyDescent="0.25">
      <c r="N869" s="95" t="str">
        <f t="shared" si="101"/>
        <v/>
      </c>
      <c r="O869" s="95" t="str">
        <f t="shared" si="102"/>
        <v/>
      </c>
    </row>
    <row r="870" spans="14:15" x14ac:dyDescent="0.25">
      <c r="N870" s="95" t="str">
        <f t="shared" si="101"/>
        <v/>
      </c>
      <c r="O870" s="95" t="str">
        <f t="shared" si="102"/>
        <v/>
      </c>
    </row>
    <row r="871" spans="14:15" x14ac:dyDescent="0.25">
      <c r="N871" s="95" t="str">
        <f t="shared" si="101"/>
        <v/>
      </c>
      <c r="O871" s="95" t="str">
        <f t="shared" si="102"/>
        <v/>
      </c>
    </row>
    <row r="872" spans="14:15" x14ac:dyDescent="0.25">
      <c r="N872" s="95" t="str">
        <f t="shared" si="101"/>
        <v/>
      </c>
      <c r="O872" s="95" t="str">
        <f t="shared" si="102"/>
        <v/>
      </c>
    </row>
    <row r="873" spans="14:15" x14ac:dyDescent="0.25">
      <c r="N873" s="95" t="str">
        <f t="shared" si="101"/>
        <v/>
      </c>
      <c r="O873" s="95" t="str">
        <f t="shared" si="102"/>
        <v/>
      </c>
    </row>
    <row r="874" spans="14:15" x14ac:dyDescent="0.25">
      <c r="N874" s="95" t="str">
        <f t="shared" si="101"/>
        <v/>
      </c>
      <c r="O874" s="95" t="str">
        <f t="shared" si="102"/>
        <v/>
      </c>
    </row>
    <row r="875" spans="14:15" x14ac:dyDescent="0.25">
      <c r="N875" s="95" t="str">
        <f t="shared" si="101"/>
        <v/>
      </c>
      <c r="O875" s="95" t="str">
        <f t="shared" si="102"/>
        <v/>
      </c>
    </row>
    <row r="876" spans="14:15" x14ac:dyDescent="0.25">
      <c r="N876" s="95" t="str">
        <f t="shared" si="101"/>
        <v/>
      </c>
      <c r="O876" s="95" t="str">
        <f t="shared" si="102"/>
        <v/>
      </c>
    </row>
    <row r="877" spans="14:15" x14ac:dyDescent="0.25">
      <c r="N877" s="95" t="str">
        <f t="shared" si="101"/>
        <v/>
      </c>
      <c r="O877" s="95" t="str">
        <f t="shared" si="102"/>
        <v/>
      </c>
    </row>
    <row r="878" spans="14:15" x14ac:dyDescent="0.25">
      <c r="N878" s="95" t="str">
        <f t="shared" si="101"/>
        <v/>
      </c>
      <c r="O878" s="95" t="str">
        <f t="shared" si="102"/>
        <v/>
      </c>
    </row>
    <row r="879" spans="14:15" x14ac:dyDescent="0.25">
      <c r="N879" s="95" t="str">
        <f t="shared" si="101"/>
        <v/>
      </c>
      <c r="O879" s="95" t="str">
        <f t="shared" si="102"/>
        <v/>
      </c>
    </row>
    <row r="880" spans="14:15" x14ac:dyDescent="0.25">
      <c r="N880" s="95" t="str">
        <f t="shared" si="101"/>
        <v/>
      </c>
      <c r="O880" s="95" t="str">
        <f t="shared" si="102"/>
        <v/>
      </c>
    </row>
    <row r="881" spans="14:15" x14ac:dyDescent="0.25">
      <c r="N881" s="95" t="str">
        <f t="shared" si="101"/>
        <v/>
      </c>
      <c r="O881" s="95" t="str">
        <f t="shared" si="102"/>
        <v/>
      </c>
    </row>
    <row r="882" spans="14:15" x14ac:dyDescent="0.25">
      <c r="N882" s="95" t="str">
        <f t="shared" si="101"/>
        <v/>
      </c>
      <c r="O882" s="95" t="str">
        <f t="shared" si="102"/>
        <v/>
      </c>
    </row>
    <row r="883" spans="14:15" x14ac:dyDescent="0.25">
      <c r="N883" s="95" t="str">
        <f t="shared" si="101"/>
        <v/>
      </c>
      <c r="O883" s="95" t="str">
        <f t="shared" si="102"/>
        <v/>
      </c>
    </row>
    <row r="884" spans="14:15" x14ac:dyDescent="0.25">
      <c r="N884" s="95" t="str">
        <f t="shared" si="101"/>
        <v/>
      </c>
      <c r="O884" s="95" t="str">
        <f t="shared" si="102"/>
        <v/>
      </c>
    </row>
    <row r="885" spans="14:15" x14ac:dyDescent="0.25">
      <c r="N885" s="95" t="str">
        <f t="shared" si="101"/>
        <v/>
      </c>
      <c r="O885" s="95" t="str">
        <f t="shared" si="102"/>
        <v/>
      </c>
    </row>
    <row r="886" spans="14:15" x14ac:dyDescent="0.25">
      <c r="N886" s="95" t="str">
        <f t="shared" si="101"/>
        <v/>
      </c>
      <c r="O886" s="95" t="str">
        <f t="shared" si="102"/>
        <v/>
      </c>
    </row>
    <row r="887" spans="14:15" x14ac:dyDescent="0.25">
      <c r="N887" s="95" t="str">
        <f t="shared" si="101"/>
        <v/>
      </c>
      <c r="O887" s="95" t="str">
        <f t="shared" si="102"/>
        <v/>
      </c>
    </row>
    <row r="888" spans="14:15" x14ac:dyDescent="0.25">
      <c r="N888" s="95" t="str">
        <f t="shared" si="101"/>
        <v/>
      </c>
      <c r="O888" s="95" t="str">
        <f t="shared" si="102"/>
        <v/>
      </c>
    </row>
    <row r="889" spans="14:15" x14ac:dyDescent="0.25">
      <c r="N889" s="95" t="str">
        <f t="shared" si="101"/>
        <v/>
      </c>
      <c r="O889" s="95" t="str">
        <f t="shared" si="102"/>
        <v/>
      </c>
    </row>
    <row r="890" spans="14:15" x14ac:dyDescent="0.25">
      <c r="N890" s="95" t="str">
        <f t="shared" si="101"/>
        <v/>
      </c>
      <c r="O890" s="95" t="str">
        <f t="shared" si="102"/>
        <v/>
      </c>
    </row>
    <row r="891" spans="14:15" x14ac:dyDescent="0.25">
      <c r="N891" s="95" t="str">
        <f t="shared" si="101"/>
        <v/>
      </c>
      <c r="O891" s="95" t="str">
        <f t="shared" si="102"/>
        <v/>
      </c>
    </row>
    <row r="892" spans="14:15" x14ac:dyDescent="0.25">
      <c r="N892" s="95" t="str">
        <f t="shared" si="101"/>
        <v/>
      </c>
      <c r="O892" s="95" t="str">
        <f t="shared" si="102"/>
        <v/>
      </c>
    </row>
    <row r="893" spans="14:15" x14ac:dyDescent="0.25">
      <c r="N893" s="95" t="str">
        <f t="shared" si="101"/>
        <v/>
      </c>
      <c r="O893" s="95" t="str">
        <f t="shared" si="102"/>
        <v/>
      </c>
    </row>
    <row r="894" spans="14:15" x14ac:dyDescent="0.25">
      <c r="N894" s="95" t="str">
        <f t="shared" si="101"/>
        <v/>
      </c>
      <c r="O894" s="95" t="str">
        <f t="shared" si="102"/>
        <v/>
      </c>
    </row>
    <row r="895" spans="14:15" x14ac:dyDescent="0.25">
      <c r="N895" s="95" t="str">
        <f t="shared" si="101"/>
        <v/>
      </c>
      <c r="O895" s="95" t="str">
        <f t="shared" si="102"/>
        <v/>
      </c>
    </row>
    <row r="896" spans="14:15" x14ac:dyDescent="0.25">
      <c r="N896" s="95" t="str">
        <f t="shared" si="101"/>
        <v/>
      </c>
      <c r="O896" s="95" t="str">
        <f t="shared" si="102"/>
        <v/>
      </c>
    </row>
    <row r="897" spans="14:15" x14ac:dyDescent="0.25">
      <c r="N897" s="95" t="str">
        <f t="shared" si="101"/>
        <v/>
      </c>
      <c r="O897" s="95" t="str">
        <f t="shared" si="102"/>
        <v/>
      </c>
    </row>
    <row r="898" spans="14:15" x14ac:dyDescent="0.25">
      <c r="N898" s="95" t="str">
        <f t="shared" si="101"/>
        <v/>
      </c>
      <c r="O898" s="95" t="str">
        <f t="shared" si="102"/>
        <v/>
      </c>
    </row>
    <row r="899" spans="14:15" x14ac:dyDescent="0.25">
      <c r="N899" s="95" t="str">
        <f t="shared" si="101"/>
        <v/>
      </c>
      <c r="O899" s="95" t="str">
        <f t="shared" si="102"/>
        <v/>
      </c>
    </row>
    <row r="900" spans="14:15" x14ac:dyDescent="0.25">
      <c r="N900" s="95" t="str">
        <f t="shared" ref="N900:N963" si="103">IF(COUNTIF(L:L,J900)=1,J900,"")</f>
        <v/>
      </c>
      <c r="O900" s="95" t="str">
        <f t="shared" ref="O900:O963" si="104">IF(N900&gt;$A$14,N900,"")</f>
        <v/>
      </c>
    </row>
    <row r="901" spans="14:15" x14ac:dyDescent="0.25">
      <c r="N901" s="95" t="str">
        <f t="shared" si="103"/>
        <v/>
      </c>
      <c r="O901" s="95" t="str">
        <f t="shared" si="104"/>
        <v/>
      </c>
    </row>
    <row r="902" spans="14:15" x14ac:dyDescent="0.25">
      <c r="N902" s="95" t="str">
        <f t="shared" si="103"/>
        <v/>
      </c>
      <c r="O902" s="95" t="str">
        <f t="shared" si="104"/>
        <v/>
      </c>
    </row>
    <row r="903" spans="14:15" x14ac:dyDescent="0.25">
      <c r="N903" s="95" t="str">
        <f t="shared" si="103"/>
        <v/>
      </c>
      <c r="O903" s="95" t="str">
        <f t="shared" si="104"/>
        <v/>
      </c>
    </row>
    <row r="904" spans="14:15" x14ac:dyDescent="0.25">
      <c r="N904" s="95" t="str">
        <f t="shared" si="103"/>
        <v/>
      </c>
      <c r="O904" s="95" t="str">
        <f t="shared" si="104"/>
        <v/>
      </c>
    </row>
    <row r="905" spans="14:15" x14ac:dyDescent="0.25">
      <c r="N905" s="95" t="str">
        <f t="shared" si="103"/>
        <v/>
      </c>
      <c r="O905" s="95" t="str">
        <f t="shared" si="104"/>
        <v/>
      </c>
    </row>
    <row r="906" spans="14:15" x14ac:dyDescent="0.25">
      <c r="N906" s="95" t="str">
        <f t="shared" si="103"/>
        <v/>
      </c>
      <c r="O906" s="95" t="str">
        <f t="shared" si="104"/>
        <v/>
      </c>
    </row>
    <row r="907" spans="14:15" x14ac:dyDescent="0.25">
      <c r="N907" s="95" t="str">
        <f t="shared" si="103"/>
        <v/>
      </c>
      <c r="O907" s="95" t="str">
        <f t="shared" si="104"/>
        <v/>
      </c>
    </row>
    <row r="908" spans="14:15" x14ac:dyDescent="0.25">
      <c r="N908" s="95" t="str">
        <f t="shared" si="103"/>
        <v/>
      </c>
      <c r="O908" s="95" t="str">
        <f t="shared" si="104"/>
        <v/>
      </c>
    </row>
    <row r="909" spans="14:15" x14ac:dyDescent="0.25">
      <c r="N909" s="95" t="str">
        <f t="shared" si="103"/>
        <v/>
      </c>
      <c r="O909" s="95" t="str">
        <f t="shared" si="104"/>
        <v/>
      </c>
    </row>
    <row r="910" spans="14:15" x14ac:dyDescent="0.25">
      <c r="N910" s="95" t="str">
        <f t="shared" si="103"/>
        <v/>
      </c>
      <c r="O910" s="95" t="str">
        <f t="shared" si="104"/>
        <v/>
      </c>
    </row>
    <row r="911" spans="14:15" x14ac:dyDescent="0.25">
      <c r="N911" s="95" t="str">
        <f t="shared" si="103"/>
        <v/>
      </c>
      <c r="O911" s="95" t="str">
        <f t="shared" si="104"/>
        <v/>
      </c>
    </row>
    <row r="912" spans="14:15" x14ac:dyDescent="0.25">
      <c r="N912" s="95" t="str">
        <f t="shared" si="103"/>
        <v/>
      </c>
      <c r="O912" s="95" t="str">
        <f t="shared" si="104"/>
        <v/>
      </c>
    </row>
    <row r="913" spans="14:15" x14ac:dyDescent="0.25">
      <c r="N913" s="95" t="str">
        <f t="shared" si="103"/>
        <v/>
      </c>
      <c r="O913" s="95" t="str">
        <f t="shared" si="104"/>
        <v/>
      </c>
    </row>
    <row r="914" spans="14:15" x14ac:dyDescent="0.25">
      <c r="N914" s="95" t="str">
        <f t="shared" si="103"/>
        <v/>
      </c>
      <c r="O914" s="95" t="str">
        <f t="shared" si="104"/>
        <v/>
      </c>
    </row>
    <row r="915" spans="14:15" x14ac:dyDescent="0.25">
      <c r="N915" s="95" t="str">
        <f t="shared" si="103"/>
        <v/>
      </c>
      <c r="O915" s="95" t="str">
        <f t="shared" si="104"/>
        <v/>
      </c>
    </row>
    <row r="916" spans="14:15" x14ac:dyDescent="0.25">
      <c r="N916" s="95" t="str">
        <f t="shared" si="103"/>
        <v/>
      </c>
      <c r="O916" s="95" t="str">
        <f t="shared" si="104"/>
        <v/>
      </c>
    </row>
    <row r="917" spans="14:15" x14ac:dyDescent="0.25">
      <c r="N917" s="95" t="str">
        <f t="shared" si="103"/>
        <v/>
      </c>
      <c r="O917" s="95" t="str">
        <f t="shared" si="104"/>
        <v/>
      </c>
    </row>
    <row r="918" spans="14:15" x14ac:dyDescent="0.25">
      <c r="N918" s="95" t="str">
        <f t="shared" si="103"/>
        <v/>
      </c>
      <c r="O918" s="95" t="str">
        <f t="shared" si="104"/>
        <v/>
      </c>
    </row>
    <row r="919" spans="14:15" x14ac:dyDescent="0.25">
      <c r="N919" s="95" t="str">
        <f t="shared" si="103"/>
        <v/>
      </c>
      <c r="O919" s="95" t="str">
        <f t="shared" si="104"/>
        <v/>
      </c>
    </row>
    <row r="920" spans="14:15" x14ac:dyDescent="0.25">
      <c r="N920" s="95" t="str">
        <f t="shared" si="103"/>
        <v/>
      </c>
      <c r="O920" s="95" t="str">
        <f t="shared" si="104"/>
        <v/>
      </c>
    </row>
    <row r="921" spans="14:15" x14ac:dyDescent="0.25">
      <c r="N921" s="95" t="str">
        <f t="shared" si="103"/>
        <v/>
      </c>
      <c r="O921" s="95" t="str">
        <f t="shared" si="104"/>
        <v/>
      </c>
    </row>
    <row r="922" spans="14:15" x14ac:dyDescent="0.25">
      <c r="N922" s="95" t="str">
        <f t="shared" si="103"/>
        <v/>
      </c>
      <c r="O922" s="95" t="str">
        <f t="shared" si="104"/>
        <v/>
      </c>
    </row>
    <row r="923" spans="14:15" x14ac:dyDescent="0.25">
      <c r="N923" s="95" t="str">
        <f t="shared" si="103"/>
        <v/>
      </c>
      <c r="O923" s="95" t="str">
        <f t="shared" si="104"/>
        <v/>
      </c>
    </row>
    <row r="924" spans="14:15" x14ac:dyDescent="0.25">
      <c r="N924" s="95" t="str">
        <f t="shared" si="103"/>
        <v/>
      </c>
      <c r="O924" s="95" t="str">
        <f t="shared" si="104"/>
        <v/>
      </c>
    </row>
    <row r="925" spans="14:15" x14ac:dyDescent="0.25">
      <c r="N925" s="95" t="str">
        <f t="shared" si="103"/>
        <v/>
      </c>
      <c r="O925" s="95" t="str">
        <f t="shared" si="104"/>
        <v/>
      </c>
    </row>
    <row r="926" spans="14:15" x14ac:dyDescent="0.25">
      <c r="N926" s="95" t="str">
        <f t="shared" si="103"/>
        <v/>
      </c>
      <c r="O926" s="95" t="str">
        <f t="shared" si="104"/>
        <v/>
      </c>
    </row>
    <row r="927" spans="14:15" x14ac:dyDescent="0.25">
      <c r="N927" s="95" t="str">
        <f t="shared" si="103"/>
        <v/>
      </c>
      <c r="O927" s="95" t="str">
        <f t="shared" si="104"/>
        <v/>
      </c>
    </row>
    <row r="928" spans="14:15" x14ac:dyDescent="0.25">
      <c r="N928" s="95" t="str">
        <f t="shared" si="103"/>
        <v/>
      </c>
      <c r="O928" s="95" t="str">
        <f t="shared" si="104"/>
        <v/>
      </c>
    </row>
    <row r="929" spans="14:15" x14ac:dyDescent="0.25">
      <c r="N929" s="95" t="str">
        <f t="shared" si="103"/>
        <v/>
      </c>
      <c r="O929" s="95" t="str">
        <f t="shared" si="104"/>
        <v/>
      </c>
    </row>
    <row r="930" spans="14:15" x14ac:dyDescent="0.25">
      <c r="N930" s="95" t="str">
        <f t="shared" si="103"/>
        <v/>
      </c>
      <c r="O930" s="95" t="str">
        <f t="shared" si="104"/>
        <v/>
      </c>
    </row>
    <row r="931" spans="14:15" x14ac:dyDescent="0.25">
      <c r="N931" s="95" t="str">
        <f t="shared" si="103"/>
        <v/>
      </c>
      <c r="O931" s="95" t="str">
        <f t="shared" si="104"/>
        <v/>
      </c>
    </row>
    <row r="932" spans="14:15" x14ac:dyDescent="0.25">
      <c r="N932" s="95" t="str">
        <f t="shared" si="103"/>
        <v/>
      </c>
      <c r="O932" s="95" t="str">
        <f t="shared" si="104"/>
        <v/>
      </c>
    </row>
    <row r="933" spans="14:15" x14ac:dyDescent="0.25">
      <c r="N933" s="95" t="str">
        <f t="shared" si="103"/>
        <v/>
      </c>
      <c r="O933" s="95" t="str">
        <f t="shared" si="104"/>
        <v/>
      </c>
    </row>
    <row r="934" spans="14:15" x14ac:dyDescent="0.25">
      <c r="N934" s="95" t="str">
        <f t="shared" si="103"/>
        <v/>
      </c>
      <c r="O934" s="95" t="str">
        <f t="shared" si="104"/>
        <v/>
      </c>
    </row>
    <row r="935" spans="14:15" x14ac:dyDescent="0.25">
      <c r="N935" s="95" t="str">
        <f t="shared" si="103"/>
        <v/>
      </c>
      <c r="O935" s="95" t="str">
        <f t="shared" si="104"/>
        <v/>
      </c>
    </row>
    <row r="936" spans="14:15" x14ac:dyDescent="0.25">
      <c r="N936" s="95" t="str">
        <f t="shared" si="103"/>
        <v/>
      </c>
      <c r="O936" s="95" t="str">
        <f t="shared" si="104"/>
        <v/>
      </c>
    </row>
    <row r="937" spans="14:15" x14ac:dyDescent="0.25">
      <c r="N937" s="95" t="str">
        <f t="shared" si="103"/>
        <v/>
      </c>
      <c r="O937" s="95" t="str">
        <f t="shared" si="104"/>
        <v/>
      </c>
    </row>
    <row r="938" spans="14:15" x14ac:dyDescent="0.25">
      <c r="N938" s="95" t="str">
        <f t="shared" si="103"/>
        <v/>
      </c>
      <c r="O938" s="95" t="str">
        <f t="shared" si="104"/>
        <v/>
      </c>
    </row>
    <row r="939" spans="14:15" x14ac:dyDescent="0.25">
      <c r="N939" s="95" t="str">
        <f t="shared" si="103"/>
        <v/>
      </c>
      <c r="O939" s="95" t="str">
        <f t="shared" si="104"/>
        <v/>
      </c>
    </row>
    <row r="940" spans="14:15" x14ac:dyDescent="0.25">
      <c r="N940" s="95" t="str">
        <f t="shared" si="103"/>
        <v/>
      </c>
      <c r="O940" s="95" t="str">
        <f t="shared" si="104"/>
        <v/>
      </c>
    </row>
    <row r="941" spans="14:15" x14ac:dyDescent="0.25">
      <c r="N941" s="95" t="str">
        <f t="shared" si="103"/>
        <v/>
      </c>
      <c r="O941" s="95" t="str">
        <f t="shared" si="104"/>
        <v/>
      </c>
    </row>
    <row r="942" spans="14:15" x14ac:dyDescent="0.25">
      <c r="N942" s="95" t="str">
        <f t="shared" si="103"/>
        <v/>
      </c>
      <c r="O942" s="95" t="str">
        <f t="shared" si="104"/>
        <v/>
      </c>
    </row>
    <row r="943" spans="14:15" x14ac:dyDescent="0.25">
      <c r="N943" s="95" t="str">
        <f t="shared" si="103"/>
        <v/>
      </c>
      <c r="O943" s="95" t="str">
        <f t="shared" si="104"/>
        <v/>
      </c>
    </row>
    <row r="944" spans="14:15" x14ac:dyDescent="0.25">
      <c r="N944" s="95" t="str">
        <f t="shared" si="103"/>
        <v/>
      </c>
      <c r="O944" s="95" t="str">
        <f t="shared" si="104"/>
        <v/>
      </c>
    </row>
    <row r="945" spans="14:15" x14ac:dyDescent="0.25">
      <c r="N945" s="95" t="str">
        <f t="shared" si="103"/>
        <v/>
      </c>
      <c r="O945" s="95" t="str">
        <f t="shared" si="104"/>
        <v/>
      </c>
    </row>
    <row r="946" spans="14:15" x14ac:dyDescent="0.25">
      <c r="N946" s="95" t="str">
        <f t="shared" si="103"/>
        <v/>
      </c>
      <c r="O946" s="95" t="str">
        <f t="shared" si="104"/>
        <v/>
      </c>
    </row>
    <row r="947" spans="14:15" x14ac:dyDescent="0.25">
      <c r="N947" s="95" t="str">
        <f t="shared" si="103"/>
        <v/>
      </c>
      <c r="O947" s="95" t="str">
        <f t="shared" si="104"/>
        <v/>
      </c>
    </row>
    <row r="948" spans="14:15" x14ac:dyDescent="0.25">
      <c r="N948" s="95" t="str">
        <f t="shared" si="103"/>
        <v/>
      </c>
      <c r="O948" s="95" t="str">
        <f t="shared" si="104"/>
        <v/>
      </c>
    </row>
    <row r="949" spans="14:15" x14ac:dyDescent="0.25">
      <c r="N949" s="95" t="str">
        <f t="shared" si="103"/>
        <v/>
      </c>
      <c r="O949" s="95" t="str">
        <f t="shared" si="104"/>
        <v/>
      </c>
    </row>
    <row r="950" spans="14:15" x14ac:dyDescent="0.25">
      <c r="N950" s="95" t="str">
        <f t="shared" si="103"/>
        <v/>
      </c>
      <c r="O950" s="95" t="str">
        <f t="shared" si="104"/>
        <v/>
      </c>
    </row>
    <row r="951" spans="14:15" x14ac:dyDescent="0.25">
      <c r="N951" s="95" t="str">
        <f t="shared" si="103"/>
        <v/>
      </c>
      <c r="O951" s="95" t="str">
        <f t="shared" si="104"/>
        <v/>
      </c>
    </row>
    <row r="952" spans="14:15" x14ac:dyDescent="0.25">
      <c r="N952" s="95" t="str">
        <f t="shared" si="103"/>
        <v/>
      </c>
      <c r="O952" s="95" t="str">
        <f t="shared" si="104"/>
        <v/>
      </c>
    </row>
    <row r="953" spans="14:15" x14ac:dyDescent="0.25">
      <c r="N953" s="95" t="str">
        <f t="shared" si="103"/>
        <v/>
      </c>
      <c r="O953" s="95" t="str">
        <f t="shared" si="104"/>
        <v/>
      </c>
    </row>
    <row r="954" spans="14:15" x14ac:dyDescent="0.25">
      <c r="N954" s="95" t="str">
        <f t="shared" si="103"/>
        <v/>
      </c>
      <c r="O954" s="95" t="str">
        <f t="shared" si="104"/>
        <v/>
      </c>
    </row>
    <row r="955" spans="14:15" x14ac:dyDescent="0.25">
      <c r="N955" s="95" t="str">
        <f t="shared" si="103"/>
        <v/>
      </c>
      <c r="O955" s="95" t="str">
        <f t="shared" si="104"/>
        <v/>
      </c>
    </row>
    <row r="956" spans="14:15" x14ac:dyDescent="0.25">
      <c r="N956" s="95" t="str">
        <f t="shared" si="103"/>
        <v/>
      </c>
      <c r="O956" s="95" t="str">
        <f t="shared" si="104"/>
        <v/>
      </c>
    </row>
    <row r="957" spans="14:15" x14ac:dyDescent="0.25">
      <c r="N957" s="95" t="str">
        <f t="shared" si="103"/>
        <v/>
      </c>
      <c r="O957" s="95" t="str">
        <f t="shared" si="104"/>
        <v/>
      </c>
    </row>
    <row r="958" spans="14:15" x14ac:dyDescent="0.25">
      <c r="N958" s="95" t="str">
        <f t="shared" si="103"/>
        <v/>
      </c>
      <c r="O958" s="95" t="str">
        <f t="shared" si="104"/>
        <v/>
      </c>
    </row>
    <row r="959" spans="14:15" x14ac:dyDescent="0.25">
      <c r="N959" s="95" t="str">
        <f t="shared" si="103"/>
        <v/>
      </c>
      <c r="O959" s="95" t="str">
        <f t="shared" si="104"/>
        <v/>
      </c>
    </row>
    <row r="960" spans="14:15" x14ac:dyDescent="0.25">
      <c r="N960" s="95" t="str">
        <f t="shared" si="103"/>
        <v/>
      </c>
      <c r="O960" s="95" t="str">
        <f t="shared" si="104"/>
        <v/>
      </c>
    </row>
    <row r="961" spans="14:15" x14ac:dyDescent="0.25">
      <c r="N961" s="95" t="str">
        <f t="shared" si="103"/>
        <v/>
      </c>
      <c r="O961" s="95" t="str">
        <f t="shared" si="104"/>
        <v/>
      </c>
    </row>
    <row r="962" spans="14:15" x14ac:dyDescent="0.25">
      <c r="N962" s="95" t="str">
        <f t="shared" si="103"/>
        <v/>
      </c>
      <c r="O962" s="95" t="str">
        <f t="shared" si="104"/>
        <v/>
      </c>
    </row>
    <row r="963" spans="14:15" x14ac:dyDescent="0.25">
      <c r="N963" s="95" t="str">
        <f t="shared" si="103"/>
        <v/>
      </c>
      <c r="O963" s="95" t="str">
        <f t="shared" si="104"/>
        <v/>
      </c>
    </row>
    <row r="964" spans="14:15" x14ac:dyDescent="0.25">
      <c r="N964" s="95" t="str">
        <f t="shared" ref="N964:N1027" si="105">IF(COUNTIF(L:L,J964)=1,J964,"")</f>
        <v/>
      </c>
      <c r="O964" s="95" t="str">
        <f t="shared" ref="O964:O1027" si="106">IF(N964&gt;$A$14,N964,"")</f>
        <v/>
      </c>
    </row>
    <row r="965" spans="14:15" x14ac:dyDescent="0.25">
      <c r="N965" s="95" t="str">
        <f t="shared" si="105"/>
        <v/>
      </c>
      <c r="O965" s="95" t="str">
        <f t="shared" si="106"/>
        <v/>
      </c>
    </row>
    <row r="966" spans="14:15" x14ac:dyDescent="0.25">
      <c r="N966" s="95" t="str">
        <f t="shared" si="105"/>
        <v/>
      </c>
      <c r="O966" s="95" t="str">
        <f t="shared" si="106"/>
        <v/>
      </c>
    </row>
    <row r="967" spans="14:15" x14ac:dyDescent="0.25">
      <c r="N967" s="95" t="str">
        <f t="shared" si="105"/>
        <v/>
      </c>
      <c r="O967" s="95" t="str">
        <f t="shared" si="106"/>
        <v/>
      </c>
    </row>
    <row r="968" spans="14:15" x14ac:dyDescent="0.25">
      <c r="N968" s="95" t="str">
        <f t="shared" si="105"/>
        <v/>
      </c>
      <c r="O968" s="95" t="str">
        <f t="shared" si="106"/>
        <v/>
      </c>
    </row>
    <row r="969" spans="14:15" x14ac:dyDescent="0.25">
      <c r="N969" s="95" t="str">
        <f t="shared" si="105"/>
        <v/>
      </c>
      <c r="O969" s="95" t="str">
        <f t="shared" si="106"/>
        <v/>
      </c>
    </row>
    <row r="970" spans="14:15" x14ac:dyDescent="0.25">
      <c r="N970" s="95" t="str">
        <f t="shared" si="105"/>
        <v/>
      </c>
      <c r="O970" s="95" t="str">
        <f t="shared" si="106"/>
        <v/>
      </c>
    </row>
    <row r="971" spans="14:15" x14ac:dyDescent="0.25">
      <c r="N971" s="95" t="str">
        <f t="shared" si="105"/>
        <v/>
      </c>
      <c r="O971" s="95" t="str">
        <f t="shared" si="106"/>
        <v/>
      </c>
    </row>
    <row r="972" spans="14:15" x14ac:dyDescent="0.25">
      <c r="N972" s="95" t="str">
        <f t="shared" si="105"/>
        <v/>
      </c>
      <c r="O972" s="95" t="str">
        <f t="shared" si="106"/>
        <v/>
      </c>
    </row>
    <row r="973" spans="14:15" x14ac:dyDescent="0.25">
      <c r="N973" s="95" t="str">
        <f t="shared" si="105"/>
        <v/>
      </c>
      <c r="O973" s="95" t="str">
        <f t="shared" si="106"/>
        <v/>
      </c>
    </row>
    <row r="974" spans="14:15" x14ac:dyDescent="0.25">
      <c r="N974" s="95" t="str">
        <f t="shared" si="105"/>
        <v/>
      </c>
      <c r="O974" s="95" t="str">
        <f t="shared" si="106"/>
        <v/>
      </c>
    </row>
    <row r="975" spans="14:15" x14ac:dyDescent="0.25">
      <c r="N975" s="95" t="str">
        <f t="shared" si="105"/>
        <v/>
      </c>
      <c r="O975" s="95" t="str">
        <f t="shared" si="106"/>
        <v/>
      </c>
    </row>
    <row r="976" spans="14:15" x14ac:dyDescent="0.25">
      <c r="N976" s="95" t="str">
        <f t="shared" si="105"/>
        <v/>
      </c>
      <c r="O976" s="95" t="str">
        <f t="shared" si="106"/>
        <v/>
      </c>
    </row>
    <row r="977" spans="14:15" x14ac:dyDescent="0.25">
      <c r="N977" s="95" t="str">
        <f t="shared" si="105"/>
        <v/>
      </c>
      <c r="O977" s="95" t="str">
        <f t="shared" si="106"/>
        <v/>
      </c>
    </row>
    <row r="978" spans="14:15" x14ac:dyDescent="0.25">
      <c r="N978" s="95" t="str">
        <f t="shared" si="105"/>
        <v/>
      </c>
      <c r="O978" s="95" t="str">
        <f t="shared" si="106"/>
        <v/>
      </c>
    </row>
    <row r="979" spans="14:15" x14ac:dyDescent="0.25">
      <c r="N979" s="95" t="str">
        <f t="shared" si="105"/>
        <v/>
      </c>
      <c r="O979" s="95" t="str">
        <f t="shared" si="106"/>
        <v/>
      </c>
    </row>
    <row r="980" spans="14:15" x14ac:dyDescent="0.25">
      <c r="N980" s="95" t="str">
        <f t="shared" si="105"/>
        <v/>
      </c>
      <c r="O980" s="95" t="str">
        <f t="shared" si="106"/>
        <v/>
      </c>
    </row>
    <row r="981" spans="14:15" x14ac:dyDescent="0.25">
      <c r="N981" s="95" t="str">
        <f t="shared" si="105"/>
        <v/>
      </c>
      <c r="O981" s="95" t="str">
        <f t="shared" si="106"/>
        <v/>
      </c>
    </row>
    <row r="982" spans="14:15" x14ac:dyDescent="0.25">
      <c r="N982" s="95" t="str">
        <f t="shared" si="105"/>
        <v/>
      </c>
      <c r="O982" s="95" t="str">
        <f t="shared" si="106"/>
        <v/>
      </c>
    </row>
    <row r="983" spans="14:15" x14ac:dyDescent="0.25">
      <c r="N983" s="95" t="str">
        <f t="shared" si="105"/>
        <v/>
      </c>
      <c r="O983" s="95" t="str">
        <f t="shared" si="106"/>
        <v/>
      </c>
    </row>
    <row r="984" spans="14:15" x14ac:dyDescent="0.25">
      <c r="N984" s="95" t="str">
        <f t="shared" si="105"/>
        <v/>
      </c>
      <c r="O984" s="95" t="str">
        <f t="shared" si="106"/>
        <v/>
      </c>
    </row>
    <row r="985" spans="14:15" x14ac:dyDescent="0.25">
      <c r="N985" s="95" t="str">
        <f t="shared" si="105"/>
        <v/>
      </c>
      <c r="O985" s="95" t="str">
        <f t="shared" si="106"/>
        <v/>
      </c>
    </row>
    <row r="986" spans="14:15" x14ac:dyDescent="0.25">
      <c r="N986" s="95" t="str">
        <f t="shared" si="105"/>
        <v/>
      </c>
      <c r="O986" s="95" t="str">
        <f t="shared" si="106"/>
        <v/>
      </c>
    </row>
    <row r="987" spans="14:15" x14ac:dyDescent="0.25">
      <c r="N987" s="95" t="str">
        <f t="shared" si="105"/>
        <v/>
      </c>
      <c r="O987" s="95" t="str">
        <f t="shared" si="106"/>
        <v/>
      </c>
    </row>
    <row r="988" spans="14:15" x14ac:dyDescent="0.25">
      <c r="N988" s="95" t="str">
        <f t="shared" si="105"/>
        <v/>
      </c>
      <c r="O988" s="95" t="str">
        <f t="shared" si="106"/>
        <v/>
      </c>
    </row>
    <row r="989" spans="14:15" x14ac:dyDescent="0.25">
      <c r="N989" s="95" t="str">
        <f t="shared" si="105"/>
        <v/>
      </c>
      <c r="O989" s="95" t="str">
        <f t="shared" si="106"/>
        <v/>
      </c>
    </row>
    <row r="990" spans="14:15" x14ac:dyDescent="0.25">
      <c r="N990" s="95" t="str">
        <f t="shared" si="105"/>
        <v/>
      </c>
      <c r="O990" s="95" t="str">
        <f t="shared" si="106"/>
        <v/>
      </c>
    </row>
    <row r="991" spans="14:15" x14ac:dyDescent="0.25">
      <c r="N991" s="95" t="str">
        <f t="shared" si="105"/>
        <v/>
      </c>
      <c r="O991" s="95" t="str">
        <f t="shared" si="106"/>
        <v/>
      </c>
    </row>
    <row r="992" spans="14:15" x14ac:dyDescent="0.25">
      <c r="N992" s="95" t="str">
        <f t="shared" si="105"/>
        <v/>
      </c>
      <c r="O992" s="95" t="str">
        <f t="shared" si="106"/>
        <v/>
      </c>
    </row>
    <row r="993" spans="14:15" x14ac:dyDescent="0.25">
      <c r="N993" s="95" t="str">
        <f t="shared" si="105"/>
        <v/>
      </c>
      <c r="O993" s="95" t="str">
        <f t="shared" si="106"/>
        <v/>
      </c>
    </row>
    <row r="994" spans="14:15" x14ac:dyDescent="0.25">
      <c r="N994" s="95" t="str">
        <f t="shared" si="105"/>
        <v/>
      </c>
      <c r="O994" s="95" t="str">
        <f t="shared" si="106"/>
        <v/>
      </c>
    </row>
    <row r="995" spans="14:15" x14ac:dyDescent="0.25">
      <c r="N995" s="95" t="str">
        <f t="shared" si="105"/>
        <v/>
      </c>
      <c r="O995" s="95" t="str">
        <f t="shared" si="106"/>
        <v/>
      </c>
    </row>
    <row r="996" spans="14:15" x14ac:dyDescent="0.25">
      <c r="N996" s="95" t="str">
        <f t="shared" si="105"/>
        <v/>
      </c>
      <c r="O996" s="95" t="str">
        <f t="shared" si="106"/>
        <v/>
      </c>
    </row>
    <row r="997" spans="14:15" x14ac:dyDescent="0.25">
      <c r="N997" s="95" t="str">
        <f t="shared" si="105"/>
        <v/>
      </c>
      <c r="O997" s="95" t="str">
        <f t="shared" si="106"/>
        <v/>
      </c>
    </row>
    <row r="998" spans="14:15" x14ac:dyDescent="0.25">
      <c r="N998" s="95" t="str">
        <f t="shared" si="105"/>
        <v/>
      </c>
      <c r="O998" s="95" t="str">
        <f t="shared" si="106"/>
        <v/>
      </c>
    </row>
    <row r="999" spans="14:15" x14ac:dyDescent="0.25">
      <c r="N999" s="95" t="str">
        <f t="shared" si="105"/>
        <v/>
      </c>
      <c r="O999" s="95" t="str">
        <f t="shared" si="106"/>
        <v/>
      </c>
    </row>
    <row r="1000" spans="14:15" x14ac:dyDescent="0.25">
      <c r="N1000" s="95" t="str">
        <f t="shared" si="105"/>
        <v/>
      </c>
      <c r="O1000" s="95" t="str">
        <f t="shared" si="106"/>
        <v/>
      </c>
    </row>
    <row r="1001" spans="14:15" x14ac:dyDescent="0.25">
      <c r="N1001" s="95" t="str">
        <f t="shared" si="105"/>
        <v/>
      </c>
      <c r="O1001" s="95" t="str">
        <f t="shared" si="106"/>
        <v/>
      </c>
    </row>
    <row r="1002" spans="14:15" x14ac:dyDescent="0.25">
      <c r="N1002" s="95" t="str">
        <f t="shared" si="105"/>
        <v/>
      </c>
      <c r="O1002" s="95" t="str">
        <f t="shared" si="106"/>
        <v/>
      </c>
    </row>
    <row r="1003" spans="14:15" x14ac:dyDescent="0.25">
      <c r="N1003" s="95" t="str">
        <f t="shared" si="105"/>
        <v/>
      </c>
      <c r="O1003" s="95" t="str">
        <f t="shared" si="106"/>
        <v/>
      </c>
    </row>
    <row r="1004" spans="14:15" x14ac:dyDescent="0.25">
      <c r="N1004" s="95" t="str">
        <f t="shared" si="105"/>
        <v/>
      </c>
      <c r="O1004" s="95" t="str">
        <f t="shared" si="106"/>
        <v/>
      </c>
    </row>
    <row r="1005" spans="14:15" x14ac:dyDescent="0.25">
      <c r="N1005" s="95" t="str">
        <f t="shared" si="105"/>
        <v/>
      </c>
      <c r="O1005" s="95" t="str">
        <f t="shared" si="106"/>
        <v/>
      </c>
    </row>
    <row r="1006" spans="14:15" x14ac:dyDescent="0.25">
      <c r="N1006" s="95" t="str">
        <f t="shared" si="105"/>
        <v/>
      </c>
      <c r="O1006" s="95" t="str">
        <f t="shared" si="106"/>
        <v/>
      </c>
    </row>
    <row r="1007" spans="14:15" x14ac:dyDescent="0.25">
      <c r="N1007" s="95" t="str">
        <f t="shared" si="105"/>
        <v/>
      </c>
      <c r="O1007" s="95" t="str">
        <f t="shared" si="106"/>
        <v/>
      </c>
    </row>
    <row r="1008" spans="14:15" x14ac:dyDescent="0.25">
      <c r="N1008" s="95" t="str">
        <f t="shared" si="105"/>
        <v/>
      </c>
      <c r="O1008" s="95" t="str">
        <f t="shared" si="106"/>
        <v/>
      </c>
    </row>
    <row r="1009" spans="14:15" x14ac:dyDescent="0.25">
      <c r="N1009" s="95" t="str">
        <f t="shared" si="105"/>
        <v/>
      </c>
      <c r="O1009" s="95" t="str">
        <f t="shared" si="106"/>
        <v/>
      </c>
    </row>
    <row r="1010" spans="14:15" x14ac:dyDescent="0.25">
      <c r="N1010" s="95" t="str">
        <f t="shared" si="105"/>
        <v/>
      </c>
      <c r="O1010" s="95" t="str">
        <f t="shared" si="106"/>
        <v/>
      </c>
    </row>
    <row r="1011" spans="14:15" x14ac:dyDescent="0.25">
      <c r="N1011" s="95" t="str">
        <f t="shared" si="105"/>
        <v/>
      </c>
      <c r="O1011" s="95" t="str">
        <f t="shared" si="106"/>
        <v/>
      </c>
    </row>
    <row r="1012" spans="14:15" x14ac:dyDescent="0.25">
      <c r="N1012" s="95" t="str">
        <f t="shared" si="105"/>
        <v/>
      </c>
      <c r="O1012" s="95" t="str">
        <f t="shared" si="106"/>
        <v/>
      </c>
    </row>
    <row r="1013" spans="14:15" x14ac:dyDescent="0.25">
      <c r="N1013" s="95" t="str">
        <f t="shared" si="105"/>
        <v/>
      </c>
      <c r="O1013" s="95" t="str">
        <f t="shared" si="106"/>
        <v/>
      </c>
    </row>
    <row r="1014" spans="14:15" x14ac:dyDescent="0.25">
      <c r="N1014" s="95" t="str">
        <f t="shared" si="105"/>
        <v/>
      </c>
      <c r="O1014" s="95" t="str">
        <f t="shared" si="106"/>
        <v/>
      </c>
    </row>
    <row r="1015" spans="14:15" x14ac:dyDescent="0.25">
      <c r="N1015" s="95" t="str">
        <f t="shared" si="105"/>
        <v/>
      </c>
      <c r="O1015" s="95" t="str">
        <f t="shared" si="106"/>
        <v/>
      </c>
    </row>
    <row r="1016" spans="14:15" x14ac:dyDescent="0.25">
      <c r="N1016" s="95" t="str">
        <f t="shared" si="105"/>
        <v/>
      </c>
      <c r="O1016" s="95" t="str">
        <f t="shared" si="106"/>
        <v/>
      </c>
    </row>
    <row r="1017" spans="14:15" x14ac:dyDescent="0.25">
      <c r="N1017" s="95" t="str">
        <f t="shared" si="105"/>
        <v/>
      </c>
      <c r="O1017" s="95" t="str">
        <f t="shared" si="106"/>
        <v/>
      </c>
    </row>
    <row r="1018" spans="14:15" x14ac:dyDescent="0.25">
      <c r="N1018" s="95" t="str">
        <f t="shared" si="105"/>
        <v/>
      </c>
      <c r="O1018" s="95" t="str">
        <f t="shared" si="106"/>
        <v/>
      </c>
    </row>
    <row r="1019" spans="14:15" x14ac:dyDescent="0.25">
      <c r="N1019" s="95" t="str">
        <f t="shared" si="105"/>
        <v/>
      </c>
      <c r="O1019" s="95" t="str">
        <f t="shared" si="106"/>
        <v/>
      </c>
    </row>
    <row r="1020" spans="14:15" x14ac:dyDescent="0.25">
      <c r="N1020" s="95" t="str">
        <f t="shared" si="105"/>
        <v/>
      </c>
      <c r="O1020" s="95" t="str">
        <f t="shared" si="106"/>
        <v/>
      </c>
    </row>
    <row r="1021" spans="14:15" x14ac:dyDescent="0.25">
      <c r="N1021" s="95" t="str">
        <f t="shared" si="105"/>
        <v/>
      </c>
      <c r="O1021" s="95" t="str">
        <f t="shared" si="106"/>
        <v/>
      </c>
    </row>
    <row r="1022" spans="14:15" x14ac:dyDescent="0.25">
      <c r="N1022" s="95" t="str">
        <f t="shared" si="105"/>
        <v/>
      </c>
      <c r="O1022" s="95" t="str">
        <f t="shared" si="106"/>
        <v/>
      </c>
    </row>
    <row r="1023" spans="14:15" x14ac:dyDescent="0.25">
      <c r="N1023" s="95" t="str">
        <f t="shared" si="105"/>
        <v/>
      </c>
      <c r="O1023" s="95" t="str">
        <f t="shared" si="106"/>
        <v/>
      </c>
    </row>
    <row r="1024" spans="14:15" x14ac:dyDescent="0.25">
      <c r="N1024" s="95" t="str">
        <f t="shared" si="105"/>
        <v/>
      </c>
      <c r="O1024" s="95" t="str">
        <f t="shared" si="106"/>
        <v/>
      </c>
    </row>
    <row r="1025" spans="14:15" x14ac:dyDescent="0.25">
      <c r="N1025" s="95" t="str">
        <f t="shared" si="105"/>
        <v/>
      </c>
      <c r="O1025" s="95" t="str">
        <f t="shared" si="106"/>
        <v/>
      </c>
    </row>
    <row r="1026" spans="14:15" x14ac:dyDescent="0.25">
      <c r="N1026" s="95" t="str">
        <f t="shared" si="105"/>
        <v/>
      </c>
      <c r="O1026" s="95" t="str">
        <f t="shared" si="106"/>
        <v/>
      </c>
    </row>
    <row r="1027" spans="14:15" x14ac:dyDescent="0.25">
      <c r="N1027" s="95" t="str">
        <f t="shared" si="105"/>
        <v/>
      </c>
      <c r="O1027" s="95" t="str">
        <f t="shared" si="106"/>
        <v/>
      </c>
    </row>
    <row r="1028" spans="14:15" x14ac:dyDescent="0.25">
      <c r="N1028" s="95" t="str">
        <f t="shared" ref="N1028:N1032" si="107">IF(COUNTIF(L:L,J1028)=1,J1028,"")</f>
        <v/>
      </c>
      <c r="O1028" s="95" t="str">
        <f>IF(N1028&gt;$A$14,N1028,"")</f>
        <v/>
      </c>
    </row>
    <row r="1029" spans="14:15" x14ac:dyDescent="0.25">
      <c r="N1029" s="95" t="str">
        <f t="shared" si="107"/>
        <v/>
      </c>
      <c r="O1029" s="95" t="str">
        <f>IF(N1029&gt;$A$14,N1029,"")</f>
        <v/>
      </c>
    </row>
    <row r="1030" spans="14:15" x14ac:dyDescent="0.25">
      <c r="N1030" s="95" t="str">
        <f t="shared" si="107"/>
        <v/>
      </c>
      <c r="O1030" s="95" t="str">
        <f>IF(N1030&gt;$A$14,N1030,"")</f>
        <v/>
      </c>
    </row>
    <row r="1031" spans="14:15" x14ac:dyDescent="0.25">
      <c r="N1031" s="95" t="str">
        <f t="shared" si="107"/>
        <v/>
      </c>
      <c r="O1031" s="95" t="str">
        <f>IF(N1031&gt;$A$14,N1031,"")</f>
        <v/>
      </c>
    </row>
    <row r="1032" spans="14:15" x14ac:dyDescent="0.25">
      <c r="N1032" s="95" t="str">
        <f t="shared" si="107"/>
        <v/>
      </c>
      <c r="O1032" s="95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3" priority="1" operator="lessThan">
      <formula>0</formula>
    </cfRule>
  </conditionalFormatting>
  <hyperlinks>
    <hyperlink ref="B4" r:id="rId1" xr:uid="{B76D451A-9D6D-4447-875A-9BDC63B76B6F}"/>
    <hyperlink ref="C4" r:id="rId2" xr:uid="{583C40EF-62BB-491C-98C8-08EA557269CC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6341-9EA4-4A65-BEBB-7826FEFD3925}">
  <dimension ref="A1:P1032"/>
  <sheetViews>
    <sheetView zoomScale="80" zoomScaleNormal="80" workbookViewId="0">
      <selection activeCell="I56" sqref="I56"/>
    </sheetView>
  </sheetViews>
  <sheetFormatPr defaultColWidth="8.85546875" defaultRowHeight="15" x14ac:dyDescent="0.25"/>
  <cols>
    <col min="1" max="1" width="16.5703125" style="95" bestFit="1" customWidth="1"/>
    <col min="2" max="2" width="24.140625" style="3" bestFit="1" customWidth="1"/>
    <col min="3" max="3" width="21.28515625" style="3" bestFit="1" customWidth="1"/>
    <col min="4" max="4" width="9.140625" style="3" bestFit="1" customWidth="1"/>
    <col min="5" max="6" width="8.7109375" style="3" bestFit="1" customWidth="1"/>
    <col min="7" max="7" width="9.140625" style="3" bestFit="1" customWidth="1"/>
    <col min="8" max="8" width="12.28515625" style="3" bestFit="1" customWidth="1"/>
    <col min="9" max="9" width="10.7109375" style="3" bestFit="1" customWidth="1"/>
    <col min="10" max="10" width="17.140625" style="3" bestFit="1" customWidth="1"/>
    <col min="11" max="11" width="7.140625" style="41" bestFit="1" customWidth="1"/>
    <col min="12" max="12" width="17.140625" style="3" bestFit="1" customWidth="1"/>
    <col min="13" max="13" width="7.140625" style="41" bestFit="1" customWidth="1"/>
    <col min="14" max="16" width="17.140625" style="95" bestFit="1" customWidth="1"/>
    <col min="17" max="16384" width="8.85546875" style="3"/>
  </cols>
  <sheetData>
    <row r="1" spans="1:16" ht="15.75" thickBot="1" x14ac:dyDescent="0.3">
      <c r="A1" s="1"/>
      <c r="B1" s="1"/>
      <c r="C1" s="1"/>
      <c r="D1" s="1"/>
      <c r="I1" s="1"/>
      <c r="J1" s="38"/>
      <c r="L1" s="1"/>
      <c r="M1" s="34"/>
      <c r="P1" s="95" cm="1">
        <f t="array" ref="P1">LOOKUP(2,1/(P:P&lt;&gt;""),P:P)</f>
        <v>46191</v>
      </c>
    </row>
    <row r="2" spans="1:16" ht="15.75" thickBot="1" x14ac:dyDescent="0.3">
      <c r="A2" s="24"/>
      <c r="B2" s="28" t="s">
        <v>0</v>
      </c>
      <c r="C2" s="23" t="s">
        <v>1</v>
      </c>
      <c r="E2" s="72"/>
      <c r="F2" s="73"/>
      <c r="J2" s="22" t="s">
        <v>0</v>
      </c>
      <c r="K2" s="34"/>
      <c r="L2" s="23" t="s">
        <v>1</v>
      </c>
      <c r="M2" s="34"/>
      <c r="P2" s="3" cm="1">
        <f t="array" ref="P2:P14">_xlfn._xlws.SORT(_xlfn.UNIQUE(_xlfn._xlws.FILTER(O:O, ISNUMBER(O:O))))</f>
        <v>46175</v>
      </c>
    </row>
    <row r="3" spans="1:16" x14ac:dyDescent="0.25">
      <c r="A3" s="14" t="s">
        <v>19</v>
      </c>
      <c r="B3" s="43" t="s">
        <v>108</v>
      </c>
      <c r="C3" s="44" t="s">
        <v>109</v>
      </c>
      <c r="J3" s="37" cm="1">
        <f t="array" ref="J3:K210">_xll.BDH(B4, "LAST_PRICE", "09/01/2025", "01/01/2035")</f>
        <v>45901</v>
      </c>
      <c r="K3" s="34">
        <v>77.718999999999994</v>
      </c>
      <c r="L3" s="37" cm="1">
        <f t="array" ref="L3:M36">_xll.BDH(C4, "LAST_PRICE", "05/01/2026", "01/01/2035")</f>
        <v>46143</v>
      </c>
      <c r="M3" s="34">
        <v>74.147000000000006</v>
      </c>
      <c r="N3" s="95" t="str">
        <f>IF(COUNTIF(L:L,J3)=1,J3,"")</f>
        <v/>
      </c>
      <c r="O3" s="95" t="str">
        <f>IF(N3&gt;$A$14,N3,"")</f>
        <v/>
      </c>
      <c r="P3" s="95">
        <v>46176</v>
      </c>
    </row>
    <row r="4" spans="1:16" ht="32.25" customHeight="1" x14ac:dyDescent="0.25">
      <c r="A4" s="14" t="s">
        <v>20</v>
      </c>
      <c r="B4" s="84" t="s">
        <v>110</v>
      </c>
      <c r="C4" s="106" t="s">
        <v>111</v>
      </c>
      <c r="I4" s="1"/>
      <c r="J4" s="38">
        <v>45902</v>
      </c>
      <c r="K4" s="34">
        <v>77.411000000000001</v>
      </c>
      <c r="L4" s="38">
        <v>46146</v>
      </c>
      <c r="M4" s="34">
        <v>73.728999999999999</v>
      </c>
      <c r="N4" s="95" t="str">
        <f t="shared" ref="N4:N67" si="0">IF(COUNTIF(L:L,J4)=1,J4,"")</f>
        <v/>
      </c>
      <c r="O4" s="95" t="str">
        <f t="shared" ref="O4:O67" si="1">IF(N4&gt;$A$14,N4,"")</f>
        <v/>
      </c>
      <c r="P4" s="95">
        <v>46177</v>
      </c>
    </row>
    <row r="5" spans="1:16" x14ac:dyDescent="0.25">
      <c r="A5" s="14" t="s">
        <v>2</v>
      </c>
      <c r="B5" s="46">
        <f>10.4*10^6</f>
        <v>10400000</v>
      </c>
      <c r="C5" s="8">
        <f>10*10^6</f>
        <v>10000000</v>
      </c>
      <c r="I5" s="1"/>
      <c r="J5" s="38">
        <v>45903</v>
      </c>
      <c r="K5" s="34">
        <v>77.793999999999997</v>
      </c>
      <c r="L5" s="38">
        <v>46147</v>
      </c>
      <c r="M5" s="34">
        <v>73.938999999999993</v>
      </c>
      <c r="N5" s="95" t="str">
        <f t="shared" si="0"/>
        <v/>
      </c>
      <c r="O5" s="95" t="str">
        <f t="shared" si="1"/>
        <v/>
      </c>
      <c r="P5" s="95">
        <v>46178</v>
      </c>
    </row>
    <row r="6" spans="1:16" x14ac:dyDescent="0.25">
      <c r="A6" s="14" t="s">
        <v>3</v>
      </c>
      <c r="B6" s="47">
        <v>0.05</v>
      </c>
      <c r="C6" s="42">
        <v>4.7500000000000001E-2</v>
      </c>
      <c r="I6" s="1"/>
      <c r="J6" s="38">
        <v>45904</v>
      </c>
      <c r="K6" s="34">
        <v>78.460999999999999</v>
      </c>
      <c r="L6" s="38">
        <v>46148</v>
      </c>
      <c r="M6" s="34">
        <v>74.796999999999997</v>
      </c>
      <c r="N6" s="95" t="str">
        <f t="shared" si="0"/>
        <v/>
      </c>
      <c r="O6" s="95" t="str">
        <f t="shared" si="1"/>
        <v/>
      </c>
      <c r="P6" s="95">
        <v>46181</v>
      </c>
    </row>
    <row r="7" spans="1:16" x14ac:dyDescent="0.25">
      <c r="A7" s="14" t="s">
        <v>4</v>
      </c>
      <c r="B7" s="48">
        <v>3.6499999999999998E-2</v>
      </c>
      <c r="C7" s="10">
        <v>3.6499999999999998E-2</v>
      </c>
      <c r="I7" s="1"/>
      <c r="J7" s="38">
        <v>45905</v>
      </c>
      <c r="K7" s="34">
        <v>79.298000000000002</v>
      </c>
      <c r="L7" s="38">
        <v>46149</v>
      </c>
      <c r="M7" s="34">
        <v>74.378</v>
      </c>
      <c r="N7" s="95" t="str">
        <f t="shared" si="0"/>
        <v/>
      </c>
      <c r="O7" s="95" t="str">
        <f t="shared" si="1"/>
        <v/>
      </c>
      <c r="P7" s="95">
        <v>46182</v>
      </c>
    </row>
    <row r="8" spans="1:16" x14ac:dyDescent="0.25">
      <c r="A8" s="14" t="s">
        <v>5</v>
      </c>
      <c r="B8" s="4" t="s">
        <v>13</v>
      </c>
      <c r="C8" s="5" t="s">
        <v>13</v>
      </c>
      <c r="E8" s="1"/>
      <c r="F8" s="1"/>
      <c r="G8" s="1"/>
      <c r="H8" s="1"/>
      <c r="I8" s="1"/>
      <c r="J8" s="37">
        <v>45908</v>
      </c>
      <c r="K8" s="41">
        <v>79.27</v>
      </c>
      <c r="L8" s="37">
        <v>46150</v>
      </c>
      <c r="M8" s="41">
        <v>74.570999999999998</v>
      </c>
      <c r="N8" s="95" t="str">
        <f t="shared" si="0"/>
        <v/>
      </c>
      <c r="O8" s="95" t="str">
        <f t="shared" si="1"/>
        <v/>
      </c>
      <c r="P8" s="95">
        <v>46183</v>
      </c>
    </row>
    <row r="9" spans="1:16" x14ac:dyDescent="0.25">
      <c r="A9" s="14" t="s">
        <v>6</v>
      </c>
      <c r="B9" s="4" t="s">
        <v>13</v>
      </c>
      <c r="C9" s="5" t="s">
        <v>13</v>
      </c>
      <c r="E9" s="1"/>
      <c r="F9" s="1"/>
      <c r="G9" s="1"/>
      <c r="H9" s="1"/>
      <c r="I9" s="1"/>
      <c r="J9" s="37">
        <v>45909</v>
      </c>
      <c r="K9" s="41">
        <v>79.134</v>
      </c>
      <c r="L9" s="37">
        <v>46153</v>
      </c>
      <c r="M9" s="41">
        <v>74.361999999999995</v>
      </c>
      <c r="N9" s="95" t="str">
        <f t="shared" si="0"/>
        <v/>
      </c>
      <c r="O9" s="95" t="str">
        <f t="shared" si="1"/>
        <v/>
      </c>
      <c r="P9" s="95">
        <v>46184</v>
      </c>
    </row>
    <row r="10" spans="1:16" ht="15.75" thickBot="1" x14ac:dyDescent="0.3">
      <c r="A10" s="15" t="s">
        <v>15</v>
      </c>
      <c r="B10" s="11" cm="1">
        <f t="array" ref="B10">_xll.BDP(B4,"px_last")</f>
        <v>80.054000000000002</v>
      </c>
      <c r="C10" s="21" cm="1">
        <f t="array" ref="C10">_xll.BDP(C4,"px_last")</f>
        <v>74.563999999999993</v>
      </c>
      <c r="D10" s="86"/>
      <c r="E10" s="1"/>
      <c r="F10" s="1"/>
      <c r="G10" s="1"/>
      <c r="H10" s="1"/>
      <c r="I10" s="1"/>
      <c r="J10" s="37">
        <v>45910</v>
      </c>
      <c r="K10" s="41">
        <v>79.77</v>
      </c>
      <c r="L10" s="37">
        <v>46154</v>
      </c>
      <c r="M10" s="41">
        <v>73.744</v>
      </c>
      <c r="N10" s="95" t="str">
        <f t="shared" si="0"/>
        <v/>
      </c>
      <c r="O10" s="95" t="str">
        <f t="shared" si="1"/>
        <v/>
      </c>
      <c r="P10" s="95">
        <v>46185</v>
      </c>
    </row>
    <row r="11" spans="1:16" ht="15.75" thickBot="1" x14ac:dyDescent="0.3">
      <c r="A11" s="3"/>
      <c r="C11" s="1"/>
      <c r="D11" s="1"/>
      <c r="E11" s="1"/>
      <c r="F11" s="1"/>
      <c r="G11" s="1"/>
      <c r="H11" s="1"/>
      <c r="I11" s="1"/>
      <c r="J11" s="37">
        <v>45911</v>
      </c>
      <c r="K11" s="41">
        <v>80.662999999999997</v>
      </c>
      <c r="L11" s="37">
        <v>46155</v>
      </c>
      <c r="M11" s="41">
        <v>73.173000000000002</v>
      </c>
      <c r="N11" s="95" t="str">
        <f t="shared" si="0"/>
        <v/>
      </c>
      <c r="O11" s="95" t="str">
        <f t="shared" si="1"/>
        <v/>
      </c>
      <c r="P11" s="95">
        <v>46188</v>
      </c>
    </row>
    <row r="12" spans="1:16" ht="15.75" thickBot="1" x14ac:dyDescent="0.3">
      <c r="A12" s="27" t="s">
        <v>12</v>
      </c>
      <c r="B12" s="138" t="s">
        <v>0</v>
      </c>
      <c r="C12" s="139"/>
      <c r="D12" s="144"/>
      <c r="E12" s="140" t="s">
        <v>1</v>
      </c>
      <c r="F12" s="141"/>
      <c r="G12" s="142"/>
      <c r="H12" s="27" t="s">
        <v>7</v>
      </c>
      <c r="I12" s="1"/>
      <c r="J12" s="37">
        <v>45912</v>
      </c>
      <c r="K12" s="41">
        <v>80.677000000000007</v>
      </c>
      <c r="L12" s="37">
        <v>46156</v>
      </c>
      <c r="M12" s="41">
        <v>73.412000000000006</v>
      </c>
      <c r="N12" s="95" t="str">
        <f t="shared" si="0"/>
        <v/>
      </c>
      <c r="O12" s="95" t="str">
        <f t="shared" si="1"/>
        <v/>
      </c>
      <c r="P12" s="95">
        <v>46189</v>
      </c>
    </row>
    <row r="13" spans="1:16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I13" s="1"/>
      <c r="J13" s="37">
        <v>45915</v>
      </c>
      <c r="K13" s="41">
        <v>81.042000000000002</v>
      </c>
      <c r="L13" s="37">
        <v>46157</v>
      </c>
      <c r="M13" s="41">
        <v>72.322000000000003</v>
      </c>
      <c r="N13" s="95" t="str">
        <f t="shared" si="0"/>
        <v/>
      </c>
      <c r="O13" s="95" t="str">
        <f t="shared" si="1"/>
        <v/>
      </c>
      <c r="P13" s="95">
        <v>46190</v>
      </c>
    </row>
    <row r="14" spans="1:16" x14ac:dyDescent="0.25">
      <c r="A14" s="98">
        <v>46174.625</v>
      </c>
      <c r="B14" s="33">
        <v>79.75</v>
      </c>
      <c r="C14" s="34"/>
      <c r="D14" s="35"/>
      <c r="E14" s="53">
        <v>73.75</v>
      </c>
      <c r="F14" s="1"/>
      <c r="G14" s="5"/>
      <c r="H14" s="54">
        <v>0</v>
      </c>
      <c r="I14" s="1"/>
      <c r="J14" s="37">
        <v>45916</v>
      </c>
      <c r="K14" s="41">
        <v>81.274000000000001</v>
      </c>
      <c r="L14" s="37">
        <v>46160</v>
      </c>
      <c r="M14" s="41">
        <v>71.997</v>
      </c>
      <c r="N14" s="95" t="str">
        <f t="shared" si="0"/>
        <v/>
      </c>
      <c r="O14" s="95" t="str">
        <f t="shared" si="1"/>
        <v/>
      </c>
      <c r="P14" s="95">
        <v>46191</v>
      </c>
    </row>
    <row r="15" spans="1:16" x14ac:dyDescent="0.25">
      <c r="A15" s="98">
        <f ca="1">IF(AND(ISBLANK(P2), A14 = $P$1),NOW(),IF(ISBLANK(P2),"",P2))</f>
        <v>46175</v>
      </c>
      <c r="B15" s="33">
        <f ca="1">IF(COUNTIF(J:J,A15)=1,VLOOKUP(A15,J:K,2), IF(COUNTIF(J:J,A15)=0,$B$10,""))</f>
        <v>79.960999999999999</v>
      </c>
      <c r="C15" s="25">
        <f ca="1">IF(ISERROR(B15-2),"",(B15-$B$14)/100*$B$5)</f>
        <v>21943.999999999847</v>
      </c>
      <c r="D15" s="26">
        <f ca="1">IF(ISERROR(B15-2),"",(INT(A15)-INT($A$14))/360*$B$6*$B$5-(INT(A15)-INT($A$14))/360*$B$7*$B$5*$B$14/100)</f>
        <v>603.52499999999998</v>
      </c>
      <c r="E15" s="4">
        <f ca="1">IF(COUNTIF(L:L,A15)=1,VLOOKUP(A15,L:M,2), IF(COUNTIF(L:L,A15)=0,$C$10,""))</f>
        <v>74.491</v>
      </c>
      <c r="F15" s="25">
        <f ca="1">IF(ISERROR(E15-2), "", (E15-$E$14)/100*$C$5)</f>
        <v>74099.999999999971</v>
      </c>
      <c r="G15" s="26">
        <f ca="1">IF(ISERROR(E15-2),"",(INT(A15)-INT($A$14))/360*$C$6*$C$5-(INT(A15)-INT($A$14))/360*$C$7*$C$5*$E$14/100)</f>
        <v>571.70138888888914</v>
      </c>
      <c r="H15" s="55">
        <f ca="1">IF(ISERROR(E15-2),"",C15+D15-F15-G15)</f>
        <v>-52124.176388889013</v>
      </c>
      <c r="I15" s="1"/>
      <c r="J15" s="37">
        <v>45917</v>
      </c>
      <c r="K15" s="41">
        <v>81.256</v>
      </c>
      <c r="L15" s="37">
        <v>46161</v>
      </c>
      <c r="M15" s="41">
        <v>71.650999999999996</v>
      </c>
      <c r="N15" s="95" t="str">
        <f t="shared" si="0"/>
        <v/>
      </c>
      <c r="O15" s="95" t="str">
        <f t="shared" si="1"/>
        <v/>
      </c>
    </row>
    <row r="16" spans="1:16" x14ac:dyDescent="0.25">
      <c r="A16" s="98">
        <f t="shared" ref="A16:A79" ca="1" si="2">IF(AND(ISBLANK(P3), A15 = $P$1),NOW(),IF(ISBLANK(P3),"",P3))</f>
        <v>46176</v>
      </c>
      <c r="B16" s="33">
        <f t="shared" ref="B16:B36" ca="1" si="3">IF(COUNTIF(J:J,A16)=1,VLOOKUP(A16,J:K,2), IF(COUNTIF(J:J,A16)=0,$B$10,""))</f>
        <v>79.846000000000004</v>
      </c>
      <c r="C16" s="25">
        <f t="shared" ref="C16:C79" ca="1" si="4">IF(ISERROR(B16-2),"",(B16-$B$14)/100*$B$5)</f>
        <v>9984.0000000003783</v>
      </c>
      <c r="D16" s="26">
        <f t="shared" ref="D16:D79" ca="1" si="5">IF(ISERROR(B16-2),"",(INT(A16)-INT($A$14))/360*$B$6*$B$5-(INT(A16)-INT($A$14))/360*$B$7*$B$5*$B$14/100)</f>
        <v>1207.05</v>
      </c>
      <c r="E16" s="4">
        <f t="shared" ref="E16:E36" ca="1" si="6">IF(COUNTIF(L:L,A16)=1,VLOOKUP(A16,L:M,2), IF(COUNTIF(L:L,A16)=0,$C$10,""))</f>
        <v>74.274000000000001</v>
      </c>
      <c r="F16" s="25">
        <f t="shared" ref="F16:F79" ca="1" si="7">IF(ISERROR(E16-2), "", (E16-$E$14)/100*$C$5)</f>
        <v>52400.000000000095</v>
      </c>
      <c r="G16" s="26">
        <f t="shared" ref="G16:G79" ca="1" si="8">IF(ISERROR(E16-2),"",(INT(A16)-INT($A$14))/360*$C$6*$C$5-(INT(A16)-INT($A$14))/360*$C$7*$C$5*$E$14/100)</f>
        <v>1143.4027777777783</v>
      </c>
      <c r="H16" s="55">
        <f t="shared" ref="H16:H36" ca="1" si="9">IF(ISERROR(E16-2),"",C16+D16-F16-G16)</f>
        <v>-42352.352777777502</v>
      </c>
      <c r="I16" s="1"/>
      <c r="J16" s="37">
        <v>45918</v>
      </c>
      <c r="K16" s="41">
        <v>81.141000000000005</v>
      </c>
      <c r="L16" s="37">
        <v>46162</v>
      </c>
      <c r="M16" s="41">
        <v>72.150999999999996</v>
      </c>
      <c r="N16" s="95" t="str">
        <f t="shared" si="0"/>
        <v/>
      </c>
      <c r="O16" s="95" t="str">
        <f t="shared" si="1"/>
        <v/>
      </c>
    </row>
    <row r="17" spans="1:15" x14ac:dyDescent="0.25">
      <c r="A17" s="98">
        <f t="shared" ca="1" si="2"/>
        <v>46177</v>
      </c>
      <c r="B17" s="33">
        <f t="shared" ca="1" si="3"/>
        <v>80.004000000000005</v>
      </c>
      <c r="C17" s="25">
        <f t="shared" ca="1" si="4"/>
        <v>26416.000000000506</v>
      </c>
      <c r="D17" s="26">
        <f t="shared" ca="1" si="5"/>
        <v>1810.5750000000007</v>
      </c>
      <c r="E17" s="4">
        <f t="shared" ca="1" si="6"/>
        <v>74.540000000000006</v>
      </c>
      <c r="F17" s="25">
        <f t="shared" ca="1" si="7"/>
        <v>79000.000000000626</v>
      </c>
      <c r="G17" s="26">
        <f t="shared" ca="1" si="8"/>
        <v>1715.1041666666665</v>
      </c>
      <c r="H17" s="55">
        <f t="shared" ca="1" si="9"/>
        <v>-52488.529166666784</v>
      </c>
      <c r="I17" s="1"/>
      <c r="J17" s="37">
        <v>45919</v>
      </c>
      <c r="K17" s="41">
        <v>80.846999999999994</v>
      </c>
      <c r="L17" s="37">
        <v>46163</v>
      </c>
      <c r="M17" s="41">
        <v>72.701999999999998</v>
      </c>
      <c r="N17" s="95" t="str">
        <f t="shared" si="0"/>
        <v/>
      </c>
      <c r="O17" s="95" t="str">
        <f t="shared" si="1"/>
        <v/>
      </c>
    </row>
    <row r="18" spans="1:15" x14ac:dyDescent="0.25">
      <c r="A18" s="98">
        <f t="shared" ca="1" si="2"/>
        <v>46178</v>
      </c>
      <c r="B18" s="33">
        <f t="shared" ca="1" si="3"/>
        <v>79.603999999999999</v>
      </c>
      <c r="C18" s="25">
        <f t="shared" ca="1" si="4"/>
        <v>-15184.000000000082</v>
      </c>
      <c r="D18" s="26">
        <f t="shared" ca="1" si="5"/>
        <v>2414.1</v>
      </c>
      <c r="E18" s="4">
        <f t="shared" ca="1" si="6"/>
        <v>73.822999999999993</v>
      </c>
      <c r="F18" s="25">
        <f t="shared" ca="1" si="7"/>
        <v>7299.9999999993297</v>
      </c>
      <c r="G18" s="26">
        <f t="shared" ca="1" si="8"/>
        <v>2286.8055555555566</v>
      </c>
      <c r="H18" s="55">
        <f t="shared" ca="1" si="9"/>
        <v>-22356.705555554967</v>
      </c>
      <c r="I18" s="1"/>
      <c r="J18" s="37">
        <v>45922</v>
      </c>
      <c r="K18" s="41">
        <v>80.832999999999998</v>
      </c>
      <c r="L18" s="37">
        <v>46164</v>
      </c>
      <c r="M18" s="41">
        <v>72.826999999999998</v>
      </c>
      <c r="N18" s="95" t="str">
        <f t="shared" si="0"/>
        <v/>
      </c>
      <c r="O18" s="95" t="str">
        <f t="shared" si="1"/>
        <v/>
      </c>
    </row>
    <row r="19" spans="1:15" x14ac:dyDescent="0.25">
      <c r="A19" s="98">
        <f t="shared" ca="1" si="2"/>
        <v>46181</v>
      </c>
      <c r="B19" s="33">
        <f t="shared" ca="1" si="3"/>
        <v>79.301000000000002</v>
      </c>
      <c r="C19" s="25">
        <f t="shared" ca="1" si="4"/>
        <v>-46695.999999999804</v>
      </c>
      <c r="D19" s="26">
        <f t="shared" ca="1" si="5"/>
        <v>4224.6750000000011</v>
      </c>
      <c r="E19" s="4">
        <f t="shared" ca="1" si="6"/>
        <v>73.623999999999995</v>
      </c>
      <c r="F19" s="25">
        <f t="shared" ca="1" si="7"/>
        <v>-12600.000000000478</v>
      </c>
      <c r="G19" s="26">
        <f t="shared" ca="1" si="8"/>
        <v>4001.9097222222226</v>
      </c>
      <c r="H19" s="55">
        <f t="shared" ca="1" si="9"/>
        <v>-33873.234722221547</v>
      </c>
      <c r="I19" s="1"/>
      <c r="J19" s="37">
        <v>45923</v>
      </c>
      <c r="K19" s="41">
        <v>81.271000000000001</v>
      </c>
      <c r="L19" s="37">
        <v>46168</v>
      </c>
      <c r="M19" s="41">
        <v>73.322000000000003</v>
      </c>
      <c r="N19" s="95" t="str">
        <f t="shared" si="0"/>
        <v/>
      </c>
      <c r="O19" s="95" t="str">
        <f t="shared" si="1"/>
        <v/>
      </c>
    </row>
    <row r="20" spans="1:15" x14ac:dyDescent="0.25">
      <c r="A20" s="98">
        <f t="shared" ca="1" si="2"/>
        <v>46182</v>
      </c>
      <c r="B20" s="33">
        <f t="shared" ca="1" si="3"/>
        <v>79.156999999999996</v>
      </c>
      <c r="C20" s="25">
        <f t="shared" ca="1" si="4"/>
        <v>-61672.000000000364</v>
      </c>
      <c r="D20" s="26">
        <f t="shared" ca="1" si="5"/>
        <v>4828.2</v>
      </c>
      <c r="E20" s="4">
        <f t="shared" ca="1" si="6"/>
        <v>73.424999999999997</v>
      </c>
      <c r="F20" s="25">
        <f t="shared" ca="1" si="7"/>
        <v>-32500.000000000284</v>
      </c>
      <c r="G20" s="26">
        <f t="shared" ca="1" si="8"/>
        <v>4573.6111111111131</v>
      </c>
      <c r="H20" s="55">
        <f t="shared" ca="1" si="9"/>
        <v>-28917.411111111196</v>
      </c>
      <c r="I20" s="1"/>
      <c r="J20" s="37">
        <v>45924</v>
      </c>
      <c r="K20" s="41">
        <v>81.325999999999993</v>
      </c>
      <c r="L20" s="37">
        <v>46169</v>
      </c>
      <c r="M20" s="41">
        <v>73.459999999999994</v>
      </c>
      <c r="N20" s="95" t="str">
        <f t="shared" si="0"/>
        <v/>
      </c>
      <c r="O20" s="95" t="str">
        <f t="shared" si="1"/>
        <v/>
      </c>
    </row>
    <row r="21" spans="1:15" x14ac:dyDescent="0.25">
      <c r="A21" s="98">
        <f t="shared" ca="1" si="2"/>
        <v>46183</v>
      </c>
      <c r="B21" s="33">
        <f t="shared" ca="1" si="3"/>
        <v>78.622</v>
      </c>
      <c r="C21" s="25">
        <f t="shared" ca="1" si="4"/>
        <v>-117312.00000000001</v>
      </c>
      <c r="D21" s="26">
        <f t="shared" ca="1" si="5"/>
        <v>5431.7250000000022</v>
      </c>
      <c r="E21" s="4">
        <f t="shared" ca="1" si="6"/>
        <v>72.850999999999999</v>
      </c>
      <c r="F21" s="25">
        <f t="shared" ca="1" si="7"/>
        <v>-89900.000000000087</v>
      </c>
      <c r="G21" s="26">
        <f t="shared" ca="1" si="8"/>
        <v>5145.3125000000018</v>
      </c>
      <c r="H21" s="55">
        <f t="shared" ca="1" si="9"/>
        <v>-27125.587499999921</v>
      </c>
      <c r="I21" s="1"/>
      <c r="J21" s="37">
        <v>45925</v>
      </c>
      <c r="K21" s="41">
        <v>81.146000000000001</v>
      </c>
      <c r="L21" s="37">
        <v>46170</v>
      </c>
      <c r="M21" s="41">
        <v>73.828999999999994</v>
      </c>
      <c r="N21" s="95" t="str">
        <f t="shared" si="0"/>
        <v/>
      </c>
      <c r="O21" s="95" t="str">
        <f t="shared" si="1"/>
        <v/>
      </c>
    </row>
    <row r="22" spans="1:15" x14ac:dyDescent="0.25">
      <c r="A22" s="98">
        <f t="shared" ca="1" si="2"/>
        <v>46184</v>
      </c>
      <c r="B22" s="33">
        <f t="shared" ca="1" si="3"/>
        <v>79.397999999999996</v>
      </c>
      <c r="C22" s="25">
        <f t="shared" ca="1" si="4"/>
        <v>-36608.0000000004</v>
      </c>
      <c r="D22" s="26">
        <f t="shared" ca="1" si="5"/>
        <v>6035.2500000000018</v>
      </c>
      <c r="E22" s="4">
        <f t="shared" ca="1" si="6"/>
        <v>73.641000000000005</v>
      </c>
      <c r="F22" s="25">
        <f t="shared" ca="1" si="7"/>
        <v>-10899.999999999465</v>
      </c>
      <c r="G22" s="26">
        <f t="shared" ca="1" si="8"/>
        <v>5717.0138888888905</v>
      </c>
      <c r="H22" s="55">
        <f t="shared" ca="1" si="9"/>
        <v>-25389.763888889825</v>
      </c>
      <c r="I22" s="1"/>
      <c r="J22" s="37">
        <v>45926</v>
      </c>
      <c r="K22" s="41">
        <v>81.114000000000004</v>
      </c>
      <c r="L22" s="37">
        <v>46171</v>
      </c>
      <c r="M22" s="41">
        <v>74.125</v>
      </c>
      <c r="N22" s="95" t="str">
        <f t="shared" si="0"/>
        <v/>
      </c>
      <c r="O22" s="95" t="str">
        <f t="shared" si="1"/>
        <v/>
      </c>
    </row>
    <row r="23" spans="1:15" x14ac:dyDescent="0.25">
      <c r="A23" s="98">
        <f t="shared" ca="1" si="2"/>
        <v>46185</v>
      </c>
      <c r="B23" s="33">
        <f t="shared" ca="1" si="3"/>
        <v>79.388000000000005</v>
      </c>
      <c r="C23" s="25">
        <f t="shared" ca="1" si="4"/>
        <v>-37647.999999999462</v>
      </c>
      <c r="D23" s="26">
        <f t="shared" ca="1" si="5"/>
        <v>6638.7750000000015</v>
      </c>
      <c r="E23" s="4">
        <f t="shared" ca="1" si="6"/>
        <v>73.605000000000004</v>
      </c>
      <c r="F23" s="25">
        <f t="shared" ca="1" si="7"/>
        <v>-14499.999999999602</v>
      </c>
      <c r="G23" s="26">
        <f t="shared" ca="1" si="8"/>
        <v>6288.7152777777774</v>
      </c>
      <c r="H23" s="55">
        <f t="shared" ca="1" si="9"/>
        <v>-22797.940277777638</v>
      </c>
      <c r="I23" s="1"/>
      <c r="J23" s="37">
        <v>45929</v>
      </c>
      <c r="K23" s="41">
        <v>81.272999999999996</v>
      </c>
      <c r="L23" s="37">
        <v>46174</v>
      </c>
      <c r="M23" s="41">
        <v>74.182000000000002</v>
      </c>
      <c r="N23" s="95" t="str">
        <f t="shared" si="0"/>
        <v/>
      </c>
      <c r="O23" s="95" t="str">
        <f t="shared" si="1"/>
        <v/>
      </c>
    </row>
    <row r="24" spans="1:15" x14ac:dyDescent="0.25">
      <c r="A24" s="98">
        <f t="shared" ca="1" si="2"/>
        <v>46188</v>
      </c>
      <c r="B24" s="33">
        <f t="shared" ca="1" si="3"/>
        <v>79.722999999999999</v>
      </c>
      <c r="C24" s="25">
        <f t="shared" ca="1" si="4"/>
        <v>-2808.0000000001064</v>
      </c>
      <c r="D24" s="26">
        <f t="shared" ca="1" si="5"/>
        <v>8449.3500000000022</v>
      </c>
      <c r="E24" s="4">
        <f t="shared" ca="1" si="6"/>
        <v>74.138000000000005</v>
      </c>
      <c r="F24" s="25">
        <f t="shared" ca="1" si="7"/>
        <v>38800.000000000524</v>
      </c>
      <c r="G24" s="26">
        <f t="shared" ca="1" si="8"/>
        <v>8003.8194444444453</v>
      </c>
      <c r="H24" s="55">
        <f t="shared" ca="1" si="9"/>
        <v>-41162.469444445072</v>
      </c>
      <c r="I24" s="1"/>
      <c r="J24" s="37">
        <v>45930</v>
      </c>
      <c r="K24" s="41">
        <v>81.378</v>
      </c>
      <c r="L24" s="37">
        <v>46175</v>
      </c>
      <c r="M24" s="41">
        <v>74.491</v>
      </c>
      <c r="N24" s="95" t="str">
        <f t="shared" si="0"/>
        <v/>
      </c>
      <c r="O24" s="95" t="str">
        <f t="shared" si="1"/>
        <v/>
      </c>
    </row>
    <row r="25" spans="1:15" x14ac:dyDescent="0.25">
      <c r="A25" s="98">
        <f t="shared" ca="1" si="2"/>
        <v>46189</v>
      </c>
      <c r="B25" s="33">
        <f t="shared" ca="1" si="3"/>
        <v>80.069999999999993</v>
      </c>
      <c r="C25" s="25">
        <f t="shared" ca="1" si="4"/>
        <v>33279.999999999287</v>
      </c>
      <c r="D25" s="26">
        <f t="shared" ca="1" si="5"/>
        <v>9052.8750000000036</v>
      </c>
      <c r="E25" s="4">
        <f t="shared" ca="1" si="6"/>
        <v>74.524000000000001</v>
      </c>
      <c r="F25" s="25">
        <f t="shared" ca="1" si="7"/>
        <v>77400.000000000087</v>
      </c>
      <c r="G25" s="26">
        <f t="shared" ca="1" si="8"/>
        <v>8575.5208333333321</v>
      </c>
      <c r="H25" s="55">
        <f t="shared" ca="1" si="9"/>
        <v>-43642.645833334129</v>
      </c>
      <c r="I25" s="1"/>
      <c r="J25" s="37">
        <v>45931</v>
      </c>
      <c r="K25" s="41">
        <v>81.634</v>
      </c>
      <c r="L25" s="37">
        <v>46176</v>
      </c>
      <c r="M25" s="41">
        <v>74.274000000000001</v>
      </c>
      <c r="N25" s="95" t="str">
        <f t="shared" si="0"/>
        <v/>
      </c>
      <c r="O25" s="95" t="str">
        <f t="shared" si="1"/>
        <v/>
      </c>
    </row>
    <row r="26" spans="1:15" x14ac:dyDescent="0.25">
      <c r="A26" s="98">
        <f t="shared" ca="1" si="2"/>
        <v>46190</v>
      </c>
      <c r="B26" s="33">
        <f t="shared" ca="1" si="3"/>
        <v>79.888000000000005</v>
      </c>
      <c r="C26" s="25">
        <f t="shared" ca="1" si="4"/>
        <v>14352.000000000542</v>
      </c>
      <c r="D26" s="26">
        <f t="shared" ca="1" si="5"/>
        <v>9656.4</v>
      </c>
      <c r="E26" s="4">
        <f t="shared" ca="1" si="6"/>
        <v>74.290000000000006</v>
      </c>
      <c r="F26" s="25">
        <f t="shared" ca="1" si="7"/>
        <v>54000.000000000626</v>
      </c>
      <c r="G26" s="26">
        <f t="shared" ca="1" si="8"/>
        <v>9147.2222222222263</v>
      </c>
      <c r="H26" s="55">
        <f t="shared" ca="1" si="9"/>
        <v>-39138.822222222312</v>
      </c>
      <c r="I26" s="1"/>
      <c r="J26" s="37">
        <v>45932</v>
      </c>
      <c r="K26" s="41">
        <v>81.698999999999998</v>
      </c>
      <c r="L26" s="37">
        <v>46177</v>
      </c>
      <c r="M26" s="41">
        <v>74.540000000000006</v>
      </c>
      <c r="N26" s="95" t="str">
        <f t="shared" si="0"/>
        <v/>
      </c>
      <c r="O26" s="95" t="str">
        <f t="shared" si="1"/>
        <v/>
      </c>
    </row>
    <row r="27" spans="1:15" x14ac:dyDescent="0.25">
      <c r="A27" s="98">
        <f t="shared" ca="1" si="2"/>
        <v>46191</v>
      </c>
      <c r="B27" s="33">
        <f t="shared" ca="1" si="3"/>
        <v>80.057000000000002</v>
      </c>
      <c r="C27" s="25">
        <f t="shared" ca="1" si="4"/>
        <v>31928.000000000222</v>
      </c>
      <c r="D27" s="26">
        <f t="shared" ca="1" si="5"/>
        <v>10259.924999999999</v>
      </c>
      <c r="E27" s="4">
        <f t="shared" ca="1" si="6"/>
        <v>74.563999999999993</v>
      </c>
      <c r="F27" s="25">
        <f t="shared" ca="1" si="7"/>
        <v>81399.999999999302</v>
      </c>
      <c r="G27" s="26">
        <f t="shared" ca="1" si="8"/>
        <v>9718.9236111111113</v>
      </c>
      <c r="H27" s="55">
        <f t="shared" ca="1" si="9"/>
        <v>-48930.99861111019</v>
      </c>
      <c r="I27" s="1"/>
      <c r="J27" s="37">
        <v>45933</v>
      </c>
      <c r="K27" s="41">
        <v>81.554000000000002</v>
      </c>
      <c r="L27" s="37">
        <v>46178</v>
      </c>
      <c r="M27" s="41">
        <v>73.822999999999993</v>
      </c>
      <c r="N27" s="95" t="str">
        <f t="shared" si="0"/>
        <v/>
      </c>
      <c r="O27" s="95" t="str">
        <f t="shared" si="1"/>
        <v/>
      </c>
    </row>
    <row r="28" spans="1:15" x14ac:dyDescent="0.25">
      <c r="A28" s="98">
        <f t="shared" ca="1" si="2"/>
        <v>46191.47081053241</v>
      </c>
      <c r="B28" s="33">
        <f t="shared" ca="1" si="3"/>
        <v>80.054000000000002</v>
      </c>
      <c r="C28" s="25">
        <f t="shared" ca="1" si="4"/>
        <v>31616.000000000215</v>
      </c>
      <c r="D28" s="26">
        <f t="shared" ca="1" si="5"/>
        <v>10259.924999999999</v>
      </c>
      <c r="E28" s="4">
        <f t="shared" ca="1" si="6"/>
        <v>74.563999999999993</v>
      </c>
      <c r="F28" s="25">
        <f t="shared" ca="1" si="7"/>
        <v>81399.999999999302</v>
      </c>
      <c r="G28" s="26">
        <f t="shared" ca="1" si="8"/>
        <v>9718.9236111111113</v>
      </c>
      <c r="H28" s="55">
        <f t="shared" ca="1" si="9"/>
        <v>-49242.998611110197</v>
      </c>
      <c r="I28" s="1"/>
      <c r="J28" s="37">
        <v>45936</v>
      </c>
      <c r="K28" s="41">
        <v>81.343999999999994</v>
      </c>
      <c r="L28" s="37">
        <v>46181</v>
      </c>
      <c r="M28" s="41">
        <v>73.623999999999995</v>
      </c>
      <c r="N28" s="95" t="str">
        <f t="shared" si="0"/>
        <v/>
      </c>
      <c r="O28" s="95" t="str">
        <f t="shared" si="1"/>
        <v/>
      </c>
    </row>
    <row r="29" spans="1:15" x14ac:dyDescent="0.25">
      <c r="A29" s="98" t="str">
        <f t="shared" ca="1" si="2"/>
        <v/>
      </c>
      <c r="B29" s="33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4" t="str">
        <f t="shared" ca="1" si="6"/>
        <v/>
      </c>
      <c r="F29" s="25" t="str">
        <f t="shared" ca="1" si="7"/>
        <v/>
      </c>
      <c r="G29" s="26" t="str">
        <f t="shared" ca="1" si="8"/>
        <v/>
      </c>
      <c r="H29" s="55" t="str">
        <f t="shared" ca="1" si="9"/>
        <v/>
      </c>
      <c r="I29" s="1"/>
      <c r="J29" s="37">
        <v>45937</v>
      </c>
      <c r="K29" s="41">
        <v>81.418000000000006</v>
      </c>
      <c r="L29" s="37">
        <v>46182</v>
      </c>
      <c r="M29" s="41">
        <v>73.424999999999997</v>
      </c>
      <c r="N29" s="95" t="str">
        <f t="shared" si="0"/>
        <v/>
      </c>
      <c r="O29" s="95" t="str">
        <f t="shared" si="1"/>
        <v/>
      </c>
    </row>
    <row r="30" spans="1:15" x14ac:dyDescent="0.25">
      <c r="A30" s="98" t="str">
        <f t="shared" ca="1" si="2"/>
        <v/>
      </c>
      <c r="B30" s="33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4" t="str">
        <f t="shared" ca="1" si="6"/>
        <v/>
      </c>
      <c r="F30" s="25" t="str">
        <f t="shared" ca="1" si="7"/>
        <v/>
      </c>
      <c r="G30" s="26" t="str">
        <f t="shared" ca="1" si="8"/>
        <v/>
      </c>
      <c r="H30" s="55" t="str">
        <f t="shared" ca="1" si="9"/>
        <v/>
      </c>
      <c r="I30" s="1"/>
      <c r="J30" s="37">
        <v>45938</v>
      </c>
      <c r="K30" s="41">
        <v>81.257999999999996</v>
      </c>
      <c r="L30" s="37">
        <v>46183</v>
      </c>
      <c r="M30" s="41">
        <v>72.850999999999999</v>
      </c>
      <c r="N30" s="95" t="str">
        <f t="shared" si="0"/>
        <v/>
      </c>
      <c r="O30" s="95" t="str">
        <f t="shared" si="1"/>
        <v/>
      </c>
    </row>
    <row r="31" spans="1:15" x14ac:dyDescent="0.25">
      <c r="A31" s="98" t="str">
        <f t="shared" ca="1" si="2"/>
        <v/>
      </c>
      <c r="B31" s="33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4" t="str">
        <f t="shared" ca="1" si="6"/>
        <v/>
      </c>
      <c r="F31" s="25" t="str">
        <f t="shared" ca="1" si="7"/>
        <v/>
      </c>
      <c r="G31" s="26" t="str">
        <f t="shared" ca="1" si="8"/>
        <v/>
      </c>
      <c r="H31" s="55" t="str">
        <f t="shared" ca="1" si="9"/>
        <v/>
      </c>
      <c r="I31" s="1"/>
      <c r="J31" s="37">
        <v>45939</v>
      </c>
      <c r="K31" s="41">
        <v>80.575000000000003</v>
      </c>
      <c r="L31" s="37">
        <v>46184</v>
      </c>
      <c r="M31" s="41">
        <v>73.641000000000005</v>
      </c>
      <c r="N31" s="95" t="str">
        <f t="shared" si="0"/>
        <v/>
      </c>
      <c r="O31" s="95" t="str">
        <f t="shared" si="1"/>
        <v/>
      </c>
    </row>
    <row r="32" spans="1:15" x14ac:dyDescent="0.25">
      <c r="A32" s="98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4" t="str">
        <f t="shared" ca="1" si="6"/>
        <v/>
      </c>
      <c r="F32" s="25" t="str">
        <f t="shared" ca="1" si="7"/>
        <v/>
      </c>
      <c r="G32" s="26" t="str">
        <f t="shared" ca="1" si="8"/>
        <v/>
      </c>
      <c r="H32" s="55" t="str">
        <f t="shared" ca="1" si="9"/>
        <v/>
      </c>
      <c r="I32" s="1"/>
      <c r="J32" s="37">
        <v>45940</v>
      </c>
      <c r="K32" s="41">
        <v>79.751999999999995</v>
      </c>
      <c r="L32" s="37">
        <v>46185</v>
      </c>
      <c r="M32" s="41">
        <v>73.605000000000004</v>
      </c>
      <c r="N32" s="95" t="str">
        <f t="shared" si="0"/>
        <v/>
      </c>
      <c r="O32" s="95" t="str">
        <f t="shared" si="1"/>
        <v/>
      </c>
    </row>
    <row r="33" spans="1:15" x14ac:dyDescent="0.25">
      <c r="A33" s="98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4" t="str">
        <f t="shared" ca="1" si="6"/>
        <v/>
      </c>
      <c r="F33" s="25" t="str">
        <f t="shared" ca="1" si="7"/>
        <v/>
      </c>
      <c r="G33" s="26" t="str">
        <f t="shared" ca="1" si="8"/>
        <v/>
      </c>
      <c r="H33" s="55" t="str">
        <f t="shared" ca="1" si="9"/>
        <v/>
      </c>
      <c r="I33" s="1"/>
      <c r="J33" s="37">
        <v>45943</v>
      </c>
      <c r="K33" s="41">
        <v>79.751999999999995</v>
      </c>
      <c r="L33" s="37">
        <v>46188</v>
      </c>
      <c r="M33" s="41">
        <v>74.138000000000005</v>
      </c>
      <c r="N33" s="95" t="str">
        <f t="shared" si="0"/>
        <v/>
      </c>
      <c r="O33" s="95" t="str">
        <f t="shared" si="1"/>
        <v/>
      </c>
    </row>
    <row r="34" spans="1:15" x14ac:dyDescent="0.25">
      <c r="A34" s="98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4" t="str">
        <f t="shared" ca="1" si="6"/>
        <v/>
      </c>
      <c r="F34" s="25" t="str">
        <f t="shared" ca="1" si="7"/>
        <v/>
      </c>
      <c r="G34" s="26" t="str">
        <f t="shared" ca="1" si="8"/>
        <v/>
      </c>
      <c r="H34" s="55" t="str">
        <f t="shared" ca="1" si="9"/>
        <v/>
      </c>
      <c r="I34" s="1"/>
      <c r="J34" s="37">
        <v>45944</v>
      </c>
      <c r="K34" s="41">
        <v>80.674000000000007</v>
      </c>
      <c r="L34" s="37">
        <v>46189</v>
      </c>
      <c r="M34" s="41">
        <v>74.524000000000001</v>
      </c>
      <c r="N34" s="95" t="str">
        <f t="shared" si="0"/>
        <v/>
      </c>
      <c r="O34" s="95" t="str">
        <f t="shared" si="1"/>
        <v/>
      </c>
    </row>
    <row r="35" spans="1:15" x14ac:dyDescent="0.25">
      <c r="A35" s="98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4" t="str">
        <f t="shared" ca="1" si="6"/>
        <v/>
      </c>
      <c r="F35" s="25" t="str">
        <f t="shared" ca="1" si="7"/>
        <v/>
      </c>
      <c r="G35" s="26" t="str">
        <f t="shared" ca="1" si="8"/>
        <v/>
      </c>
      <c r="H35" s="55" t="str">
        <f t="shared" ca="1" si="9"/>
        <v/>
      </c>
      <c r="I35" s="1"/>
      <c r="J35" s="37">
        <v>45945</v>
      </c>
      <c r="K35" s="41">
        <v>81.358999999999995</v>
      </c>
      <c r="L35" s="37">
        <v>46190</v>
      </c>
      <c r="M35" s="41">
        <v>74.290000000000006</v>
      </c>
      <c r="N35" s="95" t="str">
        <f t="shared" si="0"/>
        <v/>
      </c>
      <c r="O35" s="95" t="str">
        <f t="shared" si="1"/>
        <v/>
      </c>
    </row>
    <row r="36" spans="1:15" x14ac:dyDescent="0.25">
      <c r="A36" s="98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4" t="str">
        <f t="shared" ca="1" si="6"/>
        <v/>
      </c>
      <c r="F36" s="25" t="str">
        <f t="shared" ca="1" si="7"/>
        <v/>
      </c>
      <c r="G36" s="26" t="str">
        <f t="shared" ca="1" si="8"/>
        <v/>
      </c>
      <c r="H36" s="55" t="str">
        <f t="shared" ca="1" si="9"/>
        <v/>
      </c>
      <c r="I36" s="1"/>
      <c r="J36" s="37">
        <v>45946</v>
      </c>
      <c r="K36" s="41">
        <v>81.582999999999998</v>
      </c>
      <c r="L36" s="37">
        <v>46191</v>
      </c>
      <c r="M36" s="41">
        <v>74.563999999999993</v>
      </c>
      <c r="N36" s="95" t="str">
        <f t="shared" si="0"/>
        <v/>
      </c>
      <c r="O36" s="95" t="str">
        <f t="shared" si="1"/>
        <v/>
      </c>
    </row>
    <row r="37" spans="1:15" x14ac:dyDescent="0.25">
      <c r="A37" s="98" t="str">
        <f t="shared" ca="1" si="2"/>
        <v/>
      </c>
      <c r="B37" s="33" t="str">
        <f ca="1">IF(COUNTIF(J:J,A37)=1,VLOOKUP(A37,J:K,2), IF(COUNTIF(J:J,A37)=0,$B$10,""))</f>
        <v/>
      </c>
      <c r="C37" s="25" t="str">
        <f t="shared" ca="1" si="4"/>
        <v/>
      </c>
      <c r="D37" s="26" t="str">
        <f t="shared" ca="1" si="5"/>
        <v/>
      </c>
      <c r="E37" s="4" t="str">
        <f ca="1">IF(COUNTIF(L:L,A37)=1,VLOOKUP(A37,L:M,2), IF(COUNTIF(L:L,A37)=0,$C$10,""))</f>
        <v/>
      </c>
      <c r="F37" s="25" t="str">
        <f t="shared" ca="1" si="7"/>
        <v/>
      </c>
      <c r="G37" s="26" t="str">
        <f t="shared" ca="1" si="8"/>
        <v/>
      </c>
      <c r="H37" s="55" t="str">
        <f ca="1">IF(ISERROR(E37-2),"",C37+D37-F37-G37)</f>
        <v/>
      </c>
      <c r="I37" s="1"/>
      <c r="J37" s="37">
        <v>45947</v>
      </c>
      <c r="K37" s="41">
        <v>81.462000000000003</v>
      </c>
      <c r="L37" s="37"/>
      <c r="N37" s="95" t="str">
        <f t="shared" si="0"/>
        <v/>
      </c>
      <c r="O37" s="95" t="str">
        <f t="shared" si="1"/>
        <v/>
      </c>
    </row>
    <row r="38" spans="1:15" x14ac:dyDescent="0.25">
      <c r="A38" s="98" t="str">
        <f t="shared" ca="1" si="2"/>
        <v/>
      </c>
      <c r="B38" s="33" t="str">
        <f ca="1">IF(COUNTIF(J:J,A38)=1,VLOOKUP(A38,J:K,2), IF(COUNTIF(J:J,A38)=0,$B$10,""))</f>
        <v/>
      </c>
      <c r="C38" s="25" t="str">
        <f t="shared" ca="1" si="4"/>
        <v/>
      </c>
      <c r="D38" s="26" t="str">
        <f t="shared" ca="1" si="5"/>
        <v/>
      </c>
      <c r="E38" s="4" t="str">
        <f ca="1">IF(COUNTIF(L:L,A38)=1,VLOOKUP(A38,L:M,2), IF(COUNTIF(L:L,A38)=0,$C$10,""))</f>
        <v/>
      </c>
      <c r="F38" s="25" t="str">
        <f t="shared" ca="1" si="7"/>
        <v/>
      </c>
      <c r="G38" s="26" t="str">
        <f t="shared" ca="1" si="8"/>
        <v/>
      </c>
      <c r="H38" s="55" t="str">
        <f ca="1">IF(ISERROR(E38-2),"",C38+D38-F38-G38)</f>
        <v/>
      </c>
      <c r="I38" s="1"/>
      <c r="J38" s="37">
        <v>45950</v>
      </c>
      <c r="K38" s="41">
        <v>81.793999999999997</v>
      </c>
      <c r="L38" s="37"/>
      <c r="N38" s="95" t="str">
        <f t="shared" si="0"/>
        <v/>
      </c>
      <c r="O38" s="95" t="str">
        <f t="shared" si="1"/>
        <v/>
      </c>
    </row>
    <row r="39" spans="1:15" x14ac:dyDescent="0.25">
      <c r="A39" s="98" t="str">
        <f t="shared" ca="1" si="2"/>
        <v/>
      </c>
      <c r="B39" s="33" t="str">
        <f t="shared" ref="B39:B102" ca="1" si="10">IF(COUNTIF(J:J,A39)=1,VLOOKUP(A39,J:K,2), IF(COUNTIF(J:J,A39)=0,$B$10,""))</f>
        <v/>
      </c>
      <c r="C39" s="25" t="str">
        <f t="shared" ca="1" si="4"/>
        <v/>
      </c>
      <c r="D39" s="26" t="str">
        <f t="shared" ca="1" si="5"/>
        <v/>
      </c>
      <c r="E39" s="4" t="str">
        <f t="shared" ref="E39:E102" ca="1" si="11">IF(COUNTIF(L:L,A39)=1,VLOOKUP(A39,L:M,2), IF(COUNTIF(L:L,A39)=0,$C$10,""))</f>
        <v/>
      </c>
      <c r="F39" s="25" t="str">
        <f t="shared" ca="1" si="7"/>
        <v/>
      </c>
      <c r="G39" s="26" t="str">
        <f t="shared" ca="1" si="8"/>
        <v/>
      </c>
      <c r="H39" s="55" t="str">
        <f t="shared" ref="H39:H102" ca="1" si="12">IF(ISERROR(E39-2),"",C39+D39-F39-G39)</f>
        <v/>
      </c>
      <c r="I39" s="1"/>
      <c r="J39" s="37">
        <v>45951</v>
      </c>
      <c r="K39" s="41">
        <v>82.1</v>
      </c>
      <c r="L39" s="37"/>
      <c r="N39" s="95" t="str">
        <f t="shared" si="0"/>
        <v/>
      </c>
      <c r="O39" s="95" t="str">
        <f t="shared" si="1"/>
        <v/>
      </c>
    </row>
    <row r="40" spans="1:15" x14ac:dyDescent="0.25">
      <c r="A40" s="98" t="str">
        <f t="shared" ca="1" si="2"/>
        <v/>
      </c>
      <c r="B40" s="33" t="str">
        <f t="shared" ca="1" si="10"/>
        <v/>
      </c>
      <c r="C40" s="25" t="str">
        <f t="shared" ca="1" si="4"/>
        <v/>
      </c>
      <c r="D40" s="26" t="str">
        <f t="shared" ca="1" si="5"/>
        <v/>
      </c>
      <c r="E40" s="4" t="str">
        <f t="shared" ca="1" si="11"/>
        <v/>
      </c>
      <c r="F40" s="25" t="str">
        <f t="shared" ca="1" si="7"/>
        <v/>
      </c>
      <c r="G40" s="26" t="str">
        <f t="shared" ca="1" si="8"/>
        <v/>
      </c>
      <c r="H40" s="55" t="str">
        <f t="shared" ca="1" si="12"/>
        <v/>
      </c>
      <c r="I40" s="1"/>
      <c r="J40" s="37">
        <v>45952</v>
      </c>
      <c r="K40" s="41">
        <v>81.808999999999997</v>
      </c>
      <c r="L40" s="37"/>
      <c r="N40" s="95" t="str">
        <f t="shared" si="0"/>
        <v/>
      </c>
      <c r="O40" s="95" t="str">
        <f t="shared" si="1"/>
        <v/>
      </c>
    </row>
    <row r="41" spans="1:15" x14ac:dyDescent="0.25">
      <c r="A41" s="98" t="str">
        <f t="shared" ca="1" si="2"/>
        <v/>
      </c>
      <c r="B41" s="33" t="str">
        <f t="shared" ca="1" si="10"/>
        <v/>
      </c>
      <c r="C41" s="25" t="str">
        <f t="shared" ca="1" si="4"/>
        <v/>
      </c>
      <c r="D41" s="26" t="str">
        <f t="shared" ca="1" si="5"/>
        <v/>
      </c>
      <c r="E41" s="4" t="str">
        <f t="shared" ca="1" si="11"/>
        <v/>
      </c>
      <c r="F41" s="25" t="str">
        <f t="shared" ca="1" si="7"/>
        <v/>
      </c>
      <c r="G41" s="26" t="str">
        <f t="shared" ca="1" si="8"/>
        <v/>
      </c>
      <c r="H41" s="55" t="str">
        <f t="shared" ca="1" si="12"/>
        <v/>
      </c>
      <c r="I41" s="1"/>
      <c r="J41" s="37">
        <v>45953</v>
      </c>
      <c r="K41" s="41">
        <v>81.468000000000004</v>
      </c>
      <c r="L41" s="37"/>
      <c r="N41" s="95" t="str">
        <f t="shared" si="0"/>
        <v/>
      </c>
      <c r="O41" s="95" t="str">
        <f t="shared" si="1"/>
        <v/>
      </c>
    </row>
    <row r="42" spans="1:15" x14ac:dyDescent="0.25">
      <c r="A42" s="98" t="str">
        <f t="shared" ca="1" si="2"/>
        <v/>
      </c>
      <c r="B42" s="33" t="str">
        <f t="shared" ca="1" si="10"/>
        <v/>
      </c>
      <c r="C42" s="25" t="str">
        <f t="shared" ca="1" si="4"/>
        <v/>
      </c>
      <c r="D42" s="26" t="str">
        <f t="shared" ca="1" si="5"/>
        <v/>
      </c>
      <c r="E42" s="4" t="str">
        <f t="shared" ca="1" si="11"/>
        <v/>
      </c>
      <c r="F42" s="25" t="str">
        <f t="shared" ca="1" si="7"/>
        <v/>
      </c>
      <c r="G42" s="26" t="str">
        <f t="shared" ca="1" si="8"/>
        <v/>
      </c>
      <c r="H42" s="55" t="str">
        <f t="shared" ca="1" si="12"/>
        <v/>
      </c>
      <c r="I42" s="1"/>
      <c r="J42" s="37">
        <v>45954</v>
      </c>
      <c r="K42" s="41">
        <v>81.647999999999996</v>
      </c>
      <c r="L42" s="37"/>
      <c r="N42" s="95" t="str">
        <f t="shared" si="0"/>
        <v/>
      </c>
      <c r="O42" s="95" t="str">
        <f t="shared" si="1"/>
        <v/>
      </c>
    </row>
    <row r="43" spans="1:15" x14ac:dyDescent="0.25">
      <c r="A43" s="98" t="str">
        <f t="shared" ca="1" si="2"/>
        <v/>
      </c>
      <c r="B43" s="33" t="str">
        <f t="shared" ca="1" si="10"/>
        <v/>
      </c>
      <c r="C43" s="25" t="str">
        <f t="shared" ca="1" si="4"/>
        <v/>
      </c>
      <c r="D43" s="26" t="str">
        <f t="shared" ca="1" si="5"/>
        <v/>
      </c>
      <c r="E43" s="4" t="str">
        <f t="shared" ca="1" si="11"/>
        <v/>
      </c>
      <c r="F43" s="25" t="str">
        <f t="shared" ca="1" si="7"/>
        <v/>
      </c>
      <c r="G43" s="26" t="str">
        <f t="shared" ca="1" si="8"/>
        <v/>
      </c>
      <c r="H43" s="55" t="str">
        <f t="shared" ca="1" si="12"/>
        <v/>
      </c>
      <c r="I43" s="1"/>
      <c r="J43" s="37">
        <v>45957</v>
      </c>
      <c r="K43" s="41">
        <v>82.033000000000001</v>
      </c>
      <c r="L43" s="37"/>
      <c r="N43" s="95" t="str">
        <f t="shared" si="0"/>
        <v/>
      </c>
      <c r="O43" s="95" t="str">
        <f t="shared" si="1"/>
        <v/>
      </c>
    </row>
    <row r="44" spans="1:15" x14ac:dyDescent="0.25">
      <c r="A44" s="98" t="str">
        <f t="shared" ca="1" si="2"/>
        <v/>
      </c>
      <c r="B44" s="33" t="str">
        <f t="shared" ca="1" si="10"/>
        <v/>
      </c>
      <c r="C44" s="25" t="str">
        <f t="shared" ca="1" si="4"/>
        <v/>
      </c>
      <c r="D44" s="26" t="str">
        <f t="shared" ca="1" si="5"/>
        <v/>
      </c>
      <c r="E44" s="4" t="str">
        <f t="shared" ca="1" si="11"/>
        <v/>
      </c>
      <c r="F44" s="25" t="str">
        <f t="shared" ca="1" si="7"/>
        <v/>
      </c>
      <c r="G44" s="26" t="str">
        <f t="shared" ca="1" si="8"/>
        <v/>
      </c>
      <c r="H44" s="55" t="str">
        <f t="shared" ca="1" si="12"/>
        <v/>
      </c>
      <c r="I44" s="1"/>
      <c r="J44" s="37">
        <v>45958</v>
      </c>
      <c r="K44" s="41">
        <v>82.072000000000003</v>
      </c>
      <c r="L44" s="37"/>
      <c r="N44" s="95" t="str">
        <f t="shared" si="0"/>
        <v/>
      </c>
      <c r="O44" s="95" t="str">
        <f t="shared" si="1"/>
        <v/>
      </c>
    </row>
    <row r="45" spans="1:15" x14ac:dyDescent="0.25">
      <c r="A45" s="98" t="str">
        <f t="shared" ca="1" si="2"/>
        <v/>
      </c>
      <c r="B45" s="33" t="str">
        <f t="shared" ca="1" si="10"/>
        <v/>
      </c>
      <c r="C45" s="25" t="str">
        <f t="shared" ca="1" si="4"/>
        <v/>
      </c>
      <c r="D45" s="26" t="str">
        <f t="shared" ca="1" si="5"/>
        <v/>
      </c>
      <c r="E45" s="4" t="str">
        <f t="shared" ca="1" si="11"/>
        <v/>
      </c>
      <c r="F45" s="25" t="str">
        <f t="shared" ca="1" si="7"/>
        <v/>
      </c>
      <c r="G45" s="26" t="str">
        <f t="shared" ca="1" si="8"/>
        <v/>
      </c>
      <c r="H45" s="55" t="str">
        <f t="shared" ca="1" si="12"/>
        <v/>
      </c>
      <c r="I45" s="1"/>
      <c r="J45" s="37">
        <v>45959</v>
      </c>
      <c r="K45" s="41">
        <v>81.894000000000005</v>
      </c>
      <c r="L45" s="37"/>
      <c r="N45" s="95" t="str">
        <f t="shared" si="0"/>
        <v/>
      </c>
      <c r="O45" s="95" t="str">
        <f t="shared" si="1"/>
        <v/>
      </c>
    </row>
    <row r="46" spans="1:15" x14ac:dyDescent="0.25">
      <c r="A46" s="98" t="str">
        <f t="shared" ca="1" si="2"/>
        <v/>
      </c>
      <c r="B46" s="33" t="str">
        <f t="shared" ca="1" si="10"/>
        <v/>
      </c>
      <c r="C46" s="25" t="str">
        <f t="shared" ca="1" si="4"/>
        <v/>
      </c>
      <c r="D46" s="26" t="str">
        <f t="shared" ca="1" si="5"/>
        <v/>
      </c>
      <c r="E46" s="4" t="str">
        <f t="shared" ca="1" si="11"/>
        <v/>
      </c>
      <c r="F46" s="25" t="str">
        <f t="shared" ca="1" si="7"/>
        <v/>
      </c>
      <c r="G46" s="26" t="str">
        <f t="shared" ca="1" si="8"/>
        <v/>
      </c>
      <c r="H46" s="55" t="str">
        <f t="shared" ca="1" si="12"/>
        <v/>
      </c>
      <c r="I46" s="1"/>
      <c r="J46" s="37">
        <v>45960</v>
      </c>
      <c r="K46" s="41">
        <v>81.882000000000005</v>
      </c>
      <c r="L46" s="37"/>
      <c r="N46" s="95" t="str">
        <f t="shared" si="0"/>
        <v/>
      </c>
      <c r="O46" s="95" t="str">
        <f t="shared" si="1"/>
        <v/>
      </c>
    </row>
    <row r="47" spans="1:15" x14ac:dyDescent="0.25">
      <c r="A47" s="98" t="str">
        <f t="shared" ca="1" si="2"/>
        <v/>
      </c>
      <c r="B47" s="33" t="str">
        <f t="shared" ca="1" si="10"/>
        <v/>
      </c>
      <c r="C47" s="25" t="str">
        <f t="shared" ca="1" si="4"/>
        <v/>
      </c>
      <c r="D47" s="26" t="str">
        <f t="shared" ca="1" si="5"/>
        <v/>
      </c>
      <c r="E47" s="4" t="str">
        <f t="shared" ca="1" si="11"/>
        <v/>
      </c>
      <c r="F47" s="25" t="str">
        <f t="shared" ca="1" si="7"/>
        <v/>
      </c>
      <c r="G47" s="26" t="str">
        <f t="shared" ca="1" si="8"/>
        <v/>
      </c>
      <c r="H47" s="55" t="str">
        <f t="shared" ca="1" si="12"/>
        <v/>
      </c>
      <c r="I47" s="1"/>
      <c r="J47" s="37">
        <v>45961</v>
      </c>
      <c r="K47" s="41">
        <v>82.001000000000005</v>
      </c>
      <c r="L47" s="37"/>
      <c r="N47" s="95" t="str">
        <f t="shared" si="0"/>
        <v/>
      </c>
      <c r="O47" s="95" t="str">
        <f t="shared" si="1"/>
        <v/>
      </c>
    </row>
    <row r="48" spans="1:15" x14ac:dyDescent="0.25">
      <c r="A48" s="98" t="str">
        <f t="shared" ca="1" si="2"/>
        <v/>
      </c>
      <c r="B48" s="33" t="str">
        <f t="shared" ca="1" si="10"/>
        <v/>
      </c>
      <c r="C48" s="25" t="str">
        <f t="shared" ca="1" si="4"/>
        <v/>
      </c>
      <c r="D48" s="26" t="str">
        <f t="shared" ca="1" si="5"/>
        <v/>
      </c>
      <c r="E48" s="4" t="str">
        <f t="shared" ca="1" si="11"/>
        <v/>
      </c>
      <c r="F48" s="25" t="str">
        <f t="shared" ca="1" si="7"/>
        <v/>
      </c>
      <c r="G48" s="26" t="str">
        <f t="shared" ca="1" si="8"/>
        <v/>
      </c>
      <c r="H48" s="55" t="str">
        <f t="shared" ca="1" si="12"/>
        <v/>
      </c>
      <c r="I48" s="1"/>
      <c r="J48" s="37">
        <v>45964</v>
      </c>
      <c r="K48" s="41">
        <v>81.822999999999993</v>
      </c>
      <c r="L48" s="37"/>
      <c r="N48" s="95" t="str">
        <f t="shared" si="0"/>
        <v/>
      </c>
      <c r="O48" s="95" t="str">
        <f t="shared" si="1"/>
        <v/>
      </c>
    </row>
    <row r="49" spans="1:15" x14ac:dyDescent="0.25">
      <c r="A49" s="98" t="str">
        <f t="shared" ca="1" si="2"/>
        <v/>
      </c>
      <c r="B49" s="33" t="str">
        <f t="shared" ca="1" si="10"/>
        <v/>
      </c>
      <c r="C49" s="25" t="str">
        <f t="shared" ca="1" si="4"/>
        <v/>
      </c>
      <c r="D49" s="26" t="str">
        <f t="shared" ca="1" si="5"/>
        <v/>
      </c>
      <c r="E49" s="4" t="str">
        <f t="shared" ca="1" si="11"/>
        <v/>
      </c>
      <c r="F49" s="25" t="str">
        <f t="shared" ca="1" si="7"/>
        <v/>
      </c>
      <c r="G49" s="26" t="str">
        <f t="shared" ca="1" si="8"/>
        <v/>
      </c>
      <c r="H49" s="55" t="str">
        <f t="shared" ca="1" si="12"/>
        <v/>
      </c>
      <c r="J49" s="37">
        <v>45965</v>
      </c>
      <c r="K49" s="41">
        <v>81.570999999999998</v>
      </c>
      <c r="L49" s="37"/>
      <c r="N49" s="95" t="str">
        <f t="shared" si="0"/>
        <v/>
      </c>
      <c r="O49" s="95" t="str">
        <f t="shared" si="1"/>
        <v/>
      </c>
    </row>
    <row r="50" spans="1:15" x14ac:dyDescent="0.25">
      <c r="A50" s="98" t="str">
        <f t="shared" ca="1" si="2"/>
        <v/>
      </c>
      <c r="B50" s="33" t="str">
        <f t="shared" ca="1" si="10"/>
        <v/>
      </c>
      <c r="C50" s="25" t="str">
        <f t="shared" ca="1" si="4"/>
        <v/>
      </c>
      <c r="D50" s="26" t="str">
        <f t="shared" ca="1" si="5"/>
        <v/>
      </c>
      <c r="E50" s="4" t="str">
        <f t="shared" ca="1" si="11"/>
        <v/>
      </c>
      <c r="F50" s="25" t="str">
        <f t="shared" ca="1" si="7"/>
        <v/>
      </c>
      <c r="G50" s="26" t="str">
        <f t="shared" ca="1" si="8"/>
        <v/>
      </c>
      <c r="H50" s="55" t="str">
        <f t="shared" ca="1" si="12"/>
        <v/>
      </c>
      <c r="J50" s="37">
        <v>45966</v>
      </c>
      <c r="K50" s="41">
        <v>81.19</v>
      </c>
      <c r="L50" s="37"/>
      <c r="N50" s="95" t="str">
        <f t="shared" si="0"/>
        <v/>
      </c>
      <c r="O50" s="95" t="str">
        <f t="shared" si="1"/>
        <v/>
      </c>
    </row>
    <row r="51" spans="1:15" x14ac:dyDescent="0.25">
      <c r="A51" s="98" t="str">
        <f t="shared" ca="1" si="2"/>
        <v/>
      </c>
      <c r="B51" s="33" t="str">
        <f t="shared" ca="1" si="10"/>
        <v/>
      </c>
      <c r="C51" s="25" t="str">
        <f t="shared" ca="1" si="4"/>
        <v/>
      </c>
      <c r="D51" s="26" t="str">
        <f t="shared" ca="1" si="5"/>
        <v/>
      </c>
      <c r="E51" s="4" t="str">
        <f t="shared" ca="1" si="11"/>
        <v/>
      </c>
      <c r="F51" s="25" t="str">
        <f t="shared" ca="1" si="7"/>
        <v/>
      </c>
      <c r="G51" s="26" t="str">
        <f t="shared" ca="1" si="8"/>
        <v/>
      </c>
      <c r="H51" s="55" t="str">
        <f t="shared" ca="1" si="12"/>
        <v/>
      </c>
      <c r="J51" s="37">
        <v>45967</v>
      </c>
      <c r="K51" s="41">
        <v>81.608000000000004</v>
      </c>
      <c r="L51" s="37"/>
      <c r="N51" s="95" t="str">
        <f t="shared" si="0"/>
        <v/>
      </c>
      <c r="O51" s="95" t="str">
        <f t="shared" si="1"/>
        <v/>
      </c>
    </row>
    <row r="52" spans="1:15" x14ac:dyDescent="0.25">
      <c r="A52" s="98" t="str">
        <f t="shared" ca="1" si="2"/>
        <v/>
      </c>
      <c r="B52" s="33" t="str">
        <f t="shared" ca="1" si="10"/>
        <v/>
      </c>
      <c r="C52" s="25" t="str">
        <f t="shared" ca="1" si="4"/>
        <v/>
      </c>
      <c r="D52" s="26" t="str">
        <f t="shared" ca="1" si="5"/>
        <v/>
      </c>
      <c r="E52" s="4" t="str">
        <f t="shared" ca="1" si="11"/>
        <v/>
      </c>
      <c r="F52" s="25" t="str">
        <f t="shared" ca="1" si="7"/>
        <v/>
      </c>
      <c r="G52" s="26" t="str">
        <f t="shared" ca="1" si="8"/>
        <v/>
      </c>
      <c r="H52" s="55" t="str">
        <f t="shared" ca="1" si="12"/>
        <v/>
      </c>
      <c r="J52" s="37">
        <v>45968</v>
      </c>
      <c r="K52" s="41">
        <v>81.302000000000007</v>
      </c>
      <c r="L52" s="37"/>
      <c r="N52" s="95" t="str">
        <f t="shared" si="0"/>
        <v/>
      </c>
      <c r="O52" s="95" t="str">
        <f t="shared" si="1"/>
        <v/>
      </c>
    </row>
    <row r="53" spans="1:15" x14ac:dyDescent="0.25">
      <c r="A53" s="98" t="str">
        <f t="shared" ca="1" si="2"/>
        <v/>
      </c>
      <c r="B53" s="33" t="str">
        <f t="shared" ca="1" si="10"/>
        <v/>
      </c>
      <c r="C53" s="25" t="str">
        <f t="shared" ca="1" si="4"/>
        <v/>
      </c>
      <c r="D53" s="26" t="str">
        <f t="shared" ca="1" si="5"/>
        <v/>
      </c>
      <c r="E53" s="4" t="str">
        <f t="shared" ca="1" si="11"/>
        <v/>
      </c>
      <c r="F53" s="25" t="str">
        <f t="shared" ca="1" si="7"/>
        <v/>
      </c>
      <c r="G53" s="26" t="str">
        <f t="shared" ca="1" si="8"/>
        <v/>
      </c>
      <c r="H53" s="55" t="str">
        <f t="shared" ca="1" si="12"/>
        <v/>
      </c>
      <c r="J53" s="37">
        <v>45971</v>
      </c>
      <c r="K53" s="41">
        <v>81.317999999999998</v>
      </c>
      <c r="L53" s="37"/>
      <c r="N53" s="95" t="str">
        <f t="shared" si="0"/>
        <v/>
      </c>
      <c r="O53" s="95" t="str">
        <f t="shared" si="1"/>
        <v/>
      </c>
    </row>
    <row r="54" spans="1:15" x14ac:dyDescent="0.25">
      <c r="A54" s="98" t="str">
        <f t="shared" ca="1" si="2"/>
        <v/>
      </c>
      <c r="B54" s="33" t="str">
        <f t="shared" ca="1" si="10"/>
        <v/>
      </c>
      <c r="C54" s="25" t="str">
        <f t="shared" ca="1" si="4"/>
        <v/>
      </c>
      <c r="D54" s="26" t="str">
        <f t="shared" ca="1" si="5"/>
        <v/>
      </c>
      <c r="E54" s="4" t="str">
        <f t="shared" ca="1" si="11"/>
        <v/>
      </c>
      <c r="F54" s="25" t="str">
        <f t="shared" ca="1" si="7"/>
        <v/>
      </c>
      <c r="G54" s="26" t="str">
        <f t="shared" ca="1" si="8"/>
        <v/>
      </c>
      <c r="H54" s="55" t="str">
        <f t="shared" ca="1" si="12"/>
        <v/>
      </c>
      <c r="J54" s="37">
        <v>45972</v>
      </c>
      <c r="K54" s="41">
        <v>81.317999999999998</v>
      </c>
      <c r="L54" s="37"/>
      <c r="N54" s="95" t="str">
        <f t="shared" si="0"/>
        <v/>
      </c>
      <c r="O54" s="95" t="str">
        <f t="shared" si="1"/>
        <v/>
      </c>
    </row>
    <row r="55" spans="1:15" x14ac:dyDescent="0.25">
      <c r="A55" s="98" t="str">
        <f t="shared" ca="1" si="2"/>
        <v/>
      </c>
      <c r="B55" s="33" t="str">
        <f t="shared" ca="1" si="10"/>
        <v/>
      </c>
      <c r="C55" s="25" t="str">
        <f t="shared" ca="1" si="4"/>
        <v/>
      </c>
      <c r="D55" s="26" t="str">
        <f t="shared" ca="1" si="5"/>
        <v/>
      </c>
      <c r="E55" s="4" t="str">
        <f t="shared" ca="1" si="11"/>
        <v/>
      </c>
      <c r="F55" s="25" t="str">
        <f t="shared" ca="1" si="7"/>
        <v/>
      </c>
      <c r="G55" s="26" t="str">
        <f t="shared" ca="1" si="8"/>
        <v/>
      </c>
      <c r="H55" s="55" t="str">
        <f t="shared" ca="1" si="12"/>
        <v/>
      </c>
      <c r="J55" s="37">
        <v>45973</v>
      </c>
      <c r="K55" s="41">
        <v>81.495999999999995</v>
      </c>
      <c r="L55" s="37"/>
      <c r="N55" s="95" t="str">
        <f t="shared" si="0"/>
        <v/>
      </c>
      <c r="O55" s="95" t="str">
        <f t="shared" si="1"/>
        <v/>
      </c>
    </row>
    <row r="56" spans="1:15" x14ac:dyDescent="0.25">
      <c r="A56" s="98" t="str">
        <f t="shared" ca="1" si="2"/>
        <v/>
      </c>
      <c r="B56" s="33" t="str">
        <f t="shared" ca="1" si="10"/>
        <v/>
      </c>
      <c r="C56" s="25" t="str">
        <f t="shared" ca="1" si="4"/>
        <v/>
      </c>
      <c r="D56" s="26" t="str">
        <f t="shared" ca="1" si="5"/>
        <v/>
      </c>
      <c r="E56" s="4" t="str">
        <f t="shared" ca="1" si="11"/>
        <v/>
      </c>
      <c r="F56" s="25" t="str">
        <f t="shared" ca="1" si="7"/>
        <v/>
      </c>
      <c r="G56" s="26" t="str">
        <f t="shared" ca="1" si="8"/>
        <v/>
      </c>
      <c r="H56" s="55" t="str">
        <f t="shared" ca="1" si="12"/>
        <v/>
      </c>
      <c r="J56" s="37">
        <v>45974</v>
      </c>
      <c r="K56" s="41">
        <v>81.129000000000005</v>
      </c>
      <c r="L56" s="37"/>
      <c r="N56" s="95" t="str">
        <f t="shared" si="0"/>
        <v/>
      </c>
      <c r="O56" s="95" t="str">
        <f t="shared" si="1"/>
        <v/>
      </c>
    </row>
    <row r="57" spans="1:15" x14ac:dyDescent="0.25">
      <c r="A57" s="98" t="str">
        <f t="shared" ca="1" si="2"/>
        <v/>
      </c>
      <c r="B57" s="33" t="str">
        <f t="shared" ca="1" si="10"/>
        <v/>
      </c>
      <c r="C57" s="25" t="str">
        <f t="shared" ca="1" si="4"/>
        <v/>
      </c>
      <c r="D57" s="26" t="str">
        <f t="shared" ca="1" si="5"/>
        <v/>
      </c>
      <c r="E57" s="4" t="str">
        <f t="shared" ca="1" si="11"/>
        <v/>
      </c>
      <c r="F57" s="25" t="str">
        <f t="shared" ca="1" si="7"/>
        <v/>
      </c>
      <c r="G57" s="26" t="str">
        <f t="shared" ca="1" si="8"/>
        <v/>
      </c>
      <c r="H57" s="55" t="str">
        <f t="shared" ca="1" si="12"/>
        <v/>
      </c>
      <c r="J57" s="37">
        <v>45975</v>
      </c>
      <c r="K57" s="41">
        <v>80.942999999999998</v>
      </c>
      <c r="L57" s="37"/>
      <c r="N57" s="95" t="str">
        <f t="shared" si="0"/>
        <v/>
      </c>
      <c r="O57" s="95" t="str">
        <f t="shared" si="1"/>
        <v/>
      </c>
    </row>
    <row r="58" spans="1:15" x14ac:dyDescent="0.25">
      <c r="A58" s="98" t="str">
        <f t="shared" ca="1" si="2"/>
        <v/>
      </c>
      <c r="B58" s="33" t="str">
        <f t="shared" ca="1" si="10"/>
        <v/>
      </c>
      <c r="C58" s="25" t="str">
        <f t="shared" ca="1" si="4"/>
        <v/>
      </c>
      <c r="D58" s="26" t="str">
        <f t="shared" ca="1" si="5"/>
        <v/>
      </c>
      <c r="E58" s="4" t="str">
        <f t="shared" ca="1" si="11"/>
        <v/>
      </c>
      <c r="F58" s="25" t="str">
        <f t="shared" ca="1" si="7"/>
        <v/>
      </c>
      <c r="G58" s="26" t="str">
        <f t="shared" ca="1" si="8"/>
        <v/>
      </c>
      <c r="H58" s="55" t="str">
        <f t="shared" ca="1" si="12"/>
        <v/>
      </c>
      <c r="J58" s="37">
        <v>45978</v>
      </c>
      <c r="K58" s="41">
        <v>80.951999999999998</v>
      </c>
      <c r="L58" s="37"/>
      <c r="N58" s="95" t="str">
        <f t="shared" si="0"/>
        <v/>
      </c>
      <c r="O58" s="95" t="str">
        <f t="shared" si="1"/>
        <v/>
      </c>
    </row>
    <row r="59" spans="1:15" x14ac:dyDescent="0.25">
      <c r="A59" s="98" t="str">
        <f t="shared" ca="1" si="2"/>
        <v/>
      </c>
      <c r="B59" s="33" t="str">
        <f t="shared" ca="1" si="10"/>
        <v/>
      </c>
      <c r="C59" s="25" t="str">
        <f t="shared" ca="1" si="4"/>
        <v/>
      </c>
      <c r="D59" s="26" t="str">
        <f t="shared" ca="1" si="5"/>
        <v/>
      </c>
      <c r="E59" s="4" t="str">
        <f t="shared" ca="1" si="11"/>
        <v/>
      </c>
      <c r="F59" s="25" t="str">
        <f t="shared" ca="1" si="7"/>
        <v/>
      </c>
      <c r="G59" s="26" t="str">
        <f t="shared" ca="1" si="8"/>
        <v/>
      </c>
      <c r="H59" s="55" t="str">
        <f t="shared" ca="1" si="12"/>
        <v/>
      </c>
      <c r="J59" s="37">
        <v>45979</v>
      </c>
      <c r="K59" s="41">
        <v>80.671000000000006</v>
      </c>
      <c r="L59" s="37"/>
      <c r="N59" s="95" t="str">
        <f t="shared" si="0"/>
        <v/>
      </c>
      <c r="O59" s="95" t="str">
        <f t="shared" si="1"/>
        <v/>
      </c>
    </row>
    <row r="60" spans="1:15" x14ac:dyDescent="0.25">
      <c r="A60" s="98" t="str">
        <f t="shared" ca="1" si="2"/>
        <v/>
      </c>
      <c r="B60" s="33" t="str">
        <f t="shared" ca="1" si="10"/>
        <v/>
      </c>
      <c r="C60" s="25" t="str">
        <f t="shared" ca="1" si="4"/>
        <v/>
      </c>
      <c r="D60" s="26" t="str">
        <f t="shared" ca="1" si="5"/>
        <v/>
      </c>
      <c r="E60" s="4" t="str">
        <f t="shared" ca="1" si="11"/>
        <v/>
      </c>
      <c r="F60" s="25" t="str">
        <f t="shared" ca="1" si="7"/>
        <v/>
      </c>
      <c r="G60" s="26" t="str">
        <f t="shared" ca="1" si="8"/>
        <v/>
      </c>
      <c r="H60" s="55" t="str">
        <f t="shared" ca="1" si="12"/>
        <v/>
      </c>
      <c r="J60" s="37">
        <v>45980</v>
      </c>
      <c r="K60" s="41">
        <v>80.707999999999998</v>
      </c>
      <c r="L60" s="37"/>
      <c r="N60" s="95" t="str">
        <f t="shared" si="0"/>
        <v/>
      </c>
      <c r="O60" s="95" t="str">
        <f t="shared" si="1"/>
        <v/>
      </c>
    </row>
    <row r="61" spans="1:15" x14ac:dyDescent="0.25">
      <c r="A61" s="98" t="str">
        <f t="shared" ca="1" si="2"/>
        <v/>
      </c>
      <c r="B61" s="33" t="str">
        <f t="shared" ca="1" si="10"/>
        <v/>
      </c>
      <c r="C61" s="25" t="str">
        <f t="shared" ca="1" si="4"/>
        <v/>
      </c>
      <c r="D61" s="26" t="str">
        <f t="shared" ca="1" si="5"/>
        <v/>
      </c>
      <c r="E61" s="4" t="str">
        <f t="shared" ca="1" si="11"/>
        <v/>
      </c>
      <c r="F61" s="25" t="str">
        <f t="shared" ca="1" si="7"/>
        <v/>
      </c>
      <c r="G61" s="26" t="str">
        <f t="shared" ca="1" si="8"/>
        <v/>
      </c>
      <c r="H61" s="55" t="str">
        <f t="shared" ca="1" si="12"/>
        <v/>
      </c>
      <c r="J61" s="37">
        <v>45981</v>
      </c>
      <c r="K61" s="41">
        <v>80.819999999999993</v>
      </c>
      <c r="L61" s="37"/>
      <c r="N61" s="95" t="str">
        <f t="shared" si="0"/>
        <v/>
      </c>
      <c r="O61" s="95" t="str">
        <f t="shared" si="1"/>
        <v/>
      </c>
    </row>
    <row r="62" spans="1:15" x14ac:dyDescent="0.25">
      <c r="A62" s="98" t="str">
        <f t="shared" ca="1" si="2"/>
        <v/>
      </c>
      <c r="B62" s="33" t="str">
        <f t="shared" ca="1" si="10"/>
        <v/>
      </c>
      <c r="C62" s="25" t="str">
        <f t="shared" ca="1" si="4"/>
        <v/>
      </c>
      <c r="D62" s="26" t="str">
        <f t="shared" ca="1" si="5"/>
        <v/>
      </c>
      <c r="E62" s="4" t="str">
        <f t="shared" ca="1" si="11"/>
        <v/>
      </c>
      <c r="F62" s="25" t="str">
        <f t="shared" ca="1" si="7"/>
        <v/>
      </c>
      <c r="G62" s="26" t="str">
        <f t="shared" ca="1" si="8"/>
        <v/>
      </c>
      <c r="H62" s="55" t="str">
        <f t="shared" ca="1" si="12"/>
        <v/>
      </c>
      <c r="J62" s="37">
        <v>45982</v>
      </c>
      <c r="K62" s="41">
        <v>80.897000000000006</v>
      </c>
      <c r="L62" s="37"/>
      <c r="N62" s="95" t="str">
        <f t="shared" si="0"/>
        <v/>
      </c>
      <c r="O62" s="95" t="str">
        <f t="shared" si="1"/>
        <v/>
      </c>
    </row>
    <row r="63" spans="1:15" x14ac:dyDescent="0.25">
      <c r="A63" s="98" t="str">
        <f t="shared" ca="1" si="2"/>
        <v/>
      </c>
      <c r="B63" s="33" t="str">
        <f t="shared" ca="1" si="10"/>
        <v/>
      </c>
      <c r="C63" s="25" t="str">
        <f t="shared" ca="1" si="4"/>
        <v/>
      </c>
      <c r="D63" s="26" t="str">
        <f t="shared" ca="1" si="5"/>
        <v/>
      </c>
      <c r="E63" s="4" t="str">
        <f t="shared" ca="1" si="11"/>
        <v/>
      </c>
      <c r="F63" s="25" t="str">
        <f t="shared" ca="1" si="7"/>
        <v/>
      </c>
      <c r="G63" s="26" t="str">
        <f t="shared" ca="1" si="8"/>
        <v/>
      </c>
      <c r="H63" s="55" t="str">
        <f t="shared" ca="1" si="12"/>
        <v/>
      </c>
      <c r="J63" s="37">
        <v>45985</v>
      </c>
      <c r="K63" s="41">
        <v>81.036000000000001</v>
      </c>
      <c r="L63" s="37"/>
      <c r="N63" s="95" t="str">
        <f t="shared" si="0"/>
        <v/>
      </c>
      <c r="O63" s="95" t="str">
        <f t="shared" si="1"/>
        <v/>
      </c>
    </row>
    <row r="64" spans="1:15" x14ac:dyDescent="0.25">
      <c r="A64" s="98" t="str">
        <f t="shared" ca="1" si="2"/>
        <v/>
      </c>
      <c r="B64" s="33" t="str">
        <f t="shared" ca="1" si="10"/>
        <v/>
      </c>
      <c r="C64" s="25" t="str">
        <f t="shared" ca="1" si="4"/>
        <v/>
      </c>
      <c r="D64" s="26" t="str">
        <f t="shared" ca="1" si="5"/>
        <v/>
      </c>
      <c r="E64" s="4" t="str">
        <f t="shared" ca="1" si="11"/>
        <v/>
      </c>
      <c r="F64" s="25" t="str">
        <f t="shared" ca="1" si="7"/>
        <v/>
      </c>
      <c r="G64" s="26" t="str">
        <f t="shared" ca="1" si="8"/>
        <v/>
      </c>
      <c r="H64" s="55" t="str">
        <f t="shared" ca="1" si="12"/>
        <v/>
      </c>
      <c r="J64" s="37">
        <v>45986</v>
      </c>
      <c r="K64" s="41">
        <v>81.213999999999999</v>
      </c>
      <c r="L64" s="37"/>
      <c r="N64" s="95" t="str">
        <f t="shared" si="0"/>
        <v/>
      </c>
      <c r="O64" s="95" t="str">
        <f t="shared" si="1"/>
        <v/>
      </c>
    </row>
    <row r="65" spans="1:15" x14ac:dyDescent="0.25">
      <c r="A65" s="98" t="str">
        <f t="shared" ca="1" si="2"/>
        <v/>
      </c>
      <c r="B65" s="33" t="str">
        <f t="shared" ca="1" si="10"/>
        <v/>
      </c>
      <c r="C65" s="25" t="str">
        <f t="shared" ca="1" si="4"/>
        <v/>
      </c>
      <c r="D65" s="26" t="str">
        <f t="shared" ca="1" si="5"/>
        <v/>
      </c>
      <c r="E65" s="4" t="str">
        <f t="shared" ca="1" si="11"/>
        <v/>
      </c>
      <c r="F65" s="25" t="str">
        <f t="shared" ca="1" si="7"/>
        <v/>
      </c>
      <c r="G65" s="26" t="str">
        <f t="shared" ca="1" si="8"/>
        <v/>
      </c>
      <c r="H65" s="55" t="str">
        <f t="shared" ca="1" si="12"/>
        <v/>
      </c>
      <c r="J65" s="37">
        <v>45987</v>
      </c>
      <c r="K65" s="41">
        <v>81.338999999999999</v>
      </c>
      <c r="L65" s="37"/>
      <c r="N65" s="95" t="str">
        <f t="shared" si="0"/>
        <v/>
      </c>
      <c r="O65" s="95" t="str">
        <f t="shared" si="1"/>
        <v/>
      </c>
    </row>
    <row r="66" spans="1:15" x14ac:dyDescent="0.25">
      <c r="A66" s="98" t="str">
        <f t="shared" ca="1" si="2"/>
        <v/>
      </c>
      <c r="B66" s="33" t="str">
        <f t="shared" ca="1" si="10"/>
        <v/>
      </c>
      <c r="C66" s="25" t="str">
        <f t="shared" ca="1" si="4"/>
        <v/>
      </c>
      <c r="D66" s="26" t="str">
        <f t="shared" ca="1" si="5"/>
        <v/>
      </c>
      <c r="E66" s="4" t="str">
        <f t="shared" ca="1" si="11"/>
        <v/>
      </c>
      <c r="F66" s="25" t="str">
        <f t="shared" ca="1" si="7"/>
        <v/>
      </c>
      <c r="G66" s="26" t="str">
        <f t="shared" ca="1" si="8"/>
        <v/>
      </c>
      <c r="H66" s="55" t="str">
        <f t="shared" ca="1" si="12"/>
        <v/>
      </c>
      <c r="J66" s="37">
        <v>45988</v>
      </c>
      <c r="K66" s="41">
        <v>81.338999999999999</v>
      </c>
      <c r="L66" s="37"/>
      <c r="N66" s="95" t="str">
        <f t="shared" si="0"/>
        <v/>
      </c>
      <c r="O66" s="95" t="str">
        <f t="shared" si="1"/>
        <v/>
      </c>
    </row>
    <row r="67" spans="1:15" x14ac:dyDescent="0.25">
      <c r="A67" s="98" t="str">
        <f t="shared" ca="1" si="2"/>
        <v/>
      </c>
      <c r="B67" s="33" t="str">
        <f t="shared" ca="1" si="10"/>
        <v/>
      </c>
      <c r="C67" s="25" t="str">
        <f t="shared" ca="1" si="4"/>
        <v/>
      </c>
      <c r="D67" s="26" t="str">
        <f t="shared" ca="1" si="5"/>
        <v/>
      </c>
      <c r="E67" s="4" t="str">
        <f t="shared" ca="1" si="11"/>
        <v/>
      </c>
      <c r="F67" s="25" t="str">
        <f t="shared" ca="1" si="7"/>
        <v/>
      </c>
      <c r="G67" s="26" t="str">
        <f t="shared" ca="1" si="8"/>
        <v/>
      </c>
      <c r="H67" s="55" t="str">
        <f t="shared" ca="1" si="12"/>
        <v/>
      </c>
      <c r="J67" s="37">
        <v>45989</v>
      </c>
      <c r="K67" s="41">
        <v>81.334000000000003</v>
      </c>
      <c r="L67" s="37"/>
      <c r="N67" s="95" t="str">
        <f t="shared" si="0"/>
        <v/>
      </c>
      <c r="O67" s="95" t="str">
        <f t="shared" si="1"/>
        <v/>
      </c>
    </row>
    <row r="68" spans="1:15" x14ac:dyDescent="0.25">
      <c r="A68" s="98" t="str">
        <f t="shared" ca="1" si="2"/>
        <v/>
      </c>
      <c r="B68" s="33" t="str">
        <f t="shared" ca="1" si="10"/>
        <v/>
      </c>
      <c r="C68" s="25" t="str">
        <f t="shared" ca="1" si="4"/>
        <v/>
      </c>
      <c r="D68" s="26" t="str">
        <f t="shared" ca="1" si="5"/>
        <v/>
      </c>
      <c r="E68" s="4" t="str">
        <f t="shared" ca="1" si="11"/>
        <v/>
      </c>
      <c r="F68" s="25" t="str">
        <f t="shared" ca="1" si="7"/>
        <v/>
      </c>
      <c r="G68" s="26" t="str">
        <f t="shared" ca="1" si="8"/>
        <v/>
      </c>
      <c r="H68" s="55" t="str">
        <f t="shared" ca="1" si="12"/>
        <v/>
      </c>
      <c r="J68" s="37">
        <v>45992</v>
      </c>
      <c r="K68" s="41">
        <v>80.861999999999995</v>
      </c>
      <c r="L68" s="37"/>
      <c r="N68" s="95" t="str">
        <f t="shared" ref="N68:N131" si="13">IF(COUNTIF(L:L,J68)=1,J68,"")</f>
        <v/>
      </c>
      <c r="O68" s="95" t="str">
        <f t="shared" ref="O68:O131" si="14">IF(N68&gt;$A$14,N68,"")</f>
        <v/>
      </c>
    </row>
    <row r="69" spans="1:15" x14ac:dyDescent="0.25">
      <c r="A69" s="98" t="str">
        <f t="shared" ca="1" si="2"/>
        <v/>
      </c>
      <c r="B69" s="33" t="str">
        <f t="shared" ca="1" si="10"/>
        <v/>
      </c>
      <c r="C69" s="25" t="str">
        <f t="shared" ca="1" si="4"/>
        <v/>
      </c>
      <c r="D69" s="26" t="str">
        <f t="shared" ca="1" si="5"/>
        <v/>
      </c>
      <c r="E69" s="4" t="str">
        <f t="shared" ca="1" si="11"/>
        <v/>
      </c>
      <c r="F69" s="25" t="str">
        <f t="shared" ca="1" si="7"/>
        <v/>
      </c>
      <c r="G69" s="26" t="str">
        <f t="shared" ca="1" si="8"/>
        <v/>
      </c>
      <c r="H69" s="55" t="str">
        <f t="shared" ca="1" si="12"/>
        <v/>
      </c>
      <c r="J69" s="37">
        <v>45993</v>
      </c>
      <c r="K69" s="41">
        <v>80.933999999999997</v>
      </c>
      <c r="L69" s="37"/>
      <c r="N69" s="95" t="str">
        <f t="shared" si="13"/>
        <v/>
      </c>
      <c r="O69" s="95" t="str">
        <f t="shared" si="14"/>
        <v/>
      </c>
    </row>
    <row r="70" spans="1:15" x14ac:dyDescent="0.25">
      <c r="A70" s="98" t="str">
        <f t="shared" ca="1" si="2"/>
        <v/>
      </c>
      <c r="B70" s="33" t="str">
        <f t="shared" ca="1" si="10"/>
        <v/>
      </c>
      <c r="C70" s="25" t="str">
        <f t="shared" ca="1" si="4"/>
        <v/>
      </c>
      <c r="D70" s="26" t="str">
        <f t="shared" ca="1" si="5"/>
        <v/>
      </c>
      <c r="E70" s="4" t="str">
        <f t="shared" ca="1" si="11"/>
        <v/>
      </c>
      <c r="F70" s="25" t="str">
        <f t="shared" ca="1" si="7"/>
        <v/>
      </c>
      <c r="G70" s="26" t="str">
        <f t="shared" ca="1" si="8"/>
        <v/>
      </c>
      <c r="H70" s="55" t="str">
        <f t="shared" ca="1" si="12"/>
        <v/>
      </c>
      <c r="J70" s="37">
        <v>45994</v>
      </c>
      <c r="K70" s="41">
        <v>81.296999999999997</v>
      </c>
      <c r="L70" s="37"/>
      <c r="N70" s="95" t="str">
        <f t="shared" si="13"/>
        <v/>
      </c>
      <c r="O70" s="95" t="str">
        <f t="shared" si="14"/>
        <v/>
      </c>
    </row>
    <row r="71" spans="1:15" x14ac:dyDescent="0.25">
      <c r="A71" s="98" t="str">
        <f t="shared" ca="1" si="2"/>
        <v/>
      </c>
      <c r="B71" s="33" t="str">
        <f t="shared" ca="1" si="10"/>
        <v/>
      </c>
      <c r="C71" s="25" t="str">
        <f t="shared" ca="1" si="4"/>
        <v/>
      </c>
      <c r="D71" s="26" t="str">
        <f t="shared" ca="1" si="5"/>
        <v/>
      </c>
      <c r="E71" s="4" t="str">
        <f t="shared" ca="1" si="11"/>
        <v/>
      </c>
      <c r="F71" s="25" t="str">
        <f t="shared" ca="1" si="7"/>
        <v/>
      </c>
      <c r="G71" s="26" t="str">
        <f t="shared" ca="1" si="8"/>
        <v/>
      </c>
      <c r="H71" s="55" t="str">
        <f t="shared" ca="1" si="12"/>
        <v/>
      </c>
      <c r="J71" s="37">
        <v>45995</v>
      </c>
      <c r="K71" s="41">
        <v>81.016000000000005</v>
      </c>
      <c r="L71" s="37"/>
      <c r="N71" s="95" t="str">
        <f t="shared" si="13"/>
        <v/>
      </c>
      <c r="O71" s="95" t="str">
        <f t="shared" si="14"/>
        <v/>
      </c>
    </row>
    <row r="72" spans="1:15" x14ac:dyDescent="0.25">
      <c r="A72" s="98" t="str">
        <f t="shared" ca="1" si="2"/>
        <v/>
      </c>
      <c r="B72" s="33" t="str">
        <f t="shared" ca="1" si="10"/>
        <v/>
      </c>
      <c r="C72" s="25" t="str">
        <f t="shared" ca="1" si="4"/>
        <v/>
      </c>
      <c r="D72" s="26" t="str">
        <f t="shared" ca="1" si="5"/>
        <v/>
      </c>
      <c r="E72" s="4" t="str">
        <f t="shared" ca="1" si="11"/>
        <v/>
      </c>
      <c r="F72" s="25" t="str">
        <f t="shared" ca="1" si="7"/>
        <v/>
      </c>
      <c r="G72" s="26" t="str">
        <f t="shared" ca="1" si="8"/>
        <v/>
      </c>
      <c r="H72" s="55" t="str">
        <f t="shared" ca="1" si="12"/>
        <v/>
      </c>
      <c r="J72" s="37">
        <v>45996</v>
      </c>
      <c r="K72" s="41">
        <v>80.433999999999997</v>
      </c>
      <c r="L72" s="37"/>
      <c r="N72" s="95" t="str">
        <f t="shared" si="13"/>
        <v/>
      </c>
      <c r="O72" s="95" t="str">
        <f t="shared" si="14"/>
        <v/>
      </c>
    </row>
    <row r="73" spans="1:15" x14ac:dyDescent="0.25">
      <c r="A73" s="98" t="str">
        <f t="shared" ca="1" si="2"/>
        <v/>
      </c>
      <c r="B73" s="33" t="str">
        <f t="shared" ca="1" si="10"/>
        <v/>
      </c>
      <c r="C73" s="25" t="str">
        <f t="shared" ca="1" si="4"/>
        <v/>
      </c>
      <c r="D73" s="26" t="str">
        <f t="shared" ca="1" si="5"/>
        <v/>
      </c>
      <c r="E73" s="4" t="str">
        <f t="shared" ca="1" si="11"/>
        <v/>
      </c>
      <c r="F73" s="25" t="str">
        <f t="shared" ca="1" si="7"/>
        <v/>
      </c>
      <c r="G73" s="26" t="str">
        <f t="shared" ca="1" si="8"/>
        <v/>
      </c>
      <c r="H73" s="55" t="str">
        <f t="shared" ca="1" si="12"/>
        <v/>
      </c>
      <c r="J73" s="37">
        <v>45999</v>
      </c>
      <c r="K73" s="41">
        <v>79.894000000000005</v>
      </c>
      <c r="L73" s="37"/>
      <c r="N73" s="95" t="str">
        <f t="shared" si="13"/>
        <v/>
      </c>
      <c r="O73" s="95" t="str">
        <f t="shared" si="14"/>
        <v/>
      </c>
    </row>
    <row r="74" spans="1:15" x14ac:dyDescent="0.25">
      <c r="A74" s="98" t="str">
        <f t="shared" ca="1" si="2"/>
        <v/>
      </c>
      <c r="B74" s="33" t="str">
        <f t="shared" ca="1" si="10"/>
        <v/>
      </c>
      <c r="C74" s="25" t="str">
        <f t="shared" ca="1" si="4"/>
        <v/>
      </c>
      <c r="D74" s="26" t="str">
        <f t="shared" ca="1" si="5"/>
        <v/>
      </c>
      <c r="E74" s="4" t="str">
        <f t="shared" ca="1" si="11"/>
        <v/>
      </c>
      <c r="F74" s="25" t="str">
        <f t="shared" ca="1" si="7"/>
        <v/>
      </c>
      <c r="G74" s="26" t="str">
        <f t="shared" ca="1" si="8"/>
        <v/>
      </c>
      <c r="H74" s="55" t="str">
        <f t="shared" ca="1" si="12"/>
        <v/>
      </c>
      <c r="J74" s="37">
        <v>46000</v>
      </c>
      <c r="K74" s="41">
        <v>79.411000000000001</v>
      </c>
      <c r="L74" s="37"/>
      <c r="N74" s="95" t="str">
        <f t="shared" si="13"/>
        <v/>
      </c>
      <c r="O74" s="95" t="str">
        <f t="shared" si="14"/>
        <v/>
      </c>
    </row>
    <row r="75" spans="1:15" x14ac:dyDescent="0.25">
      <c r="A75" s="98" t="str">
        <f t="shared" ca="1" si="2"/>
        <v/>
      </c>
      <c r="B75" s="33" t="str">
        <f t="shared" ca="1" si="10"/>
        <v/>
      </c>
      <c r="C75" s="25" t="str">
        <f t="shared" ca="1" si="4"/>
        <v/>
      </c>
      <c r="D75" s="26" t="str">
        <f t="shared" ca="1" si="5"/>
        <v/>
      </c>
      <c r="E75" s="4" t="str">
        <f t="shared" ca="1" si="11"/>
        <v/>
      </c>
      <c r="F75" s="25" t="str">
        <f t="shared" ca="1" si="7"/>
        <v/>
      </c>
      <c r="G75" s="26" t="str">
        <f t="shared" ca="1" si="8"/>
        <v/>
      </c>
      <c r="H75" s="55" t="str">
        <f t="shared" ca="1" si="12"/>
        <v/>
      </c>
      <c r="J75" s="37">
        <v>46001</v>
      </c>
      <c r="K75" s="41">
        <v>79.614999999999995</v>
      </c>
      <c r="L75" s="37"/>
      <c r="N75" s="95" t="str">
        <f t="shared" si="13"/>
        <v/>
      </c>
      <c r="O75" s="95" t="str">
        <f t="shared" si="14"/>
        <v/>
      </c>
    </row>
    <row r="76" spans="1:15" x14ac:dyDescent="0.25">
      <c r="A76" s="98" t="str">
        <f t="shared" ca="1" si="2"/>
        <v/>
      </c>
      <c r="B76" s="33" t="str">
        <f t="shared" ca="1" si="10"/>
        <v/>
      </c>
      <c r="C76" s="25" t="str">
        <f t="shared" ca="1" si="4"/>
        <v/>
      </c>
      <c r="D76" s="26" t="str">
        <f t="shared" ca="1" si="5"/>
        <v/>
      </c>
      <c r="E76" s="4" t="str">
        <f t="shared" ca="1" si="11"/>
        <v/>
      </c>
      <c r="F76" s="25" t="str">
        <f t="shared" ca="1" si="7"/>
        <v/>
      </c>
      <c r="G76" s="26" t="str">
        <f t="shared" ca="1" si="8"/>
        <v/>
      </c>
      <c r="H76" s="55" t="str">
        <f t="shared" ca="1" si="12"/>
        <v/>
      </c>
      <c r="J76" s="37">
        <v>46002</v>
      </c>
      <c r="K76" s="41">
        <v>79.956000000000003</v>
      </c>
      <c r="L76" s="37"/>
      <c r="N76" s="95" t="str">
        <f t="shared" si="13"/>
        <v/>
      </c>
      <c r="O76" s="95" t="str">
        <f t="shared" si="14"/>
        <v/>
      </c>
    </row>
    <row r="77" spans="1:15" x14ac:dyDescent="0.25">
      <c r="A77" s="98" t="str">
        <f t="shared" ca="1" si="2"/>
        <v/>
      </c>
      <c r="B77" s="33" t="str">
        <f t="shared" ca="1" si="10"/>
        <v/>
      </c>
      <c r="C77" s="25" t="str">
        <f t="shared" ca="1" si="4"/>
        <v/>
      </c>
      <c r="D77" s="26" t="str">
        <f t="shared" ca="1" si="5"/>
        <v/>
      </c>
      <c r="E77" s="4" t="str">
        <f t="shared" ca="1" si="11"/>
        <v/>
      </c>
      <c r="F77" s="25" t="str">
        <f t="shared" ca="1" si="7"/>
        <v/>
      </c>
      <c r="G77" s="26" t="str">
        <f t="shared" ca="1" si="8"/>
        <v/>
      </c>
      <c r="H77" s="55" t="str">
        <f t="shared" ca="1" si="12"/>
        <v/>
      </c>
      <c r="J77" s="37">
        <v>46003</v>
      </c>
      <c r="K77" s="41">
        <v>79.881</v>
      </c>
      <c r="L77" s="37"/>
      <c r="N77" s="95" t="str">
        <f t="shared" si="13"/>
        <v/>
      </c>
      <c r="O77" s="95" t="str">
        <f t="shared" si="14"/>
        <v/>
      </c>
    </row>
    <row r="78" spans="1:15" x14ac:dyDescent="0.25">
      <c r="A78" s="98" t="str">
        <f t="shared" ca="1" si="2"/>
        <v/>
      </c>
      <c r="B78" s="33" t="str">
        <f t="shared" ca="1" si="10"/>
        <v/>
      </c>
      <c r="C78" s="25" t="str">
        <f t="shared" ca="1" si="4"/>
        <v/>
      </c>
      <c r="D78" s="26" t="str">
        <f t="shared" ca="1" si="5"/>
        <v/>
      </c>
      <c r="E78" s="4" t="str">
        <f t="shared" ca="1" si="11"/>
        <v/>
      </c>
      <c r="F78" s="25" t="str">
        <f t="shared" ca="1" si="7"/>
        <v/>
      </c>
      <c r="G78" s="26" t="str">
        <f t="shared" ca="1" si="8"/>
        <v/>
      </c>
      <c r="H78" s="55" t="str">
        <f t="shared" ca="1" si="12"/>
        <v/>
      </c>
      <c r="J78" s="37">
        <v>46006</v>
      </c>
      <c r="K78" s="41">
        <v>80.284000000000006</v>
      </c>
      <c r="L78" s="37"/>
      <c r="N78" s="95" t="str">
        <f t="shared" si="13"/>
        <v/>
      </c>
      <c r="O78" s="95" t="str">
        <f t="shared" si="14"/>
        <v/>
      </c>
    </row>
    <row r="79" spans="1:15" x14ac:dyDescent="0.25">
      <c r="A79" s="98" t="str">
        <f t="shared" ca="1" si="2"/>
        <v/>
      </c>
      <c r="B79" s="33" t="str">
        <f t="shared" ca="1" si="10"/>
        <v/>
      </c>
      <c r="C79" s="25" t="str">
        <f t="shared" ca="1" si="4"/>
        <v/>
      </c>
      <c r="D79" s="26" t="str">
        <f t="shared" ca="1" si="5"/>
        <v/>
      </c>
      <c r="E79" s="4" t="str">
        <f t="shared" ca="1" si="11"/>
        <v/>
      </c>
      <c r="F79" s="25" t="str">
        <f t="shared" ca="1" si="7"/>
        <v/>
      </c>
      <c r="G79" s="26" t="str">
        <f t="shared" ca="1" si="8"/>
        <v/>
      </c>
      <c r="H79" s="55" t="str">
        <f t="shared" ca="1" si="12"/>
        <v/>
      </c>
      <c r="J79" s="37">
        <v>46007</v>
      </c>
      <c r="K79" s="41">
        <v>80.296000000000006</v>
      </c>
      <c r="L79" s="37"/>
      <c r="N79" s="95" t="str">
        <f t="shared" si="13"/>
        <v/>
      </c>
      <c r="O79" s="95" t="str">
        <f t="shared" si="14"/>
        <v/>
      </c>
    </row>
    <row r="80" spans="1:15" x14ac:dyDescent="0.25">
      <c r="A80" s="98" t="str">
        <f t="shared" ref="A80:A143" ca="1" si="15">IF(AND(ISBLANK(P67), A79 = $P$1),NOW(),IF(ISBLANK(P67),"",P67))</f>
        <v/>
      </c>
      <c r="B80" s="33" t="str">
        <f t="shared" ca="1" si="10"/>
        <v/>
      </c>
      <c r="C80" s="25" t="str">
        <f t="shared" ref="C80:C136" ca="1" si="16">IF(ISERROR(B80-2),"",(B80-$B$14)/100*$B$5)</f>
        <v/>
      </c>
      <c r="D80" s="26" t="str">
        <f t="shared" ref="D80:D136" ca="1" si="17">IF(ISERROR(B80-2),"",(INT(A80)-INT($A$14))/360*$B$6*$B$5-(INT(A80)-INT($A$14))/360*$B$7*$B$5*$B$14/100)</f>
        <v/>
      </c>
      <c r="E80" s="4" t="str">
        <f t="shared" ca="1" si="11"/>
        <v/>
      </c>
      <c r="F80" s="25" t="str">
        <f t="shared" ref="F80:F136" ca="1" si="18">IF(ISERROR(E80-2), "", (E80-$E$14)/100*$C$5)</f>
        <v/>
      </c>
      <c r="G80" s="26" t="str">
        <f t="shared" ref="G80:G136" ca="1" si="19">IF(ISERROR(E80-2),"",(INT(A80)-INT($A$14))/360*$C$6*$C$5-(INT(A80)-INT($A$14))/360*$C$7*$C$5*$E$14/100)</f>
        <v/>
      </c>
      <c r="H80" s="55" t="str">
        <f t="shared" ca="1" si="12"/>
        <v/>
      </c>
      <c r="J80" s="37">
        <v>46008</v>
      </c>
      <c r="K80" s="41">
        <v>79.564999999999998</v>
      </c>
      <c r="L80" s="37"/>
      <c r="N80" s="95" t="str">
        <f t="shared" si="13"/>
        <v/>
      </c>
      <c r="O80" s="95" t="str">
        <f t="shared" si="14"/>
        <v/>
      </c>
    </row>
    <row r="81" spans="1:15" x14ac:dyDescent="0.25">
      <c r="A81" s="98" t="str">
        <f t="shared" ca="1" si="15"/>
        <v/>
      </c>
      <c r="B81" s="33" t="str">
        <f t="shared" ca="1" si="10"/>
        <v/>
      </c>
      <c r="C81" s="25" t="str">
        <f t="shared" ca="1" si="16"/>
        <v/>
      </c>
      <c r="D81" s="26" t="str">
        <f t="shared" ca="1" si="17"/>
        <v/>
      </c>
      <c r="E81" s="4" t="str">
        <f t="shared" ca="1" si="11"/>
        <v/>
      </c>
      <c r="F81" s="25" t="str">
        <f t="shared" ca="1" si="18"/>
        <v/>
      </c>
      <c r="G81" s="26" t="str">
        <f t="shared" ca="1" si="19"/>
        <v/>
      </c>
      <c r="H81" s="55" t="str">
        <f t="shared" ca="1" si="12"/>
        <v/>
      </c>
      <c r="J81" s="37">
        <v>46009</v>
      </c>
      <c r="K81" s="41">
        <v>79.977000000000004</v>
      </c>
      <c r="L81" s="37"/>
      <c r="N81" s="95" t="str">
        <f t="shared" si="13"/>
        <v/>
      </c>
      <c r="O81" s="95" t="str">
        <f t="shared" si="14"/>
        <v/>
      </c>
    </row>
    <row r="82" spans="1:15" x14ac:dyDescent="0.25">
      <c r="A82" s="98" t="str">
        <f t="shared" ca="1" si="15"/>
        <v/>
      </c>
      <c r="B82" s="33" t="str">
        <f t="shared" ca="1" si="10"/>
        <v/>
      </c>
      <c r="C82" s="25" t="str">
        <f t="shared" ca="1" si="16"/>
        <v/>
      </c>
      <c r="D82" s="26" t="str">
        <f t="shared" ca="1" si="17"/>
        <v/>
      </c>
      <c r="E82" s="4" t="str">
        <f t="shared" ca="1" si="11"/>
        <v/>
      </c>
      <c r="F82" s="25" t="str">
        <f t="shared" ca="1" si="18"/>
        <v/>
      </c>
      <c r="G82" s="26" t="str">
        <f t="shared" ca="1" si="19"/>
        <v/>
      </c>
      <c r="H82" s="55" t="str">
        <f t="shared" ca="1" si="12"/>
        <v/>
      </c>
      <c r="J82" s="37">
        <v>46010</v>
      </c>
      <c r="K82" s="41">
        <v>80.045000000000002</v>
      </c>
      <c r="L82" s="37"/>
      <c r="N82" s="95" t="str">
        <f t="shared" si="13"/>
        <v/>
      </c>
      <c r="O82" s="95" t="str">
        <f t="shared" si="14"/>
        <v/>
      </c>
    </row>
    <row r="83" spans="1:15" x14ac:dyDescent="0.25">
      <c r="A83" s="98" t="str">
        <f t="shared" ca="1" si="15"/>
        <v/>
      </c>
      <c r="B83" s="33" t="str">
        <f t="shared" ca="1" si="10"/>
        <v/>
      </c>
      <c r="C83" s="25" t="str">
        <f t="shared" ca="1" si="16"/>
        <v/>
      </c>
      <c r="D83" s="26" t="str">
        <f t="shared" ca="1" si="17"/>
        <v/>
      </c>
      <c r="E83" s="4" t="str">
        <f t="shared" ca="1" si="11"/>
        <v/>
      </c>
      <c r="F83" s="25" t="str">
        <f t="shared" ca="1" si="18"/>
        <v/>
      </c>
      <c r="G83" s="26" t="str">
        <f t="shared" ca="1" si="19"/>
        <v/>
      </c>
      <c r="H83" s="55" t="str">
        <f t="shared" ca="1" si="12"/>
        <v/>
      </c>
      <c r="J83" s="37">
        <v>46013</v>
      </c>
      <c r="K83" s="41">
        <v>79.98</v>
      </c>
      <c r="L83" s="37"/>
      <c r="N83" s="95" t="str">
        <f t="shared" si="13"/>
        <v/>
      </c>
      <c r="O83" s="95" t="str">
        <f t="shared" si="14"/>
        <v/>
      </c>
    </row>
    <row r="84" spans="1:15" x14ac:dyDescent="0.25">
      <c r="A84" s="98" t="str">
        <f t="shared" ca="1" si="15"/>
        <v/>
      </c>
      <c r="B84" s="33" t="str">
        <f t="shared" ca="1" si="10"/>
        <v/>
      </c>
      <c r="C84" s="25" t="str">
        <f t="shared" ca="1" si="16"/>
        <v/>
      </c>
      <c r="D84" s="26" t="str">
        <f t="shared" ca="1" si="17"/>
        <v/>
      </c>
      <c r="E84" s="4" t="str">
        <f t="shared" ca="1" si="11"/>
        <v/>
      </c>
      <c r="F84" s="25" t="str">
        <f t="shared" ca="1" si="18"/>
        <v/>
      </c>
      <c r="G84" s="26" t="str">
        <f t="shared" ca="1" si="19"/>
        <v/>
      </c>
      <c r="H84" s="55" t="str">
        <f t="shared" ca="1" si="12"/>
        <v/>
      </c>
      <c r="J84" s="37">
        <v>46014</v>
      </c>
      <c r="K84" s="41">
        <v>80.156999999999996</v>
      </c>
      <c r="L84" s="37"/>
      <c r="N84" s="95" t="str">
        <f t="shared" si="13"/>
        <v/>
      </c>
      <c r="O84" s="95" t="str">
        <f t="shared" si="14"/>
        <v/>
      </c>
    </row>
    <row r="85" spans="1:15" x14ac:dyDescent="0.25">
      <c r="A85" s="98" t="str">
        <f t="shared" ca="1" si="15"/>
        <v/>
      </c>
      <c r="B85" s="33" t="str">
        <f t="shared" ca="1" si="10"/>
        <v/>
      </c>
      <c r="C85" s="25" t="str">
        <f t="shared" ca="1" si="16"/>
        <v/>
      </c>
      <c r="D85" s="26" t="str">
        <f t="shared" ca="1" si="17"/>
        <v/>
      </c>
      <c r="E85" s="4" t="str">
        <f t="shared" ca="1" si="11"/>
        <v/>
      </c>
      <c r="F85" s="25" t="str">
        <f t="shared" ca="1" si="18"/>
        <v/>
      </c>
      <c r="G85" s="26" t="str">
        <f t="shared" ca="1" si="19"/>
        <v/>
      </c>
      <c r="H85" s="55" t="str">
        <f t="shared" ca="1" si="12"/>
        <v/>
      </c>
      <c r="J85" s="37">
        <v>46015</v>
      </c>
      <c r="K85" s="41">
        <v>80.346000000000004</v>
      </c>
      <c r="L85" s="37"/>
      <c r="N85" s="95" t="str">
        <f t="shared" si="13"/>
        <v/>
      </c>
      <c r="O85" s="95" t="str">
        <f t="shared" si="14"/>
        <v/>
      </c>
    </row>
    <row r="86" spans="1:15" x14ac:dyDescent="0.25">
      <c r="A86" s="98" t="str">
        <f t="shared" ca="1" si="15"/>
        <v/>
      </c>
      <c r="B86" s="33" t="str">
        <f t="shared" ca="1" si="10"/>
        <v/>
      </c>
      <c r="C86" s="25" t="str">
        <f t="shared" ca="1" si="16"/>
        <v/>
      </c>
      <c r="D86" s="26" t="str">
        <f t="shared" ca="1" si="17"/>
        <v/>
      </c>
      <c r="E86" s="4" t="str">
        <f t="shared" ca="1" si="11"/>
        <v/>
      </c>
      <c r="F86" s="25" t="str">
        <f t="shared" ca="1" si="18"/>
        <v/>
      </c>
      <c r="G86" s="26" t="str">
        <f t="shared" ca="1" si="19"/>
        <v/>
      </c>
      <c r="H86" s="55" t="str">
        <f t="shared" ca="1" si="12"/>
        <v/>
      </c>
      <c r="J86" s="37">
        <v>46016</v>
      </c>
      <c r="K86" s="41">
        <v>80.346000000000004</v>
      </c>
      <c r="L86" s="37"/>
      <c r="N86" s="95" t="str">
        <f t="shared" si="13"/>
        <v/>
      </c>
      <c r="O86" s="95" t="str">
        <f t="shared" si="14"/>
        <v/>
      </c>
    </row>
    <row r="87" spans="1:15" x14ac:dyDescent="0.25">
      <c r="A87" s="98" t="str">
        <f t="shared" ca="1" si="15"/>
        <v/>
      </c>
      <c r="B87" s="33" t="str">
        <f t="shared" ca="1" si="10"/>
        <v/>
      </c>
      <c r="C87" s="25" t="str">
        <f t="shared" ca="1" si="16"/>
        <v/>
      </c>
      <c r="D87" s="26" t="str">
        <f t="shared" ca="1" si="17"/>
        <v/>
      </c>
      <c r="E87" s="4" t="str">
        <f t="shared" ca="1" si="11"/>
        <v/>
      </c>
      <c r="F87" s="25" t="str">
        <f t="shared" ca="1" si="18"/>
        <v/>
      </c>
      <c r="G87" s="26" t="str">
        <f t="shared" ca="1" si="19"/>
        <v/>
      </c>
      <c r="H87" s="55" t="str">
        <f t="shared" ca="1" si="12"/>
        <v/>
      </c>
      <c r="J87" s="37">
        <v>46017</v>
      </c>
      <c r="K87" s="41">
        <v>80.344999999999999</v>
      </c>
      <c r="L87" s="37"/>
      <c r="N87" s="95" t="str">
        <f t="shared" si="13"/>
        <v/>
      </c>
      <c r="O87" s="95" t="str">
        <f t="shared" si="14"/>
        <v/>
      </c>
    </row>
    <row r="88" spans="1:15" x14ac:dyDescent="0.25">
      <c r="A88" s="98" t="str">
        <f t="shared" ca="1" si="15"/>
        <v/>
      </c>
      <c r="B88" s="33" t="str">
        <f t="shared" ca="1" si="10"/>
        <v/>
      </c>
      <c r="C88" s="25" t="str">
        <f t="shared" ca="1" si="16"/>
        <v/>
      </c>
      <c r="D88" s="26" t="str">
        <f t="shared" ca="1" si="17"/>
        <v/>
      </c>
      <c r="E88" s="4" t="str">
        <f t="shared" ca="1" si="11"/>
        <v/>
      </c>
      <c r="F88" s="25" t="str">
        <f t="shared" ca="1" si="18"/>
        <v/>
      </c>
      <c r="G88" s="26" t="str">
        <f t="shared" ca="1" si="19"/>
        <v/>
      </c>
      <c r="H88" s="55" t="str">
        <f t="shared" ca="1" si="12"/>
        <v/>
      </c>
      <c r="J88" s="37">
        <v>46020</v>
      </c>
      <c r="K88" s="41">
        <v>80.438999999999993</v>
      </c>
      <c r="L88" s="37"/>
      <c r="N88" s="95" t="str">
        <f t="shared" si="13"/>
        <v/>
      </c>
      <c r="O88" s="95" t="str">
        <f t="shared" si="14"/>
        <v/>
      </c>
    </row>
    <row r="89" spans="1:15" x14ac:dyDescent="0.25">
      <c r="A89" s="98" t="str">
        <f t="shared" ca="1" si="15"/>
        <v/>
      </c>
      <c r="B89" s="33" t="str">
        <f t="shared" ca="1" si="10"/>
        <v/>
      </c>
      <c r="C89" s="25" t="str">
        <f t="shared" ca="1" si="16"/>
        <v/>
      </c>
      <c r="D89" s="26" t="str">
        <f t="shared" ca="1" si="17"/>
        <v/>
      </c>
      <c r="E89" s="4" t="str">
        <f t="shared" ca="1" si="11"/>
        <v/>
      </c>
      <c r="F89" s="25" t="str">
        <f t="shared" ca="1" si="18"/>
        <v/>
      </c>
      <c r="G89" s="26" t="str">
        <f t="shared" ca="1" si="19"/>
        <v/>
      </c>
      <c r="H89" s="55" t="str">
        <f t="shared" ca="1" si="12"/>
        <v/>
      </c>
      <c r="J89" s="37">
        <v>46021</v>
      </c>
      <c r="K89" s="41">
        <v>80.370999999999995</v>
      </c>
      <c r="L89" s="37"/>
      <c r="N89" s="95" t="str">
        <f t="shared" si="13"/>
        <v/>
      </c>
      <c r="O89" s="95" t="str">
        <f t="shared" si="14"/>
        <v/>
      </c>
    </row>
    <row r="90" spans="1:15" x14ac:dyDescent="0.25">
      <c r="A90" s="98" t="str">
        <f t="shared" ca="1" si="15"/>
        <v/>
      </c>
      <c r="B90" s="33" t="str">
        <f t="shared" ca="1" si="10"/>
        <v/>
      </c>
      <c r="C90" s="25" t="str">
        <f t="shared" ca="1" si="16"/>
        <v/>
      </c>
      <c r="D90" s="26" t="str">
        <f t="shared" ca="1" si="17"/>
        <v/>
      </c>
      <c r="E90" s="4" t="str">
        <f t="shared" ca="1" si="11"/>
        <v/>
      </c>
      <c r="F90" s="25" t="str">
        <f t="shared" ca="1" si="18"/>
        <v/>
      </c>
      <c r="G90" s="26" t="str">
        <f t="shared" ca="1" si="19"/>
        <v/>
      </c>
      <c r="H90" s="55" t="str">
        <f t="shared" ca="1" si="12"/>
        <v/>
      </c>
      <c r="J90" s="37">
        <v>46022</v>
      </c>
      <c r="K90" s="41">
        <v>80.438999999999993</v>
      </c>
      <c r="L90" s="37"/>
      <c r="N90" s="95" t="str">
        <f t="shared" si="13"/>
        <v/>
      </c>
      <c r="O90" s="95" t="str">
        <f t="shared" si="14"/>
        <v/>
      </c>
    </row>
    <row r="91" spans="1:15" x14ac:dyDescent="0.25">
      <c r="A91" s="98" t="str">
        <f t="shared" ca="1" si="15"/>
        <v/>
      </c>
      <c r="B91" s="33" t="str">
        <f t="shared" ca="1" si="10"/>
        <v/>
      </c>
      <c r="C91" s="25" t="str">
        <f t="shared" ca="1" si="16"/>
        <v/>
      </c>
      <c r="D91" s="26" t="str">
        <f t="shared" ca="1" si="17"/>
        <v/>
      </c>
      <c r="E91" s="4" t="str">
        <f t="shared" ca="1" si="11"/>
        <v/>
      </c>
      <c r="F91" s="25" t="str">
        <f t="shared" ca="1" si="18"/>
        <v/>
      </c>
      <c r="G91" s="26" t="str">
        <f t="shared" ca="1" si="19"/>
        <v/>
      </c>
      <c r="H91" s="55" t="str">
        <f t="shared" ca="1" si="12"/>
        <v/>
      </c>
      <c r="J91" s="37">
        <v>46023</v>
      </c>
      <c r="K91" s="41">
        <v>80.438999999999993</v>
      </c>
      <c r="L91" s="37"/>
      <c r="N91" s="95" t="str">
        <f t="shared" si="13"/>
        <v/>
      </c>
      <c r="O91" s="95" t="str">
        <f t="shared" si="14"/>
        <v/>
      </c>
    </row>
    <row r="92" spans="1:15" x14ac:dyDescent="0.25">
      <c r="A92" s="98" t="str">
        <f t="shared" ca="1" si="15"/>
        <v/>
      </c>
      <c r="B92" s="33" t="str">
        <f t="shared" ca="1" si="10"/>
        <v/>
      </c>
      <c r="C92" s="25" t="str">
        <f t="shared" ca="1" si="16"/>
        <v/>
      </c>
      <c r="D92" s="26" t="str">
        <f t="shared" ca="1" si="17"/>
        <v/>
      </c>
      <c r="E92" s="4" t="str">
        <f t="shared" ca="1" si="11"/>
        <v/>
      </c>
      <c r="F92" s="25" t="str">
        <f t="shared" ca="1" si="18"/>
        <v/>
      </c>
      <c r="G92" s="26" t="str">
        <f t="shared" ca="1" si="19"/>
        <v/>
      </c>
      <c r="H92" s="55" t="str">
        <f t="shared" ca="1" si="12"/>
        <v/>
      </c>
      <c r="J92" s="37">
        <v>46024</v>
      </c>
      <c r="K92" s="41">
        <v>80.254999999999995</v>
      </c>
      <c r="L92" s="37"/>
      <c r="N92" s="95" t="str">
        <f t="shared" si="13"/>
        <v/>
      </c>
      <c r="O92" s="95" t="str">
        <f t="shared" si="14"/>
        <v/>
      </c>
    </row>
    <row r="93" spans="1:15" x14ac:dyDescent="0.25">
      <c r="A93" s="98" t="str">
        <f t="shared" ca="1" si="15"/>
        <v/>
      </c>
      <c r="B93" s="33" t="str">
        <f t="shared" ca="1" si="10"/>
        <v/>
      </c>
      <c r="C93" s="25" t="str">
        <f t="shared" ca="1" si="16"/>
        <v/>
      </c>
      <c r="D93" s="26" t="str">
        <f t="shared" ca="1" si="17"/>
        <v/>
      </c>
      <c r="E93" s="4" t="str">
        <f t="shared" ca="1" si="11"/>
        <v/>
      </c>
      <c r="F93" s="25" t="str">
        <f t="shared" ca="1" si="18"/>
        <v/>
      </c>
      <c r="G93" s="26" t="str">
        <f t="shared" ca="1" si="19"/>
        <v/>
      </c>
      <c r="H93" s="55" t="str">
        <f t="shared" ca="1" si="12"/>
        <v/>
      </c>
      <c r="J93" s="37">
        <v>46027</v>
      </c>
      <c r="K93" s="41">
        <v>80.06</v>
      </c>
      <c r="L93" s="37"/>
      <c r="N93" s="95" t="str">
        <f t="shared" si="13"/>
        <v/>
      </c>
      <c r="O93" s="95" t="str">
        <f t="shared" si="14"/>
        <v/>
      </c>
    </row>
    <row r="94" spans="1:15" x14ac:dyDescent="0.25">
      <c r="A94" s="98" t="str">
        <f t="shared" ca="1" si="15"/>
        <v/>
      </c>
      <c r="B94" s="33" t="str">
        <f t="shared" ca="1" si="10"/>
        <v/>
      </c>
      <c r="C94" s="25" t="str">
        <f t="shared" ca="1" si="16"/>
        <v/>
      </c>
      <c r="D94" s="26" t="str">
        <f t="shared" ca="1" si="17"/>
        <v/>
      </c>
      <c r="E94" s="4" t="str">
        <f t="shared" ca="1" si="11"/>
        <v/>
      </c>
      <c r="F94" s="25" t="str">
        <f t="shared" ca="1" si="18"/>
        <v/>
      </c>
      <c r="G94" s="26" t="str">
        <f t="shared" ca="1" si="19"/>
        <v/>
      </c>
      <c r="H94" s="55" t="str">
        <f t="shared" ca="1" si="12"/>
        <v/>
      </c>
      <c r="J94" s="37">
        <v>46028</v>
      </c>
      <c r="K94" s="41">
        <v>80.058000000000007</v>
      </c>
      <c r="L94" s="37"/>
      <c r="N94" s="95" t="str">
        <f t="shared" si="13"/>
        <v/>
      </c>
      <c r="O94" s="95" t="str">
        <f t="shared" si="14"/>
        <v/>
      </c>
    </row>
    <row r="95" spans="1:15" x14ac:dyDescent="0.25">
      <c r="A95" s="98" t="str">
        <f t="shared" ca="1" si="15"/>
        <v/>
      </c>
      <c r="B95" s="33" t="str">
        <f t="shared" ca="1" si="10"/>
        <v/>
      </c>
      <c r="C95" s="25" t="str">
        <f t="shared" ca="1" si="16"/>
        <v/>
      </c>
      <c r="D95" s="26" t="str">
        <f t="shared" ca="1" si="17"/>
        <v/>
      </c>
      <c r="E95" s="4" t="str">
        <f t="shared" ca="1" si="11"/>
        <v/>
      </c>
      <c r="F95" s="25" t="str">
        <f t="shared" ca="1" si="18"/>
        <v/>
      </c>
      <c r="G95" s="26" t="str">
        <f t="shared" ca="1" si="19"/>
        <v/>
      </c>
      <c r="H95" s="55" t="str">
        <f t="shared" ca="1" si="12"/>
        <v/>
      </c>
      <c r="J95" s="37">
        <v>46029</v>
      </c>
      <c r="K95" s="41">
        <v>80</v>
      </c>
      <c r="L95" s="37"/>
      <c r="N95" s="95" t="str">
        <f t="shared" si="13"/>
        <v/>
      </c>
      <c r="O95" s="95" t="str">
        <f t="shared" si="14"/>
        <v/>
      </c>
    </row>
    <row r="96" spans="1:15" x14ac:dyDescent="0.25">
      <c r="A96" s="98" t="str">
        <f t="shared" ca="1" si="15"/>
        <v/>
      </c>
      <c r="B96" s="33" t="str">
        <f t="shared" ca="1" si="10"/>
        <v/>
      </c>
      <c r="C96" s="25" t="str">
        <f t="shared" ca="1" si="16"/>
        <v/>
      </c>
      <c r="D96" s="26" t="str">
        <f t="shared" ca="1" si="17"/>
        <v/>
      </c>
      <c r="E96" s="4" t="str">
        <f t="shared" ca="1" si="11"/>
        <v/>
      </c>
      <c r="F96" s="25" t="str">
        <f t="shared" ca="1" si="18"/>
        <v/>
      </c>
      <c r="G96" s="26" t="str">
        <f t="shared" ca="1" si="19"/>
        <v/>
      </c>
      <c r="H96" s="55" t="str">
        <f t="shared" ca="1" si="12"/>
        <v/>
      </c>
      <c r="J96" s="37">
        <v>46030</v>
      </c>
      <c r="K96" s="41">
        <v>79.781999999999996</v>
      </c>
      <c r="L96" s="37"/>
      <c r="N96" s="95" t="str">
        <f t="shared" si="13"/>
        <v/>
      </c>
      <c r="O96" s="95" t="str">
        <f t="shared" si="14"/>
        <v/>
      </c>
    </row>
    <row r="97" spans="1:15" x14ac:dyDescent="0.25">
      <c r="A97" s="98" t="str">
        <f t="shared" ca="1" si="15"/>
        <v/>
      </c>
      <c r="B97" s="33" t="str">
        <f t="shared" ca="1" si="10"/>
        <v/>
      </c>
      <c r="C97" s="25" t="str">
        <f t="shared" ca="1" si="16"/>
        <v/>
      </c>
      <c r="D97" s="26" t="str">
        <f t="shared" ca="1" si="17"/>
        <v/>
      </c>
      <c r="E97" s="4" t="str">
        <f t="shared" ca="1" si="11"/>
        <v/>
      </c>
      <c r="F97" s="25" t="str">
        <f t="shared" ca="1" si="18"/>
        <v/>
      </c>
      <c r="G97" s="26" t="str">
        <f t="shared" ca="1" si="19"/>
        <v/>
      </c>
      <c r="H97" s="55" t="str">
        <f t="shared" ca="1" si="12"/>
        <v/>
      </c>
      <c r="J97" s="37">
        <v>46031</v>
      </c>
      <c r="K97" s="41">
        <v>79.894000000000005</v>
      </c>
      <c r="L97" s="37"/>
      <c r="N97" s="95" t="str">
        <f t="shared" si="13"/>
        <v/>
      </c>
      <c r="O97" s="95" t="str">
        <f t="shared" si="14"/>
        <v/>
      </c>
    </row>
    <row r="98" spans="1:15" x14ac:dyDescent="0.25">
      <c r="A98" s="98" t="str">
        <f t="shared" ca="1" si="15"/>
        <v/>
      </c>
      <c r="B98" s="33" t="str">
        <f t="shared" ca="1" si="10"/>
        <v/>
      </c>
      <c r="C98" s="25" t="str">
        <f t="shared" ca="1" si="16"/>
        <v/>
      </c>
      <c r="D98" s="26" t="str">
        <f t="shared" ca="1" si="17"/>
        <v/>
      </c>
      <c r="E98" s="4" t="str">
        <f t="shared" ca="1" si="11"/>
        <v/>
      </c>
      <c r="F98" s="25" t="str">
        <f t="shared" ca="1" si="18"/>
        <v/>
      </c>
      <c r="G98" s="26" t="str">
        <f t="shared" ca="1" si="19"/>
        <v/>
      </c>
      <c r="H98" s="55" t="str">
        <f t="shared" ca="1" si="12"/>
        <v/>
      </c>
      <c r="J98" s="37">
        <v>46034</v>
      </c>
      <c r="K98" s="41">
        <v>79.882999999999996</v>
      </c>
      <c r="L98" s="37"/>
      <c r="N98" s="95" t="str">
        <f t="shared" si="13"/>
        <v/>
      </c>
      <c r="O98" s="95" t="str">
        <f t="shared" si="14"/>
        <v/>
      </c>
    </row>
    <row r="99" spans="1:15" x14ac:dyDescent="0.25">
      <c r="A99" s="98" t="str">
        <f t="shared" ca="1" si="15"/>
        <v/>
      </c>
      <c r="B99" s="33" t="str">
        <f t="shared" ca="1" si="10"/>
        <v/>
      </c>
      <c r="C99" s="25" t="str">
        <f t="shared" ca="1" si="16"/>
        <v/>
      </c>
      <c r="D99" s="26" t="str">
        <f t="shared" ca="1" si="17"/>
        <v/>
      </c>
      <c r="E99" s="4" t="str">
        <f t="shared" ca="1" si="11"/>
        <v/>
      </c>
      <c r="F99" s="25" t="str">
        <f t="shared" ca="1" si="18"/>
        <v/>
      </c>
      <c r="G99" s="26" t="str">
        <f t="shared" ca="1" si="19"/>
        <v/>
      </c>
      <c r="H99" s="55" t="str">
        <f t="shared" ca="1" si="12"/>
        <v/>
      </c>
      <c r="J99" s="37">
        <v>46035</v>
      </c>
      <c r="K99" s="41">
        <v>79.884</v>
      </c>
      <c r="L99" s="37"/>
      <c r="N99" s="95" t="str">
        <f t="shared" si="13"/>
        <v/>
      </c>
      <c r="O99" s="95" t="str">
        <f t="shared" si="14"/>
        <v/>
      </c>
    </row>
    <row r="100" spans="1:15" x14ac:dyDescent="0.25">
      <c r="A100" s="98" t="str">
        <f t="shared" ca="1" si="15"/>
        <v/>
      </c>
      <c r="B100" s="33" t="str">
        <f t="shared" ca="1" si="10"/>
        <v/>
      </c>
      <c r="C100" s="25" t="str">
        <f t="shared" ca="1" si="16"/>
        <v/>
      </c>
      <c r="D100" s="26" t="str">
        <f t="shared" ca="1" si="17"/>
        <v/>
      </c>
      <c r="E100" s="4" t="str">
        <f t="shared" ca="1" si="11"/>
        <v/>
      </c>
      <c r="F100" s="25" t="str">
        <f t="shared" ca="1" si="18"/>
        <v/>
      </c>
      <c r="G100" s="26" t="str">
        <f t="shared" ca="1" si="19"/>
        <v/>
      </c>
      <c r="H100" s="55" t="str">
        <f t="shared" ca="1" si="12"/>
        <v/>
      </c>
      <c r="J100" s="37">
        <v>46036</v>
      </c>
      <c r="K100" s="41">
        <v>80.072000000000003</v>
      </c>
      <c r="L100" s="37"/>
      <c r="N100" s="95" t="str">
        <f t="shared" si="13"/>
        <v/>
      </c>
      <c r="O100" s="95" t="str">
        <f t="shared" si="14"/>
        <v/>
      </c>
    </row>
    <row r="101" spans="1:15" x14ac:dyDescent="0.25">
      <c r="A101" s="98" t="str">
        <f t="shared" ca="1" si="15"/>
        <v/>
      </c>
      <c r="B101" s="33" t="str">
        <f t="shared" ca="1" si="10"/>
        <v/>
      </c>
      <c r="C101" s="25" t="str">
        <f t="shared" ca="1" si="16"/>
        <v/>
      </c>
      <c r="D101" s="26" t="str">
        <f t="shared" ca="1" si="17"/>
        <v/>
      </c>
      <c r="E101" s="4" t="str">
        <f t="shared" ca="1" si="11"/>
        <v/>
      </c>
      <c r="F101" s="25" t="str">
        <f t="shared" ca="1" si="18"/>
        <v/>
      </c>
      <c r="G101" s="26" t="str">
        <f t="shared" ca="1" si="19"/>
        <v/>
      </c>
      <c r="H101" s="55" t="str">
        <f t="shared" ca="1" si="12"/>
        <v/>
      </c>
      <c r="J101" s="37">
        <v>46037</v>
      </c>
      <c r="K101" s="41">
        <v>80.305000000000007</v>
      </c>
      <c r="L101" s="37"/>
      <c r="N101" s="95" t="str">
        <f t="shared" si="13"/>
        <v/>
      </c>
      <c r="O101" s="95" t="str">
        <f t="shared" si="14"/>
        <v/>
      </c>
    </row>
    <row r="102" spans="1:15" x14ac:dyDescent="0.25">
      <c r="A102" s="98" t="str">
        <f t="shared" ca="1" si="15"/>
        <v/>
      </c>
      <c r="B102" s="33" t="str">
        <f t="shared" ca="1" si="10"/>
        <v/>
      </c>
      <c r="C102" s="25" t="str">
        <f t="shared" ca="1" si="16"/>
        <v/>
      </c>
      <c r="D102" s="26" t="str">
        <f t="shared" ca="1" si="17"/>
        <v/>
      </c>
      <c r="E102" s="4" t="str">
        <f t="shared" ca="1" si="11"/>
        <v/>
      </c>
      <c r="F102" s="25" t="str">
        <f t="shared" ca="1" si="18"/>
        <v/>
      </c>
      <c r="G102" s="26" t="str">
        <f t="shared" ca="1" si="19"/>
        <v/>
      </c>
      <c r="H102" s="55" t="str">
        <f t="shared" ca="1" si="12"/>
        <v/>
      </c>
      <c r="J102" s="37">
        <v>46038</v>
      </c>
      <c r="K102" s="41">
        <v>80.253</v>
      </c>
      <c r="L102" s="37"/>
      <c r="N102" s="95" t="str">
        <f t="shared" si="13"/>
        <v/>
      </c>
      <c r="O102" s="95" t="str">
        <f t="shared" si="14"/>
        <v/>
      </c>
    </row>
    <row r="103" spans="1:15" x14ac:dyDescent="0.25">
      <c r="A103" s="98" t="str">
        <f t="shared" ca="1" si="15"/>
        <v/>
      </c>
      <c r="B103" s="33" t="str">
        <f t="shared" ref="B103:B136" ca="1" si="20">IF(COUNTIF(J:J,A103)=1,VLOOKUP(A103,J:K,2), IF(COUNTIF(J:J,A103)=0,$B$10,""))</f>
        <v/>
      </c>
      <c r="C103" s="25" t="str">
        <f t="shared" ca="1" si="16"/>
        <v/>
      </c>
      <c r="D103" s="26" t="str">
        <f t="shared" ca="1" si="17"/>
        <v/>
      </c>
      <c r="E103" s="4" t="str">
        <f t="shared" ref="E103:E136" ca="1" si="21">IF(COUNTIF(L:L,A103)=1,VLOOKUP(A103,L:M,2), IF(COUNTIF(L:L,A103)=0,$C$10,""))</f>
        <v/>
      </c>
      <c r="F103" s="25" t="str">
        <f t="shared" ca="1" si="18"/>
        <v/>
      </c>
      <c r="G103" s="26" t="str">
        <f t="shared" ca="1" si="19"/>
        <v/>
      </c>
      <c r="H103" s="55" t="str">
        <f t="shared" ref="H103:H136" ca="1" si="22">IF(ISERROR(E103-2),"",C103+D103-F103-G103)</f>
        <v/>
      </c>
      <c r="J103" s="37">
        <v>46041</v>
      </c>
      <c r="K103" s="41">
        <v>80.253</v>
      </c>
      <c r="L103" s="37"/>
      <c r="N103" s="95" t="str">
        <f t="shared" si="13"/>
        <v/>
      </c>
      <c r="O103" s="95" t="str">
        <f t="shared" si="14"/>
        <v/>
      </c>
    </row>
    <row r="104" spans="1:15" x14ac:dyDescent="0.25">
      <c r="A104" s="98" t="str">
        <f t="shared" ca="1" si="15"/>
        <v/>
      </c>
      <c r="B104" s="33" t="str">
        <f t="shared" ca="1" si="20"/>
        <v/>
      </c>
      <c r="C104" s="25" t="str">
        <f t="shared" ca="1" si="16"/>
        <v/>
      </c>
      <c r="D104" s="26" t="str">
        <f t="shared" ca="1" si="17"/>
        <v/>
      </c>
      <c r="E104" s="4" t="str">
        <f t="shared" ca="1" si="21"/>
        <v/>
      </c>
      <c r="F104" s="25" t="str">
        <f t="shared" ca="1" si="18"/>
        <v/>
      </c>
      <c r="G104" s="26" t="str">
        <f t="shared" ca="1" si="19"/>
        <v/>
      </c>
      <c r="H104" s="55" t="str">
        <f t="shared" ca="1" si="22"/>
        <v/>
      </c>
      <c r="J104" s="37">
        <v>46042</v>
      </c>
      <c r="K104" s="41">
        <v>79.667000000000002</v>
      </c>
      <c r="L104" s="37"/>
      <c r="N104" s="95" t="str">
        <f t="shared" si="13"/>
        <v/>
      </c>
      <c r="O104" s="95" t="str">
        <f t="shared" si="14"/>
        <v/>
      </c>
    </row>
    <row r="105" spans="1:15" x14ac:dyDescent="0.25">
      <c r="A105" s="98" t="str">
        <f t="shared" ca="1" si="15"/>
        <v/>
      </c>
      <c r="B105" s="33" t="str">
        <f t="shared" ca="1" si="20"/>
        <v/>
      </c>
      <c r="C105" s="25" t="str">
        <f t="shared" ca="1" si="16"/>
        <v/>
      </c>
      <c r="D105" s="26" t="str">
        <f t="shared" ca="1" si="17"/>
        <v/>
      </c>
      <c r="E105" s="4" t="str">
        <f t="shared" ca="1" si="21"/>
        <v/>
      </c>
      <c r="F105" s="25" t="str">
        <f t="shared" ca="1" si="18"/>
        <v/>
      </c>
      <c r="G105" s="26" t="str">
        <f t="shared" ca="1" si="19"/>
        <v/>
      </c>
      <c r="H105" s="55" t="str">
        <f t="shared" ca="1" si="22"/>
        <v/>
      </c>
      <c r="J105" s="37">
        <v>46043</v>
      </c>
      <c r="K105" s="41">
        <v>80.010000000000005</v>
      </c>
      <c r="L105" s="37"/>
      <c r="N105" s="95" t="str">
        <f t="shared" si="13"/>
        <v/>
      </c>
      <c r="O105" s="95" t="str">
        <f t="shared" si="14"/>
        <v/>
      </c>
    </row>
    <row r="106" spans="1:15" x14ac:dyDescent="0.25">
      <c r="A106" s="98" t="str">
        <f t="shared" ca="1" si="15"/>
        <v/>
      </c>
      <c r="B106" s="33" t="str">
        <f t="shared" ca="1" si="20"/>
        <v/>
      </c>
      <c r="C106" s="25" t="str">
        <f t="shared" ca="1" si="16"/>
        <v/>
      </c>
      <c r="D106" s="26" t="str">
        <f t="shared" ca="1" si="17"/>
        <v/>
      </c>
      <c r="E106" s="4" t="str">
        <f t="shared" ca="1" si="21"/>
        <v/>
      </c>
      <c r="F106" s="25" t="str">
        <f t="shared" ca="1" si="18"/>
        <v/>
      </c>
      <c r="G106" s="26" t="str">
        <f t="shared" ca="1" si="19"/>
        <v/>
      </c>
      <c r="H106" s="55" t="str">
        <f t="shared" ca="1" si="22"/>
        <v/>
      </c>
      <c r="J106" s="37">
        <v>46044</v>
      </c>
      <c r="K106" s="41">
        <v>80.296999999999997</v>
      </c>
      <c r="L106" s="37"/>
      <c r="N106" s="95" t="str">
        <f t="shared" si="13"/>
        <v/>
      </c>
      <c r="O106" s="95" t="str">
        <f t="shared" si="14"/>
        <v/>
      </c>
    </row>
    <row r="107" spans="1:15" x14ac:dyDescent="0.25">
      <c r="A107" s="98" t="str">
        <f t="shared" ca="1" si="15"/>
        <v/>
      </c>
      <c r="B107" s="33" t="str">
        <f t="shared" ca="1" si="20"/>
        <v/>
      </c>
      <c r="C107" s="25" t="str">
        <f t="shared" ca="1" si="16"/>
        <v/>
      </c>
      <c r="D107" s="26" t="str">
        <f t="shared" ca="1" si="17"/>
        <v/>
      </c>
      <c r="E107" s="4" t="str">
        <f t="shared" ca="1" si="21"/>
        <v/>
      </c>
      <c r="F107" s="25" t="str">
        <f t="shared" ca="1" si="18"/>
        <v/>
      </c>
      <c r="G107" s="26" t="str">
        <f t="shared" ca="1" si="19"/>
        <v/>
      </c>
      <c r="H107" s="55" t="str">
        <f t="shared" ca="1" si="22"/>
        <v/>
      </c>
      <c r="J107" s="37">
        <v>46045</v>
      </c>
      <c r="K107" s="41">
        <v>80.295000000000002</v>
      </c>
      <c r="L107" s="37"/>
      <c r="N107" s="95" t="str">
        <f t="shared" si="13"/>
        <v/>
      </c>
      <c r="O107" s="95" t="str">
        <f t="shared" si="14"/>
        <v/>
      </c>
    </row>
    <row r="108" spans="1:15" x14ac:dyDescent="0.25">
      <c r="A108" s="98" t="str">
        <f t="shared" ca="1" si="15"/>
        <v/>
      </c>
      <c r="B108" s="33" t="str">
        <f t="shared" ca="1" si="20"/>
        <v/>
      </c>
      <c r="C108" s="25" t="str">
        <f t="shared" ca="1" si="16"/>
        <v/>
      </c>
      <c r="D108" s="26" t="str">
        <f t="shared" ca="1" si="17"/>
        <v/>
      </c>
      <c r="E108" s="4" t="str">
        <f t="shared" ca="1" si="21"/>
        <v/>
      </c>
      <c r="F108" s="25" t="str">
        <f t="shared" ca="1" si="18"/>
        <v/>
      </c>
      <c r="G108" s="26" t="str">
        <f t="shared" ca="1" si="19"/>
        <v/>
      </c>
      <c r="H108" s="55" t="str">
        <f t="shared" ca="1" si="22"/>
        <v/>
      </c>
      <c r="J108" s="37">
        <v>46048</v>
      </c>
      <c r="K108" s="41">
        <v>80.343000000000004</v>
      </c>
      <c r="L108" s="37"/>
      <c r="N108" s="95" t="str">
        <f t="shared" si="13"/>
        <v/>
      </c>
      <c r="O108" s="95" t="str">
        <f t="shared" si="14"/>
        <v/>
      </c>
    </row>
    <row r="109" spans="1:15" x14ac:dyDescent="0.25">
      <c r="A109" s="98" t="str">
        <f t="shared" ca="1" si="15"/>
        <v/>
      </c>
      <c r="B109" s="33" t="str">
        <f t="shared" ca="1" si="20"/>
        <v/>
      </c>
      <c r="C109" s="25" t="str">
        <f t="shared" ca="1" si="16"/>
        <v/>
      </c>
      <c r="D109" s="26" t="str">
        <f t="shared" ca="1" si="17"/>
        <v/>
      </c>
      <c r="E109" s="4" t="str">
        <f t="shared" ca="1" si="21"/>
        <v/>
      </c>
      <c r="F109" s="25" t="str">
        <f t="shared" ca="1" si="18"/>
        <v/>
      </c>
      <c r="G109" s="26" t="str">
        <f t="shared" ca="1" si="19"/>
        <v/>
      </c>
      <c r="H109" s="55" t="str">
        <f t="shared" ca="1" si="22"/>
        <v/>
      </c>
      <c r="J109" s="37">
        <v>46049</v>
      </c>
      <c r="K109" s="41">
        <v>80.197000000000003</v>
      </c>
      <c r="L109" s="37"/>
      <c r="N109" s="95" t="str">
        <f t="shared" si="13"/>
        <v/>
      </c>
      <c r="O109" s="95" t="str">
        <f t="shared" si="14"/>
        <v/>
      </c>
    </row>
    <row r="110" spans="1:15" x14ac:dyDescent="0.25">
      <c r="A110" s="98" t="str">
        <f t="shared" ca="1" si="15"/>
        <v/>
      </c>
      <c r="B110" s="33" t="str">
        <f t="shared" ca="1" si="20"/>
        <v/>
      </c>
      <c r="C110" s="25" t="str">
        <f t="shared" ca="1" si="16"/>
        <v/>
      </c>
      <c r="D110" s="26" t="str">
        <f t="shared" ca="1" si="17"/>
        <v/>
      </c>
      <c r="E110" s="4" t="str">
        <f t="shared" ca="1" si="21"/>
        <v/>
      </c>
      <c r="F110" s="25" t="str">
        <f t="shared" ca="1" si="18"/>
        <v/>
      </c>
      <c r="G110" s="26" t="str">
        <f t="shared" ca="1" si="19"/>
        <v/>
      </c>
      <c r="H110" s="55" t="str">
        <f t="shared" ca="1" si="22"/>
        <v/>
      </c>
      <c r="J110" s="37">
        <v>46050</v>
      </c>
      <c r="K110" s="41">
        <v>80.078999999999994</v>
      </c>
      <c r="L110" s="37"/>
      <c r="N110" s="95" t="str">
        <f t="shared" si="13"/>
        <v/>
      </c>
      <c r="O110" s="95" t="str">
        <f t="shared" si="14"/>
        <v/>
      </c>
    </row>
    <row r="111" spans="1:15" x14ac:dyDescent="0.25">
      <c r="A111" s="98" t="str">
        <f t="shared" ca="1" si="15"/>
        <v/>
      </c>
      <c r="B111" s="33" t="str">
        <f t="shared" ca="1" si="20"/>
        <v/>
      </c>
      <c r="C111" s="25" t="str">
        <f t="shared" ca="1" si="16"/>
        <v/>
      </c>
      <c r="D111" s="26" t="str">
        <f t="shared" ca="1" si="17"/>
        <v/>
      </c>
      <c r="E111" s="4" t="str">
        <f t="shared" ca="1" si="21"/>
        <v/>
      </c>
      <c r="F111" s="25" t="str">
        <f t="shared" ca="1" si="18"/>
        <v/>
      </c>
      <c r="G111" s="26" t="str">
        <f t="shared" ca="1" si="19"/>
        <v/>
      </c>
      <c r="H111" s="55" t="str">
        <f t="shared" ca="1" si="22"/>
        <v/>
      </c>
      <c r="J111" s="37">
        <v>46051</v>
      </c>
      <c r="K111" s="41">
        <v>80.179000000000002</v>
      </c>
      <c r="L111" s="37"/>
      <c r="N111" s="95" t="str">
        <f t="shared" si="13"/>
        <v/>
      </c>
      <c r="O111" s="95" t="str">
        <f t="shared" si="14"/>
        <v/>
      </c>
    </row>
    <row r="112" spans="1:15" x14ac:dyDescent="0.25">
      <c r="A112" s="98" t="str">
        <f t="shared" ca="1" si="15"/>
        <v/>
      </c>
      <c r="B112" s="33" t="str">
        <f t="shared" ca="1" si="20"/>
        <v/>
      </c>
      <c r="C112" s="25" t="str">
        <f t="shared" ca="1" si="16"/>
        <v/>
      </c>
      <c r="D112" s="26" t="str">
        <f t="shared" ca="1" si="17"/>
        <v/>
      </c>
      <c r="E112" s="4" t="str">
        <f t="shared" ca="1" si="21"/>
        <v/>
      </c>
      <c r="F112" s="25" t="str">
        <f t="shared" ca="1" si="18"/>
        <v/>
      </c>
      <c r="G112" s="26" t="str">
        <f t="shared" ca="1" si="19"/>
        <v/>
      </c>
      <c r="H112" s="55" t="str">
        <f t="shared" ca="1" si="22"/>
        <v/>
      </c>
      <c r="J112" s="37">
        <v>46052</v>
      </c>
      <c r="K112" s="41">
        <v>80.159000000000006</v>
      </c>
      <c r="L112" s="37"/>
      <c r="N112" s="95" t="str">
        <f t="shared" si="13"/>
        <v/>
      </c>
      <c r="O112" s="95" t="str">
        <f t="shared" si="14"/>
        <v/>
      </c>
    </row>
    <row r="113" spans="1:15" x14ac:dyDescent="0.25">
      <c r="A113" s="98" t="str">
        <f t="shared" ca="1" si="15"/>
        <v/>
      </c>
      <c r="B113" s="33" t="str">
        <f t="shared" ca="1" si="20"/>
        <v/>
      </c>
      <c r="C113" s="25" t="str">
        <f t="shared" ca="1" si="16"/>
        <v/>
      </c>
      <c r="D113" s="26" t="str">
        <f t="shared" ca="1" si="17"/>
        <v/>
      </c>
      <c r="E113" s="4" t="str">
        <f t="shared" ca="1" si="21"/>
        <v/>
      </c>
      <c r="F113" s="25" t="str">
        <f t="shared" ca="1" si="18"/>
        <v/>
      </c>
      <c r="G113" s="26" t="str">
        <f t="shared" ca="1" si="19"/>
        <v/>
      </c>
      <c r="H113" s="55" t="str">
        <f t="shared" ca="1" si="22"/>
        <v/>
      </c>
      <c r="J113" s="37">
        <v>46055</v>
      </c>
      <c r="K113" s="41">
        <v>80.02</v>
      </c>
      <c r="L113" s="37"/>
      <c r="N113" s="95" t="str">
        <f t="shared" si="13"/>
        <v/>
      </c>
      <c r="O113" s="95" t="str">
        <f t="shared" si="14"/>
        <v/>
      </c>
    </row>
    <row r="114" spans="1:15" x14ac:dyDescent="0.25">
      <c r="A114" s="98" t="str">
        <f t="shared" ca="1" si="15"/>
        <v/>
      </c>
      <c r="B114" s="33" t="str">
        <f t="shared" ca="1" si="20"/>
        <v/>
      </c>
      <c r="C114" s="25" t="str">
        <f t="shared" ca="1" si="16"/>
        <v/>
      </c>
      <c r="D114" s="26" t="str">
        <f t="shared" ca="1" si="17"/>
        <v/>
      </c>
      <c r="E114" s="4" t="str">
        <f t="shared" ca="1" si="21"/>
        <v/>
      </c>
      <c r="F114" s="25" t="str">
        <f t="shared" ca="1" si="18"/>
        <v/>
      </c>
      <c r="G114" s="26" t="str">
        <f t="shared" ca="1" si="19"/>
        <v/>
      </c>
      <c r="H114" s="55" t="str">
        <f t="shared" ca="1" si="22"/>
        <v/>
      </c>
      <c r="J114" s="37">
        <v>46056</v>
      </c>
      <c r="K114" s="41">
        <v>79.94</v>
      </c>
      <c r="L114" s="37"/>
      <c r="N114" s="95" t="str">
        <f t="shared" si="13"/>
        <v/>
      </c>
      <c r="O114" s="95" t="str">
        <f t="shared" si="14"/>
        <v/>
      </c>
    </row>
    <row r="115" spans="1:15" x14ac:dyDescent="0.25">
      <c r="A115" s="98" t="str">
        <f t="shared" ca="1" si="15"/>
        <v/>
      </c>
      <c r="B115" s="33" t="str">
        <f t="shared" ca="1" si="20"/>
        <v/>
      </c>
      <c r="C115" s="25" t="str">
        <f t="shared" ca="1" si="16"/>
        <v/>
      </c>
      <c r="D115" s="26" t="str">
        <f t="shared" ca="1" si="17"/>
        <v/>
      </c>
      <c r="E115" s="4" t="str">
        <f t="shared" ca="1" si="21"/>
        <v/>
      </c>
      <c r="F115" s="25" t="str">
        <f t="shared" ca="1" si="18"/>
        <v/>
      </c>
      <c r="G115" s="26" t="str">
        <f t="shared" ca="1" si="19"/>
        <v/>
      </c>
      <c r="H115" s="55" t="str">
        <f t="shared" ca="1" si="22"/>
        <v/>
      </c>
      <c r="J115" s="37">
        <v>46057</v>
      </c>
      <c r="K115" s="41">
        <v>79.873000000000005</v>
      </c>
      <c r="L115" s="37"/>
      <c r="N115" s="95" t="str">
        <f t="shared" si="13"/>
        <v/>
      </c>
      <c r="O115" s="95" t="str">
        <f t="shared" si="14"/>
        <v/>
      </c>
    </row>
    <row r="116" spans="1:15" x14ac:dyDescent="0.25">
      <c r="A116" s="98" t="str">
        <f t="shared" ca="1" si="15"/>
        <v/>
      </c>
      <c r="B116" s="33" t="str">
        <f t="shared" ca="1" si="20"/>
        <v/>
      </c>
      <c r="C116" s="25" t="str">
        <f t="shared" ca="1" si="16"/>
        <v/>
      </c>
      <c r="D116" s="26" t="str">
        <f t="shared" ca="1" si="17"/>
        <v/>
      </c>
      <c r="E116" s="4" t="str">
        <f t="shared" ca="1" si="21"/>
        <v/>
      </c>
      <c r="F116" s="25" t="str">
        <f t="shared" ca="1" si="18"/>
        <v/>
      </c>
      <c r="G116" s="26" t="str">
        <f t="shared" ca="1" si="19"/>
        <v/>
      </c>
      <c r="H116" s="55" t="str">
        <f t="shared" ca="1" si="22"/>
        <v/>
      </c>
      <c r="J116" s="37">
        <v>46058</v>
      </c>
      <c r="K116" s="41">
        <v>80.197999999999993</v>
      </c>
      <c r="L116" s="37"/>
      <c r="N116" s="95" t="str">
        <f t="shared" si="13"/>
        <v/>
      </c>
      <c r="O116" s="95" t="str">
        <f t="shared" si="14"/>
        <v/>
      </c>
    </row>
    <row r="117" spans="1:15" x14ac:dyDescent="0.25">
      <c r="A117" s="98" t="str">
        <f t="shared" ca="1" si="15"/>
        <v/>
      </c>
      <c r="B117" s="33" t="str">
        <f t="shared" ca="1" si="20"/>
        <v/>
      </c>
      <c r="C117" s="25" t="str">
        <f t="shared" ca="1" si="16"/>
        <v/>
      </c>
      <c r="D117" s="26" t="str">
        <f t="shared" ca="1" si="17"/>
        <v/>
      </c>
      <c r="E117" s="4" t="str">
        <f t="shared" ca="1" si="21"/>
        <v/>
      </c>
      <c r="F117" s="25" t="str">
        <f t="shared" ca="1" si="18"/>
        <v/>
      </c>
      <c r="G117" s="26" t="str">
        <f t="shared" ca="1" si="19"/>
        <v/>
      </c>
      <c r="H117" s="55" t="str">
        <f t="shared" ca="1" si="22"/>
        <v/>
      </c>
      <c r="J117" s="37">
        <v>46059</v>
      </c>
      <c r="K117" s="41">
        <v>80.465000000000003</v>
      </c>
      <c r="L117" s="37"/>
      <c r="N117" s="95" t="str">
        <f t="shared" si="13"/>
        <v/>
      </c>
      <c r="O117" s="95" t="str">
        <f t="shared" si="14"/>
        <v/>
      </c>
    </row>
    <row r="118" spans="1:15" x14ac:dyDescent="0.25">
      <c r="A118" s="98" t="str">
        <f t="shared" ca="1" si="15"/>
        <v/>
      </c>
      <c r="B118" s="33" t="str">
        <f t="shared" ca="1" si="20"/>
        <v/>
      </c>
      <c r="C118" s="25" t="str">
        <f t="shared" ca="1" si="16"/>
        <v/>
      </c>
      <c r="D118" s="26" t="str">
        <f t="shared" ca="1" si="17"/>
        <v/>
      </c>
      <c r="E118" s="4" t="str">
        <f t="shared" ca="1" si="21"/>
        <v/>
      </c>
      <c r="F118" s="25" t="str">
        <f t="shared" ca="1" si="18"/>
        <v/>
      </c>
      <c r="G118" s="26" t="str">
        <f t="shared" ca="1" si="19"/>
        <v/>
      </c>
      <c r="H118" s="55" t="str">
        <f t="shared" ca="1" si="22"/>
        <v/>
      </c>
      <c r="J118" s="37">
        <v>46062</v>
      </c>
      <c r="K118" s="41">
        <v>80.543999999999997</v>
      </c>
      <c r="L118" s="37"/>
      <c r="N118" s="95" t="str">
        <f t="shared" si="13"/>
        <v/>
      </c>
      <c r="O118" s="95" t="str">
        <f t="shared" si="14"/>
        <v/>
      </c>
    </row>
    <row r="119" spans="1:15" x14ac:dyDescent="0.25">
      <c r="A119" s="98" t="str">
        <f t="shared" ca="1" si="15"/>
        <v/>
      </c>
      <c r="B119" s="33" t="str">
        <f t="shared" ca="1" si="20"/>
        <v/>
      </c>
      <c r="C119" s="25" t="str">
        <f t="shared" ca="1" si="16"/>
        <v/>
      </c>
      <c r="D119" s="26" t="str">
        <f t="shared" ca="1" si="17"/>
        <v/>
      </c>
      <c r="E119" s="4" t="str">
        <f t="shared" ca="1" si="21"/>
        <v/>
      </c>
      <c r="F119" s="25" t="str">
        <f t="shared" ca="1" si="18"/>
        <v/>
      </c>
      <c r="G119" s="26" t="str">
        <f t="shared" ca="1" si="19"/>
        <v/>
      </c>
      <c r="H119" s="55" t="str">
        <f t="shared" ca="1" si="22"/>
        <v/>
      </c>
      <c r="J119" s="37">
        <v>46063</v>
      </c>
      <c r="K119" s="41">
        <v>80.653999999999996</v>
      </c>
      <c r="L119" s="37"/>
      <c r="N119" s="95" t="str">
        <f t="shared" si="13"/>
        <v/>
      </c>
      <c r="O119" s="95" t="str">
        <f t="shared" si="14"/>
        <v/>
      </c>
    </row>
    <row r="120" spans="1:15" x14ac:dyDescent="0.25">
      <c r="A120" s="98" t="str">
        <f t="shared" ca="1" si="15"/>
        <v/>
      </c>
      <c r="B120" s="33" t="str">
        <f t="shared" ca="1" si="20"/>
        <v/>
      </c>
      <c r="C120" s="25" t="str">
        <f t="shared" ca="1" si="16"/>
        <v/>
      </c>
      <c r="D120" s="26" t="str">
        <f t="shared" ca="1" si="17"/>
        <v/>
      </c>
      <c r="E120" s="4" t="str">
        <f t="shared" ca="1" si="21"/>
        <v/>
      </c>
      <c r="F120" s="25" t="str">
        <f t="shared" ca="1" si="18"/>
        <v/>
      </c>
      <c r="G120" s="26" t="str">
        <f t="shared" ca="1" si="19"/>
        <v/>
      </c>
      <c r="H120" s="55" t="str">
        <f t="shared" ca="1" si="22"/>
        <v/>
      </c>
      <c r="J120" s="37">
        <v>46064</v>
      </c>
      <c r="K120" s="41">
        <v>80.603999999999999</v>
      </c>
      <c r="L120" s="37"/>
      <c r="N120" s="95" t="str">
        <f t="shared" si="13"/>
        <v/>
      </c>
      <c r="O120" s="95" t="str">
        <f t="shared" si="14"/>
        <v/>
      </c>
    </row>
    <row r="121" spans="1:15" x14ac:dyDescent="0.25">
      <c r="A121" s="98" t="str">
        <f t="shared" ca="1" si="15"/>
        <v/>
      </c>
      <c r="B121" s="33" t="str">
        <f t="shared" ca="1" si="20"/>
        <v/>
      </c>
      <c r="C121" s="25" t="str">
        <f t="shared" ca="1" si="16"/>
        <v/>
      </c>
      <c r="D121" s="26" t="str">
        <f t="shared" ca="1" si="17"/>
        <v/>
      </c>
      <c r="E121" s="4" t="str">
        <f t="shared" ca="1" si="21"/>
        <v/>
      </c>
      <c r="F121" s="25" t="str">
        <f t="shared" ca="1" si="18"/>
        <v/>
      </c>
      <c r="G121" s="26" t="str">
        <f t="shared" ca="1" si="19"/>
        <v/>
      </c>
      <c r="H121" s="55" t="str">
        <f t="shared" ca="1" si="22"/>
        <v/>
      </c>
      <c r="J121" s="37">
        <v>46065</v>
      </c>
      <c r="K121" s="41">
        <v>80.95</v>
      </c>
      <c r="L121" s="37"/>
      <c r="N121" s="95" t="str">
        <f t="shared" si="13"/>
        <v/>
      </c>
      <c r="O121" s="95" t="str">
        <f t="shared" si="14"/>
        <v/>
      </c>
    </row>
    <row r="122" spans="1:15" x14ac:dyDescent="0.25">
      <c r="A122" s="98" t="str">
        <f t="shared" ca="1" si="15"/>
        <v/>
      </c>
      <c r="B122" s="33" t="str">
        <f t="shared" ca="1" si="20"/>
        <v/>
      </c>
      <c r="C122" s="25" t="str">
        <f t="shared" ca="1" si="16"/>
        <v/>
      </c>
      <c r="D122" s="26" t="str">
        <f t="shared" ca="1" si="17"/>
        <v/>
      </c>
      <c r="E122" s="4" t="str">
        <f t="shared" ca="1" si="21"/>
        <v/>
      </c>
      <c r="F122" s="25" t="str">
        <f t="shared" ca="1" si="18"/>
        <v/>
      </c>
      <c r="G122" s="26" t="str">
        <f t="shared" ca="1" si="19"/>
        <v/>
      </c>
      <c r="H122" s="55" t="str">
        <f t="shared" ca="1" si="22"/>
        <v/>
      </c>
      <c r="J122" s="37">
        <v>46066</v>
      </c>
      <c r="K122" s="41">
        <v>81.665999999999997</v>
      </c>
      <c r="L122" s="37"/>
      <c r="N122" s="95" t="str">
        <f t="shared" si="13"/>
        <v/>
      </c>
      <c r="O122" s="95" t="str">
        <f t="shared" si="14"/>
        <v/>
      </c>
    </row>
    <row r="123" spans="1:15" x14ac:dyDescent="0.25">
      <c r="A123" s="98" t="str">
        <f t="shared" ca="1" si="15"/>
        <v/>
      </c>
      <c r="B123" s="33" t="str">
        <f t="shared" ca="1" si="20"/>
        <v/>
      </c>
      <c r="C123" s="25" t="str">
        <f t="shared" ca="1" si="16"/>
        <v/>
      </c>
      <c r="D123" s="26" t="str">
        <f t="shared" ca="1" si="17"/>
        <v/>
      </c>
      <c r="E123" s="4" t="str">
        <f t="shared" ca="1" si="21"/>
        <v/>
      </c>
      <c r="F123" s="25" t="str">
        <f t="shared" ca="1" si="18"/>
        <v/>
      </c>
      <c r="G123" s="26" t="str">
        <f t="shared" ca="1" si="19"/>
        <v/>
      </c>
      <c r="H123" s="55" t="str">
        <f t="shared" ca="1" si="22"/>
        <v/>
      </c>
      <c r="J123" s="37">
        <v>46069</v>
      </c>
      <c r="K123" s="41">
        <v>81.665999999999997</v>
      </c>
      <c r="L123" s="37"/>
      <c r="N123" s="95" t="str">
        <f t="shared" si="13"/>
        <v/>
      </c>
      <c r="O123" s="95" t="str">
        <f t="shared" si="14"/>
        <v/>
      </c>
    </row>
    <row r="124" spans="1:15" x14ac:dyDescent="0.25">
      <c r="A124" s="98" t="str">
        <f t="shared" ca="1" si="15"/>
        <v/>
      </c>
      <c r="B124" s="33" t="str">
        <f t="shared" ca="1" si="20"/>
        <v/>
      </c>
      <c r="C124" s="25" t="str">
        <f t="shared" ca="1" si="16"/>
        <v/>
      </c>
      <c r="D124" s="26" t="str">
        <f t="shared" ca="1" si="17"/>
        <v/>
      </c>
      <c r="E124" s="4" t="str">
        <f t="shared" ca="1" si="21"/>
        <v/>
      </c>
      <c r="F124" s="25" t="str">
        <f t="shared" ca="1" si="18"/>
        <v/>
      </c>
      <c r="G124" s="26" t="str">
        <f t="shared" ca="1" si="19"/>
        <v/>
      </c>
      <c r="H124" s="55" t="str">
        <f t="shared" ca="1" si="22"/>
        <v/>
      </c>
      <c r="J124" s="37">
        <v>46070</v>
      </c>
      <c r="K124" s="41">
        <v>81.647000000000006</v>
      </c>
      <c r="L124" s="37"/>
      <c r="N124" s="95" t="str">
        <f t="shared" si="13"/>
        <v/>
      </c>
      <c r="O124" s="95" t="str">
        <f t="shared" si="14"/>
        <v/>
      </c>
    </row>
    <row r="125" spans="1:15" x14ac:dyDescent="0.25">
      <c r="A125" s="98" t="str">
        <f t="shared" ca="1" si="15"/>
        <v/>
      </c>
      <c r="B125" s="33" t="str">
        <f t="shared" ca="1" si="20"/>
        <v/>
      </c>
      <c r="C125" s="25" t="str">
        <f t="shared" ca="1" si="16"/>
        <v/>
      </c>
      <c r="D125" s="26" t="str">
        <f t="shared" ca="1" si="17"/>
        <v/>
      </c>
      <c r="E125" s="4" t="str">
        <f t="shared" ca="1" si="21"/>
        <v/>
      </c>
      <c r="F125" s="25" t="str">
        <f t="shared" ca="1" si="18"/>
        <v/>
      </c>
      <c r="G125" s="26" t="str">
        <f t="shared" ca="1" si="19"/>
        <v/>
      </c>
      <c r="H125" s="55" t="str">
        <f t="shared" ca="1" si="22"/>
        <v/>
      </c>
      <c r="J125" s="37">
        <v>46071</v>
      </c>
      <c r="K125" s="41">
        <v>81.322000000000003</v>
      </c>
      <c r="L125" s="37"/>
      <c r="N125" s="95" t="str">
        <f t="shared" si="13"/>
        <v/>
      </c>
      <c r="O125" s="95" t="str">
        <f t="shared" si="14"/>
        <v/>
      </c>
    </row>
    <row r="126" spans="1:15" x14ac:dyDescent="0.25">
      <c r="A126" s="98" t="str">
        <f t="shared" ca="1" si="15"/>
        <v/>
      </c>
      <c r="B126" s="33" t="str">
        <f t="shared" ca="1" si="20"/>
        <v/>
      </c>
      <c r="C126" s="25" t="str">
        <f t="shared" ca="1" si="16"/>
        <v/>
      </c>
      <c r="D126" s="26" t="str">
        <f t="shared" ca="1" si="17"/>
        <v/>
      </c>
      <c r="E126" s="4" t="str">
        <f t="shared" ca="1" si="21"/>
        <v/>
      </c>
      <c r="F126" s="25" t="str">
        <f t="shared" ca="1" si="18"/>
        <v/>
      </c>
      <c r="G126" s="26" t="str">
        <f t="shared" ca="1" si="19"/>
        <v/>
      </c>
      <c r="H126" s="55" t="str">
        <f t="shared" ca="1" si="22"/>
        <v/>
      </c>
      <c r="J126" s="37">
        <v>46072</v>
      </c>
      <c r="K126" s="41">
        <v>81.335999999999999</v>
      </c>
      <c r="L126" s="37"/>
      <c r="N126" s="95" t="str">
        <f t="shared" si="13"/>
        <v/>
      </c>
      <c r="O126" s="95" t="str">
        <f t="shared" si="14"/>
        <v/>
      </c>
    </row>
    <row r="127" spans="1:15" x14ac:dyDescent="0.25">
      <c r="A127" s="98" t="str">
        <f t="shared" ca="1" si="15"/>
        <v/>
      </c>
      <c r="B127" s="33" t="str">
        <f t="shared" ca="1" si="20"/>
        <v/>
      </c>
      <c r="C127" s="25" t="str">
        <f t="shared" ca="1" si="16"/>
        <v/>
      </c>
      <c r="D127" s="26" t="str">
        <f t="shared" ca="1" si="17"/>
        <v/>
      </c>
      <c r="E127" s="4" t="str">
        <f t="shared" ca="1" si="21"/>
        <v/>
      </c>
      <c r="F127" s="25" t="str">
        <f t="shared" ca="1" si="18"/>
        <v/>
      </c>
      <c r="G127" s="26" t="str">
        <f t="shared" ca="1" si="19"/>
        <v/>
      </c>
      <c r="H127" s="55" t="str">
        <f t="shared" ca="1" si="22"/>
        <v/>
      </c>
      <c r="J127" s="37">
        <v>46073</v>
      </c>
      <c r="K127" s="41">
        <v>81.504999999999995</v>
      </c>
      <c r="L127" s="37"/>
      <c r="N127" s="95" t="str">
        <f t="shared" si="13"/>
        <v/>
      </c>
      <c r="O127" s="95" t="str">
        <f t="shared" si="14"/>
        <v/>
      </c>
    </row>
    <row r="128" spans="1:15" x14ac:dyDescent="0.25">
      <c r="A128" s="98" t="str">
        <f t="shared" ca="1" si="15"/>
        <v/>
      </c>
      <c r="B128" s="33" t="str">
        <f t="shared" ca="1" si="20"/>
        <v/>
      </c>
      <c r="C128" s="25" t="str">
        <f t="shared" ca="1" si="16"/>
        <v/>
      </c>
      <c r="D128" s="26" t="str">
        <f t="shared" ca="1" si="17"/>
        <v/>
      </c>
      <c r="E128" s="4" t="str">
        <f t="shared" ca="1" si="21"/>
        <v/>
      </c>
      <c r="F128" s="25" t="str">
        <f t="shared" ca="1" si="18"/>
        <v/>
      </c>
      <c r="G128" s="26" t="str">
        <f t="shared" ca="1" si="19"/>
        <v/>
      </c>
      <c r="H128" s="55" t="str">
        <f t="shared" ca="1" si="22"/>
        <v/>
      </c>
      <c r="J128" s="37">
        <v>46076</v>
      </c>
      <c r="K128" s="41">
        <v>81.906999999999996</v>
      </c>
      <c r="L128" s="37"/>
      <c r="N128" s="95" t="str">
        <f t="shared" si="13"/>
        <v/>
      </c>
      <c r="O128" s="95" t="str">
        <f t="shared" si="14"/>
        <v/>
      </c>
    </row>
    <row r="129" spans="1:15" x14ac:dyDescent="0.25">
      <c r="A129" s="98" t="str">
        <f t="shared" ca="1" si="15"/>
        <v/>
      </c>
      <c r="B129" s="33" t="str">
        <f t="shared" ca="1" si="20"/>
        <v/>
      </c>
      <c r="C129" s="25" t="str">
        <f t="shared" ca="1" si="16"/>
        <v/>
      </c>
      <c r="D129" s="26" t="str">
        <f t="shared" ca="1" si="17"/>
        <v/>
      </c>
      <c r="E129" s="4" t="str">
        <f t="shared" ca="1" si="21"/>
        <v/>
      </c>
      <c r="F129" s="25" t="str">
        <f t="shared" ca="1" si="18"/>
        <v/>
      </c>
      <c r="G129" s="26" t="str">
        <f t="shared" ca="1" si="19"/>
        <v/>
      </c>
      <c r="H129" s="55" t="str">
        <f t="shared" ca="1" si="22"/>
        <v/>
      </c>
      <c r="J129" s="37">
        <v>46077</v>
      </c>
      <c r="K129" s="41">
        <v>81.899000000000001</v>
      </c>
      <c r="L129" s="37"/>
      <c r="N129" s="95" t="str">
        <f t="shared" si="13"/>
        <v/>
      </c>
      <c r="O129" s="95" t="str">
        <f t="shared" si="14"/>
        <v/>
      </c>
    </row>
    <row r="130" spans="1:15" x14ac:dyDescent="0.25">
      <c r="A130" s="98" t="str">
        <f t="shared" ca="1" si="15"/>
        <v/>
      </c>
      <c r="B130" s="33" t="str">
        <f t="shared" ca="1" si="20"/>
        <v/>
      </c>
      <c r="C130" s="25" t="str">
        <f t="shared" ca="1" si="16"/>
        <v/>
      </c>
      <c r="D130" s="26" t="str">
        <f t="shared" ca="1" si="17"/>
        <v/>
      </c>
      <c r="E130" s="4" t="str">
        <f t="shared" ca="1" si="21"/>
        <v/>
      </c>
      <c r="F130" s="25" t="str">
        <f t="shared" ca="1" si="18"/>
        <v/>
      </c>
      <c r="G130" s="26" t="str">
        <f t="shared" ca="1" si="19"/>
        <v/>
      </c>
      <c r="H130" s="55" t="str">
        <f t="shared" ca="1" si="22"/>
        <v/>
      </c>
      <c r="J130" s="37">
        <v>46078</v>
      </c>
      <c r="K130" s="41">
        <v>82.043000000000006</v>
      </c>
      <c r="L130" s="37"/>
      <c r="N130" s="95" t="str">
        <f t="shared" si="13"/>
        <v/>
      </c>
      <c r="O130" s="95" t="str">
        <f t="shared" si="14"/>
        <v/>
      </c>
    </row>
    <row r="131" spans="1:15" x14ac:dyDescent="0.25">
      <c r="A131" s="98" t="str">
        <f t="shared" ca="1" si="15"/>
        <v/>
      </c>
      <c r="B131" s="33" t="str">
        <f t="shared" ca="1" si="20"/>
        <v/>
      </c>
      <c r="C131" s="25" t="str">
        <f t="shared" ca="1" si="16"/>
        <v/>
      </c>
      <c r="D131" s="26" t="str">
        <f t="shared" ca="1" si="17"/>
        <v/>
      </c>
      <c r="E131" s="4" t="str">
        <f t="shared" ca="1" si="21"/>
        <v/>
      </c>
      <c r="F131" s="25" t="str">
        <f t="shared" ca="1" si="18"/>
        <v/>
      </c>
      <c r="G131" s="26" t="str">
        <f t="shared" ca="1" si="19"/>
        <v/>
      </c>
      <c r="H131" s="55" t="str">
        <f t="shared" ca="1" si="22"/>
        <v/>
      </c>
      <c r="J131" s="37">
        <v>46079</v>
      </c>
      <c r="K131" s="41">
        <v>82.162999999999997</v>
      </c>
      <c r="L131" s="37"/>
      <c r="N131" s="95" t="str">
        <f t="shared" si="13"/>
        <v/>
      </c>
      <c r="O131" s="95" t="str">
        <f t="shared" si="14"/>
        <v/>
      </c>
    </row>
    <row r="132" spans="1:15" x14ac:dyDescent="0.25">
      <c r="A132" s="98" t="str">
        <f t="shared" ca="1" si="15"/>
        <v/>
      </c>
      <c r="B132" s="33" t="str">
        <f t="shared" ca="1" si="20"/>
        <v/>
      </c>
      <c r="C132" s="25" t="str">
        <f t="shared" ca="1" si="16"/>
        <v/>
      </c>
      <c r="D132" s="26" t="str">
        <f t="shared" ca="1" si="17"/>
        <v/>
      </c>
      <c r="E132" s="4" t="str">
        <f t="shared" ca="1" si="21"/>
        <v/>
      </c>
      <c r="F132" s="25" t="str">
        <f t="shared" ca="1" si="18"/>
        <v/>
      </c>
      <c r="G132" s="26" t="str">
        <f t="shared" ca="1" si="19"/>
        <v/>
      </c>
      <c r="H132" s="55" t="str">
        <f t="shared" ca="1" si="22"/>
        <v/>
      </c>
      <c r="J132" s="37">
        <v>46080</v>
      </c>
      <c r="K132" s="41">
        <v>82.269000000000005</v>
      </c>
      <c r="L132" s="37"/>
      <c r="N132" s="95" t="str">
        <f t="shared" ref="N132:N195" si="23">IF(COUNTIF(L:L,J132)=1,J132,"")</f>
        <v/>
      </c>
      <c r="O132" s="95" t="str">
        <f t="shared" ref="O132:O195" si="24">IF(N132&gt;$A$14,N132,"")</f>
        <v/>
      </c>
    </row>
    <row r="133" spans="1:15" x14ac:dyDescent="0.25">
      <c r="A133" s="98" t="str">
        <f t="shared" ca="1" si="15"/>
        <v/>
      </c>
      <c r="B133" s="33" t="str">
        <f t="shared" ca="1" si="20"/>
        <v/>
      </c>
      <c r="C133" s="25" t="str">
        <f t="shared" ca="1" si="16"/>
        <v/>
      </c>
      <c r="D133" s="26" t="str">
        <f t="shared" ca="1" si="17"/>
        <v/>
      </c>
      <c r="E133" s="4" t="str">
        <f t="shared" ca="1" si="21"/>
        <v/>
      </c>
      <c r="F133" s="25" t="str">
        <f t="shared" ca="1" si="18"/>
        <v/>
      </c>
      <c r="G133" s="26" t="str">
        <f t="shared" ca="1" si="19"/>
        <v/>
      </c>
      <c r="H133" s="55" t="str">
        <f t="shared" ca="1" si="22"/>
        <v/>
      </c>
      <c r="J133" s="37">
        <v>46083</v>
      </c>
      <c r="K133" s="41">
        <v>81.792000000000002</v>
      </c>
      <c r="L133" s="37"/>
      <c r="N133" s="95" t="str">
        <f t="shared" si="23"/>
        <v/>
      </c>
      <c r="O133" s="95" t="str">
        <f t="shared" si="24"/>
        <v/>
      </c>
    </row>
    <row r="134" spans="1:15" x14ac:dyDescent="0.25">
      <c r="A134" s="98" t="str">
        <f t="shared" ca="1" si="15"/>
        <v/>
      </c>
      <c r="B134" s="33" t="str">
        <f t="shared" ca="1" si="20"/>
        <v/>
      </c>
      <c r="C134" s="25" t="str">
        <f t="shared" ca="1" si="16"/>
        <v/>
      </c>
      <c r="D134" s="26" t="str">
        <f t="shared" ca="1" si="17"/>
        <v/>
      </c>
      <c r="E134" s="4" t="str">
        <f t="shared" ca="1" si="21"/>
        <v/>
      </c>
      <c r="F134" s="25" t="str">
        <f t="shared" ca="1" si="18"/>
        <v/>
      </c>
      <c r="G134" s="26" t="str">
        <f t="shared" ca="1" si="19"/>
        <v/>
      </c>
      <c r="H134" s="55" t="str">
        <f t="shared" ca="1" si="22"/>
        <v/>
      </c>
      <c r="J134" s="37">
        <v>46084</v>
      </c>
      <c r="K134" s="41">
        <v>81.236000000000004</v>
      </c>
      <c r="L134" s="37"/>
      <c r="N134" s="95" t="str">
        <f t="shared" si="23"/>
        <v/>
      </c>
      <c r="O134" s="95" t="str">
        <f t="shared" si="24"/>
        <v/>
      </c>
    </row>
    <row r="135" spans="1:15" x14ac:dyDescent="0.25">
      <c r="A135" s="98" t="str">
        <f t="shared" ca="1" si="15"/>
        <v/>
      </c>
      <c r="B135" s="33" t="str">
        <f t="shared" ca="1" si="20"/>
        <v/>
      </c>
      <c r="C135" s="25" t="str">
        <f t="shared" ca="1" si="16"/>
        <v/>
      </c>
      <c r="D135" s="26" t="str">
        <f t="shared" ca="1" si="17"/>
        <v/>
      </c>
      <c r="E135" s="4" t="str">
        <f t="shared" ca="1" si="21"/>
        <v/>
      </c>
      <c r="F135" s="25" t="str">
        <f t="shared" ca="1" si="18"/>
        <v/>
      </c>
      <c r="G135" s="26" t="str">
        <f t="shared" ca="1" si="19"/>
        <v/>
      </c>
      <c r="H135" s="55" t="str">
        <f t="shared" ca="1" si="22"/>
        <v/>
      </c>
      <c r="J135" s="37">
        <v>46085</v>
      </c>
      <c r="K135" s="41">
        <v>81.709999999999994</v>
      </c>
      <c r="L135" s="37"/>
      <c r="N135" s="95" t="str">
        <f t="shared" si="23"/>
        <v/>
      </c>
      <c r="O135" s="95" t="str">
        <f t="shared" si="24"/>
        <v/>
      </c>
    </row>
    <row r="136" spans="1:15" x14ac:dyDescent="0.25">
      <c r="A136" s="98" t="str">
        <f t="shared" ca="1" si="15"/>
        <v/>
      </c>
      <c r="B136" s="33" t="str">
        <f t="shared" ca="1" si="20"/>
        <v/>
      </c>
      <c r="C136" s="25" t="str">
        <f t="shared" ca="1" si="16"/>
        <v/>
      </c>
      <c r="D136" s="26" t="str">
        <f t="shared" ca="1" si="17"/>
        <v/>
      </c>
      <c r="E136" s="4" t="str">
        <f t="shared" ca="1" si="21"/>
        <v/>
      </c>
      <c r="F136" s="25" t="str">
        <f t="shared" ca="1" si="18"/>
        <v/>
      </c>
      <c r="G136" s="26" t="str">
        <f t="shared" ca="1" si="19"/>
        <v/>
      </c>
      <c r="H136" s="55" t="str">
        <f t="shared" ca="1" si="22"/>
        <v/>
      </c>
      <c r="J136" s="37">
        <v>46086</v>
      </c>
      <c r="K136" s="41">
        <v>81.156000000000006</v>
      </c>
      <c r="L136" s="37"/>
      <c r="N136" s="95" t="str">
        <f t="shared" si="23"/>
        <v/>
      </c>
      <c r="O136" s="95" t="str">
        <f t="shared" si="24"/>
        <v/>
      </c>
    </row>
    <row r="137" spans="1:15" x14ac:dyDescent="0.25">
      <c r="A137" s="98" t="str">
        <f t="shared" ca="1" si="15"/>
        <v/>
      </c>
      <c r="B137" s="33" t="str">
        <f ca="1">IF(COUNTIF(J:J,A137)=1,VLOOKUP(A137,J:K,2), IF(COUNTIF(J:J,A137)=0,$B$10,""))</f>
        <v/>
      </c>
      <c r="C137" s="25" t="str">
        <f ca="1">IF(ISERROR(B137-2),"",(B137-$B$14)/100*$B$5)</f>
        <v/>
      </c>
      <c r="D137" s="26" t="str">
        <f ca="1">IF(ISERROR(B137-2),"",(INT(A137)-INT($A$14))/360*$B$6*$B$5-(INT(A137)-INT($A$14))/360*$B$7*$B$5*$B$14/100)</f>
        <v/>
      </c>
      <c r="E137" s="4" t="str">
        <f ca="1">IF(COUNTIF(L:L,A137)=1,VLOOKUP(A137,L:M,2), IF(COUNTIF(L:L,A137)=0,$C$10,""))</f>
        <v/>
      </c>
      <c r="F137" s="25" t="str">
        <f ca="1">IF(ISERROR(E137-2), "", (E137-$E$14)/100*$C$5)</f>
        <v/>
      </c>
      <c r="G137" s="26" t="str">
        <f ca="1">IF(ISERROR(E137-2),"",(INT(A137)-INT($A$14))/360*$C$6*$C$5-(INT(A137)-INT($A$14))/360*$C$7*$C$5*$E$14/100)</f>
        <v/>
      </c>
      <c r="H137" s="55" t="str">
        <f ca="1">IF(ISERROR(E137-2),"",C137+D137-F137-G137)</f>
        <v/>
      </c>
      <c r="J137" s="37">
        <v>46087</v>
      </c>
      <c r="K137" s="41">
        <v>80.710999999999999</v>
      </c>
      <c r="L137" s="37"/>
      <c r="N137" s="95" t="str">
        <f t="shared" si="23"/>
        <v/>
      </c>
      <c r="O137" s="95" t="str">
        <f t="shared" si="24"/>
        <v/>
      </c>
    </row>
    <row r="138" spans="1:15" x14ac:dyDescent="0.25">
      <c r="A138" s="98" t="str">
        <f t="shared" ca="1" si="15"/>
        <v/>
      </c>
      <c r="B138" s="33" t="str">
        <f t="shared" ref="B138:B201" ca="1" si="25">IF(COUNTIF(J:J,A138)=1,VLOOKUP(A138,J:K,2), IF(COUNTIF(J:J,A138)=0,$B$10,""))</f>
        <v/>
      </c>
      <c r="C138" s="25" t="str">
        <f t="shared" ref="C138:C201" ca="1" si="26">IF(ISERROR(B138-2),"",(B138-$B$14)/100*$B$5)</f>
        <v/>
      </c>
      <c r="D138" s="26" t="str">
        <f t="shared" ref="D138:D201" ca="1" si="27">IF(ISERROR(B138-2),"",(INT(A138)-INT($A$14))/360*$B$6*$B$5-(INT(A138)-INT($A$14))/360*$B$7*$B$5*$B$14/100)</f>
        <v/>
      </c>
      <c r="E138" s="4" t="str">
        <f t="shared" ref="E138:E201" ca="1" si="28">IF(COUNTIF(L:L,A138)=1,VLOOKUP(A138,L:M,2), IF(COUNTIF(L:L,A138)=0,$C$10,""))</f>
        <v/>
      </c>
      <c r="F138" s="25" t="str">
        <f t="shared" ref="F138:F201" ca="1" si="29">IF(ISERROR(E138-2), "", (E138-$E$14)/100*$C$5)</f>
        <v/>
      </c>
      <c r="G138" s="26" t="str">
        <f t="shared" ref="G138:G201" ca="1" si="30">IF(ISERROR(E138-2),"",(INT(A138)-INT($A$14))/360*$C$6*$C$5-(INT(A138)-INT($A$14))/360*$C$7*$C$5*$E$14/100)</f>
        <v/>
      </c>
      <c r="H138" s="55" t="str">
        <f t="shared" ref="H138:H201" ca="1" si="31">IF(ISERROR(E138-2),"",C138+D138-F138-G138)</f>
        <v/>
      </c>
      <c r="J138" s="37">
        <v>46090</v>
      </c>
      <c r="K138" s="41">
        <v>80.869</v>
      </c>
      <c r="L138" s="37"/>
      <c r="N138" s="95" t="str">
        <f t="shared" si="23"/>
        <v/>
      </c>
      <c r="O138" s="95" t="str">
        <f t="shared" si="24"/>
        <v/>
      </c>
    </row>
    <row r="139" spans="1:15" x14ac:dyDescent="0.25">
      <c r="A139" s="98" t="str">
        <f t="shared" ca="1" si="15"/>
        <v/>
      </c>
      <c r="B139" s="33" t="str">
        <f t="shared" ca="1" si="25"/>
        <v/>
      </c>
      <c r="C139" s="25" t="str">
        <f t="shared" ca="1" si="26"/>
        <v/>
      </c>
      <c r="D139" s="26" t="str">
        <f t="shared" ca="1" si="27"/>
        <v/>
      </c>
      <c r="E139" s="4" t="str">
        <f t="shared" ca="1" si="28"/>
        <v/>
      </c>
      <c r="F139" s="25" t="str">
        <f t="shared" ca="1" si="29"/>
        <v/>
      </c>
      <c r="G139" s="26" t="str">
        <f t="shared" ca="1" si="30"/>
        <v/>
      </c>
      <c r="H139" s="55" t="str">
        <f t="shared" ca="1" si="31"/>
        <v/>
      </c>
      <c r="J139" s="37">
        <v>46091</v>
      </c>
      <c r="K139" s="41">
        <v>80.766000000000005</v>
      </c>
      <c r="L139" s="37"/>
      <c r="N139" s="95" t="str">
        <f t="shared" si="23"/>
        <v/>
      </c>
      <c r="O139" s="95" t="str">
        <f t="shared" si="24"/>
        <v/>
      </c>
    </row>
    <row r="140" spans="1:15" x14ac:dyDescent="0.25">
      <c r="A140" s="98" t="str">
        <f t="shared" ca="1" si="15"/>
        <v/>
      </c>
      <c r="B140" s="33" t="str">
        <f t="shared" ca="1" si="25"/>
        <v/>
      </c>
      <c r="C140" s="25" t="str">
        <f t="shared" ca="1" si="26"/>
        <v/>
      </c>
      <c r="D140" s="26" t="str">
        <f t="shared" ca="1" si="27"/>
        <v/>
      </c>
      <c r="E140" s="4" t="str">
        <f t="shared" ca="1" si="28"/>
        <v/>
      </c>
      <c r="F140" s="25" t="str">
        <f t="shared" ca="1" si="29"/>
        <v/>
      </c>
      <c r="G140" s="26" t="str">
        <f t="shared" ca="1" si="30"/>
        <v/>
      </c>
      <c r="H140" s="55" t="str">
        <f t="shared" ca="1" si="31"/>
        <v/>
      </c>
      <c r="J140" s="37">
        <v>46092</v>
      </c>
      <c r="K140" s="41">
        <v>80.406000000000006</v>
      </c>
      <c r="L140" s="37"/>
      <c r="N140" s="95" t="str">
        <f t="shared" si="23"/>
        <v/>
      </c>
      <c r="O140" s="95" t="str">
        <f t="shared" si="24"/>
        <v/>
      </c>
    </row>
    <row r="141" spans="1:15" x14ac:dyDescent="0.25">
      <c r="A141" s="98" t="str">
        <f t="shared" ca="1" si="15"/>
        <v/>
      </c>
      <c r="B141" s="33" t="str">
        <f t="shared" ca="1" si="25"/>
        <v/>
      </c>
      <c r="C141" s="25" t="str">
        <f t="shared" ca="1" si="26"/>
        <v/>
      </c>
      <c r="D141" s="26" t="str">
        <f t="shared" ca="1" si="27"/>
        <v/>
      </c>
      <c r="E141" s="4" t="str">
        <f t="shared" ca="1" si="28"/>
        <v/>
      </c>
      <c r="F141" s="25" t="str">
        <f t="shared" ca="1" si="29"/>
        <v/>
      </c>
      <c r="G141" s="26" t="str">
        <f t="shared" ca="1" si="30"/>
        <v/>
      </c>
      <c r="H141" s="55" t="str">
        <f t="shared" ca="1" si="31"/>
        <v/>
      </c>
      <c r="J141" s="37">
        <v>46093</v>
      </c>
      <c r="K141" s="41">
        <v>79.760999999999996</v>
      </c>
      <c r="L141" s="37"/>
      <c r="N141" s="95" t="str">
        <f t="shared" si="23"/>
        <v/>
      </c>
      <c r="O141" s="95" t="str">
        <f t="shared" si="24"/>
        <v/>
      </c>
    </row>
    <row r="142" spans="1:15" x14ac:dyDescent="0.25">
      <c r="A142" s="98" t="str">
        <f t="shared" ca="1" si="15"/>
        <v/>
      </c>
      <c r="B142" s="33" t="str">
        <f t="shared" ca="1" si="25"/>
        <v/>
      </c>
      <c r="C142" s="25" t="str">
        <f t="shared" ca="1" si="26"/>
        <v/>
      </c>
      <c r="D142" s="26" t="str">
        <f t="shared" ca="1" si="27"/>
        <v/>
      </c>
      <c r="E142" s="4" t="str">
        <f t="shared" ca="1" si="28"/>
        <v/>
      </c>
      <c r="F142" s="25" t="str">
        <f t="shared" ca="1" si="29"/>
        <v/>
      </c>
      <c r="G142" s="26" t="str">
        <f t="shared" ca="1" si="30"/>
        <v/>
      </c>
      <c r="H142" s="55" t="str">
        <f t="shared" ca="1" si="31"/>
        <v/>
      </c>
      <c r="J142" s="37">
        <v>46094</v>
      </c>
      <c r="K142" s="41">
        <v>79.334999999999994</v>
      </c>
      <c r="L142" s="37"/>
      <c r="N142" s="95" t="str">
        <f t="shared" si="23"/>
        <v/>
      </c>
      <c r="O142" s="95" t="str">
        <f t="shared" si="24"/>
        <v/>
      </c>
    </row>
    <row r="143" spans="1:15" x14ac:dyDescent="0.25">
      <c r="A143" s="98" t="str">
        <f t="shared" ca="1" si="15"/>
        <v/>
      </c>
      <c r="B143" s="33" t="str">
        <f t="shared" ca="1" si="25"/>
        <v/>
      </c>
      <c r="C143" s="25" t="str">
        <f t="shared" ca="1" si="26"/>
        <v/>
      </c>
      <c r="D143" s="26" t="str">
        <f t="shared" ca="1" si="27"/>
        <v/>
      </c>
      <c r="E143" s="4" t="str">
        <f t="shared" ca="1" si="28"/>
        <v/>
      </c>
      <c r="F143" s="25" t="str">
        <f t="shared" ca="1" si="29"/>
        <v/>
      </c>
      <c r="G143" s="26" t="str">
        <f t="shared" ca="1" si="30"/>
        <v/>
      </c>
      <c r="H143" s="55" t="str">
        <f t="shared" ca="1" si="31"/>
        <v/>
      </c>
      <c r="J143" s="37">
        <v>46097</v>
      </c>
      <c r="K143" s="41">
        <v>79.594999999999999</v>
      </c>
      <c r="L143" s="37"/>
      <c r="N143" s="95" t="str">
        <f t="shared" si="23"/>
        <v/>
      </c>
      <c r="O143" s="95" t="str">
        <f t="shared" si="24"/>
        <v/>
      </c>
    </row>
    <row r="144" spans="1:15" x14ac:dyDescent="0.25">
      <c r="A144" s="98" t="str">
        <f t="shared" ref="A144:A207" ca="1" si="32">IF(AND(ISBLANK(P131), A143 = $P$1),NOW(),IF(ISBLANK(P131),"",P131))</f>
        <v/>
      </c>
      <c r="B144" s="33" t="str">
        <f t="shared" ca="1" si="25"/>
        <v/>
      </c>
      <c r="C144" s="25" t="str">
        <f t="shared" ca="1" si="26"/>
        <v/>
      </c>
      <c r="D144" s="26" t="str">
        <f t="shared" ca="1" si="27"/>
        <v/>
      </c>
      <c r="E144" s="4" t="str">
        <f t="shared" ca="1" si="28"/>
        <v/>
      </c>
      <c r="F144" s="25" t="str">
        <f t="shared" ca="1" si="29"/>
        <v/>
      </c>
      <c r="G144" s="26" t="str">
        <f t="shared" ca="1" si="30"/>
        <v/>
      </c>
      <c r="H144" s="55" t="str">
        <f t="shared" ca="1" si="31"/>
        <v/>
      </c>
      <c r="J144" s="37">
        <v>46098</v>
      </c>
      <c r="K144" s="41">
        <v>79.87</v>
      </c>
      <c r="L144" s="37"/>
      <c r="N144" s="95" t="str">
        <f t="shared" si="23"/>
        <v/>
      </c>
      <c r="O144" s="95" t="str">
        <f t="shared" si="24"/>
        <v/>
      </c>
    </row>
    <row r="145" spans="1:15" x14ac:dyDescent="0.25">
      <c r="A145" s="98" t="str">
        <f t="shared" ca="1" si="32"/>
        <v/>
      </c>
      <c r="B145" s="33" t="str">
        <f t="shared" ca="1" si="25"/>
        <v/>
      </c>
      <c r="C145" s="25" t="str">
        <f t="shared" ca="1" si="26"/>
        <v/>
      </c>
      <c r="D145" s="26" t="str">
        <f t="shared" ca="1" si="27"/>
        <v/>
      </c>
      <c r="E145" s="4" t="str">
        <f t="shared" ca="1" si="28"/>
        <v/>
      </c>
      <c r="F145" s="25" t="str">
        <f t="shared" ca="1" si="29"/>
        <v/>
      </c>
      <c r="G145" s="26" t="str">
        <f t="shared" ca="1" si="30"/>
        <v/>
      </c>
      <c r="H145" s="55" t="str">
        <f t="shared" ca="1" si="31"/>
        <v/>
      </c>
      <c r="J145" s="37">
        <v>46099</v>
      </c>
      <c r="K145" s="41">
        <v>79.262</v>
      </c>
      <c r="L145" s="37"/>
      <c r="N145" s="95" t="str">
        <f t="shared" si="23"/>
        <v/>
      </c>
      <c r="O145" s="95" t="str">
        <f t="shared" si="24"/>
        <v/>
      </c>
    </row>
    <row r="146" spans="1:15" x14ac:dyDescent="0.25">
      <c r="A146" s="98" t="str">
        <f t="shared" ca="1" si="32"/>
        <v/>
      </c>
      <c r="B146" s="33" t="str">
        <f t="shared" ca="1" si="25"/>
        <v/>
      </c>
      <c r="C146" s="25" t="str">
        <f t="shared" ca="1" si="26"/>
        <v/>
      </c>
      <c r="D146" s="26" t="str">
        <f t="shared" ca="1" si="27"/>
        <v/>
      </c>
      <c r="E146" s="4" t="str">
        <f t="shared" ca="1" si="28"/>
        <v/>
      </c>
      <c r="F146" s="25" t="str">
        <f t="shared" ca="1" si="29"/>
        <v/>
      </c>
      <c r="G146" s="26" t="str">
        <f t="shared" ca="1" si="30"/>
        <v/>
      </c>
      <c r="H146" s="55" t="str">
        <f t="shared" ca="1" si="31"/>
        <v/>
      </c>
      <c r="J146" s="37">
        <v>46100</v>
      </c>
      <c r="K146" s="41">
        <v>79.195999999999998</v>
      </c>
      <c r="L146" s="37"/>
      <c r="N146" s="95" t="str">
        <f t="shared" si="23"/>
        <v/>
      </c>
      <c r="O146" s="95" t="str">
        <f t="shared" si="24"/>
        <v/>
      </c>
    </row>
    <row r="147" spans="1:15" x14ac:dyDescent="0.25">
      <c r="A147" s="98" t="str">
        <f t="shared" ca="1" si="32"/>
        <v/>
      </c>
      <c r="B147" s="33" t="str">
        <f t="shared" ca="1" si="25"/>
        <v/>
      </c>
      <c r="C147" s="25" t="str">
        <f t="shared" ca="1" si="26"/>
        <v/>
      </c>
      <c r="D147" s="26" t="str">
        <f t="shared" ca="1" si="27"/>
        <v/>
      </c>
      <c r="E147" s="4" t="str">
        <f t="shared" ca="1" si="28"/>
        <v/>
      </c>
      <c r="F147" s="25" t="str">
        <f t="shared" ca="1" si="29"/>
        <v/>
      </c>
      <c r="G147" s="26" t="str">
        <f t="shared" ca="1" si="30"/>
        <v/>
      </c>
      <c r="H147" s="55" t="str">
        <f t="shared" ca="1" si="31"/>
        <v/>
      </c>
      <c r="J147" s="37">
        <v>46101</v>
      </c>
      <c r="K147" s="41">
        <v>78.069000000000003</v>
      </c>
      <c r="L147" s="37"/>
      <c r="N147" s="95" t="str">
        <f t="shared" si="23"/>
        <v/>
      </c>
      <c r="O147" s="95" t="str">
        <f t="shared" si="24"/>
        <v/>
      </c>
    </row>
    <row r="148" spans="1:15" x14ac:dyDescent="0.25">
      <c r="A148" s="98" t="str">
        <f t="shared" ca="1" si="32"/>
        <v/>
      </c>
      <c r="B148" s="33" t="str">
        <f t="shared" ca="1" si="25"/>
        <v/>
      </c>
      <c r="C148" s="25" t="str">
        <f t="shared" ca="1" si="26"/>
        <v/>
      </c>
      <c r="D148" s="26" t="str">
        <f t="shared" ca="1" si="27"/>
        <v/>
      </c>
      <c r="E148" s="4" t="str">
        <f t="shared" ca="1" si="28"/>
        <v/>
      </c>
      <c r="F148" s="25" t="str">
        <f t="shared" ca="1" si="29"/>
        <v/>
      </c>
      <c r="G148" s="26" t="str">
        <f t="shared" ca="1" si="30"/>
        <v/>
      </c>
      <c r="H148" s="55" t="str">
        <f t="shared" ca="1" si="31"/>
        <v/>
      </c>
      <c r="J148" s="37">
        <v>46104</v>
      </c>
      <c r="K148" s="41">
        <v>78.798000000000002</v>
      </c>
      <c r="L148" s="37"/>
      <c r="N148" s="95" t="str">
        <f t="shared" si="23"/>
        <v/>
      </c>
      <c r="O148" s="95" t="str">
        <f t="shared" si="24"/>
        <v/>
      </c>
    </row>
    <row r="149" spans="1:15" x14ac:dyDescent="0.25">
      <c r="A149" s="98" t="str">
        <f t="shared" ca="1" si="32"/>
        <v/>
      </c>
      <c r="B149" s="33" t="str">
        <f t="shared" ca="1" si="25"/>
        <v/>
      </c>
      <c r="C149" s="25" t="str">
        <f t="shared" ca="1" si="26"/>
        <v/>
      </c>
      <c r="D149" s="26" t="str">
        <f t="shared" ca="1" si="27"/>
        <v/>
      </c>
      <c r="E149" s="4" t="str">
        <f t="shared" ca="1" si="28"/>
        <v/>
      </c>
      <c r="F149" s="25" t="str">
        <f t="shared" ca="1" si="29"/>
        <v/>
      </c>
      <c r="G149" s="26" t="str">
        <f t="shared" ca="1" si="30"/>
        <v/>
      </c>
      <c r="H149" s="55" t="str">
        <f t="shared" ca="1" si="31"/>
        <v/>
      </c>
      <c r="J149" s="37">
        <v>46105</v>
      </c>
      <c r="K149" s="41">
        <v>78.412999999999997</v>
      </c>
      <c r="L149" s="37"/>
      <c r="N149" s="95" t="str">
        <f t="shared" si="23"/>
        <v/>
      </c>
      <c r="O149" s="95" t="str">
        <f t="shared" si="24"/>
        <v/>
      </c>
    </row>
    <row r="150" spans="1:15" x14ac:dyDescent="0.25">
      <c r="A150" s="98" t="str">
        <f t="shared" ca="1" si="32"/>
        <v/>
      </c>
      <c r="B150" s="33" t="str">
        <f t="shared" ca="1" si="25"/>
        <v/>
      </c>
      <c r="C150" s="25" t="str">
        <f t="shared" ca="1" si="26"/>
        <v/>
      </c>
      <c r="D150" s="26" t="str">
        <f t="shared" ca="1" si="27"/>
        <v/>
      </c>
      <c r="E150" s="4" t="str">
        <f t="shared" ca="1" si="28"/>
        <v/>
      </c>
      <c r="F150" s="25" t="str">
        <f t="shared" ca="1" si="29"/>
        <v/>
      </c>
      <c r="G150" s="26" t="str">
        <f t="shared" ca="1" si="30"/>
        <v/>
      </c>
      <c r="H150" s="55" t="str">
        <f t="shared" ca="1" si="31"/>
        <v/>
      </c>
      <c r="J150" s="37">
        <v>46106</v>
      </c>
      <c r="K150" s="41">
        <v>79.126000000000005</v>
      </c>
      <c r="L150" s="37"/>
      <c r="N150" s="95" t="str">
        <f t="shared" si="23"/>
        <v/>
      </c>
      <c r="O150" s="95" t="str">
        <f t="shared" si="24"/>
        <v/>
      </c>
    </row>
    <row r="151" spans="1:15" x14ac:dyDescent="0.25">
      <c r="A151" s="98" t="str">
        <f t="shared" ca="1" si="32"/>
        <v/>
      </c>
      <c r="B151" s="33" t="str">
        <f t="shared" ca="1" si="25"/>
        <v/>
      </c>
      <c r="C151" s="25" t="str">
        <f t="shared" ca="1" si="26"/>
        <v/>
      </c>
      <c r="D151" s="26" t="str">
        <f t="shared" ca="1" si="27"/>
        <v/>
      </c>
      <c r="E151" s="4" t="str">
        <f t="shared" ca="1" si="28"/>
        <v/>
      </c>
      <c r="F151" s="25" t="str">
        <f t="shared" ca="1" si="29"/>
        <v/>
      </c>
      <c r="G151" s="26" t="str">
        <f t="shared" ca="1" si="30"/>
        <v/>
      </c>
      <c r="H151" s="55" t="str">
        <f t="shared" ca="1" si="31"/>
        <v/>
      </c>
      <c r="J151" s="37">
        <v>46107</v>
      </c>
      <c r="K151" s="41">
        <v>78.224999999999994</v>
      </c>
      <c r="L151" s="37"/>
      <c r="N151" s="95" t="str">
        <f t="shared" si="23"/>
        <v/>
      </c>
      <c r="O151" s="95" t="str">
        <f t="shared" si="24"/>
        <v/>
      </c>
    </row>
    <row r="152" spans="1:15" x14ac:dyDescent="0.25">
      <c r="A152" s="98" t="str">
        <f t="shared" ca="1" si="32"/>
        <v/>
      </c>
      <c r="B152" s="33" t="str">
        <f t="shared" ca="1" si="25"/>
        <v/>
      </c>
      <c r="C152" s="25" t="str">
        <f t="shared" ca="1" si="26"/>
        <v/>
      </c>
      <c r="D152" s="26" t="str">
        <f t="shared" ca="1" si="27"/>
        <v/>
      </c>
      <c r="E152" s="4" t="str">
        <f t="shared" ca="1" si="28"/>
        <v/>
      </c>
      <c r="F152" s="25" t="str">
        <f t="shared" ca="1" si="29"/>
        <v/>
      </c>
      <c r="G152" s="26" t="str">
        <f t="shared" ca="1" si="30"/>
        <v/>
      </c>
      <c r="H152" s="55" t="str">
        <f t="shared" ca="1" si="31"/>
        <v/>
      </c>
      <c r="J152" s="37">
        <v>46108</v>
      </c>
      <c r="K152" s="41">
        <v>77.841999999999999</v>
      </c>
      <c r="L152" s="37"/>
      <c r="N152" s="95" t="str">
        <f t="shared" si="23"/>
        <v/>
      </c>
      <c r="O152" s="95" t="str">
        <f t="shared" si="24"/>
        <v/>
      </c>
    </row>
    <row r="153" spans="1:15" x14ac:dyDescent="0.25">
      <c r="A153" s="98" t="str">
        <f t="shared" ca="1" si="32"/>
        <v/>
      </c>
      <c r="B153" s="33" t="str">
        <f t="shared" ca="1" si="25"/>
        <v/>
      </c>
      <c r="C153" s="25" t="str">
        <f t="shared" ca="1" si="26"/>
        <v/>
      </c>
      <c r="D153" s="26" t="str">
        <f t="shared" ca="1" si="27"/>
        <v/>
      </c>
      <c r="E153" s="4" t="str">
        <f t="shared" ca="1" si="28"/>
        <v/>
      </c>
      <c r="F153" s="25" t="str">
        <f t="shared" ca="1" si="29"/>
        <v/>
      </c>
      <c r="G153" s="26" t="str">
        <f t="shared" ca="1" si="30"/>
        <v/>
      </c>
      <c r="H153" s="55" t="str">
        <f t="shared" ca="1" si="31"/>
        <v/>
      </c>
      <c r="J153" s="37">
        <v>46111</v>
      </c>
      <c r="K153" s="41">
        <v>77.986999999999995</v>
      </c>
      <c r="L153" s="37"/>
      <c r="N153" s="95" t="str">
        <f t="shared" si="23"/>
        <v/>
      </c>
      <c r="O153" s="95" t="str">
        <f t="shared" si="24"/>
        <v/>
      </c>
    </row>
    <row r="154" spans="1:15" x14ac:dyDescent="0.25">
      <c r="A154" s="98" t="str">
        <f t="shared" ca="1" si="32"/>
        <v/>
      </c>
      <c r="B154" s="33" t="str">
        <f t="shared" ca="1" si="25"/>
        <v/>
      </c>
      <c r="C154" s="25" t="str">
        <f t="shared" ca="1" si="26"/>
        <v/>
      </c>
      <c r="D154" s="26" t="str">
        <f t="shared" ca="1" si="27"/>
        <v/>
      </c>
      <c r="E154" s="4" t="str">
        <f t="shared" ca="1" si="28"/>
        <v/>
      </c>
      <c r="F154" s="25" t="str">
        <f t="shared" ca="1" si="29"/>
        <v/>
      </c>
      <c r="G154" s="26" t="str">
        <f t="shared" ca="1" si="30"/>
        <v/>
      </c>
      <c r="H154" s="55" t="str">
        <f t="shared" ca="1" si="31"/>
        <v/>
      </c>
      <c r="J154" s="37">
        <v>46112</v>
      </c>
      <c r="K154" s="41">
        <v>78.706000000000003</v>
      </c>
      <c r="L154" s="37"/>
      <c r="N154" s="95" t="str">
        <f t="shared" si="23"/>
        <v/>
      </c>
      <c r="O154" s="95" t="str">
        <f t="shared" si="24"/>
        <v/>
      </c>
    </row>
    <row r="155" spans="1:15" x14ac:dyDescent="0.25">
      <c r="A155" s="98" t="str">
        <f t="shared" ca="1" si="32"/>
        <v/>
      </c>
      <c r="B155" s="33" t="str">
        <f t="shared" ca="1" si="25"/>
        <v/>
      </c>
      <c r="C155" s="25" t="str">
        <f t="shared" ca="1" si="26"/>
        <v/>
      </c>
      <c r="D155" s="26" t="str">
        <f t="shared" ca="1" si="27"/>
        <v/>
      </c>
      <c r="E155" s="4" t="str">
        <f t="shared" ca="1" si="28"/>
        <v/>
      </c>
      <c r="F155" s="25" t="str">
        <f t="shared" ca="1" si="29"/>
        <v/>
      </c>
      <c r="G155" s="26" t="str">
        <f t="shared" ca="1" si="30"/>
        <v/>
      </c>
      <c r="H155" s="55" t="str">
        <f t="shared" ca="1" si="31"/>
        <v/>
      </c>
      <c r="J155" s="37">
        <v>46113</v>
      </c>
      <c r="K155" s="41">
        <v>79.046999999999997</v>
      </c>
      <c r="L155" s="37"/>
      <c r="N155" s="95" t="str">
        <f t="shared" si="23"/>
        <v/>
      </c>
      <c r="O155" s="95" t="str">
        <f t="shared" si="24"/>
        <v/>
      </c>
    </row>
    <row r="156" spans="1:15" x14ac:dyDescent="0.25">
      <c r="A156" s="98" t="str">
        <f t="shared" ca="1" si="32"/>
        <v/>
      </c>
      <c r="B156" s="33" t="str">
        <f t="shared" ca="1" si="25"/>
        <v/>
      </c>
      <c r="C156" s="25" t="str">
        <f t="shared" ca="1" si="26"/>
        <v/>
      </c>
      <c r="D156" s="26" t="str">
        <f t="shared" ca="1" si="27"/>
        <v/>
      </c>
      <c r="E156" s="4" t="str">
        <f t="shared" ca="1" si="28"/>
        <v/>
      </c>
      <c r="F156" s="25" t="str">
        <f t="shared" ca="1" si="29"/>
        <v/>
      </c>
      <c r="G156" s="26" t="str">
        <f t="shared" ca="1" si="30"/>
        <v/>
      </c>
      <c r="H156" s="55" t="str">
        <f t="shared" ca="1" si="31"/>
        <v/>
      </c>
      <c r="J156" s="37">
        <v>46114</v>
      </c>
      <c r="K156" s="41">
        <v>78.992000000000004</v>
      </c>
      <c r="L156" s="37"/>
      <c r="N156" s="95" t="str">
        <f t="shared" si="23"/>
        <v/>
      </c>
      <c r="O156" s="95" t="str">
        <f t="shared" si="24"/>
        <v/>
      </c>
    </row>
    <row r="157" spans="1:15" x14ac:dyDescent="0.25">
      <c r="A157" s="98" t="str">
        <f t="shared" ca="1" si="32"/>
        <v/>
      </c>
      <c r="B157" s="33" t="str">
        <f t="shared" ca="1" si="25"/>
        <v/>
      </c>
      <c r="C157" s="25" t="str">
        <f t="shared" ca="1" si="26"/>
        <v/>
      </c>
      <c r="D157" s="26" t="str">
        <f t="shared" ca="1" si="27"/>
        <v/>
      </c>
      <c r="E157" s="4" t="str">
        <f t="shared" ca="1" si="28"/>
        <v/>
      </c>
      <c r="F157" s="25" t="str">
        <f t="shared" ca="1" si="29"/>
        <v/>
      </c>
      <c r="G157" s="26" t="str">
        <f t="shared" ca="1" si="30"/>
        <v/>
      </c>
      <c r="H157" s="55" t="str">
        <f t="shared" ca="1" si="31"/>
        <v/>
      </c>
      <c r="J157" s="37">
        <v>46115</v>
      </c>
      <c r="K157" s="41">
        <v>78.822000000000003</v>
      </c>
      <c r="L157" s="37"/>
      <c r="N157" s="95" t="str">
        <f t="shared" si="23"/>
        <v/>
      </c>
      <c r="O157" s="95" t="str">
        <f t="shared" si="24"/>
        <v/>
      </c>
    </row>
    <row r="158" spans="1:15" x14ac:dyDescent="0.25">
      <c r="A158" s="98" t="str">
        <f t="shared" ca="1" si="32"/>
        <v/>
      </c>
      <c r="B158" s="33" t="str">
        <f t="shared" ca="1" si="25"/>
        <v/>
      </c>
      <c r="C158" s="25" t="str">
        <f t="shared" ca="1" si="26"/>
        <v/>
      </c>
      <c r="D158" s="26" t="str">
        <f t="shared" ca="1" si="27"/>
        <v/>
      </c>
      <c r="E158" s="4" t="str">
        <f t="shared" ca="1" si="28"/>
        <v/>
      </c>
      <c r="F158" s="25" t="str">
        <f t="shared" ca="1" si="29"/>
        <v/>
      </c>
      <c r="G158" s="26" t="str">
        <f t="shared" ca="1" si="30"/>
        <v/>
      </c>
      <c r="H158" s="55" t="str">
        <f t="shared" ca="1" si="31"/>
        <v/>
      </c>
      <c r="J158" s="37">
        <v>46118</v>
      </c>
      <c r="K158" s="41">
        <v>78.840999999999994</v>
      </c>
      <c r="L158" s="37"/>
      <c r="N158" s="95" t="str">
        <f t="shared" si="23"/>
        <v/>
      </c>
      <c r="O158" s="95" t="str">
        <f t="shared" si="24"/>
        <v/>
      </c>
    </row>
    <row r="159" spans="1:15" x14ac:dyDescent="0.25">
      <c r="A159" s="98" t="str">
        <f t="shared" ca="1" si="32"/>
        <v/>
      </c>
      <c r="B159" s="33" t="str">
        <f t="shared" ca="1" si="25"/>
        <v/>
      </c>
      <c r="C159" s="25" t="str">
        <f t="shared" ca="1" si="26"/>
        <v/>
      </c>
      <c r="D159" s="26" t="str">
        <f t="shared" ca="1" si="27"/>
        <v/>
      </c>
      <c r="E159" s="4" t="str">
        <f t="shared" ca="1" si="28"/>
        <v/>
      </c>
      <c r="F159" s="25" t="str">
        <f t="shared" ca="1" si="29"/>
        <v/>
      </c>
      <c r="G159" s="26" t="str">
        <f t="shared" ca="1" si="30"/>
        <v/>
      </c>
      <c r="H159" s="55" t="str">
        <f t="shared" ca="1" si="31"/>
        <v/>
      </c>
      <c r="J159" s="37">
        <v>46119</v>
      </c>
      <c r="K159" s="41">
        <v>78.650999999999996</v>
      </c>
      <c r="L159" s="37"/>
      <c r="N159" s="95" t="str">
        <f t="shared" si="23"/>
        <v/>
      </c>
      <c r="O159" s="95" t="str">
        <f t="shared" si="24"/>
        <v/>
      </c>
    </row>
    <row r="160" spans="1:15" x14ac:dyDescent="0.25">
      <c r="A160" s="98" t="str">
        <f t="shared" ca="1" si="32"/>
        <v/>
      </c>
      <c r="B160" s="33" t="str">
        <f t="shared" ca="1" si="25"/>
        <v/>
      </c>
      <c r="C160" s="25" t="str">
        <f t="shared" ca="1" si="26"/>
        <v/>
      </c>
      <c r="D160" s="26" t="str">
        <f t="shared" ca="1" si="27"/>
        <v/>
      </c>
      <c r="E160" s="4" t="str">
        <f t="shared" ca="1" si="28"/>
        <v/>
      </c>
      <c r="F160" s="25" t="str">
        <f t="shared" ca="1" si="29"/>
        <v/>
      </c>
      <c r="G160" s="26" t="str">
        <f t="shared" ca="1" si="30"/>
        <v/>
      </c>
      <c r="H160" s="55" t="str">
        <f t="shared" ca="1" si="31"/>
        <v/>
      </c>
      <c r="J160" s="37">
        <v>46120</v>
      </c>
      <c r="K160" s="41">
        <v>79.361000000000004</v>
      </c>
      <c r="L160" s="37"/>
      <c r="N160" s="95" t="str">
        <f t="shared" si="23"/>
        <v/>
      </c>
      <c r="O160" s="95" t="str">
        <f t="shared" si="24"/>
        <v/>
      </c>
    </row>
    <row r="161" spans="1:15" x14ac:dyDescent="0.25">
      <c r="A161" s="98" t="str">
        <f t="shared" ca="1" si="32"/>
        <v/>
      </c>
      <c r="B161" s="33" t="str">
        <f t="shared" ca="1" si="25"/>
        <v/>
      </c>
      <c r="C161" s="25" t="str">
        <f t="shared" ca="1" si="26"/>
        <v/>
      </c>
      <c r="D161" s="26" t="str">
        <f t="shared" ca="1" si="27"/>
        <v/>
      </c>
      <c r="E161" s="4" t="str">
        <f t="shared" ca="1" si="28"/>
        <v/>
      </c>
      <c r="F161" s="25" t="str">
        <f t="shared" ca="1" si="29"/>
        <v/>
      </c>
      <c r="G161" s="26" t="str">
        <f t="shared" ca="1" si="30"/>
        <v/>
      </c>
      <c r="H161" s="55" t="str">
        <f t="shared" ca="1" si="31"/>
        <v/>
      </c>
      <c r="J161" s="37">
        <v>46121</v>
      </c>
      <c r="K161" s="41">
        <v>79.597999999999999</v>
      </c>
      <c r="L161" s="37"/>
      <c r="N161" s="95" t="str">
        <f t="shared" si="23"/>
        <v/>
      </c>
      <c r="O161" s="95" t="str">
        <f t="shared" si="24"/>
        <v/>
      </c>
    </row>
    <row r="162" spans="1:15" x14ac:dyDescent="0.25">
      <c r="A162" s="98" t="str">
        <f t="shared" ca="1" si="32"/>
        <v/>
      </c>
      <c r="B162" s="33" t="str">
        <f t="shared" ca="1" si="25"/>
        <v/>
      </c>
      <c r="C162" s="25" t="str">
        <f t="shared" ca="1" si="26"/>
        <v/>
      </c>
      <c r="D162" s="26" t="str">
        <f t="shared" ca="1" si="27"/>
        <v/>
      </c>
      <c r="E162" s="4" t="str">
        <f t="shared" ca="1" si="28"/>
        <v/>
      </c>
      <c r="F162" s="25" t="str">
        <f t="shared" ca="1" si="29"/>
        <v/>
      </c>
      <c r="G162" s="26" t="str">
        <f t="shared" ca="1" si="30"/>
        <v/>
      </c>
      <c r="H162" s="55" t="str">
        <f t="shared" ca="1" si="31"/>
        <v/>
      </c>
      <c r="J162" s="37">
        <v>46122</v>
      </c>
      <c r="K162" s="41">
        <v>79.558000000000007</v>
      </c>
      <c r="L162" s="37"/>
      <c r="N162" s="95" t="str">
        <f t="shared" si="23"/>
        <v/>
      </c>
      <c r="O162" s="95" t="str">
        <f t="shared" si="24"/>
        <v/>
      </c>
    </row>
    <row r="163" spans="1:15" x14ac:dyDescent="0.25">
      <c r="A163" s="98" t="str">
        <f t="shared" ca="1" si="32"/>
        <v/>
      </c>
      <c r="B163" s="33" t="str">
        <f t="shared" ca="1" si="25"/>
        <v/>
      </c>
      <c r="C163" s="25" t="str">
        <f t="shared" ca="1" si="26"/>
        <v/>
      </c>
      <c r="D163" s="26" t="str">
        <f t="shared" ca="1" si="27"/>
        <v/>
      </c>
      <c r="E163" s="4" t="str">
        <f t="shared" ca="1" si="28"/>
        <v/>
      </c>
      <c r="F163" s="25" t="str">
        <f t="shared" ca="1" si="29"/>
        <v/>
      </c>
      <c r="G163" s="26" t="str">
        <f t="shared" ca="1" si="30"/>
        <v/>
      </c>
      <c r="H163" s="55" t="str">
        <f t="shared" ca="1" si="31"/>
        <v/>
      </c>
      <c r="J163" s="37">
        <v>46125</v>
      </c>
      <c r="K163" s="41">
        <v>79.825999999999993</v>
      </c>
      <c r="L163" s="37"/>
      <c r="N163" s="95" t="str">
        <f t="shared" si="23"/>
        <v/>
      </c>
      <c r="O163" s="95" t="str">
        <f t="shared" si="24"/>
        <v/>
      </c>
    </row>
    <row r="164" spans="1:15" x14ac:dyDescent="0.25">
      <c r="A164" s="98" t="str">
        <f t="shared" ca="1" si="32"/>
        <v/>
      </c>
      <c r="B164" s="33" t="str">
        <f t="shared" ca="1" si="25"/>
        <v/>
      </c>
      <c r="C164" s="25" t="str">
        <f t="shared" ca="1" si="26"/>
        <v/>
      </c>
      <c r="D164" s="26" t="str">
        <f t="shared" ca="1" si="27"/>
        <v/>
      </c>
      <c r="E164" s="4" t="str">
        <f t="shared" ca="1" si="28"/>
        <v/>
      </c>
      <c r="F164" s="25" t="str">
        <f t="shared" ca="1" si="29"/>
        <v/>
      </c>
      <c r="G164" s="26" t="str">
        <f t="shared" ca="1" si="30"/>
        <v/>
      </c>
      <c r="H164" s="55" t="str">
        <f t="shared" ca="1" si="31"/>
        <v/>
      </c>
      <c r="J164" s="37">
        <v>46126</v>
      </c>
      <c r="K164" s="41">
        <v>80.417000000000002</v>
      </c>
      <c r="L164" s="37"/>
      <c r="N164" s="95" t="str">
        <f t="shared" si="23"/>
        <v/>
      </c>
      <c r="O164" s="95" t="str">
        <f t="shared" si="24"/>
        <v/>
      </c>
    </row>
    <row r="165" spans="1:15" x14ac:dyDescent="0.25">
      <c r="A165" s="98" t="str">
        <f t="shared" ca="1" si="32"/>
        <v/>
      </c>
      <c r="B165" s="33" t="str">
        <f t="shared" ca="1" si="25"/>
        <v/>
      </c>
      <c r="C165" s="25" t="str">
        <f t="shared" ca="1" si="26"/>
        <v/>
      </c>
      <c r="D165" s="26" t="str">
        <f t="shared" ca="1" si="27"/>
        <v/>
      </c>
      <c r="E165" s="4" t="str">
        <f t="shared" ca="1" si="28"/>
        <v/>
      </c>
      <c r="F165" s="25" t="str">
        <f t="shared" ca="1" si="29"/>
        <v/>
      </c>
      <c r="G165" s="26" t="str">
        <f t="shared" ca="1" si="30"/>
        <v/>
      </c>
      <c r="H165" s="55" t="str">
        <f t="shared" ca="1" si="31"/>
        <v/>
      </c>
      <c r="J165" s="37">
        <v>46127</v>
      </c>
      <c r="K165" s="41">
        <v>79.991</v>
      </c>
      <c r="L165" s="37"/>
      <c r="N165" s="95" t="str">
        <f t="shared" si="23"/>
        <v/>
      </c>
      <c r="O165" s="95" t="str">
        <f t="shared" si="24"/>
        <v/>
      </c>
    </row>
    <row r="166" spans="1:15" x14ac:dyDescent="0.25">
      <c r="A166" s="98" t="str">
        <f t="shared" ca="1" si="32"/>
        <v/>
      </c>
      <c r="B166" s="33" t="str">
        <f t="shared" ca="1" si="25"/>
        <v/>
      </c>
      <c r="C166" s="25" t="str">
        <f t="shared" ca="1" si="26"/>
        <v/>
      </c>
      <c r="D166" s="26" t="str">
        <f t="shared" ca="1" si="27"/>
        <v/>
      </c>
      <c r="E166" s="4" t="str">
        <f t="shared" ca="1" si="28"/>
        <v/>
      </c>
      <c r="F166" s="25" t="str">
        <f t="shared" ca="1" si="29"/>
        <v/>
      </c>
      <c r="G166" s="26" t="str">
        <f t="shared" ca="1" si="30"/>
        <v/>
      </c>
      <c r="H166" s="55" t="str">
        <f t="shared" ca="1" si="31"/>
        <v/>
      </c>
      <c r="J166" s="37">
        <v>46128</v>
      </c>
      <c r="K166" s="41">
        <v>79.742000000000004</v>
      </c>
      <c r="L166" s="37"/>
      <c r="N166" s="95" t="str">
        <f t="shared" si="23"/>
        <v/>
      </c>
      <c r="O166" s="95" t="str">
        <f t="shared" si="24"/>
        <v/>
      </c>
    </row>
    <row r="167" spans="1:15" x14ac:dyDescent="0.25">
      <c r="A167" s="98" t="str">
        <f t="shared" ca="1" si="32"/>
        <v/>
      </c>
      <c r="B167" s="33" t="str">
        <f t="shared" ca="1" si="25"/>
        <v/>
      </c>
      <c r="C167" s="25" t="str">
        <f t="shared" ca="1" si="26"/>
        <v/>
      </c>
      <c r="D167" s="26" t="str">
        <f t="shared" ca="1" si="27"/>
        <v/>
      </c>
      <c r="E167" s="4" t="str">
        <f t="shared" ca="1" si="28"/>
        <v/>
      </c>
      <c r="F167" s="25" t="str">
        <f t="shared" ca="1" si="29"/>
        <v/>
      </c>
      <c r="G167" s="26" t="str">
        <f t="shared" ca="1" si="30"/>
        <v/>
      </c>
      <c r="H167" s="55" t="str">
        <f t="shared" ca="1" si="31"/>
        <v/>
      </c>
      <c r="J167" s="37">
        <v>46129</v>
      </c>
      <c r="K167" s="41">
        <v>80.491</v>
      </c>
      <c r="L167" s="37"/>
      <c r="N167" s="95" t="str">
        <f t="shared" si="23"/>
        <v/>
      </c>
      <c r="O167" s="95" t="str">
        <f t="shared" si="24"/>
        <v/>
      </c>
    </row>
    <row r="168" spans="1:15" x14ac:dyDescent="0.25">
      <c r="A168" s="98" t="str">
        <f t="shared" ca="1" si="32"/>
        <v/>
      </c>
      <c r="B168" s="33" t="str">
        <f t="shared" ca="1" si="25"/>
        <v/>
      </c>
      <c r="C168" s="25" t="str">
        <f t="shared" ca="1" si="26"/>
        <v/>
      </c>
      <c r="D168" s="26" t="str">
        <f t="shared" ca="1" si="27"/>
        <v/>
      </c>
      <c r="E168" s="4" t="str">
        <f t="shared" ca="1" si="28"/>
        <v/>
      </c>
      <c r="F168" s="25" t="str">
        <f t="shared" ca="1" si="29"/>
        <v/>
      </c>
      <c r="G168" s="26" t="str">
        <f t="shared" ca="1" si="30"/>
        <v/>
      </c>
      <c r="H168" s="55" t="str">
        <f t="shared" ca="1" si="31"/>
        <v/>
      </c>
      <c r="J168" s="37">
        <v>46132</v>
      </c>
      <c r="K168" s="41">
        <v>80.361999999999995</v>
      </c>
      <c r="L168" s="37"/>
      <c r="N168" s="95" t="str">
        <f t="shared" si="23"/>
        <v/>
      </c>
      <c r="O168" s="95" t="str">
        <f t="shared" si="24"/>
        <v/>
      </c>
    </row>
    <row r="169" spans="1:15" x14ac:dyDescent="0.25">
      <c r="A169" s="98" t="str">
        <f t="shared" ca="1" si="32"/>
        <v/>
      </c>
      <c r="B169" s="33" t="str">
        <f t="shared" ca="1" si="25"/>
        <v/>
      </c>
      <c r="C169" s="25" t="str">
        <f t="shared" ca="1" si="26"/>
        <v/>
      </c>
      <c r="D169" s="26" t="str">
        <f t="shared" ca="1" si="27"/>
        <v/>
      </c>
      <c r="E169" s="4" t="str">
        <f t="shared" ca="1" si="28"/>
        <v/>
      </c>
      <c r="F169" s="25" t="str">
        <f t="shared" ca="1" si="29"/>
        <v/>
      </c>
      <c r="G169" s="26" t="str">
        <f t="shared" ca="1" si="30"/>
        <v/>
      </c>
      <c r="H169" s="55" t="str">
        <f t="shared" ca="1" si="31"/>
        <v/>
      </c>
      <c r="J169" s="37">
        <v>46133</v>
      </c>
      <c r="K169" s="41">
        <v>80.31</v>
      </c>
      <c r="L169" s="37"/>
      <c r="N169" s="95" t="str">
        <f t="shared" si="23"/>
        <v/>
      </c>
      <c r="O169" s="95" t="str">
        <f t="shared" si="24"/>
        <v/>
      </c>
    </row>
    <row r="170" spans="1:15" x14ac:dyDescent="0.25">
      <c r="A170" s="98" t="str">
        <f t="shared" ca="1" si="32"/>
        <v/>
      </c>
      <c r="B170" s="33" t="str">
        <f t="shared" ca="1" si="25"/>
        <v/>
      </c>
      <c r="C170" s="25" t="str">
        <f t="shared" ca="1" si="26"/>
        <v/>
      </c>
      <c r="D170" s="26" t="str">
        <f t="shared" ca="1" si="27"/>
        <v/>
      </c>
      <c r="E170" s="4" t="str">
        <f t="shared" ca="1" si="28"/>
        <v/>
      </c>
      <c r="F170" s="25" t="str">
        <f t="shared" ca="1" si="29"/>
        <v/>
      </c>
      <c r="G170" s="26" t="str">
        <f t="shared" ca="1" si="30"/>
        <v/>
      </c>
      <c r="H170" s="55" t="str">
        <f t="shared" ca="1" si="31"/>
        <v/>
      </c>
      <c r="J170" s="37">
        <v>46134</v>
      </c>
      <c r="K170" s="41">
        <v>80.614000000000004</v>
      </c>
      <c r="L170" s="37"/>
      <c r="N170" s="95" t="str">
        <f t="shared" si="23"/>
        <v/>
      </c>
      <c r="O170" s="95" t="str">
        <f t="shared" si="24"/>
        <v/>
      </c>
    </row>
    <row r="171" spans="1:15" x14ac:dyDescent="0.25">
      <c r="A171" s="98" t="str">
        <f t="shared" ca="1" si="32"/>
        <v/>
      </c>
      <c r="B171" s="33" t="str">
        <f t="shared" ca="1" si="25"/>
        <v/>
      </c>
      <c r="C171" s="25" t="str">
        <f t="shared" ca="1" si="26"/>
        <v/>
      </c>
      <c r="D171" s="26" t="str">
        <f t="shared" ca="1" si="27"/>
        <v/>
      </c>
      <c r="E171" s="4" t="str">
        <f t="shared" ca="1" si="28"/>
        <v/>
      </c>
      <c r="F171" s="25" t="str">
        <f t="shared" ca="1" si="29"/>
        <v/>
      </c>
      <c r="G171" s="26" t="str">
        <f t="shared" ca="1" si="30"/>
        <v/>
      </c>
      <c r="H171" s="55" t="str">
        <f t="shared" ca="1" si="31"/>
        <v/>
      </c>
      <c r="J171" s="37">
        <v>46135</v>
      </c>
      <c r="K171" s="41">
        <v>80.573999999999998</v>
      </c>
      <c r="L171" s="37"/>
      <c r="N171" s="95" t="str">
        <f t="shared" si="23"/>
        <v/>
      </c>
      <c r="O171" s="95" t="str">
        <f t="shared" si="24"/>
        <v/>
      </c>
    </row>
    <row r="172" spans="1:15" x14ac:dyDescent="0.25">
      <c r="A172" s="98" t="str">
        <f t="shared" ca="1" si="32"/>
        <v/>
      </c>
      <c r="B172" s="33" t="str">
        <f t="shared" ca="1" si="25"/>
        <v/>
      </c>
      <c r="C172" s="25" t="str">
        <f t="shared" ca="1" si="26"/>
        <v/>
      </c>
      <c r="D172" s="26" t="str">
        <f t="shared" ca="1" si="27"/>
        <v/>
      </c>
      <c r="E172" s="4" t="str">
        <f t="shared" ca="1" si="28"/>
        <v/>
      </c>
      <c r="F172" s="25" t="str">
        <f t="shared" ca="1" si="29"/>
        <v/>
      </c>
      <c r="G172" s="26" t="str">
        <f t="shared" ca="1" si="30"/>
        <v/>
      </c>
      <c r="H172" s="55" t="str">
        <f t="shared" ca="1" si="31"/>
        <v/>
      </c>
      <c r="J172" s="37">
        <v>46136</v>
      </c>
      <c r="K172" s="41">
        <v>80.614999999999995</v>
      </c>
      <c r="L172" s="37"/>
      <c r="N172" s="95" t="str">
        <f t="shared" si="23"/>
        <v/>
      </c>
      <c r="O172" s="95" t="str">
        <f t="shared" si="24"/>
        <v/>
      </c>
    </row>
    <row r="173" spans="1:15" x14ac:dyDescent="0.25">
      <c r="A173" s="98" t="str">
        <f t="shared" ca="1" si="32"/>
        <v/>
      </c>
      <c r="B173" s="33" t="str">
        <f t="shared" ca="1" si="25"/>
        <v/>
      </c>
      <c r="C173" s="25" t="str">
        <f t="shared" ca="1" si="26"/>
        <v/>
      </c>
      <c r="D173" s="26" t="str">
        <f t="shared" ca="1" si="27"/>
        <v/>
      </c>
      <c r="E173" s="4" t="str">
        <f t="shared" ca="1" si="28"/>
        <v/>
      </c>
      <c r="F173" s="25" t="str">
        <f t="shared" ca="1" si="29"/>
        <v/>
      </c>
      <c r="G173" s="26" t="str">
        <f t="shared" ca="1" si="30"/>
        <v/>
      </c>
      <c r="H173" s="55" t="str">
        <f t="shared" ca="1" si="31"/>
        <v/>
      </c>
      <c r="J173" s="37">
        <v>46139</v>
      </c>
      <c r="K173" s="41">
        <v>80.551000000000002</v>
      </c>
      <c r="L173" s="37"/>
      <c r="N173" s="95" t="str">
        <f t="shared" si="23"/>
        <v/>
      </c>
      <c r="O173" s="95" t="str">
        <f t="shared" si="24"/>
        <v/>
      </c>
    </row>
    <row r="174" spans="1:15" x14ac:dyDescent="0.25">
      <c r="A174" s="98" t="str">
        <f t="shared" ca="1" si="32"/>
        <v/>
      </c>
      <c r="B174" s="33" t="str">
        <f t="shared" ca="1" si="25"/>
        <v/>
      </c>
      <c r="C174" s="25" t="str">
        <f t="shared" ca="1" si="26"/>
        <v/>
      </c>
      <c r="D174" s="26" t="str">
        <f t="shared" ca="1" si="27"/>
        <v/>
      </c>
      <c r="E174" s="4" t="str">
        <f t="shared" ca="1" si="28"/>
        <v/>
      </c>
      <c r="F174" s="25" t="str">
        <f t="shared" ca="1" si="29"/>
        <v/>
      </c>
      <c r="G174" s="26" t="str">
        <f t="shared" ca="1" si="30"/>
        <v/>
      </c>
      <c r="H174" s="55" t="str">
        <f t="shared" ca="1" si="31"/>
        <v/>
      </c>
      <c r="J174" s="37">
        <v>46140</v>
      </c>
      <c r="K174" s="41">
        <v>80.486000000000004</v>
      </c>
      <c r="L174" s="37"/>
      <c r="N174" s="95" t="str">
        <f t="shared" si="23"/>
        <v/>
      </c>
      <c r="O174" s="95" t="str">
        <f t="shared" si="24"/>
        <v/>
      </c>
    </row>
    <row r="175" spans="1:15" x14ac:dyDescent="0.25">
      <c r="A175" s="98" t="str">
        <f t="shared" ca="1" si="32"/>
        <v/>
      </c>
      <c r="B175" s="33" t="str">
        <f t="shared" ca="1" si="25"/>
        <v/>
      </c>
      <c r="C175" s="25" t="str">
        <f t="shared" ca="1" si="26"/>
        <v/>
      </c>
      <c r="D175" s="26" t="str">
        <f t="shared" ca="1" si="27"/>
        <v/>
      </c>
      <c r="E175" s="4" t="str">
        <f t="shared" ca="1" si="28"/>
        <v/>
      </c>
      <c r="F175" s="25" t="str">
        <f t="shared" ca="1" si="29"/>
        <v/>
      </c>
      <c r="G175" s="26" t="str">
        <f t="shared" ca="1" si="30"/>
        <v/>
      </c>
      <c r="H175" s="55" t="str">
        <f t="shared" ca="1" si="31"/>
        <v/>
      </c>
      <c r="J175" s="37">
        <v>46141</v>
      </c>
      <c r="K175" s="41">
        <v>80.287999999999997</v>
      </c>
      <c r="L175" s="37"/>
      <c r="N175" s="95" t="str">
        <f t="shared" si="23"/>
        <v/>
      </c>
      <c r="O175" s="95" t="str">
        <f t="shared" si="24"/>
        <v/>
      </c>
    </row>
    <row r="176" spans="1:15" x14ac:dyDescent="0.25">
      <c r="A176" s="98" t="str">
        <f t="shared" ca="1" si="32"/>
        <v/>
      </c>
      <c r="B176" s="33" t="str">
        <f t="shared" ca="1" si="25"/>
        <v/>
      </c>
      <c r="C176" s="25" t="str">
        <f t="shared" ca="1" si="26"/>
        <v/>
      </c>
      <c r="D176" s="26" t="str">
        <f t="shared" ca="1" si="27"/>
        <v/>
      </c>
      <c r="E176" s="4" t="str">
        <f t="shared" ca="1" si="28"/>
        <v/>
      </c>
      <c r="F176" s="25" t="str">
        <f t="shared" ca="1" si="29"/>
        <v/>
      </c>
      <c r="G176" s="26" t="str">
        <f t="shared" ca="1" si="30"/>
        <v/>
      </c>
      <c r="H176" s="55" t="str">
        <f t="shared" ca="1" si="31"/>
        <v/>
      </c>
      <c r="J176" s="37">
        <v>46142</v>
      </c>
      <c r="K176" s="41">
        <v>80.566000000000003</v>
      </c>
      <c r="L176" s="37"/>
      <c r="N176" s="95" t="str">
        <f t="shared" si="23"/>
        <v/>
      </c>
      <c r="O176" s="95" t="str">
        <f t="shared" si="24"/>
        <v/>
      </c>
    </row>
    <row r="177" spans="1:15" x14ac:dyDescent="0.25">
      <c r="A177" s="98" t="str">
        <f t="shared" ca="1" si="32"/>
        <v/>
      </c>
      <c r="B177" s="33" t="str">
        <f t="shared" ca="1" si="25"/>
        <v/>
      </c>
      <c r="C177" s="25" t="str">
        <f t="shared" ca="1" si="26"/>
        <v/>
      </c>
      <c r="D177" s="26" t="str">
        <f t="shared" ca="1" si="27"/>
        <v/>
      </c>
      <c r="E177" s="4" t="str">
        <f t="shared" ca="1" si="28"/>
        <v/>
      </c>
      <c r="F177" s="25" t="str">
        <f t="shared" ca="1" si="29"/>
        <v/>
      </c>
      <c r="G177" s="26" t="str">
        <f t="shared" ca="1" si="30"/>
        <v/>
      </c>
      <c r="H177" s="55" t="str">
        <f t="shared" ca="1" si="31"/>
        <v/>
      </c>
      <c r="J177" s="37">
        <v>46143</v>
      </c>
      <c r="K177" s="41">
        <v>80.834000000000003</v>
      </c>
      <c r="L177" s="37"/>
      <c r="N177" s="95">
        <f t="shared" si="23"/>
        <v>46143</v>
      </c>
      <c r="O177" s="95" t="str">
        <f t="shared" si="24"/>
        <v/>
      </c>
    </row>
    <row r="178" spans="1:15" x14ac:dyDescent="0.25">
      <c r="A178" s="98" t="str">
        <f t="shared" ca="1" si="32"/>
        <v/>
      </c>
      <c r="B178" s="33" t="str">
        <f t="shared" ca="1" si="25"/>
        <v/>
      </c>
      <c r="C178" s="25" t="str">
        <f t="shared" ca="1" si="26"/>
        <v/>
      </c>
      <c r="D178" s="26" t="str">
        <f t="shared" ca="1" si="27"/>
        <v/>
      </c>
      <c r="E178" s="4" t="str">
        <f t="shared" ca="1" si="28"/>
        <v/>
      </c>
      <c r="F178" s="25" t="str">
        <f t="shared" ca="1" si="29"/>
        <v/>
      </c>
      <c r="G178" s="26" t="str">
        <f t="shared" ca="1" si="30"/>
        <v/>
      </c>
      <c r="H178" s="55" t="str">
        <f t="shared" ca="1" si="31"/>
        <v/>
      </c>
      <c r="J178" s="37">
        <v>46146</v>
      </c>
      <c r="K178" s="41">
        <v>80.346000000000004</v>
      </c>
      <c r="L178" s="37"/>
      <c r="N178" s="95">
        <f t="shared" si="23"/>
        <v>46146</v>
      </c>
      <c r="O178" s="95" t="str">
        <f t="shared" si="24"/>
        <v/>
      </c>
    </row>
    <row r="179" spans="1:15" x14ac:dyDescent="0.25">
      <c r="A179" s="98" t="str">
        <f t="shared" ca="1" si="32"/>
        <v/>
      </c>
      <c r="B179" s="33" t="str">
        <f t="shared" ca="1" si="25"/>
        <v/>
      </c>
      <c r="C179" s="25" t="str">
        <f t="shared" ca="1" si="26"/>
        <v/>
      </c>
      <c r="D179" s="26" t="str">
        <f t="shared" ca="1" si="27"/>
        <v/>
      </c>
      <c r="E179" s="4" t="str">
        <f t="shared" ca="1" si="28"/>
        <v/>
      </c>
      <c r="F179" s="25" t="str">
        <f t="shared" ca="1" si="29"/>
        <v/>
      </c>
      <c r="G179" s="26" t="str">
        <f t="shared" ca="1" si="30"/>
        <v/>
      </c>
      <c r="H179" s="55" t="str">
        <f t="shared" ca="1" si="31"/>
        <v/>
      </c>
      <c r="J179" s="37">
        <v>46147</v>
      </c>
      <c r="K179" s="41">
        <v>80.519000000000005</v>
      </c>
      <c r="L179" s="37"/>
      <c r="N179" s="95">
        <f t="shared" si="23"/>
        <v>46147</v>
      </c>
      <c r="O179" s="95" t="str">
        <f t="shared" si="24"/>
        <v/>
      </c>
    </row>
    <row r="180" spans="1:15" x14ac:dyDescent="0.25">
      <c r="A180" s="98" t="str">
        <f t="shared" ca="1" si="32"/>
        <v/>
      </c>
      <c r="B180" s="33" t="str">
        <f t="shared" ca="1" si="25"/>
        <v/>
      </c>
      <c r="C180" s="25" t="str">
        <f t="shared" ca="1" si="26"/>
        <v/>
      </c>
      <c r="D180" s="26" t="str">
        <f t="shared" ca="1" si="27"/>
        <v/>
      </c>
      <c r="E180" s="4" t="str">
        <f t="shared" ca="1" si="28"/>
        <v/>
      </c>
      <c r="F180" s="25" t="str">
        <f t="shared" ca="1" si="29"/>
        <v/>
      </c>
      <c r="G180" s="26" t="str">
        <f t="shared" ca="1" si="30"/>
        <v/>
      </c>
      <c r="H180" s="55" t="str">
        <f t="shared" ca="1" si="31"/>
        <v/>
      </c>
      <c r="J180" s="37">
        <v>46148</v>
      </c>
      <c r="K180" s="41">
        <v>81.272000000000006</v>
      </c>
      <c r="L180" s="37"/>
      <c r="N180" s="95">
        <f t="shared" si="23"/>
        <v>46148</v>
      </c>
      <c r="O180" s="95" t="str">
        <f t="shared" si="24"/>
        <v/>
      </c>
    </row>
    <row r="181" spans="1:15" x14ac:dyDescent="0.25">
      <c r="A181" s="98" t="str">
        <f t="shared" ca="1" si="32"/>
        <v/>
      </c>
      <c r="B181" s="33" t="str">
        <f t="shared" ca="1" si="25"/>
        <v/>
      </c>
      <c r="C181" s="25" t="str">
        <f t="shared" ca="1" si="26"/>
        <v/>
      </c>
      <c r="D181" s="26" t="str">
        <f t="shared" ca="1" si="27"/>
        <v/>
      </c>
      <c r="E181" s="4" t="str">
        <f t="shared" ca="1" si="28"/>
        <v/>
      </c>
      <c r="F181" s="25" t="str">
        <f t="shared" ca="1" si="29"/>
        <v/>
      </c>
      <c r="G181" s="26" t="str">
        <f t="shared" ca="1" si="30"/>
        <v/>
      </c>
      <c r="H181" s="55" t="str">
        <f t="shared" ca="1" si="31"/>
        <v/>
      </c>
      <c r="J181" s="37">
        <v>46149</v>
      </c>
      <c r="K181" s="41">
        <v>80.811999999999998</v>
      </c>
      <c r="L181" s="37"/>
      <c r="N181" s="95">
        <f t="shared" si="23"/>
        <v>46149</v>
      </c>
      <c r="O181" s="95" t="str">
        <f t="shared" si="24"/>
        <v/>
      </c>
    </row>
    <row r="182" spans="1:15" x14ac:dyDescent="0.25">
      <c r="A182" s="98" t="str">
        <f t="shared" ca="1" si="32"/>
        <v/>
      </c>
      <c r="B182" s="33" t="str">
        <f t="shared" ca="1" si="25"/>
        <v/>
      </c>
      <c r="C182" s="25" t="str">
        <f t="shared" ca="1" si="26"/>
        <v/>
      </c>
      <c r="D182" s="26" t="str">
        <f t="shared" ca="1" si="27"/>
        <v/>
      </c>
      <c r="E182" s="4" t="str">
        <f t="shared" ca="1" si="28"/>
        <v/>
      </c>
      <c r="F182" s="25" t="str">
        <f t="shared" ca="1" si="29"/>
        <v/>
      </c>
      <c r="G182" s="26" t="str">
        <f t="shared" ca="1" si="30"/>
        <v/>
      </c>
      <c r="H182" s="55" t="str">
        <f t="shared" ca="1" si="31"/>
        <v/>
      </c>
      <c r="J182" s="37">
        <v>46150</v>
      </c>
      <c r="K182" s="41">
        <v>81.106999999999999</v>
      </c>
      <c r="L182" s="37"/>
      <c r="N182" s="95">
        <f t="shared" si="23"/>
        <v>46150</v>
      </c>
      <c r="O182" s="95" t="str">
        <f t="shared" si="24"/>
        <v/>
      </c>
    </row>
    <row r="183" spans="1:15" x14ac:dyDescent="0.25">
      <c r="A183" s="98" t="str">
        <f t="shared" ca="1" si="32"/>
        <v/>
      </c>
      <c r="B183" s="33" t="str">
        <f t="shared" ca="1" si="25"/>
        <v/>
      </c>
      <c r="C183" s="25" t="str">
        <f t="shared" ca="1" si="26"/>
        <v/>
      </c>
      <c r="D183" s="26" t="str">
        <f t="shared" ca="1" si="27"/>
        <v/>
      </c>
      <c r="E183" s="4" t="str">
        <f t="shared" ca="1" si="28"/>
        <v/>
      </c>
      <c r="F183" s="25" t="str">
        <f t="shared" ca="1" si="29"/>
        <v/>
      </c>
      <c r="G183" s="26" t="str">
        <f t="shared" ca="1" si="30"/>
        <v/>
      </c>
      <c r="H183" s="55" t="str">
        <f t="shared" ca="1" si="31"/>
        <v/>
      </c>
      <c r="J183" s="37">
        <v>46153</v>
      </c>
      <c r="K183" s="41">
        <v>80.831000000000003</v>
      </c>
      <c r="L183" s="37"/>
      <c r="N183" s="95">
        <f t="shared" si="23"/>
        <v>46153</v>
      </c>
      <c r="O183" s="95" t="str">
        <f t="shared" si="24"/>
        <v/>
      </c>
    </row>
    <row r="184" spans="1:15" x14ac:dyDescent="0.25">
      <c r="A184" s="98" t="str">
        <f t="shared" ca="1" si="32"/>
        <v/>
      </c>
      <c r="B184" s="33" t="str">
        <f t="shared" ca="1" si="25"/>
        <v/>
      </c>
      <c r="C184" s="25" t="str">
        <f t="shared" ca="1" si="26"/>
        <v/>
      </c>
      <c r="D184" s="26" t="str">
        <f t="shared" ca="1" si="27"/>
        <v/>
      </c>
      <c r="E184" s="4" t="str">
        <f t="shared" ca="1" si="28"/>
        <v/>
      </c>
      <c r="F184" s="25" t="str">
        <f t="shared" ca="1" si="29"/>
        <v/>
      </c>
      <c r="G184" s="26" t="str">
        <f t="shared" ca="1" si="30"/>
        <v/>
      </c>
      <c r="H184" s="55" t="str">
        <f t="shared" ca="1" si="31"/>
        <v/>
      </c>
      <c r="J184" s="37">
        <v>46154</v>
      </c>
      <c r="K184" s="41">
        <v>80.406999999999996</v>
      </c>
      <c r="L184" s="37"/>
      <c r="N184" s="95">
        <f t="shared" si="23"/>
        <v>46154</v>
      </c>
      <c r="O184" s="95" t="str">
        <f t="shared" si="24"/>
        <v/>
      </c>
    </row>
    <row r="185" spans="1:15" x14ac:dyDescent="0.25">
      <c r="A185" s="98" t="str">
        <f t="shared" ca="1" si="32"/>
        <v/>
      </c>
      <c r="B185" s="33" t="str">
        <f t="shared" ca="1" si="25"/>
        <v/>
      </c>
      <c r="C185" s="25" t="str">
        <f t="shared" ca="1" si="26"/>
        <v/>
      </c>
      <c r="D185" s="26" t="str">
        <f t="shared" ca="1" si="27"/>
        <v/>
      </c>
      <c r="E185" s="4" t="str">
        <f t="shared" ca="1" si="28"/>
        <v/>
      </c>
      <c r="F185" s="25" t="str">
        <f t="shared" ca="1" si="29"/>
        <v/>
      </c>
      <c r="G185" s="26" t="str">
        <f t="shared" ca="1" si="30"/>
        <v/>
      </c>
      <c r="H185" s="55" t="str">
        <f t="shared" ca="1" si="31"/>
        <v/>
      </c>
      <c r="J185" s="37">
        <v>46155</v>
      </c>
      <c r="K185" s="41">
        <v>79.683000000000007</v>
      </c>
      <c r="L185" s="37"/>
      <c r="N185" s="95">
        <f t="shared" si="23"/>
        <v>46155</v>
      </c>
      <c r="O185" s="95" t="str">
        <f t="shared" si="24"/>
        <v/>
      </c>
    </row>
    <row r="186" spans="1:15" x14ac:dyDescent="0.25">
      <c r="A186" s="98" t="str">
        <f t="shared" ca="1" si="32"/>
        <v/>
      </c>
      <c r="B186" s="33" t="str">
        <f t="shared" ca="1" si="25"/>
        <v/>
      </c>
      <c r="C186" s="25" t="str">
        <f t="shared" ca="1" si="26"/>
        <v/>
      </c>
      <c r="D186" s="26" t="str">
        <f t="shared" ca="1" si="27"/>
        <v/>
      </c>
      <c r="E186" s="4" t="str">
        <f t="shared" ca="1" si="28"/>
        <v/>
      </c>
      <c r="F186" s="25" t="str">
        <f t="shared" ca="1" si="29"/>
        <v/>
      </c>
      <c r="G186" s="26" t="str">
        <f t="shared" ca="1" si="30"/>
        <v/>
      </c>
      <c r="H186" s="55" t="str">
        <f t="shared" ca="1" si="31"/>
        <v/>
      </c>
      <c r="J186" s="37">
        <v>46156</v>
      </c>
      <c r="K186" s="41">
        <v>79.748000000000005</v>
      </c>
      <c r="L186" s="37"/>
      <c r="N186" s="95">
        <f t="shared" si="23"/>
        <v>46156</v>
      </c>
      <c r="O186" s="95" t="str">
        <f t="shared" si="24"/>
        <v/>
      </c>
    </row>
    <row r="187" spans="1:15" x14ac:dyDescent="0.25">
      <c r="A187" s="98" t="str">
        <f t="shared" ca="1" si="32"/>
        <v/>
      </c>
      <c r="B187" s="33" t="str">
        <f t="shared" ca="1" si="25"/>
        <v/>
      </c>
      <c r="C187" s="25" t="str">
        <f t="shared" ca="1" si="26"/>
        <v/>
      </c>
      <c r="D187" s="26" t="str">
        <f t="shared" ca="1" si="27"/>
        <v/>
      </c>
      <c r="E187" s="4" t="str">
        <f t="shared" ca="1" si="28"/>
        <v/>
      </c>
      <c r="F187" s="25" t="str">
        <f t="shared" ca="1" si="29"/>
        <v/>
      </c>
      <c r="G187" s="26" t="str">
        <f t="shared" ca="1" si="30"/>
        <v/>
      </c>
      <c r="H187" s="55" t="str">
        <f t="shared" ca="1" si="31"/>
        <v/>
      </c>
      <c r="J187" s="37">
        <v>46157</v>
      </c>
      <c r="K187" s="41">
        <v>78.438000000000002</v>
      </c>
      <c r="L187" s="37"/>
      <c r="N187" s="95">
        <f t="shared" si="23"/>
        <v>46157</v>
      </c>
      <c r="O187" s="95" t="str">
        <f t="shared" si="24"/>
        <v/>
      </c>
    </row>
    <row r="188" spans="1:15" x14ac:dyDescent="0.25">
      <c r="A188" s="98" t="str">
        <f t="shared" ca="1" si="32"/>
        <v/>
      </c>
      <c r="B188" s="33" t="str">
        <f t="shared" ca="1" si="25"/>
        <v/>
      </c>
      <c r="C188" s="25" t="str">
        <f t="shared" ca="1" si="26"/>
        <v/>
      </c>
      <c r="D188" s="26" t="str">
        <f t="shared" ca="1" si="27"/>
        <v/>
      </c>
      <c r="E188" s="4" t="str">
        <f t="shared" ca="1" si="28"/>
        <v/>
      </c>
      <c r="F188" s="25" t="str">
        <f t="shared" ca="1" si="29"/>
        <v/>
      </c>
      <c r="G188" s="26" t="str">
        <f t="shared" ca="1" si="30"/>
        <v/>
      </c>
      <c r="H188" s="55" t="str">
        <f t="shared" ca="1" si="31"/>
        <v/>
      </c>
      <c r="J188" s="37">
        <v>46160</v>
      </c>
      <c r="K188" s="41">
        <v>77.97</v>
      </c>
      <c r="L188" s="37"/>
      <c r="N188" s="95">
        <f t="shared" si="23"/>
        <v>46160</v>
      </c>
      <c r="O188" s="95" t="str">
        <f t="shared" si="24"/>
        <v/>
      </c>
    </row>
    <row r="189" spans="1:15" x14ac:dyDescent="0.25">
      <c r="A189" s="98" t="str">
        <f t="shared" ca="1" si="32"/>
        <v/>
      </c>
      <c r="B189" s="33" t="str">
        <f t="shared" ca="1" si="25"/>
        <v/>
      </c>
      <c r="C189" s="25" t="str">
        <f t="shared" ca="1" si="26"/>
        <v/>
      </c>
      <c r="D189" s="26" t="str">
        <f t="shared" ca="1" si="27"/>
        <v/>
      </c>
      <c r="E189" s="4" t="str">
        <f t="shared" ca="1" si="28"/>
        <v/>
      </c>
      <c r="F189" s="25" t="str">
        <f t="shared" ca="1" si="29"/>
        <v/>
      </c>
      <c r="G189" s="26" t="str">
        <f t="shared" ca="1" si="30"/>
        <v/>
      </c>
      <c r="H189" s="55" t="str">
        <f t="shared" ca="1" si="31"/>
        <v/>
      </c>
      <c r="J189" s="37">
        <v>46161</v>
      </c>
      <c r="K189" s="41">
        <v>77.224000000000004</v>
      </c>
      <c r="L189" s="37"/>
      <c r="N189" s="95">
        <f t="shared" si="23"/>
        <v>46161</v>
      </c>
      <c r="O189" s="95" t="str">
        <f t="shared" si="24"/>
        <v/>
      </c>
    </row>
    <row r="190" spans="1:15" x14ac:dyDescent="0.25">
      <c r="A190" s="98" t="str">
        <f t="shared" ca="1" si="32"/>
        <v/>
      </c>
      <c r="B190" s="33" t="str">
        <f t="shared" ca="1" si="25"/>
        <v/>
      </c>
      <c r="C190" s="25" t="str">
        <f t="shared" ca="1" si="26"/>
        <v/>
      </c>
      <c r="D190" s="26" t="str">
        <f t="shared" ca="1" si="27"/>
        <v/>
      </c>
      <c r="E190" s="4" t="str">
        <f t="shared" ca="1" si="28"/>
        <v/>
      </c>
      <c r="F190" s="25" t="str">
        <f t="shared" ca="1" si="29"/>
        <v/>
      </c>
      <c r="G190" s="26" t="str">
        <f t="shared" ca="1" si="30"/>
        <v/>
      </c>
      <c r="H190" s="55" t="str">
        <f t="shared" ca="1" si="31"/>
        <v/>
      </c>
      <c r="J190" s="37">
        <v>46162</v>
      </c>
      <c r="K190" s="41">
        <v>77.772000000000006</v>
      </c>
      <c r="L190" s="37"/>
      <c r="N190" s="95">
        <f t="shared" si="23"/>
        <v>46162</v>
      </c>
      <c r="O190" s="95" t="str">
        <f t="shared" si="24"/>
        <v/>
      </c>
    </row>
    <row r="191" spans="1:15" x14ac:dyDescent="0.25">
      <c r="A191" s="98" t="str">
        <f t="shared" ca="1" si="32"/>
        <v/>
      </c>
      <c r="B191" s="33" t="str">
        <f t="shared" ca="1" si="25"/>
        <v/>
      </c>
      <c r="C191" s="25" t="str">
        <f t="shared" ca="1" si="26"/>
        <v/>
      </c>
      <c r="D191" s="26" t="str">
        <f t="shared" ca="1" si="27"/>
        <v/>
      </c>
      <c r="E191" s="4" t="str">
        <f t="shared" ca="1" si="28"/>
        <v/>
      </c>
      <c r="F191" s="25" t="str">
        <f t="shared" ca="1" si="29"/>
        <v/>
      </c>
      <c r="G191" s="26" t="str">
        <f t="shared" ca="1" si="30"/>
        <v/>
      </c>
      <c r="H191" s="55" t="str">
        <f t="shared" ca="1" si="31"/>
        <v/>
      </c>
      <c r="J191" s="37">
        <v>46163</v>
      </c>
      <c r="K191" s="41">
        <v>78.305999999999997</v>
      </c>
      <c r="L191" s="37"/>
      <c r="N191" s="95">
        <f t="shared" si="23"/>
        <v>46163</v>
      </c>
      <c r="O191" s="95" t="str">
        <f t="shared" si="24"/>
        <v/>
      </c>
    </row>
    <row r="192" spans="1:15" x14ac:dyDescent="0.25">
      <c r="A192" s="98" t="str">
        <f t="shared" ca="1" si="32"/>
        <v/>
      </c>
      <c r="B192" s="33" t="str">
        <f t="shared" ca="1" si="25"/>
        <v/>
      </c>
      <c r="C192" s="25" t="str">
        <f t="shared" ca="1" si="26"/>
        <v/>
      </c>
      <c r="D192" s="26" t="str">
        <f t="shared" ca="1" si="27"/>
        <v/>
      </c>
      <c r="E192" s="4" t="str">
        <f t="shared" ca="1" si="28"/>
        <v/>
      </c>
      <c r="F192" s="25" t="str">
        <f t="shared" ca="1" si="29"/>
        <v/>
      </c>
      <c r="G192" s="26" t="str">
        <f t="shared" ca="1" si="30"/>
        <v/>
      </c>
      <c r="H192" s="55" t="str">
        <f t="shared" ca="1" si="31"/>
        <v/>
      </c>
      <c r="J192" s="37">
        <v>46164</v>
      </c>
      <c r="K192" s="41">
        <v>78.468000000000004</v>
      </c>
      <c r="L192" s="37"/>
      <c r="N192" s="95">
        <f t="shared" si="23"/>
        <v>46164</v>
      </c>
      <c r="O192" s="95" t="str">
        <f t="shared" si="24"/>
        <v/>
      </c>
    </row>
    <row r="193" spans="1:15" x14ac:dyDescent="0.25">
      <c r="A193" s="98" t="str">
        <f t="shared" ca="1" si="32"/>
        <v/>
      </c>
      <c r="B193" s="33" t="str">
        <f t="shared" ca="1" si="25"/>
        <v/>
      </c>
      <c r="C193" s="25" t="str">
        <f t="shared" ca="1" si="26"/>
        <v/>
      </c>
      <c r="D193" s="26" t="str">
        <f t="shared" ca="1" si="27"/>
        <v/>
      </c>
      <c r="E193" s="4" t="str">
        <f t="shared" ca="1" si="28"/>
        <v/>
      </c>
      <c r="F193" s="25" t="str">
        <f t="shared" ca="1" si="29"/>
        <v/>
      </c>
      <c r="G193" s="26" t="str">
        <f t="shared" ca="1" si="30"/>
        <v/>
      </c>
      <c r="H193" s="55" t="str">
        <f t="shared" ca="1" si="31"/>
        <v/>
      </c>
      <c r="J193" s="37">
        <v>46168</v>
      </c>
      <c r="K193" s="41">
        <v>79.129000000000005</v>
      </c>
      <c r="L193" s="37"/>
      <c r="N193" s="95">
        <f t="shared" si="23"/>
        <v>46168</v>
      </c>
      <c r="O193" s="95" t="str">
        <f t="shared" si="24"/>
        <v/>
      </c>
    </row>
    <row r="194" spans="1:15" x14ac:dyDescent="0.25">
      <c r="A194" s="98" t="str">
        <f t="shared" ca="1" si="32"/>
        <v/>
      </c>
      <c r="B194" s="33" t="str">
        <f t="shared" ca="1" si="25"/>
        <v/>
      </c>
      <c r="C194" s="25" t="str">
        <f t="shared" ca="1" si="26"/>
        <v/>
      </c>
      <c r="D194" s="26" t="str">
        <f t="shared" ca="1" si="27"/>
        <v/>
      </c>
      <c r="E194" s="4" t="str">
        <f t="shared" ca="1" si="28"/>
        <v/>
      </c>
      <c r="F194" s="25" t="str">
        <f t="shared" ca="1" si="29"/>
        <v/>
      </c>
      <c r="G194" s="26" t="str">
        <f t="shared" ca="1" si="30"/>
        <v/>
      </c>
      <c r="H194" s="55" t="str">
        <f t="shared" ca="1" si="31"/>
        <v/>
      </c>
      <c r="J194" s="37">
        <v>46169</v>
      </c>
      <c r="K194" s="41">
        <v>79.373000000000005</v>
      </c>
      <c r="L194" s="37"/>
      <c r="N194" s="95">
        <f t="shared" si="23"/>
        <v>46169</v>
      </c>
      <c r="O194" s="95" t="str">
        <f t="shared" si="24"/>
        <v/>
      </c>
    </row>
    <row r="195" spans="1:15" x14ac:dyDescent="0.25">
      <c r="A195" s="98" t="str">
        <f t="shared" ca="1" si="32"/>
        <v/>
      </c>
      <c r="B195" s="33" t="str">
        <f t="shared" ca="1" si="25"/>
        <v/>
      </c>
      <c r="C195" s="25" t="str">
        <f t="shared" ca="1" si="26"/>
        <v/>
      </c>
      <c r="D195" s="26" t="str">
        <f t="shared" ca="1" si="27"/>
        <v/>
      </c>
      <c r="E195" s="4" t="str">
        <f t="shared" ca="1" si="28"/>
        <v/>
      </c>
      <c r="F195" s="25" t="str">
        <f t="shared" ca="1" si="29"/>
        <v/>
      </c>
      <c r="G195" s="26" t="str">
        <f t="shared" ca="1" si="30"/>
        <v/>
      </c>
      <c r="H195" s="55" t="str">
        <f t="shared" ca="1" si="31"/>
        <v/>
      </c>
      <c r="J195" s="37">
        <v>46170</v>
      </c>
      <c r="K195" s="41">
        <v>79.772999999999996</v>
      </c>
      <c r="L195" s="37"/>
      <c r="N195" s="95">
        <f t="shared" si="23"/>
        <v>46170</v>
      </c>
      <c r="O195" s="95" t="str">
        <f t="shared" si="24"/>
        <v/>
      </c>
    </row>
    <row r="196" spans="1:15" x14ac:dyDescent="0.25">
      <c r="A196" s="98" t="str">
        <f t="shared" ca="1" si="32"/>
        <v/>
      </c>
      <c r="B196" s="33" t="str">
        <f t="shared" ca="1" si="25"/>
        <v/>
      </c>
      <c r="C196" s="25" t="str">
        <f t="shared" ca="1" si="26"/>
        <v/>
      </c>
      <c r="D196" s="26" t="str">
        <f t="shared" ca="1" si="27"/>
        <v/>
      </c>
      <c r="E196" s="4" t="str">
        <f t="shared" ca="1" si="28"/>
        <v/>
      </c>
      <c r="F196" s="25" t="str">
        <f t="shared" ca="1" si="29"/>
        <v/>
      </c>
      <c r="G196" s="26" t="str">
        <f t="shared" ca="1" si="30"/>
        <v/>
      </c>
      <c r="H196" s="55" t="str">
        <f t="shared" ca="1" si="31"/>
        <v/>
      </c>
      <c r="J196" s="37">
        <v>46171</v>
      </c>
      <c r="K196" s="41">
        <v>79.956000000000003</v>
      </c>
      <c r="L196" s="37"/>
      <c r="N196" s="95">
        <f t="shared" ref="N196:N259" si="33">IF(COUNTIF(L:L,J196)=1,J196,"")</f>
        <v>46171</v>
      </c>
      <c r="O196" s="95" t="str">
        <f t="shared" ref="O196:O259" si="34">IF(N196&gt;$A$14,N196,"")</f>
        <v/>
      </c>
    </row>
    <row r="197" spans="1:15" x14ac:dyDescent="0.25">
      <c r="A197" s="98" t="str">
        <f t="shared" ca="1" si="32"/>
        <v/>
      </c>
      <c r="B197" s="33" t="str">
        <f t="shared" ca="1" si="25"/>
        <v/>
      </c>
      <c r="C197" s="25" t="str">
        <f t="shared" ca="1" si="26"/>
        <v/>
      </c>
      <c r="D197" s="26" t="str">
        <f t="shared" ca="1" si="27"/>
        <v/>
      </c>
      <c r="E197" s="4" t="str">
        <f t="shared" ca="1" si="28"/>
        <v/>
      </c>
      <c r="F197" s="25" t="str">
        <f t="shared" ca="1" si="29"/>
        <v/>
      </c>
      <c r="G197" s="26" t="str">
        <f t="shared" ca="1" si="30"/>
        <v/>
      </c>
      <c r="H197" s="55" t="str">
        <f t="shared" ca="1" si="31"/>
        <v/>
      </c>
      <c r="J197" s="37">
        <v>46174</v>
      </c>
      <c r="K197" s="41">
        <v>79.733000000000004</v>
      </c>
      <c r="L197" s="37"/>
      <c r="N197" s="95">
        <f t="shared" si="33"/>
        <v>46174</v>
      </c>
      <c r="O197" s="95" t="str">
        <f t="shared" si="34"/>
        <v/>
      </c>
    </row>
    <row r="198" spans="1:15" x14ac:dyDescent="0.25">
      <c r="A198" s="98" t="str">
        <f t="shared" ca="1" si="32"/>
        <v/>
      </c>
      <c r="B198" s="33" t="str">
        <f t="shared" ca="1" si="25"/>
        <v/>
      </c>
      <c r="C198" s="25" t="str">
        <f t="shared" ca="1" si="26"/>
        <v/>
      </c>
      <c r="D198" s="26" t="str">
        <f t="shared" ca="1" si="27"/>
        <v/>
      </c>
      <c r="E198" s="4" t="str">
        <f t="shared" ca="1" si="28"/>
        <v/>
      </c>
      <c r="F198" s="25" t="str">
        <f t="shared" ca="1" si="29"/>
        <v/>
      </c>
      <c r="G198" s="26" t="str">
        <f t="shared" ca="1" si="30"/>
        <v/>
      </c>
      <c r="H198" s="55" t="str">
        <f t="shared" ca="1" si="31"/>
        <v/>
      </c>
      <c r="J198" s="37">
        <v>46175</v>
      </c>
      <c r="K198" s="41">
        <v>79.960999999999999</v>
      </c>
      <c r="L198" s="37"/>
      <c r="N198" s="95">
        <f t="shared" si="33"/>
        <v>46175</v>
      </c>
      <c r="O198" s="95">
        <f t="shared" si="34"/>
        <v>46175</v>
      </c>
    </row>
    <row r="199" spans="1:15" x14ac:dyDescent="0.25">
      <c r="A199" s="98" t="str">
        <f t="shared" ca="1" si="32"/>
        <v/>
      </c>
      <c r="B199" s="33" t="str">
        <f t="shared" ca="1" si="25"/>
        <v/>
      </c>
      <c r="C199" s="25" t="str">
        <f t="shared" ca="1" si="26"/>
        <v/>
      </c>
      <c r="D199" s="26" t="str">
        <f t="shared" ca="1" si="27"/>
        <v/>
      </c>
      <c r="E199" s="4" t="str">
        <f t="shared" ca="1" si="28"/>
        <v/>
      </c>
      <c r="F199" s="25" t="str">
        <f t="shared" ca="1" si="29"/>
        <v/>
      </c>
      <c r="G199" s="26" t="str">
        <f t="shared" ca="1" si="30"/>
        <v/>
      </c>
      <c r="H199" s="55" t="str">
        <f t="shared" ca="1" si="31"/>
        <v/>
      </c>
      <c r="J199" s="37">
        <v>46176</v>
      </c>
      <c r="K199" s="41">
        <v>79.846000000000004</v>
      </c>
      <c r="L199" s="37"/>
      <c r="N199" s="95">
        <f t="shared" si="33"/>
        <v>46176</v>
      </c>
      <c r="O199" s="95">
        <f t="shared" si="34"/>
        <v>46176</v>
      </c>
    </row>
    <row r="200" spans="1:15" x14ac:dyDescent="0.25">
      <c r="A200" s="98" t="str">
        <f t="shared" ca="1" si="32"/>
        <v/>
      </c>
      <c r="B200" s="33" t="str">
        <f t="shared" ca="1" si="25"/>
        <v/>
      </c>
      <c r="C200" s="25" t="str">
        <f t="shared" ca="1" si="26"/>
        <v/>
      </c>
      <c r="D200" s="26" t="str">
        <f t="shared" ca="1" si="27"/>
        <v/>
      </c>
      <c r="E200" s="4" t="str">
        <f t="shared" ca="1" si="28"/>
        <v/>
      </c>
      <c r="F200" s="25" t="str">
        <f t="shared" ca="1" si="29"/>
        <v/>
      </c>
      <c r="G200" s="26" t="str">
        <f t="shared" ca="1" si="30"/>
        <v/>
      </c>
      <c r="H200" s="55" t="str">
        <f t="shared" ca="1" si="31"/>
        <v/>
      </c>
      <c r="J200" s="37">
        <v>46177</v>
      </c>
      <c r="K200" s="41">
        <v>80.004000000000005</v>
      </c>
      <c r="L200" s="37"/>
      <c r="N200" s="95">
        <f t="shared" si="33"/>
        <v>46177</v>
      </c>
      <c r="O200" s="95">
        <f t="shared" si="34"/>
        <v>46177</v>
      </c>
    </row>
    <row r="201" spans="1:15" x14ac:dyDescent="0.25">
      <c r="A201" s="98" t="str">
        <f t="shared" ca="1" si="32"/>
        <v/>
      </c>
      <c r="B201" s="33" t="str">
        <f t="shared" ca="1" si="25"/>
        <v/>
      </c>
      <c r="C201" s="25" t="str">
        <f t="shared" ca="1" si="26"/>
        <v/>
      </c>
      <c r="D201" s="26" t="str">
        <f t="shared" ca="1" si="27"/>
        <v/>
      </c>
      <c r="E201" s="4" t="str">
        <f t="shared" ca="1" si="28"/>
        <v/>
      </c>
      <c r="F201" s="25" t="str">
        <f t="shared" ca="1" si="29"/>
        <v/>
      </c>
      <c r="G201" s="26" t="str">
        <f t="shared" ca="1" si="30"/>
        <v/>
      </c>
      <c r="H201" s="55" t="str">
        <f t="shared" ca="1" si="31"/>
        <v/>
      </c>
      <c r="J201" s="37">
        <v>46178</v>
      </c>
      <c r="K201" s="41">
        <v>79.603999999999999</v>
      </c>
      <c r="L201" s="37"/>
      <c r="N201" s="95">
        <f t="shared" si="33"/>
        <v>46178</v>
      </c>
      <c r="O201" s="95">
        <f t="shared" si="34"/>
        <v>46178</v>
      </c>
    </row>
    <row r="202" spans="1:15" x14ac:dyDescent="0.25">
      <c r="A202" s="98" t="str">
        <f t="shared" ca="1" si="32"/>
        <v/>
      </c>
      <c r="B202" s="33" t="str">
        <f t="shared" ref="B202:B265" ca="1" si="35">IF(COUNTIF(J:J,A202)=1,VLOOKUP(A202,J:K,2), IF(COUNTIF(J:J,A202)=0,$B$10,""))</f>
        <v/>
      </c>
      <c r="C202" s="25" t="str">
        <f t="shared" ref="C202:C265" ca="1" si="36">IF(ISERROR(B202-2),"",(B202-$B$14)/100*$B$5)</f>
        <v/>
      </c>
      <c r="D202" s="26" t="str">
        <f t="shared" ref="D202:D265" ca="1" si="37">IF(ISERROR(B202-2),"",(INT(A202)-INT($A$14))/360*$B$6*$B$5-(INT(A202)-INT($A$14))/360*$B$7*$B$5*$B$14/100)</f>
        <v/>
      </c>
      <c r="E202" s="4" t="str">
        <f t="shared" ref="E202:E265" ca="1" si="38">IF(COUNTIF(L:L,A202)=1,VLOOKUP(A202,L:M,2), IF(COUNTIF(L:L,A202)=0,$C$10,""))</f>
        <v/>
      </c>
      <c r="F202" s="25" t="str">
        <f t="shared" ref="F202:F265" ca="1" si="39">IF(ISERROR(E202-2), "", (E202-$E$14)/100*$C$5)</f>
        <v/>
      </c>
      <c r="G202" s="26" t="str">
        <f t="shared" ref="G202:G265" ca="1" si="40">IF(ISERROR(E202-2),"",(INT(A202)-INT($A$14))/360*$C$6*$C$5-(INT(A202)-INT($A$14))/360*$C$7*$C$5*$E$14/100)</f>
        <v/>
      </c>
      <c r="H202" s="55" t="str">
        <f t="shared" ref="H202:H265" ca="1" si="41">IF(ISERROR(E202-2),"",C202+D202-F202-G202)</f>
        <v/>
      </c>
      <c r="J202" s="37">
        <v>46181</v>
      </c>
      <c r="K202" s="41">
        <v>79.301000000000002</v>
      </c>
      <c r="L202" s="37"/>
      <c r="N202" s="95">
        <f t="shared" si="33"/>
        <v>46181</v>
      </c>
      <c r="O202" s="95">
        <f t="shared" si="34"/>
        <v>46181</v>
      </c>
    </row>
    <row r="203" spans="1:15" x14ac:dyDescent="0.25">
      <c r="A203" s="98" t="str">
        <f t="shared" ca="1" si="32"/>
        <v/>
      </c>
      <c r="B203" s="33" t="str">
        <f t="shared" ca="1" si="35"/>
        <v/>
      </c>
      <c r="C203" s="25" t="str">
        <f t="shared" ca="1" si="36"/>
        <v/>
      </c>
      <c r="D203" s="26" t="str">
        <f t="shared" ca="1" si="37"/>
        <v/>
      </c>
      <c r="E203" s="4" t="str">
        <f t="shared" ca="1" si="38"/>
        <v/>
      </c>
      <c r="F203" s="25" t="str">
        <f t="shared" ca="1" si="39"/>
        <v/>
      </c>
      <c r="G203" s="26" t="str">
        <f t="shared" ca="1" si="40"/>
        <v/>
      </c>
      <c r="H203" s="55" t="str">
        <f t="shared" ca="1" si="41"/>
        <v/>
      </c>
      <c r="J203" s="37">
        <v>46182</v>
      </c>
      <c r="K203" s="41">
        <v>79.156999999999996</v>
      </c>
      <c r="L203" s="37"/>
      <c r="N203" s="95">
        <f t="shared" si="33"/>
        <v>46182</v>
      </c>
      <c r="O203" s="95">
        <f t="shared" si="34"/>
        <v>46182</v>
      </c>
    </row>
    <row r="204" spans="1:15" x14ac:dyDescent="0.25">
      <c r="A204" s="98" t="str">
        <f t="shared" ca="1" si="32"/>
        <v/>
      </c>
      <c r="B204" s="33" t="str">
        <f t="shared" ca="1" si="35"/>
        <v/>
      </c>
      <c r="C204" s="25" t="str">
        <f t="shared" ca="1" si="36"/>
        <v/>
      </c>
      <c r="D204" s="26" t="str">
        <f t="shared" ca="1" si="37"/>
        <v/>
      </c>
      <c r="E204" s="4" t="str">
        <f t="shared" ca="1" si="38"/>
        <v/>
      </c>
      <c r="F204" s="25" t="str">
        <f t="shared" ca="1" si="39"/>
        <v/>
      </c>
      <c r="G204" s="26" t="str">
        <f t="shared" ca="1" si="40"/>
        <v/>
      </c>
      <c r="H204" s="55" t="str">
        <f t="shared" ca="1" si="41"/>
        <v/>
      </c>
      <c r="J204" s="37">
        <v>46183</v>
      </c>
      <c r="K204" s="41">
        <v>78.622</v>
      </c>
      <c r="L204" s="37"/>
      <c r="N204" s="95">
        <f t="shared" si="33"/>
        <v>46183</v>
      </c>
      <c r="O204" s="95">
        <f t="shared" si="34"/>
        <v>46183</v>
      </c>
    </row>
    <row r="205" spans="1:15" x14ac:dyDescent="0.25">
      <c r="A205" s="98" t="str">
        <f t="shared" ca="1" si="32"/>
        <v/>
      </c>
      <c r="B205" s="33" t="str">
        <f t="shared" ca="1" si="35"/>
        <v/>
      </c>
      <c r="C205" s="25" t="str">
        <f t="shared" ca="1" si="36"/>
        <v/>
      </c>
      <c r="D205" s="26" t="str">
        <f t="shared" ca="1" si="37"/>
        <v/>
      </c>
      <c r="E205" s="4" t="str">
        <f t="shared" ca="1" si="38"/>
        <v/>
      </c>
      <c r="F205" s="25" t="str">
        <f t="shared" ca="1" si="39"/>
        <v/>
      </c>
      <c r="G205" s="26" t="str">
        <f t="shared" ca="1" si="40"/>
        <v/>
      </c>
      <c r="H205" s="55" t="str">
        <f t="shared" ca="1" si="41"/>
        <v/>
      </c>
      <c r="J205" s="37">
        <v>46184</v>
      </c>
      <c r="K205" s="41">
        <v>79.397999999999996</v>
      </c>
      <c r="L205" s="37"/>
      <c r="N205" s="95">
        <f t="shared" si="33"/>
        <v>46184</v>
      </c>
      <c r="O205" s="95">
        <f t="shared" si="34"/>
        <v>46184</v>
      </c>
    </row>
    <row r="206" spans="1:15" x14ac:dyDescent="0.25">
      <c r="A206" s="98" t="str">
        <f t="shared" ca="1" si="32"/>
        <v/>
      </c>
      <c r="B206" s="33" t="str">
        <f t="shared" ca="1" si="35"/>
        <v/>
      </c>
      <c r="C206" s="25" t="str">
        <f t="shared" ca="1" si="36"/>
        <v/>
      </c>
      <c r="D206" s="26" t="str">
        <f t="shared" ca="1" si="37"/>
        <v/>
      </c>
      <c r="E206" s="4" t="str">
        <f t="shared" ca="1" si="38"/>
        <v/>
      </c>
      <c r="F206" s="25" t="str">
        <f t="shared" ca="1" si="39"/>
        <v/>
      </c>
      <c r="G206" s="26" t="str">
        <f t="shared" ca="1" si="40"/>
        <v/>
      </c>
      <c r="H206" s="55" t="str">
        <f t="shared" ca="1" si="41"/>
        <v/>
      </c>
      <c r="J206" s="37">
        <v>46185</v>
      </c>
      <c r="K206" s="41">
        <v>79.388000000000005</v>
      </c>
      <c r="L206" s="37"/>
      <c r="N206" s="95">
        <f t="shared" si="33"/>
        <v>46185</v>
      </c>
      <c r="O206" s="95">
        <f t="shared" si="34"/>
        <v>46185</v>
      </c>
    </row>
    <row r="207" spans="1:15" x14ac:dyDescent="0.25">
      <c r="A207" s="98" t="str">
        <f t="shared" ca="1" si="32"/>
        <v/>
      </c>
      <c r="B207" s="33" t="str">
        <f t="shared" ca="1" si="35"/>
        <v/>
      </c>
      <c r="C207" s="25" t="str">
        <f t="shared" ca="1" si="36"/>
        <v/>
      </c>
      <c r="D207" s="26" t="str">
        <f t="shared" ca="1" si="37"/>
        <v/>
      </c>
      <c r="E207" s="4" t="str">
        <f t="shared" ca="1" si="38"/>
        <v/>
      </c>
      <c r="F207" s="25" t="str">
        <f t="shared" ca="1" si="39"/>
        <v/>
      </c>
      <c r="G207" s="26" t="str">
        <f t="shared" ca="1" si="40"/>
        <v/>
      </c>
      <c r="H207" s="55" t="str">
        <f t="shared" ca="1" si="41"/>
        <v/>
      </c>
      <c r="J207" s="37">
        <v>46188</v>
      </c>
      <c r="K207" s="41">
        <v>79.722999999999999</v>
      </c>
      <c r="L207" s="37"/>
      <c r="N207" s="95">
        <f t="shared" si="33"/>
        <v>46188</v>
      </c>
      <c r="O207" s="95">
        <f t="shared" si="34"/>
        <v>46188</v>
      </c>
    </row>
    <row r="208" spans="1:15" x14ac:dyDescent="0.25">
      <c r="A208" s="98" t="str">
        <f t="shared" ref="A208:A271" ca="1" si="42">IF(AND(ISBLANK(P195), A207 = $P$1),NOW(),IF(ISBLANK(P195),"",P195))</f>
        <v/>
      </c>
      <c r="B208" s="33" t="str">
        <f t="shared" ca="1" si="35"/>
        <v/>
      </c>
      <c r="C208" s="25" t="str">
        <f t="shared" ca="1" si="36"/>
        <v/>
      </c>
      <c r="D208" s="26" t="str">
        <f t="shared" ca="1" si="37"/>
        <v/>
      </c>
      <c r="E208" s="4" t="str">
        <f t="shared" ca="1" si="38"/>
        <v/>
      </c>
      <c r="F208" s="25" t="str">
        <f t="shared" ca="1" si="39"/>
        <v/>
      </c>
      <c r="G208" s="26" t="str">
        <f t="shared" ca="1" si="40"/>
        <v/>
      </c>
      <c r="H208" s="55" t="str">
        <f t="shared" ca="1" si="41"/>
        <v/>
      </c>
      <c r="J208" s="37">
        <v>46189</v>
      </c>
      <c r="K208" s="41">
        <v>80.069999999999993</v>
      </c>
      <c r="L208" s="37"/>
      <c r="N208" s="95">
        <f t="shared" si="33"/>
        <v>46189</v>
      </c>
      <c r="O208" s="95">
        <f t="shared" si="34"/>
        <v>46189</v>
      </c>
    </row>
    <row r="209" spans="1:15" x14ac:dyDescent="0.25">
      <c r="A209" s="98" t="str">
        <f t="shared" ca="1" si="42"/>
        <v/>
      </c>
      <c r="B209" s="33" t="str">
        <f t="shared" ca="1" si="35"/>
        <v/>
      </c>
      <c r="C209" s="25" t="str">
        <f t="shared" ca="1" si="36"/>
        <v/>
      </c>
      <c r="D209" s="26" t="str">
        <f t="shared" ca="1" si="37"/>
        <v/>
      </c>
      <c r="E209" s="4" t="str">
        <f t="shared" ca="1" si="38"/>
        <v/>
      </c>
      <c r="F209" s="25" t="str">
        <f t="shared" ca="1" si="39"/>
        <v/>
      </c>
      <c r="G209" s="26" t="str">
        <f t="shared" ca="1" si="40"/>
        <v/>
      </c>
      <c r="H209" s="55" t="str">
        <f t="shared" ca="1" si="41"/>
        <v/>
      </c>
      <c r="J209" s="37">
        <v>46190</v>
      </c>
      <c r="K209" s="41">
        <v>79.888000000000005</v>
      </c>
      <c r="L209" s="37"/>
      <c r="N209" s="95">
        <f t="shared" si="33"/>
        <v>46190</v>
      </c>
      <c r="O209" s="95">
        <f t="shared" si="34"/>
        <v>46190</v>
      </c>
    </row>
    <row r="210" spans="1:15" x14ac:dyDescent="0.25">
      <c r="A210" s="98" t="str">
        <f t="shared" ca="1" si="42"/>
        <v/>
      </c>
      <c r="B210" s="33" t="str">
        <f t="shared" ca="1" si="35"/>
        <v/>
      </c>
      <c r="C210" s="25" t="str">
        <f t="shared" ca="1" si="36"/>
        <v/>
      </c>
      <c r="D210" s="26" t="str">
        <f t="shared" ca="1" si="37"/>
        <v/>
      </c>
      <c r="E210" s="4" t="str">
        <f t="shared" ca="1" si="38"/>
        <v/>
      </c>
      <c r="F210" s="25" t="str">
        <f t="shared" ca="1" si="39"/>
        <v/>
      </c>
      <c r="G210" s="26" t="str">
        <f t="shared" ca="1" si="40"/>
        <v/>
      </c>
      <c r="H210" s="55" t="str">
        <f t="shared" ca="1" si="41"/>
        <v/>
      </c>
      <c r="J210" s="37">
        <v>46191</v>
      </c>
      <c r="K210" s="41">
        <v>80.057000000000002</v>
      </c>
      <c r="L210" s="37"/>
      <c r="N210" s="95">
        <f t="shared" si="33"/>
        <v>46191</v>
      </c>
      <c r="O210" s="95">
        <f t="shared" si="34"/>
        <v>46191</v>
      </c>
    </row>
    <row r="211" spans="1:15" x14ac:dyDescent="0.25">
      <c r="A211" s="98" t="str">
        <f t="shared" ca="1" si="42"/>
        <v/>
      </c>
      <c r="B211" s="33" t="str">
        <f t="shared" ca="1" si="35"/>
        <v/>
      </c>
      <c r="C211" s="25" t="str">
        <f t="shared" ca="1" si="36"/>
        <v/>
      </c>
      <c r="D211" s="26" t="str">
        <f t="shared" ca="1" si="37"/>
        <v/>
      </c>
      <c r="E211" s="4" t="str">
        <f t="shared" ca="1" si="38"/>
        <v/>
      </c>
      <c r="F211" s="25" t="str">
        <f t="shared" ca="1" si="39"/>
        <v/>
      </c>
      <c r="G211" s="26" t="str">
        <f t="shared" ca="1" si="40"/>
        <v/>
      </c>
      <c r="H211" s="55" t="str">
        <f t="shared" ca="1" si="41"/>
        <v/>
      </c>
      <c r="J211" s="37"/>
      <c r="L211" s="37"/>
      <c r="N211" s="95" t="str">
        <f t="shared" si="33"/>
        <v/>
      </c>
      <c r="O211" s="95" t="str">
        <f t="shared" si="34"/>
        <v/>
      </c>
    </row>
    <row r="212" spans="1:15" x14ac:dyDescent="0.25">
      <c r="A212" s="98" t="str">
        <f t="shared" ca="1" si="42"/>
        <v/>
      </c>
      <c r="B212" s="33" t="str">
        <f t="shared" ca="1" si="35"/>
        <v/>
      </c>
      <c r="C212" s="25" t="str">
        <f t="shared" ca="1" si="36"/>
        <v/>
      </c>
      <c r="D212" s="26" t="str">
        <f t="shared" ca="1" si="37"/>
        <v/>
      </c>
      <c r="E212" s="4" t="str">
        <f t="shared" ca="1" si="38"/>
        <v/>
      </c>
      <c r="F212" s="25" t="str">
        <f t="shared" ca="1" si="39"/>
        <v/>
      </c>
      <c r="G212" s="26" t="str">
        <f t="shared" ca="1" si="40"/>
        <v/>
      </c>
      <c r="H212" s="55" t="str">
        <f t="shared" ca="1" si="41"/>
        <v/>
      </c>
      <c r="J212" s="37"/>
      <c r="L212" s="37"/>
      <c r="N212" s="95" t="str">
        <f t="shared" si="33"/>
        <v/>
      </c>
      <c r="O212" s="95" t="str">
        <f t="shared" si="34"/>
        <v/>
      </c>
    </row>
    <row r="213" spans="1:15" x14ac:dyDescent="0.25">
      <c r="A213" s="98" t="str">
        <f t="shared" ca="1" si="42"/>
        <v/>
      </c>
      <c r="B213" s="33" t="str">
        <f t="shared" ca="1" si="35"/>
        <v/>
      </c>
      <c r="C213" s="25" t="str">
        <f t="shared" ca="1" si="36"/>
        <v/>
      </c>
      <c r="D213" s="26" t="str">
        <f t="shared" ca="1" si="37"/>
        <v/>
      </c>
      <c r="E213" s="4" t="str">
        <f t="shared" ca="1" si="38"/>
        <v/>
      </c>
      <c r="F213" s="25" t="str">
        <f t="shared" ca="1" si="39"/>
        <v/>
      </c>
      <c r="G213" s="26" t="str">
        <f t="shared" ca="1" si="40"/>
        <v/>
      </c>
      <c r="H213" s="55" t="str">
        <f t="shared" ca="1" si="41"/>
        <v/>
      </c>
      <c r="J213" s="37"/>
      <c r="L213" s="37"/>
      <c r="N213" s="95" t="str">
        <f t="shared" si="33"/>
        <v/>
      </c>
      <c r="O213" s="95" t="str">
        <f t="shared" si="34"/>
        <v/>
      </c>
    </row>
    <row r="214" spans="1:15" x14ac:dyDescent="0.25">
      <c r="A214" s="98" t="str">
        <f t="shared" ca="1" si="42"/>
        <v/>
      </c>
      <c r="B214" s="33" t="str">
        <f t="shared" ca="1" si="35"/>
        <v/>
      </c>
      <c r="C214" s="25" t="str">
        <f t="shared" ca="1" si="36"/>
        <v/>
      </c>
      <c r="D214" s="26" t="str">
        <f t="shared" ca="1" si="37"/>
        <v/>
      </c>
      <c r="E214" s="4" t="str">
        <f t="shared" ca="1" si="38"/>
        <v/>
      </c>
      <c r="F214" s="25" t="str">
        <f t="shared" ca="1" si="39"/>
        <v/>
      </c>
      <c r="G214" s="26" t="str">
        <f t="shared" ca="1" si="40"/>
        <v/>
      </c>
      <c r="H214" s="55" t="str">
        <f t="shared" ca="1" si="41"/>
        <v/>
      </c>
      <c r="J214" s="37"/>
      <c r="L214" s="37"/>
      <c r="N214" s="95" t="str">
        <f t="shared" si="33"/>
        <v/>
      </c>
      <c r="O214" s="95" t="str">
        <f t="shared" si="34"/>
        <v/>
      </c>
    </row>
    <row r="215" spans="1:15" x14ac:dyDescent="0.25">
      <c r="A215" s="98" t="str">
        <f t="shared" ca="1" si="42"/>
        <v/>
      </c>
      <c r="B215" s="33" t="str">
        <f t="shared" ca="1" si="35"/>
        <v/>
      </c>
      <c r="C215" s="25" t="str">
        <f t="shared" ca="1" si="36"/>
        <v/>
      </c>
      <c r="D215" s="26" t="str">
        <f t="shared" ca="1" si="37"/>
        <v/>
      </c>
      <c r="E215" s="4" t="str">
        <f t="shared" ca="1" si="38"/>
        <v/>
      </c>
      <c r="F215" s="25" t="str">
        <f t="shared" ca="1" si="39"/>
        <v/>
      </c>
      <c r="G215" s="26" t="str">
        <f t="shared" ca="1" si="40"/>
        <v/>
      </c>
      <c r="H215" s="55" t="str">
        <f t="shared" ca="1" si="41"/>
        <v/>
      </c>
      <c r="J215" s="37"/>
      <c r="L215" s="37"/>
      <c r="N215" s="95" t="str">
        <f t="shared" si="33"/>
        <v/>
      </c>
      <c r="O215" s="95" t="str">
        <f t="shared" si="34"/>
        <v/>
      </c>
    </row>
    <row r="216" spans="1:15" x14ac:dyDescent="0.25">
      <c r="A216" s="98" t="str">
        <f t="shared" ca="1" si="42"/>
        <v/>
      </c>
      <c r="B216" s="33" t="str">
        <f t="shared" ca="1" si="35"/>
        <v/>
      </c>
      <c r="C216" s="25" t="str">
        <f t="shared" ca="1" si="36"/>
        <v/>
      </c>
      <c r="D216" s="26" t="str">
        <f t="shared" ca="1" si="37"/>
        <v/>
      </c>
      <c r="E216" s="4" t="str">
        <f t="shared" ca="1" si="38"/>
        <v/>
      </c>
      <c r="F216" s="25" t="str">
        <f t="shared" ca="1" si="39"/>
        <v/>
      </c>
      <c r="G216" s="26" t="str">
        <f t="shared" ca="1" si="40"/>
        <v/>
      </c>
      <c r="H216" s="55" t="str">
        <f t="shared" ca="1" si="41"/>
        <v/>
      </c>
      <c r="J216" s="37"/>
      <c r="L216" s="37"/>
      <c r="N216" s="95" t="str">
        <f t="shared" si="33"/>
        <v/>
      </c>
      <c r="O216" s="95" t="str">
        <f t="shared" si="34"/>
        <v/>
      </c>
    </row>
    <row r="217" spans="1:15" x14ac:dyDescent="0.25">
      <c r="A217" s="98" t="str">
        <f t="shared" ca="1" si="42"/>
        <v/>
      </c>
      <c r="B217" s="33" t="str">
        <f t="shared" ca="1" si="35"/>
        <v/>
      </c>
      <c r="C217" s="25" t="str">
        <f t="shared" ca="1" si="36"/>
        <v/>
      </c>
      <c r="D217" s="26" t="str">
        <f t="shared" ca="1" si="37"/>
        <v/>
      </c>
      <c r="E217" s="4" t="str">
        <f t="shared" ca="1" si="38"/>
        <v/>
      </c>
      <c r="F217" s="25" t="str">
        <f t="shared" ca="1" si="39"/>
        <v/>
      </c>
      <c r="G217" s="26" t="str">
        <f t="shared" ca="1" si="40"/>
        <v/>
      </c>
      <c r="H217" s="55" t="str">
        <f t="shared" ca="1" si="41"/>
        <v/>
      </c>
      <c r="J217" s="37"/>
      <c r="L217" s="37"/>
      <c r="N217" s="95" t="str">
        <f t="shared" si="33"/>
        <v/>
      </c>
      <c r="O217" s="95" t="str">
        <f t="shared" si="34"/>
        <v/>
      </c>
    </row>
    <row r="218" spans="1:15" x14ac:dyDescent="0.25">
      <c r="A218" s="98" t="str">
        <f t="shared" ca="1" si="42"/>
        <v/>
      </c>
      <c r="B218" s="33" t="str">
        <f t="shared" ca="1" si="35"/>
        <v/>
      </c>
      <c r="C218" s="25" t="str">
        <f t="shared" ca="1" si="36"/>
        <v/>
      </c>
      <c r="D218" s="26" t="str">
        <f t="shared" ca="1" si="37"/>
        <v/>
      </c>
      <c r="E218" s="4" t="str">
        <f t="shared" ca="1" si="38"/>
        <v/>
      </c>
      <c r="F218" s="25" t="str">
        <f t="shared" ca="1" si="39"/>
        <v/>
      </c>
      <c r="G218" s="26" t="str">
        <f t="shared" ca="1" si="40"/>
        <v/>
      </c>
      <c r="H218" s="55" t="str">
        <f t="shared" ca="1" si="41"/>
        <v/>
      </c>
      <c r="J218" s="37"/>
      <c r="L218" s="37"/>
      <c r="N218" s="95" t="str">
        <f t="shared" si="33"/>
        <v/>
      </c>
      <c r="O218" s="95" t="str">
        <f t="shared" si="34"/>
        <v/>
      </c>
    </row>
    <row r="219" spans="1:15" x14ac:dyDescent="0.25">
      <c r="A219" s="98" t="str">
        <f t="shared" ca="1" si="42"/>
        <v/>
      </c>
      <c r="B219" s="33" t="str">
        <f t="shared" ca="1" si="35"/>
        <v/>
      </c>
      <c r="C219" s="25" t="str">
        <f t="shared" ca="1" si="36"/>
        <v/>
      </c>
      <c r="D219" s="26" t="str">
        <f t="shared" ca="1" si="37"/>
        <v/>
      </c>
      <c r="E219" s="4" t="str">
        <f t="shared" ca="1" si="38"/>
        <v/>
      </c>
      <c r="F219" s="25" t="str">
        <f t="shared" ca="1" si="39"/>
        <v/>
      </c>
      <c r="G219" s="26" t="str">
        <f t="shared" ca="1" si="40"/>
        <v/>
      </c>
      <c r="H219" s="55" t="str">
        <f t="shared" ca="1" si="41"/>
        <v/>
      </c>
      <c r="J219" s="37"/>
      <c r="L219" s="37"/>
      <c r="N219" s="95" t="str">
        <f t="shared" si="33"/>
        <v/>
      </c>
      <c r="O219" s="95" t="str">
        <f t="shared" si="34"/>
        <v/>
      </c>
    </row>
    <row r="220" spans="1:15" x14ac:dyDescent="0.25">
      <c r="A220" s="98" t="str">
        <f t="shared" ca="1" si="42"/>
        <v/>
      </c>
      <c r="B220" s="33" t="str">
        <f t="shared" ca="1" si="35"/>
        <v/>
      </c>
      <c r="C220" s="25" t="str">
        <f t="shared" ca="1" si="36"/>
        <v/>
      </c>
      <c r="D220" s="26" t="str">
        <f t="shared" ca="1" si="37"/>
        <v/>
      </c>
      <c r="E220" s="4" t="str">
        <f t="shared" ca="1" si="38"/>
        <v/>
      </c>
      <c r="F220" s="25" t="str">
        <f t="shared" ca="1" si="39"/>
        <v/>
      </c>
      <c r="G220" s="26" t="str">
        <f t="shared" ca="1" si="40"/>
        <v/>
      </c>
      <c r="H220" s="55" t="str">
        <f t="shared" ca="1" si="41"/>
        <v/>
      </c>
      <c r="J220" s="37"/>
      <c r="L220" s="37"/>
      <c r="N220" s="95" t="str">
        <f t="shared" si="33"/>
        <v/>
      </c>
      <c r="O220" s="95" t="str">
        <f t="shared" si="34"/>
        <v/>
      </c>
    </row>
    <row r="221" spans="1:15" x14ac:dyDescent="0.25">
      <c r="A221" s="98" t="str">
        <f t="shared" ca="1" si="42"/>
        <v/>
      </c>
      <c r="B221" s="33" t="str">
        <f t="shared" ca="1" si="35"/>
        <v/>
      </c>
      <c r="C221" s="25" t="str">
        <f t="shared" ca="1" si="36"/>
        <v/>
      </c>
      <c r="D221" s="26" t="str">
        <f t="shared" ca="1" si="37"/>
        <v/>
      </c>
      <c r="E221" s="4" t="str">
        <f t="shared" ca="1" si="38"/>
        <v/>
      </c>
      <c r="F221" s="25" t="str">
        <f t="shared" ca="1" si="39"/>
        <v/>
      </c>
      <c r="G221" s="26" t="str">
        <f t="shared" ca="1" si="40"/>
        <v/>
      </c>
      <c r="H221" s="55" t="str">
        <f t="shared" ca="1" si="41"/>
        <v/>
      </c>
      <c r="J221" s="37"/>
      <c r="N221" s="95" t="str">
        <f t="shared" si="33"/>
        <v/>
      </c>
      <c r="O221" s="95" t="str">
        <f t="shared" si="34"/>
        <v/>
      </c>
    </row>
    <row r="222" spans="1:15" x14ac:dyDescent="0.25">
      <c r="A222" s="98" t="str">
        <f t="shared" ca="1" si="42"/>
        <v/>
      </c>
      <c r="B222" s="33" t="str">
        <f t="shared" ca="1" si="35"/>
        <v/>
      </c>
      <c r="C222" s="25" t="str">
        <f t="shared" ca="1" si="36"/>
        <v/>
      </c>
      <c r="D222" s="26" t="str">
        <f t="shared" ca="1" si="37"/>
        <v/>
      </c>
      <c r="E222" s="4" t="str">
        <f t="shared" ca="1" si="38"/>
        <v/>
      </c>
      <c r="F222" s="25" t="str">
        <f t="shared" ca="1" si="39"/>
        <v/>
      </c>
      <c r="G222" s="26" t="str">
        <f t="shared" ca="1" si="40"/>
        <v/>
      </c>
      <c r="H222" s="55" t="str">
        <f t="shared" ca="1" si="41"/>
        <v/>
      </c>
      <c r="J222" s="37"/>
      <c r="N222" s="95" t="str">
        <f t="shared" si="33"/>
        <v/>
      </c>
      <c r="O222" s="95" t="str">
        <f t="shared" si="34"/>
        <v/>
      </c>
    </row>
    <row r="223" spans="1:15" x14ac:dyDescent="0.25">
      <c r="A223" s="98" t="str">
        <f t="shared" ca="1" si="42"/>
        <v/>
      </c>
      <c r="B223" s="33" t="str">
        <f t="shared" ca="1" si="35"/>
        <v/>
      </c>
      <c r="C223" s="25" t="str">
        <f t="shared" ca="1" si="36"/>
        <v/>
      </c>
      <c r="D223" s="26" t="str">
        <f t="shared" ca="1" si="37"/>
        <v/>
      </c>
      <c r="E223" s="4" t="str">
        <f t="shared" ca="1" si="38"/>
        <v/>
      </c>
      <c r="F223" s="25" t="str">
        <f t="shared" ca="1" si="39"/>
        <v/>
      </c>
      <c r="G223" s="26" t="str">
        <f t="shared" ca="1" si="40"/>
        <v/>
      </c>
      <c r="H223" s="55" t="str">
        <f t="shared" ca="1" si="41"/>
        <v/>
      </c>
      <c r="J223" s="37"/>
      <c r="N223" s="95" t="str">
        <f t="shared" si="33"/>
        <v/>
      </c>
      <c r="O223" s="95" t="str">
        <f t="shared" si="34"/>
        <v/>
      </c>
    </row>
    <row r="224" spans="1:15" x14ac:dyDescent="0.25">
      <c r="A224" s="98" t="str">
        <f t="shared" ca="1" si="42"/>
        <v/>
      </c>
      <c r="B224" s="33" t="str">
        <f t="shared" ca="1" si="35"/>
        <v/>
      </c>
      <c r="C224" s="25" t="str">
        <f t="shared" ca="1" si="36"/>
        <v/>
      </c>
      <c r="D224" s="26" t="str">
        <f t="shared" ca="1" si="37"/>
        <v/>
      </c>
      <c r="E224" s="4" t="str">
        <f t="shared" ca="1" si="38"/>
        <v/>
      </c>
      <c r="F224" s="25" t="str">
        <f t="shared" ca="1" si="39"/>
        <v/>
      </c>
      <c r="G224" s="26" t="str">
        <f t="shared" ca="1" si="40"/>
        <v/>
      </c>
      <c r="H224" s="55" t="str">
        <f t="shared" ca="1" si="41"/>
        <v/>
      </c>
      <c r="J224" s="37"/>
      <c r="N224" s="95" t="str">
        <f t="shared" si="33"/>
        <v/>
      </c>
      <c r="O224" s="95" t="str">
        <f t="shared" si="34"/>
        <v/>
      </c>
    </row>
    <row r="225" spans="1:15" x14ac:dyDescent="0.25">
      <c r="A225" s="98" t="str">
        <f t="shared" ca="1" si="42"/>
        <v/>
      </c>
      <c r="B225" s="33" t="str">
        <f t="shared" ca="1" si="35"/>
        <v/>
      </c>
      <c r="C225" s="25" t="str">
        <f t="shared" ca="1" si="36"/>
        <v/>
      </c>
      <c r="D225" s="26" t="str">
        <f t="shared" ca="1" si="37"/>
        <v/>
      </c>
      <c r="E225" s="4" t="str">
        <f t="shared" ca="1" si="38"/>
        <v/>
      </c>
      <c r="F225" s="25" t="str">
        <f t="shared" ca="1" si="39"/>
        <v/>
      </c>
      <c r="G225" s="26" t="str">
        <f t="shared" ca="1" si="40"/>
        <v/>
      </c>
      <c r="H225" s="55" t="str">
        <f t="shared" ca="1" si="41"/>
        <v/>
      </c>
      <c r="J225" s="37"/>
      <c r="N225" s="95" t="str">
        <f t="shared" si="33"/>
        <v/>
      </c>
      <c r="O225" s="95" t="str">
        <f t="shared" si="34"/>
        <v/>
      </c>
    </row>
    <row r="226" spans="1:15" x14ac:dyDescent="0.25">
      <c r="A226" s="98" t="str">
        <f t="shared" ca="1" si="42"/>
        <v/>
      </c>
      <c r="B226" s="33" t="str">
        <f t="shared" ca="1" si="35"/>
        <v/>
      </c>
      <c r="C226" s="25" t="str">
        <f t="shared" ca="1" si="36"/>
        <v/>
      </c>
      <c r="D226" s="26" t="str">
        <f t="shared" ca="1" si="37"/>
        <v/>
      </c>
      <c r="E226" s="4" t="str">
        <f t="shared" ca="1" si="38"/>
        <v/>
      </c>
      <c r="F226" s="25" t="str">
        <f t="shared" ca="1" si="39"/>
        <v/>
      </c>
      <c r="G226" s="26" t="str">
        <f t="shared" ca="1" si="40"/>
        <v/>
      </c>
      <c r="H226" s="55" t="str">
        <f t="shared" ca="1" si="41"/>
        <v/>
      </c>
      <c r="J226" s="37"/>
      <c r="N226" s="95" t="str">
        <f t="shared" si="33"/>
        <v/>
      </c>
      <c r="O226" s="95" t="str">
        <f t="shared" si="34"/>
        <v/>
      </c>
    </row>
    <row r="227" spans="1:15" x14ac:dyDescent="0.25">
      <c r="A227" s="98" t="str">
        <f t="shared" ca="1" si="42"/>
        <v/>
      </c>
      <c r="B227" s="33" t="str">
        <f t="shared" ca="1" si="35"/>
        <v/>
      </c>
      <c r="C227" s="25" t="str">
        <f t="shared" ca="1" si="36"/>
        <v/>
      </c>
      <c r="D227" s="26" t="str">
        <f t="shared" ca="1" si="37"/>
        <v/>
      </c>
      <c r="E227" s="4" t="str">
        <f t="shared" ca="1" si="38"/>
        <v/>
      </c>
      <c r="F227" s="25" t="str">
        <f t="shared" ca="1" si="39"/>
        <v/>
      </c>
      <c r="G227" s="26" t="str">
        <f t="shared" ca="1" si="40"/>
        <v/>
      </c>
      <c r="H227" s="55" t="str">
        <f t="shared" ca="1" si="41"/>
        <v/>
      </c>
      <c r="J227" s="37"/>
      <c r="N227" s="95" t="str">
        <f t="shared" si="33"/>
        <v/>
      </c>
      <c r="O227" s="95" t="str">
        <f t="shared" si="34"/>
        <v/>
      </c>
    </row>
    <row r="228" spans="1:15" x14ac:dyDescent="0.25">
      <c r="A228" s="98" t="str">
        <f t="shared" ca="1" si="42"/>
        <v/>
      </c>
      <c r="B228" s="33" t="str">
        <f t="shared" ca="1" si="35"/>
        <v/>
      </c>
      <c r="C228" s="25" t="str">
        <f t="shared" ca="1" si="36"/>
        <v/>
      </c>
      <c r="D228" s="26" t="str">
        <f t="shared" ca="1" si="37"/>
        <v/>
      </c>
      <c r="E228" s="4" t="str">
        <f t="shared" ca="1" si="38"/>
        <v/>
      </c>
      <c r="F228" s="25" t="str">
        <f t="shared" ca="1" si="39"/>
        <v/>
      </c>
      <c r="G228" s="26" t="str">
        <f t="shared" ca="1" si="40"/>
        <v/>
      </c>
      <c r="H228" s="55" t="str">
        <f t="shared" ca="1" si="41"/>
        <v/>
      </c>
      <c r="J228" s="37"/>
      <c r="N228" s="95" t="str">
        <f t="shared" si="33"/>
        <v/>
      </c>
      <c r="O228" s="95" t="str">
        <f t="shared" si="34"/>
        <v/>
      </c>
    </row>
    <row r="229" spans="1:15" x14ac:dyDescent="0.25">
      <c r="A229" s="98" t="str">
        <f t="shared" ca="1" si="42"/>
        <v/>
      </c>
      <c r="B229" s="33" t="str">
        <f t="shared" ca="1" si="35"/>
        <v/>
      </c>
      <c r="C229" s="25" t="str">
        <f t="shared" ca="1" si="36"/>
        <v/>
      </c>
      <c r="D229" s="26" t="str">
        <f t="shared" ca="1" si="37"/>
        <v/>
      </c>
      <c r="E229" s="4" t="str">
        <f t="shared" ca="1" si="38"/>
        <v/>
      </c>
      <c r="F229" s="25" t="str">
        <f t="shared" ca="1" si="39"/>
        <v/>
      </c>
      <c r="G229" s="26" t="str">
        <f t="shared" ca="1" si="40"/>
        <v/>
      </c>
      <c r="H229" s="55" t="str">
        <f t="shared" ca="1" si="41"/>
        <v/>
      </c>
      <c r="J229" s="37"/>
      <c r="N229" s="95" t="str">
        <f t="shared" si="33"/>
        <v/>
      </c>
      <c r="O229" s="95" t="str">
        <f t="shared" si="34"/>
        <v/>
      </c>
    </row>
    <row r="230" spans="1:15" x14ac:dyDescent="0.25">
      <c r="A230" s="98" t="str">
        <f t="shared" ca="1" si="42"/>
        <v/>
      </c>
      <c r="B230" s="33" t="str">
        <f t="shared" ca="1" si="35"/>
        <v/>
      </c>
      <c r="C230" s="25" t="str">
        <f t="shared" ca="1" si="36"/>
        <v/>
      </c>
      <c r="D230" s="26" t="str">
        <f t="shared" ca="1" si="37"/>
        <v/>
      </c>
      <c r="E230" s="4" t="str">
        <f t="shared" ca="1" si="38"/>
        <v/>
      </c>
      <c r="F230" s="25" t="str">
        <f t="shared" ca="1" si="39"/>
        <v/>
      </c>
      <c r="G230" s="26" t="str">
        <f t="shared" ca="1" si="40"/>
        <v/>
      </c>
      <c r="H230" s="55" t="str">
        <f t="shared" ca="1" si="41"/>
        <v/>
      </c>
      <c r="J230" s="37"/>
      <c r="N230" s="95" t="str">
        <f t="shared" si="33"/>
        <v/>
      </c>
      <c r="O230" s="95" t="str">
        <f t="shared" si="34"/>
        <v/>
      </c>
    </row>
    <row r="231" spans="1:15" x14ac:dyDescent="0.25">
      <c r="A231" s="98" t="str">
        <f t="shared" ca="1" si="42"/>
        <v/>
      </c>
      <c r="B231" s="33" t="str">
        <f t="shared" ca="1" si="35"/>
        <v/>
      </c>
      <c r="C231" s="25" t="str">
        <f t="shared" ca="1" si="36"/>
        <v/>
      </c>
      <c r="D231" s="26" t="str">
        <f t="shared" ca="1" si="37"/>
        <v/>
      </c>
      <c r="E231" s="4" t="str">
        <f t="shared" ca="1" si="38"/>
        <v/>
      </c>
      <c r="F231" s="25" t="str">
        <f t="shared" ca="1" si="39"/>
        <v/>
      </c>
      <c r="G231" s="26" t="str">
        <f t="shared" ca="1" si="40"/>
        <v/>
      </c>
      <c r="H231" s="55" t="str">
        <f t="shared" ca="1" si="41"/>
        <v/>
      </c>
      <c r="J231" s="37"/>
      <c r="N231" s="95" t="str">
        <f t="shared" si="33"/>
        <v/>
      </c>
      <c r="O231" s="95" t="str">
        <f t="shared" si="34"/>
        <v/>
      </c>
    </row>
    <row r="232" spans="1:15" x14ac:dyDescent="0.25">
      <c r="A232" s="98" t="str">
        <f t="shared" ca="1" si="42"/>
        <v/>
      </c>
      <c r="B232" s="33" t="str">
        <f t="shared" ca="1" si="35"/>
        <v/>
      </c>
      <c r="C232" s="25" t="str">
        <f t="shared" ca="1" si="36"/>
        <v/>
      </c>
      <c r="D232" s="26" t="str">
        <f t="shared" ca="1" si="37"/>
        <v/>
      </c>
      <c r="E232" s="4" t="str">
        <f t="shared" ca="1" si="38"/>
        <v/>
      </c>
      <c r="F232" s="25" t="str">
        <f t="shared" ca="1" si="39"/>
        <v/>
      </c>
      <c r="G232" s="26" t="str">
        <f t="shared" ca="1" si="40"/>
        <v/>
      </c>
      <c r="H232" s="55" t="str">
        <f t="shared" ca="1" si="41"/>
        <v/>
      </c>
      <c r="J232" s="37"/>
      <c r="N232" s="95" t="str">
        <f t="shared" si="33"/>
        <v/>
      </c>
      <c r="O232" s="95" t="str">
        <f t="shared" si="34"/>
        <v/>
      </c>
    </row>
    <row r="233" spans="1:15" x14ac:dyDescent="0.25">
      <c r="A233" s="98" t="str">
        <f t="shared" ca="1" si="42"/>
        <v/>
      </c>
      <c r="B233" s="33" t="str">
        <f t="shared" ca="1" si="35"/>
        <v/>
      </c>
      <c r="C233" s="25" t="str">
        <f t="shared" ca="1" si="36"/>
        <v/>
      </c>
      <c r="D233" s="26" t="str">
        <f t="shared" ca="1" si="37"/>
        <v/>
      </c>
      <c r="E233" s="4" t="str">
        <f t="shared" ca="1" si="38"/>
        <v/>
      </c>
      <c r="F233" s="25" t="str">
        <f t="shared" ca="1" si="39"/>
        <v/>
      </c>
      <c r="G233" s="26" t="str">
        <f t="shared" ca="1" si="40"/>
        <v/>
      </c>
      <c r="H233" s="55" t="str">
        <f t="shared" ca="1" si="41"/>
        <v/>
      </c>
      <c r="J233" s="37"/>
      <c r="N233" s="95" t="str">
        <f t="shared" si="33"/>
        <v/>
      </c>
      <c r="O233" s="95" t="str">
        <f t="shared" si="34"/>
        <v/>
      </c>
    </row>
    <row r="234" spans="1:15" x14ac:dyDescent="0.25">
      <c r="A234" s="98" t="str">
        <f t="shared" ca="1" si="42"/>
        <v/>
      </c>
      <c r="B234" s="33" t="str">
        <f t="shared" ca="1" si="35"/>
        <v/>
      </c>
      <c r="C234" s="25" t="str">
        <f t="shared" ca="1" si="36"/>
        <v/>
      </c>
      <c r="D234" s="26" t="str">
        <f t="shared" ca="1" si="37"/>
        <v/>
      </c>
      <c r="E234" s="4" t="str">
        <f t="shared" ca="1" si="38"/>
        <v/>
      </c>
      <c r="F234" s="25" t="str">
        <f t="shared" ca="1" si="39"/>
        <v/>
      </c>
      <c r="G234" s="26" t="str">
        <f t="shared" ca="1" si="40"/>
        <v/>
      </c>
      <c r="H234" s="55" t="str">
        <f t="shared" ca="1" si="41"/>
        <v/>
      </c>
      <c r="J234" s="37"/>
      <c r="N234" s="95" t="str">
        <f t="shared" si="33"/>
        <v/>
      </c>
      <c r="O234" s="95" t="str">
        <f t="shared" si="34"/>
        <v/>
      </c>
    </row>
    <row r="235" spans="1:15" x14ac:dyDescent="0.25">
      <c r="A235" s="98" t="str">
        <f t="shared" ca="1" si="42"/>
        <v/>
      </c>
      <c r="B235" s="33" t="str">
        <f t="shared" ca="1" si="35"/>
        <v/>
      </c>
      <c r="C235" s="25" t="str">
        <f t="shared" ca="1" si="36"/>
        <v/>
      </c>
      <c r="D235" s="26" t="str">
        <f t="shared" ca="1" si="37"/>
        <v/>
      </c>
      <c r="E235" s="4" t="str">
        <f t="shared" ca="1" si="38"/>
        <v/>
      </c>
      <c r="F235" s="25" t="str">
        <f t="shared" ca="1" si="39"/>
        <v/>
      </c>
      <c r="G235" s="26" t="str">
        <f t="shared" ca="1" si="40"/>
        <v/>
      </c>
      <c r="H235" s="55" t="str">
        <f t="shared" ca="1" si="41"/>
        <v/>
      </c>
      <c r="J235" s="37"/>
      <c r="N235" s="95" t="str">
        <f t="shared" si="33"/>
        <v/>
      </c>
      <c r="O235" s="95" t="str">
        <f t="shared" si="34"/>
        <v/>
      </c>
    </row>
    <row r="236" spans="1:15" x14ac:dyDescent="0.25">
      <c r="A236" s="98" t="str">
        <f t="shared" ca="1" si="42"/>
        <v/>
      </c>
      <c r="B236" s="33" t="str">
        <f t="shared" ca="1" si="35"/>
        <v/>
      </c>
      <c r="C236" s="25" t="str">
        <f t="shared" ca="1" si="36"/>
        <v/>
      </c>
      <c r="D236" s="26" t="str">
        <f t="shared" ca="1" si="37"/>
        <v/>
      </c>
      <c r="E236" s="4" t="str">
        <f t="shared" ca="1" si="38"/>
        <v/>
      </c>
      <c r="F236" s="25" t="str">
        <f t="shared" ca="1" si="39"/>
        <v/>
      </c>
      <c r="G236" s="26" t="str">
        <f t="shared" ca="1" si="40"/>
        <v/>
      </c>
      <c r="H236" s="55" t="str">
        <f t="shared" ca="1" si="41"/>
        <v/>
      </c>
      <c r="J236" s="37"/>
      <c r="N236" s="95" t="str">
        <f t="shared" si="33"/>
        <v/>
      </c>
      <c r="O236" s="95" t="str">
        <f t="shared" si="34"/>
        <v/>
      </c>
    </row>
    <row r="237" spans="1:15" x14ac:dyDescent="0.25">
      <c r="A237" s="98" t="str">
        <f t="shared" ca="1" si="42"/>
        <v/>
      </c>
      <c r="B237" s="33" t="str">
        <f t="shared" ca="1" si="35"/>
        <v/>
      </c>
      <c r="C237" s="25" t="str">
        <f t="shared" ca="1" si="36"/>
        <v/>
      </c>
      <c r="D237" s="26" t="str">
        <f t="shared" ca="1" si="37"/>
        <v/>
      </c>
      <c r="E237" s="4" t="str">
        <f t="shared" ca="1" si="38"/>
        <v/>
      </c>
      <c r="F237" s="25" t="str">
        <f t="shared" ca="1" si="39"/>
        <v/>
      </c>
      <c r="G237" s="26" t="str">
        <f t="shared" ca="1" si="40"/>
        <v/>
      </c>
      <c r="H237" s="55" t="str">
        <f t="shared" ca="1" si="41"/>
        <v/>
      </c>
      <c r="J237" s="37"/>
      <c r="N237" s="95" t="str">
        <f t="shared" si="33"/>
        <v/>
      </c>
      <c r="O237" s="95" t="str">
        <f t="shared" si="34"/>
        <v/>
      </c>
    </row>
    <row r="238" spans="1:15" x14ac:dyDescent="0.25">
      <c r="A238" s="98" t="str">
        <f t="shared" ca="1" si="42"/>
        <v/>
      </c>
      <c r="B238" s="33" t="str">
        <f t="shared" ca="1" si="35"/>
        <v/>
      </c>
      <c r="C238" s="25" t="str">
        <f t="shared" ca="1" si="36"/>
        <v/>
      </c>
      <c r="D238" s="26" t="str">
        <f t="shared" ca="1" si="37"/>
        <v/>
      </c>
      <c r="E238" s="4" t="str">
        <f t="shared" ca="1" si="38"/>
        <v/>
      </c>
      <c r="F238" s="25" t="str">
        <f t="shared" ca="1" si="39"/>
        <v/>
      </c>
      <c r="G238" s="26" t="str">
        <f t="shared" ca="1" si="40"/>
        <v/>
      </c>
      <c r="H238" s="55" t="str">
        <f t="shared" ca="1" si="41"/>
        <v/>
      </c>
      <c r="J238" s="37"/>
      <c r="N238" s="95" t="str">
        <f t="shared" si="33"/>
        <v/>
      </c>
      <c r="O238" s="95" t="str">
        <f t="shared" si="34"/>
        <v/>
      </c>
    </row>
    <row r="239" spans="1:15" x14ac:dyDescent="0.25">
      <c r="A239" s="98" t="str">
        <f t="shared" ca="1" si="42"/>
        <v/>
      </c>
      <c r="B239" s="33" t="str">
        <f t="shared" ca="1" si="35"/>
        <v/>
      </c>
      <c r="C239" s="25" t="str">
        <f t="shared" ca="1" si="36"/>
        <v/>
      </c>
      <c r="D239" s="26" t="str">
        <f t="shared" ca="1" si="37"/>
        <v/>
      </c>
      <c r="E239" s="4" t="str">
        <f t="shared" ca="1" si="38"/>
        <v/>
      </c>
      <c r="F239" s="25" t="str">
        <f t="shared" ca="1" si="39"/>
        <v/>
      </c>
      <c r="G239" s="26" t="str">
        <f t="shared" ca="1" si="40"/>
        <v/>
      </c>
      <c r="H239" s="55" t="str">
        <f t="shared" ca="1" si="41"/>
        <v/>
      </c>
      <c r="J239" s="37"/>
      <c r="N239" s="95" t="str">
        <f t="shared" si="33"/>
        <v/>
      </c>
      <c r="O239" s="95" t="str">
        <f t="shared" si="34"/>
        <v/>
      </c>
    </row>
    <row r="240" spans="1:15" x14ac:dyDescent="0.25">
      <c r="A240" s="98" t="str">
        <f t="shared" ca="1" si="42"/>
        <v/>
      </c>
      <c r="B240" s="33" t="str">
        <f t="shared" ca="1" si="35"/>
        <v/>
      </c>
      <c r="C240" s="25" t="str">
        <f t="shared" ca="1" si="36"/>
        <v/>
      </c>
      <c r="D240" s="26" t="str">
        <f t="shared" ca="1" si="37"/>
        <v/>
      </c>
      <c r="E240" s="4" t="str">
        <f t="shared" ca="1" si="38"/>
        <v/>
      </c>
      <c r="F240" s="25" t="str">
        <f t="shared" ca="1" si="39"/>
        <v/>
      </c>
      <c r="G240" s="26" t="str">
        <f t="shared" ca="1" si="40"/>
        <v/>
      </c>
      <c r="H240" s="55" t="str">
        <f t="shared" ca="1" si="41"/>
        <v/>
      </c>
      <c r="J240" s="37"/>
      <c r="N240" s="95" t="str">
        <f t="shared" si="33"/>
        <v/>
      </c>
      <c r="O240" s="95" t="str">
        <f t="shared" si="34"/>
        <v/>
      </c>
    </row>
    <row r="241" spans="1:15" x14ac:dyDescent="0.25">
      <c r="A241" s="98" t="str">
        <f t="shared" ca="1" si="42"/>
        <v/>
      </c>
      <c r="B241" s="33" t="str">
        <f t="shared" ca="1" si="35"/>
        <v/>
      </c>
      <c r="C241" s="25" t="str">
        <f t="shared" ca="1" si="36"/>
        <v/>
      </c>
      <c r="D241" s="26" t="str">
        <f t="shared" ca="1" si="37"/>
        <v/>
      </c>
      <c r="E241" s="4" t="str">
        <f t="shared" ca="1" si="38"/>
        <v/>
      </c>
      <c r="F241" s="25" t="str">
        <f t="shared" ca="1" si="39"/>
        <v/>
      </c>
      <c r="G241" s="26" t="str">
        <f t="shared" ca="1" si="40"/>
        <v/>
      </c>
      <c r="H241" s="55" t="str">
        <f t="shared" ca="1" si="41"/>
        <v/>
      </c>
      <c r="J241" s="37"/>
      <c r="N241" s="95" t="str">
        <f t="shared" si="33"/>
        <v/>
      </c>
      <c r="O241" s="95" t="str">
        <f t="shared" si="34"/>
        <v/>
      </c>
    </row>
    <row r="242" spans="1:15" x14ac:dyDescent="0.25">
      <c r="A242" s="98" t="str">
        <f t="shared" ca="1" si="42"/>
        <v/>
      </c>
      <c r="B242" s="33" t="str">
        <f t="shared" ca="1" si="35"/>
        <v/>
      </c>
      <c r="C242" s="25" t="str">
        <f t="shared" ca="1" si="36"/>
        <v/>
      </c>
      <c r="D242" s="26" t="str">
        <f t="shared" ca="1" si="37"/>
        <v/>
      </c>
      <c r="E242" s="4" t="str">
        <f t="shared" ca="1" si="38"/>
        <v/>
      </c>
      <c r="F242" s="25" t="str">
        <f t="shared" ca="1" si="39"/>
        <v/>
      </c>
      <c r="G242" s="26" t="str">
        <f t="shared" ca="1" si="40"/>
        <v/>
      </c>
      <c r="H242" s="55" t="str">
        <f t="shared" ca="1" si="41"/>
        <v/>
      </c>
      <c r="J242" s="37"/>
      <c r="N242" s="95" t="str">
        <f t="shared" si="33"/>
        <v/>
      </c>
      <c r="O242" s="95" t="str">
        <f t="shared" si="34"/>
        <v/>
      </c>
    </row>
    <row r="243" spans="1:15" x14ac:dyDescent="0.25">
      <c r="A243" s="98" t="str">
        <f t="shared" ca="1" si="42"/>
        <v/>
      </c>
      <c r="B243" s="33" t="str">
        <f t="shared" ca="1" si="35"/>
        <v/>
      </c>
      <c r="C243" s="25" t="str">
        <f t="shared" ca="1" si="36"/>
        <v/>
      </c>
      <c r="D243" s="26" t="str">
        <f t="shared" ca="1" si="37"/>
        <v/>
      </c>
      <c r="E243" s="4" t="str">
        <f t="shared" ca="1" si="38"/>
        <v/>
      </c>
      <c r="F243" s="25" t="str">
        <f t="shared" ca="1" si="39"/>
        <v/>
      </c>
      <c r="G243" s="26" t="str">
        <f t="shared" ca="1" si="40"/>
        <v/>
      </c>
      <c r="H243" s="55" t="str">
        <f t="shared" ca="1" si="41"/>
        <v/>
      </c>
      <c r="J243" s="37"/>
      <c r="N243" s="95" t="str">
        <f t="shared" si="33"/>
        <v/>
      </c>
      <c r="O243" s="95" t="str">
        <f t="shared" si="34"/>
        <v/>
      </c>
    </row>
    <row r="244" spans="1:15" x14ac:dyDescent="0.25">
      <c r="A244" s="98" t="str">
        <f t="shared" ca="1" si="42"/>
        <v/>
      </c>
      <c r="B244" s="33" t="str">
        <f t="shared" ca="1" si="35"/>
        <v/>
      </c>
      <c r="C244" s="25" t="str">
        <f t="shared" ca="1" si="36"/>
        <v/>
      </c>
      <c r="D244" s="26" t="str">
        <f t="shared" ca="1" si="37"/>
        <v/>
      </c>
      <c r="E244" s="4" t="str">
        <f t="shared" ca="1" si="38"/>
        <v/>
      </c>
      <c r="F244" s="25" t="str">
        <f t="shared" ca="1" si="39"/>
        <v/>
      </c>
      <c r="G244" s="26" t="str">
        <f t="shared" ca="1" si="40"/>
        <v/>
      </c>
      <c r="H244" s="55" t="str">
        <f t="shared" ca="1" si="41"/>
        <v/>
      </c>
      <c r="J244" s="37"/>
      <c r="N244" s="95" t="str">
        <f t="shared" si="33"/>
        <v/>
      </c>
      <c r="O244" s="95" t="str">
        <f t="shared" si="34"/>
        <v/>
      </c>
    </row>
    <row r="245" spans="1:15" x14ac:dyDescent="0.25">
      <c r="A245" s="98" t="str">
        <f t="shared" ca="1" si="42"/>
        <v/>
      </c>
      <c r="B245" s="33" t="str">
        <f t="shared" ca="1" si="35"/>
        <v/>
      </c>
      <c r="C245" s="25" t="str">
        <f t="shared" ca="1" si="36"/>
        <v/>
      </c>
      <c r="D245" s="26" t="str">
        <f t="shared" ca="1" si="37"/>
        <v/>
      </c>
      <c r="E245" s="4" t="str">
        <f t="shared" ca="1" si="38"/>
        <v/>
      </c>
      <c r="F245" s="25" t="str">
        <f t="shared" ca="1" si="39"/>
        <v/>
      </c>
      <c r="G245" s="26" t="str">
        <f t="shared" ca="1" si="40"/>
        <v/>
      </c>
      <c r="H245" s="55" t="str">
        <f t="shared" ca="1" si="41"/>
        <v/>
      </c>
      <c r="J245" s="37"/>
      <c r="N245" s="95" t="str">
        <f t="shared" si="33"/>
        <v/>
      </c>
      <c r="O245" s="95" t="str">
        <f t="shared" si="34"/>
        <v/>
      </c>
    </row>
    <row r="246" spans="1:15" x14ac:dyDescent="0.25">
      <c r="A246" s="98" t="str">
        <f t="shared" ca="1" si="42"/>
        <v/>
      </c>
      <c r="B246" s="33" t="str">
        <f t="shared" ca="1" si="35"/>
        <v/>
      </c>
      <c r="C246" s="25" t="str">
        <f t="shared" ca="1" si="36"/>
        <v/>
      </c>
      <c r="D246" s="26" t="str">
        <f t="shared" ca="1" si="37"/>
        <v/>
      </c>
      <c r="E246" s="4" t="str">
        <f t="shared" ca="1" si="38"/>
        <v/>
      </c>
      <c r="F246" s="25" t="str">
        <f t="shared" ca="1" si="39"/>
        <v/>
      </c>
      <c r="G246" s="26" t="str">
        <f t="shared" ca="1" si="40"/>
        <v/>
      </c>
      <c r="H246" s="55" t="str">
        <f t="shared" ca="1" si="41"/>
        <v/>
      </c>
      <c r="J246" s="37"/>
      <c r="N246" s="95" t="str">
        <f t="shared" si="33"/>
        <v/>
      </c>
      <c r="O246" s="95" t="str">
        <f t="shared" si="34"/>
        <v/>
      </c>
    </row>
    <row r="247" spans="1:15" x14ac:dyDescent="0.25">
      <c r="A247" s="98" t="str">
        <f t="shared" ca="1" si="42"/>
        <v/>
      </c>
      <c r="B247" s="33" t="str">
        <f t="shared" ca="1" si="35"/>
        <v/>
      </c>
      <c r="C247" s="25" t="str">
        <f t="shared" ca="1" si="36"/>
        <v/>
      </c>
      <c r="D247" s="26" t="str">
        <f t="shared" ca="1" si="37"/>
        <v/>
      </c>
      <c r="E247" s="4" t="str">
        <f t="shared" ca="1" si="38"/>
        <v/>
      </c>
      <c r="F247" s="25" t="str">
        <f t="shared" ca="1" si="39"/>
        <v/>
      </c>
      <c r="G247" s="26" t="str">
        <f t="shared" ca="1" si="40"/>
        <v/>
      </c>
      <c r="H247" s="55" t="str">
        <f t="shared" ca="1" si="41"/>
        <v/>
      </c>
      <c r="J247" s="37"/>
      <c r="N247" s="95" t="str">
        <f t="shared" si="33"/>
        <v/>
      </c>
      <c r="O247" s="95" t="str">
        <f t="shared" si="34"/>
        <v/>
      </c>
    </row>
    <row r="248" spans="1:15" x14ac:dyDescent="0.25">
      <c r="A248" s="98" t="str">
        <f t="shared" ca="1" si="42"/>
        <v/>
      </c>
      <c r="B248" s="33" t="str">
        <f t="shared" ca="1" si="35"/>
        <v/>
      </c>
      <c r="C248" s="25" t="str">
        <f t="shared" ca="1" si="36"/>
        <v/>
      </c>
      <c r="D248" s="26" t="str">
        <f t="shared" ca="1" si="37"/>
        <v/>
      </c>
      <c r="E248" s="4" t="str">
        <f t="shared" ca="1" si="38"/>
        <v/>
      </c>
      <c r="F248" s="25" t="str">
        <f t="shared" ca="1" si="39"/>
        <v/>
      </c>
      <c r="G248" s="26" t="str">
        <f t="shared" ca="1" si="40"/>
        <v/>
      </c>
      <c r="H248" s="55" t="str">
        <f t="shared" ca="1" si="41"/>
        <v/>
      </c>
      <c r="J248" s="37"/>
      <c r="N248" s="95" t="str">
        <f t="shared" si="33"/>
        <v/>
      </c>
      <c r="O248" s="95" t="str">
        <f t="shared" si="34"/>
        <v/>
      </c>
    </row>
    <row r="249" spans="1:15" x14ac:dyDescent="0.25">
      <c r="A249" s="98" t="str">
        <f t="shared" ca="1" si="42"/>
        <v/>
      </c>
      <c r="B249" s="33" t="str">
        <f t="shared" ca="1" si="35"/>
        <v/>
      </c>
      <c r="C249" s="25" t="str">
        <f t="shared" ca="1" si="36"/>
        <v/>
      </c>
      <c r="D249" s="26" t="str">
        <f t="shared" ca="1" si="37"/>
        <v/>
      </c>
      <c r="E249" s="4" t="str">
        <f t="shared" ca="1" si="38"/>
        <v/>
      </c>
      <c r="F249" s="25" t="str">
        <f t="shared" ca="1" si="39"/>
        <v/>
      </c>
      <c r="G249" s="26" t="str">
        <f t="shared" ca="1" si="40"/>
        <v/>
      </c>
      <c r="H249" s="55" t="str">
        <f t="shared" ca="1" si="41"/>
        <v/>
      </c>
      <c r="J249" s="37"/>
      <c r="N249" s="95" t="str">
        <f t="shared" si="33"/>
        <v/>
      </c>
      <c r="O249" s="95" t="str">
        <f t="shared" si="34"/>
        <v/>
      </c>
    </row>
    <row r="250" spans="1:15" x14ac:dyDescent="0.25">
      <c r="A250" s="98" t="str">
        <f t="shared" ca="1" si="42"/>
        <v/>
      </c>
      <c r="B250" s="33" t="str">
        <f t="shared" ca="1" si="35"/>
        <v/>
      </c>
      <c r="C250" s="25" t="str">
        <f t="shared" ca="1" si="36"/>
        <v/>
      </c>
      <c r="D250" s="26" t="str">
        <f t="shared" ca="1" si="37"/>
        <v/>
      </c>
      <c r="E250" s="4" t="str">
        <f t="shared" ca="1" si="38"/>
        <v/>
      </c>
      <c r="F250" s="25" t="str">
        <f t="shared" ca="1" si="39"/>
        <v/>
      </c>
      <c r="G250" s="26" t="str">
        <f t="shared" ca="1" si="40"/>
        <v/>
      </c>
      <c r="H250" s="55" t="str">
        <f t="shared" ca="1" si="41"/>
        <v/>
      </c>
      <c r="J250" s="37"/>
      <c r="N250" s="95" t="str">
        <f t="shared" si="33"/>
        <v/>
      </c>
      <c r="O250" s="95" t="str">
        <f t="shared" si="34"/>
        <v/>
      </c>
    </row>
    <row r="251" spans="1:15" x14ac:dyDescent="0.25">
      <c r="A251" s="98" t="str">
        <f t="shared" ca="1" si="42"/>
        <v/>
      </c>
      <c r="B251" s="33" t="str">
        <f t="shared" ca="1" si="35"/>
        <v/>
      </c>
      <c r="C251" s="25" t="str">
        <f t="shared" ca="1" si="36"/>
        <v/>
      </c>
      <c r="D251" s="26" t="str">
        <f t="shared" ca="1" si="37"/>
        <v/>
      </c>
      <c r="E251" s="4" t="str">
        <f t="shared" ca="1" si="38"/>
        <v/>
      </c>
      <c r="F251" s="25" t="str">
        <f t="shared" ca="1" si="39"/>
        <v/>
      </c>
      <c r="G251" s="26" t="str">
        <f t="shared" ca="1" si="40"/>
        <v/>
      </c>
      <c r="H251" s="55" t="str">
        <f t="shared" ca="1" si="41"/>
        <v/>
      </c>
      <c r="J251" s="37"/>
      <c r="N251" s="95" t="str">
        <f t="shared" si="33"/>
        <v/>
      </c>
      <c r="O251" s="95" t="str">
        <f t="shared" si="34"/>
        <v/>
      </c>
    </row>
    <row r="252" spans="1:15" x14ac:dyDescent="0.25">
      <c r="A252" s="98" t="str">
        <f t="shared" ca="1" si="42"/>
        <v/>
      </c>
      <c r="B252" s="33" t="str">
        <f t="shared" ca="1" si="35"/>
        <v/>
      </c>
      <c r="C252" s="25" t="str">
        <f t="shared" ca="1" si="36"/>
        <v/>
      </c>
      <c r="D252" s="26" t="str">
        <f t="shared" ca="1" si="37"/>
        <v/>
      </c>
      <c r="E252" s="4" t="str">
        <f t="shared" ca="1" si="38"/>
        <v/>
      </c>
      <c r="F252" s="25" t="str">
        <f t="shared" ca="1" si="39"/>
        <v/>
      </c>
      <c r="G252" s="26" t="str">
        <f t="shared" ca="1" si="40"/>
        <v/>
      </c>
      <c r="H252" s="55" t="str">
        <f t="shared" ca="1" si="41"/>
        <v/>
      </c>
      <c r="J252" s="37"/>
      <c r="N252" s="95" t="str">
        <f t="shared" si="33"/>
        <v/>
      </c>
      <c r="O252" s="95" t="str">
        <f t="shared" si="34"/>
        <v/>
      </c>
    </row>
    <row r="253" spans="1:15" x14ac:dyDescent="0.25">
      <c r="A253" s="98" t="str">
        <f t="shared" ca="1" si="42"/>
        <v/>
      </c>
      <c r="B253" s="33" t="str">
        <f t="shared" ca="1" si="35"/>
        <v/>
      </c>
      <c r="C253" s="25" t="str">
        <f t="shared" ca="1" si="36"/>
        <v/>
      </c>
      <c r="D253" s="26" t="str">
        <f t="shared" ca="1" si="37"/>
        <v/>
      </c>
      <c r="E253" s="4" t="str">
        <f t="shared" ca="1" si="38"/>
        <v/>
      </c>
      <c r="F253" s="25" t="str">
        <f t="shared" ca="1" si="39"/>
        <v/>
      </c>
      <c r="G253" s="26" t="str">
        <f t="shared" ca="1" si="40"/>
        <v/>
      </c>
      <c r="H253" s="55" t="str">
        <f t="shared" ca="1" si="41"/>
        <v/>
      </c>
      <c r="J253" s="37"/>
      <c r="N253" s="95" t="str">
        <f t="shared" si="33"/>
        <v/>
      </c>
      <c r="O253" s="95" t="str">
        <f t="shared" si="34"/>
        <v/>
      </c>
    </row>
    <row r="254" spans="1:15" x14ac:dyDescent="0.25">
      <c r="A254" s="98" t="str">
        <f t="shared" ca="1" si="42"/>
        <v/>
      </c>
      <c r="B254" s="33" t="str">
        <f t="shared" ca="1" si="35"/>
        <v/>
      </c>
      <c r="C254" s="25" t="str">
        <f t="shared" ca="1" si="36"/>
        <v/>
      </c>
      <c r="D254" s="26" t="str">
        <f t="shared" ca="1" si="37"/>
        <v/>
      </c>
      <c r="E254" s="4" t="str">
        <f t="shared" ca="1" si="38"/>
        <v/>
      </c>
      <c r="F254" s="25" t="str">
        <f t="shared" ca="1" si="39"/>
        <v/>
      </c>
      <c r="G254" s="26" t="str">
        <f t="shared" ca="1" si="40"/>
        <v/>
      </c>
      <c r="H254" s="55" t="str">
        <f t="shared" ca="1" si="41"/>
        <v/>
      </c>
      <c r="J254" s="37"/>
      <c r="N254" s="95" t="str">
        <f t="shared" si="33"/>
        <v/>
      </c>
      <c r="O254" s="95" t="str">
        <f t="shared" si="34"/>
        <v/>
      </c>
    </row>
    <row r="255" spans="1:15" x14ac:dyDescent="0.25">
      <c r="A255" s="98" t="str">
        <f t="shared" ca="1" si="42"/>
        <v/>
      </c>
      <c r="B255" s="33" t="str">
        <f t="shared" ca="1" si="35"/>
        <v/>
      </c>
      <c r="C255" s="25" t="str">
        <f t="shared" ca="1" si="36"/>
        <v/>
      </c>
      <c r="D255" s="26" t="str">
        <f t="shared" ca="1" si="37"/>
        <v/>
      </c>
      <c r="E255" s="4" t="str">
        <f t="shared" ca="1" si="38"/>
        <v/>
      </c>
      <c r="F255" s="25" t="str">
        <f t="shared" ca="1" si="39"/>
        <v/>
      </c>
      <c r="G255" s="26" t="str">
        <f t="shared" ca="1" si="40"/>
        <v/>
      </c>
      <c r="H255" s="55" t="str">
        <f t="shared" ca="1" si="41"/>
        <v/>
      </c>
      <c r="J255" s="37"/>
      <c r="N255" s="95" t="str">
        <f t="shared" si="33"/>
        <v/>
      </c>
      <c r="O255" s="95" t="str">
        <f t="shared" si="34"/>
        <v/>
      </c>
    </row>
    <row r="256" spans="1:15" x14ac:dyDescent="0.25">
      <c r="A256" s="98" t="str">
        <f t="shared" ca="1" si="42"/>
        <v/>
      </c>
      <c r="B256" s="33" t="str">
        <f t="shared" ca="1" si="35"/>
        <v/>
      </c>
      <c r="C256" s="25" t="str">
        <f t="shared" ca="1" si="36"/>
        <v/>
      </c>
      <c r="D256" s="26" t="str">
        <f t="shared" ca="1" si="37"/>
        <v/>
      </c>
      <c r="E256" s="4" t="str">
        <f t="shared" ca="1" si="38"/>
        <v/>
      </c>
      <c r="F256" s="25" t="str">
        <f t="shared" ca="1" si="39"/>
        <v/>
      </c>
      <c r="G256" s="26" t="str">
        <f t="shared" ca="1" si="40"/>
        <v/>
      </c>
      <c r="H256" s="55" t="str">
        <f t="shared" ca="1" si="41"/>
        <v/>
      </c>
      <c r="J256" s="37"/>
      <c r="N256" s="95" t="str">
        <f t="shared" si="33"/>
        <v/>
      </c>
      <c r="O256" s="95" t="str">
        <f t="shared" si="34"/>
        <v/>
      </c>
    </row>
    <row r="257" spans="1:15" x14ac:dyDescent="0.25">
      <c r="A257" s="98" t="str">
        <f t="shared" ca="1" si="42"/>
        <v/>
      </c>
      <c r="B257" s="33" t="str">
        <f t="shared" ca="1" si="35"/>
        <v/>
      </c>
      <c r="C257" s="25" t="str">
        <f t="shared" ca="1" si="36"/>
        <v/>
      </c>
      <c r="D257" s="26" t="str">
        <f t="shared" ca="1" si="37"/>
        <v/>
      </c>
      <c r="E257" s="4" t="str">
        <f t="shared" ca="1" si="38"/>
        <v/>
      </c>
      <c r="F257" s="25" t="str">
        <f t="shared" ca="1" si="39"/>
        <v/>
      </c>
      <c r="G257" s="26" t="str">
        <f t="shared" ca="1" si="40"/>
        <v/>
      </c>
      <c r="H257" s="55" t="str">
        <f t="shared" ca="1" si="41"/>
        <v/>
      </c>
      <c r="J257" s="37"/>
      <c r="N257" s="95" t="str">
        <f t="shared" si="33"/>
        <v/>
      </c>
      <c r="O257" s="95" t="str">
        <f t="shared" si="34"/>
        <v/>
      </c>
    </row>
    <row r="258" spans="1:15" x14ac:dyDescent="0.25">
      <c r="A258" s="98" t="str">
        <f t="shared" ca="1" si="42"/>
        <v/>
      </c>
      <c r="B258" s="33" t="str">
        <f t="shared" ca="1" si="35"/>
        <v/>
      </c>
      <c r="C258" s="25" t="str">
        <f t="shared" ca="1" si="36"/>
        <v/>
      </c>
      <c r="D258" s="26" t="str">
        <f t="shared" ca="1" si="37"/>
        <v/>
      </c>
      <c r="E258" s="4" t="str">
        <f t="shared" ca="1" si="38"/>
        <v/>
      </c>
      <c r="F258" s="25" t="str">
        <f t="shared" ca="1" si="39"/>
        <v/>
      </c>
      <c r="G258" s="26" t="str">
        <f t="shared" ca="1" si="40"/>
        <v/>
      </c>
      <c r="H258" s="55" t="str">
        <f t="shared" ca="1" si="41"/>
        <v/>
      </c>
      <c r="J258" s="37"/>
      <c r="N258" s="95" t="str">
        <f t="shared" si="33"/>
        <v/>
      </c>
      <c r="O258" s="95" t="str">
        <f t="shared" si="34"/>
        <v/>
      </c>
    </row>
    <row r="259" spans="1:15" x14ac:dyDescent="0.25">
      <c r="A259" s="98" t="str">
        <f t="shared" ca="1" si="42"/>
        <v/>
      </c>
      <c r="B259" s="33" t="str">
        <f t="shared" ca="1" si="35"/>
        <v/>
      </c>
      <c r="C259" s="25" t="str">
        <f t="shared" ca="1" si="36"/>
        <v/>
      </c>
      <c r="D259" s="26" t="str">
        <f t="shared" ca="1" si="37"/>
        <v/>
      </c>
      <c r="E259" s="4" t="str">
        <f t="shared" ca="1" si="38"/>
        <v/>
      </c>
      <c r="F259" s="25" t="str">
        <f t="shared" ca="1" si="39"/>
        <v/>
      </c>
      <c r="G259" s="26" t="str">
        <f t="shared" ca="1" si="40"/>
        <v/>
      </c>
      <c r="H259" s="55" t="str">
        <f t="shared" ca="1" si="41"/>
        <v/>
      </c>
      <c r="J259" s="37"/>
      <c r="N259" s="95" t="str">
        <f t="shared" si="33"/>
        <v/>
      </c>
      <c r="O259" s="95" t="str">
        <f t="shared" si="34"/>
        <v/>
      </c>
    </row>
    <row r="260" spans="1:15" x14ac:dyDescent="0.25">
      <c r="A260" s="98" t="str">
        <f t="shared" ca="1" si="42"/>
        <v/>
      </c>
      <c r="B260" s="33" t="str">
        <f t="shared" ca="1" si="35"/>
        <v/>
      </c>
      <c r="C260" s="25" t="str">
        <f t="shared" ca="1" si="36"/>
        <v/>
      </c>
      <c r="D260" s="26" t="str">
        <f t="shared" ca="1" si="37"/>
        <v/>
      </c>
      <c r="E260" s="4" t="str">
        <f t="shared" ca="1" si="38"/>
        <v/>
      </c>
      <c r="F260" s="25" t="str">
        <f t="shared" ca="1" si="39"/>
        <v/>
      </c>
      <c r="G260" s="26" t="str">
        <f t="shared" ca="1" si="40"/>
        <v/>
      </c>
      <c r="H260" s="55" t="str">
        <f t="shared" ca="1" si="41"/>
        <v/>
      </c>
      <c r="J260" s="37"/>
      <c r="N260" s="95" t="str">
        <f t="shared" ref="N260:N323" si="43">IF(COUNTIF(L:L,J260)=1,J260,"")</f>
        <v/>
      </c>
      <c r="O260" s="95" t="str">
        <f t="shared" ref="O260:O323" si="44">IF(N260&gt;$A$14,N260,"")</f>
        <v/>
      </c>
    </row>
    <row r="261" spans="1:15" x14ac:dyDescent="0.25">
      <c r="A261" s="98" t="str">
        <f t="shared" ca="1" si="42"/>
        <v/>
      </c>
      <c r="B261" s="33" t="str">
        <f t="shared" ca="1" si="35"/>
        <v/>
      </c>
      <c r="C261" s="25" t="str">
        <f t="shared" ca="1" si="36"/>
        <v/>
      </c>
      <c r="D261" s="26" t="str">
        <f t="shared" ca="1" si="37"/>
        <v/>
      </c>
      <c r="E261" s="4" t="str">
        <f t="shared" ca="1" si="38"/>
        <v/>
      </c>
      <c r="F261" s="25" t="str">
        <f t="shared" ca="1" si="39"/>
        <v/>
      </c>
      <c r="G261" s="26" t="str">
        <f t="shared" ca="1" si="40"/>
        <v/>
      </c>
      <c r="H261" s="55" t="str">
        <f t="shared" ca="1" si="41"/>
        <v/>
      </c>
      <c r="J261" s="37"/>
      <c r="N261" s="95" t="str">
        <f t="shared" si="43"/>
        <v/>
      </c>
      <c r="O261" s="95" t="str">
        <f t="shared" si="44"/>
        <v/>
      </c>
    </row>
    <row r="262" spans="1:15" x14ac:dyDescent="0.25">
      <c r="A262" s="98" t="str">
        <f t="shared" ca="1" si="42"/>
        <v/>
      </c>
      <c r="B262" s="33" t="str">
        <f t="shared" ca="1" si="35"/>
        <v/>
      </c>
      <c r="C262" s="25" t="str">
        <f t="shared" ca="1" si="36"/>
        <v/>
      </c>
      <c r="D262" s="26" t="str">
        <f t="shared" ca="1" si="37"/>
        <v/>
      </c>
      <c r="E262" s="4" t="str">
        <f t="shared" ca="1" si="38"/>
        <v/>
      </c>
      <c r="F262" s="25" t="str">
        <f t="shared" ca="1" si="39"/>
        <v/>
      </c>
      <c r="G262" s="26" t="str">
        <f t="shared" ca="1" si="40"/>
        <v/>
      </c>
      <c r="H262" s="55" t="str">
        <f t="shared" ca="1" si="41"/>
        <v/>
      </c>
      <c r="J262" s="37"/>
      <c r="N262" s="95" t="str">
        <f t="shared" si="43"/>
        <v/>
      </c>
      <c r="O262" s="95" t="str">
        <f t="shared" si="44"/>
        <v/>
      </c>
    </row>
    <row r="263" spans="1:15" x14ac:dyDescent="0.25">
      <c r="A263" s="98" t="str">
        <f t="shared" ca="1" si="42"/>
        <v/>
      </c>
      <c r="B263" s="33" t="str">
        <f t="shared" ca="1" si="35"/>
        <v/>
      </c>
      <c r="C263" s="25" t="str">
        <f t="shared" ca="1" si="36"/>
        <v/>
      </c>
      <c r="D263" s="26" t="str">
        <f t="shared" ca="1" si="37"/>
        <v/>
      </c>
      <c r="E263" s="4" t="str">
        <f t="shared" ca="1" si="38"/>
        <v/>
      </c>
      <c r="F263" s="25" t="str">
        <f t="shared" ca="1" si="39"/>
        <v/>
      </c>
      <c r="G263" s="26" t="str">
        <f t="shared" ca="1" si="40"/>
        <v/>
      </c>
      <c r="H263" s="55" t="str">
        <f t="shared" ca="1" si="41"/>
        <v/>
      </c>
      <c r="J263" s="37"/>
      <c r="N263" s="95" t="str">
        <f t="shared" si="43"/>
        <v/>
      </c>
      <c r="O263" s="95" t="str">
        <f t="shared" si="44"/>
        <v/>
      </c>
    </row>
    <row r="264" spans="1:15" x14ac:dyDescent="0.25">
      <c r="A264" s="98" t="str">
        <f t="shared" ca="1" si="42"/>
        <v/>
      </c>
      <c r="B264" s="33" t="str">
        <f t="shared" ca="1" si="35"/>
        <v/>
      </c>
      <c r="C264" s="25" t="str">
        <f t="shared" ca="1" si="36"/>
        <v/>
      </c>
      <c r="D264" s="26" t="str">
        <f t="shared" ca="1" si="37"/>
        <v/>
      </c>
      <c r="E264" s="4" t="str">
        <f t="shared" ca="1" si="38"/>
        <v/>
      </c>
      <c r="F264" s="25" t="str">
        <f t="shared" ca="1" si="39"/>
        <v/>
      </c>
      <c r="G264" s="26" t="str">
        <f t="shared" ca="1" si="40"/>
        <v/>
      </c>
      <c r="H264" s="55" t="str">
        <f t="shared" ca="1" si="41"/>
        <v/>
      </c>
      <c r="J264" s="37"/>
      <c r="N264" s="95" t="str">
        <f t="shared" si="43"/>
        <v/>
      </c>
      <c r="O264" s="95" t="str">
        <f t="shared" si="44"/>
        <v/>
      </c>
    </row>
    <row r="265" spans="1:15" x14ac:dyDescent="0.25">
      <c r="A265" s="98" t="str">
        <f t="shared" ca="1" si="42"/>
        <v/>
      </c>
      <c r="B265" s="33" t="str">
        <f t="shared" ca="1" si="35"/>
        <v/>
      </c>
      <c r="C265" s="25" t="str">
        <f t="shared" ca="1" si="36"/>
        <v/>
      </c>
      <c r="D265" s="26" t="str">
        <f t="shared" ca="1" si="37"/>
        <v/>
      </c>
      <c r="E265" s="4" t="str">
        <f t="shared" ca="1" si="38"/>
        <v/>
      </c>
      <c r="F265" s="25" t="str">
        <f t="shared" ca="1" si="39"/>
        <v/>
      </c>
      <c r="G265" s="26" t="str">
        <f t="shared" ca="1" si="40"/>
        <v/>
      </c>
      <c r="H265" s="55" t="str">
        <f t="shared" ca="1" si="41"/>
        <v/>
      </c>
      <c r="J265" s="37"/>
      <c r="N265" s="95" t="str">
        <f t="shared" si="43"/>
        <v/>
      </c>
      <c r="O265" s="95" t="str">
        <f t="shared" si="44"/>
        <v/>
      </c>
    </row>
    <row r="266" spans="1:15" x14ac:dyDescent="0.25">
      <c r="A266" s="98" t="str">
        <f t="shared" ca="1" si="42"/>
        <v/>
      </c>
      <c r="B266" s="33" t="str">
        <f t="shared" ref="B266:B329" ca="1" si="45">IF(COUNTIF(J:J,A266)=1,VLOOKUP(A266,J:K,2), IF(COUNTIF(J:J,A266)=0,$B$10,""))</f>
        <v/>
      </c>
      <c r="C266" s="25" t="str">
        <f t="shared" ref="C266:C329" ca="1" si="46">IF(ISERROR(B266-2),"",(B266-$B$14)/100*$B$5)</f>
        <v/>
      </c>
      <c r="D266" s="26" t="str">
        <f t="shared" ref="D266:D329" ca="1" si="47">IF(ISERROR(B266-2),"",(INT(A266)-INT($A$14))/360*$B$6*$B$5-(INT(A266)-INT($A$14))/360*$B$7*$B$5*$B$14/100)</f>
        <v/>
      </c>
      <c r="E266" s="4" t="str">
        <f t="shared" ref="E266:E329" ca="1" si="48">IF(COUNTIF(L:L,A266)=1,VLOOKUP(A266,L:M,2), IF(COUNTIF(L:L,A266)=0,$C$10,""))</f>
        <v/>
      </c>
      <c r="F266" s="25" t="str">
        <f t="shared" ref="F266:F329" ca="1" si="49">IF(ISERROR(E266-2), "", (E266-$E$14)/100*$C$5)</f>
        <v/>
      </c>
      <c r="G266" s="26" t="str">
        <f t="shared" ref="G266:G329" ca="1" si="50">IF(ISERROR(E266-2),"",(INT(A266)-INT($A$14))/360*$C$6*$C$5-(INT(A266)-INT($A$14))/360*$C$7*$C$5*$E$14/100)</f>
        <v/>
      </c>
      <c r="H266" s="55" t="str">
        <f t="shared" ref="H266:H329" ca="1" si="51">IF(ISERROR(E266-2),"",C266+D266-F266-G266)</f>
        <v/>
      </c>
      <c r="J266" s="37"/>
      <c r="N266" s="95" t="str">
        <f t="shared" si="43"/>
        <v/>
      </c>
      <c r="O266" s="95" t="str">
        <f t="shared" si="44"/>
        <v/>
      </c>
    </row>
    <row r="267" spans="1:15" x14ac:dyDescent="0.25">
      <c r="A267" s="98" t="str">
        <f t="shared" ca="1" si="42"/>
        <v/>
      </c>
      <c r="B267" s="33" t="str">
        <f t="shared" ca="1" si="45"/>
        <v/>
      </c>
      <c r="C267" s="25" t="str">
        <f t="shared" ca="1" si="46"/>
        <v/>
      </c>
      <c r="D267" s="26" t="str">
        <f t="shared" ca="1" si="47"/>
        <v/>
      </c>
      <c r="E267" s="4" t="str">
        <f t="shared" ca="1" si="48"/>
        <v/>
      </c>
      <c r="F267" s="25" t="str">
        <f t="shared" ca="1" si="49"/>
        <v/>
      </c>
      <c r="G267" s="26" t="str">
        <f t="shared" ca="1" si="50"/>
        <v/>
      </c>
      <c r="H267" s="55" t="str">
        <f t="shared" ca="1" si="51"/>
        <v/>
      </c>
      <c r="J267" s="37"/>
      <c r="N267" s="95" t="str">
        <f t="shared" si="43"/>
        <v/>
      </c>
      <c r="O267" s="95" t="str">
        <f t="shared" si="44"/>
        <v/>
      </c>
    </row>
    <row r="268" spans="1:15" x14ac:dyDescent="0.25">
      <c r="A268" s="98" t="str">
        <f t="shared" ca="1" si="42"/>
        <v/>
      </c>
      <c r="B268" s="33" t="str">
        <f t="shared" ca="1" si="45"/>
        <v/>
      </c>
      <c r="C268" s="25" t="str">
        <f t="shared" ca="1" si="46"/>
        <v/>
      </c>
      <c r="D268" s="26" t="str">
        <f t="shared" ca="1" si="47"/>
        <v/>
      </c>
      <c r="E268" s="4" t="str">
        <f t="shared" ca="1" si="48"/>
        <v/>
      </c>
      <c r="F268" s="25" t="str">
        <f t="shared" ca="1" si="49"/>
        <v/>
      </c>
      <c r="G268" s="26" t="str">
        <f t="shared" ca="1" si="50"/>
        <v/>
      </c>
      <c r="H268" s="55" t="str">
        <f t="shared" ca="1" si="51"/>
        <v/>
      </c>
      <c r="J268" s="37"/>
      <c r="N268" s="95" t="str">
        <f t="shared" si="43"/>
        <v/>
      </c>
      <c r="O268" s="95" t="str">
        <f t="shared" si="44"/>
        <v/>
      </c>
    </row>
    <row r="269" spans="1:15" x14ac:dyDescent="0.25">
      <c r="A269" s="98" t="str">
        <f t="shared" ca="1" si="42"/>
        <v/>
      </c>
      <c r="B269" s="33" t="str">
        <f t="shared" ca="1" si="45"/>
        <v/>
      </c>
      <c r="C269" s="25" t="str">
        <f t="shared" ca="1" si="46"/>
        <v/>
      </c>
      <c r="D269" s="26" t="str">
        <f t="shared" ca="1" si="47"/>
        <v/>
      </c>
      <c r="E269" s="4" t="str">
        <f t="shared" ca="1" si="48"/>
        <v/>
      </c>
      <c r="F269" s="25" t="str">
        <f t="shared" ca="1" si="49"/>
        <v/>
      </c>
      <c r="G269" s="26" t="str">
        <f t="shared" ca="1" si="50"/>
        <v/>
      </c>
      <c r="H269" s="55" t="str">
        <f t="shared" ca="1" si="51"/>
        <v/>
      </c>
      <c r="J269" s="37"/>
      <c r="N269" s="95" t="str">
        <f t="shared" si="43"/>
        <v/>
      </c>
      <c r="O269" s="95" t="str">
        <f t="shared" si="44"/>
        <v/>
      </c>
    </row>
    <row r="270" spans="1:15" x14ac:dyDescent="0.25">
      <c r="A270" s="98" t="str">
        <f t="shared" ca="1" si="42"/>
        <v/>
      </c>
      <c r="B270" s="33" t="str">
        <f t="shared" ca="1" si="45"/>
        <v/>
      </c>
      <c r="C270" s="25" t="str">
        <f t="shared" ca="1" si="46"/>
        <v/>
      </c>
      <c r="D270" s="26" t="str">
        <f t="shared" ca="1" si="47"/>
        <v/>
      </c>
      <c r="E270" s="4" t="str">
        <f t="shared" ca="1" si="48"/>
        <v/>
      </c>
      <c r="F270" s="25" t="str">
        <f t="shared" ca="1" si="49"/>
        <v/>
      </c>
      <c r="G270" s="26" t="str">
        <f t="shared" ca="1" si="50"/>
        <v/>
      </c>
      <c r="H270" s="55" t="str">
        <f t="shared" ca="1" si="51"/>
        <v/>
      </c>
      <c r="J270" s="37"/>
      <c r="N270" s="95" t="str">
        <f t="shared" si="43"/>
        <v/>
      </c>
      <c r="O270" s="95" t="str">
        <f t="shared" si="44"/>
        <v/>
      </c>
    </row>
    <row r="271" spans="1:15" x14ac:dyDescent="0.25">
      <c r="A271" s="98" t="str">
        <f t="shared" ca="1" si="42"/>
        <v/>
      </c>
      <c r="B271" s="33" t="str">
        <f t="shared" ca="1" si="45"/>
        <v/>
      </c>
      <c r="C271" s="25" t="str">
        <f t="shared" ca="1" si="46"/>
        <v/>
      </c>
      <c r="D271" s="26" t="str">
        <f t="shared" ca="1" si="47"/>
        <v/>
      </c>
      <c r="E271" s="4" t="str">
        <f t="shared" ca="1" si="48"/>
        <v/>
      </c>
      <c r="F271" s="25" t="str">
        <f t="shared" ca="1" si="49"/>
        <v/>
      </c>
      <c r="G271" s="26" t="str">
        <f t="shared" ca="1" si="50"/>
        <v/>
      </c>
      <c r="H271" s="55" t="str">
        <f t="shared" ca="1" si="51"/>
        <v/>
      </c>
      <c r="J271" s="37"/>
      <c r="N271" s="95" t="str">
        <f t="shared" si="43"/>
        <v/>
      </c>
      <c r="O271" s="95" t="str">
        <f t="shared" si="44"/>
        <v/>
      </c>
    </row>
    <row r="272" spans="1:15" x14ac:dyDescent="0.25">
      <c r="A272" s="98" t="str">
        <f t="shared" ref="A272:A335" ca="1" si="52">IF(AND(ISBLANK(P259), A271 = $P$1),NOW(),IF(ISBLANK(P259),"",P259))</f>
        <v/>
      </c>
      <c r="B272" s="33" t="str">
        <f t="shared" ca="1" si="45"/>
        <v/>
      </c>
      <c r="C272" s="25" t="str">
        <f t="shared" ca="1" si="46"/>
        <v/>
      </c>
      <c r="D272" s="26" t="str">
        <f t="shared" ca="1" si="47"/>
        <v/>
      </c>
      <c r="E272" s="4" t="str">
        <f t="shared" ca="1" si="48"/>
        <v/>
      </c>
      <c r="F272" s="25" t="str">
        <f t="shared" ca="1" si="49"/>
        <v/>
      </c>
      <c r="G272" s="26" t="str">
        <f t="shared" ca="1" si="50"/>
        <v/>
      </c>
      <c r="H272" s="55" t="str">
        <f t="shared" ca="1" si="51"/>
        <v/>
      </c>
      <c r="J272" s="37"/>
      <c r="N272" s="95" t="str">
        <f t="shared" si="43"/>
        <v/>
      </c>
      <c r="O272" s="95" t="str">
        <f t="shared" si="44"/>
        <v/>
      </c>
    </row>
    <row r="273" spans="1:15" x14ac:dyDescent="0.25">
      <c r="A273" s="98" t="str">
        <f t="shared" ca="1" si="52"/>
        <v/>
      </c>
      <c r="B273" s="33" t="str">
        <f t="shared" ca="1" si="45"/>
        <v/>
      </c>
      <c r="C273" s="25" t="str">
        <f t="shared" ca="1" si="46"/>
        <v/>
      </c>
      <c r="D273" s="26" t="str">
        <f t="shared" ca="1" si="47"/>
        <v/>
      </c>
      <c r="E273" s="4" t="str">
        <f t="shared" ca="1" si="48"/>
        <v/>
      </c>
      <c r="F273" s="25" t="str">
        <f t="shared" ca="1" si="49"/>
        <v/>
      </c>
      <c r="G273" s="26" t="str">
        <f t="shared" ca="1" si="50"/>
        <v/>
      </c>
      <c r="H273" s="55" t="str">
        <f t="shared" ca="1" si="51"/>
        <v/>
      </c>
      <c r="J273" s="37"/>
      <c r="N273" s="95" t="str">
        <f t="shared" si="43"/>
        <v/>
      </c>
      <c r="O273" s="95" t="str">
        <f t="shared" si="44"/>
        <v/>
      </c>
    </row>
    <row r="274" spans="1:15" x14ac:dyDescent="0.25">
      <c r="A274" s="98" t="str">
        <f t="shared" ca="1" si="52"/>
        <v/>
      </c>
      <c r="B274" s="33" t="str">
        <f t="shared" ca="1" si="45"/>
        <v/>
      </c>
      <c r="C274" s="25" t="str">
        <f t="shared" ca="1" si="46"/>
        <v/>
      </c>
      <c r="D274" s="26" t="str">
        <f t="shared" ca="1" si="47"/>
        <v/>
      </c>
      <c r="E274" s="4" t="str">
        <f t="shared" ca="1" si="48"/>
        <v/>
      </c>
      <c r="F274" s="25" t="str">
        <f t="shared" ca="1" si="49"/>
        <v/>
      </c>
      <c r="G274" s="26" t="str">
        <f t="shared" ca="1" si="50"/>
        <v/>
      </c>
      <c r="H274" s="55" t="str">
        <f t="shared" ca="1" si="51"/>
        <v/>
      </c>
      <c r="J274" s="37"/>
      <c r="N274" s="95" t="str">
        <f t="shared" si="43"/>
        <v/>
      </c>
      <c r="O274" s="95" t="str">
        <f t="shared" si="44"/>
        <v/>
      </c>
    </row>
    <row r="275" spans="1:15" x14ac:dyDescent="0.25">
      <c r="A275" s="98" t="str">
        <f t="shared" ca="1" si="52"/>
        <v/>
      </c>
      <c r="B275" s="33" t="str">
        <f t="shared" ca="1" si="45"/>
        <v/>
      </c>
      <c r="C275" s="25" t="str">
        <f t="shared" ca="1" si="46"/>
        <v/>
      </c>
      <c r="D275" s="26" t="str">
        <f t="shared" ca="1" si="47"/>
        <v/>
      </c>
      <c r="E275" s="4" t="str">
        <f t="shared" ca="1" si="48"/>
        <v/>
      </c>
      <c r="F275" s="25" t="str">
        <f t="shared" ca="1" si="49"/>
        <v/>
      </c>
      <c r="G275" s="26" t="str">
        <f t="shared" ca="1" si="50"/>
        <v/>
      </c>
      <c r="H275" s="55" t="str">
        <f t="shared" ca="1" si="51"/>
        <v/>
      </c>
      <c r="J275" s="37"/>
      <c r="N275" s="95" t="str">
        <f t="shared" si="43"/>
        <v/>
      </c>
      <c r="O275" s="95" t="str">
        <f t="shared" si="44"/>
        <v/>
      </c>
    </row>
    <row r="276" spans="1:15" x14ac:dyDescent="0.25">
      <c r="A276" s="98" t="str">
        <f t="shared" ca="1" si="52"/>
        <v/>
      </c>
      <c r="B276" s="33" t="str">
        <f t="shared" ca="1" si="45"/>
        <v/>
      </c>
      <c r="C276" s="25" t="str">
        <f t="shared" ca="1" si="46"/>
        <v/>
      </c>
      <c r="D276" s="26" t="str">
        <f t="shared" ca="1" si="47"/>
        <v/>
      </c>
      <c r="E276" s="4" t="str">
        <f t="shared" ca="1" si="48"/>
        <v/>
      </c>
      <c r="F276" s="25" t="str">
        <f t="shared" ca="1" si="49"/>
        <v/>
      </c>
      <c r="G276" s="26" t="str">
        <f t="shared" ca="1" si="50"/>
        <v/>
      </c>
      <c r="H276" s="55" t="str">
        <f t="shared" ca="1" si="51"/>
        <v/>
      </c>
      <c r="J276" s="37"/>
      <c r="N276" s="95" t="str">
        <f t="shared" si="43"/>
        <v/>
      </c>
      <c r="O276" s="95" t="str">
        <f t="shared" si="44"/>
        <v/>
      </c>
    </row>
    <row r="277" spans="1:15" x14ac:dyDescent="0.25">
      <c r="A277" s="98" t="str">
        <f t="shared" ca="1" si="52"/>
        <v/>
      </c>
      <c r="B277" s="33" t="str">
        <f t="shared" ca="1" si="45"/>
        <v/>
      </c>
      <c r="C277" s="25" t="str">
        <f t="shared" ca="1" si="46"/>
        <v/>
      </c>
      <c r="D277" s="26" t="str">
        <f t="shared" ca="1" si="47"/>
        <v/>
      </c>
      <c r="E277" s="4" t="str">
        <f t="shared" ca="1" si="48"/>
        <v/>
      </c>
      <c r="F277" s="25" t="str">
        <f t="shared" ca="1" si="49"/>
        <v/>
      </c>
      <c r="G277" s="26" t="str">
        <f t="shared" ca="1" si="50"/>
        <v/>
      </c>
      <c r="H277" s="55" t="str">
        <f t="shared" ca="1" si="51"/>
        <v/>
      </c>
      <c r="J277" s="37"/>
      <c r="N277" s="95" t="str">
        <f t="shared" si="43"/>
        <v/>
      </c>
      <c r="O277" s="95" t="str">
        <f t="shared" si="44"/>
        <v/>
      </c>
    </row>
    <row r="278" spans="1:15" x14ac:dyDescent="0.25">
      <c r="A278" s="98" t="str">
        <f t="shared" ca="1" si="52"/>
        <v/>
      </c>
      <c r="B278" s="33" t="str">
        <f t="shared" ca="1" si="45"/>
        <v/>
      </c>
      <c r="C278" s="25" t="str">
        <f t="shared" ca="1" si="46"/>
        <v/>
      </c>
      <c r="D278" s="26" t="str">
        <f t="shared" ca="1" si="47"/>
        <v/>
      </c>
      <c r="E278" s="4" t="str">
        <f t="shared" ca="1" si="48"/>
        <v/>
      </c>
      <c r="F278" s="25" t="str">
        <f t="shared" ca="1" si="49"/>
        <v/>
      </c>
      <c r="G278" s="26" t="str">
        <f t="shared" ca="1" si="50"/>
        <v/>
      </c>
      <c r="H278" s="55" t="str">
        <f t="shared" ca="1" si="51"/>
        <v/>
      </c>
      <c r="J278" s="37"/>
      <c r="N278" s="95" t="str">
        <f t="shared" si="43"/>
        <v/>
      </c>
      <c r="O278" s="95" t="str">
        <f t="shared" si="44"/>
        <v/>
      </c>
    </row>
    <row r="279" spans="1:15" x14ac:dyDescent="0.25">
      <c r="A279" s="98" t="str">
        <f t="shared" ca="1" si="52"/>
        <v/>
      </c>
      <c r="B279" s="33" t="str">
        <f t="shared" ca="1" si="45"/>
        <v/>
      </c>
      <c r="C279" s="25" t="str">
        <f t="shared" ca="1" si="46"/>
        <v/>
      </c>
      <c r="D279" s="26" t="str">
        <f t="shared" ca="1" si="47"/>
        <v/>
      </c>
      <c r="E279" s="4" t="str">
        <f t="shared" ca="1" si="48"/>
        <v/>
      </c>
      <c r="F279" s="25" t="str">
        <f t="shared" ca="1" si="49"/>
        <v/>
      </c>
      <c r="G279" s="26" t="str">
        <f t="shared" ca="1" si="50"/>
        <v/>
      </c>
      <c r="H279" s="55" t="str">
        <f t="shared" ca="1" si="51"/>
        <v/>
      </c>
      <c r="J279" s="37"/>
      <c r="N279" s="95" t="str">
        <f t="shared" si="43"/>
        <v/>
      </c>
      <c r="O279" s="95" t="str">
        <f t="shared" si="44"/>
        <v/>
      </c>
    </row>
    <row r="280" spans="1:15" x14ac:dyDescent="0.25">
      <c r="A280" s="98" t="str">
        <f t="shared" ca="1" si="52"/>
        <v/>
      </c>
      <c r="B280" s="33" t="str">
        <f t="shared" ca="1" si="45"/>
        <v/>
      </c>
      <c r="C280" s="25" t="str">
        <f t="shared" ca="1" si="46"/>
        <v/>
      </c>
      <c r="D280" s="26" t="str">
        <f t="shared" ca="1" si="47"/>
        <v/>
      </c>
      <c r="E280" s="4" t="str">
        <f t="shared" ca="1" si="48"/>
        <v/>
      </c>
      <c r="F280" s="25" t="str">
        <f t="shared" ca="1" si="49"/>
        <v/>
      </c>
      <c r="G280" s="26" t="str">
        <f t="shared" ca="1" si="50"/>
        <v/>
      </c>
      <c r="H280" s="55" t="str">
        <f t="shared" ca="1" si="51"/>
        <v/>
      </c>
      <c r="J280" s="37"/>
      <c r="N280" s="95" t="str">
        <f t="shared" si="43"/>
        <v/>
      </c>
      <c r="O280" s="95" t="str">
        <f t="shared" si="44"/>
        <v/>
      </c>
    </row>
    <row r="281" spans="1:15" x14ac:dyDescent="0.25">
      <c r="A281" s="98" t="str">
        <f t="shared" ca="1" si="52"/>
        <v/>
      </c>
      <c r="B281" s="33" t="str">
        <f t="shared" ca="1" si="45"/>
        <v/>
      </c>
      <c r="C281" s="25" t="str">
        <f t="shared" ca="1" si="46"/>
        <v/>
      </c>
      <c r="D281" s="26" t="str">
        <f t="shared" ca="1" si="47"/>
        <v/>
      </c>
      <c r="E281" s="4" t="str">
        <f t="shared" ca="1" si="48"/>
        <v/>
      </c>
      <c r="F281" s="25" t="str">
        <f t="shared" ca="1" si="49"/>
        <v/>
      </c>
      <c r="G281" s="26" t="str">
        <f t="shared" ca="1" si="50"/>
        <v/>
      </c>
      <c r="H281" s="55" t="str">
        <f t="shared" ca="1" si="51"/>
        <v/>
      </c>
      <c r="J281" s="37"/>
      <c r="N281" s="95" t="str">
        <f t="shared" si="43"/>
        <v/>
      </c>
      <c r="O281" s="95" t="str">
        <f t="shared" si="44"/>
        <v/>
      </c>
    </row>
    <row r="282" spans="1:15" x14ac:dyDescent="0.25">
      <c r="A282" s="98" t="str">
        <f t="shared" ca="1" si="52"/>
        <v/>
      </c>
      <c r="B282" s="33" t="str">
        <f t="shared" ca="1" si="45"/>
        <v/>
      </c>
      <c r="C282" s="25" t="str">
        <f t="shared" ca="1" si="46"/>
        <v/>
      </c>
      <c r="D282" s="26" t="str">
        <f t="shared" ca="1" si="47"/>
        <v/>
      </c>
      <c r="E282" s="4" t="str">
        <f t="shared" ca="1" si="48"/>
        <v/>
      </c>
      <c r="F282" s="25" t="str">
        <f t="shared" ca="1" si="49"/>
        <v/>
      </c>
      <c r="G282" s="26" t="str">
        <f t="shared" ca="1" si="50"/>
        <v/>
      </c>
      <c r="H282" s="55" t="str">
        <f t="shared" ca="1" si="51"/>
        <v/>
      </c>
      <c r="J282" s="37"/>
      <c r="N282" s="95" t="str">
        <f t="shared" si="43"/>
        <v/>
      </c>
      <c r="O282" s="95" t="str">
        <f t="shared" si="44"/>
        <v/>
      </c>
    </row>
    <row r="283" spans="1:15" x14ac:dyDescent="0.25">
      <c r="A283" s="98" t="str">
        <f t="shared" ca="1" si="52"/>
        <v/>
      </c>
      <c r="B283" s="33" t="str">
        <f t="shared" ca="1" si="45"/>
        <v/>
      </c>
      <c r="C283" s="25" t="str">
        <f t="shared" ca="1" si="46"/>
        <v/>
      </c>
      <c r="D283" s="26" t="str">
        <f t="shared" ca="1" si="47"/>
        <v/>
      </c>
      <c r="E283" s="4" t="str">
        <f t="shared" ca="1" si="48"/>
        <v/>
      </c>
      <c r="F283" s="25" t="str">
        <f t="shared" ca="1" si="49"/>
        <v/>
      </c>
      <c r="G283" s="26" t="str">
        <f t="shared" ca="1" si="50"/>
        <v/>
      </c>
      <c r="H283" s="55" t="str">
        <f t="shared" ca="1" si="51"/>
        <v/>
      </c>
      <c r="J283" s="37"/>
      <c r="N283" s="95" t="str">
        <f t="shared" si="43"/>
        <v/>
      </c>
      <c r="O283" s="95" t="str">
        <f t="shared" si="44"/>
        <v/>
      </c>
    </row>
    <row r="284" spans="1:15" x14ac:dyDescent="0.25">
      <c r="A284" s="98" t="str">
        <f t="shared" ca="1" si="52"/>
        <v/>
      </c>
      <c r="B284" s="33" t="str">
        <f t="shared" ca="1" si="45"/>
        <v/>
      </c>
      <c r="C284" s="25" t="str">
        <f t="shared" ca="1" si="46"/>
        <v/>
      </c>
      <c r="D284" s="26" t="str">
        <f t="shared" ca="1" si="47"/>
        <v/>
      </c>
      <c r="E284" s="4" t="str">
        <f t="shared" ca="1" si="48"/>
        <v/>
      </c>
      <c r="F284" s="25" t="str">
        <f t="shared" ca="1" si="49"/>
        <v/>
      </c>
      <c r="G284" s="26" t="str">
        <f t="shared" ca="1" si="50"/>
        <v/>
      </c>
      <c r="H284" s="55" t="str">
        <f t="shared" ca="1" si="51"/>
        <v/>
      </c>
      <c r="J284" s="37"/>
      <c r="N284" s="95" t="str">
        <f t="shared" si="43"/>
        <v/>
      </c>
      <c r="O284" s="95" t="str">
        <f t="shared" si="44"/>
        <v/>
      </c>
    </row>
    <row r="285" spans="1:15" x14ac:dyDescent="0.25">
      <c r="A285" s="98" t="str">
        <f t="shared" ca="1" si="52"/>
        <v/>
      </c>
      <c r="B285" s="33" t="str">
        <f t="shared" ca="1" si="45"/>
        <v/>
      </c>
      <c r="C285" s="25" t="str">
        <f t="shared" ca="1" si="46"/>
        <v/>
      </c>
      <c r="D285" s="26" t="str">
        <f t="shared" ca="1" si="47"/>
        <v/>
      </c>
      <c r="E285" s="4" t="str">
        <f t="shared" ca="1" si="48"/>
        <v/>
      </c>
      <c r="F285" s="25" t="str">
        <f t="shared" ca="1" si="49"/>
        <v/>
      </c>
      <c r="G285" s="26" t="str">
        <f t="shared" ca="1" si="50"/>
        <v/>
      </c>
      <c r="H285" s="55" t="str">
        <f t="shared" ca="1" si="51"/>
        <v/>
      </c>
      <c r="J285" s="37"/>
      <c r="N285" s="95" t="str">
        <f t="shared" si="43"/>
        <v/>
      </c>
      <c r="O285" s="95" t="str">
        <f t="shared" si="44"/>
        <v/>
      </c>
    </row>
    <row r="286" spans="1:15" x14ac:dyDescent="0.25">
      <c r="A286" s="98" t="str">
        <f t="shared" ca="1" si="52"/>
        <v/>
      </c>
      <c r="B286" s="33" t="str">
        <f t="shared" ca="1" si="45"/>
        <v/>
      </c>
      <c r="C286" s="25" t="str">
        <f t="shared" ca="1" si="46"/>
        <v/>
      </c>
      <c r="D286" s="26" t="str">
        <f t="shared" ca="1" si="47"/>
        <v/>
      </c>
      <c r="E286" s="4" t="str">
        <f t="shared" ca="1" si="48"/>
        <v/>
      </c>
      <c r="F286" s="25" t="str">
        <f t="shared" ca="1" si="49"/>
        <v/>
      </c>
      <c r="G286" s="26" t="str">
        <f t="shared" ca="1" si="50"/>
        <v/>
      </c>
      <c r="H286" s="55" t="str">
        <f t="shared" ca="1" si="51"/>
        <v/>
      </c>
      <c r="J286" s="37"/>
      <c r="N286" s="95" t="str">
        <f t="shared" si="43"/>
        <v/>
      </c>
      <c r="O286" s="95" t="str">
        <f t="shared" si="44"/>
        <v/>
      </c>
    </row>
    <row r="287" spans="1:15" x14ac:dyDescent="0.25">
      <c r="A287" s="98" t="str">
        <f t="shared" ca="1" si="52"/>
        <v/>
      </c>
      <c r="B287" s="33" t="str">
        <f t="shared" ca="1" si="45"/>
        <v/>
      </c>
      <c r="C287" s="25" t="str">
        <f t="shared" ca="1" si="46"/>
        <v/>
      </c>
      <c r="D287" s="26" t="str">
        <f t="shared" ca="1" si="47"/>
        <v/>
      </c>
      <c r="E287" s="4" t="str">
        <f t="shared" ca="1" si="48"/>
        <v/>
      </c>
      <c r="F287" s="25" t="str">
        <f t="shared" ca="1" si="49"/>
        <v/>
      </c>
      <c r="G287" s="26" t="str">
        <f t="shared" ca="1" si="50"/>
        <v/>
      </c>
      <c r="H287" s="55" t="str">
        <f t="shared" ca="1" si="51"/>
        <v/>
      </c>
      <c r="J287" s="37"/>
      <c r="N287" s="95" t="str">
        <f t="shared" si="43"/>
        <v/>
      </c>
      <c r="O287" s="95" t="str">
        <f t="shared" si="44"/>
        <v/>
      </c>
    </row>
    <row r="288" spans="1:15" x14ac:dyDescent="0.25">
      <c r="A288" s="98" t="str">
        <f t="shared" ca="1" si="52"/>
        <v/>
      </c>
      <c r="B288" s="33" t="str">
        <f t="shared" ca="1" si="45"/>
        <v/>
      </c>
      <c r="C288" s="25" t="str">
        <f t="shared" ca="1" si="46"/>
        <v/>
      </c>
      <c r="D288" s="26" t="str">
        <f t="shared" ca="1" si="47"/>
        <v/>
      </c>
      <c r="E288" s="4" t="str">
        <f t="shared" ca="1" si="48"/>
        <v/>
      </c>
      <c r="F288" s="25" t="str">
        <f t="shared" ca="1" si="49"/>
        <v/>
      </c>
      <c r="G288" s="26" t="str">
        <f t="shared" ca="1" si="50"/>
        <v/>
      </c>
      <c r="H288" s="55" t="str">
        <f t="shared" ca="1" si="51"/>
        <v/>
      </c>
      <c r="J288" s="37"/>
      <c r="N288" s="95" t="str">
        <f t="shared" si="43"/>
        <v/>
      </c>
      <c r="O288" s="95" t="str">
        <f t="shared" si="44"/>
        <v/>
      </c>
    </row>
    <row r="289" spans="1:15" x14ac:dyDescent="0.25">
      <c r="A289" s="98" t="str">
        <f t="shared" ca="1" si="52"/>
        <v/>
      </c>
      <c r="B289" s="33" t="str">
        <f t="shared" ca="1" si="45"/>
        <v/>
      </c>
      <c r="C289" s="25" t="str">
        <f t="shared" ca="1" si="46"/>
        <v/>
      </c>
      <c r="D289" s="26" t="str">
        <f t="shared" ca="1" si="47"/>
        <v/>
      </c>
      <c r="E289" s="4" t="str">
        <f t="shared" ca="1" si="48"/>
        <v/>
      </c>
      <c r="F289" s="25" t="str">
        <f t="shared" ca="1" si="49"/>
        <v/>
      </c>
      <c r="G289" s="26" t="str">
        <f t="shared" ca="1" si="50"/>
        <v/>
      </c>
      <c r="H289" s="55" t="str">
        <f t="shared" ca="1" si="51"/>
        <v/>
      </c>
      <c r="J289" s="37"/>
      <c r="N289" s="95" t="str">
        <f t="shared" si="43"/>
        <v/>
      </c>
      <c r="O289" s="95" t="str">
        <f t="shared" si="44"/>
        <v/>
      </c>
    </row>
    <row r="290" spans="1:15" x14ac:dyDescent="0.25">
      <c r="A290" s="98" t="str">
        <f t="shared" ca="1" si="52"/>
        <v/>
      </c>
      <c r="B290" s="33" t="str">
        <f t="shared" ca="1" si="45"/>
        <v/>
      </c>
      <c r="C290" s="25" t="str">
        <f t="shared" ca="1" si="46"/>
        <v/>
      </c>
      <c r="D290" s="26" t="str">
        <f t="shared" ca="1" si="47"/>
        <v/>
      </c>
      <c r="E290" s="4" t="str">
        <f t="shared" ca="1" si="48"/>
        <v/>
      </c>
      <c r="F290" s="25" t="str">
        <f t="shared" ca="1" si="49"/>
        <v/>
      </c>
      <c r="G290" s="26" t="str">
        <f t="shared" ca="1" si="50"/>
        <v/>
      </c>
      <c r="H290" s="55" t="str">
        <f t="shared" ca="1" si="51"/>
        <v/>
      </c>
      <c r="J290" s="37"/>
      <c r="N290" s="95" t="str">
        <f t="shared" si="43"/>
        <v/>
      </c>
      <c r="O290" s="95" t="str">
        <f t="shared" si="44"/>
        <v/>
      </c>
    </row>
    <row r="291" spans="1:15" x14ac:dyDescent="0.25">
      <c r="A291" s="98" t="str">
        <f t="shared" ca="1" si="52"/>
        <v/>
      </c>
      <c r="B291" s="33" t="str">
        <f t="shared" ca="1" si="45"/>
        <v/>
      </c>
      <c r="C291" s="25" t="str">
        <f t="shared" ca="1" si="46"/>
        <v/>
      </c>
      <c r="D291" s="26" t="str">
        <f t="shared" ca="1" si="47"/>
        <v/>
      </c>
      <c r="E291" s="4" t="str">
        <f t="shared" ca="1" si="48"/>
        <v/>
      </c>
      <c r="F291" s="25" t="str">
        <f t="shared" ca="1" si="49"/>
        <v/>
      </c>
      <c r="G291" s="26" t="str">
        <f t="shared" ca="1" si="50"/>
        <v/>
      </c>
      <c r="H291" s="55" t="str">
        <f t="shared" ca="1" si="51"/>
        <v/>
      </c>
      <c r="J291" s="37"/>
      <c r="N291" s="95" t="str">
        <f t="shared" si="43"/>
        <v/>
      </c>
      <c r="O291" s="95" t="str">
        <f t="shared" si="44"/>
        <v/>
      </c>
    </row>
    <row r="292" spans="1:15" x14ac:dyDescent="0.25">
      <c r="A292" s="98" t="str">
        <f t="shared" ca="1" si="52"/>
        <v/>
      </c>
      <c r="B292" s="33" t="str">
        <f t="shared" ca="1" si="45"/>
        <v/>
      </c>
      <c r="C292" s="25" t="str">
        <f t="shared" ca="1" si="46"/>
        <v/>
      </c>
      <c r="D292" s="26" t="str">
        <f t="shared" ca="1" si="47"/>
        <v/>
      </c>
      <c r="E292" s="4" t="str">
        <f t="shared" ca="1" si="48"/>
        <v/>
      </c>
      <c r="F292" s="25" t="str">
        <f t="shared" ca="1" si="49"/>
        <v/>
      </c>
      <c r="G292" s="26" t="str">
        <f t="shared" ca="1" si="50"/>
        <v/>
      </c>
      <c r="H292" s="55" t="str">
        <f t="shared" ca="1" si="51"/>
        <v/>
      </c>
      <c r="J292" s="37"/>
      <c r="N292" s="95" t="str">
        <f t="shared" si="43"/>
        <v/>
      </c>
      <c r="O292" s="95" t="str">
        <f t="shared" si="44"/>
        <v/>
      </c>
    </row>
    <row r="293" spans="1:15" x14ac:dyDescent="0.25">
      <c r="A293" s="98" t="str">
        <f t="shared" ca="1" si="52"/>
        <v/>
      </c>
      <c r="B293" s="33" t="str">
        <f t="shared" ca="1" si="45"/>
        <v/>
      </c>
      <c r="C293" s="25" t="str">
        <f t="shared" ca="1" si="46"/>
        <v/>
      </c>
      <c r="D293" s="26" t="str">
        <f t="shared" ca="1" si="47"/>
        <v/>
      </c>
      <c r="E293" s="4" t="str">
        <f t="shared" ca="1" si="48"/>
        <v/>
      </c>
      <c r="F293" s="25" t="str">
        <f t="shared" ca="1" si="49"/>
        <v/>
      </c>
      <c r="G293" s="26" t="str">
        <f t="shared" ca="1" si="50"/>
        <v/>
      </c>
      <c r="H293" s="55" t="str">
        <f t="shared" ca="1" si="51"/>
        <v/>
      </c>
      <c r="J293" s="37"/>
      <c r="N293" s="95" t="str">
        <f t="shared" si="43"/>
        <v/>
      </c>
      <c r="O293" s="95" t="str">
        <f t="shared" si="44"/>
        <v/>
      </c>
    </row>
    <row r="294" spans="1:15" x14ac:dyDescent="0.25">
      <c r="A294" s="98" t="str">
        <f t="shared" ca="1" si="52"/>
        <v/>
      </c>
      <c r="B294" s="33" t="str">
        <f t="shared" ca="1" si="45"/>
        <v/>
      </c>
      <c r="C294" s="25" t="str">
        <f t="shared" ca="1" si="46"/>
        <v/>
      </c>
      <c r="D294" s="26" t="str">
        <f t="shared" ca="1" si="47"/>
        <v/>
      </c>
      <c r="E294" s="4" t="str">
        <f t="shared" ca="1" si="48"/>
        <v/>
      </c>
      <c r="F294" s="25" t="str">
        <f t="shared" ca="1" si="49"/>
        <v/>
      </c>
      <c r="G294" s="26" t="str">
        <f t="shared" ca="1" si="50"/>
        <v/>
      </c>
      <c r="H294" s="55" t="str">
        <f t="shared" ca="1" si="51"/>
        <v/>
      </c>
      <c r="J294" s="37"/>
      <c r="N294" s="95" t="str">
        <f t="shared" si="43"/>
        <v/>
      </c>
      <c r="O294" s="95" t="str">
        <f t="shared" si="44"/>
        <v/>
      </c>
    </row>
    <row r="295" spans="1:15" x14ac:dyDescent="0.25">
      <c r="A295" s="98" t="str">
        <f t="shared" ca="1" si="52"/>
        <v/>
      </c>
      <c r="B295" s="33" t="str">
        <f t="shared" ca="1" si="45"/>
        <v/>
      </c>
      <c r="C295" s="25" t="str">
        <f t="shared" ca="1" si="46"/>
        <v/>
      </c>
      <c r="D295" s="26" t="str">
        <f t="shared" ca="1" si="47"/>
        <v/>
      </c>
      <c r="E295" s="4" t="str">
        <f t="shared" ca="1" si="48"/>
        <v/>
      </c>
      <c r="F295" s="25" t="str">
        <f t="shared" ca="1" si="49"/>
        <v/>
      </c>
      <c r="G295" s="26" t="str">
        <f t="shared" ca="1" si="50"/>
        <v/>
      </c>
      <c r="H295" s="55" t="str">
        <f t="shared" ca="1" si="51"/>
        <v/>
      </c>
      <c r="J295" s="37"/>
      <c r="N295" s="95" t="str">
        <f t="shared" si="43"/>
        <v/>
      </c>
      <c r="O295" s="95" t="str">
        <f t="shared" si="44"/>
        <v/>
      </c>
    </row>
    <row r="296" spans="1:15" x14ac:dyDescent="0.25">
      <c r="A296" s="98" t="str">
        <f t="shared" ca="1" si="52"/>
        <v/>
      </c>
      <c r="B296" s="33" t="str">
        <f t="shared" ca="1" si="45"/>
        <v/>
      </c>
      <c r="C296" s="25" t="str">
        <f t="shared" ca="1" si="46"/>
        <v/>
      </c>
      <c r="D296" s="26" t="str">
        <f t="shared" ca="1" si="47"/>
        <v/>
      </c>
      <c r="E296" s="4" t="str">
        <f t="shared" ca="1" si="48"/>
        <v/>
      </c>
      <c r="F296" s="25" t="str">
        <f t="shared" ca="1" si="49"/>
        <v/>
      </c>
      <c r="G296" s="26" t="str">
        <f t="shared" ca="1" si="50"/>
        <v/>
      </c>
      <c r="H296" s="55" t="str">
        <f t="shared" ca="1" si="51"/>
        <v/>
      </c>
      <c r="J296" s="37"/>
      <c r="N296" s="95" t="str">
        <f t="shared" si="43"/>
        <v/>
      </c>
      <c r="O296" s="95" t="str">
        <f t="shared" si="44"/>
        <v/>
      </c>
    </row>
    <row r="297" spans="1:15" x14ac:dyDescent="0.25">
      <c r="A297" s="98" t="str">
        <f t="shared" ca="1" si="52"/>
        <v/>
      </c>
      <c r="B297" s="33" t="str">
        <f t="shared" ca="1" si="45"/>
        <v/>
      </c>
      <c r="C297" s="25" t="str">
        <f t="shared" ca="1" si="46"/>
        <v/>
      </c>
      <c r="D297" s="26" t="str">
        <f t="shared" ca="1" si="47"/>
        <v/>
      </c>
      <c r="E297" s="4" t="str">
        <f t="shared" ca="1" si="48"/>
        <v/>
      </c>
      <c r="F297" s="25" t="str">
        <f t="shared" ca="1" si="49"/>
        <v/>
      </c>
      <c r="G297" s="26" t="str">
        <f t="shared" ca="1" si="50"/>
        <v/>
      </c>
      <c r="H297" s="55" t="str">
        <f t="shared" ca="1" si="51"/>
        <v/>
      </c>
      <c r="J297" s="37"/>
      <c r="N297" s="95" t="str">
        <f t="shared" si="43"/>
        <v/>
      </c>
      <c r="O297" s="95" t="str">
        <f t="shared" si="44"/>
        <v/>
      </c>
    </row>
    <row r="298" spans="1:15" x14ac:dyDescent="0.25">
      <c r="A298" s="98" t="str">
        <f t="shared" ca="1" si="52"/>
        <v/>
      </c>
      <c r="B298" s="33" t="str">
        <f t="shared" ca="1" si="45"/>
        <v/>
      </c>
      <c r="C298" s="25" t="str">
        <f t="shared" ca="1" si="46"/>
        <v/>
      </c>
      <c r="D298" s="26" t="str">
        <f t="shared" ca="1" si="47"/>
        <v/>
      </c>
      <c r="E298" s="4" t="str">
        <f t="shared" ca="1" si="48"/>
        <v/>
      </c>
      <c r="F298" s="25" t="str">
        <f t="shared" ca="1" si="49"/>
        <v/>
      </c>
      <c r="G298" s="26" t="str">
        <f t="shared" ca="1" si="50"/>
        <v/>
      </c>
      <c r="H298" s="55" t="str">
        <f t="shared" ca="1" si="51"/>
        <v/>
      </c>
      <c r="J298" s="37"/>
      <c r="N298" s="95" t="str">
        <f t="shared" si="43"/>
        <v/>
      </c>
      <c r="O298" s="95" t="str">
        <f t="shared" si="44"/>
        <v/>
      </c>
    </row>
    <row r="299" spans="1:15" x14ac:dyDescent="0.25">
      <c r="A299" s="98" t="str">
        <f t="shared" ca="1" si="52"/>
        <v/>
      </c>
      <c r="B299" s="33" t="str">
        <f t="shared" ca="1" si="45"/>
        <v/>
      </c>
      <c r="C299" s="25" t="str">
        <f t="shared" ca="1" si="46"/>
        <v/>
      </c>
      <c r="D299" s="26" t="str">
        <f t="shared" ca="1" si="47"/>
        <v/>
      </c>
      <c r="E299" s="4" t="str">
        <f t="shared" ca="1" si="48"/>
        <v/>
      </c>
      <c r="F299" s="25" t="str">
        <f t="shared" ca="1" si="49"/>
        <v/>
      </c>
      <c r="G299" s="26" t="str">
        <f t="shared" ca="1" si="50"/>
        <v/>
      </c>
      <c r="H299" s="55" t="str">
        <f t="shared" ca="1" si="51"/>
        <v/>
      </c>
      <c r="J299" s="37"/>
      <c r="N299" s="95" t="str">
        <f t="shared" si="43"/>
        <v/>
      </c>
      <c r="O299" s="95" t="str">
        <f t="shared" si="44"/>
        <v/>
      </c>
    </row>
    <row r="300" spans="1:15" x14ac:dyDescent="0.25">
      <c r="A300" s="98" t="str">
        <f t="shared" ca="1" si="52"/>
        <v/>
      </c>
      <c r="B300" s="33" t="str">
        <f t="shared" ca="1" si="45"/>
        <v/>
      </c>
      <c r="C300" s="25" t="str">
        <f t="shared" ca="1" si="46"/>
        <v/>
      </c>
      <c r="D300" s="26" t="str">
        <f t="shared" ca="1" si="47"/>
        <v/>
      </c>
      <c r="E300" s="4" t="str">
        <f t="shared" ca="1" si="48"/>
        <v/>
      </c>
      <c r="F300" s="25" t="str">
        <f t="shared" ca="1" si="49"/>
        <v/>
      </c>
      <c r="G300" s="26" t="str">
        <f t="shared" ca="1" si="50"/>
        <v/>
      </c>
      <c r="H300" s="55" t="str">
        <f t="shared" ca="1" si="51"/>
        <v/>
      </c>
      <c r="J300" s="37"/>
      <c r="N300" s="95" t="str">
        <f t="shared" si="43"/>
        <v/>
      </c>
      <c r="O300" s="95" t="str">
        <f t="shared" si="44"/>
        <v/>
      </c>
    </row>
    <row r="301" spans="1:15" x14ac:dyDescent="0.25">
      <c r="A301" s="98" t="str">
        <f t="shared" ca="1" si="52"/>
        <v/>
      </c>
      <c r="B301" s="33" t="str">
        <f t="shared" ca="1" si="45"/>
        <v/>
      </c>
      <c r="C301" s="25" t="str">
        <f t="shared" ca="1" si="46"/>
        <v/>
      </c>
      <c r="D301" s="26" t="str">
        <f t="shared" ca="1" si="47"/>
        <v/>
      </c>
      <c r="E301" s="4" t="str">
        <f t="shared" ca="1" si="48"/>
        <v/>
      </c>
      <c r="F301" s="25" t="str">
        <f t="shared" ca="1" si="49"/>
        <v/>
      </c>
      <c r="G301" s="26" t="str">
        <f t="shared" ca="1" si="50"/>
        <v/>
      </c>
      <c r="H301" s="55" t="str">
        <f t="shared" ca="1" si="51"/>
        <v/>
      </c>
      <c r="J301" s="37"/>
      <c r="N301" s="95" t="str">
        <f t="shared" si="43"/>
        <v/>
      </c>
      <c r="O301" s="95" t="str">
        <f t="shared" si="44"/>
        <v/>
      </c>
    </row>
    <row r="302" spans="1:15" x14ac:dyDescent="0.25">
      <c r="A302" s="98" t="str">
        <f t="shared" ca="1" si="52"/>
        <v/>
      </c>
      <c r="B302" s="33" t="str">
        <f t="shared" ca="1" si="45"/>
        <v/>
      </c>
      <c r="C302" s="25" t="str">
        <f t="shared" ca="1" si="46"/>
        <v/>
      </c>
      <c r="D302" s="26" t="str">
        <f t="shared" ca="1" si="47"/>
        <v/>
      </c>
      <c r="E302" s="4" t="str">
        <f t="shared" ca="1" si="48"/>
        <v/>
      </c>
      <c r="F302" s="25" t="str">
        <f t="shared" ca="1" si="49"/>
        <v/>
      </c>
      <c r="G302" s="26" t="str">
        <f t="shared" ca="1" si="50"/>
        <v/>
      </c>
      <c r="H302" s="55" t="str">
        <f t="shared" ca="1" si="51"/>
        <v/>
      </c>
      <c r="J302" s="37"/>
      <c r="N302" s="95" t="str">
        <f t="shared" si="43"/>
        <v/>
      </c>
      <c r="O302" s="95" t="str">
        <f t="shared" si="44"/>
        <v/>
      </c>
    </row>
    <row r="303" spans="1:15" x14ac:dyDescent="0.25">
      <c r="A303" s="98" t="str">
        <f t="shared" ca="1" si="52"/>
        <v/>
      </c>
      <c r="B303" s="33" t="str">
        <f t="shared" ca="1" si="45"/>
        <v/>
      </c>
      <c r="C303" s="25" t="str">
        <f t="shared" ca="1" si="46"/>
        <v/>
      </c>
      <c r="D303" s="26" t="str">
        <f t="shared" ca="1" si="47"/>
        <v/>
      </c>
      <c r="E303" s="4" t="str">
        <f t="shared" ca="1" si="48"/>
        <v/>
      </c>
      <c r="F303" s="25" t="str">
        <f t="shared" ca="1" si="49"/>
        <v/>
      </c>
      <c r="G303" s="26" t="str">
        <f t="shared" ca="1" si="50"/>
        <v/>
      </c>
      <c r="H303" s="55" t="str">
        <f t="shared" ca="1" si="51"/>
        <v/>
      </c>
      <c r="J303" s="37"/>
      <c r="N303" s="95" t="str">
        <f t="shared" si="43"/>
        <v/>
      </c>
      <c r="O303" s="95" t="str">
        <f t="shared" si="44"/>
        <v/>
      </c>
    </row>
    <row r="304" spans="1:15" x14ac:dyDescent="0.25">
      <c r="A304" s="98" t="str">
        <f t="shared" ca="1" si="52"/>
        <v/>
      </c>
      <c r="B304" s="33" t="str">
        <f t="shared" ca="1" si="45"/>
        <v/>
      </c>
      <c r="C304" s="25" t="str">
        <f t="shared" ca="1" si="46"/>
        <v/>
      </c>
      <c r="D304" s="26" t="str">
        <f t="shared" ca="1" si="47"/>
        <v/>
      </c>
      <c r="E304" s="4" t="str">
        <f t="shared" ca="1" si="48"/>
        <v/>
      </c>
      <c r="F304" s="25" t="str">
        <f t="shared" ca="1" si="49"/>
        <v/>
      </c>
      <c r="G304" s="26" t="str">
        <f t="shared" ca="1" si="50"/>
        <v/>
      </c>
      <c r="H304" s="55" t="str">
        <f t="shared" ca="1" si="51"/>
        <v/>
      </c>
      <c r="J304" s="37"/>
      <c r="N304" s="95" t="str">
        <f t="shared" si="43"/>
        <v/>
      </c>
      <c r="O304" s="95" t="str">
        <f t="shared" si="44"/>
        <v/>
      </c>
    </row>
    <row r="305" spans="1:15" x14ac:dyDescent="0.25">
      <c r="A305" s="98" t="str">
        <f t="shared" ca="1" si="52"/>
        <v/>
      </c>
      <c r="B305" s="33" t="str">
        <f t="shared" ca="1" si="45"/>
        <v/>
      </c>
      <c r="C305" s="25" t="str">
        <f t="shared" ca="1" si="46"/>
        <v/>
      </c>
      <c r="D305" s="26" t="str">
        <f t="shared" ca="1" si="47"/>
        <v/>
      </c>
      <c r="E305" s="4" t="str">
        <f t="shared" ca="1" si="48"/>
        <v/>
      </c>
      <c r="F305" s="25" t="str">
        <f t="shared" ca="1" si="49"/>
        <v/>
      </c>
      <c r="G305" s="26" t="str">
        <f t="shared" ca="1" si="50"/>
        <v/>
      </c>
      <c r="H305" s="55" t="str">
        <f t="shared" ca="1" si="51"/>
        <v/>
      </c>
      <c r="J305" s="37"/>
      <c r="N305" s="95" t="str">
        <f t="shared" si="43"/>
        <v/>
      </c>
      <c r="O305" s="95" t="str">
        <f t="shared" si="44"/>
        <v/>
      </c>
    </row>
    <row r="306" spans="1:15" x14ac:dyDescent="0.25">
      <c r="A306" s="98" t="str">
        <f t="shared" ca="1" si="52"/>
        <v/>
      </c>
      <c r="B306" s="33" t="str">
        <f t="shared" ca="1" si="45"/>
        <v/>
      </c>
      <c r="C306" s="25" t="str">
        <f t="shared" ca="1" si="46"/>
        <v/>
      </c>
      <c r="D306" s="26" t="str">
        <f t="shared" ca="1" si="47"/>
        <v/>
      </c>
      <c r="E306" s="4" t="str">
        <f t="shared" ca="1" si="48"/>
        <v/>
      </c>
      <c r="F306" s="25" t="str">
        <f t="shared" ca="1" si="49"/>
        <v/>
      </c>
      <c r="G306" s="26" t="str">
        <f t="shared" ca="1" si="50"/>
        <v/>
      </c>
      <c r="H306" s="55" t="str">
        <f t="shared" ca="1" si="51"/>
        <v/>
      </c>
      <c r="J306" s="37"/>
      <c r="N306" s="95" t="str">
        <f t="shared" si="43"/>
        <v/>
      </c>
      <c r="O306" s="95" t="str">
        <f t="shared" si="44"/>
        <v/>
      </c>
    </row>
    <row r="307" spans="1:15" x14ac:dyDescent="0.25">
      <c r="A307" s="98" t="str">
        <f t="shared" ca="1" si="52"/>
        <v/>
      </c>
      <c r="B307" s="33" t="str">
        <f t="shared" ca="1" si="45"/>
        <v/>
      </c>
      <c r="C307" s="25" t="str">
        <f t="shared" ca="1" si="46"/>
        <v/>
      </c>
      <c r="D307" s="26" t="str">
        <f t="shared" ca="1" si="47"/>
        <v/>
      </c>
      <c r="E307" s="4" t="str">
        <f t="shared" ca="1" si="48"/>
        <v/>
      </c>
      <c r="F307" s="25" t="str">
        <f t="shared" ca="1" si="49"/>
        <v/>
      </c>
      <c r="G307" s="26" t="str">
        <f t="shared" ca="1" si="50"/>
        <v/>
      </c>
      <c r="H307" s="55" t="str">
        <f t="shared" ca="1" si="51"/>
        <v/>
      </c>
      <c r="J307" s="37"/>
      <c r="N307" s="95" t="str">
        <f t="shared" si="43"/>
        <v/>
      </c>
      <c r="O307" s="95" t="str">
        <f t="shared" si="44"/>
        <v/>
      </c>
    </row>
    <row r="308" spans="1:15" x14ac:dyDescent="0.25">
      <c r="A308" s="98" t="str">
        <f t="shared" ca="1" si="52"/>
        <v/>
      </c>
      <c r="B308" s="33" t="str">
        <f t="shared" ca="1" si="45"/>
        <v/>
      </c>
      <c r="C308" s="25" t="str">
        <f t="shared" ca="1" si="46"/>
        <v/>
      </c>
      <c r="D308" s="26" t="str">
        <f t="shared" ca="1" si="47"/>
        <v/>
      </c>
      <c r="E308" s="4" t="str">
        <f t="shared" ca="1" si="48"/>
        <v/>
      </c>
      <c r="F308" s="25" t="str">
        <f t="shared" ca="1" si="49"/>
        <v/>
      </c>
      <c r="G308" s="26" t="str">
        <f t="shared" ca="1" si="50"/>
        <v/>
      </c>
      <c r="H308" s="55" t="str">
        <f t="shared" ca="1" si="51"/>
        <v/>
      </c>
      <c r="J308" s="37"/>
      <c r="N308" s="95" t="str">
        <f t="shared" si="43"/>
        <v/>
      </c>
      <c r="O308" s="95" t="str">
        <f t="shared" si="44"/>
        <v/>
      </c>
    </row>
    <row r="309" spans="1:15" x14ac:dyDescent="0.25">
      <c r="A309" s="98" t="str">
        <f t="shared" ca="1" si="52"/>
        <v/>
      </c>
      <c r="B309" s="33" t="str">
        <f t="shared" ca="1" si="45"/>
        <v/>
      </c>
      <c r="C309" s="25" t="str">
        <f t="shared" ca="1" si="46"/>
        <v/>
      </c>
      <c r="D309" s="26" t="str">
        <f t="shared" ca="1" si="47"/>
        <v/>
      </c>
      <c r="E309" s="4" t="str">
        <f t="shared" ca="1" si="48"/>
        <v/>
      </c>
      <c r="F309" s="25" t="str">
        <f t="shared" ca="1" si="49"/>
        <v/>
      </c>
      <c r="G309" s="26" t="str">
        <f t="shared" ca="1" si="50"/>
        <v/>
      </c>
      <c r="H309" s="55" t="str">
        <f t="shared" ca="1" si="51"/>
        <v/>
      </c>
      <c r="J309" s="37"/>
      <c r="N309" s="95" t="str">
        <f t="shared" si="43"/>
        <v/>
      </c>
      <c r="O309" s="95" t="str">
        <f t="shared" si="44"/>
        <v/>
      </c>
    </row>
    <row r="310" spans="1:15" x14ac:dyDescent="0.25">
      <c r="A310" s="98" t="str">
        <f t="shared" ca="1" si="52"/>
        <v/>
      </c>
      <c r="B310" s="33" t="str">
        <f t="shared" ca="1" si="45"/>
        <v/>
      </c>
      <c r="C310" s="25" t="str">
        <f t="shared" ca="1" si="46"/>
        <v/>
      </c>
      <c r="D310" s="26" t="str">
        <f t="shared" ca="1" si="47"/>
        <v/>
      </c>
      <c r="E310" s="4" t="str">
        <f t="shared" ca="1" si="48"/>
        <v/>
      </c>
      <c r="F310" s="25" t="str">
        <f t="shared" ca="1" si="49"/>
        <v/>
      </c>
      <c r="G310" s="26" t="str">
        <f t="shared" ca="1" si="50"/>
        <v/>
      </c>
      <c r="H310" s="55" t="str">
        <f t="shared" ca="1" si="51"/>
        <v/>
      </c>
      <c r="J310" s="37"/>
      <c r="N310" s="95" t="str">
        <f t="shared" si="43"/>
        <v/>
      </c>
      <c r="O310" s="95" t="str">
        <f t="shared" si="44"/>
        <v/>
      </c>
    </row>
    <row r="311" spans="1:15" x14ac:dyDescent="0.25">
      <c r="A311" s="98" t="str">
        <f t="shared" ca="1" si="52"/>
        <v/>
      </c>
      <c r="B311" s="33" t="str">
        <f t="shared" ca="1" si="45"/>
        <v/>
      </c>
      <c r="C311" s="25" t="str">
        <f t="shared" ca="1" si="46"/>
        <v/>
      </c>
      <c r="D311" s="26" t="str">
        <f t="shared" ca="1" si="47"/>
        <v/>
      </c>
      <c r="E311" s="4" t="str">
        <f t="shared" ca="1" si="48"/>
        <v/>
      </c>
      <c r="F311" s="25" t="str">
        <f t="shared" ca="1" si="49"/>
        <v/>
      </c>
      <c r="G311" s="26" t="str">
        <f t="shared" ca="1" si="50"/>
        <v/>
      </c>
      <c r="H311" s="55" t="str">
        <f t="shared" ca="1" si="51"/>
        <v/>
      </c>
      <c r="J311" s="37"/>
      <c r="N311" s="95" t="str">
        <f t="shared" si="43"/>
        <v/>
      </c>
      <c r="O311" s="95" t="str">
        <f t="shared" si="44"/>
        <v/>
      </c>
    </row>
    <row r="312" spans="1:15" x14ac:dyDescent="0.25">
      <c r="A312" s="98" t="str">
        <f t="shared" ca="1" si="52"/>
        <v/>
      </c>
      <c r="B312" s="33" t="str">
        <f t="shared" ca="1" si="45"/>
        <v/>
      </c>
      <c r="C312" s="25" t="str">
        <f t="shared" ca="1" si="46"/>
        <v/>
      </c>
      <c r="D312" s="26" t="str">
        <f t="shared" ca="1" si="47"/>
        <v/>
      </c>
      <c r="E312" s="4" t="str">
        <f t="shared" ca="1" si="48"/>
        <v/>
      </c>
      <c r="F312" s="25" t="str">
        <f t="shared" ca="1" si="49"/>
        <v/>
      </c>
      <c r="G312" s="26" t="str">
        <f t="shared" ca="1" si="50"/>
        <v/>
      </c>
      <c r="H312" s="55" t="str">
        <f t="shared" ca="1" si="51"/>
        <v/>
      </c>
      <c r="J312" s="37"/>
      <c r="N312" s="95" t="str">
        <f t="shared" si="43"/>
        <v/>
      </c>
      <c r="O312" s="95" t="str">
        <f t="shared" si="44"/>
        <v/>
      </c>
    </row>
    <row r="313" spans="1:15" x14ac:dyDescent="0.25">
      <c r="A313" s="98" t="str">
        <f t="shared" ca="1" si="52"/>
        <v/>
      </c>
      <c r="B313" s="33" t="str">
        <f t="shared" ca="1" si="45"/>
        <v/>
      </c>
      <c r="C313" s="25" t="str">
        <f t="shared" ca="1" si="46"/>
        <v/>
      </c>
      <c r="D313" s="26" t="str">
        <f t="shared" ca="1" si="47"/>
        <v/>
      </c>
      <c r="E313" s="4" t="str">
        <f t="shared" ca="1" si="48"/>
        <v/>
      </c>
      <c r="F313" s="25" t="str">
        <f t="shared" ca="1" si="49"/>
        <v/>
      </c>
      <c r="G313" s="26" t="str">
        <f t="shared" ca="1" si="50"/>
        <v/>
      </c>
      <c r="H313" s="55" t="str">
        <f t="shared" ca="1" si="51"/>
        <v/>
      </c>
      <c r="J313" s="37"/>
      <c r="N313" s="95" t="str">
        <f t="shared" si="43"/>
        <v/>
      </c>
      <c r="O313" s="95" t="str">
        <f t="shared" si="44"/>
        <v/>
      </c>
    </row>
    <row r="314" spans="1:15" x14ac:dyDescent="0.25">
      <c r="A314" s="98" t="str">
        <f t="shared" ca="1" si="52"/>
        <v/>
      </c>
      <c r="B314" s="33" t="str">
        <f t="shared" ca="1" si="45"/>
        <v/>
      </c>
      <c r="C314" s="25" t="str">
        <f t="shared" ca="1" si="46"/>
        <v/>
      </c>
      <c r="D314" s="26" t="str">
        <f t="shared" ca="1" si="47"/>
        <v/>
      </c>
      <c r="E314" s="4" t="str">
        <f t="shared" ca="1" si="48"/>
        <v/>
      </c>
      <c r="F314" s="25" t="str">
        <f t="shared" ca="1" si="49"/>
        <v/>
      </c>
      <c r="G314" s="26" t="str">
        <f t="shared" ca="1" si="50"/>
        <v/>
      </c>
      <c r="H314" s="55" t="str">
        <f t="shared" ca="1" si="51"/>
        <v/>
      </c>
      <c r="J314" s="37"/>
      <c r="N314" s="95" t="str">
        <f t="shared" si="43"/>
        <v/>
      </c>
      <c r="O314" s="95" t="str">
        <f t="shared" si="44"/>
        <v/>
      </c>
    </row>
    <row r="315" spans="1:15" x14ac:dyDescent="0.25">
      <c r="A315" s="98" t="str">
        <f t="shared" ca="1" si="52"/>
        <v/>
      </c>
      <c r="B315" s="33" t="str">
        <f t="shared" ca="1" si="45"/>
        <v/>
      </c>
      <c r="C315" s="25" t="str">
        <f t="shared" ca="1" si="46"/>
        <v/>
      </c>
      <c r="D315" s="26" t="str">
        <f t="shared" ca="1" si="47"/>
        <v/>
      </c>
      <c r="E315" s="4" t="str">
        <f t="shared" ca="1" si="48"/>
        <v/>
      </c>
      <c r="F315" s="25" t="str">
        <f t="shared" ca="1" si="49"/>
        <v/>
      </c>
      <c r="G315" s="26" t="str">
        <f t="shared" ca="1" si="50"/>
        <v/>
      </c>
      <c r="H315" s="55" t="str">
        <f t="shared" ca="1" si="51"/>
        <v/>
      </c>
      <c r="J315" s="37"/>
      <c r="N315" s="95" t="str">
        <f t="shared" si="43"/>
        <v/>
      </c>
      <c r="O315" s="95" t="str">
        <f t="shared" si="44"/>
        <v/>
      </c>
    </row>
    <row r="316" spans="1:15" x14ac:dyDescent="0.25">
      <c r="A316" s="98" t="str">
        <f t="shared" ca="1" si="52"/>
        <v/>
      </c>
      <c r="B316" s="33" t="str">
        <f t="shared" ca="1" si="45"/>
        <v/>
      </c>
      <c r="C316" s="25" t="str">
        <f t="shared" ca="1" si="46"/>
        <v/>
      </c>
      <c r="D316" s="26" t="str">
        <f t="shared" ca="1" si="47"/>
        <v/>
      </c>
      <c r="E316" s="4" t="str">
        <f t="shared" ca="1" si="48"/>
        <v/>
      </c>
      <c r="F316" s="25" t="str">
        <f t="shared" ca="1" si="49"/>
        <v/>
      </c>
      <c r="G316" s="26" t="str">
        <f t="shared" ca="1" si="50"/>
        <v/>
      </c>
      <c r="H316" s="55" t="str">
        <f t="shared" ca="1" si="51"/>
        <v/>
      </c>
      <c r="J316" s="37"/>
      <c r="N316" s="95" t="str">
        <f t="shared" si="43"/>
        <v/>
      </c>
      <c r="O316" s="95" t="str">
        <f t="shared" si="44"/>
        <v/>
      </c>
    </row>
    <row r="317" spans="1:15" x14ac:dyDescent="0.25">
      <c r="A317" s="98" t="str">
        <f t="shared" ca="1" si="52"/>
        <v/>
      </c>
      <c r="B317" s="33" t="str">
        <f t="shared" ca="1" si="45"/>
        <v/>
      </c>
      <c r="C317" s="25" t="str">
        <f t="shared" ca="1" si="46"/>
        <v/>
      </c>
      <c r="D317" s="26" t="str">
        <f t="shared" ca="1" si="47"/>
        <v/>
      </c>
      <c r="E317" s="4" t="str">
        <f t="shared" ca="1" si="48"/>
        <v/>
      </c>
      <c r="F317" s="25" t="str">
        <f t="shared" ca="1" si="49"/>
        <v/>
      </c>
      <c r="G317" s="26" t="str">
        <f t="shared" ca="1" si="50"/>
        <v/>
      </c>
      <c r="H317" s="55" t="str">
        <f t="shared" ca="1" si="51"/>
        <v/>
      </c>
      <c r="J317" s="37"/>
      <c r="N317" s="95" t="str">
        <f t="shared" si="43"/>
        <v/>
      </c>
      <c r="O317" s="95" t="str">
        <f t="shared" si="44"/>
        <v/>
      </c>
    </row>
    <row r="318" spans="1:15" x14ac:dyDescent="0.25">
      <c r="A318" s="98" t="str">
        <f t="shared" ca="1" si="52"/>
        <v/>
      </c>
      <c r="B318" s="33" t="str">
        <f t="shared" ca="1" si="45"/>
        <v/>
      </c>
      <c r="C318" s="25" t="str">
        <f t="shared" ca="1" si="46"/>
        <v/>
      </c>
      <c r="D318" s="26" t="str">
        <f t="shared" ca="1" si="47"/>
        <v/>
      </c>
      <c r="E318" s="4" t="str">
        <f t="shared" ca="1" si="48"/>
        <v/>
      </c>
      <c r="F318" s="25" t="str">
        <f t="shared" ca="1" si="49"/>
        <v/>
      </c>
      <c r="G318" s="26" t="str">
        <f t="shared" ca="1" si="50"/>
        <v/>
      </c>
      <c r="H318" s="55" t="str">
        <f t="shared" ca="1" si="51"/>
        <v/>
      </c>
      <c r="J318" s="37"/>
      <c r="N318" s="95" t="str">
        <f t="shared" si="43"/>
        <v/>
      </c>
      <c r="O318" s="95" t="str">
        <f t="shared" si="44"/>
        <v/>
      </c>
    </row>
    <row r="319" spans="1:15" x14ac:dyDescent="0.25">
      <c r="A319" s="98" t="str">
        <f t="shared" ca="1" si="52"/>
        <v/>
      </c>
      <c r="B319" s="33" t="str">
        <f t="shared" ca="1" si="45"/>
        <v/>
      </c>
      <c r="C319" s="25" t="str">
        <f t="shared" ca="1" si="46"/>
        <v/>
      </c>
      <c r="D319" s="26" t="str">
        <f t="shared" ca="1" si="47"/>
        <v/>
      </c>
      <c r="E319" s="4" t="str">
        <f t="shared" ca="1" si="48"/>
        <v/>
      </c>
      <c r="F319" s="25" t="str">
        <f t="shared" ca="1" si="49"/>
        <v/>
      </c>
      <c r="G319" s="26" t="str">
        <f t="shared" ca="1" si="50"/>
        <v/>
      </c>
      <c r="H319" s="55" t="str">
        <f t="shared" ca="1" si="51"/>
        <v/>
      </c>
      <c r="J319" s="37"/>
      <c r="N319" s="95" t="str">
        <f t="shared" si="43"/>
        <v/>
      </c>
      <c r="O319" s="95" t="str">
        <f t="shared" si="44"/>
        <v/>
      </c>
    </row>
    <row r="320" spans="1:15" x14ac:dyDescent="0.25">
      <c r="A320" s="98" t="str">
        <f t="shared" ca="1" si="52"/>
        <v/>
      </c>
      <c r="B320" s="33" t="str">
        <f t="shared" ca="1" si="45"/>
        <v/>
      </c>
      <c r="C320" s="25" t="str">
        <f t="shared" ca="1" si="46"/>
        <v/>
      </c>
      <c r="D320" s="26" t="str">
        <f t="shared" ca="1" si="47"/>
        <v/>
      </c>
      <c r="E320" s="4" t="str">
        <f t="shared" ca="1" si="48"/>
        <v/>
      </c>
      <c r="F320" s="25" t="str">
        <f t="shared" ca="1" si="49"/>
        <v/>
      </c>
      <c r="G320" s="26" t="str">
        <f t="shared" ca="1" si="50"/>
        <v/>
      </c>
      <c r="H320" s="55" t="str">
        <f t="shared" ca="1" si="51"/>
        <v/>
      </c>
      <c r="J320" s="37"/>
      <c r="N320" s="95" t="str">
        <f t="shared" si="43"/>
        <v/>
      </c>
      <c r="O320" s="95" t="str">
        <f t="shared" si="44"/>
        <v/>
      </c>
    </row>
    <row r="321" spans="1:15" x14ac:dyDescent="0.25">
      <c r="A321" s="98" t="str">
        <f t="shared" ca="1" si="52"/>
        <v/>
      </c>
      <c r="B321" s="33" t="str">
        <f t="shared" ca="1" si="45"/>
        <v/>
      </c>
      <c r="C321" s="25" t="str">
        <f t="shared" ca="1" si="46"/>
        <v/>
      </c>
      <c r="D321" s="26" t="str">
        <f t="shared" ca="1" si="47"/>
        <v/>
      </c>
      <c r="E321" s="4" t="str">
        <f t="shared" ca="1" si="48"/>
        <v/>
      </c>
      <c r="F321" s="25" t="str">
        <f t="shared" ca="1" si="49"/>
        <v/>
      </c>
      <c r="G321" s="26" t="str">
        <f t="shared" ca="1" si="50"/>
        <v/>
      </c>
      <c r="H321" s="55" t="str">
        <f t="shared" ca="1" si="51"/>
        <v/>
      </c>
      <c r="J321" s="37"/>
      <c r="N321" s="95" t="str">
        <f t="shared" si="43"/>
        <v/>
      </c>
      <c r="O321" s="95" t="str">
        <f t="shared" si="44"/>
        <v/>
      </c>
    </row>
    <row r="322" spans="1:15" x14ac:dyDescent="0.25">
      <c r="A322" s="98" t="str">
        <f t="shared" ca="1" si="52"/>
        <v/>
      </c>
      <c r="B322" s="33" t="str">
        <f t="shared" ca="1" si="45"/>
        <v/>
      </c>
      <c r="C322" s="25" t="str">
        <f t="shared" ca="1" si="46"/>
        <v/>
      </c>
      <c r="D322" s="26" t="str">
        <f t="shared" ca="1" si="47"/>
        <v/>
      </c>
      <c r="E322" s="4" t="str">
        <f t="shared" ca="1" si="48"/>
        <v/>
      </c>
      <c r="F322" s="25" t="str">
        <f t="shared" ca="1" si="49"/>
        <v/>
      </c>
      <c r="G322" s="26" t="str">
        <f t="shared" ca="1" si="50"/>
        <v/>
      </c>
      <c r="H322" s="55" t="str">
        <f t="shared" ca="1" si="51"/>
        <v/>
      </c>
      <c r="J322" s="37"/>
      <c r="N322" s="95" t="str">
        <f t="shared" si="43"/>
        <v/>
      </c>
      <c r="O322" s="95" t="str">
        <f t="shared" si="44"/>
        <v/>
      </c>
    </row>
    <row r="323" spans="1:15" x14ac:dyDescent="0.25">
      <c r="A323" s="98" t="str">
        <f t="shared" ca="1" si="52"/>
        <v/>
      </c>
      <c r="B323" s="33" t="str">
        <f t="shared" ca="1" si="45"/>
        <v/>
      </c>
      <c r="C323" s="25" t="str">
        <f t="shared" ca="1" si="46"/>
        <v/>
      </c>
      <c r="D323" s="26" t="str">
        <f t="shared" ca="1" si="47"/>
        <v/>
      </c>
      <c r="E323" s="4" t="str">
        <f t="shared" ca="1" si="48"/>
        <v/>
      </c>
      <c r="F323" s="25" t="str">
        <f t="shared" ca="1" si="49"/>
        <v/>
      </c>
      <c r="G323" s="26" t="str">
        <f t="shared" ca="1" si="50"/>
        <v/>
      </c>
      <c r="H323" s="55" t="str">
        <f t="shared" ca="1" si="51"/>
        <v/>
      </c>
      <c r="J323" s="37"/>
      <c r="N323" s="95" t="str">
        <f t="shared" si="43"/>
        <v/>
      </c>
      <c r="O323" s="95" t="str">
        <f t="shared" si="44"/>
        <v/>
      </c>
    </row>
    <row r="324" spans="1:15" x14ac:dyDescent="0.25">
      <c r="A324" s="98" t="str">
        <f t="shared" ca="1" si="52"/>
        <v/>
      </c>
      <c r="B324" s="33" t="str">
        <f t="shared" ca="1" si="45"/>
        <v/>
      </c>
      <c r="C324" s="25" t="str">
        <f t="shared" ca="1" si="46"/>
        <v/>
      </c>
      <c r="D324" s="26" t="str">
        <f t="shared" ca="1" si="47"/>
        <v/>
      </c>
      <c r="E324" s="4" t="str">
        <f t="shared" ca="1" si="48"/>
        <v/>
      </c>
      <c r="F324" s="25" t="str">
        <f t="shared" ca="1" si="49"/>
        <v/>
      </c>
      <c r="G324" s="26" t="str">
        <f t="shared" ca="1" si="50"/>
        <v/>
      </c>
      <c r="H324" s="55" t="str">
        <f t="shared" ca="1" si="51"/>
        <v/>
      </c>
      <c r="J324" s="37"/>
      <c r="N324" s="95" t="str">
        <f t="shared" ref="N324:N387" si="53">IF(COUNTIF(L:L,J324)=1,J324,"")</f>
        <v/>
      </c>
      <c r="O324" s="95" t="str">
        <f t="shared" ref="O324:O387" si="54">IF(N324&gt;$A$14,N324,"")</f>
        <v/>
      </c>
    </row>
    <row r="325" spans="1:15" x14ac:dyDescent="0.25">
      <c r="A325" s="98" t="str">
        <f t="shared" ca="1" si="52"/>
        <v/>
      </c>
      <c r="B325" s="33" t="str">
        <f t="shared" ca="1" si="45"/>
        <v/>
      </c>
      <c r="C325" s="25" t="str">
        <f t="shared" ca="1" si="46"/>
        <v/>
      </c>
      <c r="D325" s="26" t="str">
        <f t="shared" ca="1" si="47"/>
        <v/>
      </c>
      <c r="E325" s="4" t="str">
        <f t="shared" ca="1" si="48"/>
        <v/>
      </c>
      <c r="F325" s="25" t="str">
        <f t="shared" ca="1" si="49"/>
        <v/>
      </c>
      <c r="G325" s="26" t="str">
        <f t="shared" ca="1" si="50"/>
        <v/>
      </c>
      <c r="H325" s="55" t="str">
        <f t="shared" ca="1" si="51"/>
        <v/>
      </c>
      <c r="J325" s="37"/>
      <c r="N325" s="95" t="str">
        <f t="shared" si="53"/>
        <v/>
      </c>
      <c r="O325" s="95" t="str">
        <f t="shared" si="54"/>
        <v/>
      </c>
    </row>
    <row r="326" spans="1:15" x14ac:dyDescent="0.25">
      <c r="A326" s="98" t="str">
        <f t="shared" ca="1" si="52"/>
        <v/>
      </c>
      <c r="B326" s="33" t="str">
        <f t="shared" ca="1" si="45"/>
        <v/>
      </c>
      <c r="C326" s="25" t="str">
        <f t="shared" ca="1" si="46"/>
        <v/>
      </c>
      <c r="D326" s="26" t="str">
        <f t="shared" ca="1" si="47"/>
        <v/>
      </c>
      <c r="E326" s="4" t="str">
        <f t="shared" ca="1" si="48"/>
        <v/>
      </c>
      <c r="F326" s="25" t="str">
        <f t="shared" ca="1" si="49"/>
        <v/>
      </c>
      <c r="G326" s="26" t="str">
        <f t="shared" ca="1" si="50"/>
        <v/>
      </c>
      <c r="H326" s="55" t="str">
        <f t="shared" ca="1" si="51"/>
        <v/>
      </c>
      <c r="J326" s="37"/>
      <c r="N326" s="95" t="str">
        <f t="shared" si="53"/>
        <v/>
      </c>
      <c r="O326" s="95" t="str">
        <f t="shared" si="54"/>
        <v/>
      </c>
    </row>
    <row r="327" spans="1:15" x14ac:dyDescent="0.25">
      <c r="A327" s="98" t="str">
        <f t="shared" ca="1" si="52"/>
        <v/>
      </c>
      <c r="B327" s="33" t="str">
        <f t="shared" ca="1" si="45"/>
        <v/>
      </c>
      <c r="C327" s="25" t="str">
        <f t="shared" ca="1" si="46"/>
        <v/>
      </c>
      <c r="D327" s="26" t="str">
        <f t="shared" ca="1" si="47"/>
        <v/>
      </c>
      <c r="E327" s="4" t="str">
        <f t="shared" ca="1" si="48"/>
        <v/>
      </c>
      <c r="F327" s="25" t="str">
        <f t="shared" ca="1" si="49"/>
        <v/>
      </c>
      <c r="G327" s="26" t="str">
        <f t="shared" ca="1" si="50"/>
        <v/>
      </c>
      <c r="H327" s="55" t="str">
        <f t="shared" ca="1" si="51"/>
        <v/>
      </c>
      <c r="J327" s="37"/>
      <c r="N327" s="95" t="str">
        <f t="shared" si="53"/>
        <v/>
      </c>
      <c r="O327" s="95" t="str">
        <f t="shared" si="54"/>
        <v/>
      </c>
    </row>
    <row r="328" spans="1:15" x14ac:dyDescent="0.25">
      <c r="A328" s="98" t="str">
        <f t="shared" ca="1" si="52"/>
        <v/>
      </c>
      <c r="B328" s="33" t="str">
        <f t="shared" ca="1" si="45"/>
        <v/>
      </c>
      <c r="C328" s="25" t="str">
        <f t="shared" ca="1" si="46"/>
        <v/>
      </c>
      <c r="D328" s="26" t="str">
        <f t="shared" ca="1" si="47"/>
        <v/>
      </c>
      <c r="E328" s="4" t="str">
        <f t="shared" ca="1" si="48"/>
        <v/>
      </c>
      <c r="F328" s="25" t="str">
        <f t="shared" ca="1" si="49"/>
        <v/>
      </c>
      <c r="G328" s="26" t="str">
        <f t="shared" ca="1" si="50"/>
        <v/>
      </c>
      <c r="H328" s="55" t="str">
        <f t="shared" ca="1" si="51"/>
        <v/>
      </c>
      <c r="J328" s="37"/>
      <c r="N328" s="95" t="str">
        <f t="shared" si="53"/>
        <v/>
      </c>
      <c r="O328" s="95" t="str">
        <f t="shared" si="54"/>
        <v/>
      </c>
    </row>
    <row r="329" spans="1:15" x14ac:dyDescent="0.25">
      <c r="A329" s="98" t="str">
        <f t="shared" ca="1" si="52"/>
        <v/>
      </c>
      <c r="B329" s="33" t="str">
        <f t="shared" ca="1" si="45"/>
        <v/>
      </c>
      <c r="C329" s="25" t="str">
        <f t="shared" ca="1" si="46"/>
        <v/>
      </c>
      <c r="D329" s="26" t="str">
        <f t="shared" ca="1" si="47"/>
        <v/>
      </c>
      <c r="E329" s="4" t="str">
        <f t="shared" ca="1" si="48"/>
        <v/>
      </c>
      <c r="F329" s="25" t="str">
        <f t="shared" ca="1" si="49"/>
        <v/>
      </c>
      <c r="G329" s="26" t="str">
        <f t="shared" ca="1" si="50"/>
        <v/>
      </c>
      <c r="H329" s="55" t="str">
        <f t="shared" ca="1" si="51"/>
        <v/>
      </c>
      <c r="J329" s="37"/>
      <c r="N329" s="95" t="str">
        <f t="shared" si="53"/>
        <v/>
      </c>
      <c r="O329" s="95" t="str">
        <f t="shared" si="54"/>
        <v/>
      </c>
    </row>
    <row r="330" spans="1:15" x14ac:dyDescent="0.25">
      <c r="A330" s="98" t="str">
        <f t="shared" ca="1" si="52"/>
        <v/>
      </c>
      <c r="B330" s="33" t="str">
        <f t="shared" ref="B330:B393" ca="1" si="55">IF(COUNTIF(J:J,A330)=1,VLOOKUP(A330,J:K,2), IF(COUNTIF(J:J,A330)=0,$B$10,""))</f>
        <v/>
      </c>
      <c r="C330" s="25" t="str">
        <f t="shared" ref="C330:C393" ca="1" si="56">IF(ISERROR(B330-2),"",(B330-$B$14)/100*$B$5)</f>
        <v/>
      </c>
      <c r="D330" s="26" t="str">
        <f t="shared" ref="D330:D393" ca="1" si="57">IF(ISERROR(B330-2),"",(INT(A330)-INT($A$14))/360*$B$6*$B$5-(INT(A330)-INT($A$14))/360*$B$7*$B$5*$B$14/100)</f>
        <v/>
      </c>
      <c r="E330" s="4" t="str">
        <f t="shared" ref="E330:E393" ca="1" si="58">IF(COUNTIF(L:L,A330)=1,VLOOKUP(A330,L:M,2), IF(COUNTIF(L:L,A330)=0,$C$10,""))</f>
        <v/>
      </c>
      <c r="F330" s="25" t="str">
        <f t="shared" ref="F330:F393" ca="1" si="59">IF(ISERROR(E330-2), "", (E330-$E$14)/100*$C$5)</f>
        <v/>
      </c>
      <c r="G330" s="26" t="str">
        <f t="shared" ref="G330:G393" ca="1" si="60">IF(ISERROR(E330-2),"",(INT(A330)-INT($A$14))/360*$C$6*$C$5-(INT(A330)-INT($A$14))/360*$C$7*$C$5*$E$14/100)</f>
        <v/>
      </c>
      <c r="H330" s="55" t="str">
        <f t="shared" ref="H330:H393" ca="1" si="61">IF(ISERROR(E330-2),"",C330+D330-F330-G330)</f>
        <v/>
      </c>
      <c r="J330" s="37"/>
      <c r="N330" s="95" t="str">
        <f t="shared" si="53"/>
        <v/>
      </c>
      <c r="O330" s="95" t="str">
        <f t="shared" si="54"/>
        <v/>
      </c>
    </row>
    <row r="331" spans="1:15" x14ac:dyDescent="0.25">
      <c r="A331" s="98" t="str">
        <f t="shared" ca="1" si="52"/>
        <v/>
      </c>
      <c r="B331" s="33" t="str">
        <f t="shared" ca="1" si="55"/>
        <v/>
      </c>
      <c r="C331" s="25" t="str">
        <f t="shared" ca="1" si="56"/>
        <v/>
      </c>
      <c r="D331" s="26" t="str">
        <f t="shared" ca="1" si="57"/>
        <v/>
      </c>
      <c r="E331" s="4" t="str">
        <f t="shared" ca="1" si="58"/>
        <v/>
      </c>
      <c r="F331" s="25" t="str">
        <f t="shared" ca="1" si="59"/>
        <v/>
      </c>
      <c r="G331" s="26" t="str">
        <f t="shared" ca="1" si="60"/>
        <v/>
      </c>
      <c r="H331" s="55" t="str">
        <f t="shared" ca="1" si="61"/>
        <v/>
      </c>
      <c r="J331" s="37"/>
      <c r="N331" s="95" t="str">
        <f t="shared" si="53"/>
        <v/>
      </c>
      <c r="O331" s="95" t="str">
        <f t="shared" si="54"/>
        <v/>
      </c>
    </row>
    <row r="332" spans="1:15" x14ac:dyDescent="0.25">
      <c r="A332" s="98" t="str">
        <f t="shared" ca="1" si="52"/>
        <v/>
      </c>
      <c r="B332" s="33" t="str">
        <f t="shared" ca="1" si="55"/>
        <v/>
      </c>
      <c r="C332" s="25" t="str">
        <f t="shared" ca="1" si="56"/>
        <v/>
      </c>
      <c r="D332" s="26" t="str">
        <f t="shared" ca="1" si="57"/>
        <v/>
      </c>
      <c r="E332" s="4" t="str">
        <f t="shared" ca="1" si="58"/>
        <v/>
      </c>
      <c r="F332" s="25" t="str">
        <f t="shared" ca="1" si="59"/>
        <v/>
      </c>
      <c r="G332" s="26" t="str">
        <f t="shared" ca="1" si="60"/>
        <v/>
      </c>
      <c r="H332" s="55" t="str">
        <f t="shared" ca="1" si="61"/>
        <v/>
      </c>
      <c r="J332" s="37"/>
      <c r="N332" s="95" t="str">
        <f t="shared" si="53"/>
        <v/>
      </c>
      <c r="O332" s="95" t="str">
        <f t="shared" si="54"/>
        <v/>
      </c>
    </row>
    <row r="333" spans="1:15" x14ac:dyDescent="0.25">
      <c r="A333" s="98" t="str">
        <f t="shared" ca="1" si="52"/>
        <v/>
      </c>
      <c r="B333" s="33" t="str">
        <f t="shared" ca="1" si="55"/>
        <v/>
      </c>
      <c r="C333" s="25" t="str">
        <f t="shared" ca="1" si="56"/>
        <v/>
      </c>
      <c r="D333" s="26" t="str">
        <f t="shared" ca="1" si="57"/>
        <v/>
      </c>
      <c r="E333" s="4" t="str">
        <f t="shared" ca="1" si="58"/>
        <v/>
      </c>
      <c r="F333" s="25" t="str">
        <f t="shared" ca="1" si="59"/>
        <v/>
      </c>
      <c r="G333" s="26" t="str">
        <f t="shared" ca="1" si="60"/>
        <v/>
      </c>
      <c r="H333" s="55" t="str">
        <f t="shared" ca="1" si="61"/>
        <v/>
      </c>
      <c r="J333" s="37"/>
      <c r="N333" s="95" t="str">
        <f t="shared" si="53"/>
        <v/>
      </c>
      <c r="O333" s="95" t="str">
        <f t="shared" si="54"/>
        <v/>
      </c>
    </row>
    <row r="334" spans="1:15" x14ac:dyDescent="0.25">
      <c r="A334" s="98" t="str">
        <f t="shared" ca="1" si="52"/>
        <v/>
      </c>
      <c r="B334" s="33" t="str">
        <f t="shared" ca="1" si="55"/>
        <v/>
      </c>
      <c r="C334" s="25" t="str">
        <f t="shared" ca="1" si="56"/>
        <v/>
      </c>
      <c r="D334" s="26" t="str">
        <f t="shared" ca="1" si="57"/>
        <v/>
      </c>
      <c r="E334" s="4" t="str">
        <f t="shared" ca="1" si="58"/>
        <v/>
      </c>
      <c r="F334" s="25" t="str">
        <f t="shared" ca="1" si="59"/>
        <v/>
      </c>
      <c r="G334" s="26" t="str">
        <f t="shared" ca="1" si="60"/>
        <v/>
      </c>
      <c r="H334" s="55" t="str">
        <f t="shared" ca="1" si="61"/>
        <v/>
      </c>
      <c r="J334" s="37"/>
      <c r="N334" s="95" t="str">
        <f t="shared" si="53"/>
        <v/>
      </c>
      <c r="O334" s="95" t="str">
        <f t="shared" si="54"/>
        <v/>
      </c>
    </row>
    <row r="335" spans="1:15" x14ac:dyDescent="0.25">
      <c r="A335" s="98" t="str">
        <f t="shared" ca="1" si="52"/>
        <v/>
      </c>
      <c r="B335" s="33" t="str">
        <f t="shared" ca="1" si="55"/>
        <v/>
      </c>
      <c r="C335" s="25" t="str">
        <f t="shared" ca="1" si="56"/>
        <v/>
      </c>
      <c r="D335" s="26" t="str">
        <f t="shared" ca="1" si="57"/>
        <v/>
      </c>
      <c r="E335" s="4" t="str">
        <f t="shared" ca="1" si="58"/>
        <v/>
      </c>
      <c r="F335" s="25" t="str">
        <f t="shared" ca="1" si="59"/>
        <v/>
      </c>
      <c r="G335" s="26" t="str">
        <f t="shared" ca="1" si="60"/>
        <v/>
      </c>
      <c r="H335" s="55" t="str">
        <f t="shared" ca="1" si="61"/>
        <v/>
      </c>
      <c r="J335" s="37"/>
      <c r="N335" s="95" t="str">
        <f t="shared" si="53"/>
        <v/>
      </c>
      <c r="O335" s="95" t="str">
        <f t="shared" si="54"/>
        <v/>
      </c>
    </row>
    <row r="336" spans="1:15" x14ac:dyDescent="0.25">
      <c r="A336" s="98" t="str">
        <f t="shared" ref="A336:A399" ca="1" si="62">IF(AND(ISBLANK(P323), A335 = $P$1),NOW(),IF(ISBLANK(P323),"",P323))</f>
        <v/>
      </c>
      <c r="B336" s="33" t="str">
        <f t="shared" ca="1" si="55"/>
        <v/>
      </c>
      <c r="C336" s="25" t="str">
        <f t="shared" ca="1" si="56"/>
        <v/>
      </c>
      <c r="D336" s="26" t="str">
        <f t="shared" ca="1" si="57"/>
        <v/>
      </c>
      <c r="E336" s="4" t="str">
        <f t="shared" ca="1" si="58"/>
        <v/>
      </c>
      <c r="F336" s="25" t="str">
        <f t="shared" ca="1" si="59"/>
        <v/>
      </c>
      <c r="G336" s="26" t="str">
        <f t="shared" ca="1" si="60"/>
        <v/>
      </c>
      <c r="H336" s="55" t="str">
        <f t="shared" ca="1" si="61"/>
        <v/>
      </c>
      <c r="J336" s="37"/>
      <c r="N336" s="95" t="str">
        <f t="shared" si="53"/>
        <v/>
      </c>
      <c r="O336" s="95" t="str">
        <f t="shared" si="54"/>
        <v/>
      </c>
    </row>
    <row r="337" spans="1:15" x14ac:dyDescent="0.25">
      <c r="A337" s="98" t="str">
        <f t="shared" ca="1" si="62"/>
        <v/>
      </c>
      <c r="B337" s="33" t="str">
        <f t="shared" ca="1" si="55"/>
        <v/>
      </c>
      <c r="C337" s="25" t="str">
        <f t="shared" ca="1" si="56"/>
        <v/>
      </c>
      <c r="D337" s="26" t="str">
        <f t="shared" ca="1" si="57"/>
        <v/>
      </c>
      <c r="E337" s="4" t="str">
        <f t="shared" ca="1" si="58"/>
        <v/>
      </c>
      <c r="F337" s="25" t="str">
        <f t="shared" ca="1" si="59"/>
        <v/>
      </c>
      <c r="G337" s="26" t="str">
        <f t="shared" ca="1" si="60"/>
        <v/>
      </c>
      <c r="H337" s="55" t="str">
        <f t="shared" ca="1" si="61"/>
        <v/>
      </c>
      <c r="J337" s="37"/>
      <c r="N337" s="95" t="str">
        <f t="shared" si="53"/>
        <v/>
      </c>
      <c r="O337" s="95" t="str">
        <f t="shared" si="54"/>
        <v/>
      </c>
    </row>
    <row r="338" spans="1:15" x14ac:dyDescent="0.25">
      <c r="A338" s="98" t="str">
        <f t="shared" ca="1" si="62"/>
        <v/>
      </c>
      <c r="B338" s="33" t="str">
        <f t="shared" ca="1" si="55"/>
        <v/>
      </c>
      <c r="C338" s="25" t="str">
        <f t="shared" ca="1" si="56"/>
        <v/>
      </c>
      <c r="D338" s="26" t="str">
        <f t="shared" ca="1" si="57"/>
        <v/>
      </c>
      <c r="E338" s="4" t="str">
        <f t="shared" ca="1" si="58"/>
        <v/>
      </c>
      <c r="F338" s="25" t="str">
        <f t="shared" ca="1" si="59"/>
        <v/>
      </c>
      <c r="G338" s="26" t="str">
        <f t="shared" ca="1" si="60"/>
        <v/>
      </c>
      <c r="H338" s="55" t="str">
        <f t="shared" ca="1" si="61"/>
        <v/>
      </c>
      <c r="J338" s="37"/>
      <c r="N338" s="95" t="str">
        <f t="shared" si="53"/>
        <v/>
      </c>
      <c r="O338" s="95" t="str">
        <f t="shared" si="54"/>
        <v/>
      </c>
    </row>
    <row r="339" spans="1:15" x14ac:dyDescent="0.25">
      <c r="A339" s="98" t="str">
        <f t="shared" ca="1" si="62"/>
        <v/>
      </c>
      <c r="B339" s="33" t="str">
        <f t="shared" ca="1" si="55"/>
        <v/>
      </c>
      <c r="C339" s="25" t="str">
        <f t="shared" ca="1" si="56"/>
        <v/>
      </c>
      <c r="D339" s="26" t="str">
        <f t="shared" ca="1" si="57"/>
        <v/>
      </c>
      <c r="E339" s="4" t="str">
        <f t="shared" ca="1" si="58"/>
        <v/>
      </c>
      <c r="F339" s="25" t="str">
        <f t="shared" ca="1" si="59"/>
        <v/>
      </c>
      <c r="G339" s="26" t="str">
        <f t="shared" ca="1" si="60"/>
        <v/>
      </c>
      <c r="H339" s="55" t="str">
        <f t="shared" ca="1" si="61"/>
        <v/>
      </c>
      <c r="J339" s="37"/>
      <c r="N339" s="95" t="str">
        <f t="shared" si="53"/>
        <v/>
      </c>
      <c r="O339" s="95" t="str">
        <f t="shared" si="54"/>
        <v/>
      </c>
    </row>
    <row r="340" spans="1:15" x14ac:dyDescent="0.25">
      <c r="A340" s="98" t="str">
        <f t="shared" ca="1" si="62"/>
        <v/>
      </c>
      <c r="B340" s="33" t="str">
        <f t="shared" ca="1" si="55"/>
        <v/>
      </c>
      <c r="C340" s="25" t="str">
        <f t="shared" ca="1" si="56"/>
        <v/>
      </c>
      <c r="D340" s="26" t="str">
        <f t="shared" ca="1" si="57"/>
        <v/>
      </c>
      <c r="E340" s="4" t="str">
        <f t="shared" ca="1" si="58"/>
        <v/>
      </c>
      <c r="F340" s="25" t="str">
        <f t="shared" ca="1" si="59"/>
        <v/>
      </c>
      <c r="G340" s="26" t="str">
        <f t="shared" ca="1" si="60"/>
        <v/>
      </c>
      <c r="H340" s="55" t="str">
        <f t="shared" ca="1" si="61"/>
        <v/>
      </c>
      <c r="J340" s="37"/>
      <c r="N340" s="95" t="str">
        <f t="shared" si="53"/>
        <v/>
      </c>
      <c r="O340" s="95" t="str">
        <f t="shared" si="54"/>
        <v/>
      </c>
    </row>
    <row r="341" spans="1:15" x14ac:dyDescent="0.25">
      <c r="A341" s="98" t="str">
        <f t="shared" ca="1" si="62"/>
        <v/>
      </c>
      <c r="B341" s="33" t="str">
        <f t="shared" ca="1" si="55"/>
        <v/>
      </c>
      <c r="C341" s="25" t="str">
        <f t="shared" ca="1" si="56"/>
        <v/>
      </c>
      <c r="D341" s="26" t="str">
        <f t="shared" ca="1" si="57"/>
        <v/>
      </c>
      <c r="E341" s="4" t="str">
        <f t="shared" ca="1" si="58"/>
        <v/>
      </c>
      <c r="F341" s="25" t="str">
        <f t="shared" ca="1" si="59"/>
        <v/>
      </c>
      <c r="G341" s="26" t="str">
        <f t="shared" ca="1" si="60"/>
        <v/>
      </c>
      <c r="H341" s="55" t="str">
        <f t="shared" ca="1" si="61"/>
        <v/>
      </c>
      <c r="J341" s="37"/>
      <c r="N341" s="95" t="str">
        <f t="shared" si="53"/>
        <v/>
      </c>
      <c r="O341" s="95" t="str">
        <f t="shared" si="54"/>
        <v/>
      </c>
    </row>
    <row r="342" spans="1:15" x14ac:dyDescent="0.25">
      <c r="A342" s="98" t="str">
        <f t="shared" ca="1" si="62"/>
        <v/>
      </c>
      <c r="B342" s="33" t="str">
        <f t="shared" ca="1" si="55"/>
        <v/>
      </c>
      <c r="C342" s="25" t="str">
        <f t="shared" ca="1" si="56"/>
        <v/>
      </c>
      <c r="D342" s="26" t="str">
        <f t="shared" ca="1" si="57"/>
        <v/>
      </c>
      <c r="E342" s="4" t="str">
        <f t="shared" ca="1" si="58"/>
        <v/>
      </c>
      <c r="F342" s="25" t="str">
        <f t="shared" ca="1" si="59"/>
        <v/>
      </c>
      <c r="G342" s="26" t="str">
        <f t="shared" ca="1" si="60"/>
        <v/>
      </c>
      <c r="H342" s="55" t="str">
        <f t="shared" ca="1" si="61"/>
        <v/>
      </c>
      <c r="J342" s="37"/>
      <c r="N342" s="95" t="str">
        <f t="shared" si="53"/>
        <v/>
      </c>
      <c r="O342" s="95" t="str">
        <f t="shared" si="54"/>
        <v/>
      </c>
    </row>
    <row r="343" spans="1:15" x14ac:dyDescent="0.25">
      <c r="A343" s="98" t="str">
        <f t="shared" ca="1" si="62"/>
        <v/>
      </c>
      <c r="B343" s="33" t="str">
        <f t="shared" ca="1" si="55"/>
        <v/>
      </c>
      <c r="C343" s="25" t="str">
        <f t="shared" ca="1" si="56"/>
        <v/>
      </c>
      <c r="D343" s="26" t="str">
        <f t="shared" ca="1" si="57"/>
        <v/>
      </c>
      <c r="E343" s="4" t="str">
        <f t="shared" ca="1" si="58"/>
        <v/>
      </c>
      <c r="F343" s="25" t="str">
        <f t="shared" ca="1" si="59"/>
        <v/>
      </c>
      <c r="G343" s="26" t="str">
        <f t="shared" ca="1" si="60"/>
        <v/>
      </c>
      <c r="H343" s="55" t="str">
        <f t="shared" ca="1" si="61"/>
        <v/>
      </c>
      <c r="J343" s="37"/>
      <c r="N343" s="95" t="str">
        <f t="shared" si="53"/>
        <v/>
      </c>
      <c r="O343" s="95" t="str">
        <f t="shared" si="54"/>
        <v/>
      </c>
    </row>
    <row r="344" spans="1:15" x14ac:dyDescent="0.25">
      <c r="A344" s="98" t="str">
        <f t="shared" ca="1" si="62"/>
        <v/>
      </c>
      <c r="B344" s="33" t="str">
        <f t="shared" ca="1" si="55"/>
        <v/>
      </c>
      <c r="C344" s="25" t="str">
        <f t="shared" ca="1" si="56"/>
        <v/>
      </c>
      <c r="D344" s="26" t="str">
        <f t="shared" ca="1" si="57"/>
        <v/>
      </c>
      <c r="E344" s="4" t="str">
        <f t="shared" ca="1" si="58"/>
        <v/>
      </c>
      <c r="F344" s="25" t="str">
        <f t="shared" ca="1" si="59"/>
        <v/>
      </c>
      <c r="G344" s="26" t="str">
        <f t="shared" ca="1" si="60"/>
        <v/>
      </c>
      <c r="H344" s="55" t="str">
        <f t="shared" ca="1" si="61"/>
        <v/>
      </c>
      <c r="J344" s="37"/>
      <c r="N344" s="95" t="str">
        <f t="shared" si="53"/>
        <v/>
      </c>
      <c r="O344" s="95" t="str">
        <f t="shared" si="54"/>
        <v/>
      </c>
    </row>
    <row r="345" spans="1:15" x14ac:dyDescent="0.25">
      <c r="A345" s="98" t="str">
        <f t="shared" ca="1" si="62"/>
        <v/>
      </c>
      <c r="B345" s="33" t="str">
        <f t="shared" ca="1" si="55"/>
        <v/>
      </c>
      <c r="C345" s="25" t="str">
        <f t="shared" ca="1" si="56"/>
        <v/>
      </c>
      <c r="D345" s="26" t="str">
        <f t="shared" ca="1" si="57"/>
        <v/>
      </c>
      <c r="E345" s="4" t="str">
        <f t="shared" ca="1" si="58"/>
        <v/>
      </c>
      <c r="F345" s="25" t="str">
        <f t="shared" ca="1" si="59"/>
        <v/>
      </c>
      <c r="G345" s="26" t="str">
        <f t="shared" ca="1" si="60"/>
        <v/>
      </c>
      <c r="H345" s="55" t="str">
        <f t="shared" ca="1" si="61"/>
        <v/>
      </c>
      <c r="J345" s="37"/>
      <c r="N345" s="95" t="str">
        <f t="shared" si="53"/>
        <v/>
      </c>
      <c r="O345" s="95" t="str">
        <f t="shared" si="54"/>
        <v/>
      </c>
    </row>
    <row r="346" spans="1:15" x14ac:dyDescent="0.25">
      <c r="A346" s="98" t="str">
        <f t="shared" ca="1" si="62"/>
        <v/>
      </c>
      <c r="B346" s="33" t="str">
        <f t="shared" ca="1" si="55"/>
        <v/>
      </c>
      <c r="C346" s="25" t="str">
        <f t="shared" ca="1" si="56"/>
        <v/>
      </c>
      <c r="D346" s="26" t="str">
        <f t="shared" ca="1" si="57"/>
        <v/>
      </c>
      <c r="E346" s="4" t="str">
        <f t="shared" ca="1" si="58"/>
        <v/>
      </c>
      <c r="F346" s="25" t="str">
        <f t="shared" ca="1" si="59"/>
        <v/>
      </c>
      <c r="G346" s="26" t="str">
        <f t="shared" ca="1" si="60"/>
        <v/>
      </c>
      <c r="H346" s="55" t="str">
        <f t="shared" ca="1" si="61"/>
        <v/>
      </c>
      <c r="J346" s="37"/>
      <c r="N346" s="95" t="str">
        <f t="shared" si="53"/>
        <v/>
      </c>
      <c r="O346" s="95" t="str">
        <f t="shared" si="54"/>
        <v/>
      </c>
    </row>
    <row r="347" spans="1:15" x14ac:dyDescent="0.25">
      <c r="A347" s="98" t="str">
        <f t="shared" ca="1" si="62"/>
        <v/>
      </c>
      <c r="B347" s="33" t="str">
        <f t="shared" ca="1" si="55"/>
        <v/>
      </c>
      <c r="C347" s="25" t="str">
        <f t="shared" ca="1" si="56"/>
        <v/>
      </c>
      <c r="D347" s="26" t="str">
        <f t="shared" ca="1" si="57"/>
        <v/>
      </c>
      <c r="E347" s="4" t="str">
        <f t="shared" ca="1" si="58"/>
        <v/>
      </c>
      <c r="F347" s="25" t="str">
        <f t="shared" ca="1" si="59"/>
        <v/>
      </c>
      <c r="G347" s="26" t="str">
        <f t="shared" ca="1" si="60"/>
        <v/>
      </c>
      <c r="H347" s="55" t="str">
        <f t="shared" ca="1" si="61"/>
        <v/>
      </c>
      <c r="J347" s="37"/>
      <c r="N347" s="95" t="str">
        <f t="shared" si="53"/>
        <v/>
      </c>
      <c r="O347" s="95" t="str">
        <f t="shared" si="54"/>
        <v/>
      </c>
    </row>
    <row r="348" spans="1:15" x14ac:dyDescent="0.25">
      <c r="A348" s="98" t="str">
        <f t="shared" ca="1" si="62"/>
        <v/>
      </c>
      <c r="B348" s="33" t="str">
        <f t="shared" ca="1" si="55"/>
        <v/>
      </c>
      <c r="C348" s="25" t="str">
        <f t="shared" ca="1" si="56"/>
        <v/>
      </c>
      <c r="D348" s="26" t="str">
        <f t="shared" ca="1" si="57"/>
        <v/>
      </c>
      <c r="E348" s="4" t="str">
        <f t="shared" ca="1" si="58"/>
        <v/>
      </c>
      <c r="F348" s="25" t="str">
        <f t="shared" ca="1" si="59"/>
        <v/>
      </c>
      <c r="G348" s="26" t="str">
        <f t="shared" ca="1" si="60"/>
        <v/>
      </c>
      <c r="H348" s="55" t="str">
        <f t="shared" ca="1" si="61"/>
        <v/>
      </c>
      <c r="J348" s="37"/>
      <c r="N348" s="95" t="str">
        <f t="shared" si="53"/>
        <v/>
      </c>
      <c r="O348" s="95" t="str">
        <f t="shared" si="54"/>
        <v/>
      </c>
    </row>
    <row r="349" spans="1:15" x14ac:dyDescent="0.25">
      <c r="A349" s="98" t="str">
        <f t="shared" ca="1" si="62"/>
        <v/>
      </c>
      <c r="B349" s="33" t="str">
        <f t="shared" ca="1" si="55"/>
        <v/>
      </c>
      <c r="C349" s="25" t="str">
        <f t="shared" ca="1" si="56"/>
        <v/>
      </c>
      <c r="D349" s="26" t="str">
        <f t="shared" ca="1" si="57"/>
        <v/>
      </c>
      <c r="E349" s="4" t="str">
        <f t="shared" ca="1" si="58"/>
        <v/>
      </c>
      <c r="F349" s="25" t="str">
        <f t="shared" ca="1" si="59"/>
        <v/>
      </c>
      <c r="G349" s="26" t="str">
        <f t="shared" ca="1" si="60"/>
        <v/>
      </c>
      <c r="H349" s="55" t="str">
        <f t="shared" ca="1" si="61"/>
        <v/>
      </c>
      <c r="J349" s="37"/>
      <c r="N349" s="95" t="str">
        <f t="shared" si="53"/>
        <v/>
      </c>
      <c r="O349" s="95" t="str">
        <f t="shared" si="54"/>
        <v/>
      </c>
    </row>
    <row r="350" spans="1:15" x14ac:dyDescent="0.25">
      <c r="A350" s="98" t="str">
        <f t="shared" ca="1" si="62"/>
        <v/>
      </c>
      <c r="B350" s="33" t="str">
        <f t="shared" ca="1" si="55"/>
        <v/>
      </c>
      <c r="C350" s="25" t="str">
        <f t="shared" ca="1" si="56"/>
        <v/>
      </c>
      <c r="D350" s="26" t="str">
        <f t="shared" ca="1" si="57"/>
        <v/>
      </c>
      <c r="E350" s="4" t="str">
        <f t="shared" ca="1" si="58"/>
        <v/>
      </c>
      <c r="F350" s="25" t="str">
        <f t="shared" ca="1" si="59"/>
        <v/>
      </c>
      <c r="G350" s="26" t="str">
        <f t="shared" ca="1" si="60"/>
        <v/>
      </c>
      <c r="H350" s="55" t="str">
        <f t="shared" ca="1" si="61"/>
        <v/>
      </c>
      <c r="J350" s="37"/>
      <c r="N350" s="95" t="str">
        <f t="shared" si="53"/>
        <v/>
      </c>
      <c r="O350" s="95" t="str">
        <f t="shared" si="54"/>
        <v/>
      </c>
    </row>
    <row r="351" spans="1:15" x14ac:dyDescent="0.25">
      <c r="A351" s="98" t="str">
        <f t="shared" ca="1" si="62"/>
        <v/>
      </c>
      <c r="B351" s="33" t="str">
        <f t="shared" ca="1" si="55"/>
        <v/>
      </c>
      <c r="C351" s="25" t="str">
        <f t="shared" ca="1" si="56"/>
        <v/>
      </c>
      <c r="D351" s="26" t="str">
        <f t="shared" ca="1" si="57"/>
        <v/>
      </c>
      <c r="E351" s="4" t="str">
        <f t="shared" ca="1" si="58"/>
        <v/>
      </c>
      <c r="F351" s="25" t="str">
        <f t="shared" ca="1" si="59"/>
        <v/>
      </c>
      <c r="G351" s="26" t="str">
        <f t="shared" ca="1" si="60"/>
        <v/>
      </c>
      <c r="H351" s="55" t="str">
        <f t="shared" ca="1" si="61"/>
        <v/>
      </c>
      <c r="J351" s="37"/>
      <c r="N351" s="95" t="str">
        <f t="shared" si="53"/>
        <v/>
      </c>
      <c r="O351" s="95" t="str">
        <f t="shared" si="54"/>
        <v/>
      </c>
    </row>
    <row r="352" spans="1:15" x14ac:dyDescent="0.25">
      <c r="A352" s="98" t="str">
        <f t="shared" ca="1" si="62"/>
        <v/>
      </c>
      <c r="B352" s="33" t="str">
        <f t="shared" ca="1" si="55"/>
        <v/>
      </c>
      <c r="C352" s="25" t="str">
        <f t="shared" ca="1" si="56"/>
        <v/>
      </c>
      <c r="D352" s="26" t="str">
        <f t="shared" ca="1" si="57"/>
        <v/>
      </c>
      <c r="E352" s="4" t="str">
        <f t="shared" ca="1" si="58"/>
        <v/>
      </c>
      <c r="F352" s="25" t="str">
        <f t="shared" ca="1" si="59"/>
        <v/>
      </c>
      <c r="G352" s="26" t="str">
        <f t="shared" ca="1" si="60"/>
        <v/>
      </c>
      <c r="H352" s="55" t="str">
        <f t="shared" ca="1" si="61"/>
        <v/>
      </c>
      <c r="J352" s="37"/>
      <c r="N352" s="95" t="str">
        <f t="shared" si="53"/>
        <v/>
      </c>
      <c r="O352" s="95" t="str">
        <f t="shared" si="54"/>
        <v/>
      </c>
    </row>
    <row r="353" spans="1:15" x14ac:dyDescent="0.25">
      <c r="A353" s="98" t="str">
        <f t="shared" ca="1" si="62"/>
        <v/>
      </c>
      <c r="B353" s="33" t="str">
        <f t="shared" ca="1" si="55"/>
        <v/>
      </c>
      <c r="C353" s="25" t="str">
        <f t="shared" ca="1" si="56"/>
        <v/>
      </c>
      <c r="D353" s="26" t="str">
        <f t="shared" ca="1" si="57"/>
        <v/>
      </c>
      <c r="E353" s="4" t="str">
        <f t="shared" ca="1" si="58"/>
        <v/>
      </c>
      <c r="F353" s="25" t="str">
        <f t="shared" ca="1" si="59"/>
        <v/>
      </c>
      <c r="G353" s="26" t="str">
        <f t="shared" ca="1" si="60"/>
        <v/>
      </c>
      <c r="H353" s="55" t="str">
        <f t="shared" ca="1" si="61"/>
        <v/>
      </c>
      <c r="J353" s="37"/>
      <c r="N353" s="95" t="str">
        <f t="shared" si="53"/>
        <v/>
      </c>
      <c r="O353" s="95" t="str">
        <f t="shared" si="54"/>
        <v/>
      </c>
    </row>
    <row r="354" spans="1:15" x14ac:dyDescent="0.25">
      <c r="A354" s="98" t="str">
        <f t="shared" ca="1" si="62"/>
        <v/>
      </c>
      <c r="B354" s="33" t="str">
        <f t="shared" ca="1" si="55"/>
        <v/>
      </c>
      <c r="C354" s="25" t="str">
        <f t="shared" ca="1" si="56"/>
        <v/>
      </c>
      <c r="D354" s="26" t="str">
        <f t="shared" ca="1" si="57"/>
        <v/>
      </c>
      <c r="E354" s="4" t="str">
        <f t="shared" ca="1" si="58"/>
        <v/>
      </c>
      <c r="F354" s="25" t="str">
        <f t="shared" ca="1" si="59"/>
        <v/>
      </c>
      <c r="G354" s="26" t="str">
        <f t="shared" ca="1" si="60"/>
        <v/>
      </c>
      <c r="H354" s="55" t="str">
        <f t="shared" ca="1" si="61"/>
        <v/>
      </c>
      <c r="J354" s="37"/>
      <c r="N354" s="95" t="str">
        <f t="shared" si="53"/>
        <v/>
      </c>
      <c r="O354" s="95" t="str">
        <f t="shared" si="54"/>
        <v/>
      </c>
    </row>
    <row r="355" spans="1:15" x14ac:dyDescent="0.25">
      <c r="A355" s="98" t="str">
        <f t="shared" ca="1" si="62"/>
        <v/>
      </c>
      <c r="B355" s="33" t="str">
        <f t="shared" ca="1" si="55"/>
        <v/>
      </c>
      <c r="C355" s="25" t="str">
        <f t="shared" ca="1" si="56"/>
        <v/>
      </c>
      <c r="D355" s="26" t="str">
        <f t="shared" ca="1" si="57"/>
        <v/>
      </c>
      <c r="E355" s="4" t="str">
        <f t="shared" ca="1" si="58"/>
        <v/>
      </c>
      <c r="F355" s="25" t="str">
        <f t="shared" ca="1" si="59"/>
        <v/>
      </c>
      <c r="G355" s="26" t="str">
        <f t="shared" ca="1" si="60"/>
        <v/>
      </c>
      <c r="H355" s="55" t="str">
        <f t="shared" ca="1" si="61"/>
        <v/>
      </c>
      <c r="J355" s="37"/>
      <c r="N355" s="95" t="str">
        <f t="shared" si="53"/>
        <v/>
      </c>
      <c r="O355" s="95" t="str">
        <f t="shared" si="54"/>
        <v/>
      </c>
    </row>
    <row r="356" spans="1:15" x14ac:dyDescent="0.25">
      <c r="A356" s="98" t="str">
        <f t="shared" ca="1" si="62"/>
        <v/>
      </c>
      <c r="B356" s="33" t="str">
        <f t="shared" ca="1" si="55"/>
        <v/>
      </c>
      <c r="C356" s="25" t="str">
        <f t="shared" ca="1" si="56"/>
        <v/>
      </c>
      <c r="D356" s="26" t="str">
        <f t="shared" ca="1" si="57"/>
        <v/>
      </c>
      <c r="E356" s="4" t="str">
        <f t="shared" ca="1" si="58"/>
        <v/>
      </c>
      <c r="F356" s="25" t="str">
        <f t="shared" ca="1" si="59"/>
        <v/>
      </c>
      <c r="G356" s="26" t="str">
        <f t="shared" ca="1" si="60"/>
        <v/>
      </c>
      <c r="H356" s="55" t="str">
        <f t="shared" ca="1" si="61"/>
        <v/>
      </c>
      <c r="N356" s="95" t="str">
        <f t="shared" si="53"/>
        <v/>
      </c>
      <c r="O356" s="95" t="str">
        <f t="shared" si="54"/>
        <v/>
      </c>
    </row>
    <row r="357" spans="1:15" x14ac:dyDescent="0.25">
      <c r="A357" s="98" t="str">
        <f t="shared" ca="1" si="62"/>
        <v/>
      </c>
      <c r="B357" s="33" t="str">
        <f t="shared" ca="1" si="55"/>
        <v/>
      </c>
      <c r="C357" s="25" t="str">
        <f t="shared" ca="1" si="56"/>
        <v/>
      </c>
      <c r="D357" s="26" t="str">
        <f t="shared" ca="1" si="57"/>
        <v/>
      </c>
      <c r="E357" s="4" t="str">
        <f t="shared" ca="1" si="58"/>
        <v/>
      </c>
      <c r="F357" s="25" t="str">
        <f t="shared" ca="1" si="59"/>
        <v/>
      </c>
      <c r="G357" s="26" t="str">
        <f t="shared" ca="1" si="60"/>
        <v/>
      </c>
      <c r="H357" s="55" t="str">
        <f t="shared" ca="1" si="61"/>
        <v/>
      </c>
      <c r="N357" s="95" t="str">
        <f t="shared" si="53"/>
        <v/>
      </c>
      <c r="O357" s="95" t="str">
        <f t="shared" si="54"/>
        <v/>
      </c>
    </row>
    <row r="358" spans="1:15" x14ac:dyDescent="0.25">
      <c r="A358" s="98" t="str">
        <f t="shared" ca="1" si="62"/>
        <v/>
      </c>
      <c r="B358" s="33" t="str">
        <f t="shared" ca="1" si="55"/>
        <v/>
      </c>
      <c r="C358" s="25" t="str">
        <f t="shared" ca="1" si="56"/>
        <v/>
      </c>
      <c r="D358" s="26" t="str">
        <f t="shared" ca="1" si="57"/>
        <v/>
      </c>
      <c r="E358" s="4" t="str">
        <f t="shared" ca="1" si="58"/>
        <v/>
      </c>
      <c r="F358" s="25" t="str">
        <f t="shared" ca="1" si="59"/>
        <v/>
      </c>
      <c r="G358" s="26" t="str">
        <f t="shared" ca="1" si="60"/>
        <v/>
      </c>
      <c r="H358" s="55" t="str">
        <f t="shared" ca="1" si="61"/>
        <v/>
      </c>
      <c r="N358" s="95" t="str">
        <f t="shared" si="53"/>
        <v/>
      </c>
      <c r="O358" s="95" t="str">
        <f t="shared" si="54"/>
        <v/>
      </c>
    </row>
    <row r="359" spans="1:15" x14ac:dyDescent="0.25">
      <c r="A359" s="98" t="str">
        <f t="shared" ca="1" si="62"/>
        <v/>
      </c>
      <c r="B359" s="33" t="str">
        <f t="shared" ca="1" si="55"/>
        <v/>
      </c>
      <c r="C359" s="25" t="str">
        <f t="shared" ca="1" si="56"/>
        <v/>
      </c>
      <c r="D359" s="26" t="str">
        <f t="shared" ca="1" si="57"/>
        <v/>
      </c>
      <c r="E359" s="4" t="str">
        <f t="shared" ca="1" si="58"/>
        <v/>
      </c>
      <c r="F359" s="25" t="str">
        <f t="shared" ca="1" si="59"/>
        <v/>
      </c>
      <c r="G359" s="26" t="str">
        <f t="shared" ca="1" si="60"/>
        <v/>
      </c>
      <c r="H359" s="55" t="str">
        <f t="shared" ca="1" si="61"/>
        <v/>
      </c>
      <c r="N359" s="95" t="str">
        <f t="shared" si="53"/>
        <v/>
      </c>
      <c r="O359" s="95" t="str">
        <f t="shared" si="54"/>
        <v/>
      </c>
    </row>
    <row r="360" spans="1:15" x14ac:dyDescent="0.25">
      <c r="A360" s="98" t="str">
        <f t="shared" ca="1" si="62"/>
        <v/>
      </c>
      <c r="B360" s="33" t="str">
        <f t="shared" ca="1" si="55"/>
        <v/>
      </c>
      <c r="C360" s="25" t="str">
        <f t="shared" ca="1" si="56"/>
        <v/>
      </c>
      <c r="D360" s="26" t="str">
        <f t="shared" ca="1" si="57"/>
        <v/>
      </c>
      <c r="E360" s="4" t="str">
        <f t="shared" ca="1" si="58"/>
        <v/>
      </c>
      <c r="F360" s="25" t="str">
        <f t="shared" ca="1" si="59"/>
        <v/>
      </c>
      <c r="G360" s="26" t="str">
        <f t="shared" ca="1" si="60"/>
        <v/>
      </c>
      <c r="H360" s="55" t="str">
        <f t="shared" ca="1" si="61"/>
        <v/>
      </c>
      <c r="N360" s="95" t="str">
        <f t="shared" si="53"/>
        <v/>
      </c>
      <c r="O360" s="95" t="str">
        <f t="shared" si="54"/>
        <v/>
      </c>
    </row>
    <row r="361" spans="1:15" x14ac:dyDescent="0.25">
      <c r="A361" s="98" t="str">
        <f t="shared" ca="1" si="62"/>
        <v/>
      </c>
      <c r="B361" s="33" t="str">
        <f t="shared" ca="1" si="55"/>
        <v/>
      </c>
      <c r="C361" s="25" t="str">
        <f t="shared" ca="1" si="56"/>
        <v/>
      </c>
      <c r="D361" s="26" t="str">
        <f t="shared" ca="1" si="57"/>
        <v/>
      </c>
      <c r="E361" s="4" t="str">
        <f t="shared" ca="1" si="58"/>
        <v/>
      </c>
      <c r="F361" s="25" t="str">
        <f t="shared" ca="1" si="59"/>
        <v/>
      </c>
      <c r="G361" s="26" t="str">
        <f t="shared" ca="1" si="60"/>
        <v/>
      </c>
      <c r="H361" s="55" t="str">
        <f t="shared" ca="1" si="61"/>
        <v/>
      </c>
      <c r="N361" s="95" t="str">
        <f t="shared" si="53"/>
        <v/>
      </c>
      <c r="O361" s="95" t="str">
        <f t="shared" si="54"/>
        <v/>
      </c>
    </row>
    <row r="362" spans="1:15" x14ac:dyDescent="0.25">
      <c r="A362" s="98" t="str">
        <f t="shared" ca="1" si="62"/>
        <v/>
      </c>
      <c r="B362" s="33" t="str">
        <f t="shared" ca="1" si="55"/>
        <v/>
      </c>
      <c r="C362" s="25" t="str">
        <f t="shared" ca="1" si="56"/>
        <v/>
      </c>
      <c r="D362" s="26" t="str">
        <f t="shared" ca="1" si="57"/>
        <v/>
      </c>
      <c r="E362" s="4" t="str">
        <f t="shared" ca="1" si="58"/>
        <v/>
      </c>
      <c r="F362" s="25" t="str">
        <f t="shared" ca="1" si="59"/>
        <v/>
      </c>
      <c r="G362" s="26" t="str">
        <f t="shared" ca="1" si="60"/>
        <v/>
      </c>
      <c r="H362" s="55" t="str">
        <f t="shared" ca="1" si="61"/>
        <v/>
      </c>
      <c r="N362" s="95" t="str">
        <f t="shared" si="53"/>
        <v/>
      </c>
      <c r="O362" s="95" t="str">
        <f t="shared" si="54"/>
        <v/>
      </c>
    </row>
    <row r="363" spans="1:15" x14ac:dyDescent="0.25">
      <c r="A363" s="98" t="str">
        <f t="shared" ca="1" si="62"/>
        <v/>
      </c>
      <c r="B363" s="33" t="str">
        <f t="shared" ca="1" si="55"/>
        <v/>
      </c>
      <c r="C363" s="25" t="str">
        <f t="shared" ca="1" si="56"/>
        <v/>
      </c>
      <c r="D363" s="26" t="str">
        <f t="shared" ca="1" si="57"/>
        <v/>
      </c>
      <c r="E363" s="4" t="str">
        <f t="shared" ca="1" si="58"/>
        <v/>
      </c>
      <c r="F363" s="25" t="str">
        <f t="shared" ca="1" si="59"/>
        <v/>
      </c>
      <c r="G363" s="26" t="str">
        <f t="shared" ca="1" si="60"/>
        <v/>
      </c>
      <c r="H363" s="55" t="str">
        <f t="shared" ca="1" si="61"/>
        <v/>
      </c>
      <c r="N363" s="95" t="str">
        <f t="shared" si="53"/>
        <v/>
      </c>
      <c r="O363" s="95" t="str">
        <f t="shared" si="54"/>
        <v/>
      </c>
    </row>
    <row r="364" spans="1:15" x14ac:dyDescent="0.25">
      <c r="A364" s="98" t="str">
        <f t="shared" ca="1" si="62"/>
        <v/>
      </c>
      <c r="B364" s="33" t="str">
        <f t="shared" ca="1" si="55"/>
        <v/>
      </c>
      <c r="C364" s="25" t="str">
        <f t="shared" ca="1" si="56"/>
        <v/>
      </c>
      <c r="D364" s="26" t="str">
        <f t="shared" ca="1" si="57"/>
        <v/>
      </c>
      <c r="E364" s="4" t="str">
        <f t="shared" ca="1" si="58"/>
        <v/>
      </c>
      <c r="F364" s="25" t="str">
        <f t="shared" ca="1" si="59"/>
        <v/>
      </c>
      <c r="G364" s="26" t="str">
        <f t="shared" ca="1" si="60"/>
        <v/>
      </c>
      <c r="H364" s="55" t="str">
        <f t="shared" ca="1" si="61"/>
        <v/>
      </c>
      <c r="N364" s="95" t="str">
        <f t="shared" si="53"/>
        <v/>
      </c>
      <c r="O364" s="95" t="str">
        <f t="shared" si="54"/>
        <v/>
      </c>
    </row>
    <row r="365" spans="1:15" x14ac:dyDescent="0.25">
      <c r="A365" s="98" t="str">
        <f t="shared" ca="1" si="62"/>
        <v/>
      </c>
      <c r="B365" s="33" t="str">
        <f t="shared" ca="1" si="55"/>
        <v/>
      </c>
      <c r="C365" s="25" t="str">
        <f t="shared" ca="1" si="56"/>
        <v/>
      </c>
      <c r="D365" s="26" t="str">
        <f t="shared" ca="1" si="57"/>
        <v/>
      </c>
      <c r="E365" s="4" t="str">
        <f t="shared" ca="1" si="58"/>
        <v/>
      </c>
      <c r="F365" s="25" t="str">
        <f t="shared" ca="1" si="59"/>
        <v/>
      </c>
      <c r="G365" s="26" t="str">
        <f t="shared" ca="1" si="60"/>
        <v/>
      </c>
      <c r="H365" s="55" t="str">
        <f t="shared" ca="1" si="61"/>
        <v/>
      </c>
      <c r="N365" s="95" t="str">
        <f t="shared" si="53"/>
        <v/>
      </c>
      <c r="O365" s="95" t="str">
        <f t="shared" si="54"/>
        <v/>
      </c>
    </row>
    <row r="366" spans="1:15" x14ac:dyDescent="0.25">
      <c r="A366" s="98" t="str">
        <f t="shared" ca="1" si="62"/>
        <v/>
      </c>
      <c r="B366" s="33" t="str">
        <f t="shared" ca="1" si="55"/>
        <v/>
      </c>
      <c r="C366" s="25" t="str">
        <f t="shared" ca="1" si="56"/>
        <v/>
      </c>
      <c r="D366" s="26" t="str">
        <f t="shared" ca="1" si="57"/>
        <v/>
      </c>
      <c r="E366" s="4" t="str">
        <f t="shared" ca="1" si="58"/>
        <v/>
      </c>
      <c r="F366" s="25" t="str">
        <f t="shared" ca="1" si="59"/>
        <v/>
      </c>
      <c r="G366" s="26" t="str">
        <f t="shared" ca="1" si="60"/>
        <v/>
      </c>
      <c r="H366" s="55" t="str">
        <f t="shared" ca="1" si="61"/>
        <v/>
      </c>
      <c r="N366" s="95" t="str">
        <f t="shared" si="53"/>
        <v/>
      </c>
      <c r="O366" s="95" t="str">
        <f t="shared" si="54"/>
        <v/>
      </c>
    </row>
    <row r="367" spans="1:15" x14ac:dyDescent="0.25">
      <c r="A367" s="98" t="str">
        <f t="shared" ca="1" si="62"/>
        <v/>
      </c>
      <c r="B367" s="33" t="str">
        <f t="shared" ca="1" si="55"/>
        <v/>
      </c>
      <c r="C367" s="25" t="str">
        <f t="shared" ca="1" si="56"/>
        <v/>
      </c>
      <c r="D367" s="26" t="str">
        <f t="shared" ca="1" si="57"/>
        <v/>
      </c>
      <c r="E367" s="4" t="str">
        <f t="shared" ca="1" si="58"/>
        <v/>
      </c>
      <c r="F367" s="25" t="str">
        <f t="shared" ca="1" si="59"/>
        <v/>
      </c>
      <c r="G367" s="26" t="str">
        <f t="shared" ca="1" si="60"/>
        <v/>
      </c>
      <c r="H367" s="55" t="str">
        <f t="shared" ca="1" si="61"/>
        <v/>
      </c>
      <c r="N367" s="95" t="str">
        <f t="shared" si="53"/>
        <v/>
      </c>
      <c r="O367" s="95" t="str">
        <f t="shared" si="54"/>
        <v/>
      </c>
    </row>
    <row r="368" spans="1:15" x14ac:dyDescent="0.25">
      <c r="A368" s="98" t="str">
        <f t="shared" ca="1" si="62"/>
        <v/>
      </c>
      <c r="B368" s="33" t="str">
        <f t="shared" ca="1" si="55"/>
        <v/>
      </c>
      <c r="C368" s="25" t="str">
        <f t="shared" ca="1" si="56"/>
        <v/>
      </c>
      <c r="D368" s="26" t="str">
        <f t="shared" ca="1" si="57"/>
        <v/>
      </c>
      <c r="E368" s="4" t="str">
        <f t="shared" ca="1" si="58"/>
        <v/>
      </c>
      <c r="F368" s="25" t="str">
        <f t="shared" ca="1" si="59"/>
        <v/>
      </c>
      <c r="G368" s="26" t="str">
        <f t="shared" ca="1" si="60"/>
        <v/>
      </c>
      <c r="H368" s="55" t="str">
        <f t="shared" ca="1" si="61"/>
        <v/>
      </c>
      <c r="N368" s="95" t="str">
        <f t="shared" si="53"/>
        <v/>
      </c>
      <c r="O368" s="95" t="str">
        <f t="shared" si="54"/>
        <v/>
      </c>
    </row>
    <row r="369" spans="1:15" x14ac:dyDescent="0.25">
      <c r="A369" s="98" t="str">
        <f t="shared" ca="1" si="62"/>
        <v/>
      </c>
      <c r="B369" s="33" t="str">
        <f t="shared" ca="1" si="55"/>
        <v/>
      </c>
      <c r="C369" s="25" t="str">
        <f t="shared" ca="1" si="56"/>
        <v/>
      </c>
      <c r="D369" s="26" t="str">
        <f t="shared" ca="1" si="57"/>
        <v/>
      </c>
      <c r="E369" s="4" t="str">
        <f t="shared" ca="1" si="58"/>
        <v/>
      </c>
      <c r="F369" s="25" t="str">
        <f t="shared" ca="1" si="59"/>
        <v/>
      </c>
      <c r="G369" s="26" t="str">
        <f t="shared" ca="1" si="60"/>
        <v/>
      </c>
      <c r="H369" s="55" t="str">
        <f t="shared" ca="1" si="61"/>
        <v/>
      </c>
      <c r="N369" s="95" t="str">
        <f t="shared" si="53"/>
        <v/>
      </c>
      <c r="O369" s="95" t="str">
        <f t="shared" si="54"/>
        <v/>
      </c>
    </row>
    <row r="370" spans="1:15" x14ac:dyDescent="0.25">
      <c r="A370" s="98" t="str">
        <f t="shared" ca="1" si="62"/>
        <v/>
      </c>
      <c r="B370" s="33" t="str">
        <f t="shared" ca="1" si="55"/>
        <v/>
      </c>
      <c r="C370" s="25" t="str">
        <f t="shared" ca="1" si="56"/>
        <v/>
      </c>
      <c r="D370" s="26" t="str">
        <f t="shared" ca="1" si="57"/>
        <v/>
      </c>
      <c r="E370" s="4" t="str">
        <f t="shared" ca="1" si="58"/>
        <v/>
      </c>
      <c r="F370" s="25" t="str">
        <f t="shared" ca="1" si="59"/>
        <v/>
      </c>
      <c r="G370" s="26" t="str">
        <f t="shared" ca="1" si="60"/>
        <v/>
      </c>
      <c r="H370" s="55" t="str">
        <f t="shared" ca="1" si="61"/>
        <v/>
      </c>
      <c r="N370" s="95" t="str">
        <f t="shared" si="53"/>
        <v/>
      </c>
      <c r="O370" s="95" t="str">
        <f t="shared" si="54"/>
        <v/>
      </c>
    </row>
    <row r="371" spans="1:15" x14ac:dyDescent="0.25">
      <c r="A371" s="98" t="str">
        <f t="shared" ca="1" si="62"/>
        <v/>
      </c>
      <c r="B371" s="33" t="str">
        <f t="shared" ca="1" si="55"/>
        <v/>
      </c>
      <c r="C371" s="25" t="str">
        <f t="shared" ca="1" si="56"/>
        <v/>
      </c>
      <c r="D371" s="26" t="str">
        <f t="shared" ca="1" si="57"/>
        <v/>
      </c>
      <c r="E371" s="4" t="str">
        <f t="shared" ca="1" si="58"/>
        <v/>
      </c>
      <c r="F371" s="25" t="str">
        <f t="shared" ca="1" si="59"/>
        <v/>
      </c>
      <c r="G371" s="26" t="str">
        <f t="shared" ca="1" si="60"/>
        <v/>
      </c>
      <c r="H371" s="55" t="str">
        <f t="shared" ca="1" si="61"/>
        <v/>
      </c>
      <c r="N371" s="95" t="str">
        <f t="shared" si="53"/>
        <v/>
      </c>
      <c r="O371" s="95" t="str">
        <f t="shared" si="54"/>
        <v/>
      </c>
    </row>
    <row r="372" spans="1:15" x14ac:dyDescent="0.25">
      <c r="A372" s="98" t="str">
        <f t="shared" ca="1" si="62"/>
        <v/>
      </c>
      <c r="B372" s="33" t="str">
        <f t="shared" ca="1" si="55"/>
        <v/>
      </c>
      <c r="C372" s="25" t="str">
        <f t="shared" ca="1" si="56"/>
        <v/>
      </c>
      <c r="D372" s="26" t="str">
        <f t="shared" ca="1" si="57"/>
        <v/>
      </c>
      <c r="E372" s="4" t="str">
        <f t="shared" ca="1" si="58"/>
        <v/>
      </c>
      <c r="F372" s="25" t="str">
        <f t="shared" ca="1" si="59"/>
        <v/>
      </c>
      <c r="G372" s="26" t="str">
        <f t="shared" ca="1" si="60"/>
        <v/>
      </c>
      <c r="H372" s="55" t="str">
        <f t="shared" ca="1" si="61"/>
        <v/>
      </c>
      <c r="N372" s="95" t="str">
        <f t="shared" si="53"/>
        <v/>
      </c>
      <c r="O372" s="95" t="str">
        <f t="shared" si="54"/>
        <v/>
      </c>
    </row>
    <row r="373" spans="1:15" x14ac:dyDescent="0.25">
      <c r="A373" s="98" t="str">
        <f t="shared" ca="1" si="62"/>
        <v/>
      </c>
      <c r="B373" s="33" t="str">
        <f t="shared" ca="1" si="55"/>
        <v/>
      </c>
      <c r="C373" s="25" t="str">
        <f t="shared" ca="1" si="56"/>
        <v/>
      </c>
      <c r="D373" s="26" t="str">
        <f t="shared" ca="1" si="57"/>
        <v/>
      </c>
      <c r="E373" s="4" t="str">
        <f t="shared" ca="1" si="58"/>
        <v/>
      </c>
      <c r="F373" s="25" t="str">
        <f t="shared" ca="1" si="59"/>
        <v/>
      </c>
      <c r="G373" s="26" t="str">
        <f t="shared" ca="1" si="60"/>
        <v/>
      </c>
      <c r="H373" s="55" t="str">
        <f t="shared" ca="1" si="61"/>
        <v/>
      </c>
      <c r="N373" s="95" t="str">
        <f t="shared" si="53"/>
        <v/>
      </c>
      <c r="O373" s="95" t="str">
        <f t="shared" si="54"/>
        <v/>
      </c>
    </row>
    <row r="374" spans="1:15" x14ac:dyDescent="0.25">
      <c r="A374" s="98" t="str">
        <f t="shared" ca="1" si="62"/>
        <v/>
      </c>
      <c r="B374" s="33" t="str">
        <f t="shared" ca="1" si="55"/>
        <v/>
      </c>
      <c r="C374" s="25" t="str">
        <f t="shared" ca="1" si="56"/>
        <v/>
      </c>
      <c r="D374" s="26" t="str">
        <f t="shared" ca="1" si="57"/>
        <v/>
      </c>
      <c r="E374" s="4" t="str">
        <f t="shared" ca="1" si="58"/>
        <v/>
      </c>
      <c r="F374" s="25" t="str">
        <f t="shared" ca="1" si="59"/>
        <v/>
      </c>
      <c r="G374" s="26" t="str">
        <f t="shared" ca="1" si="60"/>
        <v/>
      </c>
      <c r="H374" s="55" t="str">
        <f t="shared" ca="1" si="61"/>
        <v/>
      </c>
      <c r="N374" s="95" t="str">
        <f t="shared" si="53"/>
        <v/>
      </c>
      <c r="O374" s="95" t="str">
        <f t="shared" si="54"/>
        <v/>
      </c>
    </row>
    <row r="375" spans="1:15" x14ac:dyDescent="0.25">
      <c r="A375" s="98" t="str">
        <f t="shared" ca="1" si="62"/>
        <v/>
      </c>
      <c r="B375" s="33" t="str">
        <f t="shared" ca="1" si="55"/>
        <v/>
      </c>
      <c r="C375" s="25" t="str">
        <f t="shared" ca="1" si="56"/>
        <v/>
      </c>
      <c r="D375" s="26" t="str">
        <f t="shared" ca="1" si="57"/>
        <v/>
      </c>
      <c r="E375" s="4" t="str">
        <f t="shared" ca="1" si="58"/>
        <v/>
      </c>
      <c r="F375" s="25" t="str">
        <f t="shared" ca="1" si="59"/>
        <v/>
      </c>
      <c r="G375" s="26" t="str">
        <f t="shared" ca="1" si="60"/>
        <v/>
      </c>
      <c r="H375" s="55" t="str">
        <f t="shared" ca="1" si="61"/>
        <v/>
      </c>
      <c r="N375" s="95" t="str">
        <f t="shared" si="53"/>
        <v/>
      </c>
      <c r="O375" s="95" t="str">
        <f t="shared" si="54"/>
        <v/>
      </c>
    </row>
    <row r="376" spans="1:15" x14ac:dyDescent="0.25">
      <c r="A376" s="98" t="str">
        <f t="shared" ca="1" si="62"/>
        <v/>
      </c>
      <c r="B376" s="33" t="str">
        <f t="shared" ca="1" si="55"/>
        <v/>
      </c>
      <c r="C376" s="25" t="str">
        <f t="shared" ca="1" si="56"/>
        <v/>
      </c>
      <c r="D376" s="26" t="str">
        <f t="shared" ca="1" si="57"/>
        <v/>
      </c>
      <c r="E376" s="4" t="str">
        <f t="shared" ca="1" si="58"/>
        <v/>
      </c>
      <c r="F376" s="25" t="str">
        <f t="shared" ca="1" si="59"/>
        <v/>
      </c>
      <c r="G376" s="26" t="str">
        <f t="shared" ca="1" si="60"/>
        <v/>
      </c>
      <c r="H376" s="55" t="str">
        <f t="shared" ca="1" si="61"/>
        <v/>
      </c>
      <c r="N376" s="95" t="str">
        <f t="shared" si="53"/>
        <v/>
      </c>
      <c r="O376" s="95" t="str">
        <f t="shared" si="54"/>
        <v/>
      </c>
    </row>
    <row r="377" spans="1:15" x14ac:dyDescent="0.25">
      <c r="A377" s="98" t="str">
        <f t="shared" ca="1" si="62"/>
        <v/>
      </c>
      <c r="B377" s="33" t="str">
        <f t="shared" ca="1" si="55"/>
        <v/>
      </c>
      <c r="C377" s="25" t="str">
        <f t="shared" ca="1" si="56"/>
        <v/>
      </c>
      <c r="D377" s="26" t="str">
        <f t="shared" ca="1" si="57"/>
        <v/>
      </c>
      <c r="E377" s="4" t="str">
        <f t="shared" ca="1" si="58"/>
        <v/>
      </c>
      <c r="F377" s="25" t="str">
        <f t="shared" ca="1" si="59"/>
        <v/>
      </c>
      <c r="G377" s="26" t="str">
        <f t="shared" ca="1" si="60"/>
        <v/>
      </c>
      <c r="H377" s="55" t="str">
        <f t="shared" ca="1" si="61"/>
        <v/>
      </c>
      <c r="N377" s="95" t="str">
        <f t="shared" si="53"/>
        <v/>
      </c>
      <c r="O377" s="95" t="str">
        <f t="shared" si="54"/>
        <v/>
      </c>
    </row>
    <row r="378" spans="1:15" x14ac:dyDescent="0.25">
      <c r="A378" s="98" t="str">
        <f t="shared" ca="1" si="62"/>
        <v/>
      </c>
      <c r="B378" s="33" t="str">
        <f t="shared" ca="1" si="55"/>
        <v/>
      </c>
      <c r="C378" s="25" t="str">
        <f t="shared" ca="1" si="56"/>
        <v/>
      </c>
      <c r="D378" s="26" t="str">
        <f t="shared" ca="1" si="57"/>
        <v/>
      </c>
      <c r="E378" s="4" t="str">
        <f t="shared" ca="1" si="58"/>
        <v/>
      </c>
      <c r="F378" s="25" t="str">
        <f t="shared" ca="1" si="59"/>
        <v/>
      </c>
      <c r="G378" s="26" t="str">
        <f t="shared" ca="1" si="60"/>
        <v/>
      </c>
      <c r="H378" s="55" t="str">
        <f t="shared" ca="1" si="61"/>
        <v/>
      </c>
      <c r="N378" s="95" t="str">
        <f t="shared" si="53"/>
        <v/>
      </c>
      <c r="O378" s="95" t="str">
        <f t="shared" si="54"/>
        <v/>
      </c>
    </row>
    <row r="379" spans="1:15" x14ac:dyDescent="0.25">
      <c r="A379" s="98" t="str">
        <f t="shared" ca="1" si="62"/>
        <v/>
      </c>
      <c r="B379" s="33" t="str">
        <f t="shared" ca="1" si="55"/>
        <v/>
      </c>
      <c r="C379" s="25" t="str">
        <f t="shared" ca="1" si="56"/>
        <v/>
      </c>
      <c r="D379" s="26" t="str">
        <f t="shared" ca="1" si="57"/>
        <v/>
      </c>
      <c r="E379" s="4" t="str">
        <f t="shared" ca="1" si="58"/>
        <v/>
      </c>
      <c r="F379" s="25" t="str">
        <f t="shared" ca="1" si="59"/>
        <v/>
      </c>
      <c r="G379" s="26" t="str">
        <f t="shared" ca="1" si="60"/>
        <v/>
      </c>
      <c r="H379" s="55" t="str">
        <f t="shared" ca="1" si="61"/>
        <v/>
      </c>
      <c r="N379" s="95" t="str">
        <f t="shared" si="53"/>
        <v/>
      </c>
      <c r="O379" s="95" t="str">
        <f t="shared" si="54"/>
        <v/>
      </c>
    </row>
    <row r="380" spans="1:15" x14ac:dyDescent="0.25">
      <c r="A380" s="98" t="str">
        <f t="shared" ca="1" si="62"/>
        <v/>
      </c>
      <c r="B380" s="33" t="str">
        <f t="shared" ca="1" si="55"/>
        <v/>
      </c>
      <c r="C380" s="25" t="str">
        <f t="shared" ca="1" si="56"/>
        <v/>
      </c>
      <c r="D380" s="26" t="str">
        <f t="shared" ca="1" si="57"/>
        <v/>
      </c>
      <c r="E380" s="4" t="str">
        <f t="shared" ca="1" si="58"/>
        <v/>
      </c>
      <c r="F380" s="25" t="str">
        <f t="shared" ca="1" si="59"/>
        <v/>
      </c>
      <c r="G380" s="26" t="str">
        <f t="shared" ca="1" si="60"/>
        <v/>
      </c>
      <c r="H380" s="55" t="str">
        <f t="shared" ca="1" si="61"/>
        <v/>
      </c>
      <c r="N380" s="95" t="str">
        <f t="shared" si="53"/>
        <v/>
      </c>
      <c r="O380" s="95" t="str">
        <f t="shared" si="54"/>
        <v/>
      </c>
    </row>
    <row r="381" spans="1:15" x14ac:dyDescent="0.25">
      <c r="A381" s="98" t="str">
        <f t="shared" ca="1" si="62"/>
        <v/>
      </c>
      <c r="B381" s="33" t="str">
        <f t="shared" ca="1" si="55"/>
        <v/>
      </c>
      <c r="C381" s="25" t="str">
        <f t="shared" ca="1" si="56"/>
        <v/>
      </c>
      <c r="D381" s="26" t="str">
        <f t="shared" ca="1" si="57"/>
        <v/>
      </c>
      <c r="E381" s="4" t="str">
        <f t="shared" ca="1" si="58"/>
        <v/>
      </c>
      <c r="F381" s="25" t="str">
        <f t="shared" ca="1" si="59"/>
        <v/>
      </c>
      <c r="G381" s="26" t="str">
        <f t="shared" ca="1" si="60"/>
        <v/>
      </c>
      <c r="H381" s="55" t="str">
        <f t="shared" ca="1" si="61"/>
        <v/>
      </c>
      <c r="N381" s="95" t="str">
        <f t="shared" si="53"/>
        <v/>
      </c>
      <c r="O381" s="95" t="str">
        <f t="shared" si="54"/>
        <v/>
      </c>
    </row>
    <row r="382" spans="1:15" x14ac:dyDescent="0.25">
      <c r="A382" s="98" t="str">
        <f t="shared" ca="1" si="62"/>
        <v/>
      </c>
      <c r="B382" s="33" t="str">
        <f t="shared" ca="1" si="55"/>
        <v/>
      </c>
      <c r="C382" s="25" t="str">
        <f t="shared" ca="1" si="56"/>
        <v/>
      </c>
      <c r="D382" s="26" t="str">
        <f t="shared" ca="1" si="57"/>
        <v/>
      </c>
      <c r="E382" s="4" t="str">
        <f t="shared" ca="1" si="58"/>
        <v/>
      </c>
      <c r="F382" s="25" t="str">
        <f t="shared" ca="1" si="59"/>
        <v/>
      </c>
      <c r="G382" s="26" t="str">
        <f t="shared" ca="1" si="60"/>
        <v/>
      </c>
      <c r="H382" s="55" t="str">
        <f t="shared" ca="1" si="61"/>
        <v/>
      </c>
      <c r="N382" s="95" t="str">
        <f t="shared" si="53"/>
        <v/>
      </c>
      <c r="O382" s="95" t="str">
        <f t="shared" si="54"/>
        <v/>
      </c>
    </row>
    <row r="383" spans="1:15" x14ac:dyDescent="0.25">
      <c r="A383" s="98" t="str">
        <f t="shared" ca="1" si="62"/>
        <v/>
      </c>
      <c r="B383" s="33" t="str">
        <f t="shared" ca="1" si="55"/>
        <v/>
      </c>
      <c r="C383" s="25" t="str">
        <f t="shared" ca="1" si="56"/>
        <v/>
      </c>
      <c r="D383" s="26" t="str">
        <f t="shared" ca="1" si="57"/>
        <v/>
      </c>
      <c r="E383" s="4" t="str">
        <f t="shared" ca="1" si="58"/>
        <v/>
      </c>
      <c r="F383" s="25" t="str">
        <f t="shared" ca="1" si="59"/>
        <v/>
      </c>
      <c r="G383" s="26" t="str">
        <f t="shared" ca="1" si="60"/>
        <v/>
      </c>
      <c r="H383" s="55" t="str">
        <f t="shared" ca="1" si="61"/>
        <v/>
      </c>
      <c r="N383" s="95" t="str">
        <f t="shared" si="53"/>
        <v/>
      </c>
      <c r="O383" s="95" t="str">
        <f t="shared" si="54"/>
        <v/>
      </c>
    </row>
    <row r="384" spans="1:15" x14ac:dyDescent="0.25">
      <c r="A384" s="98" t="str">
        <f t="shared" ca="1" si="62"/>
        <v/>
      </c>
      <c r="B384" s="33" t="str">
        <f t="shared" ca="1" si="55"/>
        <v/>
      </c>
      <c r="C384" s="25" t="str">
        <f t="shared" ca="1" si="56"/>
        <v/>
      </c>
      <c r="D384" s="26" t="str">
        <f t="shared" ca="1" si="57"/>
        <v/>
      </c>
      <c r="E384" s="4" t="str">
        <f t="shared" ca="1" si="58"/>
        <v/>
      </c>
      <c r="F384" s="25" t="str">
        <f t="shared" ca="1" si="59"/>
        <v/>
      </c>
      <c r="G384" s="26" t="str">
        <f t="shared" ca="1" si="60"/>
        <v/>
      </c>
      <c r="H384" s="55" t="str">
        <f t="shared" ca="1" si="61"/>
        <v/>
      </c>
      <c r="N384" s="95" t="str">
        <f t="shared" si="53"/>
        <v/>
      </c>
      <c r="O384" s="95" t="str">
        <f t="shared" si="54"/>
        <v/>
      </c>
    </row>
    <row r="385" spans="1:15" x14ac:dyDescent="0.25">
      <c r="A385" s="98" t="str">
        <f t="shared" ca="1" si="62"/>
        <v/>
      </c>
      <c r="B385" s="33" t="str">
        <f t="shared" ca="1" si="55"/>
        <v/>
      </c>
      <c r="C385" s="25" t="str">
        <f t="shared" ca="1" si="56"/>
        <v/>
      </c>
      <c r="D385" s="26" t="str">
        <f t="shared" ca="1" si="57"/>
        <v/>
      </c>
      <c r="E385" s="4" t="str">
        <f t="shared" ca="1" si="58"/>
        <v/>
      </c>
      <c r="F385" s="25" t="str">
        <f t="shared" ca="1" si="59"/>
        <v/>
      </c>
      <c r="G385" s="26" t="str">
        <f t="shared" ca="1" si="60"/>
        <v/>
      </c>
      <c r="H385" s="55" t="str">
        <f t="shared" ca="1" si="61"/>
        <v/>
      </c>
      <c r="N385" s="95" t="str">
        <f t="shared" si="53"/>
        <v/>
      </c>
      <c r="O385" s="95" t="str">
        <f t="shared" si="54"/>
        <v/>
      </c>
    </row>
    <row r="386" spans="1:15" x14ac:dyDescent="0.25">
      <c r="A386" s="98" t="str">
        <f t="shared" ca="1" si="62"/>
        <v/>
      </c>
      <c r="B386" s="33" t="str">
        <f t="shared" ca="1" si="55"/>
        <v/>
      </c>
      <c r="C386" s="25" t="str">
        <f t="shared" ca="1" si="56"/>
        <v/>
      </c>
      <c r="D386" s="26" t="str">
        <f t="shared" ca="1" si="57"/>
        <v/>
      </c>
      <c r="E386" s="4" t="str">
        <f t="shared" ca="1" si="58"/>
        <v/>
      </c>
      <c r="F386" s="25" t="str">
        <f t="shared" ca="1" si="59"/>
        <v/>
      </c>
      <c r="G386" s="26" t="str">
        <f t="shared" ca="1" si="60"/>
        <v/>
      </c>
      <c r="H386" s="55" t="str">
        <f t="shared" ca="1" si="61"/>
        <v/>
      </c>
      <c r="N386" s="95" t="str">
        <f t="shared" si="53"/>
        <v/>
      </c>
      <c r="O386" s="95" t="str">
        <f t="shared" si="54"/>
        <v/>
      </c>
    </row>
    <row r="387" spans="1:15" x14ac:dyDescent="0.25">
      <c r="A387" s="98" t="str">
        <f t="shared" ca="1" si="62"/>
        <v/>
      </c>
      <c r="B387" s="33" t="str">
        <f t="shared" ca="1" si="55"/>
        <v/>
      </c>
      <c r="C387" s="25" t="str">
        <f t="shared" ca="1" si="56"/>
        <v/>
      </c>
      <c r="D387" s="26" t="str">
        <f t="shared" ca="1" si="57"/>
        <v/>
      </c>
      <c r="E387" s="4" t="str">
        <f t="shared" ca="1" si="58"/>
        <v/>
      </c>
      <c r="F387" s="25" t="str">
        <f t="shared" ca="1" si="59"/>
        <v/>
      </c>
      <c r="G387" s="26" t="str">
        <f t="shared" ca="1" si="60"/>
        <v/>
      </c>
      <c r="H387" s="55" t="str">
        <f t="shared" ca="1" si="61"/>
        <v/>
      </c>
      <c r="N387" s="95" t="str">
        <f t="shared" si="53"/>
        <v/>
      </c>
      <c r="O387" s="95" t="str">
        <f t="shared" si="54"/>
        <v/>
      </c>
    </row>
    <row r="388" spans="1:15" x14ac:dyDescent="0.25">
      <c r="A388" s="98" t="str">
        <f t="shared" ca="1" si="62"/>
        <v/>
      </c>
      <c r="B388" s="33" t="str">
        <f t="shared" ca="1" si="55"/>
        <v/>
      </c>
      <c r="C388" s="25" t="str">
        <f t="shared" ca="1" si="56"/>
        <v/>
      </c>
      <c r="D388" s="26" t="str">
        <f t="shared" ca="1" si="57"/>
        <v/>
      </c>
      <c r="E388" s="4" t="str">
        <f t="shared" ca="1" si="58"/>
        <v/>
      </c>
      <c r="F388" s="25" t="str">
        <f t="shared" ca="1" si="59"/>
        <v/>
      </c>
      <c r="G388" s="26" t="str">
        <f t="shared" ca="1" si="60"/>
        <v/>
      </c>
      <c r="H388" s="55" t="str">
        <f t="shared" ca="1" si="61"/>
        <v/>
      </c>
      <c r="N388" s="95" t="str">
        <f t="shared" ref="N388:N451" si="63">IF(COUNTIF(L:L,J388)=1,J388,"")</f>
        <v/>
      </c>
      <c r="O388" s="95" t="str">
        <f t="shared" ref="O388:O451" si="64">IF(N388&gt;$A$14,N388,"")</f>
        <v/>
      </c>
    </row>
    <row r="389" spans="1:15" x14ac:dyDescent="0.25">
      <c r="A389" s="98" t="str">
        <f t="shared" ca="1" si="62"/>
        <v/>
      </c>
      <c r="B389" s="33" t="str">
        <f t="shared" ca="1" si="55"/>
        <v/>
      </c>
      <c r="C389" s="25" t="str">
        <f t="shared" ca="1" si="56"/>
        <v/>
      </c>
      <c r="D389" s="26" t="str">
        <f t="shared" ca="1" si="57"/>
        <v/>
      </c>
      <c r="E389" s="4" t="str">
        <f t="shared" ca="1" si="58"/>
        <v/>
      </c>
      <c r="F389" s="25" t="str">
        <f t="shared" ca="1" si="59"/>
        <v/>
      </c>
      <c r="G389" s="26" t="str">
        <f t="shared" ca="1" si="60"/>
        <v/>
      </c>
      <c r="H389" s="55" t="str">
        <f t="shared" ca="1" si="61"/>
        <v/>
      </c>
      <c r="N389" s="95" t="str">
        <f t="shared" si="63"/>
        <v/>
      </c>
      <c r="O389" s="95" t="str">
        <f t="shared" si="64"/>
        <v/>
      </c>
    </row>
    <row r="390" spans="1:15" x14ac:dyDescent="0.25">
      <c r="A390" s="98" t="str">
        <f t="shared" ca="1" si="62"/>
        <v/>
      </c>
      <c r="B390" s="33" t="str">
        <f t="shared" ca="1" si="55"/>
        <v/>
      </c>
      <c r="C390" s="25" t="str">
        <f t="shared" ca="1" si="56"/>
        <v/>
      </c>
      <c r="D390" s="26" t="str">
        <f t="shared" ca="1" si="57"/>
        <v/>
      </c>
      <c r="E390" s="4" t="str">
        <f t="shared" ca="1" si="58"/>
        <v/>
      </c>
      <c r="F390" s="25" t="str">
        <f t="shared" ca="1" si="59"/>
        <v/>
      </c>
      <c r="G390" s="26" t="str">
        <f t="shared" ca="1" si="60"/>
        <v/>
      </c>
      <c r="H390" s="55" t="str">
        <f t="shared" ca="1" si="61"/>
        <v/>
      </c>
      <c r="N390" s="95" t="str">
        <f t="shared" si="63"/>
        <v/>
      </c>
      <c r="O390" s="95" t="str">
        <f t="shared" si="64"/>
        <v/>
      </c>
    </row>
    <row r="391" spans="1:15" x14ac:dyDescent="0.25">
      <c r="A391" s="98" t="str">
        <f t="shared" ca="1" si="62"/>
        <v/>
      </c>
      <c r="B391" s="33" t="str">
        <f t="shared" ca="1" si="55"/>
        <v/>
      </c>
      <c r="C391" s="25" t="str">
        <f t="shared" ca="1" si="56"/>
        <v/>
      </c>
      <c r="D391" s="26" t="str">
        <f t="shared" ca="1" si="57"/>
        <v/>
      </c>
      <c r="E391" s="4" t="str">
        <f t="shared" ca="1" si="58"/>
        <v/>
      </c>
      <c r="F391" s="25" t="str">
        <f t="shared" ca="1" si="59"/>
        <v/>
      </c>
      <c r="G391" s="26" t="str">
        <f t="shared" ca="1" si="60"/>
        <v/>
      </c>
      <c r="H391" s="55" t="str">
        <f t="shared" ca="1" si="61"/>
        <v/>
      </c>
      <c r="N391" s="95" t="str">
        <f t="shared" si="63"/>
        <v/>
      </c>
      <c r="O391" s="95" t="str">
        <f t="shared" si="64"/>
        <v/>
      </c>
    </row>
    <row r="392" spans="1:15" x14ac:dyDescent="0.25">
      <c r="A392" s="98" t="str">
        <f t="shared" ca="1" si="62"/>
        <v/>
      </c>
      <c r="B392" s="33" t="str">
        <f t="shared" ca="1" si="55"/>
        <v/>
      </c>
      <c r="C392" s="25" t="str">
        <f t="shared" ca="1" si="56"/>
        <v/>
      </c>
      <c r="D392" s="26" t="str">
        <f t="shared" ca="1" si="57"/>
        <v/>
      </c>
      <c r="E392" s="4" t="str">
        <f t="shared" ca="1" si="58"/>
        <v/>
      </c>
      <c r="F392" s="25" t="str">
        <f t="shared" ca="1" si="59"/>
        <v/>
      </c>
      <c r="G392" s="26" t="str">
        <f t="shared" ca="1" si="60"/>
        <v/>
      </c>
      <c r="H392" s="55" t="str">
        <f t="shared" ca="1" si="61"/>
        <v/>
      </c>
      <c r="N392" s="95" t="str">
        <f t="shared" si="63"/>
        <v/>
      </c>
      <c r="O392" s="95" t="str">
        <f t="shared" si="64"/>
        <v/>
      </c>
    </row>
    <row r="393" spans="1:15" x14ac:dyDescent="0.25">
      <c r="A393" s="98" t="str">
        <f t="shared" ca="1" si="62"/>
        <v/>
      </c>
      <c r="B393" s="33" t="str">
        <f t="shared" ca="1" si="55"/>
        <v/>
      </c>
      <c r="C393" s="25" t="str">
        <f t="shared" ca="1" si="56"/>
        <v/>
      </c>
      <c r="D393" s="26" t="str">
        <f t="shared" ca="1" si="57"/>
        <v/>
      </c>
      <c r="E393" s="4" t="str">
        <f t="shared" ca="1" si="58"/>
        <v/>
      </c>
      <c r="F393" s="25" t="str">
        <f t="shared" ca="1" si="59"/>
        <v/>
      </c>
      <c r="G393" s="26" t="str">
        <f t="shared" ca="1" si="60"/>
        <v/>
      </c>
      <c r="H393" s="55" t="str">
        <f t="shared" ca="1" si="61"/>
        <v/>
      </c>
      <c r="N393" s="95" t="str">
        <f t="shared" si="63"/>
        <v/>
      </c>
      <c r="O393" s="95" t="str">
        <f t="shared" si="64"/>
        <v/>
      </c>
    </row>
    <row r="394" spans="1:15" x14ac:dyDescent="0.25">
      <c r="A394" s="98" t="str">
        <f t="shared" ca="1" si="62"/>
        <v/>
      </c>
      <c r="B394" s="33" t="str">
        <f t="shared" ref="B394:B457" ca="1" si="65">IF(COUNTIF(J:J,A394)=1,VLOOKUP(A394,J:K,2), IF(COUNTIF(J:J,A394)=0,$B$10,""))</f>
        <v/>
      </c>
      <c r="C394" s="25" t="str">
        <f t="shared" ref="C394:C457" ca="1" si="66">IF(ISERROR(B394-2),"",(B394-$B$14)/100*$B$5)</f>
        <v/>
      </c>
      <c r="D394" s="26" t="str">
        <f t="shared" ref="D394:D457" ca="1" si="67">IF(ISERROR(B394-2),"",(INT(A394)-INT($A$14))/360*$B$6*$B$5-(INT(A394)-INT($A$14))/360*$B$7*$B$5*$B$14/100)</f>
        <v/>
      </c>
      <c r="E394" s="4" t="str">
        <f t="shared" ref="E394:E457" ca="1" si="68">IF(COUNTIF(L:L,A394)=1,VLOOKUP(A394,L:M,2), IF(COUNTIF(L:L,A394)=0,$C$10,""))</f>
        <v/>
      </c>
      <c r="F394" s="25" t="str">
        <f t="shared" ref="F394:F457" ca="1" si="69">IF(ISERROR(E394-2), "", (E394-$E$14)/100*$C$5)</f>
        <v/>
      </c>
      <c r="G394" s="26" t="str">
        <f t="shared" ref="G394:G457" ca="1" si="70">IF(ISERROR(E394-2),"",(INT(A394)-INT($A$14))/360*$C$6*$C$5-(INT(A394)-INT($A$14))/360*$C$7*$C$5*$E$14/100)</f>
        <v/>
      </c>
      <c r="H394" s="55" t="str">
        <f t="shared" ref="H394:H457" ca="1" si="71">IF(ISERROR(E394-2),"",C394+D394-F394-G394)</f>
        <v/>
      </c>
      <c r="N394" s="95" t="str">
        <f t="shared" si="63"/>
        <v/>
      </c>
      <c r="O394" s="95" t="str">
        <f t="shared" si="64"/>
        <v/>
      </c>
    </row>
    <row r="395" spans="1:15" x14ac:dyDescent="0.25">
      <c r="A395" s="98" t="str">
        <f t="shared" ca="1" si="62"/>
        <v/>
      </c>
      <c r="B395" s="33" t="str">
        <f t="shared" ca="1" si="65"/>
        <v/>
      </c>
      <c r="C395" s="25" t="str">
        <f t="shared" ca="1" si="66"/>
        <v/>
      </c>
      <c r="D395" s="26" t="str">
        <f t="shared" ca="1" si="67"/>
        <v/>
      </c>
      <c r="E395" s="4" t="str">
        <f t="shared" ca="1" si="68"/>
        <v/>
      </c>
      <c r="F395" s="25" t="str">
        <f t="shared" ca="1" si="69"/>
        <v/>
      </c>
      <c r="G395" s="26" t="str">
        <f t="shared" ca="1" si="70"/>
        <v/>
      </c>
      <c r="H395" s="55" t="str">
        <f t="shared" ca="1" si="71"/>
        <v/>
      </c>
      <c r="N395" s="95" t="str">
        <f t="shared" si="63"/>
        <v/>
      </c>
      <c r="O395" s="95" t="str">
        <f t="shared" si="64"/>
        <v/>
      </c>
    </row>
    <row r="396" spans="1:15" x14ac:dyDescent="0.25">
      <c r="A396" s="98" t="str">
        <f t="shared" ca="1" si="62"/>
        <v/>
      </c>
      <c r="B396" s="33" t="str">
        <f t="shared" ca="1" si="65"/>
        <v/>
      </c>
      <c r="C396" s="25" t="str">
        <f t="shared" ca="1" si="66"/>
        <v/>
      </c>
      <c r="D396" s="26" t="str">
        <f t="shared" ca="1" si="67"/>
        <v/>
      </c>
      <c r="E396" s="4" t="str">
        <f t="shared" ca="1" si="68"/>
        <v/>
      </c>
      <c r="F396" s="25" t="str">
        <f t="shared" ca="1" si="69"/>
        <v/>
      </c>
      <c r="G396" s="26" t="str">
        <f t="shared" ca="1" si="70"/>
        <v/>
      </c>
      <c r="H396" s="55" t="str">
        <f t="shared" ca="1" si="71"/>
        <v/>
      </c>
      <c r="N396" s="95" t="str">
        <f t="shared" si="63"/>
        <v/>
      </c>
      <c r="O396" s="95" t="str">
        <f t="shared" si="64"/>
        <v/>
      </c>
    </row>
    <row r="397" spans="1:15" x14ac:dyDescent="0.25">
      <c r="A397" s="98" t="str">
        <f t="shared" ca="1" si="62"/>
        <v/>
      </c>
      <c r="B397" s="33" t="str">
        <f t="shared" ca="1" si="65"/>
        <v/>
      </c>
      <c r="C397" s="25" t="str">
        <f t="shared" ca="1" si="66"/>
        <v/>
      </c>
      <c r="D397" s="26" t="str">
        <f t="shared" ca="1" si="67"/>
        <v/>
      </c>
      <c r="E397" s="4" t="str">
        <f t="shared" ca="1" si="68"/>
        <v/>
      </c>
      <c r="F397" s="25" t="str">
        <f t="shared" ca="1" si="69"/>
        <v/>
      </c>
      <c r="G397" s="26" t="str">
        <f t="shared" ca="1" si="70"/>
        <v/>
      </c>
      <c r="H397" s="55" t="str">
        <f t="shared" ca="1" si="71"/>
        <v/>
      </c>
      <c r="N397" s="95" t="str">
        <f t="shared" si="63"/>
        <v/>
      </c>
      <c r="O397" s="95" t="str">
        <f t="shared" si="64"/>
        <v/>
      </c>
    </row>
    <row r="398" spans="1:15" x14ac:dyDescent="0.25">
      <c r="A398" s="98" t="str">
        <f t="shared" ca="1" si="62"/>
        <v/>
      </c>
      <c r="B398" s="33" t="str">
        <f t="shared" ca="1" si="65"/>
        <v/>
      </c>
      <c r="C398" s="25" t="str">
        <f t="shared" ca="1" si="66"/>
        <v/>
      </c>
      <c r="D398" s="26" t="str">
        <f t="shared" ca="1" si="67"/>
        <v/>
      </c>
      <c r="E398" s="4" t="str">
        <f t="shared" ca="1" si="68"/>
        <v/>
      </c>
      <c r="F398" s="25" t="str">
        <f t="shared" ca="1" si="69"/>
        <v/>
      </c>
      <c r="G398" s="26" t="str">
        <f t="shared" ca="1" si="70"/>
        <v/>
      </c>
      <c r="H398" s="55" t="str">
        <f t="shared" ca="1" si="71"/>
        <v/>
      </c>
      <c r="N398" s="95" t="str">
        <f t="shared" si="63"/>
        <v/>
      </c>
      <c r="O398" s="95" t="str">
        <f t="shared" si="64"/>
        <v/>
      </c>
    </row>
    <row r="399" spans="1:15" x14ac:dyDescent="0.25">
      <c r="A399" s="98" t="str">
        <f t="shared" ca="1" si="62"/>
        <v/>
      </c>
      <c r="B399" s="33" t="str">
        <f t="shared" ca="1" si="65"/>
        <v/>
      </c>
      <c r="C399" s="25" t="str">
        <f t="shared" ca="1" si="66"/>
        <v/>
      </c>
      <c r="D399" s="26" t="str">
        <f t="shared" ca="1" si="67"/>
        <v/>
      </c>
      <c r="E399" s="4" t="str">
        <f t="shared" ca="1" si="68"/>
        <v/>
      </c>
      <c r="F399" s="25" t="str">
        <f t="shared" ca="1" si="69"/>
        <v/>
      </c>
      <c r="G399" s="26" t="str">
        <f t="shared" ca="1" si="70"/>
        <v/>
      </c>
      <c r="H399" s="55" t="str">
        <f t="shared" ca="1" si="71"/>
        <v/>
      </c>
      <c r="N399" s="95" t="str">
        <f t="shared" si="63"/>
        <v/>
      </c>
      <c r="O399" s="95" t="str">
        <f t="shared" si="64"/>
        <v/>
      </c>
    </row>
    <row r="400" spans="1:15" x14ac:dyDescent="0.25">
      <c r="A400" s="98" t="str">
        <f t="shared" ref="A400:A463" ca="1" si="72">IF(AND(ISBLANK(P387), A399 = $P$1),NOW(),IF(ISBLANK(P387),"",P387))</f>
        <v/>
      </c>
      <c r="B400" s="33" t="str">
        <f t="shared" ca="1" si="65"/>
        <v/>
      </c>
      <c r="C400" s="25" t="str">
        <f t="shared" ca="1" si="66"/>
        <v/>
      </c>
      <c r="D400" s="26" t="str">
        <f t="shared" ca="1" si="67"/>
        <v/>
      </c>
      <c r="E400" s="4" t="str">
        <f t="shared" ca="1" si="68"/>
        <v/>
      </c>
      <c r="F400" s="25" t="str">
        <f t="shared" ca="1" si="69"/>
        <v/>
      </c>
      <c r="G400" s="26" t="str">
        <f t="shared" ca="1" si="70"/>
        <v/>
      </c>
      <c r="H400" s="55" t="str">
        <f t="shared" ca="1" si="71"/>
        <v/>
      </c>
      <c r="N400" s="95" t="str">
        <f t="shared" si="63"/>
        <v/>
      </c>
      <c r="O400" s="95" t="str">
        <f t="shared" si="64"/>
        <v/>
      </c>
    </row>
    <row r="401" spans="1:15" x14ac:dyDescent="0.25">
      <c r="A401" s="98" t="str">
        <f t="shared" ca="1" si="72"/>
        <v/>
      </c>
      <c r="B401" s="33" t="str">
        <f t="shared" ca="1" si="65"/>
        <v/>
      </c>
      <c r="C401" s="25" t="str">
        <f t="shared" ca="1" si="66"/>
        <v/>
      </c>
      <c r="D401" s="26" t="str">
        <f t="shared" ca="1" si="67"/>
        <v/>
      </c>
      <c r="E401" s="4" t="str">
        <f t="shared" ca="1" si="68"/>
        <v/>
      </c>
      <c r="F401" s="25" t="str">
        <f t="shared" ca="1" si="69"/>
        <v/>
      </c>
      <c r="G401" s="26" t="str">
        <f t="shared" ca="1" si="70"/>
        <v/>
      </c>
      <c r="H401" s="55" t="str">
        <f t="shared" ca="1" si="71"/>
        <v/>
      </c>
      <c r="N401" s="95" t="str">
        <f t="shared" si="63"/>
        <v/>
      </c>
      <c r="O401" s="95" t="str">
        <f t="shared" si="64"/>
        <v/>
      </c>
    </row>
    <row r="402" spans="1:15" x14ac:dyDescent="0.25">
      <c r="A402" s="98" t="str">
        <f t="shared" ca="1" si="72"/>
        <v/>
      </c>
      <c r="B402" s="33" t="str">
        <f t="shared" ca="1" si="65"/>
        <v/>
      </c>
      <c r="C402" s="25" t="str">
        <f t="shared" ca="1" si="66"/>
        <v/>
      </c>
      <c r="D402" s="26" t="str">
        <f t="shared" ca="1" si="67"/>
        <v/>
      </c>
      <c r="E402" s="4" t="str">
        <f t="shared" ca="1" si="68"/>
        <v/>
      </c>
      <c r="F402" s="25" t="str">
        <f t="shared" ca="1" si="69"/>
        <v/>
      </c>
      <c r="G402" s="26" t="str">
        <f t="shared" ca="1" si="70"/>
        <v/>
      </c>
      <c r="H402" s="55" t="str">
        <f t="shared" ca="1" si="71"/>
        <v/>
      </c>
      <c r="N402" s="95" t="str">
        <f t="shared" si="63"/>
        <v/>
      </c>
      <c r="O402" s="95" t="str">
        <f t="shared" si="64"/>
        <v/>
      </c>
    </row>
    <row r="403" spans="1:15" x14ac:dyDescent="0.25">
      <c r="A403" s="98" t="str">
        <f t="shared" ca="1" si="72"/>
        <v/>
      </c>
      <c r="B403" s="33" t="str">
        <f t="shared" ca="1" si="65"/>
        <v/>
      </c>
      <c r="C403" s="25" t="str">
        <f t="shared" ca="1" si="66"/>
        <v/>
      </c>
      <c r="D403" s="26" t="str">
        <f t="shared" ca="1" si="67"/>
        <v/>
      </c>
      <c r="E403" s="4" t="str">
        <f t="shared" ca="1" si="68"/>
        <v/>
      </c>
      <c r="F403" s="25" t="str">
        <f t="shared" ca="1" si="69"/>
        <v/>
      </c>
      <c r="G403" s="26" t="str">
        <f t="shared" ca="1" si="70"/>
        <v/>
      </c>
      <c r="H403" s="55" t="str">
        <f t="shared" ca="1" si="71"/>
        <v/>
      </c>
      <c r="N403" s="95" t="str">
        <f t="shared" si="63"/>
        <v/>
      </c>
      <c r="O403" s="95" t="str">
        <f t="shared" si="64"/>
        <v/>
      </c>
    </row>
    <row r="404" spans="1:15" x14ac:dyDescent="0.25">
      <c r="A404" s="98" t="str">
        <f t="shared" ca="1" si="72"/>
        <v/>
      </c>
      <c r="B404" s="33" t="str">
        <f t="shared" ca="1" si="65"/>
        <v/>
      </c>
      <c r="C404" s="25" t="str">
        <f t="shared" ca="1" si="66"/>
        <v/>
      </c>
      <c r="D404" s="26" t="str">
        <f t="shared" ca="1" si="67"/>
        <v/>
      </c>
      <c r="E404" s="4" t="str">
        <f t="shared" ca="1" si="68"/>
        <v/>
      </c>
      <c r="F404" s="25" t="str">
        <f t="shared" ca="1" si="69"/>
        <v/>
      </c>
      <c r="G404" s="26" t="str">
        <f t="shared" ca="1" si="70"/>
        <v/>
      </c>
      <c r="H404" s="55" t="str">
        <f t="shared" ca="1" si="71"/>
        <v/>
      </c>
      <c r="N404" s="95" t="str">
        <f t="shared" si="63"/>
        <v/>
      </c>
      <c r="O404" s="95" t="str">
        <f t="shared" si="64"/>
        <v/>
      </c>
    </row>
    <row r="405" spans="1:15" x14ac:dyDescent="0.25">
      <c r="A405" s="98" t="str">
        <f t="shared" ca="1" si="72"/>
        <v/>
      </c>
      <c r="B405" s="33" t="str">
        <f t="shared" ca="1" si="65"/>
        <v/>
      </c>
      <c r="C405" s="25" t="str">
        <f t="shared" ca="1" si="66"/>
        <v/>
      </c>
      <c r="D405" s="26" t="str">
        <f t="shared" ca="1" si="67"/>
        <v/>
      </c>
      <c r="E405" s="4" t="str">
        <f t="shared" ca="1" si="68"/>
        <v/>
      </c>
      <c r="F405" s="25" t="str">
        <f t="shared" ca="1" si="69"/>
        <v/>
      </c>
      <c r="G405" s="26" t="str">
        <f t="shared" ca="1" si="70"/>
        <v/>
      </c>
      <c r="H405" s="55" t="str">
        <f t="shared" ca="1" si="71"/>
        <v/>
      </c>
      <c r="N405" s="95" t="str">
        <f t="shared" si="63"/>
        <v/>
      </c>
      <c r="O405" s="95" t="str">
        <f t="shared" si="64"/>
        <v/>
      </c>
    </row>
    <row r="406" spans="1:15" x14ac:dyDescent="0.25">
      <c r="A406" s="98" t="str">
        <f t="shared" ca="1" si="72"/>
        <v/>
      </c>
      <c r="B406" s="33" t="str">
        <f t="shared" ca="1" si="65"/>
        <v/>
      </c>
      <c r="C406" s="25" t="str">
        <f t="shared" ca="1" si="66"/>
        <v/>
      </c>
      <c r="D406" s="26" t="str">
        <f t="shared" ca="1" si="67"/>
        <v/>
      </c>
      <c r="E406" s="4" t="str">
        <f t="shared" ca="1" si="68"/>
        <v/>
      </c>
      <c r="F406" s="25" t="str">
        <f t="shared" ca="1" si="69"/>
        <v/>
      </c>
      <c r="G406" s="26" t="str">
        <f t="shared" ca="1" si="70"/>
        <v/>
      </c>
      <c r="H406" s="55" t="str">
        <f t="shared" ca="1" si="71"/>
        <v/>
      </c>
      <c r="N406" s="95" t="str">
        <f t="shared" si="63"/>
        <v/>
      </c>
      <c r="O406" s="95" t="str">
        <f t="shared" si="64"/>
        <v/>
      </c>
    </row>
    <row r="407" spans="1:15" x14ac:dyDescent="0.25">
      <c r="A407" s="98" t="str">
        <f t="shared" ca="1" si="72"/>
        <v/>
      </c>
      <c r="B407" s="33" t="str">
        <f t="shared" ca="1" si="65"/>
        <v/>
      </c>
      <c r="C407" s="25" t="str">
        <f t="shared" ca="1" si="66"/>
        <v/>
      </c>
      <c r="D407" s="26" t="str">
        <f t="shared" ca="1" si="67"/>
        <v/>
      </c>
      <c r="E407" s="4" t="str">
        <f t="shared" ca="1" si="68"/>
        <v/>
      </c>
      <c r="F407" s="25" t="str">
        <f t="shared" ca="1" si="69"/>
        <v/>
      </c>
      <c r="G407" s="26" t="str">
        <f t="shared" ca="1" si="70"/>
        <v/>
      </c>
      <c r="H407" s="55" t="str">
        <f t="shared" ca="1" si="71"/>
        <v/>
      </c>
      <c r="N407" s="95" t="str">
        <f t="shared" si="63"/>
        <v/>
      </c>
      <c r="O407" s="95" t="str">
        <f t="shared" si="64"/>
        <v/>
      </c>
    </row>
    <row r="408" spans="1:15" x14ac:dyDescent="0.25">
      <c r="A408" s="98" t="str">
        <f t="shared" ca="1" si="72"/>
        <v/>
      </c>
      <c r="B408" s="33" t="str">
        <f t="shared" ca="1" si="65"/>
        <v/>
      </c>
      <c r="C408" s="25" t="str">
        <f t="shared" ca="1" si="66"/>
        <v/>
      </c>
      <c r="D408" s="26" t="str">
        <f t="shared" ca="1" si="67"/>
        <v/>
      </c>
      <c r="E408" s="4" t="str">
        <f t="shared" ca="1" si="68"/>
        <v/>
      </c>
      <c r="F408" s="25" t="str">
        <f t="shared" ca="1" si="69"/>
        <v/>
      </c>
      <c r="G408" s="26" t="str">
        <f t="shared" ca="1" si="70"/>
        <v/>
      </c>
      <c r="H408" s="55" t="str">
        <f t="shared" ca="1" si="71"/>
        <v/>
      </c>
      <c r="N408" s="95" t="str">
        <f t="shared" si="63"/>
        <v/>
      </c>
      <c r="O408" s="95" t="str">
        <f t="shared" si="64"/>
        <v/>
      </c>
    </row>
    <row r="409" spans="1:15" x14ac:dyDescent="0.25">
      <c r="A409" s="98" t="str">
        <f t="shared" ca="1" si="72"/>
        <v/>
      </c>
      <c r="B409" s="33" t="str">
        <f t="shared" ca="1" si="65"/>
        <v/>
      </c>
      <c r="C409" s="25" t="str">
        <f t="shared" ca="1" si="66"/>
        <v/>
      </c>
      <c r="D409" s="26" t="str">
        <f t="shared" ca="1" si="67"/>
        <v/>
      </c>
      <c r="E409" s="4" t="str">
        <f t="shared" ca="1" si="68"/>
        <v/>
      </c>
      <c r="F409" s="25" t="str">
        <f t="shared" ca="1" si="69"/>
        <v/>
      </c>
      <c r="G409" s="26" t="str">
        <f t="shared" ca="1" si="70"/>
        <v/>
      </c>
      <c r="H409" s="55" t="str">
        <f t="shared" ca="1" si="71"/>
        <v/>
      </c>
      <c r="N409" s="95" t="str">
        <f t="shared" si="63"/>
        <v/>
      </c>
      <c r="O409" s="95" t="str">
        <f t="shared" si="64"/>
        <v/>
      </c>
    </row>
    <row r="410" spans="1:15" x14ac:dyDescent="0.25">
      <c r="A410" s="98" t="str">
        <f t="shared" ca="1" si="72"/>
        <v/>
      </c>
      <c r="B410" s="33" t="str">
        <f t="shared" ca="1" si="65"/>
        <v/>
      </c>
      <c r="C410" s="25" t="str">
        <f t="shared" ca="1" si="66"/>
        <v/>
      </c>
      <c r="D410" s="26" t="str">
        <f t="shared" ca="1" si="67"/>
        <v/>
      </c>
      <c r="E410" s="4" t="str">
        <f t="shared" ca="1" si="68"/>
        <v/>
      </c>
      <c r="F410" s="25" t="str">
        <f t="shared" ca="1" si="69"/>
        <v/>
      </c>
      <c r="G410" s="26" t="str">
        <f t="shared" ca="1" si="70"/>
        <v/>
      </c>
      <c r="H410" s="55" t="str">
        <f t="shared" ca="1" si="71"/>
        <v/>
      </c>
      <c r="N410" s="95" t="str">
        <f t="shared" si="63"/>
        <v/>
      </c>
      <c r="O410" s="95" t="str">
        <f t="shared" si="64"/>
        <v/>
      </c>
    </row>
    <row r="411" spans="1:15" x14ac:dyDescent="0.25">
      <c r="A411" s="98" t="str">
        <f t="shared" ca="1" si="72"/>
        <v/>
      </c>
      <c r="B411" s="33" t="str">
        <f t="shared" ca="1" si="65"/>
        <v/>
      </c>
      <c r="C411" s="25" t="str">
        <f t="shared" ca="1" si="66"/>
        <v/>
      </c>
      <c r="D411" s="26" t="str">
        <f t="shared" ca="1" si="67"/>
        <v/>
      </c>
      <c r="E411" s="4" t="str">
        <f t="shared" ca="1" si="68"/>
        <v/>
      </c>
      <c r="F411" s="25" t="str">
        <f t="shared" ca="1" si="69"/>
        <v/>
      </c>
      <c r="G411" s="26" t="str">
        <f t="shared" ca="1" si="70"/>
        <v/>
      </c>
      <c r="H411" s="55" t="str">
        <f t="shared" ca="1" si="71"/>
        <v/>
      </c>
      <c r="N411" s="95" t="str">
        <f t="shared" si="63"/>
        <v/>
      </c>
      <c r="O411" s="95" t="str">
        <f t="shared" si="64"/>
        <v/>
      </c>
    </row>
    <row r="412" spans="1:15" x14ac:dyDescent="0.25">
      <c r="A412" s="98" t="str">
        <f t="shared" ca="1" si="72"/>
        <v/>
      </c>
      <c r="B412" s="33" t="str">
        <f t="shared" ca="1" si="65"/>
        <v/>
      </c>
      <c r="C412" s="25" t="str">
        <f t="shared" ca="1" si="66"/>
        <v/>
      </c>
      <c r="D412" s="26" t="str">
        <f t="shared" ca="1" si="67"/>
        <v/>
      </c>
      <c r="E412" s="4" t="str">
        <f t="shared" ca="1" si="68"/>
        <v/>
      </c>
      <c r="F412" s="25" t="str">
        <f t="shared" ca="1" si="69"/>
        <v/>
      </c>
      <c r="G412" s="26" t="str">
        <f t="shared" ca="1" si="70"/>
        <v/>
      </c>
      <c r="H412" s="55" t="str">
        <f t="shared" ca="1" si="71"/>
        <v/>
      </c>
      <c r="N412" s="95" t="str">
        <f t="shared" si="63"/>
        <v/>
      </c>
      <c r="O412" s="95" t="str">
        <f t="shared" si="64"/>
        <v/>
      </c>
    </row>
    <row r="413" spans="1:15" x14ac:dyDescent="0.25">
      <c r="A413" s="98" t="str">
        <f t="shared" ca="1" si="72"/>
        <v/>
      </c>
      <c r="B413" s="33" t="str">
        <f t="shared" ca="1" si="65"/>
        <v/>
      </c>
      <c r="C413" s="25" t="str">
        <f t="shared" ca="1" si="66"/>
        <v/>
      </c>
      <c r="D413" s="26" t="str">
        <f t="shared" ca="1" si="67"/>
        <v/>
      </c>
      <c r="E413" s="4" t="str">
        <f t="shared" ca="1" si="68"/>
        <v/>
      </c>
      <c r="F413" s="25" t="str">
        <f t="shared" ca="1" si="69"/>
        <v/>
      </c>
      <c r="G413" s="26" t="str">
        <f t="shared" ca="1" si="70"/>
        <v/>
      </c>
      <c r="H413" s="55" t="str">
        <f t="shared" ca="1" si="71"/>
        <v/>
      </c>
      <c r="N413" s="95" t="str">
        <f t="shared" si="63"/>
        <v/>
      </c>
      <c r="O413" s="95" t="str">
        <f t="shared" si="64"/>
        <v/>
      </c>
    </row>
    <row r="414" spans="1:15" x14ac:dyDescent="0.25">
      <c r="A414" s="98" t="str">
        <f t="shared" ca="1" si="72"/>
        <v/>
      </c>
      <c r="B414" s="33" t="str">
        <f t="shared" ca="1" si="65"/>
        <v/>
      </c>
      <c r="C414" s="25" t="str">
        <f t="shared" ca="1" si="66"/>
        <v/>
      </c>
      <c r="D414" s="26" t="str">
        <f t="shared" ca="1" si="67"/>
        <v/>
      </c>
      <c r="E414" s="4" t="str">
        <f t="shared" ca="1" si="68"/>
        <v/>
      </c>
      <c r="F414" s="25" t="str">
        <f t="shared" ca="1" si="69"/>
        <v/>
      </c>
      <c r="G414" s="26" t="str">
        <f t="shared" ca="1" si="70"/>
        <v/>
      </c>
      <c r="H414" s="55" t="str">
        <f t="shared" ca="1" si="71"/>
        <v/>
      </c>
      <c r="N414" s="95" t="str">
        <f t="shared" si="63"/>
        <v/>
      </c>
      <c r="O414" s="95" t="str">
        <f t="shared" si="64"/>
        <v/>
      </c>
    </row>
    <row r="415" spans="1:15" x14ac:dyDescent="0.25">
      <c r="A415" s="98" t="str">
        <f t="shared" ca="1" si="72"/>
        <v/>
      </c>
      <c r="B415" s="33" t="str">
        <f t="shared" ca="1" si="65"/>
        <v/>
      </c>
      <c r="C415" s="25" t="str">
        <f t="shared" ca="1" si="66"/>
        <v/>
      </c>
      <c r="D415" s="26" t="str">
        <f t="shared" ca="1" si="67"/>
        <v/>
      </c>
      <c r="E415" s="4" t="str">
        <f t="shared" ca="1" si="68"/>
        <v/>
      </c>
      <c r="F415" s="25" t="str">
        <f t="shared" ca="1" si="69"/>
        <v/>
      </c>
      <c r="G415" s="26" t="str">
        <f t="shared" ca="1" si="70"/>
        <v/>
      </c>
      <c r="H415" s="55" t="str">
        <f t="shared" ca="1" si="71"/>
        <v/>
      </c>
      <c r="N415" s="95" t="str">
        <f t="shared" si="63"/>
        <v/>
      </c>
      <c r="O415" s="95" t="str">
        <f t="shared" si="64"/>
        <v/>
      </c>
    </row>
    <row r="416" spans="1:15" x14ac:dyDescent="0.25">
      <c r="A416" s="98" t="str">
        <f t="shared" ca="1" si="72"/>
        <v/>
      </c>
      <c r="B416" s="33" t="str">
        <f t="shared" ca="1" si="65"/>
        <v/>
      </c>
      <c r="C416" s="25" t="str">
        <f t="shared" ca="1" si="66"/>
        <v/>
      </c>
      <c r="D416" s="26" t="str">
        <f t="shared" ca="1" si="67"/>
        <v/>
      </c>
      <c r="E416" s="4" t="str">
        <f t="shared" ca="1" si="68"/>
        <v/>
      </c>
      <c r="F416" s="25" t="str">
        <f t="shared" ca="1" si="69"/>
        <v/>
      </c>
      <c r="G416" s="26" t="str">
        <f t="shared" ca="1" si="70"/>
        <v/>
      </c>
      <c r="H416" s="55" t="str">
        <f t="shared" ca="1" si="71"/>
        <v/>
      </c>
      <c r="N416" s="95" t="str">
        <f t="shared" si="63"/>
        <v/>
      </c>
      <c r="O416" s="95" t="str">
        <f t="shared" si="64"/>
        <v/>
      </c>
    </row>
    <row r="417" spans="1:15" x14ac:dyDescent="0.25">
      <c r="A417" s="98" t="str">
        <f t="shared" ca="1" si="72"/>
        <v/>
      </c>
      <c r="B417" s="33" t="str">
        <f t="shared" ca="1" si="65"/>
        <v/>
      </c>
      <c r="C417" s="25" t="str">
        <f t="shared" ca="1" si="66"/>
        <v/>
      </c>
      <c r="D417" s="26" t="str">
        <f t="shared" ca="1" si="67"/>
        <v/>
      </c>
      <c r="E417" s="4" t="str">
        <f t="shared" ca="1" si="68"/>
        <v/>
      </c>
      <c r="F417" s="25" t="str">
        <f t="shared" ca="1" si="69"/>
        <v/>
      </c>
      <c r="G417" s="26" t="str">
        <f t="shared" ca="1" si="70"/>
        <v/>
      </c>
      <c r="H417" s="55" t="str">
        <f t="shared" ca="1" si="71"/>
        <v/>
      </c>
      <c r="N417" s="95" t="str">
        <f t="shared" si="63"/>
        <v/>
      </c>
      <c r="O417" s="95" t="str">
        <f t="shared" si="64"/>
        <v/>
      </c>
    </row>
    <row r="418" spans="1:15" x14ac:dyDescent="0.25">
      <c r="A418" s="98" t="str">
        <f t="shared" ca="1" si="72"/>
        <v/>
      </c>
      <c r="B418" s="33" t="str">
        <f t="shared" ca="1" si="65"/>
        <v/>
      </c>
      <c r="C418" s="25" t="str">
        <f t="shared" ca="1" si="66"/>
        <v/>
      </c>
      <c r="D418" s="26" t="str">
        <f t="shared" ca="1" si="67"/>
        <v/>
      </c>
      <c r="E418" s="4" t="str">
        <f t="shared" ca="1" si="68"/>
        <v/>
      </c>
      <c r="F418" s="25" t="str">
        <f t="shared" ca="1" si="69"/>
        <v/>
      </c>
      <c r="G418" s="26" t="str">
        <f t="shared" ca="1" si="70"/>
        <v/>
      </c>
      <c r="H418" s="55" t="str">
        <f t="shared" ca="1" si="71"/>
        <v/>
      </c>
      <c r="N418" s="95" t="str">
        <f t="shared" si="63"/>
        <v/>
      </c>
      <c r="O418" s="95" t="str">
        <f t="shared" si="64"/>
        <v/>
      </c>
    </row>
    <row r="419" spans="1:15" x14ac:dyDescent="0.25">
      <c r="A419" s="98" t="str">
        <f t="shared" ca="1" si="72"/>
        <v/>
      </c>
      <c r="B419" s="33" t="str">
        <f t="shared" ca="1" si="65"/>
        <v/>
      </c>
      <c r="C419" s="25" t="str">
        <f t="shared" ca="1" si="66"/>
        <v/>
      </c>
      <c r="D419" s="26" t="str">
        <f t="shared" ca="1" si="67"/>
        <v/>
      </c>
      <c r="E419" s="4" t="str">
        <f t="shared" ca="1" si="68"/>
        <v/>
      </c>
      <c r="F419" s="25" t="str">
        <f t="shared" ca="1" si="69"/>
        <v/>
      </c>
      <c r="G419" s="26" t="str">
        <f t="shared" ca="1" si="70"/>
        <v/>
      </c>
      <c r="H419" s="55" t="str">
        <f t="shared" ca="1" si="71"/>
        <v/>
      </c>
      <c r="N419" s="95" t="str">
        <f t="shared" si="63"/>
        <v/>
      </c>
      <c r="O419" s="95" t="str">
        <f t="shared" si="64"/>
        <v/>
      </c>
    </row>
    <row r="420" spans="1:15" x14ac:dyDescent="0.25">
      <c r="A420" s="98" t="str">
        <f t="shared" ca="1" si="72"/>
        <v/>
      </c>
      <c r="B420" s="33" t="str">
        <f t="shared" ca="1" si="65"/>
        <v/>
      </c>
      <c r="C420" s="25" t="str">
        <f t="shared" ca="1" si="66"/>
        <v/>
      </c>
      <c r="D420" s="26" t="str">
        <f t="shared" ca="1" si="67"/>
        <v/>
      </c>
      <c r="E420" s="4" t="str">
        <f t="shared" ca="1" si="68"/>
        <v/>
      </c>
      <c r="F420" s="25" t="str">
        <f t="shared" ca="1" si="69"/>
        <v/>
      </c>
      <c r="G420" s="26" t="str">
        <f t="shared" ca="1" si="70"/>
        <v/>
      </c>
      <c r="H420" s="55" t="str">
        <f t="shared" ca="1" si="71"/>
        <v/>
      </c>
      <c r="N420" s="95" t="str">
        <f t="shared" si="63"/>
        <v/>
      </c>
      <c r="O420" s="95" t="str">
        <f t="shared" si="64"/>
        <v/>
      </c>
    </row>
    <row r="421" spans="1:15" x14ac:dyDescent="0.25">
      <c r="A421" s="98" t="str">
        <f t="shared" ca="1" si="72"/>
        <v/>
      </c>
      <c r="B421" s="33" t="str">
        <f t="shared" ca="1" si="65"/>
        <v/>
      </c>
      <c r="C421" s="25" t="str">
        <f t="shared" ca="1" si="66"/>
        <v/>
      </c>
      <c r="D421" s="26" t="str">
        <f t="shared" ca="1" si="67"/>
        <v/>
      </c>
      <c r="E421" s="4" t="str">
        <f t="shared" ca="1" si="68"/>
        <v/>
      </c>
      <c r="F421" s="25" t="str">
        <f t="shared" ca="1" si="69"/>
        <v/>
      </c>
      <c r="G421" s="26" t="str">
        <f t="shared" ca="1" si="70"/>
        <v/>
      </c>
      <c r="H421" s="55" t="str">
        <f t="shared" ca="1" si="71"/>
        <v/>
      </c>
      <c r="N421" s="95" t="str">
        <f t="shared" si="63"/>
        <v/>
      </c>
      <c r="O421" s="95" t="str">
        <f t="shared" si="64"/>
        <v/>
      </c>
    </row>
    <row r="422" spans="1:15" x14ac:dyDescent="0.25">
      <c r="A422" s="98" t="str">
        <f t="shared" ca="1" si="72"/>
        <v/>
      </c>
      <c r="B422" s="33" t="str">
        <f t="shared" ca="1" si="65"/>
        <v/>
      </c>
      <c r="C422" s="25" t="str">
        <f t="shared" ca="1" si="66"/>
        <v/>
      </c>
      <c r="D422" s="26" t="str">
        <f t="shared" ca="1" si="67"/>
        <v/>
      </c>
      <c r="E422" s="4" t="str">
        <f t="shared" ca="1" si="68"/>
        <v/>
      </c>
      <c r="F422" s="25" t="str">
        <f t="shared" ca="1" si="69"/>
        <v/>
      </c>
      <c r="G422" s="26" t="str">
        <f t="shared" ca="1" si="70"/>
        <v/>
      </c>
      <c r="H422" s="55" t="str">
        <f t="shared" ca="1" si="71"/>
        <v/>
      </c>
      <c r="N422" s="95" t="str">
        <f t="shared" si="63"/>
        <v/>
      </c>
      <c r="O422" s="95" t="str">
        <f t="shared" si="64"/>
        <v/>
      </c>
    </row>
    <row r="423" spans="1:15" x14ac:dyDescent="0.25">
      <c r="A423" s="98" t="str">
        <f t="shared" ca="1" si="72"/>
        <v/>
      </c>
      <c r="B423" s="33" t="str">
        <f t="shared" ca="1" si="65"/>
        <v/>
      </c>
      <c r="C423" s="25" t="str">
        <f t="shared" ca="1" si="66"/>
        <v/>
      </c>
      <c r="D423" s="26" t="str">
        <f t="shared" ca="1" si="67"/>
        <v/>
      </c>
      <c r="E423" s="4" t="str">
        <f t="shared" ca="1" si="68"/>
        <v/>
      </c>
      <c r="F423" s="25" t="str">
        <f t="shared" ca="1" si="69"/>
        <v/>
      </c>
      <c r="G423" s="26" t="str">
        <f t="shared" ca="1" si="70"/>
        <v/>
      </c>
      <c r="H423" s="55" t="str">
        <f t="shared" ca="1" si="71"/>
        <v/>
      </c>
      <c r="N423" s="95" t="str">
        <f t="shared" si="63"/>
        <v/>
      </c>
      <c r="O423" s="95" t="str">
        <f t="shared" si="64"/>
        <v/>
      </c>
    </row>
    <row r="424" spans="1:15" x14ac:dyDescent="0.25">
      <c r="A424" s="98" t="str">
        <f t="shared" ca="1" si="72"/>
        <v/>
      </c>
      <c r="B424" s="33" t="str">
        <f t="shared" ca="1" si="65"/>
        <v/>
      </c>
      <c r="C424" s="25" t="str">
        <f t="shared" ca="1" si="66"/>
        <v/>
      </c>
      <c r="D424" s="26" t="str">
        <f t="shared" ca="1" si="67"/>
        <v/>
      </c>
      <c r="E424" s="4" t="str">
        <f t="shared" ca="1" si="68"/>
        <v/>
      </c>
      <c r="F424" s="25" t="str">
        <f t="shared" ca="1" si="69"/>
        <v/>
      </c>
      <c r="G424" s="26" t="str">
        <f t="shared" ca="1" si="70"/>
        <v/>
      </c>
      <c r="H424" s="55" t="str">
        <f t="shared" ca="1" si="71"/>
        <v/>
      </c>
      <c r="N424" s="95" t="str">
        <f t="shared" si="63"/>
        <v/>
      </c>
      <c r="O424" s="95" t="str">
        <f t="shared" si="64"/>
        <v/>
      </c>
    </row>
    <row r="425" spans="1:15" x14ac:dyDescent="0.25">
      <c r="A425" s="98" t="str">
        <f t="shared" ca="1" si="72"/>
        <v/>
      </c>
      <c r="B425" s="33" t="str">
        <f t="shared" ca="1" si="65"/>
        <v/>
      </c>
      <c r="C425" s="25" t="str">
        <f t="shared" ca="1" si="66"/>
        <v/>
      </c>
      <c r="D425" s="26" t="str">
        <f t="shared" ca="1" si="67"/>
        <v/>
      </c>
      <c r="E425" s="4" t="str">
        <f t="shared" ca="1" si="68"/>
        <v/>
      </c>
      <c r="F425" s="25" t="str">
        <f t="shared" ca="1" si="69"/>
        <v/>
      </c>
      <c r="G425" s="26" t="str">
        <f t="shared" ca="1" si="70"/>
        <v/>
      </c>
      <c r="H425" s="55" t="str">
        <f t="shared" ca="1" si="71"/>
        <v/>
      </c>
      <c r="N425" s="95" t="str">
        <f t="shared" si="63"/>
        <v/>
      </c>
      <c r="O425" s="95" t="str">
        <f t="shared" si="64"/>
        <v/>
      </c>
    </row>
    <row r="426" spans="1:15" x14ac:dyDescent="0.25">
      <c r="A426" s="98" t="str">
        <f t="shared" ca="1" si="72"/>
        <v/>
      </c>
      <c r="B426" s="33" t="str">
        <f t="shared" ca="1" si="65"/>
        <v/>
      </c>
      <c r="C426" s="25" t="str">
        <f t="shared" ca="1" si="66"/>
        <v/>
      </c>
      <c r="D426" s="26" t="str">
        <f t="shared" ca="1" si="67"/>
        <v/>
      </c>
      <c r="E426" s="4" t="str">
        <f t="shared" ca="1" si="68"/>
        <v/>
      </c>
      <c r="F426" s="25" t="str">
        <f t="shared" ca="1" si="69"/>
        <v/>
      </c>
      <c r="G426" s="26" t="str">
        <f t="shared" ca="1" si="70"/>
        <v/>
      </c>
      <c r="H426" s="55" t="str">
        <f t="shared" ca="1" si="71"/>
        <v/>
      </c>
      <c r="N426" s="95" t="str">
        <f t="shared" si="63"/>
        <v/>
      </c>
      <c r="O426" s="95" t="str">
        <f t="shared" si="64"/>
        <v/>
      </c>
    </row>
    <row r="427" spans="1:15" x14ac:dyDescent="0.25">
      <c r="A427" s="98" t="str">
        <f t="shared" ca="1" si="72"/>
        <v/>
      </c>
      <c r="B427" s="33" t="str">
        <f t="shared" ca="1" si="65"/>
        <v/>
      </c>
      <c r="C427" s="25" t="str">
        <f t="shared" ca="1" si="66"/>
        <v/>
      </c>
      <c r="D427" s="26" t="str">
        <f t="shared" ca="1" si="67"/>
        <v/>
      </c>
      <c r="E427" s="4" t="str">
        <f t="shared" ca="1" si="68"/>
        <v/>
      </c>
      <c r="F427" s="25" t="str">
        <f t="shared" ca="1" si="69"/>
        <v/>
      </c>
      <c r="G427" s="26" t="str">
        <f t="shared" ca="1" si="70"/>
        <v/>
      </c>
      <c r="H427" s="55" t="str">
        <f t="shared" ca="1" si="71"/>
        <v/>
      </c>
      <c r="N427" s="95" t="str">
        <f t="shared" si="63"/>
        <v/>
      </c>
      <c r="O427" s="95" t="str">
        <f t="shared" si="64"/>
        <v/>
      </c>
    </row>
    <row r="428" spans="1:15" x14ac:dyDescent="0.25">
      <c r="A428" s="98" t="str">
        <f t="shared" ca="1" si="72"/>
        <v/>
      </c>
      <c r="B428" s="33" t="str">
        <f t="shared" ca="1" si="65"/>
        <v/>
      </c>
      <c r="C428" s="25" t="str">
        <f t="shared" ca="1" si="66"/>
        <v/>
      </c>
      <c r="D428" s="26" t="str">
        <f t="shared" ca="1" si="67"/>
        <v/>
      </c>
      <c r="E428" s="4" t="str">
        <f t="shared" ca="1" si="68"/>
        <v/>
      </c>
      <c r="F428" s="25" t="str">
        <f t="shared" ca="1" si="69"/>
        <v/>
      </c>
      <c r="G428" s="26" t="str">
        <f t="shared" ca="1" si="70"/>
        <v/>
      </c>
      <c r="H428" s="55" t="str">
        <f t="shared" ca="1" si="71"/>
        <v/>
      </c>
      <c r="N428" s="95" t="str">
        <f t="shared" si="63"/>
        <v/>
      </c>
      <c r="O428" s="95" t="str">
        <f t="shared" si="64"/>
        <v/>
      </c>
    </row>
    <row r="429" spans="1:15" x14ac:dyDescent="0.25">
      <c r="A429" s="98" t="str">
        <f t="shared" ca="1" si="72"/>
        <v/>
      </c>
      <c r="B429" s="33" t="str">
        <f t="shared" ca="1" si="65"/>
        <v/>
      </c>
      <c r="C429" s="25" t="str">
        <f t="shared" ca="1" si="66"/>
        <v/>
      </c>
      <c r="D429" s="26" t="str">
        <f t="shared" ca="1" si="67"/>
        <v/>
      </c>
      <c r="E429" s="4" t="str">
        <f t="shared" ca="1" si="68"/>
        <v/>
      </c>
      <c r="F429" s="25" t="str">
        <f t="shared" ca="1" si="69"/>
        <v/>
      </c>
      <c r="G429" s="26" t="str">
        <f t="shared" ca="1" si="70"/>
        <v/>
      </c>
      <c r="H429" s="55" t="str">
        <f t="shared" ca="1" si="71"/>
        <v/>
      </c>
      <c r="N429" s="95" t="str">
        <f t="shared" si="63"/>
        <v/>
      </c>
      <c r="O429" s="95" t="str">
        <f t="shared" si="64"/>
        <v/>
      </c>
    </row>
    <row r="430" spans="1:15" x14ac:dyDescent="0.25">
      <c r="A430" s="98" t="str">
        <f t="shared" ca="1" si="72"/>
        <v/>
      </c>
      <c r="B430" s="33" t="str">
        <f t="shared" ca="1" si="65"/>
        <v/>
      </c>
      <c r="C430" s="25" t="str">
        <f t="shared" ca="1" si="66"/>
        <v/>
      </c>
      <c r="D430" s="26" t="str">
        <f t="shared" ca="1" si="67"/>
        <v/>
      </c>
      <c r="E430" s="4" t="str">
        <f t="shared" ca="1" si="68"/>
        <v/>
      </c>
      <c r="F430" s="25" t="str">
        <f t="shared" ca="1" si="69"/>
        <v/>
      </c>
      <c r="G430" s="26" t="str">
        <f t="shared" ca="1" si="70"/>
        <v/>
      </c>
      <c r="H430" s="55" t="str">
        <f t="shared" ca="1" si="71"/>
        <v/>
      </c>
      <c r="N430" s="95" t="str">
        <f t="shared" si="63"/>
        <v/>
      </c>
      <c r="O430" s="95" t="str">
        <f t="shared" si="64"/>
        <v/>
      </c>
    </row>
    <row r="431" spans="1:15" x14ac:dyDescent="0.25">
      <c r="A431" s="98" t="str">
        <f t="shared" ca="1" si="72"/>
        <v/>
      </c>
      <c r="B431" s="33" t="str">
        <f t="shared" ca="1" si="65"/>
        <v/>
      </c>
      <c r="C431" s="25" t="str">
        <f t="shared" ca="1" si="66"/>
        <v/>
      </c>
      <c r="D431" s="26" t="str">
        <f t="shared" ca="1" si="67"/>
        <v/>
      </c>
      <c r="E431" s="4" t="str">
        <f t="shared" ca="1" si="68"/>
        <v/>
      </c>
      <c r="F431" s="25" t="str">
        <f t="shared" ca="1" si="69"/>
        <v/>
      </c>
      <c r="G431" s="26" t="str">
        <f t="shared" ca="1" si="70"/>
        <v/>
      </c>
      <c r="H431" s="55" t="str">
        <f t="shared" ca="1" si="71"/>
        <v/>
      </c>
      <c r="N431" s="95" t="str">
        <f t="shared" si="63"/>
        <v/>
      </c>
      <c r="O431" s="95" t="str">
        <f t="shared" si="64"/>
        <v/>
      </c>
    </row>
    <row r="432" spans="1:15" x14ac:dyDescent="0.25">
      <c r="A432" s="98" t="str">
        <f t="shared" ca="1" si="72"/>
        <v/>
      </c>
      <c r="B432" s="33" t="str">
        <f t="shared" ca="1" si="65"/>
        <v/>
      </c>
      <c r="C432" s="25" t="str">
        <f t="shared" ca="1" si="66"/>
        <v/>
      </c>
      <c r="D432" s="26" t="str">
        <f t="shared" ca="1" si="67"/>
        <v/>
      </c>
      <c r="E432" s="4" t="str">
        <f t="shared" ca="1" si="68"/>
        <v/>
      </c>
      <c r="F432" s="25" t="str">
        <f t="shared" ca="1" si="69"/>
        <v/>
      </c>
      <c r="G432" s="26" t="str">
        <f t="shared" ca="1" si="70"/>
        <v/>
      </c>
      <c r="H432" s="55" t="str">
        <f t="shared" ca="1" si="71"/>
        <v/>
      </c>
      <c r="N432" s="95" t="str">
        <f t="shared" si="63"/>
        <v/>
      </c>
      <c r="O432" s="95" t="str">
        <f t="shared" si="64"/>
        <v/>
      </c>
    </row>
    <row r="433" spans="1:15" x14ac:dyDescent="0.25">
      <c r="A433" s="98" t="str">
        <f t="shared" ca="1" si="72"/>
        <v/>
      </c>
      <c r="B433" s="33" t="str">
        <f t="shared" ca="1" si="65"/>
        <v/>
      </c>
      <c r="C433" s="25" t="str">
        <f t="shared" ca="1" si="66"/>
        <v/>
      </c>
      <c r="D433" s="26" t="str">
        <f t="shared" ca="1" si="67"/>
        <v/>
      </c>
      <c r="E433" s="4" t="str">
        <f t="shared" ca="1" si="68"/>
        <v/>
      </c>
      <c r="F433" s="25" t="str">
        <f t="shared" ca="1" si="69"/>
        <v/>
      </c>
      <c r="G433" s="26" t="str">
        <f t="shared" ca="1" si="70"/>
        <v/>
      </c>
      <c r="H433" s="55" t="str">
        <f t="shared" ca="1" si="71"/>
        <v/>
      </c>
      <c r="N433" s="95" t="str">
        <f t="shared" si="63"/>
        <v/>
      </c>
      <c r="O433" s="95" t="str">
        <f t="shared" si="64"/>
        <v/>
      </c>
    </row>
    <row r="434" spans="1:15" x14ac:dyDescent="0.25">
      <c r="A434" s="98" t="str">
        <f t="shared" ca="1" si="72"/>
        <v/>
      </c>
      <c r="B434" s="33" t="str">
        <f t="shared" ca="1" si="65"/>
        <v/>
      </c>
      <c r="C434" s="25" t="str">
        <f t="shared" ca="1" si="66"/>
        <v/>
      </c>
      <c r="D434" s="26" t="str">
        <f t="shared" ca="1" si="67"/>
        <v/>
      </c>
      <c r="E434" s="4" t="str">
        <f t="shared" ca="1" si="68"/>
        <v/>
      </c>
      <c r="F434" s="25" t="str">
        <f t="shared" ca="1" si="69"/>
        <v/>
      </c>
      <c r="G434" s="26" t="str">
        <f t="shared" ca="1" si="70"/>
        <v/>
      </c>
      <c r="H434" s="55" t="str">
        <f t="shared" ca="1" si="71"/>
        <v/>
      </c>
      <c r="N434" s="95" t="str">
        <f t="shared" si="63"/>
        <v/>
      </c>
      <c r="O434" s="95" t="str">
        <f t="shared" si="64"/>
        <v/>
      </c>
    </row>
    <row r="435" spans="1:15" x14ac:dyDescent="0.25">
      <c r="A435" s="98" t="str">
        <f t="shared" ca="1" si="72"/>
        <v/>
      </c>
      <c r="B435" s="33" t="str">
        <f t="shared" ca="1" si="65"/>
        <v/>
      </c>
      <c r="C435" s="25" t="str">
        <f t="shared" ca="1" si="66"/>
        <v/>
      </c>
      <c r="D435" s="26" t="str">
        <f t="shared" ca="1" si="67"/>
        <v/>
      </c>
      <c r="E435" s="4" t="str">
        <f t="shared" ca="1" si="68"/>
        <v/>
      </c>
      <c r="F435" s="25" t="str">
        <f t="shared" ca="1" si="69"/>
        <v/>
      </c>
      <c r="G435" s="26" t="str">
        <f t="shared" ca="1" si="70"/>
        <v/>
      </c>
      <c r="H435" s="55" t="str">
        <f t="shared" ca="1" si="71"/>
        <v/>
      </c>
      <c r="N435" s="95" t="str">
        <f t="shared" si="63"/>
        <v/>
      </c>
      <c r="O435" s="95" t="str">
        <f t="shared" si="64"/>
        <v/>
      </c>
    </row>
    <row r="436" spans="1:15" x14ac:dyDescent="0.25">
      <c r="A436" s="98" t="str">
        <f t="shared" ca="1" si="72"/>
        <v/>
      </c>
      <c r="B436" s="33" t="str">
        <f t="shared" ca="1" si="65"/>
        <v/>
      </c>
      <c r="C436" s="25" t="str">
        <f t="shared" ca="1" si="66"/>
        <v/>
      </c>
      <c r="D436" s="26" t="str">
        <f t="shared" ca="1" si="67"/>
        <v/>
      </c>
      <c r="E436" s="4" t="str">
        <f t="shared" ca="1" si="68"/>
        <v/>
      </c>
      <c r="F436" s="25" t="str">
        <f t="shared" ca="1" si="69"/>
        <v/>
      </c>
      <c r="G436" s="26" t="str">
        <f t="shared" ca="1" si="70"/>
        <v/>
      </c>
      <c r="H436" s="55" t="str">
        <f t="shared" ca="1" si="71"/>
        <v/>
      </c>
      <c r="N436" s="95" t="str">
        <f t="shared" si="63"/>
        <v/>
      </c>
      <c r="O436" s="95" t="str">
        <f t="shared" si="64"/>
        <v/>
      </c>
    </row>
    <row r="437" spans="1:15" x14ac:dyDescent="0.25">
      <c r="A437" s="98" t="str">
        <f t="shared" ca="1" si="72"/>
        <v/>
      </c>
      <c r="B437" s="33" t="str">
        <f t="shared" ca="1" si="65"/>
        <v/>
      </c>
      <c r="C437" s="25" t="str">
        <f t="shared" ca="1" si="66"/>
        <v/>
      </c>
      <c r="D437" s="26" t="str">
        <f t="shared" ca="1" si="67"/>
        <v/>
      </c>
      <c r="E437" s="4" t="str">
        <f t="shared" ca="1" si="68"/>
        <v/>
      </c>
      <c r="F437" s="25" t="str">
        <f t="shared" ca="1" si="69"/>
        <v/>
      </c>
      <c r="G437" s="26" t="str">
        <f t="shared" ca="1" si="70"/>
        <v/>
      </c>
      <c r="H437" s="55" t="str">
        <f t="shared" ca="1" si="71"/>
        <v/>
      </c>
      <c r="N437" s="95" t="str">
        <f t="shared" si="63"/>
        <v/>
      </c>
      <c r="O437" s="95" t="str">
        <f t="shared" si="64"/>
        <v/>
      </c>
    </row>
    <row r="438" spans="1:15" x14ac:dyDescent="0.25">
      <c r="A438" s="98" t="str">
        <f t="shared" ca="1" si="72"/>
        <v/>
      </c>
      <c r="B438" s="33" t="str">
        <f t="shared" ca="1" si="65"/>
        <v/>
      </c>
      <c r="C438" s="25" t="str">
        <f t="shared" ca="1" si="66"/>
        <v/>
      </c>
      <c r="D438" s="26" t="str">
        <f t="shared" ca="1" si="67"/>
        <v/>
      </c>
      <c r="E438" s="4" t="str">
        <f t="shared" ca="1" si="68"/>
        <v/>
      </c>
      <c r="F438" s="25" t="str">
        <f t="shared" ca="1" si="69"/>
        <v/>
      </c>
      <c r="G438" s="26" t="str">
        <f t="shared" ca="1" si="70"/>
        <v/>
      </c>
      <c r="H438" s="55" t="str">
        <f t="shared" ca="1" si="71"/>
        <v/>
      </c>
      <c r="N438" s="95" t="str">
        <f t="shared" si="63"/>
        <v/>
      </c>
      <c r="O438" s="95" t="str">
        <f t="shared" si="64"/>
        <v/>
      </c>
    </row>
    <row r="439" spans="1:15" x14ac:dyDescent="0.25">
      <c r="A439" s="98" t="str">
        <f t="shared" ca="1" si="72"/>
        <v/>
      </c>
      <c r="B439" s="33" t="str">
        <f t="shared" ca="1" si="65"/>
        <v/>
      </c>
      <c r="C439" s="25" t="str">
        <f t="shared" ca="1" si="66"/>
        <v/>
      </c>
      <c r="D439" s="26" t="str">
        <f t="shared" ca="1" si="67"/>
        <v/>
      </c>
      <c r="E439" s="4" t="str">
        <f t="shared" ca="1" si="68"/>
        <v/>
      </c>
      <c r="F439" s="25" t="str">
        <f t="shared" ca="1" si="69"/>
        <v/>
      </c>
      <c r="G439" s="26" t="str">
        <f t="shared" ca="1" si="70"/>
        <v/>
      </c>
      <c r="H439" s="55" t="str">
        <f t="shared" ca="1" si="71"/>
        <v/>
      </c>
      <c r="N439" s="95" t="str">
        <f t="shared" si="63"/>
        <v/>
      </c>
      <c r="O439" s="95" t="str">
        <f t="shared" si="64"/>
        <v/>
      </c>
    </row>
    <row r="440" spans="1:15" x14ac:dyDescent="0.25">
      <c r="A440" s="98" t="str">
        <f t="shared" ca="1" si="72"/>
        <v/>
      </c>
      <c r="B440" s="33" t="str">
        <f t="shared" ca="1" si="65"/>
        <v/>
      </c>
      <c r="C440" s="25" t="str">
        <f t="shared" ca="1" si="66"/>
        <v/>
      </c>
      <c r="D440" s="26" t="str">
        <f t="shared" ca="1" si="67"/>
        <v/>
      </c>
      <c r="E440" s="4" t="str">
        <f t="shared" ca="1" si="68"/>
        <v/>
      </c>
      <c r="F440" s="25" t="str">
        <f t="shared" ca="1" si="69"/>
        <v/>
      </c>
      <c r="G440" s="26" t="str">
        <f t="shared" ca="1" si="70"/>
        <v/>
      </c>
      <c r="H440" s="55" t="str">
        <f t="shared" ca="1" si="71"/>
        <v/>
      </c>
      <c r="N440" s="95" t="str">
        <f t="shared" si="63"/>
        <v/>
      </c>
      <c r="O440" s="95" t="str">
        <f t="shared" si="64"/>
        <v/>
      </c>
    </row>
    <row r="441" spans="1:15" x14ac:dyDescent="0.25">
      <c r="A441" s="98" t="str">
        <f t="shared" ca="1" si="72"/>
        <v/>
      </c>
      <c r="B441" s="33" t="str">
        <f t="shared" ca="1" si="65"/>
        <v/>
      </c>
      <c r="C441" s="25" t="str">
        <f t="shared" ca="1" si="66"/>
        <v/>
      </c>
      <c r="D441" s="26" t="str">
        <f t="shared" ca="1" si="67"/>
        <v/>
      </c>
      <c r="E441" s="4" t="str">
        <f t="shared" ca="1" si="68"/>
        <v/>
      </c>
      <c r="F441" s="25" t="str">
        <f t="shared" ca="1" si="69"/>
        <v/>
      </c>
      <c r="G441" s="26" t="str">
        <f t="shared" ca="1" si="70"/>
        <v/>
      </c>
      <c r="H441" s="55" t="str">
        <f t="shared" ca="1" si="71"/>
        <v/>
      </c>
      <c r="N441" s="95" t="str">
        <f t="shared" si="63"/>
        <v/>
      </c>
      <c r="O441" s="95" t="str">
        <f t="shared" si="64"/>
        <v/>
      </c>
    </row>
    <row r="442" spans="1:15" x14ac:dyDescent="0.25">
      <c r="A442" s="98" t="str">
        <f t="shared" ca="1" si="72"/>
        <v/>
      </c>
      <c r="B442" s="33" t="str">
        <f t="shared" ca="1" si="65"/>
        <v/>
      </c>
      <c r="C442" s="25" t="str">
        <f t="shared" ca="1" si="66"/>
        <v/>
      </c>
      <c r="D442" s="26" t="str">
        <f t="shared" ca="1" si="67"/>
        <v/>
      </c>
      <c r="E442" s="4" t="str">
        <f t="shared" ca="1" si="68"/>
        <v/>
      </c>
      <c r="F442" s="25" t="str">
        <f t="shared" ca="1" si="69"/>
        <v/>
      </c>
      <c r="G442" s="26" t="str">
        <f t="shared" ca="1" si="70"/>
        <v/>
      </c>
      <c r="H442" s="55" t="str">
        <f t="shared" ca="1" si="71"/>
        <v/>
      </c>
      <c r="N442" s="95" t="str">
        <f t="shared" si="63"/>
        <v/>
      </c>
      <c r="O442" s="95" t="str">
        <f t="shared" si="64"/>
        <v/>
      </c>
    </row>
    <row r="443" spans="1:15" x14ac:dyDescent="0.25">
      <c r="A443" s="98" t="str">
        <f t="shared" ca="1" si="72"/>
        <v/>
      </c>
      <c r="B443" s="33" t="str">
        <f t="shared" ca="1" si="65"/>
        <v/>
      </c>
      <c r="C443" s="25" t="str">
        <f t="shared" ca="1" si="66"/>
        <v/>
      </c>
      <c r="D443" s="26" t="str">
        <f t="shared" ca="1" si="67"/>
        <v/>
      </c>
      <c r="E443" s="4" t="str">
        <f t="shared" ca="1" si="68"/>
        <v/>
      </c>
      <c r="F443" s="25" t="str">
        <f t="shared" ca="1" si="69"/>
        <v/>
      </c>
      <c r="G443" s="26" t="str">
        <f t="shared" ca="1" si="70"/>
        <v/>
      </c>
      <c r="H443" s="55" t="str">
        <f t="shared" ca="1" si="71"/>
        <v/>
      </c>
      <c r="N443" s="95" t="str">
        <f t="shared" si="63"/>
        <v/>
      </c>
      <c r="O443" s="95" t="str">
        <f t="shared" si="64"/>
        <v/>
      </c>
    </row>
    <row r="444" spans="1:15" x14ac:dyDescent="0.25">
      <c r="A444" s="98" t="str">
        <f t="shared" ca="1" si="72"/>
        <v/>
      </c>
      <c r="B444" s="33" t="str">
        <f t="shared" ca="1" si="65"/>
        <v/>
      </c>
      <c r="C444" s="25" t="str">
        <f t="shared" ca="1" si="66"/>
        <v/>
      </c>
      <c r="D444" s="26" t="str">
        <f t="shared" ca="1" si="67"/>
        <v/>
      </c>
      <c r="E444" s="4" t="str">
        <f t="shared" ca="1" si="68"/>
        <v/>
      </c>
      <c r="F444" s="25" t="str">
        <f t="shared" ca="1" si="69"/>
        <v/>
      </c>
      <c r="G444" s="26" t="str">
        <f t="shared" ca="1" si="70"/>
        <v/>
      </c>
      <c r="H444" s="55" t="str">
        <f t="shared" ca="1" si="71"/>
        <v/>
      </c>
      <c r="N444" s="95" t="str">
        <f t="shared" si="63"/>
        <v/>
      </c>
      <c r="O444" s="95" t="str">
        <f t="shared" si="64"/>
        <v/>
      </c>
    </row>
    <row r="445" spans="1:15" x14ac:dyDescent="0.25">
      <c r="A445" s="98" t="str">
        <f t="shared" ca="1" si="72"/>
        <v/>
      </c>
      <c r="B445" s="33" t="str">
        <f t="shared" ca="1" si="65"/>
        <v/>
      </c>
      <c r="C445" s="25" t="str">
        <f t="shared" ca="1" si="66"/>
        <v/>
      </c>
      <c r="D445" s="26" t="str">
        <f t="shared" ca="1" si="67"/>
        <v/>
      </c>
      <c r="E445" s="4" t="str">
        <f t="shared" ca="1" si="68"/>
        <v/>
      </c>
      <c r="F445" s="25" t="str">
        <f t="shared" ca="1" si="69"/>
        <v/>
      </c>
      <c r="G445" s="26" t="str">
        <f t="shared" ca="1" si="70"/>
        <v/>
      </c>
      <c r="H445" s="55" t="str">
        <f t="shared" ca="1" si="71"/>
        <v/>
      </c>
      <c r="N445" s="95" t="str">
        <f t="shared" si="63"/>
        <v/>
      </c>
      <c r="O445" s="95" t="str">
        <f t="shared" si="64"/>
        <v/>
      </c>
    </row>
    <row r="446" spans="1:15" x14ac:dyDescent="0.25">
      <c r="A446" s="98" t="str">
        <f t="shared" ca="1" si="72"/>
        <v/>
      </c>
      <c r="B446" s="33" t="str">
        <f t="shared" ca="1" si="65"/>
        <v/>
      </c>
      <c r="C446" s="25" t="str">
        <f t="shared" ca="1" si="66"/>
        <v/>
      </c>
      <c r="D446" s="26" t="str">
        <f t="shared" ca="1" si="67"/>
        <v/>
      </c>
      <c r="E446" s="4" t="str">
        <f t="shared" ca="1" si="68"/>
        <v/>
      </c>
      <c r="F446" s="25" t="str">
        <f t="shared" ca="1" si="69"/>
        <v/>
      </c>
      <c r="G446" s="26" t="str">
        <f t="shared" ca="1" si="70"/>
        <v/>
      </c>
      <c r="H446" s="55" t="str">
        <f t="shared" ca="1" si="71"/>
        <v/>
      </c>
      <c r="N446" s="95" t="str">
        <f t="shared" si="63"/>
        <v/>
      </c>
      <c r="O446" s="95" t="str">
        <f t="shared" si="64"/>
        <v/>
      </c>
    </row>
    <row r="447" spans="1:15" x14ac:dyDescent="0.25">
      <c r="A447" s="98" t="str">
        <f t="shared" ca="1" si="72"/>
        <v/>
      </c>
      <c r="B447" s="33" t="str">
        <f t="shared" ca="1" si="65"/>
        <v/>
      </c>
      <c r="C447" s="25" t="str">
        <f t="shared" ca="1" si="66"/>
        <v/>
      </c>
      <c r="D447" s="26" t="str">
        <f t="shared" ca="1" si="67"/>
        <v/>
      </c>
      <c r="E447" s="4" t="str">
        <f t="shared" ca="1" si="68"/>
        <v/>
      </c>
      <c r="F447" s="25" t="str">
        <f t="shared" ca="1" si="69"/>
        <v/>
      </c>
      <c r="G447" s="26" t="str">
        <f t="shared" ca="1" si="70"/>
        <v/>
      </c>
      <c r="H447" s="55" t="str">
        <f t="shared" ca="1" si="71"/>
        <v/>
      </c>
      <c r="N447" s="95" t="str">
        <f t="shared" si="63"/>
        <v/>
      </c>
      <c r="O447" s="95" t="str">
        <f t="shared" si="64"/>
        <v/>
      </c>
    </row>
    <row r="448" spans="1:15" x14ac:dyDescent="0.25">
      <c r="A448" s="98" t="str">
        <f t="shared" ca="1" si="72"/>
        <v/>
      </c>
      <c r="B448" s="33" t="str">
        <f t="shared" ca="1" si="65"/>
        <v/>
      </c>
      <c r="C448" s="25" t="str">
        <f t="shared" ca="1" si="66"/>
        <v/>
      </c>
      <c r="D448" s="26" t="str">
        <f t="shared" ca="1" si="67"/>
        <v/>
      </c>
      <c r="E448" s="4" t="str">
        <f t="shared" ca="1" si="68"/>
        <v/>
      </c>
      <c r="F448" s="25" t="str">
        <f t="shared" ca="1" si="69"/>
        <v/>
      </c>
      <c r="G448" s="26" t="str">
        <f t="shared" ca="1" si="70"/>
        <v/>
      </c>
      <c r="H448" s="55" t="str">
        <f t="shared" ca="1" si="71"/>
        <v/>
      </c>
      <c r="N448" s="95" t="str">
        <f t="shared" si="63"/>
        <v/>
      </c>
      <c r="O448" s="95" t="str">
        <f t="shared" si="64"/>
        <v/>
      </c>
    </row>
    <row r="449" spans="1:15" x14ac:dyDescent="0.25">
      <c r="A449" s="98" t="str">
        <f t="shared" ca="1" si="72"/>
        <v/>
      </c>
      <c r="B449" s="33" t="str">
        <f t="shared" ca="1" si="65"/>
        <v/>
      </c>
      <c r="C449" s="25" t="str">
        <f t="shared" ca="1" si="66"/>
        <v/>
      </c>
      <c r="D449" s="26" t="str">
        <f t="shared" ca="1" si="67"/>
        <v/>
      </c>
      <c r="E449" s="4" t="str">
        <f t="shared" ca="1" si="68"/>
        <v/>
      </c>
      <c r="F449" s="25" t="str">
        <f t="shared" ca="1" si="69"/>
        <v/>
      </c>
      <c r="G449" s="26" t="str">
        <f t="shared" ca="1" si="70"/>
        <v/>
      </c>
      <c r="H449" s="55" t="str">
        <f t="shared" ca="1" si="71"/>
        <v/>
      </c>
      <c r="N449" s="95" t="str">
        <f t="shared" si="63"/>
        <v/>
      </c>
      <c r="O449" s="95" t="str">
        <f t="shared" si="64"/>
        <v/>
      </c>
    </row>
    <row r="450" spans="1:15" x14ac:dyDescent="0.25">
      <c r="A450" s="98" t="str">
        <f t="shared" ca="1" si="72"/>
        <v/>
      </c>
      <c r="B450" s="33" t="str">
        <f t="shared" ca="1" si="65"/>
        <v/>
      </c>
      <c r="C450" s="25" t="str">
        <f t="shared" ca="1" si="66"/>
        <v/>
      </c>
      <c r="D450" s="26" t="str">
        <f t="shared" ca="1" si="67"/>
        <v/>
      </c>
      <c r="E450" s="4" t="str">
        <f t="shared" ca="1" si="68"/>
        <v/>
      </c>
      <c r="F450" s="25" t="str">
        <f t="shared" ca="1" si="69"/>
        <v/>
      </c>
      <c r="G450" s="26" t="str">
        <f t="shared" ca="1" si="70"/>
        <v/>
      </c>
      <c r="H450" s="55" t="str">
        <f t="shared" ca="1" si="71"/>
        <v/>
      </c>
      <c r="N450" s="95" t="str">
        <f t="shared" si="63"/>
        <v/>
      </c>
      <c r="O450" s="95" t="str">
        <f t="shared" si="64"/>
        <v/>
      </c>
    </row>
    <row r="451" spans="1:15" x14ac:dyDescent="0.25">
      <c r="A451" s="98" t="str">
        <f t="shared" ca="1" si="72"/>
        <v/>
      </c>
      <c r="B451" s="33" t="str">
        <f t="shared" ca="1" si="65"/>
        <v/>
      </c>
      <c r="C451" s="25" t="str">
        <f t="shared" ca="1" si="66"/>
        <v/>
      </c>
      <c r="D451" s="26" t="str">
        <f t="shared" ca="1" si="67"/>
        <v/>
      </c>
      <c r="E451" s="4" t="str">
        <f t="shared" ca="1" si="68"/>
        <v/>
      </c>
      <c r="F451" s="25" t="str">
        <f t="shared" ca="1" si="69"/>
        <v/>
      </c>
      <c r="G451" s="26" t="str">
        <f t="shared" ca="1" si="70"/>
        <v/>
      </c>
      <c r="H451" s="55" t="str">
        <f t="shared" ca="1" si="71"/>
        <v/>
      </c>
      <c r="N451" s="95" t="str">
        <f t="shared" si="63"/>
        <v/>
      </c>
      <c r="O451" s="95" t="str">
        <f t="shared" si="64"/>
        <v/>
      </c>
    </row>
    <row r="452" spans="1:15" x14ac:dyDescent="0.25">
      <c r="A452" s="98" t="str">
        <f t="shared" ca="1" si="72"/>
        <v/>
      </c>
      <c r="B452" s="33" t="str">
        <f t="shared" ca="1" si="65"/>
        <v/>
      </c>
      <c r="C452" s="25" t="str">
        <f t="shared" ca="1" si="66"/>
        <v/>
      </c>
      <c r="D452" s="26" t="str">
        <f t="shared" ca="1" si="67"/>
        <v/>
      </c>
      <c r="E452" s="4" t="str">
        <f t="shared" ca="1" si="68"/>
        <v/>
      </c>
      <c r="F452" s="25" t="str">
        <f t="shared" ca="1" si="69"/>
        <v/>
      </c>
      <c r="G452" s="26" t="str">
        <f t="shared" ca="1" si="70"/>
        <v/>
      </c>
      <c r="H452" s="55" t="str">
        <f t="shared" ca="1" si="71"/>
        <v/>
      </c>
      <c r="N452" s="95" t="str">
        <f t="shared" ref="N452:N515" si="73">IF(COUNTIF(L:L,J452)=1,J452,"")</f>
        <v/>
      </c>
      <c r="O452" s="95" t="str">
        <f t="shared" ref="O452:O515" si="74">IF(N452&gt;$A$14,N452,"")</f>
        <v/>
      </c>
    </row>
    <row r="453" spans="1:15" x14ac:dyDescent="0.25">
      <c r="A453" s="98" t="str">
        <f t="shared" ca="1" si="72"/>
        <v/>
      </c>
      <c r="B453" s="33" t="str">
        <f t="shared" ca="1" si="65"/>
        <v/>
      </c>
      <c r="C453" s="25" t="str">
        <f t="shared" ca="1" si="66"/>
        <v/>
      </c>
      <c r="D453" s="26" t="str">
        <f t="shared" ca="1" si="67"/>
        <v/>
      </c>
      <c r="E453" s="4" t="str">
        <f t="shared" ca="1" si="68"/>
        <v/>
      </c>
      <c r="F453" s="25" t="str">
        <f t="shared" ca="1" si="69"/>
        <v/>
      </c>
      <c r="G453" s="26" t="str">
        <f t="shared" ca="1" si="70"/>
        <v/>
      </c>
      <c r="H453" s="55" t="str">
        <f t="shared" ca="1" si="71"/>
        <v/>
      </c>
      <c r="N453" s="95" t="str">
        <f t="shared" si="73"/>
        <v/>
      </c>
      <c r="O453" s="95" t="str">
        <f t="shared" si="74"/>
        <v/>
      </c>
    </row>
    <row r="454" spans="1:15" x14ac:dyDescent="0.25">
      <c r="A454" s="98" t="str">
        <f t="shared" ca="1" si="72"/>
        <v/>
      </c>
      <c r="B454" s="33" t="str">
        <f t="shared" ca="1" si="65"/>
        <v/>
      </c>
      <c r="C454" s="25" t="str">
        <f t="shared" ca="1" si="66"/>
        <v/>
      </c>
      <c r="D454" s="26" t="str">
        <f t="shared" ca="1" si="67"/>
        <v/>
      </c>
      <c r="E454" s="4" t="str">
        <f t="shared" ca="1" si="68"/>
        <v/>
      </c>
      <c r="F454" s="25" t="str">
        <f t="shared" ca="1" si="69"/>
        <v/>
      </c>
      <c r="G454" s="26" t="str">
        <f t="shared" ca="1" si="70"/>
        <v/>
      </c>
      <c r="H454" s="55" t="str">
        <f t="shared" ca="1" si="71"/>
        <v/>
      </c>
      <c r="N454" s="95" t="str">
        <f t="shared" si="73"/>
        <v/>
      </c>
      <c r="O454" s="95" t="str">
        <f t="shared" si="74"/>
        <v/>
      </c>
    </row>
    <row r="455" spans="1:15" x14ac:dyDescent="0.25">
      <c r="A455" s="98" t="str">
        <f t="shared" ca="1" si="72"/>
        <v/>
      </c>
      <c r="B455" s="33" t="str">
        <f t="shared" ca="1" si="65"/>
        <v/>
      </c>
      <c r="C455" s="25" t="str">
        <f t="shared" ca="1" si="66"/>
        <v/>
      </c>
      <c r="D455" s="26" t="str">
        <f t="shared" ca="1" si="67"/>
        <v/>
      </c>
      <c r="E455" s="4" t="str">
        <f t="shared" ca="1" si="68"/>
        <v/>
      </c>
      <c r="F455" s="25" t="str">
        <f t="shared" ca="1" si="69"/>
        <v/>
      </c>
      <c r="G455" s="26" t="str">
        <f t="shared" ca="1" si="70"/>
        <v/>
      </c>
      <c r="H455" s="55" t="str">
        <f t="shared" ca="1" si="71"/>
        <v/>
      </c>
      <c r="N455" s="95" t="str">
        <f t="shared" si="73"/>
        <v/>
      </c>
      <c r="O455" s="95" t="str">
        <f t="shared" si="74"/>
        <v/>
      </c>
    </row>
    <row r="456" spans="1:15" x14ac:dyDescent="0.25">
      <c r="A456" s="98" t="str">
        <f t="shared" ca="1" si="72"/>
        <v/>
      </c>
      <c r="B456" s="33" t="str">
        <f t="shared" ca="1" si="65"/>
        <v/>
      </c>
      <c r="C456" s="25" t="str">
        <f t="shared" ca="1" si="66"/>
        <v/>
      </c>
      <c r="D456" s="26" t="str">
        <f t="shared" ca="1" si="67"/>
        <v/>
      </c>
      <c r="E456" s="4" t="str">
        <f t="shared" ca="1" si="68"/>
        <v/>
      </c>
      <c r="F456" s="25" t="str">
        <f t="shared" ca="1" si="69"/>
        <v/>
      </c>
      <c r="G456" s="26" t="str">
        <f t="shared" ca="1" si="70"/>
        <v/>
      </c>
      <c r="H456" s="55" t="str">
        <f t="shared" ca="1" si="71"/>
        <v/>
      </c>
      <c r="N456" s="95" t="str">
        <f t="shared" si="73"/>
        <v/>
      </c>
      <c r="O456" s="95" t="str">
        <f t="shared" si="74"/>
        <v/>
      </c>
    </row>
    <row r="457" spans="1:15" x14ac:dyDescent="0.25">
      <c r="A457" s="98" t="str">
        <f t="shared" ca="1" si="72"/>
        <v/>
      </c>
      <c r="B457" s="33" t="str">
        <f t="shared" ca="1" si="65"/>
        <v/>
      </c>
      <c r="C457" s="25" t="str">
        <f t="shared" ca="1" si="66"/>
        <v/>
      </c>
      <c r="D457" s="26" t="str">
        <f t="shared" ca="1" si="67"/>
        <v/>
      </c>
      <c r="E457" s="4" t="str">
        <f t="shared" ca="1" si="68"/>
        <v/>
      </c>
      <c r="F457" s="25" t="str">
        <f t="shared" ca="1" si="69"/>
        <v/>
      </c>
      <c r="G457" s="26" t="str">
        <f t="shared" ca="1" si="70"/>
        <v/>
      </c>
      <c r="H457" s="55" t="str">
        <f t="shared" ca="1" si="71"/>
        <v/>
      </c>
      <c r="N457" s="95" t="str">
        <f t="shared" si="73"/>
        <v/>
      </c>
      <c r="O457" s="95" t="str">
        <f t="shared" si="74"/>
        <v/>
      </c>
    </row>
    <row r="458" spans="1:15" x14ac:dyDescent="0.25">
      <c r="A458" s="98" t="str">
        <f t="shared" ca="1" si="72"/>
        <v/>
      </c>
      <c r="B458" s="33" t="str">
        <f t="shared" ref="B458:B521" ca="1" si="75">IF(COUNTIF(J:J,A458)=1,VLOOKUP(A458,J:K,2), IF(COUNTIF(J:J,A458)=0,$B$10,""))</f>
        <v/>
      </c>
      <c r="C458" s="25" t="str">
        <f t="shared" ref="C458:C521" ca="1" si="76">IF(ISERROR(B458-2),"",(B458-$B$14)/100*$B$5)</f>
        <v/>
      </c>
      <c r="D458" s="26" t="str">
        <f t="shared" ref="D458:D521" ca="1" si="77">IF(ISERROR(B458-2),"",(INT(A458)-INT($A$14))/360*$B$6*$B$5-(INT(A458)-INT($A$14))/360*$B$7*$B$5*$B$14/100)</f>
        <v/>
      </c>
      <c r="E458" s="4" t="str">
        <f t="shared" ref="E458:E521" ca="1" si="78">IF(COUNTIF(L:L,A458)=1,VLOOKUP(A458,L:M,2), IF(COUNTIF(L:L,A458)=0,$C$10,""))</f>
        <v/>
      </c>
      <c r="F458" s="25" t="str">
        <f t="shared" ref="F458:F521" ca="1" si="79">IF(ISERROR(E458-2), "", (E458-$E$14)/100*$C$5)</f>
        <v/>
      </c>
      <c r="G458" s="26" t="str">
        <f t="shared" ref="G458:G521" ca="1" si="80">IF(ISERROR(E458-2),"",(INT(A458)-INT($A$14))/360*$C$6*$C$5-(INT(A458)-INT($A$14))/360*$C$7*$C$5*$E$14/100)</f>
        <v/>
      </c>
      <c r="H458" s="55" t="str">
        <f t="shared" ref="H458:H521" ca="1" si="81">IF(ISERROR(E458-2),"",C458+D458-F458-G458)</f>
        <v/>
      </c>
      <c r="N458" s="95" t="str">
        <f t="shared" si="73"/>
        <v/>
      </c>
      <c r="O458" s="95" t="str">
        <f t="shared" si="74"/>
        <v/>
      </c>
    </row>
    <row r="459" spans="1:15" x14ac:dyDescent="0.25">
      <c r="A459" s="98" t="str">
        <f t="shared" ca="1" si="72"/>
        <v/>
      </c>
      <c r="B459" s="33" t="str">
        <f t="shared" ca="1" si="75"/>
        <v/>
      </c>
      <c r="C459" s="25" t="str">
        <f t="shared" ca="1" si="76"/>
        <v/>
      </c>
      <c r="D459" s="26" t="str">
        <f t="shared" ca="1" si="77"/>
        <v/>
      </c>
      <c r="E459" s="4" t="str">
        <f t="shared" ca="1" si="78"/>
        <v/>
      </c>
      <c r="F459" s="25" t="str">
        <f t="shared" ca="1" si="79"/>
        <v/>
      </c>
      <c r="G459" s="26" t="str">
        <f t="shared" ca="1" si="80"/>
        <v/>
      </c>
      <c r="H459" s="55" t="str">
        <f t="shared" ca="1" si="81"/>
        <v/>
      </c>
      <c r="N459" s="95" t="str">
        <f t="shared" si="73"/>
        <v/>
      </c>
      <c r="O459" s="95" t="str">
        <f t="shared" si="74"/>
        <v/>
      </c>
    </row>
    <row r="460" spans="1:15" x14ac:dyDescent="0.25">
      <c r="A460" s="98" t="str">
        <f t="shared" ca="1" si="72"/>
        <v/>
      </c>
      <c r="B460" s="33" t="str">
        <f t="shared" ca="1" si="75"/>
        <v/>
      </c>
      <c r="C460" s="25" t="str">
        <f t="shared" ca="1" si="76"/>
        <v/>
      </c>
      <c r="D460" s="26" t="str">
        <f t="shared" ca="1" si="77"/>
        <v/>
      </c>
      <c r="E460" s="4" t="str">
        <f t="shared" ca="1" si="78"/>
        <v/>
      </c>
      <c r="F460" s="25" t="str">
        <f t="shared" ca="1" si="79"/>
        <v/>
      </c>
      <c r="G460" s="26" t="str">
        <f t="shared" ca="1" si="80"/>
        <v/>
      </c>
      <c r="H460" s="55" t="str">
        <f t="shared" ca="1" si="81"/>
        <v/>
      </c>
      <c r="N460" s="95" t="str">
        <f t="shared" si="73"/>
        <v/>
      </c>
      <c r="O460" s="95" t="str">
        <f t="shared" si="74"/>
        <v/>
      </c>
    </row>
    <row r="461" spans="1:15" x14ac:dyDescent="0.25">
      <c r="A461" s="98" t="str">
        <f t="shared" ca="1" si="72"/>
        <v/>
      </c>
      <c r="B461" s="33" t="str">
        <f t="shared" ca="1" si="75"/>
        <v/>
      </c>
      <c r="C461" s="25" t="str">
        <f t="shared" ca="1" si="76"/>
        <v/>
      </c>
      <c r="D461" s="26" t="str">
        <f t="shared" ca="1" si="77"/>
        <v/>
      </c>
      <c r="E461" s="4" t="str">
        <f t="shared" ca="1" si="78"/>
        <v/>
      </c>
      <c r="F461" s="25" t="str">
        <f t="shared" ca="1" si="79"/>
        <v/>
      </c>
      <c r="G461" s="26" t="str">
        <f t="shared" ca="1" si="80"/>
        <v/>
      </c>
      <c r="H461" s="55" t="str">
        <f t="shared" ca="1" si="81"/>
        <v/>
      </c>
      <c r="N461" s="95" t="str">
        <f t="shared" si="73"/>
        <v/>
      </c>
      <c r="O461" s="95" t="str">
        <f t="shared" si="74"/>
        <v/>
      </c>
    </row>
    <row r="462" spans="1:15" x14ac:dyDescent="0.25">
      <c r="A462" s="98" t="str">
        <f t="shared" ca="1" si="72"/>
        <v/>
      </c>
      <c r="B462" s="33" t="str">
        <f t="shared" ca="1" si="75"/>
        <v/>
      </c>
      <c r="C462" s="25" t="str">
        <f t="shared" ca="1" si="76"/>
        <v/>
      </c>
      <c r="D462" s="26" t="str">
        <f t="shared" ca="1" si="77"/>
        <v/>
      </c>
      <c r="E462" s="4" t="str">
        <f t="shared" ca="1" si="78"/>
        <v/>
      </c>
      <c r="F462" s="25" t="str">
        <f t="shared" ca="1" si="79"/>
        <v/>
      </c>
      <c r="G462" s="26" t="str">
        <f t="shared" ca="1" si="80"/>
        <v/>
      </c>
      <c r="H462" s="55" t="str">
        <f t="shared" ca="1" si="81"/>
        <v/>
      </c>
      <c r="N462" s="95" t="str">
        <f t="shared" si="73"/>
        <v/>
      </c>
      <c r="O462" s="95" t="str">
        <f t="shared" si="74"/>
        <v/>
      </c>
    </row>
    <row r="463" spans="1:15" x14ac:dyDescent="0.25">
      <c r="A463" s="98" t="str">
        <f t="shared" ca="1" si="72"/>
        <v/>
      </c>
      <c r="B463" s="33" t="str">
        <f t="shared" ca="1" si="75"/>
        <v/>
      </c>
      <c r="C463" s="25" t="str">
        <f t="shared" ca="1" si="76"/>
        <v/>
      </c>
      <c r="D463" s="26" t="str">
        <f t="shared" ca="1" si="77"/>
        <v/>
      </c>
      <c r="E463" s="4" t="str">
        <f t="shared" ca="1" si="78"/>
        <v/>
      </c>
      <c r="F463" s="25" t="str">
        <f t="shared" ca="1" si="79"/>
        <v/>
      </c>
      <c r="G463" s="26" t="str">
        <f t="shared" ca="1" si="80"/>
        <v/>
      </c>
      <c r="H463" s="55" t="str">
        <f t="shared" ca="1" si="81"/>
        <v/>
      </c>
      <c r="N463" s="95" t="str">
        <f t="shared" si="73"/>
        <v/>
      </c>
      <c r="O463" s="95" t="str">
        <f t="shared" si="74"/>
        <v/>
      </c>
    </row>
    <row r="464" spans="1:15" x14ac:dyDescent="0.25">
      <c r="A464" s="98" t="str">
        <f t="shared" ref="A464:A527" ca="1" si="82">IF(AND(ISBLANK(P451), A463 = $P$1),NOW(),IF(ISBLANK(P451),"",P451))</f>
        <v/>
      </c>
      <c r="B464" s="33" t="str">
        <f t="shared" ca="1" si="75"/>
        <v/>
      </c>
      <c r="C464" s="25" t="str">
        <f t="shared" ca="1" si="76"/>
        <v/>
      </c>
      <c r="D464" s="26" t="str">
        <f t="shared" ca="1" si="77"/>
        <v/>
      </c>
      <c r="E464" s="4" t="str">
        <f t="shared" ca="1" si="78"/>
        <v/>
      </c>
      <c r="F464" s="25" t="str">
        <f t="shared" ca="1" si="79"/>
        <v/>
      </c>
      <c r="G464" s="26" t="str">
        <f t="shared" ca="1" si="80"/>
        <v/>
      </c>
      <c r="H464" s="55" t="str">
        <f t="shared" ca="1" si="81"/>
        <v/>
      </c>
      <c r="N464" s="95" t="str">
        <f t="shared" si="73"/>
        <v/>
      </c>
      <c r="O464" s="95" t="str">
        <f t="shared" si="74"/>
        <v/>
      </c>
    </row>
    <row r="465" spans="1:15" x14ac:dyDescent="0.25">
      <c r="A465" s="98" t="str">
        <f t="shared" ca="1" si="82"/>
        <v/>
      </c>
      <c r="B465" s="33" t="str">
        <f t="shared" ca="1" si="75"/>
        <v/>
      </c>
      <c r="C465" s="25" t="str">
        <f t="shared" ca="1" si="76"/>
        <v/>
      </c>
      <c r="D465" s="26" t="str">
        <f t="shared" ca="1" si="77"/>
        <v/>
      </c>
      <c r="E465" s="4" t="str">
        <f t="shared" ca="1" si="78"/>
        <v/>
      </c>
      <c r="F465" s="25" t="str">
        <f t="shared" ca="1" si="79"/>
        <v/>
      </c>
      <c r="G465" s="26" t="str">
        <f t="shared" ca="1" si="80"/>
        <v/>
      </c>
      <c r="H465" s="55" t="str">
        <f t="shared" ca="1" si="81"/>
        <v/>
      </c>
      <c r="N465" s="95" t="str">
        <f t="shared" si="73"/>
        <v/>
      </c>
      <c r="O465" s="95" t="str">
        <f t="shared" si="74"/>
        <v/>
      </c>
    </row>
    <row r="466" spans="1:15" x14ac:dyDescent="0.25">
      <c r="A466" s="98" t="str">
        <f t="shared" ca="1" si="82"/>
        <v/>
      </c>
      <c r="B466" s="33" t="str">
        <f t="shared" ca="1" si="75"/>
        <v/>
      </c>
      <c r="C466" s="25" t="str">
        <f t="shared" ca="1" si="76"/>
        <v/>
      </c>
      <c r="D466" s="26" t="str">
        <f t="shared" ca="1" si="77"/>
        <v/>
      </c>
      <c r="E466" s="4" t="str">
        <f t="shared" ca="1" si="78"/>
        <v/>
      </c>
      <c r="F466" s="25" t="str">
        <f t="shared" ca="1" si="79"/>
        <v/>
      </c>
      <c r="G466" s="26" t="str">
        <f t="shared" ca="1" si="80"/>
        <v/>
      </c>
      <c r="H466" s="55" t="str">
        <f t="shared" ca="1" si="81"/>
        <v/>
      </c>
      <c r="N466" s="95" t="str">
        <f t="shared" si="73"/>
        <v/>
      </c>
      <c r="O466" s="95" t="str">
        <f t="shared" si="74"/>
        <v/>
      </c>
    </row>
    <row r="467" spans="1:15" x14ac:dyDescent="0.25">
      <c r="A467" s="98" t="str">
        <f t="shared" ca="1" si="82"/>
        <v/>
      </c>
      <c r="B467" s="33" t="str">
        <f t="shared" ca="1" si="75"/>
        <v/>
      </c>
      <c r="C467" s="25" t="str">
        <f t="shared" ca="1" si="76"/>
        <v/>
      </c>
      <c r="D467" s="26" t="str">
        <f t="shared" ca="1" si="77"/>
        <v/>
      </c>
      <c r="E467" s="4" t="str">
        <f t="shared" ca="1" si="78"/>
        <v/>
      </c>
      <c r="F467" s="25" t="str">
        <f t="shared" ca="1" si="79"/>
        <v/>
      </c>
      <c r="G467" s="26" t="str">
        <f t="shared" ca="1" si="80"/>
        <v/>
      </c>
      <c r="H467" s="55" t="str">
        <f t="shared" ca="1" si="81"/>
        <v/>
      </c>
      <c r="N467" s="95" t="str">
        <f t="shared" si="73"/>
        <v/>
      </c>
      <c r="O467" s="95" t="str">
        <f t="shared" si="74"/>
        <v/>
      </c>
    </row>
    <row r="468" spans="1:15" x14ac:dyDescent="0.25">
      <c r="A468" s="98" t="str">
        <f t="shared" ca="1" si="82"/>
        <v/>
      </c>
      <c r="B468" s="33" t="str">
        <f t="shared" ca="1" si="75"/>
        <v/>
      </c>
      <c r="C468" s="25" t="str">
        <f t="shared" ca="1" si="76"/>
        <v/>
      </c>
      <c r="D468" s="26" t="str">
        <f t="shared" ca="1" si="77"/>
        <v/>
      </c>
      <c r="E468" s="4" t="str">
        <f t="shared" ca="1" si="78"/>
        <v/>
      </c>
      <c r="F468" s="25" t="str">
        <f t="shared" ca="1" si="79"/>
        <v/>
      </c>
      <c r="G468" s="26" t="str">
        <f t="shared" ca="1" si="80"/>
        <v/>
      </c>
      <c r="H468" s="55" t="str">
        <f t="shared" ca="1" si="81"/>
        <v/>
      </c>
      <c r="N468" s="95" t="str">
        <f t="shared" si="73"/>
        <v/>
      </c>
      <c r="O468" s="95" t="str">
        <f t="shared" si="74"/>
        <v/>
      </c>
    </row>
    <row r="469" spans="1:15" x14ac:dyDescent="0.25">
      <c r="A469" s="98" t="str">
        <f t="shared" ca="1" si="82"/>
        <v/>
      </c>
      <c r="B469" s="33" t="str">
        <f t="shared" ca="1" si="75"/>
        <v/>
      </c>
      <c r="C469" s="25" t="str">
        <f t="shared" ca="1" si="76"/>
        <v/>
      </c>
      <c r="D469" s="26" t="str">
        <f t="shared" ca="1" si="77"/>
        <v/>
      </c>
      <c r="E469" s="4" t="str">
        <f t="shared" ca="1" si="78"/>
        <v/>
      </c>
      <c r="F469" s="25" t="str">
        <f t="shared" ca="1" si="79"/>
        <v/>
      </c>
      <c r="G469" s="26" t="str">
        <f t="shared" ca="1" si="80"/>
        <v/>
      </c>
      <c r="H469" s="55" t="str">
        <f t="shared" ca="1" si="81"/>
        <v/>
      </c>
      <c r="N469" s="95" t="str">
        <f t="shared" si="73"/>
        <v/>
      </c>
      <c r="O469" s="95" t="str">
        <f t="shared" si="74"/>
        <v/>
      </c>
    </row>
    <row r="470" spans="1:15" x14ac:dyDescent="0.25">
      <c r="A470" s="98" t="str">
        <f t="shared" ca="1" si="82"/>
        <v/>
      </c>
      <c r="B470" s="33" t="str">
        <f t="shared" ca="1" si="75"/>
        <v/>
      </c>
      <c r="C470" s="25" t="str">
        <f t="shared" ca="1" si="76"/>
        <v/>
      </c>
      <c r="D470" s="26" t="str">
        <f t="shared" ca="1" si="77"/>
        <v/>
      </c>
      <c r="E470" s="4" t="str">
        <f t="shared" ca="1" si="78"/>
        <v/>
      </c>
      <c r="F470" s="25" t="str">
        <f t="shared" ca="1" si="79"/>
        <v/>
      </c>
      <c r="G470" s="26" t="str">
        <f t="shared" ca="1" si="80"/>
        <v/>
      </c>
      <c r="H470" s="55" t="str">
        <f t="shared" ca="1" si="81"/>
        <v/>
      </c>
      <c r="N470" s="95" t="str">
        <f t="shared" si="73"/>
        <v/>
      </c>
      <c r="O470" s="95" t="str">
        <f t="shared" si="74"/>
        <v/>
      </c>
    </row>
    <row r="471" spans="1:15" x14ac:dyDescent="0.25">
      <c r="A471" s="98" t="str">
        <f t="shared" ca="1" si="82"/>
        <v/>
      </c>
      <c r="B471" s="33" t="str">
        <f t="shared" ca="1" si="75"/>
        <v/>
      </c>
      <c r="C471" s="25" t="str">
        <f t="shared" ca="1" si="76"/>
        <v/>
      </c>
      <c r="D471" s="26" t="str">
        <f t="shared" ca="1" si="77"/>
        <v/>
      </c>
      <c r="E471" s="4" t="str">
        <f t="shared" ca="1" si="78"/>
        <v/>
      </c>
      <c r="F471" s="25" t="str">
        <f t="shared" ca="1" si="79"/>
        <v/>
      </c>
      <c r="G471" s="26" t="str">
        <f t="shared" ca="1" si="80"/>
        <v/>
      </c>
      <c r="H471" s="55" t="str">
        <f t="shared" ca="1" si="81"/>
        <v/>
      </c>
      <c r="N471" s="95" t="str">
        <f t="shared" si="73"/>
        <v/>
      </c>
      <c r="O471" s="95" t="str">
        <f t="shared" si="74"/>
        <v/>
      </c>
    </row>
    <row r="472" spans="1:15" x14ac:dyDescent="0.25">
      <c r="A472" s="98" t="str">
        <f t="shared" ca="1" si="82"/>
        <v/>
      </c>
      <c r="B472" s="33" t="str">
        <f t="shared" ca="1" si="75"/>
        <v/>
      </c>
      <c r="C472" s="25" t="str">
        <f t="shared" ca="1" si="76"/>
        <v/>
      </c>
      <c r="D472" s="26" t="str">
        <f t="shared" ca="1" si="77"/>
        <v/>
      </c>
      <c r="E472" s="4" t="str">
        <f t="shared" ca="1" si="78"/>
        <v/>
      </c>
      <c r="F472" s="25" t="str">
        <f t="shared" ca="1" si="79"/>
        <v/>
      </c>
      <c r="G472" s="26" t="str">
        <f t="shared" ca="1" si="80"/>
        <v/>
      </c>
      <c r="H472" s="55" t="str">
        <f t="shared" ca="1" si="81"/>
        <v/>
      </c>
      <c r="N472" s="95" t="str">
        <f t="shared" si="73"/>
        <v/>
      </c>
      <c r="O472" s="95" t="str">
        <f t="shared" si="74"/>
        <v/>
      </c>
    </row>
    <row r="473" spans="1:15" x14ac:dyDescent="0.25">
      <c r="A473" s="98" t="str">
        <f t="shared" ca="1" si="82"/>
        <v/>
      </c>
      <c r="B473" s="33" t="str">
        <f t="shared" ca="1" si="75"/>
        <v/>
      </c>
      <c r="C473" s="25" t="str">
        <f t="shared" ca="1" si="76"/>
        <v/>
      </c>
      <c r="D473" s="26" t="str">
        <f t="shared" ca="1" si="77"/>
        <v/>
      </c>
      <c r="E473" s="4" t="str">
        <f t="shared" ca="1" si="78"/>
        <v/>
      </c>
      <c r="F473" s="25" t="str">
        <f t="shared" ca="1" si="79"/>
        <v/>
      </c>
      <c r="G473" s="26" t="str">
        <f t="shared" ca="1" si="80"/>
        <v/>
      </c>
      <c r="H473" s="55" t="str">
        <f t="shared" ca="1" si="81"/>
        <v/>
      </c>
      <c r="N473" s="95" t="str">
        <f t="shared" si="73"/>
        <v/>
      </c>
      <c r="O473" s="95" t="str">
        <f t="shared" si="74"/>
        <v/>
      </c>
    </row>
    <row r="474" spans="1:15" x14ac:dyDescent="0.25">
      <c r="A474" s="98" t="str">
        <f t="shared" ca="1" si="82"/>
        <v/>
      </c>
      <c r="B474" s="33" t="str">
        <f t="shared" ca="1" si="75"/>
        <v/>
      </c>
      <c r="C474" s="25" t="str">
        <f t="shared" ca="1" si="76"/>
        <v/>
      </c>
      <c r="D474" s="26" t="str">
        <f t="shared" ca="1" si="77"/>
        <v/>
      </c>
      <c r="E474" s="4" t="str">
        <f t="shared" ca="1" si="78"/>
        <v/>
      </c>
      <c r="F474" s="25" t="str">
        <f t="shared" ca="1" si="79"/>
        <v/>
      </c>
      <c r="G474" s="26" t="str">
        <f t="shared" ca="1" si="80"/>
        <v/>
      </c>
      <c r="H474" s="55" t="str">
        <f t="shared" ca="1" si="81"/>
        <v/>
      </c>
      <c r="N474" s="95" t="str">
        <f t="shared" si="73"/>
        <v/>
      </c>
      <c r="O474" s="95" t="str">
        <f t="shared" si="74"/>
        <v/>
      </c>
    </row>
    <row r="475" spans="1:15" x14ac:dyDescent="0.25">
      <c r="A475" s="98" t="str">
        <f t="shared" ca="1" si="82"/>
        <v/>
      </c>
      <c r="B475" s="33" t="str">
        <f t="shared" ca="1" si="75"/>
        <v/>
      </c>
      <c r="C475" s="25" t="str">
        <f t="shared" ca="1" si="76"/>
        <v/>
      </c>
      <c r="D475" s="26" t="str">
        <f t="shared" ca="1" si="77"/>
        <v/>
      </c>
      <c r="E475" s="4" t="str">
        <f t="shared" ca="1" si="78"/>
        <v/>
      </c>
      <c r="F475" s="25" t="str">
        <f t="shared" ca="1" si="79"/>
        <v/>
      </c>
      <c r="G475" s="26" t="str">
        <f t="shared" ca="1" si="80"/>
        <v/>
      </c>
      <c r="H475" s="55" t="str">
        <f t="shared" ca="1" si="81"/>
        <v/>
      </c>
      <c r="N475" s="95" t="str">
        <f t="shared" si="73"/>
        <v/>
      </c>
      <c r="O475" s="95" t="str">
        <f t="shared" si="74"/>
        <v/>
      </c>
    </row>
    <row r="476" spans="1:15" x14ac:dyDescent="0.25">
      <c r="A476" s="98" t="str">
        <f t="shared" ca="1" si="82"/>
        <v/>
      </c>
      <c r="B476" s="33" t="str">
        <f t="shared" ca="1" si="75"/>
        <v/>
      </c>
      <c r="C476" s="25" t="str">
        <f t="shared" ca="1" si="76"/>
        <v/>
      </c>
      <c r="D476" s="26" t="str">
        <f t="shared" ca="1" si="77"/>
        <v/>
      </c>
      <c r="E476" s="4" t="str">
        <f t="shared" ca="1" si="78"/>
        <v/>
      </c>
      <c r="F476" s="25" t="str">
        <f t="shared" ca="1" si="79"/>
        <v/>
      </c>
      <c r="G476" s="26" t="str">
        <f t="shared" ca="1" si="80"/>
        <v/>
      </c>
      <c r="H476" s="55" t="str">
        <f t="shared" ca="1" si="81"/>
        <v/>
      </c>
      <c r="N476" s="95" t="str">
        <f t="shared" si="73"/>
        <v/>
      </c>
      <c r="O476" s="95" t="str">
        <f t="shared" si="74"/>
        <v/>
      </c>
    </row>
    <row r="477" spans="1:15" x14ac:dyDescent="0.25">
      <c r="A477" s="98" t="str">
        <f t="shared" ca="1" si="82"/>
        <v/>
      </c>
      <c r="B477" s="33" t="str">
        <f t="shared" ca="1" si="75"/>
        <v/>
      </c>
      <c r="C477" s="25" t="str">
        <f t="shared" ca="1" si="76"/>
        <v/>
      </c>
      <c r="D477" s="26" t="str">
        <f t="shared" ca="1" si="77"/>
        <v/>
      </c>
      <c r="E477" s="4" t="str">
        <f t="shared" ca="1" si="78"/>
        <v/>
      </c>
      <c r="F477" s="25" t="str">
        <f t="shared" ca="1" si="79"/>
        <v/>
      </c>
      <c r="G477" s="26" t="str">
        <f t="shared" ca="1" si="80"/>
        <v/>
      </c>
      <c r="H477" s="55" t="str">
        <f t="shared" ca="1" si="81"/>
        <v/>
      </c>
      <c r="N477" s="95" t="str">
        <f t="shared" si="73"/>
        <v/>
      </c>
      <c r="O477" s="95" t="str">
        <f t="shared" si="74"/>
        <v/>
      </c>
    </row>
    <row r="478" spans="1:15" x14ac:dyDescent="0.25">
      <c r="A478" s="98" t="str">
        <f t="shared" ca="1" si="82"/>
        <v/>
      </c>
      <c r="B478" s="33" t="str">
        <f t="shared" ca="1" si="75"/>
        <v/>
      </c>
      <c r="C478" s="25" t="str">
        <f t="shared" ca="1" si="76"/>
        <v/>
      </c>
      <c r="D478" s="26" t="str">
        <f t="shared" ca="1" si="77"/>
        <v/>
      </c>
      <c r="E478" s="4" t="str">
        <f t="shared" ca="1" si="78"/>
        <v/>
      </c>
      <c r="F478" s="25" t="str">
        <f t="shared" ca="1" si="79"/>
        <v/>
      </c>
      <c r="G478" s="26" t="str">
        <f t="shared" ca="1" si="80"/>
        <v/>
      </c>
      <c r="H478" s="55" t="str">
        <f t="shared" ca="1" si="81"/>
        <v/>
      </c>
      <c r="N478" s="95" t="str">
        <f t="shared" si="73"/>
        <v/>
      </c>
      <c r="O478" s="95" t="str">
        <f t="shared" si="74"/>
        <v/>
      </c>
    </row>
    <row r="479" spans="1:15" x14ac:dyDescent="0.25">
      <c r="A479" s="98" t="str">
        <f t="shared" ca="1" si="82"/>
        <v/>
      </c>
      <c r="B479" s="33" t="str">
        <f t="shared" ca="1" si="75"/>
        <v/>
      </c>
      <c r="C479" s="25" t="str">
        <f t="shared" ca="1" si="76"/>
        <v/>
      </c>
      <c r="D479" s="26" t="str">
        <f t="shared" ca="1" si="77"/>
        <v/>
      </c>
      <c r="E479" s="4" t="str">
        <f t="shared" ca="1" si="78"/>
        <v/>
      </c>
      <c r="F479" s="25" t="str">
        <f t="shared" ca="1" si="79"/>
        <v/>
      </c>
      <c r="G479" s="26" t="str">
        <f t="shared" ca="1" si="80"/>
        <v/>
      </c>
      <c r="H479" s="55" t="str">
        <f t="shared" ca="1" si="81"/>
        <v/>
      </c>
      <c r="N479" s="95" t="str">
        <f t="shared" si="73"/>
        <v/>
      </c>
      <c r="O479" s="95" t="str">
        <f t="shared" si="74"/>
        <v/>
      </c>
    </row>
    <row r="480" spans="1:15" x14ac:dyDescent="0.25">
      <c r="A480" s="98" t="str">
        <f t="shared" ca="1" si="82"/>
        <v/>
      </c>
      <c r="B480" s="33" t="str">
        <f t="shared" ca="1" si="75"/>
        <v/>
      </c>
      <c r="C480" s="25" t="str">
        <f t="shared" ca="1" si="76"/>
        <v/>
      </c>
      <c r="D480" s="26" t="str">
        <f t="shared" ca="1" si="77"/>
        <v/>
      </c>
      <c r="E480" s="4" t="str">
        <f t="shared" ca="1" si="78"/>
        <v/>
      </c>
      <c r="F480" s="25" t="str">
        <f t="shared" ca="1" si="79"/>
        <v/>
      </c>
      <c r="G480" s="26" t="str">
        <f t="shared" ca="1" si="80"/>
        <v/>
      </c>
      <c r="H480" s="55" t="str">
        <f t="shared" ca="1" si="81"/>
        <v/>
      </c>
      <c r="N480" s="95" t="str">
        <f t="shared" si="73"/>
        <v/>
      </c>
      <c r="O480" s="95" t="str">
        <f t="shared" si="74"/>
        <v/>
      </c>
    </row>
    <row r="481" spans="1:15" x14ac:dyDescent="0.25">
      <c r="A481" s="98" t="str">
        <f t="shared" ca="1" si="82"/>
        <v/>
      </c>
      <c r="B481" s="33" t="str">
        <f t="shared" ca="1" si="75"/>
        <v/>
      </c>
      <c r="C481" s="25" t="str">
        <f t="shared" ca="1" si="76"/>
        <v/>
      </c>
      <c r="D481" s="26" t="str">
        <f t="shared" ca="1" si="77"/>
        <v/>
      </c>
      <c r="E481" s="4" t="str">
        <f t="shared" ca="1" si="78"/>
        <v/>
      </c>
      <c r="F481" s="25" t="str">
        <f t="shared" ca="1" si="79"/>
        <v/>
      </c>
      <c r="G481" s="26" t="str">
        <f t="shared" ca="1" si="80"/>
        <v/>
      </c>
      <c r="H481" s="55" t="str">
        <f t="shared" ca="1" si="81"/>
        <v/>
      </c>
      <c r="N481" s="95" t="str">
        <f t="shared" si="73"/>
        <v/>
      </c>
      <c r="O481" s="95" t="str">
        <f t="shared" si="74"/>
        <v/>
      </c>
    </row>
    <row r="482" spans="1:15" x14ac:dyDescent="0.25">
      <c r="A482" s="98" t="str">
        <f t="shared" ca="1" si="82"/>
        <v/>
      </c>
      <c r="B482" s="33" t="str">
        <f t="shared" ca="1" si="75"/>
        <v/>
      </c>
      <c r="C482" s="25" t="str">
        <f t="shared" ca="1" si="76"/>
        <v/>
      </c>
      <c r="D482" s="26" t="str">
        <f t="shared" ca="1" si="77"/>
        <v/>
      </c>
      <c r="E482" s="4" t="str">
        <f t="shared" ca="1" si="78"/>
        <v/>
      </c>
      <c r="F482" s="25" t="str">
        <f t="shared" ca="1" si="79"/>
        <v/>
      </c>
      <c r="G482" s="26" t="str">
        <f t="shared" ca="1" si="80"/>
        <v/>
      </c>
      <c r="H482" s="55" t="str">
        <f t="shared" ca="1" si="81"/>
        <v/>
      </c>
      <c r="N482" s="95" t="str">
        <f t="shared" si="73"/>
        <v/>
      </c>
      <c r="O482" s="95" t="str">
        <f t="shared" si="74"/>
        <v/>
      </c>
    </row>
    <row r="483" spans="1:15" x14ac:dyDescent="0.25">
      <c r="A483" s="98" t="str">
        <f t="shared" ca="1" si="82"/>
        <v/>
      </c>
      <c r="B483" s="33" t="str">
        <f t="shared" ca="1" si="75"/>
        <v/>
      </c>
      <c r="C483" s="25" t="str">
        <f t="shared" ca="1" si="76"/>
        <v/>
      </c>
      <c r="D483" s="26" t="str">
        <f t="shared" ca="1" si="77"/>
        <v/>
      </c>
      <c r="E483" s="4" t="str">
        <f t="shared" ca="1" si="78"/>
        <v/>
      </c>
      <c r="F483" s="25" t="str">
        <f t="shared" ca="1" si="79"/>
        <v/>
      </c>
      <c r="G483" s="26" t="str">
        <f t="shared" ca="1" si="80"/>
        <v/>
      </c>
      <c r="H483" s="55" t="str">
        <f t="shared" ca="1" si="81"/>
        <v/>
      </c>
      <c r="N483" s="95" t="str">
        <f t="shared" si="73"/>
        <v/>
      </c>
      <c r="O483" s="95" t="str">
        <f t="shared" si="74"/>
        <v/>
      </c>
    </row>
    <row r="484" spans="1:15" x14ac:dyDescent="0.25">
      <c r="A484" s="98" t="str">
        <f t="shared" ca="1" si="82"/>
        <v/>
      </c>
      <c r="B484" s="33" t="str">
        <f t="shared" ca="1" si="75"/>
        <v/>
      </c>
      <c r="C484" s="25" t="str">
        <f t="shared" ca="1" si="76"/>
        <v/>
      </c>
      <c r="D484" s="26" t="str">
        <f t="shared" ca="1" si="77"/>
        <v/>
      </c>
      <c r="E484" s="4" t="str">
        <f t="shared" ca="1" si="78"/>
        <v/>
      </c>
      <c r="F484" s="25" t="str">
        <f t="shared" ca="1" si="79"/>
        <v/>
      </c>
      <c r="G484" s="26" t="str">
        <f t="shared" ca="1" si="80"/>
        <v/>
      </c>
      <c r="H484" s="55" t="str">
        <f t="shared" ca="1" si="81"/>
        <v/>
      </c>
      <c r="N484" s="95" t="str">
        <f t="shared" si="73"/>
        <v/>
      </c>
      <c r="O484" s="95" t="str">
        <f t="shared" si="74"/>
        <v/>
      </c>
    </row>
    <row r="485" spans="1:15" x14ac:dyDescent="0.25">
      <c r="A485" s="98" t="str">
        <f t="shared" ca="1" si="82"/>
        <v/>
      </c>
      <c r="B485" s="33" t="str">
        <f t="shared" ca="1" si="75"/>
        <v/>
      </c>
      <c r="C485" s="25" t="str">
        <f t="shared" ca="1" si="76"/>
        <v/>
      </c>
      <c r="D485" s="26" t="str">
        <f t="shared" ca="1" si="77"/>
        <v/>
      </c>
      <c r="E485" s="4" t="str">
        <f t="shared" ca="1" si="78"/>
        <v/>
      </c>
      <c r="F485" s="25" t="str">
        <f t="shared" ca="1" si="79"/>
        <v/>
      </c>
      <c r="G485" s="26" t="str">
        <f t="shared" ca="1" si="80"/>
        <v/>
      </c>
      <c r="H485" s="55" t="str">
        <f t="shared" ca="1" si="81"/>
        <v/>
      </c>
      <c r="N485" s="95" t="str">
        <f t="shared" si="73"/>
        <v/>
      </c>
      <c r="O485" s="95" t="str">
        <f t="shared" si="74"/>
        <v/>
      </c>
    </row>
    <row r="486" spans="1:15" x14ac:dyDescent="0.25">
      <c r="A486" s="98" t="str">
        <f t="shared" ca="1" si="82"/>
        <v/>
      </c>
      <c r="B486" s="33" t="str">
        <f t="shared" ca="1" si="75"/>
        <v/>
      </c>
      <c r="C486" s="25" t="str">
        <f t="shared" ca="1" si="76"/>
        <v/>
      </c>
      <c r="D486" s="26" t="str">
        <f t="shared" ca="1" si="77"/>
        <v/>
      </c>
      <c r="E486" s="4" t="str">
        <f t="shared" ca="1" si="78"/>
        <v/>
      </c>
      <c r="F486" s="25" t="str">
        <f t="shared" ca="1" si="79"/>
        <v/>
      </c>
      <c r="G486" s="26" t="str">
        <f t="shared" ca="1" si="80"/>
        <v/>
      </c>
      <c r="H486" s="55" t="str">
        <f t="shared" ca="1" si="81"/>
        <v/>
      </c>
      <c r="N486" s="95" t="str">
        <f t="shared" si="73"/>
        <v/>
      </c>
      <c r="O486" s="95" t="str">
        <f t="shared" si="74"/>
        <v/>
      </c>
    </row>
    <row r="487" spans="1:15" x14ac:dyDescent="0.25">
      <c r="A487" s="98" t="str">
        <f t="shared" ca="1" si="82"/>
        <v/>
      </c>
      <c r="B487" s="33" t="str">
        <f t="shared" ca="1" si="75"/>
        <v/>
      </c>
      <c r="C487" s="25" t="str">
        <f t="shared" ca="1" si="76"/>
        <v/>
      </c>
      <c r="D487" s="26" t="str">
        <f t="shared" ca="1" si="77"/>
        <v/>
      </c>
      <c r="E487" s="4" t="str">
        <f t="shared" ca="1" si="78"/>
        <v/>
      </c>
      <c r="F487" s="25" t="str">
        <f t="shared" ca="1" si="79"/>
        <v/>
      </c>
      <c r="G487" s="26" t="str">
        <f t="shared" ca="1" si="80"/>
        <v/>
      </c>
      <c r="H487" s="55" t="str">
        <f t="shared" ca="1" si="81"/>
        <v/>
      </c>
      <c r="N487" s="95" t="str">
        <f t="shared" si="73"/>
        <v/>
      </c>
      <c r="O487" s="95" t="str">
        <f t="shared" si="74"/>
        <v/>
      </c>
    </row>
    <row r="488" spans="1:15" x14ac:dyDescent="0.25">
      <c r="A488" s="98" t="str">
        <f t="shared" ca="1" si="82"/>
        <v/>
      </c>
      <c r="B488" s="33" t="str">
        <f t="shared" ca="1" si="75"/>
        <v/>
      </c>
      <c r="C488" s="25" t="str">
        <f t="shared" ca="1" si="76"/>
        <v/>
      </c>
      <c r="D488" s="26" t="str">
        <f t="shared" ca="1" si="77"/>
        <v/>
      </c>
      <c r="E488" s="4" t="str">
        <f t="shared" ca="1" si="78"/>
        <v/>
      </c>
      <c r="F488" s="25" t="str">
        <f t="shared" ca="1" si="79"/>
        <v/>
      </c>
      <c r="G488" s="26" t="str">
        <f t="shared" ca="1" si="80"/>
        <v/>
      </c>
      <c r="H488" s="55" t="str">
        <f t="shared" ca="1" si="81"/>
        <v/>
      </c>
      <c r="N488" s="95" t="str">
        <f t="shared" si="73"/>
        <v/>
      </c>
      <c r="O488" s="95" t="str">
        <f t="shared" si="74"/>
        <v/>
      </c>
    </row>
    <row r="489" spans="1:15" x14ac:dyDescent="0.25">
      <c r="A489" s="98" t="str">
        <f t="shared" ca="1" si="82"/>
        <v/>
      </c>
      <c r="B489" s="33" t="str">
        <f t="shared" ca="1" si="75"/>
        <v/>
      </c>
      <c r="C489" s="25" t="str">
        <f t="shared" ca="1" si="76"/>
        <v/>
      </c>
      <c r="D489" s="26" t="str">
        <f t="shared" ca="1" si="77"/>
        <v/>
      </c>
      <c r="E489" s="4" t="str">
        <f t="shared" ca="1" si="78"/>
        <v/>
      </c>
      <c r="F489" s="25" t="str">
        <f t="shared" ca="1" si="79"/>
        <v/>
      </c>
      <c r="G489" s="26" t="str">
        <f t="shared" ca="1" si="80"/>
        <v/>
      </c>
      <c r="H489" s="55" t="str">
        <f t="shared" ca="1" si="81"/>
        <v/>
      </c>
      <c r="N489" s="95" t="str">
        <f t="shared" si="73"/>
        <v/>
      </c>
      <c r="O489" s="95" t="str">
        <f t="shared" si="74"/>
        <v/>
      </c>
    </row>
    <row r="490" spans="1:15" x14ac:dyDescent="0.25">
      <c r="A490" s="98" t="str">
        <f t="shared" ca="1" si="82"/>
        <v/>
      </c>
      <c r="B490" s="33" t="str">
        <f t="shared" ca="1" si="75"/>
        <v/>
      </c>
      <c r="C490" s="25" t="str">
        <f t="shared" ca="1" si="76"/>
        <v/>
      </c>
      <c r="D490" s="26" t="str">
        <f t="shared" ca="1" si="77"/>
        <v/>
      </c>
      <c r="E490" s="4" t="str">
        <f t="shared" ca="1" si="78"/>
        <v/>
      </c>
      <c r="F490" s="25" t="str">
        <f t="shared" ca="1" si="79"/>
        <v/>
      </c>
      <c r="G490" s="26" t="str">
        <f t="shared" ca="1" si="80"/>
        <v/>
      </c>
      <c r="H490" s="55" t="str">
        <f t="shared" ca="1" si="81"/>
        <v/>
      </c>
      <c r="N490" s="95" t="str">
        <f t="shared" si="73"/>
        <v/>
      </c>
      <c r="O490" s="95" t="str">
        <f t="shared" si="74"/>
        <v/>
      </c>
    </row>
    <row r="491" spans="1:15" x14ac:dyDescent="0.25">
      <c r="A491" s="98" t="str">
        <f t="shared" ca="1" si="82"/>
        <v/>
      </c>
      <c r="B491" s="33" t="str">
        <f t="shared" ca="1" si="75"/>
        <v/>
      </c>
      <c r="C491" s="25" t="str">
        <f t="shared" ca="1" si="76"/>
        <v/>
      </c>
      <c r="D491" s="26" t="str">
        <f t="shared" ca="1" si="77"/>
        <v/>
      </c>
      <c r="E491" s="4" t="str">
        <f t="shared" ca="1" si="78"/>
        <v/>
      </c>
      <c r="F491" s="25" t="str">
        <f t="shared" ca="1" si="79"/>
        <v/>
      </c>
      <c r="G491" s="26" t="str">
        <f t="shared" ca="1" si="80"/>
        <v/>
      </c>
      <c r="H491" s="55" t="str">
        <f t="shared" ca="1" si="81"/>
        <v/>
      </c>
      <c r="N491" s="95" t="str">
        <f t="shared" si="73"/>
        <v/>
      </c>
      <c r="O491" s="95" t="str">
        <f t="shared" si="74"/>
        <v/>
      </c>
    </row>
    <row r="492" spans="1:15" x14ac:dyDescent="0.25">
      <c r="A492" s="98" t="str">
        <f t="shared" ca="1" si="82"/>
        <v/>
      </c>
      <c r="B492" s="33" t="str">
        <f t="shared" ca="1" si="75"/>
        <v/>
      </c>
      <c r="C492" s="25" t="str">
        <f t="shared" ca="1" si="76"/>
        <v/>
      </c>
      <c r="D492" s="26" t="str">
        <f t="shared" ca="1" si="77"/>
        <v/>
      </c>
      <c r="E492" s="4" t="str">
        <f t="shared" ca="1" si="78"/>
        <v/>
      </c>
      <c r="F492" s="25" t="str">
        <f t="shared" ca="1" si="79"/>
        <v/>
      </c>
      <c r="G492" s="26" t="str">
        <f t="shared" ca="1" si="80"/>
        <v/>
      </c>
      <c r="H492" s="55" t="str">
        <f t="shared" ca="1" si="81"/>
        <v/>
      </c>
      <c r="N492" s="95" t="str">
        <f t="shared" si="73"/>
        <v/>
      </c>
      <c r="O492" s="95" t="str">
        <f t="shared" si="74"/>
        <v/>
      </c>
    </row>
    <row r="493" spans="1:15" x14ac:dyDescent="0.25">
      <c r="A493" s="98" t="str">
        <f t="shared" ca="1" si="82"/>
        <v/>
      </c>
      <c r="B493" s="33" t="str">
        <f t="shared" ca="1" si="75"/>
        <v/>
      </c>
      <c r="C493" s="25" t="str">
        <f t="shared" ca="1" si="76"/>
        <v/>
      </c>
      <c r="D493" s="26" t="str">
        <f t="shared" ca="1" si="77"/>
        <v/>
      </c>
      <c r="E493" s="4" t="str">
        <f t="shared" ca="1" si="78"/>
        <v/>
      </c>
      <c r="F493" s="25" t="str">
        <f t="shared" ca="1" si="79"/>
        <v/>
      </c>
      <c r="G493" s="26" t="str">
        <f t="shared" ca="1" si="80"/>
        <v/>
      </c>
      <c r="H493" s="55" t="str">
        <f t="shared" ca="1" si="81"/>
        <v/>
      </c>
      <c r="N493" s="95" t="str">
        <f t="shared" si="73"/>
        <v/>
      </c>
      <c r="O493" s="95" t="str">
        <f t="shared" si="74"/>
        <v/>
      </c>
    </row>
    <row r="494" spans="1:15" x14ac:dyDescent="0.25">
      <c r="A494" s="98" t="str">
        <f t="shared" ca="1" si="82"/>
        <v/>
      </c>
      <c r="B494" s="33" t="str">
        <f t="shared" ca="1" si="75"/>
        <v/>
      </c>
      <c r="C494" s="25" t="str">
        <f t="shared" ca="1" si="76"/>
        <v/>
      </c>
      <c r="D494" s="26" t="str">
        <f t="shared" ca="1" si="77"/>
        <v/>
      </c>
      <c r="E494" s="4" t="str">
        <f t="shared" ca="1" si="78"/>
        <v/>
      </c>
      <c r="F494" s="25" t="str">
        <f t="shared" ca="1" si="79"/>
        <v/>
      </c>
      <c r="G494" s="26" t="str">
        <f t="shared" ca="1" si="80"/>
        <v/>
      </c>
      <c r="H494" s="55" t="str">
        <f t="shared" ca="1" si="81"/>
        <v/>
      </c>
      <c r="N494" s="95" t="str">
        <f t="shared" si="73"/>
        <v/>
      </c>
      <c r="O494" s="95" t="str">
        <f t="shared" si="74"/>
        <v/>
      </c>
    </row>
    <row r="495" spans="1:15" x14ac:dyDescent="0.25">
      <c r="A495" s="98" t="str">
        <f t="shared" ca="1" si="82"/>
        <v/>
      </c>
      <c r="B495" s="33" t="str">
        <f t="shared" ca="1" si="75"/>
        <v/>
      </c>
      <c r="C495" s="25" t="str">
        <f t="shared" ca="1" si="76"/>
        <v/>
      </c>
      <c r="D495" s="26" t="str">
        <f t="shared" ca="1" si="77"/>
        <v/>
      </c>
      <c r="E495" s="4" t="str">
        <f t="shared" ca="1" si="78"/>
        <v/>
      </c>
      <c r="F495" s="25" t="str">
        <f t="shared" ca="1" si="79"/>
        <v/>
      </c>
      <c r="G495" s="26" t="str">
        <f t="shared" ca="1" si="80"/>
        <v/>
      </c>
      <c r="H495" s="55" t="str">
        <f t="shared" ca="1" si="81"/>
        <v/>
      </c>
      <c r="N495" s="95" t="str">
        <f t="shared" si="73"/>
        <v/>
      </c>
      <c r="O495" s="95" t="str">
        <f t="shared" si="74"/>
        <v/>
      </c>
    </row>
    <row r="496" spans="1:15" x14ac:dyDescent="0.25">
      <c r="A496" s="98" t="str">
        <f t="shared" ca="1" si="82"/>
        <v/>
      </c>
      <c r="B496" s="33" t="str">
        <f t="shared" ca="1" si="75"/>
        <v/>
      </c>
      <c r="C496" s="25" t="str">
        <f t="shared" ca="1" si="76"/>
        <v/>
      </c>
      <c r="D496" s="26" t="str">
        <f t="shared" ca="1" si="77"/>
        <v/>
      </c>
      <c r="E496" s="4" t="str">
        <f t="shared" ca="1" si="78"/>
        <v/>
      </c>
      <c r="F496" s="25" t="str">
        <f t="shared" ca="1" si="79"/>
        <v/>
      </c>
      <c r="G496" s="26" t="str">
        <f t="shared" ca="1" si="80"/>
        <v/>
      </c>
      <c r="H496" s="55" t="str">
        <f t="shared" ca="1" si="81"/>
        <v/>
      </c>
      <c r="N496" s="95" t="str">
        <f t="shared" si="73"/>
        <v/>
      </c>
      <c r="O496" s="95" t="str">
        <f t="shared" si="74"/>
        <v/>
      </c>
    </row>
    <row r="497" spans="1:15" x14ac:dyDescent="0.25">
      <c r="A497" s="98" t="str">
        <f t="shared" ca="1" si="82"/>
        <v/>
      </c>
      <c r="B497" s="33" t="str">
        <f t="shared" ca="1" si="75"/>
        <v/>
      </c>
      <c r="C497" s="25" t="str">
        <f t="shared" ca="1" si="76"/>
        <v/>
      </c>
      <c r="D497" s="26" t="str">
        <f t="shared" ca="1" si="77"/>
        <v/>
      </c>
      <c r="E497" s="4" t="str">
        <f t="shared" ca="1" si="78"/>
        <v/>
      </c>
      <c r="F497" s="25" t="str">
        <f t="shared" ca="1" si="79"/>
        <v/>
      </c>
      <c r="G497" s="26" t="str">
        <f t="shared" ca="1" si="80"/>
        <v/>
      </c>
      <c r="H497" s="55" t="str">
        <f t="shared" ca="1" si="81"/>
        <v/>
      </c>
      <c r="N497" s="95" t="str">
        <f t="shared" si="73"/>
        <v/>
      </c>
      <c r="O497" s="95" t="str">
        <f t="shared" si="74"/>
        <v/>
      </c>
    </row>
    <row r="498" spans="1:15" x14ac:dyDescent="0.25">
      <c r="A498" s="98" t="str">
        <f t="shared" ca="1" si="82"/>
        <v/>
      </c>
      <c r="B498" s="33" t="str">
        <f t="shared" ca="1" si="75"/>
        <v/>
      </c>
      <c r="C498" s="25" t="str">
        <f t="shared" ca="1" si="76"/>
        <v/>
      </c>
      <c r="D498" s="26" t="str">
        <f t="shared" ca="1" si="77"/>
        <v/>
      </c>
      <c r="E498" s="4" t="str">
        <f t="shared" ca="1" si="78"/>
        <v/>
      </c>
      <c r="F498" s="25" t="str">
        <f t="shared" ca="1" si="79"/>
        <v/>
      </c>
      <c r="G498" s="26" t="str">
        <f t="shared" ca="1" si="80"/>
        <v/>
      </c>
      <c r="H498" s="55" t="str">
        <f t="shared" ca="1" si="81"/>
        <v/>
      </c>
      <c r="N498" s="95" t="str">
        <f t="shared" si="73"/>
        <v/>
      </c>
      <c r="O498" s="95" t="str">
        <f t="shared" si="74"/>
        <v/>
      </c>
    </row>
    <row r="499" spans="1:15" x14ac:dyDescent="0.25">
      <c r="A499" s="98" t="str">
        <f t="shared" ca="1" si="82"/>
        <v/>
      </c>
      <c r="B499" s="33" t="str">
        <f t="shared" ca="1" si="75"/>
        <v/>
      </c>
      <c r="C499" s="25" t="str">
        <f t="shared" ca="1" si="76"/>
        <v/>
      </c>
      <c r="D499" s="26" t="str">
        <f t="shared" ca="1" si="77"/>
        <v/>
      </c>
      <c r="E499" s="4" t="str">
        <f t="shared" ca="1" si="78"/>
        <v/>
      </c>
      <c r="F499" s="25" t="str">
        <f t="shared" ca="1" si="79"/>
        <v/>
      </c>
      <c r="G499" s="26" t="str">
        <f t="shared" ca="1" si="80"/>
        <v/>
      </c>
      <c r="H499" s="55" t="str">
        <f t="shared" ca="1" si="81"/>
        <v/>
      </c>
      <c r="N499" s="95" t="str">
        <f t="shared" si="73"/>
        <v/>
      </c>
      <c r="O499" s="95" t="str">
        <f t="shared" si="74"/>
        <v/>
      </c>
    </row>
    <row r="500" spans="1:15" x14ac:dyDescent="0.25">
      <c r="A500" s="98" t="str">
        <f t="shared" ca="1" si="82"/>
        <v/>
      </c>
      <c r="B500" s="33" t="str">
        <f t="shared" ca="1" si="75"/>
        <v/>
      </c>
      <c r="C500" s="25" t="str">
        <f t="shared" ca="1" si="76"/>
        <v/>
      </c>
      <c r="D500" s="26" t="str">
        <f t="shared" ca="1" si="77"/>
        <v/>
      </c>
      <c r="E500" s="4" t="str">
        <f t="shared" ca="1" si="78"/>
        <v/>
      </c>
      <c r="F500" s="25" t="str">
        <f t="shared" ca="1" si="79"/>
        <v/>
      </c>
      <c r="G500" s="26" t="str">
        <f t="shared" ca="1" si="80"/>
        <v/>
      </c>
      <c r="H500" s="55" t="str">
        <f t="shared" ca="1" si="81"/>
        <v/>
      </c>
      <c r="N500" s="95" t="str">
        <f t="shared" si="73"/>
        <v/>
      </c>
      <c r="O500" s="95" t="str">
        <f t="shared" si="74"/>
        <v/>
      </c>
    </row>
    <row r="501" spans="1:15" x14ac:dyDescent="0.25">
      <c r="A501" s="98" t="str">
        <f t="shared" ca="1" si="82"/>
        <v/>
      </c>
      <c r="B501" s="33" t="str">
        <f t="shared" ca="1" si="75"/>
        <v/>
      </c>
      <c r="C501" s="25" t="str">
        <f t="shared" ca="1" si="76"/>
        <v/>
      </c>
      <c r="D501" s="26" t="str">
        <f t="shared" ca="1" si="77"/>
        <v/>
      </c>
      <c r="E501" s="4" t="str">
        <f t="shared" ca="1" si="78"/>
        <v/>
      </c>
      <c r="F501" s="25" t="str">
        <f t="shared" ca="1" si="79"/>
        <v/>
      </c>
      <c r="G501" s="26" t="str">
        <f t="shared" ca="1" si="80"/>
        <v/>
      </c>
      <c r="H501" s="55" t="str">
        <f t="shared" ca="1" si="81"/>
        <v/>
      </c>
      <c r="N501" s="95" t="str">
        <f t="shared" si="73"/>
        <v/>
      </c>
      <c r="O501" s="95" t="str">
        <f t="shared" si="74"/>
        <v/>
      </c>
    </row>
    <row r="502" spans="1:15" x14ac:dyDescent="0.25">
      <c r="A502" s="98" t="str">
        <f t="shared" ca="1" si="82"/>
        <v/>
      </c>
      <c r="B502" s="33" t="str">
        <f t="shared" ca="1" si="75"/>
        <v/>
      </c>
      <c r="C502" s="25" t="str">
        <f t="shared" ca="1" si="76"/>
        <v/>
      </c>
      <c r="D502" s="26" t="str">
        <f t="shared" ca="1" si="77"/>
        <v/>
      </c>
      <c r="E502" s="4" t="str">
        <f t="shared" ca="1" si="78"/>
        <v/>
      </c>
      <c r="F502" s="25" t="str">
        <f t="shared" ca="1" si="79"/>
        <v/>
      </c>
      <c r="G502" s="26" t="str">
        <f t="shared" ca="1" si="80"/>
        <v/>
      </c>
      <c r="H502" s="55" t="str">
        <f t="shared" ca="1" si="81"/>
        <v/>
      </c>
      <c r="N502" s="95" t="str">
        <f t="shared" si="73"/>
        <v/>
      </c>
      <c r="O502" s="95" t="str">
        <f t="shared" si="74"/>
        <v/>
      </c>
    </row>
    <row r="503" spans="1:15" x14ac:dyDescent="0.25">
      <c r="A503" s="98" t="str">
        <f t="shared" ca="1" si="82"/>
        <v/>
      </c>
      <c r="B503" s="33" t="str">
        <f t="shared" ca="1" si="75"/>
        <v/>
      </c>
      <c r="C503" s="25" t="str">
        <f t="shared" ca="1" si="76"/>
        <v/>
      </c>
      <c r="D503" s="26" t="str">
        <f t="shared" ca="1" si="77"/>
        <v/>
      </c>
      <c r="E503" s="4" t="str">
        <f t="shared" ca="1" si="78"/>
        <v/>
      </c>
      <c r="F503" s="25" t="str">
        <f t="shared" ca="1" si="79"/>
        <v/>
      </c>
      <c r="G503" s="26" t="str">
        <f t="shared" ca="1" si="80"/>
        <v/>
      </c>
      <c r="H503" s="55" t="str">
        <f t="shared" ca="1" si="81"/>
        <v/>
      </c>
      <c r="N503" s="95" t="str">
        <f t="shared" si="73"/>
        <v/>
      </c>
      <c r="O503" s="95" t="str">
        <f t="shared" si="74"/>
        <v/>
      </c>
    </row>
    <row r="504" spans="1:15" x14ac:dyDescent="0.25">
      <c r="A504" s="98" t="str">
        <f t="shared" ca="1" si="82"/>
        <v/>
      </c>
      <c r="B504" s="33" t="str">
        <f t="shared" ca="1" si="75"/>
        <v/>
      </c>
      <c r="C504" s="25" t="str">
        <f t="shared" ca="1" si="76"/>
        <v/>
      </c>
      <c r="D504" s="26" t="str">
        <f t="shared" ca="1" si="77"/>
        <v/>
      </c>
      <c r="E504" s="4" t="str">
        <f t="shared" ca="1" si="78"/>
        <v/>
      </c>
      <c r="F504" s="25" t="str">
        <f t="shared" ca="1" si="79"/>
        <v/>
      </c>
      <c r="G504" s="26" t="str">
        <f t="shared" ca="1" si="80"/>
        <v/>
      </c>
      <c r="H504" s="55" t="str">
        <f t="shared" ca="1" si="81"/>
        <v/>
      </c>
      <c r="N504" s="95" t="str">
        <f t="shared" si="73"/>
        <v/>
      </c>
      <c r="O504" s="95" t="str">
        <f t="shared" si="74"/>
        <v/>
      </c>
    </row>
    <row r="505" spans="1:15" x14ac:dyDescent="0.25">
      <c r="A505" s="98" t="str">
        <f t="shared" ca="1" si="82"/>
        <v/>
      </c>
      <c r="B505" s="33" t="str">
        <f t="shared" ca="1" si="75"/>
        <v/>
      </c>
      <c r="C505" s="25" t="str">
        <f t="shared" ca="1" si="76"/>
        <v/>
      </c>
      <c r="D505" s="26" t="str">
        <f t="shared" ca="1" si="77"/>
        <v/>
      </c>
      <c r="E505" s="4" t="str">
        <f t="shared" ca="1" si="78"/>
        <v/>
      </c>
      <c r="F505" s="25" t="str">
        <f t="shared" ca="1" si="79"/>
        <v/>
      </c>
      <c r="G505" s="26" t="str">
        <f t="shared" ca="1" si="80"/>
        <v/>
      </c>
      <c r="H505" s="55" t="str">
        <f t="shared" ca="1" si="81"/>
        <v/>
      </c>
      <c r="N505" s="95" t="str">
        <f t="shared" si="73"/>
        <v/>
      </c>
      <c r="O505" s="95" t="str">
        <f t="shared" si="74"/>
        <v/>
      </c>
    </row>
    <row r="506" spans="1:15" x14ac:dyDescent="0.25">
      <c r="A506" s="98" t="str">
        <f t="shared" ca="1" si="82"/>
        <v/>
      </c>
      <c r="B506" s="33" t="str">
        <f t="shared" ca="1" si="75"/>
        <v/>
      </c>
      <c r="C506" s="25" t="str">
        <f t="shared" ca="1" si="76"/>
        <v/>
      </c>
      <c r="D506" s="26" t="str">
        <f t="shared" ca="1" si="77"/>
        <v/>
      </c>
      <c r="E506" s="4" t="str">
        <f t="shared" ca="1" si="78"/>
        <v/>
      </c>
      <c r="F506" s="25" t="str">
        <f t="shared" ca="1" si="79"/>
        <v/>
      </c>
      <c r="G506" s="26" t="str">
        <f t="shared" ca="1" si="80"/>
        <v/>
      </c>
      <c r="H506" s="55" t="str">
        <f t="shared" ca="1" si="81"/>
        <v/>
      </c>
      <c r="N506" s="95" t="str">
        <f t="shared" si="73"/>
        <v/>
      </c>
      <c r="O506" s="95" t="str">
        <f t="shared" si="74"/>
        <v/>
      </c>
    </row>
    <row r="507" spans="1:15" x14ac:dyDescent="0.25">
      <c r="A507" s="98" t="str">
        <f t="shared" ca="1" si="82"/>
        <v/>
      </c>
      <c r="B507" s="33" t="str">
        <f t="shared" ca="1" si="75"/>
        <v/>
      </c>
      <c r="C507" s="25" t="str">
        <f t="shared" ca="1" si="76"/>
        <v/>
      </c>
      <c r="D507" s="26" t="str">
        <f t="shared" ca="1" si="77"/>
        <v/>
      </c>
      <c r="E507" s="4" t="str">
        <f t="shared" ca="1" si="78"/>
        <v/>
      </c>
      <c r="F507" s="25" t="str">
        <f t="shared" ca="1" si="79"/>
        <v/>
      </c>
      <c r="G507" s="26" t="str">
        <f t="shared" ca="1" si="80"/>
        <v/>
      </c>
      <c r="H507" s="55" t="str">
        <f t="shared" ca="1" si="81"/>
        <v/>
      </c>
      <c r="N507" s="95" t="str">
        <f t="shared" si="73"/>
        <v/>
      </c>
      <c r="O507" s="95" t="str">
        <f t="shared" si="74"/>
        <v/>
      </c>
    </row>
    <row r="508" spans="1:15" x14ac:dyDescent="0.25">
      <c r="A508" s="98" t="str">
        <f t="shared" ca="1" si="82"/>
        <v/>
      </c>
      <c r="B508" s="33" t="str">
        <f t="shared" ca="1" si="75"/>
        <v/>
      </c>
      <c r="C508" s="25" t="str">
        <f t="shared" ca="1" si="76"/>
        <v/>
      </c>
      <c r="D508" s="26" t="str">
        <f t="shared" ca="1" si="77"/>
        <v/>
      </c>
      <c r="E508" s="4" t="str">
        <f t="shared" ca="1" si="78"/>
        <v/>
      </c>
      <c r="F508" s="25" t="str">
        <f t="shared" ca="1" si="79"/>
        <v/>
      </c>
      <c r="G508" s="26" t="str">
        <f t="shared" ca="1" si="80"/>
        <v/>
      </c>
      <c r="H508" s="55" t="str">
        <f t="shared" ca="1" si="81"/>
        <v/>
      </c>
      <c r="N508" s="95" t="str">
        <f t="shared" si="73"/>
        <v/>
      </c>
      <c r="O508" s="95" t="str">
        <f t="shared" si="74"/>
        <v/>
      </c>
    </row>
    <row r="509" spans="1:15" x14ac:dyDescent="0.25">
      <c r="A509" s="98" t="str">
        <f t="shared" ca="1" si="82"/>
        <v/>
      </c>
      <c r="B509" s="33" t="str">
        <f t="shared" ca="1" si="75"/>
        <v/>
      </c>
      <c r="C509" s="25" t="str">
        <f t="shared" ca="1" si="76"/>
        <v/>
      </c>
      <c r="D509" s="26" t="str">
        <f t="shared" ca="1" si="77"/>
        <v/>
      </c>
      <c r="E509" s="4" t="str">
        <f t="shared" ca="1" si="78"/>
        <v/>
      </c>
      <c r="F509" s="25" t="str">
        <f t="shared" ca="1" si="79"/>
        <v/>
      </c>
      <c r="G509" s="26" t="str">
        <f t="shared" ca="1" si="80"/>
        <v/>
      </c>
      <c r="H509" s="55" t="str">
        <f t="shared" ca="1" si="81"/>
        <v/>
      </c>
      <c r="N509" s="95" t="str">
        <f t="shared" si="73"/>
        <v/>
      </c>
      <c r="O509" s="95" t="str">
        <f t="shared" si="74"/>
        <v/>
      </c>
    </row>
    <row r="510" spans="1:15" x14ac:dyDescent="0.25">
      <c r="A510" s="98" t="str">
        <f t="shared" ca="1" si="82"/>
        <v/>
      </c>
      <c r="B510" s="33" t="str">
        <f t="shared" ca="1" si="75"/>
        <v/>
      </c>
      <c r="C510" s="25" t="str">
        <f t="shared" ca="1" si="76"/>
        <v/>
      </c>
      <c r="D510" s="26" t="str">
        <f t="shared" ca="1" si="77"/>
        <v/>
      </c>
      <c r="E510" s="4" t="str">
        <f t="shared" ca="1" si="78"/>
        <v/>
      </c>
      <c r="F510" s="25" t="str">
        <f t="shared" ca="1" si="79"/>
        <v/>
      </c>
      <c r="G510" s="26" t="str">
        <f t="shared" ca="1" si="80"/>
        <v/>
      </c>
      <c r="H510" s="55" t="str">
        <f t="shared" ca="1" si="81"/>
        <v/>
      </c>
      <c r="N510" s="95" t="str">
        <f t="shared" si="73"/>
        <v/>
      </c>
      <c r="O510" s="95" t="str">
        <f t="shared" si="74"/>
        <v/>
      </c>
    </row>
    <row r="511" spans="1:15" x14ac:dyDescent="0.25">
      <c r="A511" s="98" t="str">
        <f t="shared" ca="1" si="82"/>
        <v/>
      </c>
      <c r="B511" s="33" t="str">
        <f t="shared" ca="1" si="75"/>
        <v/>
      </c>
      <c r="C511" s="25" t="str">
        <f t="shared" ca="1" si="76"/>
        <v/>
      </c>
      <c r="D511" s="26" t="str">
        <f t="shared" ca="1" si="77"/>
        <v/>
      </c>
      <c r="E511" s="4" t="str">
        <f t="shared" ca="1" si="78"/>
        <v/>
      </c>
      <c r="F511" s="25" t="str">
        <f t="shared" ca="1" si="79"/>
        <v/>
      </c>
      <c r="G511" s="26" t="str">
        <f t="shared" ca="1" si="80"/>
        <v/>
      </c>
      <c r="H511" s="55" t="str">
        <f t="shared" ca="1" si="81"/>
        <v/>
      </c>
      <c r="N511" s="95" t="str">
        <f t="shared" si="73"/>
        <v/>
      </c>
      <c r="O511" s="95" t="str">
        <f t="shared" si="74"/>
        <v/>
      </c>
    </row>
    <row r="512" spans="1:15" x14ac:dyDescent="0.25">
      <c r="A512" s="98" t="str">
        <f t="shared" ca="1" si="82"/>
        <v/>
      </c>
      <c r="B512" s="33" t="str">
        <f t="shared" ca="1" si="75"/>
        <v/>
      </c>
      <c r="C512" s="25" t="str">
        <f t="shared" ca="1" si="76"/>
        <v/>
      </c>
      <c r="D512" s="26" t="str">
        <f t="shared" ca="1" si="77"/>
        <v/>
      </c>
      <c r="E512" s="4" t="str">
        <f t="shared" ca="1" si="78"/>
        <v/>
      </c>
      <c r="F512" s="25" t="str">
        <f t="shared" ca="1" si="79"/>
        <v/>
      </c>
      <c r="G512" s="26" t="str">
        <f t="shared" ca="1" si="80"/>
        <v/>
      </c>
      <c r="H512" s="55" t="str">
        <f t="shared" ca="1" si="81"/>
        <v/>
      </c>
      <c r="N512" s="95" t="str">
        <f t="shared" si="73"/>
        <v/>
      </c>
      <c r="O512" s="95" t="str">
        <f t="shared" si="74"/>
        <v/>
      </c>
    </row>
    <row r="513" spans="1:15" x14ac:dyDescent="0.25">
      <c r="A513" s="98" t="str">
        <f t="shared" ca="1" si="82"/>
        <v/>
      </c>
      <c r="B513" s="33" t="str">
        <f t="shared" ca="1" si="75"/>
        <v/>
      </c>
      <c r="C513" s="25" t="str">
        <f t="shared" ca="1" si="76"/>
        <v/>
      </c>
      <c r="D513" s="26" t="str">
        <f t="shared" ca="1" si="77"/>
        <v/>
      </c>
      <c r="E513" s="4" t="str">
        <f t="shared" ca="1" si="78"/>
        <v/>
      </c>
      <c r="F513" s="25" t="str">
        <f t="shared" ca="1" si="79"/>
        <v/>
      </c>
      <c r="G513" s="26" t="str">
        <f t="shared" ca="1" si="80"/>
        <v/>
      </c>
      <c r="H513" s="55" t="str">
        <f t="shared" ca="1" si="81"/>
        <v/>
      </c>
      <c r="N513" s="95" t="str">
        <f t="shared" si="73"/>
        <v/>
      </c>
      <c r="O513" s="95" t="str">
        <f t="shared" si="74"/>
        <v/>
      </c>
    </row>
    <row r="514" spans="1:15" x14ac:dyDescent="0.25">
      <c r="A514" s="98" t="str">
        <f t="shared" ca="1" si="82"/>
        <v/>
      </c>
      <c r="B514" s="33" t="str">
        <f t="shared" ca="1" si="75"/>
        <v/>
      </c>
      <c r="C514" s="25" t="str">
        <f t="shared" ca="1" si="76"/>
        <v/>
      </c>
      <c r="D514" s="26" t="str">
        <f t="shared" ca="1" si="77"/>
        <v/>
      </c>
      <c r="E514" s="4" t="str">
        <f t="shared" ca="1" si="78"/>
        <v/>
      </c>
      <c r="F514" s="25" t="str">
        <f t="shared" ca="1" si="79"/>
        <v/>
      </c>
      <c r="G514" s="26" t="str">
        <f t="shared" ca="1" si="80"/>
        <v/>
      </c>
      <c r="H514" s="55" t="str">
        <f t="shared" ca="1" si="81"/>
        <v/>
      </c>
      <c r="N514" s="95" t="str">
        <f t="shared" si="73"/>
        <v/>
      </c>
      <c r="O514" s="95" t="str">
        <f t="shared" si="74"/>
        <v/>
      </c>
    </row>
    <row r="515" spans="1:15" x14ac:dyDescent="0.25">
      <c r="A515" s="98" t="str">
        <f t="shared" ca="1" si="82"/>
        <v/>
      </c>
      <c r="B515" s="33" t="str">
        <f t="shared" ca="1" si="75"/>
        <v/>
      </c>
      <c r="C515" s="25" t="str">
        <f t="shared" ca="1" si="76"/>
        <v/>
      </c>
      <c r="D515" s="26" t="str">
        <f t="shared" ca="1" si="77"/>
        <v/>
      </c>
      <c r="E515" s="4" t="str">
        <f t="shared" ca="1" si="78"/>
        <v/>
      </c>
      <c r="F515" s="25" t="str">
        <f t="shared" ca="1" si="79"/>
        <v/>
      </c>
      <c r="G515" s="26" t="str">
        <f t="shared" ca="1" si="80"/>
        <v/>
      </c>
      <c r="H515" s="55" t="str">
        <f t="shared" ca="1" si="81"/>
        <v/>
      </c>
      <c r="N515" s="95" t="str">
        <f t="shared" si="73"/>
        <v/>
      </c>
      <c r="O515" s="95" t="str">
        <f t="shared" si="74"/>
        <v/>
      </c>
    </row>
    <row r="516" spans="1:15" x14ac:dyDescent="0.25">
      <c r="A516" s="98" t="str">
        <f t="shared" ca="1" si="82"/>
        <v/>
      </c>
      <c r="B516" s="33" t="str">
        <f t="shared" ca="1" si="75"/>
        <v/>
      </c>
      <c r="C516" s="25" t="str">
        <f t="shared" ca="1" si="76"/>
        <v/>
      </c>
      <c r="D516" s="26" t="str">
        <f t="shared" ca="1" si="77"/>
        <v/>
      </c>
      <c r="E516" s="4" t="str">
        <f t="shared" ca="1" si="78"/>
        <v/>
      </c>
      <c r="F516" s="25" t="str">
        <f t="shared" ca="1" si="79"/>
        <v/>
      </c>
      <c r="G516" s="26" t="str">
        <f t="shared" ca="1" si="80"/>
        <v/>
      </c>
      <c r="H516" s="55" t="str">
        <f t="shared" ca="1" si="81"/>
        <v/>
      </c>
      <c r="N516" s="95" t="str">
        <f t="shared" ref="N516:N579" si="83">IF(COUNTIF(L:L,J516)=1,J516,"")</f>
        <v/>
      </c>
      <c r="O516" s="95" t="str">
        <f t="shared" ref="O516:O579" si="84">IF(N516&gt;$A$14,N516,"")</f>
        <v/>
      </c>
    </row>
    <row r="517" spans="1:15" x14ac:dyDescent="0.25">
      <c r="A517" s="98" t="str">
        <f t="shared" ca="1" si="82"/>
        <v/>
      </c>
      <c r="B517" s="33" t="str">
        <f t="shared" ca="1" si="75"/>
        <v/>
      </c>
      <c r="C517" s="25" t="str">
        <f t="shared" ca="1" si="76"/>
        <v/>
      </c>
      <c r="D517" s="26" t="str">
        <f t="shared" ca="1" si="77"/>
        <v/>
      </c>
      <c r="E517" s="4" t="str">
        <f t="shared" ca="1" si="78"/>
        <v/>
      </c>
      <c r="F517" s="25" t="str">
        <f t="shared" ca="1" si="79"/>
        <v/>
      </c>
      <c r="G517" s="26" t="str">
        <f t="shared" ca="1" si="80"/>
        <v/>
      </c>
      <c r="H517" s="55" t="str">
        <f t="shared" ca="1" si="81"/>
        <v/>
      </c>
      <c r="N517" s="95" t="str">
        <f t="shared" si="83"/>
        <v/>
      </c>
      <c r="O517" s="95" t="str">
        <f t="shared" si="84"/>
        <v/>
      </c>
    </row>
    <row r="518" spans="1:15" x14ac:dyDescent="0.25">
      <c r="A518" s="98" t="str">
        <f t="shared" ca="1" si="82"/>
        <v/>
      </c>
      <c r="B518" s="33" t="str">
        <f t="shared" ca="1" si="75"/>
        <v/>
      </c>
      <c r="C518" s="25" t="str">
        <f t="shared" ca="1" si="76"/>
        <v/>
      </c>
      <c r="D518" s="26" t="str">
        <f t="shared" ca="1" si="77"/>
        <v/>
      </c>
      <c r="E518" s="4" t="str">
        <f t="shared" ca="1" si="78"/>
        <v/>
      </c>
      <c r="F518" s="25" t="str">
        <f t="shared" ca="1" si="79"/>
        <v/>
      </c>
      <c r="G518" s="26" t="str">
        <f t="shared" ca="1" si="80"/>
        <v/>
      </c>
      <c r="H518" s="55" t="str">
        <f t="shared" ca="1" si="81"/>
        <v/>
      </c>
      <c r="N518" s="95" t="str">
        <f t="shared" si="83"/>
        <v/>
      </c>
      <c r="O518" s="95" t="str">
        <f t="shared" si="84"/>
        <v/>
      </c>
    </row>
    <row r="519" spans="1:15" x14ac:dyDescent="0.25">
      <c r="A519" s="98" t="str">
        <f t="shared" ca="1" si="82"/>
        <v/>
      </c>
      <c r="B519" s="33" t="str">
        <f t="shared" ca="1" si="75"/>
        <v/>
      </c>
      <c r="C519" s="25" t="str">
        <f t="shared" ca="1" si="76"/>
        <v/>
      </c>
      <c r="D519" s="26" t="str">
        <f t="shared" ca="1" si="77"/>
        <v/>
      </c>
      <c r="E519" s="4" t="str">
        <f t="shared" ca="1" si="78"/>
        <v/>
      </c>
      <c r="F519" s="25" t="str">
        <f t="shared" ca="1" si="79"/>
        <v/>
      </c>
      <c r="G519" s="26" t="str">
        <f t="shared" ca="1" si="80"/>
        <v/>
      </c>
      <c r="H519" s="55" t="str">
        <f t="shared" ca="1" si="81"/>
        <v/>
      </c>
      <c r="N519" s="95" t="str">
        <f t="shared" si="83"/>
        <v/>
      </c>
      <c r="O519" s="95" t="str">
        <f t="shared" si="84"/>
        <v/>
      </c>
    </row>
    <row r="520" spans="1:15" x14ac:dyDescent="0.25">
      <c r="A520" s="98" t="str">
        <f t="shared" ca="1" si="82"/>
        <v/>
      </c>
      <c r="B520" s="33" t="str">
        <f t="shared" ca="1" si="75"/>
        <v/>
      </c>
      <c r="C520" s="25" t="str">
        <f t="shared" ca="1" si="76"/>
        <v/>
      </c>
      <c r="D520" s="26" t="str">
        <f t="shared" ca="1" si="77"/>
        <v/>
      </c>
      <c r="E520" s="4" t="str">
        <f t="shared" ca="1" si="78"/>
        <v/>
      </c>
      <c r="F520" s="25" t="str">
        <f t="shared" ca="1" si="79"/>
        <v/>
      </c>
      <c r="G520" s="26" t="str">
        <f t="shared" ca="1" si="80"/>
        <v/>
      </c>
      <c r="H520" s="55" t="str">
        <f t="shared" ca="1" si="81"/>
        <v/>
      </c>
      <c r="N520" s="95" t="str">
        <f t="shared" si="83"/>
        <v/>
      </c>
      <c r="O520" s="95" t="str">
        <f t="shared" si="84"/>
        <v/>
      </c>
    </row>
    <row r="521" spans="1:15" x14ac:dyDescent="0.25">
      <c r="A521" s="98" t="str">
        <f t="shared" ca="1" si="82"/>
        <v/>
      </c>
      <c r="B521" s="33" t="str">
        <f t="shared" ca="1" si="75"/>
        <v/>
      </c>
      <c r="C521" s="25" t="str">
        <f t="shared" ca="1" si="76"/>
        <v/>
      </c>
      <c r="D521" s="26" t="str">
        <f t="shared" ca="1" si="77"/>
        <v/>
      </c>
      <c r="E521" s="4" t="str">
        <f t="shared" ca="1" si="78"/>
        <v/>
      </c>
      <c r="F521" s="25" t="str">
        <f t="shared" ca="1" si="79"/>
        <v/>
      </c>
      <c r="G521" s="26" t="str">
        <f t="shared" ca="1" si="80"/>
        <v/>
      </c>
      <c r="H521" s="55" t="str">
        <f t="shared" ca="1" si="81"/>
        <v/>
      </c>
      <c r="N521" s="95" t="str">
        <f t="shared" si="83"/>
        <v/>
      </c>
      <c r="O521" s="95" t="str">
        <f t="shared" si="84"/>
        <v/>
      </c>
    </row>
    <row r="522" spans="1:15" x14ac:dyDescent="0.25">
      <c r="A522" s="98" t="str">
        <f t="shared" ca="1" si="82"/>
        <v/>
      </c>
      <c r="B522" s="33" t="str">
        <f t="shared" ref="B522:B574" ca="1" si="85">IF(COUNTIF(J:J,A522)=1,VLOOKUP(A522,J:K,2), IF(COUNTIF(J:J,A522)=0,$B$10,""))</f>
        <v/>
      </c>
      <c r="C522" s="25" t="str">
        <f t="shared" ref="C522:C574" ca="1" si="86">IF(ISERROR(B522-2),"",(B522-$B$14)/100*$B$5)</f>
        <v/>
      </c>
      <c r="D522" s="26" t="str">
        <f t="shared" ref="D522:D574" ca="1" si="87">IF(ISERROR(B522-2),"",(INT(A522)-INT($A$14))/360*$B$6*$B$5-(INT(A522)-INT($A$14))/360*$B$7*$B$5*$B$14/100)</f>
        <v/>
      </c>
      <c r="E522" s="4" t="str">
        <f t="shared" ref="E522:E574" ca="1" si="88">IF(COUNTIF(L:L,A522)=1,VLOOKUP(A522,L:M,2), IF(COUNTIF(L:L,A522)=0,$C$10,""))</f>
        <v/>
      </c>
      <c r="F522" s="25" t="str">
        <f t="shared" ref="F522:F574" ca="1" si="89">IF(ISERROR(E522-2), "", (E522-$E$14)/100*$C$5)</f>
        <v/>
      </c>
      <c r="G522" s="26" t="str">
        <f t="shared" ref="G522:G574" ca="1" si="90">IF(ISERROR(E522-2),"",(INT(A522)-INT($A$14))/360*$C$6*$C$5-(INT(A522)-INT($A$14))/360*$C$7*$C$5*$E$14/100)</f>
        <v/>
      </c>
      <c r="H522" s="55" t="str">
        <f t="shared" ref="H522:H574" ca="1" si="91">IF(ISERROR(E522-2),"",C522+D522-F522-G522)</f>
        <v/>
      </c>
      <c r="N522" s="95" t="str">
        <f t="shared" si="83"/>
        <v/>
      </c>
      <c r="O522" s="95" t="str">
        <f t="shared" si="84"/>
        <v/>
      </c>
    </row>
    <row r="523" spans="1:15" x14ac:dyDescent="0.25">
      <c r="A523" s="98" t="str">
        <f t="shared" ca="1" si="82"/>
        <v/>
      </c>
      <c r="B523" s="33" t="str">
        <f t="shared" ca="1" si="85"/>
        <v/>
      </c>
      <c r="C523" s="25" t="str">
        <f t="shared" ca="1" si="86"/>
        <v/>
      </c>
      <c r="D523" s="26" t="str">
        <f t="shared" ca="1" si="87"/>
        <v/>
      </c>
      <c r="E523" s="4" t="str">
        <f t="shared" ca="1" si="88"/>
        <v/>
      </c>
      <c r="F523" s="25" t="str">
        <f t="shared" ca="1" si="89"/>
        <v/>
      </c>
      <c r="G523" s="26" t="str">
        <f t="shared" ca="1" si="90"/>
        <v/>
      </c>
      <c r="H523" s="55" t="str">
        <f t="shared" ca="1" si="91"/>
        <v/>
      </c>
      <c r="N523" s="95" t="str">
        <f t="shared" si="83"/>
        <v/>
      </c>
      <c r="O523" s="95" t="str">
        <f t="shared" si="84"/>
        <v/>
      </c>
    </row>
    <row r="524" spans="1:15" x14ac:dyDescent="0.25">
      <c r="A524" s="98" t="str">
        <f t="shared" ca="1" si="82"/>
        <v/>
      </c>
      <c r="B524" s="33" t="str">
        <f t="shared" ca="1" si="85"/>
        <v/>
      </c>
      <c r="C524" s="25" t="str">
        <f t="shared" ca="1" si="86"/>
        <v/>
      </c>
      <c r="D524" s="26" t="str">
        <f t="shared" ca="1" si="87"/>
        <v/>
      </c>
      <c r="E524" s="4" t="str">
        <f t="shared" ca="1" si="88"/>
        <v/>
      </c>
      <c r="F524" s="25" t="str">
        <f t="shared" ca="1" si="89"/>
        <v/>
      </c>
      <c r="G524" s="26" t="str">
        <f t="shared" ca="1" si="90"/>
        <v/>
      </c>
      <c r="H524" s="55" t="str">
        <f t="shared" ca="1" si="91"/>
        <v/>
      </c>
      <c r="N524" s="95" t="str">
        <f t="shared" si="83"/>
        <v/>
      </c>
      <c r="O524" s="95" t="str">
        <f t="shared" si="84"/>
        <v/>
      </c>
    </row>
    <row r="525" spans="1:15" x14ac:dyDescent="0.25">
      <c r="A525" s="98" t="str">
        <f t="shared" ca="1" si="82"/>
        <v/>
      </c>
      <c r="B525" s="33" t="str">
        <f t="shared" ca="1" si="85"/>
        <v/>
      </c>
      <c r="C525" s="25" t="str">
        <f t="shared" ca="1" si="86"/>
        <v/>
      </c>
      <c r="D525" s="26" t="str">
        <f t="shared" ca="1" si="87"/>
        <v/>
      </c>
      <c r="E525" s="4" t="str">
        <f t="shared" ca="1" si="88"/>
        <v/>
      </c>
      <c r="F525" s="25" t="str">
        <f t="shared" ca="1" si="89"/>
        <v/>
      </c>
      <c r="G525" s="26" t="str">
        <f t="shared" ca="1" si="90"/>
        <v/>
      </c>
      <c r="H525" s="55" t="str">
        <f t="shared" ca="1" si="91"/>
        <v/>
      </c>
      <c r="N525" s="95" t="str">
        <f t="shared" si="83"/>
        <v/>
      </c>
      <c r="O525" s="95" t="str">
        <f t="shared" si="84"/>
        <v/>
      </c>
    </row>
    <row r="526" spans="1:15" x14ac:dyDescent="0.25">
      <c r="A526" s="98" t="str">
        <f t="shared" ca="1" si="82"/>
        <v/>
      </c>
      <c r="B526" s="33" t="str">
        <f t="shared" ca="1" si="85"/>
        <v/>
      </c>
      <c r="C526" s="25" t="str">
        <f t="shared" ca="1" si="86"/>
        <v/>
      </c>
      <c r="D526" s="26" t="str">
        <f t="shared" ca="1" si="87"/>
        <v/>
      </c>
      <c r="E526" s="4" t="str">
        <f t="shared" ca="1" si="88"/>
        <v/>
      </c>
      <c r="F526" s="25" t="str">
        <f t="shared" ca="1" si="89"/>
        <v/>
      </c>
      <c r="G526" s="26" t="str">
        <f t="shared" ca="1" si="90"/>
        <v/>
      </c>
      <c r="H526" s="55" t="str">
        <f t="shared" ca="1" si="91"/>
        <v/>
      </c>
      <c r="N526" s="95" t="str">
        <f t="shared" si="83"/>
        <v/>
      </c>
      <c r="O526" s="95" t="str">
        <f t="shared" si="84"/>
        <v/>
      </c>
    </row>
    <row r="527" spans="1:15" x14ac:dyDescent="0.25">
      <c r="A527" s="98" t="str">
        <f t="shared" ca="1" si="82"/>
        <v/>
      </c>
      <c r="B527" s="33" t="str">
        <f t="shared" ca="1" si="85"/>
        <v/>
      </c>
      <c r="C527" s="25" t="str">
        <f t="shared" ca="1" si="86"/>
        <v/>
      </c>
      <c r="D527" s="26" t="str">
        <f t="shared" ca="1" si="87"/>
        <v/>
      </c>
      <c r="E527" s="4" t="str">
        <f t="shared" ca="1" si="88"/>
        <v/>
      </c>
      <c r="F527" s="25" t="str">
        <f t="shared" ca="1" si="89"/>
        <v/>
      </c>
      <c r="G527" s="26" t="str">
        <f t="shared" ca="1" si="90"/>
        <v/>
      </c>
      <c r="H527" s="55" t="str">
        <f t="shared" ca="1" si="91"/>
        <v/>
      </c>
      <c r="N527" s="95" t="str">
        <f t="shared" si="83"/>
        <v/>
      </c>
      <c r="O527" s="95" t="str">
        <f t="shared" si="84"/>
        <v/>
      </c>
    </row>
    <row r="528" spans="1:15" x14ac:dyDescent="0.25">
      <c r="A528" s="98" t="str">
        <f t="shared" ref="A528:A574" ca="1" si="92">IF(AND(ISBLANK(P515), A527 = $P$1),NOW(),IF(ISBLANK(P515),"",P515))</f>
        <v/>
      </c>
      <c r="B528" s="33" t="str">
        <f t="shared" ca="1" si="85"/>
        <v/>
      </c>
      <c r="C528" s="25" t="str">
        <f t="shared" ca="1" si="86"/>
        <v/>
      </c>
      <c r="D528" s="26" t="str">
        <f t="shared" ca="1" si="87"/>
        <v/>
      </c>
      <c r="E528" s="4" t="str">
        <f t="shared" ca="1" si="88"/>
        <v/>
      </c>
      <c r="F528" s="25" t="str">
        <f t="shared" ca="1" si="89"/>
        <v/>
      </c>
      <c r="G528" s="26" t="str">
        <f t="shared" ca="1" si="90"/>
        <v/>
      </c>
      <c r="H528" s="55" t="str">
        <f t="shared" ca="1" si="91"/>
        <v/>
      </c>
      <c r="N528" s="95" t="str">
        <f t="shared" si="83"/>
        <v/>
      </c>
      <c r="O528" s="95" t="str">
        <f t="shared" si="84"/>
        <v/>
      </c>
    </row>
    <row r="529" spans="1:15" x14ac:dyDescent="0.25">
      <c r="A529" s="98" t="str">
        <f t="shared" ca="1" si="92"/>
        <v/>
      </c>
      <c r="B529" s="33" t="str">
        <f t="shared" ca="1" si="85"/>
        <v/>
      </c>
      <c r="C529" s="25" t="str">
        <f t="shared" ca="1" si="86"/>
        <v/>
      </c>
      <c r="D529" s="26" t="str">
        <f t="shared" ca="1" si="87"/>
        <v/>
      </c>
      <c r="E529" s="4" t="str">
        <f t="shared" ca="1" si="88"/>
        <v/>
      </c>
      <c r="F529" s="25" t="str">
        <f t="shared" ca="1" si="89"/>
        <v/>
      </c>
      <c r="G529" s="26" t="str">
        <f t="shared" ca="1" si="90"/>
        <v/>
      </c>
      <c r="H529" s="55" t="str">
        <f t="shared" ca="1" si="91"/>
        <v/>
      </c>
      <c r="N529" s="95" t="str">
        <f t="shared" si="83"/>
        <v/>
      </c>
      <c r="O529" s="95" t="str">
        <f t="shared" si="84"/>
        <v/>
      </c>
    </row>
    <row r="530" spans="1:15" x14ac:dyDescent="0.25">
      <c r="A530" s="98" t="str">
        <f t="shared" ca="1" si="92"/>
        <v/>
      </c>
      <c r="B530" s="33" t="str">
        <f t="shared" ca="1" si="85"/>
        <v/>
      </c>
      <c r="C530" s="25" t="str">
        <f t="shared" ca="1" si="86"/>
        <v/>
      </c>
      <c r="D530" s="26" t="str">
        <f t="shared" ca="1" si="87"/>
        <v/>
      </c>
      <c r="E530" s="4" t="str">
        <f t="shared" ca="1" si="88"/>
        <v/>
      </c>
      <c r="F530" s="25" t="str">
        <f t="shared" ca="1" si="89"/>
        <v/>
      </c>
      <c r="G530" s="26" t="str">
        <f t="shared" ca="1" si="90"/>
        <v/>
      </c>
      <c r="H530" s="55" t="str">
        <f t="shared" ca="1" si="91"/>
        <v/>
      </c>
      <c r="N530" s="95" t="str">
        <f t="shared" si="83"/>
        <v/>
      </c>
      <c r="O530" s="95" t="str">
        <f t="shared" si="84"/>
        <v/>
      </c>
    </row>
    <row r="531" spans="1:15" x14ac:dyDescent="0.25">
      <c r="A531" s="98" t="str">
        <f t="shared" ca="1" si="92"/>
        <v/>
      </c>
      <c r="B531" s="33" t="str">
        <f t="shared" ca="1" si="85"/>
        <v/>
      </c>
      <c r="C531" s="25" t="str">
        <f t="shared" ca="1" si="86"/>
        <v/>
      </c>
      <c r="D531" s="26" t="str">
        <f t="shared" ca="1" si="87"/>
        <v/>
      </c>
      <c r="E531" s="4" t="str">
        <f t="shared" ca="1" si="88"/>
        <v/>
      </c>
      <c r="F531" s="25" t="str">
        <f t="shared" ca="1" si="89"/>
        <v/>
      </c>
      <c r="G531" s="26" t="str">
        <f t="shared" ca="1" si="90"/>
        <v/>
      </c>
      <c r="H531" s="55" t="str">
        <f t="shared" ca="1" si="91"/>
        <v/>
      </c>
      <c r="N531" s="95" t="str">
        <f t="shared" si="83"/>
        <v/>
      </c>
      <c r="O531" s="95" t="str">
        <f t="shared" si="84"/>
        <v/>
      </c>
    </row>
    <row r="532" spans="1:15" x14ac:dyDescent="0.25">
      <c r="A532" s="98" t="str">
        <f t="shared" ca="1" si="92"/>
        <v/>
      </c>
      <c r="B532" s="33" t="str">
        <f t="shared" ca="1" si="85"/>
        <v/>
      </c>
      <c r="C532" s="25" t="str">
        <f t="shared" ca="1" si="86"/>
        <v/>
      </c>
      <c r="D532" s="26" t="str">
        <f t="shared" ca="1" si="87"/>
        <v/>
      </c>
      <c r="E532" s="4" t="str">
        <f t="shared" ca="1" si="88"/>
        <v/>
      </c>
      <c r="F532" s="25" t="str">
        <f t="shared" ca="1" si="89"/>
        <v/>
      </c>
      <c r="G532" s="26" t="str">
        <f t="shared" ca="1" si="90"/>
        <v/>
      </c>
      <c r="H532" s="55" t="str">
        <f t="shared" ca="1" si="91"/>
        <v/>
      </c>
      <c r="N532" s="95" t="str">
        <f t="shared" si="83"/>
        <v/>
      </c>
      <c r="O532" s="95" t="str">
        <f t="shared" si="84"/>
        <v/>
      </c>
    </row>
    <row r="533" spans="1:15" x14ac:dyDescent="0.25">
      <c r="A533" s="98" t="str">
        <f t="shared" ca="1" si="92"/>
        <v/>
      </c>
      <c r="B533" s="33" t="str">
        <f t="shared" ca="1" si="85"/>
        <v/>
      </c>
      <c r="C533" s="25" t="str">
        <f t="shared" ca="1" si="86"/>
        <v/>
      </c>
      <c r="D533" s="26" t="str">
        <f t="shared" ca="1" si="87"/>
        <v/>
      </c>
      <c r="E533" s="4" t="str">
        <f t="shared" ca="1" si="88"/>
        <v/>
      </c>
      <c r="F533" s="25" t="str">
        <f t="shared" ca="1" si="89"/>
        <v/>
      </c>
      <c r="G533" s="26" t="str">
        <f t="shared" ca="1" si="90"/>
        <v/>
      </c>
      <c r="H533" s="55" t="str">
        <f t="shared" ca="1" si="91"/>
        <v/>
      </c>
      <c r="N533" s="95" t="str">
        <f t="shared" si="83"/>
        <v/>
      </c>
      <c r="O533" s="95" t="str">
        <f t="shared" si="84"/>
        <v/>
      </c>
    </row>
    <row r="534" spans="1:15" x14ac:dyDescent="0.25">
      <c r="A534" s="98" t="str">
        <f t="shared" ca="1" si="92"/>
        <v/>
      </c>
      <c r="B534" s="33" t="str">
        <f t="shared" ca="1" si="85"/>
        <v/>
      </c>
      <c r="C534" s="25" t="str">
        <f t="shared" ca="1" si="86"/>
        <v/>
      </c>
      <c r="D534" s="26" t="str">
        <f t="shared" ca="1" si="87"/>
        <v/>
      </c>
      <c r="E534" s="4" t="str">
        <f t="shared" ca="1" si="88"/>
        <v/>
      </c>
      <c r="F534" s="25" t="str">
        <f t="shared" ca="1" si="89"/>
        <v/>
      </c>
      <c r="G534" s="26" t="str">
        <f t="shared" ca="1" si="90"/>
        <v/>
      </c>
      <c r="H534" s="55" t="str">
        <f t="shared" ca="1" si="91"/>
        <v/>
      </c>
      <c r="N534" s="95" t="str">
        <f t="shared" si="83"/>
        <v/>
      </c>
      <c r="O534" s="95" t="str">
        <f t="shared" si="84"/>
        <v/>
      </c>
    </row>
    <row r="535" spans="1:15" x14ac:dyDescent="0.25">
      <c r="A535" s="98" t="str">
        <f t="shared" ca="1" si="92"/>
        <v/>
      </c>
      <c r="B535" s="33" t="str">
        <f t="shared" ca="1" si="85"/>
        <v/>
      </c>
      <c r="C535" s="25" t="str">
        <f t="shared" ca="1" si="86"/>
        <v/>
      </c>
      <c r="D535" s="26" t="str">
        <f t="shared" ca="1" si="87"/>
        <v/>
      </c>
      <c r="E535" s="4" t="str">
        <f t="shared" ca="1" si="88"/>
        <v/>
      </c>
      <c r="F535" s="25" t="str">
        <f t="shared" ca="1" si="89"/>
        <v/>
      </c>
      <c r="G535" s="26" t="str">
        <f t="shared" ca="1" si="90"/>
        <v/>
      </c>
      <c r="H535" s="55" t="str">
        <f t="shared" ca="1" si="91"/>
        <v/>
      </c>
      <c r="N535" s="95" t="str">
        <f t="shared" si="83"/>
        <v/>
      </c>
      <c r="O535" s="95" t="str">
        <f t="shared" si="84"/>
        <v/>
      </c>
    </row>
    <row r="536" spans="1:15" x14ac:dyDescent="0.25">
      <c r="A536" s="98" t="str">
        <f t="shared" ca="1" si="92"/>
        <v/>
      </c>
      <c r="B536" s="33" t="str">
        <f t="shared" ca="1" si="85"/>
        <v/>
      </c>
      <c r="C536" s="25" t="str">
        <f t="shared" ca="1" si="86"/>
        <v/>
      </c>
      <c r="D536" s="26" t="str">
        <f t="shared" ca="1" si="87"/>
        <v/>
      </c>
      <c r="E536" s="4" t="str">
        <f t="shared" ca="1" si="88"/>
        <v/>
      </c>
      <c r="F536" s="25" t="str">
        <f t="shared" ca="1" si="89"/>
        <v/>
      </c>
      <c r="G536" s="26" t="str">
        <f t="shared" ca="1" si="90"/>
        <v/>
      </c>
      <c r="H536" s="55" t="str">
        <f t="shared" ca="1" si="91"/>
        <v/>
      </c>
      <c r="N536" s="95" t="str">
        <f t="shared" si="83"/>
        <v/>
      </c>
      <c r="O536" s="95" t="str">
        <f t="shared" si="84"/>
        <v/>
      </c>
    </row>
    <row r="537" spans="1:15" x14ac:dyDescent="0.25">
      <c r="A537" s="98" t="str">
        <f t="shared" ca="1" si="92"/>
        <v/>
      </c>
      <c r="B537" s="33" t="str">
        <f t="shared" ca="1" si="85"/>
        <v/>
      </c>
      <c r="C537" s="25" t="str">
        <f t="shared" ca="1" si="86"/>
        <v/>
      </c>
      <c r="D537" s="26" t="str">
        <f t="shared" ca="1" si="87"/>
        <v/>
      </c>
      <c r="E537" s="4" t="str">
        <f t="shared" ca="1" si="88"/>
        <v/>
      </c>
      <c r="F537" s="25" t="str">
        <f t="shared" ca="1" si="89"/>
        <v/>
      </c>
      <c r="G537" s="26" t="str">
        <f t="shared" ca="1" si="90"/>
        <v/>
      </c>
      <c r="H537" s="55" t="str">
        <f t="shared" ca="1" si="91"/>
        <v/>
      </c>
      <c r="N537" s="95" t="str">
        <f t="shared" si="83"/>
        <v/>
      </c>
      <c r="O537" s="95" t="str">
        <f t="shared" si="84"/>
        <v/>
      </c>
    </row>
    <row r="538" spans="1:15" x14ac:dyDescent="0.25">
      <c r="A538" s="98" t="str">
        <f t="shared" ca="1" si="92"/>
        <v/>
      </c>
      <c r="B538" s="33" t="str">
        <f t="shared" ca="1" si="85"/>
        <v/>
      </c>
      <c r="C538" s="25" t="str">
        <f t="shared" ca="1" si="86"/>
        <v/>
      </c>
      <c r="D538" s="26" t="str">
        <f t="shared" ca="1" si="87"/>
        <v/>
      </c>
      <c r="E538" s="4" t="str">
        <f t="shared" ca="1" si="88"/>
        <v/>
      </c>
      <c r="F538" s="25" t="str">
        <f t="shared" ca="1" si="89"/>
        <v/>
      </c>
      <c r="G538" s="26" t="str">
        <f t="shared" ca="1" si="90"/>
        <v/>
      </c>
      <c r="H538" s="55" t="str">
        <f t="shared" ca="1" si="91"/>
        <v/>
      </c>
      <c r="N538" s="95" t="str">
        <f t="shared" si="83"/>
        <v/>
      </c>
      <c r="O538" s="95" t="str">
        <f t="shared" si="84"/>
        <v/>
      </c>
    </row>
    <row r="539" spans="1:15" x14ac:dyDescent="0.25">
      <c r="A539" s="98" t="str">
        <f t="shared" ca="1" si="92"/>
        <v/>
      </c>
      <c r="B539" s="33" t="str">
        <f t="shared" ca="1" si="85"/>
        <v/>
      </c>
      <c r="C539" s="25" t="str">
        <f t="shared" ca="1" si="86"/>
        <v/>
      </c>
      <c r="D539" s="26" t="str">
        <f t="shared" ca="1" si="87"/>
        <v/>
      </c>
      <c r="E539" s="4" t="str">
        <f t="shared" ca="1" si="88"/>
        <v/>
      </c>
      <c r="F539" s="25" t="str">
        <f t="shared" ca="1" si="89"/>
        <v/>
      </c>
      <c r="G539" s="26" t="str">
        <f t="shared" ca="1" si="90"/>
        <v/>
      </c>
      <c r="H539" s="55" t="str">
        <f t="shared" ca="1" si="91"/>
        <v/>
      </c>
      <c r="N539" s="95" t="str">
        <f t="shared" si="83"/>
        <v/>
      </c>
      <c r="O539" s="95" t="str">
        <f t="shared" si="84"/>
        <v/>
      </c>
    </row>
    <row r="540" spans="1:15" x14ac:dyDescent="0.25">
      <c r="A540" s="98" t="str">
        <f t="shared" ca="1" si="92"/>
        <v/>
      </c>
      <c r="B540" s="33" t="str">
        <f t="shared" ca="1" si="85"/>
        <v/>
      </c>
      <c r="C540" s="25" t="str">
        <f t="shared" ca="1" si="86"/>
        <v/>
      </c>
      <c r="D540" s="26" t="str">
        <f t="shared" ca="1" si="87"/>
        <v/>
      </c>
      <c r="E540" s="4" t="str">
        <f t="shared" ca="1" si="88"/>
        <v/>
      </c>
      <c r="F540" s="25" t="str">
        <f t="shared" ca="1" si="89"/>
        <v/>
      </c>
      <c r="G540" s="26" t="str">
        <f t="shared" ca="1" si="90"/>
        <v/>
      </c>
      <c r="H540" s="55" t="str">
        <f t="shared" ca="1" si="91"/>
        <v/>
      </c>
      <c r="N540" s="95" t="str">
        <f t="shared" si="83"/>
        <v/>
      </c>
      <c r="O540" s="95" t="str">
        <f t="shared" si="84"/>
        <v/>
      </c>
    </row>
    <row r="541" spans="1:15" x14ac:dyDescent="0.25">
      <c r="A541" s="98" t="str">
        <f t="shared" ca="1" si="92"/>
        <v/>
      </c>
      <c r="B541" s="33" t="str">
        <f t="shared" ca="1" si="85"/>
        <v/>
      </c>
      <c r="C541" s="25" t="str">
        <f t="shared" ca="1" si="86"/>
        <v/>
      </c>
      <c r="D541" s="26" t="str">
        <f t="shared" ca="1" si="87"/>
        <v/>
      </c>
      <c r="E541" s="4" t="str">
        <f t="shared" ca="1" si="88"/>
        <v/>
      </c>
      <c r="F541" s="25" t="str">
        <f t="shared" ca="1" si="89"/>
        <v/>
      </c>
      <c r="G541" s="26" t="str">
        <f t="shared" ca="1" si="90"/>
        <v/>
      </c>
      <c r="H541" s="55" t="str">
        <f t="shared" ca="1" si="91"/>
        <v/>
      </c>
      <c r="N541" s="95" t="str">
        <f t="shared" si="83"/>
        <v/>
      </c>
      <c r="O541" s="95" t="str">
        <f t="shared" si="84"/>
        <v/>
      </c>
    </row>
    <row r="542" spans="1:15" x14ac:dyDescent="0.25">
      <c r="A542" s="98" t="str">
        <f t="shared" ca="1" si="92"/>
        <v/>
      </c>
      <c r="B542" s="33" t="str">
        <f t="shared" ca="1" si="85"/>
        <v/>
      </c>
      <c r="C542" s="25" t="str">
        <f t="shared" ca="1" si="86"/>
        <v/>
      </c>
      <c r="D542" s="26" t="str">
        <f t="shared" ca="1" si="87"/>
        <v/>
      </c>
      <c r="E542" s="4" t="str">
        <f t="shared" ca="1" si="88"/>
        <v/>
      </c>
      <c r="F542" s="25" t="str">
        <f t="shared" ca="1" si="89"/>
        <v/>
      </c>
      <c r="G542" s="26" t="str">
        <f t="shared" ca="1" si="90"/>
        <v/>
      </c>
      <c r="H542" s="55" t="str">
        <f t="shared" ca="1" si="91"/>
        <v/>
      </c>
      <c r="N542" s="95" t="str">
        <f t="shared" si="83"/>
        <v/>
      </c>
      <c r="O542" s="95" t="str">
        <f t="shared" si="84"/>
        <v/>
      </c>
    </row>
    <row r="543" spans="1:15" x14ac:dyDescent="0.25">
      <c r="A543" s="98" t="str">
        <f t="shared" ca="1" si="92"/>
        <v/>
      </c>
      <c r="B543" s="33" t="str">
        <f t="shared" ca="1" si="85"/>
        <v/>
      </c>
      <c r="C543" s="25" t="str">
        <f t="shared" ca="1" si="86"/>
        <v/>
      </c>
      <c r="D543" s="26" t="str">
        <f t="shared" ca="1" si="87"/>
        <v/>
      </c>
      <c r="E543" s="4" t="str">
        <f t="shared" ca="1" si="88"/>
        <v/>
      </c>
      <c r="F543" s="25" t="str">
        <f t="shared" ca="1" si="89"/>
        <v/>
      </c>
      <c r="G543" s="26" t="str">
        <f t="shared" ca="1" si="90"/>
        <v/>
      </c>
      <c r="H543" s="55" t="str">
        <f t="shared" ca="1" si="91"/>
        <v/>
      </c>
      <c r="N543" s="95" t="str">
        <f t="shared" si="83"/>
        <v/>
      </c>
      <c r="O543" s="95" t="str">
        <f t="shared" si="84"/>
        <v/>
      </c>
    </row>
    <row r="544" spans="1:15" x14ac:dyDescent="0.25">
      <c r="A544" s="98" t="str">
        <f t="shared" ca="1" si="92"/>
        <v/>
      </c>
      <c r="B544" s="33" t="str">
        <f t="shared" ca="1" si="85"/>
        <v/>
      </c>
      <c r="C544" s="25" t="str">
        <f t="shared" ca="1" si="86"/>
        <v/>
      </c>
      <c r="D544" s="26" t="str">
        <f t="shared" ca="1" si="87"/>
        <v/>
      </c>
      <c r="E544" s="4" t="str">
        <f t="shared" ca="1" si="88"/>
        <v/>
      </c>
      <c r="F544" s="25" t="str">
        <f t="shared" ca="1" si="89"/>
        <v/>
      </c>
      <c r="G544" s="26" t="str">
        <f t="shared" ca="1" si="90"/>
        <v/>
      </c>
      <c r="H544" s="55" t="str">
        <f t="shared" ca="1" si="91"/>
        <v/>
      </c>
      <c r="N544" s="95" t="str">
        <f t="shared" si="83"/>
        <v/>
      </c>
      <c r="O544" s="95" t="str">
        <f t="shared" si="84"/>
        <v/>
      </c>
    </row>
    <row r="545" spans="1:15" x14ac:dyDescent="0.25">
      <c r="A545" s="98" t="str">
        <f t="shared" ca="1" si="92"/>
        <v/>
      </c>
      <c r="B545" s="33" t="str">
        <f t="shared" ca="1" si="85"/>
        <v/>
      </c>
      <c r="C545" s="25" t="str">
        <f t="shared" ca="1" si="86"/>
        <v/>
      </c>
      <c r="D545" s="26" t="str">
        <f t="shared" ca="1" si="87"/>
        <v/>
      </c>
      <c r="E545" s="4" t="str">
        <f t="shared" ca="1" si="88"/>
        <v/>
      </c>
      <c r="F545" s="25" t="str">
        <f t="shared" ca="1" si="89"/>
        <v/>
      </c>
      <c r="G545" s="26" t="str">
        <f t="shared" ca="1" si="90"/>
        <v/>
      </c>
      <c r="H545" s="55" t="str">
        <f t="shared" ca="1" si="91"/>
        <v/>
      </c>
      <c r="N545" s="95" t="str">
        <f t="shared" si="83"/>
        <v/>
      </c>
      <c r="O545" s="95" t="str">
        <f t="shared" si="84"/>
        <v/>
      </c>
    </row>
    <row r="546" spans="1:15" x14ac:dyDescent="0.25">
      <c r="A546" s="98" t="str">
        <f t="shared" ca="1" si="92"/>
        <v/>
      </c>
      <c r="B546" s="33" t="str">
        <f t="shared" ca="1" si="85"/>
        <v/>
      </c>
      <c r="C546" s="25" t="str">
        <f t="shared" ca="1" si="86"/>
        <v/>
      </c>
      <c r="D546" s="26" t="str">
        <f t="shared" ca="1" si="87"/>
        <v/>
      </c>
      <c r="E546" s="4" t="str">
        <f t="shared" ca="1" si="88"/>
        <v/>
      </c>
      <c r="F546" s="25" t="str">
        <f t="shared" ca="1" si="89"/>
        <v/>
      </c>
      <c r="G546" s="26" t="str">
        <f t="shared" ca="1" si="90"/>
        <v/>
      </c>
      <c r="H546" s="55" t="str">
        <f t="shared" ca="1" si="91"/>
        <v/>
      </c>
      <c r="N546" s="95" t="str">
        <f t="shared" si="83"/>
        <v/>
      </c>
      <c r="O546" s="95" t="str">
        <f t="shared" si="84"/>
        <v/>
      </c>
    </row>
    <row r="547" spans="1:15" x14ac:dyDescent="0.25">
      <c r="A547" s="98" t="str">
        <f t="shared" ca="1" si="92"/>
        <v/>
      </c>
      <c r="B547" s="33" t="str">
        <f t="shared" ca="1" si="85"/>
        <v/>
      </c>
      <c r="C547" s="25" t="str">
        <f t="shared" ca="1" si="86"/>
        <v/>
      </c>
      <c r="D547" s="26" t="str">
        <f t="shared" ca="1" si="87"/>
        <v/>
      </c>
      <c r="E547" s="4" t="str">
        <f t="shared" ca="1" si="88"/>
        <v/>
      </c>
      <c r="F547" s="25" t="str">
        <f t="shared" ca="1" si="89"/>
        <v/>
      </c>
      <c r="G547" s="26" t="str">
        <f t="shared" ca="1" si="90"/>
        <v/>
      </c>
      <c r="H547" s="55" t="str">
        <f t="shared" ca="1" si="91"/>
        <v/>
      </c>
      <c r="N547" s="95" t="str">
        <f t="shared" si="83"/>
        <v/>
      </c>
      <c r="O547" s="95" t="str">
        <f t="shared" si="84"/>
        <v/>
      </c>
    </row>
    <row r="548" spans="1:15" x14ac:dyDescent="0.25">
      <c r="A548" s="98" t="str">
        <f t="shared" ca="1" si="92"/>
        <v/>
      </c>
      <c r="B548" s="33" t="str">
        <f t="shared" ca="1" si="85"/>
        <v/>
      </c>
      <c r="C548" s="25" t="str">
        <f t="shared" ca="1" si="86"/>
        <v/>
      </c>
      <c r="D548" s="26" t="str">
        <f t="shared" ca="1" si="87"/>
        <v/>
      </c>
      <c r="E548" s="4" t="str">
        <f t="shared" ca="1" si="88"/>
        <v/>
      </c>
      <c r="F548" s="25" t="str">
        <f t="shared" ca="1" si="89"/>
        <v/>
      </c>
      <c r="G548" s="26" t="str">
        <f t="shared" ca="1" si="90"/>
        <v/>
      </c>
      <c r="H548" s="55" t="str">
        <f t="shared" ca="1" si="91"/>
        <v/>
      </c>
      <c r="N548" s="95" t="str">
        <f t="shared" si="83"/>
        <v/>
      </c>
      <c r="O548" s="95" t="str">
        <f t="shared" si="84"/>
        <v/>
      </c>
    </row>
    <row r="549" spans="1:15" x14ac:dyDescent="0.25">
      <c r="A549" s="98" t="str">
        <f t="shared" ca="1" si="92"/>
        <v/>
      </c>
      <c r="B549" s="33" t="str">
        <f t="shared" ca="1" si="85"/>
        <v/>
      </c>
      <c r="C549" s="25" t="str">
        <f t="shared" ca="1" si="86"/>
        <v/>
      </c>
      <c r="D549" s="26" t="str">
        <f t="shared" ca="1" si="87"/>
        <v/>
      </c>
      <c r="E549" s="4" t="str">
        <f t="shared" ca="1" si="88"/>
        <v/>
      </c>
      <c r="F549" s="25" t="str">
        <f t="shared" ca="1" si="89"/>
        <v/>
      </c>
      <c r="G549" s="26" t="str">
        <f t="shared" ca="1" si="90"/>
        <v/>
      </c>
      <c r="H549" s="55" t="str">
        <f t="shared" ca="1" si="91"/>
        <v/>
      </c>
      <c r="N549" s="95" t="str">
        <f t="shared" si="83"/>
        <v/>
      </c>
      <c r="O549" s="95" t="str">
        <f t="shared" si="84"/>
        <v/>
      </c>
    </row>
    <row r="550" spans="1:15" x14ac:dyDescent="0.25">
      <c r="A550" s="98" t="str">
        <f t="shared" ca="1" si="92"/>
        <v/>
      </c>
      <c r="B550" s="33" t="str">
        <f t="shared" ca="1" si="85"/>
        <v/>
      </c>
      <c r="C550" s="25" t="str">
        <f t="shared" ca="1" si="86"/>
        <v/>
      </c>
      <c r="D550" s="26" t="str">
        <f t="shared" ca="1" si="87"/>
        <v/>
      </c>
      <c r="E550" s="4" t="str">
        <f t="shared" ca="1" si="88"/>
        <v/>
      </c>
      <c r="F550" s="25" t="str">
        <f t="shared" ca="1" si="89"/>
        <v/>
      </c>
      <c r="G550" s="26" t="str">
        <f t="shared" ca="1" si="90"/>
        <v/>
      </c>
      <c r="H550" s="55" t="str">
        <f t="shared" ca="1" si="91"/>
        <v/>
      </c>
      <c r="N550" s="95" t="str">
        <f t="shared" si="83"/>
        <v/>
      </c>
      <c r="O550" s="95" t="str">
        <f t="shared" si="84"/>
        <v/>
      </c>
    </row>
    <row r="551" spans="1:15" x14ac:dyDescent="0.25">
      <c r="A551" s="98" t="str">
        <f t="shared" ca="1" si="92"/>
        <v/>
      </c>
      <c r="B551" s="33" t="str">
        <f t="shared" ca="1" si="85"/>
        <v/>
      </c>
      <c r="C551" s="25" t="str">
        <f t="shared" ca="1" si="86"/>
        <v/>
      </c>
      <c r="D551" s="26" t="str">
        <f t="shared" ca="1" si="87"/>
        <v/>
      </c>
      <c r="E551" s="4" t="str">
        <f t="shared" ca="1" si="88"/>
        <v/>
      </c>
      <c r="F551" s="25" t="str">
        <f t="shared" ca="1" si="89"/>
        <v/>
      </c>
      <c r="G551" s="26" t="str">
        <f t="shared" ca="1" si="90"/>
        <v/>
      </c>
      <c r="H551" s="55" t="str">
        <f t="shared" ca="1" si="91"/>
        <v/>
      </c>
      <c r="N551" s="95" t="str">
        <f t="shared" si="83"/>
        <v/>
      </c>
      <c r="O551" s="95" t="str">
        <f t="shared" si="84"/>
        <v/>
      </c>
    </row>
    <row r="552" spans="1:15" x14ac:dyDescent="0.25">
      <c r="A552" s="98" t="str">
        <f t="shared" ca="1" si="92"/>
        <v/>
      </c>
      <c r="B552" s="33" t="str">
        <f t="shared" ca="1" si="85"/>
        <v/>
      </c>
      <c r="C552" s="25" t="str">
        <f t="shared" ca="1" si="86"/>
        <v/>
      </c>
      <c r="D552" s="26" t="str">
        <f t="shared" ca="1" si="87"/>
        <v/>
      </c>
      <c r="E552" s="4" t="str">
        <f t="shared" ca="1" si="88"/>
        <v/>
      </c>
      <c r="F552" s="25" t="str">
        <f t="shared" ca="1" si="89"/>
        <v/>
      </c>
      <c r="G552" s="26" t="str">
        <f t="shared" ca="1" si="90"/>
        <v/>
      </c>
      <c r="H552" s="55" t="str">
        <f t="shared" ca="1" si="91"/>
        <v/>
      </c>
      <c r="N552" s="95" t="str">
        <f t="shared" si="83"/>
        <v/>
      </c>
      <c r="O552" s="95" t="str">
        <f t="shared" si="84"/>
        <v/>
      </c>
    </row>
    <row r="553" spans="1:15" x14ac:dyDescent="0.25">
      <c r="A553" s="98" t="str">
        <f t="shared" ca="1" si="92"/>
        <v/>
      </c>
      <c r="B553" s="33" t="str">
        <f t="shared" ca="1" si="85"/>
        <v/>
      </c>
      <c r="C553" s="25" t="str">
        <f t="shared" ca="1" si="86"/>
        <v/>
      </c>
      <c r="D553" s="26" t="str">
        <f t="shared" ca="1" si="87"/>
        <v/>
      </c>
      <c r="E553" s="4" t="str">
        <f t="shared" ca="1" si="88"/>
        <v/>
      </c>
      <c r="F553" s="25" t="str">
        <f t="shared" ca="1" si="89"/>
        <v/>
      </c>
      <c r="G553" s="26" t="str">
        <f t="shared" ca="1" si="90"/>
        <v/>
      </c>
      <c r="H553" s="55" t="str">
        <f t="shared" ca="1" si="91"/>
        <v/>
      </c>
      <c r="N553" s="95" t="str">
        <f t="shared" si="83"/>
        <v/>
      </c>
      <c r="O553" s="95" t="str">
        <f t="shared" si="84"/>
        <v/>
      </c>
    </row>
    <row r="554" spans="1:15" x14ac:dyDescent="0.25">
      <c r="A554" s="98" t="str">
        <f t="shared" ca="1" si="92"/>
        <v/>
      </c>
      <c r="B554" s="33" t="str">
        <f t="shared" ca="1" si="85"/>
        <v/>
      </c>
      <c r="C554" s="25" t="str">
        <f t="shared" ca="1" si="86"/>
        <v/>
      </c>
      <c r="D554" s="26" t="str">
        <f t="shared" ca="1" si="87"/>
        <v/>
      </c>
      <c r="E554" s="4" t="str">
        <f t="shared" ca="1" si="88"/>
        <v/>
      </c>
      <c r="F554" s="25" t="str">
        <f t="shared" ca="1" si="89"/>
        <v/>
      </c>
      <c r="G554" s="26" t="str">
        <f t="shared" ca="1" si="90"/>
        <v/>
      </c>
      <c r="H554" s="55" t="str">
        <f t="shared" ca="1" si="91"/>
        <v/>
      </c>
      <c r="N554" s="95" t="str">
        <f t="shared" si="83"/>
        <v/>
      </c>
      <c r="O554" s="95" t="str">
        <f t="shared" si="84"/>
        <v/>
      </c>
    </row>
    <row r="555" spans="1:15" x14ac:dyDescent="0.25">
      <c r="A555" s="98" t="str">
        <f t="shared" ca="1" si="92"/>
        <v/>
      </c>
      <c r="B555" s="33" t="str">
        <f t="shared" ca="1" si="85"/>
        <v/>
      </c>
      <c r="C555" s="25" t="str">
        <f t="shared" ca="1" si="86"/>
        <v/>
      </c>
      <c r="D555" s="26" t="str">
        <f t="shared" ca="1" si="87"/>
        <v/>
      </c>
      <c r="E555" s="4" t="str">
        <f t="shared" ca="1" si="88"/>
        <v/>
      </c>
      <c r="F555" s="25" t="str">
        <f t="shared" ca="1" si="89"/>
        <v/>
      </c>
      <c r="G555" s="26" t="str">
        <f t="shared" ca="1" si="90"/>
        <v/>
      </c>
      <c r="H555" s="55" t="str">
        <f t="shared" ca="1" si="91"/>
        <v/>
      </c>
      <c r="N555" s="95" t="str">
        <f t="shared" si="83"/>
        <v/>
      </c>
      <c r="O555" s="95" t="str">
        <f t="shared" si="84"/>
        <v/>
      </c>
    </row>
    <row r="556" spans="1:15" x14ac:dyDescent="0.25">
      <c r="A556" s="98" t="str">
        <f t="shared" ca="1" si="92"/>
        <v/>
      </c>
      <c r="B556" s="33" t="str">
        <f t="shared" ca="1" si="85"/>
        <v/>
      </c>
      <c r="C556" s="25" t="str">
        <f t="shared" ca="1" si="86"/>
        <v/>
      </c>
      <c r="D556" s="26" t="str">
        <f t="shared" ca="1" si="87"/>
        <v/>
      </c>
      <c r="E556" s="4" t="str">
        <f t="shared" ca="1" si="88"/>
        <v/>
      </c>
      <c r="F556" s="25" t="str">
        <f t="shared" ca="1" si="89"/>
        <v/>
      </c>
      <c r="G556" s="26" t="str">
        <f t="shared" ca="1" si="90"/>
        <v/>
      </c>
      <c r="H556" s="55" t="str">
        <f t="shared" ca="1" si="91"/>
        <v/>
      </c>
      <c r="N556" s="95" t="str">
        <f t="shared" si="83"/>
        <v/>
      </c>
      <c r="O556" s="95" t="str">
        <f t="shared" si="84"/>
        <v/>
      </c>
    </row>
    <row r="557" spans="1:15" x14ac:dyDescent="0.25">
      <c r="A557" s="98" t="str">
        <f t="shared" ca="1" si="92"/>
        <v/>
      </c>
      <c r="B557" s="33" t="str">
        <f t="shared" ca="1" si="85"/>
        <v/>
      </c>
      <c r="C557" s="25" t="str">
        <f t="shared" ca="1" si="86"/>
        <v/>
      </c>
      <c r="D557" s="26" t="str">
        <f t="shared" ca="1" si="87"/>
        <v/>
      </c>
      <c r="E557" s="4" t="str">
        <f t="shared" ca="1" si="88"/>
        <v/>
      </c>
      <c r="F557" s="25" t="str">
        <f t="shared" ca="1" si="89"/>
        <v/>
      </c>
      <c r="G557" s="26" t="str">
        <f t="shared" ca="1" si="90"/>
        <v/>
      </c>
      <c r="H557" s="55" t="str">
        <f t="shared" ca="1" si="91"/>
        <v/>
      </c>
      <c r="N557" s="95" t="str">
        <f t="shared" si="83"/>
        <v/>
      </c>
      <c r="O557" s="95" t="str">
        <f t="shared" si="84"/>
        <v/>
      </c>
    </row>
    <row r="558" spans="1:15" x14ac:dyDescent="0.25">
      <c r="A558" s="98" t="str">
        <f t="shared" ca="1" si="92"/>
        <v/>
      </c>
      <c r="B558" s="33" t="str">
        <f t="shared" ca="1" si="85"/>
        <v/>
      </c>
      <c r="C558" s="25" t="str">
        <f t="shared" ca="1" si="86"/>
        <v/>
      </c>
      <c r="D558" s="26" t="str">
        <f t="shared" ca="1" si="87"/>
        <v/>
      </c>
      <c r="E558" s="4" t="str">
        <f t="shared" ca="1" si="88"/>
        <v/>
      </c>
      <c r="F558" s="25" t="str">
        <f t="shared" ca="1" si="89"/>
        <v/>
      </c>
      <c r="G558" s="26" t="str">
        <f t="shared" ca="1" si="90"/>
        <v/>
      </c>
      <c r="H558" s="55" t="str">
        <f t="shared" ca="1" si="91"/>
        <v/>
      </c>
      <c r="N558" s="95" t="str">
        <f t="shared" si="83"/>
        <v/>
      </c>
      <c r="O558" s="95" t="str">
        <f t="shared" si="84"/>
        <v/>
      </c>
    </row>
    <row r="559" spans="1:15" x14ac:dyDescent="0.25">
      <c r="A559" s="98" t="str">
        <f t="shared" ca="1" si="92"/>
        <v/>
      </c>
      <c r="B559" s="33" t="str">
        <f t="shared" ca="1" si="85"/>
        <v/>
      </c>
      <c r="C559" s="25" t="str">
        <f t="shared" ca="1" si="86"/>
        <v/>
      </c>
      <c r="D559" s="26" t="str">
        <f t="shared" ca="1" si="87"/>
        <v/>
      </c>
      <c r="E559" s="4" t="str">
        <f t="shared" ca="1" si="88"/>
        <v/>
      </c>
      <c r="F559" s="25" t="str">
        <f t="shared" ca="1" si="89"/>
        <v/>
      </c>
      <c r="G559" s="26" t="str">
        <f t="shared" ca="1" si="90"/>
        <v/>
      </c>
      <c r="H559" s="55" t="str">
        <f t="shared" ca="1" si="91"/>
        <v/>
      </c>
      <c r="N559" s="95" t="str">
        <f t="shared" si="83"/>
        <v/>
      </c>
      <c r="O559" s="95" t="str">
        <f t="shared" si="84"/>
        <v/>
      </c>
    </row>
    <row r="560" spans="1:15" x14ac:dyDescent="0.25">
      <c r="A560" s="98" t="str">
        <f t="shared" ca="1" si="92"/>
        <v/>
      </c>
      <c r="B560" s="33" t="str">
        <f t="shared" ca="1" si="85"/>
        <v/>
      </c>
      <c r="C560" s="25" t="str">
        <f t="shared" ca="1" si="86"/>
        <v/>
      </c>
      <c r="D560" s="26" t="str">
        <f t="shared" ca="1" si="87"/>
        <v/>
      </c>
      <c r="E560" s="4" t="str">
        <f t="shared" ca="1" si="88"/>
        <v/>
      </c>
      <c r="F560" s="25" t="str">
        <f t="shared" ca="1" si="89"/>
        <v/>
      </c>
      <c r="G560" s="26" t="str">
        <f t="shared" ca="1" si="90"/>
        <v/>
      </c>
      <c r="H560" s="55" t="str">
        <f t="shared" ca="1" si="91"/>
        <v/>
      </c>
      <c r="N560" s="95" t="str">
        <f t="shared" si="83"/>
        <v/>
      </c>
      <c r="O560" s="95" t="str">
        <f t="shared" si="84"/>
        <v/>
      </c>
    </row>
    <row r="561" spans="1:15" x14ac:dyDescent="0.25">
      <c r="A561" s="98" t="str">
        <f t="shared" ca="1" si="92"/>
        <v/>
      </c>
      <c r="B561" s="33" t="str">
        <f t="shared" ca="1" si="85"/>
        <v/>
      </c>
      <c r="C561" s="25" t="str">
        <f t="shared" ca="1" si="86"/>
        <v/>
      </c>
      <c r="D561" s="26" t="str">
        <f t="shared" ca="1" si="87"/>
        <v/>
      </c>
      <c r="E561" s="4" t="str">
        <f t="shared" ca="1" si="88"/>
        <v/>
      </c>
      <c r="F561" s="25" t="str">
        <f t="shared" ca="1" si="89"/>
        <v/>
      </c>
      <c r="G561" s="26" t="str">
        <f t="shared" ca="1" si="90"/>
        <v/>
      </c>
      <c r="H561" s="55" t="str">
        <f t="shared" ca="1" si="91"/>
        <v/>
      </c>
      <c r="N561" s="95" t="str">
        <f t="shared" si="83"/>
        <v/>
      </c>
      <c r="O561" s="95" t="str">
        <f t="shared" si="84"/>
        <v/>
      </c>
    </row>
    <row r="562" spans="1:15" x14ac:dyDescent="0.25">
      <c r="A562" s="98" t="str">
        <f t="shared" ca="1" si="92"/>
        <v/>
      </c>
      <c r="B562" s="33" t="str">
        <f t="shared" ca="1" si="85"/>
        <v/>
      </c>
      <c r="C562" s="25" t="str">
        <f t="shared" ca="1" si="86"/>
        <v/>
      </c>
      <c r="D562" s="26" t="str">
        <f t="shared" ca="1" si="87"/>
        <v/>
      </c>
      <c r="E562" s="4" t="str">
        <f t="shared" ca="1" si="88"/>
        <v/>
      </c>
      <c r="F562" s="25" t="str">
        <f t="shared" ca="1" si="89"/>
        <v/>
      </c>
      <c r="G562" s="26" t="str">
        <f t="shared" ca="1" si="90"/>
        <v/>
      </c>
      <c r="H562" s="55" t="str">
        <f t="shared" ca="1" si="91"/>
        <v/>
      </c>
      <c r="N562" s="95" t="str">
        <f t="shared" si="83"/>
        <v/>
      </c>
      <c r="O562" s="95" t="str">
        <f t="shared" si="84"/>
        <v/>
      </c>
    </row>
    <row r="563" spans="1:15" x14ac:dyDescent="0.25">
      <c r="A563" s="98" t="str">
        <f t="shared" ca="1" si="92"/>
        <v/>
      </c>
      <c r="B563" s="33" t="str">
        <f t="shared" ca="1" si="85"/>
        <v/>
      </c>
      <c r="C563" s="25" t="str">
        <f t="shared" ca="1" si="86"/>
        <v/>
      </c>
      <c r="D563" s="26" t="str">
        <f t="shared" ca="1" si="87"/>
        <v/>
      </c>
      <c r="E563" s="4" t="str">
        <f t="shared" ca="1" si="88"/>
        <v/>
      </c>
      <c r="F563" s="25" t="str">
        <f t="shared" ca="1" si="89"/>
        <v/>
      </c>
      <c r="G563" s="26" t="str">
        <f t="shared" ca="1" si="90"/>
        <v/>
      </c>
      <c r="H563" s="55" t="str">
        <f t="shared" ca="1" si="91"/>
        <v/>
      </c>
      <c r="N563" s="95" t="str">
        <f t="shared" si="83"/>
        <v/>
      </c>
      <c r="O563" s="95" t="str">
        <f t="shared" si="84"/>
        <v/>
      </c>
    </row>
    <row r="564" spans="1:15" x14ac:dyDescent="0.25">
      <c r="A564" s="98" t="str">
        <f t="shared" ca="1" si="92"/>
        <v/>
      </c>
      <c r="B564" s="33" t="str">
        <f t="shared" ca="1" si="85"/>
        <v/>
      </c>
      <c r="C564" s="25" t="str">
        <f t="shared" ca="1" si="86"/>
        <v/>
      </c>
      <c r="D564" s="26" t="str">
        <f t="shared" ca="1" si="87"/>
        <v/>
      </c>
      <c r="E564" s="4" t="str">
        <f t="shared" ca="1" si="88"/>
        <v/>
      </c>
      <c r="F564" s="25" t="str">
        <f t="shared" ca="1" si="89"/>
        <v/>
      </c>
      <c r="G564" s="26" t="str">
        <f t="shared" ca="1" si="90"/>
        <v/>
      </c>
      <c r="H564" s="55" t="str">
        <f t="shared" ca="1" si="91"/>
        <v/>
      </c>
      <c r="N564" s="95" t="str">
        <f t="shared" si="83"/>
        <v/>
      </c>
      <c r="O564" s="95" t="str">
        <f t="shared" si="84"/>
        <v/>
      </c>
    </row>
    <row r="565" spans="1:15" x14ac:dyDescent="0.25">
      <c r="A565" s="98" t="str">
        <f t="shared" ca="1" si="92"/>
        <v/>
      </c>
      <c r="B565" s="33" t="str">
        <f t="shared" ca="1" si="85"/>
        <v/>
      </c>
      <c r="C565" s="25" t="str">
        <f t="shared" ca="1" si="86"/>
        <v/>
      </c>
      <c r="D565" s="26" t="str">
        <f t="shared" ca="1" si="87"/>
        <v/>
      </c>
      <c r="E565" s="4" t="str">
        <f t="shared" ca="1" si="88"/>
        <v/>
      </c>
      <c r="F565" s="25" t="str">
        <f t="shared" ca="1" si="89"/>
        <v/>
      </c>
      <c r="G565" s="26" t="str">
        <f t="shared" ca="1" si="90"/>
        <v/>
      </c>
      <c r="H565" s="55" t="str">
        <f t="shared" ca="1" si="91"/>
        <v/>
      </c>
      <c r="N565" s="95" t="str">
        <f t="shared" si="83"/>
        <v/>
      </c>
      <c r="O565" s="95" t="str">
        <f t="shared" si="84"/>
        <v/>
      </c>
    </row>
    <row r="566" spans="1:15" x14ac:dyDescent="0.25">
      <c r="A566" s="98" t="str">
        <f t="shared" ca="1" si="92"/>
        <v/>
      </c>
      <c r="B566" s="33" t="str">
        <f t="shared" ca="1" si="85"/>
        <v/>
      </c>
      <c r="C566" s="25" t="str">
        <f t="shared" ca="1" si="86"/>
        <v/>
      </c>
      <c r="D566" s="26" t="str">
        <f t="shared" ca="1" si="87"/>
        <v/>
      </c>
      <c r="E566" s="4" t="str">
        <f t="shared" ca="1" si="88"/>
        <v/>
      </c>
      <c r="F566" s="25" t="str">
        <f t="shared" ca="1" si="89"/>
        <v/>
      </c>
      <c r="G566" s="26" t="str">
        <f t="shared" ca="1" si="90"/>
        <v/>
      </c>
      <c r="H566" s="55" t="str">
        <f t="shared" ca="1" si="91"/>
        <v/>
      </c>
      <c r="N566" s="95" t="str">
        <f t="shared" si="83"/>
        <v/>
      </c>
      <c r="O566" s="95" t="str">
        <f t="shared" si="84"/>
        <v/>
      </c>
    </row>
    <row r="567" spans="1:15" x14ac:dyDescent="0.25">
      <c r="A567" s="98" t="str">
        <f t="shared" ca="1" si="92"/>
        <v/>
      </c>
      <c r="B567" s="33" t="str">
        <f t="shared" ca="1" si="85"/>
        <v/>
      </c>
      <c r="C567" s="25" t="str">
        <f t="shared" ca="1" si="86"/>
        <v/>
      </c>
      <c r="D567" s="26" t="str">
        <f t="shared" ca="1" si="87"/>
        <v/>
      </c>
      <c r="E567" s="4" t="str">
        <f t="shared" ca="1" si="88"/>
        <v/>
      </c>
      <c r="F567" s="25" t="str">
        <f t="shared" ca="1" si="89"/>
        <v/>
      </c>
      <c r="G567" s="26" t="str">
        <f t="shared" ca="1" si="90"/>
        <v/>
      </c>
      <c r="H567" s="55" t="str">
        <f t="shared" ca="1" si="91"/>
        <v/>
      </c>
      <c r="N567" s="95" t="str">
        <f t="shared" si="83"/>
        <v/>
      </c>
      <c r="O567" s="95" t="str">
        <f t="shared" si="84"/>
        <v/>
      </c>
    </row>
    <row r="568" spans="1:15" x14ac:dyDescent="0.25">
      <c r="A568" s="98" t="str">
        <f t="shared" ca="1" si="92"/>
        <v/>
      </c>
      <c r="B568" s="33" t="str">
        <f t="shared" ca="1" si="85"/>
        <v/>
      </c>
      <c r="C568" s="25" t="str">
        <f t="shared" ca="1" si="86"/>
        <v/>
      </c>
      <c r="D568" s="26" t="str">
        <f t="shared" ca="1" si="87"/>
        <v/>
      </c>
      <c r="E568" s="4" t="str">
        <f t="shared" ca="1" si="88"/>
        <v/>
      </c>
      <c r="F568" s="25" t="str">
        <f t="shared" ca="1" si="89"/>
        <v/>
      </c>
      <c r="G568" s="26" t="str">
        <f t="shared" ca="1" si="90"/>
        <v/>
      </c>
      <c r="H568" s="55" t="str">
        <f t="shared" ca="1" si="91"/>
        <v/>
      </c>
      <c r="N568" s="95" t="str">
        <f t="shared" si="83"/>
        <v/>
      </c>
      <c r="O568" s="95" t="str">
        <f t="shared" si="84"/>
        <v/>
      </c>
    </row>
    <row r="569" spans="1:15" x14ac:dyDescent="0.25">
      <c r="A569" s="98" t="str">
        <f t="shared" ca="1" si="92"/>
        <v/>
      </c>
      <c r="B569" s="33" t="str">
        <f t="shared" ca="1" si="85"/>
        <v/>
      </c>
      <c r="C569" s="25" t="str">
        <f t="shared" ca="1" si="86"/>
        <v/>
      </c>
      <c r="D569" s="26" t="str">
        <f t="shared" ca="1" si="87"/>
        <v/>
      </c>
      <c r="E569" s="4" t="str">
        <f t="shared" ca="1" si="88"/>
        <v/>
      </c>
      <c r="F569" s="25" t="str">
        <f t="shared" ca="1" si="89"/>
        <v/>
      </c>
      <c r="G569" s="26" t="str">
        <f t="shared" ca="1" si="90"/>
        <v/>
      </c>
      <c r="H569" s="55" t="str">
        <f t="shared" ca="1" si="91"/>
        <v/>
      </c>
      <c r="N569" s="95" t="str">
        <f t="shared" si="83"/>
        <v/>
      </c>
      <c r="O569" s="95" t="str">
        <f t="shared" si="84"/>
        <v/>
      </c>
    </row>
    <row r="570" spans="1:15" x14ac:dyDescent="0.25">
      <c r="A570" s="98" t="str">
        <f t="shared" ca="1" si="92"/>
        <v/>
      </c>
      <c r="B570" s="33" t="str">
        <f t="shared" ca="1" si="85"/>
        <v/>
      </c>
      <c r="C570" s="25" t="str">
        <f t="shared" ca="1" si="86"/>
        <v/>
      </c>
      <c r="D570" s="26" t="str">
        <f t="shared" ca="1" si="87"/>
        <v/>
      </c>
      <c r="E570" s="4" t="str">
        <f t="shared" ca="1" si="88"/>
        <v/>
      </c>
      <c r="F570" s="25" t="str">
        <f t="shared" ca="1" si="89"/>
        <v/>
      </c>
      <c r="G570" s="26" t="str">
        <f t="shared" ca="1" si="90"/>
        <v/>
      </c>
      <c r="H570" s="55" t="str">
        <f t="shared" ca="1" si="91"/>
        <v/>
      </c>
      <c r="N570" s="95" t="str">
        <f t="shared" si="83"/>
        <v/>
      </c>
      <c r="O570" s="95" t="str">
        <f t="shared" si="84"/>
        <v/>
      </c>
    </row>
    <row r="571" spans="1:15" x14ac:dyDescent="0.25">
      <c r="A571" s="98" t="str">
        <f t="shared" ca="1" si="92"/>
        <v/>
      </c>
      <c r="B571" s="33" t="str">
        <f t="shared" ca="1" si="85"/>
        <v/>
      </c>
      <c r="C571" s="25" t="str">
        <f t="shared" ca="1" si="86"/>
        <v/>
      </c>
      <c r="D571" s="26" t="str">
        <f t="shared" ca="1" si="87"/>
        <v/>
      </c>
      <c r="E571" s="4" t="str">
        <f t="shared" ca="1" si="88"/>
        <v/>
      </c>
      <c r="F571" s="25" t="str">
        <f t="shared" ca="1" si="89"/>
        <v/>
      </c>
      <c r="G571" s="26" t="str">
        <f t="shared" ca="1" si="90"/>
        <v/>
      </c>
      <c r="H571" s="55" t="str">
        <f t="shared" ca="1" si="91"/>
        <v/>
      </c>
      <c r="N571" s="95" t="str">
        <f t="shared" si="83"/>
        <v/>
      </c>
      <c r="O571" s="95" t="str">
        <f t="shared" si="84"/>
        <v/>
      </c>
    </row>
    <row r="572" spans="1:15" x14ac:dyDescent="0.25">
      <c r="A572" s="98" t="str">
        <f t="shared" ca="1" si="92"/>
        <v/>
      </c>
      <c r="B572" s="33" t="str">
        <f t="shared" ca="1" si="85"/>
        <v/>
      </c>
      <c r="C572" s="25" t="str">
        <f t="shared" ca="1" si="86"/>
        <v/>
      </c>
      <c r="D572" s="26" t="str">
        <f t="shared" ca="1" si="87"/>
        <v/>
      </c>
      <c r="E572" s="4" t="str">
        <f t="shared" ca="1" si="88"/>
        <v/>
      </c>
      <c r="F572" s="25" t="str">
        <f t="shared" ca="1" si="89"/>
        <v/>
      </c>
      <c r="G572" s="26" t="str">
        <f t="shared" ca="1" si="90"/>
        <v/>
      </c>
      <c r="H572" s="55" t="str">
        <f t="shared" ca="1" si="91"/>
        <v/>
      </c>
      <c r="N572" s="95" t="str">
        <f t="shared" si="83"/>
        <v/>
      </c>
      <c r="O572" s="95" t="str">
        <f t="shared" si="84"/>
        <v/>
      </c>
    </row>
    <row r="573" spans="1:15" x14ac:dyDescent="0.25">
      <c r="A573" s="98" t="str">
        <f t="shared" ca="1" si="92"/>
        <v/>
      </c>
      <c r="B573" s="33" t="str">
        <f t="shared" ca="1" si="85"/>
        <v/>
      </c>
      <c r="C573" s="25" t="str">
        <f t="shared" ca="1" si="86"/>
        <v/>
      </c>
      <c r="D573" s="26" t="str">
        <f t="shared" ca="1" si="87"/>
        <v/>
      </c>
      <c r="E573" s="4" t="str">
        <f t="shared" ca="1" si="88"/>
        <v/>
      </c>
      <c r="F573" s="25" t="str">
        <f t="shared" ca="1" si="89"/>
        <v/>
      </c>
      <c r="G573" s="26" t="str">
        <f t="shared" ca="1" si="90"/>
        <v/>
      </c>
      <c r="H573" s="55" t="str">
        <f t="shared" ca="1" si="91"/>
        <v/>
      </c>
      <c r="N573" s="95" t="str">
        <f t="shared" si="83"/>
        <v/>
      </c>
      <c r="O573" s="95" t="str">
        <f t="shared" si="84"/>
        <v/>
      </c>
    </row>
    <row r="574" spans="1:15" x14ac:dyDescent="0.25">
      <c r="A574" s="98" t="str">
        <f t="shared" ca="1" si="92"/>
        <v/>
      </c>
      <c r="B574" s="33" t="str">
        <f t="shared" ca="1" si="85"/>
        <v/>
      </c>
      <c r="C574" s="25" t="str">
        <f t="shared" ca="1" si="86"/>
        <v/>
      </c>
      <c r="D574" s="26" t="str">
        <f t="shared" ca="1" si="87"/>
        <v/>
      </c>
      <c r="E574" s="4" t="str">
        <f t="shared" ca="1" si="88"/>
        <v/>
      </c>
      <c r="F574" s="25" t="str">
        <f t="shared" ca="1" si="89"/>
        <v/>
      </c>
      <c r="G574" s="26" t="str">
        <f t="shared" ca="1" si="90"/>
        <v/>
      </c>
      <c r="H574" s="55" t="str">
        <f t="shared" ca="1" si="91"/>
        <v/>
      </c>
      <c r="N574" s="95" t="str">
        <f t="shared" si="83"/>
        <v/>
      </c>
      <c r="O574" s="95" t="str">
        <f t="shared" si="84"/>
        <v/>
      </c>
    </row>
    <row r="575" spans="1:15" x14ac:dyDescent="0.25">
      <c r="N575" s="95" t="str">
        <f t="shared" si="83"/>
        <v/>
      </c>
      <c r="O575" s="95" t="str">
        <f t="shared" si="84"/>
        <v/>
      </c>
    </row>
    <row r="576" spans="1:15" x14ac:dyDescent="0.25">
      <c r="N576" s="95" t="str">
        <f t="shared" si="83"/>
        <v/>
      </c>
      <c r="O576" s="95" t="str">
        <f t="shared" si="84"/>
        <v/>
      </c>
    </row>
    <row r="577" spans="14:15" x14ac:dyDescent="0.25">
      <c r="N577" s="95" t="str">
        <f t="shared" si="83"/>
        <v/>
      </c>
      <c r="O577" s="95" t="str">
        <f t="shared" si="84"/>
        <v/>
      </c>
    </row>
    <row r="578" spans="14:15" x14ac:dyDescent="0.25">
      <c r="N578" s="95" t="str">
        <f t="shared" si="83"/>
        <v/>
      </c>
      <c r="O578" s="95" t="str">
        <f t="shared" si="84"/>
        <v/>
      </c>
    </row>
    <row r="579" spans="14:15" x14ac:dyDescent="0.25">
      <c r="N579" s="95" t="str">
        <f t="shared" si="83"/>
        <v/>
      </c>
      <c r="O579" s="95" t="str">
        <f t="shared" si="84"/>
        <v/>
      </c>
    </row>
    <row r="580" spans="14:15" x14ac:dyDescent="0.25">
      <c r="N580" s="95" t="str">
        <f t="shared" ref="N580:N643" si="93">IF(COUNTIF(L:L,J580)=1,J580,"")</f>
        <v/>
      </c>
      <c r="O580" s="95" t="str">
        <f t="shared" ref="O580:O643" si="94">IF(N580&gt;$A$14,N580,"")</f>
        <v/>
      </c>
    </row>
    <row r="581" spans="14:15" x14ac:dyDescent="0.25">
      <c r="N581" s="95" t="str">
        <f t="shared" si="93"/>
        <v/>
      </c>
      <c r="O581" s="95" t="str">
        <f t="shared" si="94"/>
        <v/>
      </c>
    </row>
    <row r="582" spans="14:15" x14ac:dyDescent="0.25">
      <c r="N582" s="95" t="str">
        <f t="shared" si="93"/>
        <v/>
      </c>
      <c r="O582" s="95" t="str">
        <f t="shared" si="94"/>
        <v/>
      </c>
    </row>
    <row r="583" spans="14:15" x14ac:dyDescent="0.25">
      <c r="N583" s="95" t="str">
        <f t="shared" si="93"/>
        <v/>
      </c>
      <c r="O583" s="95" t="str">
        <f t="shared" si="94"/>
        <v/>
      </c>
    </row>
    <row r="584" spans="14:15" x14ac:dyDescent="0.25">
      <c r="N584" s="95" t="str">
        <f t="shared" si="93"/>
        <v/>
      </c>
      <c r="O584" s="95" t="str">
        <f t="shared" si="94"/>
        <v/>
      </c>
    </row>
    <row r="585" spans="14:15" x14ac:dyDescent="0.25">
      <c r="N585" s="95" t="str">
        <f t="shared" si="93"/>
        <v/>
      </c>
      <c r="O585" s="95" t="str">
        <f t="shared" si="94"/>
        <v/>
      </c>
    </row>
    <row r="586" spans="14:15" x14ac:dyDescent="0.25">
      <c r="N586" s="95" t="str">
        <f t="shared" si="93"/>
        <v/>
      </c>
      <c r="O586" s="95" t="str">
        <f t="shared" si="94"/>
        <v/>
      </c>
    </row>
    <row r="587" spans="14:15" x14ac:dyDescent="0.25">
      <c r="N587" s="95" t="str">
        <f t="shared" si="93"/>
        <v/>
      </c>
      <c r="O587" s="95" t="str">
        <f t="shared" si="94"/>
        <v/>
      </c>
    </row>
    <row r="588" spans="14:15" x14ac:dyDescent="0.25">
      <c r="N588" s="95" t="str">
        <f t="shared" si="93"/>
        <v/>
      </c>
      <c r="O588" s="95" t="str">
        <f t="shared" si="94"/>
        <v/>
      </c>
    </row>
    <row r="589" spans="14:15" x14ac:dyDescent="0.25">
      <c r="N589" s="95" t="str">
        <f t="shared" si="93"/>
        <v/>
      </c>
      <c r="O589" s="95" t="str">
        <f t="shared" si="94"/>
        <v/>
      </c>
    </row>
    <row r="590" spans="14:15" x14ac:dyDescent="0.25">
      <c r="N590" s="95" t="str">
        <f t="shared" si="93"/>
        <v/>
      </c>
      <c r="O590" s="95" t="str">
        <f t="shared" si="94"/>
        <v/>
      </c>
    </row>
    <row r="591" spans="14:15" x14ac:dyDescent="0.25">
      <c r="N591" s="95" t="str">
        <f t="shared" si="93"/>
        <v/>
      </c>
      <c r="O591" s="95" t="str">
        <f t="shared" si="94"/>
        <v/>
      </c>
    </row>
    <row r="592" spans="14:15" x14ac:dyDescent="0.25">
      <c r="N592" s="95" t="str">
        <f t="shared" si="93"/>
        <v/>
      </c>
      <c r="O592" s="95" t="str">
        <f t="shared" si="94"/>
        <v/>
      </c>
    </row>
    <row r="593" spans="14:15" x14ac:dyDescent="0.25">
      <c r="N593" s="95" t="str">
        <f t="shared" si="93"/>
        <v/>
      </c>
      <c r="O593" s="95" t="str">
        <f t="shared" si="94"/>
        <v/>
      </c>
    </row>
    <row r="594" spans="14:15" x14ac:dyDescent="0.25">
      <c r="N594" s="95" t="str">
        <f t="shared" si="93"/>
        <v/>
      </c>
      <c r="O594" s="95" t="str">
        <f t="shared" si="94"/>
        <v/>
      </c>
    </row>
    <row r="595" spans="14:15" x14ac:dyDescent="0.25">
      <c r="N595" s="95" t="str">
        <f t="shared" si="93"/>
        <v/>
      </c>
      <c r="O595" s="95" t="str">
        <f t="shared" si="94"/>
        <v/>
      </c>
    </row>
    <row r="596" spans="14:15" x14ac:dyDescent="0.25">
      <c r="N596" s="95" t="str">
        <f t="shared" si="93"/>
        <v/>
      </c>
      <c r="O596" s="95" t="str">
        <f t="shared" si="94"/>
        <v/>
      </c>
    </row>
    <row r="597" spans="14:15" x14ac:dyDescent="0.25">
      <c r="N597" s="95" t="str">
        <f t="shared" si="93"/>
        <v/>
      </c>
      <c r="O597" s="95" t="str">
        <f t="shared" si="94"/>
        <v/>
      </c>
    </row>
    <row r="598" spans="14:15" x14ac:dyDescent="0.25">
      <c r="N598" s="95" t="str">
        <f t="shared" si="93"/>
        <v/>
      </c>
      <c r="O598" s="95" t="str">
        <f t="shared" si="94"/>
        <v/>
      </c>
    </row>
    <row r="599" spans="14:15" x14ac:dyDescent="0.25">
      <c r="N599" s="95" t="str">
        <f t="shared" si="93"/>
        <v/>
      </c>
      <c r="O599" s="95" t="str">
        <f t="shared" si="94"/>
        <v/>
      </c>
    </row>
    <row r="600" spans="14:15" x14ac:dyDescent="0.25">
      <c r="N600" s="95" t="str">
        <f t="shared" si="93"/>
        <v/>
      </c>
      <c r="O600" s="95" t="str">
        <f t="shared" si="94"/>
        <v/>
      </c>
    </row>
    <row r="601" spans="14:15" x14ac:dyDescent="0.25">
      <c r="N601" s="95" t="str">
        <f t="shared" si="93"/>
        <v/>
      </c>
      <c r="O601" s="95" t="str">
        <f t="shared" si="94"/>
        <v/>
      </c>
    </row>
    <row r="602" spans="14:15" x14ac:dyDescent="0.25">
      <c r="N602" s="95" t="str">
        <f t="shared" si="93"/>
        <v/>
      </c>
      <c r="O602" s="95" t="str">
        <f t="shared" si="94"/>
        <v/>
      </c>
    </row>
    <row r="603" spans="14:15" x14ac:dyDescent="0.25">
      <c r="N603" s="95" t="str">
        <f t="shared" si="93"/>
        <v/>
      </c>
      <c r="O603" s="95" t="str">
        <f t="shared" si="94"/>
        <v/>
      </c>
    </row>
    <row r="604" spans="14:15" x14ac:dyDescent="0.25">
      <c r="N604" s="95" t="str">
        <f t="shared" si="93"/>
        <v/>
      </c>
      <c r="O604" s="95" t="str">
        <f t="shared" si="94"/>
        <v/>
      </c>
    </row>
    <row r="605" spans="14:15" x14ac:dyDescent="0.25">
      <c r="N605" s="95" t="str">
        <f t="shared" si="93"/>
        <v/>
      </c>
      <c r="O605" s="95" t="str">
        <f t="shared" si="94"/>
        <v/>
      </c>
    </row>
    <row r="606" spans="14:15" x14ac:dyDescent="0.25">
      <c r="N606" s="95" t="str">
        <f t="shared" si="93"/>
        <v/>
      </c>
      <c r="O606" s="95" t="str">
        <f t="shared" si="94"/>
        <v/>
      </c>
    </row>
    <row r="607" spans="14:15" x14ac:dyDescent="0.25">
      <c r="N607" s="95" t="str">
        <f t="shared" si="93"/>
        <v/>
      </c>
      <c r="O607" s="95" t="str">
        <f t="shared" si="94"/>
        <v/>
      </c>
    </row>
    <row r="608" spans="14:15" x14ac:dyDescent="0.25">
      <c r="N608" s="95" t="str">
        <f t="shared" si="93"/>
        <v/>
      </c>
      <c r="O608" s="95" t="str">
        <f t="shared" si="94"/>
        <v/>
      </c>
    </row>
    <row r="609" spans="14:15" x14ac:dyDescent="0.25">
      <c r="N609" s="95" t="str">
        <f t="shared" si="93"/>
        <v/>
      </c>
      <c r="O609" s="95" t="str">
        <f t="shared" si="94"/>
        <v/>
      </c>
    </row>
    <row r="610" spans="14:15" x14ac:dyDescent="0.25">
      <c r="N610" s="95" t="str">
        <f t="shared" si="93"/>
        <v/>
      </c>
      <c r="O610" s="95" t="str">
        <f t="shared" si="94"/>
        <v/>
      </c>
    </row>
    <row r="611" spans="14:15" x14ac:dyDescent="0.25">
      <c r="N611" s="95" t="str">
        <f t="shared" si="93"/>
        <v/>
      </c>
      <c r="O611" s="95" t="str">
        <f t="shared" si="94"/>
        <v/>
      </c>
    </row>
    <row r="612" spans="14:15" x14ac:dyDescent="0.25">
      <c r="N612" s="95" t="str">
        <f t="shared" si="93"/>
        <v/>
      </c>
      <c r="O612" s="95" t="str">
        <f t="shared" si="94"/>
        <v/>
      </c>
    </row>
    <row r="613" spans="14:15" x14ac:dyDescent="0.25">
      <c r="N613" s="95" t="str">
        <f t="shared" si="93"/>
        <v/>
      </c>
      <c r="O613" s="95" t="str">
        <f t="shared" si="94"/>
        <v/>
      </c>
    </row>
    <row r="614" spans="14:15" x14ac:dyDescent="0.25">
      <c r="N614" s="95" t="str">
        <f t="shared" si="93"/>
        <v/>
      </c>
      <c r="O614" s="95" t="str">
        <f t="shared" si="94"/>
        <v/>
      </c>
    </row>
    <row r="615" spans="14:15" x14ac:dyDescent="0.25">
      <c r="N615" s="95" t="str">
        <f t="shared" si="93"/>
        <v/>
      </c>
      <c r="O615" s="95" t="str">
        <f t="shared" si="94"/>
        <v/>
      </c>
    </row>
    <row r="616" spans="14:15" x14ac:dyDescent="0.25">
      <c r="N616" s="95" t="str">
        <f t="shared" si="93"/>
        <v/>
      </c>
      <c r="O616" s="95" t="str">
        <f t="shared" si="94"/>
        <v/>
      </c>
    </row>
    <row r="617" spans="14:15" x14ac:dyDescent="0.25">
      <c r="N617" s="95" t="str">
        <f t="shared" si="93"/>
        <v/>
      </c>
      <c r="O617" s="95" t="str">
        <f t="shared" si="94"/>
        <v/>
      </c>
    </row>
    <row r="618" spans="14:15" x14ac:dyDescent="0.25">
      <c r="N618" s="95" t="str">
        <f t="shared" si="93"/>
        <v/>
      </c>
      <c r="O618" s="95" t="str">
        <f t="shared" si="94"/>
        <v/>
      </c>
    </row>
    <row r="619" spans="14:15" x14ac:dyDescent="0.25">
      <c r="N619" s="95" t="str">
        <f t="shared" si="93"/>
        <v/>
      </c>
      <c r="O619" s="95" t="str">
        <f t="shared" si="94"/>
        <v/>
      </c>
    </row>
    <row r="620" spans="14:15" x14ac:dyDescent="0.25">
      <c r="N620" s="95" t="str">
        <f t="shared" si="93"/>
        <v/>
      </c>
      <c r="O620" s="95" t="str">
        <f t="shared" si="94"/>
        <v/>
      </c>
    </row>
    <row r="621" spans="14:15" x14ac:dyDescent="0.25">
      <c r="N621" s="95" t="str">
        <f t="shared" si="93"/>
        <v/>
      </c>
      <c r="O621" s="95" t="str">
        <f t="shared" si="94"/>
        <v/>
      </c>
    </row>
    <row r="622" spans="14:15" x14ac:dyDescent="0.25">
      <c r="N622" s="95" t="str">
        <f t="shared" si="93"/>
        <v/>
      </c>
      <c r="O622" s="95" t="str">
        <f t="shared" si="94"/>
        <v/>
      </c>
    </row>
    <row r="623" spans="14:15" x14ac:dyDescent="0.25">
      <c r="N623" s="95" t="str">
        <f t="shared" si="93"/>
        <v/>
      </c>
      <c r="O623" s="95" t="str">
        <f t="shared" si="94"/>
        <v/>
      </c>
    </row>
    <row r="624" spans="14:15" x14ac:dyDescent="0.25">
      <c r="N624" s="95" t="str">
        <f t="shared" si="93"/>
        <v/>
      </c>
      <c r="O624" s="95" t="str">
        <f t="shared" si="94"/>
        <v/>
      </c>
    </row>
    <row r="625" spans="14:15" x14ac:dyDescent="0.25">
      <c r="N625" s="95" t="str">
        <f t="shared" si="93"/>
        <v/>
      </c>
      <c r="O625" s="95" t="str">
        <f t="shared" si="94"/>
        <v/>
      </c>
    </row>
    <row r="626" spans="14:15" x14ac:dyDescent="0.25">
      <c r="N626" s="95" t="str">
        <f t="shared" si="93"/>
        <v/>
      </c>
      <c r="O626" s="95" t="str">
        <f t="shared" si="94"/>
        <v/>
      </c>
    </row>
    <row r="627" spans="14:15" x14ac:dyDescent="0.25">
      <c r="N627" s="95" t="str">
        <f t="shared" si="93"/>
        <v/>
      </c>
      <c r="O627" s="95" t="str">
        <f t="shared" si="94"/>
        <v/>
      </c>
    </row>
    <row r="628" spans="14:15" x14ac:dyDescent="0.25">
      <c r="N628" s="95" t="str">
        <f t="shared" si="93"/>
        <v/>
      </c>
      <c r="O628" s="95" t="str">
        <f t="shared" si="94"/>
        <v/>
      </c>
    </row>
    <row r="629" spans="14:15" x14ac:dyDescent="0.25">
      <c r="N629" s="95" t="str">
        <f t="shared" si="93"/>
        <v/>
      </c>
      <c r="O629" s="95" t="str">
        <f t="shared" si="94"/>
        <v/>
      </c>
    </row>
    <row r="630" spans="14:15" x14ac:dyDescent="0.25">
      <c r="N630" s="95" t="str">
        <f t="shared" si="93"/>
        <v/>
      </c>
      <c r="O630" s="95" t="str">
        <f t="shared" si="94"/>
        <v/>
      </c>
    </row>
    <row r="631" spans="14:15" x14ac:dyDescent="0.25">
      <c r="N631" s="95" t="str">
        <f t="shared" si="93"/>
        <v/>
      </c>
      <c r="O631" s="95" t="str">
        <f t="shared" si="94"/>
        <v/>
      </c>
    </row>
    <row r="632" spans="14:15" x14ac:dyDescent="0.25">
      <c r="N632" s="95" t="str">
        <f t="shared" si="93"/>
        <v/>
      </c>
      <c r="O632" s="95" t="str">
        <f t="shared" si="94"/>
        <v/>
      </c>
    </row>
    <row r="633" spans="14:15" x14ac:dyDescent="0.25">
      <c r="N633" s="95" t="str">
        <f t="shared" si="93"/>
        <v/>
      </c>
      <c r="O633" s="95" t="str">
        <f t="shared" si="94"/>
        <v/>
      </c>
    </row>
    <row r="634" spans="14:15" x14ac:dyDescent="0.25">
      <c r="N634" s="95" t="str">
        <f t="shared" si="93"/>
        <v/>
      </c>
      <c r="O634" s="95" t="str">
        <f t="shared" si="94"/>
        <v/>
      </c>
    </row>
    <row r="635" spans="14:15" x14ac:dyDescent="0.25">
      <c r="N635" s="95" t="str">
        <f t="shared" si="93"/>
        <v/>
      </c>
      <c r="O635" s="95" t="str">
        <f t="shared" si="94"/>
        <v/>
      </c>
    </row>
    <row r="636" spans="14:15" x14ac:dyDescent="0.25">
      <c r="N636" s="95" t="str">
        <f t="shared" si="93"/>
        <v/>
      </c>
      <c r="O636" s="95" t="str">
        <f t="shared" si="94"/>
        <v/>
      </c>
    </row>
    <row r="637" spans="14:15" x14ac:dyDescent="0.25">
      <c r="N637" s="95" t="str">
        <f t="shared" si="93"/>
        <v/>
      </c>
      <c r="O637" s="95" t="str">
        <f t="shared" si="94"/>
        <v/>
      </c>
    </row>
    <row r="638" spans="14:15" x14ac:dyDescent="0.25">
      <c r="N638" s="95" t="str">
        <f t="shared" si="93"/>
        <v/>
      </c>
      <c r="O638" s="95" t="str">
        <f t="shared" si="94"/>
        <v/>
      </c>
    </row>
    <row r="639" spans="14:15" x14ac:dyDescent="0.25">
      <c r="N639" s="95" t="str">
        <f t="shared" si="93"/>
        <v/>
      </c>
      <c r="O639" s="95" t="str">
        <f t="shared" si="94"/>
        <v/>
      </c>
    </row>
    <row r="640" spans="14:15" x14ac:dyDescent="0.25">
      <c r="N640" s="95" t="str">
        <f t="shared" si="93"/>
        <v/>
      </c>
      <c r="O640" s="95" t="str">
        <f t="shared" si="94"/>
        <v/>
      </c>
    </row>
    <row r="641" spans="14:15" x14ac:dyDescent="0.25">
      <c r="N641" s="95" t="str">
        <f t="shared" si="93"/>
        <v/>
      </c>
      <c r="O641" s="95" t="str">
        <f t="shared" si="94"/>
        <v/>
      </c>
    </row>
    <row r="642" spans="14:15" x14ac:dyDescent="0.25">
      <c r="N642" s="95" t="str">
        <f t="shared" si="93"/>
        <v/>
      </c>
      <c r="O642" s="95" t="str">
        <f t="shared" si="94"/>
        <v/>
      </c>
    </row>
    <row r="643" spans="14:15" x14ac:dyDescent="0.25">
      <c r="N643" s="95" t="str">
        <f t="shared" si="93"/>
        <v/>
      </c>
      <c r="O643" s="95" t="str">
        <f t="shared" si="94"/>
        <v/>
      </c>
    </row>
    <row r="644" spans="14:15" x14ac:dyDescent="0.25">
      <c r="N644" s="95" t="str">
        <f t="shared" ref="N644:N707" si="95">IF(COUNTIF(L:L,J644)=1,J644,"")</f>
        <v/>
      </c>
      <c r="O644" s="95" t="str">
        <f t="shared" ref="O644:O707" si="96">IF(N644&gt;$A$14,N644,"")</f>
        <v/>
      </c>
    </row>
    <row r="645" spans="14:15" x14ac:dyDescent="0.25">
      <c r="N645" s="95" t="str">
        <f t="shared" si="95"/>
        <v/>
      </c>
      <c r="O645" s="95" t="str">
        <f t="shared" si="96"/>
        <v/>
      </c>
    </row>
    <row r="646" spans="14:15" x14ac:dyDescent="0.25">
      <c r="N646" s="95" t="str">
        <f t="shared" si="95"/>
        <v/>
      </c>
      <c r="O646" s="95" t="str">
        <f t="shared" si="96"/>
        <v/>
      </c>
    </row>
    <row r="647" spans="14:15" x14ac:dyDescent="0.25">
      <c r="N647" s="95" t="str">
        <f t="shared" si="95"/>
        <v/>
      </c>
      <c r="O647" s="95" t="str">
        <f t="shared" si="96"/>
        <v/>
      </c>
    </row>
    <row r="648" spans="14:15" x14ac:dyDescent="0.25">
      <c r="N648" s="95" t="str">
        <f t="shared" si="95"/>
        <v/>
      </c>
      <c r="O648" s="95" t="str">
        <f t="shared" si="96"/>
        <v/>
      </c>
    </row>
    <row r="649" spans="14:15" x14ac:dyDescent="0.25">
      <c r="N649" s="95" t="str">
        <f t="shared" si="95"/>
        <v/>
      </c>
      <c r="O649" s="95" t="str">
        <f t="shared" si="96"/>
        <v/>
      </c>
    </row>
    <row r="650" spans="14:15" x14ac:dyDescent="0.25">
      <c r="N650" s="95" t="str">
        <f t="shared" si="95"/>
        <v/>
      </c>
      <c r="O650" s="95" t="str">
        <f t="shared" si="96"/>
        <v/>
      </c>
    </row>
    <row r="651" spans="14:15" x14ac:dyDescent="0.25">
      <c r="N651" s="95" t="str">
        <f t="shared" si="95"/>
        <v/>
      </c>
      <c r="O651" s="95" t="str">
        <f t="shared" si="96"/>
        <v/>
      </c>
    </row>
    <row r="652" spans="14:15" x14ac:dyDescent="0.25">
      <c r="N652" s="95" t="str">
        <f t="shared" si="95"/>
        <v/>
      </c>
      <c r="O652" s="95" t="str">
        <f t="shared" si="96"/>
        <v/>
      </c>
    </row>
    <row r="653" spans="14:15" x14ac:dyDescent="0.25">
      <c r="N653" s="95" t="str">
        <f t="shared" si="95"/>
        <v/>
      </c>
      <c r="O653" s="95" t="str">
        <f t="shared" si="96"/>
        <v/>
      </c>
    </row>
    <row r="654" spans="14:15" x14ac:dyDescent="0.25">
      <c r="N654" s="95" t="str">
        <f t="shared" si="95"/>
        <v/>
      </c>
      <c r="O654" s="95" t="str">
        <f t="shared" si="96"/>
        <v/>
      </c>
    </row>
    <row r="655" spans="14:15" x14ac:dyDescent="0.25">
      <c r="N655" s="95" t="str">
        <f t="shared" si="95"/>
        <v/>
      </c>
      <c r="O655" s="95" t="str">
        <f t="shared" si="96"/>
        <v/>
      </c>
    </row>
    <row r="656" spans="14:15" x14ac:dyDescent="0.25">
      <c r="N656" s="95" t="str">
        <f t="shared" si="95"/>
        <v/>
      </c>
      <c r="O656" s="95" t="str">
        <f t="shared" si="96"/>
        <v/>
      </c>
    </row>
    <row r="657" spans="14:15" x14ac:dyDescent="0.25">
      <c r="N657" s="95" t="str">
        <f t="shared" si="95"/>
        <v/>
      </c>
      <c r="O657" s="95" t="str">
        <f t="shared" si="96"/>
        <v/>
      </c>
    </row>
    <row r="658" spans="14:15" x14ac:dyDescent="0.25">
      <c r="N658" s="95" t="str">
        <f t="shared" si="95"/>
        <v/>
      </c>
      <c r="O658" s="95" t="str">
        <f t="shared" si="96"/>
        <v/>
      </c>
    </row>
    <row r="659" spans="14:15" x14ac:dyDescent="0.25">
      <c r="N659" s="95" t="str">
        <f t="shared" si="95"/>
        <v/>
      </c>
      <c r="O659" s="95" t="str">
        <f t="shared" si="96"/>
        <v/>
      </c>
    </row>
    <row r="660" spans="14:15" x14ac:dyDescent="0.25">
      <c r="N660" s="95" t="str">
        <f t="shared" si="95"/>
        <v/>
      </c>
      <c r="O660" s="95" t="str">
        <f t="shared" si="96"/>
        <v/>
      </c>
    </row>
    <row r="661" spans="14:15" x14ac:dyDescent="0.25">
      <c r="N661" s="95" t="str">
        <f t="shared" si="95"/>
        <v/>
      </c>
      <c r="O661" s="95" t="str">
        <f t="shared" si="96"/>
        <v/>
      </c>
    </row>
    <row r="662" spans="14:15" x14ac:dyDescent="0.25">
      <c r="N662" s="95" t="str">
        <f t="shared" si="95"/>
        <v/>
      </c>
      <c r="O662" s="95" t="str">
        <f t="shared" si="96"/>
        <v/>
      </c>
    </row>
    <row r="663" spans="14:15" x14ac:dyDescent="0.25">
      <c r="N663" s="95" t="str">
        <f t="shared" si="95"/>
        <v/>
      </c>
      <c r="O663" s="95" t="str">
        <f t="shared" si="96"/>
        <v/>
      </c>
    </row>
    <row r="664" spans="14:15" x14ac:dyDescent="0.25">
      <c r="N664" s="95" t="str">
        <f t="shared" si="95"/>
        <v/>
      </c>
      <c r="O664" s="95" t="str">
        <f t="shared" si="96"/>
        <v/>
      </c>
    </row>
    <row r="665" spans="14:15" x14ac:dyDescent="0.25">
      <c r="N665" s="95" t="str">
        <f t="shared" si="95"/>
        <v/>
      </c>
      <c r="O665" s="95" t="str">
        <f t="shared" si="96"/>
        <v/>
      </c>
    </row>
    <row r="666" spans="14:15" x14ac:dyDescent="0.25">
      <c r="N666" s="95" t="str">
        <f t="shared" si="95"/>
        <v/>
      </c>
      <c r="O666" s="95" t="str">
        <f t="shared" si="96"/>
        <v/>
      </c>
    </row>
    <row r="667" spans="14:15" x14ac:dyDescent="0.25">
      <c r="N667" s="95" t="str">
        <f t="shared" si="95"/>
        <v/>
      </c>
      <c r="O667" s="95" t="str">
        <f t="shared" si="96"/>
        <v/>
      </c>
    </row>
    <row r="668" spans="14:15" x14ac:dyDescent="0.25">
      <c r="N668" s="95" t="str">
        <f t="shared" si="95"/>
        <v/>
      </c>
      <c r="O668" s="95" t="str">
        <f t="shared" si="96"/>
        <v/>
      </c>
    </row>
    <row r="669" spans="14:15" x14ac:dyDescent="0.25">
      <c r="N669" s="95" t="str">
        <f t="shared" si="95"/>
        <v/>
      </c>
      <c r="O669" s="95" t="str">
        <f t="shared" si="96"/>
        <v/>
      </c>
    </row>
    <row r="670" spans="14:15" x14ac:dyDescent="0.25">
      <c r="N670" s="95" t="str">
        <f t="shared" si="95"/>
        <v/>
      </c>
      <c r="O670" s="95" t="str">
        <f t="shared" si="96"/>
        <v/>
      </c>
    </row>
    <row r="671" spans="14:15" x14ac:dyDescent="0.25">
      <c r="N671" s="95" t="str">
        <f t="shared" si="95"/>
        <v/>
      </c>
      <c r="O671" s="95" t="str">
        <f t="shared" si="96"/>
        <v/>
      </c>
    </row>
    <row r="672" spans="14:15" x14ac:dyDescent="0.25">
      <c r="N672" s="95" t="str">
        <f t="shared" si="95"/>
        <v/>
      </c>
      <c r="O672" s="95" t="str">
        <f t="shared" si="96"/>
        <v/>
      </c>
    </row>
    <row r="673" spans="14:15" x14ac:dyDescent="0.25">
      <c r="N673" s="95" t="str">
        <f t="shared" si="95"/>
        <v/>
      </c>
      <c r="O673" s="95" t="str">
        <f t="shared" si="96"/>
        <v/>
      </c>
    </row>
    <row r="674" spans="14:15" x14ac:dyDescent="0.25">
      <c r="N674" s="95" t="str">
        <f t="shared" si="95"/>
        <v/>
      </c>
      <c r="O674" s="95" t="str">
        <f t="shared" si="96"/>
        <v/>
      </c>
    </row>
    <row r="675" spans="14:15" x14ac:dyDescent="0.25">
      <c r="N675" s="95" t="str">
        <f t="shared" si="95"/>
        <v/>
      </c>
      <c r="O675" s="95" t="str">
        <f t="shared" si="96"/>
        <v/>
      </c>
    </row>
    <row r="676" spans="14:15" x14ac:dyDescent="0.25">
      <c r="N676" s="95" t="str">
        <f t="shared" si="95"/>
        <v/>
      </c>
      <c r="O676" s="95" t="str">
        <f t="shared" si="96"/>
        <v/>
      </c>
    </row>
    <row r="677" spans="14:15" x14ac:dyDescent="0.25">
      <c r="N677" s="95" t="str">
        <f t="shared" si="95"/>
        <v/>
      </c>
      <c r="O677" s="95" t="str">
        <f t="shared" si="96"/>
        <v/>
      </c>
    </row>
    <row r="678" spans="14:15" x14ac:dyDescent="0.25">
      <c r="N678" s="95" t="str">
        <f t="shared" si="95"/>
        <v/>
      </c>
      <c r="O678" s="95" t="str">
        <f t="shared" si="96"/>
        <v/>
      </c>
    </row>
    <row r="679" spans="14:15" x14ac:dyDescent="0.25">
      <c r="N679" s="95" t="str">
        <f t="shared" si="95"/>
        <v/>
      </c>
      <c r="O679" s="95" t="str">
        <f t="shared" si="96"/>
        <v/>
      </c>
    </row>
    <row r="680" spans="14:15" x14ac:dyDescent="0.25">
      <c r="N680" s="95" t="str">
        <f t="shared" si="95"/>
        <v/>
      </c>
      <c r="O680" s="95" t="str">
        <f t="shared" si="96"/>
        <v/>
      </c>
    </row>
    <row r="681" spans="14:15" x14ac:dyDescent="0.25">
      <c r="N681" s="95" t="str">
        <f t="shared" si="95"/>
        <v/>
      </c>
      <c r="O681" s="95" t="str">
        <f t="shared" si="96"/>
        <v/>
      </c>
    </row>
    <row r="682" spans="14:15" x14ac:dyDescent="0.25">
      <c r="N682" s="95" t="str">
        <f t="shared" si="95"/>
        <v/>
      </c>
      <c r="O682" s="95" t="str">
        <f t="shared" si="96"/>
        <v/>
      </c>
    </row>
    <row r="683" spans="14:15" x14ac:dyDescent="0.25">
      <c r="N683" s="95" t="str">
        <f t="shared" si="95"/>
        <v/>
      </c>
      <c r="O683" s="95" t="str">
        <f t="shared" si="96"/>
        <v/>
      </c>
    </row>
    <row r="684" spans="14:15" x14ac:dyDescent="0.25">
      <c r="N684" s="95" t="str">
        <f t="shared" si="95"/>
        <v/>
      </c>
      <c r="O684" s="95" t="str">
        <f t="shared" si="96"/>
        <v/>
      </c>
    </row>
    <row r="685" spans="14:15" x14ac:dyDescent="0.25">
      <c r="N685" s="95" t="str">
        <f t="shared" si="95"/>
        <v/>
      </c>
      <c r="O685" s="95" t="str">
        <f t="shared" si="96"/>
        <v/>
      </c>
    </row>
    <row r="686" spans="14:15" x14ac:dyDescent="0.25">
      <c r="N686" s="95" t="str">
        <f t="shared" si="95"/>
        <v/>
      </c>
      <c r="O686" s="95" t="str">
        <f t="shared" si="96"/>
        <v/>
      </c>
    </row>
    <row r="687" spans="14:15" x14ac:dyDescent="0.25">
      <c r="N687" s="95" t="str">
        <f t="shared" si="95"/>
        <v/>
      </c>
      <c r="O687" s="95" t="str">
        <f t="shared" si="96"/>
        <v/>
      </c>
    </row>
    <row r="688" spans="14:15" x14ac:dyDescent="0.25">
      <c r="N688" s="95" t="str">
        <f t="shared" si="95"/>
        <v/>
      </c>
      <c r="O688" s="95" t="str">
        <f t="shared" si="96"/>
        <v/>
      </c>
    </row>
    <row r="689" spans="14:15" x14ac:dyDescent="0.25">
      <c r="N689" s="95" t="str">
        <f t="shared" si="95"/>
        <v/>
      </c>
      <c r="O689" s="95" t="str">
        <f t="shared" si="96"/>
        <v/>
      </c>
    </row>
    <row r="690" spans="14:15" x14ac:dyDescent="0.25">
      <c r="N690" s="95" t="str">
        <f t="shared" si="95"/>
        <v/>
      </c>
      <c r="O690" s="95" t="str">
        <f t="shared" si="96"/>
        <v/>
      </c>
    </row>
    <row r="691" spans="14:15" x14ac:dyDescent="0.25">
      <c r="N691" s="95" t="str">
        <f t="shared" si="95"/>
        <v/>
      </c>
      <c r="O691" s="95" t="str">
        <f t="shared" si="96"/>
        <v/>
      </c>
    </row>
    <row r="692" spans="14:15" x14ac:dyDescent="0.25">
      <c r="N692" s="95" t="str">
        <f t="shared" si="95"/>
        <v/>
      </c>
      <c r="O692" s="95" t="str">
        <f t="shared" si="96"/>
        <v/>
      </c>
    </row>
    <row r="693" spans="14:15" x14ac:dyDescent="0.25">
      <c r="N693" s="95" t="str">
        <f t="shared" si="95"/>
        <v/>
      </c>
      <c r="O693" s="95" t="str">
        <f t="shared" si="96"/>
        <v/>
      </c>
    </row>
    <row r="694" spans="14:15" x14ac:dyDescent="0.25">
      <c r="N694" s="95" t="str">
        <f t="shared" si="95"/>
        <v/>
      </c>
      <c r="O694" s="95" t="str">
        <f t="shared" si="96"/>
        <v/>
      </c>
    </row>
    <row r="695" spans="14:15" x14ac:dyDescent="0.25">
      <c r="N695" s="95" t="str">
        <f t="shared" si="95"/>
        <v/>
      </c>
      <c r="O695" s="95" t="str">
        <f t="shared" si="96"/>
        <v/>
      </c>
    </row>
    <row r="696" spans="14:15" x14ac:dyDescent="0.25">
      <c r="N696" s="95" t="str">
        <f t="shared" si="95"/>
        <v/>
      </c>
      <c r="O696" s="95" t="str">
        <f t="shared" si="96"/>
        <v/>
      </c>
    </row>
    <row r="697" spans="14:15" x14ac:dyDescent="0.25">
      <c r="N697" s="95" t="str">
        <f t="shared" si="95"/>
        <v/>
      </c>
      <c r="O697" s="95" t="str">
        <f t="shared" si="96"/>
        <v/>
      </c>
    </row>
    <row r="698" spans="14:15" x14ac:dyDescent="0.25">
      <c r="N698" s="95" t="str">
        <f t="shared" si="95"/>
        <v/>
      </c>
      <c r="O698" s="95" t="str">
        <f t="shared" si="96"/>
        <v/>
      </c>
    </row>
    <row r="699" spans="14:15" x14ac:dyDescent="0.25">
      <c r="N699" s="95" t="str">
        <f t="shared" si="95"/>
        <v/>
      </c>
      <c r="O699" s="95" t="str">
        <f t="shared" si="96"/>
        <v/>
      </c>
    </row>
    <row r="700" spans="14:15" x14ac:dyDescent="0.25">
      <c r="N700" s="95" t="str">
        <f t="shared" si="95"/>
        <v/>
      </c>
      <c r="O700" s="95" t="str">
        <f t="shared" si="96"/>
        <v/>
      </c>
    </row>
    <row r="701" spans="14:15" x14ac:dyDescent="0.25">
      <c r="N701" s="95" t="str">
        <f t="shared" si="95"/>
        <v/>
      </c>
      <c r="O701" s="95" t="str">
        <f t="shared" si="96"/>
        <v/>
      </c>
    </row>
    <row r="702" spans="14:15" x14ac:dyDescent="0.25">
      <c r="N702" s="95" t="str">
        <f t="shared" si="95"/>
        <v/>
      </c>
      <c r="O702" s="95" t="str">
        <f t="shared" si="96"/>
        <v/>
      </c>
    </row>
    <row r="703" spans="14:15" x14ac:dyDescent="0.25">
      <c r="N703" s="95" t="str">
        <f t="shared" si="95"/>
        <v/>
      </c>
      <c r="O703" s="95" t="str">
        <f t="shared" si="96"/>
        <v/>
      </c>
    </row>
    <row r="704" spans="14:15" x14ac:dyDescent="0.25">
      <c r="N704" s="95" t="str">
        <f t="shared" si="95"/>
        <v/>
      </c>
      <c r="O704" s="95" t="str">
        <f t="shared" si="96"/>
        <v/>
      </c>
    </row>
    <row r="705" spans="14:15" x14ac:dyDescent="0.25">
      <c r="N705" s="95" t="str">
        <f t="shared" si="95"/>
        <v/>
      </c>
      <c r="O705" s="95" t="str">
        <f t="shared" si="96"/>
        <v/>
      </c>
    </row>
    <row r="706" spans="14:15" x14ac:dyDescent="0.25">
      <c r="N706" s="95" t="str">
        <f t="shared" si="95"/>
        <v/>
      </c>
      <c r="O706" s="95" t="str">
        <f t="shared" si="96"/>
        <v/>
      </c>
    </row>
    <row r="707" spans="14:15" x14ac:dyDescent="0.25">
      <c r="N707" s="95" t="str">
        <f t="shared" si="95"/>
        <v/>
      </c>
      <c r="O707" s="95" t="str">
        <f t="shared" si="96"/>
        <v/>
      </c>
    </row>
    <row r="708" spans="14:15" x14ac:dyDescent="0.25">
      <c r="N708" s="95" t="str">
        <f t="shared" ref="N708:N771" si="97">IF(COUNTIF(L:L,J708)=1,J708,"")</f>
        <v/>
      </c>
      <c r="O708" s="95" t="str">
        <f t="shared" ref="O708:O771" si="98">IF(N708&gt;$A$14,N708,"")</f>
        <v/>
      </c>
    </row>
    <row r="709" spans="14:15" x14ac:dyDescent="0.25">
      <c r="N709" s="95" t="str">
        <f t="shared" si="97"/>
        <v/>
      </c>
      <c r="O709" s="95" t="str">
        <f t="shared" si="98"/>
        <v/>
      </c>
    </row>
    <row r="710" spans="14:15" x14ac:dyDescent="0.25">
      <c r="N710" s="95" t="str">
        <f t="shared" si="97"/>
        <v/>
      </c>
      <c r="O710" s="95" t="str">
        <f t="shared" si="98"/>
        <v/>
      </c>
    </row>
    <row r="711" spans="14:15" x14ac:dyDescent="0.25">
      <c r="N711" s="95" t="str">
        <f t="shared" si="97"/>
        <v/>
      </c>
      <c r="O711" s="95" t="str">
        <f t="shared" si="98"/>
        <v/>
      </c>
    </row>
    <row r="712" spans="14:15" x14ac:dyDescent="0.25">
      <c r="N712" s="95" t="str">
        <f t="shared" si="97"/>
        <v/>
      </c>
      <c r="O712" s="95" t="str">
        <f t="shared" si="98"/>
        <v/>
      </c>
    </row>
    <row r="713" spans="14:15" x14ac:dyDescent="0.25">
      <c r="N713" s="95" t="str">
        <f t="shared" si="97"/>
        <v/>
      </c>
      <c r="O713" s="95" t="str">
        <f t="shared" si="98"/>
        <v/>
      </c>
    </row>
    <row r="714" spans="14:15" x14ac:dyDescent="0.25">
      <c r="N714" s="95" t="str">
        <f t="shared" si="97"/>
        <v/>
      </c>
      <c r="O714" s="95" t="str">
        <f t="shared" si="98"/>
        <v/>
      </c>
    </row>
    <row r="715" spans="14:15" x14ac:dyDescent="0.25">
      <c r="N715" s="95" t="str">
        <f t="shared" si="97"/>
        <v/>
      </c>
      <c r="O715" s="95" t="str">
        <f t="shared" si="98"/>
        <v/>
      </c>
    </row>
    <row r="716" spans="14:15" x14ac:dyDescent="0.25">
      <c r="N716" s="95" t="str">
        <f t="shared" si="97"/>
        <v/>
      </c>
      <c r="O716" s="95" t="str">
        <f t="shared" si="98"/>
        <v/>
      </c>
    </row>
    <row r="717" spans="14:15" x14ac:dyDescent="0.25">
      <c r="N717" s="95" t="str">
        <f t="shared" si="97"/>
        <v/>
      </c>
      <c r="O717" s="95" t="str">
        <f t="shared" si="98"/>
        <v/>
      </c>
    </row>
    <row r="718" spans="14:15" x14ac:dyDescent="0.25">
      <c r="N718" s="95" t="str">
        <f t="shared" si="97"/>
        <v/>
      </c>
      <c r="O718" s="95" t="str">
        <f t="shared" si="98"/>
        <v/>
      </c>
    </row>
    <row r="719" spans="14:15" x14ac:dyDescent="0.25">
      <c r="N719" s="95" t="str">
        <f t="shared" si="97"/>
        <v/>
      </c>
      <c r="O719" s="95" t="str">
        <f t="shared" si="98"/>
        <v/>
      </c>
    </row>
    <row r="720" spans="14:15" x14ac:dyDescent="0.25">
      <c r="N720" s="95" t="str">
        <f t="shared" si="97"/>
        <v/>
      </c>
      <c r="O720" s="95" t="str">
        <f t="shared" si="98"/>
        <v/>
      </c>
    </row>
    <row r="721" spans="14:15" x14ac:dyDescent="0.25">
      <c r="N721" s="95" t="str">
        <f t="shared" si="97"/>
        <v/>
      </c>
      <c r="O721" s="95" t="str">
        <f t="shared" si="98"/>
        <v/>
      </c>
    </row>
    <row r="722" spans="14:15" x14ac:dyDescent="0.25">
      <c r="N722" s="95" t="str">
        <f t="shared" si="97"/>
        <v/>
      </c>
      <c r="O722" s="95" t="str">
        <f t="shared" si="98"/>
        <v/>
      </c>
    </row>
    <row r="723" spans="14:15" x14ac:dyDescent="0.25">
      <c r="N723" s="95" t="str">
        <f t="shared" si="97"/>
        <v/>
      </c>
      <c r="O723" s="95" t="str">
        <f t="shared" si="98"/>
        <v/>
      </c>
    </row>
    <row r="724" spans="14:15" x14ac:dyDescent="0.25">
      <c r="N724" s="95" t="str">
        <f t="shared" si="97"/>
        <v/>
      </c>
      <c r="O724" s="95" t="str">
        <f t="shared" si="98"/>
        <v/>
      </c>
    </row>
    <row r="725" spans="14:15" x14ac:dyDescent="0.25">
      <c r="N725" s="95" t="str">
        <f t="shared" si="97"/>
        <v/>
      </c>
      <c r="O725" s="95" t="str">
        <f t="shared" si="98"/>
        <v/>
      </c>
    </row>
    <row r="726" spans="14:15" x14ac:dyDescent="0.25">
      <c r="N726" s="95" t="str">
        <f t="shared" si="97"/>
        <v/>
      </c>
      <c r="O726" s="95" t="str">
        <f t="shared" si="98"/>
        <v/>
      </c>
    </row>
    <row r="727" spans="14:15" x14ac:dyDescent="0.25">
      <c r="N727" s="95" t="str">
        <f t="shared" si="97"/>
        <v/>
      </c>
      <c r="O727" s="95" t="str">
        <f t="shared" si="98"/>
        <v/>
      </c>
    </row>
    <row r="728" spans="14:15" x14ac:dyDescent="0.25">
      <c r="N728" s="95" t="str">
        <f t="shared" si="97"/>
        <v/>
      </c>
      <c r="O728" s="95" t="str">
        <f t="shared" si="98"/>
        <v/>
      </c>
    </row>
    <row r="729" spans="14:15" x14ac:dyDescent="0.25">
      <c r="N729" s="95" t="str">
        <f t="shared" si="97"/>
        <v/>
      </c>
      <c r="O729" s="95" t="str">
        <f t="shared" si="98"/>
        <v/>
      </c>
    </row>
    <row r="730" spans="14:15" x14ac:dyDescent="0.25">
      <c r="N730" s="95" t="str">
        <f t="shared" si="97"/>
        <v/>
      </c>
      <c r="O730" s="95" t="str">
        <f t="shared" si="98"/>
        <v/>
      </c>
    </row>
    <row r="731" spans="14:15" x14ac:dyDescent="0.25">
      <c r="N731" s="95" t="str">
        <f t="shared" si="97"/>
        <v/>
      </c>
      <c r="O731" s="95" t="str">
        <f t="shared" si="98"/>
        <v/>
      </c>
    </row>
    <row r="732" spans="14:15" x14ac:dyDescent="0.25">
      <c r="N732" s="95" t="str">
        <f t="shared" si="97"/>
        <v/>
      </c>
      <c r="O732" s="95" t="str">
        <f t="shared" si="98"/>
        <v/>
      </c>
    </row>
    <row r="733" spans="14:15" x14ac:dyDescent="0.25">
      <c r="N733" s="95" t="str">
        <f t="shared" si="97"/>
        <v/>
      </c>
      <c r="O733" s="95" t="str">
        <f t="shared" si="98"/>
        <v/>
      </c>
    </row>
    <row r="734" spans="14:15" x14ac:dyDescent="0.25">
      <c r="N734" s="95" t="str">
        <f t="shared" si="97"/>
        <v/>
      </c>
      <c r="O734" s="95" t="str">
        <f t="shared" si="98"/>
        <v/>
      </c>
    </row>
    <row r="735" spans="14:15" x14ac:dyDescent="0.25">
      <c r="N735" s="95" t="str">
        <f t="shared" si="97"/>
        <v/>
      </c>
      <c r="O735" s="95" t="str">
        <f t="shared" si="98"/>
        <v/>
      </c>
    </row>
    <row r="736" spans="14:15" x14ac:dyDescent="0.25">
      <c r="N736" s="95" t="str">
        <f t="shared" si="97"/>
        <v/>
      </c>
      <c r="O736" s="95" t="str">
        <f t="shared" si="98"/>
        <v/>
      </c>
    </row>
    <row r="737" spans="14:15" x14ac:dyDescent="0.25">
      <c r="N737" s="95" t="str">
        <f t="shared" si="97"/>
        <v/>
      </c>
      <c r="O737" s="95" t="str">
        <f t="shared" si="98"/>
        <v/>
      </c>
    </row>
    <row r="738" spans="14:15" x14ac:dyDescent="0.25">
      <c r="N738" s="95" t="str">
        <f t="shared" si="97"/>
        <v/>
      </c>
      <c r="O738" s="95" t="str">
        <f t="shared" si="98"/>
        <v/>
      </c>
    </row>
    <row r="739" spans="14:15" x14ac:dyDescent="0.25">
      <c r="N739" s="95" t="str">
        <f t="shared" si="97"/>
        <v/>
      </c>
      <c r="O739" s="95" t="str">
        <f t="shared" si="98"/>
        <v/>
      </c>
    </row>
    <row r="740" spans="14:15" x14ac:dyDescent="0.25">
      <c r="N740" s="95" t="str">
        <f t="shared" si="97"/>
        <v/>
      </c>
      <c r="O740" s="95" t="str">
        <f t="shared" si="98"/>
        <v/>
      </c>
    </row>
    <row r="741" spans="14:15" x14ac:dyDescent="0.25">
      <c r="N741" s="95" t="str">
        <f t="shared" si="97"/>
        <v/>
      </c>
      <c r="O741" s="95" t="str">
        <f t="shared" si="98"/>
        <v/>
      </c>
    </row>
    <row r="742" spans="14:15" x14ac:dyDescent="0.25">
      <c r="N742" s="95" t="str">
        <f t="shared" si="97"/>
        <v/>
      </c>
      <c r="O742" s="95" t="str">
        <f t="shared" si="98"/>
        <v/>
      </c>
    </row>
    <row r="743" spans="14:15" x14ac:dyDescent="0.25">
      <c r="N743" s="95" t="str">
        <f t="shared" si="97"/>
        <v/>
      </c>
      <c r="O743" s="95" t="str">
        <f t="shared" si="98"/>
        <v/>
      </c>
    </row>
    <row r="744" spans="14:15" x14ac:dyDescent="0.25">
      <c r="N744" s="95" t="str">
        <f t="shared" si="97"/>
        <v/>
      </c>
      <c r="O744" s="95" t="str">
        <f t="shared" si="98"/>
        <v/>
      </c>
    </row>
    <row r="745" spans="14:15" x14ac:dyDescent="0.25">
      <c r="N745" s="95" t="str">
        <f t="shared" si="97"/>
        <v/>
      </c>
      <c r="O745" s="95" t="str">
        <f t="shared" si="98"/>
        <v/>
      </c>
    </row>
    <row r="746" spans="14:15" x14ac:dyDescent="0.25">
      <c r="N746" s="95" t="str">
        <f t="shared" si="97"/>
        <v/>
      </c>
      <c r="O746" s="95" t="str">
        <f t="shared" si="98"/>
        <v/>
      </c>
    </row>
    <row r="747" spans="14:15" x14ac:dyDescent="0.25">
      <c r="N747" s="95" t="str">
        <f t="shared" si="97"/>
        <v/>
      </c>
      <c r="O747" s="95" t="str">
        <f t="shared" si="98"/>
        <v/>
      </c>
    </row>
    <row r="748" spans="14:15" x14ac:dyDescent="0.25">
      <c r="N748" s="95" t="str">
        <f t="shared" si="97"/>
        <v/>
      </c>
      <c r="O748" s="95" t="str">
        <f t="shared" si="98"/>
        <v/>
      </c>
    </row>
    <row r="749" spans="14:15" x14ac:dyDescent="0.25">
      <c r="N749" s="95" t="str">
        <f t="shared" si="97"/>
        <v/>
      </c>
      <c r="O749" s="95" t="str">
        <f t="shared" si="98"/>
        <v/>
      </c>
    </row>
    <row r="750" spans="14:15" x14ac:dyDescent="0.25">
      <c r="N750" s="95" t="str">
        <f t="shared" si="97"/>
        <v/>
      </c>
      <c r="O750" s="95" t="str">
        <f t="shared" si="98"/>
        <v/>
      </c>
    </row>
    <row r="751" spans="14:15" x14ac:dyDescent="0.25">
      <c r="N751" s="95" t="str">
        <f t="shared" si="97"/>
        <v/>
      </c>
      <c r="O751" s="95" t="str">
        <f t="shared" si="98"/>
        <v/>
      </c>
    </row>
    <row r="752" spans="14:15" x14ac:dyDescent="0.25">
      <c r="N752" s="95" t="str">
        <f t="shared" si="97"/>
        <v/>
      </c>
      <c r="O752" s="95" t="str">
        <f t="shared" si="98"/>
        <v/>
      </c>
    </row>
    <row r="753" spans="14:15" x14ac:dyDescent="0.25">
      <c r="N753" s="95" t="str">
        <f t="shared" si="97"/>
        <v/>
      </c>
      <c r="O753" s="95" t="str">
        <f t="shared" si="98"/>
        <v/>
      </c>
    </row>
    <row r="754" spans="14:15" x14ac:dyDescent="0.25">
      <c r="N754" s="95" t="str">
        <f t="shared" si="97"/>
        <v/>
      </c>
      <c r="O754" s="95" t="str">
        <f t="shared" si="98"/>
        <v/>
      </c>
    </row>
    <row r="755" spans="14:15" x14ac:dyDescent="0.25">
      <c r="N755" s="95" t="str">
        <f t="shared" si="97"/>
        <v/>
      </c>
      <c r="O755" s="95" t="str">
        <f t="shared" si="98"/>
        <v/>
      </c>
    </row>
    <row r="756" spans="14:15" x14ac:dyDescent="0.25">
      <c r="N756" s="95" t="str">
        <f t="shared" si="97"/>
        <v/>
      </c>
      <c r="O756" s="95" t="str">
        <f t="shared" si="98"/>
        <v/>
      </c>
    </row>
    <row r="757" spans="14:15" x14ac:dyDescent="0.25">
      <c r="N757" s="95" t="str">
        <f t="shared" si="97"/>
        <v/>
      </c>
      <c r="O757" s="95" t="str">
        <f t="shared" si="98"/>
        <v/>
      </c>
    </row>
    <row r="758" spans="14:15" x14ac:dyDescent="0.25">
      <c r="N758" s="95" t="str">
        <f t="shared" si="97"/>
        <v/>
      </c>
      <c r="O758" s="95" t="str">
        <f t="shared" si="98"/>
        <v/>
      </c>
    </row>
    <row r="759" spans="14:15" x14ac:dyDescent="0.25">
      <c r="N759" s="95" t="str">
        <f t="shared" si="97"/>
        <v/>
      </c>
      <c r="O759" s="95" t="str">
        <f t="shared" si="98"/>
        <v/>
      </c>
    </row>
    <row r="760" spans="14:15" x14ac:dyDescent="0.25">
      <c r="N760" s="95" t="str">
        <f t="shared" si="97"/>
        <v/>
      </c>
      <c r="O760" s="95" t="str">
        <f t="shared" si="98"/>
        <v/>
      </c>
    </row>
    <row r="761" spans="14:15" x14ac:dyDescent="0.25">
      <c r="N761" s="95" t="str">
        <f t="shared" si="97"/>
        <v/>
      </c>
      <c r="O761" s="95" t="str">
        <f t="shared" si="98"/>
        <v/>
      </c>
    </row>
    <row r="762" spans="14:15" x14ac:dyDescent="0.25">
      <c r="N762" s="95" t="str">
        <f t="shared" si="97"/>
        <v/>
      </c>
      <c r="O762" s="95" t="str">
        <f t="shared" si="98"/>
        <v/>
      </c>
    </row>
    <row r="763" spans="14:15" x14ac:dyDescent="0.25">
      <c r="N763" s="95" t="str">
        <f t="shared" si="97"/>
        <v/>
      </c>
      <c r="O763" s="95" t="str">
        <f t="shared" si="98"/>
        <v/>
      </c>
    </row>
    <row r="764" spans="14:15" x14ac:dyDescent="0.25">
      <c r="N764" s="95" t="str">
        <f t="shared" si="97"/>
        <v/>
      </c>
      <c r="O764" s="95" t="str">
        <f t="shared" si="98"/>
        <v/>
      </c>
    </row>
    <row r="765" spans="14:15" x14ac:dyDescent="0.25">
      <c r="N765" s="95" t="str">
        <f t="shared" si="97"/>
        <v/>
      </c>
      <c r="O765" s="95" t="str">
        <f t="shared" si="98"/>
        <v/>
      </c>
    </row>
    <row r="766" spans="14:15" x14ac:dyDescent="0.25">
      <c r="N766" s="95" t="str">
        <f t="shared" si="97"/>
        <v/>
      </c>
      <c r="O766" s="95" t="str">
        <f t="shared" si="98"/>
        <v/>
      </c>
    </row>
    <row r="767" spans="14:15" x14ac:dyDescent="0.25">
      <c r="N767" s="95" t="str">
        <f t="shared" si="97"/>
        <v/>
      </c>
      <c r="O767" s="95" t="str">
        <f t="shared" si="98"/>
        <v/>
      </c>
    </row>
    <row r="768" spans="14:15" x14ac:dyDescent="0.25">
      <c r="N768" s="95" t="str">
        <f t="shared" si="97"/>
        <v/>
      </c>
      <c r="O768" s="95" t="str">
        <f t="shared" si="98"/>
        <v/>
      </c>
    </row>
    <row r="769" spans="14:15" x14ac:dyDescent="0.25">
      <c r="N769" s="95" t="str">
        <f t="shared" si="97"/>
        <v/>
      </c>
      <c r="O769" s="95" t="str">
        <f t="shared" si="98"/>
        <v/>
      </c>
    </row>
    <row r="770" spans="14:15" x14ac:dyDescent="0.25">
      <c r="N770" s="95" t="str">
        <f t="shared" si="97"/>
        <v/>
      </c>
      <c r="O770" s="95" t="str">
        <f t="shared" si="98"/>
        <v/>
      </c>
    </row>
    <row r="771" spans="14:15" x14ac:dyDescent="0.25">
      <c r="N771" s="95" t="str">
        <f t="shared" si="97"/>
        <v/>
      </c>
      <c r="O771" s="95" t="str">
        <f t="shared" si="98"/>
        <v/>
      </c>
    </row>
    <row r="772" spans="14:15" x14ac:dyDescent="0.25">
      <c r="N772" s="95" t="str">
        <f t="shared" ref="N772:N835" si="99">IF(COUNTIF(L:L,J772)=1,J772,"")</f>
        <v/>
      </c>
      <c r="O772" s="95" t="str">
        <f t="shared" ref="O772:O835" si="100">IF(N772&gt;$A$14,N772,"")</f>
        <v/>
      </c>
    </row>
    <row r="773" spans="14:15" x14ac:dyDescent="0.25">
      <c r="N773" s="95" t="str">
        <f t="shared" si="99"/>
        <v/>
      </c>
      <c r="O773" s="95" t="str">
        <f t="shared" si="100"/>
        <v/>
      </c>
    </row>
    <row r="774" spans="14:15" x14ac:dyDescent="0.25">
      <c r="N774" s="95" t="str">
        <f t="shared" si="99"/>
        <v/>
      </c>
      <c r="O774" s="95" t="str">
        <f t="shared" si="100"/>
        <v/>
      </c>
    </row>
    <row r="775" spans="14:15" x14ac:dyDescent="0.25">
      <c r="N775" s="95" t="str">
        <f t="shared" si="99"/>
        <v/>
      </c>
      <c r="O775" s="95" t="str">
        <f t="shared" si="100"/>
        <v/>
      </c>
    </row>
    <row r="776" spans="14:15" x14ac:dyDescent="0.25">
      <c r="N776" s="95" t="str">
        <f t="shared" si="99"/>
        <v/>
      </c>
      <c r="O776" s="95" t="str">
        <f t="shared" si="100"/>
        <v/>
      </c>
    </row>
    <row r="777" spans="14:15" x14ac:dyDescent="0.25">
      <c r="N777" s="95" t="str">
        <f t="shared" si="99"/>
        <v/>
      </c>
      <c r="O777" s="95" t="str">
        <f t="shared" si="100"/>
        <v/>
      </c>
    </row>
    <row r="778" spans="14:15" x14ac:dyDescent="0.25">
      <c r="N778" s="95" t="str">
        <f t="shared" si="99"/>
        <v/>
      </c>
      <c r="O778" s="95" t="str">
        <f t="shared" si="100"/>
        <v/>
      </c>
    </row>
    <row r="779" spans="14:15" x14ac:dyDescent="0.25">
      <c r="N779" s="95" t="str">
        <f t="shared" si="99"/>
        <v/>
      </c>
      <c r="O779" s="95" t="str">
        <f t="shared" si="100"/>
        <v/>
      </c>
    </row>
    <row r="780" spans="14:15" x14ac:dyDescent="0.25">
      <c r="N780" s="95" t="str">
        <f t="shared" si="99"/>
        <v/>
      </c>
      <c r="O780" s="95" t="str">
        <f t="shared" si="100"/>
        <v/>
      </c>
    </row>
    <row r="781" spans="14:15" x14ac:dyDescent="0.25">
      <c r="N781" s="95" t="str">
        <f t="shared" si="99"/>
        <v/>
      </c>
      <c r="O781" s="95" t="str">
        <f t="shared" si="100"/>
        <v/>
      </c>
    </row>
    <row r="782" spans="14:15" x14ac:dyDescent="0.25">
      <c r="N782" s="95" t="str">
        <f t="shared" si="99"/>
        <v/>
      </c>
      <c r="O782" s="95" t="str">
        <f t="shared" si="100"/>
        <v/>
      </c>
    </row>
    <row r="783" spans="14:15" x14ac:dyDescent="0.25">
      <c r="N783" s="95" t="str">
        <f t="shared" si="99"/>
        <v/>
      </c>
      <c r="O783" s="95" t="str">
        <f t="shared" si="100"/>
        <v/>
      </c>
    </row>
    <row r="784" spans="14:15" x14ac:dyDescent="0.25">
      <c r="N784" s="95" t="str">
        <f t="shared" si="99"/>
        <v/>
      </c>
      <c r="O784" s="95" t="str">
        <f t="shared" si="100"/>
        <v/>
      </c>
    </row>
    <row r="785" spans="14:15" x14ac:dyDescent="0.25">
      <c r="N785" s="95" t="str">
        <f t="shared" si="99"/>
        <v/>
      </c>
      <c r="O785" s="95" t="str">
        <f t="shared" si="100"/>
        <v/>
      </c>
    </row>
    <row r="786" spans="14:15" x14ac:dyDescent="0.25">
      <c r="N786" s="95" t="str">
        <f t="shared" si="99"/>
        <v/>
      </c>
      <c r="O786" s="95" t="str">
        <f t="shared" si="100"/>
        <v/>
      </c>
    </row>
    <row r="787" spans="14:15" x14ac:dyDescent="0.25">
      <c r="N787" s="95" t="str">
        <f t="shared" si="99"/>
        <v/>
      </c>
      <c r="O787" s="95" t="str">
        <f t="shared" si="100"/>
        <v/>
      </c>
    </row>
    <row r="788" spans="14:15" x14ac:dyDescent="0.25">
      <c r="N788" s="95" t="str">
        <f t="shared" si="99"/>
        <v/>
      </c>
      <c r="O788" s="95" t="str">
        <f t="shared" si="100"/>
        <v/>
      </c>
    </row>
    <row r="789" spans="14:15" x14ac:dyDescent="0.25">
      <c r="N789" s="95" t="str">
        <f t="shared" si="99"/>
        <v/>
      </c>
      <c r="O789" s="95" t="str">
        <f t="shared" si="100"/>
        <v/>
      </c>
    </row>
    <row r="790" spans="14:15" x14ac:dyDescent="0.25">
      <c r="N790" s="95" t="str">
        <f t="shared" si="99"/>
        <v/>
      </c>
      <c r="O790" s="95" t="str">
        <f t="shared" si="100"/>
        <v/>
      </c>
    </row>
    <row r="791" spans="14:15" x14ac:dyDescent="0.25">
      <c r="N791" s="95" t="str">
        <f t="shared" si="99"/>
        <v/>
      </c>
      <c r="O791" s="95" t="str">
        <f t="shared" si="100"/>
        <v/>
      </c>
    </row>
    <row r="792" spans="14:15" x14ac:dyDescent="0.25">
      <c r="N792" s="95" t="str">
        <f t="shared" si="99"/>
        <v/>
      </c>
      <c r="O792" s="95" t="str">
        <f t="shared" si="100"/>
        <v/>
      </c>
    </row>
    <row r="793" spans="14:15" x14ac:dyDescent="0.25">
      <c r="N793" s="95" t="str">
        <f t="shared" si="99"/>
        <v/>
      </c>
      <c r="O793" s="95" t="str">
        <f t="shared" si="100"/>
        <v/>
      </c>
    </row>
    <row r="794" spans="14:15" x14ac:dyDescent="0.25">
      <c r="N794" s="95" t="str">
        <f t="shared" si="99"/>
        <v/>
      </c>
      <c r="O794" s="95" t="str">
        <f t="shared" si="100"/>
        <v/>
      </c>
    </row>
    <row r="795" spans="14:15" x14ac:dyDescent="0.25">
      <c r="N795" s="95" t="str">
        <f t="shared" si="99"/>
        <v/>
      </c>
      <c r="O795" s="95" t="str">
        <f t="shared" si="100"/>
        <v/>
      </c>
    </row>
    <row r="796" spans="14:15" x14ac:dyDescent="0.25">
      <c r="N796" s="95" t="str">
        <f t="shared" si="99"/>
        <v/>
      </c>
      <c r="O796" s="95" t="str">
        <f t="shared" si="100"/>
        <v/>
      </c>
    </row>
    <row r="797" spans="14:15" x14ac:dyDescent="0.25">
      <c r="N797" s="95" t="str">
        <f t="shared" si="99"/>
        <v/>
      </c>
      <c r="O797" s="95" t="str">
        <f t="shared" si="100"/>
        <v/>
      </c>
    </row>
    <row r="798" spans="14:15" x14ac:dyDescent="0.25">
      <c r="N798" s="95" t="str">
        <f t="shared" si="99"/>
        <v/>
      </c>
      <c r="O798" s="95" t="str">
        <f t="shared" si="100"/>
        <v/>
      </c>
    </row>
    <row r="799" spans="14:15" x14ac:dyDescent="0.25">
      <c r="N799" s="95" t="str">
        <f t="shared" si="99"/>
        <v/>
      </c>
      <c r="O799" s="95" t="str">
        <f t="shared" si="100"/>
        <v/>
      </c>
    </row>
    <row r="800" spans="14:15" x14ac:dyDescent="0.25">
      <c r="N800" s="95" t="str">
        <f t="shared" si="99"/>
        <v/>
      </c>
      <c r="O800" s="95" t="str">
        <f t="shared" si="100"/>
        <v/>
      </c>
    </row>
    <row r="801" spans="14:15" x14ac:dyDescent="0.25">
      <c r="N801" s="95" t="str">
        <f t="shared" si="99"/>
        <v/>
      </c>
      <c r="O801" s="95" t="str">
        <f t="shared" si="100"/>
        <v/>
      </c>
    </row>
    <row r="802" spans="14:15" x14ac:dyDescent="0.25">
      <c r="N802" s="95" t="str">
        <f t="shared" si="99"/>
        <v/>
      </c>
      <c r="O802" s="95" t="str">
        <f t="shared" si="100"/>
        <v/>
      </c>
    </row>
    <row r="803" spans="14:15" x14ac:dyDescent="0.25">
      <c r="N803" s="95" t="str">
        <f t="shared" si="99"/>
        <v/>
      </c>
      <c r="O803" s="95" t="str">
        <f t="shared" si="100"/>
        <v/>
      </c>
    </row>
    <row r="804" spans="14:15" x14ac:dyDescent="0.25">
      <c r="N804" s="95" t="str">
        <f t="shared" si="99"/>
        <v/>
      </c>
      <c r="O804" s="95" t="str">
        <f t="shared" si="100"/>
        <v/>
      </c>
    </row>
    <row r="805" spans="14:15" x14ac:dyDescent="0.25">
      <c r="N805" s="95" t="str">
        <f t="shared" si="99"/>
        <v/>
      </c>
      <c r="O805" s="95" t="str">
        <f t="shared" si="100"/>
        <v/>
      </c>
    </row>
    <row r="806" spans="14:15" x14ac:dyDescent="0.25">
      <c r="N806" s="95" t="str">
        <f t="shared" si="99"/>
        <v/>
      </c>
      <c r="O806" s="95" t="str">
        <f t="shared" si="100"/>
        <v/>
      </c>
    </row>
    <row r="807" spans="14:15" x14ac:dyDescent="0.25">
      <c r="N807" s="95" t="str">
        <f t="shared" si="99"/>
        <v/>
      </c>
      <c r="O807" s="95" t="str">
        <f t="shared" si="100"/>
        <v/>
      </c>
    </row>
    <row r="808" spans="14:15" x14ac:dyDescent="0.25">
      <c r="N808" s="95" t="str">
        <f t="shared" si="99"/>
        <v/>
      </c>
      <c r="O808" s="95" t="str">
        <f t="shared" si="100"/>
        <v/>
      </c>
    </row>
    <row r="809" spans="14:15" x14ac:dyDescent="0.25">
      <c r="N809" s="95" t="str">
        <f t="shared" si="99"/>
        <v/>
      </c>
      <c r="O809" s="95" t="str">
        <f t="shared" si="100"/>
        <v/>
      </c>
    </row>
    <row r="810" spans="14:15" x14ac:dyDescent="0.25">
      <c r="N810" s="95" t="str">
        <f t="shared" si="99"/>
        <v/>
      </c>
      <c r="O810" s="95" t="str">
        <f t="shared" si="100"/>
        <v/>
      </c>
    </row>
    <row r="811" spans="14:15" x14ac:dyDescent="0.25">
      <c r="N811" s="95" t="str">
        <f t="shared" si="99"/>
        <v/>
      </c>
      <c r="O811" s="95" t="str">
        <f t="shared" si="100"/>
        <v/>
      </c>
    </row>
    <row r="812" spans="14:15" x14ac:dyDescent="0.25">
      <c r="N812" s="95" t="str">
        <f t="shared" si="99"/>
        <v/>
      </c>
      <c r="O812" s="95" t="str">
        <f t="shared" si="100"/>
        <v/>
      </c>
    </row>
    <row r="813" spans="14:15" x14ac:dyDescent="0.25">
      <c r="N813" s="95" t="str">
        <f t="shared" si="99"/>
        <v/>
      </c>
      <c r="O813" s="95" t="str">
        <f t="shared" si="100"/>
        <v/>
      </c>
    </row>
    <row r="814" spans="14:15" x14ac:dyDescent="0.25">
      <c r="N814" s="95" t="str">
        <f t="shared" si="99"/>
        <v/>
      </c>
      <c r="O814" s="95" t="str">
        <f t="shared" si="100"/>
        <v/>
      </c>
    </row>
    <row r="815" spans="14:15" x14ac:dyDescent="0.25">
      <c r="N815" s="95" t="str">
        <f t="shared" si="99"/>
        <v/>
      </c>
      <c r="O815" s="95" t="str">
        <f t="shared" si="100"/>
        <v/>
      </c>
    </row>
    <row r="816" spans="14:15" x14ac:dyDescent="0.25">
      <c r="N816" s="95" t="str">
        <f t="shared" si="99"/>
        <v/>
      </c>
      <c r="O816" s="95" t="str">
        <f t="shared" si="100"/>
        <v/>
      </c>
    </row>
    <row r="817" spans="14:15" x14ac:dyDescent="0.25">
      <c r="N817" s="95" t="str">
        <f t="shared" si="99"/>
        <v/>
      </c>
      <c r="O817" s="95" t="str">
        <f t="shared" si="100"/>
        <v/>
      </c>
    </row>
    <row r="818" spans="14:15" x14ac:dyDescent="0.25">
      <c r="N818" s="95" t="str">
        <f t="shared" si="99"/>
        <v/>
      </c>
      <c r="O818" s="95" t="str">
        <f t="shared" si="100"/>
        <v/>
      </c>
    </row>
    <row r="819" spans="14:15" x14ac:dyDescent="0.25">
      <c r="N819" s="95" t="str">
        <f t="shared" si="99"/>
        <v/>
      </c>
      <c r="O819" s="95" t="str">
        <f t="shared" si="100"/>
        <v/>
      </c>
    </row>
    <row r="820" spans="14:15" x14ac:dyDescent="0.25">
      <c r="N820" s="95" t="str">
        <f t="shared" si="99"/>
        <v/>
      </c>
      <c r="O820" s="95" t="str">
        <f t="shared" si="100"/>
        <v/>
      </c>
    </row>
    <row r="821" spans="14:15" x14ac:dyDescent="0.25">
      <c r="N821" s="95" t="str">
        <f t="shared" si="99"/>
        <v/>
      </c>
      <c r="O821" s="95" t="str">
        <f t="shared" si="100"/>
        <v/>
      </c>
    </row>
    <row r="822" spans="14:15" x14ac:dyDescent="0.25">
      <c r="N822" s="95" t="str">
        <f t="shared" si="99"/>
        <v/>
      </c>
      <c r="O822" s="95" t="str">
        <f t="shared" si="100"/>
        <v/>
      </c>
    </row>
    <row r="823" spans="14:15" x14ac:dyDescent="0.25">
      <c r="N823" s="95" t="str">
        <f t="shared" si="99"/>
        <v/>
      </c>
      <c r="O823" s="95" t="str">
        <f t="shared" si="100"/>
        <v/>
      </c>
    </row>
    <row r="824" spans="14:15" x14ac:dyDescent="0.25">
      <c r="N824" s="95" t="str">
        <f t="shared" si="99"/>
        <v/>
      </c>
      <c r="O824" s="95" t="str">
        <f t="shared" si="100"/>
        <v/>
      </c>
    </row>
    <row r="825" spans="14:15" x14ac:dyDescent="0.25">
      <c r="N825" s="95" t="str">
        <f t="shared" si="99"/>
        <v/>
      </c>
      <c r="O825" s="95" t="str">
        <f t="shared" si="100"/>
        <v/>
      </c>
    </row>
    <row r="826" spans="14:15" x14ac:dyDescent="0.25">
      <c r="N826" s="95" t="str">
        <f t="shared" si="99"/>
        <v/>
      </c>
      <c r="O826" s="95" t="str">
        <f t="shared" si="100"/>
        <v/>
      </c>
    </row>
    <row r="827" spans="14:15" x14ac:dyDescent="0.25">
      <c r="N827" s="95" t="str">
        <f t="shared" si="99"/>
        <v/>
      </c>
      <c r="O827" s="95" t="str">
        <f t="shared" si="100"/>
        <v/>
      </c>
    </row>
    <row r="828" spans="14:15" x14ac:dyDescent="0.25">
      <c r="N828" s="95" t="str">
        <f t="shared" si="99"/>
        <v/>
      </c>
      <c r="O828" s="95" t="str">
        <f t="shared" si="100"/>
        <v/>
      </c>
    </row>
    <row r="829" spans="14:15" x14ac:dyDescent="0.25">
      <c r="N829" s="95" t="str">
        <f t="shared" si="99"/>
        <v/>
      </c>
      <c r="O829" s="95" t="str">
        <f t="shared" si="100"/>
        <v/>
      </c>
    </row>
    <row r="830" spans="14:15" x14ac:dyDescent="0.25">
      <c r="N830" s="95" t="str">
        <f t="shared" si="99"/>
        <v/>
      </c>
      <c r="O830" s="95" t="str">
        <f t="shared" si="100"/>
        <v/>
      </c>
    </row>
    <row r="831" spans="14:15" x14ac:dyDescent="0.25">
      <c r="N831" s="95" t="str">
        <f t="shared" si="99"/>
        <v/>
      </c>
      <c r="O831" s="95" t="str">
        <f t="shared" si="100"/>
        <v/>
      </c>
    </row>
    <row r="832" spans="14:15" x14ac:dyDescent="0.25">
      <c r="N832" s="95" t="str">
        <f t="shared" si="99"/>
        <v/>
      </c>
      <c r="O832" s="95" t="str">
        <f t="shared" si="100"/>
        <v/>
      </c>
    </row>
    <row r="833" spans="14:15" x14ac:dyDescent="0.25">
      <c r="N833" s="95" t="str">
        <f t="shared" si="99"/>
        <v/>
      </c>
      <c r="O833" s="95" t="str">
        <f t="shared" si="100"/>
        <v/>
      </c>
    </row>
    <row r="834" spans="14:15" x14ac:dyDescent="0.25">
      <c r="N834" s="95" t="str">
        <f t="shared" si="99"/>
        <v/>
      </c>
      <c r="O834" s="95" t="str">
        <f t="shared" si="100"/>
        <v/>
      </c>
    </row>
    <row r="835" spans="14:15" x14ac:dyDescent="0.25">
      <c r="N835" s="95" t="str">
        <f t="shared" si="99"/>
        <v/>
      </c>
      <c r="O835" s="95" t="str">
        <f t="shared" si="100"/>
        <v/>
      </c>
    </row>
    <row r="836" spans="14:15" x14ac:dyDescent="0.25">
      <c r="N836" s="95" t="str">
        <f t="shared" ref="N836:N899" si="101">IF(COUNTIF(L:L,J836)=1,J836,"")</f>
        <v/>
      </c>
      <c r="O836" s="95" t="str">
        <f t="shared" ref="O836:O899" si="102">IF(N836&gt;$A$14,N836,"")</f>
        <v/>
      </c>
    </row>
    <row r="837" spans="14:15" x14ac:dyDescent="0.25">
      <c r="N837" s="95" t="str">
        <f t="shared" si="101"/>
        <v/>
      </c>
      <c r="O837" s="95" t="str">
        <f t="shared" si="102"/>
        <v/>
      </c>
    </row>
    <row r="838" spans="14:15" x14ac:dyDescent="0.25">
      <c r="N838" s="95" t="str">
        <f t="shared" si="101"/>
        <v/>
      </c>
      <c r="O838" s="95" t="str">
        <f t="shared" si="102"/>
        <v/>
      </c>
    </row>
    <row r="839" spans="14:15" x14ac:dyDescent="0.25">
      <c r="N839" s="95" t="str">
        <f t="shared" si="101"/>
        <v/>
      </c>
      <c r="O839" s="95" t="str">
        <f t="shared" si="102"/>
        <v/>
      </c>
    </row>
    <row r="840" spans="14:15" x14ac:dyDescent="0.25">
      <c r="N840" s="95" t="str">
        <f t="shared" si="101"/>
        <v/>
      </c>
      <c r="O840" s="95" t="str">
        <f t="shared" si="102"/>
        <v/>
      </c>
    </row>
    <row r="841" spans="14:15" x14ac:dyDescent="0.25">
      <c r="N841" s="95" t="str">
        <f t="shared" si="101"/>
        <v/>
      </c>
      <c r="O841" s="95" t="str">
        <f t="shared" si="102"/>
        <v/>
      </c>
    </row>
    <row r="842" spans="14:15" x14ac:dyDescent="0.25">
      <c r="N842" s="95" t="str">
        <f t="shared" si="101"/>
        <v/>
      </c>
      <c r="O842" s="95" t="str">
        <f t="shared" si="102"/>
        <v/>
      </c>
    </row>
    <row r="843" spans="14:15" x14ac:dyDescent="0.25">
      <c r="N843" s="95" t="str">
        <f t="shared" si="101"/>
        <v/>
      </c>
      <c r="O843" s="95" t="str">
        <f t="shared" si="102"/>
        <v/>
      </c>
    </row>
    <row r="844" spans="14:15" x14ac:dyDescent="0.25">
      <c r="N844" s="95" t="str">
        <f t="shared" si="101"/>
        <v/>
      </c>
      <c r="O844" s="95" t="str">
        <f t="shared" si="102"/>
        <v/>
      </c>
    </row>
    <row r="845" spans="14:15" x14ac:dyDescent="0.25">
      <c r="N845" s="95" t="str">
        <f t="shared" si="101"/>
        <v/>
      </c>
      <c r="O845" s="95" t="str">
        <f t="shared" si="102"/>
        <v/>
      </c>
    </row>
    <row r="846" spans="14:15" x14ac:dyDescent="0.25">
      <c r="N846" s="95" t="str">
        <f t="shared" si="101"/>
        <v/>
      </c>
      <c r="O846" s="95" t="str">
        <f t="shared" si="102"/>
        <v/>
      </c>
    </row>
    <row r="847" spans="14:15" x14ac:dyDescent="0.25">
      <c r="N847" s="95" t="str">
        <f t="shared" si="101"/>
        <v/>
      </c>
      <c r="O847" s="95" t="str">
        <f t="shared" si="102"/>
        <v/>
      </c>
    </row>
    <row r="848" spans="14:15" x14ac:dyDescent="0.25">
      <c r="N848" s="95" t="str">
        <f t="shared" si="101"/>
        <v/>
      </c>
      <c r="O848" s="95" t="str">
        <f t="shared" si="102"/>
        <v/>
      </c>
    </row>
    <row r="849" spans="14:15" x14ac:dyDescent="0.25">
      <c r="N849" s="95" t="str">
        <f t="shared" si="101"/>
        <v/>
      </c>
      <c r="O849" s="95" t="str">
        <f t="shared" si="102"/>
        <v/>
      </c>
    </row>
    <row r="850" spans="14:15" x14ac:dyDescent="0.25">
      <c r="N850" s="95" t="str">
        <f t="shared" si="101"/>
        <v/>
      </c>
      <c r="O850" s="95" t="str">
        <f t="shared" si="102"/>
        <v/>
      </c>
    </row>
    <row r="851" spans="14:15" x14ac:dyDescent="0.25">
      <c r="N851" s="95" t="str">
        <f t="shared" si="101"/>
        <v/>
      </c>
      <c r="O851" s="95" t="str">
        <f t="shared" si="102"/>
        <v/>
      </c>
    </row>
    <row r="852" spans="14:15" x14ac:dyDescent="0.25">
      <c r="N852" s="95" t="str">
        <f t="shared" si="101"/>
        <v/>
      </c>
      <c r="O852" s="95" t="str">
        <f t="shared" si="102"/>
        <v/>
      </c>
    </row>
    <row r="853" spans="14:15" x14ac:dyDescent="0.25">
      <c r="N853" s="95" t="str">
        <f t="shared" si="101"/>
        <v/>
      </c>
      <c r="O853" s="95" t="str">
        <f t="shared" si="102"/>
        <v/>
      </c>
    </row>
    <row r="854" spans="14:15" x14ac:dyDescent="0.25">
      <c r="N854" s="95" t="str">
        <f t="shared" si="101"/>
        <v/>
      </c>
      <c r="O854" s="95" t="str">
        <f t="shared" si="102"/>
        <v/>
      </c>
    </row>
    <row r="855" spans="14:15" x14ac:dyDescent="0.25">
      <c r="N855" s="95" t="str">
        <f t="shared" si="101"/>
        <v/>
      </c>
      <c r="O855" s="95" t="str">
        <f t="shared" si="102"/>
        <v/>
      </c>
    </row>
    <row r="856" spans="14:15" x14ac:dyDescent="0.25">
      <c r="N856" s="95" t="str">
        <f t="shared" si="101"/>
        <v/>
      </c>
      <c r="O856" s="95" t="str">
        <f t="shared" si="102"/>
        <v/>
      </c>
    </row>
    <row r="857" spans="14:15" x14ac:dyDescent="0.25">
      <c r="N857" s="95" t="str">
        <f t="shared" si="101"/>
        <v/>
      </c>
      <c r="O857" s="95" t="str">
        <f t="shared" si="102"/>
        <v/>
      </c>
    </row>
    <row r="858" spans="14:15" x14ac:dyDescent="0.25">
      <c r="N858" s="95" t="str">
        <f t="shared" si="101"/>
        <v/>
      </c>
      <c r="O858" s="95" t="str">
        <f t="shared" si="102"/>
        <v/>
      </c>
    </row>
    <row r="859" spans="14:15" x14ac:dyDescent="0.25">
      <c r="N859" s="95" t="str">
        <f t="shared" si="101"/>
        <v/>
      </c>
      <c r="O859" s="95" t="str">
        <f t="shared" si="102"/>
        <v/>
      </c>
    </row>
    <row r="860" spans="14:15" x14ac:dyDescent="0.25">
      <c r="N860" s="95" t="str">
        <f t="shared" si="101"/>
        <v/>
      </c>
      <c r="O860" s="95" t="str">
        <f t="shared" si="102"/>
        <v/>
      </c>
    </row>
    <row r="861" spans="14:15" x14ac:dyDescent="0.25">
      <c r="N861" s="95" t="str">
        <f t="shared" si="101"/>
        <v/>
      </c>
      <c r="O861" s="95" t="str">
        <f t="shared" si="102"/>
        <v/>
      </c>
    </row>
    <row r="862" spans="14:15" x14ac:dyDescent="0.25">
      <c r="N862" s="95" t="str">
        <f t="shared" si="101"/>
        <v/>
      </c>
      <c r="O862" s="95" t="str">
        <f t="shared" si="102"/>
        <v/>
      </c>
    </row>
    <row r="863" spans="14:15" x14ac:dyDescent="0.25">
      <c r="N863" s="95" t="str">
        <f t="shared" si="101"/>
        <v/>
      </c>
      <c r="O863" s="95" t="str">
        <f t="shared" si="102"/>
        <v/>
      </c>
    </row>
    <row r="864" spans="14:15" x14ac:dyDescent="0.25">
      <c r="N864" s="95" t="str">
        <f t="shared" si="101"/>
        <v/>
      </c>
      <c r="O864" s="95" t="str">
        <f t="shared" si="102"/>
        <v/>
      </c>
    </row>
    <row r="865" spans="14:15" x14ac:dyDescent="0.25">
      <c r="N865" s="95" t="str">
        <f t="shared" si="101"/>
        <v/>
      </c>
      <c r="O865" s="95" t="str">
        <f t="shared" si="102"/>
        <v/>
      </c>
    </row>
    <row r="866" spans="14:15" x14ac:dyDescent="0.25">
      <c r="N866" s="95" t="str">
        <f t="shared" si="101"/>
        <v/>
      </c>
      <c r="O866" s="95" t="str">
        <f t="shared" si="102"/>
        <v/>
      </c>
    </row>
    <row r="867" spans="14:15" x14ac:dyDescent="0.25">
      <c r="N867" s="95" t="str">
        <f t="shared" si="101"/>
        <v/>
      </c>
      <c r="O867" s="95" t="str">
        <f t="shared" si="102"/>
        <v/>
      </c>
    </row>
    <row r="868" spans="14:15" x14ac:dyDescent="0.25">
      <c r="N868" s="95" t="str">
        <f t="shared" si="101"/>
        <v/>
      </c>
      <c r="O868" s="95" t="str">
        <f t="shared" si="102"/>
        <v/>
      </c>
    </row>
    <row r="869" spans="14:15" x14ac:dyDescent="0.25">
      <c r="N869" s="95" t="str">
        <f t="shared" si="101"/>
        <v/>
      </c>
      <c r="O869" s="95" t="str">
        <f t="shared" si="102"/>
        <v/>
      </c>
    </row>
    <row r="870" spans="14:15" x14ac:dyDescent="0.25">
      <c r="N870" s="95" t="str">
        <f t="shared" si="101"/>
        <v/>
      </c>
      <c r="O870" s="95" t="str">
        <f t="shared" si="102"/>
        <v/>
      </c>
    </row>
    <row r="871" spans="14:15" x14ac:dyDescent="0.25">
      <c r="N871" s="95" t="str">
        <f t="shared" si="101"/>
        <v/>
      </c>
      <c r="O871" s="95" t="str">
        <f t="shared" si="102"/>
        <v/>
      </c>
    </row>
    <row r="872" spans="14:15" x14ac:dyDescent="0.25">
      <c r="N872" s="95" t="str">
        <f t="shared" si="101"/>
        <v/>
      </c>
      <c r="O872" s="95" t="str">
        <f t="shared" si="102"/>
        <v/>
      </c>
    </row>
    <row r="873" spans="14:15" x14ac:dyDescent="0.25">
      <c r="N873" s="95" t="str">
        <f t="shared" si="101"/>
        <v/>
      </c>
      <c r="O873" s="95" t="str">
        <f t="shared" si="102"/>
        <v/>
      </c>
    </row>
    <row r="874" spans="14:15" x14ac:dyDescent="0.25">
      <c r="N874" s="95" t="str">
        <f t="shared" si="101"/>
        <v/>
      </c>
      <c r="O874" s="95" t="str">
        <f t="shared" si="102"/>
        <v/>
      </c>
    </row>
    <row r="875" spans="14:15" x14ac:dyDescent="0.25">
      <c r="N875" s="95" t="str">
        <f t="shared" si="101"/>
        <v/>
      </c>
      <c r="O875" s="95" t="str">
        <f t="shared" si="102"/>
        <v/>
      </c>
    </row>
    <row r="876" spans="14:15" x14ac:dyDescent="0.25">
      <c r="N876" s="95" t="str">
        <f t="shared" si="101"/>
        <v/>
      </c>
      <c r="O876" s="95" t="str">
        <f t="shared" si="102"/>
        <v/>
      </c>
    </row>
    <row r="877" spans="14:15" x14ac:dyDescent="0.25">
      <c r="N877" s="95" t="str">
        <f t="shared" si="101"/>
        <v/>
      </c>
      <c r="O877" s="95" t="str">
        <f t="shared" si="102"/>
        <v/>
      </c>
    </row>
    <row r="878" spans="14:15" x14ac:dyDescent="0.25">
      <c r="N878" s="95" t="str">
        <f t="shared" si="101"/>
        <v/>
      </c>
      <c r="O878" s="95" t="str">
        <f t="shared" si="102"/>
        <v/>
      </c>
    </row>
    <row r="879" spans="14:15" x14ac:dyDescent="0.25">
      <c r="N879" s="95" t="str">
        <f t="shared" si="101"/>
        <v/>
      </c>
      <c r="O879" s="95" t="str">
        <f t="shared" si="102"/>
        <v/>
      </c>
    </row>
    <row r="880" spans="14:15" x14ac:dyDescent="0.25">
      <c r="N880" s="95" t="str">
        <f t="shared" si="101"/>
        <v/>
      </c>
      <c r="O880" s="95" t="str">
        <f t="shared" si="102"/>
        <v/>
      </c>
    </row>
    <row r="881" spans="14:15" x14ac:dyDescent="0.25">
      <c r="N881" s="95" t="str">
        <f t="shared" si="101"/>
        <v/>
      </c>
      <c r="O881" s="95" t="str">
        <f t="shared" si="102"/>
        <v/>
      </c>
    </row>
    <row r="882" spans="14:15" x14ac:dyDescent="0.25">
      <c r="N882" s="95" t="str">
        <f t="shared" si="101"/>
        <v/>
      </c>
      <c r="O882" s="95" t="str">
        <f t="shared" si="102"/>
        <v/>
      </c>
    </row>
    <row r="883" spans="14:15" x14ac:dyDescent="0.25">
      <c r="N883" s="95" t="str">
        <f t="shared" si="101"/>
        <v/>
      </c>
      <c r="O883" s="95" t="str">
        <f t="shared" si="102"/>
        <v/>
      </c>
    </row>
    <row r="884" spans="14:15" x14ac:dyDescent="0.25">
      <c r="N884" s="95" t="str">
        <f t="shared" si="101"/>
        <v/>
      </c>
      <c r="O884" s="95" t="str">
        <f t="shared" si="102"/>
        <v/>
      </c>
    </row>
    <row r="885" spans="14:15" x14ac:dyDescent="0.25">
      <c r="N885" s="95" t="str">
        <f t="shared" si="101"/>
        <v/>
      </c>
      <c r="O885" s="95" t="str">
        <f t="shared" si="102"/>
        <v/>
      </c>
    </row>
    <row r="886" spans="14:15" x14ac:dyDescent="0.25">
      <c r="N886" s="95" t="str">
        <f t="shared" si="101"/>
        <v/>
      </c>
      <c r="O886" s="95" t="str">
        <f t="shared" si="102"/>
        <v/>
      </c>
    </row>
    <row r="887" spans="14:15" x14ac:dyDescent="0.25">
      <c r="N887" s="95" t="str">
        <f t="shared" si="101"/>
        <v/>
      </c>
      <c r="O887" s="95" t="str">
        <f t="shared" si="102"/>
        <v/>
      </c>
    </row>
    <row r="888" spans="14:15" x14ac:dyDescent="0.25">
      <c r="N888" s="95" t="str">
        <f t="shared" si="101"/>
        <v/>
      </c>
      <c r="O888" s="95" t="str">
        <f t="shared" si="102"/>
        <v/>
      </c>
    </row>
    <row r="889" spans="14:15" x14ac:dyDescent="0.25">
      <c r="N889" s="95" t="str">
        <f t="shared" si="101"/>
        <v/>
      </c>
      <c r="O889" s="95" t="str">
        <f t="shared" si="102"/>
        <v/>
      </c>
    </row>
    <row r="890" spans="14:15" x14ac:dyDescent="0.25">
      <c r="N890" s="95" t="str">
        <f t="shared" si="101"/>
        <v/>
      </c>
      <c r="O890" s="95" t="str">
        <f t="shared" si="102"/>
        <v/>
      </c>
    </row>
    <row r="891" spans="14:15" x14ac:dyDescent="0.25">
      <c r="N891" s="95" t="str">
        <f t="shared" si="101"/>
        <v/>
      </c>
      <c r="O891" s="95" t="str">
        <f t="shared" si="102"/>
        <v/>
      </c>
    </row>
    <row r="892" spans="14:15" x14ac:dyDescent="0.25">
      <c r="N892" s="95" t="str">
        <f t="shared" si="101"/>
        <v/>
      </c>
      <c r="O892" s="95" t="str">
        <f t="shared" si="102"/>
        <v/>
      </c>
    </row>
    <row r="893" spans="14:15" x14ac:dyDescent="0.25">
      <c r="N893" s="95" t="str">
        <f t="shared" si="101"/>
        <v/>
      </c>
      <c r="O893" s="95" t="str">
        <f t="shared" si="102"/>
        <v/>
      </c>
    </row>
    <row r="894" spans="14:15" x14ac:dyDescent="0.25">
      <c r="N894" s="95" t="str">
        <f t="shared" si="101"/>
        <v/>
      </c>
      <c r="O894" s="95" t="str">
        <f t="shared" si="102"/>
        <v/>
      </c>
    </row>
    <row r="895" spans="14:15" x14ac:dyDescent="0.25">
      <c r="N895" s="95" t="str">
        <f t="shared" si="101"/>
        <v/>
      </c>
      <c r="O895" s="95" t="str">
        <f t="shared" si="102"/>
        <v/>
      </c>
    </row>
    <row r="896" spans="14:15" x14ac:dyDescent="0.25">
      <c r="N896" s="95" t="str">
        <f t="shared" si="101"/>
        <v/>
      </c>
      <c r="O896" s="95" t="str">
        <f t="shared" si="102"/>
        <v/>
      </c>
    </row>
    <row r="897" spans="14:15" x14ac:dyDescent="0.25">
      <c r="N897" s="95" t="str">
        <f t="shared" si="101"/>
        <v/>
      </c>
      <c r="O897" s="95" t="str">
        <f t="shared" si="102"/>
        <v/>
      </c>
    </row>
    <row r="898" spans="14:15" x14ac:dyDescent="0.25">
      <c r="N898" s="95" t="str">
        <f t="shared" si="101"/>
        <v/>
      </c>
      <c r="O898" s="95" t="str">
        <f t="shared" si="102"/>
        <v/>
      </c>
    </row>
    <row r="899" spans="14:15" x14ac:dyDescent="0.25">
      <c r="N899" s="95" t="str">
        <f t="shared" si="101"/>
        <v/>
      </c>
      <c r="O899" s="95" t="str">
        <f t="shared" si="102"/>
        <v/>
      </c>
    </row>
    <row r="900" spans="14:15" x14ac:dyDescent="0.25">
      <c r="N900" s="95" t="str">
        <f t="shared" ref="N900:N963" si="103">IF(COUNTIF(L:L,J900)=1,J900,"")</f>
        <v/>
      </c>
      <c r="O900" s="95" t="str">
        <f t="shared" ref="O900:O963" si="104">IF(N900&gt;$A$14,N900,"")</f>
        <v/>
      </c>
    </row>
    <row r="901" spans="14:15" x14ac:dyDescent="0.25">
      <c r="N901" s="95" t="str">
        <f t="shared" si="103"/>
        <v/>
      </c>
      <c r="O901" s="95" t="str">
        <f t="shared" si="104"/>
        <v/>
      </c>
    </row>
    <row r="902" spans="14:15" x14ac:dyDescent="0.25">
      <c r="N902" s="95" t="str">
        <f t="shared" si="103"/>
        <v/>
      </c>
      <c r="O902" s="95" t="str">
        <f t="shared" si="104"/>
        <v/>
      </c>
    </row>
    <row r="903" spans="14:15" x14ac:dyDescent="0.25">
      <c r="N903" s="95" t="str">
        <f t="shared" si="103"/>
        <v/>
      </c>
      <c r="O903" s="95" t="str">
        <f t="shared" si="104"/>
        <v/>
      </c>
    </row>
    <row r="904" spans="14:15" x14ac:dyDescent="0.25">
      <c r="N904" s="95" t="str">
        <f t="shared" si="103"/>
        <v/>
      </c>
      <c r="O904" s="95" t="str">
        <f t="shared" si="104"/>
        <v/>
      </c>
    </row>
    <row r="905" spans="14:15" x14ac:dyDescent="0.25">
      <c r="N905" s="95" t="str">
        <f t="shared" si="103"/>
        <v/>
      </c>
      <c r="O905" s="95" t="str">
        <f t="shared" si="104"/>
        <v/>
      </c>
    </row>
    <row r="906" spans="14:15" x14ac:dyDescent="0.25">
      <c r="N906" s="95" t="str">
        <f t="shared" si="103"/>
        <v/>
      </c>
      <c r="O906" s="95" t="str">
        <f t="shared" si="104"/>
        <v/>
      </c>
    </row>
    <row r="907" spans="14:15" x14ac:dyDescent="0.25">
      <c r="N907" s="95" t="str">
        <f t="shared" si="103"/>
        <v/>
      </c>
      <c r="O907" s="95" t="str">
        <f t="shared" si="104"/>
        <v/>
      </c>
    </row>
    <row r="908" spans="14:15" x14ac:dyDescent="0.25">
      <c r="N908" s="95" t="str">
        <f t="shared" si="103"/>
        <v/>
      </c>
      <c r="O908" s="95" t="str">
        <f t="shared" si="104"/>
        <v/>
      </c>
    </row>
    <row r="909" spans="14:15" x14ac:dyDescent="0.25">
      <c r="N909" s="95" t="str">
        <f t="shared" si="103"/>
        <v/>
      </c>
      <c r="O909" s="95" t="str">
        <f t="shared" si="104"/>
        <v/>
      </c>
    </row>
    <row r="910" spans="14:15" x14ac:dyDescent="0.25">
      <c r="N910" s="95" t="str">
        <f t="shared" si="103"/>
        <v/>
      </c>
      <c r="O910" s="95" t="str">
        <f t="shared" si="104"/>
        <v/>
      </c>
    </row>
    <row r="911" spans="14:15" x14ac:dyDescent="0.25">
      <c r="N911" s="95" t="str">
        <f t="shared" si="103"/>
        <v/>
      </c>
      <c r="O911" s="95" t="str">
        <f t="shared" si="104"/>
        <v/>
      </c>
    </row>
    <row r="912" spans="14:15" x14ac:dyDescent="0.25">
      <c r="N912" s="95" t="str">
        <f t="shared" si="103"/>
        <v/>
      </c>
      <c r="O912" s="95" t="str">
        <f t="shared" si="104"/>
        <v/>
      </c>
    </row>
    <row r="913" spans="14:15" x14ac:dyDescent="0.25">
      <c r="N913" s="95" t="str">
        <f t="shared" si="103"/>
        <v/>
      </c>
      <c r="O913" s="95" t="str">
        <f t="shared" si="104"/>
        <v/>
      </c>
    </row>
    <row r="914" spans="14:15" x14ac:dyDescent="0.25">
      <c r="N914" s="95" t="str">
        <f t="shared" si="103"/>
        <v/>
      </c>
      <c r="O914" s="95" t="str">
        <f t="shared" si="104"/>
        <v/>
      </c>
    </row>
    <row r="915" spans="14:15" x14ac:dyDescent="0.25">
      <c r="N915" s="95" t="str">
        <f t="shared" si="103"/>
        <v/>
      </c>
      <c r="O915" s="95" t="str">
        <f t="shared" si="104"/>
        <v/>
      </c>
    </row>
    <row r="916" spans="14:15" x14ac:dyDescent="0.25">
      <c r="N916" s="95" t="str">
        <f t="shared" si="103"/>
        <v/>
      </c>
      <c r="O916" s="95" t="str">
        <f t="shared" si="104"/>
        <v/>
      </c>
    </row>
    <row r="917" spans="14:15" x14ac:dyDescent="0.25">
      <c r="N917" s="95" t="str">
        <f t="shared" si="103"/>
        <v/>
      </c>
      <c r="O917" s="95" t="str">
        <f t="shared" si="104"/>
        <v/>
      </c>
    </row>
    <row r="918" spans="14:15" x14ac:dyDescent="0.25">
      <c r="N918" s="95" t="str">
        <f t="shared" si="103"/>
        <v/>
      </c>
      <c r="O918" s="95" t="str">
        <f t="shared" si="104"/>
        <v/>
      </c>
    </row>
    <row r="919" spans="14:15" x14ac:dyDescent="0.25">
      <c r="N919" s="95" t="str">
        <f t="shared" si="103"/>
        <v/>
      </c>
      <c r="O919" s="95" t="str">
        <f t="shared" si="104"/>
        <v/>
      </c>
    </row>
    <row r="920" spans="14:15" x14ac:dyDescent="0.25">
      <c r="N920" s="95" t="str">
        <f t="shared" si="103"/>
        <v/>
      </c>
      <c r="O920" s="95" t="str">
        <f t="shared" si="104"/>
        <v/>
      </c>
    </row>
    <row r="921" spans="14:15" x14ac:dyDescent="0.25">
      <c r="N921" s="95" t="str">
        <f t="shared" si="103"/>
        <v/>
      </c>
      <c r="O921" s="95" t="str">
        <f t="shared" si="104"/>
        <v/>
      </c>
    </row>
    <row r="922" spans="14:15" x14ac:dyDescent="0.25">
      <c r="N922" s="95" t="str">
        <f t="shared" si="103"/>
        <v/>
      </c>
      <c r="O922" s="95" t="str">
        <f t="shared" si="104"/>
        <v/>
      </c>
    </row>
    <row r="923" spans="14:15" x14ac:dyDescent="0.25">
      <c r="N923" s="95" t="str">
        <f t="shared" si="103"/>
        <v/>
      </c>
      <c r="O923" s="95" t="str">
        <f t="shared" si="104"/>
        <v/>
      </c>
    </row>
    <row r="924" spans="14:15" x14ac:dyDescent="0.25">
      <c r="N924" s="95" t="str">
        <f t="shared" si="103"/>
        <v/>
      </c>
      <c r="O924" s="95" t="str">
        <f t="shared" si="104"/>
        <v/>
      </c>
    </row>
    <row r="925" spans="14:15" x14ac:dyDescent="0.25">
      <c r="N925" s="95" t="str">
        <f t="shared" si="103"/>
        <v/>
      </c>
      <c r="O925" s="95" t="str">
        <f t="shared" si="104"/>
        <v/>
      </c>
    </row>
    <row r="926" spans="14:15" x14ac:dyDescent="0.25">
      <c r="N926" s="95" t="str">
        <f t="shared" si="103"/>
        <v/>
      </c>
      <c r="O926" s="95" t="str">
        <f t="shared" si="104"/>
        <v/>
      </c>
    </row>
    <row r="927" spans="14:15" x14ac:dyDescent="0.25">
      <c r="N927" s="95" t="str">
        <f t="shared" si="103"/>
        <v/>
      </c>
      <c r="O927" s="95" t="str">
        <f t="shared" si="104"/>
        <v/>
      </c>
    </row>
    <row r="928" spans="14:15" x14ac:dyDescent="0.25">
      <c r="N928" s="95" t="str">
        <f t="shared" si="103"/>
        <v/>
      </c>
      <c r="O928" s="95" t="str">
        <f t="shared" si="104"/>
        <v/>
      </c>
    </row>
    <row r="929" spans="14:15" x14ac:dyDescent="0.25">
      <c r="N929" s="95" t="str">
        <f t="shared" si="103"/>
        <v/>
      </c>
      <c r="O929" s="95" t="str">
        <f t="shared" si="104"/>
        <v/>
      </c>
    </row>
    <row r="930" spans="14:15" x14ac:dyDescent="0.25">
      <c r="N930" s="95" t="str">
        <f t="shared" si="103"/>
        <v/>
      </c>
      <c r="O930" s="95" t="str">
        <f t="shared" si="104"/>
        <v/>
      </c>
    </row>
    <row r="931" spans="14:15" x14ac:dyDescent="0.25">
      <c r="N931" s="95" t="str">
        <f t="shared" si="103"/>
        <v/>
      </c>
      <c r="O931" s="95" t="str">
        <f t="shared" si="104"/>
        <v/>
      </c>
    </row>
    <row r="932" spans="14:15" x14ac:dyDescent="0.25">
      <c r="N932" s="95" t="str">
        <f t="shared" si="103"/>
        <v/>
      </c>
      <c r="O932" s="95" t="str">
        <f t="shared" si="104"/>
        <v/>
      </c>
    </row>
    <row r="933" spans="14:15" x14ac:dyDescent="0.25">
      <c r="N933" s="95" t="str">
        <f t="shared" si="103"/>
        <v/>
      </c>
      <c r="O933" s="95" t="str">
        <f t="shared" si="104"/>
        <v/>
      </c>
    </row>
    <row r="934" spans="14:15" x14ac:dyDescent="0.25">
      <c r="N934" s="95" t="str">
        <f t="shared" si="103"/>
        <v/>
      </c>
      <c r="O934" s="95" t="str">
        <f t="shared" si="104"/>
        <v/>
      </c>
    </row>
    <row r="935" spans="14:15" x14ac:dyDescent="0.25">
      <c r="N935" s="95" t="str">
        <f t="shared" si="103"/>
        <v/>
      </c>
      <c r="O935" s="95" t="str">
        <f t="shared" si="104"/>
        <v/>
      </c>
    </row>
    <row r="936" spans="14:15" x14ac:dyDescent="0.25">
      <c r="N936" s="95" t="str">
        <f t="shared" si="103"/>
        <v/>
      </c>
      <c r="O936" s="95" t="str">
        <f t="shared" si="104"/>
        <v/>
      </c>
    </row>
    <row r="937" spans="14:15" x14ac:dyDescent="0.25">
      <c r="N937" s="95" t="str">
        <f t="shared" si="103"/>
        <v/>
      </c>
      <c r="O937" s="95" t="str">
        <f t="shared" si="104"/>
        <v/>
      </c>
    </row>
    <row r="938" spans="14:15" x14ac:dyDescent="0.25">
      <c r="N938" s="95" t="str">
        <f t="shared" si="103"/>
        <v/>
      </c>
      <c r="O938" s="95" t="str">
        <f t="shared" si="104"/>
        <v/>
      </c>
    </row>
    <row r="939" spans="14:15" x14ac:dyDescent="0.25">
      <c r="N939" s="95" t="str">
        <f t="shared" si="103"/>
        <v/>
      </c>
      <c r="O939" s="95" t="str">
        <f t="shared" si="104"/>
        <v/>
      </c>
    </row>
    <row r="940" spans="14:15" x14ac:dyDescent="0.25">
      <c r="N940" s="95" t="str">
        <f t="shared" si="103"/>
        <v/>
      </c>
      <c r="O940" s="95" t="str">
        <f t="shared" si="104"/>
        <v/>
      </c>
    </row>
    <row r="941" spans="14:15" x14ac:dyDescent="0.25">
      <c r="N941" s="95" t="str">
        <f t="shared" si="103"/>
        <v/>
      </c>
      <c r="O941" s="95" t="str">
        <f t="shared" si="104"/>
        <v/>
      </c>
    </row>
    <row r="942" spans="14:15" x14ac:dyDescent="0.25">
      <c r="N942" s="95" t="str">
        <f t="shared" si="103"/>
        <v/>
      </c>
      <c r="O942" s="95" t="str">
        <f t="shared" si="104"/>
        <v/>
      </c>
    </row>
    <row r="943" spans="14:15" x14ac:dyDescent="0.25">
      <c r="N943" s="95" t="str">
        <f t="shared" si="103"/>
        <v/>
      </c>
      <c r="O943" s="95" t="str">
        <f t="shared" si="104"/>
        <v/>
      </c>
    </row>
    <row r="944" spans="14:15" x14ac:dyDescent="0.25">
      <c r="N944" s="95" t="str">
        <f t="shared" si="103"/>
        <v/>
      </c>
      <c r="O944" s="95" t="str">
        <f t="shared" si="104"/>
        <v/>
      </c>
    </row>
    <row r="945" spans="14:15" x14ac:dyDescent="0.25">
      <c r="N945" s="95" t="str">
        <f t="shared" si="103"/>
        <v/>
      </c>
      <c r="O945" s="95" t="str">
        <f t="shared" si="104"/>
        <v/>
      </c>
    </row>
    <row r="946" spans="14:15" x14ac:dyDescent="0.25">
      <c r="N946" s="95" t="str">
        <f t="shared" si="103"/>
        <v/>
      </c>
      <c r="O946" s="95" t="str">
        <f t="shared" si="104"/>
        <v/>
      </c>
    </row>
    <row r="947" spans="14:15" x14ac:dyDescent="0.25">
      <c r="N947" s="95" t="str">
        <f t="shared" si="103"/>
        <v/>
      </c>
      <c r="O947" s="95" t="str">
        <f t="shared" si="104"/>
        <v/>
      </c>
    </row>
    <row r="948" spans="14:15" x14ac:dyDescent="0.25">
      <c r="N948" s="95" t="str">
        <f t="shared" si="103"/>
        <v/>
      </c>
      <c r="O948" s="95" t="str">
        <f t="shared" si="104"/>
        <v/>
      </c>
    </row>
    <row r="949" spans="14:15" x14ac:dyDescent="0.25">
      <c r="N949" s="95" t="str">
        <f t="shared" si="103"/>
        <v/>
      </c>
      <c r="O949" s="95" t="str">
        <f t="shared" si="104"/>
        <v/>
      </c>
    </row>
    <row r="950" spans="14:15" x14ac:dyDescent="0.25">
      <c r="N950" s="95" t="str">
        <f t="shared" si="103"/>
        <v/>
      </c>
      <c r="O950" s="95" t="str">
        <f t="shared" si="104"/>
        <v/>
      </c>
    </row>
    <row r="951" spans="14:15" x14ac:dyDescent="0.25">
      <c r="N951" s="95" t="str">
        <f t="shared" si="103"/>
        <v/>
      </c>
      <c r="O951" s="95" t="str">
        <f t="shared" si="104"/>
        <v/>
      </c>
    </row>
    <row r="952" spans="14:15" x14ac:dyDescent="0.25">
      <c r="N952" s="95" t="str">
        <f t="shared" si="103"/>
        <v/>
      </c>
      <c r="O952" s="95" t="str">
        <f t="shared" si="104"/>
        <v/>
      </c>
    </row>
    <row r="953" spans="14:15" x14ac:dyDescent="0.25">
      <c r="N953" s="95" t="str">
        <f t="shared" si="103"/>
        <v/>
      </c>
      <c r="O953" s="95" t="str">
        <f t="shared" si="104"/>
        <v/>
      </c>
    </row>
    <row r="954" spans="14:15" x14ac:dyDescent="0.25">
      <c r="N954" s="95" t="str">
        <f t="shared" si="103"/>
        <v/>
      </c>
      <c r="O954" s="95" t="str">
        <f t="shared" si="104"/>
        <v/>
      </c>
    </row>
    <row r="955" spans="14:15" x14ac:dyDescent="0.25">
      <c r="N955" s="95" t="str">
        <f t="shared" si="103"/>
        <v/>
      </c>
      <c r="O955" s="95" t="str">
        <f t="shared" si="104"/>
        <v/>
      </c>
    </row>
    <row r="956" spans="14:15" x14ac:dyDescent="0.25">
      <c r="N956" s="95" t="str">
        <f t="shared" si="103"/>
        <v/>
      </c>
      <c r="O956" s="95" t="str">
        <f t="shared" si="104"/>
        <v/>
      </c>
    </row>
    <row r="957" spans="14:15" x14ac:dyDescent="0.25">
      <c r="N957" s="95" t="str">
        <f t="shared" si="103"/>
        <v/>
      </c>
      <c r="O957" s="95" t="str">
        <f t="shared" si="104"/>
        <v/>
      </c>
    </row>
    <row r="958" spans="14:15" x14ac:dyDescent="0.25">
      <c r="N958" s="95" t="str">
        <f t="shared" si="103"/>
        <v/>
      </c>
      <c r="O958" s="95" t="str">
        <f t="shared" si="104"/>
        <v/>
      </c>
    </row>
    <row r="959" spans="14:15" x14ac:dyDescent="0.25">
      <c r="N959" s="95" t="str">
        <f t="shared" si="103"/>
        <v/>
      </c>
      <c r="O959" s="95" t="str">
        <f t="shared" si="104"/>
        <v/>
      </c>
    </row>
    <row r="960" spans="14:15" x14ac:dyDescent="0.25">
      <c r="N960" s="95" t="str">
        <f t="shared" si="103"/>
        <v/>
      </c>
      <c r="O960" s="95" t="str">
        <f t="shared" si="104"/>
        <v/>
      </c>
    </row>
    <row r="961" spans="14:15" x14ac:dyDescent="0.25">
      <c r="N961" s="95" t="str">
        <f t="shared" si="103"/>
        <v/>
      </c>
      <c r="O961" s="95" t="str">
        <f t="shared" si="104"/>
        <v/>
      </c>
    </row>
    <row r="962" spans="14:15" x14ac:dyDescent="0.25">
      <c r="N962" s="95" t="str">
        <f t="shared" si="103"/>
        <v/>
      </c>
      <c r="O962" s="95" t="str">
        <f t="shared" si="104"/>
        <v/>
      </c>
    </row>
    <row r="963" spans="14:15" x14ac:dyDescent="0.25">
      <c r="N963" s="95" t="str">
        <f t="shared" si="103"/>
        <v/>
      </c>
      <c r="O963" s="95" t="str">
        <f t="shared" si="104"/>
        <v/>
      </c>
    </row>
    <row r="964" spans="14:15" x14ac:dyDescent="0.25">
      <c r="N964" s="95" t="str">
        <f t="shared" ref="N964:N1027" si="105">IF(COUNTIF(L:L,J964)=1,J964,"")</f>
        <v/>
      </c>
      <c r="O964" s="95" t="str">
        <f t="shared" ref="O964:O1027" si="106">IF(N964&gt;$A$14,N964,"")</f>
        <v/>
      </c>
    </row>
    <row r="965" spans="14:15" x14ac:dyDescent="0.25">
      <c r="N965" s="95" t="str">
        <f t="shared" si="105"/>
        <v/>
      </c>
      <c r="O965" s="95" t="str">
        <f t="shared" si="106"/>
        <v/>
      </c>
    </row>
    <row r="966" spans="14:15" x14ac:dyDescent="0.25">
      <c r="N966" s="95" t="str">
        <f t="shared" si="105"/>
        <v/>
      </c>
      <c r="O966" s="95" t="str">
        <f t="shared" si="106"/>
        <v/>
      </c>
    </row>
    <row r="967" spans="14:15" x14ac:dyDescent="0.25">
      <c r="N967" s="95" t="str">
        <f t="shared" si="105"/>
        <v/>
      </c>
      <c r="O967" s="95" t="str">
        <f t="shared" si="106"/>
        <v/>
      </c>
    </row>
    <row r="968" spans="14:15" x14ac:dyDescent="0.25">
      <c r="N968" s="95" t="str">
        <f t="shared" si="105"/>
        <v/>
      </c>
      <c r="O968" s="95" t="str">
        <f t="shared" si="106"/>
        <v/>
      </c>
    </row>
    <row r="969" spans="14:15" x14ac:dyDescent="0.25">
      <c r="N969" s="95" t="str">
        <f t="shared" si="105"/>
        <v/>
      </c>
      <c r="O969" s="95" t="str">
        <f t="shared" si="106"/>
        <v/>
      </c>
    </row>
    <row r="970" spans="14:15" x14ac:dyDescent="0.25">
      <c r="N970" s="95" t="str">
        <f t="shared" si="105"/>
        <v/>
      </c>
      <c r="O970" s="95" t="str">
        <f t="shared" si="106"/>
        <v/>
      </c>
    </row>
    <row r="971" spans="14:15" x14ac:dyDescent="0.25">
      <c r="N971" s="95" t="str">
        <f t="shared" si="105"/>
        <v/>
      </c>
      <c r="O971" s="95" t="str">
        <f t="shared" si="106"/>
        <v/>
      </c>
    </row>
    <row r="972" spans="14:15" x14ac:dyDescent="0.25">
      <c r="N972" s="95" t="str">
        <f t="shared" si="105"/>
        <v/>
      </c>
      <c r="O972" s="95" t="str">
        <f t="shared" si="106"/>
        <v/>
      </c>
    </row>
    <row r="973" spans="14:15" x14ac:dyDescent="0.25">
      <c r="N973" s="95" t="str">
        <f t="shared" si="105"/>
        <v/>
      </c>
      <c r="O973" s="95" t="str">
        <f t="shared" si="106"/>
        <v/>
      </c>
    </row>
    <row r="974" spans="14:15" x14ac:dyDescent="0.25">
      <c r="N974" s="95" t="str">
        <f t="shared" si="105"/>
        <v/>
      </c>
      <c r="O974" s="95" t="str">
        <f t="shared" si="106"/>
        <v/>
      </c>
    </row>
    <row r="975" spans="14:15" x14ac:dyDescent="0.25">
      <c r="N975" s="95" t="str">
        <f t="shared" si="105"/>
        <v/>
      </c>
      <c r="O975" s="95" t="str">
        <f t="shared" si="106"/>
        <v/>
      </c>
    </row>
    <row r="976" spans="14:15" x14ac:dyDescent="0.25">
      <c r="N976" s="95" t="str">
        <f t="shared" si="105"/>
        <v/>
      </c>
      <c r="O976" s="95" t="str">
        <f t="shared" si="106"/>
        <v/>
      </c>
    </row>
    <row r="977" spans="14:15" x14ac:dyDescent="0.25">
      <c r="N977" s="95" t="str">
        <f t="shared" si="105"/>
        <v/>
      </c>
      <c r="O977" s="95" t="str">
        <f t="shared" si="106"/>
        <v/>
      </c>
    </row>
    <row r="978" spans="14:15" x14ac:dyDescent="0.25">
      <c r="N978" s="95" t="str">
        <f t="shared" si="105"/>
        <v/>
      </c>
      <c r="O978" s="95" t="str">
        <f t="shared" si="106"/>
        <v/>
      </c>
    </row>
    <row r="979" spans="14:15" x14ac:dyDescent="0.25">
      <c r="N979" s="95" t="str">
        <f t="shared" si="105"/>
        <v/>
      </c>
      <c r="O979" s="95" t="str">
        <f t="shared" si="106"/>
        <v/>
      </c>
    </row>
    <row r="980" spans="14:15" x14ac:dyDescent="0.25">
      <c r="N980" s="95" t="str">
        <f t="shared" si="105"/>
        <v/>
      </c>
      <c r="O980" s="95" t="str">
        <f t="shared" si="106"/>
        <v/>
      </c>
    </row>
    <row r="981" spans="14:15" x14ac:dyDescent="0.25">
      <c r="N981" s="95" t="str">
        <f t="shared" si="105"/>
        <v/>
      </c>
      <c r="O981" s="95" t="str">
        <f t="shared" si="106"/>
        <v/>
      </c>
    </row>
    <row r="982" spans="14:15" x14ac:dyDescent="0.25">
      <c r="N982" s="95" t="str">
        <f t="shared" si="105"/>
        <v/>
      </c>
      <c r="O982" s="95" t="str">
        <f t="shared" si="106"/>
        <v/>
      </c>
    </row>
    <row r="983" spans="14:15" x14ac:dyDescent="0.25">
      <c r="N983" s="95" t="str">
        <f t="shared" si="105"/>
        <v/>
      </c>
      <c r="O983" s="95" t="str">
        <f t="shared" si="106"/>
        <v/>
      </c>
    </row>
    <row r="984" spans="14:15" x14ac:dyDescent="0.25">
      <c r="N984" s="95" t="str">
        <f t="shared" si="105"/>
        <v/>
      </c>
      <c r="O984" s="95" t="str">
        <f t="shared" si="106"/>
        <v/>
      </c>
    </row>
    <row r="985" spans="14:15" x14ac:dyDescent="0.25">
      <c r="N985" s="95" t="str">
        <f t="shared" si="105"/>
        <v/>
      </c>
      <c r="O985" s="95" t="str">
        <f t="shared" si="106"/>
        <v/>
      </c>
    </row>
    <row r="986" spans="14:15" x14ac:dyDescent="0.25">
      <c r="N986" s="95" t="str">
        <f t="shared" si="105"/>
        <v/>
      </c>
      <c r="O986" s="95" t="str">
        <f t="shared" si="106"/>
        <v/>
      </c>
    </row>
    <row r="987" spans="14:15" x14ac:dyDescent="0.25">
      <c r="N987" s="95" t="str">
        <f t="shared" si="105"/>
        <v/>
      </c>
      <c r="O987" s="95" t="str">
        <f t="shared" si="106"/>
        <v/>
      </c>
    </row>
    <row r="988" spans="14:15" x14ac:dyDescent="0.25">
      <c r="N988" s="95" t="str">
        <f t="shared" si="105"/>
        <v/>
      </c>
      <c r="O988" s="95" t="str">
        <f t="shared" si="106"/>
        <v/>
      </c>
    </row>
    <row r="989" spans="14:15" x14ac:dyDescent="0.25">
      <c r="N989" s="95" t="str">
        <f t="shared" si="105"/>
        <v/>
      </c>
      <c r="O989" s="95" t="str">
        <f t="shared" si="106"/>
        <v/>
      </c>
    </row>
    <row r="990" spans="14:15" x14ac:dyDescent="0.25">
      <c r="N990" s="95" t="str">
        <f t="shared" si="105"/>
        <v/>
      </c>
      <c r="O990" s="95" t="str">
        <f t="shared" si="106"/>
        <v/>
      </c>
    </row>
    <row r="991" spans="14:15" x14ac:dyDescent="0.25">
      <c r="N991" s="95" t="str">
        <f t="shared" si="105"/>
        <v/>
      </c>
      <c r="O991" s="95" t="str">
        <f t="shared" si="106"/>
        <v/>
      </c>
    </row>
    <row r="992" spans="14:15" x14ac:dyDescent="0.25">
      <c r="N992" s="95" t="str">
        <f t="shared" si="105"/>
        <v/>
      </c>
      <c r="O992" s="95" t="str">
        <f t="shared" si="106"/>
        <v/>
      </c>
    </row>
    <row r="993" spans="14:15" x14ac:dyDescent="0.25">
      <c r="N993" s="95" t="str">
        <f t="shared" si="105"/>
        <v/>
      </c>
      <c r="O993" s="95" t="str">
        <f t="shared" si="106"/>
        <v/>
      </c>
    </row>
    <row r="994" spans="14:15" x14ac:dyDescent="0.25">
      <c r="N994" s="95" t="str">
        <f t="shared" si="105"/>
        <v/>
      </c>
      <c r="O994" s="95" t="str">
        <f t="shared" si="106"/>
        <v/>
      </c>
    </row>
    <row r="995" spans="14:15" x14ac:dyDescent="0.25">
      <c r="N995" s="95" t="str">
        <f t="shared" si="105"/>
        <v/>
      </c>
      <c r="O995" s="95" t="str">
        <f t="shared" si="106"/>
        <v/>
      </c>
    </row>
    <row r="996" spans="14:15" x14ac:dyDescent="0.25">
      <c r="N996" s="95" t="str">
        <f t="shared" si="105"/>
        <v/>
      </c>
      <c r="O996" s="95" t="str">
        <f t="shared" si="106"/>
        <v/>
      </c>
    </row>
    <row r="997" spans="14:15" x14ac:dyDescent="0.25">
      <c r="N997" s="95" t="str">
        <f t="shared" si="105"/>
        <v/>
      </c>
      <c r="O997" s="95" t="str">
        <f t="shared" si="106"/>
        <v/>
      </c>
    </row>
    <row r="998" spans="14:15" x14ac:dyDescent="0.25">
      <c r="N998" s="95" t="str">
        <f t="shared" si="105"/>
        <v/>
      </c>
      <c r="O998" s="95" t="str">
        <f t="shared" si="106"/>
        <v/>
      </c>
    </row>
    <row r="999" spans="14:15" x14ac:dyDescent="0.25">
      <c r="N999" s="95" t="str">
        <f t="shared" si="105"/>
        <v/>
      </c>
      <c r="O999" s="95" t="str">
        <f t="shared" si="106"/>
        <v/>
      </c>
    </row>
    <row r="1000" spans="14:15" x14ac:dyDescent="0.25">
      <c r="N1000" s="95" t="str">
        <f t="shared" si="105"/>
        <v/>
      </c>
      <c r="O1000" s="95" t="str">
        <f t="shared" si="106"/>
        <v/>
      </c>
    </row>
    <row r="1001" spans="14:15" x14ac:dyDescent="0.25">
      <c r="N1001" s="95" t="str">
        <f t="shared" si="105"/>
        <v/>
      </c>
      <c r="O1001" s="95" t="str">
        <f t="shared" si="106"/>
        <v/>
      </c>
    </row>
    <row r="1002" spans="14:15" x14ac:dyDescent="0.25">
      <c r="N1002" s="95" t="str">
        <f t="shared" si="105"/>
        <v/>
      </c>
      <c r="O1002" s="95" t="str">
        <f t="shared" si="106"/>
        <v/>
      </c>
    </row>
    <row r="1003" spans="14:15" x14ac:dyDescent="0.25">
      <c r="N1003" s="95" t="str">
        <f t="shared" si="105"/>
        <v/>
      </c>
      <c r="O1003" s="95" t="str">
        <f t="shared" si="106"/>
        <v/>
      </c>
    </row>
    <row r="1004" spans="14:15" x14ac:dyDescent="0.25">
      <c r="N1004" s="95" t="str">
        <f t="shared" si="105"/>
        <v/>
      </c>
      <c r="O1004" s="95" t="str">
        <f t="shared" si="106"/>
        <v/>
      </c>
    </row>
    <row r="1005" spans="14:15" x14ac:dyDescent="0.25">
      <c r="N1005" s="95" t="str">
        <f t="shared" si="105"/>
        <v/>
      </c>
      <c r="O1005" s="95" t="str">
        <f t="shared" si="106"/>
        <v/>
      </c>
    </row>
    <row r="1006" spans="14:15" x14ac:dyDescent="0.25">
      <c r="N1006" s="95" t="str">
        <f t="shared" si="105"/>
        <v/>
      </c>
      <c r="O1006" s="95" t="str">
        <f t="shared" si="106"/>
        <v/>
      </c>
    </row>
    <row r="1007" spans="14:15" x14ac:dyDescent="0.25">
      <c r="N1007" s="95" t="str">
        <f t="shared" si="105"/>
        <v/>
      </c>
      <c r="O1007" s="95" t="str">
        <f t="shared" si="106"/>
        <v/>
      </c>
    </row>
    <row r="1008" spans="14:15" x14ac:dyDescent="0.25">
      <c r="N1008" s="95" t="str">
        <f t="shared" si="105"/>
        <v/>
      </c>
      <c r="O1008" s="95" t="str">
        <f t="shared" si="106"/>
        <v/>
      </c>
    </row>
    <row r="1009" spans="14:15" x14ac:dyDescent="0.25">
      <c r="N1009" s="95" t="str">
        <f t="shared" si="105"/>
        <v/>
      </c>
      <c r="O1009" s="95" t="str">
        <f t="shared" si="106"/>
        <v/>
      </c>
    </row>
    <row r="1010" spans="14:15" x14ac:dyDescent="0.25">
      <c r="N1010" s="95" t="str">
        <f t="shared" si="105"/>
        <v/>
      </c>
      <c r="O1010" s="95" t="str">
        <f t="shared" si="106"/>
        <v/>
      </c>
    </row>
    <row r="1011" spans="14:15" x14ac:dyDescent="0.25">
      <c r="N1011" s="95" t="str">
        <f t="shared" si="105"/>
        <v/>
      </c>
      <c r="O1011" s="95" t="str">
        <f t="shared" si="106"/>
        <v/>
      </c>
    </row>
    <row r="1012" spans="14:15" x14ac:dyDescent="0.25">
      <c r="N1012" s="95" t="str">
        <f t="shared" si="105"/>
        <v/>
      </c>
      <c r="O1012" s="95" t="str">
        <f t="shared" si="106"/>
        <v/>
      </c>
    </row>
    <row r="1013" spans="14:15" x14ac:dyDescent="0.25">
      <c r="N1013" s="95" t="str">
        <f t="shared" si="105"/>
        <v/>
      </c>
      <c r="O1013" s="95" t="str">
        <f t="shared" si="106"/>
        <v/>
      </c>
    </row>
    <row r="1014" spans="14:15" x14ac:dyDescent="0.25">
      <c r="N1014" s="95" t="str">
        <f t="shared" si="105"/>
        <v/>
      </c>
      <c r="O1014" s="95" t="str">
        <f t="shared" si="106"/>
        <v/>
      </c>
    </row>
    <row r="1015" spans="14:15" x14ac:dyDescent="0.25">
      <c r="N1015" s="95" t="str">
        <f t="shared" si="105"/>
        <v/>
      </c>
      <c r="O1015" s="95" t="str">
        <f t="shared" si="106"/>
        <v/>
      </c>
    </row>
    <row r="1016" spans="14:15" x14ac:dyDescent="0.25">
      <c r="N1016" s="95" t="str">
        <f t="shared" si="105"/>
        <v/>
      </c>
      <c r="O1016" s="95" t="str">
        <f t="shared" si="106"/>
        <v/>
      </c>
    </row>
    <row r="1017" spans="14:15" x14ac:dyDescent="0.25">
      <c r="N1017" s="95" t="str">
        <f t="shared" si="105"/>
        <v/>
      </c>
      <c r="O1017" s="95" t="str">
        <f t="shared" si="106"/>
        <v/>
      </c>
    </row>
    <row r="1018" spans="14:15" x14ac:dyDescent="0.25">
      <c r="N1018" s="95" t="str">
        <f t="shared" si="105"/>
        <v/>
      </c>
      <c r="O1018" s="95" t="str">
        <f t="shared" si="106"/>
        <v/>
      </c>
    </row>
    <row r="1019" spans="14:15" x14ac:dyDescent="0.25">
      <c r="N1019" s="95" t="str">
        <f t="shared" si="105"/>
        <v/>
      </c>
      <c r="O1019" s="95" t="str">
        <f t="shared" si="106"/>
        <v/>
      </c>
    </row>
    <row r="1020" spans="14:15" x14ac:dyDescent="0.25">
      <c r="N1020" s="95" t="str">
        <f t="shared" si="105"/>
        <v/>
      </c>
      <c r="O1020" s="95" t="str">
        <f t="shared" si="106"/>
        <v/>
      </c>
    </row>
    <row r="1021" spans="14:15" x14ac:dyDescent="0.25">
      <c r="N1021" s="95" t="str">
        <f t="shared" si="105"/>
        <v/>
      </c>
      <c r="O1021" s="95" t="str">
        <f t="shared" si="106"/>
        <v/>
      </c>
    </row>
    <row r="1022" spans="14:15" x14ac:dyDescent="0.25">
      <c r="N1022" s="95" t="str">
        <f t="shared" si="105"/>
        <v/>
      </c>
      <c r="O1022" s="95" t="str">
        <f t="shared" si="106"/>
        <v/>
      </c>
    </row>
    <row r="1023" spans="14:15" x14ac:dyDescent="0.25">
      <c r="N1023" s="95" t="str">
        <f t="shared" si="105"/>
        <v/>
      </c>
      <c r="O1023" s="95" t="str">
        <f t="shared" si="106"/>
        <v/>
      </c>
    </row>
    <row r="1024" spans="14:15" x14ac:dyDescent="0.25">
      <c r="N1024" s="95" t="str">
        <f t="shared" si="105"/>
        <v/>
      </c>
      <c r="O1024" s="95" t="str">
        <f t="shared" si="106"/>
        <v/>
      </c>
    </row>
    <row r="1025" spans="14:15" x14ac:dyDescent="0.25">
      <c r="N1025" s="95" t="str">
        <f t="shared" si="105"/>
        <v/>
      </c>
      <c r="O1025" s="95" t="str">
        <f t="shared" si="106"/>
        <v/>
      </c>
    </row>
    <row r="1026" spans="14:15" x14ac:dyDescent="0.25">
      <c r="N1026" s="95" t="str">
        <f t="shared" si="105"/>
        <v/>
      </c>
      <c r="O1026" s="95" t="str">
        <f t="shared" si="106"/>
        <v/>
      </c>
    </row>
    <row r="1027" spans="14:15" x14ac:dyDescent="0.25">
      <c r="N1027" s="95" t="str">
        <f t="shared" si="105"/>
        <v/>
      </c>
      <c r="O1027" s="95" t="str">
        <f t="shared" si="106"/>
        <v/>
      </c>
    </row>
    <row r="1028" spans="14:15" x14ac:dyDescent="0.25">
      <c r="N1028" s="95" t="str">
        <f t="shared" ref="N1028:N1032" si="107">IF(COUNTIF(L:L,J1028)=1,J1028,"")</f>
        <v/>
      </c>
      <c r="O1028" s="95" t="str">
        <f>IF(N1028&gt;$A$14,N1028,"")</f>
        <v/>
      </c>
    </row>
    <row r="1029" spans="14:15" x14ac:dyDescent="0.25">
      <c r="N1029" s="95" t="str">
        <f t="shared" si="107"/>
        <v/>
      </c>
      <c r="O1029" s="95" t="str">
        <f>IF(N1029&gt;$A$14,N1029,"")</f>
        <v/>
      </c>
    </row>
    <row r="1030" spans="14:15" x14ac:dyDescent="0.25">
      <c r="N1030" s="95" t="str">
        <f t="shared" si="107"/>
        <v/>
      </c>
      <c r="O1030" s="95" t="str">
        <f>IF(N1030&gt;$A$14,N1030,"")</f>
        <v/>
      </c>
    </row>
    <row r="1031" spans="14:15" x14ac:dyDescent="0.25">
      <c r="N1031" s="95" t="str">
        <f t="shared" si="107"/>
        <v/>
      </c>
      <c r="O1031" s="95" t="str">
        <f>IF(N1031&gt;$A$14,N1031,"")</f>
        <v/>
      </c>
    </row>
    <row r="1032" spans="14:15" x14ac:dyDescent="0.25">
      <c r="N1032" s="95" t="str">
        <f t="shared" si="107"/>
        <v/>
      </c>
      <c r="O1032" s="95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2" priority="1" operator="lessThan">
      <formula>0</formula>
    </cfRule>
  </conditionalFormatting>
  <hyperlinks>
    <hyperlink ref="B4" r:id="rId1" xr:uid="{4722B618-C549-42BA-8896-2709FE72E7A8}"/>
    <hyperlink ref="C4" r:id="rId2" xr:uid="{E919086A-49F6-4922-ADF1-EE9998A11594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E127-5AA3-420D-A549-70B908E01E33}">
  <dimension ref="A1:AD891"/>
  <sheetViews>
    <sheetView zoomScaleNormal="100" workbookViewId="0"/>
  </sheetViews>
  <sheetFormatPr defaultColWidth="9.140625" defaultRowHeight="15" x14ac:dyDescent="0.25"/>
  <cols>
    <col min="1" max="1" width="16.5703125" style="95" bestFit="1" customWidth="1"/>
    <col min="2" max="2" width="21.5703125" style="3" customWidth="1"/>
    <col min="3" max="3" width="19.28515625" style="40" bestFit="1" customWidth="1"/>
    <col min="4" max="4" width="9.5703125" style="3" bestFit="1" customWidth="1"/>
    <col min="5" max="5" width="11.28515625" style="3" customWidth="1"/>
    <col min="6" max="6" width="11.5703125" style="3" bestFit="1" customWidth="1"/>
    <col min="7" max="7" width="9.5703125" style="3" bestFit="1" customWidth="1"/>
    <col min="8" max="8" width="12.28515625" style="56" bestFit="1" customWidth="1"/>
    <col min="9" max="9" width="12" style="56" bestFit="1" customWidth="1"/>
    <col min="10" max="11" width="17.140625" style="3" bestFit="1" customWidth="1"/>
    <col min="12" max="12" width="8.7109375" style="3" bestFit="1" customWidth="1"/>
    <col min="13" max="15" width="17.140625" style="95" bestFit="1" customWidth="1"/>
    <col min="16" max="16" width="10.42578125" style="95" bestFit="1" customWidth="1"/>
    <col min="17" max="17" width="16.5703125" style="95" bestFit="1" customWidth="1"/>
    <col min="18" max="18" width="10.7109375" style="3" bestFit="1" customWidth="1"/>
    <col min="19" max="23" width="9.140625" style="3"/>
    <col min="24" max="24" width="17.140625" style="95" bestFit="1" customWidth="1"/>
    <col min="25" max="25" width="9.85546875" style="3" bestFit="1" customWidth="1"/>
    <col min="26" max="26" width="11.5703125" style="3" bestFit="1" customWidth="1"/>
    <col min="27" max="27" width="7.7109375" style="3" bestFit="1" customWidth="1"/>
    <col min="28" max="28" width="11.5703125" style="37" bestFit="1" customWidth="1"/>
    <col min="29" max="29" width="16.42578125" style="3" bestFit="1" customWidth="1"/>
    <col min="30" max="30" width="11.5703125" style="3" bestFit="1" customWidth="1"/>
    <col min="31" max="16384" width="9.140625" style="3"/>
  </cols>
  <sheetData>
    <row r="1" spans="1:30" ht="15.75" thickBot="1" x14ac:dyDescent="0.3">
      <c r="A1" s="1"/>
      <c r="B1" s="1" t="s">
        <v>96</v>
      </c>
      <c r="C1" s="1"/>
      <c r="D1" s="25"/>
      <c r="G1" s="1"/>
      <c r="H1" s="1"/>
      <c r="I1" s="1"/>
      <c r="J1" s="37"/>
      <c r="O1" s="95" cm="1">
        <f t="array" aca="1" ref="O1" ca="1">LOOKUP(2,1/(O:O&lt;&gt;""),O:O)</f>
        <v>46191.625</v>
      </c>
      <c r="P1" s="95" t="s">
        <v>100</v>
      </c>
      <c r="Q1" s="37">
        <v>48001</v>
      </c>
      <c r="AC1" s="56" t="s">
        <v>84</v>
      </c>
      <c r="AD1" s="37" cm="1">
        <f t="array" ref="AD1">LOOKUP(2,1/(AB:AB&lt;&gt;""),AB:AB)</f>
        <v>46190</v>
      </c>
    </row>
    <row r="2" spans="1:30" ht="15.75" thickBot="1" x14ac:dyDescent="0.3">
      <c r="A2" s="13"/>
      <c r="B2" s="22" t="s">
        <v>1</v>
      </c>
      <c r="C2" s="23" t="s">
        <v>0</v>
      </c>
      <c r="D2" s="25"/>
      <c r="H2" s="3"/>
      <c r="J2" s="22" t="s">
        <v>1</v>
      </c>
      <c r="K2" s="23" t="s">
        <v>0</v>
      </c>
      <c r="O2" s="95" cm="1">
        <f t="array" aca="1" ref="O2:O12" ca="1">_xlfn._xlws.SORT(_xlfn.UNIQUE(_xlfn._xlws.FILTER(N:N, ISNUMBER(N:N))))</f>
        <v>46177.625</v>
      </c>
      <c r="P2" s="3" t="s">
        <v>55</v>
      </c>
      <c r="Q2" s="37">
        <f>K3</f>
        <v>46146.625</v>
      </c>
      <c r="AC2" s="3" t="s">
        <v>86</v>
      </c>
      <c r="AD2" s="3">
        <f>VLOOKUP(AD1,Z:AA,2)</f>
        <v>88.236999999999995</v>
      </c>
    </row>
    <row r="3" spans="1:30" x14ac:dyDescent="0.25">
      <c r="A3" s="13" t="s">
        <v>19</v>
      </c>
      <c r="B3" s="14" t="s">
        <v>120</v>
      </c>
      <c r="C3" s="5" t="s">
        <v>122</v>
      </c>
      <c r="H3" s="3"/>
      <c r="I3" s="3"/>
      <c r="J3" s="71" cm="1">
        <f t="array" aca="1" ref="J3:J37" ca="1">_xll.avmDates(Q2,Q3,"EUR")</f>
        <v>46192.625</v>
      </c>
      <c r="K3" s="71" cm="1">
        <f t="array" ref="K3:L36">_xll.BDH(C4, "LAST_PRICE", "05/01/2026 15:00:00", "01/01/2035 17:00:00", "BarSize=120", "BarType=T", "RecurDaily=True", "TZ=London")</f>
        <v>46146.625</v>
      </c>
      <c r="L3" s="3">
        <v>83.718999999999994</v>
      </c>
      <c r="M3" s="95" t="str">
        <f t="shared" ref="M3:M66" ca="1" si="0">IF(COUNTIF(K:K,J3),J3,"")</f>
        <v/>
      </c>
      <c r="N3" s="95" t="str">
        <f ca="1">IF(M3&gt;$A$14,M3,"")</f>
        <v/>
      </c>
      <c r="O3" s="95">
        <f ca="1"/>
        <v>46178.625</v>
      </c>
      <c r="P3" s="3" t="s">
        <v>56</v>
      </c>
      <c r="Q3" s="37">
        <f ca="1">INT(TODAY()+1) + TIME(15,0,0)</f>
        <v>46192.625</v>
      </c>
      <c r="X3" s="95" cm="1">
        <f t="array" ref="X3:Y76">_xll.BDH(B1, "LAST_PRICE", "03/01/2026","")</f>
        <v>46083</v>
      </c>
      <c r="Y3" s="3">
        <v>163.0522</v>
      </c>
      <c r="Z3" s="37" cm="1">
        <f t="array" ref="Z3:AA77">_xll.BDH(B4, "LAST_PRICE", "03/01/2026", "")</f>
        <v>46083</v>
      </c>
      <c r="AA3" s="3">
        <v>101.932</v>
      </c>
      <c r="AB3" s="37">
        <f>IF(COUNTIF(Z:Z,X3),X3,"")</f>
        <v>46083</v>
      </c>
      <c r="AC3" s="56" t="s">
        <v>83</v>
      </c>
      <c r="AD3" s="3">
        <f>VLOOKUP(AD1,X:Y,2)</f>
        <v>165.63059999999999</v>
      </c>
    </row>
    <row r="4" spans="1:30" ht="30" customHeight="1" x14ac:dyDescent="0.25">
      <c r="A4" s="14" t="s">
        <v>20</v>
      </c>
      <c r="B4" s="16" t="s">
        <v>121</v>
      </c>
      <c r="C4" s="106" t="s">
        <v>123</v>
      </c>
      <c r="H4" s="3"/>
      <c r="I4" s="3"/>
      <c r="J4" s="71">
        <f ca="1"/>
        <v>46191.625</v>
      </c>
      <c r="K4" s="71">
        <v>46147.625</v>
      </c>
      <c r="L4" s="3">
        <v>83.953000000000003</v>
      </c>
      <c r="M4" s="95">
        <f t="shared" ca="1" si="0"/>
        <v>46191.625</v>
      </c>
      <c r="N4" s="95">
        <f t="shared" ref="N4:N67" ca="1" si="1">IF(M4&gt;$A$14,M4,"")</f>
        <v>46191.625</v>
      </c>
      <c r="O4" s="95">
        <f ca="1"/>
        <v>46181.625</v>
      </c>
      <c r="P4" s="3" t="s">
        <v>57</v>
      </c>
      <c r="Q4" s="3" t="s">
        <v>112</v>
      </c>
      <c r="X4" s="95">
        <v>46084</v>
      </c>
      <c r="Y4" s="3">
        <v>162.7362</v>
      </c>
      <c r="Z4" s="37">
        <v>46084</v>
      </c>
      <c r="AA4" s="3">
        <v>105.94199999999999</v>
      </c>
      <c r="AB4" s="37">
        <f t="shared" ref="AB4:AB67" si="2">IF(COUNTIF(Z:Z,X4),X4,"")</f>
        <v>46084</v>
      </c>
      <c r="AC4" s="3" t="s">
        <v>93</v>
      </c>
      <c r="AD4" s="41">
        <f ca="1">INT(NOW())-INT(AD1)</f>
        <v>1</v>
      </c>
    </row>
    <row r="5" spans="1:30" x14ac:dyDescent="0.25">
      <c r="A5" s="14" t="s">
        <v>2</v>
      </c>
      <c r="B5" s="17">
        <f>26*10^6</f>
        <v>26000000</v>
      </c>
      <c r="C5" s="8">
        <f>25*10^6</f>
        <v>25000000</v>
      </c>
      <c r="H5" s="3"/>
      <c r="I5" s="3"/>
      <c r="J5" s="71">
        <f ca="1"/>
        <v>46190.625</v>
      </c>
      <c r="K5" s="71">
        <v>46148.625</v>
      </c>
      <c r="L5" s="3">
        <v>84.501000000000005</v>
      </c>
      <c r="M5" s="95">
        <f t="shared" ca="1" si="0"/>
        <v>46190.625</v>
      </c>
      <c r="N5" s="95">
        <f t="shared" ca="1" si="1"/>
        <v>46190.625</v>
      </c>
      <c r="O5" s="95">
        <f ca="1"/>
        <v>46182.625</v>
      </c>
      <c r="P5" s="3" t="s">
        <v>58</v>
      </c>
      <c r="Q5" s="3" t="s">
        <v>98</v>
      </c>
      <c r="X5" s="95">
        <v>46085</v>
      </c>
      <c r="Y5" s="3">
        <v>163.1687</v>
      </c>
      <c r="Z5" s="37">
        <v>46085</v>
      </c>
      <c r="AA5" s="3">
        <v>100.93899999999999</v>
      </c>
      <c r="AB5" s="37">
        <f t="shared" si="2"/>
        <v>46085</v>
      </c>
    </row>
    <row r="6" spans="1:30" x14ac:dyDescent="0.25">
      <c r="A6" s="14" t="s">
        <v>3</v>
      </c>
      <c r="B6" s="18">
        <v>0.01</v>
      </c>
      <c r="C6" s="10">
        <v>0.01</v>
      </c>
      <c r="H6" s="3"/>
      <c r="I6" s="3"/>
      <c r="J6" s="71">
        <f ca="1"/>
        <v>46189.625</v>
      </c>
      <c r="K6" s="71">
        <v>46149.625</v>
      </c>
      <c r="L6" s="3">
        <v>84.384</v>
      </c>
      <c r="M6" s="95">
        <f t="shared" ca="1" si="0"/>
        <v>46189.625</v>
      </c>
      <c r="N6" s="95">
        <f t="shared" ca="1" si="1"/>
        <v>46189.625</v>
      </c>
      <c r="O6" s="95">
        <f ca="1"/>
        <v>46183.625</v>
      </c>
      <c r="P6" s="3" t="s">
        <v>59</v>
      </c>
      <c r="Q6" s="3" t="s">
        <v>60</v>
      </c>
      <c r="X6" s="95">
        <v>46086</v>
      </c>
      <c r="Y6" s="3">
        <v>162.81280000000001</v>
      </c>
      <c r="Z6" s="37">
        <v>46086</v>
      </c>
      <c r="AA6" s="3">
        <v>105.789</v>
      </c>
      <c r="AB6" s="37">
        <f t="shared" si="2"/>
        <v>46086</v>
      </c>
    </row>
    <row r="7" spans="1:30" x14ac:dyDescent="0.25">
      <c r="A7" s="14" t="s">
        <v>4</v>
      </c>
      <c r="B7" s="18">
        <v>0</v>
      </c>
      <c r="C7" s="10">
        <v>2.299E-2</v>
      </c>
      <c r="H7" s="3"/>
      <c r="I7" s="3"/>
      <c r="J7" s="71">
        <f ca="1"/>
        <v>46188.625</v>
      </c>
      <c r="K7" s="71">
        <v>46150.625</v>
      </c>
      <c r="L7" s="3">
        <v>84.33</v>
      </c>
      <c r="M7" s="95">
        <f t="shared" ca="1" si="0"/>
        <v>46188.625</v>
      </c>
      <c r="N7" s="95">
        <f t="shared" ca="1" si="1"/>
        <v>46188.625</v>
      </c>
      <c r="O7" s="95">
        <f ca="1"/>
        <v>46184.625</v>
      </c>
      <c r="P7" s="3" t="s">
        <v>61</v>
      </c>
      <c r="Q7" s="3" t="s">
        <v>99</v>
      </c>
      <c r="X7" s="95">
        <v>46087</v>
      </c>
      <c r="Y7" s="3">
        <v>162.41759999999999</v>
      </c>
      <c r="Z7" s="37">
        <v>46087</v>
      </c>
      <c r="AA7" s="3">
        <v>111.48</v>
      </c>
      <c r="AB7" s="37">
        <f t="shared" si="2"/>
        <v>46087</v>
      </c>
    </row>
    <row r="8" spans="1:30" x14ac:dyDescent="0.25">
      <c r="A8" s="14" t="s">
        <v>5</v>
      </c>
      <c r="B8" s="14">
        <v>4.6589999999999998</v>
      </c>
      <c r="C8" s="5"/>
      <c r="H8" s="3"/>
      <c r="I8" s="3"/>
      <c r="J8" s="71">
        <f ca="1"/>
        <v>46185.625</v>
      </c>
      <c r="K8" s="71">
        <v>46153.625</v>
      </c>
      <c r="L8" s="3">
        <v>84.144000000000005</v>
      </c>
      <c r="M8" s="95">
        <f t="shared" ca="1" si="0"/>
        <v>46185.625</v>
      </c>
      <c r="N8" s="95">
        <f t="shared" ca="1" si="1"/>
        <v>46185.625</v>
      </c>
      <c r="O8" s="95">
        <f ca="1"/>
        <v>46185.625</v>
      </c>
      <c r="X8" s="95">
        <v>46090</v>
      </c>
      <c r="Y8" s="3">
        <v>162.49719999999999</v>
      </c>
      <c r="Z8" s="37">
        <v>46090</v>
      </c>
      <c r="AA8" s="3">
        <v>110.625</v>
      </c>
      <c r="AB8" s="37">
        <f t="shared" si="2"/>
        <v>46090</v>
      </c>
    </row>
    <row r="9" spans="1:30" ht="15.75" thickBot="1" x14ac:dyDescent="0.3">
      <c r="A9" s="15" t="s">
        <v>15</v>
      </c>
      <c r="B9" s="19" cm="1">
        <f t="array" ref="B9">_xll.BDP(B4,"PX_LAST")</f>
        <v>88.305070000000001</v>
      </c>
      <c r="C9" s="12" cm="1">
        <f t="array" ref="C9">_xll.BDP(C4,"PX_LAST")</f>
        <v>84.685000000000002</v>
      </c>
      <c r="D9" s="25"/>
      <c r="E9" s="1"/>
      <c r="F9" s="1"/>
      <c r="G9" s="1"/>
      <c r="H9" s="1"/>
      <c r="I9" s="1"/>
      <c r="J9" s="71">
        <f ca="1"/>
        <v>46184.625</v>
      </c>
      <c r="K9" s="71">
        <v>46154.625</v>
      </c>
      <c r="L9" s="3">
        <v>83.760999999999996</v>
      </c>
      <c r="M9" s="95">
        <f t="shared" ca="1" si="0"/>
        <v>46184.625</v>
      </c>
      <c r="N9" s="95">
        <f t="shared" ca="1" si="1"/>
        <v>46184.625</v>
      </c>
      <c r="O9" s="95">
        <f ca="1"/>
        <v>46188.625</v>
      </c>
      <c r="X9" s="95">
        <v>46091</v>
      </c>
      <c r="Y9" s="3">
        <v>163.05070000000001</v>
      </c>
      <c r="Z9" s="37">
        <v>46091</v>
      </c>
      <c r="AA9" s="3">
        <v>102.88800000000001</v>
      </c>
      <c r="AB9" s="37">
        <f t="shared" si="2"/>
        <v>46091</v>
      </c>
    </row>
    <row r="10" spans="1:30" ht="15.75" thickBot="1" x14ac:dyDescent="0.3">
      <c r="A10" s="95" t="s">
        <v>82</v>
      </c>
      <c r="B10" s="19">
        <f ca="1">AD3*(1-(B9-AD2)*B8*10^-4+B6*AD4/360)</f>
        <v>165.62994807212451</v>
      </c>
      <c r="D10" s="25"/>
      <c r="E10" s="1"/>
      <c r="F10" s="1"/>
      <c r="G10" s="1"/>
      <c r="H10" s="1"/>
      <c r="I10" s="1"/>
      <c r="J10" s="71">
        <f ca="1"/>
        <v>46183.625</v>
      </c>
      <c r="K10" s="71">
        <v>46155.625</v>
      </c>
      <c r="L10" s="3">
        <v>83.805000000000007</v>
      </c>
      <c r="M10" s="95">
        <f t="shared" ca="1" si="0"/>
        <v>46183.625</v>
      </c>
      <c r="N10" s="95">
        <f t="shared" ca="1" si="1"/>
        <v>46183.625</v>
      </c>
      <c r="O10" s="95">
        <f ca="1"/>
        <v>46189.625</v>
      </c>
      <c r="X10" s="95">
        <v>46092</v>
      </c>
      <c r="Y10" s="3">
        <v>162.6857</v>
      </c>
      <c r="Z10" s="37">
        <v>46092</v>
      </c>
      <c r="AA10" s="3">
        <v>108.107</v>
      </c>
      <c r="AB10" s="37">
        <f t="shared" si="2"/>
        <v>46092</v>
      </c>
    </row>
    <row r="11" spans="1:30" ht="15.75" thickBot="1" x14ac:dyDescent="0.3">
      <c r="A11" s="1"/>
      <c r="B11" s="33"/>
      <c r="C11" s="1"/>
      <c r="D11" s="25"/>
      <c r="E11" s="1"/>
      <c r="F11" s="1"/>
      <c r="G11" s="1"/>
      <c r="H11" s="1"/>
      <c r="I11" s="1"/>
      <c r="J11" s="71">
        <f ca="1"/>
        <v>46182.625</v>
      </c>
      <c r="K11" s="71">
        <v>46156.625</v>
      </c>
      <c r="L11" s="3">
        <v>84.147999999999996</v>
      </c>
      <c r="M11" s="95">
        <f t="shared" ca="1" si="0"/>
        <v>46182.625</v>
      </c>
      <c r="N11" s="95">
        <f t="shared" ca="1" si="1"/>
        <v>46182.625</v>
      </c>
      <c r="O11" s="95">
        <f ca="1"/>
        <v>46190.625</v>
      </c>
      <c r="X11" s="95">
        <v>46093</v>
      </c>
      <c r="Y11" s="3">
        <v>162.34559999999999</v>
      </c>
      <c r="Z11" s="37">
        <v>46093</v>
      </c>
      <c r="AA11" s="3">
        <v>113.35</v>
      </c>
      <c r="AB11" s="37">
        <f t="shared" si="2"/>
        <v>46093</v>
      </c>
    </row>
    <row r="12" spans="1:30" ht="15.75" thickBot="1" x14ac:dyDescent="0.3">
      <c r="A12" s="27" t="s">
        <v>12</v>
      </c>
      <c r="B12" s="22" t="s">
        <v>1</v>
      </c>
      <c r="C12" s="93"/>
      <c r="D12" s="94"/>
      <c r="E12" s="23" t="s">
        <v>0</v>
      </c>
      <c r="F12" s="91"/>
      <c r="G12" s="92"/>
      <c r="H12" s="27" t="s">
        <v>7</v>
      </c>
      <c r="J12" s="71">
        <f ca="1"/>
        <v>46181.625</v>
      </c>
      <c r="K12" s="71">
        <v>46157.625</v>
      </c>
      <c r="L12" s="3">
        <v>83.528000000000006</v>
      </c>
      <c r="M12" s="95">
        <f t="shared" ca="1" si="0"/>
        <v>46181.625</v>
      </c>
      <c r="N12" s="95">
        <f t="shared" ca="1" si="1"/>
        <v>46181.625</v>
      </c>
      <c r="O12" s="95">
        <f ca="1"/>
        <v>46191.625</v>
      </c>
      <c r="X12" s="95">
        <v>46094</v>
      </c>
      <c r="Y12" s="3">
        <v>161.98939999999999</v>
      </c>
      <c r="Z12" s="37">
        <v>46094</v>
      </c>
      <c r="AA12" s="3">
        <v>118.42</v>
      </c>
      <c r="AB12" s="37">
        <f t="shared" si="2"/>
        <v>46094</v>
      </c>
    </row>
    <row r="13" spans="1:30" ht="15.75" thickBot="1" x14ac:dyDescent="0.3">
      <c r="A13" s="15"/>
      <c r="B13" s="11" t="s">
        <v>14</v>
      </c>
      <c r="C13" s="36" t="s">
        <v>9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J13" s="71">
        <f ca="1"/>
        <v>46178.625</v>
      </c>
      <c r="K13" s="71">
        <v>46160.625</v>
      </c>
      <c r="L13" s="3">
        <v>83.724000000000004</v>
      </c>
      <c r="M13" s="95">
        <f t="shared" ca="1" si="0"/>
        <v>46178.625</v>
      </c>
      <c r="N13" s="95">
        <f t="shared" ca="1" si="1"/>
        <v>46178.625</v>
      </c>
      <c r="X13" s="95">
        <v>46097</v>
      </c>
      <c r="Y13" s="3">
        <v>162.2287</v>
      </c>
      <c r="Z13" s="37">
        <v>46097</v>
      </c>
      <c r="AA13" s="3">
        <v>115.158</v>
      </c>
      <c r="AB13" s="37">
        <f t="shared" si="2"/>
        <v>46097</v>
      </c>
    </row>
    <row r="14" spans="1:30" x14ac:dyDescent="0.25">
      <c r="A14" s="98">
        <v>46176.625</v>
      </c>
      <c r="B14" s="33">
        <f>VLOOKUP(A14-TIME(15,0,0),X:Y,2)/(1-(D14-C14)*B8*10^-4)</f>
        <v>165.30964471864769</v>
      </c>
      <c r="C14" s="25">
        <v>92</v>
      </c>
      <c r="D14" s="5">
        <v>92.715999999999994</v>
      </c>
      <c r="E14" s="33" cm="1">
        <f t="array" ref="E14">_xll.BDP(C4,"YAS_BOND_PX","YAS_ISPREAD_TO_GOVT=80.4","SETTLE_DT=20260603")</f>
        <v>84.409375249675435</v>
      </c>
      <c r="F14" s="1"/>
      <c r="G14" s="5"/>
      <c r="H14" s="54">
        <v>0</v>
      </c>
      <c r="J14" s="71">
        <f ca="1"/>
        <v>46177.625</v>
      </c>
      <c r="K14" s="71">
        <v>46161.625</v>
      </c>
      <c r="L14" s="3">
        <v>83.465000000000003</v>
      </c>
      <c r="M14" s="95">
        <f t="shared" ca="1" si="0"/>
        <v>46177.625</v>
      </c>
      <c r="N14" s="95">
        <f t="shared" ca="1" si="1"/>
        <v>46177.625</v>
      </c>
      <c r="X14" s="95">
        <v>46098</v>
      </c>
      <c r="Y14" s="3">
        <v>162.48050000000001</v>
      </c>
      <c r="Z14" s="37">
        <v>46098</v>
      </c>
      <c r="AA14" s="3">
        <v>111.348</v>
      </c>
      <c r="AB14" s="37">
        <f t="shared" si="2"/>
        <v>46098</v>
      </c>
    </row>
    <row r="15" spans="1:30" x14ac:dyDescent="0.25">
      <c r="A15" s="98">
        <f ca="1">IF(AND(ISBLANK(O2), A14 = $O$1),NOW(),IF(ISBLANK(O2),"",O2))</f>
        <v>46177.625</v>
      </c>
      <c r="B15" s="33">
        <f ca="1">IF(COUNTIF($P$2:P1000,A15)=1,VLOOKUP(A15-TIME(15,0,0),X:Y,2), IF(COUNTIF($P$2:P1000,A15)=0,$B$10,""))</f>
        <v>165.62994807212451</v>
      </c>
      <c r="C15" s="25">
        <f ca="1">IF(ISERROR(B15-2),"",1*(B15/$B$14-1)*$B$5)</f>
        <v>50377.503409258396</v>
      </c>
      <c r="D15" s="107"/>
      <c r="E15" s="33">
        <f ca="1">IF(COUNTIF($K$2:K1000,A15)=1,VLOOKUP(A15,K:L,2), IF(COUNTIF($K$2:K1000,A15)=0,$C$9,""))</f>
        <v>84.314999999999998</v>
      </c>
      <c r="F15" s="77">
        <f ca="1">IF(ISERROR(B15-2),"",(E15-$E$14)/100*$C$5)</f>
        <v>-23593.812418859274</v>
      </c>
      <c r="G15" s="107">
        <f ca="1">IF(ISERROR(B15-2),"",(INT(A15)-INT($A$14))/360*$C$6*$C$5-(INT(A15)-INT($A$14))/360*$C$7*$C$5*$E$14/100)</f>
        <v>-653.17467846530451</v>
      </c>
      <c r="H15" s="55">
        <f ca="1">IF(ISERROR(B15-2),"",(-1*(C15+D15))+F15+G15)</f>
        <v>-74624.490506582981</v>
      </c>
      <c r="J15" s="71">
        <f ca="1"/>
        <v>46176.625</v>
      </c>
      <c r="K15" s="71">
        <v>46162.625</v>
      </c>
      <c r="L15" s="3">
        <v>83.899000000000001</v>
      </c>
      <c r="M15" s="95">
        <f t="shared" ca="1" si="0"/>
        <v>46176.625</v>
      </c>
      <c r="N15" s="95" t="str">
        <f t="shared" ca="1" si="1"/>
        <v/>
      </c>
      <c r="X15" s="95">
        <v>46099</v>
      </c>
      <c r="Y15" s="3">
        <v>162.4152</v>
      </c>
      <c r="Z15" s="37">
        <v>46099</v>
      </c>
      <c r="AA15" s="3">
        <v>112.417</v>
      </c>
      <c r="AB15" s="37">
        <f t="shared" si="2"/>
        <v>46099</v>
      </c>
    </row>
    <row r="16" spans="1:30" x14ac:dyDescent="0.25">
      <c r="A16" s="98">
        <f t="shared" ref="A16:A79" ca="1" si="3">IF(AND(ISBLANK(O3), A15 = $O$1),NOW(),IF(ISBLANK(O3),"",O3))</f>
        <v>46178.625</v>
      </c>
      <c r="B16" s="33">
        <f ca="1">IF(COUNTIF($P$2:P1001,A16)=1,VLOOKUP(A16-TIME(15,0,0),X:Y,2), IF(COUNTIF($P$2:P1001,A16)=0,$B$10,""))</f>
        <v>165.62994807212451</v>
      </c>
      <c r="C16" s="25">
        <f t="shared" ref="C16:C79" ca="1" si="4">IF(ISERROR(B16-2),"",1*(B16/$B$14-1)*$B$5)</f>
        <v>50377.503409258396</v>
      </c>
      <c r="D16" s="107"/>
      <c r="E16" s="33">
        <f ca="1">IF(COUNTIF($K$2:K1001,A16)=1,VLOOKUP(A16,K:L,2), IF(COUNTIF($K$2:K1001,A16)=0,$C$9,""))</f>
        <v>84.245000000000005</v>
      </c>
      <c r="F16" s="77">
        <f t="shared" ref="F16:F79" ca="1" si="5">IF(ISERROR(B16-2),"",(E16-$E$14)/100*$C$5)</f>
        <v>-41093.812418857568</v>
      </c>
      <c r="G16" s="107">
        <f t="shared" ref="G16:G79" ca="1" si="6">IF(ISERROR(B16-2),"",(INT(A16)-INT($A$14))/360*$C$6*$C$5-(INT(A16)-INT($A$14))/360*$C$7*$C$5*$E$14/100)</f>
        <v>-1306.349356930609</v>
      </c>
      <c r="H16" s="55">
        <f t="shared" ref="H16:H79" ca="1" si="7">IF(ISERROR(B16-2),"",(-1*(C16+D16))+F16+G16)</f>
        <v>-92777.665185046586</v>
      </c>
      <c r="J16" s="71">
        <f ca="1"/>
        <v>46175.625</v>
      </c>
      <c r="K16" s="71">
        <v>46163.625</v>
      </c>
      <c r="L16" s="3">
        <v>83.722999999999999</v>
      </c>
      <c r="M16" s="95">
        <f t="shared" ca="1" si="0"/>
        <v>46175.625</v>
      </c>
      <c r="N16" s="95" t="str">
        <f t="shared" ca="1" si="1"/>
        <v/>
      </c>
      <c r="X16" s="95">
        <v>46100</v>
      </c>
      <c r="Y16" s="3">
        <v>162.06739999999999</v>
      </c>
      <c r="Z16" s="37">
        <v>46100</v>
      </c>
      <c r="AA16" s="3">
        <v>117.55800000000001</v>
      </c>
      <c r="AB16" s="37">
        <f t="shared" si="2"/>
        <v>46100</v>
      </c>
    </row>
    <row r="17" spans="1:28" x14ac:dyDescent="0.25">
      <c r="A17" s="98">
        <f t="shared" ca="1" si="3"/>
        <v>46181.625</v>
      </c>
      <c r="B17" s="33">
        <f ca="1">IF(COUNTIF($P$2:P1002,A17)=1,VLOOKUP(A17-TIME(15,0,0),X:Y,2), IF(COUNTIF($P$2:P1002,A17)=0,$B$10,""))</f>
        <v>165.62994807212451</v>
      </c>
      <c r="C17" s="25">
        <f t="shared" ca="1" si="4"/>
        <v>50377.503409258396</v>
      </c>
      <c r="D17" s="107"/>
      <c r="E17" s="33">
        <f ca="1">IF(COUNTIF($K$2:K1002,A17)=1,VLOOKUP(A17,K:L,2), IF(COUNTIF($K$2:K1002,A17)=0,$C$9,""))</f>
        <v>84.13</v>
      </c>
      <c r="F17" s="77">
        <f t="shared" ca="1" si="5"/>
        <v>-69843.812418859845</v>
      </c>
      <c r="G17" s="107">
        <f t="shared" ca="1" si="6"/>
        <v>-3265.8733923265213</v>
      </c>
      <c r="H17" s="55">
        <f t="shared" ca="1" si="7"/>
        <v>-123487.18922044476</v>
      </c>
      <c r="J17" s="71">
        <f ca="1"/>
        <v>46174.625</v>
      </c>
      <c r="K17" s="71">
        <v>46164.625</v>
      </c>
      <c r="L17" s="3">
        <v>84.05</v>
      </c>
      <c r="M17" s="95">
        <f t="shared" ca="1" si="0"/>
        <v>46174.625</v>
      </c>
      <c r="N17" s="95" t="str">
        <f t="shared" ca="1" si="1"/>
        <v/>
      </c>
      <c r="X17" s="95">
        <v>46101</v>
      </c>
      <c r="Y17" s="3">
        <v>161.74549999999999</v>
      </c>
      <c r="Z17" s="37">
        <v>46101</v>
      </c>
      <c r="AA17" s="3">
        <v>133.29900000000001</v>
      </c>
      <c r="AB17" s="37">
        <f t="shared" si="2"/>
        <v>46101</v>
      </c>
    </row>
    <row r="18" spans="1:28" x14ac:dyDescent="0.25">
      <c r="A18" s="98">
        <f t="shared" ca="1" si="3"/>
        <v>46182.625</v>
      </c>
      <c r="B18" s="33">
        <f ca="1">IF(COUNTIF($P$2:P1003,A18)=1,VLOOKUP(A18-TIME(15,0,0),X:Y,2), IF(COUNTIF($P$2:P1003,A18)=0,$B$10,""))</f>
        <v>165.62994807212451</v>
      </c>
      <c r="C18" s="25">
        <f t="shared" ca="1" si="4"/>
        <v>50377.503409258396</v>
      </c>
      <c r="D18" s="107"/>
      <c r="E18" s="33">
        <f ca="1">IF(COUNTIF($K$2:K1003,A18)=1,VLOOKUP(A18,K:L,2), IF(COUNTIF($K$2:K1003,A18)=0,$C$9,""))</f>
        <v>84.302000000000007</v>
      </c>
      <c r="F18" s="77">
        <f t="shared" ca="1" si="5"/>
        <v>-26843.812418857025</v>
      </c>
      <c r="G18" s="107">
        <f t="shared" ca="1" si="6"/>
        <v>-3919.048070791825</v>
      </c>
      <c r="H18" s="55">
        <f t="shared" ca="1" si="7"/>
        <v>-81140.363898907235</v>
      </c>
      <c r="J18" s="71">
        <f ca="1"/>
        <v>46171.625</v>
      </c>
      <c r="K18" s="71">
        <v>46167.625</v>
      </c>
      <c r="L18" s="3">
        <v>84.649000000000001</v>
      </c>
      <c r="M18" s="95">
        <f t="shared" ca="1" si="0"/>
        <v>46171.625</v>
      </c>
      <c r="N18" s="95" t="str">
        <f t="shared" ca="1" si="1"/>
        <v/>
      </c>
      <c r="X18" s="95">
        <v>46104</v>
      </c>
      <c r="Y18" s="3">
        <v>161.99780000000001</v>
      </c>
      <c r="Z18" s="37">
        <v>46104</v>
      </c>
      <c r="AA18" s="3">
        <v>129.78700000000001</v>
      </c>
      <c r="AB18" s="37">
        <f t="shared" si="2"/>
        <v>46104</v>
      </c>
    </row>
    <row r="19" spans="1:28" x14ac:dyDescent="0.25">
      <c r="A19" s="98">
        <f t="shared" ca="1" si="3"/>
        <v>46183.625</v>
      </c>
      <c r="B19" s="33">
        <f ca="1">IF(COUNTIF($P$2:P1004,A19)=1,VLOOKUP(A19-TIME(15,0,0),X:Y,2), IF(COUNTIF($P$2:P1004,A19)=0,$B$10,""))</f>
        <v>165.62994807212451</v>
      </c>
      <c r="C19" s="25">
        <f t="shared" ca="1" si="4"/>
        <v>50377.503409258396</v>
      </c>
      <c r="D19" s="107"/>
      <c r="E19" s="33">
        <f ca="1">IF(COUNTIF($K$2:K1004,A19)=1,VLOOKUP(A19,K:L,2), IF(COUNTIF($K$2:K1004,A19)=0,$C$9,""))</f>
        <v>84.007999999999996</v>
      </c>
      <c r="F19" s="77">
        <f t="shared" ca="1" si="5"/>
        <v>-100343.81241885982</v>
      </c>
      <c r="G19" s="107">
        <f t="shared" ca="1" si="6"/>
        <v>-4572.222749257131</v>
      </c>
      <c r="H19" s="55">
        <f t="shared" ca="1" si="7"/>
        <v>-155293.53857737535</v>
      </c>
      <c r="J19" s="71">
        <f ca="1"/>
        <v>46170.625</v>
      </c>
      <c r="K19" s="71">
        <v>46168.625</v>
      </c>
      <c r="L19" s="3">
        <v>84.418000000000006</v>
      </c>
      <c r="M19" s="95">
        <f t="shared" ca="1" si="0"/>
        <v>46170.625</v>
      </c>
      <c r="N19" s="95" t="str">
        <f t="shared" ca="1" si="1"/>
        <v/>
      </c>
      <c r="X19" s="95">
        <v>46105</v>
      </c>
      <c r="Y19" s="3">
        <v>161.9736</v>
      </c>
      <c r="Z19" s="37">
        <v>46105</v>
      </c>
      <c r="AA19" s="3">
        <v>131.09399999999999</v>
      </c>
      <c r="AB19" s="37">
        <f t="shared" si="2"/>
        <v>46105</v>
      </c>
    </row>
    <row r="20" spans="1:28" x14ac:dyDescent="0.25">
      <c r="A20" s="98">
        <f t="shared" ca="1" si="3"/>
        <v>46184.625</v>
      </c>
      <c r="B20" s="33">
        <f ca="1">IF(COUNTIF($P$2:P1005,A20)=1,VLOOKUP(A20-TIME(15,0,0),X:Y,2), IF(COUNTIF($P$2:P1005,A20)=0,$B$10,""))</f>
        <v>165.62994807212451</v>
      </c>
      <c r="C20" s="25">
        <f t="shared" ca="1" si="4"/>
        <v>50377.503409258396</v>
      </c>
      <c r="D20" s="107"/>
      <c r="E20" s="33">
        <f ca="1">IF(COUNTIF($K$2:K1005,A20)=1,VLOOKUP(A20,K:L,2), IF(COUNTIF($K$2:K1005,A20)=0,$C$9,""))</f>
        <v>84.228999999999999</v>
      </c>
      <c r="F20" s="77">
        <f t="shared" ca="1" si="5"/>
        <v>-45093.812418858899</v>
      </c>
      <c r="G20" s="107">
        <f t="shared" ca="1" si="6"/>
        <v>-5225.3974277224361</v>
      </c>
      <c r="H20" s="55">
        <f t="shared" ca="1" si="7"/>
        <v>-100696.71325583973</v>
      </c>
      <c r="J20" s="71">
        <f ca="1"/>
        <v>46169.625</v>
      </c>
      <c r="K20" s="71">
        <v>46169.625</v>
      </c>
      <c r="L20" s="3">
        <v>84.426000000000002</v>
      </c>
      <c r="M20" s="95">
        <f t="shared" ca="1" si="0"/>
        <v>46169.625</v>
      </c>
      <c r="N20" s="95" t="str">
        <f t="shared" ca="1" si="1"/>
        <v/>
      </c>
      <c r="X20" s="95">
        <v>46106</v>
      </c>
      <c r="Y20" s="3">
        <v>162.3073</v>
      </c>
      <c r="Z20" s="37">
        <v>46106</v>
      </c>
      <c r="AA20" s="3">
        <v>126.128</v>
      </c>
      <c r="AB20" s="37">
        <f t="shared" si="2"/>
        <v>46106</v>
      </c>
    </row>
    <row r="21" spans="1:28" x14ac:dyDescent="0.25">
      <c r="A21" s="98">
        <f t="shared" ca="1" si="3"/>
        <v>46185.625</v>
      </c>
      <c r="B21" s="33">
        <f ca="1">IF(COUNTIF($P$2:P1006,A21)=1,VLOOKUP(A21-TIME(15,0,0),X:Y,2), IF(COUNTIF($P$2:P1006,A21)=0,$B$10,""))</f>
        <v>165.62994807212451</v>
      </c>
      <c r="C21" s="25">
        <f t="shared" ca="1" si="4"/>
        <v>50377.503409258396</v>
      </c>
      <c r="D21" s="107"/>
      <c r="E21" s="33">
        <f ca="1">IF(COUNTIF($K$2:K1006,A21)=1,VLOOKUP(A21,K:L,2), IF(COUNTIF($K$2:K1006,A21)=0,$C$9,""))</f>
        <v>84.555999999999997</v>
      </c>
      <c r="F21" s="77">
        <f t="shared" ca="1" si="5"/>
        <v>36656.187581140643</v>
      </c>
      <c r="G21" s="107">
        <f t="shared" ca="1" si="6"/>
        <v>-5878.5721061877412</v>
      </c>
      <c r="H21" s="55">
        <f t="shared" ca="1" si="7"/>
        <v>-19599.887934305494</v>
      </c>
      <c r="J21" s="71">
        <f ca="1"/>
        <v>46168.625</v>
      </c>
      <c r="K21" s="71">
        <v>46170.625</v>
      </c>
      <c r="L21" s="3">
        <v>84.570999999999998</v>
      </c>
      <c r="M21" s="95">
        <f t="shared" ca="1" si="0"/>
        <v>46168.625</v>
      </c>
      <c r="N21" s="95" t="str">
        <f t="shared" ca="1" si="1"/>
        <v/>
      </c>
      <c r="X21" s="95">
        <v>46107</v>
      </c>
      <c r="Y21" s="3">
        <v>161.78370000000001</v>
      </c>
      <c r="Z21" s="37">
        <v>46107</v>
      </c>
      <c r="AA21" s="3">
        <v>133.72800000000001</v>
      </c>
      <c r="AB21" s="37">
        <f t="shared" si="2"/>
        <v>46107</v>
      </c>
    </row>
    <row r="22" spans="1:28" x14ac:dyDescent="0.25">
      <c r="A22" s="98">
        <f t="shared" ca="1" si="3"/>
        <v>46188.625</v>
      </c>
      <c r="B22" s="33">
        <f ca="1">IF(COUNTIF($P$2:P1007,A22)=1,VLOOKUP(A22-TIME(15,0,0),X:Y,2), IF(COUNTIF($P$2:P1007,A22)=0,$B$10,""))</f>
        <v>165.62994807212451</v>
      </c>
      <c r="C22" s="25">
        <f t="shared" ca="1" si="4"/>
        <v>50377.503409258396</v>
      </c>
      <c r="D22" s="107"/>
      <c r="E22" s="33">
        <f ca="1">IF(COUNTIF($K$2:K1007,A22)=1,VLOOKUP(A22,K:L,2), IF(COUNTIF($K$2:K1007,A22)=0,$C$9,""))</f>
        <v>84.923000000000002</v>
      </c>
      <c r="F22" s="77">
        <f t="shared" ca="1" si="5"/>
        <v>128406.18758114176</v>
      </c>
      <c r="G22" s="107">
        <f t="shared" ca="1" si="6"/>
        <v>-7838.09614158365</v>
      </c>
      <c r="H22" s="55">
        <f t="shared" ca="1" si="7"/>
        <v>70190.58803029971</v>
      </c>
      <c r="J22" s="71">
        <f ca="1"/>
        <v>46167.625</v>
      </c>
      <c r="K22" s="71">
        <v>46171.625</v>
      </c>
      <c r="L22" s="3">
        <v>84.786000000000001</v>
      </c>
      <c r="M22" s="95">
        <f t="shared" ca="1" si="0"/>
        <v>46167.625</v>
      </c>
      <c r="N22" s="95" t="str">
        <f t="shared" ca="1" si="1"/>
        <v/>
      </c>
      <c r="X22" s="95">
        <v>46108</v>
      </c>
      <c r="Y22" s="3">
        <v>161.36420000000001</v>
      </c>
      <c r="Z22" s="37">
        <v>46108</v>
      </c>
      <c r="AA22" s="3">
        <v>138.6</v>
      </c>
      <c r="AB22" s="37">
        <f t="shared" si="2"/>
        <v>46108</v>
      </c>
    </row>
    <row r="23" spans="1:28" ht="14.45" customHeight="1" x14ac:dyDescent="0.25">
      <c r="A23" s="98">
        <f t="shared" ca="1" si="3"/>
        <v>46189.625</v>
      </c>
      <c r="B23" s="33">
        <f ca="1">IF(COUNTIF($P$2:P1008,A23)=1,VLOOKUP(A23-TIME(15,0,0),X:Y,2), IF(COUNTIF($P$2:P1008,A23)=0,$B$10,""))</f>
        <v>165.62994807212451</v>
      </c>
      <c r="C23" s="25">
        <f t="shared" ca="1" si="4"/>
        <v>50377.503409258396</v>
      </c>
      <c r="D23" s="107"/>
      <c r="E23" s="33">
        <f ca="1">IF(COUNTIF($K$2:K1008,A23)=1,VLOOKUP(A23,K:L,2), IF(COUNTIF($K$2:K1008,A23)=0,$C$9,""))</f>
        <v>84.986000000000004</v>
      </c>
      <c r="F23" s="77">
        <f t="shared" ca="1" si="5"/>
        <v>144156.18758114235</v>
      </c>
      <c r="G23" s="107">
        <f t="shared" ca="1" si="6"/>
        <v>-8491.2708200489542</v>
      </c>
      <c r="H23" s="55">
        <f t="shared" ca="1" si="7"/>
        <v>85287.413351834999</v>
      </c>
      <c r="J23" s="71">
        <f ca="1"/>
        <v>46164.625</v>
      </c>
      <c r="K23" s="71">
        <v>46174.625</v>
      </c>
      <c r="L23" s="3">
        <v>84.335999999999999</v>
      </c>
      <c r="M23" s="95">
        <f t="shared" ca="1" si="0"/>
        <v>46164.625</v>
      </c>
      <c r="N23" s="95" t="str">
        <f t="shared" ca="1" si="1"/>
        <v/>
      </c>
      <c r="X23" s="95">
        <v>46111</v>
      </c>
      <c r="Y23" s="3">
        <v>161.44030000000001</v>
      </c>
      <c r="Z23" s="37">
        <v>46111</v>
      </c>
      <c r="AA23" s="3">
        <v>137.76</v>
      </c>
      <c r="AB23" s="37">
        <f t="shared" si="2"/>
        <v>46111</v>
      </c>
    </row>
    <row r="24" spans="1:28" ht="14.45" customHeight="1" x14ac:dyDescent="0.25">
      <c r="A24" s="98">
        <f t="shared" ca="1" si="3"/>
        <v>46190.625</v>
      </c>
      <c r="B24" s="33">
        <f ca="1">IF(COUNTIF($P$2:P1009,A24)=1,VLOOKUP(A24-TIME(15,0,0),X:Y,2), IF(COUNTIF($P$2:P1009,A24)=0,$B$10,""))</f>
        <v>165.62994807212451</v>
      </c>
      <c r="C24" s="25">
        <f t="shared" ca="1" si="4"/>
        <v>50377.503409258396</v>
      </c>
      <c r="D24" s="107"/>
      <c r="E24" s="33">
        <f ca="1">IF(COUNTIF($K$2:K1009,A24)=1,VLOOKUP(A24,K:L,2), IF(COUNTIF($K$2:K1009,A24)=0,$C$9,""))</f>
        <v>84.808000000000007</v>
      </c>
      <c r="F24" s="77">
        <f t="shared" ca="1" si="5"/>
        <v>99656.187581143036</v>
      </c>
      <c r="G24" s="107">
        <f t="shared" ca="1" si="6"/>
        <v>-9144.445498514262</v>
      </c>
      <c r="H24" s="55">
        <f t="shared" ca="1" si="7"/>
        <v>40134.238673370375</v>
      </c>
      <c r="J24" s="71">
        <f ca="1"/>
        <v>46163.625</v>
      </c>
      <c r="K24" s="71">
        <v>46175.625</v>
      </c>
      <c r="L24" s="3">
        <v>84.512</v>
      </c>
      <c r="M24" s="95">
        <f t="shared" ca="1" si="0"/>
        <v>46163.625</v>
      </c>
      <c r="N24" s="95" t="str">
        <f t="shared" ca="1" si="1"/>
        <v/>
      </c>
      <c r="X24" s="95">
        <v>46112</v>
      </c>
      <c r="Y24" s="3">
        <v>161.80430000000001</v>
      </c>
      <c r="Z24" s="37">
        <v>46112</v>
      </c>
      <c r="AA24" s="3">
        <v>133.54300000000001</v>
      </c>
      <c r="AB24" s="37">
        <f t="shared" si="2"/>
        <v>46112</v>
      </c>
    </row>
    <row r="25" spans="1:28" ht="14.45" customHeight="1" x14ac:dyDescent="0.25">
      <c r="A25" s="98">
        <f t="shared" ca="1" si="3"/>
        <v>46191.625</v>
      </c>
      <c r="B25" s="33">
        <f ca="1">IF(COUNTIF($P$2:P1010,A25)=1,VLOOKUP(A25-TIME(15,0,0),X:Y,2), IF(COUNTIF($P$2:P1010,A25)=0,$B$10,""))</f>
        <v>165.62994807212451</v>
      </c>
      <c r="C25" s="25">
        <f t="shared" ca="1" si="4"/>
        <v>50377.503409258396</v>
      </c>
      <c r="D25" s="107"/>
      <c r="E25" s="33">
        <f ca="1">IF(COUNTIF($K$2:K1010,A25)=1,VLOOKUP(A25,K:L,2), IF(COUNTIF($K$2:K1010,A25)=0,$C$9,""))</f>
        <v>84.680999999999997</v>
      </c>
      <c r="F25" s="77">
        <f t="shared" ca="1" si="5"/>
        <v>67906.187581140635</v>
      </c>
      <c r="G25" s="107">
        <f t="shared" ca="1" si="6"/>
        <v>-9797.6201769795643</v>
      </c>
      <c r="H25" s="55">
        <f t="shared" ca="1" si="7"/>
        <v>7731.0639949026754</v>
      </c>
      <c r="J25" s="71">
        <f ca="1"/>
        <v>46162.625</v>
      </c>
      <c r="K25" s="71">
        <v>46176.625</v>
      </c>
      <c r="L25" s="3">
        <v>84.165000000000006</v>
      </c>
      <c r="M25" s="95">
        <f t="shared" ca="1" si="0"/>
        <v>46162.625</v>
      </c>
      <c r="N25" s="95" t="str">
        <f t="shared" ca="1" si="1"/>
        <v/>
      </c>
      <c r="X25" s="95">
        <v>46113</v>
      </c>
      <c r="Y25" s="3">
        <v>162.7458</v>
      </c>
      <c r="Z25" s="37">
        <v>46113</v>
      </c>
      <c r="AA25" s="3">
        <v>121.008</v>
      </c>
      <c r="AB25" s="37">
        <f t="shared" si="2"/>
        <v>46113</v>
      </c>
    </row>
    <row r="26" spans="1:28" ht="14.45" customHeight="1" x14ac:dyDescent="0.25">
      <c r="A26" s="98">
        <f t="shared" ca="1" si="3"/>
        <v>46191.47081053241</v>
      </c>
      <c r="B26" s="33">
        <f ca="1">IF(COUNTIF($P$2:P1011,A26)=1,VLOOKUP(A26-TIME(15,0,0),X:Y,2), IF(COUNTIF($P$2:P1011,A26)=0,$B$10,""))</f>
        <v>165.62994807212451</v>
      </c>
      <c r="C26" s="25">
        <f t="shared" ca="1" si="4"/>
        <v>50377.503409258396</v>
      </c>
      <c r="D26" s="107"/>
      <c r="E26" s="33">
        <f ca="1">IF(COUNTIF($K$2:K1011,A26)=1,VLOOKUP(A26,K:L,2), IF(COUNTIF($K$2:K1011,A26)=0,$C$9,""))</f>
        <v>84.685000000000002</v>
      </c>
      <c r="F26" s="77">
        <f t="shared" ca="1" si="5"/>
        <v>68906.187581141858</v>
      </c>
      <c r="G26" s="107">
        <f t="shared" ca="1" si="6"/>
        <v>-9797.6201769795643</v>
      </c>
      <c r="H26" s="55">
        <f t="shared" ca="1" si="7"/>
        <v>8731.0639949038978</v>
      </c>
      <c r="J26" s="71">
        <f ca="1"/>
        <v>46161.625</v>
      </c>
      <c r="K26" s="71">
        <v>46177.625</v>
      </c>
      <c r="L26" s="3">
        <v>84.314999999999998</v>
      </c>
      <c r="M26" s="95">
        <f t="shared" ca="1" si="0"/>
        <v>46161.625</v>
      </c>
      <c r="N26" s="95" t="str">
        <f t="shared" ca="1" si="1"/>
        <v/>
      </c>
      <c r="X26" s="95">
        <v>46114</v>
      </c>
      <c r="Y26" s="3">
        <v>162.88919999999999</v>
      </c>
      <c r="Z26" s="37">
        <v>46114</v>
      </c>
      <c r="AA26" s="3">
        <v>118.791</v>
      </c>
      <c r="AB26" s="37">
        <f t="shared" si="2"/>
        <v>46114</v>
      </c>
    </row>
    <row r="27" spans="1:28" ht="14.45" customHeight="1" x14ac:dyDescent="0.25">
      <c r="A27" s="98" t="str">
        <f t="shared" ca="1" si="3"/>
        <v/>
      </c>
      <c r="B27" s="33" t="str">
        <f ca="1">IF(COUNTIF($P$2:P1012,A27)=1,VLOOKUP(A27-TIME(15,0,0),X:Y,2), IF(COUNTIF($P$2:P1012,A27)=0,$B$10,""))</f>
        <v/>
      </c>
      <c r="C27" s="25" t="str">
        <f t="shared" ca="1" si="4"/>
        <v/>
      </c>
      <c r="D27" s="107"/>
      <c r="E27" s="33" t="str">
        <f ca="1">IF(COUNTIF($K$2:K1012,A27)=1,VLOOKUP(A27,K:L,2), IF(COUNTIF($K$2:K1012,A27)=0,$C$9,""))</f>
        <v/>
      </c>
      <c r="F27" s="77" t="str">
        <f t="shared" ca="1" si="5"/>
        <v/>
      </c>
      <c r="G27" s="107" t="str">
        <f t="shared" ca="1" si="6"/>
        <v/>
      </c>
      <c r="H27" s="55" t="str">
        <f t="shared" ca="1" si="7"/>
        <v/>
      </c>
      <c r="J27" s="71">
        <f ca="1"/>
        <v>46160.625</v>
      </c>
      <c r="K27" s="71">
        <v>46178.625</v>
      </c>
      <c r="L27" s="3">
        <v>84.245000000000005</v>
      </c>
      <c r="M27" s="95">
        <f t="shared" ca="1" si="0"/>
        <v>46160.625</v>
      </c>
      <c r="N27" s="95" t="str">
        <f t="shared" ca="1" si="1"/>
        <v/>
      </c>
      <c r="X27" s="95">
        <v>46119</v>
      </c>
      <c r="Y27" s="3">
        <v>162.7406</v>
      </c>
      <c r="Z27" s="37">
        <v>46119</v>
      </c>
      <c r="AA27" s="3">
        <v>121.52200000000001</v>
      </c>
      <c r="AB27" s="37">
        <f t="shared" si="2"/>
        <v>46119</v>
      </c>
    </row>
    <row r="28" spans="1:28" ht="14.45" customHeight="1" x14ac:dyDescent="0.25">
      <c r="A28" s="98" t="str">
        <f t="shared" ca="1" si="3"/>
        <v/>
      </c>
      <c r="B28" s="33" t="str">
        <f ca="1">IF(COUNTIF($P$2:P1013,A28)=1,VLOOKUP(A28-TIME(15,0,0),X:Y,2), IF(COUNTIF($P$2:P1013,A28)=0,$B$10,""))</f>
        <v/>
      </c>
      <c r="C28" s="25" t="str">
        <f t="shared" ca="1" si="4"/>
        <v/>
      </c>
      <c r="D28" s="107"/>
      <c r="E28" s="33" t="str">
        <f ca="1">IF(COUNTIF($K$2:K1013,A28)=1,VLOOKUP(A28,K:L,2), IF(COUNTIF($K$2:K1013,A28)=0,$C$9,""))</f>
        <v/>
      </c>
      <c r="F28" s="77" t="str">
        <f t="shared" ca="1" si="5"/>
        <v/>
      </c>
      <c r="G28" s="107" t="str">
        <f t="shared" ca="1" si="6"/>
        <v/>
      </c>
      <c r="H28" s="55" t="str">
        <f t="shared" ca="1" si="7"/>
        <v/>
      </c>
      <c r="J28" s="71">
        <f ca="1"/>
        <v>46157.625</v>
      </c>
      <c r="K28" s="71">
        <v>46181.625</v>
      </c>
      <c r="L28" s="3">
        <v>84.13</v>
      </c>
      <c r="M28" s="95">
        <f t="shared" ca="1" si="0"/>
        <v>46157.625</v>
      </c>
      <c r="N28" s="95" t="str">
        <f t="shared" ca="1" si="1"/>
        <v/>
      </c>
      <c r="X28" s="95">
        <v>46120</v>
      </c>
      <c r="Y28" s="3">
        <v>163.77330000000001</v>
      </c>
      <c r="Z28" s="37">
        <v>46120</v>
      </c>
      <c r="AA28" s="3">
        <v>107.431</v>
      </c>
      <c r="AB28" s="37">
        <f t="shared" si="2"/>
        <v>46120</v>
      </c>
    </row>
    <row r="29" spans="1:28" ht="14.45" customHeight="1" x14ac:dyDescent="0.25">
      <c r="A29" s="98" t="str">
        <f t="shared" ca="1" si="3"/>
        <v/>
      </c>
      <c r="B29" s="33" t="str">
        <f ca="1">IF(COUNTIF($P$2:P1014,A29)=1,VLOOKUP(A29-TIME(15,0,0),X:Y,2), IF(COUNTIF($P$2:P1014,A29)=0,$B$10,""))</f>
        <v/>
      </c>
      <c r="C29" s="25" t="str">
        <f t="shared" ca="1" si="4"/>
        <v/>
      </c>
      <c r="D29" s="107"/>
      <c r="E29" s="33" t="str">
        <f ca="1">IF(COUNTIF($K$2:K1014,A29)=1,VLOOKUP(A29,K:L,2), IF(COUNTIF($K$2:K1014,A29)=0,$C$9,""))</f>
        <v/>
      </c>
      <c r="F29" s="77" t="str">
        <f t="shared" ca="1" si="5"/>
        <v/>
      </c>
      <c r="G29" s="107" t="str">
        <f t="shared" ca="1" si="6"/>
        <v/>
      </c>
      <c r="H29" s="55" t="str">
        <f t="shared" ca="1" si="7"/>
        <v/>
      </c>
      <c r="J29" s="71">
        <f ca="1"/>
        <v>46156.625</v>
      </c>
      <c r="K29" s="71">
        <v>46182.625</v>
      </c>
      <c r="L29" s="3">
        <v>84.302000000000007</v>
      </c>
      <c r="M29" s="95">
        <f t="shared" ca="1" si="0"/>
        <v>46156.625</v>
      </c>
      <c r="N29" s="95" t="str">
        <f t="shared" ca="1" si="1"/>
        <v/>
      </c>
      <c r="X29" s="95">
        <v>46121</v>
      </c>
      <c r="Y29" s="3">
        <v>163.96940000000001</v>
      </c>
      <c r="Z29" s="37">
        <v>46121</v>
      </c>
      <c r="AA29" s="3">
        <v>104.477</v>
      </c>
      <c r="AB29" s="37">
        <f t="shared" si="2"/>
        <v>46121</v>
      </c>
    </row>
    <row r="30" spans="1:28" ht="14.45" customHeight="1" x14ac:dyDescent="0.25">
      <c r="A30" s="98" t="str">
        <f t="shared" ca="1" si="3"/>
        <v/>
      </c>
      <c r="B30" s="33" t="str">
        <f ca="1">IF(COUNTIF($P$2:P1015,A30)=1,VLOOKUP(A30-TIME(15,0,0),X:Y,2), IF(COUNTIF($P$2:P1015,A30)=0,$B$10,""))</f>
        <v/>
      </c>
      <c r="C30" s="25" t="str">
        <f t="shared" ca="1" si="4"/>
        <v/>
      </c>
      <c r="D30" s="107"/>
      <c r="E30" s="33" t="str">
        <f ca="1">IF(COUNTIF($K$2:K1015,A30)=1,VLOOKUP(A30,K:L,2), IF(COUNTIF($K$2:K1015,A30)=0,$C$9,""))</f>
        <v/>
      </c>
      <c r="F30" s="77" t="str">
        <f t="shared" ca="1" si="5"/>
        <v/>
      </c>
      <c r="G30" s="107" t="str">
        <f t="shared" ca="1" si="6"/>
        <v/>
      </c>
      <c r="H30" s="55" t="str">
        <f t="shared" ca="1" si="7"/>
        <v/>
      </c>
      <c r="J30" s="71">
        <f ca="1"/>
        <v>46155.625</v>
      </c>
      <c r="K30" s="71">
        <v>46183.625</v>
      </c>
      <c r="L30" s="3">
        <v>84.007999999999996</v>
      </c>
      <c r="M30" s="95">
        <f t="shared" ca="1" si="0"/>
        <v>46155.625</v>
      </c>
      <c r="N30" s="95" t="str">
        <f t="shared" ca="1" si="1"/>
        <v/>
      </c>
      <c r="X30" s="95">
        <v>46122</v>
      </c>
      <c r="Y30" s="3">
        <v>163.99180000000001</v>
      </c>
      <c r="Z30" s="37">
        <v>46122</v>
      </c>
      <c r="AA30" s="3">
        <v>106.512</v>
      </c>
      <c r="AB30" s="37">
        <f t="shared" si="2"/>
        <v>46122</v>
      </c>
    </row>
    <row r="31" spans="1:28" ht="14.45" customHeight="1" x14ac:dyDescent="0.25">
      <c r="A31" s="98" t="str">
        <f t="shared" ca="1" si="3"/>
        <v/>
      </c>
      <c r="B31" s="33" t="str">
        <f ca="1">IF(COUNTIF($P$2:P1016,A31)=1,VLOOKUP(A31-TIME(15,0,0),X:Y,2), IF(COUNTIF($P$2:P1016,A31)=0,$B$10,""))</f>
        <v/>
      </c>
      <c r="C31" s="25" t="str">
        <f t="shared" ca="1" si="4"/>
        <v/>
      </c>
      <c r="D31" s="107"/>
      <c r="E31" s="33" t="str">
        <f ca="1">IF(COUNTIF($K$2:K1016,A31)=1,VLOOKUP(A31,K:L,2), IF(COUNTIF($K$2:K1016,A31)=0,$C$9,""))</f>
        <v/>
      </c>
      <c r="F31" s="77" t="str">
        <f t="shared" ca="1" si="5"/>
        <v/>
      </c>
      <c r="G31" s="107" t="str">
        <f t="shared" ca="1" si="6"/>
        <v/>
      </c>
      <c r="H31" s="55" t="str">
        <f t="shared" ca="1" si="7"/>
        <v/>
      </c>
      <c r="J31" s="71">
        <f ca="1"/>
        <v>46154.625</v>
      </c>
      <c r="K31" s="71">
        <v>46184.625</v>
      </c>
      <c r="L31" s="3">
        <v>84.228999999999999</v>
      </c>
      <c r="M31" s="95">
        <f t="shared" ca="1" si="0"/>
        <v>46154.625</v>
      </c>
      <c r="N31" s="95" t="str">
        <f t="shared" ca="1" si="1"/>
        <v/>
      </c>
      <c r="X31" s="95">
        <v>46125</v>
      </c>
      <c r="Y31" s="3">
        <v>163.93780000000001</v>
      </c>
      <c r="Z31" s="37">
        <v>46125</v>
      </c>
      <c r="AA31" s="3">
        <v>106.68600000000001</v>
      </c>
      <c r="AB31" s="37">
        <f t="shared" si="2"/>
        <v>46125</v>
      </c>
    </row>
    <row r="32" spans="1:28" ht="14.45" customHeight="1" x14ac:dyDescent="0.25">
      <c r="A32" s="98" t="str">
        <f t="shared" ca="1" si="3"/>
        <v/>
      </c>
      <c r="B32" s="33" t="str">
        <f ca="1">IF(COUNTIF($P$2:P1017,A32)=1,VLOOKUP(A32-TIME(15,0,0),X:Y,2), IF(COUNTIF($P$2:P1017,A32)=0,$B$10,""))</f>
        <v/>
      </c>
      <c r="C32" s="25" t="str">
        <f t="shared" ca="1" si="4"/>
        <v/>
      </c>
      <c r="D32" s="107"/>
      <c r="E32" s="33" t="str">
        <f ca="1">IF(COUNTIF($K$2:K1017,A32)=1,VLOOKUP(A32,K:L,2), IF(COUNTIF($K$2:K1017,A32)=0,$C$9,""))</f>
        <v/>
      </c>
      <c r="F32" s="77" t="str">
        <f t="shared" ca="1" si="5"/>
        <v/>
      </c>
      <c r="G32" s="107" t="str">
        <f t="shared" ca="1" si="6"/>
        <v/>
      </c>
      <c r="H32" s="55" t="str">
        <f t="shared" ca="1" si="7"/>
        <v/>
      </c>
      <c r="J32" s="71">
        <f ca="1"/>
        <v>46153.625</v>
      </c>
      <c r="K32" s="71">
        <v>46185.625</v>
      </c>
      <c r="L32" s="3">
        <v>84.555999999999997</v>
      </c>
      <c r="M32" s="95">
        <f t="shared" ca="1" si="0"/>
        <v>46153.625</v>
      </c>
      <c r="N32" s="95" t="str">
        <f t="shared" ca="1" si="1"/>
        <v/>
      </c>
      <c r="X32" s="95">
        <v>46126</v>
      </c>
      <c r="Y32" s="3">
        <v>164.31569999999999</v>
      </c>
      <c r="Z32" s="37">
        <v>46126</v>
      </c>
      <c r="AA32" s="3">
        <v>101.413</v>
      </c>
      <c r="AB32" s="37">
        <f t="shared" si="2"/>
        <v>46126</v>
      </c>
    </row>
    <row r="33" spans="1:28" ht="14.45" customHeight="1" x14ac:dyDescent="0.25">
      <c r="A33" s="98" t="str">
        <f t="shared" ca="1" si="3"/>
        <v/>
      </c>
      <c r="B33" s="33" t="str">
        <f ca="1">IF(COUNTIF($P$2:P1018,A33)=1,VLOOKUP(A33-TIME(15,0,0),X:Y,2), IF(COUNTIF($P$2:P1018,A33)=0,$B$10,""))</f>
        <v/>
      </c>
      <c r="C33" s="25" t="str">
        <f t="shared" ca="1" si="4"/>
        <v/>
      </c>
      <c r="D33" s="107"/>
      <c r="E33" s="33" t="str">
        <f ca="1">IF(COUNTIF($K$2:K1018,A33)=1,VLOOKUP(A33,K:L,2), IF(COUNTIF($K$2:K1018,A33)=0,$C$9,""))</f>
        <v/>
      </c>
      <c r="F33" s="77" t="str">
        <f t="shared" ca="1" si="5"/>
        <v/>
      </c>
      <c r="G33" s="107" t="str">
        <f t="shared" ca="1" si="6"/>
        <v/>
      </c>
      <c r="H33" s="55" t="str">
        <f t="shared" ca="1" si="7"/>
        <v/>
      </c>
      <c r="J33" s="71">
        <f ca="1"/>
        <v>46150.625</v>
      </c>
      <c r="K33" s="71">
        <v>46188.625</v>
      </c>
      <c r="L33" s="3">
        <v>84.923000000000002</v>
      </c>
      <c r="M33" s="95">
        <f t="shared" ca="1" si="0"/>
        <v>46150.625</v>
      </c>
      <c r="N33" s="95" t="str">
        <f t="shared" ca="1" si="1"/>
        <v/>
      </c>
      <c r="X33" s="95">
        <v>46127</v>
      </c>
      <c r="Y33" s="3">
        <v>164.3218</v>
      </c>
      <c r="Z33" s="37">
        <v>46127</v>
      </c>
      <c r="AA33" s="3">
        <v>101.941</v>
      </c>
      <c r="AB33" s="37">
        <f t="shared" si="2"/>
        <v>46127</v>
      </c>
    </row>
    <row r="34" spans="1:28" ht="14.45" customHeight="1" x14ac:dyDescent="0.25">
      <c r="A34" s="98" t="str">
        <f t="shared" ca="1" si="3"/>
        <v/>
      </c>
      <c r="B34" s="33" t="str">
        <f ca="1">IF(COUNTIF($P$2:P1019,A34)=1,VLOOKUP(A34-TIME(15,0,0),X:Y,2), IF(COUNTIF($P$2:P1019,A34)=0,$B$10,""))</f>
        <v/>
      </c>
      <c r="C34" s="25" t="str">
        <f t="shared" ca="1" si="4"/>
        <v/>
      </c>
      <c r="D34" s="107"/>
      <c r="E34" s="33" t="str">
        <f ca="1">IF(COUNTIF($K$2:K1019,A34)=1,VLOOKUP(A34,K:L,2), IF(COUNTIF($K$2:K1019,A34)=0,$C$9,""))</f>
        <v/>
      </c>
      <c r="F34" s="77" t="str">
        <f t="shared" ca="1" si="5"/>
        <v/>
      </c>
      <c r="G34" s="107" t="str">
        <f t="shared" ca="1" si="6"/>
        <v/>
      </c>
      <c r="H34" s="55" t="str">
        <f t="shared" ca="1" si="7"/>
        <v/>
      </c>
      <c r="J34" s="71">
        <f ca="1"/>
        <v>46149.625</v>
      </c>
      <c r="K34" s="71">
        <v>46189.625</v>
      </c>
      <c r="L34" s="3">
        <v>84.986000000000004</v>
      </c>
      <c r="M34" s="95">
        <f t="shared" ca="1" si="0"/>
        <v>46149.625</v>
      </c>
      <c r="N34" s="95" t="str">
        <f t="shared" ca="1" si="1"/>
        <v/>
      </c>
      <c r="X34" s="95">
        <v>46128</v>
      </c>
      <c r="Y34" s="3">
        <v>164.2312</v>
      </c>
      <c r="Z34" s="37">
        <v>46128</v>
      </c>
      <c r="AA34" s="3">
        <v>103.227</v>
      </c>
      <c r="AB34" s="37">
        <f t="shared" si="2"/>
        <v>46128</v>
      </c>
    </row>
    <row r="35" spans="1:28" ht="14.45" customHeight="1" x14ac:dyDescent="0.25">
      <c r="A35" s="98" t="str">
        <f t="shared" ca="1" si="3"/>
        <v/>
      </c>
      <c r="B35" s="33" t="str">
        <f ca="1">IF(COUNTIF($P$2:P1020,A35)=1,VLOOKUP(A35-TIME(15,0,0),X:Y,2), IF(COUNTIF($P$2:P1020,A35)=0,$B$10,""))</f>
        <v/>
      </c>
      <c r="C35" s="25" t="str">
        <f t="shared" ca="1" si="4"/>
        <v/>
      </c>
      <c r="D35" s="107"/>
      <c r="E35" s="33" t="str">
        <f ca="1">IF(COUNTIF($K$2:K1020,A35)=1,VLOOKUP(A35,K:L,2), IF(COUNTIF($K$2:K1020,A35)=0,$C$9,""))</f>
        <v/>
      </c>
      <c r="F35" s="77" t="str">
        <f t="shared" ca="1" si="5"/>
        <v/>
      </c>
      <c r="G35" s="107" t="str">
        <f t="shared" ca="1" si="6"/>
        <v/>
      </c>
      <c r="H35" s="55" t="str">
        <f t="shared" ca="1" si="7"/>
        <v/>
      </c>
      <c r="J35" s="71">
        <f ca="1"/>
        <v>46148.625</v>
      </c>
      <c r="K35" s="71">
        <v>46190.625</v>
      </c>
      <c r="L35" s="3">
        <v>84.808000000000007</v>
      </c>
      <c r="M35" s="95">
        <f t="shared" ca="1" si="0"/>
        <v>46148.625</v>
      </c>
      <c r="N35" s="95" t="str">
        <f t="shared" ca="1" si="1"/>
        <v/>
      </c>
      <c r="X35" s="95">
        <v>46129</v>
      </c>
      <c r="Y35" s="3">
        <v>164.55699999999999</v>
      </c>
      <c r="Z35" s="37">
        <v>46129</v>
      </c>
      <c r="AA35" s="3">
        <v>98.822999999999993</v>
      </c>
      <c r="AB35" s="37">
        <f t="shared" si="2"/>
        <v>46129</v>
      </c>
    </row>
    <row r="36" spans="1:28" ht="14.45" customHeight="1" x14ac:dyDescent="0.25">
      <c r="A36" s="98" t="str">
        <f t="shared" ca="1" si="3"/>
        <v/>
      </c>
      <c r="B36" s="33" t="str">
        <f ca="1">IF(COUNTIF($P$2:P1021,A36)=1,VLOOKUP(A36-TIME(15,0,0),X:Y,2), IF(COUNTIF($P$2:P1021,A36)=0,$B$10,""))</f>
        <v/>
      </c>
      <c r="C36" s="25" t="str">
        <f t="shared" ca="1" si="4"/>
        <v/>
      </c>
      <c r="D36" s="107"/>
      <c r="E36" s="33" t="str">
        <f ca="1">IF(COUNTIF($K$2:K1021,A36)=1,VLOOKUP(A36,K:L,2), IF(COUNTIF($K$2:K1021,A36)=0,$C$9,""))</f>
        <v/>
      </c>
      <c r="F36" s="77" t="str">
        <f t="shared" ca="1" si="5"/>
        <v/>
      </c>
      <c r="G36" s="107" t="str">
        <f t="shared" ca="1" si="6"/>
        <v/>
      </c>
      <c r="H36" s="55" t="str">
        <f t="shared" ca="1" si="7"/>
        <v/>
      </c>
      <c r="J36" s="71">
        <f ca="1"/>
        <v>46147.625</v>
      </c>
      <c r="K36" s="71">
        <v>46191.625</v>
      </c>
      <c r="L36" s="3">
        <v>84.680999999999997</v>
      </c>
      <c r="M36" s="95">
        <f t="shared" ca="1" si="0"/>
        <v>46147.625</v>
      </c>
      <c r="N36" s="95" t="str">
        <f t="shared" ca="1" si="1"/>
        <v/>
      </c>
      <c r="X36" s="95">
        <v>46132</v>
      </c>
      <c r="Y36" s="3">
        <v>164.48169999999999</v>
      </c>
      <c r="Z36" s="37">
        <v>46132</v>
      </c>
      <c r="AA36" s="3">
        <v>100.01</v>
      </c>
      <c r="AB36" s="37">
        <f t="shared" si="2"/>
        <v>46132</v>
      </c>
    </row>
    <row r="37" spans="1:28" x14ac:dyDescent="0.25">
      <c r="A37" s="98" t="str">
        <f t="shared" ca="1" si="3"/>
        <v/>
      </c>
      <c r="B37" s="33" t="str">
        <f ca="1">IF(COUNTIF($P$2:P1022,A37)=1,VLOOKUP(A37-TIME(15,0,0),X:Y,2), IF(COUNTIF($P$2:P1022,A37)=0,$B$10,""))</f>
        <v/>
      </c>
      <c r="C37" s="25" t="str">
        <f t="shared" ca="1" si="4"/>
        <v/>
      </c>
      <c r="D37" s="107"/>
      <c r="E37" s="33" t="str">
        <f ca="1">IF(COUNTIF($K$2:K1022,A37)=1,VLOOKUP(A37,K:L,2), IF(COUNTIF($K$2:K1022,A37)=0,$C$9,""))</f>
        <v/>
      </c>
      <c r="F37" s="77" t="str">
        <f t="shared" ca="1" si="5"/>
        <v/>
      </c>
      <c r="G37" s="107" t="str">
        <f t="shared" ca="1" si="6"/>
        <v/>
      </c>
      <c r="H37" s="55" t="str">
        <f t="shared" ca="1" si="7"/>
        <v/>
      </c>
      <c r="J37" s="71">
        <f ca="1"/>
        <v>46146.625</v>
      </c>
      <c r="K37" s="71"/>
      <c r="M37" s="95">
        <f t="shared" ca="1" si="0"/>
        <v>46146.625</v>
      </c>
      <c r="N37" s="95" t="str">
        <f t="shared" ca="1" si="1"/>
        <v/>
      </c>
      <c r="X37" s="95">
        <v>46133</v>
      </c>
      <c r="Y37" s="3">
        <v>164.29689999999999</v>
      </c>
      <c r="Z37" s="37">
        <v>46133</v>
      </c>
      <c r="AA37" s="3">
        <v>102.241</v>
      </c>
      <c r="AB37" s="37">
        <f t="shared" si="2"/>
        <v>46133</v>
      </c>
    </row>
    <row r="38" spans="1:28" x14ac:dyDescent="0.25">
      <c r="A38" s="98" t="str">
        <f t="shared" ca="1" si="3"/>
        <v/>
      </c>
      <c r="B38" s="33" t="str">
        <f ca="1">IF(COUNTIF($P$2:P1023,A38)=1,VLOOKUP(A38-TIME(15,0,0),X:Y,2), IF(COUNTIF($P$2:P1023,A38)=0,$B$10,""))</f>
        <v/>
      </c>
      <c r="C38" s="25" t="str">
        <f t="shared" ca="1" si="4"/>
        <v/>
      </c>
      <c r="D38" s="107"/>
      <c r="E38" s="33" t="str">
        <f ca="1">IF(COUNTIF($K$2:K1023,A38)=1,VLOOKUP(A38,K:L,2), IF(COUNTIF($K$2:K1023,A38)=0,$C$9,""))</f>
        <v/>
      </c>
      <c r="F38" s="77" t="str">
        <f t="shared" ca="1" si="5"/>
        <v/>
      </c>
      <c r="G38" s="107" t="str">
        <f t="shared" ca="1" si="6"/>
        <v/>
      </c>
      <c r="H38" s="55" t="str">
        <f t="shared" ca="1" si="7"/>
        <v/>
      </c>
      <c r="J38" s="71"/>
      <c r="K38" s="71"/>
      <c r="M38" s="95" t="str">
        <f t="shared" si="0"/>
        <v/>
      </c>
      <c r="N38" s="95" t="str">
        <f t="shared" si="1"/>
        <v/>
      </c>
      <c r="X38" s="95">
        <v>46134</v>
      </c>
      <c r="Y38" s="3">
        <v>164.28219999999999</v>
      </c>
      <c r="Z38" s="37">
        <v>46134</v>
      </c>
      <c r="AA38" s="3">
        <v>102.872</v>
      </c>
      <c r="AB38" s="37">
        <f t="shared" si="2"/>
        <v>46134</v>
      </c>
    </row>
    <row r="39" spans="1:28" x14ac:dyDescent="0.25">
      <c r="A39" s="98" t="str">
        <f t="shared" ca="1" si="3"/>
        <v/>
      </c>
      <c r="B39" s="33" t="str">
        <f ca="1">IF(COUNTIF($P$2:P1024,A39)=1,VLOOKUP(A39-TIME(15,0,0),X:Y,2), IF(COUNTIF($P$2:P1024,A39)=0,$B$10,""))</f>
        <v/>
      </c>
      <c r="C39" s="25" t="str">
        <f t="shared" ca="1" si="4"/>
        <v/>
      </c>
      <c r="D39" s="107"/>
      <c r="E39" s="33" t="str">
        <f ca="1">IF(COUNTIF($K$2:K1024,A39)=1,VLOOKUP(A39,K:L,2), IF(COUNTIF($K$2:K1024,A39)=0,$C$9,""))</f>
        <v/>
      </c>
      <c r="F39" s="77" t="str">
        <f t="shared" ca="1" si="5"/>
        <v/>
      </c>
      <c r="G39" s="107" t="str">
        <f t="shared" ca="1" si="6"/>
        <v/>
      </c>
      <c r="H39" s="55" t="str">
        <f t="shared" ca="1" si="7"/>
        <v/>
      </c>
      <c r="J39" s="71"/>
      <c r="K39" s="71"/>
      <c r="M39" s="95" t="str">
        <f t="shared" si="0"/>
        <v/>
      </c>
      <c r="N39" s="95" t="str">
        <f t="shared" si="1"/>
        <v/>
      </c>
      <c r="X39" s="95">
        <v>46135</v>
      </c>
      <c r="Y39" s="3">
        <v>164.3013</v>
      </c>
      <c r="Z39" s="37">
        <v>46135</v>
      </c>
      <c r="AA39" s="3">
        <v>103.328</v>
      </c>
      <c r="AB39" s="37">
        <f t="shared" si="2"/>
        <v>46135</v>
      </c>
    </row>
    <row r="40" spans="1:28" x14ac:dyDescent="0.25">
      <c r="A40" s="98" t="str">
        <f t="shared" ca="1" si="3"/>
        <v/>
      </c>
      <c r="B40" s="33" t="str">
        <f ca="1">IF(COUNTIF($P$2:P1025,A40)=1,VLOOKUP(A40-TIME(15,0,0),X:Y,2), IF(COUNTIF($P$2:P1025,A40)=0,$B$10,""))</f>
        <v/>
      </c>
      <c r="C40" s="25" t="str">
        <f t="shared" ca="1" si="4"/>
        <v/>
      </c>
      <c r="D40" s="107"/>
      <c r="E40" s="33" t="str">
        <f ca="1">IF(COUNTIF($K$2:K1025,A40)=1,VLOOKUP(A40,K:L,2), IF(COUNTIF($K$2:K1025,A40)=0,$C$9,""))</f>
        <v/>
      </c>
      <c r="F40" s="77" t="str">
        <f t="shared" ca="1" si="5"/>
        <v/>
      </c>
      <c r="G40" s="107" t="str">
        <f t="shared" ca="1" si="6"/>
        <v/>
      </c>
      <c r="H40" s="55" t="str">
        <f t="shared" ca="1" si="7"/>
        <v/>
      </c>
      <c r="J40" s="71"/>
      <c r="K40" s="71"/>
      <c r="M40" s="95" t="str">
        <f t="shared" si="0"/>
        <v/>
      </c>
      <c r="N40" s="95" t="str">
        <f t="shared" si="1"/>
        <v/>
      </c>
      <c r="X40" s="95">
        <v>46136</v>
      </c>
      <c r="Y40" s="3">
        <v>164.23830000000001</v>
      </c>
      <c r="Z40" s="37">
        <v>46136</v>
      </c>
      <c r="AA40" s="3">
        <v>102.834</v>
      </c>
      <c r="AB40" s="37">
        <f t="shared" si="2"/>
        <v>46136</v>
      </c>
    </row>
    <row r="41" spans="1:28" x14ac:dyDescent="0.25">
      <c r="A41" s="98" t="str">
        <f t="shared" ca="1" si="3"/>
        <v/>
      </c>
      <c r="B41" s="33" t="str">
        <f ca="1">IF(COUNTIF($P$2:P1026,A41)=1,VLOOKUP(A41-TIME(15,0,0),X:Y,2), IF(COUNTIF($P$2:P1026,A41)=0,$B$10,""))</f>
        <v/>
      </c>
      <c r="C41" s="25" t="str">
        <f t="shared" ca="1" si="4"/>
        <v/>
      </c>
      <c r="D41" s="107"/>
      <c r="E41" s="33" t="str">
        <f ca="1">IF(COUNTIF($K$2:K1026,A41)=1,VLOOKUP(A41,K:L,2), IF(COUNTIF($K$2:K1026,A41)=0,$C$9,""))</f>
        <v/>
      </c>
      <c r="F41" s="77" t="str">
        <f t="shared" ca="1" si="5"/>
        <v/>
      </c>
      <c r="G41" s="107" t="str">
        <f t="shared" ca="1" si="6"/>
        <v/>
      </c>
      <c r="H41" s="55" t="str">
        <f t="shared" ca="1" si="7"/>
        <v/>
      </c>
      <c r="J41" s="71"/>
      <c r="K41" s="71"/>
      <c r="M41" s="95" t="str">
        <f t="shared" si="0"/>
        <v/>
      </c>
      <c r="N41" s="95" t="str">
        <f t="shared" si="1"/>
        <v/>
      </c>
      <c r="X41" s="95">
        <v>46139</v>
      </c>
      <c r="Y41" s="3">
        <v>164.2079</v>
      </c>
      <c r="Z41" s="37">
        <v>46139</v>
      </c>
      <c r="AA41" s="3">
        <v>103.66200000000001</v>
      </c>
      <c r="AB41" s="37">
        <f t="shared" si="2"/>
        <v>46139</v>
      </c>
    </row>
    <row r="42" spans="1:28" x14ac:dyDescent="0.25">
      <c r="A42" s="98" t="str">
        <f t="shared" ca="1" si="3"/>
        <v/>
      </c>
      <c r="B42" s="33" t="str">
        <f ca="1">IF(COUNTIF($P$2:P1027,A42)=1,VLOOKUP(A42-TIME(15,0,0),X:Y,2), IF(COUNTIF($P$2:P1027,A42)=0,$B$10,""))</f>
        <v/>
      </c>
      <c r="C42" s="25" t="str">
        <f t="shared" ca="1" si="4"/>
        <v/>
      </c>
      <c r="D42" s="107"/>
      <c r="E42" s="33" t="str">
        <f ca="1">IF(COUNTIF($K$2:K1027,A42)=1,VLOOKUP(A42,K:L,2), IF(COUNTIF($K$2:K1027,A42)=0,$C$9,""))</f>
        <v/>
      </c>
      <c r="F42" s="77" t="str">
        <f t="shared" ca="1" si="5"/>
        <v/>
      </c>
      <c r="G42" s="107" t="str">
        <f t="shared" ca="1" si="6"/>
        <v/>
      </c>
      <c r="H42" s="55" t="str">
        <f t="shared" ca="1" si="7"/>
        <v/>
      </c>
      <c r="J42" s="71"/>
      <c r="K42" s="71"/>
      <c r="M42" s="95" t="str">
        <f t="shared" si="0"/>
        <v/>
      </c>
      <c r="N42" s="95" t="str">
        <f t="shared" si="1"/>
        <v/>
      </c>
      <c r="X42" s="95">
        <v>46140</v>
      </c>
      <c r="Y42" s="3">
        <v>164.18039999999999</v>
      </c>
      <c r="Z42" s="37">
        <v>46140</v>
      </c>
      <c r="AA42" s="3">
        <v>104.54600000000001</v>
      </c>
      <c r="AB42" s="37">
        <f t="shared" si="2"/>
        <v>46140</v>
      </c>
    </row>
    <row r="43" spans="1:28" x14ac:dyDescent="0.25">
      <c r="A43" s="98" t="str">
        <f t="shared" ca="1" si="3"/>
        <v/>
      </c>
      <c r="B43" s="33" t="str">
        <f ca="1">IF(COUNTIF($P$2:P1028,A43)=1,VLOOKUP(A43-TIME(15,0,0),X:Y,2), IF(COUNTIF($P$2:P1028,A43)=0,$B$10,""))</f>
        <v/>
      </c>
      <c r="C43" s="25" t="str">
        <f t="shared" ca="1" si="4"/>
        <v/>
      </c>
      <c r="D43" s="107"/>
      <c r="E43" s="33" t="str">
        <f ca="1">IF(COUNTIF($K$2:K1028,A43)=1,VLOOKUP(A43,K:L,2), IF(COUNTIF($K$2:K1028,A43)=0,$C$9,""))</f>
        <v/>
      </c>
      <c r="F43" s="77" t="str">
        <f t="shared" ca="1" si="5"/>
        <v/>
      </c>
      <c r="G43" s="107" t="str">
        <f t="shared" ca="1" si="6"/>
        <v/>
      </c>
      <c r="H43" s="55" t="str">
        <f t="shared" ca="1" si="7"/>
        <v/>
      </c>
      <c r="J43" s="71"/>
      <c r="K43" s="71"/>
      <c r="M43" s="95" t="str">
        <f t="shared" si="0"/>
        <v/>
      </c>
      <c r="N43" s="95" t="str">
        <f t="shared" si="1"/>
        <v/>
      </c>
      <c r="X43" s="95">
        <v>46141</v>
      </c>
      <c r="Y43" s="3">
        <v>164.1181</v>
      </c>
      <c r="Z43" s="37">
        <v>46141</v>
      </c>
      <c r="AA43" s="3">
        <v>106.142</v>
      </c>
      <c r="AB43" s="37">
        <f t="shared" si="2"/>
        <v>46141</v>
      </c>
    </row>
    <row r="44" spans="1:28" x14ac:dyDescent="0.25">
      <c r="A44" s="98" t="str">
        <f t="shared" ca="1" si="3"/>
        <v/>
      </c>
      <c r="B44" s="33" t="str">
        <f ca="1">IF(COUNTIF($P$2:P1029,A44)=1,VLOOKUP(A44-TIME(15,0,0),X:Y,2), IF(COUNTIF($P$2:P1029,A44)=0,$B$10,""))</f>
        <v/>
      </c>
      <c r="C44" s="25" t="str">
        <f t="shared" ca="1" si="4"/>
        <v/>
      </c>
      <c r="D44" s="107"/>
      <c r="E44" s="33" t="str">
        <f ca="1">IF(COUNTIF($K$2:K1029,A44)=1,VLOOKUP(A44,K:L,2), IF(COUNTIF($K$2:K1029,A44)=0,$C$9,""))</f>
        <v/>
      </c>
      <c r="F44" s="77" t="str">
        <f t="shared" ca="1" si="5"/>
        <v/>
      </c>
      <c r="G44" s="107" t="str">
        <f t="shared" ca="1" si="6"/>
        <v/>
      </c>
      <c r="H44" s="55" t="str">
        <f t="shared" ca="1" si="7"/>
        <v/>
      </c>
      <c r="J44" s="71"/>
      <c r="K44" s="71"/>
      <c r="M44" s="95" t="str">
        <f t="shared" si="0"/>
        <v/>
      </c>
      <c r="N44" s="95" t="str">
        <f t="shared" si="1"/>
        <v/>
      </c>
      <c r="X44" s="95">
        <v>46142</v>
      </c>
      <c r="Y44" s="3">
        <v>164.28020000000001</v>
      </c>
      <c r="Z44" s="37">
        <v>46142</v>
      </c>
      <c r="AA44" s="3">
        <v>102.985</v>
      </c>
      <c r="AB44" s="37">
        <f t="shared" si="2"/>
        <v>46142</v>
      </c>
    </row>
    <row r="45" spans="1:28" x14ac:dyDescent="0.25">
      <c r="A45" s="98" t="str">
        <f t="shared" ca="1" si="3"/>
        <v/>
      </c>
      <c r="B45" s="33" t="str">
        <f ca="1">IF(COUNTIF($P$2:P1030,A45)=1,VLOOKUP(A45-TIME(15,0,0),X:Y,2), IF(COUNTIF($P$2:P1030,A45)=0,$B$10,""))</f>
        <v/>
      </c>
      <c r="C45" s="25" t="str">
        <f t="shared" ca="1" si="4"/>
        <v/>
      </c>
      <c r="D45" s="107"/>
      <c r="E45" s="33" t="str">
        <f ca="1">IF(COUNTIF($K$2:K1030,A45)=1,VLOOKUP(A45,K:L,2), IF(COUNTIF($K$2:K1030,A45)=0,$C$9,""))</f>
        <v/>
      </c>
      <c r="F45" s="77" t="str">
        <f t="shared" ca="1" si="5"/>
        <v/>
      </c>
      <c r="G45" s="107" t="str">
        <f t="shared" ca="1" si="6"/>
        <v/>
      </c>
      <c r="H45" s="55" t="str">
        <f t="shared" ca="1" si="7"/>
        <v/>
      </c>
      <c r="J45" s="71"/>
      <c r="K45" s="71"/>
      <c r="M45" s="95" t="str">
        <f t="shared" si="0"/>
        <v/>
      </c>
      <c r="N45" s="95" t="str">
        <f t="shared" si="1"/>
        <v/>
      </c>
      <c r="X45" s="95">
        <v>46143</v>
      </c>
      <c r="Y45" s="3">
        <v>164.60339999999999</v>
      </c>
      <c r="Z45" s="37">
        <v>46143</v>
      </c>
      <c r="AA45" s="3">
        <v>99.15</v>
      </c>
      <c r="AB45" s="37">
        <f t="shared" si="2"/>
        <v>46143</v>
      </c>
    </row>
    <row r="46" spans="1:28" x14ac:dyDescent="0.25">
      <c r="A46" s="98" t="str">
        <f t="shared" ca="1" si="3"/>
        <v/>
      </c>
      <c r="B46" s="33" t="str">
        <f ca="1">IF(COUNTIF($P$2:P1031,A46)=1,VLOOKUP(A46-TIME(15,0,0),X:Y,2), IF(COUNTIF($P$2:P1031,A46)=0,$B$10,""))</f>
        <v/>
      </c>
      <c r="C46" s="25" t="str">
        <f t="shared" ca="1" si="4"/>
        <v/>
      </c>
      <c r="D46" s="107"/>
      <c r="E46" s="33" t="str">
        <f ca="1">IF(COUNTIF($K$2:K1031,A46)=1,VLOOKUP(A46,K:L,2), IF(COUNTIF($K$2:K1031,A46)=0,$C$9,""))</f>
        <v/>
      </c>
      <c r="F46" s="77" t="str">
        <f t="shared" ca="1" si="5"/>
        <v/>
      </c>
      <c r="G46" s="107" t="str">
        <f t="shared" ca="1" si="6"/>
        <v/>
      </c>
      <c r="H46" s="55" t="str">
        <f t="shared" ca="1" si="7"/>
        <v/>
      </c>
      <c r="J46" s="71"/>
      <c r="K46" s="71"/>
      <c r="M46" s="95" t="str">
        <f t="shared" si="0"/>
        <v/>
      </c>
      <c r="N46" s="95" t="str">
        <f t="shared" si="1"/>
        <v/>
      </c>
      <c r="X46" s="95">
        <v>46147</v>
      </c>
      <c r="Y46" s="3">
        <v>164.51759999999999</v>
      </c>
      <c r="Z46" s="37">
        <v>46147</v>
      </c>
      <c r="AA46" s="3">
        <v>100.452</v>
      </c>
      <c r="AB46" s="37">
        <f t="shared" si="2"/>
        <v>46147</v>
      </c>
    </row>
    <row r="47" spans="1:28" x14ac:dyDescent="0.25">
      <c r="A47" s="98" t="str">
        <f t="shared" ca="1" si="3"/>
        <v/>
      </c>
      <c r="B47" s="33" t="str">
        <f ca="1">IF(COUNTIF($P$2:P1032,A47)=1,VLOOKUP(A47-TIME(15,0,0),X:Y,2), IF(COUNTIF($P$2:P1032,A47)=0,$B$10,""))</f>
        <v/>
      </c>
      <c r="C47" s="25" t="str">
        <f t="shared" ca="1" si="4"/>
        <v/>
      </c>
      <c r="D47" s="107"/>
      <c r="E47" s="33" t="str">
        <f ca="1">IF(COUNTIF($K$2:K1032,A47)=1,VLOOKUP(A47,K:L,2), IF(COUNTIF($K$2:K1032,A47)=0,$C$9,""))</f>
        <v/>
      </c>
      <c r="F47" s="77" t="str">
        <f t="shared" ca="1" si="5"/>
        <v/>
      </c>
      <c r="G47" s="107" t="str">
        <f t="shared" ca="1" si="6"/>
        <v/>
      </c>
      <c r="H47" s="55" t="str">
        <f t="shared" ca="1" si="7"/>
        <v/>
      </c>
      <c r="J47" s="71"/>
      <c r="K47" s="71"/>
      <c r="M47" s="95" t="str">
        <f t="shared" si="0"/>
        <v/>
      </c>
      <c r="N47" s="95" t="str">
        <f t="shared" si="1"/>
        <v/>
      </c>
      <c r="X47" s="95">
        <v>46148</v>
      </c>
      <c r="Y47" s="3">
        <v>164.87549999999999</v>
      </c>
      <c r="Z47" s="37">
        <v>46148</v>
      </c>
      <c r="AA47" s="3">
        <v>95.917000000000002</v>
      </c>
      <c r="AB47" s="37">
        <f t="shared" si="2"/>
        <v>46148</v>
      </c>
    </row>
    <row r="48" spans="1:28" x14ac:dyDescent="0.25">
      <c r="A48" s="98" t="str">
        <f t="shared" ca="1" si="3"/>
        <v/>
      </c>
      <c r="B48" s="33" t="str">
        <f ca="1">IF(COUNTIF($P$2:P1033,A48)=1,VLOOKUP(A48-TIME(15,0,0),X:Y,2), IF(COUNTIF($P$2:P1033,A48)=0,$B$10,""))</f>
        <v/>
      </c>
      <c r="C48" s="25" t="str">
        <f t="shared" ca="1" si="4"/>
        <v/>
      </c>
      <c r="D48" s="107"/>
      <c r="E48" s="33" t="str">
        <f ca="1">IF(COUNTIF($K$2:K1033,A48)=1,VLOOKUP(A48,K:L,2), IF(COUNTIF($K$2:K1033,A48)=0,$C$9,""))</f>
        <v/>
      </c>
      <c r="F48" s="77" t="str">
        <f t="shared" ca="1" si="5"/>
        <v/>
      </c>
      <c r="G48" s="107" t="str">
        <f t="shared" ca="1" si="6"/>
        <v/>
      </c>
      <c r="H48" s="55" t="str">
        <f t="shared" ca="1" si="7"/>
        <v/>
      </c>
      <c r="J48" s="71"/>
      <c r="K48" s="71"/>
      <c r="M48" s="95" t="str">
        <f t="shared" si="0"/>
        <v/>
      </c>
      <c r="N48" s="95" t="str">
        <f t="shared" si="1"/>
        <v/>
      </c>
      <c r="X48" s="95">
        <v>46149</v>
      </c>
      <c r="Y48" s="3">
        <v>164.79390000000001</v>
      </c>
      <c r="Z48" s="37">
        <v>46149</v>
      </c>
      <c r="AA48" s="3">
        <v>97.302999999999997</v>
      </c>
      <c r="AB48" s="37">
        <f t="shared" si="2"/>
        <v>46149</v>
      </c>
    </row>
    <row r="49" spans="1:30" x14ac:dyDescent="0.25">
      <c r="A49" s="98" t="str">
        <f t="shared" ca="1" si="3"/>
        <v/>
      </c>
      <c r="B49" s="33" t="str">
        <f ca="1">IF(COUNTIF($P$2:P1034,A49)=1,VLOOKUP(A49-TIME(15,0,0),X:Y,2), IF(COUNTIF($P$2:P1034,A49)=0,$B$10,""))</f>
        <v/>
      </c>
      <c r="C49" s="25" t="str">
        <f t="shared" ca="1" si="4"/>
        <v/>
      </c>
      <c r="D49" s="107"/>
      <c r="E49" s="33" t="str">
        <f ca="1">IF(COUNTIF($K$2:K1034,A49)=1,VLOOKUP(A49,K:L,2), IF(COUNTIF($K$2:K1034,A49)=0,$C$9,""))</f>
        <v/>
      </c>
      <c r="F49" s="77" t="str">
        <f t="shared" ca="1" si="5"/>
        <v/>
      </c>
      <c r="G49" s="107" t="str">
        <f t="shared" ca="1" si="6"/>
        <v/>
      </c>
      <c r="H49" s="55" t="str">
        <f t="shared" ca="1" si="7"/>
        <v/>
      </c>
      <c r="J49" s="71"/>
      <c r="K49" s="71"/>
      <c r="M49" s="95" t="str">
        <f t="shared" si="0"/>
        <v/>
      </c>
      <c r="N49" s="95" t="str">
        <f t="shared" si="1"/>
        <v/>
      </c>
      <c r="X49" s="95">
        <v>46150</v>
      </c>
      <c r="Y49" s="3">
        <v>164.7687</v>
      </c>
      <c r="Z49" s="37">
        <v>46150</v>
      </c>
      <c r="AA49" s="3">
        <v>97.287000000000006</v>
      </c>
      <c r="AB49" s="37">
        <f t="shared" si="2"/>
        <v>46150</v>
      </c>
    </row>
    <row r="50" spans="1:30" x14ac:dyDescent="0.25">
      <c r="A50" s="98" t="str">
        <f t="shared" ca="1" si="3"/>
        <v/>
      </c>
      <c r="B50" s="33" t="str">
        <f ca="1">IF(COUNTIF($P$2:P1035,A50)=1,VLOOKUP(A50-TIME(15,0,0),X:Y,2), IF(COUNTIF($P$2:P1035,A50)=0,$B$10,""))</f>
        <v/>
      </c>
      <c r="C50" s="25" t="str">
        <f t="shared" ca="1" si="4"/>
        <v/>
      </c>
      <c r="D50" s="107"/>
      <c r="E50" s="33" t="str">
        <f ca="1">IF(COUNTIF($K$2:K1035,A50)=1,VLOOKUP(A50,K:L,2), IF(COUNTIF($K$2:K1035,A50)=0,$C$9,""))</f>
        <v/>
      </c>
      <c r="F50" s="77" t="str">
        <f t="shared" ca="1" si="5"/>
        <v/>
      </c>
      <c r="G50" s="107" t="str">
        <f t="shared" ca="1" si="6"/>
        <v/>
      </c>
      <c r="H50" s="55" t="str">
        <f t="shared" ca="1" si="7"/>
        <v/>
      </c>
      <c r="J50" s="71"/>
      <c r="K50" s="71"/>
      <c r="M50" s="95" t="str">
        <f t="shared" si="0"/>
        <v/>
      </c>
      <c r="N50" s="95" t="str">
        <f t="shared" si="1"/>
        <v/>
      </c>
      <c r="X50" s="95">
        <v>46153</v>
      </c>
      <c r="Y50" s="3">
        <v>164.834</v>
      </c>
      <c r="Z50" s="37">
        <v>46153</v>
      </c>
      <c r="AA50" s="3">
        <v>96.718999999999994</v>
      </c>
      <c r="AB50" s="37">
        <f t="shared" si="2"/>
        <v>46153</v>
      </c>
    </row>
    <row r="51" spans="1:30" x14ac:dyDescent="0.25">
      <c r="A51" s="98" t="str">
        <f t="shared" ca="1" si="3"/>
        <v/>
      </c>
      <c r="B51" s="33" t="str">
        <f ca="1">IF(COUNTIF($P$2:P1036,A51)=1,VLOOKUP(A51-TIME(15,0,0),X:Y,2), IF(COUNTIF($P$2:P1036,A51)=0,$B$10,""))</f>
        <v/>
      </c>
      <c r="C51" s="25" t="str">
        <f t="shared" ca="1" si="4"/>
        <v/>
      </c>
      <c r="D51" s="107"/>
      <c r="E51" s="33" t="str">
        <f ca="1">IF(COUNTIF($K$2:K1036,A51)=1,VLOOKUP(A51,K:L,2), IF(COUNTIF($K$2:K1036,A51)=0,$C$9,""))</f>
        <v/>
      </c>
      <c r="F51" s="77" t="str">
        <f t="shared" ca="1" si="5"/>
        <v/>
      </c>
      <c r="G51" s="107" t="str">
        <f t="shared" ca="1" si="6"/>
        <v/>
      </c>
      <c r="H51" s="55" t="str">
        <f t="shared" ca="1" si="7"/>
        <v/>
      </c>
      <c r="J51" s="71"/>
      <c r="K51" s="71"/>
      <c r="M51" s="95" t="str">
        <f t="shared" si="0"/>
        <v/>
      </c>
      <c r="N51" s="95" t="str">
        <f t="shared" si="1"/>
        <v/>
      </c>
      <c r="X51" s="95">
        <v>46154</v>
      </c>
      <c r="Y51" s="3">
        <v>164.583</v>
      </c>
      <c r="Z51" s="37">
        <v>46154</v>
      </c>
      <c r="AA51" s="3">
        <v>100.017</v>
      </c>
      <c r="AB51" s="37">
        <f t="shared" si="2"/>
        <v>46154</v>
      </c>
    </row>
    <row r="52" spans="1:30" x14ac:dyDescent="0.25">
      <c r="A52" s="98" t="str">
        <f t="shared" ca="1" si="3"/>
        <v/>
      </c>
      <c r="B52" s="33" t="str">
        <f ca="1">IF(COUNTIF($P$2:P1037,A52)=1,VLOOKUP(A52-TIME(15,0,0),X:Y,2), IF(COUNTIF($P$2:P1037,A52)=0,$B$10,""))</f>
        <v/>
      </c>
      <c r="C52" s="25" t="str">
        <f t="shared" ca="1" si="4"/>
        <v/>
      </c>
      <c r="D52" s="107"/>
      <c r="E52" s="33" t="str">
        <f ca="1">IF(COUNTIF($K$2:K1037,A52)=1,VLOOKUP(A52,K:L,2), IF(COUNTIF($K$2:K1037,A52)=0,$C$9,""))</f>
        <v/>
      </c>
      <c r="F52" s="77" t="str">
        <f t="shared" ca="1" si="5"/>
        <v/>
      </c>
      <c r="G52" s="107" t="str">
        <f t="shared" ca="1" si="6"/>
        <v/>
      </c>
      <c r="H52" s="55" t="str">
        <f t="shared" ca="1" si="7"/>
        <v/>
      </c>
      <c r="J52" s="71"/>
      <c r="K52" s="71"/>
      <c r="M52" s="95" t="str">
        <f t="shared" si="0"/>
        <v/>
      </c>
      <c r="N52" s="95" t="str">
        <f t="shared" si="1"/>
        <v/>
      </c>
      <c r="X52" s="95">
        <v>46155</v>
      </c>
      <c r="Y52" s="3">
        <v>164.76060000000001</v>
      </c>
      <c r="Z52" s="37">
        <v>46155</v>
      </c>
      <c r="AA52" s="3">
        <v>97.277000000000001</v>
      </c>
      <c r="AB52" s="37">
        <f t="shared" si="2"/>
        <v>46155</v>
      </c>
    </row>
    <row r="53" spans="1:30" x14ac:dyDescent="0.25">
      <c r="A53" s="98" t="str">
        <f t="shared" ca="1" si="3"/>
        <v/>
      </c>
      <c r="B53" s="33" t="str">
        <f ca="1">IF(COUNTIF($P$2:P1038,A53)=1,VLOOKUP(A53-TIME(15,0,0),X:Y,2), IF(COUNTIF($P$2:P1038,A53)=0,$B$10,""))</f>
        <v/>
      </c>
      <c r="C53" s="25" t="str">
        <f t="shared" ca="1" si="4"/>
        <v/>
      </c>
      <c r="D53" s="107"/>
      <c r="E53" s="33" t="str">
        <f ca="1">IF(COUNTIF($K$2:K1038,A53)=1,VLOOKUP(A53,K:L,2), IF(COUNTIF($K$2:K1038,A53)=0,$C$9,""))</f>
        <v/>
      </c>
      <c r="F53" s="77" t="str">
        <f t="shared" ca="1" si="5"/>
        <v/>
      </c>
      <c r="G53" s="107" t="str">
        <f t="shared" ca="1" si="6"/>
        <v/>
      </c>
      <c r="H53" s="55" t="str">
        <f t="shared" ca="1" si="7"/>
        <v/>
      </c>
      <c r="J53" s="71"/>
      <c r="K53" s="71"/>
      <c r="M53" s="95" t="str">
        <f t="shared" si="0"/>
        <v/>
      </c>
      <c r="N53" s="95" t="str">
        <f t="shared" si="1"/>
        <v/>
      </c>
      <c r="X53" s="95">
        <v>46156</v>
      </c>
      <c r="Y53" s="3">
        <v>164.91399999999999</v>
      </c>
      <c r="Z53" s="37">
        <v>46156</v>
      </c>
      <c r="AA53" s="3">
        <v>95.843000000000004</v>
      </c>
      <c r="AB53" s="37">
        <f t="shared" si="2"/>
        <v>46156</v>
      </c>
    </row>
    <row r="54" spans="1:30" x14ac:dyDescent="0.25">
      <c r="A54" s="98" t="str">
        <f t="shared" ca="1" si="3"/>
        <v/>
      </c>
      <c r="B54" s="33" t="str">
        <f ca="1">IF(COUNTIF($P$2:P1039,A54)=1,VLOOKUP(A54-TIME(15,0,0),X:Y,2), IF(COUNTIF($P$2:P1039,A54)=0,$B$10,""))</f>
        <v/>
      </c>
      <c r="C54" s="25" t="str">
        <f t="shared" ca="1" si="4"/>
        <v/>
      </c>
      <c r="D54" s="107"/>
      <c r="E54" s="33" t="str">
        <f ca="1">IF(COUNTIF($K$2:K1039,A54)=1,VLOOKUP(A54,K:L,2), IF(COUNTIF($K$2:K1039,A54)=0,$C$9,""))</f>
        <v/>
      </c>
      <c r="F54" s="77" t="str">
        <f t="shared" ca="1" si="5"/>
        <v/>
      </c>
      <c r="G54" s="107" t="str">
        <f t="shared" ca="1" si="6"/>
        <v/>
      </c>
      <c r="H54" s="55" t="str">
        <f t="shared" ca="1" si="7"/>
        <v/>
      </c>
      <c r="J54" s="71"/>
      <c r="K54" s="71"/>
      <c r="M54" s="95" t="str">
        <f t="shared" si="0"/>
        <v/>
      </c>
      <c r="N54" s="95" t="str">
        <f t="shared" si="1"/>
        <v/>
      </c>
      <c r="X54" s="95">
        <v>46157</v>
      </c>
      <c r="Y54" s="3">
        <v>164.58330000000001</v>
      </c>
      <c r="Z54" s="37">
        <v>46157</v>
      </c>
      <c r="AA54" s="3">
        <v>100.188</v>
      </c>
      <c r="AB54" s="37">
        <f t="shared" si="2"/>
        <v>46157</v>
      </c>
    </row>
    <row r="55" spans="1:30" x14ac:dyDescent="0.25">
      <c r="A55" s="98" t="str">
        <f t="shared" ca="1" si="3"/>
        <v/>
      </c>
      <c r="B55" s="33" t="str">
        <f ca="1">IF(COUNTIF($P$2:P1040,A55)=1,VLOOKUP(A55-TIME(15,0,0),X:Y,2), IF(COUNTIF($P$2:P1040,A55)=0,$B$10,""))</f>
        <v/>
      </c>
      <c r="C55" s="25" t="str">
        <f t="shared" ca="1" si="4"/>
        <v/>
      </c>
      <c r="D55" s="107"/>
      <c r="E55" s="33" t="str">
        <f ca="1">IF(COUNTIF($K$2:K1040,A55)=1,VLOOKUP(A55,K:L,2), IF(COUNTIF($K$2:K1040,A55)=0,$C$9,""))</f>
        <v/>
      </c>
      <c r="F55" s="77" t="str">
        <f t="shared" ca="1" si="5"/>
        <v/>
      </c>
      <c r="G55" s="107" t="str">
        <f t="shared" ca="1" si="6"/>
        <v/>
      </c>
      <c r="H55" s="55" t="str">
        <f t="shared" ca="1" si="7"/>
        <v/>
      </c>
      <c r="J55" s="71"/>
      <c r="K55" s="71"/>
      <c r="M55" s="95" t="str">
        <f t="shared" si="0"/>
        <v/>
      </c>
      <c r="N55" s="95" t="str">
        <f t="shared" si="1"/>
        <v/>
      </c>
      <c r="X55" s="95">
        <v>46160</v>
      </c>
      <c r="Y55" s="3">
        <v>164.6849</v>
      </c>
      <c r="Z55" s="37">
        <v>46160</v>
      </c>
      <c r="AA55" s="3">
        <v>98.825999999999993</v>
      </c>
      <c r="AB55" s="37">
        <f t="shared" si="2"/>
        <v>46160</v>
      </c>
    </row>
    <row r="56" spans="1:30" x14ac:dyDescent="0.25">
      <c r="A56" s="98" t="str">
        <f t="shared" ca="1" si="3"/>
        <v/>
      </c>
      <c r="B56" s="33" t="str">
        <f ca="1">IF(COUNTIF($P$2:P1041,A56)=1,VLOOKUP(A56-TIME(15,0,0),X:Y,2), IF(COUNTIF($P$2:P1041,A56)=0,$B$10,""))</f>
        <v/>
      </c>
      <c r="C56" s="25" t="str">
        <f t="shared" ca="1" si="4"/>
        <v/>
      </c>
      <c r="D56" s="107"/>
      <c r="E56" s="33" t="str">
        <f ca="1">IF(COUNTIF($K$2:K1041,A56)=1,VLOOKUP(A56,K:L,2), IF(COUNTIF($K$2:K1041,A56)=0,$C$9,""))</f>
        <v/>
      </c>
      <c r="F56" s="77" t="str">
        <f t="shared" ca="1" si="5"/>
        <v/>
      </c>
      <c r="G56" s="107" t="str">
        <f t="shared" ca="1" si="6"/>
        <v/>
      </c>
      <c r="H56" s="55" t="str">
        <f t="shared" ca="1" si="7"/>
        <v/>
      </c>
      <c r="J56" s="71"/>
      <c r="K56" s="71"/>
      <c r="M56" s="95" t="str">
        <f t="shared" si="0"/>
        <v/>
      </c>
      <c r="N56" s="95" t="str">
        <f t="shared" si="1"/>
        <v/>
      </c>
      <c r="X56" s="95">
        <v>46161</v>
      </c>
      <c r="Y56" s="3">
        <v>164.59030000000001</v>
      </c>
      <c r="Z56" s="37">
        <v>46161</v>
      </c>
      <c r="AA56" s="3">
        <v>100.245</v>
      </c>
      <c r="AB56" s="37">
        <f t="shared" si="2"/>
        <v>46161</v>
      </c>
    </row>
    <row r="57" spans="1:30" x14ac:dyDescent="0.25">
      <c r="A57" s="98" t="str">
        <f t="shared" ca="1" si="3"/>
        <v/>
      </c>
      <c r="B57" s="33" t="str">
        <f ca="1">IF(COUNTIF($P$2:P1042,A57)=1,VLOOKUP(A57-TIME(15,0,0),X:Y,2), IF(COUNTIF($P$2:P1042,A57)=0,$B$10,""))</f>
        <v/>
      </c>
      <c r="C57" s="25" t="str">
        <f t="shared" ca="1" si="4"/>
        <v/>
      </c>
      <c r="D57" s="107"/>
      <c r="E57" s="33" t="str">
        <f ca="1">IF(COUNTIF($K$2:K1042,A57)=1,VLOOKUP(A57,K:L,2), IF(COUNTIF($K$2:K1042,A57)=0,$C$9,""))</f>
        <v/>
      </c>
      <c r="F57" s="77" t="str">
        <f t="shared" ca="1" si="5"/>
        <v/>
      </c>
      <c r="G57" s="107" t="str">
        <f t="shared" ca="1" si="6"/>
        <v/>
      </c>
      <c r="H57" s="55" t="str">
        <f t="shared" ca="1" si="7"/>
        <v/>
      </c>
      <c r="J57" s="71"/>
      <c r="K57" s="71"/>
      <c r="M57" s="95" t="str">
        <f t="shared" si="0"/>
        <v/>
      </c>
      <c r="N57" s="95" t="str">
        <f t="shared" si="1"/>
        <v/>
      </c>
      <c r="X57" s="95">
        <v>46162</v>
      </c>
      <c r="Y57" s="3">
        <v>164.9511</v>
      </c>
      <c r="Z57" s="37">
        <v>46162</v>
      </c>
      <c r="AA57" s="3">
        <v>95.456999999999994</v>
      </c>
      <c r="AB57" s="37">
        <f t="shared" si="2"/>
        <v>46162</v>
      </c>
    </row>
    <row r="58" spans="1:30" x14ac:dyDescent="0.25">
      <c r="A58" s="98" t="str">
        <f t="shared" ca="1" si="3"/>
        <v/>
      </c>
      <c r="B58" s="33" t="str">
        <f ca="1">IF(COUNTIF($P$2:P1043,A58)=1,VLOOKUP(A58-TIME(15,0,0),X:Y,2), IF(COUNTIF($P$2:P1043,A58)=0,$B$10,""))</f>
        <v/>
      </c>
      <c r="C58" s="25" t="str">
        <f t="shared" ca="1" si="4"/>
        <v/>
      </c>
      <c r="D58" s="107"/>
      <c r="E58" s="33" t="str">
        <f ca="1">IF(COUNTIF($K$2:K1043,A58)=1,VLOOKUP(A58,K:L,2), IF(COUNTIF($K$2:K1043,A58)=0,$C$9,""))</f>
        <v/>
      </c>
      <c r="F58" s="77" t="str">
        <f t="shared" ca="1" si="5"/>
        <v/>
      </c>
      <c r="G58" s="107" t="str">
        <f t="shared" ca="1" si="6"/>
        <v/>
      </c>
      <c r="H58" s="55" t="str">
        <f t="shared" ca="1" si="7"/>
        <v/>
      </c>
      <c r="J58" s="71"/>
      <c r="K58" s="71"/>
      <c r="M58" s="95" t="str">
        <f t="shared" si="0"/>
        <v/>
      </c>
      <c r="N58" s="95" t="str">
        <f t="shared" si="1"/>
        <v/>
      </c>
      <c r="X58" s="95">
        <v>46163</v>
      </c>
      <c r="Y58" s="3">
        <v>164.8717</v>
      </c>
      <c r="Z58" s="37">
        <v>46163</v>
      </c>
      <c r="AA58" s="3">
        <v>96.617999999999995</v>
      </c>
      <c r="AB58" s="37">
        <f t="shared" si="2"/>
        <v>46163</v>
      </c>
    </row>
    <row r="59" spans="1:30" x14ac:dyDescent="0.25">
      <c r="A59" s="98" t="str">
        <f t="shared" ca="1" si="3"/>
        <v/>
      </c>
      <c r="B59" s="33" t="str">
        <f ca="1">IF(COUNTIF($P$2:P1044,A59)=1,VLOOKUP(A59-TIME(15,0,0),X:Y,2), IF(COUNTIF($P$2:P1044,A59)=0,$B$10,""))</f>
        <v/>
      </c>
      <c r="C59" s="25" t="str">
        <f t="shared" ca="1" si="4"/>
        <v/>
      </c>
      <c r="D59" s="107"/>
      <c r="E59" s="33" t="str">
        <f ca="1">IF(COUNTIF($K$2:K1044,A59)=1,VLOOKUP(A59,K:L,2), IF(COUNTIF($K$2:K1044,A59)=0,$C$9,""))</f>
        <v/>
      </c>
      <c r="F59" s="77" t="str">
        <f t="shared" ca="1" si="5"/>
        <v/>
      </c>
      <c r="G59" s="107" t="str">
        <f t="shared" ca="1" si="6"/>
        <v/>
      </c>
      <c r="H59" s="55" t="str">
        <f t="shared" ca="1" si="7"/>
        <v/>
      </c>
      <c r="J59" s="71"/>
      <c r="K59" s="71"/>
      <c r="M59" s="95" t="str">
        <f t="shared" si="0"/>
        <v/>
      </c>
      <c r="N59" s="95" t="str">
        <f t="shared" si="1"/>
        <v/>
      </c>
      <c r="X59" s="95">
        <v>46164</v>
      </c>
      <c r="Y59" s="3">
        <v>165.02789999999999</v>
      </c>
      <c r="Z59" s="37">
        <v>46164</v>
      </c>
      <c r="AA59" s="3">
        <v>94.872</v>
      </c>
      <c r="AB59" s="37">
        <f t="shared" si="2"/>
        <v>46164</v>
      </c>
    </row>
    <row r="60" spans="1:30" x14ac:dyDescent="0.25">
      <c r="A60" s="98" t="str">
        <f t="shared" ca="1" si="3"/>
        <v/>
      </c>
      <c r="B60" s="33" t="str">
        <f ca="1">IF(COUNTIF($P$2:P1045,A60)=1,VLOOKUP(A60-TIME(15,0,0),X:Y,2), IF(COUNTIF($P$2:P1045,A60)=0,$B$10,""))</f>
        <v/>
      </c>
      <c r="C60" s="25" t="str">
        <f t="shared" ca="1" si="4"/>
        <v/>
      </c>
      <c r="D60" s="107"/>
      <c r="E60" s="33" t="str">
        <f ca="1">IF(COUNTIF($K$2:K1045,A60)=1,VLOOKUP(A60,K:L,2), IF(COUNTIF($K$2:K1045,A60)=0,$C$9,""))</f>
        <v/>
      </c>
      <c r="F60" s="77" t="str">
        <f t="shared" ca="1" si="5"/>
        <v/>
      </c>
      <c r="G60" s="107" t="str">
        <f t="shared" ca="1" si="6"/>
        <v/>
      </c>
      <c r="H60" s="55" t="str">
        <f t="shared" ca="1" si="7"/>
        <v/>
      </c>
      <c r="J60" s="71"/>
      <c r="K60" s="71"/>
      <c r="M60" s="95" t="str">
        <f t="shared" si="0"/>
        <v/>
      </c>
      <c r="N60" s="95" t="str">
        <f t="shared" si="1"/>
        <v/>
      </c>
      <c r="X60" s="95">
        <v>46168</v>
      </c>
      <c r="Y60" s="3">
        <v>165.161</v>
      </c>
      <c r="Z60" s="37">
        <v>46168</v>
      </c>
      <c r="AA60" s="3">
        <v>93.215000000000003</v>
      </c>
      <c r="AB60" s="37">
        <f t="shared" si="2"/>
        <v>46168</v>
      </c>
    </row>
    <row r="61" spans="1:30" x14ac:dyDescent="0.25">
      <c r="A61" s="98" t="str">
        <f t="shared" ca="1" si="3"/>
        <v/>
      </c>
      <c r="B61" s="33" t="str">
        <f ca="1">IF(COUNTIF($P$2:P1046,A61)=1,VLOOKUP(A61-TIME(15,0,0),X:Y,2), IF(COUNTIF($P$2:P1046,A61)=0,$B$10,""))</f>
        <v/>
      </c>
      <c r="C61" s="25" t="str">
        <f t="shared" ca="1" si="4"/>
        <v/>
      </c>
      <c r="D61" s="107"/>
      <c r="E61" s="33" t="str">
        <f ca="1">IF(COUNTIF($K$2:K1046,A61)=1,VLOOKUP(A61,K:L,2), IF(COUNTIF($K$2:K1046,A61)=0,$C$9,""))</f>
        <v/>
      </c>
      <c r="F61" s="77" t="str">
        <f t="shared" ca="1" si="5"/>
        <v/>
      </c>
      <c r="G61" s="107" t="str">
        <f t="shared" ca="1" si="6"/>
        <v/>
      </c>
      <c r="H61" s="55" t="str">
        <f t="shared" ca="1" si="7"/>
        <v/>
      </c>
      <c r="J61" s="71"/>
      <c r="K61" s="71"/>
      <c r="M61" s="95" t="str">
        <f t="shared" si="0"/>
        <v/>
      </c>
      <c r="N61" s="95" t="str">
        <f t="shared" si="1"/>
        <v/>
      </c>
      <c r="X61" s="95">
        <v>46169</v>
      </c>
      <c r="Y61" s="3">
        <v>165.1833</v>
      </c>
      <c r="Z61" s="37">
        <v>46169</v>
      </c>
      <c r="AA61" s="3">
        <v>93.236000000000004</v>
      </c>
      <c r="AB61" s="37">
        <f t="shared" si="2"/>
        <v>46169</v>
      </c>
    </row>
    <row r="62" spans="1:30" x14ac:dyDescent="0.25">
      <c r="A62" s="98" t="str">
        <f t="shared" ca="1" si="3"/>
        <v/>
      </c>
      <c r="B62" s="33" t="str">
        <f ca="1">IF(COUNTIF($P$2:P1047,A62)=1,VLOOKUP(A62-TIME(15,0,0),X:Y,2), IF(COUNTIF($P$2:P1047,A62)=0,$B$10,""))</f>
        <v/>
      </c>
      <c r="C62" s="25" t="str">
        <f t="shared" ca="1" si="4"/>
        <v/>
      </c>
      <c r="D62" s="107"/>
      <c r="E62" s="33" t="str">
        <f ca="1">IF(COUNTIF($K$2:K1047,A62)=1,VLOOKUP(A62,K:L,2), IF(COUNTIF($K$2:K1047,A62)=0,$C$9,""))</f>
        <v/>
      </c>
      <c r="F62" s="77" t="str">
        <f t="shared" ca="1" si="5"/>
        <v/>
      </c>
      <c r="G62" s="107" t="str">
        <f t="shared" ca="1" si="6"/>
        <v/>
      </c>
      <c r="H62" s="55" t="str">
        <f t="shared" ca="1" si="7"/>
        <v/>
      </c>
      <c r="J62" s="71"/>
      <c r="K62" s="71"/>
      <c r="M62" s="95" t="str">
        <f t="shared" si="0"/>
        <v/>
      </c>
      <c r="N62" s="95" t="str">
        <f t="shared" si="1"/>
        <v/>
      </c>
      <c r="X62" s="95">
        <v>46170</v>
      </c>
      <c r="Y62" s="3">
        <v>165.28790000000001</v>
      </c>
      <c r="Z62" s="37">
        <v>46170</v>
      </c>
      <c r="AA62" s="3">
        <v>91.685000000000002</v>
      </c>
      <c r="AB62" s="37">
        <f t="shared" si="2"/>
        <v>46170</v>
      </c>
    </row>
    <row r="63" spans="1:30" x14ac:dyDescent="0.25">
      <c r="A63" s="98" t="str">
        <f t="shared" ca="1" si="3"/>
        <v/>
      </c>
      <c r="B63" s="33" t="str">
        <f ca="1">IF(COUNTIF($P$2:P1048,A63)=1,VLOOKUP(A63-TIME(15,0,0),X:Y,2), IF(COUNTIF($P$2:P1048,A63)=0,$B$10,""))</f>
        <v/>
      </c>
      <c r="C63" s="25" t="str">
        <f t="shared" ca="1" si="4"/>
        <v/>
      </c>
      <c r="D63" s="107"/>
      <c r="E63" s="33" t="str">
        <f ca="1">IF(COUNTIF($K$2:K1048,A63)=1,VLOOKUP(A63,K:L,2), IF(COUNTIF($K$2:K1048,A63)=0,$C$9,""))</f>
        <v/>
      </c>
      <c r="F63" s="77" t="str">
        <f t="shared" ca="1" si="5"/>
        <v/>
      </c>
      <c r="G63" s="107" t="str">
        <f t="shared" ca="1" si="6"/>
        <v/>
      </c>
      <c r="H63" s="55" t="str">
        <f t="shared" ca="1" si="7"/>
        <v/>
      </c>
      <c r="J63" s="71"/>
      <c r="K63" s="71"/>
      <c r="M63" s="95" t="str">
        <f t="shared" si="0"/>
        <v/>
      </c>
      <c r="N63" s="95" t="str">
        <f t="shared" si="1"/>
        <v/>
      </c>
      <c r="X63" s="95">
        <v>46171</v>
      </c>
      <c r="Y63" s="3">
        <v>165.38749999999999</v>
      </c>
      <c r="Z63" s="37">
        <v>46171</v>
      </c>
      <c r="AA63" s="3">
        <v>90.555000000000007</v>
      </c>
      <c r="AB63" s="37">
        <f t="shared" si="2"/>
        <v>46171</v>
      </c>
    </row>
    <row r="64" spans="1:30" x14ac:dyDescent="0.25">
      <c r="A64" s="98" t="str">
        <f t="shared" ca="1" si="3"/>
        <v/>
      </c>
      <c r="B64" s="33" t="str">
        <f ca="1">IF(COUNTIF($P$2:P1049,A64)=1,VLOOKUP(A64-TIME(15,0,0),X:Y,2), IF(COUNTIF($P$2:P1049,A64)=0,$B$10,""))</f>
        <v/>
      </c>
      <c r="C64" s="25" t="str">
        <f t="shared" ca="1" si="4"/>
        <v/>
      </c>
      <c r="D64" s="107"/>
      <c r="E64" s="33" t="str">
        <f ca="1">IF(COUNTIF($K$2:K1049,A64)=1,VLOOKUP(A64,K:L,2), IF(COUNTIF($K$2:K1049,A64)=0,$C$9,""))</f>
        <v/>
      </c>
      <c r="F64" s="77" t="str">
        <f t="shared" ca="1" si="5"/>
        <v/>
      </c>
      <c r="G64" s="107" t="str">
        <f t="shared" ca="1" si="6"/>
        <v/>
      </c>
      <c r="H64" s="55" t="str">
        <f t="shared" ca="1" si="7"/>
        <v/>
      </c>
      <c r="J64" s="71"/>
      <c r="K64" s="71"/>
      <c r="M64" s="95" t="str">
        <f t="shared" si="0"/>
        <v/>
      </c>
      <c r="N64" s="95" t="str">
        <f t="shared" si="1"/>
        <v/>
      </c>
      <c r="X64" s="95">
        <v>46174</v>
      </c>
      <c r="Y64" s="67">
        <v>165.238</v>
      </c>
      <c r="Z64" s="126">
        <v>46174</v>
      </c>
      <c r="AA64" s="67">
        <v>92.426000000000002</v>
      </c>
      <c r="AB64" s="37">
        <f t="shared" si="2"/>
        <v>46174</v>
      </c>
      <c r="AC64" s="67"/>
      <c r="AD64" s="67"/>
    </row>
    <row r="65" spans="1:30" x14ac:dyDescent="0.25">
      <c r="A65" s="98" t="str">
        <f t="shared" ca="1" si="3"/>
        <v/>
      </c>
      <c r="B65" s="33" t="str">
        <f ca="1">IF(COUNTIF($P$2:P1050,A65)=1,VLOOKUP(A65-TIME(15,0,0),X:Y,2), IF(COUNTIF($P$2:P1050,A65)=0,$B$10,""))</f>
        <v/>
      </c>
      <c r="C65" s="25" t="str">
        <f t="shared" ca="1" si="4"/>
        <v/>
      </c>
      <c r="D65" s="107"/>
      <c r="E65" s="33" t="str">
        <f ca="1">IF(COUNTIF($K$2:K1050,A65)=1,VLOOKUP(A65,K:L,2), IF(COUNTIF($K$2:K1050,A65)=0,$C$9,""))</f>
        <v/>
      </c>
      <c r="F65" s="77" t="str">
        <f t="shared" ca="1" si="5"/>
        <v/>
      </c>
      <c r="G65" s="107" t="str">
        <f t="shared" ca="1" si="6"/>
        <v/>
      </c>
      <c r="H65" s="55" t="str">
        <f t="shared" ca="1" si="7"/>
        <v/>
      </c>
      <c r="J65" s="71"/>
      <c r="K65" s="71"/>
      <c r="M65" s="95" t="str">
        <f t="shared" si="0"/>
        <v/>
      </c>
      <c r="N65" s="95" t="str">
        <f t="shared" si="1"/>
        <v/>
      </c>
      <c r="X65" s="95">
        <v>46175</v>
      </c>
      <c r="Y65" s="67">
        <v>165.381</v>
      </c>
      <c r="Z65" s="68">
        <v>46175</v>
      </c>
      <c r="AA65" s="69">
        <v>90.718999999999994</v>
      </c>
      <c r="AB65" s="37">
        <f t="shared" si="2"/>
        <v>46175</v>
      </c>
      <c r="AC65" s="69"/>
      <c r="AD65" s="69"/>
    </row>
    <row r="66" spans="1:30" x14ac:dyDescent="0.25">
      <c r="A66" s="98" t="str">
        <f t="shared" ca="1" si="3"/>
        <v/>
      </c>
      <c r="B66" s="33" t="str">
        <f ca="1">IF(COUNTIF($P$2:P1051,A66)=1,VLOOKUP(A66-TIME(15,0,0),X:Y,2), IF(COUNTIF($P$2:P1051,A66)=0,$B$10,""))</f>
        <v/>
      </c>
      <c r="C66" s="25" t="str">
        <f t="shared" ca="1" si="4"/>
        <v/>
      </c>
      <c r="D66" s="107"/>
      <c r="E66" s="33" t="str">
        <f ca="1">IF(COUNTIF($K$2:K1051,A66)=1,VLOOKUP(A66,K:L,2), IF(COUNTIF($K$2:K1051,A66)=0,$C$9,""))</f>
        <v/>
      </c>
      <c r="F66" s="77" t="str">
        <f t="shared" ca="1" si="5"/>
        <v/>
      </c>
      <c r="G66" s="107" t="str">
        <f t="shared" ca="1" si="6"/>
        <v/>
      </c>
      <c r="H66" s="55" t="str">
        <f t="shared" ca="1" si="7"/>
        <v/>
      </c>
      <c r="J66" s="71"/>
      <c r="K66" s="71"/>
      <c r="M66" s="95" t="str">
        <f t="shared" si="0"/>
        <v/>
      </c>
      <c r="N66" s="95" t="str">
        <f t="shared" si="1"/>
        <v/>
      </c>
      <c r="X66" s="95">
        <v>46176</v>
      </c>
      <c r="Y66" s="67">
        <v>165.25450000000001</v>
      </c>
      <c r="Z66" s="68">
        <v>46176</v>
      </c>
      <c r="AA66" s="69">
        <v>92.715999999999994</v>
      </c>
      <c r="AB66" s="37">
        <f t="shared" si="2"/>
        <v>46176</v>
      </c>
      <c r="AC66" s="69"/>
      <c r="AD66" s="69"/>
    </row>
    <row r="67" spans="1:30" x14ac:dyDescent="0.25">
      <c r="A67" s="98" t="str">
        <f t="shared" ca="1" si="3"/>
        <v/>
      </c>
      <c r="B67" s="33" t="str">
        <f ca="1">IF(COUNTIF($P$2:P1052,A67)=1,VLOOKUP(A67-TIME(15,0,0),X:Y,2), IF(COUNTIF($P$2:P1052,A67)=0,$B$10,""))</f>
        <v/>
      </c>
      <c r="C67" s="25" t="str">
        <f t="shared" ca="1" si="4"/>
        <v/>
      </c>
      <c r="D67" s="107"/>
      <c r="E67" s="33" t="str">
        <f ca="1">IF(COUNTIF($K$2:K1052,A67)=1,VLOOKUP(A67,K:L,2), IF(COUNTIF($K$2:K1052,A67)=0,$C$9,""))</f>
        <v/>
      </c>
      <c r="F67" s="77" t="str">
        <f t="shared" ca="1" si="5"/>
        <v/>
      </c>
      <c r="G67" s="107" t="str">
        <f t="shared" ca="1" si="6"/>
        <v/>
      </c>
      <c r="H67" s="55" t="str">
        <f t="shared" ca="1" si="7"/>
        <v/>
      </c>
      <c r="J67" s="71"/>
      <c r="K67" s="71"/>
      <c r="M67" s="95" t="str">
        <f t="shared" ref="M67:M130" si="8">IF(COUNTIF(K:K,J67),J67,"")</f>
        <v/>
      </c>
      <c r="N67" s="95" t="str">
        <f t="shared" si="1"/>
        <v/>
      </c>
      <c r="X67" s="95">
        <v>46177</v>
      </c>
      <c r="Y67" s="67">
        <v>165.3818</v>
      </c>
      <c r="Z67" s="68">
        <v>46177</v>
      </c>
      <c r="AA67" s="69">
        <v>90.813999999999993</v>
      </c>
      <c r="AB67" s="37">
        <f t="shared" si="2"/>
        <v>46177</v>
      </c>
      <c r="AC67" s="69"/>
      <c r="AD67" s="69"/>
    </row>
    <row r="68" spans="1:30" x14ac:dyDescent="0.25">
      <c r="A68" s="98" t="str">
        <f t="shared" ca="1" si="3"/>
        <v/>
      </c>
      <c r="B68" s="33" t="str">
        <f ca="1">IF(COUNTIF($P$2:P1053,A68)=1,VLOOKUP(A68-TIME(15,0,0),X:Y,2), IF(COUNTIF($P$2:P1053,A68)=0,$B$10,""))</f>
        <v/>
      </c>
      <c r="C68" s="25" t="str">
        <f t="shared" ca="1" si="4"/>
        <v/>
      </c>
      <c r="D68" s="107"/>
      <c r="E68" s="33" t="str">
        <f ca="1">IF(COUNTIF($K$2:K1053,A68)=1,VLOOKUP(A68,K:L,2), IF(COUNTIF($K$2:K1053,A68)=0,$C$9,""))</f>
        <v/>
      </c>
      <c r="F68" s="77" t="str">
        <f t="shared" ca="1" si="5"/>
        <v/>
      </c>
      <c r="G68" s="107" t="str">
        <f t="shared" ca="1" si="6"/>
        <v/>
      </c>
      <c r="H68" s="55" t="str">
        <f t="shared" ca="1" si="7"/>
        <v/>
      </c>
      <c r="J68" s="71"/>
      <c r="K68" s="71"/>
      <c r="M68" s="95" t="str">
        <f t="shared" si="8"/>
        <v/>
      </c>
      <c r="N68" s="95" t="str">
        <f t="shared" ref="N68:N131" si="9">IF(M68&gt;$A$14,M68,"")</f>
        <v/>
      </c>
      <c r="X68" s="95">
        <v>46178</v>
      </c>
      <c r="Y68" s="67">
        <v>165.27869999999999</v>
      </c>
      <c r="Z68" s="68">
        <v>46178</v>
      </c>
      <c r="AA68" s="69">
        <v>92.251999999999995</v>
      </c>
      <c r="AB68" s="37">
        <f t="shared" ref="AB68:AB131" si="10">IF(COUNTIF(Z:Z,X68),X68,"")</f>
        <v>46178</v>
      </c>
      <c r="AC68" s="69"/>
      <c r="AD68" s="69"/>
    </row>
    <row r="69" spans="1:30" x14ac:dyDescent="0.25">
      <c r="A69" s="98" t="str">
        <f t="shared" ca="1" si="3"/>
        <v/>
      </c>
      <c r="B69" s="33" t="str">
        <f ca="1">IF(COUNTIF($P$2:P1054,A69)=1,VLOOKUP(A69-TIME(15,0,0),X:Y,2), IF(COUNTIF($P$2:P1054,A69)=0,$B$10,""))</f>
        <v/>
      </c>
      <c r="C69" s="25" t="str">
        <f t="shared" ca="1" si="4"/>
        <v/>
      </c>
      <c r="D69" s="107"/>
      <c r="E69" s="33" t="str">
        <f ca="1">IF(COUNTIF($K$2:K1054,A69)=1,VLOOKUP(A69,K:L,2), IF(COUNTIF($K$2:K1054,A69)=0,$C$9,""))</f>
        <v/>
      </c>
      <c r="F69" s="77" t="str">
        <f t="shared" ca="1" si="5"/>
        <v/>
      </c>
      <c r="G69" s="107" t="str">
        <f t="shared" ca="1" si="6"/>
        <v/>
      </c>
      <c r="H69" s="55" t="str">
        <f t="shared" ca="1" si="7"/>
        <v/>
      </c>
      <c r="J69" s="71"/>
      <c r="K69" s="71"/>
      <c r="M69" s="95" t="str">
        <f t="shared" si="8"/>
        <v/>
      </c>
      <c r="N69" s="95" t="str">
        <f t="shared" si="9"/>
        <v/>
      </c>
      <c r="X69" s="95">
        <v>46181</v>
      </c>
      <c r="Y69" s="67">
        <v>165.25980000000001</v>
      </c>
      <c r="Z69" s="68">
        <v>46181</v>
      </c>
      <c r="AA69" s="69">
        <v>92.679000000000002</v>
      </c>
      <c r="AB69" s="37">
        <f t="shared" si="10"/>
        <v>46181</v>
      </c>
      <c r="AC69" s="69"/>
      <c r="AD69" s="69"/>
    </row>
    <row r="70" spans="1:30" x14ac:dyDescent="0.25">
      <c r="A70" s="98" t="str">
        <f t="shared" ca="1" si="3"/>
        <v/>
      </c>
      <c r="B70" s="33" t="str">
        <f ca="1">IF(COUNTIF($P$2:P1055,A70)=1,VLOOKUP(A70-TIME(15,0,0),X:Y,2), IF(COUNTIF($P$2:P1055,A70)=0,$B$10,""))</f>
        <v/>
      </c>
      <c r="C70" s="25" t="str">
        <f t="shared" ca="1" si="4"/>
        <v/>
      </c>
      <c r="D70" s="107"/>
      <c r="E70" s="33" t="str">
        <f ca="1">IF(COUNTIF($K$2:K1055,A70)=1,VLOOKUP(A70,K:L,2), IF(COUNTIF($K$2:K1055,A70)=0,$C$9,""))</f>
        <v/>
      </c>
      <c r="F70" s="77" t="str">
        <f t="shared" ca="1" si="5"/>
        <v/>
      </c>
      <c r="G70" s="107" t="str">
        <f t="shared" ca="1" si="6"/>
        <v/>
      </c>
      <c r="H70" s="55" t="str">
        <f t="shared" ca="1" si="7"/>
        <v/>
      </c>
      <c r="J70" s="71"/>
      <c r="K70" s="71"/>
      <c r="M70" s="95" t="str">
        <f t="shared" si="8"/>
        <v/>
      </c>
      <c r="N70" s="95" t="str">
        <f t="shared" si="9"/>
        <v/>
      </c>
      <c r="X70" s="95">
        <v>46182</v>
      </c>
      <c r="Y70" s="3">
        <v>165.26</v>
      </c>
      <c r="Z70" s="37">
        <v>46182</v>
      </c>
      <c r="AA70" s="3">
        <v>93.063999999999993</v>
      </c>
      <c r="AB70" s="37">
        <f t="shared" si="10"/>
        <v>46182</v>
      </c>
    </row>
    <row r="71" spans="1:30" x14ac:dyDescent="0.25">
      <c r="A71" s="98" t="str">
        <f t="shared" ca="1" si="3"/>
        <v/>
      </c>
      <c r="B71" s="33" t="str">
        <f ca="1">IF(COUNTIF($P$2:P1056,A71)=1,VLOOKUP(A71-TIME(15,0,0),X:Y,2), IF(COUNTIF($P$2:P1056,A71)=0,$B$10,""))</f>
        <v/>
      </c>
      <c r="C71" s="25" t="str">
        <f t="shared" ca="1" si="4"/>
        <v/>
      </c>
      <c r="D71" s="107"/>
      <c r="E71" s="33" t="str">
        <f ca="1">IF(COUNTIF($K$2:K1056,A71)=1,VLOOKUP(A71,K:L,2), IF(COUNTIF($K$2:K1056,A71)=0,$C$9,""))</f>
        <v/>
      </c>
      <c r="F71" s="77" t="str">
        <f t="shared" ca="1" si="5"/>
        <v/>
      </c>
      <c r="G71" s="107" t="str">
        <f t="shared" ca="1" si="6"/>
        <v/>
      </c>
      <c r="H71" s="55" t="str">
        <f t="shared" ca="1" si="7"/>
        <v/>
      </c>
      <c r="J71" s="71"/>
      <c r="K71" s="71"/>
      <c r="M71" s="95" t="str">
        <f t="shared" si="8"/>
        <v/>
      </c>
      <c r="N71" s="95" t="str">
        <f t="shared" si="9"/>
        <v/>
      </c>
      <c r="X71" s="95">
        <v>46183</v>
      </c>
      <c r="Y71" s="3">
        <v>165.1884</v>
      </c>
      <c r="Z71" s="37">
        <v>46183</v>
      </c>
      <c r="AA71" s="3">
        <v>93.602999999999994</v>
      </c>
      <c r="AB71" s="37">
        <f t="shared" si="10"/>
        <v>46183</v>
      </c>
    </row>
    <row r="72" spans="1:30" x14ac:dyDescent="0.25">
      <c r="A72" s="98" t="str">
        <f t="shared" ca="1" si="3"/>
        <v/>
      </c>
      <c r="B72" s="33" t="str">
        <f ca="1">IF(COUNTIF($P$2:P1057,A72)=1,VLOOKUP(A72-TIME(15,0,0),X:Y,2), IF(COUNTIF($P$2:P1057,A72)=0,$B$10,""))</f>
        <v/>
      </c>
      <c r="C72" s="25" t="str">
        <f t="shared" ca="1" si="4"/>
        <v/>
      </c>
      <c r="D72" s="107"/>
      <c r="E72" s="33" t="str">
        <f ca="1">IF(COUNTIF($K$2:K1057,A72)=1,VLOOKUP(A72,K:L,2), IF(COUNTIF($K$2:K1057,A72)=0,$C$9,""))</f>
        <v/>
      </c>
      <c r="F72" s="77" t="str">
        <f t="shared" ca="1" si="5"/>
        <v/>
      </c>
      <c r="G72" s="107" t="str">
        <f t="shared" ca="1" si="6"/>
        <v/>
      </c>
      <c r="H72" s="55" t="str">
        <f t="shared" ca="1" si="7"/>
        <v/>
      </c>
      <c r="J72" s="71"/>
      <c r="K72" s="71"/>
      <c r="M72" s="95" t="str">
        <f t="shared" si="8"/>
        <v/>
      </c>
      <c r="N72" s="95" t="str">
        <f t="shared" si="9"/>
        <v/>
      </c>
      <c r="X72" s="95">
        <v>46184</v>
      </c>
      <c r="Y72" s="3">
        <v>165.24870000000001</v>
      </c>
      <c r="Z72" s="37">
        <v>46184</v>
      </c>
      <c r="AA72" s="3">
        <v>93.01</v>
      </c>
      <c r="AB72" s="37">
        <f t="shared" si="10"/>
        <v>46184</v>
      </c>
    </row>
    <row r="73" spans="1:30" x14ac:dyDescent="0.25">
      <c r="A73" s="98" t="str">
        <f t="shared" ca="1" si="3"/>
        <v/>
      </c>
      <c r="B73" s="33" t="str">
        <f ca="1">IF(COUNTIF($P$2:P1058,A73)=1,VLOOKUP(A73-TIME(15,0,0),X:Y,2), IF(COUNTIF($P$2:P1058,A73)=0,$B$10,""))</f>
        <v/>
      </c>
      <c r="C73" s="25" t="str">
        <f t="shared" ca="1" si="4"/>
        <v/>
      </c>
      <c r="D73" s="107"/>
      <c r="E73" s="33" t="str">
        <f ca="1">IF(COUNTIF($K$2:K1058,A73)=1,VLOOKUP(A73,K:L,2), IF(COUNTIF($K$2:K1058,A73)=0,$C$9,""))</f>
        <v/>
      </c>
      <c r="F73" s="77" t="str">
        <f t="shared" ca="1" si="5"/>
        <v/>
      </c>
      <c r="G73" s="107" t="str">
        <f t="shared" ca="1" si="6"/>
        <v/>
      </c>
      <c r="H73" s="55" t="str">
        <f t="shared" ca="1" si="7"/>
        <v/>
      </c>
      <c r="J73" s="71"/>
      <c r="K73" s="71"/>
      <c r="M73" s="95" t="str">
        <f t="shared" si="8"/>
        <v/>
      </c>
      <c r="N73" s="95" t="str">
        <f t="shared" si="9"/>
        <v/>
      </c>
      <c r="X73" s="95">
        <v>46185</v>
      </c>
      <c r="Y73" s="3">
        <v>165.54839999999999</v>
      </c>
      <c r="Z73" s="37">
        <v>46185</v>
      </c>
      <c r="AA73" s="3">
        <v>89.265000000000001</v>
      </c>
      <c r="AB73" s="37">
        <f t="shared" si="10"/>
        <v>46185</v>
      </c>
    </row>
    <row r="74" spans="1:30" x14ac:dyDescent="0.25">
      <c r="A74" s="98" t="str">
        <f t="shared" ca="1" si="3"/>
        <v/>
      </c>
      <c r="B74" s="33" t="str">
        <f ca="1">IF(COUNTIF($P$2:P1059,A74)=1,VLOOKUP(A74-TIME(15,0,0),X:Y,2), IF(COUNTIF($P$2:P1059,A74)=0,$B$10,""))</f>
        <v/>
      </c>
      <c r="C74" s="25" t="str">
        <f t="shared" ca="1" si="4"/>
        <v/>
      </c>
      <c r="D74" s="107"/>
      <c r="E74" s="33" t="str">
        <f ca="1">IF(COUNTIF($K$2:K1059,A74)=1,VLOOKUP(A74,K:L,2), IF(COUNTIF($K$2:K1059,A74)=0,$C$9,""))</f>
        <v/>
      </c>
      <c r="F74" s="77" t="str">
        <f t="shared" ca="1" si="5"/>
        <v/>
      </c>
      <c r="G74" s="107" t="str">
        <f t="shared" ca="1" si="6"/>
        <v/>
      </c>
      <c r="H74" s="55" t="str">
        <f t="shared" ca="1" si="7"/>
        <v/>
      </c>
      <c r="J74" s="71"/>
      <c r="K74" s="71"/>
      <c r="M74" s="95" t="str">
        <f t="shared" si="8"/>
        <v/>
      </c>
      <c r="N74" s="95" t="str">
        <f t="shared" si="9"/>
        <v/>
      </c>
      <c r="X74" s="95">
        <v>46188</v>
      </c>
      <c r="Y74" s="3">
        <v>165.6978</v>
      </c>
      <c r="Z74" s="37">
        <v>46188</v>
      </c>
      <c r="AA74" s="3">
        <v>87.132999999999996</v>
      </c>
      <c r="AB74" s="37">
        <f t="shared" si="10"/>
        <v>46188</v>
      </c>
    </row>
    <row r="75" spans="1:30" x14ac:dyDescent="0.25">
      <c r="A75" s="98" t="str">
        <f t="shared" ca="1" si="3"/>
        <v/>
      </c>
      <c r="B75" s="33" t="str">
        <f ca="1">IF(COUNTIF($P$2:P1060,A75)=1,VLOOKUP(A75-TIME(15,0,0),X:Y,2), IF(COUNTIF($P$2:P1060,A75)=0,$B$10,""))</f>
        <v/>
      </c>
      <c r="C75" s="25" t="str">
        <f t="shared" ca="1" si="4"/>
        <v/>
      </c>
      <c r="D75" s="107"/>
      <c r="E75" s="33" t="str">
        <f ca="1">IF(COUNTIF($K$2:K1060,A75)=1,VLOOKUP(A75,K:L,2), IF(COUNTIF($K$2:K1060,A75)=0,$C$9,""))</f>
        <v/>
      </c>
      <c r="F75" s="77" t="str">
        <f t="shared" ca="1" si="5"/>
        <v/>
      </c>
      <c r="G75" s="107" t="str">
        <f t="shared" ca="1" si="6"/>
        <v/>
      </c>
      <c r="H75" s="55" t="str">
        <f t="shared" ca="1" si="7"/>
        <v/>
      </c>
      <c r="J75" s="71"/>
      <c r="K75" s="71"/>
      <c r="M75" s="95" t="str">
        <f t="shared" si="8"/>
        <v/>
      </c>
      <c r="N75" s="95" t="str">
        <f t="shared" si="9"/>
        <v/>
      </c>
      <c r="X75" s="95">
        <v>46189</v>
      </c>
      <c r="Y75" s="3">
        <v>165.67259999999999</v>
      </c>
      <c r="Z75" s="37">
        <v>46189</v>
      </c>
      <c r="AA75" s="3">
        <v>87.676000000000002</v>
      </c>
      <c r="AB75" s="37">
        <f t="shared" si="10"/>
        <v>46189</v>
      </c>
    </row>
    <row r="76" spans="1:30" x14ac:dyDescent="0.25">
      <c r="A76" s="98" t="str">
        <f t="shared" ca="1" si="3"/>
        <v/>
      </c>
      <c r="B76" s="33" t="str">
        <f ca="1">IF(COUNTIF($P$2:P1061,A76)=1,VLOOKUP(A76-TIME(15,0,0),X:Y,2), IF(COUNTIF($P$2:P1061,A76)=0,$B$10,""))</f>
        <v/>
      </c>
      <c r="C76" s="25" t="str">
        <f t="shared" ca="1" si="4"/>
        <v/>
      </c>
      <c r="D76" s="107"/>
      <c r="E76" s="33" t="str">
        <f ca="1">IF(COUNTIF($K$2:K1061,A76)=1,VLOOKUP(A76,K:L,2), IF(COUNTIF($K$2:K1061,A76)=0,$C$9,""))</f>
        <v/>
      </c>
      <c r="F76" s="77" t="str">
        <f t="shared" ca="1" si="5"/>
        <v/>
      </c>
      <c r="G76" s="107" t="str">
        <f t="shared" ca="1" si="6"/>
        <v/>
      </c>
      <c r="H76" s="55" t="str">
        <f t="shared" ca="1" si="7"/>
        <v/>
      </c>
      <c r="J76" s="71"/>
      <c r="K76" s="71"/>
      <c r="M76" s="95" t="str">
        <f t="shared" si="8"/>
        <v/>
      </c>
      <c r="N76" s="95" t="str">
        <f t="shared" si="9"/>
        <v/>
      </c>
      <c r="X76" s="95">
        <v>46190</v>
      </c>
      <c r="Y76" s="3">
        <v>165.63059999999999</v>
      </c>
      <c r="Z76" s="37">
        <v>46190</v>
      </c>
      <c r="AA76" s="3">
        <v>88.236999999999995</v>
      </c>
      <c r="AB76" s="37">
        <f t="shared" si="10"/>
        <v>46190</v>
      </c>
    </row>
    <row r="77" spans="1:30" x14ac:dyDescent="0.25">
      <c r="A77" s="98" t="str">
        <f t="shared" ca="1" si="3"/>
        <v/>
      </c>
      <c r="B77" s="33" t="str">
        <f ca="1">IF(COUNTIF($P$2:P1062,A77)=1,VLOOKUP(A77-TIME(15,0,0),X:Y,2), IF(COUNTIF($P$2:P1062,A77)=0,$B$10,""))</f>
        <v/>
      </c>
      <c r="C77" s="25" t="str">
        <f t="shared" ca="1" si="4"/>
        <v/>
      </c>
      <c r="D77" s="107"/>
      <c r="E77" s="33" t="str">
        <f ca="1">IF(COUNTIF($K$2:K1062,A77)=1,VLOOKUP(A77,K:L,2), IF(COUNTIF($K$2:K1062,A77)=0,$C$9,""))</f>
        <v/>
      </c>
      <c r="F77" s="77" t="str">
        <f t="shared" ca="1" si="5"/>
        <v/>
      </c>
      <c r="G77" s="107" t="str">
        <f t="shared" ca="1" si="6"/>
        <v/>
      </c>
      <c r="H77" s="55" t="str">
        <f t="shared" ca="1" si="7"/>
        <v/>
      </c>
      <c r="J77" s="71"/>
      <c r="K77" s="71"/>
      <c r="M77" s="95" t="str">
        <f t="shared" si="8"/>
        <v/>
      </c>
      <c r="N77" s="95" t="str">
        <f t="shared" si="9"/>
        <v/>
      </c>
      <c r="Z77" s="37">
        <v>46191</v>
      </c>
      <c r="AA77" s="3">
        <v>88.305000000000007</v>
      </c>
      <c r="AB77" s="37" t="str">
        <f t="shared" si="10"/>
        <v/>
      </c>
    </row>
    <row r="78" spans="1:30" x14ac:dyDescent="0.25">
      <c r="A78" s="98" t="str">
        <f t="shared" ca="1" si="3"/>
        <v/>
      </c>
      <c r="B78" s="33" t="str">
        <f ca="1">IF(COUNTIF($P$2:P1063,A78)=1,VLOOKUP(A78-TIME(15,0,0),X:Y,2), IF(COUNTIF($P$2:P1063,A78)=0,$B$10,""))</f>
        <v/>
      </c>
      <c r="C78" s="25" t="str">
        <f t="shared" ca="1" si="4"/>
        <v/>
      </c>
      <c r="D78" s="107"/>
      <c r="E78" s="33" t="str">
        <f ca="1">IF(COUNTIF($K$2:K1063,A78)=1,VLOOKUP(A78,K:L,2), IF(COUNTIF($K$2:K1063,A78)=0,$C$9,""))</f>
        <v/>
      </c>
      <c r="F78" s="77" t="str">
        <f t="shared" ca="1" si="5"/>
        <v/>
      </c>
      <c r="G78" s="107" t="str">
        <f t="shared" ca="1" si="6"/>
        <v/>
      </c>
      <c r="H78" s="55" t="str">
        <f t="shared" ca="1" si="7"/>
        <v/>
      </c>
      <c r="J78" s="71"/>
      <c r="K78" s="71"/>
      <c r="M78" s="95" t="str">
        <f t="shared" si="8"/>
        <v/>
      </c>
      <c r="N78" s="95" t="str">
        <f t="shared" si="9"/>
        <v/>
      </c>
      <c r="Z78" s="37"/>
      <c r="AB78" s="37" t="str">
        <f t="shared" si="10"/>
        <v/>
      </c>
    </row>
    <row r="79" spans="1:30" x14ac:dyDescent="0.25">
      <c r="A79" s="98" t="str">
        <f t="shared" ca="1" si="3"/>
        <v/>
      </c>
      <c r="B79" s="33" t="str">
        <f ca="1">IF(COUNTIF($P$2:P1064,A79)=1,VLOOKUP(A79-TIME(15,0,0),X:Y,2), IF(COUNTIF($P$2:P1064,A79)=0,$B$10,""))</f>
        <v/>
      </c>
      <c r="C79" s="25" t="str">
        <f t="shared" ca="1" si="4"/>
        <v/>
      </c>
      <c r="D79" s="107"/>
      <c r="E79" s="33" t="str">
        <f ca="1">IF(COUNTIF($K$2:K1064,A79)=1,VLOOKUP(A79,K:L,2), IF(COUNTIF($K$2:K1064,A79)=0,$C$9,""))</f>
        <v/>
      </c>
      <c r="F79" s="77" t="str">
        <f t="shared" ca="1" si="5"/>
        <v/>
      </c>
      <c r="G79" s="107" t="str">
        <f t="shared" ca="1" si="6"/>
        <v/>
      </c>
      <c r="H79" s="55" t="str">
        <f t="shared" ca="1" si="7"/>
        <v/>
      </c>
      <c r="J79" s="71"/>
      <c r="K79" s="71"/>
      <c r="M79" s="95" t="str">
        <f t="shared" si="8"/>
        <v/>
      </c>
      <c r="N79" s="95" t="str">
        <f t="shared" si="9"/>
        <v/>
      </c>
      <c r="Z79" s="37"/>
      <c r="AB79" s="37" t="str">
        <f t="shared" si="10"/>
        <v/>
      </c>
    </row>
    <row r="80" spans="1:30" x14ac:dyDescent="0.25">
      <c r="A80" s="98" t="str">
        <f t="shared" ref="A80:A136" ca="1" si="11">IF(AND(ISBLANK(O67), A79 = $O$1),NOW(),IF(ISBLANK(O67),"",O67))</f>
        <v/>
      </c>
      <c r="B80" s="33" t="str">
        <f ca="1">IF(COUNTIF($P$2:P1065,A80)=1,VLOOKUP(A80-TIME(15,0,0),X:Y,2), IF(COUNTIF($P$2:P1065,A80)=0,$B$10,""))</f>
        <v/>
      </c>
      <c r="C80" s="25" t="str">
        <f t="shared" ref="C80:C136" ca="1" si="12">IF(ISERROR(B80-2),"",1*(B80/$B$14-1)*$B$5)</f>
        <v/>
      </c>
      <c r="D80" s="107"/>
      <c r="E80" s="33" t="str">
        <f ca="1">IF(COUNTIF($K$2:K1065,A80)=1,VLOOKUP(A80,K:L,2), IF(COUNTIF($K$2:K1065,A80)=0,$C$9,""))</f>
        <v/>
      </c>
      <c r="F80" s="77" t="str">
        <f t="shared" ref="F80:F136" ca="1" si="13">IF(ISERROR(B80-2),"",(E80-$E$14)/100*$C$5)</f>
        <v/>
      </c>
      <c r="G80" s="107" t="str">
        <f t="shared" ref="G80:G136" ca="1" si="14">IF(ISERROR(B80-2),"",(INT(A80)-INT($A$14))/360*$C$6*$C$5-(INT(A80)-INT($A$14))/360*$C$7*$C$5*$E$14/100)</f>
        <v/>
      </c>
      <c r="H80" s="55" t="str">
        <f t="shared" ref="H80:H136" ca="1" si="15">IF(ISERROR(B80-2),"",(-1*(C80+D80))+F80+G80)</f>
        <v/>
      </c>
      <c r="J80" s="71"/>
      <c r="K80" s="71"/>
      <c r="M80" s="95" t="str">
        <f t="shared" si="8"/>
        <v/>
      </c>
      <c r="N80" s="95" t="str">
        <f t="shared" si="9"/>
        <v/>
      </c>
      <c r="Z80" s="37"/>
      <c r="AB80" s="37" t="str">
        <f t="shared" si="10"/>
        <v/>
      </c>
    </row>
    <row r="81" spans="1:28" x14ac:dyDescent="0.25">
      <c r="A81" s="98" t="str">
        <f t="shared" ca="1" si="11"/>
        <v/>
      </c>
      <c r="B81" s="33" t="str">
        <f ca="1">IF(COUNTIF($P$2:P1066,A81)=1,VLOOKUP(A81-TIME(15,0,0),X:Y,2), IF(COUNTIF($P$2:P1066,A81)=0,$B$10,""))</f>
        <v/>
      </c>
      <c r="C81" s="25" t="str">
        <f t="shared" ca="1" si="12"/>
        <v/>
      </c>
      <c r="D81" s="107"/>
      <c r="E81" s="33" t="str">
        <f ca="1">IF(COUNTIF($K$2:K1066,A81)=1,VLOOKUP(A81,K:L,2), IF(COUNTIF($K$2:K1066,A81)=0,$C$9,""))</f>
        <v/>
      </c>
      <c r="F81" s="77" t="str">
        <f t="shared" ca="1" si="13"/>
        <v/>
      </c>
      <c r="G81" s="107" t="str">
        <f t="shared" ca="1" si="14"/>
        <v/>
      </c>
      <c r="H81" s="55" t="str">
        <f t="shared" ca="1" si="15"/>
        <v/>
      </c>
      <c r="J81" s="71"/>
      <c r="K81" s="71"/>
      <c r="M81" s="95" t="str">
        <f t="shared" si="8"/>
        <v/>
      </c>
      <c r="N81" s="95" t="str">
        <f t="shared" si="9"/>
        <v/>
      </c>
      <c r="Z81" s="37"/>
      <c r="AB81" s="37" t="str">
        <f t="shared" si="10"/>
        <v/>
      </c>
    </row>
    <row r="82" spans="1:28" x14ac:dyDescent="0.25">
      <c r="A82" s="98" t="str">
        <f t="shared" ca="1" si="11"/>
        <v/>
      </c>
      <c r="B82" s="33" t="str">
        <f ca="1">IF(COUNTIF($P$2:P1067,A82)=1,VLOOKUP(A82-TIME(15,0,0),X:Y,2), IF(COUNTIF($P$2:P1067,A82)=0,$B$10,""))</f>
        <v/>
      </c>
      <c r="C82" s="25" t="str">
        <f t="shared" ca="1" si="12"/>
        <v/>
      </c>
      <c r="D82" s="107"/>
      <c r="E82" s="33" t="str">
        <f ca="1">IF(COUNTIF($K$2:K1067,A82)=1,VLOOKUP(A82,K:L,2), IF(COUNTIF($K$2:K1067,A82)=0,$C$9,""))</f>
        <v/>
      </c>
      <c r="F82" s="77" t="str">
        <f t="shared" ca="1" si="13"/>
        <v/>
      </c>
      <c r="G82" s="107" t="str">
        <f t="shared" ca="1" si="14"/>
        <v/>
      </c>
      <c r="H82" s="55" t="str">
        <f t="shared" ca="1" si="15"/>
        <v/>
      </c>
      <c r="J82" s="71"/>
      <c r="K82" s="71"/>
      <c r="M82" s="95" t="str">
        <f t="shared" si="8"/>
        <v/>
      </c>
      <c r="N82" s="95" t="str">
        <f t="shared" si="9"/>
        <v/>
      </c>
      <c r="Z82" s="37"/>
      <c r="AB82" s="37" t="str">
        <f t="shared" si="10"/>
        <v/>
      </c>
    </row>
    <row r="83" spans="1:28" x14ac:dyDescent="0.25">
      <c r="A83" s="98" t="str">
        <f t="shared" ca="1" si="11"/>
        <v/>
      </c>
      <c r="B83" s="33" t="str">
        <f ca="1">IF(COUNTIF($P$2:P1068,A83)=1,VLOOKUP(A83-TIME(15,0,0),X:Y,2), IF(COUNTIF($P$2:P1068,A83)=0,$B$10,""))</f>
        <v/>
      </c>
      <c r="C83" s="25" t="str">
        <f t="shared" ca="1" si="12"/>
        <v/>
      </c>
      <c r="D83" s="107"/>
      <c r="E83" s="33" t="str">
        <f ca="1">IF(COUNTIF($K$2:K1068,A83)=1,VLOOKUP(A83,K:L,2), IF(COUNTIF($K$2:K1068,A83)=0,$C$9,""))</f>
        <v/>
      </c>
      <c r="F83" s="77" t="str">
        <f t="shared" ca="1" si="13"/>
        <v/>
      </c>
      <c r="G83" s="107" t="str">
        <f t="shared" ca="1" si="14"/>
        <v/>
      </c>
      <c r="H83" s="55" t="str">
        <f t="shared" ca="1" si="15"/>
        <v/>
      </c>
      <c r="J83" s="71"/>
      <c r="K83" s="71"/>
      <c r="M83" s="95" t="str">
        <f t="shared" si="8"/>
        <v/>
      </c>
      <c r="N83" s="95" t="str">
        <f t="shared" si="9"/>
        <v/>
      </c>
      <c r="Z83" s="37"/>
      <c r="AB83" s="37" t="str">
        <f t="shared" si="10"/>
        <v/>
      </c>
    </row>
    <row r="84" spans="1:28" x14ac:dyDescent="0.25">
      <c r="A84" s="98" t="str">
        <f t="shared" ca="1" si="11"/>
        <v/>
      </c>
      <c r="B84" s="33" t="str">
        <f ca="1">IF(COUNTIF($P$2:P1069,A84)=1,VLOOKUP(A84-TIME(15,0,0),X:Y,2), IF(COUNTIF($P$2:P1069,A84)=0,$B$10,""))</f>
        <v/>
      </c>
      <c r="C84" s="25" t="str">
        <f t="shared" ca="1" si="12"/>
        <v/>
      </c>
      <c r="D84" s="107"/>
      <c r="E84" s="33" t="str">
        <f ca="1">IF(COUNTIF($K$2:K1069,A84)=1,VLOOKUP(A84,K:L,2), IF(COUNTIF($K$2:K1069,A84)=0,$C$9,""))</f>
        <v/>
      </c>
      <c r="F84" s="77" t="str">
        <f t="shared" ca="1" si="13"/>
        <v/>
      </c>
      <c r="G84" s="107" t="str">
        <f t="shared" ca="1" si="14"/>
        <v/>
      </c>
      <c r="H84" s="55" t="str">
        <f t="shared" ca="1" si="15"/>
        <v/>
      </c>
      <c r="J84" s="71"/>
      <c r="K84" s="71"/>
      <c r="M84" s="95" t="str">
        <f t="shared" si="8"/>
        <v/>
      </c>
      <c r="N84" s="95" t="str">
        <f t="shared" si="9"/>
        <v/>
      </c>
      <c r="Z84" s="37"/>
      <c r="AB84" s="37" t="str">
        <f t="shared" si="10"/>
        <v/>
      </c>
    </row>
    <row r="85" spans="1:28" x14ac:dyDescent="0.25">
      <c r="A85" s="98" t="str">
        <f t="shared" ca="1" si="11"/>
        <v/>
      </c>
      <c r="B85" s="33" t="str">
        <f ca="1">IF(COUNTIF($P$2:P1070,A85)=1,VLOOKUP(A85-TIME(15,0,0),X:Y,2), IF(COUNTIF($P$2:P1070,A85)=0,$B$10,""))</f>
        <v/>
      </c>
      <c r="C85" s="25" t="str">
        <f t="shared" ca="1" si="12"/>
        <v/>
      </c>
      <c r="D85" s="107"/>
      <c r="E85" s="33" t="str">
        <f ca="1">IF(COUNTIF($K$2:K1070,A85)=1,VLOOKUP(A85,K:L,2), IF(COUNTIF($K$2:K1070,A85)=0,$C$9,""))</f>
        <v/>
      </c>
      <c r="F85" s="77" t="str">
        <f t="shared" ca="1" si="13"/>
        <v/>
      </c>
      <c r="G85" s="107" t="str">
        <f t="shared" ca="1" si="14"/>
        <v/>
      </c>
      <c r="H85" s="55" t="str">
        <f t="shared" ca="1" si="15"/>
        <v/>
      </c>
      <c r="J85" s="71"/>
      <c r="K85" s="71"/>
      <c r="M85" s="95" t="str">
        <f t="shared" si="8"/>
        <v/>
      </c>
      <c r="N85" s="95" t="str">
        <f t="shared" si="9"/>
        <v/>
      </c>
      <c r="Z85" s="37"/>
      <c r="AB85" s="37" t="str">
        <f t="shared" si="10"/>
        <v/>
      </c>
    </row>
    <row r="86" spans="1:28" x14ac:dyDescent="0.25">
      <c r="A86" s="98" t="str">
        <f t="shared" ca="1" si="11"/>
        <v/>
      </c>
      <c r="B86" s="33" t="str">
        <f ca="1">IF(COUNTIF($P$2:P1071,A86)=1,VLOOKUP(A86-TIME(15,0,0),X:Y,2), IF(COUNTIF($P$2:P1071,A86)=0,$B$10,""))</f>
        <v/>
      </c>
      <c r="C86" s="25" t="str">
        <f t="shared" ca="1" si="12"/>
        <v/>
      </c>
      <c r="D86" s="107"/>
      <c r="E86" s="33" t="str">
        <f ca="1">IF(COUNTIF($K$2:K1071,A86)=1,VLOOKUP(A86,K:L,2), IF(COUNTIF($K$2:K1071,A86)=0,$C$9,""))</f>
        <v/>
      </c>
      <c r="F86" s="77" t="str">
        <f t="shared" ca="1" si="13"/>
        <v/>
      </c>
      <c r="G86" s="107" t="str">
        <f t="shared" ca="1" si="14"/>
        <v/>
      </c>
      <c r="H86" s="55" t="str">
        <f t="shared" ca="1" si="15"/>
        <v/>
      </c>
      <c r="J86" s="71"/>
      <c r="K86" s="71"/>
      <c r="M86" s="95" t="str">
        <f t="shared" si="8"/>
        <v/>
      </c>
      <c r="N86" s="95" t="str">
        <f t="shared" si="9"/>
        <v/>
      </c>
      <c r="Z86" s="37"/>
      <c r="AB86" s="37" t="str">
        <f t="shared" si="10"/>
        <v/>
      </c>
    </row>
    <row r="87" spans="1:28" x14ac:dyDescent="0.25">
      <c r="A87" s="98" t="str">
        <f t="shared" ca="1" si="11"/>
        <v/>
      </c>
      <c r="B87" s="33" t="str">
        <f ca="1">IF(COUNTIF($P$2:P1072,A87)=1,VLOOKUP(A87-TIME(15,0,0),X:Y,2), IF(COUNTIF($P$2:P1072,A87)=0,$B$10,""))</f>
        <v/>
      </c>
      <c r="C87" s="25" t="str">
        <f t="shared" ca="1" si="12"/>
        <v/>
      </c>
      <c r="D87" s="107"/>
      <c r="E87" s="33" t="str">
        <f ca="1">IF(COUNTIF($K$2:K1072,A87)=1,VLOOKUP(A87,K:L,2), IF(COUNTIF($K$2:K1072,A87)=0,$C$9,""))</f>
        <v/>
      </c>
      <c r="F87" s="77" t="str">
        <f t="shared" ca="1" si="13"/>
        <v/>
      </c>
      <c r="G87" s="107" t="str">
        <f t="shared" ca="1" si="14"/>
        <v/>
      </c>
      <c r="H87" s="55" t="str">
        <f t="shared" ca="1" si="15"/>
        <v/>
      </c>
      <c r="J87" s="71"/>
      <c r="K87" s="71"/>
      <c r="M87" s="95" t="str">
        <f t="shared" si="8"/>
        <v/>
      </c>
      <c r="N87" s="95" t="str">
        <f t="shared" si="9"/>
        <v/>
      </c>
      <c r="Z87" s="37"/>
      <c r="AB87" s="37" t="str">
        <f t="shared" si="10"/>
        <v/>
      </c>
    </row>
    <row r="88" spans="1:28" x14ac:dyDescent="0.25">
      <c r="A88" s="98" t="str">
        <f t="shared" ca="1" si="11"/>
        <v/>
      </c>
      <c r="B88" s="33" t="str">
        <f ca="1">IF(COUNTIF($P$2:P1073,A88)=1,VLOOKUP(A88-TIME(15,0,0),X:Y,2), IF(COUNTIF($P$2:P1073,A88)=0,$B$10,""))</f>
        <v/>
      </c>
      <c r="C88" s="25" t="str">
        <f t="shared" ca="1" si="12"/>
        <v/>
      </c>
      <c r="D88" s="107"/>
      <c r="E88" s="33" t="str">
        <f ca="1">IF(COUNTIF($K$2:K1073,A88)=1,VLOOKUP(A88,K:L,2), IF(COUNTIF($K$2:K1073,A88)=0,$C$9,""))</f>
        <v/>
      </c>
      <c r="F88" s="77" t="str">
        <f t="shared" ca="1" si="13"/>
        <v/>
      </c>
      <c r="G88" s="107" t="str">
        <f t="shared" ca="1" si="14"/>
        <v/>
      </c>
      <c r="H88" s="55" t="str">
        <f t="shared" ca="1" si="15"/>
        <v/>
      </c>
      <c r="J88" s="71"/>
      <c r="K88" s="71"/>
      <c r="M88" s="95" t="str">
        <f t="shared" si="8"/>
        <v/>
      </c>
      <c r="N88" s="95" t="str">
        <f t="shared" si="9"/>
        <v/>
      </c>
      <c r="Z88" s="37"/>
      <c r="AB88" s="37" t="str">
        <f t="shared" si="10"/>
        <v/>
      </c>
    </row>
    <row r="89" spans="1:28" x14ac:dyDescent="0.25">
      <c r="A89" s="98" t="str">
        <f t="shared" ca="1" si="11"/>
        <v/>
      </c>
      <c r="B89" s="33" t="str">
        <f ca="1">IF(COUNTIF($P$2:P1074,A89)=1,VLOOKUP(A89-TIME(15,0,0),X:Y,2), IF(COUNTIF($P$2:P1074,A89)=0,$B$10,""))</f>
        <v/>
      </c>
      <c r="C89" s="25" t="str">
        <f t="shared" ca="1" si="12"/>
        <v/>
      </c>
      <c r="D89" s="107"/>
      <c r="E89" s="33" t="str">
        <f ca="1">IF(COUNTIF($K$2:K1074,A89)=1,VLOOKUP(A89,K:L,2), IF(COUNTIF($K$2:K1074,A89)=0,$C$9,""))</f>
        <v/>
      </c>
      <c r="F89" s="77" t="str">
        <f t="shared" ca="1" si="13"/>
        <v/>
      </c>
      <c r="G89" s="107" t="str">
        <f t="shared" ca="1" si="14"/>
        <v/>
      </c>
      <c r="H89" s="55" t="str">
        <f t="shared" ca="1" si="15"/>
        <v/>
      </c>
      <c r="J89" s="71"/>
      <c r="K89" s="71"/>
      <c r="M89" s="95" t="str">
        <f t="shared" si="8"/>
        <v/>
      </c>
      <c r="N89" s="95" t="str">
        <f t="shared" si="9"/>
        <v/>
      </c>
      <c r="Z89" s="37"/>
      <c r="AB89" s="37" t="str">
        <f t="shared" si="10"/>
        <v/>
      </c>
    </row>
    <row r="90" spans="1:28" x14ac:dyDescent="0.25">
      <c r="A90" s="98" t="str">
        <f t="shared" ca="1" si="11"/>
        <v/>
      </c>
      <c r="B90" s="33" t="str">
        <f ca="1">IF(COUNTIF($P$2:P1075,A90)=1,VLOOKUP(A90-TIME(15,0,0),X:Y,2), IF(COUNTIF($P$2:P1075,A90)=0,$B$10,""))</f>
        <v/>
      </c>
      <c r="C90" s="25" t="str">
        <f t="shared" ca="1" si="12"/>
        <v/>
      </c>
      <c r="D90" s="107"/>
      <c r="E90" s="33" t="str">
        <f ca="1">IF(COUNTIF($K$2:K1075,A90)=1,VLOOKUP(A90,K:L,2), IF(COUNTIF($K$2:K1075,A90)=0,$C$9,""))</f>
        <v/>
      </c>
      <c r="F90" s="77" t="str">
        <f t="shared" ca="1" si="13"/>
        <v/>
      </c>
      <c r="G90" s="107" t="str">
        <f t="shared" ca="1" si="14"/>
        <v/>
      </c>
      <c r="H90" s="55" t="str">
        <f t="shared" ca="1" si="15"/>
        <v/>
      </c>
      <c r="J90" s="71"/>
      <c r="K90" s="71"/>
      <c r="M90" s="95" t="str">
        <f t="shared" si="8"/>
        <v/>
      </c>
      <c r="N90" s="95" t="str">
        <f t="shared" si="9"/>
        <v/>
      </c>
      <c r="Z90" s="37"/>
      <c r="AB90" s="37" t="str">
        <f t="shared" si="10"/>
        <v/>
      </c>
    </row>
    <row r="91" spans="1:28" x14ac:dyDescent="0.25">
      <c r="A91" s="98" t="str">
        <f t="shared" ca="1" si="11"/>
        <v/>
      </c>
      <c r="B91" s="33" t="str">
        <f ca="1">IF(COUNTIF($P$2:P1076,A91)=1,VLOOKUP(A91-TIME(15,0,0),X:Y,2), IF(COUNTIF($P$2:P1076,A91)=0,$B$10,""))</f>
        <v/>
      </c>
      <c r="C91" s="25" t="str">
        <f t="shared" ca="1" si="12"/>
        <v/>
      </c>
      <c r="D91" s="107"/>
      <c r="E91" s="33" t="str">
        <f ca="1">IF(COUNTIF($K$2:K1076,A91)=1,VLOOKUP(A91,K:L,2), IF(COUNTIF($K$2:K1076,A91)=0,$C$9,""))</f>
        <v/>
      </c>
      <c r="F91" s="77" t="str">
        <f t="shared" ca="1" si="13"/>
        <v/>
      </c>
      <c r="G91" s="107" t="str">
        <f t="shared" ca="1" si="14"/>
        <v/>
      </c>
      <c r="H91" s="55" t="str">
        <f t="shared" ca="1" si="15"/>
        <v/>
      </c>
      <c r="J91" s="71"/>
      <c r="K91" s="71"/>
      <c r="M91" s="95" t="str">
        <f t="shared" si="8"/>
        <v/>
      </c>
      <c r="N91" s="95" t="str">
        <f t="shared" si="9"/>
        <v/>
      </c>
      <c r="Z91" s="37"/>
      <c r="AB91" s="37" t="str">
        <f t="shared" si="10"/>
        <v/>
      </c>
    </row>
    <row r="92" spans="1:28" x14ac:dyDescent="0.25">
      <c r="A92" s="98" t="str">
        <f t="shared" ca="1" si="11"/>
        <v/>
      </c>
      <c r="B92" s="33" t="str">
        <f ca="1">IF(COUNTIF($P$2:P1077,A92)=1,VLOOKUP(A92-TIME(15,0,0),X:Y,2), IF(COUNTIF($P$2:P1077,A92)=0,$B$10,""))</f>
        <v/>
      </c>
      <c r="C92" s="25" t="str">
        <f t="shared" ca="1" si="12"/>
        <v/>
      </c>
      <c r="D92" s="107"/>
      <c r="E92" s="33" t="str">
        <f ca="1">IF(COUNTIF($K$2:K1077,A92)=1,VLOOKUP(A92,K:L,2), IF(COUNTIF($K$2:K1077,A92)=0,$C$9,""))</f>
        <v/>
      </c>
      <c r="F92" s="77" t="str">
        <f t="shared" ca="1" si="13"/>
        <v/>
      </c>
      <c r="G92" s="107" t="str">
        <f t="shared" ca="1" si="14"/>
        <v/>
      </c>
      <c r="H92" s="55" t="str">
        <f t="shared" ca="1" si="15"/>
        <v/>
      </c>
      <c r="J92" s="71"/>
      <c r="K92" s="71"/>
      <c r="M92" s="95" t="str">
        <f t="shared" si="8"/>
        <v/>
      </c>
      <c r="N92" s="95" t="str">
        <f t="shared" si="9"/>
        <v/>
      </c>
      <c r="Z92" s="37"/>
      <c r="AB92" s="37" t="str">
        <f t="shared" si="10"/>
        <v/>
      </c>
    </row>
    <row r="93" spans="1:28" x14ac:dyDescent="0.25">
      <c r="A93" s="98" t="str">
        <f t="shared" ca="1" si="11"/>
        <v/>
      </c>
      <c r="B93" s="33" t="str">
        <f ca="1">IF(COUNTIF($P$2:P1078,A93)=1,VLOOKUP(A93-TIME(15,0,0),X:Y,2), IF(COUNTIF($P$2:P1078,A93)=0,$B$10,""))</f>
        <v/>
      </c>
      <c r="C93" s="25" t="str">
        <f t="shared" ca="1" si="12"/>
        <v/>
      </c>
      <c r="D93" s="107"/>
      <c r="E93" s="33" t="str">
        <f ca="1">IF(COUNTIF($K$2:K1078,A93)=1,VLOOKUP(A93,K:L,2), IF(COUNTIF($K$2:K1078,A93)=0,$C$9,""))</f>
        <v/>
      </c>
      <c r="F93" s="77" t="str">
        <f t="shared" ca="1" si="13"/>
        <v/>
      </c>
      <c r="G93" s="107" t="str">
        <f t="shared" ca="1" si="14"/>
        <v/>
      </c>
      <c r="H93" s="55" t="str">
        <f t="shared" ca="1" si="15"/>
        <v/>
      </c>
      <c r="J93" s="71"/>
      <c r="K93" s="71"/>
      <c r="M93" s="95" t="str">
        <f t="shared" si="8"/>
        <v/>
      </c>
      <c r="N93" s="95" t="str">
        <f t="shared" si="9"/>
        <v/>
      </c>
      <c r="Z93" s="37"/>
      <c r="AB93" s="37" t="str">
        <f t="shared" si="10"/>
        <v/>
      </c>
    </row>
    <row r="94" spans="1:28" x14ac:dyDescent="0.25">
      <c r="A94" s="98" t="str">
        <f t="shared" ca="1" si="11"/>
        <v/>
      </c>
      <c r="B94" s="33" t="str">
        <f ca="1">IF(COUNTIF($P$2:P1079,A94)=1,VLOOKUP(A94-TIME(15,0,0),X:Y,2), IF(COUNTIF($P$2:P1079,A94)=0,$B$10,""))</f>
        <v/>
      </c>
      <c r="C94" s="25" t="str">
        <f t="shared" ca="1" si="12"/>
        <v/>
      </c>
      <c r="D94" s="107"/>
      <c r="E94" s="33" t="str">
        <f ca="1">IF(COUNTIF($K$2:K1079,A94)=1,VLOOKUP(A94,K:L,2), IF(COUNTIF($K$2:K1079,A94)=0,$C$9,""))</f>
        <v/>
      </c>
      <c r="F94" s="77" t="str">
        <f t="shared" ca="1" si="13"/>
        <v/>
      </c>
      <c r="G94" s="107" t="str">
        <f t="shared" ca="1" si="14"/>
        <v/>
      </c>
      <c r="H94" s="55" t="str">
        <f t="shared" ca="1" si="15"/>
        <v/>
      </c>
      <c r="J94" s="71"/>
      <c r="K94" s="71"/>
      <c r="M94" s="95" t="str">
        <f t="shared" si="8"/>
        <v/>
      </c>
      <c r="N94" s="95" t="str">
        <f t="shared" si="9"/>
        <v/>
      </c>
      <c r="Z94" s="37"/>
      <c r="AB94" s="37" t="str">
        <f t="shared" si="10"/>
        <v/>
      </c>
    </row>
    <row r="95" spans="1:28" x14ac:dyDescent="0.25">
      <c r="A95" s="98" t="str">
        <f t="shared" ca="1" si="11"/>
        <v/>
      </c>
      <c r="B95" s="33" t="str">
        <f ca="1">IF(COUNTIF($P$2:P1080,A95)=1,VLOOKUP(A95-TIME(15,0,0),X:Y,2), IF(COUNTIF($P$2:P1080,A95)=0,$B$10,""))</f>
        <v/>
      </c>
      <c r="C95" s="25" t="str">
        <f t="shared" ca="1" si="12"/>
        <v/>
      </c>
      <c r="D95" s="107"/>
      <c r="E95" s="33" t="str">
        <f ca="1">IF(COUNTIF($K$2:K1080,A95)=1,VLOOKUP(A95,K:L,2), IF(COUNTIF($K$2:K1080,A95)=0,$C$9,""))</f>
        <v/>
      </c>
      <c r="F95" s="77" t="str">
        <f t="shared" ca="1" si="13"/>
        <v/>
      </c>
      <c r="G95" s="107" t="str">
        <f t="shared" ca="1" si="14"/>
        <v/>
      </c>
      <c r="H95" s="55" t="str">
        <f t="shared" ca="1" si="15"/>
        <v/>
      </c>
      <c r="J95" s="71"/>
      <c r="K95" s="71"/>
      <c r="M95" s="95" t="str">
        <f t="shared" si="8"/>
        <v/>
      </c>
      <c r="N95" s="95" t="str">
        <f t="shared" si="9"/>
        <v/>
      </c>
      <c r="Z95" s="37"/>
      <c r="AB95" s="37" t="str">
        <f t="shared" si="10"/>
        <v/>
      </c>
    </row>
    <row r="96" spans="1:28" x14ac:dyDescent="0.25">
      <c r="A96" s="98" t="str">
        <f t="shared" ca="1" si="11"/>
        <v/>
      </c>
      <c r="B96" s="33" t="str">
        <f ca="1">IF(COUNTIF($P$2:P1081,A96)=1,VLOOKUP(A96-TIME(15,0,0),X:Y,2), IF(COUNTIF($P$2:P1081,A96)=0,$B$10,""))</f>
        <v/>
      </c>
      <c r="C96" s="25" t="str">
        <f t="shared" ca="1" si="12"/>
        <v/>
      </c>
      <c r="D96" s="107"/>
      <c r="E96" s="33" t="str">
        <f ca="1">IF(COUNTIF($K$2:K1081,A96)=1,VLOOKUP(A96,K:L,2), IF(COUNTIF($K$2:K1081,A96)=0,$C$9,""))</f>
        <v/>
      </c>
      <c r="F96" s="77" t="str">
        <f t="shared" ca="1" si="13"/>
        <v/>
      </c>
      <c r="G96" s="107" t="str">
        <f t="shared" ca="1" si="14"/>
        <v/>
      </c>
      <c r="H96" s="55" t="str">
        <f t="shared" ca="1" si="15"/>
        <v/>
      </c>
      <c r="J96" s="71"/>
      <c r="K96" s="71"/>
      <c r="M96" s="95" t="str">
        <f t="shared" si="8"/>
        <v/>
      </c>
      <c r="N96" s="95" t="str">
        <f t="shared" si="9"/>
        <v/>
      </c>
      <c r="Z96" s="37"/>
      <c r="AB96" s="37" t="str">
        <f t="shared" si="10"/>
        <v/>
      </c>
    </row>
    <row r="97" spans="1:28" x14ac:dyDescent="0.25">
      <c r="A97" s="98" t="str">
        <f t="shared" ca="1" si="11"/>
        <v/>
      </c>
      <c r="B97" s="33" t="str">
        <f ca="1">IF(COUNTIF($P$2:P1082,A97)=1,VLOOKUP(A97-TIME(15,0,0),X:Y,2), IF(COUNTIF($P$2:P1082,A97)=0,$B$10,""))</f>
        <v/>
      </c>
      <c r="C97" s="25" t="str">
        <f t="shared" ca="1" si="12"/>
        <v/>
      </c>
      <c r="D97" s="107"/>
      <c r="E97" s="33" t="str">
        <f ca="1">IF(COUNTIF($K$2:K1082,A97)=1,VLOOKUP(A97,K:L,2), IF(COUNTIF($K$2:K1082,A97)=0,$C$9,""))</f>
        <v/>
      </c>
      <c r="F97" s="77" t="str">
        <f t="shared" ca="1" si="13"/>
        <v/>
      </c>
      <c r="G97" s="107" t="str">
        <f t="shared" ca="1" si="14"/>
        <v/>
      </c>
      <c r="H97" s="55" t="str">
        <f t="shared" ca="1" si="15"/>
        <v/>
      </c>
      <c r="J97" s="71"/>
      <c r="K97" s="71"/>
      <c r="M97" s="95" t="str">
        <f t="shared" si="8"/>
        <v/>
      </c>
      <c r="N97" s="95" t="str">
        <f t="shared" si="9"/>
        <v/>
      </c>
      <c r="Z97" s="37"/>
      <c r="AB97" s="37" t="str">
        <f t="shared" si="10"/>
        <v/>
      </c>
    </row>
    <row r="98" spans="1:28" x14ac:dyDescent="0.25">
      <c r="A98" s="98" t="str">
        <f t="shared" ca="1" si="11"/>
        <v/>
      </c>
      <c r="B98" s="33" t="str">
        <f ca="1">IF(COUNTIF($P$2:P1083,A98)=1,VLOOKUP(A98-TIME(15,0,0),X:Y,2), IF(COUNTIF($P$2:P1083,A98)=0,$B$10,""))</f>
        <v/>
      </c>
      <c r="C98" s="25" t="str">
        <f t="shared" ca="1" si="12"/>
        <v/>
      </c>
      <c r="D98" s="107"/>
      <c r="E98" s="33" t="str">
        <f ca="1">IF(COUNTIF($K$2:K1083,A98)=1,VLOOKUP(A98,K:L,2), IF(COUNTIF($K$2:K1083,A98)=0,$C$9,""))</f>
        <v/>
      </c>
      <c r="F98" s="77" t="str">
        <f t="shared" ca="1" si="13"/>
        <v/>
      </c>
      <c r="G98" s="107" t="str">
        <f t="shared" ca="1" si="14"/>
        <v/>
      </c>
      <c r="H98" s="55" t="str">
        <f t="shared" ca="1" si="15"/>
        <v/>
      </c>
      <c r="J98" s="71"/>
      <c r="K98" s="71"/>
      <c r="M98" s="95" t="str">
        <f t="shared" si="8"/>
        <v/>
      </c>
      <c r="N98" s="95" t="str">
        <f t="shared" si="9"/>
        <v/>
      </c>
      <c r="Z98" s="37"/>
      <c r="AB98" s="37" t="str">
        <f t="shared" si="10"/>
        <v/>
      </c>
    </row>
    <row r="99" spans="1:28" x14ac:dyDescent="0.25">
      <c r="A99" s="98" t="str">
        <f t="shared" ca="1" si="11"/>
        <v/>
      </c>
      <c r="B99" s="33" t="str">
        <f ca="1">IF(COUNTIF($P$2:P1084,A99)=1,VLOOKUP(A99-TIME(15,0,0),X:Y,2), IF(COUNTIF($P$2:P1084,A99)=0,$B$10,""))</f>
        <v/>
      </c>
      <c r="C99" s="25" t="str">
        <f t="shared" ca="1" si="12"/>
        <v/>
      </c>
      <c r="D99" s="107"/>
      <c r="E99" s="33" t="str">
        <f ca="1">IF(COUNTIF($K$2:K1084,A99)=1,VLOOKUP(A99,K:L,2), IF(COUNTIF($K$2:K1084,A99)=0,$C$9,""))</f>
        <v/>
      </c>
      <c r="F99" s="77" t="str">
        <f t="shared" ca="1" si="13"/>
        <v/>
      </c>
      <c r="G99" s="107" t="str">
        <f t="shared" ca="1" si="14"/>
        <v/>
      </c>
      <c r="H99" s="55" t="str">
        <f t="shared" ca="1" si="15"/>
        <v/>
      </c>
      <c r="J99" s="71"/>
      <c r="K99" s="71"/>
      <c r="M99" s="95" t="str">
        <f t="shared" si="8"/>
        <v/>
      </c>
      <c r="N99" s="95" t="str">
        <f t="shared" si="9"/>
        <v/>
      </c>
      <c r="Z99" s="37"/>
      <c r="AB99" s="37" t="str">
        <f t="shared" si="10"/>
        <v/>
      </c>
    </row>
    <row r="100" spans="1:28" x14ac:dyDescent="0.25">
      <c r="A100" s="98" t="str">
        <f t="shared" ca="1" si="11"/>
        <v/>
      </c>
      <c r="B100" s="33" t="str">
        <f ca="1">IF(COUNTIF($P$2:P1085,A100)=1,VLOOKUP(A100-TIME(15,0,0),X:Y,2), IF(COUNTIF($P$2:P1085,A100)=0,$B$10,""))</f>
        <v/>
      </c>
      <c r="C100" s="25" t="str">
        <f t="shared" ca="1" si="12"/>
        <v/>
      </c>
      <c r="D100" s="107"/>
      <c r="E100" s="33" t="str">
        <f ca="1">IF(COUNTIF($K$2:K1085,A100)=1,VLOOKUP(A100,K:L,2), IF(COUNTIF($K$2:K1085,A100)=0,$C$9,""))</f>
        <v/>
      </c>
      <c r="F100" s="77" t="str">
        <f t="shared" ca="1" si="13"/>
        <v/>
      </c>
      <c r="G100" s="107" t="str">
        <f t="shared" ca="1" si="14"/>
        <v/>
      </c>
      <c r="H100" s="55" t="str">
        <f t="shared" ca="1" si="15"/>
        <v/>
      </c>
      <c r="J100" s="71"/>
      <c r="K100" s="71"/>
      <c r="M100" s="95" t="str">
        <f t="shared" si="8"/>
        <v/>
      </c>
      <c r="N100" s="95" t="str">
        <f t="shared" si="9"/>
        <v/>
      </c>
      <c r="Z100" s="37"/>
      <c r="AB100" s="37" t="str">
        <f t="shared" si="10"/>
        <v/>
      </c>
    </row>
    <row r="101" spans="1:28" x14ac:dyDescent="0.25">
      <c r="A101" s="98" t="str">
        <f t="shared" ca="1" si="11"/>
        <v/>
      </c>
      <c r="B101" s="33" t="str">
        <f ca="1">IF(COUNTIF($P$2:P1086,A101)=1,VLOOKUP(A101-TIME(15,0,0),X:Y,2), IF(COUNTIF($P$2:P1086,A101)=0,$B$10,""))</f>
        <v/>
      </c>
      <c r="C101" s="25" t="str">
        <f t="shared" ca="1" si="12"/>
        <v/>
      </c>
      <c r="D101" s="107"/>
      <c r="E101" s="33" t="str">
        <f ca="1">IF(COUNTIF($K$2:K1086,A101)=1,VLOOKUP(A101,K:L,2), IF(COUNTIF($K$2:K1086,A101)=0,$C$9,""))</f>
        <v/>
      </c>
      <c r="F101" s="77" t="str">
        <f t="shared" ca="1" si="13"/>
        <v/>
      </c>
      <c r="G101" s="107" t="str">
        <f t="shared" ca="1" si="14"/>
        <v/>
      </c>
      <c r="H101" s="55" t="str">
        <f t="shared" ca="1" si="15"/>
        <v/>
      </c>
      <c r="J101" s="71"/>
      <c r="K101" s="71"/>
      <c r="M101" s="95" t="str">
        <f t="shared" si="8"/>
        <v/>
      </c>
      <c r="N101" s="95" t="str">
        <f t="shared" si="9"/>
        <v/>
      </c>
      <c r="Z101" s="37"/>
      <c r="AB101" s="37" t="str">
        <f t="shared" si="10"/>
        <v/>
      </c>
    </row>
    <row r="102" spans="1:28" x14ac:dyDescent="0.25">
      <c r="A102" s="98" t="str">
        <f t="shared" ca="1" si="11"/>
        <v/>
      </c>
      <c r="B102" s="33" t="str">
        <f ca="1">IF(COUNTIF($P$2:P1087,A102)=1,VLOOKUP(A102-TIME(15,0,0),X:Y,2), IF(COUNTIF($P$2:P1087,A102)=0,$B$10,""))</f>
        <v/>
      </c>
      <c r="C102" s="25" t="str">
        <f t="shared" ca="1" si="12"/>
        <v/>
      </c>
      <c r="D102" s="107"/>
      <c r="E102" s="33" t="str">
        <f ca="1">IF(COUNTIF($K$2:K1087,A102)=1,VLOOKUP(A102,K:L,2), IF(COUNTIF($K$2:K1087,A102)=0,$C$9,""))</f>
        <v/>
      </c>
      <c r="F102" s="77" t="str">
        <f t="shared" ca="1" si="13"/>
        <v/>
      </c>
      <c r="G102" s="107" t="str">
        <f t="shared" ca="1" si="14"/>
        <v/>
      </c>
      <c r="H102" s="55" t="str">
        <f t="shared" ca="1" si="15"/>
        <v/>
      </c>
      <c r="J102" s="71"/>
      <c r="K102" s="71"/>
      <c r="M102" s="95" t="str">
        <f t="shared" si="8"/>
        <v/>
      </c>
      <c r="N102" s="95" t="str">
        <f t="shared" si="9"/>
        <v/>
      </c>
      <c r="Z102" s="37"/>
      <c r="AB102" s="37" t="str">
        <f t="shared" si="10"/>
        <v/>
      </c>
    </row>
    <row r="103" spans="1:28" x14ac:dyDescent="0.25">
      <c r="A103" s="98" t="str">
        <f t="shared" ca="1" si="11"/>
        <v/>
      </c>
      <c r="B103" s="33" t="str">
        <f ca="1">IF(COUNTIF($P$2:P1088,A103)=1,VLOOKUP(A103-TIME(15,0,0),X:Y,2), IF(COUNTIF($P$2:P1088,A103)=0,$B$10,""))</f>
        <v/>
      </c>
      <c r="C103" s="25" t="str">
        <f t="shared" ca="1" si="12"/>
        <v/>
      </c>
      <c r="D103" s="107"/>
      <c r="E103" s="33" t="str">
        <f ca="1">IF(COUNTIF($K$2:K1088,A103)=1,VLOOKUP(A103,K:L,2), IF(COUNTIF($K$2:K1088,A103)=0,$C$9,""))</f>
        <v/>
      </c>
      <c r="F103" s="77" t="str">
        <f t="shared" ca="1" si="13"/>
        <v/>
      </c>
      <c r="G103" s="107" t="str">
        <f t="shared" ca="1" si="14"/>
        <v/>
      </c>
      <c r="H103" s="55" t="str">
        <f t="shared" ca="1" si="15"/>
        <v/>
      </c>
      <c r="J103" s="71"/>
      <c r="K103" s="71"/>
      <c r="M103" s="95" t="str">
        <f t="shared" si="8"/>
        <v/>
      </c>
      <c r="N103" s="95" t="str">
        <f t="shared" si="9"/>
        <v/>
      </c>
      <c r="Z103" s="37"/>
      <c r="AB103" s="37" t="str">
        <f t="shared" si="10"/>
        <v/>
      </c>
    </row>
    <row r="104" spans="1:28" x14ac:dyDescent="0.25">
      <c r="A104" s="98" t="str">
        <f t="shared" ca="1" si="11"/>
        <v/>
      </c>
      <c r="B104" s="33" t="str">
        <f ca="1">IF(COUNTIF($P$2:P1089,A104)=1,VLOOKUP(A104-TIME(15,0,0),X:Y,2), IF(COUNTIF($P$2:P1089,A104)=0,$B$10,""))</f>
        <v/>
      </c>
      <c r="C104" s="25" t="str">
        <f t="shared" ca="1" si="12"/>
        <v/>
      </c>
      <c r="D104" s="107"/>
      <c r="E104" s="33" t="str">
        <f ca="1">IF(COUNTIF($K$2:K1089,A104)=1,VLOOKUP(A104,K:L,2), IF(COUNTIF($K$2:K1089,A104)=0,$C$9,""))</f>
        <v/>
      </c>
      <c r="F104" s="77" t="str">
        <f t="shared" ca="1" si="13"/>
        <v/>
      </c>
      <c r="G104" s="107" t="str">
        <f t="shared" ca="1" si="14"/>
        <v/>
      </c>
      <c r="H104" s="55" t="str">
        <f t="shared" ca="1" si="15"/>
        <v/>
      </c>
      <c r="J104" s="71"/>
      <c r="K104" s="71"/>
      <c r="M104" s="95" t="str">
        <f t="shared" si="8"/>
        <v/>
      </c>
      <c r="N104" s="95" t="str">
        <f t="shared" si="9"/>
        <v/>
      </c>
      <c r="Z104" s="37"/>
      <c r="AB104" s="37" t="str">
        <f t="shared" si="10"/>
        <v/>
      </c>
    </row>
    <row r="105" spans="1:28" x14ac:dyDescent="0.25">
      <c r="A105" s="98" t="str">
        <f t="shared" ca="1" si="11"/>
        <v/>
      </c>
      <c r="B105" s="33" t="str">
        <f ca="1">IF(COUNTIF($P$2:P1090,A105)=1,VLOOKUP(A105-TIME(15,0,0),X:Y,2), IF(COUNTIF($P$2:P1090,A105)=0,$B$10,""))</f>
        <v/>
      </c>
      <c r="C105" s="25" t="str">
        <f t="shared" ca="1" si="12"/>
        <v/>
      </c>
      <c r="D105" s="107"/>
      <c r="E105" s="33" t="str">
        <f ca="1">IF(COUNTIF($K$2:K1090,A105)=1,VLOOKUP(A105,K:L,2), IF(COUNTIF($K$2:K1090,A105)=0,$C$9,""))</f>
        <v/>
      </c>
      <c r="F105" s="77" t="str">
        <f t="shared" ca="1" si="13"/>
        <v/>
      </c>
      <c r="G105" s="107" t="str">
        <f t="shared" ca="1" si="14"/>
        <v/>
      </c>
      <c r="H105" s="55" t="str">
        <f t="shared" ca="1" si="15"/>
        <v/>
      </c>
      <c r="J105" s="71"/>
      <c r="K105" s="71"/>
      <c r="M105" s="95" t="str">
        <f t="shared" si="8"/>
        <v/>
      </c>
      <c r="N105" s="95" t="str">
        <f t="shared" si="9"/>
        <v/>
      </c>
      <c r="Z105" s="37"/>
      <c r="AB105" s="37" t="str">
        <f t="shared" si="10"/>
        <v/>
      </c>
    </row>
    <row r="106" spans="1:28" x14ac:dyDescent="0.25">
      <c r="A106" s="98" t="str">
        <f t="shared" ca="1" si="11"/>
        <v/>
      </c>
      <c r="B106" s="33" t="str">
        <f ca="1">IF(COUNTIF($P$2:P1091,A106)=1,VLOOKUP(A106-TIME(15,0,0),X:Y,2), IF(COUNTIF($P$2:P1091,A106)=0,$B$10,""))</f>
        <v/>
      </c>
      <c r="C106" s="25" t="str">
        <f t="shared" ca="1" si="12"/>
        <v/>
      </c>
      <c r="D106" s="107"/>
      <c r="E106" s="33" t="str">
        <f ca="1">IF(COUNTIF($K$2:K1091,A106)=1,VLOOKUP(A106,K:L,2), IF(COUNTIF($K$2:K1091,A106)=0,$C$9,""))</f>
        <v/>
      </c>
      <c r="F106" s="77" t="str">
        <f t="shared" ca="1" si="13"/>
        <v/>
      </c>
      <c r="G106" s="107" t="str">
        <f t="shared" ca="1" si="14"/>
        <v/>
      </c>
      <c r="H106" s="55" t="str">
        <f t="shared" ca="1" si="15"/>
        <v/>
      </c>
      <c r="J106" s="71"/>
      <c r="K106" s="71"/>
      <c r="M106" s="95" t="str">
        <f t="shared" si="8"/>
        <v/>
      </c>
      <c r="N106" s="95" t="str">
        <f t="shared" si="9"/>
        <v/>
      </c>
      <c r="Z106" s="37"/>
      <c r="AB106" s="37" t="str">
        <f t="shared" si="10"/>
        <v/>
      </c>
    </row>
    <row r="107" spans="1:28" x14ac:dyDescent="0.25">
      <c r="A107" s="98" t="str">
        <f t="shared" ca="1" si="11"/>
        <v/>
      </c>
      <c r="B107" s="33" t="str">
        <f ca="1">IF(COUNTIF($P$2:P1092,A107)=1,VLOOKUP(A107-TIME(15,0,0),X:Y,2), IF(COUNTIF($P$2:P1092,A107)=0,$B$10,""))</f>
        <v/>
      </c>
      <c r="C107" s="25" t="str">
        <f t="shared" ca="1" si="12"/>
        <v/>
      </c>
      <c r="D107" s="107"/>
      <c r="E107" s="33" t="str">
        <f ca="1">IF(COUNTIF($K$2:K1092,A107)=1,VLOOKUP(A107,K:L,2), IF(COUNTIF($K$2:K1092,A107)=0,$C$9,""))</f>
        <v/>
      </c>
      <c r="F107" s="77" t="str">
        <f t="shared" ca="1" si="13"/>
        <v/>
      </c>
      <c r="G107" s="107" t="str">
        <f t="shared" ca="1" si="14"/>
        <v/>
      </c>
      <c r="H107" s="55" t="str">
        <f t="shared" ca="1" si="15"/>
        <v/>
      </c>
      <c r="J107" s="71"/>
      <c r="K107" s="71"/>
      <c r="M107" s="95" t="str">
        <f t="shared" si="8"/>
        <v/>
      </c>
      <c r="N107" s="95" t="str">
        <f t="shared" si="9"/>
        <v/>
      </c>
      <c r="Z107" s="37"/>
      <c r="AB107" s="37" t="str">
        <f t="shared" si="10"/>
        <v/>
      </c>
    </row>
    <row r="108" spans="1:28" x14ac:dyDescent="0.25">
      <c r="A108" s="98" t="str">
        <f t="shared" ca="1" si="11"/>
        <v/>
      </c>
      <c r="B108" s="33" t="str">
        <f ca="1">IF(COUNTIF($P$2:P1093,A108)=1,VLOOKUP(A108-TIME(15,0,0),X:Y,2), IF(COUNTIF($P$2:P1093,A108)=0,$B$10,""))</f>
        <v/>
      </c>
      <c r="C108" s="25" t="str">
        <f t="shared" ca="1" si="12"/>
        <v/>
      </c>
      <c r="D108" s="107"/>
      <c r="E108" s="33" t="str">
        <f ca="1">IF(COUNTIF($K$2:K1093,A108)=1,VLOOKUP(A108,K:L,2), IF(COUNTIF($K$2:K1093,A108)=0,$C$9,""))</f>
        <v/>
      </c>
      <c r="F108" s="77" t="str">
        <f t="shared" ca="1" si="13"/>
        <v/>
      </c>
      <c r="G108" s="107" t="str">
        <f t="shared" ca="1" si="14"/>
        <v/>
      </c>
      <c r="H108" s="55" t="str">
        <f t="shared" ca="1" si="15"/>
        <v/>
      </c>
      <c r="J108" s="71"/>
      <c r="K108" s="71"/>
      <c r="M108" s="95" t="str">
        <f t="shared" si="8"/>
        <v/>
      </c>
      <c r="N108" s="95" t="str">
        <f t="shared" si="9"/>
        <v/>
      </c>
      <c r="Z108" s="37"/>
      <c r="AB108" s="37" t="str">
        <f t="shared" si="10"/>
        <v/>
      </c>
    </row>
    <row r="109" spans="1:28" x14ac:dyDescent="0.25">
      <c r="A109" s="98" t="str">
        <f t="shared" ca="1" si="11"/>
        <v/>
      </c>
      <c r="B109" s="33" t="str">
        <f ca="1">IF(COUNTIF($P$2:P1094,A109)=1,VLOOKUP(A109-TIME(15,0,0),X:Y,2), IF(COUNTIF($P$2:P1094,A109)=0,$B$10,""))</f>
        <v/>
      </c>
      <c r="C109" s="25" t="str">
        <f t="shared" ca="1" si="12"/>
        <v/>
      </c>
      <c r="D109" s="107"/>
      <c r="E109" s="33" t="str">
        <f ca="1">IF(COUNTIF($K$2:K1094,A109)=1,VLOOKUP(A109,K:L,2), IF(COUNTIF($K$2:K1094,A109)=0,$C$9,""))</f>
        <v/>
      </c>
      <c r="F109" s="77" t="str">
        <f t="shared" ca="1" si="13"/>
        <v/>
      </c>
      <c r="G109" s="107" t="str">
        <f t="shared" ca="1" si="14"/>
        <v/>
      </c>
      <c r="H109" s="55" t="str">
        <f t="shared" ca="1" si="15"/>
        <v/>
      </c>
      <c r="J109" s="71"/>
      <c r="K109" s="71"/>
      <c r="M109" s="95" t="str">
        <f t="shared" si="8"/>
        <v/>
      </c>
      <c r="N109" s="95" t="str">
        <f t="shared" si="9"/>
        <v/>
      </c>
      <c r="Z109" s="37"/>
      <c r="AB109" s="37" t="str">
        <f t="shared" si="10"/>
        <v/>
      </c>
    </row>
    <row r="110" spans="1:28" x14ac:dyDescent="0.25">
      <c r="A110" s="98" t="str">
        <f t="shared" ca="1" si="11"/>
        <v/>
      </c>
      <c r="B110" s="33" t="str">
        <f ca="1">IF(COUNTIF($P$2:P1095,A110)=1,VLOOKUP(A110-TIME(15,0,0),X:Y,2), IF(COUNTIF($P$2:P1095,A110)=0,$B$10,""))</f>
        <v/>
      </c>
      <c r="C110" s="25" t="str">
        <f t="shared" ca="1" si="12"/>
        <v/>
      </c>
      <c r="D110" s="107"/>
      <c r="E110" s="33" t="str">
        <f ca="1">IF(COUNTIF($K$2:K1095,A110)=1,VLOOKUP(A110,K:L,2), IF(COUNTIF($K$2:K1095,A110)=0,$C$9,""))</f>
        <v/>
      </c>
      <c r="F110" s="77" t="str">
        <f t="shared" ca="1" si="13"/>
        <v/>
      </c>
      <c r="G110" s="107" t="str">
        <f t="shared" ca="1" si="14"/>
        <v/>
      </c>
      <c r="H110" s="55" t="str">
        <f t="shared" ca="1" si="15"/>
        <v/>
      </c>
      <c r="J110" s="71"/>
      <c r="K110" s="71"/>
      <c r="M110" s="95" t="str">
        <f t="shared" si="8"/>
        <v/>
      </c>
      <c r="N110" s="95" t="str">
        <f t="shared" si="9"/>
        <v/>
      </c>
      <c r="Z110" s="37"/>
      <c r="AB110" s="37" t="str">
        <f t="shared" si="10"/>
        <v/>
      </c>
    </row>
    <row r="111" spans="1:28" x14ac:dyDescent="0.25">
      <c r="A111" s="98" t="str">
        <f t="shared" ca="1" si="11"/>
        <v/>
      </c>
      <c r="B111" s="33" t="str">
        <f ca="1">IF(COUNTIF($P$2:P1096,A111)=1,VLOOKUP(A111-TIME(15,0,0),X:Y,2), IF(COUNTIF($P$2:P1096,A111)=0,$B$10,""))</f>
        <v/>
      </c>
      <c r="C111" s="25" t="str">
        <f t="shared" ca="1" si="12"/>
        <v/>
      </c>
      <c r="D111" s="107"/>
      <c r="E111" s="33" t="str">
        <f ca="1">IF(COUNTIF($K$2:K1096,A111)=1,VLOOKUP(A111,K:L,2), IF(COUNTIF($K$2:K1096,A111)=0,$C$9,""))</f>
        <v/>
      </c>
      <c r="F111" s="77" t="str">
        <f t="shared" ca="1" si="13"/>
        <v/>
      </c>
      <c r="G111" s="107" t="str">
        <f t="shared" ca="1" si="14"/>
        <v/>
      </c>
      <c r="H111" s="55" t="str">
        <f t="shared" ca="1" si="15"/>
        <v/>
      </c>
      <c r="J111" s="71"/>
      <c r="K111" s="71"/>
      <c r="M111" s="95" t="str">
        <f t="shared" si="8"/>
        <v/>
      </c>
      <c r="N111" s="95" t="str">
        <f t="shared" si="9"/>
        <v/>
      </c>
      <c r="Z111" s="37"/>
      <c r="AB111" s="37" t="str">
        <f t="shared" si="10"/>
        <v/>
      </c>
    </row>
    <row r="112" spans="1:28" x14ac:dyDescent="0.25">
      <c r="A112" s="98" t="str">
        <f t="shared" ca="1" si="11"/>
        <v/>
      </c>
      <c r="B112" s="33" t="str">
        <f ca="1">IF(COUNTIF($P$2:P1097,A112)=1,VLOOKUP(A112-TIME(15,0,0),X:Y,2), IF(COUNTIF($P$2:P1097,A112)=0,$B$10,""))</f>
        <v/>
      </c>
      <c r="C112" s="25" t="str">
        <f t="shared" ca="1" si="12"/>
        <v/>
      </c>
      <c r="D112" s="107"/>
      <c r="E112" s="33" t="str">
        <f ca="1">IF(COUNTIF($K$2:K1097,A112)=1,VLOOKUP(A112,K:L,2), IF(COUNTIF($K$2:K1097,A112)=0,$C$9,""))</f>
        <v/>
      </c>
      <c r="F112" s="77" t="str">
        <f t="shared" ca="1" si="13"/>
        <v/>
      </c>
      <c r="G112" s="107" t="str">
        <f t="shared" ca="1" si="14"/>
        <v/>
      </c>
      <c r="H112" s="55" t="str">
        <f t="shared" ca="1" si="15"/>
        <v/>
      </c>
      <c r="J112" s="71"/>
      <c r="K112" s="71"/>
      <c r="M112" s="95" t="str">
        <f t="shared" si="8"/>
        <v/>
      </c>
      <c r="N112" s="95" t="str">
        <f t="shared" si="9"/>
        <v/>
      </c>
      <c r="Z112" s="37"/>
      <c r="AB112" s="37" t="str">
        <f t="shared" si="10"/>
        <v/>
      </c>
    </row>
    <row r="113" spans="1:28" x14ac:dyDescent="0.25">
      <c r="A113" s="98" t="str">
        <f t="shared" ca="1" si="11"/>
        <v/>
      </c>
      <c r="B113" s="33" t="str">
        <f ca="1">IF(COUNTIF($P$2:P1098,A113)=1,VLOOKUP(A113-TIME(15,0,0),X:Y,2), IF(COUNTIF($P$2:P1098,A113)=0,$B$10,""))</f>
        <v/>
      </c>
      <c r="C113" s="25" t="str">
        <f t="shared" ca="1" si="12"/>
        <v/>
      </c>
      <c r="D113" s="107"/>
      <c r="E113" s="33" t="str">
        <f ca="1">IF(COUNTIF($K$2:K1098,A113)=1,VLOOKUP(A113,K:L,2), IF(COUNTIF($K$2:K1098,A113)=0,$C$9,""))</f>
        <v/>
      </c>
      <c r="F113" s="77" t="str">
        <f t="shared" ca="1" si="13"/>
        <v/>
      </c>
      <c r="G113" s="107" t="str">
        <f t="shared" ca="1" si="14"/>
        <v/>
      </c>
      <c r="H113" s="55" t="str">
        <f t="shared" ca="1" si="15"/>
        <v/>
      </c>
      <c r="J113" s="71"/>
      <c r="K113" s="71"/>
      <c r="M113" s="95" t="str">
        <f t="shared" si="8"/>
        <v/>
      </c>
      <c r="N113" s="95" t="str">
        <f t="shared" si="9"/>
        <v/>
      </c>
      <c r="Z113" s="37"/>
      <c r="AB113" s="37" t="str">
        <f t="shared" si="10"/>
        <v/>
      </c>
    </row>
    <row r="114" spans="1:28" x14ac:dyDescent="0.25">
      <c r="A114" s="98" t="str">
        <f t="shared" ca="1" si="11"/>
        <v/>
      </c>
      <c r="B114" s="33" t="str">
        <f ca="1">IF(COUNTIF($P$2:P1099,A114)=1,VLOOKUP(A114-TIME(15,0,0),X:Y,2), IF(COUNTIF($P$2:P1099,A114)=0,$B$10,""))</f>
        <v/>
      </c>
      <c r="C114" s="25" t="str">
        <f t="shared" ca="1" si="12"/>
        <v/>
      </c>
      <c r="D114" s="107"/>
      <c r="E114" s="33" t="str">
        <f ca="1">IF(COUNTIF($K$2:K1099,A114)=1,VLOOKUP(A114,K:L,2), IF(COUNTIF($K$2:K1099,A114)=0,$C$9,""))</f>
        <v/>
      </c>
      <c r="F114" s="77" t="str">
        <f t="shared" ca="1" si="13"/>
        <v/>
      </c>
      <c r="G114" s="107" t="str">
        <f t="shared" ca="1" si="14"/>
        <v/>
      </c>
      <c r="H114" s="55" t="str">
        <f t="shared" ca="1" si="15"/>
        <v/>
      </c>
      <c r="J114" s="71"/>
      <c r="K114" s="71"/>
      <c r="M114" s="95" t="str">
        <f t="shared" si="8"/>
        <v/>
      </c>
      <c r="N114" s="95" t="str">
        <f t="shared" si="9"/>
        <v/>
      </c>
      <c r="Z114" s="37"/>
      <c r="AB114" s="37" t="str">
        <f t="shared" si="10"/>
        <v/>
      </c>
    </row>
    <row r="115" spans="1:28" x14ac:dyDescent="0.25">
      <c r="A115" s="98" t="str">
        <f t="shared" ca="1" si="11"/>
        <v/>
      </c>
      <c r="B115" s="33" t="str">
        <f ca="1">IF(COUNTIF($P$2:P1100,A115)=1,VLOOKUP(A115-TIME(15,0,0),X:Y,2), IF(COUNTIF($P$2:P1100,A115)=0,$B$10,""))</f>
        <v/>
      </c>
      <c r="C115" s="25" t="str">
        <f t="shared" ca="1" si="12"/>
        <v/>
      </c>
      <c r="D115" s="107"/>
      <c r="E115" s="33" t="str">
        <f ca="1">IF(COUNTIF($K$2:K1100,A115)=1,VLOOKUP(A115,K:L,2), IF(COUNTIF($K$2:K1100,A115)=0,$C$9,""))</f>
        <v/>
      </c>
      <c r="F115" s="77" t="str">
        <f t="shared" ca="1" si="13"/>
        <v/>
      </c>
      <c r="G115" s="107" t="str">
        <f t="shared" ca="1" si="14"/>
        <v/>
      </c>
      <c r="H115" s="55" t="str">
        <f t="shared" ca="1" si="15"/>
        <v/>
      </c>
      <c r="J115" s="71"/>
      <c r="K115" s="71"/>
      <c r="M115" s="95" t="str">
        <f t="shared" si="8"/>
        <v/>
      </c>
      <c r="N115" s="95" t="str">
        <f t="shared" si="9"/>
        <v/>
      </c>
      <c r="Z115" s="37"/>
      <c r="AB115" s="37" t="str">
        <f t="shared" si="10"/>
        <v/>
      </c>
    </row>
    <row r="116" spans="1:28" x14ac:dyDescent="0.25">
      <c r="A116" s="98" t="str">
        <f t="shared" ca="1" si="11"/>
        <v/>
      </c>
      <c r="B116" s="33" t="str">
        <f ca="1">IF(COUNTIF($P$2:P1101,A116)=1,VLOOKUP(A116-TIME(15,0,0),X:Y,2), IF(COUNTIF($P$2:P1101,A116)=0,$B$10,""))</f>
        <v/>
      </c>
      <c r="C116" s="25" t="str">
        <f t="shared" ca="1" si="12"/>
        <v/>
      </c>
      <c r="D116" s="107"/>
      <c r="E116" s="33" t="str">
        <f ca="1">IF(COUNTIF($K$2:K1101,A116)=1,VLOOKUP(A116,K:L,2), IF(COUNTIF($K$2:K1101,A116)=0,$C$9,""))</f>
        <v/>
      </c>
      <c r="F116" s="77" t="str">
        <f t="shared" ca="1" si="13"/>
        <v/>
      </c>
      <c r="G116" s="107" t="str">
        <f t="shared" ca="1" si="14"/>
        <v/>
      </c>
      <c r="H116" s="55" t="str">
        <f t="shared" ca="1" si="15"/>
        <v/>
      </c>
      <c r="J116" s="71"/>
      <c r="K116" s="71"/>
      <c r="M116" s="95" t="str">
        <f t="shared" si="8"/>
        <v/>
      </c>
      <c r="N116" s="95" t="str">
        <f t="shared" si="9"/>
        <v/>
      </c>
      <c r="Z116" s="37"/>
      <c r="AB116" s="37" t="str">
        <f t="shared" si="10"/>
        <v/>
      </c>
    </row>
    <row r="117" spans="1:28" x14ac:dyDescent="0.25">
      <c r="A117" s="98" t="str">
        <f t="shared" ca="1" si="11"/>
        <v/>
      </c>
      <c r="B117" s="33" t="str">
        <f ca="1">IF(COUNTIF($P$2:P1102,A117)=1,VLOOKUP(A117-TIME(15,0,0),X:Y,2), IF(COUNTIF($P$2:P1102,A117)=0,$B$10,""))</f>
        <v/>
      </c>
      <c r="C117" s="25" t="str">
        <f t="shared" ca="1" si="12"/>
        <v/>
      </c>
      <c r="D117" s="107"/>
      <c r="E117" s="33" t="str">
        <f ca="1">IF(COUNTIF($K$2:K1102,A117)=1,VLOOKUP(A117,K:L,2), IF(COUNTIF($K$2:K1102,A117)=0,$C$9,""))</f>
        <v/>
      </c>
      <c r="F117" s="77" t="str">
        <f t="shared" ca="1" si="13"/>
        <v/>
      </c>
      <c r="G117" s="107" t="str">
        <f t="shared" ca="1" si="14"/>
        <v/>
      </c>
      <c r="H117" s="55" t="str">
        <f t="shared" ca="1" si="15"/>
        <v/>
      </c>
      <c r="J117" s="71"/>
      <c r="K117" s="71"/>
      <c r="M117" s="95" t="str">
        <f t="shared" si="8"/>
        <v/>
      </c>
      <c r="N117" s="95" t="str">
        <f t="shared" si="9"/>
        <v/>
      </c>
      <c r="Z117" s="37"/>
      <c r="AB117" s="37" t="str">
        <f t="shared" si="10"/>
        <v/>
      </c>
    </row>
    <row r="118" spans="1:28" x14ac:dyDescent="0.25">
      <c r="A118" s="98" t="str">
        <f t="shared" ca="1" si="11"/>
        <v/>
      </c>
      <c r="B118" s="33" t="str">
        <f ca="1">IF(COUNTIF($P$2:P1103,A118)=1,VLOOKUP(A118-TIME(15,0,0),X:Y,2), IF(COUNTIF($P$2:P1103,A118)=0,$B$10,""))</f>
        <v/>
      </c>
      <c r="C118" s="25" t="str">
        <f t="shared" ca="1" si="12"/>
        <v/>
      </c>
      <c r="D118" s="107"/>
      <c r="E118" s="33" t="str">
        <f ca="1">IF(COUNTIF($K$2:K1103,A118)=1,VLOOKUP(A118,K:L,2), IF(COUNTIF($K$2:K1103,A118)=0,$C$9,""))</f>
        <v/>
      </c>
      <c r="F118" s="77" t="str">
        <f t="shared" ca="1" si="13"/>
        <v/>
      </c>
      <c r="G118" s="107" t="str">
        <f t="shared" ca="1" si="14"/>
        <v/>
      </c>
      <c r="H118" s="55" t="str">
        <f t="shared" ca="1" si="15"/>
        <v/>
      </c>
      <c r="J118" s="71"/>
      <c r="K118" s="71"/>
      <c r="M118" s="95" t="str">
        <f t="shared" si="8"/>
        <v/>
      </c>
      <c r="N118" s="95" t="str">
        <f t="shared" si="9"/>
        <v/>
      </c>
      <c r="Z118" s="37"/>
      <c r="AB118" s="37" t="str">
        <f t="shared" si="10"/>
        <v/>
      </c>
    </row>
    <row r="119" spans="1:28" x14ac:dyDescent="0.25">
      <c r="A119" s="98" t="str">
        <f t="shared" ca="1" si="11"/>
        <v/>
      </c>
      <c r="B119" s="33" t="str">
        <f ca="1">IF(COUNTIF($P$2:P1104,A119)=1,VLOOKUP(A119-TIME(15,0,0),X:Y,2), IF(COUNTIF($P$2:P1104,A119)=0,$B$10,""))</f>
        <v/>
      </c>
      <c r="C119" s="25" t="str">
        <f t="shared" ca="1" si="12"/>
        <v/>
      </c>
      <c r="D119" s="107"/>
      <c r="E119" s="33" t="str">
        <f ca="1">IF(COUNTIF($K$2:K1104,A119)=1,VLOOKUP(A119,K:L,2), IF(COUNTIF($K$2:K1104,A119)=0,$C$9,""))</f>
        <v/>
      </c>
      <c r="F119" s="77" t="str">
        <f t="shared" ca="1" si="13"/>
        <v/>
      </c>
      <c r="G119" s="107" t="str">
        <f t="shared" ca="1" si="14"/>
        <v/>
      </c>
      <c r="H119" s="55" t="str">
        <f t="shared" ca="1" si="15"/>
        <v/>
      </c>
      <c r="J119" s="71"/>
      <c r="K119" s="71"/>
      <c r="M119" s="95" t="str">
        <f t="shared" si="8"/>
        <v/>
      </c>
      <c r="N119" s="95" t="str">
        <f t="shared" si="9"/>
        <v/>
      </c>
      <c r="Z119" s="37"/>
      <c r="AB119" s="37" t="str">
        <f t="shared" si="10"/>
        <v/>
      </c>
    </row>
    <row r="120" spans="1:28" x14ac:dyDescent="0.25">
      <c r="A120" s="98" t="str">
        <f t="shared" ca="1" si="11"/>
        <v/>
      </c>
      <c r="B120" s="33" t="str">
        <f ca="1">IF(COUNTIF($P$2:P1105,A120)=1,VLOOKUP(A120-TIME(15,0,0),X:Y,2), IF(COUNTIF($P$2:P1105,A120)=0,$B$10,""))</f>
        <v/>
      </c>
      <c r="C120" s="25" t="str">
        <f t="shared" ca="1" si="12"/>
        <v/>
      </c>
      <c r="D120" s="107"/>
      <c r="E120" s="33" t="str">
        <f ca="1">IF(COUNTIF($K$2:K1105,A120)=1,VLOOKUP(A120,K:L,2), IF(COUNTIF($K$2:K1105,A120)=0,$C$9,""))</f>
        <v/>
      </c>
      <c r="F120" s="77" t="str">
        <f t="shared" ca="1" si="13"/>
        <v/>
      </c>
      <c r="G120" s="107" t="str">
        <f t="shared" ca="1" si="14"/>
        <v/>
      </c>
      <c r="H120" s="55" t="str">
        <f t="shared" ca="1" si="15"/>
        <v/>
      </c>
      <c r="J120" s="71"/>
      <c r="K120" s="71"/>
      <c r="M120" s="95" t="str">
        <f t="shared" si="8"/>
        <v/>
      </c>
      <c r="N120" s="95" t="str">
        <f t="shared" si="9"/>
        <v/>
      </c>
      <c r="Z120" s="37"/>
      <c r="AB120" s="37" t="str">
        <f t="shared" si="10"/>
        <v/>
      </c>
    </row>
    <row r="121" spans="1:28" x14ac:dyDescent="0.25">
      <c r="A121" s="98" t="str">
        <f t="shared" ca="1" si="11"/>
        <v/>
      </c>
      <c r="B121" s="33" t="str">
        <f ca="1">IF(COUNTIF($P$2:P1106,A121)=1,VLOOKUP(A121-TIME(15,0,0),X:Y,2), IF(COUNTIF($P$2:P1106,A121)=0,$B$10,""))</f>
        <v/>
      </c>
      <c r="C121" s="25" t="str">
        <f t="shared" ca="1" si="12"/>
        <v/>
      </c>
      <c r="D121" s="107"/>
      <c r="E121" s="33" t="str">
        <f ca="1">IF(COUNTIF($K$2:K1106,A121)=1,VLOOKUP(A121,K:L,2), IF(COUNTIF($K$2:K1106,A121)=0,$C$9,""))</f>
        <v/>
      </c>
      <c r="F121" s="77" t="str">
        <f t="shared" ca="1" si="13"/>
        <v/>
      </c>
      <c r="G121" s="107" t="str">
        <f t="shared" ca="1" si="14"/>
        <v/>
      </c>
      <c r="H121" s="55" t="str">
        <f t="shared" ca="1" si="15"/>
        <v/>
      </c>
      <c r="J121" s="71"/>
      <c r="K121" s="71"/>
      <c r="M121" s="95" t="str">
        <f t="shared" si="8"/>
        <v/>
      </c>
      <c r="N121" s="95" t="str">
        <f t="shared" si="9"/>
        <v/>
      </c>
      <c r="Z121" s="37"/>
      <c r="AB121" s="37" t="str">
        <f t="shared" si="10"/>
        <v/>
      </c>
    </row>
    <row r="122" spans="1:28" x14ac:dyDescent="0.25">
      <c r="A122" s="98" t="str">
        <f t="shared" ca="1" si="11"/>
        <v/>
      </c>
      <c r="B122" s="33" t="str">
        <f ca="1">IF(COUNTIF($P$2:P1107,A122)=1,VLOOKUP(A122-TIME(15,0,0),X:Y,2), IF(COUNTIF($P$2:P1107,A122)=0,$B$10,""))</f>
        <v/>
      </c>
      <c r="C122" s="25" t="str">
        <f t="shared" ca="1" si="12"/>
        <v/>
      </c>
      <c r="D122" s="107"/>
      <c r="E122" s="33" t="str">
        <f ca="1">IF(COUNTIF($K$2:K1107,A122)=1,VLOOKUP(A122,K:L,2), IF(COUNTIF($K$2:K1107,A122)=0,$C$9,""))</f>
        <v/>
      </c>
      <c r="F122" s="77" t="str">
        <f t="shared" ca="1" si="13"/>
        <v/>
      </c>
      <c r="G122" s="107" t="str">
        <f t="shared" ca="1" si="14"/>
        <v/>
      </c>
      <c r="H122" s="55" t="str">
        <f t="shared" ca="1" si="15"/>
        <v/>
      </c>
      <c r="J122" s="71"/>
      <c r="K122" s="71"/>
      <c r="M122" s="95" t="str">
        <f t="shared" si="8"/>
        <v/>
      </c>
      <c r="N122" s="95" t="str">
        <f t="shared" si="9"/>
        <v/>
      </c>
      <c r="Z122" s="37"/>
      <c r="AB122" s="37" t="str">
        <f t="shared" si="10"/>
        <v/>
      </c>
    </row>
    <row r="123" spans="1:28" x14ac:dyDescent="0.25">
      <c r="A123" s="98" t="str">
        <f t="shared" ca="1" si="11"/>
        <v/>
      </c>
      <c r="B123" s="33" t="str">
        <f ca="1">IF(COUNTIF($P$2:P1108,A123)=1,VLOOKUP(A123-TIME(15,0,0),X:Y,2), IF(COUNTIF($P$2:P1108,A123)=0,$B$10,""))</f>
        <v/>
      </c>
      <c r="C123" s="25" t="str">
        <f t="shared" ca="1" si="12"/>
        <v/>
      </c>
      <c r="D123" s="107"/>
      <c r="E123" s="33" t="str">
        <f ca="1">IF(COUNTIF($K$2:K1108,A123)=1,VLOOKUP(A123,K:L,2), IF(COUNTIF($K$2:K1108,A123)=0,$C$9,""))</f>
        <v/>
      </c>
      <c r="F123" s="77" t="str">
        <f t="shared" ca="1" si="13"/>
        <v/>
      </c>
      <c r="G123" s="107" t="str">
        <f t="shared" ca="1" si="14"/>
        <v/>
      </c>
      <c r="H123" s="55" t="str">
        <f t="shared" ca="1" si="15"/>
        <v/>
      </c>
      <c r="J123" s="71"/>
      <c r="K123" s="71"/>
      <c r="M123" s="95" t="str">
        <f t="shared" si="8"/>
        <v/>
      </c>
      <c r="N123" s="95" t="str">
        <f t="shared" si="9"/>
        <v/>
      </c>
      <c r="Z123" s="37"/>
      <c r="AB123" s="37" t="str">
        <f t="shared" si="10"/>
        <v/>
      </c>
    </row>
    <row r="124" spans="1:28" x14ac:dyDescent="0.25">
      <c r="A124" s="98" t="str">
        <f t="shared" ca="1" si="11"/>
        <v/>
      </c>
      <c r="B124" s="33" t="str">
        <f ca="1">IF(COUNTIF($P$2:P1109,A124)=1,VLOOKUP(A124-TIME(15,0,0),X:Y,2), IF(COUNTIF($P$2:P1109,A124)=0,$B$10,""))</f>
        <v/>
      </c>
      <c r="C124" s="25" t="str">
        <f t="shared" ca="1" si="12"/>
        <v/>
      </c>
      <c r="D124" s="107"/>
      <c r="E124" s="33" t="str">
        <f ca="1">IF(COUNTIF($K$2:K1109,A124)=1,VLOOKUP(A124,K:L,2), IF(COUNTIF($K$2:K1109,A124)=0,$C$9,""))</f>
        <v/>
      </c>
      <c r="F124" s="77" t="str">
        <f t="shared" ca="1" si="13"/>
        <v/>
      </c>
      <c r="G124" s="107" t="str">
        <f t="shared" ca="1" si="14"/>
        <v/>
      </c>
      <c r="H124" s="55" t="str">
        <f t="shared" ca="1" si="15"/>
        <v/>
      </c>
      <c r="J124" s="71"/>
      <c r="K124" s="71"/>
      <c r="M124" s="95" t="str">
        <f t="shared" si="8"/>
        <v/>
      </c>
      <c r="N124" s="95" t="str">
        <f t="shared" si="9"/>
        <v/>
      </c>
      <c r="Z124" s="37"/>
      <c r="AB124" s="37" t="str">
        <f t="shared" si="10"/>
        <v/>
      </c>
    </row>
    <row r="125" spans="1:28" x14ac:dyDescent="0.25">
      <c r="A125" s="98" t="str">
        <f t="shared" ca="1" si="11"/>
        <v/>
      </c>
      <c r="B125" s="33" t="str">
        <f ca="1">IF(COUNTIF($P$2:P1110,A125)=1,VLOOKUP(A125-TIME(15,0,0),X:Y,2), IF(COUNTIF($P$2:P1110,A125)=0,$B$10,""))</f>
        <v/>
      </c>
      <c r="C125" s="25" t="str">
        <f t="shared" ca="1" si="12"/>
        <v/>
      </c>
      <c r="D125" s="107"/>
      <c r="E125" s="33" t="str">
        <f ca="1">IF(COUNTIF($K$2:K1110,A125)=1,VLOOKUP(A125,K:L,2), IF(COUNTIF($K$2:K1110,A125)=0,$C$9,""))</f>
        <v/>
      </c>
      <c r="F125" s="77" t="str">
        <f t="shared" ca="1" si="13"/>
        <v/>
      </c>
      <c r="G125" s="107" t="str">
        <f t="shared" ca="1" si="14"/>
        <v/>
      </c>
      <c r="H125" s="55" t="str">
        <f t="shared" ca="1" si="15"/>
        <v/>
      </c>
      <c r="J125" s="71"/>
      <c r="K125" s="71"/>
      <c r="M125" s="95" t="str">
        <f t="shared" si="8"/>
        <v/>
      </c>
      <c r="N125" s="95" t="str">
        <f t="shared" si="9"/>
        <v/>
      </c>
      <c r="Z125" s="37"/>
      <c r="AB125" s="37" t="str">
        <f t="shared" si="10"/>
        <v/>
      </c>
    </row>
    <row r="126" spans="1:28" x14ac:dyDescent="0.25">
      <c r="A126" s="98" t="str">
        <f t="shared" ca="1" si="11"/>
        <v/>
      </c>
      <c r="B126" s="33" t="str">
        <f ca="1">IF(COUNTIF($P$2:P1111,A126)=1,VLOOKUP(A126-TIME(15,0,0),X:Y,2), IF(COUNTIF($P$2:P1111,A126)=0,$B$10,""))</f>
        <v/>
      </c>
      <c r="C126" s="25" t="str">
        <f t="shared" ca="1" si="12"/>
        <v/>
      </c>
      <c r="D126" s="107"/>
      <c r="E126" s="33" t="str">
        <f ca="1">IF(COUNTIF($K$2:K1111,A126)=1,VLOOKUP(A126,K:L,2), IF(COUNTIF($K$2:K1111,A126)=0,$C$9,""))</f>
        <v/>
      </c>
      <c r="F126" s="77" t="str">
        <f t="shared" ca="1" si="13"/>
        <v/>
      </c>
      <c r="G126" s="107" t="str">
        <f t="shared" ca="1" si="14"/>
        <v/>
      </c>
      <c r="H126" s="55" t="str">
        <f t="shared" ca="1" si="15"/>
        <v/>
      </c>
      <c r="J126" s="71"/>
      <c r="K126" s="71"/>
      <c r="M126" s="95" t="str">
        <f t="shared" si="8"/>
        <v/>
      </c>
      <c r="N126" s="95" t="str">
        <f t="shared" si="9"/>
        <v/>
      </c>
      <c r="Z126" s="37"/>
      <c r="AB126" s="37" t="str">
        <f t="shared" si="10"/>
        <v/>
      </c>
    </row>
    <row r="127" spans="1:28" x14ac:dyDescent="0.25">
      <c r="A127" s="98" t="str">
        <f t="shared" ca="1" si="11"/>
        <v/>
      </c>
      <c r="B127" s="33" t="str">
        <f ca="1">IF(COUNTIF($P$2:P1112,A127)=1,VLOOKUP(A127-TIME(15,0,0),X:Y,2), IF(COUNTIF($P$2:P1112,A127)=0,$B$10,""))</f>
        <v/>
      </c>
      <c r="C127" s="25" t="str">
        <f t="shared" ca="1" si="12"/>
        <v/>
      </c>
      <c r="D127" s="107"/>
      <c r="E127" s="33" t="str">
        <f ca="1">IF(COUNTIF($K$2:K1112,A127)=1,VLOOKUP(A127,K:L,2), IF(COUNTIF($K$2:K1112,A127)=0,$C$9,""))</f>
        <v/>
      </c>
      <c r="F127" s="77" t="str">
        <f t="shared" ca="1" si="13"/>
        <v/>
      </c>
      <c r="G127" s="107" t="str">
        <f t="shared" ca="1" si="14"/>
        <v/>
      </c>
      <c r="H127" s="55" t="str">
        <f t="shared" ca="1" si="15"/>
        <v/>
      </c>
      <c r="J127" s="71"/>
      <c r="K127" s="71"/>
      <c r="M127" s="95" t="str">
        <f t="shared" si="8"/>
        <v/>
      </c>
      <c r="N127" s="95" t="str">
        <f t="shared" si="9"/>
        <v/>
      </c>
      <c r="Z127" s="37"/>
      <c r="AB127" s="37" t="str">
        <f t="shared" si="10"/>
        <v/>
      </c>
    </row>
    <row r="128" spans="1:28" x14ac:dyDescent="0.25">
      <c r="A128" s="98" t="str">
        <f t="shared" ca="1" si="11"/>
        <v/>
      </c>
      <c r="B128" s="33" t="str">
        <f ca="1">IF(COUNTIF($P$2:P1113,A128)=1,VLOOKUP(A128-TIME(15,0,0),X:Y,2), IF(COUNTIF($P$2:P1113,A128)=0,$B$10,""))</f>
        <v/>
      </c>
      <c r="C128" s="25" t="str">
        <f t="shared" ca="1" si="12"/>
        <v/>
      </c>
      <c r="D128" s="107"/>
      <c r="E128" s="33" t="str">
        <f ca="1">IF(COUNTIF($K$2:K1113,A128)=1,VLOOKUP(A128,K:L,2), IF(COUNTIF($K$2:K1113,A128)=0,$C$9,""))</f>
        <v/>
      </c>
      <c r="F128" s="77" t="str">
        <f t="shared" ca="1" si="13"/>
        <v/>
      </c>
      <c r="G128" s="107" t="str">
        <f t="shared" ca="1" si="14"/>
        <v/>
      </c>
      <c r="H128" s="55" t="str">
        <f t="shared" ca="1" si="15"/>
        <v/>
      </c>
      <c r="J128" s="71"/>
      <c r="K128" s="71"/>
      <c r="M128" s="95" t="str">
        <f t="shared" si="8"/>
        <v/>
      </c>
      <c r="N128" s="95" t="str">
        <f t="shared" si="9"/>
        <v/>
      </c>
      <c r="Z128" s="37"/>
      <c r="AB128" s="37" t="str">
        <f t="shared" si="10"/>
        <v/>
      </c>
    </row>
    <row r="129" spans="1:28" x14ac:dyDescent="0.25">
      <c r="A129" s="98" t="str">
        <f t="shared" ca="1" si="11"/>
        <v/>
      </c>
      <c r="B129" s="33" t="str">
        <f ca="1">IF(COUNTIF($P$2:P1114,A129)=1,VLOOKUP(A129-TIME(15,0,0),X:Y,2), IF(COUNTIF($P$2:P1114,A129)=0,$B$10,""))</f>
        <v/>
      </c>
      <c r="C129" s="25" t="str">
        <f t="shared" ca="1" si="12"/>
        <v/>
      </c>
      <c r="D129" s="107"/>
      <c r="E129" s="33" t="str">
        <f ca="1">IF(COUNTIF($K$2:K1114,A129)=1,VLOOKUP(A129,K:L,2), IF(COUNTIF($K$2:K1114,A129)=0,$C$9,""))</f>
        <v/>
      </c>
      <c r="F129" s="77" t="str">
        <f t="shared" ca="1" si="13"/>
        <v/>
      </c>
      <c r="G129" s="107" t="str">
        <f t="shared" ca="1" si="14"/>
        <v/>
      </c>
      <c r="H129" s="55" t="str">
        <f t="shared" ca="1" si="15"/>
        <v/>
      </c>
      <c r="J129" s="71"/>
      <c r="K129" s="71"/>
      <c r="M129" s="95" t="str">
        <f t="shared" si="8"/>
        <v/>
      </c>
      <c r="N129" s="95" t="str">
        <f t="shared" si="9"/>
        <v/>
      </c>
      <c r="Z129" s="37"/>
      <c r="AB129" s="37" t="str">
        <f t="shared" si="10"/>
        <v/>
      </c>
    </row>
    <row r="130" spans="1:28" x14ac:dyDescent="0.25">
      <c r="A130" s="98" t="str">
        <f t="shared" ca="1" si="11"/>
        <v/>
      </c>
      <c r="B130" s="33" t="str">
        <f ca="1">IF(COUNTIF($P$2:P1115,A130)=1,VLOOKUP(A130-TIME(15,0,0),X:Y,2), IF(COUNTIF($P$2:P1115,A130)=0,$B$10,""))</f>
        <v/>
      </c>
      <c r="C130" s="25" t="str">
        <f t="shared" ca="1" si="12"/>
        <v/>
      </c>
      <c r="D130" s="107"/>
      <c r="E130" s="33" t="str">
        <f ca="1">IF(COUNTIF($K$2:K1115,A130)=1,VLOOKUP(A130,K:L,2), IF(COUNTIF($K$2:K1115,A130)=0,$C$9,""))</f>
        <v/>
      </c>
      <c r="F130" s="77" t="str">
        <f t="shared" ca="1" si="13"/>
        <v/>
      </c>
      <c r="G130" s="107" t="str">
        <f t="shared" ca="1" si="14"/>
        <v/>
      </c>
      <c r="H130" s="55" t="str">
        <f t="shared" ca="1" si="15"/>
        <v/>
      </c>
      <c r="J130" s="71"/>
      <c r="K130" s="71"/>
      <c r="M130" s="95" t="str">
        <f t="shared" si="8"/>
        <v/>
      </c>
      <c r="N130" s="95" t="str">
        <f t="shared" si="9"/>
        <v/>
      </c>
      <c r="Z130" s="37"/>
      <c r="AB130" s="37" t="str">
        <f t="shared" si="10"/>
        <v/>
      </c>
    </row>
    <row r="131" spans="1:28" x14ac:dyDescent="0.25">
      <c r="A131" s="98" t="str">
        <f t="shared" ca="1" si="11"/>
        <v/>
      </c>
      <c r="B131" s="33" t="str">
        <f ca="1">IF(COUNTIF($P$2:P1116,A131)=1,VLOOKUP(A131-TIME(15,0,0),X:Y,2), IF(COUNTIF($P$2:P1116,A131)=0,$B$10,""))</f>
        <v/>
      </c>
      <c r="C131" s="25" t="str">
        <f t="shared" ca="1" si="12"/>
        <v/>
      </c>
      <c r="D131" s="107"/>
      <c r="E131" s="33" t="str">
        <f ca="1">IF(COUNTIF($K$2:K1116,A131)=1,VLOOKUP(A131,K:L,2), IF(COUNTIF($K$2:K1116,A131)=0,$C$9,""))</f>
        <v/>
      </c>
      <c r="F131" s="77" t="str">
        <f t="shared" ca="1" si="13"/>
        <v/>
      </c>
      <c r="G131" s="107" t="str">
        <f t="shared" ca="1" si="14"/>
        <v/>
      </c>
      <c r="H131" s="55" t="str">
        <f t="shared" ca="1" si="15"/>
        <v/>
      </c>
      <c r="J131" s="71"/>
      <c r="K131" s="71"/>
      <c r="M131" s="95" t="str">
        <f t="shared" ref="M131:M194" si="16">IF(COUNTIF(K:K,J131),J131,"")</f>
        <v/>
      </c>
      <c r="N131" s="95" t="str">
        <f t="shared" si="9"/>
        <v/>
      </c>
      <c r="Z131" s="37"/>
      <c r="AB131" s="37" t="str">
        <f t="shared" si="10"/>
        <v/>
      </c>
    </row>
    <row r="132" spans="1:28" x14ac:dyDescent="0.25">
      <c r="A132" s="98" t="str">
        <f t="shared" ca="1" si="11"/>
        <v/>
      </c>
      <c r="B132" s="33" t="str">
        <f ca="1">IF(COUNTIF($P$2:P1117,A132)=1,VLOOKUP(A132-TIME(15,0,0),X:Y,2), IF(COUNTIF($P$2:P1117,A132)=0,$B$10,""))</f>
        <v/>
      </c>
      <c r="C132" s="25" t="str">
        <f t="shared" ca="1" si="12"/>
        <v/>
      </c>
      <c r="D132" s="107"/>
      <c r="E132" s="33" t="str">
        <f ca="1">IF(COUNTIF($K$2:K1117,A132)=1,VLOOKUP(A132,K:L,2), IF(COUNTIF($K$2:K1117,A132)=0,$C$9,""))</f>
        <v/>
      </c>
      <c r="F132" s="77" t="str">
        <f t="shared" ca="1" si="13"/>
        <v/>
      </c>
      <c r="G132" s="107" t="str">
        <f t="shared" ca="1" si="14"/>
        <v/>
      </c>
      <c r="H132" s="55" t="str">
        <f t="shared" ca="1" si="15"/>
        <v/>
      </c>
      <c r="J132" s="71"/>
      <c r="K132" s="71"/>
      <c r="M132" s="95" t="str">
        <f t="shared" si="16"/>
        <v/>
      </c>
      <c r="N132" s="95" t="str">
        <f t="shared" ref="N132:N195" si="17">IF(M132&gt;$A$14,M132,"")</f>
        <v/>
      </c>
      <c r="Z132" s="37"/>
      <c r="AB132" s="37" t="str">
        <f t="shared" ref="AB132:AB195" si="18">IF(COUNTIF(Z:Z,X132),X132,"")</f>
        <v/>
      </c>
    </row>
    <row r="133" spans="1:28" x14ac:dyDescent="0.25">
      <c r="A133" s="98" t="str">
        <f t="shared" ca="1" si="11"/>
        <v/>
      </c>
      <c r="B133" s="33" t="str">
        <f ca="1">IF(COUNTIF($P$2:P1118,A133)=1,VLOOKUP(A133-TIME(15,0,0),X:Y,2), IF(COUNTIF($P$2:P1118,A133)=0,$B$10,""))</f>
        <v/>
      </c>
      <c r="C133" s="25" t="str">
        <f t="shared" ca="1" si="12"/>
        <v/>
      </c>
      <c r="D133" s="107"/>
      <c r="E133" s="33" t="str">
        <f ca="1">IF(COUNTIF($K$2:K1118,A133)=1,VLOOKUP(A133,K:L,2), IF(COUNTIF($K$2:K1118,A133)=0,$C$9,""))</f>
        <v/>
      </c>
      <c r="F133" s="77" t="str">
        <f t="shared" ca="1" si="13"/>
        <v/>
      </c>
      <c r="G133" s="107" t="str">
        <f t="shared" ca="1" si="14"/>
        <v/>
      </c>
      <c r="H133" s="55" t="str">
        <f t="shared" ca="1" si="15"/>
        <v/>
      </c>
      <c r="J133" s="71"/>
      <c r="K133" s="71"/>
      <c r="M133" s="95" t="str">
        <f t="shared" si="16"/>
        <v/>
      </c>
      <c r="N133" s="95" t="str">
        <f t="shared" si="17"/>
        <v/>
      </c>
      <c r="Z133" s="37"/>
      <c r="AB133" s="37" t="str">
        <f t="shared" si="18"/>
        <v/>
      </c>
    </row>
    <row r="134" spans="1:28" x14ac:dyDescent="0.25">
      <c r="A134" s="98" t="str">
        <f t="shared" ca="1" si="11"/>
        <v/>
      </c>
      <c r="B134" s="33" t="str">
        <f ca="1">IF(COUNTIF($P$2:P1119,A134)=1,VLOOKUP(A134-TIME(15,0,0),X:Y,2), IF(COUNTIF($P$2:P1119,A134)=0,$B$10,""))</f>
        <v/>
      </c>
      <c r="C134" s="25" t="str">
        <f t="shared" ca="1" si="12"/>
        <v/>
      </c>
      <c r="D134" s="107"/>
      <c r="E134" s="33" t="str">
        <f ca="1">IF(COUNTIF($K$2:K1119,A134)=1,VLOOKUP(A134,K:L,2), IF(COUNTIF($K$2:K1119,A134)=0,$C$9,""))</f>
        <v/>
      </c>
      <c r="F134" s="77" t="str">
        <f t="shared" ca="1" si="13"/>
        <v/>
      </c>
      <c r="G134" s="107" t="str">
        <f t="shared" ca="1" si="14"/>
        <v/>
      </c>
      <c r="H134" s="55" t="str">
        <f t="shared" ca="1" si="15"/>
        <v/>
      </c>
      <c r="J134" s="71"/>
      <c r="K134" s="71"/>
      <c r="M134" s="95" t="str">
        <f t="shared" si="16"/>
        <v/>
      </c>
      <c r="N134" s="95" t="str">
        <f t="shared" si="17"/>
        <v/>
      </c>
      <c r="Z134" s="37"/>
      <c r="AB134" s="37" t="str">
        <f t="shared" si="18"/>
        <v/>
      </c>
    </row>
    <row r="135" spans="1:28" x14ac:dyDescent="0.25">
      <c r="A135" s="98" t="str">
        <f t="shared" ca="1" si="11"/>
        <v/>
      </c>
      <c r="B135" s="33" t="str">
        <f ca="1">IF(COUNTIF($P$2:P1120,A135)=1,VLOOKUP(A135-TIME(15,0,0),X:Y,2), IF(COUNTIF($P$2:P1120,A135)=0,$B$10,""))</f>
        <v/>
      </c>
      <c r="C135" s="25" t="str">
        <f t="shared" ca="1" si="12"/>
        <v/>
      </c>
      <c r="D135" s="107"/>
      <c r="E135" s="33" t="str">
        <f ca="1">IF(COUNTIF($K$2:K1120,A135)=1,VLOOKUP(A135,K:L,2), IF(COUNTIF($K$2:K1120,A135)=0,$C$9,""))</f>
        <v/>
      </c>
      <c r="F135" s="77" t="str">
        <f t="shared" ca="1" si="13"/>
        <v/>
      </c>
      <c r="G135" s="107" t="str">
        <f t="shared" ca="1" si="14"/>
        <v/>
      </c>
      <c r="H135" s="55" t="str">
        <f t="shared" ca="1" si="15"/>
        <v/>
      </c>
      <c r="J135" s="71"/>
      <c r="K135" s="71"/>
      <c r="M135" s="95" t="str">
        <f t="shared" si="16"/>
        <v/>
      </c>
      <c r="N135" s="95" t="str">
        <f t="shared" si="17"/>
        <v/>
      </c>
      <c r="Z135" s="37"/>
      <c r="AB135" s="37" t="str">
        <f t="shared" si="18"/>
        <v/>
      </c>
    </row>
    <row r="136" spans="1:28" x14ac:dyDescent="0.25">
      <c r="A136" s="98" t="str">
        <f t="shared" ca="1" si="11"/>
        <v/>
      </c>
      <c r="B136" s="33" t="str">
        <f ca="1">IF(COUNTIF($P$2:P1121,A136)=1,VLOOKUP(A136-TIME(15,0,0),X:Y,2), IF(COUNTIF($P$2:P1121,A136)=0,$B$10,""))</f>
        <v/>
      </c>
      <c r="C136" s="25" t="str">
        <f t="shared" ca="1" si="12"/>
        <v/>
      </c>
      <c r="D136" s="107"/>
      <c r="E136" s="33" t="str">
        <f ca="1">IF(COUNTIF($K$2:K1121,A136)=1,VLOOKUP(A136,K:L,2), IF(COUNTIF($K$2:K1121,A136)=0,$C$9,""))</f>
        <v/>
      </c>
      <c r="F136" s="77" t="str">
        <f t="shared" ca="1" si="13"/>
        <v/>
      </c>
      <c r="G136" s="107" t="str">
        <f t="shared" ca="1" si="14"/>
        <v/>
      </c>
      <c r="H136" s="55" t="str">
        <f t="shared" ca="1" si="15"/>
        <v/>
      </c>
      <c r="J136" s="71"/>
      <c r="K136" s="71"/>
      <c r="M136" s="95" t="str">
        <f t="shared" si="16"/>
        <v/>
      </c>
      <c r="N136" s="95" t="str">
        <f t="shared" si="17"/>
        <v/>
      </c>
      <c r="Z136" s="37"/>
      <c r="AB136" s="37" t="str">
        <f t="shared" si="18"/>
        <v/>
      </c>
    </row>
    <row r="137" spans="1:28" x14ac:dyDescent="0.25">
      <c r="A137" s="98"/>
      <c r="B137" s="33"/>
      <c r="C137" s="25"/>
      <c r="D137" s="26"/>
      <c r="E137" s="33"/>
      <c r="F137" s="25"/>
      <c r="G137" s="26"/>
      <c r="H137" s="55"/>
      <c r="J137" s="71"/>
      <c r="K137" s="71"/>
      <c r="M137" s="95" t="str">
        <f t="shared" si="16"/>
        <v/>
      </c>
      <c r="N137" s="95" t="str">
        <f t="shared" si="17"/>
        <v/>
      </c>
      <c r="Z137" s="37"/>
      <c r="AB137" s="37" t="str">
        <f t="shared" si="18"/>
        <v/>
      </c>
    </row>
    <row r="138" spans="1:28" x14ac:dyDescent="0.25">
      <c r="A138" s="98"/>
      <c r="B138" s="33"/>
      <c r="C138" s="25"/>
      <c r="D138" s="26"/>
      <c r="E138" s="33"/>
      <c r="F138" s="25"/>
      <c r="G138" s="26"/>
      <c r="H138" s="55"/>
      <c r="J138" s="71"/>
      <c r="K138" s="71"/>
      <c r="M138" s="95" t="str">
        <f t="shared" si="16"/>
        <v/>
      </c>
      <c r="N138" s="95" t="str">
        <f t="shared" si="17"/>
        <v/>
      </c>
      <c r="Z138" s="37"/>
      <c r="AB138" s="37" t="str">
        <f t="shared" si="18"/>
        <v/>
      </c>
    </row>
    <row r="139" spans="1:28" x14ac:dyDescent="0.25">
      <c r="A139" s="98"/>
      <c r="B139" s="33"/>
      <c r="C139" s="25"/>
      <c r="D139" s="26"/>
      <c r="E139" s="33"/>
      <c r="F139" s="25"/>
      <c r="G139" s="26"/>
      <c r="H139" s="55"/>
      <c r="J139" s="71"/>
      <c r="K139" s="71"/>
      <c r="M139" s="95" t="str">
        <f t="shared" si="16"/>
        <v/>
      </c>
      <c r="N139" s="95" t="str">
        <f t="shared" si="17"/>
        <v/>
      </c>
      <c r="Z139" s="37"/>
      <c r="AB139" s="37" t="str">
        <f t="shared" si="18"/>
        <v/>
      </c>
    </row>
    <row r="140" spans="1:28" x14ac:dyDescent="0.25">
      <c r="A140" s="98"/>
      <c r="B140" s="33"/>
      <c r="C140" s="25"/>
      <c r="D140" s="26"/>
      <c r="E140" s="33"/>
      <c r="F140" s="25"/>
      <c r="G140" s="26"/>
      <c r="H140" s="55"/>
      <c r="J140" s="71"/>
      <c r="M140" s="95" t="str">
        <f t="shared" si="16"/>
        <v/>
      </c>
      <c r="N140" s="95" t="str">
        <f t="shared" si="17"/>
        <v/>
      </c>
      <c r="Z140" s="37"/>
      <c r="AB140" s="37" t="str">
        <f t="shared" si="18"/>
        <v/>
      </c>
    </row>
    <row r="141" spans="1:28" x14ac:dyDescent="0.25">
      <c r="A141" s="98"/>
      <c r="B141" s="33"/>
      <c r="C141" s="25"/>
      <c r="D141" s="26"/>
      <c r="E141" s="33"/>
      <c r="F141" s="25"/>
      <c r="G141" s="26"/>
      <c r="H141" s="55"/>
      <c r="J141" s="71"/>
      <c r="M141" s="95" t="str">
        <f t="shared" si="16"/>
        <v/>
      </c>
      <c r="N141" s="95" t="str">
        <f t="shared" si="17"/>
        <v/>
      </c>
      <c r="Z141" s="37"/>
      <c r="AB141" s="37" t="str">
        <f t="shared" si="18"/>
        <v/>
      </c>
    </row>
    <row r="142" spans="1:28" x14ac:dyDescent="0.25">
      <c r="A142" s="98"/>
      <c r="B142" s="33"/>
      <c r="C142" s="25"/>
      <c r="D142" s="26"/>
      <c r="E142" s="33"/>
      <c r="F142" s="25"/>
      <c r="G142" s="26"/>
      <c r="H142" s="55"/>
      <c r="J142" s="71"/>
      <c r="M142" s="95" t="str">
        <f t="shared" si="16"/>
        <v/>
      </c>
      <c r="N142" s="95" t="str">
        <f t="shared" si="17"/>
        <v/>
      </c>
      <c r="Z142" s="37"/>
      <c r="AB142" s="37" t="str">
        <f t="shared" si="18"/>
        <v/>
      </c>
    </row>
    <row r="143" spans="1:28" x14ac:dyDescent="0.25">
      <c r="A143" s="98"/>
      <c r="B143" s="33"/>
      <c r="C143" s="25"/>
      <c r="D143" s="26"/>
      <c r="E143" s="33"/>
      <c r="F143" s="25"/>
      <c r="G143" s="26"/>
      <c r="H143" s="55"/>
      <c r="J143" s="71"/>
      <c r="M143" s="95" t="str">
        <f t="shared" si="16"/>
        <v/>
      </c>
      <c r="N143" s="95" t="str">
        <f t="shared" si="17"/>
        <v/>
      </c>
      <c r="Z143" s="37"/>
      <c r="AB143" s="37" t="str">
        <f t="shared" si="18"/>
        <v/>
      </c>
    </row>
    <row r="144" spans="1:28" x14ac:dyDescent="0.25">
      <c r="A144" s="98"/>
      <c r="B144" s="33"/>
      <c r="C144" s="25"/>
      <c r="D144" s="26"/>
      <c r="E144" s="33"/>
      <c r="F144" s="25"/>
      <c r="G144" s="26"/>
      <c r="H144" s="55"/>
      <c r="J144" s="71"/>
      <c r="M144" s="95" t="str">
        <f t="shared" si="16"/>
        <v/>
      </c>
      <c r="N144" s="95" t="str">
        <f t="shared" si="17"/>
        <v/>
      </c>
      <c r="Z144" s="37"/>
      <c r="AB144" s="37" t="str">
        <f t="shared" si="18"/>
        <v/>
      </c>
    </row>
    <row r="145" spans="1:28" x14ac:dyDescent="0.25">
      <c r="A145" s="98"/>
      <c r="B145" s="33"/>
      <c r="C145" s="25"/>
      <c r="D145" s="26"/>
      <c r="E145" s="33"/>
      <c r="F145" s="25"/>
      <c r="G145" s="26"/>
      <c r="H145" s="55"/>
      <c r="J145" s="71"/>
      <c r="M145" s="95" t="str">
        <f t="shared" si="16"/>
        <v/>
      </c>
      <c r="N145" s="95" t="str">
        <f t="shared" si="17"/>
        <v/>
      </c>
      <c r="Z145" s="37"/>
      <c r="AB145" s="37" t="str">
        <f t="shared" si="18"/>
        <v/>
      </c>
    </row>
    <row r="146" spans="1:28" x14ac:dyDescent="0.25">
      <c r="A146" s="98"/>
      <c r="B146" s="33"/>
      <c r="C146" s="25"/>
      <c r="D146" s="26"/>
      <c r="E146" s="33"/>
      <c r="F146" s="25"/>
      <c r="G146" s="26"/>
      <c r="H146" s="55"/>
      <c r="J146" s="71"/>
      <c r="M146" s="95" t="str">
        <f t="shared" si="16"/>
        <v/>
      </c>
      <c r="N146" s="95" t="str">
        <f t="shared" si="17"/>
        <v/>
      </c>
      <c r="Z146" s="37"/>
      <c r="AB146" s="37" t="str">
        <f t="shared" si="18"/>
        <v/>
      </c>
    </row>
    <row r="147" spans="1:28" x14ac:dyDescent="0.25">
      <c r="A147" s="98"/>
      <c r="B147" s="33"/>
      <c r="C147" s="25"/>
      <c r="D147" s="26"/>
      <c r="E147" s="33"/>
      <c r="F147" s="25"/>
      <c r="G147" s="26"/>
      <c r="H147" s="55"/>
      <c r="M147" s="95" t="str">
        <f t="shared" si="16"/>
        <v/>
      </c>
      <c r="N147" s="95" t="str">
        <f t="shared" si="17"/>
        <v/>
      </c>
      <c r="Z147" s="37"/>
      <c r="AB147" s="37" t="str">
        <f t="shared" si="18"/>
        <v/>
      </c>
    </row>
    <row r="148" spans="1:28" x14ac:dyDescent="0.25">
      <c r="A148" s="98"/>
      <c r="B148" s="33"/>
      <c r="C148" s="25"/>
      <c r="D148" s="26"/>
      <c r="E148" s="33"/>
      <c r="F148" s="25"/>
      <c r="G148" s="26"/>
      <c r="H148" s="55"/>
      <c r="M148" s="95" t="str">
        <f t="shared" si="16"/>
        <v/>
      </c>
      <c r="N148" s="95" t="str">
        <f t="shared" si="17"/>
        <v/>
      </c>
      <c r="Z148" s="37"/>
      <c r="AB148" s="37" t="str">
        <f t="shared" si="18"/>
        <v/>
      </c>
    </row>
    <row r="149" spans="1:28" x14ac:dyDescent="0.25">
      <c r="A149" s="98"/>
      <c r="B149" s="33"/>
      <c r="C149" s="25"/>
      <c r="D149" s="26"/>
      <c r="E149" s="33"/>
      <c r="F149" s="25"/>
      <c r="G149" s="26"/>
      <c r="H149" s="55"/>
      <c r="M149" s="95" t="str">
        <f t="shared" si="16"/>
        <v/>
      </c>
      <c r="N149" s="95" t="str">
        <f t="shared" si="17"/>
        <v/>
      </c>
      <c r="Z149" s="37"/>
      <c r="AB149" s="37" t="str">
        <f t="shared" si="18"/>
        <v/>
      </c>
    </row>
    <row r="150" spans="1:28" x14ac:dyDescent="0.25">
      <c r="A150" s="98"/>
      <c r="B150" s="33"/>
      <c r="C150" s="25"/>
      <c r="D150" s="26"/>
      <c r="E150" s="33"/>
      <c r="F150" s="25"/>
      <c r="G150" s="26"/>
      <c r="H150" s="55"/>
      <c r="M150" s="95" t="str">
        <f t="shared" si="16"/>
        <v/>
      </c>
      <c r="N150" s="95" t="str">
        <f t="shared" si="17"/>
        <v/>
      </c>
      <c r="Z150" s="37"/>
      <c r="AB150" s="37" t="str">
        <f t="shared" si="18"/>
        <v/>
      </c>
    </row>
    <row r="151" spans="1:28" x14ac:dyDescent="0.25">
      <c r="A151" s="98"/>
      <c r="B151" s="33"/>
      <c r="C151" s="25"/>
      <c r="D151" s="26"/>
      <c r="E151" s="33"/>
      <c r="F151" s="25"/>
      <c r="G151" s="26"/>
      <c r="H151" s="55"/>
      <c r="M151" s="95" t="str">
        <f t="shared" si="16"/>
        <v/>
      </c>
      <c r="N151" s="95" t="str">
        <f t="shared" si="17"/>
        <v/>
      </c>
      <c r="Z151" s="37"/>
      <c r="AB151" s="37" t="str">
        <f t="shared" si="18"/>
        <v/>
      </c>
    </row>
    <row r="152" spans="1:28" x14ac:dyDescent="0.25">
      <c r="A152" s="98"/>
      <c r="B152" s="33"/>
      <c r="C152" s="25"/>
      <c r="D152" s="26"/>
      <c r="E152" s="33"/>
      <c r="F152" s="25"/>
      <c r="G152" s="26"/>
      <c r="H152" s="55"/>
      <c r="M152" s="95" t="str">
        <f t="shared" si="16"/>
        <v/>
      </c>
      <c r="N152" s="95" t="str">
        <f t="shared" si="17"/>
        <v/>
      </c>
      <c r="Z152" s="37"/>
      <c r="AB152" s="37" t="str">
        <f t="shared" si="18"/>
        <v/>
      </c>
    </row>
    <row r="153" spans="1:28" x14ac:dyDescent="0.25">
      <c r="A153" s="98"/>
      <c r="B153" s="33"/>
      <c r="C153" s="25"/>
      <c r="D153" s="26"/>
      <c r="E153" s="33"/>
      <c r="F153" s="25"/>
      <c r="G153" s="26"/>
      <c r="H153" s="55"/>
      <c r="M153" s="95" t="str">
        <f t="shared" si="16"/>
        <v/>
      </c>
      <c r="N153" s="95" t="str">
        <f t="shared" si="17"/>
        <v/>
      </c>
      <c r="Z153" s="37"/>
      <c r="AB153" s="37" t="str">
        <f t="shared" si="18"/>
        <v/>
      </c>
    </row>
    <row r="154" spans="1:28" x14ac:dyDescent="0.25">
      <c r="A154" s="98"/>
      <c r="B154" s="33"/>
      <c r="C154" s="25"/>
      <c r="D154" s="26"/>
      <c r="E154" s="33"/>
      <c r="F154" s="25"/>
      <c r="G154" s="26"/>
      <c r="H154" s="55"/>
      <c r="M154" s="95" t="str">
        <f t="shared" si="16"/>
        <v/>
      </c>
      <c r="N154" s="95" t="str">
        <f t="shared" si="17"/>
        <v/>
      </c>
      <c r="Z154" s="37"/>
      <c r="AB154" s="37" t="str">
        <f t="shared" si="18"/>
        <v/>
      </c>
    </row>
    <row r="155" spans="1:28" x14ac:dyDescent="0.25">
      <c r="A155" s="98"/>
      <c r="B155" s="33"/>
      <c r="C155" s="25"/>
      <c r="D155" s="26"/>
      <c r="E155" s="33"/>
      <c r="F155" s="25"/>
      <c r="G155" s="26"/>
      <c r="H155" s="55"/>
      <c r="M155" s="95" t="str">
        <f t="shared" si="16"/>
        <v/>
      </c>
      <c r="N155" s="95" t="str">
        <f t="shared" si="17"/>
        <v/>
      </c>
      <c r="Z155" s="37"/>
      <c r="AB155" s="37" t="str">
        <f t="shared" si="18"/>
        <v/>
      </c>
    </row>
    <row r="156" spans="1:28" x14ac:dyDescent="0.25">
      <c r="A156" s="98"/>
      <c r="B156" s="33"/>
      <c r="C156" s="25"/>
      <c r="D156" s="26"/>
      <c r="E156" s="33"/>
      <c r="F156" s="25"/>
      <c r="G156" s="26"/>
      <c r="H156" s="55"/>
      <c r="M156" s="95" t="str">
        <f t="shared" si="16"/>
        <v/>
      </c>
      <c r="N156" s="95" t="str">
        <f t="shared" si="17"/>
        <v/>
      </c>
      <c r="Z156" s="37"/>
      <c r="AB156" s="37" t="str">
        <f t="shared" si="18"/>
        <v/>
      </c>
    </row>
    <row r="157" spans="1:28" x14ac:dyDescent="0.25">
      <c r="A157" s="98"/>
      <c r="B157" s="33"/>
      <c r="C157" s="25"/>
      <c r="D157" s="26"/>
      <c r="E157" s="33"/>
      <c r="F157" s="25"/>
      <c r="G157" s="26"/>
      <c r="H157" s="55"/>
      <c r="M157" s="95" t="str">
        <f t="shared" si="16"/>
        <v/>
      </c>
      <c r="N157" s="95" t="str">
        <f t="shared" si="17"/>
        <v/>
      </c>
      <c r="Z157" s="37"/>
      <c r="AB157" s="37" t="str">
        <f t="shared" si="18"/>
        <v/>
      </c>
    </row>
    <row r="158" spans="1:28" x14ac:dyDescent="0.25">
      <c r="A158" s="98"/>
      <c r="B158" s="33"/>
      <c r="C158" s="25"/>
      <c r="D158" s="26"/>
      <c r="E158" s="33"/>
      <c r="F158" s="25"/>
      <c r="G158" s="26"/>
      <c r="H158" s="55"/>
      <c r="M158" s="95" t="str">
        <f t="shared" si="16"/>
        <v/>
      </c>
      <c r="N158" s="95" t="str">
        <f t="shared" si="17"/>
        <v/>
      </c>
      <c r="Z158" s="37"/>
      <c r="AB158" s="37" t="str">
        <f t="shared" si="18"/>
        <v/>
      </c>
    </row>
    <row r="159" spans="1:28" x14ac:dyDescent="0.25">
      <c r="A159" s="98"/>
      <c r="B159" s="33"/>
      <c r="C159" s="25"/>
      <c r="D159" s="26"/>
      <c r="E159" s="33"/>
      <c r="F159" s="25"/>
      <c r="G159" s="26"/>
      <c r="H159" s="55"/>
      <c r="M159" s="95" t="str">
        <f t="shared" si="16"/>
        <v/>
      </c>
      <c r="N159" s="95" t="str">
        <f t="shared" si="17"/>
        <v/>
      </c>
      <c r="Z159" s="37"/>
      <c r="AB159" s="37" t="str">
        <f t="shared" si="18"/>
        <v/>
      </c>
    </row>
    <row r="160" spans="1:28" x14ac:dyDescent="0.25">
      <c r="A160" s="98"/>
      <c r="B160" s="33"/>
      <c r="C160" s="25"/>
      <c r="D160" s="26"/>
      <c r="E160" s="33"/>
      <c r="F160" s="25"/>
      <c r="G160" s="26"/>
      <c r="H160" s="55"/>
      <c r="M160" s="95" t="str">
        <f t="shared" si="16"/>
        <v/>
      </c>
      <c r="N160" s="95" t="str">
        <f t="shared" si="17"/>
        <v/>
      </c>
      <c r="Z160" s="37"/>
      <c r="AB160" s="37" t="str">
        <f t="shared" si="18"/>
        <v/>
      </c>
    </row>
    <row r="161" spans="1:28" x14ac:dyDescent="0.25">
      <c r="A161" s="98"/>
      <c r="B161" s="33"/>
      <c r="C161" s="25"/>
      <c r="D161" s="26"/>
      <c r="E161" s="33"/>
      <c r="F161" s="25"/>
      <c r="G161" s="26"/>
      <c r="H161" s="55"/>
      <c r="M161" s="95" t="str">
        <f t="shared" si="16"/>
        <v/>
      </c>
      <c r="N161" s="95" t="str">
        <f t="shared" si="17"/>
        <v/>
      </c>
      <c r="Z161" s="37"/>
      <c r="AB161" s="37" t="str">
        <f t="shared" si="18"/>
        <v/>
      </c>
    </row>
    <row r="162" spans="1:28" x14ac:dyDescent="0.25">
      <c r="A162" s="98"/>
      <c r="B162" s="33"/>
      <c r="C162" s="25"/>
      <c r="D162" s="26"/>
      <c r="E162" s="33"/>
      <c r="F162" s="25"/>
      <c r="G162" s="26"/>
      <c r="H162" s="55"/>
      <c r="M162" s="95" t="str">
        <f t="shared" si="16"/>
        <v/>
      </c>
      <c r="N162" s="95" t="str">
        <f t="shared" si="17"/>
        <v/>
      </c>
      <c r="Z162" s="37"/>
      <c r="AB162" s="37" t="str">
        <f t="shared" si="18"/>
        <v/>
      </c>
    </row>
    <row r="163" spans="1:28" x14ac:dyDescent="0.25">
      <c r="A163" s="98"/>
      <c r="B163" s="33"/>
      <c r="C163" s="25"/>
      <c r="D163" s="26"/>
      <c r="E163" s="33"/>
      <c r="F163" s="25"/>
      <c r="G163" s="26"/>
      <c r="H163" s="55"/>
      <c r="M163" s="95" t="str">
        <f t="shared" si="16"/>
        <v/>
      </c>
      <c r="N163" s="95" t="str">
        <f t="shared" si="17"/>
        <v/>
      </c>
      <c r="Z163" s="37"/>
      <c r="AB163" s="37" t="str">
        <f t="shared" si="18"/>
        <v/>
      </c>
    </row>
    <row r="164" spans="1:28" x14ac:dyDescent="0.25">
      <c r="A164" s="98"/>
      <c r="B164" s="33"/>
      <c r="C164" s="25"/>
      <c r="D164" s="26"/>
      <c r="E164" s="33"/>
      <c r="F164" s="25"/>
      <c r="G164" s="26"/>
      <c r="H164" s="55"/>
      <c r="M164" s="95" t="str">
        <f t="shared" si="16"/>
        <v/>
      </c>
      <c r="N164" s="95" t="str">
        <f t="shared" si="17"/>
        <v/>
      </c>
      <c r="Z164" s="37"/>
      <c r="AB164" s="37" t="str">
        <f t="shared" si="18"/>
        <v/>
      </c>
    </row>
    <row r="165" spans="1:28" x14ac:dyDescent="0.25">
      <c r="A165" s="98"/>
      <c r="B165" s="33"/>
      <c r="C165" s="25"/>
      <c r="D165" s="26"/>
      <c r="E165" s="33"/>
      <c r="F165" s="25"/>
      <c r="G165" s="26"/>
      <c r="H165" s="55"/>
      <c r="M165" s="95" t="str">
        <f t="shared" si="16"/>
        <v/>
      </c>
      <c r="N165" s="95" t="str">
        <f t="shared" si="17"/>
        <v/>
      </c>
      <c r="Z165" s="37"/>
      <c r="AB165" s="37" t="str">
        <f t="shared" si="18"/>
        <v/>
      </c>
    </row>
    <row r="166" spans="1:28" x14ac:dyDescent="0.25">
      <c r="A166" s="98"/>
      <c r="B166" s="33"/>
      <c r="C166" s="25"/>
      <c r="D166" s="26"/>
      <c r="E166" s="33"/>
      <c r="F166" s="25"/>
      <c r="G166" s="26"/>
      <c r="H166" s="55"/>
      <c r="M166" s="95" t="str">
        <f t="shared" si="16"/>
        <v/>
      </c>
      <c r="N166" s="95" t="str">
        <f t="shared" si="17"/>
        <v/>
      </c>
      <c r="Z166" s="37"/>
      <c r="AB166" s="37" t="str">
        <f t="shared" si="18"/>
        <v/>
      </c>
    </row>
    <row r="167" spans="1:28" x14ac:dyDescent="0.25">
      <c r="A167" s="98"/>
      <c r="B167" s="33"/>
      <c r="C167" s="25"/>
      <c r="D167" s="26"/>
      <c r="E167" s="33"/>
      <c r="F167" s="25"/>
      <c r="G167" s="26"/>
      <c r="H167" s="55"/>
      <c r="M167" s="95" t="str">
        <f t="shared" si="16"/>
        <v/>
      </c>
      <c r="N167" s="95" t="str">
        <f t="shared" si="17"/>
        <v/>
      </c>
      <c r="Z167" s="37"/>
      <c r="AB167" s="37" t="str">
        <f t="shared" si="18"/>
        <v/>
      </c>
    </row>
    <row r="168" spans="1:28" x14ac:dyDescent="0.25">
      <c r="A168" s="98"/>
      <c r="B168" s="33"/>
      <c r="C168" s="25"/>
      <c r="D168" s="26"/>
      <c r="E168" s="33"/>
      <c r="F168" s="25"/>
      <c r="G168" s="26"/>
      <c r="H168" s="55"/>
      <c r="M168" s="95" t="str">
        <f t="shared" si="16"/>
        <v/>
      </c>
      <c r="N168" s="95" t="str">
        <f t="shared" si="17"/>
        <v/>
      </c>
      <c r="Z168" s="37"/>
      <c r="AB168" s="37" t="str">
        <f t="shared" si="18"/>
        <v/>
      </c>
    </row>
    <row r="169" spans="1:28" x14ac:dyDescent="0.25">
      <c r="A169" s="98"/>
      <c r="B169" s="33"/>
      <c r="C169" s="25"/>
      <c r="D169" s="26"/>
      <c r="E169" s="33"/>
      <c r="F169" s="25"/>
      <c r="G169" s="26"/>
      <c r="H169" s="55"/>
      <c r="M169" s="95" t="str">
        <f t="shared" si="16"/>
        <v/>
      </c>
      <c r="N169" s="95" t="str">
        <f t="shared" si="17"/>
        <v/>
      </c>
      <c r="Z169" s="37"/>
      <c r="AB169" s="37" t="str">
        <f t="shared" si="18"/>
        <v/>
      </c>
    </row>
    <row r="170" spans="1:28" x14ac:dyDescent="0.25">
      <c r="A170" s="98"/>
      <c r="B170" s="33"/>
      <c r="C170" s="25"/>
      <c r="D170" s="26"/>
      <c r="E170" s="33"/>
      <c r="F170" s="25"/>
      <c r="G170" s="26"/>
      <c r="H170" s="55"/>
      <c r="M170" s="95" t="str">
        <f t="shared" si="16"/>
        <v/>
      </c>
      <c r="N170" s="95" t="str">
        <f t="shared" si="17"/>
        <v/>
      </c>
      <c r="Z170" s="37"/>
      <c r="AB170" s="37" t="str">
        <f t="shared" si="18"/>
        <v/>
      </c>
    </row>
    <row r="171" spans="1:28" x14ac:dyDescent="0.25">
      <c r="A171" s="98"/>
      <c r="B171" s="33"/>
      <c r="C171" s="25"/>
      <c r="D171" s="26"/>
      <c r="E171" s="33"/>
      <c r="F171" s="25"/>
      <c r="G171" s="26"/>
      <c r="H171" s="55"/>
      <c r="M171" s="95" t="str">
        <f t="shared" si="16"/>
        <v/>
      </c>
      <c r="N171" s="95" t="str">
        <f t="shared" si="17"/>
        <v/>
      </c>
      <c r="Z171" s="37"/>
      <c r="AB171" s="37" t="str">
        <f t="shared" si="18"/>
        <v/>
      </c>
    </row>
    <row r="172" spans="1:28" x14ac:dyDescent="0.25">
      <c r="A172" s="98"/>
      <c r="B172" s="33"/>
      <c r="C172" s="25"/>
      <c r="D172" s="26"/>
      <c r="E172" s="33"/>
      <c r="F172" s="25"/>
      <c r="G172" s="26"/>
      <c r="H172" s="55"/>
      <c r="M172" s="95" t="str">
        <f t="shared" si="16"/>
        <v/>
      </c>
      <c r="N172" s="95" t="str">
        <f t="shared" si="17"/>
        <v/>
      </c>
      <c r="Z172" s="37"/>
      <c r="AB172" s="37" t="str">
        <f t="shared" si="18"/>
        <v/>
      </c>
    </row>
    <row r="173" spans="1:28" x14ac:dyDescent="0.25">
      <c r="A173" s="98"/>
      <c r="B173" s="33"/>
      <c r="C173" s="25"/>
      <c r="D173" s="26"/>
      <c r="E173" s="33"/>
      <c r="F173" s="25"/>
      <c r="G173" s="26"/>
      <c r="H173" s="55"/>
      <c r="M173" s="95" t="str">
        <f t="shared" si="16"/>
        <v/>
      </c>
      <c r="N173" s="95" t="str">
        <f t="shared" si="17"/>
        <v/>
      </c>
      <c r="Z173" s="37"/>
      <c r="AB173" s="37" t="str">
        <f t="shared" si="18"/>
        <v/>
      </c>
    </row>
    <row r="174" spans="1:28" x14ac:dyDescent="0.25">
      <c r="A174" s="98"/>
      <c r="B174" s="33"/>
      <c r="C174" s="25"/>
      <c r="D174" s="26"/>
      <c r="E174" s="33"/>
      <c r="F174" s="25"/>
      <c r="G174" s="26"/>
      <c r="H174" s="55"/>
      <c r="M174" s="95" t="str">
        <f t="shared" si="16"/>
        <v/>
      </c>
      <c r="N174" s="95" t="str">
        <f t="shared" si="17"/>
        <v/>
      </c>
      <c r="Z174" s="37"/>
      <c r="AB174" s="37" t="str">
        <f t="shared" si="18"/>
        <v/>
      </c>
    </row>
    <row r="175" spans="1:28" x14ac:dyDescent="0.25">
      <c r="A175" s="98"/>
      <c r="B175" s="33"/>
      <c r="C175" s="25"/>
      <c r="D175" s="26"/>
      <c r="E175" s="33"/>
      <c r="F175" s="25"/>
      <c r="G175" s="26"/>
      <c r="H175" s="55"/>
      <c r="M175" s="95" t="str">
        <f t="shared" si="16"/>
        <v/>
      </c>
      <c r="N175" s="95" t="str">
        <f t="shared" si="17"/>
        <v/>
      </c>
      <c r="Z175" s="37"/>
      <c r="AB175" s="37" t="str">
        <f t="shared" si="18"/>
        <v/>
      </c>
    </row>
    <row r="176" spans="1:28" x14ac:dyDescent="0.25">
      <c r="A176" s="98"/>
      <c r="B176" s="33"/>
      <c r="C176" s="25"/>
      <c r="D176" s="26"/>
      <c r="E176" s="33"/>
      <c r="F176" s="25"/>
      <c r="G176" s="26"/>
      <c r="H176" s="55"/>
      <c r="M176" s="95" t="str">
        <f t="shared" si="16"/>
        <v/>
      </c>
      <c r="N176" s="95" t="str">
        <f t="shared" si="17"/>
        <v/>
      </c>
      <c r="Z176" s="37"/>
      <c r="AB176" s="37" t="str">
        <f t="shared" si="18"/>
        <v/>
      </c>
    </row>
    <row r="177" spans="1:28" x14ac:dyDescent="0.25">
      <c r="A177" s="98"/>
      <c r="B177" s="33"/>
      <c r="C177" s="25"/>
      <c r="D177" s="26"/>
      <c r="E177" s="33"/>
      <c r="F177" s="25"/>
      <c r="G177" s="26"/>
      <c r="H177" s="55"/>
      <c r="M177" s="95" t="str">
        <f t="shared" si="16"/>
        <v/>
      </c>
      <c r="N177" s="95" t="str">
        <f t="shared" si="17"/>
        <v/>
      </c>
      <c r="Z177" s="37"/>
      <c r="AB177" s="37" t="str">
        <f t="shared" si="18"/>
        <v/>
      </c>
    </row>
    <row r="178" spans="1:28" x14ac:dyDescent="0.25">
      <c r="A178" s="98"/>
      <c r="B178" s="33"/>
      <c r="C178" s="25"/>
      <c r="D178" s="26"/>
      <c r="E178" s="33"/>
      <c r="F178" s="25"/>
      <c r="G178" s="26"/>
      <c r="H178" s="55"/>
      <c r="M178" s="95" t="str">
        <f t="shared" si="16"/>
        <v/>
      </c>
      <c r="N178" s="95" t="str">
        <f t="shared" si="17"/>
        <v/>
      </c>
      <c r="Z178" s="37"/>
      <c r="AB178" s="37" t="str">
        <f t="shared" si="18"/>
        <v/>
      </c>
    </row>
    <row r="179" spans="1:28" x14ac:dyDescent="0.25">
      <c r="A179" s="98"/>
      <c r="B179" s="33"/>
      <c r="C179" s="25"/>
      <c r="D179" s="26"/>
      <c r="E179" s="33"/>
      <c r="F179" s="25"/>
      <c r="G179" s="26"/>
      <c r="H179" s="55"/>
      <c r="M179" s="95" t="str">
        <f t="shared" si="16"/>
        <v/>
      </c>
      <c r="N179" s="95" t="str">
        <f t="shared" si="17"/>
        <v/>
      </c>
      <c r="Z179" s="37"/>
      <c r="AB179" s="37" t="str">
        <f t="shared" si="18"/>
        <v/>
      </c>
    </row>
    <row r="180" spans="1:28" x14ac:dyDescent="0.25">
      <c r="A180" s="98"/>
      <c r="B180" s="33"/>
      <c r="C180" s="25"/>
      <c r="D180" s="26"/>
      <c r="E180" s="33"/>
      <c r="F180" s="25"/>
      <c r="G180" s="26"/>
      <c r="H180" s="55"/>
      <c r="M180" s="95" t="str">
        <f t="shared" si="16"/>
        <v/>
      </c>
      <c r="N180" s="95" t="str">
        <f t="shared" si="17"/>
        <v/>
      </c>
      <c r="Z180" s="37"/>
      <c r="AB180" s="37" t="str">
        <f t="shared" si="18"/>
        <v/>
      </c>
    </row>
    <row r="181" spans="1:28" x14ac:dyDescent="0.25">
      <c r="A181" s="98"/>
      <c r="B181" s="33"/>
      <c r="C181" s="25"/>
      <c r="D181" s="26"/>
      <c r="E181" s="33"/>
      <c r="F181" s="25"/>
      <c r="G181" s="26"/>
      <c r="H181" s="55"/>
      <c r="M181" s="95" t="str">
        <f t="shared" si="16"/>
        <v/>
      </c>
      <c r="N181" s="95" t="str">
        <f t="shared" si="17"/>
        <v/>
      </c>
      <c r="Z181" s="37"/>
      <c r="AB181" s="37" t="str">
        <f t="shared" si="18"/>
        <v/>
      </c>
    </row>
    <row r="182" spans="1:28" x14ac:dyDescent="0.25">
      <c r="A182" s="98"/>
      <c r="B182" s="33"/>
      <c r="C182" s="25"/>
      <c r="D182" s="26"/>
      <c r="E182" s="33"/>
      <c r="F182" s="25"/>
      <c r="G182" s="26"/>
      <c r="H182" s="55"/>
      <c r="M182" s="95" t="str">
        <f t="shared" si="16"/>
        <v/>
      </c>
      <c r="N182" s="95" t="str">
        <f t="shared" si="17"/>
        <v/>
      </c>
      <c r="Z182" s="37"/>
      <c r="AB182" s="37" t="str">
        <f t="shared" si="18"/>
        <v/>
      </c>
    </row>
    <row r="183" spans="1:28" x14ac:dyDescent="0.25">
      <c r="A183" s="98"/>
      <c r="B183" s="33"/>
      <c r="C183" s="25"/>
      <c r="D183" s="26"/>
      <c r="E183" s="33"/>
      <c r="F183" s="25"/>
      <c r="G183" s="26"/>
      <c r="H183" s="55"/>
      <c r="M183" s="95" t="str">
        <f t="shared" si="16"/>
        <v/>
      </c>
      <c r="N183" s="95" t="str">
        <f t="shared" si="17"/>
        <v/>
      </c>
      <c r="Z183" s="37"/>
      <c r="AB183" s="37" t="str">
        <f t="shared" si="18"/>
        <v/>
      </c>
    </row>
    <row r="184" spans="1:28" x14ac:dyDescent="0.25">
      <c r="A184" s="98"/>
      <c r="B184" s="33"/>
      <c r="C184" s="25"/>
      <c r="D184" s="26"/>
      <c r="E184" s="33"/>
      <c r="F184" s="25"/>
      <c r="G184" s="26"/>
      <c r="H184" s="55"/>
      <c r="M184" s="95" t="str">
        <f t="shared" si="16"/>
        <v/>
      </c>
      <c r="N184" s="95" t="str">
        <f t="shared" si="17"/>
        <v/>
      </c>
      <c r="Z184" s="37"/>
      <c r="AB184" s="37" t="str">
        <f t="shared" si="18"/>
        <v/>
      </c>
    </row>
    <row r="185" spans="1:28" x14ac:dyDescent="0.25">
      <c r="A185" s="98"/>
      <c r="B185" s="33"/>
      <c r="C185" s="25"/>
      <c r="D185" s="26"/>
      <c r="E185" s="33"/>
      <c r="F185" s="25"/>
      <c r="G185" s="26"/>
      <c r="H185" s="55"/>
      <c r="M185" s="95" t="str">
        <f t="shared" si="16"/>
        <v/>
      </c>
      <c r="N185" s="95" t="str">
        <f t="shared" si="17"/>
        <v/>
      </c>
      <c r="Z185" s="37"/>
      <c r="AB185" s="37" t="str">
        <f t="shared" si="18"/>
        <v/>
      </c>
    </row>
    <row r="186" spans="1:28" x14ac:dyDescent="0.25">
      <c r="A186" s="98"/>
      <c r="B186" s="33"/>
      <c r="C186" s="25"/>
      <c r="D186" s="26"/>
      <c r="E186" s="33"/>
      <c r="F186" s="25"/>
      <c r="G186" s="26"/>
      <c r="H186" s="55"/>
      <c r="M186" s="95" t="str">
        <f t="shared" si="16"/>
        <v/>
      </c>
      <c r="N186" s="95" t="str">
        <f t="shared" si="17"/>
        <v/>
      </c>
      <c r="Z186" s="37"/>
      <c r="AB186" s="37" t="str">
        <f t="shared" si="18"/>
        <v/>
      </c>
    </row>
    <row r="187" spans="1:28" x14ac:dyDescent="0.25">
      <c r="A187" s="98"/>
      <c r="B187" s="33"/>
      <c r="C187" s="25"/>
      <c r="D187" s="26"/>
      <c r="E187" s="33"/>
      <c r="F187" s="25"/>
      <c r="G187" s="26"/>
      <c r="H187" s="55"/>
      <c r="M187" s="95" t="str">
        <f t="shared" si="16"/>
        <v/>
      </c>
      <c r="N187" s="95" t="str">
        <f t="shared" si="17"/>
        <v/>
      </c>
      <c r="Z187" s="37"/>
      <c r="AB187" s="37" t="str">
        <f t="shared" si="18"/>
        <v/>
      </c>
    </row>
    <row r="188" spans="1:28" x14ac:dyDescent="0.25">
      <c r="A188" s="98"/>
      <c r="B188" s="33"/>
      <c r="C188" s="25"/>
      <c r="D188" s="26"/>
      <c r="E188" s="33"/>
      <c r="F188" s="25"/>
      <c r="G188" s="26"/>
      <c r="H188" s="55"/>
      <c r="M188" s="95" t="str">
        <f t="shared" si="16"/>
        <v/>
      </c>
      <c r="N188" s="95" t="str">
        <f t="shared" si="17"/>
        <v/>
      </c>
      <c r="Z188" s="37"/>
      <c r="AB188" s="37" t="str">
        <f t="shared" si="18"/>
        <v/>
      </c>
    </row>
    <row r="189" spans="1:28" x14ac:dyDescent="0.25">
      <c r="A189" s="98"/>
      <c r="B189" s="33"/>
      <c r="C189" s="25"/>
      <c r="D189" s="26"/>
      <c r="E189" s="33"/>
      <c r="F189" s="25"/>
      <c r="G189" s="26"/>
      <c r="H189" s="55"/>
      <c r="M189" s="95" t="str">
        <f t="shared" si="16"/>
        <v/>
      </c>
      <c r="N189" s="95" t="str">
        <f t="shared" si="17"/>
        <v/>
      </c>
      <c r="Z189" s="37"/>
      <c r="AB189" s="37" t="str">
        <f t="shared" si="18"/>
        <v/>
      </c>
    </row>
    <row r="190" spans="1:28" x14ac:dyDescent="0.25">
      <c r="A190" s="98"/>
      <c r="B190" s="33"/>
      <c r="C190" s="25"/>
      <c r="D190" s="26"/>
      <c r="E190" s="33"/>
      <c r="F190" s="25"/>
      <c r="G190" s="26"/>
      <c r="H190" s="55"/>
      <c r="M190" s="95" t="str">
        <f t="shared" si="16"/>
        <v/>
      </c>
      <c r="N190" s="95" t="str">
        <f t="shared" si="17"/>
        <v/>
      </c>
      <c r="Z190" s="37"/>
      <c r="AB190" s="37" t="str">
        <f t="shared" si="18"/>
        <v/>
      </c>
    </row>
    <row r="191" spans="1:28" x14ac:dyDescent="0.25">
      <c r="A191" s="98"/>
      <c r="B191" s="33"/>
      <c r="C191" s="25"/>
      <c r="D191" s="26"/>
      <c r="E191" s="33"/>
      <c r="F191" s="25"/>
      <c r="G191" s="26"/>
      <c r="H191" s="55"/>
      <c r="M191" s="95" t="str">
        <f t="shared" si="16"/>
        <v/>
      </c>
      <c r="N191" s="95" t="str">
        <f t="shared" si="17"/>
        <v/>
      </c>
      <c r="Z191" s="37"/>
      <c r="AB191" s="37" t="str">
        <f t="shared" si="18"/>
        <v/>
      </c>
    </row>
    <row r="192" spans="1:28" x14ac:dyDescent="0.25">
      <c r="A192" s="98"/>
      <c r="B192" s="33"/>
      <c r="C192" s="25"/>
      <c r="D192" s="26"/>
      <c r="E192" s="33"/>
      <c r="F192" s="25"/>
      <c r="G192" s="26"/>
      <c r="H192" s="55"/>
      <c r="M192" s="95" t="str">
        <f t="shared" si="16"/>
        <v/>
      </c>
      <c r="N192" s="95" t="str">
        <f t="shared" si="17"/>
        <v/>
      </c>
      <c r="Z192" s="37"/>
      <c r="AB192" s="37" t="str">
        <f t="shared" si="18"/>
        <v/>
      </c>
    </row>
    <row r="193" spans="1:28" x14ac:dyDescent="0.25">
      <c r="A193" s="98"/>
      <c r="B193" s="33"/>
      <c r="C193" s="25"/>
      <c r="D193" s="26"/>
      <c r="E193" s="33"/>
      <c r="F193" s="25"/>
      <c r="G193" s="26"/>
      <c r="H193" s="55"/>
      <c r="M193" s="95" t="str">
        <f t="shared" si="16"/>
        <v/>
      </c>
      <c r="N193" s="95" t="str">
        <f t="shared" si="17"/>
        <v/>
      </c>
      <c r="Z193" s="37"/>
      <c r="AB193" s="37" t="str">
        <f t="shared" si="18"/>
        <v/>
      </c>
    </row>
    <row r="194" spans="1:28" x14ac:dyDescent="0.25">
      <c r="A194" s="98"/>
      <c r="B194" s="33"/>
      <c r="C194" s="25"/>
      <c r="D194" s="26"/>
      <c r="E194" s="33"/>
      <c r="F194" s="25"/>
      <c r="G194" s="26"/>
      <c r="H194" s="55"/>
      <c r="M194" s="95" t="str">
        <f t="shared" si="16"/>
        <v/>
      </c>
      <c r="N194" s="95" t="str">
        <f t="shared" si="17"/>
        <v/>
      </c>
      <c r="Z194" s="37"/>
      <c r="AB194" s="37" t="str">
        <f t="shared" si="18"/>
        <v/>
      </c>
    </row>
    <row r="195" spans="1:28" x14ac:dyDescent="0.25">
      <c r="A195" s="98"/>
      <c r="B195" s="33"/>
      <c r="C195" s="25"/>
      <c r="D195" s="26"/>
      <c r="E195" s="33"/>
      <c r="F195" s="25"/>
      <c r="G195" s="26"/>
      <c r="H195" s="55"/>
      <c r="M195" s="95" t="str">
        <f t="shared" ref="M195:M258" si="19">IF(COUNTIF(K:K,J195),J195,"")</f>
        <v/>
      </c>
      <c r="N195" s="95" t="str">
        <f t="shared" si="17"/>
        <v/>
      </c>
      <c r="Z195" s="37"/>
      <c r="AB195" s="37" t="str">
        <f t="shared" si="18"/>
        <v/>
      </c>
    </row>
    <row r="196" spans="1:28" x14ac:dyDescent="0.25">
      <c r="A196" s="98"/>
      <c r="B196" s="33"/>
      <c r="C196" s="25"/>
      <c r="D196" s="26"/>
      <c r="E196" s="33"/>
      <c r="F196" s="25"/>
      <c r="G196" s="26"/>
      <c r="H196" s="55"/>
      <c r="M196" s="95" t="str">
        <f t="shared" si="19"/>
        <v/>
      </c>
      <c r="N196" s="95" t="str">
        <f t="shared" ref="N196:N259" si="20">IF(M196&gt;$A$14,M196,"")</f>
        <v/>
      </c>
      <c r="Z196" s="37"/>
      <c r="AB196" s="37" t="str">
        <f t="shared" ref="AB196:AB259" si="21">IF(COUNTIF(Z:Z,X196),X196,"")</f>
        <v/>
      </c>
    </row>
    <row r="197" spans="1:28" x14ac:dyDescent="0.25">
      <c r="A197" s="98"/>
      <c r="B197" s="33"/>
      <c r="C197" s="25"/>
      <c r="D197" s="26"/>
      <c r="E197" s="33"/>
      <c r="F197" s="25"/>
      <c r="G197" s="26"/>
      <c r="H197" s="55"/>
      <c r="M197" s="95" t="str">
        <f t="shared" si="19"/>
        <v/>
      </c>
      <c r="N197" s="95" t="str">
        <f t="shared" si="20"/>
        <v/>
      </c>
      <c r="Z197" s="37"/>
      <c r="AB197" s="37" t="str">
        <f t="shared" si="21"/>
        <v/>
      </c>
    </row>
    <row r="198" spans="1:28" x14ac:dyDescent="0.25">
      <c r="A198" s="98"/>
      <c r="B198" s="33"/>
      <c r="C198" s="25"/>
      <c r="D198" s="26"/>
      <c r="E198" s="33"/>
      <c r="F198" s="25"/>
      <c r="G198" s="26"/>
      <c r="H198" s="55"/>
      <c r="M198" s="95" t="str">
        <f t="shared" si="19"/>
        <v/>
      </c>
      <c r="N198" s="95" t="str">
        <f t="shared" si="20"/>
        <v/>
      </c>
      <c r="Z198" s="37"/>
      <c r="AB198" s="37" t="str">
        <f t="shared" si="21"/>
        <v/>
      </c>
    </row>
    <row r="199" spans="1:28" x14ac:dyDescent="0.25">
      <c r="A199" s="98"/>
      <c r="B199" s="33"/>
      <c r="C199" s="25"/>
      <c r="D199" s="26"/>
      <c r="E199" s="33"/>
      <c r="F199" s="25"/>
      <c r="G199" s="26"/>
      <c r="H199" s="55"/>
      <c r="M199" s="95" t="str">
        <f t="shared" si="19"/>
        <v/>
      </c>
      <c r="N199" s="95" t="str">
        <f t="shared" si="20"/>
        <v/>
      </c>
      <c r="Z199" s="37"/>
      <c r="AB199" s="37" t="str">
        <f t="shared" si="21"/>
        <v/>
      </c>
    </row>
    <row r="200" spans="1:28" x14ac:dyDescent="0.25">
      <c r="A200" s="98"/>
      <c r="B200" s="33"/>
      <c r="C200" s="25"/>
      <c r="D200" s="26"/>
      <c r="E200" s="33"/>
      <c r="F200" s="25"/>
      <c r="G200" s="26"/>
      <c r="H200" s="55"/>
      <c r="M200" s="95" t="str">
        <f t="shared" si="19"/>
        <v/>
      </c>
      <c r="N200" s="95" t="str">
        <f t="shared" si="20"/>
        <v/>
      </c>
      <c r="Z200" s="37"/>
      <c r="AB200" s="37" t="str">
        <f t="shared" si="21"/>
        <v/>
      </c>
    </row>
    <row r="201" spans="1:28" x14ac:dyDescent="0.25">
      <c r="M201" s="95" t="str">
        <f t="shared" si="19"/>
        <v/>
      </c>
      <c r="N201" s="95" t="str">
        <f t="shared" si="20"/>
        <v/>
      </c>
      <c r="Z201" s="37"/>
      <c r="AB201" s="37" t="str">
        <f t="shared" si="21"/>
        <v/>
      </c>
    </row>
    <row r="202" spans="1:28" x14ac:dyDescent="0.25">
      <c r="M202" s="95" t="str">
        <f t="shared" si="19"/>
        <v/>
      </c>
      <c r="N202" s="95" t="str">
        <f t="shared" si="20"/>
        <v/>
      </c>
      <c r="Z202" s="37"/>
      <c r="AB202" s="37" t="str">
        <f t="shared" si="21"/>
        <v/>
      </c>
    </row>
    <row r="203" spans="1:28" x14ac:dyDescent="0.25">
      <c r="M203" s="95" t="str">
        <f t="shared" si="19"/>
        <v/>
      </c>
      <c r="N203" s="95" t="str">
        <f t="shared" si="20"/>
        <v/>
      </c>
      <c r="Z203" s="37"/>
      <c r="AB203" s="37" t="str">
        <f t="shared" si="21"/>
        <v/>
      </c>
    </row>
    <row r="204" spans="1:28" x14ac:dyDescent="0.25">
      <c r="M204" s="95" t="str">
        <f t="shared" si="19"/>
        <v/>
      </c>
      <c r="N204" s="95" t="str">
        <f t="shared" si="20"/>
        <v/>
      </c>
      <c r="Z204" s="37"/>
      <c r="AB204" s="37" t="str">
        <f t="shared" si="21"/>
        <v/>
      </c>
    </row>
    <row r="205" spans="1:28" x14ac:dyDescent="0.25">
      <c r="M205" s="95" t="str">
        <f t="shared" si="19"/>
        <v/>
      </c>
      <c r="N205" s="95" t="str">
        <f t="shared" si="20"/>
        <v/>
      </c>
      <c r="Z205" s="37"/>
      <c r="AB205" s="37" t="str">
        <f t="shared" si="21"/>
        <v/>
      </c>
    </row>
    <row r="206" spans="1:28" x14ac:dyDescent="0.25">
      <c r="M206" s="95" t="str">
        <f t="shared" si="19"/>
        <v/>
      </c>
      <c r="N206" s="95" t="str">
        <f t="shared" si="20"/>
        <v/>
      </c>
      <c r="Z206" s="37"/>
      <c r="AB206" s="37" t="str">
        <f t="shared" si="21"/>
        <v/>
      </c>
    </row>
    <row r="207" spans="1:28" x14ac:dyDescent="0.25">
      <c r="M207" s="95" t="str">
        <f t="shared" si="19"/>
        <v/>
      </c>
      <c r="N207" s="95" t="str">
        <f t="shared" si="20"/>
        <v/>
      </c>
      <c r="Z207" s="37"/>
      <c r="AB207" s="37" t="str">
        <f t="shared" si="21"/>
        <v/>
      </c>
    </row>
    <row r="208" spans="1:28" x14ac:dyDescent="0.25">
      <c r="M208" s="95" t="str">
        <f t="shared" si="19"/>
        <v/>
      </c>
      <c r="N208" s="95" t="str">
        <f t="shared" si="20"/>
        <v/>
      </c>
      <c r="Z208" s="37"/>
      <c r="AB208" s="37" t="str">
        <f t="shared" si="21"/>
        <v/>
      </c>
    </row>
    <row r="209" spans="13:28" x14ac:dyDescent="0.25">
      <c r="M209" s="95" t="str">
        <f t="shared" si="19"/>
        <v/>
      </c>
      <c r="N209" s="95" t="str">
        <f t="shared" si="20"/>
        <v/>
      </c>
      <c r="Z209" s="37"/>
      <c r="AB209" s="37" t="str">
        <f t="shared" si="21"/>
        <v/>
      </c>
    </row>
    <row r="210" spans="13:28" x14ac:dyDescent="0.25">
      <c r="M210" s="95" t="str">
        <f t="shared" si="19"/>
        <v/>
      </c>
      <c r="N210" s="95" t="str">
        <f t="shared" si="20"/>
        <v/>
      </c>
      <c r="Z210" s="37"/>
      <c r="AB210" s="37" t="str">
        <f t="shared" si="21"/>
        <v/>
      </c>
    </row>
    <row r="211" spans="13:28" x14ac:dyDescent="0.25">
      <c r="M211" s="95" t="str">
        <f t="shared" si="19"/>
        <v/>
      </c>
      <c r="N211" s="95" t="str">
        <f t="shared" si="20"/>
        <v/>
      </c>
      <c r="Z211" s="37"/>
      <c r="AB211" s="37" t="str">
        <f t="shared" si="21"/>
        <v/>
      </c>
    </row>
    <row r="212" spans="13:28" x14ac:dyDescent="0.25">
      <c r="M212" s="95" t="str">
        <f t="shared" si="19"/>
        <v/>
      </c>
      <c r="N212" s="95" t="str">
        <f t="shared" si="20"/>
        <v/>
      </c>
      <c r="Z212" s="37"/>
      <c r="AB212" s="37" t="str">
        <f t="shared" si="21"/>
        <v/>
      </c>
    </row>
    <row r="213" spans="13:28" x14ac:dyDescent="0.25">
      <c r="M213" s="95" t="str">
        <f t="shared" si="19"/>
        <v/>
      </c>
      <c r="N213" s="95" t="str">
        <f t="shared" si="20"/>
        <v/>
      </c>
      <c r="Z213" s="37"/>
      <c r="AB213" s="37" t="str">
        <f t="shared" si="21"/>
        <v/>
      </c>
    </row>
    <row r="214" spans="13:28" x14ac:dyDescent="0.25">
      <c r="M214" s="95" t="str">
        <f t="shared" si="19"/>
        <v/>
      </c>
      <c r="N214" s="95" t="str">
        <f t="shared" si="20"/>
        <v/>
      </c>
      <c r="Z214" s="37"/>
      <c r="AB214" s="37" t="str">
        <f t="shared" si="21"/>
        <v/>
      </c>
    </row>
    <row r="215" spans="13:28" x14ac:dyDescent="0.25">
      <c r="M215" s="95" t="str">
        <f t="shared" si="19"/>
        <v/>
      </c>
      <c r="N215" s="95" t="str">
        <f t="shared" si="20"/>
        <v/>
      </c>
      <c r="Z215" s="37"/>
      <c r="AB215" s="37" t="str">
        <f t="shared" si="21"/>
        <v/>
      </c>
    </row>
    <row r="216" spans="13:28" x14ac:dyDescent="0.25">
      <c r="M216" s="95" t="str">
        <f t="shared" si="19"/>
        <v/>
      </c>
      <c r="N216" s="95" t="str">
        <f t="shared" si="20"/>
        <v/>
      </c>
      <c r="Z216" s="37"/>
      <c r="AB216" s="37" t="str">
        <f t="shared" si="21"/>
        <v/>
      </c>
    </row>
    <row r="217" spans="13:28" x14ac:dyDescent="0.25">
      <c r="M217" s="95" t="str">
        <f t="shared" si="19"/>
        <v/>
      </c>
      <c r="N217" s="95" t="str">
        <f t="shared" si="20"/>
        <v/>
      </c>
      <c r="Z217" s="37"/>
      <c r="AB217" s="37" t="str">
        <f t="shared" si="21"/>
        <v/>
      </c>
    </row>
    <row r="218" spans="13:28" x14ac:dyDescent="0.25">
      <c r="M218" s="95" t="str">
        <f t="shared" si="19"/>
        <v/>
      </c>
      <c r="N218" s="95" t="str">
        <f t="shared" si="20"/>
        <v/>
      </c>
      <c r="Z218" s="37"/>
      <c r="AB218" s="37" t="str">
        <f t="shared" si="21"/>
        <v/>
      </c>
    </row>
    <row r="219" spans="13:28" x14ac:dyDescent="0.25">
      <c r="M219" s="95" t="str">
        <f t="shared" si="19"/>
        <v/>
      </c>
      <c r="N219" s="95" t="str">
        <f t="shared" si="20"/>
        <v/>
      </c>
      <c r="Z219" s="37"/>
      <c r="AB219" s="37" t="str">
        <f t="shared" si="21"/>
        <v/>
      </c>
    </row>
    <row r="220" spans="13:28" x14ac:dyDescent="0.25">
      <c r="M220" s="95" t="str">
        <f t="shared" si="19"/>
        <v/>
      </c>
      <c r="N220" s="95" t="str">
        <f t="shared" si="20"/>
        <v/>
      </c>
      <c r="Z220" s="37"/>
      <c r="AB220" s="37" t="str">
        <f t="shared" si="21"/>
        <v/>
      </c>
    </row>
    <row r="221" spans="13:28" x14ac:dyDescent="0.25">
      <c r="M221" s="95" t="str">
        <f t="shared" si="19"/>
        <v/>
      </c>
      <c r="N221" s="95" t="str">
        <f t="shared" si="20"/>
        <v/>
      </c>
      <c r="Z221" s="37"/>
      <c r="AB221" s="37" t="str">
        <f t="shared" si="21"/>
        <v/>
      </c>
    </row>
    <row r="222" spans="13:28" x14ac:dyDescent="0.25">
      <c r="M222" s="95" t="str">
        <f t="shared" si="19"/>
        <v/>
      </c>
      <c r="N222" s="95" t="str">
        <f t="shared" si="20"/>
        <v/>
      </c>
      <c r="Z222" s="37"/>
      <c r="AB222" s="37" t="str">
        <f t="shared" si="21"/>
        <v/>
      </c>
    </row>
    <row r="223" spans="13:28" x14ac:dyDescent="0.25">
      <c r="M223" s="95" t="str">
        <f t="shared" si="19"/>
        <v/>
      </c>
      <c r="N223" s="95" t="str">
        <f t="shared" si="20"/>
        <v/>
      </c>
      <c r="Z223" s="37"/>
      <c r="AB223" s="37" t="str">
        <f t="shared" si="21"/>
        <v/>
      </c>
    </row>
    <row r="224" spans="13:28" x14ac:dyDescent="0.25">
      <c r="M224" s="95" t="str">
        <f t="shared" si="19"/>
        <v/>
      </c>
      <c r="N224" s="95" t="str">
        <f t="shared" si="20"/>
        <v/>
      </c>
      <c r="Z224" s="37"/>
      <c r="AB224" s="37" t="str">
        <f t="shared" si="21"/>
        <v/>
      </c>
    </row>
    <row r="225" spans="13:28" x14ac:dyDescent="0.25">
      <c r="M225" s="95" t="str">
        <f t="shared" si="19"/>
        <v/>
      </c>
      <c r="N225" s="95" t="str">
        <f t="shared" si="20"/>
        <v/>
      </c>
      <c r="Z225" s="37"/>
      <c r="AB225" s="37" t="str">
        <f t="shared" si="21"/>
        <v/>
      </c>
    </row>
    <row r="226" spans="13:28" x14ac:dyDescent="0.25">
      <c r="M226" s="95" t="str">
        <f t="shared" si="19"/>
        <v/>
      </c>
      <c r="N226" s="95" t="str">
        <f t="shared" si="20"/>
        <v/>
      </c>
      <c r="Z226" s="37"/>
      <c r="AB226" s="37" t="str">
        <f t="shared" si="21"/>
        <v/>
      </c>
    </row>
    <row r="227" spans="13:28" x14ac:dyDescent="0.25">
      <c r="M227" s="95" t="str">
        <f t="shared" si="19"/>
        <v/>
      </c>
      <c r="N227" s="95" t="str">
        <f t="shared" si="20"/>
        <v/>
      </c>
      <c r="Z227" s="37"/>
      <c r="AB227" s="37" t="str">
        <f t="shared" si="21"/>
        <v/>
      </c>
    </row>
    <row r="228" spans="13:28" x14ac:dyDescent="0.25">
      <c r="M228" s="95" t="str">
        <f t="shared" si="19"/>
        <v/>
      </c>
      <c r="N228" s="95" t="str">
        <f t="shared" si="20"/>
        <v/>
      </c>
      <c r="Z228" s="37"/>
      <c r="AB228" s="37" t="str">
        <f t="shared" si="21"/>
        <v/>
      </c>
    </row>
    <row r="229" spans="13:28" x14ac:dyDescent="0.25">
      <c r="M229" s="95" t="str">
        <f t="shared" si="19"/>
        <v/>
      </c>
      <c r="N229" s="95" t="str">
        <f t="shared" si="20"/>
        <v/>
      </c>
      <c r="Z229" s="37"/>
      <c r="AB229" s="37" t="str">
        <f t="shared" si="21"/>
        <v/>
      </c>
    </row>
    <row r="230" spans="13:28" x14ac:dyDescent="0.25">
      <c r="M230" s="95" t="str">
        <f t="shared" si="19"/>
        <v/>
      </c>
      <c r="N230" s="95" t="str">
        <f t="shared" si="20"/>
        <v/>
      </c>
      <c r="Z230" s="37"/>
      <c r="AB230" s="37" t="str">
        <f t="shared" si="21"/>
        <v/>
      </c>
    </row>
    <row r="231" spans="13:28" x14ac:dyDescent="0.25">
      <c r="M231" s="95" t="str">
        <f t="shared" si="19"/>
        <v/>
      </c>
      <c r="N231" s="95" t="str">
        <f t="shared" si="20"/>
        <v/>
      </c>
      <c r="Z231" s="37"/>
      <c r="AB231" s="37" t="str">
        <f t="shared" si="21"/>
        <v/>
      </c>
    </row>
    <row r="232" spans="13:28" x14ac:dyDescent="0.25">
      <c r="M232" s="95" t="str">
        <f t="shared" si="19"/>
        <v/>
      </c>
      <c r="N232" s="95" t="str">
        <f t="shared" si="20"/>
        <v/>
      </c>
      <c r="Z232" s="37"/>
      <c r="AB232" s="37" t="str">
        <f t="shared" si="21"/>
        <v/>
      </c>
    </row>
    <row r="233" spans="13:28" x14ac:dyDescent="0.25">
      <c r="M233" s="95" t="str">
        <f t="shared" si="19"/>
        <v/>
      </c>
      <c r="N233" s="95" t="str">
        <f t="shared" si="20"/>
        <v/>
      </c>
      <c r="Z233" s="37"/>
      <c r="AB233" s="37" t="str">
        <f t="shared" si="21"/>
        <v/>
      </c>
    </row>
    <row r="234" spans="13:28" x14ac:dyDescent="0.25">
      <c r="M234" s="95" t="str">
        <f t="shared" si="19"/>
        <v/>
      </c>
      <c r="N234" s="95" t="str">
        <f t="shared" si="20"/>
        <v/>
      </c>
      <c r="Z234" s="37"/>
      <c r="AB234" s="37" t="str">
        <f t="shared" si="21"/>
        <v/>
      </c>
    </row>
    <row r="235" spans="13:28" x14ac:dyDescent="0.25">
      <c r="M235" s="95" t="str">
        <f t="shared" si="19"/>
        <v/>
      </c>
      <c r="N235" s="95" t="str">
        <f t="shared" si="20"/>
        <v/>
      </c>
      <c r="Z235" s="37"/>
      <c r="AB235" s="37" t="str">
        <f t="shared" si="21"/>
        <v/>
      </c>
    </row>
    <row r="236" spans="13:28" x14ac:dyDescent="0.25">
      <c r="M236" s="95" t="str">
        <f t="shared" si="19"/>
        <v/>
      </c>
      <c r="N236" s="95" t="str">
        <f t="shared" si="20"/>
        <v/>
      </c>
      <c r="Z236" s="37"/>
      <c r="AB236" s="37" t="str">
        <f t="shared" si="21"/>
        <v/>
      </c>
    </row>
    <row r="237" spans="13:28" x14ac:dyDescent="0.25">
      <c r="M237" s="95" t="str">
        <f t="shared" si="19"/>
        <v/>
      </c>
      <c r="N237" s="95" t="str">
        <f t="shared" si="20"/>
        <v/>
      </c>
      <c r="Z237" s="37"/>
      <c r="AB237" s="37" t="str">
        <f t="shared" si="21"/>
        <v/>
      </c>
    </row>
    <row r="238" spans="13:28" x14ac:dyDescent="0.25">
      <c r="M238" s="95" t="str">
        <f t="shared" si="19"/>
        <v/>
      </c>
      <c r="N238" s="95" t="str">
        <f t="shared" si="20"/>
        <v/>
      </c>
      <c r="Z238" s="37"/>
      <c r="AB238" s="37" t="str">
        <f t="shared" si="21"/>
        <v/>
      </c>
    </row>
    <row r="239" spans="13:28" x14ac:dyDescent="0.25">
      <c r="M239" s="95" t="str">
        <f t="shared" si="19"/>
        <v/>
      </c>
      <c r="N239" s="95" t="str">
        <f t="shared" si="20"/>
        <v/>
      </c>
      <c r="Z239" s="37"/>
      <c r="AB239" s="37" t="str">
        <f t="shared" si="21"/>
        <v/>
      </c>
    </row>
    <row r="240" spans="13:28" x14ac:dyDescent="0.25">
      <c r="M240" s="95" t="str">
        <f t="shared" si="19"/>
        <v/>
      </c>
      <c r="N240" s="95" t="str">
        <f t="shared" si="20"/>
        <v/>
      </c>
      <c r="Z240" s="37"/>
      <c r="AB240" s="37" t="str">
        <f t="shared" si="21"/>
        <v/>
      </c>
    </row>
    <row r="241" spans="13:28" x14ac:dyDescent="0.25">
      <c r="M241" s="95" t="str">
        <f t="shared" si="19"/>
        <v/>
      </c>
      <c r="N241" s="95" t="str">
        <f t="shared" si="20"/>
        <v/>
      </c>
      <c r="Z241" s="37"/>
      <c r="AB241" s="37" t="str">
        <f t="shared" si="21"/>
        <v/>
      </c>
    </row>
    <row r="242" spans="13:28" x14ac:dyDescent="0.25">
      <c r="M242" s="95" t="str">
        <f t="shared" si="19"/>
        <v/>
      </c>
      <c r="N242" s="95" t="str">
        <f t="shared" si="20"/>
        <v/>
      </c>
      <c r="Z242" s="37"/>
      <c r="AB242" s="37" t="str">
        <f t="shared" si="21"/>
        <v/>
      </c>
    </row>
    <row r="243" spans="13:28" x14ac:dyDescent="0.25">
      <c r="M243" s="95" t="str">
        <f t="shared" si="19"/>
        <v/>
      </c>
      <c r="N243" s="95" t="str">
        <f t="shared" si="20"/>
        <v/>
      </c>
      <c r="Z243" s="37"/>
      <c r="AB243" s="37" t="str">
        <f t="shared" si="21"/>
        <v/>
      </c>
    </row>
    <row r="244" spans="13:28" x14ac:dyDescent="0.25">
      <c r="M244" s="95" t="str">
        <f t="shared" si="19"/>
        <v/>
      </c>
      <c r="N244" s="95" t="str">
        <f t="shared" si="20"/>
        <v/>
      </c>
      <c r="Z244" s="37"/>
      <c r="AB244" s="37" t="str">
        <f t="shared" si="21"/>
        <v/>
      </c>
    </row>
    <row r="245" spans="13:28" x14ac:dyDescent="0.25">
      <c r="M245" s="95" t="str">
        <f t="shared" si="19"/>
        <v/>
      </c>
      <c r="N245" s="95" t="str">
        <f t="shared" si="20"/>
        <v/>
      </c>
      <c r="Z245" s="37"/>
      <c r="AB245" s="37" t="str">
        <f t="shared" si="21"/>
        <v/>
      </c>
    </row>
    <row r="246" spans="13:28" x14ac:dyDescent="0.25">
      <c r="M246" s="95" t="str">
        <f t="shared" si="19"/>
        <v/>
      </c>
      <c r="N246" s="95" t="str">
        <f t="shared" si="20"/>
        <v/>
      </c>
      <c r="Z246" s="37"/>
      <c r="AB246" s="37" t="str">
        <f t="shared" si="21"/>
        <v/>
      </c>
    </row>
    <row r="247" spans="13:28" x14ac:dyDescent="0.25">
      <c r="M247" s="95" t="str">
        <f t="shared" si="19"/>
        <v/>
      </c>
      <c r="N247" s="95" t="str">
        <f t="shared" si="20"/>
        <v/>
      </c>
      <c r="Z247" s="37"/>
      <c r="AB247" s="37" t="str">
        <f t="shared" si="21"/>
        <v/>
      </c>
    </row>
    <row r="248" spans="13:28" x14ac:dyDescent="0.25">
      <c r="M248" s="95" t="str">
        <f t="shared" si="19"/>
        <v/>
      </c>
      <c r="N248" s="95" t="str">
        <f t="shared" si="20"/>
        <v/>
      </c>
      <c r="Z248" s="37"/>
      <c r="AB248" s="37" t="str">
        <f t="shared" si="21"/>
        <v/>
      </c>
    </row>
    <row r="249" spans="13:28" x14ac:dyDescent="0.25">
      <c r="M249" s="95" t="str">
        <f t="shared" si="19"/>
        <v/>
      </c>
      <c r="N249" s="95" t="str">
        <f t="shared" si="20"/>
        <v/>
      </c>
      <c r="Z249" s="37"/>
      <c r="AB249" s="37" t="str">
        <f t="shared" si="21"/>
        <v/>
      </c>
    </row>
    <row r="250" spans="13:28" x14ac:dyDescent="0.25">
      <c r="M250" s="95" t="str">
        <f t="shared" si="19"/>
        <v/>
      </c>
      <c r="N250" s="95" t="str">
        <f t="shared" si="20"/>
        <v/>
      </c>
      <c r="Z250" s="37"/>
      <c r="AB250" s="37" t="str">
        <f t="shared" si="21"/>
        <v/>
      </c>
    </row>
    <row r="251" spans="13:28" x14ac:dyDescent="0.25">
      <c r="M251" s="95" t="str">
        <f t="shared" si="19"/>
        <v/>
      </c>
      <c r="N251" s="95" t="str">
        <f t="shared" si="20"/>
        <v/>
      </c>
      <c r="Z251" s="37"/>
      <c r="AB251" s="37" t="str">
        <f t="shared" si="21"/>
        <v/>
      </c>
    </row>
    <row r="252" spans="13:28" x14ac:dyDescent="0.25">
      <c r="M252" s="95" t="str">
        <f t="shared" si="19"/>
        <v/>
      </c>
      <c r="N252" s="95" t="str">
        <f t="shared" si="20"/>
        <v/>
      </c>
      <c r="Z252" s="37"/>
      <c r="AB252" s="37" t="str">
        <f t="shared" si="21"/>
        <v/>
      </c>
    </row>
    <row r="253" spans="13:28" x14ac:dyDescent="0.25">
      <c r="M253" s="95" t="str">
        <f t="shared" si="19"/>
        <v/>
      </c>
      <c r="N253" s="95" t="str">
        <f t="shared" si="20"/>
        <v/>
      </c>
      <c r="Z253" s="37"/>
      <c r="AB253" s="37" t="str">
        <f t="shared" si="21"/>
        <v/>
      </c>
    </row>
    <row r="254" spans="13:28" x14ac:dyDescent="0.25">
      <c r="M254" s="95" t="str">
        <f t="shared" si="19"/>
        <v/>
      </c>
      <c r="N254" s="95" t="str">
        <f t="shared" si="20"/>
        <v/>
      </c>
      <c r="Z254" s="37"/>
      <c r="AB254" s="37" t="str">
        <f t="shared" si="21"/>
        <v/>
      </c>
    </row>
    <row r="255" spans="13:28" x14ac:dyDescent="0.25">
      <c r="M255" s="95" t="str">
        <f t="shared" si="19"/>
        <v/>
      </c>
      <c r="N255" s="95" t="str">
        <f t="shared" si="20"/>
        <v/>
      </c>
      <c r="Z255" s="37"/>
      <c r="AB255" s="37" t="str">
        <f t="shared" si="21"/>
        <v/>
      </c>
    </row>
    <row r="256" spans="13:28" x14ac:dyDescent="0.25">
      <c r="M256" s="95" t="str">
        <f t="shared" si="19"/>
        <v/>
      </c>
      <c r="N256" s="95" t="str">
        <f t="shared" si="20"/>
        <v/>
      </c>
      <c r="Z256" s="37"/>
      <c r="AB256" s="37" t="str">
        <f t="shared" si="21"/>
        <v/>
      </c>
    </row>
    <row r="257" spans="13:28" x14ac:dyDescent="0.25">
      <c r="M257" s="95" t="str">
        <f t="shared" si="19"/>
        <v/>
      </c>
      <c r="N257" s="95" t="str">
        <f t="shared" si="20"/>
        <v/>
      </c>
      <c r="Z257" s="37"/>
      <c r="AB257" s="37" t="str">
        <f t="shared" si="21"/>
        <v/>
      </c>
    </row>
    <row r="258" spans="13:28" x14ac:dyDescent="0.25">
      <c r="M258" s="95" t="str">
        <f t="shared" si="19"/>
        <v/>
      </c>
      <c r="N258" s="95" t="str">
        <f t="shared" si="20"/>
        <v/>
      </c>
      <c r="Z258" s="37"/>
      <c r="AB258" s="37" t="str">
        <f t="shared" si="21"/>
        <v/>
      </c>
    </row>
    <row r="259" spans="13:28" x14ac:dyDescent="0.25">
      <c r="M259" s="95" t="str">
        <f t="shared" ref="M259:M322" si="22">IF(COUNTIF(K:K,J259),J259,"")</f>
        <v/>
      </c>
      <c r="N259" s="95" t="str">
        <f t="shared" si="20"/>
        <v/>
      </c>
      <c r="Z259" s="37"/>
      <c r="AB259" s="37" t="str">
        <f t="shared" si="21"/>
        <v/>
      </c>
    </row>
    <row r="260" spans="13:28" x14ac:dyDescent="0.25">
      <c r="M260" s="95" t="str">
        <f t="shared" si="22"/>
        <v/>
      </c>
      <c r="N260" s="95" t="str">
        <f t="shared" ref="N260:N323" si="23">IF(M260&gt;$A$14,M260,"")</f>
        <v/>
      </c>
      <c r="Z260" s="37"/>
      <c r="AB260" s="37" t="str">
        <f t="shared" ref="AB260:AB323" si="24">IF(COUNTIF(Z:Z,X260),X260,"")</f>
        <v/>
      </c>
    </row>
    <row r="261" spans="13:28" x14ac:dyDescent="0.25">
      <c r="M261" s="95" t="str">
        <f t="shared" si="22"/>
        <v/>
      </c>
      <c r="N261" s="95" t="str">
        <f t="shared" si="23"/>
        <v/>
      </c>
      <c r="Z261" s="37"/>
      <c r="AB261" s="37" t="str">
        <f t="shared" si="24"/>
        <v/>
      </c>
    </row>
    <row r="262" spans="13:28" x14ac:dyDescent="0.25">
      <c r="M262" s="95" t="str">
        <f t="shared" si="22"/>
        <v/>
      </c>
      <c r="N262" s="95" t="str">
        <f t="shared" si="23"/>
        <v/>
      </c>
      <c r="Z262" s="37"/>
      <c r="AB262" s="37" t="str">
        <f t="shared" si="24"/>
        <v/>
      </c>
    </row>
    <row r="263" spans="13:28" x14ac:dyDescent="0.25">
      <c r="M263" s="95" t="str">
        <f t="shared" si="22"/>
        <v/>
      </c>
      <c r="N263" s="95" t="str">
        <f t="shared" si="23"/>
        <v/>
      </c>
      <c r="Z263" s="37"/>
      <c r="AB263" s="37" t="str">
        <f t="shared" si="24"/>
        <v/>
      </c>
    </row>
    <row r="264" spans="13:28" x14ac:dyDescent="0.25">
      <c r="M264" s="95" t="str">
        <f t="shared" si="22"/>
        <v/>
      </c>
      <c r="N264" s="95" t="str">
        <f t="shared" si="23"/>
        <v/>
      </c>
      <c r="Z264" s="37"/>
      <c r="AB264" s="37" t="str">
        <f t="shared" si="24"/>
        <v/>
      </c>
    </row>
    <row r="265" spans="13:28" x14ac:dyDescent="0.25">
      <c r="M265" s="95" t="str">
        <f t="shared" si="22"/>
        <v/>
      </c>
      <c r="N265" s="95" t="str">
        <f t="shared" si="23"/>
        <v/>
      </c>
      <c r="Z265" s="37"/>
      <c r="AB265" s="37" t="str">
        <f t="shared" si="24"/>
        <v/>
      </c>
    </row>
    <row r="266" spans="13:28" x14ac:dyDescent="0.25">
      <c r="M266" s="95" t="str">
        <f t="shared" si="22"/>
        <v/>
      </c>
      <c r="N266" s="95" t="str">
        <f t="shared" si="23"/>
        <v/>
      </c>
      <c r="Z266" s="37"/>
      <c r="AB266" s="37" t="str">
        <f t="shared" si="24"/>
        <v/>
      </c>
    </row>
    <row r="267" spans="13:28" x14ac:dyDescent="0.25">
      <c r="M267" s="95" t="str">
        <f t="shared" si="22"/>
        <v/>
      </c>
      <c r="N267" s="95" t="str">
        <f t="shared" si="23"/>
        <v/>
      </c>
      <c r="Z267" s="37"/>
      <c r="AB267" s="37" t="str">
        <f t="shared" si="24"/>
        <v/>
      </c>
    </row>
    <row r="268" spans="13:28" x14ac:dyDescent="0.25">
      <c r="M268" s="95" t="str">
        <f t="shared" si="22"/>
        <v/>
      </c>
      <c r="N268" s="95" t="str">
        <f t="shared" si="23"/>
        <v/>
      </c>
      <c r="Z268" s="37"/>
      <c r="AB268" s="37" t="str">
        <f t="shared" si="24"/>
        <v/>
      </c>
    </row>
    <row r="269" spans="13:28" x14ac:dyDescent="0.25">
      <c r="M269" s="95" t="str">
        <f t="shared" si="22"/>
        <v/>
      </c>
      <c r="N269" s="95" t="str">
        <f t="shared" si="23"/>
        <v/>
      </c>
      <c r="Z269" s="37"/>
      <c r="AB269" s="37" t="str">
        <f t="shared" si="24"/>
        <v/>
      </c>
    </row>
    <row r="270" spans="13:28" x14ac:dyDescent="0.25">
      <c r="M270" s="95" t="str">
        <f t="shared" si="22"/>
        <v/>
      </c>
      <c r="N270" s="95" t="str">
        <f t="shared" si="23"/>
        <v/>
      </c>
      <c r="AB270" s="37" t="str">
        <f t="shared" si="24"/>
        <v/>
      </c>
    </row>
    <row r="271" spans="13:28" x14ac:dyDescent="0.25">
      <c r="M271" s="95" t="str">
        <f t="shared" si="22"/>
        <v/>
      </c>
      <c r="N271" s="95" t="str">
        <f t="shared" si="23"/>
        <v/>
      </c>
      <c r="AB271" s="37" t="str">
        <f t="shared" si="24"/>
        <v/>
      </c>
    </row>
    <row r="272" spans="13:28" x14ac:dyDescent="0.25">
      <c r="M272" s="95" t="str">
        <f t="shared" si="22"/>
        <v/>
      </c>
      <c r="N272" s="95" t="str">
        <f t="shared" si="23"/>
        <v/>
      </c>
      <c r="AB272" s="37" t="str">
        <f t="shared" si="24"/>
        <v/>
      </c>
    </row>
    <row r="273" spans="13:28" x14ac:dyDescent="0.25">
      <c r="M273" s="95" t="str">
        <f t="shared" si="22"/>
        <v/>
      </c>
      <c r="N273" s="95" t="str">
        <f t="shared" si="23"/>
        <v/>
      </c>
      <c r="AB273" s="37" t="str">
        <f t="shared" si="24"/>
        <v/>
      </c>
    </row>
    <row r="274" spans="13:28" x14ac:dyDescent="0.25">
      <c r="M274" s="95" t="str">
        <f t="shared" si="22"/>
        <v/>
      </c>
      <c r="N274" s="95" t="str">
        <f t="shared" si="23"/>
        <v/>
      </c>
      <c r="AB274" s="37" t="str">
        <f t="shared" si="24"/>
        <v/>
      </c>
    </row>
    <row r="275" spans="13:28" x14ac:dyDescent="0.25">
      <c r="M275" s="95" t="str">
        <f t="shared" si="22"/>
        <v/>
      </c>
      <c r="N275" s="95" t="str">
        <f t="shared" si="23"/>
        <v/>
      </c>
      <c r="AB275" s="37" t="str">
        <f t="shared" si="24"/>
        <v/>
      </c>
    </row>
    <row r="276" spans="13:28" x14ac:dyDescent="0.25">
      <c r="M276" s="95" t="str">
        <f t="shared" si="22"/>
        <v/>
      </c>
      <c r="N276" s="95" t="str">
        <f t="shared" si="23"/>
        <v/>
      </c>
      <c r="AB276" s="37" t="str">
        <f t="shared" si="24"/>
        <v/>
      </c>
    </row>
    <row r="277" spans="13:28" x14ac:dyDescent="0.25">
      <c r="M277" s="95" t="str">
        <f t="shared" si="22"/>
        <v/>
      </c>
      <c r="N277" s="95" t="str">
        <f t="shared" si="23"/>
        <v/>
      </c>
      <c r="AB277" s="37" t="str">
        <f t="shared" si="24"/>
        <v/>
      </c>
    </row>
    <row r="278" spans="13:28" x14ac:dyDescent="0.25">
      <c r="M278" s="95" t="str">
        <f t="shared" si="22"/>
        <v/>
      </c>
      <c r="N278" s="95" t="str">
        <f t="shared" si="23"/>
        <v/>
      </c>
      <c r="AB278" s="37" t="str">
        <f t="shared" si="24"/>
        <v/>
      </c>
    </row>
    <row r="279" spans="13:28" x14ac:dyDescent="0.25">
      <c r="M279" s="95" t="str">
        <f t="shared" si="22"/>
        <v/>
      </c>
      <c r="N279" s="95" t="str">
        <f t="shared" si="23"/>
        <v/>
      </c>
      <c r="AB279" s="37" t="str">
        <f t="shared" si="24"/>
        <v/>
      </c>
    </row>
    <row r="280" spans="13:28" x14ac:dyDescent="0.25">
      <c r="M280" s="95" t="str">
        <f t="shared" si="22"/>
        <v/>
      </c>
      <c r="N280" s="95" t="str">
        <f t="shared" si="23"/>
        <v/>
      </c>
      <c r="AB280" s="37" t="str">
        <f t="shared" si="24"/>
        <v/>
      </c>
    </row>
    <row r="281" spans="13:28" x14ac:dyDescent="0.25">
      <c r="M281" s="95" t="str">
        <f t="shared" si="22"/>
        <v/>
      </c>
      <c r="N281" s="95" t="str">
        <f t="shared" si="23"/>
        <v/>
      </c>
      <c r="AB281" s="37" t="str">
        <f t="shared" si="24"/>
        <v/>
      </c>
    </row>
    <row r="282" spans="13:28" x14ac:dyDescent="0.25">
      <c r="M282" s="95" t="str">
        <f t="shared" si="22"/>
        <v/>
      </c>
      <c r="N282" s="95" t="str">
        <f t="shared" si="23"/>
        <v/>
      </c>
      <c r="AB282" s="37" t="str">
        <f t="shared" si="24"/>
        <v/>
      </c>
    </row>
    <row r="283" spans="13:28" x14ac:dyDescent="0.25">
      <c r="M283" s="95" t="str">
        <f t="shared" si="22"/>
        <v/>
      </c>
      <c r="N283" s="95" t="str">
        <f t="shared" si="23"/>
        <v/>
      </c>
      <c r="AB283" s="37" t="str">
        <f t="shared" si="24"/>
        <v/>
      </c>
    </row>
    <row r="284" spans="13:28" x14ac:dyDescent="0.25">
      <c r="M284" s="95" t="str">
        <f t="shared" si="22"/>
        <v/>
      </c>
      <c r="N284" s="95" t="str">
        <f t="shared" si="23"/>
        <v/>
      </c>
      <c r="AB284" s="37" t="str">
        <f t="shared" si="24"/>
        <v/>
      </c>
    </row>
    <row r="285" spans="13:28" x14ac:dyDescent="0.25">
      <c r="M285" s="95" t="str">
        <f t="shared" si="22"/>
        <v/>
      </c>
      <c r="N285" s="95" t="str">
        <f t="shared" si="23"/>
        <v/>
      </c>
      <c r="AB285" s="37" t="str">
        <f t="shared" si="24"/>
        <v/>
      </c>
    </row>
    <row r="286" spans="13:28" x14ac:dyDescent="0.25">
      <c r="M286" s="95" t="str">
        <f t="shared" si="22"/>
        <v/>
      </c>
      <c r="N286" s="95" t="str">
        <f t="shared" si="23"/>
        <v/>
      </c>
      <c r="AB286" s="37" t="str">
        <f t="shared" si="24"/>
        <v/>
      </c>
    </row>
    <row r="287" spans="13:28" x14ac:dyDescent="0.25">
      <c r="M287" s="95" t="str">
        <f t="shared" si="22"/>
        <v/>
      </c>
      <c r="N287" s="95" t="str">
        <f t="shared" si="23"/>
        <v/>
      </c>
      <c r="AB287" s="37" t="str">
        <f t="shared" si="24"/>
        <v/>
      </c>
    </row>
    <row r="288" spans="13:28" x14ac:dyDescent="0.25">
      <c r="M288" s="95" t="str">
        <f t="shared" si="22"/>
        <v/>
      </c>
      <c r="N288" s="95" t="str">
        <f t="shared" si="23"/>
        <v/>
      </c>
      <c r="AB288" s="37" t="str">
        <f t="shared" si="24"/>
        <v/>
      </c>
    </row>
    <row r="289" spans="13:28" x14ac:dyDescent="0.25">
      <c r="M289" s="95" t="str">
        <f t="shared" si="22"/>
        <v/>
      </c>
      <c r="N289" s="95" t="str">
        <f t="shared" si="23"/>
        <v/>
      </c>
      <c r="AB289" s="37" t="str">
        <f t="shared" si="24"/>
        <v/>
      </c>
    </row>
    <row r="290" spans="13:28" x14ac:dyDescent="0.25">
      <c r="M290" s="95" t="str">
        <f t="shared" si="22"/>
        <v/>
      </c>
      <c r="N290" s="95" t="str">
        <f t="shared" si="23"/>
        <v/>
      </c>
      <c r="AB290" s="37" t="str">
        <f t="shared" si="24"/>
        <v/>
      </c>
    </row>
    <row r="291" spans="13:28" x14ac:dyDescent="0.25">
      <c r="M291" s="95" t="str">
        <f t="shared" si="22"/>
        <v/>
      </c>
      <c r="N291" s="95" t="str">
        <f t="shared" si="23"/>
        <v/>
      </c>
      <c r="AB291" s="37" t="str">
        <f t="shared" si="24"/>
        <v/>
      </c>
    </row>
    <row r="292" spans="13:28" x14ac:dyDescent="0.25">
      <c r="M292" s="95" t="str">
        <f t="shared" si="22"/>
        <v/>
      </c>
      <c r="N292" s="95" t="str">
        <f t="shared" si="23"/>
        <v/>
      </c>
      <c r="AB292" s="37" t="str">
        <f t="shared" si="24"/>
        <v/>
      </c>
    </row>
    <row r="293" spans="13:28" x14ac:dyDescent="0.25">
      <c r="M293" s="95" t="str">
        <f t="shared" si="22"/>
        <v/>
      </c>
      <c r="N293" s="95" t="str">
        <f t="shared" si="23"/>
        <v/>
      </c>
      <c r="AB293" s="37" t="str">
        <f t="shared" si="24"/>
        <v/>
      </c>
    </row>
    <row r="294" spans="13:28" x14ac:dyDescent="0.25">
      <c r="M294" s="95" t="str">
        <f t="shared" si="22"/>
        <v/>
      </c>
      <c r="N294" s="95" t="str">
        <f t="shared" si="23"/>
        <v/>
      </c>
      <c r="AB294" s="37" t="str">
        <f t="shared" si="24"/>
        <v/>
      </c>
    </row>
    <row r="295" spans="13:28" x14ac:dyDescent="0.25">
      <c r="M295" s="95" t="str">
        <f t="shared" si="22"/>
        <v/>
      </c>
      <c r="N295" s="95" t="str">
        <f t="shared" si="23"/>
        <v/>
      </c>
      <c r="AB295" s="37" t="str">
        <f t="shared" si="24"/>
        <v/>
      </c>
    </row>
    <row r="296" spans="13:28" x14ac:dyDescent="0.25">
      <c r="M296" s="95" t="str">
        <f t="shared" si="22"/>
        <v/>
      </c>
      <c r="N296" s="95" t="str">
        <f t="shared" si="23"/>
        <v/>
      </c>
      <c r="AB296" s="37" t="str">
        <f t="shared" si="24"/>
        <v/>
      </c>
    </row>
    <row r="297" spans="13:28" x14ac:dyDescent="0.25">
      <c r="M297" s="95" t="str">
        <f t="shared" si="22"/>
        <v/>
      </c>
      <c r="N297" s="95" t="str">
        <f t="shared" si="23"/>
        <v/>
      </c>
      <c r="AB297" s="37" t="str">
        <f t="shared" si="24"/>
        <v/>
      </c>
    </row>
    <row r="298" spans="13:28" x14ac:dyDescent="0.25">
      <c r="M298" s="95" t="str">
        <f t="shared" si="22"/>
        <v/>
      </c>
      <c r="N298" s="95" t="str">
        <f t="shared" si="23"/>
        <v/>
      </c>
      <c r="AB298" s="37" t="str">
        <f t="shared" si="24"/>
        <v/>
      </c>
    </row>
    <row r="299" spans="13:28" x14ac:dyDescent="0.25">
      <c r="M299" s="95" t="str">
        <f t="shared" si="22"/>
        <v/>
      </c>
      <c r="N299" s="95" t="str">
        <f t="shared" si="23"/>
        <v/>
      </c>
      <c r="AB299" s="37" t="str">
        <f t="shared" si="24"/>
        <v/>
      </c>
    </row>
    <row r="300" spans="13:28" x14ac:dyDescent="0.25">
      <c r="M300" s="95" t="str">
        <f t="shared" si="22"/>
        <v/>
      </c>
      <c r="N300" s="95" t="str">
        <f t="shared" si="23"/>
        <v/>
      </c>
      <c r="AB300" s="37" t="str">
        <f t="shared" si="24"/>
        <v/>
      </c>
    </row>
    <row r="301" spans="13:28" x14ac:dyDescent="0.25">
      <c r="M301" s="95" t="str">
        <f t="shared" si="22"/>
        <v/>
      </c>
      <c r="N301" s="95" t="str">
        <f t="shared" si="23"/>
        <v/>
      </c>
      <c r="AB301" s="37" t="str">
        <f t="shared" si="24"/>
        <v/>
      </c>
    </row>
    <row r="302" spans="13:28" x14ac:dyDescent="0.25">
      <c r="M302" s="95" t="str">
        <f t="shared" si="22"/>
        <v/>
      </c>
      <c r="N302" s="95" t="str">
        <f t="shared" si="23"/>
        <v/>
      </c>
      <c r="AB302" s="37" t="str">
        <f t="shared" si="24"/>
        <v/>
      </c>
    </row>
    <row r="303" spans="13:28" x14ac:dyDescent="0.25">
      <c r="M303" s="95" t="str">
        <f t="shared" si="22"/>
        <v/>
      </c>
      <c r="N303" s="95" t="str">
        <f t="shared" si="23"/>
        <v/>
      </c>
      <c r="AB303" s="37" t="str">
        <f t="shared" si="24"/>
        <v/>
      </c>
    </row>
    <row r="304" spans="13:28" x14ac:dyDescent="0.25">
      <c r="M304" s="95" t="str">
        <f t="shared" si="22"/>
        <v/>
      </c>
      <c r="N304" s="95" t="str">
        <f t="shared" si="23"/>
        <v/>
      </c>
      <c r="AB304" s="37" t="str">
        <f t="shared" si="24"/>
        <v/>
      </c>
    </row>
    <row r="305" spans="13:28" x14ac:dyDescent="0.25">
      <c r="M305" s="95" t="str">
        <f t="shared" si="22"/>
        <v/>
      </c>
      <c r="N305" s="95" t="str">
        <f t="shared" si="23"/>
        <v/>
      </c>
      <c r="AB305" s="37" t="str">
        <f t="shared" si="24"/>
        <v/>
      </c>
    </row>
    <row r="306" spans="13:28" x14ac:dyDescent="0.25">
      <c r="M306" s="95" t="str">
        <f t="shared" si="22"/>
        <v/>
      </c>
      <c r="N306" s="95" t="str">
        <f t="shared" si="23"/>
        <v/>
      </c>
      <c r="AB306" s="37" t="str">
        <f t="shared" si="24"/>
        <v/>
      </c>
    </row>
    <row r="307" spans="13:28" x14ac:dyDescent="0.25">
      <c r="M307" s="95" t="str">
        <f t="shared" si="22"/>
        <v/>
      </c>
      <c r="N307" s="95" t="str">
        <f t="shared" si="23"/>
        <v/>
      </c>
      <c r="AB307" s="37" t="str">
        <f t="shared" si="24"/>
        <v/>
      </c>
    </row>
    <row r="308" spans="13:28" x14ac:dyDescent="0.25">
      <c r="M308" s="95" t="str">
        <f t="shared" si="22"/>
        <v/>
      </c>
      <c r="N308" s="95" t="str">
        <f t="shared" si="23"/>
        <v/>
      </c>
      <c r="AB308" s="37" t="str">
        <f t="shared" si="24"/>
        <v/>
      </c>
    </row>
    <row r="309" spans="13:28" x14ac:dyDescent="0.25">
      <c r="M309" s="95" t="str">
        <f t="shared" si="22"/>
        <v/>
      </c>
      <c r="N309" s="95" t="str">
        <f t="shared" si="23"/>
        <v/>
      </c>
      <c r="AB309" s="37" t="str">
        <f t="shared" si="24"/>
        <v/>
      </c>
    </row>
    <row r="310" spans="13:28" x14ac:dyDescent="0.25">
      <c r="M310" s="95" t="str">
        <f t="shared" si="22"/>
        <v/>
      </c>
      <c r="N310" s="95" t="str">
        <f t="shared" si="23"/>
        <v/>
      </c>
      <c r="AB310" s="37" t="str">
        <f t="shared" si="24"/>
        <v/>
      </c>
    </row>
    <row r="311" spans="13:28" x14ac:dyDescent="0.25">
      <c r="M311" s="95" t="str">
        <f t="shared" si="22"/>
        <v/>
      </c>
      <c r="N311" s="95" t="str">
        <f t="shared" si="23"/>
        <v/>
      </c>
      <c r="AB311" s="37" t="str">
        <f t="shared" si="24"/>
        <v/>
      </c>
    </row>
    <row r="312" spans="13:28" x14ac:dyDescent="0.25">
      <c r="M312" s="95" t="str">
        <f t="shared" si="22"/>
        <v/>
      </c>
      <c r="N312" s="95" t="str">
        <f t="shared" si="23"/>
        <v/>
      </c>
      <c r="AB312" s="37" t="str">
        <f t="shared" si="24"/>
        <v/>
      </c>
    </row>
    <row r="313" spans="13:28" x14ac:dyDescent="0.25">
      <c r="M313" s="95" t="str">
        <f t="shared" si="22"/>
        <v/>
      </c>
      <c r="N313" s="95" t="str">
        <f t="shared" si="23"/>
        <v/>
      </c>
      <c r="AB313" s="37" t="str">
        <f t="shared" si="24"/>
        <v/>
      </c>
    </row>
    <row r="314" spans="13:28" x14ac:dyDescent="0.25">
      <c r="M314" s="95" t="str">
        <f t="shared" si="22"/>
        <v/>
      </c>
      <c r="N314" s="95" t="str">
        <f t="shared" si="23"/>
        <v/>
      </c>
      <c r="AB314" s="37" t="str">
        <f t="shared" si="24"/>
        <v/>
      </c>
    </row>
    <row r="315" spans="13:28" x14ac:dyDescent="0.25">
      <c r="M315" s="95" t="str">
        <f t="shared" si="22"/>
        <v/>
      </c>
      <c r="N315" s="95" t="str">
        <f t="shared" si="23"/>
        <v/>
      </c>
      <c r="AB315" s="37" t="str">
        <f t="shared" si="24"/>
        <v/>
      </c>
    </row>
    <row r="316" spans="13:28" x14ac:dyDescent="0.25">
      <c r="M316" s="95" t="str">
        <f t="shared" si="22"/>
        <v/>
      </c>
      <c r="N316" s="95" t="str">
        <f t="shared" si="23"/>
        <v/>
      </c>
      <c r="AB316" s="37" t="str">
        <f t="shared" si="24"/>
        <v/>
      </c>
    </row>
    <row r="317" spans="13:28" x14ac:dyDescent="0.25">
      <c r="M317" s="95" t="str">
        <f t="shared" si="22"/>
        <v/>
      </c>
      <c r="N317" s="95" t="str">
        <f t="shared" si="23"/>
        <v/>
      </c>
      <c r="AB317" s="37" t="str">
        <f t="shared" si="24"/>
        <v/>
      </c>
    </row>
    <row r="318" spans="13:28" x14ac:dyDescent="0.25">
      <c r="M318" s="95" t="str">
        <f t="shared" si="22"/>
        <v/>
      </c>
      <c r="N318" s="95" t="str">
        <f t="shared" si="23"/>
        <v/>
      </c>
      <c r="AB318" s="37" t="str">
        <f t="shared" si="24"/>
        <v/>
      </c>
    </row>
    <row r="319" spans="13:28" x14ac:dyDescent="0.25">
      <c r="M319" s="95" t="str">
        <f t="shared" si="22"/>
        <v/>
      </c>
      <c r="N319" s="95" t="str">
        <f t="shared" si="23"/>
        <v/>
      </c>
      <c r="AB319" s="37" t="str">
        <f t="shared" si="24"/>
        <v/>
      </c>
    </row>
    <row r="320" spans="13:28" x14ac:dyDescent="0.25">
      <c r="M320" s="95" t="str">
        <f t="shared" si="22"/>
        <v/>
      </c>
      <c r="N320" s="95" t="str">
        <f t="shared" si="23"/>
        <v/>
      </c>
      <c r="AB320" s="37" t="str">
        <f t="shared" si="24"/>
        <v/>
      </c>
    </row>
    <row r="321" spans="13:28" x14ac:dyDescent="0.25">
      <c r="M321" s="95" t="str">
        <f t="shared" si="22"/>
        <v/>
      </c>
      <c r="N321" s="95" t="str">
        <f t="shared" si="23"/>
        <v/>
      </c>
      <c r="AB321" s="37" t="str">
        <f t="shared" si="24"/>
        <v/>
      </c>
    </row>
    <row r="322" spans="13:28" x14ac:dyDescent="0.25">
      <c r="M322" s="95" t="str">
        <f t="shared" si="22"/>
        <v/>
      </c>
      <c r="N322" s="95" t="str">
        <f t="shared" si="23"/>
        <v/>
      </c>
      <c r="AB322" s="37" t="str">
        <f t="shared" si="24"/>
        <v/>
      </c>
    </row>
    <row r="323" spans="13:28" x14ac:dyDescent="0.25">
      <c r="M323" s="95" t="str">
        <f t="shared" ref="M323:M386" si="25">IF(COUNTIF(K:K,J323),J323,"")</f>
        <v/>
      </c>
      <c r="N323" s="95" t="str">
        <f t="shared" si="23"/>
        <v/>
      </c>
      <c r="AB323" s="37" t="str">
        <f t="shared" si="24"/>
        <v/>
      </c>
    </row>
    <row r="324" spans="13:28" x14ac:dyDescent="0.25">
      <c r="M324" s="95" t="str">
        <f t="shared" si="25"/>
        <v/>
      </c>
      <c r="N324" s="95" t="str">
        <f t="shared" ref="N324:N387" si="26">IF(M324&gt;$A$14,M324,"")</f>
        <v/>
      </c>
      <c r="AB324" s="37" t="str">
        <f t="shared" ref="AB324:AB387" si="27">IF(COUNTIF(Z:Z,X324),X324,"")</f>
        <v/>
      </c>
    </row>
    <row r="325" spans="13:28" x14ac:dyDescent="0.25">
      <c r="M325" s="95" t="str">
        <f t="shared" si="25"/>
        <v/>
      </c>
      <c r="N325" s="95" t="str">
        <f t="shared" si="26"/>
        <v/>
      </c>
      <c r="AB325" s="37" t="str">
        <f t="shared" si="27"/>
        <v/>
      </c>
    </row>
    <row r="326" spans="13:28" x14ac:dyDescent="0.25">
      <c r="M326" s="95" t="str">
        <f t="shared" si="25"/>
        <v/>
      </c>
      <c r="N326" s="95" t="str">
        <f t="shared" si="26"/>
        <v/>
      </c>
      <c r="AB326" s="37" t="str">
        <f t="shared" si="27"/>
        <v/>
      </c>
    </row>
    <row r="327" spans="13:28" x14ac:dyDescent="0.25">
      <c r="M327" s="95" t="str">
        <f t="shared" si="25"/>
        <v/>
      </c>
      <c r="N327" s="95" t="str">
        <f t="shared" si="26"/>
        <v/>
      </c>
      <c r="AB327" s="37" t="str">
        <f t="shared" si="27"/>
        <v/>
      </c>
    </row>
    <row r="328" spans="13:28" x14ac:dyDescent="0.25">
      <c r="M328" s="95" t="str">
        <f t="shared" si="25"/>
        <v/>
      </c>
      <c r="N328" s="95" t="str">
        <f t="shared" si="26"/>
        <v/>
      </c>
      <c r="AB328" s="37" t="str">
        <f t="shared" si="27"/>
        <v/>
      </c>
    </row>
    <row r="329" spans="13:28" x14ac:dyDescent="0.25">
      <c r="M329" s="95" t="str">
        <f t="shared" si="25"/>
        <v/>
      </c>
      <c r="N329" s="95" t="str">
        <f t="shared" si="26"/>
        <v/>
      </c>
      <c r="AB329" s="37" t="str">
        <f t="shared" si="27"/>
        <v/>
      </c>
    </row>
    <row r="330" spans="13:28" x14ac:dyDescent="0.25">
      <c r="M330" s="95" t="str">
        <f t="shared" si="25"/>
        <v/>
      </c>
      <c r="N330" s="95" t="str">
        <f t="shared" si="26"/>
        <v/>
      </c>
      <c r="AB330" s="37" t="str">
        <f t="shared" si="27"/>
        <v/>
      </c>
    </row>
    <row r="331" spans="13:28" x14ac:dyDescent="0.25">
      <c r="M331" s="95" t="str">
        <f t="shared" si="25"/>
        <v/>
      </c>
      <c r="N331" s="95" t="str">
        <f t="shared" si="26"/>
        <v/>
      </c>
      <c r="AB331" s="37" t="str">
        <f t="shared" si="27"/>
        <v/>
      </c>
    </row>
    <row r="332" spans="13:28" x14ac:dyDescent="0.25">
      <c r="M332" s="95" t="str">
        <f t="shared" si="25"/>
        <v/>
      </c>
      <c r="N332" s="95" t="str">
        <f t="shared" si="26"/>
        <v/>
      </c>
      <c r="AB332" s="37" t="str">
        <f t="shared" si="27"/>
        <v/>
      </c>
    </row>
    <row r="333" spans="13:28" x14ac:dyDescent="0.25">
      <c r="M333" s="95" t="str">
        <f t="shared" si="25"/>
        <v/>
      </c>
      <c r="N333" s="95" t="str">
        <f t="shared" si="26"/>
        <v/>
      </c>
      <c r="AB333" s="37" t="str">
        <f t="shared" si="27"/>
        <v/>
      </c>
    </row>
    <row r="334" spans="13:28" x14ac:dyDescent="0.25">
      <c r="M334" s="95" t="str">
        <f t="shared" si="25"/>
        <v/>
      </c>
      <c r="N334" s="95" t="str">
        <f t="shared" si="26"/>
        <v/>
      </c>
      <c r="AB334" s="37" t="str">
        <f t="shared" si="27"/>
        <v/>
      </c>
    </row>
    <row r="335" spans="13:28" x14ac:dyDescent="0.25">
      <c r="M335" s="95" t="str">
        <f t="shared" si="25"/>
        <v/>
      </c>
      <c r="N335" s="95" t="str">
        <f t="shared" si="26"/>
        <v/>
      </c>
      <c r="AB335" s="37" t="str">
        <f t="shared" si="27"/>
        <v/>
      </c>
    </row>
    <row r="336" spans="13:28" x14ac:dyDescent="0.25">
      <c r="M336" s="95" t="str">
        <f t="shared" si="25"/>
        <v/>
      </c>
      <c r="N336" s="95" t="str">
        <f t="shared" si="26"/>
        <v/>
      </c>
      <c r="AB336" s="37" t="str">
        <f t="shared" si="27"/>
        <v/>
      </c>
    </row>
    <row r="337" spans="13:28" x14ac:dyDescent="0.25">
      <c r="M337" s="95" t="str">
        <f t="shared" si="25"/>
        <v/>
      </c>
      <c r="N337" s="95" t="str">
        <f t="shared" si="26"/>
        <v/>
      </c>
      <c r="AB337" s="37" t="str">
        <f t="shared" si="27"/>
        <v/>
      </c>
    </row>
    <row r="338" spans="13:28" x14ac:dyDescent="0.25">
      <c r="M338" s="95" t="str">
        <f t="shared" si="25"/>
        <v/>
      </c>
      <c r="N338" s="95" t="str">
        <f t="shared" si="26"/>
        <v/>
      </c>
      <c r="AB338" s="37" t="str">
        <f t="shared" si="27"/>
        <v/>
      </c>
    </row>
    <row r="339" spans="13:28" x14ac:dyDescent="0.25">
      <c r="M339" s="95" t="str">
        <f t="shared" si="25"/>
        <v/>
      </c>
      <c r="N339" s="95" t="str">
        <f t="shared" si="26"/>
        <v/>
      </c>
      <c r="AB339" s="37" t="str">
        <f t="shared" si="27"/>
        <v/>
      </c>
    </row>
    <row r="340" spans="13:28" x14ac:dyDescent="0.25">
      <c r="M340" s="95" t="str">
        <f t="shared" si="25"/>
        <v/>
      </c>
      <c r="N340" s="95" t="str">
        <f t="shared" si="26"/>
        <v/>
      </c>
      <c r="AB340" s="37" t="str">
        <f t="shared" si="27"/>
        <v/>
      </c>
    </row>
    <row r="341" spans="13:28" x14ac:dyDescent="0.25">
      <c r="M341" s="95" t="str">
        <f t="shared" si="25"/>
        <v/>
      </c>
      <c r="N341" s="95" t="str">
        <f t="shared" si="26"/>
        <v/>
      </c>
      <c r="AB341" s="37" t="str">
        <f t="shared" si="27"/>
        <v/>
      </c>
    </row>
    <row r="342" spans="13:28" x14ac:dyDescent="0.25">
      <c r="M342" s="95" t="str">
        <f t="shared" si="25"/>
        <v/>
      </c>
      <c r="N342" s="95" t="str">
        <f t="shared" si="26"/>
        <v/>
      </c>
      <c r="AB342" s="37" t="str">
        <f t="shared" si="27"/>
        <v/>
      </c>
    </row>
    <row r="343" spans="13:28" x14ac:dyDescent="0.25">
      <c r="M343" s="95" t="str">
        <f t="shared" si="25"/>
        <v/>
      </c>
      <c r="N343" s="95" t="str">
        <f t="shared" si="26"/>
        <v/>
      </c>
      <c r="AB343" s="37" t="str">
        <f t="shared" si="27"/>
        <v/>
      </c>
    </row>
    <row r="344" spans="13:28" x14ac:dyDescent="0.25">
      <c r="M344" s="95" t="str">
        <f t="shared" si="25"/>
        <v/>
      </c>
      <c r="N344" s="95" t="str">
        <f t="shared" si="26"/>
        <v/>
      </c>
      <c r="AB344" s="37" t="str">
        <f t="shared" si="27"/>
        <v/>
      </c>
    </row>
    <row r="345" spans="13:28" x14ac:dyDescent="0.25">
      <c r="M345" s="95" t="str">
        <f t="shared" si="25"/>
        <v/>
      </c>
      <c r="N345" s="95" t="str">
        <f t="shared" si="26"/>
        <v/>
      </c>
      <c r="AB345" s="37" t="str">
        <f t="shared" si="27"/>
        <v/>
      </c>
    </row>
    <row r="346" spans="13:28" x14ac:dyDescent="0.25">
      <c r="M346" s="95" t="str">
        <f t="shared" si="25"/>
        <v/>
      </c>
      <c r="N346" s="95" t="str">
        <f t="shared" si="26"/>
        <v/>
      </c>
      <c r="AB346" s="37" t="str">
        <f t="shared" si="27"/>
        <v/>
      </c>
    </row>
    <row r="347" spans="13:28" x14ac:dyDescent="0.25">
      <c r="M347" s="95" t="str">
        <f t="shared" si="25"/>
        <v/>
      </c>
      <c r="N347" s="95" t="str">
        <f t="shared" si="26"/>
        <v/>
      </c>
      <c r="AB347" s="37" t="str">
        <f t="shared" si="27"/>
        <v/>
      </c>
    </row>
    <row r="348" spans="13:28" x14ac:dyDescent="0.25">
      <c r="M348" s="95" t="str">
        <f t="shared" si="25"/>
        <v/>
      </c>
      <c r="N348" s="95" t="str">
        <f t="shared" si="26"/>
        <v/>
      </c>
      <c r="AB348" s="37" t="str">
        <f t="shared" si="27"/>
        <v/>
      </c>
    </row>
    <row r="349" spans="13:28" x14ac:dyDescent="0.25">
      <c r="M349" s="95" t="str">
        <f t="shared" si="25"/>
        <v/>
      </c>
      <c r="N349" s="95" t="str">
        <f t="shared" si="26"/>
        <v/>
      </c>
      <c r="AB349" s="37" t="str">
        <f t="shared" si="27"/>
        <v/>
      </c>
    </row>
    <row r="350" spans="13:28" x14ac:dyDescent="0.25">
      <c r="M350" s="95" t="str">
        <f t="shared" si="25"/>
        <v/>
      </c>
      <c r="N350" s="95" t="str">
        <f t="shared" si="26"/>
        <v/>
      </c>
      <c r="AB350" s="37" t="str">
        <f t="shared" si="27"/>
        <v/>
      </c>
    </row>
    <row r="351" spans="13:28" x14ac:dyDescent="0.25">
      <c r="M351" s="95" t="str">
        <f t="shared" si="25"/>
        <v/>
      </c>
      <c r="N351" s="95" t="str">
        <f t="shared" si="26"/>
        <v/>
      </c>
      <c r="AB351" s="37" t="str">
        <f t="shared" si="27"/>
        <v/>
      </c>
    </row>
    <row r="352" spans="13:28" x14ac:dyDescent="0.25">
      <c r="M352" s="95" t="str">
        <f t="shared" si="25"/>
        <v/>
      </c>
      <c r="N352" s="95" t="str">
        <f t="shared" si="26"/>
        <v/>
      </c>
      <c r="AB352" s="37" t="str">
        <f t="shared" si="27"/>
        <v/>
      </c>
    </row>
    <row r="353" spans="13:28" x14ac:dyDescent="0.25">
      <c r="M353" s="95" t="str">
        <f t="shared" si="25"/>
        <v/>
      </c>
      <c r="N353" s="95" t="str">
        <f t="shared" si="26"/>
        <v/>
      </c>
      <c r="AB353" s="37" t="str">
        <f t="shared" si="27"/>
        <v/>
      </c>
    </row>
    <row r="354" spans="13:28" x14ac:dyDescent="0.25">
      <c r="M354" s="95" t="str">
        <f t="shared" si="25"/>
        <v/>
      </c>
      <c r="N354" s="95" t="str">
        <f t="shared" si="26"/>
        <v/>
      </c>
      <c r="AB354" s="37" t="str">
        <f t="shared" si="27"/>
        <v/>
      </c>
    </row>
    <row r="355" spans="13:28" x14ac:dyDescent="0.25">
      <c r="M355" s="95" t="str">
        <f t="shared" si="25"/>
        <v/>
      </c>
      <c r="N355" s="95" t="str">
        <f t="shared" si="26"/>
        <v/>
      </c>
      <c r="AB355" s="37" t="str">
        <f t="shared" si="27"/>
        <v/>
      </c>
    </row>
    <row r="356" spans="13:28" x14ac:dyDescent="0.25">
      <c r="M356" s="95" t="str">
        <f t="shared" si="25"/>
        <v/>
      </c>
      <c r="N356" s="95" t="str">
        <f t="shared" si="26"/>
        <v/>
      </c>
      <c r="AB356" s="37" t="str">
        <f t="shared" si="27"/>
        <v/>
      </c>
    </row>
    <row r="357" spans="13:28" x14ac:dyDescent="0.25">
      <c r="M357" s="95" t="str">
        <f t="shared" si="25"/>
        <v/>
      </c>
      <c r="N357" s="95" t="str">
        <f t="shared" si="26"/>
        <v/>
      </c>
      <c r="AB357" s="37" t="str">
        <f t="shared" si="27"/>
        <v/>
      </c>
    </row>
    <row r="358" spans="13:28" x14ac:dyDescent="0.25">
      <c r="M358" s="95" t="str">
        <f t="shared" si="25"/>
        <v/>
      </c>
      <c r="N358" s="95" t="str">
        <f t="shared" si="26"/>
        <v/>
      </c>
      <c r="AB358" s="37" t="str">
        <f t="shared" si="27"/>
        <v/>
      </c>
    </row>
    <row r="359" spans="13:28" x14ac:dyDescent="0.25">
      <c r="M359" s="95" t="str">
        <f t="shared" si="25"/>
        <v/>
      </c>
      <c r="N359" s="95" t="str">
        <f t="shared" si="26"/>
        <v/>
      </c>
      <c r="AB359" s="37" t="str">
        <f t="shared" si="27"/>
        <v/>
      </c>
    </row>
    <row r="360" spans="13:28" x14ac:dyDescent="0.25">
      <c r="M360" s="95" t="str">
        <f t="shared" si="25"/>
        <v/>
      </c>
      <c r="N360" s="95" t="str">
        <f t="shared" si="26"/>
        <v/>
      </c>
      <c r="AB360" s="37" t="str">
        <f t="shared" si="27"/>
        <v/>
      </c>
    </row>
    <row r="361" spans="13:28" x14ac:dyDescent="0.25">
      <c r="M361" s="95" t="str">
        <f t="shared" si="25"/>
        <v/>
      </c>
      <c r="N361" s="95" t="str">
        <f t="shared" si="26"/>
        <v/>
      </c>
      <c r="AB361" s="37" t="str">
        <f t="shared" si="27"/>
        <v/>
      </c>
    </row>
    <row r="362" spans="13:28" x14ac:dyDescent="0.25">
      <c r="M362" s="95" t="str">
        <f t="shared" si="25"/>
        <v/>
      </c>
      <c r="N362" s="95" t="str">
        <f t="shared" si="26"/>
        <v/>
      </c>
      <c r="AB362" s="37" t="str">
        <f t="shared" si="27"/>
        <v/>
      </c>
    </row>
    <row r="363" spans="13:28" x14ac:dyDescent="0.25">
      <c r="M363" s="95" t="str">
        <f t="shared" si="25"/>
        <v/>
      </c>
      <c r="N363" s="95" t="str">
        <f t="shared" si="26"/>
        <v/>
      </c>
      <c r="AB363" s="37" t="str">
        <f t="shared" si="27"/>
        <v/>
      </c>
    </row>
    <row r="364" spans="13:28" x14ac:dyDescent="0.25">
      <c r="M364" s="95" t="str">
        <f t="shared" si="25"/>
        <v/>
      </c>
      <c r="N364" s="95" t="str">
        <f t="shared" si="26"/>
        <v/>
      </c>
      <c r="AB364" s="37" t="str">
        <f t="shared" si="27"/>
        <v/>
      </c>
    </row>
    <row r="365" spans="13:28" x14ac:dyDescent="0.25">
      <c r="M365" s="95" t="str">
        <f t="shared" si="25"/>
        <v/>
      </c>
      <c r="N365" s="95" t="str">
        <f t="shared" si="26"/>
        <v/>
      </c>
      <c r="AB365" s="37" t="str">
        <f t="shared" si="27"/>
        <v/>
      </c>
    </row>
    <row r="366" spans="13:28" x14ac:dyDescent="0.25">
      <c r="M366" s="95" t="str">
        <f t="shared" si="25"/>
        <v/>
      </c>
      <c r="N366" s="95" t="str">
        <f t="shared" si="26"/>
        <v/>
      </c>
      <c r="AB366" s="37" t="str">
        <f t="shared" si="27"/>
        <v/>
      </c>
    </row>
    <row r="367" spans="13:28" x14ac:dyDescent="0.25">
      <c r="M367" s="95" t="str">
        <f t="shared" si="25"/>
        <v/>
      </c>
      <c r="N367" s="95" t="str">
        <f t="shared" si="26"/>
        <v/>
      </c>
      <c r="AB367" s="37" t="str">
        <f t="shared" si="27"/>
        <v/>
      </c>
    </row>
    <row r="368" spans="13:28" x14ac:dyDescent="0.25">
      <c r="M368" s="95" t="str">
        <f t="shared" si="25"/>
        <v/>
      </c>
      <c r="N368" s="95" t="str">
        <f t="shared" si="26"/>
        <v/>
      </c>
      <c r="AB368" s="37" t="str">
        <f t="shared" si="27"/>
        <v/>
      </c>
    </row>
    <row r="369" spans="13:28" x14ac:dyDescent="0.25">
      <c r="M369" s="95" t="str">
        <f t="shared" si="25"/>
        <v/>
      </c>
      <c r="N369" s="95" t="str">
        <f t="shared" si="26"/>
        <v/>
      </c>
      <c r="AB369" s="37" t="str">
        <f t="shared" si="27"/>
        <v/>
      </c>
    </row>
    <row r="370" spans="13:28" x14ac:dyDescent="0.25">
      <c r="M370" s="95" t="str">
        <f t="shared" si="25"/>
        <v/>
      </c>
      <c r="N370" s="95" t="str">
        <f t="shared" si="26"/>
        <v/>
      </c>
      <c r="AB370" s="37" t="str">
        <f t="shared" si="27"/>
        <v/>
      </c>
    </row>
    <row r="371" spans="13:28" x14ac:dyDescent="0.25">
      <c r="M371" s="95" t="str">
        <f t="shared" si="25"/>
        <v/>
      </c>
      <c r="N371" s="95" t="str">
        <f t="shared" si="26"/>
        <v/>
      </c>
      <c r="AB371" s="37" t="str">
        <f t="shared" si="27"/>
        <v/>
      </c>
    </row>
    <row r="372" spans="13:28" x14ac:dyDescent="0.25">
      <c r="M372" s="95" t="str">
        <f t="shared" si="25"/>
        <v/>
      </c>
      <c r="N372" s="95" t="str">
        <f t="shared" si="26"/>
        <v/>
      </c>
      <c r="AB372" s="37" t="str">
        <f t="shared" si="27"/>
        <v/>
      </c>
    </row>
    <row r="373" spans="13:28" x14ac:dyDescent="0.25">
      <c r="M373" s="95" t="str">
        <f t="shared" si="25"/>
        <v/>
      </c>
      <c r="N373" s="95" t="str">
        <f t="shared" si="26"/>
        <v/>
      </c>
      <c r="AB373" s="37" t="str">
        <f t="shared" si="27"/>
        <v/>
      </c>
    </row>
    <row r="374" spans="13:28" x14ac:dyDescent="0.25">
      <c r="M374" s="95" t="str">
        <f t="shared" si="25"/>
        <v/>
      </c>
      <c r="N374" s="95" t="str">
        <f t="shared" si="26"/>
        <v/>
      </c>
      <c r="AB374" s="37" t="str">
        <f t="shared" si="27"/>
        <v/>
      </c>
    </row>
    <row r="375" spans="13:28" x14ac:dyDescent="0.25">
      <c r="M375" s="95" t="str">
        <f t="shared" si="25"/>
        <v/>
      </c>
      <c r="N375" s="95" t="str">
        <f t="shared" si="26"/>
        <v/>
      </c>
      <c r="AB375" s="37" t="str">
        <f t="shared" si="27"/>
        <v/>
      </c>
    </row>
    <row r="376" spans="13:28" x14ac:dyDescent="0.25">
      <c r="M376" s="95" t="str">
        <f t="shared" si="25"/>
        <v/>
      </c>
      <c r="N376" s="95" t="str">
        <f t="shared" si="26"/>
        <v/>
      </c>
      <c r="AB376" s="37" t="str">
        <f t="shared" si="27"/>
        <v/>
      </c>
    </row>
    <row r="377" spans="13:28" x14ac:dyDescent="0.25">
      <c r="M377" s="95" t="str">
        <f t="shared" si="25"/>
        <v/>
      </c>
      <c r="N377" s="95" t="str">
        <f t="shared" si="26"/>
        <v/>
      </c>
      <c r="AB377" s="37" t="str">
        <f t="shared" si="27"/>
        <v/>
      </c>
    </row>
    <row r="378" spans="13:28" x14ac:dyDescent="0.25">
      <c r="M378" s="95" t="str">
        <f t="shared" si="25"/>
        <v/>
      </c>
      <c r="N378" s="95" t="str">
        <f t="shared" si="26"/>
        <v/>
      </c>
      <c r="AB378" s="37" t="str">
        <f t="shared" si="27"/>
        <v/>
      </c>
    </row>
    <row r="379" spans="13:28" x14ac:dyDescent="0.25">
      <c r="M379" s="95" t="str">
        <f t="shared" si="25"/>
        <v/>
      </c>
      <c r="N379" s="95" t="str">
        <f t="shared" si="26"/>
        <v/>
      </c>
      <c r="AB379" s="37" t="str">
        <f t="shared" si="27"/>
        <v/>
      </c>
    </row>
    <row r="380" spans="13:28" x14ac:dyDescent="0.25">
      <c r="M380" s="95" t="str">
        <f t="shared" si="25"/>
        <v/>
      </c>
      <c r="N380" s="95" t="str">
        <f t="shared" si="26"/>
        <v/>
      </c>
      <c r="AB380" s="37" t="str">
        <f t="shared" si="27"/>
        <v/>
      </c>
    </row>
    <row r="381" spans="13:28" x14ac:dyDescent="0.25">
      <c r="M381" s="95" t="str">
        <f t="shared" si="25"/>
        <v/>
      </c>
      <c r="N381" s="95" t="str">
        <f t="shared" si="26"/>
        <v/>
      </c>
      <c r="AB381" s="37" t="str">
        <f t="shared" si="27"/>
        <v/>
      </c>
    </row>
    <row r="382" spans="13:28" x14ac:dyDescent="0.25">
      <c r="M382" s="95" t="str">
        <f t="shared" si="25"/>
        <v/>
      </c>
      <c r="N382" s="95" t="str">
        <f t="shared" si="26"/>
        <v/>
      </c>
      <c r="AB382" s="37" t="str">
        <f t="shared" si="27"/>
        <v/>
      </c>
    </row>
    <row r="383" spans="13:28" x14ac:dyDescent="0.25">
      <c r="M383" s="95" t="str">
        <f t="shared" si="25"/>
        <v/>
      </c>
      <c r="N383" s="95" t="str">
        <f t="shared" si="26"/>
        <v/>
      </c>
      <c r="AB383" s="37" t="str">
        <f t="shared" si="27"/>
        <v/>
      </c>
    </row>
    <row r="384" spans="13:28" x14ac:dyDescent="0.25">
      <c r="M384" s="95" t="str">
        <f t="shared" si="25"/>
        <v/>
      </c>
      <c r="N384" s="95" t="str">
        <f t="shared" si="26"/>
        <v/>
      </c>
      <c r="AB384" s="37" t="str">
        <f t="shared" si="27"/>
        <v/>
      </c>
    </row>
    <row r="385" spans="13:28" x14ac:dyDescent="0.25">
      <c r="M385" s="95" t="str">
        <f t="shared" si="25"/>
        <v/>
      </c>
      <c r="N385" s="95" t="str">
        <f t="shared" si="26"/>
        <v/>
      </c>
      <c r="AB385" s="37" t="str">
        <f t="shared" si="27"/>
        <v/>
      </c>
    </row>
    <row r="386" spans="13:28" x14ac:dyDescent="0.25">
      <c r="M386" s="95" t="str">
        <f t="shared" si="25"/>
        <v/>
      </c>
      <c r="N386" s="95" t="str">
        <f t="shared" si="26"/>
        <v/>
      </c>
      <c r="AB386" s="37" t="str">
        <f t="shared" si="27"/>
        <v/>
      </c>
    </row>
    <row r="387" spans="13:28" x14ac:dyDescent="0.25">
      <c r="M387" s="95" t="str">
        <f t="shared" ref="M387:M450" si="28">IF(COUNTIF(K:K,J387),J387,"")</f>
        <v/>
      </c>
      <c r="N387" s="95" t="str">
        <f t="shared" si="26"/>
        <v/>
      </c>
      <c r="AB387" s="37" t="str">
        <f t="shared" si="27"/>
        <v/>
      </c>
    </row>
    <row r="388" spans="13:28" x14ac:dyDescent="0.25">
      <c r="M388" s="95" t="str">
        <f t="shared" si="28"/>
        <v/>
      </c>
      <c r="N388" s="95" t="str">
        <f t="shared" ref="N388:N451" si="29">IF(M388&gt;$A$14,M388,"")</f>
        <v/>
      </c>
      <c r="AB388" s="37" t="str">
        <f t="shared" ref="AB388:AB421" si="30">IF(COUNTIF(Z:Z,X388),X388,"")</f>
        <v/>
      </c>
    </row>
    <row r="389" spans="13:28" x14ac:dyDescent="0.25">
      <c r="M389" s="95" t="str">
        <f t="shared" si="28"/>
        <v/>
      </c>
      <c r="N389" s="95" t="str">
        <f t="shared" si="29"/>
        <v/>
      </c>
      <c r="AB389" s="37" t="str">
        <f t="shared" si="30"/>
        <v/>
      </c>
    </row>
    <row r="390" spans="13:28" x14ac:dyDescent="0.25">
      <c r="M390" s="95" t="str">
        <f t="shared" si="28"/>
        <v/>
      </c>
      <c r="N390" s="95" t="str">
        <f t="shared" si="29"/>
        <v/>
      </c>
      <c r="AB390" s="37" t="str">
        <f t="shared" si="30"/>
        <v/>
      </c>
    </row>
    <row r="391" spans="13:28" x14ac:dyDescent="0.25">
      <c r="M391" s="95" t="str">
        <f t="shared" si="28"/>
        <v/>
      </c>
      <c r="N391" s="95" t="str">
        <f t="shared" si="29"/>
        <v/>
      </c>
      <c r="AB391" s="37" t="str">
        <f t="shared" si="30"/>
        <v/>
      </c>
    </row>
    <row r="392" spans="13:28" x14ac:dyDescent="0.25">
      <c r="M392" s="95" t="str">
        <f t="shared" si="28"/>
        <v/>
      </c>
      <c r="N392" s="95" t="str">
        <f t="shared" si="29"/>
        <v/>
      </c>
      <c r="AB392" s="37" t="str">
        <f t="shared" si="30"/>
        <v/>
      </c>
    </row>
    <row r="393" spans="13:28" x14ac:dyDescent="0.25">
      <c r="M393" s="95" t="str">
        <f t="shared" si="28"/>
        <v/>
      </c>
      <c r="N393" s="95" t="str">
        <f t="shared" si="29"/>
        <v/>
      </c>
      <c r="AB393" s="37" t="str">
        <f t="shared" si="30"/>
        <v/>
      </c>
    </row>
    <row r="394" spans="13:28" x14ac:dyDescent="0.25">
      <c r="M394" s="95" t="str">
        <f t="shared" si="28"/>
        <v/>
      </c>
      <c r="N394" s="95" t="str">
        <f t="shared" si="29"/>
        <v/>
      </c>
      <c r="AB394" s="37" t="str">
        <f t="shared" si="30"/>
        <v/>
      </c>
    </row>
    <row r="395" spans="13:28" x14ac:dyDescent="0.25">
      <c r="M395" s="95" t="str">
        <f t="shared" si="28"/>
        <v/>
      </c>
      <c r="N395" s="95" t="str">
        <f t="shared" si="29"/>
        <v/>
      </c>
      <c r="AB395" s="37" t="str">
        <f t="shared" si="30"/>
        <v/>
      </c>
    </row>
    <row r="396" spans="13:28" x14ac:dyDescent="0.25">
      <c r="M396" s="95" t="str">
        <f t="shared" si="28"/>
        <v/>
      </c>
      <c r="N396" s="95" t="str">
        <f t="shared" si="29"/>
        <v/>
      </c>
      <c r="AB396" s="37" t="str">
        <f t="shared" si="30"/>
        <v/>
      </c>
    </row>
    <row r="397" spans="13:28" x14ac:dyDescent="0.25">
      <c r="M397" s="95" t="str">
        <f t="shared" si="28"/>
        <v/>
      </c>
      <c r="N397" s="95" t="str">
        <f t="shared" si="29"/>
        <v/>
      </c>
      <c r="AB397" s="37" t="str">
        <f t="shared" si="30"/>
        <v/>
      </c>
    </row>
    <row r="398" spans="13:28" x14ac:dyDescent="0.25">
      <c r="M398" s="95" t="str">
        <f t="shared" si="28"/>
        <v/>
      </c>
      <c r="N398" s="95" t="str">
        <f t="shared" si="29"/>
        <v/>
      </c>
      <c r="AB398" s="37" t="str">
        <f t="shared" si="30"/>
        <v/>
      </c>
    </row>
    <row r="399" spans="13:28" x14ac:dyDescent="0.25">
      <c r="M399" s="95" t="str">
        <f t="shared" si="28"/>
        <v/>
      </c>
      <c r="N399" s="95" t="str">
        <f t="shared" si="29"/>
        <v/>
      </c>
      <c r="AB399" s="37" t="str">
        <f t="shared" si="30"/>
        <v/>
      </c>
    </row>
    <row r="400" spans="13:28" x14ac:dyDescent="0.25">
      <c r="M400" s="95" t="str">
        <f t="shared" si="28"/>
        <v/>
      </c>
      <c r="N400" s="95" t="str">
        <f t="shared" si="29"/>
        <v/>
      </c>
      <c r="AB400" s="37" t="str">
        <f t="shared" si="30"/>
        <v/>
      </c>
    </row>
    <row r="401" spans="13:28" x14ac:dyDescent="0.25">
      <c r="M401" s="95" t="str">
        <f t="shared" si="28"/>
        <v/>
      </c>
      <c r="N401" s="95" t="str">
        <f t="shared" si="29"/>
        <v/>
      </c>
      <c r="AB401" s="37" t="str">
        <f t="shared" si="30"/>
        <v/>
      </c>
    </row>
    <row r="402" spans="13:28" x14ac:dyDescent="0.25">
      <c r="M402" s="95" t="str">
        <f t="shared" si="28"/>
        <v/>
      </c>
      <c r="N402" s="95" t="str">
        <f t="shared" si="29"/>
        <v/>
      </c>
      <c r="AB402" s="37" t="str">
        <f t="shared" si="30"/>
        <v/>
      </c>
    </row>
    <row r="403" spans="13:28" x14ac:dyDescent="0.25">
      <c r="M403" s="95" t="str">
        <f t="shared" si="28"/>
        <v/>
      </c>
      <c r="N403" s="95" t="str">
        <f t="shared" si="29"/>
        <v/>
      </c>
      <c r="AB403" s="37" t="str">
        <f t="shared" si="30"/>
        <v/>
      </c>
    </row>
    <row r="404" spans="13:28" x14ac:dyDescent="0.25">
      <c r="M404" s="95" t="str">
        <f t="shared" si="28"/>
        <v/>
      </c>
      <c r="N404" s="95" t="str">
        <f t="shared" si="29"/>
        <v/>
      </c>
      <c r="AB404" s="37" t="str">
        <f t="shared" si="30"/>
        <v/>
      </c>
    </row>
    <row r="405" spans="13:28" x14ac:dyDescent="0.25">
      <c r="M405" s="95" t="str">
        <f t="shared" si="28"/>
        <v/>
      </c>
      <c r="N405" s="95" t="str">
        <f t="shared" si="29"/>
        <v/>
      </c>
      <c r="AB405" s="37" t="str">
        <f t="shared" si="30"/>
        <v/>
      </c>
    </row>
    <row r="406" spans="13:28" x14ac:dyDescent="0.25">
      <c r="M406" s="95" t="str">
        <f t="shared" si="28"/>
        <v/>
      </c>
      <c r="N406" s="95" t="str">
        <f t="shared" si="29"/>
        <v/>
      </c>
      <c r="AB406" s="37" t="str">
        <f t="shared" si="30"/>
        <v/>
      </c>
    </row>
    <row r="407" spans="13:28" x14ac:dyDescent="0.25">
      <c r="M407" s="95" t="str">
        <f t="shared" si="28"/>
        <v/>
      </c>
      <c r="N407" s="95" t="str">
        <f t="shared" si="29"/>
        <v/>
      </c>
      <c r="AB407" s="37" t="str">
        <f t="shared" si="30"/>
        <v/>
      </c>
    </row>
    <row r="408" spans="13:28" x14ac:dyDescent="0.25">
      <c r="M408" s="95" t="str">
        <f t="shared" si="28"/>
        <v/>
      </c>
      <c r="N408" s="95" t="str">
        <f t="shared" si="29"/>
        <v/>
      </c>
      <c r="AB408" s="37" t="str">
        <f t="shared" si="30"/>
        <v/>
      </c>
    </row>
    <row r="409" spans="13:28" x14ac:dyDescent="0.25">
      <c r="M409" s="95" t="str">
        <f t="shared" si="28"/>
        <v/>
      </c>
      <c r="N409" s="95" t="str">
        <f t="shared" si="29"/>
        <v/>
      </c>
      <c r="AB409" s="37" t="str">
        <f t="shared" si="30"/>
        <v/>
      </c>
    </row>
    <row r="410" spans="13:28" x14ac:dyDescent="0.25">
      <c r="M410" s="95" t="str">
        <f t="shared" si="28"/>
        <v/>
      </c>
      <c r="N410" s="95" t="str">
        <f t="shared" si="29"/>
        <v/>
      </c>
      <c r="AB410" s="37" t="str">
        <f t="shared" si="30"/>
        <v/>
      </c>
    </row>
    <row r="411" spans="13:28" x14ac:dyDescent="0.25">
      <c r="M411" s="95" t="str">
        <f t="shared" si="28"/>
        <v/>
      </c>
      <c r="N411" s="95" t="str">
        <f t="shared" si="29"/>
        <v/>
      </c>
      <c r="AB411" s="37" t="str">
        <f t="shared" si="30"/>
        <v/>
      </c>
    </row>
    <row r="412" spans="13:28" x14ac:dyDescent="0.25">
      <c r="M412" s="95" t="str">
        <f t="shared" si="28"/>
        <v/>
      </c>
      <c r="N412" s="95" t="str">
        <f t="shared" si="29"/>
        <v/>
      </c>
      <c r="AB412" s="37" t="str">
        <f t="shared" si="30"/>
        <v/>
      </c>
    </row>
    <row r="413" spans="13:28" x14ac:dyDescent="0.25">
      <c r="M413" s="95" t="str">
        <f t="shared" si="28"/>
        <v/>
      </c>
      <c r="N413" s="95" t="str">
        <f t="shared" si="29"/>
        <v/>
      </c>
      <c r="AB413" s="37" t="str">
        <f t="shared" si="30"/>
        <v/>
      </c>
    </row>
    <row r="414" spans="13:28" x14ac:dyDescent="0.25">
      <c r="M414" s="95" t="str">
        <f t="shared" si="28"/>
        <v/>
      </c>
      <c r="N414" s="95" t="str">
        <f t="shared" si="29"/>
        <v/>
      </c>
      <c r="AB414" s="37" t="str">
        <f t="shared" si="30"/>
        <v/>
      </c>
    </row>
    <row r="415" spans="13:28" x14ac:dyDescent="0.25">
      <c r="M415" s="95" t="str">
        <f t="shared" si="28"/>
        <v/>
      </c>
      <c r="N415" s="95" t="str">
        <f t="shared" si="29"/>
        <v/>
      </c>
      <c r="AB415" s="37" t="str">
        <f t="shared" si="30"/>
        <v/>
      </c>
    </row>
    <row r="416" spans="13:28" x14ac:dyDescent="0.25">
      <c r="M416" s="95" t="str">
        <f t="shared" si="28"/>
        <v/>
      </c>
      <c r="N416" s="95" t="str">
        <f t="shared" si="29"/>
        <v/>
      </c>
      <c r="AB416" s="37" t="str">
        <f t="shared" si="30"/>
        <v/>
      </c>
    </row>
    <row r="417" spans="13:28" x14ac:dyDescent="0.25">
      <c r="M417" s="95" t="str">
        <f t="shared" si="28"/>
        <v/>
      </c>
      <c r="N417" s="95" t="str">
        <f t="shared" si="29"/>
        <v/>
      </c>
      <c r="AB417" s="37" t="str">
        <f t="shared" si="30"/>
        <v/>
      </c>
    </row>
    <row r="418" spans="13:28" x14ac:dyDescent="0.25">
      <c r="M418" s="95" t="str">
        <f t="shared" si="28"/>
        <v/>
      </c>
      <c r="N418" s="95" t="str">
        <f t="shared" si="29"/>
        <v/>
      </c>
      <c r="AB418" s="37" t="str">
        <f t="shared" si="30"/>
        <v/>
      </c>
    </row>
    <row r="419" spans="13:28" x14ac:dyDescent="0.25">
      <c r="M419" s="95" t="str">
        <f t="shared" si="28"/>
        <v/>
      </c>
      <c r="N419" s="95" t="str">
        <f t="shared" si="29"/>
        <v/>
      </c>
      <c r="AB419" s="37" t="str">
        <f t="shared" si="30"/>
        <v/>
      </c>
    </row>
    <row r="420" spans="13:28" x14ac:dyDescent="0.25">
      <c r="M420" s="95" t="str">
        <f t="shared" si="28"/>
        <v/>
      </c>
      <c r="N420" s="95" t="str">
        <f t="shared" si="29"/>
        <v/>
      </c>
      <c r="AB420" s="37" t="str">
        <f t="shared" si="30"/>
        <v/>
      </c>
    </row>
    <row r="421" spans="13:28" x14ac:dyDescent="0.25">
      <c r="M421" s="95" t="str">
        <f t="shared" si="28"/>
        <v/>
      </c>
      <c r="N421" s="95" t="str">
        <f t="shared" si="29"/>
        <v/>
      </c>
      <c r="AB421" s="37" t="str">
        <f t="shared" si="30"/>
        <v/>
      </c>
    </row>
    <row r="422" spans="13:28" x14ac:dyDescent="0.25">
      <c r="M422" s="95" t="str">
        <f t="shared" si="28"/>
        <v/>
      </c>
      <c r="N422" s="95" t="str">
        <f t="shared" si="29"/>
        <v/>
      </c>
    </row>
    <row r="423" spans="13:28" x14ac:dyDescent="0.25">
      <c r="M423" s="95" t="str">
        <f t="shared" si="28"/>
        <v/>
      </c>
      <c r="N423" s="95" t="str">
        <f t="shared" si="29"/>
        <v/>
      </c>
    </row>
    <row r="424" spans="13:28" x14ac:dyDescent="0.25">
      <c r="M424" s="95" t="str">
        <f t="shared" si="28"/>
        <v/>
      </c>
      <c r="N424" s="95" t="str">
        <f t="shared" si="29"/>
        <v/>
      </c>
    </row>
    <row r="425" spans="13:28" x14ac:dyDescent="0.25">
      <c r="M425" s="95" t="str">
        <f t="shared" si="28"/>
        <v/>
      </c>
      <c r="N425" s="95" t="str">
        <f t="shared" si="29"/>
        <v/>
      </c>
    </row>
    <row r="426" spans="13:28" x14ac:dyDescent="0.25">
      <c r="M426" s="95" t="str">
        <f t="shared" si="28"/>
        <v/>
      </c>
      <c r="N426" s="95" t="str">
        <f t="shared" si="29"/>
        <v/>
      </c>
    </row>
    <row r="427" spans="13:28" x14ac:dyDescent="0.25">
      <c r="M427" s="95" t="str">
        <f t="shared" si="28"/>
        <v/>
      </c>
      <c r="N427" s="95" t="str">
        <f t="shared" si="29"/>
        <v/>
      </c>
    </row>
    <row r="428" spans="13:28" x14ac:dyDescent="0.25">
      <c r="M428" s="95" t="str">
        <f t="shared" si="28"/>
        <v/>
      </c>
      <c r="N428" s="95" t="str">
        <f t="shared" si="29"/>
        <v/>
      </c>
    </row>
    <row r="429" spans="13:28" x14ac:dyDescent="0.25">
      <c r="M429" s="95" t="str">
        <f t="shared" si="28"/>
        <v/>
      </c>
      <c r="N429" s="95" t="str">
        <f t="shared" si="29"/>
        <v/>
      </c>
    </row>
    <row r="430" spans="13:28" x14ac:dyDescent="0.25">
      <c r="M430" s="95" t="str">
        <f t="shared" si="28"/>
        <v/>
      </c>
      <c r="N430" s="95" t="str">
        <f t="shared" si="29"/>
        <v/>
      </c>
    </row>
    <row r="431" spans="13:28" x14ac:dyDescent="0.25">
      <c r="M431" s="95" t="str">
        <f t="shared" si="28"/>
        <v/>
      </c>
      <c r="N431" s="95" t="str">
        <f t="shared" si="29"/>
        <v/>
      </c>
    </row>
    <row r="432" spans="13:28" x14ac:dyDescent="0.25">
      <c r="M432" s="95" t="str">
        <f t="shared" si="28"/>
        <v/>
      </c>
      <c r="N432" s="95" t="str">
        <f t="shared" si="29"/>
        <v/>
      </c>
    </row>
    <row r="433" spans="13:14" x14ac:dyDescent="0.25">
      <c r="M433" s="95" t="str">
        <f t="shared" si="28"/>
        <v/>
      </c>
      <c r="N433" s="95" t="str">
        <f t="shared" si="29"/>
        <v/>
      </c>
    </row>
    <row r="434" spans="13:14" x14ac:dyDescent="0.25">
      <c r="M434" s="95" t="str">
        <f t="shared" si="28"/>
        <v/>
      </c>
      <c r="N434" s="95" t="str">
        <f t="shared" si="29"/>
        <v/>
      </c>
    </row>
    <row r="435" spans="13:14" x14ac:dyDescent="0.25">
      <c r="M435" s="95" t="str">
        <f t="shared" si="28"/>
        <v/>
      </c>
      <c r="N435" s="95" t="str">
        <f t="shared" si="29"/>
        <v/>
      </c>
    </row>
    <row r="436" spans="13:14" x14ac:dyDescent="0.25">
      <c r="M436" s="95" t="str">
        <f t="shared" si="28"/>
        <v/>
      </c>
      <c r="N436" s="95" t="str">
        <f t="shared" si="29"/>
        <v/>
      </c>
    </row>
    <row r="437" spans="13:14" x14ac:dyDescent="0.25">
      <c r="M437" s="95" t="str">
        <f t="shared" si="28"/>
        <v/>
      </c>
      <c r="N437" s="95" t="str">
        <f t="shared" si="29"/>
        <v/>
      </c>
    </row>
    <row r="438" spans="13:14" x14ac:dyDescent="0.25">
      <c r="M438" s="95" t="str">
        <f t="shared" si="28"/>
        <v/>
      </c>
      <c r="N438" s="95" t="str">
        <f t="shared" si="29"/>
        <v/>
      </c>
    </row>
    <row r="439" spans="13:14" x14ac:dyDescent="0.25">
      <c r="M439" s="95" t="str">
        <f t="shared" si="28"/>
        <v/>
      </c>
      <c r="N439" s="95" t="str">
        <f t="shared" si="29"/>
        <v/>
      </c>
    </row>
    <row r="440" spans="13:14" x14ac:dyDescent="0.25">
      <c r="M440" s="95" t="str">
        <f t="shared" si="28"/>
        <v/>
      </c>
      <c r="N440" s="95" t="str">
        <f t="shared" si="29"/>
        <v/>
      </c>
    </row>
    <row r="441" spans="13:14" x14ac:dyDescent="0.25">
      <c r="M441" s="95" t="str">
        <f t="shared" si="28"/>
        <v/>
      </c>
      <c r="N441" s="95" t="str">
        <f t="shared" si="29"/>
        <v/>
      </c>
    </row>
    <row r="442" spans="13:14" x14ac:dyDescent="0.25">
      <c r="M442" s="95" t="str">
        <f t="shared" si="28"/>
        <v/>
      </c>
      <c r="N442" s="95" t="str">
        <f t="shared" si="29"/>
        <v/>
      </c>
    </row>
    <row r="443" spans="13:14" x14ac:dyDescent="0.25">
      <c r="M443" s="95" t="str">
        <f t="shared" si="28"/>
        <v/>
      </c>
      <c r="N443" s="95" t="str">
        <f t="shared" si="29"/>
        <v/>
      </c>
    </row>
    <row r="444" spans="13:14" x14ac:dyDescent="0.25">
      <c r="M444" s="95" t="str">
        <f t="shared" si="28"/>
        <v/>
      </c>
      <c r="N444" s="95" t="str">
        <f t="shared" si="29"/>
        <v/>
      </c>
    </row>
    <row r="445" spans="13:14" x14ac:dyDescent="0.25">
      <c r="M445" s="95" t="str">
        <f t="shared" si="28"/>
        <v/>
      </c>
      <c r="N445" s="95" t="str">
        <f t="shared" si="29"/>
        <v/>
      </c>
    </row>
    <row r="446" spans="13:14" x14ac:dyDescent="0.25">
      <c r="M446" s="95" t="str">
        <f t="shared" si="28"/>
        <v/>
      </c>
      <c r="N446" s="95" t="str">
        <f t="shared" si="29"/>
        <v/>
      </c>
    </row>
    <row r="447" spans="13:14" x14ac:dyDescent="0.25">
      <c r="M447" s="95" t="str">
        <f t="shared" si="28"/>
        <v/>
      </c>
      <c r="N447" s="95" t="str">
        <f t="shared" si="29"/>
        <v/>
      </c>
    </row>
    <row r="448" spans="13:14" x14ac:dyDescent="0.25">
      <c r="M448" s="95" t="str">
        <f t="shared" si="28"/>
        <v/>
      </c>
      <c r="N448" s="95" t="str">
        <f t="shared" si="29"/>
        <v/>
      </c>
    </row>
    <row r="449" spans="13:14" x14ac:dyDescent="0.25">
      <c r="M449" s="95" t="str">
        <f t="shared" si="28"/>
        <v/>
      </c>
      <c r="N449" s="95" t="str">
        <f t="shared" si="29"/>
        <v/>
      </c>
    </row>
    <row r="450" spans="13:14" x14ac:dyDescent="0.25">
      <c r="M450" s="95" t="str">
        <f t="shared" si="28"/>
        <v/>
      </c>
      <c r="N450" s="95" t="str">
        <f t="shared" si="29"/>
        <v/>
      </c>
    </row>
    <row r="451" spans="13:14" x14ac:dyDescent="0.25">
      <c r="M451" s="95" t="str">
        <f t="shared" ref="M451:M514" si="31">IF(COUNTIF(K:K,J451),J451,"")</f>
        <v/>
      </c>
      <c r="N451" s="95" t="str">
        <f t="shared" si="29"/>
        <v/>
      </c>
    </row>
    <row r="452" spans="13:14" x14ac:dyDescent="0.25">
      <c r="M452" s="95" t="str">
        <f t="shared" si="31"/>
        <v/>
      </c>
      <c r="N452" s="95" t="str">
        <f t="shared" ref="N452:N515" si="32">IF(M452&gt;$A$14,M452,"")</f>
        <v/>
      </c>
    </row>
    <row r="453" spans="13:14" x14ac:dyDescent="0.25">
      <c r="M453" s="95" t="str">
        <f t="shared" si="31"/>
        <v/>
      </c>
      <c r="N453" s="95" t="str">
        <f t="shared" si="32"/>
        <v/>
      </c>
    </row>
    <row r="454" spans="13:14" x14ac:dyDescent="0.25">
      <c r="M454" s="95" t="str">
        <f t="shared" si="31"/>
        <v/>
      </c>
      <c r="N454" s="95" t="str">
        <f t="shared" si="32"/>
        <v/>
      </c>
    </row>
    <row r="455" spans="13:14" x14ac:dyDescent="0.25">
      <c r="M455" s="95" t="str">
        <f t="shared" si="31"/>
        <v/>
      </c>
      <c r="N455" s="95" t="str">
        <f t="shared" si="32"/>
        <v/>
      </c>
    </row>
    <row r="456" spans="13:14" x14ac:dyDescent="0.25">
      <c r="M456" s="95" t="str">
        <f t="shared" si="31"/>
        <v/>
      </c>
      <c r="N456" s="95" t="str">
        <f t="shared" si="32"/>
        <v/>
      </c>
    </row>
    <row r="457" spans="13:14" x14ac:dyDescent="0.25">
      <c r="M457" s="95" t="str">
        <f t="shared" si="31"/>
        <v/>
      </c>
      <c r="N457" s="95" t="str">
        <f t="shared" si="32"/>
        <v/>
      </c>
    </row>
    <row r="458" spans="13:14" x14ac:dyDescent="0.25">
      <c r="M458" s="95" t="str">
        <f t="shared" si="31"/>
        <v/>
      </c>
      <c r="N458" s="95" t="str">
        <f t="shared" si="32"/>
        <v/>
      </c>
    </row>
    <row r="459" spans="13:14" x14ac:dyDescent="0.25">
      <c r="M459" s="95" t="str">
        <f t="shared" si="31"/>
        <v/>
      </c>
      <c r="N459" s="95" t="str">
        <f t="shared" si="32"/>
        <v/>
      </c>
    </row>
    <row r="460" spans="13:14" x14ac:dyDescent="0.25">
      <c r="M460" s="95" t="str">
        <f t="shared" si="31"/>
        <v/>
      </c>
      <c r="N460" s="95" t="str">
        <f t="shared" si="32"/>
        <v/>
      </c>
    </row>
    <row r="461" spans="13:14" x14ac:dyDescent="0.25">
      <c r="M461" s="95" t="str">
        <f t="shared" si="31"/>
        <v/>
      </c>
      <c r="N461" s="95" t="str">
        <f t="shared" si="32"/>
        <v/>
      </c>
    </row>
    <row r="462" spans="13:14" x14ac:dyDescent="0.25">
      <c r="M462" s="95" t="str">
        <f t="shared" si="31"/>
        <v/>
      </c>
      <c r="N462" s="95" t="str">
        <f t="shared" si="32"/>
        <v/>
      </c>
    </row>
    <row r="463" spans="13:14" x14ac:dyDescent="0.25">
      <c r="M463" s="95" t="str">
        <f t="shared" si="31"/>
        <v/>
      </c>
      <c r="N463" s="95" t="str">
        <f t="shared" si="32"/>
        <v/>
      </c>
    </row>
    <row r="464" spans="13:14" x14ac:dyDescent="0.25">
      <c r="M464" s="95" t="str">
        <f t="shared" si="31"/>
        <v/>
      </c>
      <c r="N464" s="95" t="str">
        <f t="shared" si="32"/>
        <v/>
      </c>
    </row>
    <row r="465" spans="13:14" x14ac:dyDescent="0.25">
      <c r="M465" s="95" t="str">
        <f t="shared" si="31"/>
        <v/>
      </c>
      <c r="N465" s="95" t="str">
        <f t="shared" si="32"/>
        <v/>
      </c>
    </row>
    <row r="466" spans="13:14" x14ac:dyDescent="0.25">
      <c r="M466" s="95" t="str">
        <f t="shared" si="31"/>
        <v/>
      </c>
      <c r="N466" s="95" t="str">
        <f t="shared" si="32"/>
        <v/>
      </c>
    </row>
    <row r="467" spans="13:14" x14ac:dyDescent="0.25">
      <c r="M467" s="95" t="str">
        <f t="shared" si="31"/>
        <v/>
      </c>
      <c r="N467" s="95" t="str">
        <f t="shared" si="32"/>
        <v/>
      </c>
    </row>
    <row r="468" spans="13:14" x14ac:dyDescent="0.25">
      <c r="M468" s="95" t="str">
        <f t="shared" si="31"/>
        <v/>
      </c>
      <c r="N468" s="95" t="str">
        <f t="shared" si="32"/>
        <v/>
      </c>
    </row>
    <row r="469" spans="13:14" x14ac:dyDescent="0.25">
      <c r="M469" s="95" t="str">
        <f t="shared" si="31"/>
        <v/>
      </c>
      <c r="N469" s="95" t="str">
        <f t="shared" si="32"/>
        <v/>
      </c>
    </row>
    <row r="470" spans="13:14" x14ac:dyDescent="0.25">
      <c r="M470" s="95" t="str">
        <f t="shared" si="31"/>
        <v/>
      </c>
      <c r="N470" s="95" t="str">
        <f t="shared" si="32"/>
        <v/>
      </c>
    </row>
    <row r="471" spans="13:14" x14ac:dyDescent="0.25">
      <c r="M471" s="95" t="str">
        <f t="shared" si="31"/>
        <v/>
      </c>
      <c r="N471" s="95" t="str">
        <f t="shared" si="32"/>
        <v/>
      </c>
    </row>
    <row r="472" spans="13:14" x14ac:dyDescent="0.25">
      <c r="M472" s="95" t="str">
        <f t="shared" si="31"/>
        <v/>
      </c>
      <c r="N472" s="95" t="str">
        <f t="shared" si="32"/>
        <v/>
      </c>
    </row>
    <row r="473" spans="13:14" x14ac:dyDescent="0.25">
      <c r="M473" s="95" t="str">
        <f t="shared" si="31"/>
        <v/>
      </c>
      <c r="N473" s="95" t="str">
        <f t="shared" si="32"/>
        <v/>
      </c>
    </row>
    <row r="474" spans="13:14" x14ac:dyDescent="0.25">
      <c r="M474" s="95" t="str">
        <f t="shared" si="31"/>
        <v/>
      </c>
      <c r="N474" s="95" t="str">
        <f t="shared" si="32"/>
        <v/>
      </c>
    </row>
    <row r="475" spans="13:14" x14ac:dyDescent="0.25">
      <c r="M475" s="95" t="str">
        <f t="shared" si="31"/>
        <v/>
      </c>
      <c r="N475" s="95" t="str">
        <f t="shared" si="32"/>
        <v/>
      </c>
    </row>
    <row r="476" spans="13:14" x14ac:dyDescent="0.25">
      <c r="M476" s="95" t="str">
        <f t="shared" si="31"/>
        <v/>
      </c>
      <c r="N476" s="95" t="str">
        <f t="shared" si="32"/>
        <v/>
      </c>
    </row>
    <row r="477" spans="13:14" x14ac:dyDescent="0.25">
      <c r="M477" s="95" t="str">
        <f t="shared" si="31"/>
        <v/>
      </c>
      <c r="N477" s="95" t="str">
        <f t="shared" si="32"/>
        <v/>
      </c>
    </row>
    <row r="478" spans="13:14" x14ac:dyDescent="0.25">
      <c r="M478" s="95" t="str">
        <f t="shared" si="31"/>
        <v/>
      </c>
      <c r="N478" s="95" t="str">
        <f t="shared" si="32"/>
        <v/>
      </c>
    </row>
    <row r="479" spans="13:14" x14ac:dyDescent="0.25">
      <c r="M479" s="95" t="str">
        <f t="shared" si="31"/>
        <v/>
      </c>
      <c r="N479" s="95" t="str">
        <f t="shared" si="32"/>
        <v/>
      </c>
    </row>
    <row r="480" spans="13:14" x14ac:dyDescent="0.25">
      <c r="M480" s="95" t="str">
        <f t="shared" si="31"/>
        <v/>
      </c>
      <c r="N480" s="95" t="str">
        <f t="shared" si="32"/>
        <v/>
      </c>
    </row>
    <row r="481" spans="13:14" x14ac:dyDescent="0.25">
      <c r="M481" s="95" t="str">
        <f t="shared" si="31"/>
        <v/>
      </c>
      <c r="N481" s="95" t="str">
        <f t="shared" si="32"/>
        <v/>
      </c>
    </row>
    <row r="482" spans="13:14" x14ac:dyDescent="0.25">
      <c r="M482" s="95" t="str">
        <f t="shared" si="31"/>
        <v/>
      </c>
      <c r="N482" s="95" t="str">
        <f t="shared" si="32"/>
        <v/>
      </c>
    </row>
    <row r="483" spans="13:14" x14ac:dyDescent="0.25">
      <c r="M483" s="95" t="str">
        <f t="shared" si="31"/>
        <v/>
      </c>
      <c r="N483" s="95" t="str">
        <f t="shared" si="32"/>
        <v/>
      </c>
    </row>
    <row r="484" spans="13:14" x14ac:dyDescent="0.25">
      <c r="M484" s="95" t="str">
        <f t="shared" si="31"/>
        <v/>
      </c>
      <c r="N484" s="95" t="str">
        <f t="shared" si="32"/>
        <v/>
      </c>
    </row>
    <row r="485" spans="13:14" x14ac:dyDescent="0.25">
      <c r="M485" s="95" t="str">
        <f t="shared" si="31"/>
        <v/>
      </c>
      <c r="N485" s="95" t="str">
        <f t="shared" si="32"/>
        <v/>
      </c>
    </row>
    <row r="486" spans="13:14" x14ac:dyDescent="0.25">
      <c r="M486" s="95" t="str">
        <f t="shared" si="31"/>
        <v/>
      </c>
      <c r="N486" s="95" t="str">
        <f t="shared" si="32"/>
        <v/>
      </c>
    </row>
    <row r="487" spans="13:14" x14ac:dyDescent="0.25">
      <c r="M487" s="95" t="str">
        <f t="shared" si="31"/>
        <v/>
      </c>
      <c r="N487" s="95" t="str">
        <f t="shared" si="32"/>
        <v/>
      </c>
    </row>
    <row r="488" spans="13:14" x14ac:dyDescent="0.25">
      <c r="M488" s="95" t="str">
        <f t="shared" si="31"/>
        <v/>
      </c>
      <c r="N488" s="95" t="str">
        <f t="shared" si="32"/>
        <v/>
      </c>
    </row>
    <row r="489" spans="13:14" x14ac:dyDescent="0.25">
      <c r="M489" s="95" t="str">
        <f t="shared" si="31"/>
        <v/>
      </c>
      <c r="N489" s="95" t="str">
        <f t="shared" si="32"/>
        <v/>
      </c>
    </row>
    <row r="490" spans="13:14" x14ac:dyDescent="0.25">
      <c r="M490" s="95" t="str">
        <f t="shared" si="31"/>
        <v/>
      </c>
      <c r="N490" s="95" t="str">
        <f t="shared" si="32"/>
        <v/>
      </c>
    </row>
    <row r="491" spans="13:14" x14ac:dyDescent="0.25">
      <c r="M491" s="95" t="str">
        <f t="shared" si="31"/>
        <v/>
      </c>
      <c r="N491" s="95" t="str">
        <f t="shared" si="32"/>
        <v/>
      </c>
    </row>
    <row r="492" spans="13:14" x14ac:dyDescent="0.25">
      <c r="M492" s="95" t="str">
        <f t="shared" si="31"/>
        <v/>
      </c>
      <c r="N492" s="95" t="str">
        <f t="shared" si="32"/>
        <v/>
      </c>
    </row>
    <row r="493" spans="13:14" x14ac:dyDescent="0.25">
      <c r="M493" s="95" t="str">
        <f t="shared" si="31"/>
        <v/>
      </c>
      <c r="N493" s="95" t="str">
        <f t="shared" si="32"/>
        <v/>
      </c>
    </row>
    <row r="494" spans="13:14" x14ac:dyDescent="0.25">
      <c r="M494" s="95" t="str">
        <f t="shared" si="31"/>
        <v/>
      </c>
      <c r="N494" s="95" t="str">
        <f t="shared" si="32"/>
        <v/>
      </c>
    </row>
    <row r="495" spans="13:14" x14ac:dyDescent="0.25">
      <c r="M495" s="95" t="str">
        <f t="shared" si="31"/>
        <v/>
      </c>
      <c r="N495" s="95" t="str">
        <f t="shared" si="32"/>
        <v/>
      </c>
    </row>
    <row r="496" spans="13:14" x14ac:dyDescent="0.25">
      <c r="M496" s="95" t="str">
        <f t="shared" si="31"/>
        <v/>
      </c>
      <c r="N496" s="95" t="str">
        <f t="shared" si="32"/>
        <v/>
      </c>
    </row>
    <row r="497" spans="13:14" x14ac:dyDescent="0.25">
      <c r="M497" s="95" t="str">
        <f t="shared" si="31"/>
        <v/>
      </c>
      <c r="N497" s="95" t="str">
        <f t="shared" si="32"/>
        <v/>
      </c>
    </row>
    <row r="498" spans="13:14" x14ac:dyDescent="0.25">
      <c r="M498" s="95" t="str">
        <f t="shared" si="31"/>
        <v/>
      </c>
      <c r="N498" s="95" t="str">
        <f t="shared" si="32"/>
        <v/>
      </c>
    </row>
    <row r="499" spans="13:14" x14ac:dyDescent="0.25">
      <c r="M499" s="95" t="str">
        <f t="shared" si="31"/>
        <v/>
      </c>
      <c r="N499" s="95" t="str">
        <f t="shared" si="32"/>
        <v/>
      </c>
    </row>
    <row r="500" spans="13:14" x14ac:dyDescent="0.25">
      <c r="M500" s="95" t="str">
        <f t="shared" si="31"/>
        <v/>
      </c>
      <c r="N500" s="95" t="str">
        <f t="shared" si="32"/>
        <v/>
      </c>
    </row>
    <row r="501" spans="13:14" x14ac:dyDescent="0.25">
      <c r="M501" s="95" t="str">
        <f t="shared" si="31"/>
        <v/>
      </c>
      <c r="N501" s="95" t="str">
        <f t="shared" si="32"/>
        <v/>
      </c>
    </row>
    <row r="502" spans="13:14" x14ac:dyDescent="0.25">
      <c r="M502" s="95" t="str">
        <f t="shared" si="31"/>
        <v/>
      </c>
      <c r="N502" s="95" t="str">
        <f t="shared" si="32"/>
        <v/>
      </c>
    </row>
    <row r="503" spans="13:14" x14ac:dyDescent="0.25">
      <c r="M503" s="95" t="str">
        <f t="shared" si="31"/>
        <v/>
      </c>
      <c r="N503" s="95" t="str">
        <f t="shared" si="32"/>
        <v/>
      </c>
    </row>
    <row r="504" spans="13:14" x14ac:dyDescent="0.25">
      <c r="M504" s="95" t="str">
        <f t="shared" si="31"/>
        <v/>
      </c>
      <c r="N504" s="95" t="str">
        <f t="shared" si="32"/>
        <v/>
      </c>
    </row>
    <row r="505" spans="13:14" x14ac:dyDescent="0.25">
      <c r="M505" s="95" t="str">
        <f t="shared" si="31"/>
        <v/>
      </c>
      <c r="N505" s="95" t="str">
        <f t="shared" si="32"/>
        <v/>
      </c>
    </row>
    <row r="506" spans="13:14" x14ac:dyDescent="0.25">
      <c r="M506" s="95" t="str">
        <f t="shared" si="31"/>
        <v/>
      </c>
      <c r="N506" s="95" t="str">
        <f t="shared" si="32"/>
        <v/>
      </c>
    </row>
    <row r="507" spans="13:14" x14ac:dyDescent="0.25">
      <c r="M507" s="95" t="str">
        <f t="shared" si="31"/>
        <v/>
      </c>
      <c r="N507" s="95" t="str">
        <f t="shared" si="32"/>
        <v/>
      </c>
    </row>
    <row r="508" spans="13:14" x14ac:dyDescent="0.25">
      <c r="M508" s="95" t="str">
        <f t="shared" si="31"/>
        <v/>
      </c>
      <c r="N508" s="95" t="str">
        <f t="shared" si="32"/>
        <v/>
      </c>
    </row>
    <row r="509" spans="13:14" x14ac:dyDescent="0.25">
      <c r="M509" s="95" t="str">
        <f t="shared" si="31"/>
        <v/>
      </c>
      <c r="N509" s="95" t="str">
        <f t="shared" si="32"/>
        <v/>
      </c>
    </row>
    <row r="510" spans="13:14" x14ac:dyDescent="0.25">
      <c r="M510" s="95" t="str">
        <f t="shared" si="31"/>
        <v/>
      </c>
      <c r="N510" s="95" t="str">
        <f t="shared" si="32"/>
        <v/>
      </c>
    </row>
    <row r="511" spans="13:14" x14ac:dyDescent="0.25">
      <c r="M511" s="95" t="str">
        <f t="shared" si="31"/>
        <v/>
      </c>
      <c r="N511" s="95" t="str">
        <f t="shared" si="32"/>
        <v/>
      </c>
    </row>
    <row r="512" spans="13:14" x14ac:dyDescent="0.25">
      <c r="M512" s="95" t="str">
        <f t="shared" si="31"/>
        <v/>
      </c>
      <c r="N512" s="95" t="str">
        <f t="shared" si="32"/>
        <v/>
      </c>
    </row>
    <row r="513" spans="13:14" x14ac:dyDescent="0.25">
      <c r="M513" s="95" t="str">
        <f t="shared" si="31"/>
        <v/>
      </c>
      <c r="N513" s="95" t="str">
        <f t="shared" si="32"/>
        <v/>
      </c>
    </row>
    <row r="514" spans="13:14" x14ac:dyDescent="0.25">
      <c r="M514" s="95" t="str">
        <f t="shared" si="31"/>
        <v/>
      </c>
      <c r="N514" s="95" t="str">
        <f t="shared" si="32"/>
        <v/>
      </c>
    </row>
    <row r="515" spans="13:14" x14ac:dyDescent="0.25">
      <c r="M515" s="95" t="str">
        <f t="shared" ref="M515:M578" si="33">IF(COUNTIF(K:K,J515),J515,"")</f>
        <v/>
      </c>
      <c r="N515" s="95" t="str">
        <f t="shared" si="32"/>
        <v/>
      </c>
    </row>
    <row r="516" spans="13:14" x14ac:dyDescent="0.25">
      <c r="M516" s="95" t="str">
        <f t="shared" si="33"/>
        <v/>
      </c>
      <c r="N516" s="95" t="str">
        <f t="shared" ref="N516:N579" si="34">IF(M516&gt;$A$14,M516,"")</f>
        <v/>
      </c>
    </row>
    <row r="517" spans="13:14" x14ac:dyDescent="0.25">
      <c r="M517" s="95" t="str">
        <f t="shared" si="33"/>
        <v/>
      </c>
      <c r="N517" s="95" t="str">
        <f t="shared" si="34"/>
        <v/>
      </c>
    </row>
    <row r="518" spans="13:14" x14ac:dyDescent="0.25">
      <c r="M518" s="95" t="str">
        <f t="shared" si="33"/>
        <v/>
      </c>
      <c r="N518" s="95" t="str">
        <f t="shared" si="34"/>
        <v/>
      </c>
    </row>
    <row r="519" spans="13:14" x14ac:dyDescent="0.25">
      <c r="M519" s="95" t="str">
        <f t="shared" si="33"/>
        <v/>
      </c>
      <c r="N519" s="95" t="str">
        <f t="shared" si="34"/>
        <v/>
      </c>
    </row>
    <row r="520" spans="13:14" x14ac:dyDescent="0.25">
      <c r="M520" s="95" t="str">
        <f t="shared" si="33"/>
        <v/>
      </c>
      <c r="N520" s="95" t="str">
        <f t="shared" si="34"/>
        <v/>
      </c>
    </row>
    <row r="521" spans="13:14" x14ac:dyDescent="0.25">
      <c r="M521" s="95" t="str">
        <f t="shared" si="33"/>
        <v/>
      </c>
      <c r="N521" s="95" t="str">
        <f t="shared" si="34"/>
        <v/>
      </c>
    </row>
    <row r="522" spans="13:14" x14ac:dyDescent="0.25">
      <c r="M522" s="95" t="str">
        <f t="shared" si="33"/>
        <v/>
      </c>
      <c r="N522" s="95" t="str">
        <f t="shared" si="34"/>
        <v/>
      </c>
    </row>
    <row r="523" spans="13:14" x14ac:dyDescent="0.25">
      <c r="M523" s="95" t="str">
        <f t="shared" si="33"/>
        <v/>
      </c>
      <c r="N523" s="95" t="str">
        <f t="shared" si="34"/>
        <v/>
      </c>
    </row>
    <row r="524" spans="13:14" x14ac:dyDescent="0.25">
      <c r="M524" s="95" t="str">
        <f t="shared" si="33"/>
        <v/>
      </c>
      <c r="N524" s="95" t="str">
        <f t="shared" si="34"/>
        <v/>
      </c>
    </row>
    <row r="525" spans="13:14" x14ac:dyDescent="0.25">
      <c r="M525" s="95" t="str">
        <f t="shared" si="33"/>
        <v/>
      </c>
      <c r="N525" s="95" t="str">
        <f t="shared" si="34"/>
        <v/>
      </c>
    </row>
    <row r="526" spans="13:14" x14ac:dyDescent="0.25">
      <c r="M526" s="95" t="str">
        <f t="shared" si="33"/>
        <v/>
      </c>
      <c r="N526" s="95" t="str">
        <f t="shared" si="34"/>
        <v/>
      </c>
    </row>
    <row r="527" spans="13:14" x14ac:dyDescent="0.25">
      <c r="M527" s="95" t="str">
        <f t="shared" si="33"/>
        <v/>
      </c>
      <c r="N527" s="95" t="str">
        <f t="shared" si="34"/>
        <v/>
      </c>
    </row>
    <row r="528" spans="13:14" x14ac:dyDescent="0.25">
      <c r="M528" s="95" t="str">
        <f t="shared" si="33"/>
        <v/>
      </c>
      <c r="N528" s="95" t="str">
        <f t="shared" si="34"/>
        <v/>
      </c>
    </row>
    <row r="529" spans="13:14" x14ac:dyDescent="0.25">
      <c r="M529" s="95" t="str">
        <f t="shared" si="33"/>
        <v/>
      </c>
      <c r="N529" s="95" t="str">
        <f t="shared" si="34"/>
        <v/>
      </c>
    </row>
    <row r="530" spans="13:14" x14ac:dyDescent="0.25">
      <c r="M530" s="95" t="str">
        <f t="shared" si="33"/>
        <v/>
      </c>
      <c r="N530" s="95" t="str">
        <f t="shared" si="34"/>
        <v/>
      </c>
    </row>
    <row r="531" spans="13:14" x14ac:dyDescent="0.25">
      <c r="M531" s="95" t="str">
        <f t="shared" si="33"/>
        <v/>
      </c>
      <c r="N531" s="95" t="str">
        <f t="shared" si="34"/>
        <v/>
      </c>
    </row>
    <row r="532" spans="13:14" x14ac:dyDescent="0.25">
      <c r="M532" s="95" t="str">
        <f t="shared" si="33"/>
        <v/>
      </c>
      <c r="N532" s="95" t="str">
        <f t="shared" si="34"/>
        <v/>
      </c>
    </row>
    <row r="533" spans="13:14" x14ac:dyDescent="0.25">
      <c r="M533" s="95" t="str">
        <f t="shared" si="33"/>
        <v/>
      </c>
      <c r="N533" s="95" t="str">
        <f t="shared" si="34"/>
        <v/>
      </c>
    </row>
    <row r="534" spans="13:14" x14ac:dyDescent="0.25">
      <c r="M534" s="95" t="str">
        <f t="shared" si="33"/>
        <v/>
      </c>
      <c r="N534" s="95" t="str">
        <f t="shared" si="34"/>
        <v/>
      </c>
    </row>
    <row r="535" spans="13:14" x14ac:dyDescent="0.25">
      <c r="M535" s="95" t="str">
        <f t="shared" si="33"/>
        <v/>
      </c>
      <c r="N535" s="95" t="str">
        <f t="shared" si="34"/>
        <v/>
      </c>
    </row>
    <row r="536" spans="13:14" x14ac:dyDescent="0.25">
      <c r="M536" s="95" t="str">
        <f t="shared" si="33"/>
        <v/>
      </c>
      <c r="N536" s="95" t="str">
        <f t="shared" si="34"/>
        <v/>
      </c>
    </row>
    <row r="537" spans="13:14" x14ac:dyDescent="0.25">
      <c r="M537" s="95" t="str">
        <f t="shared" si="33"/>
        <v/>
      </c>
      <c r="N537" s="95" t="str">
        <f t="shared" si="34"/>
        <v/>
      </c>
    </row>
    <row r="538" spans="13:14" x14ac:dyDescent="0.25">
      <c r="M538" s="95" t="str">
        <f t="shared" si="33"/>
        <v/>
      </c>
      <c r="N538" s="95" t="str">
        <f t="shared" si="34"/>
        <v/>
      </c>
    </row>
    <row r="539" spans="13:14" x14ac:dyDescent="0.25">
      <c r="M539" s="95" t="str">
        <f t="shared" si="33"/>
        <v/>
      </c>
      <c r="N539" s="95" t="str">
        <f t="shared" si="34"/>
        <v/>
      </c>
    </row>
    <row r="540" spans="13:14" x14ac:dyDescent="0.25">
      <c r="M540" s="95" t="str">
        <f t="shared" si="33"/>
        <v/>
      </c>
      <c r="N540" s="95" t="str">
        <f t="shared" si="34"/>
        <v/>
      </c>
    </row>
    <row r="541" spans="13:14" x14ac:dyDescent="0.25">
      <c r="M541" s="95" t="str">
        <f t="shared" si="33"/>
        <v/>
      </c>
      <c r="N541" s="95" t="str">
        <f t="shared" si="34"/>
        <v/>
      </c>
    </row>
    <row r="542" spans="13:14" x14ac:dyDescent="0.25">
      <c r="M542" s="95" t="str">
        <f t="shared" si="33"/>
        <v/>
      </c>
      <c r="N542" s="95" t="str">
        <f t="shared" si="34"/>
        <v/>
      </c>
    </row>
    <row r="543" spans="13:14" x14ac:dyDescent="0.25">
      <c r="M543" s="95" t="str">
        <f t="shared" si="33"/>
        <v/>
      </c>
      <c r="N543" s="95" t="str">
        <f t="shared" si="34"/>
        <v/>
      </c>
    </row>
    <row r="544" spans="13:14" x14ac:dyDescent="0.25">
      <c r="M544" s="95" t="str">
        <f t="shared" si="33"/>
        <v/>
      </c>
      <c r="N544" s="95" t="str">
        <f t="shared" si="34"/>
        <v/>
      </c>
    </row>
    <row r="545" spans="13:14" x14ac:dyDescent="0.25">
      <c r="M545" s="95" t="str">
        <f t="shared" si="33"/>
        <v/>
      </c>
      <c r="N545" s="95" t="str">
        <f t="shared" si="34"/>
        <v/>
      </c>
    </row>
    <row r="546" spans="13:14" x14ac:dyDescent="0.25">
      <c r="M546" s="95" t="str">
        <f t="shared" si="33"/>
        <v/>
      </c>
      <c r="N546" s="95" t="str">
        <f t="shared" si="34"/>
        <v/>
      </c>
    </row>
    <row r="547" spans="13:14" x14ac:dyDescent="0.25">
      <c r="M547" s="95" t="str">
        <f t="shared" si="33"/>
        <v/>
      </c>
      <c r="N547" s="95" t="str">
        <f t="shared" si="34"/>
        <v/>
      </c>
    </row>
    <row r="548" spans="13:14" x14ac:dyDescent="0.25">
      <c r="M548" s="95" t="str">
        <f t="shared" si="33"/>
        <v/>
      </c>
      <c r="N548" s="95" t="str">
        <f t="shared" si="34"/>
        <v/>
      </c>
    </row>
    <row r="549" spans="13:14" x14ac:dyDescent="0.25">
      <c r="M549" s="95" t="str">
        <f t="shared" si="33"/>
        <v/>
      </c>
      <c r="N549" s="95" t="str">
        <f t="shared" si="34"/>
        <v/>
      </c>
    </row>
    <row r="550" spans="13:14" x14ac:dyDescent="0.25">
      <c r="M550" s="95" t="str">
        <f t="shared" si="33"/>
        <v/>
      </c>
      <c r="N550" s="95" t="str">
        <f t="shared" si="34"/>
        <v/>
      </c>
    </row>
    <row r="551" spans="13:14" x14ac:dyDescent="0.25">
      <c r="M551" s="95" t="str">
        <f t="shared" si="33"/>
        <v/>
      </c>
      <c r="N551" s="95" t="str">
        <f t="shared" si="34"/>
        <v/>
      </c>
    </row>
    <row r="552" spans="13:14" x14ac:dyDescent="0.25">
      <c r="M552" s="95" t="str">
        <f t="shared" si="33"/>
        <v/>
      </c>
      <c r="N552" s="95" t="str">
        <f t="shared" si="34"/>
        <v/>
      </c>
    </row>
    <row r="553" spans="13:14" x14ac:dyDescent="0.25">
      <c r="M553" s="95" t="str">
        <f t="shared" si="33"/>
        <v/>
      </c>
      <c r="N553" s="95" t="str">
        <f t="shared" si="34"/>
        <v/>
      </c>
    </row>
    <row r="554" spans="13:14" x14ac:dyDescent="0.25">
      <c r="M554" s="95" t="str">
        <f t="shared" si="33"/>
        <v/>
      </c>
      <c r="N554" s="95" t="str">
        <f t="shared" si="34"/>
        <v/>
      </c>
    </row>
    <row r="555" spans="13:14" x14ac:dyDescent="0.25">
      <c r="M555" s="95" t="str">
        <f t="shared" si="33"/>
        <v/>
      </c>
      <c r="N555" s="95" t="str">
        <f t="shared" si="34"/>
        <v/>
      </c>
    </row>
    <row r="556" spans="13:14" x14ac:dyDescent="0.25">
      <c r="M556" s="95" t="str">
        <f t="shared" si="33"/>
        <v/>
      </c>
      <c r="N556" s="95" t="str">
        <f t="shared" si="34"/>
        <v/>
      </c>
    </row>
    <row r="557" spans="13:14" x14ac:dyDescent="0.25">
      <c r="M557" s="95" t="str">
        <f t="shared" si="33"/>
        <v/>
      </c>
      <c r="N557" s="95" t="str">
        <f t="shared" si="34"/>
        <v/>
      </c>
    </row>
    <row r="558" spans="13:14" x14ac:dyDescent="0.25">
      <c r="M558" s="95" t="str">
        <f t="shared" si="33"/>
        <v/>
      </c>
      <c r="N558" s="95" t="str">
        <f t="shared" si="34"/>
        <v/>
      </c>
    </row>
    <row r="559" spans="13:14" x14ac:dyDescent="0.25">
      <c r="M559" s="95" t="str">
        <f t="shared" si="33"/>
        <v/>
      </c>
      <c r="N559" s="95" t="str">
        <f t="shared" si="34"/>
        <v/>
      </c>
    </row>
    <row r="560" spans="13:14" x14ac:dyDescent="0.25">
      <c r="M560" s="95" t="str">
        <f t="shared" si="33"/>
        <v/>
      </c>
      <c r="N560" s="95" t="str">
        <f t="shared" si="34"/>
        <v/>
      </c>
    </row>
    <row r="561" spans="13:14" x14ac:dyDescent="0.25">
      <c r="M561" s="95" t="str">
        <f t="shared" si="33"/>
        <v/>
      </c>
      <c r="N561" s="95" t="str">
        <f t="shared" si="34"/>
        <v/>
      </c>
    </row>
    <row r="562" spans="13:14" x14ac:dyDescent="0.25">
      <c r="M562" s="95" t="str">
        <f t="shared" si="33"/>
        <v/>
      </c>
      <c r="N562" s="95" t="str">
        <f t="shared" si="34"/>
        <v/>
      </c>
    </row>
    <row r="563" spans="13:14" x14ac:dyDescent="0.25">
      <c r="M563" s="95" t="str">
        <f t="shared" si="33"/>
        <v/>
      </c>
      <c r="N563" s="95" t="str">
        <f t="shared" si="34"/>
        <v/>
      </c>
    </row>
    <row r="564" spans="13:14" x14ac:dyDescent="0.25">
      <c r="M564" s="95" t="str">
        <f t="shared" si="33"/>
        <v/>
      </c>
      <c r="N564" s="95" t="str">
        <f t="shared" si="34"/>
        <v/>
      </c>
    </row>
    <row r="565" spans="13:14" x14ac:dyDescent="0.25">
      <c r="M565" s="95" t="str">
        <f t="shared" si="33"/>
        <v/>
      </c>
      <c r="N565" s="95" t="str">
        <f t="shared" si="34"/>
        <v/>
      </c>
    </row>
    <row r="566" spans="13:14" x14ac:dyDescent="0.25">
      <c r="M566" s="95" t="str">
        <f t="shared" si="33"/>
        <v/>
      </c>
      <c r="N566" s="95" t="str">
        <f t="shared" si="34"/>
        <v/>
      </c>
    </row>
    <row r="567" spans="13:14" x14ac:dyDescent="0.25">
      <c r="M567" s="95" t="str">
        <f t="shared" si="33"/>
        <v/>
      </c>
      <c r="N567" s="95" t="str">
        <f t="shared" si="34"/>
        <v/>
      </c>
    </row>
    <row r="568" spans="13:14" x14ac:dyDescent="0.25">
      <c r="M568" s="95" t="str">
        <f t="shared" si="33"/>
        <v/>
      </c>
      <c r="N568" s="95" t="str">
        <f t="shared" si="34"/>
        <v/>
      </c>
    </row>
    <row r="569" spans="13:14" x14ac:dyDescent="0.25">
      <c r="M569" s="95" t="str">
        <f t="shared" si="33"/>
        <v/>
      </c>
      <c r="N569" s="95" t="str">
        <f t="shared" si="34"/>
        <v/>
      </c>
    </row>
    <row r="570" spans="13:14" x14ac:dyDescent="0.25">
      <c r="M570" s="95" t="str">
        <f t="shared" si="33"/>
        <v/>
      </c>
      <c r="N570" s="95" t="str">
        <f t="shared" si="34"/>
        <v/>
      </c>
    </row>
    <row r="571" spans="13:14" x14ac:dyDescent="0.25">
      <c r="M571" s="95" t="str">
        <f t="shared" si="33"/>
        <v/>
      </c>
      <c r="N571" s="95" t="str">
        <f t="shared" si="34"/>
        <v/>
      </c>
    </row>
    <row r="572" spans="13:14" x14ac:dyDescent="0.25">
      <c r="M572" s="95" t="str">
        <f t="shared" si="33"/>
        <v/>
      </c>
      <c r="N572" s="95" t="str">
        <f t="shared" si="34"/>
        <v/>
      </c>
    </row>
    <row r="573" spans="13:14" x14ac:dyDescent="0.25">
      <c r="M573" s="95" t="str">
        <f t="shared" si="33"/>
        <v/>
      </c>
      <c r="N573" s="95" t="str">
        <f t="shared" si="34"/>
        <v/>
      </c>
    </row>
    <row r="574" spans="13:14" x14ac:dyDescent="0.25">
      <c r="M574" s="95" t="str">
        <f t="shared" si="33"/>
        <v/>
      </c>
      <c r="N574" s="95" t="str">
        <f t="shared" si="34"/>
        <v/>
      </c>
    </row>
    <row r="575" spans="13:14" x14ac:dyDescent="0.25">
      <c r="M575" s="95" t="str">
        <f t="shared" si="33"/>
        <v/>
      </c>
      <c r="N575" s="95" t="str">
        <f t="shared" si="34"/>
        <v/>
      </c>
    </row>
    <row r="576" spans="13:14" x14ac:dyDescent="0.25">
      <c r="M576" s="95" t="str">
        <f t="shared" si="33"/>
        <v/>
      </c>
      <c r="N576" s="95" t="str">
        <f t="shared" si="34"/>
        <v/>
      </c>
    </row>
    <row r="577" spans="13:14" x14ac:dyDescent="0.25">
      <c r="M577" s="95" t="str">
        <f t="shared" si="33"/>
        <v/>
      </c>
      <c r="N577" s="95" t="str">
        <f t="shared" si="34"/>
        <v/>
      </c>
    </row>
    <row r="578" spans="13:14" x14ac:dyDescent="0.25">
      <c r="M578" s="95" t="str">
        <f t="shared" si="33"/>
        <v/>
      </c>
      <c r="N578" s="95" t="str">
        <f t="shared" si="34"/>
        <v/>
      </c>
    </row>
    <row r="579" spans="13:14" x14ac:dyDescent="0.25">
      <c r="M579" s="95" t="str">
        <f t="shared" ref="M579:M642" si="35">IF(COUNTIF(K:K,J579),J579,"")</f>
        <v/>
      </c>
      <c r="N579" s="95" t="str">
        <f t="shared" si="34"/>
        <v/>
      </c>
    </row>
    <row r="580" spans="13:14" x14ac:dyDescent="0.25">
      <c r="M580" s="95" t="str">
        <f t="shared" si="35"/>
        <v/>
      </c>
      <c r="N580" s="95" t="str">
        <f t="shared" ref="N580:N643" si="36">IF(M580&gt;$A$14,M580,"")</f>
        <v/>
      </c>
    </row>
    <row r="581" spans="13:14" x14ac:dyDescent="0.25">
      <c r="M581" s="95" t="str">
        <f t="shared" si="35"/>
        <v/>
      </c>
      <c r="N581" s="95" t="str">
        <f t="shared" si="36"/>
        <v/>
      </c>
    </row>
    <row r="582" spans="13:14" x14ac:dyDescent="0.25">
      <c r="M582" s="95" t="str">
        <f t="shared" si="35"/>
        <v/>
      </c>
      <c r="N582" s="95" t="str">
        <f t="shared" si="36"/>
        <v/>
      </c>
    </row>
    <row r="583" spans="13:14" x14ac:dyDescent="0.25">
      <c r="M583" s="95" t="str">
        <f t="shared" si="35"/>
        <v/>
      </c>
      <c r="N583" s="95" t="str">
        <f t="shared" si="36"/>
        <v/>
      </c>
    </row>
    <row r="584" spans="13:14" x14ac:dyDescent="0.25">
      <c r="M584" s="95" t="str">
        <f t="shared" si="35"/>
        <v/>
      </c>
      <c r="N584" s="95" t="str">
        <f t="shared" si="36"/>
        <v/>
      </c>
    </row>
    <row r="585" spans="13:14" x14ac:dyDescent="0.25">
      <c r="M585" s="95" t="str">
        <f t="shared" si="35"/>
        <v/>
      </c>
      <c r="N585" s="95" t="str">
        <f t="shared" si="36"/>
        <v/>
      </c>
    </row>
    <row r="586" spans="13:14" x14ac:dyDescent="0.25">
      <c r="M586" s="95" t="str">
        <f t="shared" si="35"/>
        <v/>
      </c>
      <c r="N586" s="95" t="str">
        <f t="shared" si="36"/>
        <v/>
      </c>
    </row>
    <row r="587" spans="13:14" x14ac:dyDescent="0.25">
      <c r="M587" s="95" t="str">
        <f t="shared" si="35"/>
        <v/>
      </c>
      <c r="N587" s="95" t="str">
        <f t="shared" si="36"/>
        <v/>
      </c>
    </row>
    <row r="588" spans="13:14" x14ac:dyDescent="0.25">
      <c r="M588" s="95" t="str">
        <f t="shared" si="35"/>
        <v/>
      </c>
      <c r="N588" s="95" t="str">
        <f t="shared" si="36"/>
        <v/>
      </c>
    </row>
    <row r="589" spans="13:14" x14ac:dyDescent="0.25">
      <c r="M589" s="95" t="str">
        <f t="shared" si="35"/>
        <v/>
      </c>
      <c r="N589" s="95" t="str">
        <f t="shared" si="36"/>
        <v/>
      </c>
    </row>
    <row r="590" spans="13:14" x14ac:dyDescent="0.25">
      <c r="M590" s="95" t="str">
        <f t="shared" si="35"/>
        <v/>
      </c>
      <c r="N590" s="95" t="str">
        <f t="shared" si="36"/>
        <v/>
      </c>
    </row>
    <row r="591" spans="13:14" x14ac:dyDescent="0.25">
      <c r="M591" s="95" t="str">
        <f t="shared" si="35"/>
        <v/>
      </c>
      <c r="N591" s="95" t="str">
        <f t="shared" si="36"/>
        <v/>
      </c>
    </row>
    <row r="592" spans="13:14" x14ac:dyDescent="0.25">
      <c r="M592" s="95" t="str">
        <f t="shared" si="35"/>
        <v/>
      </c>
      <c r="N592" s="95" t="str">
        <f t="shared" si="36"/>
        <v/>
      </c>
    </row>
    <row r="593" spans="13:14" x14ac:dyDescent="0.25">
      <c r="M593" s="95" t="str">
        <f t="shared" si="35"/>
        <v/>
      </c>
      <c r="N593" s="95" t="str">
        <f t="shared" si="36"/>
        <v/>
      </c>
    </row>
    <row r="594" spans="13:14" x14ac:dyDescent="0.25">
      <c r="M594" s="95" t="str">
        <f t="shared" si="35"/>
        <v/>
      </c>
      <c r="N594" s="95" t="str">
        <f t="shared" si="36"/>
        <v/>
      </c>
    </row>
    <row r="595" spans="13:14" x14ac:dyDescent="0.25">
      <c r="M595" s="95" t="str">
        <f t="shared" si="35"/>
        <v/>
      </c>
      <c r="N595" s="95" t="str">
        <f t="shared" si="36"/>
        <v/>
      </c>
    </row>
    <row r="596" spans="13:14" x14ac:dyDescent="0.25">
      <c r="M596" s="95" t="str">
        <f t="shared" si="35"/>
        <v/>
      </c>
      <c r="N596" s="95" t="str">
        <f t="shared" si="36"/>
        <v/>
      </c>
    </row>
    <row r="597" spans="13:14" x14ac:dyDescent="0.25">
      <c r="M597" s="95" t="str">
        <f t="shared" si="35"/>
        <v/>
      </c>
      <c r="N597" s="95" t="str">
        <f t="shared" si="36"/>
        <v/>
      </c>
    </row>
    <row r="598" spans="13:14" x14ac:dyDescent="0.25">
      <c r="M598" s="95" t="str">
        <f t="shared" si="35"/>
        <v/>
      </c>
      <c r="N598" s="95" t="str">
        <f t="shared" si="36"/>
        <v/>
      </c>
    </row>
    <row r="599" spans="13:14" x14ac:dyDescent="0.25">
      <c r="M599" s="95" t="str">
        <f t="shared" si="35"/>
        <v/>
      </c>
      <c r="N599" s="95" t="str">
        <f t="shared" si="36"/>
        <v/>
      </c>
    </row>
    <row r="600" spans="13:14" x14ac:dyDescent="0.25">
      <c r="M600" s="95" t="str">
        <f t="shared" si="35"/>
        <v/>
      </c>
      <c r="N600" s="95" t="str">
        <f t="shared" si="36"/>
        <v/>
      </c>
    </row>
    <row r="601" spans="13:14" x14ac:dyDescent="0.25">
      <c r="M601" s="95" t="str">
        <f t="shared" si="35"/>
        <v/>
      </c>
      <c r="N601" s="95" t="str">
        <f t="shared" si="36"/>
        <v/>
      </c>
    </row>
    <row r="602" spans="13:14" x14ac:dyDescent="0.25">
      <c r="M602" s="95" t="str">
        <f t="shared" si="35"/>
        <v/>
      </c>
      <c r="N602" s="95" t="str">
        <f t="shared" si="36"/>
        <v/>
      </c>
    </row>
    <row r="603" spans="13:14" x14ac:dyDescent="0.25">
      <c r="M603" s="95" t="str">
        <f t="shared" si="35"/>
        <v/>
      </c>
      <c r="N603" s="95" t="str">
        <f t="shared" si="36"/>
        <v/>
      </c>
    </row>
    <row r="604" spans="13:14" x14ac:dyDescent="0.25">
      <c r="M604" s="95" t="str">
        <f t="shared" si="35"/>
        <v/>
      </c>
      <c r="N604" s="95" t="str">
        <f t="shared" si="36"/>
        <v/>
      </c>
    </row>
    <row r="605" spans="13:14" x14ac:dyDescent="0.25">
      <c r="M605" s="95" t="str">
        <f t="shared" si="35"/>
        <v/>
      </c>
      <c r="N605" s="95" t="str">
        <f t="shared" si="36"/>
        <v/>
      </c>
    </row>
    <row r="606" spans="13:14" x14ac:dyDescent="0.25">
      <c r="M606" s="95" t="str">
        <f t="shared" si="35"/>
        <v/>
      </c>
      <c r="N606" s="95" t="str">
        <f t="shared" si="36"/>
        <v/>
      </c>
    </row>
    <row r="607" spans="13:14" x14ac:dyDescent="0.25">
      <c r="M607" s="95" t="str">
        <f t="shared" si="35"/>
        <v/>
      </c>
      <c r="N607" s="95" t="str">
        <f t="shared" si="36"/>
        <v/>
      </c>
    </row>
    <row r="608" spans="13:14" x14ac:dyDescent="0.25">
      <c r="M608" s="95" t="str">
        <f t="shared" si="35"/>
        <v/>
      </c>
      <c r="N608" s="95" t="str">
        <f t="shared" si="36"/>
        <v/>
      </c>
    </row>
    <row r="609" spans="13:14" x14ac:dyDescent="0.25">
      <c r="M609" s="95" t="str">
        <f t="shared" si="35"/>
        <v/>
      </c>
      <c r="N609" s="95" t="str">
        <f t="shared" si="36"/>
        <v/>
      </c>
    </row>
    <row r="610" spans="13:14" x14ac:dyDescent="0.25">
      <c r="M610" s="95" t="str">
        <f t="shared" si="35"/>
        <v/>
      </c>
      <c r="N610" s="95" t="str">
        <f t="shared" si="36"/>
        <v/>
      </c>
    </row>
    <row r="611" spans="13:14" x14ac:dyDescent="0.25">
      <c r="M611" s="95" t="str">
        <f t="shared" si="35"/>
        <v/>
      </c>
      <c r="N611" s="95" t="str">
        <f t="shared" si="36"/>
        <v/>
      </c>
    </row>
    <row r="612" spans="13:14" x14ac:dyDescent="0.25">
      <c r="M612" s="95" t="str">
        <f t="shared" si="35"/>
        <v/>
      </c>
      <c r="N612" s="95" t="str">
        <f t="shared" si="36"/>
        <v/>
      </c>
    </row>
    <row r="613" spans="13:14" x14ac:dyDescent="0.25">
      <c r="M613" s="95" t="str">
        <f t="shared" si="35"/>
        <v/>
      </c>
      <c r="N613" s="95" t="str">
        <f t="shared" si="36"/>
        <v/>
      </c>
    </row>
    <row r="614" spans="13:14" x14ac:dyDescent="0.25">
      <c r="M614" s="95" t="str">
        <f t="shared" si="35"/>
        <v/>
      </c>
      <c r="N614" s="95" t="str">
        <f t="shared" si="36"/>
        <v/>
      </c>
    </row>
    <row r="615" spans="13:14" x14ac:dyDescent="0.25">
      <c r="M615" s="95" t="str">
        <f t="shared" si="35"/>
        <v/>
      </c>
      <c r="N615" s="95" t="str">
        <f t="shared" si="36"/>
        <v/>
      </c>
    </row>
    <row r="616" spans="13:14" x14ac:dyDescent="0.25">
      <c r="M616" s="95" t="str">
        <f t="shared" si="35"/>
        <v/>
      </c>
      <c r="N616" s="95" t="str">
        <f t="shared" si="36"/>
        <v/>
      </c>
    </row>
    <row r="617" spans="13:14" x14ac:dyDescent="0.25">
      <c r="M617" s="95" t="str">
        <f t="shared" si="35"/>
        <v/>
      </c>
      <c r="N617" s="95" t="str">
        <f t="shared" si="36"/>
        <v/>
      </c>
    </row>
    <row r="618" spans="13:14" x14ac:dyDescent="0.25">
      <c r="M618" s="95" t="str">
        <f t="shared" si="35"/>
        <v/>
      </c>
      <c r="N618" s="95" t="str">
        <f t="shared" si="36"/>
        <v/>
      </c>
    </row>
    <row r="619" spans="13:14" x14ac:dyDescent="0.25">
      <c r="M619" s="95" t="str">
        <f t="shared" si="35"/>
        <v/>
      </c>
      <c r="N619" s="95" t="str">
        <f t="shared" si="36"/>
        <v/>
      </c>
    </row>
    <row r="620" spans="13:14" x14ac:dyDescent="0.25">
      <c r="M620" s="95" t="str">
        <f t="shared" si="35"/>
        <v/>
      </c>
      <c r="N620" s="95" t="str">
        <f t="shared" si="36"/>
        <v/>
      </c>
    </row>
    <row r="621" spans="13:14" x14ac:dyDescent="0.25">
      <c r="M621" s="95" t="str">
        <f t="shared" si="35"/>
        <v/>
      </c>
      <c r="N621" s="95" t="str">
        <f t="shared" si="36"/>
        <v/>
      </c>
    </row>
    <row r="622" spans="13:14" x14ac:dyDescent="0.25">
      <c r="M622" s="95" t="str">
        <f t="shared" si="35"/>
        <v/>
      </c>
      <c r="N622" s="95" t="str">
        <f t="shared" si="36"/>
        <v/>
      </c>
    </row>
    <row r="623" spans="13:14" x14ac:dyDescent="0.25">
      <c r="M623" s="95" t="str">
        <f t="shared" si="35"/>
        <v/>
      </c>
      <c r="N623" s="95" t="str">
        <f t="shared" si="36"/>
        <v/>
      </c>
    </row>
    <row r="624" spans="13:14" x14ac:dyDescent="0.25">
      <c r="M624" s="95" t="str">
        <f t="shared" si="35"/>
        <v/>
      </c>
      <c r="N624" s="95" t="str">
        <f t="shared" si="36"/>
        <v/>
      </c>
    </row>
    <row r="625" spans="13:14" x14ac:dyDescent="0.25">
      <c r="M625" s="95" t="str">
        <f t="shared" si="35"/>
        <v/>
      </c>
      <c r="N625" s="95" t="str">
        <f t="shared" si="36"/>
        <v/>
      </c>
    </row>
    <row r="626" spans="13:14" x14ac:dyDescent="0.25">
      <c r="M626" s="95" t="str">
        <f t="shared" si="35"/>
        <v/>
      </c>
      <c r="N626" s="95" t="str">
        <f t="shared" si="36"/>
        <v/>
      </c>
    </row>
    <row r="627" spans="13:14" x14ac:dyDescent="0.25">
      <c r="M627" s="95" t="str">
        <f t="shared" si="35"/>
        <v/>
      </c>
      <c r="N627" s="95" t="str">
        <f t="shared" si="36"/>
        <v/>
      </c>
    </row>
    <row r="628" spans="13:14" x14ac:dyDescent="0.25">
      <c r="M628" s="95" t="str">
        <f t="shared" si="35"/>
        <v/>
      </c>
      <c r="N628" s="95" t="str">
        <f t="shared" si="36"/>
        <v/>
      </c>
    </row>
    <row r="629" spans="13:14" x14ac:dyDescent="0.25">
      <c r="M629" s="95" t="str">
        <f t="shared" si="35"/>
        <v/>
      </c>
      <c r="N629" s="95" t="str">
        <f t="shared" si="36"/>
        <v/>
      </c>
    </row>
    <row r="630" spans="13:14" x14ac:dyDescent="0.25">
      <c r="M630" s="95" t="str">
        <f t="shared" si="35"/>
        <v/>
      </c>
      <c r="N630" s="95" t="str">
        <f t="shared" si="36"/>
        <v/>
      </c>
    </row>
    <row r="631" spans="13:14" x14ac:dyDescent="0.25">
      <c r="M631" s="95" t="str">
        <f t="shared" si="35"/>
        <v/>
      </c>
      <c r="N631" s="95" t="str">
        <f t="shared" si="36"/>
        <v/>
      </c>
    </row>
    <row r="632" spans="13:14" x14ac:dyDescent="0.25">
      <c r="M632" s="95" t="str">
        <f t="shared" si="35"/>
        <v/>
      </c>
      <c r="N632" s="95" t="str">
        <f t="shared" si="36"/>
        <v/>
      </c>
    </row>
    <row r="633" spans="13:14" x14ac:dyDescent="0.25">
      <c r="M633" s="95" t="str">
        <f t="shared" si="35"/>
        <v/>
      </c>
      <c r="N633" s="95" t="str">
        <f t="shared" si="36"/>
        <v/>
      </c>
    </row>
    <row r="634" spans="13:14" x14ac:dyDescent="0.25">
      <c r="M634" s="95" t="str">
        <f t="shared" si="35"/>
        <v/>
      </c>
      <c r="N634" s="95" t="str">
        <f t="shared" si="36"/>
        <v/>
      </c>
    </row>
    <row r="635" spans="13:14" x14ac:dyDescent="0.25">
      <c r="M635" s="95" t="str">
        <f t="shared" si="35"/>
        <v/>
      </c>
      <c r="N635" s="95" t="str">
        <f t="shared" si="36"/>
        <v/>
      </c>
    </row>
    <row r="636" spans="13:14" x14ac:dyDescent="0.25">
      <c r="M636" s="95" t="str">
        <f t="shared" si="35"/>
        <v/>
      </c>
      <c r="N636" s="95" t="str">
        <f t="shared" si="36"/>
        <v/>
      </c>
    </row>
    <row r="637" spans="13:14" x14ac:dyDescent="0.25">
      <c r="M637" s="95" t="str">
        <f t="shared" si="35"/>
        <v/>
      </c>
      <c r="N637" s="95" t="str">
        <f t="shared" si="36"/>
        <v/>
      </c>
    </row>
    <row r="638" spans="13:14" x14ac:dyDescent="0.25">
      <c r="M638" s="95" t="str">
        <f t="shared" si="35"/>
        <v/>
      </c>
      <c r="N638" s="95" t="str">
        <f t="shared" si="36"/>
        <v/>
      </c>
    </row>
    <row r="639" spans="13:14" x14ac:dyDescent="0.25">
      <c r="M639" s="95" t="str">
        <f t="shared" si="35"/>
        <v/>
      </c>
      <c r="N639" s="95" t="str">
        <f t="shared" si="36"/>
        <v/>
      </c>
    </row>
    <row r="640" spans="13:14" x14ac:dyDescent="0.25">
      <c r="M640" s="95" t="str">
        <f t="shared" si="35"/>
        <v/>
      </c>
      <c r="N640" s="95" t="str">
        <f t="shared" si="36"/>
        <v/>
      </c>
    </row>
    <row r="641" spans="13:14" x14ac:dyDescent="0.25">
      <c r="M641" s="95" t="str">
        <f t="shared" si="35"/>
        <v/>
      </c>
      <c r="N641" s="95" t="str">
        <f t="shared" si="36"/>
        <v/>
      </c>
    </row>
    <row r="642" spans="13:14" x14ac:dyDescent="0.25">
      <c r="M642" s="95" t="str">
        <f t="shared" si="35"/>
        <v/>
      </c>
      <c r="N642" s="95" t="str">
        <f t="shared" si="36"/>
        <v/>
      </c>
    </row>
    <row r="643" spans="13:14" x14ac:dyDescent="0.25">
      <c r="M643" s="95" t="str">
        <f t="shared" ref="M643:M706" si="37">IF(COUNTIF(K:K,J643),J643,"")</f>
        <v/>
      </c>
      <c r="N643" s="95" t="str">
        <f t="shared" si="36"/>
        <v/>
      </c>
    </row>
    <row r="644" spans="13:14" x14ac:dyDescent="0.25">
      <c r="M644" s="95" t="str">
        <f t="shared" si="37"/>
        <v/>
      </c>
      <c r="N644" s="95" t="str">
        <f t="shared" ref="N644:N707" si="38">IF(M644&gt;$A$14,M644,"")</f>
        <v/>
      </c>
    </row>
    <row r="645" spans="13:14" x14ac:dyDescent="0.25">
      <c r="M645" s="95" t="str">
        <f t="shared" si="37"/>
        <v/>
      </c>
      <c r="N645" s="95" t="str">
        <f t="shared" si="38"/>
        <v/>
      </c>
    </row>
    <row r="646" spans="13:14" x14ac:dyDescent="0.25">
      <c r="M646" s="95" t="str">
        <f t="shared" si="37"/>
        <v/>
      </c>
      <c r="N646" s="95" t="str">
        <f t="shared" si="38"/>
        <v/>
      </c>
    </row>
    <row r="647" spans="13:14" x14ac:dyDescent="0.25">
      <c r="M647" s="95" t="str">
        <f t="shared" si="37"/>
        <v/>
      </c>
      <c r="N647" s="95" t="str">
        <f t="shared" si="38"/>
        <v/>
      </c>
    </row>
    <row r="648" spans="13:14" x14ac:dyDescent="0.25">
      <c r="M648" s="95" t="str">
        <f t="shared" si="37"/>
        <v/>
      </c>
      <c r="N648" s="95" t="str">
        <f t="shared" si="38"/>
        <v/>
      </c>
    </row>
    <row r="649" spans="13:14" x14ac:dyDescent="0.25">
      <c r="M649" s="95" t="str">
        <f t="shared" si="37"/>
        <v/>
      </c>
      <c r="N649" s="95" t="str">
        <f t="shared" si="38"/>
        <v/>
      </c>
    </row>
    <row r="650" spans="13:14" x14ac:dyDescent="0.25">
      <c r="M650" s="95" t="str">
        <f t="shared" si="37"/>
        <v/>
      </c>
      <c r="N650" s="95" t="str">
        <f t="shared" si="38"/>
        <v/>
      </c>
    </row>
    <row r="651" spans="13:14" x14ac:dyDescent="0.25">
      <c r="M651" s="95" t="str">
        <f t="shared" si="37"/>
        <v/>
      </c>
      <c r="N651" s="95" t="str">
        <f t="shared" si="38"/>
        <v/>
      </c>
    </row>
    <row r="652" spans="13:14" x14ac:dyDescent="0.25">
      <c r="M652" s="95" t="str">
        <f t="shared" si="37"/>
        <v/>
      </c>
      <c r="N652" s="95" t="str">
        <f t="shared" si="38"/>
        <v/>
      </c>
    </row>
    <row r="653" spans="13:14" x14ac:dyDescent="0.25">
      <c r="M653" s="95" t="str">
        <f t="shared" si="37"/>
        <v/>
      </c>
      <c r="N653" s="95" t="str">
        <f t="shared" si="38"/>
        <v/>
      </c>
    </row>
    <row r="654" spans="13:14" x14ac:dyDescent="0.25">
      <c r="M654" s="95" t="str">
        <f t="shared" si="37"/>
        <v/>
      </c>
      <c r="N654" s="95" t="str">
        <f t="shared" si="38"/>
        <v/>
      </c>
    </row>
    <row r="655" spans="13:14" x14ac:dyDescent="0.25">
      <c r="M655" s="95" t="str">
        <f t="shared" si="37"/>
        <v/>
      </c>
      <c r="N655" s="95" t="str">
        <f t="shared" si="38"/>
        <v/>
      </c>
    </row>
    <row r="656" spans="13:14" x14ac:dyDescent="0.25">
      <c r="M656" s="95" t="str">
        <f t="shared" si="37"/>
        <v/>
      </c>
      <c r="N656" s="95" t="str">
        <f t="shared" si="38"/>
        <v/>
      </c>
    </row>
    <row r="657" spans="13:14" x14ac:dyDescent="0.25">
      <c r="M657" s="95" t="str">
        <f t="shared" si="37"/>
        <v/>
      </c>
      <c r="N657" s="95" t="str">
        <f t="shared" si="38"/>
        <v/>
      </c>
    </row>
    <row r="658" spans="13:14" x14ac:dyDescent="0.25">
      <c r="M658" s="95" t="str">
        <f t="shared" si="37"/>
        <v/>
      </c>
      <c r="N658" s="95" t="str">
        <f t="shared" si="38"/>
        <v/>
      </c>
    </row>
    <row r="659" spans="13:14" x14ac:dyDescent="0.25">
      <c r="M659" s="95" t="str">
        <f t="shared" si="37"/>
        <v/>
      </c>
      <c r="N659" s="95" t="str">
        <f t="shared" si="38"/>
        <v/>
      </c>
    </row>
    <row r="660" spans="13:14" x14ac:dyDescent="0.25">
      <c r="M660" s="95" t="str">
        <f t="shared" si="37"/>
        <v/>
      </c>
      <c r="N660" s="95" t="str">
        <f t="shared" si="38"/>
        <v/>
      </c>
    </row>
    <row r="661" spans="13:14" x14ac:dyDescent="0.25">
      <c r="M661" s="95" t="str">
        <f t="shared" si="37"/>
        <v/>
      </c>
      <c r="N661" s="95" t="str">
        <f t="shared" si="38"/>
        <v/>
      </c>
    </row>
    <row r="662" spans="13:14" x14ac:dyDescent="0.25">
      <c r="M662" s="95" t="str">
        <f t="shared" si="37"/>
        <v/>
      </c>
      <c r="N662" s="95" t="str">
        <f t="shared" si="38"/>
        <v/>
      </c>
    </row>
    <row r="663" spans="13:14" x14ac:dyDescent="0.25">
      <c r="M663" s="95" t="str">
        <f t="shared" si="37"/>
        <v/>
      </c>
      <c r="N663" s="95" t="str">
        <f t="shared" si="38"/>
        <v/>
      </c>
    </row>
    <row r="664" spans="13:14" x14ac:dyDescent="0.25">
      <c r="M664" s="95" t="str">
        <f t="shared" si="37"/>
        <v/>
      </c>
      <c r="N664" s="95" t="str">
        <f t="shared" si="38"/>
        <v/>
      </c>
    </row>
    <row r="665" spans="13:14" x14ac:dyDescent="0.25">
      <c r="M665" s="95" t="str">
        <f t="shared" si="37"/>
        <v/>
      </c>
      <c r="N665" s="95" t="str">
        <f t="shared" si="38"/>
        <v/>
      </c>
    </row>
    <row r="666" spans="13:14" x14ac:dyDescent="0.25">
      <c r="M666" s="95" t="str">
        <f t="shared" si="37"/>
        <v/>
      </c>
      <c r="N666" s="95" t="str">
        <f t="shared" si="38"/>
        <v/>
      </c>
    </row>
    <row r="667" spans="13:14" x14ac:dyDescent="0.25">
      <c r="M667" s="95" t="str">
        <f t="shared" si="37"/>
        <v/>
      </c>
      <c r="N667" s="95" t="str">
        <f t="shared" si="38"/>
        <v/>
      </c>
    </row>
    <row r="668" spans="13:14" x14ac:dyDescent="0.25">
      <c r="M668" s="95" t="str">
        <f t="shared" si="37"/>
        <v/>
      </c>
      <c r="N668" s="95" t="str">
        <f t="shared" si="38"/>
        <v/>
      </c>
    </row>
    <row r="669" spans="13:14" x14ac:dyDescent="0.25">
      <c r="M669" s="95" t="str">
        <f t="shared" si="37"/>
        <v/>
      </c>
      <c r="N669" s="95" t="str">
        <f t="shared" si="38"/>
        <v/>
      </c>
    </row>
    <row r="670" spans="13:14" x14ac:dyDescent="0.25">
      <c r="M670" s="95" t="str">
        <f t="shared" si="37"/>
        <v/>
      </c>
      <c r="N670" s="95" t="str">
        <f t="shared" si="38"/>
        <v/>
      </c>
    </row>
    <row r="671" spans="13:14" x14ac:dyDescent="0.25">
      <c r="M671" s="95" t="str">
        <f t="shared" si="37"/>
        <v/>
      </c>
      <c r="N671" s="95" t="str">
        <f t="shared" si="38"/>
        <v/>
      </c>
    </row>
    <row r="672" spans="13:14" x14ac:dyDescent="0.25">
      <c r="M672" s="95" t="str">
        <f t="shared" si="37"/>
        <v/>
      </c>
      <c r="N672" s="95" t="str">
        <f t="shared" si="38"/>
        <v/>
      </c>
    </row>
    <row r="673" spans="13:14" x14ac:dyDescent="0.25">
      <c r="M673" s="95" t="str">
        <f t="shared" si="37"/>
        <v/>
      </c>
      <c r="N673" s="95" t="str">
        <f t="shared" si="38"/>
        <v/>
      </c>
    </row>
    <row r="674" spans="13:14" x14ac:dyDescent="0.25">
      <c r="M674" s="95" t="str">
        <f t="shared" si="37"/>
        <v/>
      </c>
      <c r="N674" s="95" t="str">
        <f t="shared" si="38"/>
        <v/>
      </c>
    </row>
    <row r="675" spans="13:14" x14ac:dyDescent="0.25">
      <c r="M675" s="95" t="str">
        <f t="shared" si="37"/>
        <v/>
      </c>
      <c r="N675" s="95" t="str">
        <f t="shared" si="38"/>
        <v/>
      </c>
    </row>
    <row r="676" spans="13:14" x14ac:dyDescent="0.25">
      <c r="M676" s="95" t="str">
        <f t="shared" si="37"/>
        <v/>
      </c>
      <c r="N676" s="95" t="str">
        <f t="shared" si="38"/>
        <v/>
      </c>
    </row>
    <row r="677" spans="13:14" x14ac:dyDescent="0.25">
      <c r="M677" s="95" t="str">
        <f t="shared" si="37"/>
        <v/>
      </c>
      <c r="N677" s="95" t="str">
        <f t="shared" si="38"/>
        <v/>
      </c>
    </row>
    <row r="678" spans="13:14" x14ac:dyDescent="0.25">
      <c r="M678" s="95" t="str">
        <f t="shared" si="37"/>
        <v/>
      </c>
      <c r="N678" s="95" t="str">
        <f t="shared" si="38"/>
        <v/>
      </c>
    </row>
    <row r="679" spans="13:14" x14ac:dyDescent="0.25">
      <c r="M679" s="95" t="str">
        <f t="shared" si="37"/>
        <v/>
      </c>
      <c r="N679" s="95" t="str">
        <f t="shared" si="38"/>
        <v/>
      </c>
    </row>
    <row r="680" spans="13:14" x14ac:dyDescent="0.25">
      <c r="M680" s="95" t="str">
        <f t="shared" si="37"/>
        <v/>
      </c>
      <c r="N680" s="95" t="str">
        <f t="shared" si="38"/>
        <v/>
      </c>
    </row>
    <row r="681" spans="13:14" x14ac:dyDescent="0.25">
      <c r="M681" s="95" t="str">
        <f t="shared" si="37"/>
        <v/>
      </c>
      <c r="N681" s="95" t="str">
        <f t="shared" si="38"/>
        <v/>
      </c>
    </row>
    <row r="682" spans="13:14" x14ac:dyDescent="0.25">
      <c r="M682" s="95" t="str">
        <f t="shared" si="37"/>
        <v/>
      </c>
      <c r="N682" s="95" t="str">
        <f t="shared" si="38"/>
        <v/>
      </c>
    </row>
    <row r="683" spans="13:14" x14ac:dyDescent="0.25">
      <c r="M683" s="95" t="str">
        <f t="shared" si="37"/>
        <v/>
      </c>
      <c r="N683" s="95" t="str">
        <f t="shared" si="38"/>
        <v/>
      </c>
    </row>
    <row r="684" spans="13:14" x14ac:dyDescent="0.25">
      <c r="M684" s="95" t="str">
        <f t="shared" si="37"/>
        <v/>
      </c>
      <c r="N684" s="95" t="str">
        <f t="shared" si="38"/>
        <v/>
      </c>
    </row>
    <row r="685" spans="13:14" x14ac:dyDescent="0.25">
      <c r="M685" s="95" t="str">
        <f t="shared" si="37"/>
        <v/>
      </c>
      <c r="N685" s="95" t="str">
        <f t="shared" si="38"/>
        <v/>
      </c>
    </row>
    <row r="686" spans="13:14" x14ac:dyDescent="0.25">
      <c r="M686" s="95" t="str">
        <f t="shared" si="37"/>
        <v/>
      </c>
      <c r="N686" s="95" t="str">
        <f t="shared" si="38"/>
        <v/>
      </c>
    </row>
    <row r="687" spans="13:14" x14ac:dyDescent="0.25">
      <c r="M687" s="95" t="str">
        <f t="shared" si="37"/>
        <v/>
      </c>
      <c r="N687" s="95" t="str">
        <f t="shared" si="38"/>
        <v/>
      </c>
    </row>
    <row r="688" spans="13:14" x14ac:dyDescent="0.25">
      <c r="M688" s="95" t="str">
        <f t="shared" si="37"/>
        <v/>
      </c>
      <c r="N688" s="95" t="str">
        <f t="shared" si="38"/>
        <v/>
      </c>
    </row>
    <row r="689" spans="13:14" x14ac:dyDescent="0.25">
      <c r="M689" s="95" t="str">
        <f t="shared" si="37"/>
        <v/>
      </c>
      <c r="N689" s="95" t="str">
        <f t="shared" si="38"/>
        <v/>
      </c>
    </row>
    <row r="690" spans="13:14" x14ac:dyDescent="0.25">
      <c r="M690" s="95" t="str">
        <f t="shared" si="37"/>
        <v/>
      </c>
      <c r="N690" s="95" t="str">
        <f t="shared" si="38"/>
        <v/>
      </c>
    </row>
    <row r="691" spans="13:14" x14ac:dyDescent="0.25">
      <c r="M691" s="95" t="str">
        <f t="shared" si="37"/>
        <v/>
      </c>
      <c r="N691" s="95" t="str">
        <f t="shared" si="38"/>
        <v/>
      </c>
    </row>
    <row r="692" spans="13:14" x14ac:dyDescent="0.25">
      <c r="M692" s="95" t="str">
        <f t="shared" si="37"/>
        <v/>
      </c>
      <c r="N692" s="95" t="str">
        <f t="shared" si="38"/>
        <v/>
      </c>
    </row>
    <row r="693" spans="13:14" x14ac:dyDescent="0.25">
      <c r="M693" s="95" t="str">
        <f t="shared" si="37"/>
        <v/>
      </c>
      <c r="N693" s="95" t="str">
        <f t="shared" si="38"/>
        <v/>
      </c>
    </row>
    <row r="694" spans="13:14" x14ac:dyDescent="0.25">
      <c r="M694" s="95" t="str">
        <f t="shared" si="37"/>
        <v/>
      </c>
      <c r="N694" s="95" t="str">
        <f t="shared" si="38"/>
        <v/>
      </c>
    </row>
    <row r="695" spans="13:14" x14ac:dyDescent="0.25">
      <c r="M695" s="95" t="str">
        <f t="shared" si="37"/>
        <v/>
      </c>
      <c r="N695" s="95" t="str">
        <f t="shared" si="38"/>
        <v/>
      </c>
    </row>
    <row r="696" spans="13:14" x14ac:dyDescent="0.25">
      <c r="M696" s="95" t="str">
        <f t="shared" si="37"/>
        <v/>
      </c>
      <c r="N696" s="95" t="str">
        <f t="shared" si="38"/>
        <v/>
      </c>
    </row>
    <row r="697" spans="13:14" x14ac:dyDescent="0.25">
      <c r="M697" s="95" t="str">
        <f t="shared" si="37"/>
        <v/>
      </c>
      <c r="N697" s="95" t="str">
        <f t="shared" si="38"/>
        <v/>
      </c>
    </row>
    <row r="698" spans="13:14" x14ac:dyDescent="0.25">
      <c r="M698" s="95" t="str">
        <f t="shared" si="37"/>
        <v/>
      </c>
      <c r="N698" s="95" t="str">
        <f t="shared" si="38"/>
        <v/>
      </c>
    </row>
    <row r="699" spans="13:14" x14ac:dyDescent="0.25">
      <c r="M699" s="95" t="str">
        <f t="shared" si="37"/>
        <v/>
      </c>
      <c r="N699" s="95" t="str">
        <f t="shared" si="38"/>
        <v/>
      </c>
    </row>
    <row r="700" spans="13:14" x14ac:dyDescent="0.25">
      <c r="M700" s="95" t="str">
        <f t="shared" si="37"/>
        <v/>
      </c>
      <c r="N700" s="95" t="str">
        <f t="shared" si="38"/>
        <v/>
      </c>
    </row>
    <row r="701" spans="13:14" x14ac:dyDescent="0.25">
      <c r="M701" s="95" t="str">
        <f t="shared" si="37"/>
        <v/>
      </c>
      <c r="N701" s="95" t="str">
        <f t="shared" si="38"/>
        <v/>
      </c>
    </row>
    <row r="702" spans="13:14" x14ac:dyDescent="0.25">
      <c r="M702" s="95" t="str">
        <f t="shared" si="37"/>
        <v/>
      </c>
      <c r="N702" s="95" t="str">
        <f t="shared" si="38"/>
        <v/>
      </c>
    </row>
    <row r="703" spans="13:14" x14ac:dyDescent="0.25">
      <c r="M703" s="95" t="str">
        <f t="shared" si="37"/>
        <v/>
      </c>
      <c r="N703" s="95" t="str">
        <f t="shared" si="38"/>
        <v/>
      </c>
    </row>
    <row r="704" spans="13:14" x14ac:dyDescent="0.25">
      <c r="M704" s="95" t="str">
        <f t="shared" si="37"/>
        <v/>
      </c>
      <c r="N704" s="95" t="str">
        <f t="shared" si="38"/>
        <v/>
      </c>
    </row>
    <row r="705" spans="13:14" x14ac:dyDescent="0.25">
      <c r="M705" s="95" t="str">
        <f t="shared" si="37"/>
        <v/>
      </c>
      <c r="N705" s="95" t="str">
        <f t="shared" si="38"/>
        <v/>
      </c>
    </row>
    <row r="706" spans="13:14" x14ac:dyDescent="0.25">
      <c r="M706" s="95" t="str">
        <f t="shared" si="37"/>
        <v/>
      </c>
      <c r="N706" s="95" t="str">
        <f t="shared" si="38"/>
        <v/>
      </c>
    </row>
    <row r="707" spans="13:14" x14ac:dyDescent="0.25">
      <c r="M707" s="95" t="str">
        <f t="shared" ref="M707:M770" si="39">IF(COUNTIF(K:K,J707),J707,"")</f>
        <v/>
      </c>
      <c r="N707" s="95" t="str">
        <f t="shared" si="38"/>
        <v/>
      </c>
    </row>
    <row r="708" spans="13:14" x14ac:dyDescent="0.25">
      <c r="M708" s="95" t="str">
        <f t="shared" si="39"/>
        <v/>
      </c>
      <c r="N708" s="95" t="str">
        <f t="shared" ref="N708:N771" si="40">IF(M708&gt;$A$14,M708,"")</f>
        <v/>
      </c>
    </row>
    <row r="709" spans="13:14" x14ac:dyDescent="0.25">
      <c r="M709" s="95" t="str">
        <f t="shared" si="39"/>
        <v/>
      </c>
      <c r="N709" s="95" t="str">
        <f t="shared" si="40"/>
        <v/>
      </c>
    </row>
    <row r="710" spans="13:14" x14ac:dyDescent="0.25">
      <c r="M710" s="95" t="str">
        <f t="shared" si="39"/>
        <v/>
      </c>
      <c r="N710" s="95" t="str">
        <f t="shared" si="40"/>
        <v/>
      </c>
    </row>
    <row r="711" spans="13:14" x14ac:dyDescent="0.25">
      <c r="M711" s="95" t="str">
        <f t="shared" si="39"/>
        <v/>
      </c>
      <c r="N711" s="95" t="str">
        <f t="shared" si="40"/>
        <v/>
      </c>
    </row>
    <row r="712" spans="13:14" x14ac:dyDescent="0.25">
      <c r="M712" s="95" t="str">
        <f t="shared" si="39"/>
        <v/>
      </c>
      <c r="N712" s="95" t="str">
        <f t="shared" si="40"/>
        <v/>
      </c>
    </row>
    <row r="713" spans="13:14" x14ac:dyDescent="0.25">
      <c r="M713" s="95" t="str">
        <f t="shared" si="39"/>
        <v/>
      </c>
      <c r="N713" s="95" t="str">
        <f t="shared" si="40"/>
        <v/>
      </c>
    </row>
    <row r="714" spans="13:14" x14ac:dyDescent="0.25">
      <c r="M714" s="95" t="str">
        <f t="shared" si="39"/>
        <v/>
      </c>
      <c r="N714" s="95" t="str">
        <f t="shared" si="40"/>
        <v/>
      </c>
    </row>
    <row r="715" spans="13:14" x14ac:dyDescent="0.25">
      <c r="M715" s="95" t="str">
        <f t="shared" si="39"/>
        <v/>
      </c>
      <c r="N715" s="95" t="str">
        <f t="shared" si="40"/>
        <v/>
      </c>
    </row>
    <row r="716" spans="13:14" x14ac:dyDescent="0.25">
      <c r="M716" s="95" t="str">
        <f t="shared" si="39"/>
        <v/>
      </c>
      <c r="N716" s="95" t="str">
        <f t="shared" si="40"/>
        <v/>
      </c>
    </row>
    <row r="717" spans="13:14" x14ac:dyDescent="0.25">
      <c r="M717" s="95" t="str">
        <f t="shared" si="39"/>
        <v/>
      </c>
      <c r="N717" s="95" t="str">
        <f t="shared" si="40"/>
        <v/>
      </c>
    </row>
    <row r="718" spans="13:14" x14ac:dyDescent="0.25">
      <c r="M718" s="95" t="str">
        <f t="shared" si="39"/>
        <v/>
      </c>
      <c r="N718" s="95" t="str">
        <f t="shared" si="40"/>
        <v/>
      </c>
    </row>
    <row r="719" spans="13:14" x14ac:dyDescent="0.25">
      <c r="M719" s="95" t="str">
        <f t="shared" si="39"/>
        <v/>
      </c>
      <c r="N719" s="95" t="str">
        <f t="shared" si="40"/>
        <v/>
      </c>
    </row>
    <row r="720" spans="13:14" x14ac:dyDescent="0.25">
      <c r="M720" s="95" t="str">
        <f t="shared" si="39"/>
        <v/>
      </c>
      <c r="N720" s="95" t="str">
        <f t="shared" si="40"/>
        <v/>
      </c>
    </row>
    <row r="721" spans="13:14" x14ac:dyDescent="0.25">
      <c r="M721" s="95" t="str">
        <f t="shared" si="39"/>
        <v/>
      </c>
      <c r="N721" s="95" t="str">
        <f t="shared" si="40"/>
        <v/>
      </c>
    </row>
    <row r="722" spans="13:14" x14ac:dyDescent="0.25">
      <c r="M722" s="95" t="str">
        <f t="shared" si="39"/>
        <v/>
      </c>
      <c r="N722" s="95" t="str">
        <f t="shared" si="40"/>
        <v/>
      </c>
    </row>
    <row r="723" spans="13:14" x14ac:dyDescent="0.25">
      <c r="M723" s="95" t="str">
        <f t="shared" si="39"/>
        <v/>
      </c>
      <c r="N723" s="95" t="str">
        <f t="shared" si="40"/>
        <v/>
      </c>
    </row>
    <row r="724" spans="13:14" x14ac:dyDescent="0.25">
      <c r="M724" s="95" t="str">
        <f t="shared" si="39"/>
        <v/>
      </c>
      <c r="N724" s="95" t="str">
        <f t="shared" si="40"/>
        <v/>
      </c>
    </row>
    <row r="725" spans="13:14" x14ac:dyDescent="0.25">
      <c r="M725" s="95" t="str">
        <f t="shared" si="39"/>
        <v/>
      </c>
      <c r="N725" s="95" t="str">
        <f t="shared" si="40"/>
        <v/>
      </c>
    </row>
    <row r="726" spans="13:14" x14ac:dyDescent="0.25">
      <c r="M726" s="95" t="str">
        <f t="shared" si="39"/>
        <v/>
      </c>
      <c r="N726" s="95" t="str">
        <f t="shared" si="40"/>
        <v/>
      </c>
    </row>
    <row r="727" spans="13:14" x14ac:dyDescent="0.25">
      <c r="M727" s="95" t="str">
        <f t="shared" si="39"/>
        <v/>
      </c>
      <c r="N727" s="95" t="str">
        <f t="shared" si="40"/>
        <v/>
      </c>
    </row>
    <row r="728" spans="13:14" x14ac:dyDescent="0.25">
      <c r="M728" s="95" t="str">
        <f t="shared" si="39"/>
        <v/>
      </c>
      <c r="N728" s="95" t="str">
        <f t="shared" si="40"/>
        <v/>
      </c>
    </row>
    <row r="729" spans="13:14" x14ac:dyDescent="0.25">
      <c r="M729" s="95" t="str">
        <f t="shared" si="39"/>
        <v/>
      </c>
      <c r="N729" s="95" t="str">
        <f t="shared" si="40"/>
        <v/>
      </c>
    </row>
    <row r="730" spans="13:14" x14ac:dyDescent="0.25">
      <c r="M730" s="95" t="str">
        <f t="shared" si="39"/>
        <v/>
      </c>
      <c r="N730" s="95" t="str">
        <f t="shared" si="40"/>
        <v/>
      </c>
    </row>
    <row r="731" spans="13:14" x14ac:dyDescent="0.25">
      <c r="M731" s="95" t="str">
        <f t="shared" si="39"/>
        <v/>
      </c>
      <c r="N731" s="95" t="str">
        <f t="shared" si="40"/>
        <v/>
      </c>
    </row>
    <row r="732" spans="13:14" x14ac:dyDescent="0.25">
      <c r="M732" s="95" t="str">
        <f t="shared" si="39"/>
        <v/>
      </c>
      <c r="N732" s="95" t="str">
        <f t="shared" si="40"/>
        <v/>
      </c>
    </row>
    <row r="733" spans="13:14" x14ac:dyDescent="0.25">
      <c r="M733" s="95" t="str">
        <f t="shared" si="39"/>
        <v/>
      </c>
      <c r="N733" s="95" t="str">
        <f t="shared" si="40"/>
        <v/>
      </c>
    </row>
    <row r="734" spans="13:14" x14ac:dyDescent="0.25">
      <c r="M734" s="95" t="str">
        <f t="shared" si="39"/>
        <v/>
      </c>
      <c r="N734" s="95" t="str">
        <f t="shared" si="40"/>
        <v/>
      </c>
    </row>
    <row r="735" spans="13:14" x14ac:dyDescent="0.25">
      <c r="M735" s="95" t="str">
        <f t="shared" si="39"/>
        <v/>
      </c>
      <c r="N735" s="95" t="str">
        <f t="shared" si="40"/>
        <v/>
      </c>
    </row>
    <row r="736" spans="13:14" x14ac:dyDescent="0.25">
      <c r="M736" s="95" t="str">
        <f t="shared" si="39"/>
        <v/>
      </c>
      <c r="N736" s="95" t="str">
        <f t="shared" si="40"/>
        <v/>
      </c>
    </row>
    <row r="737" spans="13:14" x14ac:dyDescent="0.25">
      <c r="M737" s="95" t="str">
        <f t="shared" si="39"/>
        <v/>
      </c>
      <c r="N737" s="95" t="str">
        <f t="shared" si="40"/>
        <v/>
      </c>
    </row>
    <row r="738" spans="13:14" x14ac:dyDescent="0.25">
      <c r="M738" s="95" t="str">
        <f t="shared" si="39"/>
        <v/>
      </c>
      <c r="N738" s="95" t="str">
        <f t="shared" si="40"/>
        <v/>
      </c>
    </row>
    <row r="739" spans="13:14" x14ac:dyDescent="0.25">
      <c r="M739" s="95" t="str">
        <f t="shared" si="39"/>
        <v/>
      </c>
      <c r="N739" s="95" t="str">
        <f t="shared" si="40"/>
        <v/>
      </c>
    </row>
    <row r="740" spans="13:14" x14ac:dyDescent="0.25">
      <c r="M740" s="95" t="str">
        <f t="shared" si="39"/>
        <v/>
      </c>
      <c r="N740" s="95" t="str">
        <f t="shared" si="40"/>
        <v/>
      </c>
    </row>
    <row r="741" spans="13:14" x14ac:dyDescent="0.25">
      <c r="M741" s="95" t="str">
        <f t="shared" si="39"/>
        <v/>
      </c>
      <c r="N741" s="95" t="str">
        <f t="shared" si="40"/>
        <v/>
      </c>
    </row>
    <row r="742" spans="13:14" x14ac:dyDescent="0.25">
      <c r="M742" s="95" t="str">
        <f t="shared" si="39"/>
        <v/>
      </c>
      <c r="N742" s="95" t="str">
        <f t="shared" si="40"/>
        <v/>
      </c>
    </row>
    <row r="743" spans="13:14" x14ac:dyDescent="0.25">
      <c r="M743" s="95" t="str">
        <f t="shared" si="39"/>
        <v/>
      </c>
      <c r="N743" s="95" t="str">
        <f t="shared" si="40"/>
        <v/>
      </c>
    </row>
    <row r="744" spans="13:14" x14ac:dyDescent="0.25">
      <c r="M744" s="95" t="str">
        <f t="shared" si="39"/>
        <v/>
      </c>
      <c r="N744" s="95" t="str">
        <f t="shared" si="40"/>
        <v/>
      </c>
    </row>
    <row r="745" spans="13:14" x14ac:dyDescent="0.25">
      <c r="M745" s="95" t="str">
        <f t="shared" si="39"/>
        <v/>
      </c>
      <c r="N745" s="95" t="str">
        <f t="shared" si="40"/>
        <v/>
      </c>
    </row>
    <row r="746" spans="13:14" x14ac:dyDescent="0.25">
      <c r="M746" s="95" t="str">
        <f t="shared" si="39"/>
        <v/>
      </c>
      <c r="N746" s="95" t="str">
        <f t="shared" si="40"/>
        <v/>
      </c>
    </row>
    <row r="747" spans="13:14" x14ac:dyDescent="0.25">
      <c r="M747" s="95" t="str">
        <f t="shared" si="39"/>
        <v/>
      </c>
      <c r="N747" s="95" t="str">
        <f t="shared" si="40"/>
        <v/>
      </c>
    </row>
    <row r="748" spans="13:14" x14ac:dyDescent="0.25">
      <c r="M748" s="95" t="str">
        <f t="shared" si="39"/>
        <v/>
      </c>
      <c r="N748" s="95" t="str">
        <f t="shared" si="40"/>
        <v/>
      </c>
    </row>
    <row r="749" spans="13:14" x14ac:dyDescent="0.25">
      <c r="M749" s="95" t="str">
        <f t="shared" si="39"/>
        <v/>
      </c>
      <c r="N749" s="95" t="str">
        <f t="shared" si="40"/>
        <v/>
      </c>
    </row>
    <row r="750" spans="13:14" x14ac:dyDescent="0.25">
      <c r="M750" s="95" t="str">
        <f t="shared" si="39"/>
        <v/>
      </c>
      <c r="N750" s="95" t="str">
        <f t="shared" si="40"/>
        <v/>
      </c>
    </row>
    <row r="751" spans="13:14" x14ac:dyDescent="0.25">
      <c r="M751" s="95" t="str">
        <f t="shared" si="39"/>
        <v/>
      </c>
      <c r="N751" s="95" t="str">
        <f t="shared" si="40"/>
        <v/>
      </c>
    </row>
    <row r="752" spans="13:14" x14ac:dyDescent="0.25">
      <c r="M752" s="95" t="str">
        <f t="shared" si="39"/>
        <v/>
      </c>
      <c r="N752" s="95" t="str">
        <f t="shared" si="40"/>
        <v/>
      </c>
    </row>
    <row r="753" spans="13:14" x14ac:dyDescent="0.25">
      <c r="M753" s="95" t="str">
        <f t="shared" si="39"/>
        <v/>
      </c>
      <c r="N753" s="95" t="str">
        <f t="shared" si="40"/>
        <v/>
      </c>
    </row>
    <row r="754" spans="13:14" x14ac:dyDescent="0.25">
      <c r="M754" s="95" t="str">
        <f t="shared" si="39"/>
        <v/>
      </c>
      <c r="N754" s="95" t="str">
        <f t="shared" si="40"/>
        <v/>
      </c>
    </row>
    <row r="755" spans="13:14" x14ac:dyDescent="0.25">
      <c r="M755" s="95" t="str">
        <f t="shared" si="39"/>
        <v/>
      </c>
      <c r="N755" s="95" t="str">
        <f t="shared" si="40"/>
        <v/>
      </c>
    </row>
    <row r="756" spans="13:14" x14ac:dyDescent="0.25">
      <c r="M756" s="95" t="str">
        <f t="shared" si="39"/>
        <v/>
      </c>
      <c r="N756" s="95" t="str">
        <f t="shared" si="40"/>
        <v/>
      </c>
    </row>
    <row r="757" spans="13:14" x14ac:dyDescent="0.25">
      <c r="M757" s="95" t="str">
        <f t="shared" si="39"/>
        <v/>
      </c>
      <c r="N757" s="95" t="str">
        <f t="shared" si="40"/>
        <v/>
      </c>
    </row>
    <row r="758" spans="13:14" x14ac:dyDescent="0.25">
      <c r="M758" s="95" t="str">
        <f t="shared" si="39"/>
        <v/>
      </c>
      <c r="N758" s="95" t="str">
        <f t="shared" si="40"/>
        <v/>
      </c>
    </row>
    <row r="759" spans="13:14" x14ac:dyDescent="0.25">
      <c r="M759" s="95" t="str">
        <f t="shared" si="39"/>
        <v/>
      </c>
      <c r="N759" s="95" t="str">
        <f t="shared" si="40"/>
        <v/>
      </c>
    </row>
    <row r="760" spans="13:14" x14ac:dyDescent="0.25">
      <c r="M760" s="95" t="str">
        <f t="shared" si="39"/>
        <v/>
      </c>
      <c r="N760" s="95" t="str">
        <f t="shared" si="40"/>
        <v/>
      </c>
    </row>
    <row r="761" spans="13:14" x14ac:dyDescent="0.25">
      <c r="M761" s="95" t="str">
        <f t="shared" si="39"/>
        <v/>
      </c>
      <c r="N761" s="95" t="str">
        <f t="shared" si="40"/>
        <v/>
      </c>
    </row>
    <row r="762" spans="13:14" x14ac:dyDescent="0.25">
      <c r="M762" s="95" t="str">
        <f t="shared" si="39"/>
        <v/>
      </c>
      <c r="N762" s="95" t="str">
        <f t="shared" si="40"/>
        <v/>
      </c>
    </row>
    <row r="763" spans="13:14" x14ac:dyDescent="0.25">
      <c r="M763" s="95" t="str">
        <f t="shared" si="39"/>
        <v/>
      </c>
      <c r="N763" s="95" t="str">
        <f t="shared" si="40"/>
        <v/>
      </c>
    </row>
    <row r="764" spans="13:14" x14ac:dyDescent="0.25">
      <c r="M764" s="95" t="str">
        <f t="shared" si="39"/>
        <v/>
      </c>
      <c r="N764" s="95" t="str">
        <f t="shared" si="40"/>
        <v/>
      </c>
    </row>
    <row r="765" spans="13:14" x14ac:dyDescent="0.25">
      <c r="M765" s="95" t="str">
        <f t="shared" si="39"/>
        <v/>
      </c>
      <c r="N765" s="95" t="str">
        <f t="shared" si="40"/>
        <v/>
      </c>
    </row>
    <row r="766" spans="13:14" x14ac:dyDescent="0.25">
      <c r="M766" s="95" t="str">
        <f t="shared" si="39"/>
        <v/>
      </c>
      <c r="N766" s="95" t="str">
        <f t="shared" si="40"/>
        <v/>
      </c>
    </row>
    <row r="767" spans="13:14" x14ac:dyDescent="0.25">
      <c r="M767" s="95" t="str">
        <f t="shared" si="39"/>
        <v/>
      </c>
      <c r="N767" s="95" t="str">
        <f t="shared" si="40"/>
        <v/>
      </c>
    </row>
    <row r="768" spans="13:14" x14ac:dyDescent="0.25">
      <c r="M768" s="95" t="str">
        <f t="shared" si="39"/>
        <v/>
      </c>
      <c r="N768" s="95" t="str">
        <f t="shared" si="40"/>
        <v/>
      </c>
    </row>
    <row r="769" spans="13:14" x14ac:dyDescent="0.25">
      <c r="M769" s="95" t="str">
        <f t="shared" si="39"/>
        <v/>
      </c>
      <c r="N769" s="95" t="str">
        <f t="shared" si="40"/>
        <v/>
      </c>
    </row>
    <row r="770" spans="13:14" x14ac:dyDescent="0.25">
      <c r="M770" s="95" t="str">
        <f t="shared" si="39"/>
        <v/>
      </c>
      <c r="N770" s="95" t="str">
        <f t="shared" si="40"/>
        <v/>
      </c>
    </row>
    <row r="771" spans="13:14" x14ac:dyDescent="0.25">
      <c r="M771" s="95" t="str">
        <f t="shared" ref="M771:M834" si="41">IF(COUNTIF(K:K,J771),J771,"")</f>
        <v/>
      </c>
      <c r="N771" s="95" t="str">
        <f t="shared" si="40"/>
        <v/>
      </c>
    </row>
    <row r="772" spans="13:14" x14ac:dyDescent="0.25">
      <c r="M772" s="95" t="str">
        <f t="shared" si="41"/>
        <v/>
      </c>
      <c r="N772" s="95" t="str">
        <f t="shared" ref="N772:N835" si="42">IF(M772&gt;$A$14,M772,"")</f>
        <v/>
      </c>
    </row>
    <row r="773" spans="13:14" x14ac:dyDescent="0.25">
      <c r="M773" s="95" t="str">
        <f t="shared" si="41"/>
        <v/>
      </c>
      <c r="N773" s="95" t="str">
        <f t="shared" si="42"/>
        <v/>
      </c>
    </row>
    <row r="774" spans="13:14" x14ac:dyDescent="0.25">
      <c r="M774" s="95" t="str">
        <f t="shared" si="41"/>
        <v/>
      </c>
      <c r="N774" s="95" t="str">
        <f t="shared" si="42"/>
        <v/>
      </c>
    </row>
    <row r="775" spans="13:14" x14ac:dyDescent="0.25">
      <c r="M775" s="95" t="str">
        <f t="shared" si="41"/>
        <v/>
      </c>
      <c r="N775" s="95" t="str">
        <f t="shared" si="42"/>
        <v/>
      </c>
    </row>
    <row r="776" spans="13:14" x14ac:dyDescent="0.25">
      <c r="M776" s="95" t="str">
        <f t="shared" si="41"/>
        <v/>
      </c>
      <c r="N776" s="95" t="str">
        <f t="shared" si="42"/>
        <v/>
      </c>
    </row>
    <row r="777" spans="13:14" x14ac:dyDescent="0.25">
      <c r="M777" s="95" t="str">
        <f t="shared" si="41"/>
        <v/>
      </c>
      <c r="N777" s="95" t="str">
        <f t="shared" si="42"/>
        <v/>
      </c>
    </row>
    <row r="778" spans="13:14" x14ac:dyDescent="0.25">
      <c r="M778" s="95" t="str">
        <f t="shared" si="41"/>
        <v/>
      </c>
      <c r="N778" s="95" t="str">
        <f t="shared" si="42"/>
        <v/>
      </c>
    </row>
    <row r="779" spans="13:14" x14ac:dyDescent="0.25">
      <c r="M779" s="95" t="str">
        <f t="shared" si="41"/>
        <v/>
      </c>
      <c r="N779" s="95" t="str">
        <f t="shared" si="42"/>
        <v/>
      </c>
    </row>
    <row r="780" spans="13:14" x14ac:dyDescent="0.25">
      <c r="M780" s="95" t="str">
        <f t="shared" si="41"/>
        <v/>
      </c>
      <c r="N780" s="95" t="str">
        <f t="shared" si="42"/>
        <v/>
      </c>
    </row>
    <row r="781" spans="13:14" x14ac:dyDescent="0.25">
      <c r="M781" s="95" t="str">
        <f t="shared" si="41"/>
        <v/>
      </c>
      <c r="N781" s="95" t="str">
        <f t="shared" si="42"/>
        <v/>
      </c>
    </row>
    <row r="782" spans="13:14" x14ac:dyDescent="0.25">
      <c r="M782" s="95" t="str">
        <f t="shared" si="41"/>
        <v/>
      </c>
      <c r="N782" s="95" t="str">
        <f t="shared" si="42"/>
        <v/>
      </c>
    </row>
    <row r="783" spans="13:14" x14ac:dyDescent="0.25">
      <c r="M783" s="95" t="str">
        <f t="shared" si="41"/>
        <v/>
      </c>
      <c r="N783" s="95" t="str">
        <f t="shared" si="42"/>
        <v/>
      </c>
    </row>
    <row r="784" spans="13:14" x14ac:dyDescent="0.25">
      <c r="M784" s="95" t="str">
        <f t="shared" si="41"/>
        <v/>
      </c>
      <c r="N784" s="95" t="str">
        <f t="shared" si="42"/>
        <v/>
      </c>
    </row>
    <row r="785" spans="13:14" x14ac:dyDescent="0.25">
      <c r="M785" s="95" t="str">
        <f t="shared" si="41"/>
        <v/>
      </c>
      <c r="N785" s="95" t="str">
        <f t="shared" si="42"/>
        <v/>
      </c>
    </row>
    <row r="786" spans="13:14" x14ac:dyDescent="0.25">
      <c r="M786" s="95" t="str">
        <f t="shared" si="41"/>
        <v/>
      </c>
      <c r="N786" s="95" t="str">
        <f t="shared" si="42"/>
        <v/>
      </c>
    </row>
    <row r="787" spans="13:14" x14ac:dyDescent="0.25">
      <c r="M787" s="95" t="str">
        <f t="shared" si="41"/>
        <v/>
      </c>
      <c r="N787" s="95" t="str">
        <f t="shared" si="42"/>
        <v/>
      </c>
    </row>
    <row r="788" spans="13:14" x14ac:dyDescent="0.25">
      <c r="M788" s="95" t="str">
        <f t="shared" si="41"/>
        <v/>
      </c>
      <c r="N788" s="95" t="str">
        <f t="shared" si="42"/>
        <v/>
      </c>
    </row>
    <row r="789" spans="13:14" x14ac:dyDescent="0.25">
      <c r="M789" s="95" t="str">
        <f t="shared" si="41"/>
        <v/>
      </c>
      <c r="N789" s="95" t="str">
        <f t="shared" si="42"/>
        <v/>
      </c>
    </row>
    <row r="790" spans="13:14" x14ac:dyDescent="0.25">
      <c r="M790" s="95" t="str">
        <f t="shared" si="41"/>
        <v/>
      </c>
      <c r="N790" s="95" t="str">
        <f t="shared" si="42"/>
        <v/>
      </c>
    </row>
    <row r="791" spans="13:14" x14ac:dyDescent="0.25">
      <c r="M791" s="95" t="str">
        <f t="shared" si="41"/>
        <v/>
      </c>
      <c r="N791" s="95" t="str">
        <f t="shared" si="42"/>
        <v/>
      </c>
    </row>
    <row r="792" spans="13:14" x14ac:dyDescent="0.25">
      <c r="M792" s="95" t="str">
        <f t="shared" si="41"/>
        <v/>
      </c>
      <c r="N792" s="95" t="str">
        <f t="shared" si="42"/>
        <v/>
      </c>
    </row>
    <row r="793" spans="13:14" x14ac:dyDescent="0.25">
      <c r="M793" s="95" t="str">
        <f t="shared" si="41"/>
        <v/>
      </c>
      <c r="N793" s="95" t="str">
        <f t="shared" si="42"/>
        <v/>
      </c>
    </row>
    <row r="794" spans="13:14" x14ac:dyDescent="0.25">
      <c r="M794" s="95" t="str">
        <f t="shared" si="41"/>
        <v/>
      </c>
      <c r="N794" s="95" t="str">
        <f t="shared" si="42"/>
        <v/>
      </c>
    </row>
    <row r="795" spans="13:14" x14ac:dyDescent="0.25">
      <c r="M795" s="95" t="str">
        <f t="shared" si="41"/>
        <v/>
      </c>
      <c r="N795" s="95" t="str">
        <f t="shared" si="42"/>
        <v/>
      </c>
    </row>
    <row r="796" spans="13:14" x14ac:dyDescent="0.25">
      <c r="M796" s="95" t="str">
        <f t="shared" si="41"/>
        <v/>
      </c>
      <c r="N796" s="95" t="str">
        <f t="shared" si="42"/>
        <v/>
      </c>
    </row>
    <row r="797" spans="13:14" x14ac:dyDescent="0.25">
      <c r="M797" s="95" t="str">
        <f t="shared" si="41"/>
        <v/>
      </c>
      <c r="N797" s="95" t="str">
        <f t="shared" si="42"/>
        <v/>
      </c>
    </row>
    <row r="798" spans="13:14" x14ac:dyDescent="0.25">
      <c r="M798" s="95" t="str">
        <f t="shared" si="41"/>
        <v/>
      </c>
      <c r="N798" s="95" t="str">
        <f t="shared" si="42"/>
        <v/>
      </c>
    </row>
    <row r="799" spans="13:14" x14ac:dyDescent="0.25">
      <c r="M799" s="95" t="str">
        <f t="shared" si="41"/>
        <v/>
      </c>
      <c r="N799" s="95" t="str">
        <f t="shared" si="42"/>
        <v/>
      </c>
    </row>
    <row r="800" spans="13:14" x14ac:dyDescent="0.25">
      <c r="M800" s="95" t="str">
        <f t="shared" si="41"/>
        <v/>
      </c>
      <c r="N800" s="95" t="str">
        <f t="shared" si="42"/>
        <v/>
      </c>
    </row>
    <row r="801" spans="13:14" x14ac:dyDescent="0.25">
      <c r="M801" s="95" t="str">
        <f t="shared" si="41"/>
        <v/>
      </c>
      <c r="N801" s="95" t="str">
        <f t="shared" si="42"/>
        <v/>
      </c>
    </row>
    <row r="802" spans="13:14" x14ac:dyDescent="0.25">
      <c r="M802" s="95" t="str">
        <f t="shared" si="41"/>
        <v/>
      </c>
      <c r="N802" s="95" t="str">
        <f t="shared" si="42"/>
        <v/>
      </c>
    </row>
    <row r="803" spans="13:14" x14ac:dyDescent="0.25">
      <c r="M803" s="95" t="str">
        <f t="shared" si="41"/>
        <v/>
      </c>
      <c r="N803" s="95" t="str">
        <f t="shared" si="42"/>
        <v/>
      </c>
    </row>
    <row r="804" spans="13:14" x14ac:dyDescent="0.25">
      <c r="M804" s="95" t="str">
        <f t="shared" si="41"/>
        <v/>
      </c>
      <c r="N804" s="95" t="str">
        <f t="shared" si="42"/>
        <v/>
      </c>
    </row>
    <row r="805" spans="13:14" x14ac:dyDescent="0.25">
      <c r="M805" s="95" t="str">
        <f t="shared" si="41"/>
        <v/>
      </c>
      <c r="N805" s="95" t="str">
        <f t="shared" si="42"/>
        <v/>
      </c>
    </row>
    <row r="806" spans="13:14" x14ac:dyDescent="0.25">
      <c r="M806" s="95" t="str">
        <f t="shared" si="41"/>
        <v/>
      </c>
      <c r="N806" s="95" t="str">
        <f t="shared" si="42"/>
        <v/>
      </c>
    </row>
    <row r="807" spans="13:14" x14ac:dyDescent="0.25">
      <c r="M807" s="95" t="str">
        <f t="shared" si="41"/>
        <v/>
      </c>
      <c r="N807" s="95" t="str">
        <f t="shared" si="42"/>
        <v/>
      </c>
    </row>
    <row r="808" spans="13:14" x14ac:dyDescent="0.25">
      <c r="M808" s="95" t="str">
        <f t="shared" si="41"/>
        <v/>
      </c>
      <c r="N808" s="95" t="str">
        <f t="shared" si="42"/>
        <v/>
      </c>
    </row>
    <row r="809" spans="13:14" x14ac:dyDescent="0.25">
      <c r="M809" s="95" t="str">
        <f t="shared" si="41"/>
        <v/>
      </c>
      <c r="N809" s="95" t="str">
        <f t="shared" si="42"/>
        <v/>
      </c>
    </row>
    <row r="810" spans="13:14" x14ac:dyDescent="0.25">
      <c r="M810" s="95" t="str">
        <f t="shared" si="41"/>
        <v/>
      </c>
      <c r="N810" s="95" t="str">
        <f t="shared" si="42"/>
        <v/>
      </c>
    </row>
    <row r="811" spans="13:14" x14ac:dyDescent="0.25">
      <c r="M811" s="95" t="str">
        <f t="shared" si="41"/>
        <v/>
      </c>
      <c r="N811" s="95" t="str">
        <f t="shared" si="42"/>
        <v/>
      </c>
    </row>
    <row r="812" spans="13:14" x14ac:dyDescent="0.25">
      <c r="M812" s="95" t="str">
        <f t="shared" si="41"/>
        <v/>
      </c>
      <c r="N812" s="95" t="str">
        <f t="shared" si="42"/>
        <v/>
      </c>
    </row>
    <row r="813" spans="13:14" x14ac:dyDescent="0.25">
      <c r="M813" s="95" t="str">
        <f t="shared" si="41"/>
        <v/>
      </c>
      <c r="N813" s="95" t="str">
        <f t="shared" si="42"/>
        <v/>
      </c>
    </row>
    <row r="814" spans="13:14" x14ac:dyDescent="0.25">
      <c r="M814" s="95" t="str">
        <f t="shared" si="41"/>
        <v/>
      </c>
      <c r="N814" s="95" t="str">
        <f t="shared" si="42"/>
        <v/>
      </c>
    </row>
    <row r="815" spans="13:14" x14ac:dyDescent="0.25">
      <c r="M815" s="95" t="str">
        <f t="shared" si="41"/>
        <v/>
      </c>
      <c r="N815" s="95" t="str">
        <f t="shared" si="42"/>
        <v/>
      </c>
    </row>
    <row r="816" spans="13:14" x14ac:dyDescent="0.25">
      <c r="M816" s="95" t="str">
        <f t="shared" si="41"/>
        <v/>
      </c>
      <c r="N816" s="95" t="str">
        <f t="shared" si="42"/>
        <v/>
      </c>
    </row>
    <row r="817" spans="13:14" x14ac:dyDescent="0.25">
      <c r="M817" s="95" t="str">
        <f t="shared" si="41"/>
        <v/>
      </c>
      <c r="N817" s="95" t="str">
        <f t="shared" si="42"/>
        <v/>
      </c>
    </row>
    <row r="818" spans="13:14" x14ac:dyDescent="0.25">
      <c r="M818" s="95" t="str">
        <f t="shared" si="41"/>
        <v/>
      </c>
      <c r="N818" s="95" t="str">
        <f t="shared" si="42"/>
        <v/>
      </c>
    </row>
    <row r="819" spans="13:14" x14ac:dyDescent="0.25">
      <c r="M819" s="95" t="str">
        <f t="shared" si="41"/>
        <v/>
      </c>
      <c r="N819" s="95" t="str">
        <f t="shared" si="42"/>
        <v/>
      </c>
    </row>
    <row r="820" spans="13:14" x14ac:dyDescent="0.25">
      <c r="M820" s="95" t="str">
        <f t="shared" si="41"/>
        <v/>
      </c>
      <c r="N820" s="95" t="str">
        <f t="shared" si="42"/>
        <v/>
      </c>
    </row>
    <row r="821" spans="13:14" x14ac:dyDescent="0.25">
      <c r="M821" s="95" t="str">
        <f t="shared" si="41"/>
        <v/>
      </c>
      <c r="N821" s="95" t="str">
        <f t="shared" si="42"/>
        <v/>
      </c>
    </row>
    <row r="822" spans="13:14" x14ac:dyDescent="0.25">
      <c r="M822" s="95" t="str">
        <f t="shared" si="41"/>
        <v/>
      </c>
      <c r="N822" s="95" t="str">
        <f t="shared" si="42"/>
        <v/>
      </c>
    </row>
    <row r="823" spans="13:14" x14ac:dyDescent="0.25">
      <c r="M823" s="95" t="str">
        <f t="shared" si="41"/>
        <v/>
      </c>
      <c r="N823" s="95" t="str">
        <f t="shared" si="42"/>
        <v/>
      </c>
    </row>
    <row r="824" spans="13:14" x14ac:dyDescent="0.25">
      <c r="M824" s="95" t="str">
        <f t="shared" si="41"/>
        <v/>
      </c>
      <c r="N824" s="95" t="str">
        <f t="shared" si="42"/>
        <v/>
      </c>
    </row>
    <row r="825" spans="13:14" x14ac:dyDescent="0.25">
      <c r="M825" s="95" t="str">
        <f t="shared" si="41"/>
        <v/>
      </c>
      <c r="N825" s="95" t="str">
        <f t="shared" si="42"/>
        <v/>
      </c>
    </row>
    <row r="826" spans="13:14" x14ac:dyDescent="0.25">
      <c r="M826" s="95" t="str">
        <f t="shared" si="41"/>
        <v/>
      </c>
      <c r="N826" s="95" t="str">
        <f t="shared" si="42"/>
        <v/>
      </c>
    </row>
    <row r="827" spans="13:14" x14ac:dyDescent="0.25">
      <c r="M827" s="95" t="str">
        <f t="shared" si="41"/>
        <v/>
      </c>
      <c r="N827" s="95" t="str">
        <f t="shared" si="42"/>
        <v/>
      </c>
    </row>
    <row r="828" spans="13:14" x14ac:dyDescent="0.25">
      <c r="M828" s="95" t="str">
        <f t="shared" si="41"/>
        <v/>
      </c>
      <c r="N828" s="95" t="str">
        <f t="shared" si="42"/>
        <v/>
      </c>
    </row>
    <row r="829" spans="13:14" x14ac:dyDescent="0.25">
      <c r="M829" s="95" t="str">
        <f t="shared" si="41"/>
        <v/>
      </c>
      <c r="N829" s="95" t="str">
        <f t="shared" si="42"/>
        <v/>
      </c>
    </row>
    <row r="830" spans="13:14" x14ac:dyDescent="0.25">
      <c r="M830" s="95" t="str">
        <f t="shared" si="41"/>
        <v/>
      </c>
      <c r="N830" s="95" t="str">
        <f t="shared" si="42"/>
        <v/>
      </c>
    </row>
    <row r="831" spans="13:14" x14ac:dyDescent="0.25">
      <c r="M831" s="95" t="str">
        <f t="shared" si="41"/>
        <v/>
      </c>
      <c r="N831" s="95" t="str">
        <f t="shared" si="42"/>
        <v/>
      </c>
    </row>
    <row r="832" spans="13:14" x14ac:dyDescent="0.25">
      <c r="M832" s="95" t="str">
        <f t="shared" si="41"/>
        <v/>
      </c>
      <c r="N832" s="95" t="str">
        <f t="shared" si="42"/>
        <v/>
      </c>
    </row>
    <row r="833" spans="13:14" x14ac:dyDescent="0.25">
      <c r="M833" s="95" t="str">
        <f t="shared" si="41"/>
        <v/>
      </c>
      <c r="N833" s="95" t="str">
        <f t="shared" si="42"/>
        <v/>
      </c>
    </row>
    <row r="834" spans="13:14" x14ac:dyDescent="0.25">
      <c r="M834" s="95" t="str">
        <f t="shared" si="41"/>
        <v/>
      </c>
      <c r="N834" s="95" t="str">
        <f t="shared" si="42"/>
        <v/>
      </c>
    </row>
    <row r="835" spans="13:14" x14ac:dyDescent="0.25">
      <c r="M835" s="95" t="str">
        <f t="shared" ref="M835:M891" si="43">IF(COUNTIF(K:K,J835),J835,"")</f>
        <v/>
      </c>
      <c r="N835" s="95" t="str">
        <f t="shared" si="42"/>
        <v/>
      </c>
    </row>
    <row r="836" spans="13:14" x14ac:dyDescent="0.25">
      <c r="M836" s="95" t="str">
        <f t="shared" si="43"/>
        <v/>
      </c>
      <c r="N836" s="95" t="str">
        <f t="shared" ref="N836:N891" si="44">IF(M836&gt;$A$14,M836,"")</f>
        <v/>
      </c>
    </row>
    <row r="837" spans="13:14" x14ac:dyDescent="0.25">
      <c r="M837" s="95" t="str">
        <f t="shared" si="43"/>
        <v/>
      </c>
      <c r="N837" s="95" t="str">
        <f t="shared" si="44"/>
        <v/>
      </c>
    </row>
    <row r="838" spans="13:14" x14ac:dyDescent="0.25">
      <c r="M838" s="95" t="str">
        <f t="shared" si="43"/>
        <v/>
      </c>
      <c r="N838" s="95" t="str">
        <f t="shared" si="44"/>
        <v/>
      </c>
    </row>
    <row r="839" spans="13:14" x14ac:dyDescent="0.25">
      <c r="M839" s="95" t="str">
        <f t="shared" si="43"/>
        <v/>
      </c>
      <c r="N839" s="95" t="str">
        <f t="shared" si="44"/>
        <v/>
      </c>
    </row>
    <row r="840" spans="13:14" x14ac:dyDescent="0.25">
      <c r="M840" s="95" t="str">
        <f t="shared" si="43"/>
        <v/>
      </c>
      <c r="N840" s="95" t="str">
        <f t="shared" si="44"/>
        <v/>
      </c>
    </row>
    <row r="841" spans="13:14" x14ac:dyDescent="0.25">
      <c r="M841" s="95" t="str">
        <f t="shared" si="43"/>
        <v/>
      </c>
      <c r="N841" s="95" t="str">
        <f t="shared" si="44"/>
        <v/>
      </c>
    </row>
    <row r="842" spans="13:14" x14ac:dyDescent="0.25">
      <c r="M842" s="95" t="str">
        <f t="shared" si="43"/>
        <v/>
      </c>
      <c r="N842" s="95" t="str">
        <f t="shared" si="44"/>
        <v/>
      </c>
    </row>
    <row r="843" spans="13:14" x14ac:dyDescent="0.25">
      <c r="M843" s="95" t="str">
        <f t="shared" si="43"/>
        <v/>
      </c>
      <c r="N843" s="95" t="str">
        <f t="shared" si="44"/>
        <v/>
      </c>
    </row>
    <row r="844" spans="13:14" x14ac:dyDescent="0.25">
      <c r="M844" s="95" t="str">
        <f t="shared" si="43"/>
        <v/>
      </c>
      <c r="N844" s="95" t="str">
        <f t="shared" si="44"/>
        <v/>
      </c>
    </row>
    <row r="845" spans="13:14" x14ac:dyDescent="0.25">
      <c r="M845" s="95" t="str">
        <f t="shared" si="43"/>
        <v/>
      </c>
      <c r="N845" s="95" t="str">
        <f t="shared" si="44"/>
        <v/>
      </c>
    </row>
    <row r="846" spans="13:14" x14ac:dyDescent="0.25">
      <c r="M846" s="95" t="str">
        <f t="shared" si="43"/>
        <v/>
      </c>
      <c r="N846" s="95" t="str">
        <f t="shared" si="44"/>
        <v/>
      </c>
    </row>
    <row r="847" spans="13:14" x14ac:dyDescent="0.25">
      <c r="M847" s="95" t="str">
        <f t="shared" si="43"/>
        <v/>
      </c>
      <c r="N847" s="95" t="str">
        <f t="shared" si="44"/>
        <v/>
      </c>
    </row>
    <row r="848" spans="13:14" x14ac:dyDescent="0.25">
      <c r="M848" s="95" t="str">
        <f t="shared" si="43"/>
        <v/>
      </c>
      <c r="N848" s="95" t="str">
        <f t="shared" si="44"/>
        <v/>
      </c>
    </row>
    <row r="849" spans="13:14" x14ac:dyDescent="0.25">
      <c r="M849" s="95" t="str">
        <f t="shared" si="43"/>
        <v/>
      </c>
      <c r="N849" s="95" t="str">
        <f t="shared" si="44"/>
        <v/>
      </c>
    </row>
    <row r="850" spans="13:14" x14ac:dyDescent="0.25">
      <c r="M850" s="95" t="str">
        <f t="shared" si="43"/>
        <v/>
      </c>
      <c r="N850" s="95" t="str">
        <f t="shared" si="44"/>
        <v/>
      </c>
    </row>
    <row r="851" spans="13:14" x14ac:dyDescent="0.25">
      <c r="M851" s="95" t="str">
        <f t="shared" si="43"/>
        <v/>
      </c>
      <c r="N851" s="95" t="str">
        <f t="shared" si="44"/>
        <v/>
      </c>
    </row>
    <row r="852" spans="13:14" x14ac:dyDescent="0.25">
      <c r="M852" s="95" t="str">
        <f t="shared" si="43"/>
        <v/>
      </c>
      <c r="N852" s="95" t="str">
        <f t="shared" si="44"/>
        <v/>
      </c>
    </row>
    <row r="853" spans="13:14" x14ac:dyDescent="0.25">
      <c r="M853" s="95" t="str">
        <f t="shared" si="43"/>
        <v/>
      </c>
      <c r="N853" s="95" t="str">
        <f t="shared" si="44"/>
        <v/>
      </c>
    </row>
    <row r="854" spans="13:14" x14ac:dyDescent="0.25">
      <c r="M854" s="95" t="str">
        <f t="shared" si="43"/>
        <v/>
      </c>
      <c r="N854" s="95" t="str">
        <f t="shared" si="44"/>
        <v/>
      </c>
    </row>
    <row r="855" spans="13:14" x14ac:dyDescent="0.25">
      <c r="M855" s="95" t="str">
        <f t="shared" si="43"/>
        <v/>
      </c>
      <c r="N855" s="95" t="str">
        <f t="shared" si="44"/>
        <v/>
      </c>
    </row>
    <row r="856" spans="13:14" x14ac:dyDescent="0.25">
      <c r="M856" s="95" t="str">
        <f t="shared" si="43"/>
        <v/>
      </c>
      <c r="N856" s="95" t="str">
        <f t="shared" si="44"/>
        <v/>
      </c>
    </row>
    <row r="857" spans="13:14" x14ac:dyDescent="0.25">
      <c r="M857" s="95" t="str">
        <f t="shared" si="43"/>
        <v/>
      </c>
      <c r="N857" s="95" t="str">
        <f t="shared" si="44"/>
        <v/>
      </c>
    </row>
    <row r="858" spans="13:14" x14ac:dyDescent="0.25">
      <c r="M858" s="95" t="str">
        <f t="shared" si="43"/>
        <v/>
      </c>
      <c r="N858" s="95" t="str">
        <f t="shared" si="44"/>
        <v/>
      </c>
    </row>
    <row r="859" spans="13:14" x14ac:dyDescent="0.25">
      <c r="M859" s="95" t="str">
        <f t="shared" si="43"/>
        <v/>
      </c>
      <c r="N859" s="95" t="str">
        <f t="shared" si="44"/>
        <v/>
      </c>
    </row>
    <row r="860" spans="13:14" x14ac:dyDescent="0.25">
      <c r="M860" s="95" t="str">
        <f t="shared" si="43"/>
        <v/>
      </c>
      <c r="N860" s="95" t="str">
        <f t="shared" si="44"/>
        <v/>
      </c>
    </row>
    <row r="861" spans="13:14" x14ac:dyDescent="0.25">
      <c r="M861" s="95" t="str">
        <f t="shared" si="43"/>
        <v/>
      </c>
      <c r="N861" s="95" t="str">
        <f t="shared" si="44"/>
        <v/>
      </c>
    </row>
    <row r="862" spans="13:14" x14ac:dyDescent="0.25">
      <c r="M862" s="95" t="str">
        <f t="shared" si="43"/>
        <v/>
      </c>
      <c r="N862" s="95" t="str">
        <f t="shared" si="44"/>
        <v/>
      </c>
    </row>
    <row r="863" spans="13:14" x14ac:dyDescent="0.25">
      <c r="M863" s="95" t="str">
        <f t="shared" si="43"/>
        <v/>
      </c>
      <c r="N863" s="95" t="str">
        <f t="shared" si="44"/>
        <v/>
      </c>
    </row>
    <row r="864" spans="13:14" x14ac:dyDescent="0.25">
      <c r="M864" s="95" t="str">
        <f t="shared" si="43"/>
        <v/>
      </c>
      <c r="N864" s="95" t="str">
        <f t="shared" si="44"/>
        <v/>
      </c>
    </row>
    <row r="865" spans="13:14" x14ac:dyDescent="0.25">
      <c r="M865" s="95" t="str">
        <f t="shared" si="43"/>
        <v/>
      </c>
      <c r="N865" s="95" t="str">
        <f t="shared" si="44"/>
        <v/>
      </c>
    </row>
    <row r="866" spans="13:14" x14ac:dyDescent="0.25">
      <c r="M866" s="95" t="str">
        <f t="shared" si="43"/>
        <v/>
      </c>
      <c r="N866" s="95" t="str">
        <f t="shared" si="44"/>
        <v/>
      </c>
    </row>
    <row r="867" spans="13:14" x14ac:dyDescent="0.25">
      <c r="M867" s="95" t="str">
        <f t="shared" si="43"/>
        <v/>
      </c>
      <c r="N867" s="95" t="str">
        <f t="shared" si="44"/>
        <v/>
      </c>
    </row>
    <row r="868" spans="13:14" x14ac:dyDescent="0.25">
      <c r="M868" s="95" t="str">
        <f t="shared" si="43"/>
        <v/>
      </c>
      <c r="N868" s="95" t="str">
        <f t="shared" si="44"/>
        <v/>
      </c>
    </row>
    <row r="869" spans="13:14" x14ac:dyDescent="0.25">
      <c r="M869" s="95" t="str">
        <f t="shared" si="43"/>
        <v/>
      </c>
      <c r="N869" s="95" t="str">
        <f t="shared" si="44"/>
        <v/>
      </c>
    </row>
    <row r="870" spans="13:14" x14ac:dyDescent="0.25">
      <c r="M870" s="95" t="str">
        <f t="shared" si="43"/>
        <v/>
      </c>
      <c r="N870" s="95" t="str">
        <f t="shared" si="44"/>
        <v/>
      </c>
    </row>
    <row r="871" spans="13:14" x14ac:dyDescent="0.25">
      <c r="M871" s="95" t="str">
        <f t="shared" si="43"/>
        <v/>
      </c>
      <c r="N871" s="95" t="str">
        <f t="shared" si="44"/>
        <v/>
      </c>
    </row>
    <row r="872" spans="13:14" x14ac:dyDescent="0.25">
      <c r="M872" s="95" t="str">
        <f t="shared" si="43"/>
        <v/>
      </c>
      <c r="N872" s="95" t="str">
        <f t="shared" si="44"/>
        <v/>
      </c>
    </row>
    <row r="873" spans="13:14" x14ac:dyDescent="0.25">
      <c r="M873" s="95" t="str">
        <f t="shared" si="43"/>
        <v/>
      </c>
      <c r="N873" s="95" t="str">
        <f t="shared" si="44"/>
        <v/>
      </c>
    </row>
    <row r="874" spans="13:14" x14ac:dyDescent="0.25">
      <c r="M874" s="95" t="str">
        <f t="shared" si="43"/>
        <v/>
      </c>
      <c r="N874" s="95" t="str">
        <f t="shared" si="44"/>
        <v/>
      </c>
    </row>
    <row r="875" spans="13:14" x14ac:dyDescent="0.25">
      <c r="M875" s="95" t="str">
        <f t="shared" si="43"/>
        <v/>
      </c>
      <c r="N875" s="95" t="str">
        <f t="shared" si="44"/>
        <v/>
      </c>
    </row>
    <row r="876" spans="13:14" x14ac:dyDescent="0.25">
      <c r="M876" s="95" t="str">
        <f t="shared" si="43"/>
        <v/>
      </c>
      <c r="N876" s="95" t="str">
        <f t="shared" si="44"/>
        <v/>
      </c>
    </row>
    <row r="877" spans="13:14" x14ac:dyDescent="0.25">
      <c r="M877" s="95" t="str">
        <f t="shared" si="43"/>
        <v/>
      </c>
      <c r="N877" s="95" t="str">
        <f t="shared" si="44"/>
        <v/>
      </c>
    </row>
    <row r="878" spans="13:14" x14ac:dyDescent="0.25">
      <c r="M878" s="95" t="str">
        <f t="shared" si="43"/>
        <v/>
      </c>
      <c r="N878" s="95" t="str">
        <f t="shared" si="44"/>
        <v/>
      </c>
    </row>
    <row r="879" spans="13:14" x14ac:dyDescent="0.25">
      <c r="M879" s="95" t="str">
        <f t="shared" si="43"/>
        <v/>
      </c>
      <c r="N879" s="95" t="str">
        <f t="shared" si="44"/>
        <v/>
      </c>
    </row>
    <row r="880" spans="13:14" x14ac:dyDescent="0.25">
      <c r="M880" s="95" t="str">
        <f t="shared" si="43"/>
        <v/>
      </c>
      <c r="N880" s="95" t="str">
        <f t="shared" si="44"/>
        <v/>
      </c>
    </row>
    <row r="881" spans="13:14" x14ac:dyDescent="0.25">
      <c r="M881" s="95" t="str">
        <f t="shared" si="43"/>
        <v/>
      </c>
      <c r="N881" s="95" t="str">
        <f t="shared" si="44"/>
        <v/>
      </c>
    </row>
    <row r="882" spans="13:14" x14ac:dyDescent="0.25">
      <c r="M882" s="95" t="str">
        <f t="shared" si="43"/>
        <v/>
      </c>
      <c r="N882" s="95" t="str">
        <f t="shared" si="44"/>
        <v/>
      </c>
    </row>
    <row r="883" spans="13:14" x14ac:dyDescent="0.25">
      <c r="M883" s="95" t="str">
        <f t="shared" si="43"/>
        <v/>
      </c>
      <c r="N883" s="95" t="str">
        <f t="shared" si="44"/>
        <v/>
      </c>
    </row>
    <row r="884" spans="13:14" x14ac:dyDescent="0.25">
      <c r="M884" s="95" t="str">
        <f t="shared" si="43"/>
        <v/>
      </c>
      <c r="N884" s="95" t="str">
        <f t="shared" si="44"/>
        <v/>
      </c>
    </row>
    <row r="885" spans="13:14" x14ac:dyDescent="0.25">
      <c r="M885" s="95" t="str">
        <f t="shared" si="43"/>
        <v/>
      </c>
      <c r="N885" s="95" t="str">
        <f t="shared" si="44"/>
        <v/>
      </c>
    </row>
    <row r="886" spans="13:14" x14ac:dyDescent="0.25">
      <c r="M886" s="95" t="str">
        <f t="shared" si="43"/>
        <v/>
      </c>
      <c r="N886" s="95" t="str">
        <f t="shared" si="44"/>
        <v/>
      </c>
    </row>
    <row r="887" spans="13:14" x14ac:dyDescent="0.25">
      <c r="M887" s="95" t="str">
        <f t="shared" si="43"/>
        <v/>
      </c>
      <c r="N887" s="95" t="str">
        <f t="shared" si="44"/>
        <v/>
      </c>
    </row>
    <row r="888" spans="13:14" x14ac:dyDescent="0.25">
      <c r="M888" s="95" t="str">
        <f t="shared" si="43"/>
        <v/>
      </c>
      <c r="N888" s="95" t="str">
        <f t="shared" si="44"/>
        <v/>
      </c>
    </row>
    <row r="889" spans="13:14" x14ac:dyDescent="0.25">
      <c r="M889" s="95" t="str">
        <f t="shared" si="43"/>
        <v/>
      </c>
      <c r="N889" s="95" t="str">
        <f t="shared" si="44"/>
        <v/>
      </c>
    </row>
    <row r="890" spans="13:14" x14ac:dyDescent="0.25">
      <c r="M890" s="95" t="str">
        <f t="shared" si="43"/>
        <v/>
      </c>
      <c r="N890" s="95" t="str">
        <f t="shared" si="44"/>
        <v/>
      </c>
    </row>
    <row r="891" spans="13:14" x14ac:dyDescent="0.25">
      <c r="M891" s="95" t="str">
        <f t="shared" si="43"/>
        <v/>
      </c>
      <c r="N891" s="95" t="str">
        <f t="shared" si="44"/>
        <v/>
      </c>
    </row>
  </sheetData>
  <conditionalFormatting sqref="D15:D136">
    <cfRule type="cellIs" dxfId="11" priority="1" operator="lessThan">
      <formula>0</formula>
    </cfRule>
  </conditionalFormatting>
  <conditionalFormatting sqref="F15:G136">
    <cfRule type="cellIs" dxfId="10" priority="2" operator="lessThan">
      <formula>0</formula>
    </cfRule>
  </conditionalFormatting>
  <conditionalFormatting sqref="H12:H1048576">
    <cfRule type="cellIs" dxfId="9" priority="3" operator="lessThan">
      <formula>0</formula>
    </cfRule>
  </conditionalFormatting>
  <conditionalFormatting sqref="I1 I9:I11">
    <cfRule type="cellIs" dxfId="8" priority="4" operator="lessThan">
      <formula>0</formula>
    </cfRule>
  </conditionalFormatting>
  <hyperlinks>
    <hyperlink ref="C4" r:id="rId1" xr:uid="{32EA2163-8A6B-4C0B-A317-D22F4CE95845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2D24-3074-4E67-9666-53FDB525D7A8}">
  <dimension ref="A1:AI569"/>
  <sheetViews>
    <sheetView zoomScale="90" zoomScaleNormal="90" workbookViewId="0">
      <selection activeCell="D1" sqref="D1"/>
    </sheetView>
  </sheetViews>
  <sheetFormatPr defaultColWidth="9.140625" defaultRowHeight="15" x14ac:dyDescent="0.25"/>
  <cols>
    <col min="1" max="1" width="16.5703125" style="95" bestFit="1" customWidth="1"/>
    <col min="2" max="2" width="14.5703125" style="3" bestFit="1" customWidth="1"/>
    <col min="3" max="3" width="16" style="3" bestFit="1" customWidth="1"/>
    <col min="4" max="4" width="17" style="40" bestFit="1" customWidth="1"/>
    <col min="5" max="5" width="7.140625" style="3" bestFit="1" customWidth="1"/>
    <col min="6" max="6" width="8.7109375" style="3" bestFit="1" customWidth="1"/>
    <col min="7" max="7" width="14.28515625" style="3" bestFit="1" customWidth="1"/>
    <col min="8" max="8" width="11.28515625" style="3" bestFit="1" customWidth="1"/>
    <col min="9" max="9" width="29.85546875" style="3" bestFit="1" customWidth="1"/>
    <col min="10" max="10" width="12.85546875" style="3" bestFit="1" customWidth="1"/>
    <col min="11" max="11" width="10.42578125" style="3" customWidth="1"/>
    <col min="12" max="12" width="9.5703125" style="3" bestFit="1" customWidth="1"/>
    <col min="13" max="13" width="12.85546875" style="3" bestFit="1" customWidth="1"/>
    <col min="14" max="14" width="12" style="56" bestFit="1" customWidth="1"/>
    <col min="15" max="15" width="17.140625" style="95" bestFit="1" customWidth="1"/>
    <col min="16" max="16" width="6.5703125" style="3" bestFit="1" customWidth="1"/>
    <col min="17" max="17" width="17.140625" style="95" bestFit="1" customWidth="1"/>
    <col min="18" max="18" width="8.7109375" style="3" bestFit="1" customWidth="1"/>
    <col min="19" max="19" width="17.140625" style="95" bestFit="1" customWidth="1"/>
    <col min="20" max="20" width="8.7109375" style="3" bestFit="1" customWidth="1"/>
    <col min="21" max="24" width="17.140625" style="95" bestFit="1" customWidth="1"/>
    <col min="25" max="25" width="7.140625" style="41" bestFit="1" customWidth="1"/>
    <col min="26" max="26" width="17.140625" style="95" bestFit="1" customWidth="1"/>
    <col min="27" max="27" width="9.85546875" style="3" bestFit="1" customWidth="1"/>
    <col min="28" max="28" width="11.5703125" style="3" bestFit="1" customWidth="1"/>
    <col min="29" max="29" width="7.7109375" style="3" bestFit="1" customWidth="1"/>
    <col min="30" max="30" width="11.5703125" style="37" bestFit="1" customWidth="1"/>
    <col min="31" max="31" width="16.42578125" style="3" bestFit="1" customWidth="1"/>
    <col min="32" max="32" width="11.5703125" style="3" bestFit="1" customWidth="1"/>
    <col min="33" max="16384" width="9.140625" style="3"/>
  </cols>
  <sheetData>
    <row r="1" spans="1:32" ht="15.75" thickBot="1" x14ac:dyDescent="0.3">
      <c r="A1" s="1"/>
      <c r="B1" s="1"/>
      <c r="C1" s="1"/>
      <c r="D1" s="25" t="s">
        <v>92</v>
      </c>
      <c r="E1" s="1"/>
      <c r="H1" s="1"/>
      <c r="J1" s="1"/>
      <c r="L1" s="1"/>
      <c r="M1" s="1"/>
      <c r="N1" s="1"/>
      <c r="W1" s="95" cm="1">
        <f t="array" ref="W1">LOOKUP(2,1/(W:W&lt;&gt;""),W:W)</f>
        <v>46177.625</v>
      </c>
      <c r="AE1" s="56" t="s">
        <v>84</v>
      </c>
      <c r="AF1" s="37" cm="1">
        <f t="array" ref="AF1">LOOKUP(2,1/(AD:AD&lt;&gt;""),AD:AD)</f>
        <v>46190</v>
      </c>
    </row>
    <row r="2" spans="1:32" ht="15.75" thickBot="1" x14ac:dyDescent="0.3">
      <c r="A2" s="13"/>
      <c r="B2" s="22" t="s">
        <v>0</v>
      </c>
      <c r="C2" s="23" t="s">
        <v>1</v>
      </c>
      <c r="D2" s="64" t="s">
        <v>1</v>
      </c>
      <c r="E2" s="1"/>
      <c r="H2" s="1" t="s">
        <v>132</v>
      </c>
      <c r="I2" s="3" t="s">
        <v>133</v>
      </c>
      <c r="J2" s="1" t="s">
        <v>134</v>
      </c>
      <c r="N2" s="3"/>
      <c r="O2" s="103" t="s">
        <v>0</v>
      </c>
      <c r="Q2" s="104" t="s">
        <v>1</v>
      </c>
      <c r="S2" s="105" t="s">
        <v>1</v>
      </c>
      <c r="W2" s="3" cm="1">
        <f t="array" ref="W2:W5">_xlfn.UNIQUE(V:V)</f>
        <v>0</v>
      </c>
      <c r="AE2" s="3" t="s">
        <v>86</v>
      </c>
      <c r="AF2" s="3">
        <f>VLOOKUP(AF1,AB:AC,2)</f>
        <v>251.36</v>
      </c>
    </row>
    <row r="3" spans="1:32" x14ac:dyDescent="0.25">
      <c r="A3" s="13" t="s">
        <v>19</v>
      </c>
      <c r="B3" s="1" t="s">
        <v>125</v>
      </c>
      <c r="C3" s="1" t="s">
        <v>126</v>
      </c>
      <c r="D3" s="13" t="s">
        <v>131</v>
      </c>
      <c r="G3" s="3" t="s">
        <v>128</v>
      </c>
      <c r="H3" s="1">
        <v>200</v>
      </c>
      <c r="I3" s="3">
        <f>200*B14</f>
        <v>62690</v>
      </c>
      <c r="J3" s="25">
        <f>INT(B5/I3)</f>
        <v>1595</v>
      </c>
      <c r="N3" s="3"/>
      <c r="O3" s="95" cm="1">
        <f t="array" ref="O3:P55">_xll.BDH(B4, "LAST_PRICE", "01/26/2026 15:00:00", "01/26/2035 16:00:00", "BarSize=60", "BarType=T", "RecurDaily=True", "TZ=London")</f>
        <v>46094.625</v>
      </c>
      <c r="P3" s="3">
        <v>306.42</v>
      </c>
      <c r="Q3" s="95" cm="1">
        <f t="array" ref="Q3:R77">_xll.BDH(C4, "LAST_PRICE", "01/26/2026 15:00:00", "01/01/2035 16:00:00", "BarSize=60", "BarType=T", "RecurDaily=True", "TZ=London")</f>
        <v>46057.625</v>
      </c>
      <c r="R3" s="3">
        <v>106.79</v>
      </c>
      <c r="S3" s="95" cm="1">
        <f t="array" ref="S3:T102">_xll.BDH(D4, "LAST_PRICE", "01/26/2026 15:00:00", "01/01/2035 16:00:00", "BarSize=60", "BarType=T", "RecurDaily=True", "TZ=London")</f>
        <v>46048.625</v>
      </c>
      <c r="T3" s="3">
        <v>242.32900000000001</v>
      </c>
      <c r="U3" s="95">
        <f>IF(COUNTIF(Q:Q,O3)*COUNTIF(S:S,O3),O3,"")</f>
        <v>46094.625</v>
      </c>
      <c r="V3" s="95" t="str">
        <f>IF(U3&gt;$A$14,U3,"")</f>
        <v/>
      </c>
      <c r="W3" s="95" t="str">
        <v/>
      </c>
      <c r="Z3" s="95" cm="1">
        <f t="array" ref="Z3:AA287">_xll.BDH(D1, "LAST_PRICE", "05/01/2025","")</f>
        <v>45778</v>
      </c>
      <c r="AA3" s="3">
        <v>231.3922</v>
      </c>
      <c r="AB3" s="37" cm="1">
        <f t="array" ref="AB3:AC288">_xll.BDH(D4, "LAST_PRICE", "05/01/2025", "")</f>
        <v>45778</v>
      </c>
      <c r="AC3" s="3">
        <v>343.69900000000001</v>
      </c>
      <c r="AD3" s="37">
        <f>IF(COUNTIF(AB:AB,Z3),Z3,"")</f>
        <v>45778</v>
      </c>
      <c r="AE3" s="56" t="s">
        <v>83</v>
      </c>
      <c r="AF3" s="3">
        <f>VLOOKUP(AF1,Z:AA,2)</f>
        <v>254.77209999999999</v>
      </c>
    </row>
    <row r="4" spans="1:32" ht="30" customHeight="1" x14ac:dyDescent="0.25">
      <c r="A4" s="14" t="s">
        <v>20</v>
      </c>
      <c r="B4" s="16" t="s">
        <v>127</v>
      </c>
      <c r="C4" s="81" t="s">
        <v>130</v>
      </c>
      <c r="D4" s="16" t="s">
        <v>90</v>
      </c>
      <c r="G4" s="3" t="s">
        <v>129</v>
      </c>
      <c r="H4" s="1">
        <v>1000</v>
      </c>
      <c r="I4" s="3">
        <f>10^6</f>
        <v>1000000</v>
      </c>
      <c r="J4" s="25">
        <f>INT(C5/I4)</f>
        <v>110</v>
      </c>
      <c r="N4" s="3"/>
      <c r="O4" s="95">
        <v>46097.625</v>
      </c>
      <c r="P4" s="3">
        <v>306.38</v>
      </c>
      <c r="Q4" s="95">
        <v>46065.625</v>
      </c>
      <c r="R4" s="3">
        <v>106.85</v>
      </c>
      <c r="S4" s="95">
        <v>46049.625</v>
      </c>
      <c r="T4" s="3">
        <v>241.37200000000001</v>
      </c>
      <c r="U4" s="95">
        <f t="shared" ref="U4:U67" si="0">IF(COUNTIF(Q:Q,O4)*COUNTIF(S:S,O4),O4,"")</f>
        <v>46097.625</v>
      </c>
      <c r="V4" s="95" t="str">
        <f t="shared" ref="V4:V67" si="1">IF(U4&gt;$A$14,U4,"")</f>
        <v/>
      </c>
      <c r="W4" s="95">
        <v>46176.625</v>
      </c>
      <c r="X4" s="95" cm="1">
        <f t="array" ref="X4:Y104">_xll.BDH("ERIXILXO Index", "PX_LAST", "01/22/2026", "")</f>
        <v>46044</v>
      </c>
      <c r="Y4" s="41">
        <v>264.16109999999998</v>
      </c>
      <c r="Z4" s="95">
        <v>45779</v>
      </c>
      <c r="AA4" s="3">
        <v>232.4699</v>
      </c>
      <c r="AB4" s="37">
        <v>45779</v>
      </c>
      <c r="AC4" s="3">
        <v>333.964</v>
      </c>
      <c r="AD4" s="37">
        <f t="shared" ref="AD4:AD67" si="2">IF(COUNTIF(AB:AB,Z4),Z4,"")</f>
        <v>45779</v>
      </c>
      <c r="AE4" s="3" t="s">
        <v>93</v>
      </c>
      <c r="AF4" s="41">
        <f ca="1">INT(NOW())-INT(AF1)</f>
        <v>1</v>
      </c>
    </row>
    <row r="5" spans="1:32" x14ac:dyDescent="0.25">
      <c r="A5" s="14" t="s">
        <v>2</v>
      </c>
      <c r="B5" s="17">
        <f>100*10^6</f>
        <v>100000000</v>
      </c>
      <c r="C5" s="8">
        <f>110*10^6</f>
        <v>110000000</v>
      </c>
      <c r="D5" s="17">
        <f>65*10^6</f>
        <v>65000000</v>
      </c>
      <c r="H5" s="1"/>
      <c r="J5" s="1"/>
      <c r="N5" s="3"/>
      <c r="O5" s="95">
        <v>46098.625</v>
      </c>
      <c r="P5" s="3">
        <v>307.76</v>
      </c>
      <c r="Q5" s="95">
        <v>46073.625</v>
      </c>
      <c r="R5" s="3">
        <v>106.875</v>
      </c>
      <c r="S5" s="95">
        <v>46050.625</v>
      </c>
      <c r="T5" s="3">
        <v>244.39099999999999</v>
      </c>
      <c r="U5" s="95">
        <f t="shared" si="0"/>
        <v>46098.625</v>
      </c>
      <c r="V5" s="95" t="str">
        <f t="shared" si="1"/>
        <v/>
      </c>
      <c r="W5" s="95">
        <v>46177.625</v>
      </c>
      <c r="X5" s="95">
        <v>46045</v>
      </c>
      <c r="Y5" s="41">
        <v>263.94619999999998</v>
      </c>
      <c r="Z5" s="95">
        <v>45783</v>
      </c>
      <c r="AA5" s="3">
        <v>232.7954</v>
      </c>
      <c r="AB5" s="37">
        <v>45783</v>
      </c>
      <c r="AC5" s="3">
        <v>331.25700000000001</v>
      </c>
      <c r="AD5" s="37">
        <f t="shared" si="2"/>
        <v>45783</v>
      </c>
    </row>
    <row r="6" spans="1:32" x14ac:dyDescent="0.25">
      <c r="A6" s="14" t="s">
        <v>3</v>
      </c>
      <c r="B6" s="18">
        <v>0</v>
      </c>
      <c r="C6" s="10">
        <v>0</v>
      </c>
      <c r="D6" s="65">
        <v>0</v>
      </c>
      <c r="H6" s="1"/>
      <c r="J6" s="1"/>
      <c r="N6" s="3"/>
      <c r="O6" s="95">
        <v>46099.625</v>
      </c>
      <c r="P6" s="3">
        <v>307.33999999999997</v>
      </c>
      <c r="Q6" s="95">
        <v>46076.625</v>
      </c>
      <c r="R6" s="3">
        <v>106.91</v>
      </c>
      <c r="S6" s="95">
        <v>46051.625</v>
      </c>
      <c r="T6" s="3">
        <v>249.25</v>
      </c>
      <c r="U6" s="95">
        <f t="shared" si="0"/>
        <v>46099.625</v>
      </c>
      <c r="V6" s="95" t="str">
        <f t="shared" si="1"/>
        <v/>
      </c>
      <c r="X6" s="95">
        <v>46048</v>
      </c>
      <c r="Y6" s="41">
        <v>264.02949999999998</v>
      </c>
      <c r="Z6" s="95">
        <v>45784</v>
      </c>
      <c r="AA6" s="3">
        <v>232.8287</v>
      </c>
      <c r="AB6" s="37">
        <v>45784</v>
      </c>
      <c r="AC6" s="3">
        <v>330.31900000000002</v>
      </c>
      <c r="AD6" s="37">
        <f t="shared" si="2"/>
        <v>45784</v>
      </c>
    </row>
    <row r="7" spans="1:32" x14ac:dyDescent="0.25">
      <c r="A7" s="14" t="s">
        <v>4</v>
      </c>
      <c r="B7" s="10">
        <v>0</v>
      </c>
      <c r="C7" s="10">
        <v>0</v>
      </c>
      <c r="D7" s="65">
        <v>0</v>
      </c>
      <c r="E7" s="1"/>
      <c r="H7" s="1"/>
      <c r="J7" s="1"/>
      <c r="N7" s="3"/>
      <c r="O7" s="95">
        <v>46100.625</v>
      </c>
      <c r="P7" s="3">
        <v>306.06</v>
      </c>
      <c r="Q7" s="95">
        <v>46077.625</v>
      </c>
      <c r="R7" s="3">
        <v>106.905</v>
      </c>
      <c r="S7" s="95">
        <v>46052.625</v>
      </c>
      <c r="T7" s="3">
        <v>246.12</v>
      </c>
      <c r="U7" s="95">
        <f t="shared" si="0"/>
        <v>46100.625</v>
      </c>
      <c r="V7" s="95" t="str">
        <f t="shared" si="1"/>
        <v/>
      </c>
      <c r="X7" s="95">
        <v>46049</v>
      </c>
      <c r="Y7" s="41">
        <v>264.17689999999999</v>
      </c>
      <c r="Z7" s="95">
        <v>45785</v>
      </c>
      <c r="AA7" s="3">
        <v>233.9237</v>
      </c>
      <c r="AB7" s="37">
        <v>45785</v>
      </c>
      <c r="AC7" s="3">
        <v>319.94200000000001</v>
      </c>
      <c r="AD7" s="37">
        <f t="shared" si="2"/>
        <v>45785</v>
      </c>
    </row>
    <row r="8" spans="1:32" x14ac:dyDescent="0.25">
      <c r="A8" s="14" t="s">
        <v>5</v>
      </c>
      <c r="B8" s="14" t="s">
        <v>13</v>
      </c>
      <c r="C8" s="5" t="s">
        <v>13</v>
      </c>
      <c r="D8" s="14">
        <v>4.7080000000000002</v>
      </c>
      <c r="E8" s="1"/>
      <c r="F8" s="1"/>
      <c r="G8" s="1"/>
      <c r="H8" s="1"/>
      <c r="I8" s="1"/>
      <c r="J8" s="1"/>
      <c r="K8" s="1"/>
      <c r="L8" s="1"/>
      <c r="M8" s="1"/>
      <c r="N8" s="1"/>
      <c r="O8" s="95">
        <v>46101.625</v>
      </c>
      <c r="P8" s="3">
        <v>304.02</v>
      </c>
      <c r="Q8" s="95">
        <v>46078.625</v>
      </c>
      <c r="R8" s="3">
        <v>106.91</v>
      </c>
      <c r="S8" s="95">
        <v>46055.625</v>
      </c>
      <c r="T8" s="3">
        <v>243.642</v>
      </c>
      <c r="U8" s="95">
        <f t="shared" si="0"/>
        <v>46101.625</v>
      </c>
      <c r="V8" s="95" t="str">
        <f t="shared" si="1"/>
        <v/>
      </c>
      <c r="X8" s="95">
        <v>46050</v>
      </c>
      <c r="Y8" s="41">
        <v>263.77480000000003</v>
      </c>
      <c r="Z8" s="95">
        <v>45786</v>
      </c>
      <c r="AA8" s="3">
        <v>233.92679999999999</v>
      </c>
      <c r="AB8" s="37">
        <v>45786</v>
      </c>
      <c r="AC8" s="3">
        <v>320.065</v>
      </c>
      <c r="AD8" s="37">
        <f t="shared" si="2"/>
        <v>45786</v>
      </c>
    </row>
    <row r="9" spans="1:32" x14ac:dyDescent="0.25">
      <c r="A9" s="14" t="s">
        <v>34</v>
      </c>
      <c r="B9" s="82" cm="1">
        <f t="array" ref="B9">_xll.BDP(B4,"PX_LAST")</f>
        <v>313.86</v>
      </c>
      <c r="C9" s="82" t="str" cm="1">
        <f t="array" ref="C9">_xll.BDP(C4,"PX_LAST")</f>
        <v>#N/A Field Not Applicable</v>
      </c>
      <c r="D9" s="82" cm="1">
        <f t="array" ref="D9">_xll.BDP(D4,"PX_LAST")</f>
        <v>250.32230000000001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95">
        <v>46104.625</v>
      </c>
      <c r="P9" s="3">
        <v>305</v>
      </c>
      <c r="Q9" s="95">
        <v>46079.625</v>
      </c>
      <c r="R9" s="3">
        <v>106.91500000000001</v>
      </c>
      <c r="S9" s="95">
        <v>46056.625</v>
      </c>
      <c r="T9" s="3">
        <v>243.64</v>
      </c>
      <c r="U9" s="95">
        <f t="shared" si="0"/>
        <v>46104.625</v>
      </c>
      <c r="V9" s="95" t="str">
        <f t="shared" si="1"/>
        <v/>
      </c>
      <c r="X9" s="95">
        <v>46051</v>
      </c>
      <c r="Y9" s="41">
        <v>263.46510000000001</v>
      </c>
      <c r="Z9" s="95">
        <v>45789</v>
      </c>
      <c r="AA9" s="3">
        <v>235.58269999999999</v>
      </c>
      <c r="AB9" s="37">
        <v>45789</v>
      </c>
      <c r="AC9" s="3">
        <v>306.82</v>
      </c>
      <c r="AD9" s="37">
        <f t="shared" si="2"/>
        <v>45789</v>
      </c>
    </row>
    <row r="10" spans="1:32" ht="15.75" thickBot="1" x14ac:dyDescent="0.3">
      <c r="A10" s="15" t="s">
        <v>82</v>
      </c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95">
        <v>46105.625</v>
      </c>
      <c r="P10" s="3">
        <v>304.52</v>
      </c>
      <c r="Q10" s="95">
        <v>46080.625</v>
      </c>
      <c r="R10" s="3">
        <v>106.97499999999999</v>
      </c>
      <c r="S10" s="95">
        <v>46057.625</v>
      </c>
      <c r="T10" s="3">
        <v>244.55699999999999</v>
      </c>
      <c r="U10" s="95">
        <f t="shared" si="0"/>
        <v>46105.625</v>
      </c>
      <c r="V10" s="95" t="str">
        <f t="shared" si="1"/>
        <v/>
      </c>
      <c r="X10" s="95">
        <v>46052</v>
      </c>
      <c r="Y10" s="41">
        <v>263.61529999999999</v>
      </c>
      <c r="Z10" s="95">
        <v>45790</v>
      </c>
      <c r="AA10" s="3">
        <v>236.78129999999999</v>
      </c>
      <c r="AB10" s="37">
        <v>45790</v>
      </c>
      <c r="AC10" s="3">
        <v>295.55200000000002</v>
      </c>
      <c r="AD10" s="37">
        <f t="shared" si="2"/>
        <v>45790</v>
      </c>
    </row>
    <row r="11" spans="1:32" ht="15.75" thickBot="1" x14ac:dyDescent="0.3">
      <c r="A11" s="1"/>
      <c r="B11" s="1"/>
      <c r="C11" s="1"/>
      <c r="D11" s="25"/>
      <c r="E11" s="1"/>
      <c r="F11" s="1"/>
      <c r="G11" s="1"/>
      <c r="H11" s="1"/>
      <c r="I11" s="109"/>
      <c r="J11" s="1"/>
      <c r="K11" s="1"/>
      <c r="L11" s="1"/>
      <c r="M11" s="1"/>
      <c r="N11" s="1"/>
      <c r="O11" s="95">
        <v>46106.625</v>
      </c>
      <c r="P11" s="3">
        <v>306.12</v>
      </c>
      <c r="Q11" s="95">
        <v>46083.625</v>
      </c>
      <c r="R11" s="3">
        <v>106.84</v>
      </c>
      <c r="S11" s="95">
        <v>46058.625</v>
      </c>
      <c r="T11" s="3">
        <v>249.851</v>
      </c>
      <c r="U11" s="95">
        <f t="shared" si="0"/>
        <v>46106.625</v>
      </c>
      <c r="V11" s="95" t="str">
        <f t="shared" si="1"/>
        <v/>
      </c>
      <c r="X11" s="95">
        <v>46055</v>
      </c>
      <c r="Y11" s="41">
        <v>264.12970000000001</v>
      </c>
      <c r="Z11" s="95">
        <v>45791</v>
      </c>
      <c r="AA11" s="3">
        <v>236.41579999999999</v>
      </c>
      <c r="AB11" s="37">
        <v>45791</v>
      </c>
      <c r="AC11" s="3">
        <v>299.07799999999997</v>
      </c>
      <c r="AD11" s="37">
        <f t="shared" si="2"/>
        <v>45791</v>
      </c>
    </row>
    <row r="12" spans="1:32" ht="15.75" thickBot="1" x14ac:dyDescent="0.3">
      <c r="A12" s="27" t="s">
        <v>12</v>
      </c>
      <c r="B12" s="138" t="s">
        <v>0</v>
      </c>
      <c r="C12" s="139"/>
      <c r="D12" s="144"/>
      <c r="E12" s="140" t="s">
        <v>1</v>
      </c>
      <c r="F12" s="141"/>
      <c r="G12" s="142"/>
      <c r="H12" s="145" t="s">
        <v>1</v>
      </c>
      <c r="I12" s="143"/>
      <c r="J12" s="143"/>
      <c r="K12" s="146"/>
      <c r="L12" s="64" t="s">
        <v>73</v>
      </c>
      <c r="M12" s="27" t="s">
        <v>7</v>
      </c>
      <c r="O12" s="95">
        <v>46107.625</v>
      </c>
      <c r="P12" s="3">
        <v>304.82</v>
      </c>
      <c r="Q12" s="95">
        <v>46084.625</v>
      </c>
      <c r="R12" s="3">
        <v>106.63</v>
      </c>
      <c r="S12" s="95">
        <v>46059.625</v>
      </c>
      <c r="T12" s="3">
        <v>244.11</v>
      </c>
      <c r="U12" s="95">
        <f t="shared" si="0"/>
        <v>46107.625</v>
      </c>
      <c r="V12" s="95" t="str">
        <f t="shared" si="1"/>
        <v/>
      </c>
      <c r="X12" s="95">
        <v>46056</v>
      </c>
      <c r="Y12" s="41">
        <v>264</v>
      </c>
      <c r="Z12" s="95">
        <v>45792</v>
      </c>
      <c r="AA12" s="3">
        <v>236.27610000000001</v>
      </c>
      <c r="AB12" s="37">
        <v>45792</v>
      </c>
      <c r="AC12" s="3">
        <v>300.10700000000003</v>
      </c>
      <c r="AD12" s="37">
        <f t="shared" si="2"/>
        <v>45792</v>
      </c>
    </row>
    <row r="13" spans="1:32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1" t="s">
        <v>14</v>
      </c>
      <c r="I13" s="20" t="s">
        <v>62</v>
      </c>
      <c r="J13" s="20" t="s">
        <v>63</v>
      </c>
      <c r="K13" s="21" t="s">
        <v>64</v>
      </c>
      <c r="L13" s="21"/>
      <c r="M13" s="15"/>
      <c r="O13" s="95">
        <v>46108.625</v>
      </c>
      <c r="P13" s="3">
        <v>303.5</v>
      </c>
      <c r="Q13" s="95">
        <v>46085.625</v>
      </c>
      <c r="R13" s="3">
        <v>106.705</v>
      </c>
      <c r="S13" s="95">
        <v>46062.625</v>
      </c>
      <c r="T13" s="3">
        <v>241.44</v>
      </c>
      <c r="U13" s="95">
        <f t="shared" si="0"/>
        <v>46108.625</v>
      </c>
      <c r="V13" s="95" t="str">
        <f t="shared" si="1"/>
        <v/>
      </c>
      <c r="X13" s="95">
        <v>46057</v>
      </c>
      <c r="Y13" s="41">
        <v>263.81950000000001</v>
      </c>
      <c r="Z13" s="95">
        <v>45793</v>
      </c>
      <c r="AA13" s="3">
        <v>236.29159999999999</v>
      </c>
      <c r="AB13" s="37">
        <v>45793</v>
      </c>
      <c r="AC13" s="3">
        <v>301.29500000000002</v>
      </c>
      <c r="AD13" s="37">
        <f t="shared" si="2"/>
        <v>45793</v>
      </c>
    </row>
    <row r="14" spans="1:32" x14ac:dyDescent="0.25">
      <c r="A14" s="98">
        <v>46175.625</v>
      </c>
      <c r="B14" s="33">
        <v>313.45</v>
      </c>
      <c r="C14" s="25"/>
      <c r="D14" s="5"/>
      <c r="E14" s="33">
        <v>105.825</v>
      </c>
      <c r="F14" s="1"/>
      <c r="G14" s="5"/>
      <c r="H14" s="33">
        <v>241.37200000000001</v>
      </c>
      <c r="I14" s="34">
        <v>264.18</v>
      </c>
      <c r="J14" s="34">
        <f>IF(ISERROR(H14-2),"",I14)</f>
        <v>264.18</v>
      </c>
      <c r="K14" s="5"/>
      <c r="L14" s="5"/>
      <c r="M14" s="54">
        <v>0</v>
      </c>
      <c r="O14" s="95">
        <v>46111.625</v>
      </c>
      <c r="P14" s="3">
        <v>302.92</v>
      </c>
      <c r="Q14" s="95">
        <v>46086.625</v>
      </c>
      <c r="R14" s="3">
        <v>106.55500000000001</v>
      </c>
      <c r="S14" s="95">
        <v>46063.625</v>
      </c>
      <c r="T14" s="3">
        <v>241.98599999999999</v>
      </c>
      <c r="U14" s="95">
        <f t="shared" si="0"/>
        <v>46111.625</v>
      </c>
      <c r="V14" s="95" t="str">
        <f t="shared" si="1"/>
        <v/>
      </c>
      <c r="X14" s="95">
        <v>46058</v>
      </c>
      <c r="Y14" s="41">
        <v>263.54730000000001</v>
      </c>
      <c r="Z14" s="95">
        <v>45796</v>
      </c>
      <c r="AA14" s="3">
        <v>236.34809999999999</v>
      </c>
      <c r="AB14" s="37">
        <v>45796</v>
      </c>
      <c r="AC14" s="3">
        <v>299.93799999999999</v>
      </c>
      <c r="AD14" s="37">
        <f t="shared" si="2"/>
        <v>45796</v>
      </c>
    </row>
    <row r="15" spans="1:32" x14ac:dyDescent="0.25">
      <c r="A15" s="98">
        <f ca="1">IF(AND(ISBLANK(W4), A14 = $W$1),NOW(),IF(ISBLANK(W4),"",W4))</f>
        <v>46176.625</v>
      </c>
      <c r="B15" s="33">
        <f ca="1">IF(COUNTIF($W$2:W1000,A15)=1,VLOOKUP(A15,O:P,2), IF(COUNTIF($W$2:W1000,A15)=0,$B$9,""))</f>
        <v>313.08</v>
      </c>
      <c r="C15" s="25">
        <f ca="1">IF(ISERROR(B15-2),"",(B15-$B$14)*$H$3*$J$3)</f>
        <v>-118030.00000000146</v>
      </c>
      <c r="D15" s="26"/>
      <c r="E15" s="33">
        <f ca="1">IF(COUNTIF($W$2:W1000,A15)=1,VLOOKUP(A15,Q:R,2), IF(COUNTIF($W$2:W1000,A15)=0,$C$9,""))</f>
        <v>105.76</v>
      </c>
      <c r="F15" s="25">
        <f ca="1">IF(ISERROR(B15-2),"",(E15-$E$14)*$H$4*$J$4)</f>
        <v>-7149.9999999997499</v>
      </c>
      <c r="G15" s="26">
        <f ca="1">IF(ISERROR(B15-2),"",(INT(A15)-INT($A$14))/360*$C$6*$C$5-(INT(A15)-INT($A$14))/360*$C$7*$C$5*$E$14/100)</f>
        <v>0</v>
      </c>
      <c r="H15" s="33">
        <f ca="1">IF(COUNTIF($W$2:W1000,A15)=1,VLOOKUP(A15,S:T,2), IF(COUNTIF($W$2:W1000,A15)=0,$D$9,""))</f>
        <v>261.79599999999999</v>
      </c>
      <c r="I15" s="34">
        <f ca="1">IF(COUNTIF($X$2:X1000,INT(A15))=1,VLOOKUP(INT(A15),X:Y,2), IF(ISERROR(H15-2),"",I14*(1-$D$8*(H15-H14)*0.0001)))</f>
        <v>268.40789999999998</v>
      </c>
      <c r="J15" s="34">
        <f ca="1">IF(ISERROR(H15-2),"",I15)</f>
        <v>268.40789999999998</v>
      </c>
      <c r="K15" s="26">
        <f ca="1">IF(ISERROR(H15-2),"",(J15/$J$14-1)*$D$5)</f>
        <v>1040250.9652509561</v>
      </c>
      <c r="L15" s="26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55">
        <f ca="1">IF(ISERROR(B15-2),"",C15+D15-F15-G15-K15+SUM($L$14:L15))</f>
        <v>-1151130.9652509578</v>
      </c>
      <c r="O15" s="95">
        <v>46112.625</v>
      </c>
      <c r="P15" s="3">
        <v>304.16000000000003</v>
      </c>
      <c r="Q15" s="95">
        <v>46087.625</v>
      </c>
      <c r="R15" s="3">
        <v>106.37</v>
      </c>
      <c r="S15" s="95">
        <v>46064.625</v>
      </c>
      <c r="T15" s="3">
        <v>242.79599999999999</v>
      </c>
      <c r="U15" s="95">
        <f t="shared" si="0"/>
        <v>46112.625</v>
      </c>
      <c r="V15" s="95" t="str">
        <f t="shared" si="1"/>
        <v/>
      </c>
      <c r="X15" s="95">
        <v>46059</v>
      </c>
      <c r="Y15" s="41">
        <v>264.17489999999998</v>
      </c>
      <c r="Z15" s="95">
        <v>45797</v>
      </c>
      <c r="AA15" s="3">
        <v>236.8784</v>
      </c>
      <c r="AB15" s="37">
        <v>45797</v>
      </c>
      <c r="AC15" s="3">
        <v>295.73700000000002</v>
      </c>
      <c r="AD15" s="37">
        <f t="shared" si="2"/>
        <v>45797</v>
      </c>
    </row>
    <row r="16" spans="1:32" x14ac:dyDescent="0.25">
      <c r="A16" s="98">
        <f t="shared" ref="A16:A78" ca="1" si="3">IF(AND(ISBLANK(W5), A15 = $W$1),NOW(),IF(ISBLANK(W5),"",W5))</f>
        <v>46177.625</v>
      </c>
      <c r="B16" s="33">
        <f ca="1">IF(COUNTIF($W$2:W1001,A16)=1,VLOOKUP(A16,O:P,2), IF(COUNTIF($W$2:W1001,A16)=0,$B$9,""))</f>
        <v>313.04000000000002</v>
      </c>
      <c r="C16" s="25">
        <f t="shared" ref="C16:C79" ca="1" si="4">IF(ISERROR(B16-2),"",(B16-$B$14)*$H$3*$J$3)</f>
        <v>-130789.99999998984</v>
      </c>
      <c r="D16" s="26"/>
      <c r="E16" s="33">
        <f ca="1">IF(COUNTIF($W$2:W1001,A16)=1,VLOOKUP(A16,Q:R,2), IF(COUNTIF($W$2:W1001,A16)=0,$C$9,""))</f>
        <v>105.765</v>
      </c>
      <c r="F16" s="25">
        <f t="shared" ref="F16:F79" ca="1" si="5">IF(ISERROR(B16-2),"",(E16-$E$14)*$H$4*$J$4)</f>
        <v>-6600.0000000002501</v>
      </c>
      <c r="G16" s="26">
        <f t="shared" ref="G16:G79" ca="1" si="6">IF(ISERROR(B16-2),"",(INT(A16)-INT($A$14))/360*$C$6*$C$5-(INT(A16)-INT($A$14))/360*$C$7*$C$5*$E$14/100)</f>
        <v>0</v>
      </c>
      <c r="H16" s="33">
        <f ca="1">IF(COUNTIF($W$2:W1001,A16)=1,VLOOKUP(A16,S:T,2), IF(COUNTIF($W$2:W1001,A16)=0,$D$9,""))</f>
        <v>261.392</v>
      </c>
      <c r="I16" s="34">
        <f ca="1">IF(COUNTIF($X$2:X1001,INT(A16))=1,VLOOKUP(INT(A16),X:Y,2), IF(ISERROR(H16-2),"",I15*(1-$D$8*(H16-H15)*0.0001)))</f>
        <v>268.64510000000001</v>
      </c>
      <c r="J16" s="34">
        <f t="shared" ref="J16:J79" ca="1" si="7">IF(ISERROR(H16-2),"",I16)</f>
        <v>268.64510000000001</v>
      </c>
      <c r="K16" s="26">
        <f t="shared" ref="K16:K79" ca="1" si="8">IF(ISERROR(H16-2),"",(J16/$J$14-1)*$D$5)</f>
        <v>1098612.6883185776</v>
      </c>
      <c r="L16" s="26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55">
        <f ca="1">IF(ISERROR(B16-2),"",C16+D16-F16-G16-K16+SUM($L$14:L16))</f>
        <v>-1222802.6883185671</v>
      </c>
      <c r="O16" s="95">
        <v>46113.625</v>
      </c>
      <c r="P16" s="3">
        <v>306.24</v>
      </c>
      <c r="Q16" s="95">
        <v>46090.625</v>
      </c>
      <c r="R16" s="3">
        <v>106.33499999999999</v>
      </c>
      <c r="S16" s="95">
        <v>46065.625</v>
      </c>
      <c r="T16" s="3">
        <v>244.61799999999999</v>
      </c>
      <c r="U16" s="95">
        <f t="shared" si="0"/>
        <v>46113.625</v>
      </c>
      <c r="V16" s="95" t="str">
        <f t="shared" si="1"/>
        <v/>
      </c>
      <c r="X16" s="95">
        <v>46062</v>
      </c>
      <c r="Y16" s="41">
        <v>264.56029999999998</v>
      </c>
      <c r="Z16" s="95">
        <v>45798</v>
      </c>
      <c r="AA16" s="3">
        <v>236.62629999999999</v>
      </c>
      <c r="AB16" s="37">
        <v>45798</v>
      </c>
      <c r="AC16" s="3">
        <v>298.613</v>
      </c>
      <c r="AD16" s="37">
        <f t="shared" si="2"/>
        <v>45798</v>
      </c>
    </row>
    <row r="17" spans="1:30" x14ac:dyDescent="0.25">
      <c r="A17" s="98">
        <f t="shared" ca="1" si="3"/>
        <v>46191.470803587959</v>
      </c>
      <c r="B17" s="33">
        <f ca="1">IF(COUNTIF($W$2:W1002,A17)=1,VLOOKUP(A17,O:P,2), IF(COUNTIF($W$2:W1002,A17)=0,$B$9,""))</f>
        <v>313.86</v>
      </c>
      <c r="C17" s="25">
        <f t="shared" ca="1" si="4"/>
        <v>130790.00000000797</v>
      </c>
      <c r="D17" s="26"/>
      <c r="E17" s="33" t="str">
        <f ca="1">IF(COUNTIF($W$2:W1002,A17)=1,VLOOKUP(A17,Q:R,2), IF(COUNTIF($W$2:W1002,A17)=0,$C$9,""))</f>
        <v>#N/A Field Not Applicable</v>
      </c>
      <c r="F17" s="25" t="e">
        <f t="shared" ca="1" si="5"/>
        <v>#VALUE!</v>
      </c>
      <c r="G17" s="26">
        <f t="shared" ca="1" si="6"/>
        <v>0</v>
      </c>
      <c r="H17" s="33">
        <f ca="1">IF(COUNTIF($W$2:W1002,A17)=1,VLOOKUP(A17,S:T,2), IF(COUNTIF($W$2:W1002,A17)=0,$D$9,""))</f>
        <v>250.32230000000001</v>
      </c>
      <c r="I17" s="34">
        <f ca="1">IF(COUNTIF($X$2:X1002,INT(A17))=1,VLOOKUP(INT(A17),X:Y,2), IF(ISERROR(H17-2),"",I16*(1-$D$8*(H17-H16)*0.0001)))</f>
        <v>270.04517476836173</v>
      </c>
      <c r="J17" s="34">
        <f t="shared" ca="1" si="7"/>
        <v>270.04517476836173</v>
      </c>
      <c r="K17" s="26">
        <f t="shared" ca="1" si="8"/>
        <v>1443093.1938205515</v>
      </c>
      <c r="L17" s="26" t="e">
        <f ca="1">IF($A17="","",IF(COUNTIFS(Dividends!$G:$G,"&gt;"&amp;INT($A16),Dividends!$G:$G,"&lt;="&amp;INT($A17))=0,"",$H$2*SUMIFS(Dividends!$H:$H,Dividends!$G:$G,"&gt;"&amp;INT($A16),Dividends!$G:$G,"&lt;="&amp;INT($A17))))</f>
        <v>#VALUE!</v>
      </c>
      <c r="M17" s="55" t="e">
        <f ca="1">IF(ISERROR(B17-2),"",C17+D17-F17-G17-K17+SUM($L$14:L17))</f>
        <v>#VALUE!</v>
      </c>
      <c r="O17" s="95">
        <v>46114.625</v>
      </c>
      <c r="P17" s="3">
        <v>306.5</v>
      </c>
      <c r="Q17" s="95">
        <v>46091.625</v>
      </c>
      <c r="R17" s="3">
        <v>106.51</v>
      </c>
      <c r="S17" s="95">
        <v>46066.625</v>
      </c>
      <c r="T17" s="3">
        <v>247.57300000000001</v>
      </c>
      <c r="U17" s="95">
        <f t="shared" si="0"/>
        <v>46114.625</v>
      </c>
      <c r="V17" s="95" t="str">
        <f t="shared" si="1"/>
        <v/>
      </c>
      <c r="X17" s="95">
        <v>46063</v>
      </c>
      <c r="Y17" s="41">
        <v>264.46800000000002</v>
      </c>
      <c r="Z17" s="95">
        <v>45799</v>
      </c>
      <c r="AA17" s="3">
        <v>236.15270000000001</v>
      </c>
      <c r="AB17" s="37">
        <v>45799</v>
      </c>
      <c r="AC17" s="3">
        <v>302.62099999999998</v>
      </c>
      <c r="AD17" s="37">
        <f t="shared" si="2"/>
        <v>45799</v>
      </c>
    </row>
    <row r="18" spans="1:30" x14ac:dyDescent="0.25">
      <c r="A18" s="98" t="str">
        <f t="shared" ca="1" si="3"/>
        <v/>
      </c>
      <c r="B18" s="33" t="str">
        <f ca="1">IF(COUNTIF($W$2:W1003,A18)=1,VLOOKUP(A18,O:P,2), IF(COUNTIF($W$2:W1003,A18)=0,$B$9,""))</f>
        <v/>
      </c>
      <c r="C18" s="25" t="str">
        <f t="shared" ca="1" si="4"/>
        <v/>
      </c>
      <c r="D18" s="26"/>
      <c r="E18" s="33" t="str">
        <f ca="1">IF(COUNTIF($W$2:W1003,A18)=1,VLOOKUP(A18,Q:R,2), IF(COUNTIF($W$2:W1003,A18)=0,$C$9,""))</f>
        <v/>
      </c>
      <c r="F18" s="25" t="str">
        <f t="shared" ca="1" si="5"/>
        <v/>
      </c>
      <c r="G18" s="26" t="str">
        <f t="shared" ca="1" si="6"/>
        <v/>
      </c>
      <c r="H18" s="33" t="str">
        <f ca="1">IF(COUNTIF($W$2:W1003,A18)=1,VLOOKUP(A18,S:T,2), IF(COUNTIF($W$2:W1003,A18)=0,$D$9,""))</f>
        <v/>
      </c>
      <c r="I18" s="34" t="str">
        <f ca="1">IF(COUNTIF($X$2:X1003,INT(A18))=1,VLOOKUP(INT(A18),X:Y,2), IF(ISERROR(H18-2),"",I17*(1-$D$8*(H18-H17)*0.0001)))</f>
        <v/>
      </c>
      <c r="J18" s="34" t="str">
        <f t="shared" ca="1" si="7"/>
        <v/>
      </c>
      <c r="K18" s="26" t="str">
        <f t="shared" ca="1" si="8"/>
        <v/>
      </c>
      <c r="L18" s="26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55" t="str">
        <f ca="1">IF(ISERROR(B18-2),"",C18+D18-F18-G18-K18+SUM($L$14:L18))</f>
        <v/>
      </c>
      <c r="O18" s="95">
        <v>46119.625</v>
      </c>
      <c r="P18" s="3">
        <v>305.86</v>
      </c>
      <c r="Q18" s="95">
        <v>46092.625</v>
      </c>
      <c r="R18" s="3">
        <v>106.22</v>
      </c>
      <c r="S18" s="95">
        <v>46069.625</v>
      </c>
      <c r="T18" s="3">
        <v>248.94900000000001</v>
      </c>
      <c r="U18" s="95">
        <f t="shared" si="0"/>
        <v>46119.625</v>
      </c>
      <c r="V18" s="95" t="str">
        <f t="shared" si="1"/>
        <v/>
      </c>
      <c r="X18" s="95">
        <v>46064</v>
      </c>
      <c r="Y18" s="41">
        <v>264.35489999999999</v>
      </c>
      <c r="Z18" s="95">
        <v>45800</v>
      </c>
      <c r="AA18" s="3">
        <v>234.8886</v>
      </c>
      <c r="AB18" s="37">
        <v>45800</v>
      </c>
      <c r="AC18" s="3">
        <v>315.95499999999998</v>
      </c>
      <c r="AD18" s="37">
        <f t="shared" si="2"/>
        <v>45800</v>
      </c>
    </row>
    <row r="19" spans="1:30" x14ac:dyDescent="0.25">
      <c r="A19" s="98" t="str">
        <f t="shared" ca="1" si="3"/>
        <v/>
      </c>
      <c r="B19" s="33" t="str">
        <f ca="1">IF(COUNTIF($W$2:W1004,A19)=1,VLOOKUP(A19,O:P,2), IF(COUNTIF($W$2:W1004,A19)=0,$B$9,""))</f>
        <v/>
      </c>
      <c r="C19" s="25" t="str">
        <f t="shared" ca="1" si="4"/>
        <v/>
      </c>
      <c r="D19" s="26"/>
      <c r="E19" s="33" t="str">
        <f ca="1">IF(COUNTIF($W$2:W1004,A19)=1,VLOOKUP(A19,Q:R,2), IF(COUNTIF($W$2:W1004,A19)=0,$C$9,""))</f>
        <v/>
      </c>
      <c r="F19" s="25" t="str">
        <f t="shared" ca="1" si="5"/>
        <v/>
      </c>
      <c r="G19" s="26" t="str">
        <f t="shared" ca="1" si="6"/>
        <v/>
      </c>
      <c r="H19" s="33" t="str">
        <f ca="1">IF(COUNTIF($W$2:W1004,A19)=1,VLOOKUP(A19,S:T,2), IF(COUNTIF($W$2:W1004,A19)=0,$D$9,""))</f>
        <v/>
      </c>
      <c r="I19" s="34" t="str">
        <f ca="1">IF(COUNTIF($X$2:X1004,INT(A19))=1,VLOOKUP(INT(A19),X:Y,2), IF(ISERROR(H19-2),"",I18*(1-$D$8*(H19-H18)*0.0001)))</f>
        <v/>
      </c>
      <c r="J19" s="34" t="str">
        <f t="shared" ca="1" si="7"/>
        <v/>
      </c>
      <c r="K19" s="26" t="str">
        <f t="shared" ca="1" si="8"/>
        <v/>
      </c>
      <c r="L19" s="26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55" t="str">
        <f ca="1">IF(ISERROR(B19-2),"",C19+D19-F19-G19-K19+SUM($L$14:L19))</f>
        <v/>
      </c>
      <c r="O19" s="95">
        <v>46120.625</v>
      </c>
      <c r="P19" s="3">
        <v>309.58</v>
      </c>
      <c r="Q19" s="95">
        <v>46093.625</v>
      </c>
      <c r="R19" s="3">
        <v>106.17</v>
      </c>
      <c r="S19" s="95">
        <v>46070.625</v>
      </c>
      <c r="T19" s="3">
        <v>252.08199999999999</v>
      </c>
      <c r="U19" s="95">
        <f t="shared" si="0"/>
        <v>46120.625</v>
      </c>
      <c r="V19" s="95" t="str">
        <f t="shared" si="1"/>
        <v/>
      </c>
      <c r="X19" s="95">
        <v>46065</v>
      </c>
      <c r="Y19" s="41">
        <v>264.04489999999998</v>
      </c>
      <c r="Z19" s="95">
        <v>45804</v>
      </c>
      <c r="AA19" s="3">
        <v>236.60339999999999</v>
      </c>
      <c r="AB19" s="37">
        <v>45804</v>
      </c>
      <c r="AC19" s="3">
        <v>300.10899999999998</v>
      </c>
      <c r="AD19" s="37">
        <f t="shared" si="2"/>
        <v>45804</v>
      </c>
    </row>
    <row r="20" spans="1:30" x14ac:dyDescent="0.25">
      <c r="A20" s="98" t="str">
        <f t="shared" ca="1" si="3"/>
        <v/>
      </c>
      <c r="B20" s="33" t="str">
        <f ca="1">IF(COUNTIF($W$2:W1005,A20)=1,VLOOKUP(A20,O:P,2), IF(COUNTIF($W$2:W1005,A20)=0,$B$9,""))</f>
        <v/>
      </c>
      <c r="C20" s="25" t="str">
        <f t="shared" ca="1" si="4"/>
        <v/>
      </c>
      <c r="D20" s="26"/>
      <c r="E20" s="33" t="str">
        <f ca="1">IF(COUNTIF($W$2:W1005,A20)=1,VLOOKUP(A20,Q:R,2), IF(COUNTIF($W$2:W1005,A20)=0,$C$9,""))</f>
        <v/>
      </c>
      <c r="F20" s="25" t="str">
        <f t="shared" ca="1" si="5"/>
        <v/>
      </c>
      <c r="G20" s="26" t="str">
        <f t="shared" ca="1" si="6"/>
        <v/>
      </c>
      <c r="H20" s="33" t="str">
        <f ca="1">IF(COUNTIF($W$2:W1005,A20)=1,VLOOKUP(A20,S:T,2), IF(COUNTIF($W$2:W1005,A20)=0,$D$9,""))</f>
        <v/>
      </c>
      <c r="I20" s="34" t="str">
        <f ca="1">IF(COUNTIF($X$2:X1005,INT(A20))=1,VLOOKUP(INT(A20),X:Y,2), IF(ISERROR(H20-2),"",I19*(1-$D$8*(H20-H19)*0.0001)))</f>
        <v/>
      </c>
      <c r="J20" s="34" t="str">
        <f t="shared" ca="1" si="7"/>
        <v/>
      </c>
      <c r="K20" s="26" t="str">
        <f t="shared" ca="1" si="8"/>
        <v/>
      </c>
      <c r="L20" s="26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55" t="str">
        <f ca="1">IF(ISERROR(B20-2),"",C20+D20-F20-G20-K20+SUM($L$14:L20))</f>
        <v/>
      </c>
      <c r="O20" s="95">
        <v>46122.625</v>
      </c>
      <c r="P20" s="3">
        <v>309.45999999999998</v>
      </c>
      <c r="Q20" s="95">
        <v>46094.625</v>
      </c>
      <c r="R20" s="3">
        <v>106.14</v>
      </c>
      <c r="S20" s="95">
        <v>46071.625</v>
      </c>
      <c r="T20" s="3">
        <v>245.43600000000001</v>
      </c>
      <c r="U20" s="95">
        <f t="shared" si="0"/>
        <v>46122.625</v>
      </c>
      <c r="V20" s="95" t="str">
        <f t="shared" si="1"/>
        <v/>
      </c>
      <c r="X20" s="95">
        <v>46066</v>
      </c>
      <c r="Y20" s="41">
        <v>263.8886</v>
      </c>
      <c r="Z20" s="95">
        <v>45805</v>
      </c>
      <c r="AA20" s="3">
        <v>236.68979999999999</v>
      </c>
      <c r="AB20" s="37">
        <v>45805</v>
      </c>
      <c r="AC20" s="3">
        <v>300.60399999999998</v>
      </c>
      <c r="AD20" s="37">
        <f t="shared" si="2"/>
        <v>45805</v>
      </c>
    </row>
    <row r="21" spans="1:30" x14ac:dyDescent="0.25">
      <c r="A21" s="98" t="str">
        <f t="shared" ca="1" si="3"/>
        <v/>
      </c>
      <c r="B21" s="33" t="str">
        <f ca="1">IF(COUNTIF($W$2:W1006,A21)=1,VLOOKUP(A21,O:P,2), IF(COUNTIF($W$2:W1006,A21)=0,$B$9,""))</f>
        <v/>
      </c>
      <c r="C21" s="25" t="str">
        <f t="shared" ca="1" si="4"/>
        <v/>
      </c>
      <c r="D21" s="26"/>
      <c r="E21" s="33" t="str">
        <f ca="1">IF(COUNTIF($W$2:W1006,A21)=1,VLOOKUP(A21,Q:R,2), IF(COUNTIF($W$2:W1006,A21)=0,$C$9,""))</f>
        <v/>
      </c>
      <c r="F21" s="25" t="str">
        <f t="shared" ca="1" si="5"/>
        <v/>
      </c>
      <c r="G21" s="26" t="str">
        <f t="shared" ca="1" si="6"/>
        <v/>
      </c>
      <c r="H21" s="33" t="str">
        <f ca="1">IF(COUNTIF($W$2:W1006,A21)=1,VLOOKUP(A21,S:T,2), IF(COUNTIF($W$2:W1006,A21)=0,$D$9,""))</f>
        <v/>
      </c>
      <c r="I21" s="34" t="str">
        <f ca="1">IF(COUNTIF($X$2:X1006,INT(A21))=1,VLOOKUP(INT(A21),X:Y,2), IF(ISERROR(H21-2),"",I20*(1-$D$8*(H21-H20)*0.0001)))</f>
        <v/>
      </c>
      <c r="J21" s="34" t="str">
        <f t="shared" ca="1" si="7"/>
        <v/>
      </c>
      <c r="K21" s="26" t="str">
        <f t="shared" ca="1" si="8"/>
        <v/>
      </c>
      <c r="L21" s="26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55" t="str">
        <f ca="1">IF(ISERROR(B21-2),"",C21+D21-F21-G21-K21+SUM($L$14:L21))</f>
        <v/>
      </c>
      <c r="O21" s="95">
        <v>46126.625</v>
      </c>
      <c r="P21" s="3">
        <v>309.89999999999998</v>
      </c>
      <c r="Q21" s="95">
        <v>46097.625</v>
      </c>
      <c r="R21" s="3">
        <v>106.185</v>
      </c>
      <c r="S21" s="95">
        <v>46072.625</v>
      </c>
      <c r="T21" s="3">
        <v>249.529</v>
      </c>
      <c r="U21" s="95">
        <f t="shared" si="0"/>
        <v>46126.625</v>
      </c>
      <c r="V21" s="95" t="str">
        <f t="shared" si="1"/>
        <v/>
      </c>
      <c r="X21" s="95">
        <v>46069</v>
      </c>
      <c r="Y21" s="41">
        <v>263.76089999999999</v>
      </c>
      <c r="Z21" s="95">
        <v>45806</v>
      </c>
      <c r="AA21" s="3">
        <v>236.84520000000001</v>
      </c>
      <c r="AB21" s="37">
        <v>45806</v>
      </c>
      <c r="AC21" s="3">
        <v>300.02</v>
      </c>
      <c r="AD21" s="37">
        <f t="shared" si="2"/>
        <v>45806</v>
      </c>
    </row>
    <row r="22" spans="1:30" x14ac:dyDescent="0.25">
      <c r="A22" s="98" t="str">
        <f t="shared" ca="1" si="3"/>
        <v/>
      </c>
      <c r="B22" s="33" t="str">
        <f ca="1">IF(COUNTIF($W$2:W1007,A22)=1,VLOOKUP(A22,O:P,2), IF(COUNTIF($W$2:W1007,A22)=0,$B$9,""))</f>
        <v/>
      </c>
      <c r="C22" s="25" t="str">
        <f t="shared" ca="1" si="4"/>
        <v/>
      </c>
      <c r="D22" s="26"/>
      <c r="E22" s="33" t="str">
        <f ca="1">IF(COUNTIF($W$2:W1007,A22)=1,VLOOKUP(A22,Q:R,2), IF(COUNTIF($W$2:W1007,A22)=0,$C$9,""))</f>
        <v/>
      </c>
      <c r="F22" s="25" t="str">
        <f t="shared" ca="1" si="5"/>
        <v/>
      </c>
      <c r="G22" s="26" t="str">
        <f t="shared" ca="1" si="6"/>
        <v/>
      </c>
      <c r="H22" s="33" t="str">
        <f ca="1">IF(COUNTIF($W$2:W1007,A22)=1,VLOOKUP(A22,S:T,2), IF(COUNTIF($W$2:W1007,A22)=0,$D$9,""))</f>
        <v/>
      </c>
      <c r="I22" s="34" t="str">
        <f ca="1">IF(COUNTIF($X$2:X1007,INT(A22))=1,VLOOKUP(INT(A22),X:Y,2), IF(ISERROR(H22-2),"",I21*(1-$D$8*(H22-H21)*0.0001)))</f>
        <v/>
      </c>
      <c r="J22" s="34" t="str">
        <f t="shared" ca="1" si="7"/>
        <v/>
      </c>
      <c r="K22" s="26" t="str">
        <f t="shared" ca="1" si="8"/>
        <v/>
      </c>
      <c r="L22" s="26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55" t="str">
        <f ca="1">IF(ISERROR(B22-2),"",C22+D22-F22-G22-K22+SUM($L$14:L22))</f>
        <v/>
      </c>
      <c r="O22" s="95">
        <v>46127.625</v>
      </c>
      <c r="P22" s="3">
        <v>310.42</v>
      </c>
      <c r="Q22" s="95">
        <v>46098.625</v>
      </c>
      <c r="R22" s="3">
        <v>106.21</v>
      </c>
      <c r="S22" s="95">
        <v>46073.625</v>
      </c>
      <c r="T22" s="3">
        <v>246.54499999999999</v>
      </c>
      <c r="U22" s="95">
        <f t="shared" si="0"/>
        <v>46127.625</v>
      </c>
      <c r="V22" s="95" t="str">
        <f t="shared" si="1"/>
        <v/>
      </c>
      <c r="X22" s="95">
        <v>46070</v>
      </c>
      <c r="Y22" s="41">
        <v>263.60289999999998</v>
      </c>
      <c r="Z22" s="95">
        <v>45807</v>
      </c>
      <c r="AA22" s="3">
        <v>236.70660000000001</v>
      </c>
      <c r="AB22" s="37">
        <v>45807</v>
      </c>
      <c r="AC22" s="3">
        <v>300.04899999999998</v>
      </c>
      <c r="AD22" s="37">
        <f t="shared" si="2"/>
        <v>45807</v>
      </c>
    </row>
    <row r="23" spans="1:30" ht="14.45" customHeight="1" x14ac:dyDescent="0.25">
      <c r="A23" s="98" t="str">
        <f t="shared" ca="1" si="3"/>
        <v/>
      </c>
      <c r="B23" s="33" t="str">
        <f ca="1">IF(COUNTIF($W$2:W1008,A23)=1,VLOOKUP(A23,O:P,2), IF(COUNTIF($W$2:W1008,A23)=0,$B$9,""))</f>
        <v/>
      </c>
      <c r="C23" s="25" t="str">
        <f t="shared" ca="1" si="4"/>
        <v/>
      </c>
      <c r="D23" s="26"/>
      <c r="E23" s="33" t="str">
        <f ca="1">IF(COUNTIF($W$2:W1008,A23)=1,VLOOKUP(A23,Q:R,2), IF(COUNTIF($W$2:W1008,A23)=0,$C$9,""))</f>
        <v/>
      </c>
      <c r="F23" s="25" t="str">
        <f t="shared" ca="1" si="5"/>
        <v/>
      </c>
      <c r="G23" s="26" t="str">
        <f t="shared" ca="1" si="6"/>
        <v/>
      </c>
      <c r="H23" s="33" t="str">
        <f ca="1">IF(COUNTIF($W$2:W1008,A23)=1,VLOOKUP(A23,S:T,2), IF(COUNTIF($W$2:W1008,A23)=0,$D$9,""))</f>
        <v/>
      </c>
      <c r="I23" s="34" t="str">
        <f ca="1">IF(COUNTIF($X$2:X1008,INT(A23))=1,VLOOKUP(INT(A23),X:Y,2), IF(ISERROR(H23-2),"",I22*(1-$D$8*(H23-H22)*0.0001)))</f>
        <v/>
      </c>
      <c r="J23" s="34" t="str">
        <f t="shared" ca="1" si="7"/>
        <v/>
      </c>
      <c r="K23" s="26" t="str">
        <f t="shared" ca="1" si="8"/>
        <v/>
      </c>
      <c r="L23" s="26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55" t="str">
        <f ca="1">IF(ISERROR(B23-2),"",C23+D23-F23-G23-K23+SUM($L$14:L23))</f>
        <v/>
      </c>
      <c r="O23" s="95">
        <v>46128.625</v>
      </c>
      <c r="P23" s="3">
        <v>310.64</v>
      </c>
      <c r="Q23" s="95">
        <v>46099.625</v>
      </c>
      <c r="R23" s="3">
        <v>106.07</v>
      </c>
      <c r="S23" s="95">
        <v>46076.625</v>
      </c>
      <c r="T23" s="3">
        <v>249.63800000000001</v>
      </c>
      <c r="U23" s="95">
        <f t="shared" si="0"/>
        <v>46128.625</v>
      </c>
      <c r="V23" s="95" t="str">
        <f t="shared" si="1"/>
        <v/>
      </c>
      <c r="X23" s="95">
        <v>46071</v>
      </c>
      <c r="Y23" s="41">
        <v>264.26510000000002</v>
      </c>
      <c r="Z23" s="95">
        <v>45810</v>
      </c>
      <c r="AA23" s="3">
        <v>236.80029999999999</v>
      </c>
      <c r="AB23" s="37">
        <v>45810</v>
      </c>
      <c r="AC23" s="3">
        <v>299.90899999999999</v>
      </c>
      <c r="AD23" s="37">
        <f t="shared" si="2"/>
        <v>45810</v>
      </c>
    </row>
    <row r="24" spans="1:30" ht="14.45" customHeight="1" x14ac:dyDescent="0.25">
      <c r="A24" s="98" t="str">
        <f t="shared" ca="1" si="3"/>
        <v/>
      </c>
      <c r="B24" s="33" t="str">
        <f ca="1">IF(COUNTIF($W$2:W1009,A24)=1,VLOOKUP(A24,O:P,2), IF(COUNTIF($W$2:W1009,A24)=0,$B$9,""))</f>
        <v/>
      </c>
      <c r="C24" s="25" t="str">
        <f t="shared" ca="1" si="4"/>
        <v/>
      </c>
      <c r="D24" s="26"/>
      <c r="E24" s="33" t="str">
        <f ca="1">IF(COUNTIF($W$2:W1009,A24)=1,VLOOKUP(A24,Q:R,2), IF(COUNTIF($W$2:W1009,A24)=0,$C$9,""))</f>
        <v/>
      </c>
      <c r="F24" s="25" t="str">
        <f t="shared" ca="1" si="5"/>
        <v/>
      </c>
      <c r="G24" s="26" t="str">
        <f t="shared" ca="1" si="6"/>
        <v/>
      </c>
      <c r="H24" s="33" t="str">
        <f ca="1">IF(COUNTIF($W$2:W1009,A24)=1,VLOOKUP(A24,S:T,2), IF(COUNTIF($W$2:W1009,A24)=0,$D$9,""))</f>
        <v/>
      </c>
      <c r="I24" s="34" t="str">
        <f ca="1">IF(COUNTIF($X$2:X1009,INT(A24))=1,VLOOKUP(INT(A24),X:Y,2), IF(ISERROR(H24-2),"",I23*(1-$D$8*(H24-H23)*0.0001)))</f>
        <v/>
      </c>
      <c r="J24" s="34" t="str">
        <f t="shared" ca="1" si="7"/>
        <v/>
      </c>
      <c r="K24" s="26" t="str">
        <f t="shared" ca="1" si="8"/>
        <v/>
      </c>
      <c r="L24" s="26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55" t="str">
        <f ca="1">IF(ISERROR(B24-2),"",C24+D24-F24-G24-K24+SUM($L$14:L24))</f>
        <v/>
      </c>
      <c r="O24" s="95">
        <v>46129.625</v>
      </c>
      <c r="P24" s="3">
        <v>312.38</v>
      </c>
      <c r="Q24" s="95">
        <v>46100.625</v>
      </c>
      <c r="R24" s="3">
        <v>105.89</v>
      </c>
      <c r="S24" s="95">
        <v>46077.625</v>
      </c>
      <c r="T24" s="3">
        <v>252.33600000000001</v>
      </c>
      <c r="U24" s="95">
        <f t="shared" si="0"/>
        <v>46129.625</v>
      </c>
      <c r="V24" s="95" t="str">
        <f t="shared" si="1"/>
        <v/>
      </c>
      <c r="X24" s="95">
        <v>46072</v>
      </c>
      <c r="Y24" s="41">
        <v>263.74880000000002</v>
      </c>
      <c r="Z24" s="95">
        <v>45811</v>
      </c>
      <c r="AA24" s="3">
        <v>237.24459999999999</v>
      </c>
      <c r="AB24" s="37">
        <v>45811</v>
      </c>
      <c r="AC24" s="3">
        <v>295.49799999999999</v>
      </c>
      <c r="AD24" s="37">
        <f t="shared" si="2"/>
        <v>45811</v>
      </c>
    </row>
    <row r="25" spans="1:30" ht="14.45" customHeight="1" x14ac:dyDescent="0.25">
      <c r="A25" s="98" t="str">
        <f t="shared" ca="1" si="3"/>
        <v/>
      </c>
      <c r="B25" s="33" t="str">
        <f ca="1">IF(COUNTIF($W$2:W1010,A25)=1,VLOOKUP(A25,O:P,2), IF(COUNTIF($W$2:W1010,A25)=0,$B$9,""))</f>
        <v/>
      </c>
      <c r="C25" s="25" t="str">
        <f t="shared" ca="1" si="4"/>
        <v/>
      </c>
      <c r="D25" s="26"/>
      <c r="E25" s="33" t="str">
        <f ca="1">IF(COUNTIF($W$2:W1010,A25)=1,VLOOKUP(A25,Q:R,2), IF(COUNTIF($W$2:W1010,A25)=0,$C$9,""))</f>
        <v/>
      </c>
      <c r="F25" s="25" t="str">
        <f t="shared" ca="1" si="5"/>
        <v/>
      </c>
      <c r="G25" s="26" t="str">
        <f t="shared" ca="1" si="6"/>
        <v/>
      </c>
      <c r="H25" s="33" t="str">
        <f ca="1">IF(COUNTIF($W$2:W1010,A25)=1,VLOOKUP(A25,S:T,2), IF(COUNTIF($W$2:W1010,A25)=0,$D$9,""))</f>
        <v/>
      </c>
      <c r="I25" s="34" t="str">
        <f ca="1">IF(COUNTIF($X$2:X1010,INT(A25))=1,VLOOKUP(INT(A25),X:Y,2), IF(ISERROR(H25-2),"",I24*(1-$D$8*(H25-H24)*0.0001)))</f>
        <v/>
      </c>
      <c r="J25" s="34" t="str">
        <f t="shared" ca="1" si="7"/>
        <v/>
      </c>
      <c r="K25" s="26" t="str">
        <f t="shared" ca="1" si="8"/>
        <v/>
      </c>
      <c r="L25" s="26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55" t="str">
        <f ca="1">IF(ISERROR(B25-2),"",C25+D25-F25-G25-K25+SUM($L$14:L25))</f>
        <v/>
      </c>
      <c r="O25" s="95">
        <v>46132.625</v>
      </c>
      <c r="P25" s="3">
        <v>311.66000000000003</v>
      </c>
      <c r="Q25" s="95">
        <v>46101.625</v>
      </c>
      <c r="R25" s="3">
        <v>105.7</v>
      </c>
      <c r="S25" s="95">
        <v>46078.625</v>
      </c>
      <c r="T25" s="3">
        <v>251.27199999999999</v>
      </c>
      <c r="U25" s="95">
        <f t="shared" si="0"/>
        <v>46132.625</v>
      </c>
      <c r="V25" s="95" t="str">
        <f t="shared" si="1"/>
        <v/>
      </c>
      <c r="X25" s="95">
        <v>46073</v>
      </c>
      <c r="Y25" s="41">
        <v>264.06599999999997</v>
      </c>
      <c r="Z25" s="95">
        <v>45812</v>
      </c>
      <c r="AA25" s="3">
        <v>237.52590000000001</v>
      </c>
      <c r="AB25" s="37">
        <v>45812</v>
      </c>
      <c r="AC25" s="3">
        <v>294.68200000000002</v>
      </c>
      <c r="AD25" s="37">
        <f t="shared" si="2"/>
        <v>45812</v>
      </c>
    </row>
    <row r="26" spans="1:30" ht="14.45" customHeight="1" x14ac:dyDescent="0.25">
      <c r="A26" s="98" t="str">
        <f t="shared" ca="1" si="3"/>
        <v/>
      </c>
      <c r="B26" s="33" t="str">
        <f ca="1">IF(COUNTIF($W$2:W1011,A26)=1,VLOOKUP(A26,O:P,2), IF(COUNTIF($W$2:W1011,A26)=0,$B$9,""))</f>
        <v/>
      </c>
      <c r="C26" s="25" t="str">
        <f t="shared" ca="1" si="4"/>
        <v/>
      </c>
      <c r="D26" s="26"/>
      <c r="E26" s="33" t="str">
        <f ca="1">IF(COUNTIF($W$2:W1011,A26)=1,VLOOKUP(A26,Q:R,2), IF(COUNTIF($W$2:W1011,A26)=0,$C$9,""))</f>
        <v/>
      </c>
      <c r="F26" s="25" t="str">
        <f t="shared" ca="1" si="5"/>
        <v/>
      </c>
      <c r="G26" s="26" t="str">
        <f t="shared" ca="1" si="6"/>
        <v/>
      </c>
      <c r="H26" s="33" t="str">
        <f ca="1">IF(COUNTIF($W$2:W1011,A26)=1,VLOOKUP(A26,S:T,2), IF(COUNTIF($W$2:W1011,A26)=0,$D$9,""))</f>
        <v/>
      </c>
      <c r="I26" s="34" t="str">
        <f ca="1">IF(COUNTIF($X$2:X1011,INT(A26))=1,VLOOKUP(INT(A26),X:Y,2), IF(ISERROR(H26-2),"",I25*(1-$D$8*(H26-H25)*0.0001)))</f>
        <v/>
      </c>
      <c r="J26" s="34" t="str">
        <f t="shared" ca="1" si="7"/>
        <v/>
      </c>
      <c r="K26" s="26" t="str">
        <f t="shared" ca="1" si="8"/>
        <v/>
      </c>
      <c r="L26" s="26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55" t="str">
        <f ca="1">IF(ISERROR(B26-2),"",C26+D26-F26-G26-K26+SUM($L$14:L26))</f>
        <v/>
      </c>
      <c r="O26" s="95">
        <v>46133.625</v>
      </c>
      <c r="P26" s="3">
        <v>311.39999999999998</v>
      </c>
      <c r="Q26" s="95">
        <v>46104.625</v>
      </c>
      <c r="R26" s="3">
        <v>105.82</v>
      </c>
      <c r="S26" s="95">
        <v>46079.625</v>
      </c>
      <c r="T26" s="3">
        <v>252.99199999999999</v>
      </c>
      <c r="U26" s="95">
        <f t="shared" si="0"/>
        <v>46133.625</v>
      </c>
      <c r="V26" s="95" t="str">
        <f t="shared" si="1"/>
        <v/>
      </c>
      <c r="X26" s="95">
        <v>46076</v>
      </c>
      <c r="Y26" s="41">
        <v>263.87049999999999</v>
      </c>
      <c r="Z26" s="95">
        <v>45813</v>
      </c>
      <c r="AA26" s="3">
        <v>237.58510000000001</v>
      </c>
      <c r="AB26" s="37">
        <v>45813</v>
      </c>
      <c r="AC26" s="3">
        <v>292.91399999999999</v>
      </c>
      <c r="AD26" s="37">
        <f t="shared" si="2"/>
        <v>45813</v>
      </c>
    </row>
    <row r="27" spans="1:30" ht="14.45" customHeight="1" x14ac:dyDescent="0.25">
      <c r="A27" s="98" t="str">
        <f t="shared" ca="1" si="3"/>
        <v/>
      </c>
      <c r="B27" s="33" t="str">
        <f ca="1">IF(COUNTIF($W$2:W1012,A27)=1,VLOOKUP(A27,O:P,2), IF(COUNTIF($W$2:W1012,A27)=0,$B$9,""))</f>
        <v/>
      </c>
      <c r="C27" s="25" t="str">
        <f t="shared" ca="1" si="4"/>
        <v/>
      </c>
      <c r="D27" s="26"/>
      <c r="E27" s="33" t="str">
        <f ca="1">IF(COUNTIF($W$2:W1012,A27)=1,VLOOKUP(A27,Q:R,2), IF(COUNTIF($W$2:W1012,A27)=0,$C$9,""))</f>
        <v/>
      </c>
      <c r="F27" s="25" t="str">
        <f t="shared" ca="1" si="5"/>
        <v/>
      </c>
      <c r="G27" s="26" t="str">
        <f t="shared" ca="1" si="6"/>
        <v/>
      </c>
      <c r="H27" s="33" t="str">
        <f ca="1">IF(COUNTIF($W$2:W1012,A27)=1,VLOOKUP(A27,S:T,2), IF(COUNTIF($W$2:W1012,A27)=0,$D$9,""))</f>
        <v/>
      </c>
      <c r="I27" s="34" t="str">
        <f ca="1">IF(COUNTIF($X$2:X1012,INT(A27))=1,VLOOKUP(INT(A27),X:Y,2), IF(ISERROR(H27-2),"",I26*(1-$D$8*(H27-H26)*0.0001)))</f>
        <v/>
      </c>
      <c r="J27" s="34" t="str">
        <f t="shared" ca="1" si="7"/>
        <v/>
      </c>
      <c r="K27" s="26" t="str">
        <f t="shared" ca="1" si="8"/>
        <v/>
      </c>
      <c r="L27" s="26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55" t="str">
        <f ca="1">IF(ISERROR(B27-2),"",C27+D27-F27-G27-K27+SUM($L$14:L27))</f>
        <v/>
      </c>
      <c r="O27" s="95">
        <v>46134.625</v>
      </c>
      <c r="P27" s="3">
        <v>310.62</v>
      </c>
      <c r="Q27" s="95">
        <v>46105.625</v>
      </c>
      <c r="R27" s="3">
        <v>105.69</v>
      </c>
      <c r="S27" s="95">
        <v>46080.625</v>
      </c>
      <c r="T27" s="3">
        <v>260.255</v>
      </c>
      <c r="U27" s="95">
        <f t="shared" si="0"/>
        <v>46134.625</v>
      </c>
      <c r="V27" s="95" t="str">
        <f t="shared" si="1"/>
        <v/>
      </c>
      <c r="X27" s="95">
        <v>46077</v>
      </c>
      <c r="Y27" s="41">
        <v>263.58609999999999</v>
      </c>
      <c r="Z27" s="95">
        <v>45814</v>
      </c>
      <c r="AA27" s="3">
        <v>238.0478</v>
      </c>
      <c r="AB27" s="37">
        <v>45814</v>
      </c>
      <c r="AC27" s="3">
        <v>289.43099999999998</v>
      </c>
      <c r="AD27" s="37">
        <f t="shared" si="2"/>
        <v>45814</v>
      </c>
    </row>
    <row r="28" spans="1:30" ht="14.45" customHeight="1" x14ac:dyDescent="0.25">
      <c r="A28" s="98" t="str">
        <f t="shared" ca="1" si="3"/>
        <v/>
      </c>
      <c r="B28" s="33" t="str">
        <f ca="1">IF(COUNTIF($W$2:W1013,A28)=1,VLOOKUP(A28,O:P,2), IF(COUNTIF($W$2:W1013,A28)=0,$B$9,""))</f>
        <v/>
      </c>
      <c r="C28" s="25" t="str">
        <f t="shared" ca="1" si="4"/>
        <v/>
      </c>
      <c r="D28" s="26"/>
      <c r="E28" s="33" t="str">
        <f ca="1">IF(COUNTIF($W$2:W1013,A28)=1,VLOOKUP(A28,Q:R,2), IF(COUNTIF($W$2:W1013,A28)=0,$C$9,""))</f>
        <v/>
      </c>
      <c r="F28" s="25" t="str">
        <f t="shared" ca="1" si="5"/>
        <v/>
      </c>
      <c r="G28" s="26" t="str">
        <f t="shared" ca="1" si="6"/>
        <v/>
      </c>
      <c r="H28" s="33" t="str">
        <f ca="1">IF(COUNTIF($W$2:W1013,A28)=1,VLOOKUP(A28,S:T,2), IF(COUNTIF($W$2:W1013,A28)=0,$D$9,""))</f>
        <v/>
      </c>
      <c r="I28" s="34" t="str">
        <f ca="1">IF(COUNTIF($X$2:X1013,INT(A28))=1,VLOOKUP(INT(A28),X:Y,2), IF(ISERROR(H28-2),"",I27*(1-$D$8*(H28-H27)*0.0001)))</f>
        <v/>
      </c>
      <c r="J28" s="34" t="str">
        <f t="shared" ca="1" si="7"/>
        <v/>
      </c>
      <c r="K28" s="26" t="str">
        <f t="shared" ca="1" si="8"/>
        <v/>
      </c>
      <c r="L28" s="26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55" t="str">
        <f ca="1">IF(ISERROR(B28-2),"",C28+D28-F28-G28-K28+SUM($L$14:L28))</f>
        <v/>
      </c>
      <c r="O28" s="95">
        <v>46136.625</v>
      </c>
      <c r="P28" s="3">
        <v>310.48</v>
      </c>
      <c r="Q28" s="95">
        <v>46106.625</v>
      </c>
      <c r="R28" s="3">
        <v>105.77500000000001</v>
      </c>
      <c r="S28" s="95">
        <v>46083.625</v>
      </c>
      <c r="T28" s="3">
        <v>267.18200000000002</v>
      </c>
      <c r="U28" s="95">
        <f t="shared" si="0"/>
        <v>46136.625</v>
      </c>
      <c r="V28" s="95" t="str">
        <f t="shared" si="1"/>
        <v/>
      </c>
      <c r="X28" s="95">
        <v>46078</v>
      </c>
      <c r="Y28" s="41">
        <v>263.79109999999997</v>
      </c>
      <c r="Z28" s="95">
        <v>45817</v>
      </c>
      <c r="AA28" s="3">
        <v>238.19669999999999</v>
      </c>
      <c r="AB28" s="37">
        <v>45817</v>
      </c>
      <c r="AC28" s="3">
        <v>288.459</v>
      </c>
      <c r="AD28" s="37">
        <f t="shared" si="2"/>
        <v>45817</v>
      </c>
    </row>
    <row r="29" spans="1:30" ht="14.45" customHeight="1" x14ac:dyDescent="0.25">
      <c r="A29" s="98" t="str">
        <f t="shared" ca="1" si="3"/>
        <v/>
      </c>
      <c r="B29" s="33" t="str">
        <f ca="1">IF(COUNTIF($W$2:W1014,A29)=1,VLOOKUP(A29,O:P,2), IF(COUNTIF($W$2:W1014,A29)=0,$B$9,""))</f>
        <v/>
      </c>
      <c r="C29" s="25" t="str">
        <f t="shared" ca="1" si="4"/>
        <v/>
      </c>
      <c r="D29" s="26"/>
      <c r="E29" s="33" t="str">
        <f ca="1">IF(COUNTIF($W$2:W1014,A29)=1,VLOOKUP(A29,Q:R,2), IF(COUNTIF($W$2:W1014,A29)=0,$C$9,""))</f>
        <v/>
      </c>
      <c r="F29" s="25" t="str">
        <f t="shared" ca="1" si="5"/>
        <v/>
      </c>
      <c r="G29" s="26" t="str">
        <f t="shared" ca="1" si="6"/>
        <v/>
      </c>
      <c r="H29" s="33" t="str">
        <f ca="1">IF(COUNTIF($W$2:W1014,A29)=1,VLOOKUP(A29,S:T,2), IF(COUNTIF($W$2:W1014,A29)=0,$D$9,""))</f>
        <v/>
      </c>
      <c r="I29" s="34" t="str">
        <f ca="1">IF(COUNTIF($X$2:X1014,INT(A29))=1,VLOOKUP(INT(A29),X:Y,2), IF(ISERROR(H29-2),"",I28*(1-$D$8*(H29-H28)*0.0001)))</f>
        <v/>
      </c>
      <c r="J29" s="34" t="str">
        <f t="shared" ca="1" si="7"/>
        <v/>
      </c>
      <c r="K29" s="26" t="str">
        <f t="shared" ca="1" si="8"/>
        <v/>
      </c>
      <c r="L29" s="26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55" t="str">
        <f ca="1">IF(ISERROR(B29-2),"",C29+D29-F29-G29-K29+SUM($L$14:L29))</f>
        <v/>
      </c>
      <c r="O29" s="95">
        <v>46139.625</v>
      </c>
      <c r="P29" s="3">
        <v>310.7</v>
      </c>
      <c r="Q29" s="95">
        <v>46107.625</v>
      </c>
      <c r="R29" s="3">
        <v>105.625</v>
      </c>
      <c r="S29" s="95">
        <v>46084.625</v>
      </c>
      <c r="T29" s="3">
        <v>279.875</v>
      </c>
      <c r="U29" s="95">
        <f t="shared" si="0"/>
        <v>46139.625</v>
      </c>
      <c r="V29" s="95" t="str">
        <f t="shared" si="1"/>
        <v/>
      </c>
      <c r="X29" s="95">
        <v>46079</v>
      </c>
      <c r="Y29" s="41">
        <v>263.42880000000002</v>
      </c>
      <c r="Z29" s="95">
        <v>45818</v>
      </c>
      <c r="AA29" s="3">
        <v>238.28550000000001</v>
      </c>
      <c r="AB29" s="37">
        <v>45818</v>
      </c>
      <c r="AC29" s="3">
        <v>287.69299999999998</v>
      </c>
      <c r="AD29" s="37">
        <f t="shared" si="2"/>
        <v>45818</v>
      </c>
    </row>
    <row r="30" spans="1:30" ht="14.45" customHeight="1" x14ac:dyDescent="0.25">
      <c r="A30" s="98" t="str">
        <f t="shared" ca="1" si="3"/>
        <v/>
      </c>
      <c r="B30" s="33" t="str">
        <f ca="1">IF(COUNTIF($W$2:W1015,A30)=1,VLOOKUP(A30,O:P,2), IF(COUNTIF($W$2:W1015,A30)=0,$B$9,""))</f>
        <v/>
      </c>
      <c r="C30" s="25" t="str">
        <f t="shared" ca="1" si="4"/>
        <v/>
      </c>
      <c r="D30" s="26"/>
      <c r="E30" s="33" t="str">
        <f ca="1">IF(COUNTIF($W$2:W1015,A30)=1,VLOOKUP(A30,Q:R,2), IF(COUNTIF($W$2:W1015,A30)=0,$C$9,""))</f>
        <v/>
      </c>
      <c r="F30" s="25" t="str">
        <f t="shared" ca="1" si="5"/>
        <v/>
      </c>
      <c r="G30" s="26" t="str">
        <f t="shared" ca="1" si="6"/>
        <v/>
      </c>
      <c r="H30" s="33" t="str">
        <f ca="1">IF(COUNTIF($W$2:W1015,A30)=1,VLOOKUP(A30,S:T,2), IF(COUNTIF($W$2:W1015,A30)=0,$D$9,""))</f>
        <v/>
      </c>
      <c r="I30" s="34" t="str">
        <f ca="1">IF(COUNTIF($X$2:X1015,INT(A30))=1,VLOOKUP(INT(A30),X:Y,2), IF(ISERROR(H30-2),"",I29*(1-$D$8*(H30-H29)*0.0001)))</f>
        <v/>
      </c>
      <c r="J30" s="34" t="str">
        <f t="shared" ca="1" si="7"/>
        <v/>
      </c>
      <c r="K30" s="26" t="str">
        <f t="shared" ca="1" si="8"/>
        <v/>
      </c>
      <c r="L30" s="26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55" t="str">
        <f ca="1">IF(ISERROR(B30-2),"",C30+D30-F30-G30-K30+SUM($L$14:L30))</f>
        <v/>
      </c>
      <c r="O30" s="95">
        <v>46140.625</v>
      </c>
      <c r="P30" s="3">
        <v>309.88</v>
      </c>
      <c r="Q30" s="95">
        <v>46108.625</v>
      </c>
      <c r="R30" s="3">
        <v>105.63</v>
      </c>
      <c r="S30" s="95">
        <v>46085.625</v>
      </c>
      <c r="T30" s="3">
        <v>265.24</v>
      </c>
      <c r="U30" s="95">
        <f t="shared" si="0"/>
        <v>46140.625</v>
      </c>
      <c r="V30" s="95" t="str">
        <f t="shared" si="1"/>
        <v/>
      </c>
      <c r="X30" s="95">
        <v>46080</v>
      </c>
      <c r="Y30" s="41">
        <v>262.72750000000002</v>
      </c>
      <c r="Z30" s="95">
        <v>45819</v>
      </c>
      <c r="AA30" s="3">
        <v>238.56219999999999</v>
      </c>
      <c r="AB30" s="37">
        <v>45819</v>
      </c>
      <c r="AC30" s="3">
        <v>286.16800000000001</v>
      </c>
      <c r="AD30" s="37">
        <f t="shared" si="2"/>
        <v>45819</v>
      </c>
    </row>
    <row r="31" spans="1:30" ht="14.45" customHeight="1" x14ac:dyDescent="0.25">
      <c r="A31" s="98" t="str">
        <f t="shared" ca="1" si="3"/>
        <v/>
      </c>
      <c r="B31" s="33" t="str">
        <f ca="1">IF(COUNTIF($W$2:W1016,A31)=1,VLOOKUP(A31,O:P,2), IF(COUNTIF($W$2:W1016,A31)=0,$B$9,""))</f>
        <v/>
      </c>
      <c r="C31" s="25" t="str">
        <f t="shared" ca="1" si="4"/>
        <v/>
      </c>
      <c r="D31" s="26"/>
      <c r="E31" s="33" t="str">
        <f ca="1">IF(COUNTIF($W$2:W1016,A31)=1,VLOOKUP(A31,Q:R,2), IF(COUNTIF($W$2:W1016,A31)=0,$C$9,""))</f>
        <v/>
      </c>
      <c r="F31" s="25" t="str">
        <f t="shared" ca="1" si="5"/>
        <v/>
      </c>
      <c r="G31" s="26" t="str">
        <f t="shared" ca="1" si="6"/>
        <v/>
      </c>
      <c r="H31" s="33" t="str">
        <f ca="1">IF(COUNTIF($W$2:W1016,A31)=1,VLOOKUP(A31,S:T,2), IF(COUNTIF($W$2:W1016,A31)=0,$D$9,""))</f>
        <v/>
      </c>
      <c r="I31" s="34" t="str">
        <f ca="1">IF(COUNTIF($X$2:X1016,INT(A31))=1,VLOOKUP(INT(A31),X:Y,2), IF(ISERROR(H31-2),"",I30*(1-$D$8*(H31-H30)*0.0001)))</f>
        <v/>
      </c>
      <c r="J31" s="34" t="str">
        <f t="shared" ca="1" si="7"/>
        <v/>
      </c>
      <c r="K31" s="26" t="str">
        <f t="shared" ca="1" si="8"/>
        <v/>
      </c>
      <c r="L31" s="26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55" t="str">
        <f ca="1">IF(ISERROR(B31-2),"",C31+D31-F31-G31-K31+SUM($L$14:L31))</f>
        <v/>
      </c>
      <c r="O31" s="95">
        <v>46141.625</v>
      </c>
      <c r="P31" s="3">
        <v>309.58</v>
      </c>
      <c r="Q31" s="95">
        <v>46111.625</v>
      </c>
      <c r="R31" s="3">
        <v>105.765</v>
      </c>
      <c r="S31" s="95">
        <v>46086.625</v>
      </c>
      <c r="T31" s="3">
        <v>272.31599999999997</v>
      </c>
      <c r="U31" s="95">
        <f t="shared" si="0"/>
        <v>46141.625</v>
      </c>
      <c r="V31" s="95" t="str">
        <f t="shared" si="1"/>
        <v/>
      </c>
      <c r="X31" s="95">
        <v>46083</v>
      </c>
      <c r="Y31" s="41">
        <v>262.18009999999998</v>
      </c>
      <c r="Z31" s="95">
        <v>45820</v>
      </c>
      <c r="AA31" s="3">
        <v>237.84450000000001</v>
      </c>
      <c r="AB31" s="37">
        <v>45820</v>
      </c>
      <c r="AC31" s="3">
        <v>292.70299999999997</v>
      </c>
      <c r="AD31" s="37">
        <f t="shared" si="2"/>
        <v>45820</v>
      </c>
    </row>
    <row r="32" spans="1:30" ht="14.45" customHeight="1" x14ac:dyDescent="0.25">
      <c r="A32" s="98" t="str">
        <f t="shared" ca="1" si="3"/>
        <v/>
      </c>
      <c r="B32" s="33" t="str">
        <f ca="1">IF(COUNTIF($W$2:W1017,A32)=1,VLOOKUP(A32,O:P,2), IF(COUNTIF($W$2:W1017,A32)=0,$B$9,""))</f>
        <v/>
      </c>
      <c r="C32" s="25" t="str">
        <f t="shared" ca="1" si="4"/>
        <v/>
      </c>
      <c r="D32" s="26"/>
      <c r="E32" s="33" t="str">
        <f ca="1">IF(COUNTIF($W$2:W1017,A32)=1,VLOOKUP(A32,Q:R,2), IF(COUNTIF($W$2:W1017,A32)=0,$C$9,""))</f>
        <v/>
      </c>
      <c r="F32" s="25" t="str">
        <f t="shared" ca="1" si="5"/>
        <v/>
      </c>
      <c r="G32" s="26" t="str">
        <f t="shared" ca="1" si="6"/>
        <v/>
      </c>
      <c r="H32" s="33" t="str">
        <f ca="1">IF(COUNTIF($W$2:W1017,A32)=1,VLOOKUP(A32,S:T,2), IF(COUNTIF($W$2:W1017,A32)=0,$D$9,""))</f>
        <v/>
      </c>
      <c r="I32" s="34" t="str">
        <f ca="1">IF(COUNTIF($X$2:X1017,INT(A32))=1,VLOOKUP(INT(A32),X:Y,2), IF(ISERROR(H32-2),"",I31*(1-$D$8*(H32-H31)*0.0001)))</f>
        <v/>
      </c>
      <c r="J32" s="34" t="str">
        <f t="shared" ca="1" si="7"/>
        <v/>
      </c>
      <c r="K32" s="26" t="str">
        <f t="shared" ca="1" si="8"/>
        <v/>
      </c>
      <c r="L32" s="26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55" t="str">
        <f ca="1">IF(ISERROR(B32-2),"",C32+D32-F32-G32-K32+SUM($L$14:L32))</f>
        <v/>
      </c>
      <c r="O32" s="95">
        <v>46142.625</v>
      </c>
      <c r="P32" s="3">
        <v>310</v>
      </c>
      <c r="Q32" s="95">
        <v>46112.625</v>
      </c>
      <c r="R32" s="3">
        <v>105.74</v>
      </c>
      <c r="S32" s="95">
        <v>46087.625</v>
      </c>
      <c r="T32" s="3">
        <v>288.95600000000002</v>
      </c>
      <c r="U32" s="95">
        <f t="shared" si="0"/>
        <v>46142.625</v>
      </c>
      <c r="V32" s="95" t="str">
        <f t="shared" si="1"/>
        <v/>
      </c>
      <c r="X32" s="95">
        <v>46084</v>
      </c>
      <c r="Y32" s="41">
        <v>260.81470000000002</v>
      </c>
      <c r="Z32" s="95">
        <v>45821</v>
      </c>
      <c r="AA32" s="3">
        <v>237.1781</v>
      </c>
      <c r="AB32" s="37">
        <v>45821</v>
      </c>
      <c r="AC32" s="3">
        <v>298.005</v>
      </c>
      <c r="AD32" s="37">
        <f t="shared" si="2"/>
        <v>45821</v>
      </c>
    </row>
    <row r="33" spans="1:30" ht="14.45" customHeight="1" x14ac:dyDescent="0.25">
      <c r="A33" s="98" t="str">
        <f t="shared" ca="1" si="3"/>
        <v/>
      </c>
      <c r="B33" s="33" t="str">
        <f ca="1">IF(COUNTIF($W$2:W1018,A33)=1,VLOOKUP(A33,O:P,2), IF(COUNTIF($W$2:W1018,A33)=0,$B$9,""))</f>
        <v/>
      </c>
      <c r="C33" s="25" t="str">
        <f t="shared" ca="1" si="4"/>
        <v/>
      </c>
      <c r="D33" s="26"/>
      <c r="E33" s="33" t="str">
        <f ca="1">IF(COUNTIF($W$2:W1018,A33)=1,VLOOKUP(A33,Q:R,2), IF(COUNTIF($W$2:W1018,A33)=0,$C$9,""))</f>
        <v/>
      </c>
      <c r="F33" s="25" t="str">
        <f t="shared" ca="1" si="5"/>
        <v/>
      </c>
      <c r="G33" s="26" t="str">
        <f t="shared" ca="1" si="6"/>
        <v/>
      </c>
      <c r="H33" s="33" t="str">
        <f ca="1">IF(COUNTIF($W$2:W1018,A33)=1,VLOOKUP(A33,S:T,2), IF(COUNTIF($W$2:W1018,A33)=0,$D$9,""))</f>
        <v/>
      </c>
      <c r="I33" s="34" t="str">
        <f ca="1">IF(COUNTIF($X$2:X1018,INT(A33))=1,VLOOKUP(INT(A33),X:Y,2), IF(ISERROR(H33-2),"",I32*(1-$D$8*(H33-H32)*0.0001)))</f>
        <v/>
      </c>
      <c r="J33" s="34" t="str">
        <f t="shared" ca="1" si="7"/>
        <v/>
      </c>
      <c r="K33" s="26" t="str">
        <f t="shared" ca="1" si="8"/>
        <v/>
      </c>
      <c r="L33" s="26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55" t="str">
        <f ca="1">IF(ISERROR(B33-2),"",C33+D33-F33-G33-K33+SUM($L$14:L33))</f>
        <v/>
      </c>
      <c r="O33" s="95">
        <v>46146.625</v>
      </c>
      <c r="P33" s="3">
        <v>310.38</v>
      </c>
      <c r="Q33" s="95">
        <v>46113.625</v>
      </c>
      <c r="R33" s="3">
        <v>105.795</v>
      </c>
      <c r="S33" s="95">
        <v>46090.625</v>
      </c>
      <c r="T33" s="3">
        <v>293.44200000000001</v>
      </c>
      <c r="U33" s="95" t="str">
        <f t="shared" si="0"/>
        <v/>
      </c>
      <c r="V33" s="95" t="str">
        <f t="shared" si="1"/>
        <v/>
      </c>
      <c r="X33" s="95">
        <v>46085</v>
      </c>
      <c r="Y33" s="41">
        <v>262.13139999999999</v>
      </c>
      <c r="Z33" s="95">
        <v>45824</v>
      </c>
      <c r="AA33" s="3">
        <v>238.1482</v>
      </c>
      <c r="AB33" s="37">
        <v>45824</v>
      </c>
      <c r="AC33" s="3">
        <v>290.95100000000002</v>
      </c>
      <c r="AD33" s="37">
        <f t="shared" si="2"/>
        <v>45824</v>
      </c>
    </row>
    <row r="34" spans="1:30" ht="14.45" customHeight="1" x14ac:dyDescent="0.25">
      <c r="A34" s="98" t="str">
        <f t="shared" ca="1" si="3"/>
        <v/>
      </c>
      <c r="B34" s="33" t="str">
        <f ca="1">IF(COUNTIF($W$2:W1019,A34)=1,VLOOKUP(A34,O:P,2), IF(COUNTIF($W$2:W1019,A34)=0,$B$9,""))</f>
        <v/>
      </c>
      <c r="C34" s="25" t="str">
        <f t="shared" ca="1" si="4"/>
        <v/>
      </c>
      <c r="D34" s="26"/>
      <c r="E34" s="33" t="str">
        <f ca="1">IF(COUNTIF($W$2:W1019,A34)=1,VLOOKUP(A34,Q:R,2), IF(COUNTIF($W$2:W1019,A34)=0,$C$9,""))</f>
        <v/>
      </c>
      <c r="F34" s="25" t="str">
        <f t="shared" ca="1" si="5"/>
        <v/>
      </c>
      <c r="G34" s="26" t="str">
        <f t="shared" ca="1" si="6"/>
        <v/>
      </c>
      <c r="H34" s="33" t="str">
        <f ca="1">IF(COUNTIF($W$2:W1019,A34)=1,VLOOKUP(A34,S:T,2), IF(COUNTIF($W$2:W1019,A34)=0,$D$9,""))</f>
        <v/>
      </c>
      <c r="I34" s="34" t="str">
        <f ca="1">IF(COUNTIF($X$2:X1019,INT(A34))=1,VLOOKUP(INT(A34),X:Y,2), IF(ISERROR(H34-2),"",I33*(1-$D$8*(H34-H33)*0.0001)))</f>
        <v/>
      </c>
      <c r="J34" s="34" t="str">
        <f t="shared" ca="1" si="7"/>
        <v/>
      </c>
      <c r="K34" s="26" t="str">
        <f t="shared" ca="1" si="8"/>
        <v/>
      </c>
      <c r="L34" s="26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55" t="str">
        <f ca="1">IF(ISERROR(B34-2),"",C34+D34-F34-G34-K34+SUM($L$14:L34))</f>
        <v/>
      </c>
      <c r="O34" s="95">
        <v>46147.625</v>
      </c>
      <c r="P34" s="3">
        <v>310.38</v>
      </c>
      <c r="Q34" s="95">
        <v>46114.625</v>
      </c>
      <c r="R34" s="3">
        <v>105.765</v>
      </c>
      <c r="S34" s="95">
        <v>46091.625</v>
      </c>
      <c r="T34" s="3">
        <v>273.53199999999998</v>
      </c>
      <c r="U34" s="95">
        <f t="shared" si="0"/>
        <v>46147.625</v>
      </c>
      <c r="V34" s="95" t="str">
        <f t="shared" si="1"/>
        <v/>
      </c>
      <c r="X34" s="95">
        <v>46086</v>
      </c>
      <c r="Y34" s="41">
        <v>261.02620000000002</v>
      </c>
      <c r="Z34" s="95">
        <v>45825</v>
      </c>
      <c r="AA34" s="3">
        <v>237.51990000000001</v>
      </c>
      <c r="AB34" s="37">
        <v>45825</v>
      </c>
      <c r="AC34" s="3">
        <v>297.02300000000002</v>
      </c>
      <c r="AD34" s="37">
        <f t="shared" si="2"/>
        <v>45825</v>
      </c>
    </row>
    <row r="35" spans="1:30" ht="14.45" customHeight="1" x14ac:dyDescent="0.25">
      <c r="A35" s="98" t="str">
        <f t="shared" ca="1" si="3"/>
        <v/>
      </c>
      <c r="B35" s="33" t="str">
        <f ca="1">IF(COUNTIF($W$2:W1020,A35)=1,VLOOKUP(A35,O:P,2), IF(COUNTIF($W$2:W1020,A35)=0,$B$9,""))</f>
        <v/>
      </c>
      <c r="C35" s="25" t="str">
        <f t="shared" ca="1" si="4"/>
        <v/>
      </c>
      <c r="D35" s="26"/>
      <c r="E35" s="33" t="str">
        <f ca="1">IF(COUNTIF($W$2:W1020,A35)=1,VLOOKUP(A35,Q:R,2), IF(COUNTIF($W$2:W1020,A35)=0,$C$9,""))</f>
        <v/>
      </c>
      <c r="F35" s="25" t="str">
        <f t="shared" ca="1" si="5"/>
        <v/>
      </c>
      <c r="G35" s="26" t="str">
        <f t="shared" ca="1" si="6"/>
        <v/>
      </c>
      <c r="H35" s="33" t="str">
        <f ca="1">IF(COUNTIF($W$2:W1020,A35)=1,VLOOKUP(A35,S:T,2), IF(COUNTIF($W$2:W1020,A35)=0,$D$9,""))</f>
        <v/>
      </c>
      <c r="I35" s="34" t="str">
        <f ca="1">IF(COUNTIF($X$2:X1020,INT(A35))=1,VLOOKUP(INT(A35),X:Y,2), IF(ISERROR(H35-2),"",I34*(1-$D$8*(H35-H34)*0.0001)))</f>
        <v/>
      </c>
      <c r="J35" s="34" t="str">
        <f t="shared" ca="1" si="7"/>
        <v/>
      </c>
      <c r="K35" s="26" t="str">
        <f t="shared" ca="1" si="8"/>
        <v/>
      </c>
      <c r="L35" s="26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55" t="str">
        <f ca="1">IF(ISERROR(B35-2),"",C35+D35-F35-G35-K35+SUM($L$14:L35))</f>
        <v/>
      </c>
      <c r="O35" s="95">
        <v>46148.625</v>
      </c>
      <c r="P35" s="3">
        <v>311.94</v>
      </c>
      <c r="Q35" s="95">
        <v>46119.625</v>
      </c>
      <c r="R35" s="3">
        <v>105.54</v>
      </c>
      <c r="S35" s="95">
        <v>46092.625</v>
      </c>
      <c r="T35" s="3">
        <v>289.27199999999999</v>
      </c>
      <c r="U35" s="95">
        <f t="shared" si="0"/>
        <v>46148.625</v>
      </c>
      <c r="V35" s="95" t="str">
        <f t="shared" si="1"/>
        <v/>
      </c>
      <c r="X35" s="95">
        <v>46087</v>
      </c>
      <c r="Y35" s="41">
        <v>259.30169999999998</v>
      </c>
      <c r="Z35" s="95">
        <v>45826</v>
      </c>
      <c r="AA35" s="3">
        <v>237.07689999999999</v>
      </c>
      <c r="AB35" s="37">
        <v>45826</v>
      </c>
      <c r="AC35" s="3">
        <v>300.35000000000002</v>
      </c>
      <c r="AD35" s="37">
        <f t="shared" si="2"/>
        <v>45826</v>
      </c>
    </row>
    <row r="36" spans="1:30" ht="14.45" customHeight="1" x14ac:dyDescent="0.25">
      <c r="A36" s="98" t="str">
        <f t="shared" ca="1" si="3"/>
        <v/>
      </c>
      <c r="B36" s="33" t="str">
        <f ca="1">IF(COUNTIF($W$2:W1021,A36)=1,VLOOKUP(A36,O:P,2), IF(COUNTIF($W$2:W1021,A36)=0,$B$9,""))</f>
        <v/>
      </c>
      <c r="C36" s="25" t="str">
        <f t="shared" ca="1" si="4"/>
        <v/>
      </c>
      <c r="D36" s="26"/>
      <c r="E36" s="33" t="str">
        <f ca="1">IF(COUNTIF($W$2:W1021,A36)=1,VLOOKUP(A36,Q:R,2), IF(COUNTIF($W$2:W1021,A36)=0,$C$9,""))</f>
        <v/>
      </c>
      <c r="F36" s="25" t="str">
        <f t="shared" ca="1" si="5"/>
        <v/>
      </c>
      <c r="G36" s="26" t="str">
        <f t="shared" ca="1" si="6"/>
        <v/>
      </c>
      <c r="H36" s="33" t="str">
        <f ca="1">IF(COUNTIF($W$2:W1021,A36)=1,VLOOKUP(A36,S:T,2), IF(COUNTIF($W$2:W1021,A36)=0,$D$9,""))</f>
        <v/>
      </c>
      <c r="I36" s="34" t="str">
        <f ca="1">IF(COUNTIF($X$2:X1021,INT(A36))=1,VLOOKUP(INT(A36),X:Y,2), IF(ISERROR(H36-2),"",I35*(1-$D$8*(H36-H35)*0.0001)))</f>
        <v/>
      </c>
      <c r="J36" s="34" t="str">
        <f t="shared" ca="1" si="7"/>
        <v/>
      </c>
      <c r="K36" s="26" t="str">
        <f t="shared" ca="1" si="8"/>
        <v/>
      </c>
      <c r="L36" s="26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55" t="str">
        <f ca="1">IF(ISERROR(B36-2),"",C36+D36-F36-G36-K36+SUM($L$14:L36))</f>
        <v/>
      </c>
      <c r="O36" s="95">
        <v>46149.625</v>
      </c>
      <c r="P36" s="3">
        <v>312.06</v>
      </c>
      <c r="Q36" s="95">
        <v>46120.625</v>
      </c>
      <c r="R36" s="3">
        <v>106.03</v>
      </c>
      <c r="S36" s="95">
        <v>46093.625</v>
      </c>
      <c r="T36" s="3">
        <v>296.22500000000002</v>
      </c>
      <c r="U36" s="95">
        <f t="shared" si="0"/>
        <v>46149.625</v>
      </c>
      <c r="V36" s="95" t="str">
        <f t="shared" si="1"/>
        <v/>
      </c>
      <c r="X36" s="95">
        <v>46090</v>
      </c>
      <c r="Y36" s="41">
        <v>259.07319999999999</v>
      </c>
      <c r="Z36" s="95">
        <v>45827</v>
      </c>
      <c r="AA36" s="3">
        <v>235.94069999999999</v>
      </c>
      <c r="AB36" s="37">
        <v>45827</v>
      </c>
      <c r="AC36" s="3">
        <v>313.43900000000002</v>
      </c>
      <c r="AD36" s="37">
        <f t="shared" si="2"/>
        <v>45827</v>
      </c>
    </row>
    <row r="37" spans="1:30" x14ac:dyDescent="0.25">
      <c r="A37" s="98" t="str">
        <f t="shared" ca="1" si="3"/>
        <v/>
      </c>
      <c r="B37" s="33" t="str">
        <f ca="1">IF(COUNTIF($W$2:W1022,A37)=1,VLOOKUP(A37,O:P,2), IF(COUNTIF($W$2:W1022,A37)=0,$B$9,""))</f>
        <v/>
      </c>
      <c r="C37" s="25" t="str">
        <f t="shared" ca="1" si="4"/>
        <v/>
      </c>
      <c r="D37" s="26"/>
      <c r="E37" s="33" t="str">
        <f ca="1">IF(COUNTIF($W$2:W1022,A37)=1,VLOOKUP(A37,Q:R,2), IF(COUNTIF($W$2:W1022,A37)=0,$C$9,""))</f>
        <v/>
      </c>
      <c r="F37" s="25" t="str">
        <f t="shared" ca="1" si="5"/>
        <v/>
      </c>
      <c r="G37" s="26" t="str">
        <f t="shared" ca="1" si="6"/>
        <v/>
      </c>
      <c r="H37" s="33" t="str">
        <f ca="1">IF(COUNTIF($W$2:W1022,A37)=1,VLOOKUP(A37,S:T,2), IF(COUNTIF($W$2:W1022,A37)=0,$D$9,""))</f>
        <v/>
      </c>
      <c r="I37" s="34" t="str">
        <f ca="1">IF(COUNTIF($X$2:X1022,INT(A37))=1,VLOOKUP(INT(A37),X:Y,2), IF(ISERROR(H37-2),"",I36*(1-$D$8*(H37-H36)*0.0001)))</f>
        <v/>
      </c>
      <c r="J37" s="34" t="str">
        <f t="shared" ca="1" si="7"/>
        <v/>
      </c>
      <c r="K37" s="26" t="str">
        <f t="shared" ca="1" si="8"/>
        <v/>
      </c>
      <c r="L37" s="26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55" t="str">
        <f ca="1">IF(ISERROR(B37-2),"",C37+D37-F37-G37-K37+SUM($L$14:L37))</f>
        <v/>
      </c>
      <c r="O37" s="95">
        <v>46150.625</v>
      </c>
      <c r="P37" s="3">
        <v>312.38</v>
      </c>
      <c r="Q37" s="95">
        <v>46121.625</v>
      </c>
      <c r="R37" s="3">
        <v>105.87</v>
      </c>
      <c r="S37" s="95">
        <v>46094.625</v>
      </c>
      <c r="T37" s="3">
        <v>306.91800000000001</v>
      </c>
      <c r="U37" s="95">
        <f t="shared" si="0"/>
        <v>46150.625</v>
      </c>
      <c r="V37" s="95" t="str">
        <f t="shared" si="1"/>
        <v/>
      </c>
      <c r="X37" s="95">
        <v>46091</v>
      </c>
      <c r="Y37" s="41">
        <v>261.08800000000002</v>
      </c>
      <c r="Z37" s="95">
        <v>45828</v>
      </c>
      <c r="AA37" s="3">
        <v>236.7012</v>
      </c>
      <c r="AB37" s="37">
        <v>45828</v>
      </c>
      <c r="AC37" s="3">
        <v>304.02</v>
      </c>
      <c r="AD37" s="37">
        <f t="shared" si="2"/>
        <v>45828</v>
      </c>
    </row>
    <row r="38" spans="1:30" x14ac:dyDescent="0.25">
      <c r="A38" s="98" t="str">
        <f t="shared" ca="1" si="3"/>
        <v/>
      </c>
      <c r="B38" s="33" t="str">
        <f ca="1">IF(COUNTIF($W$2:W1023,A38)=1,VLOOKUP(A38,O:P,2), IF(COUNTIF($W$2:W1023,A38)=0,$B$9,""))</f>
        <v/>
      </c>
      <c r="C38" s="25" t="str">
        <f t="shared" ca="1" si="4"/>
        <v/>
      </c>
      <c r="D38" s="26"/>
      <c r="E38" s="33" t="str">
        <f ca="1">IF(COUNTIF($W$2:W1023,A38)=1,VLOOKUP(A38,Q:R,2), IF(COUNTIF($W$2:W1023,A38)=0,$C$9,""))</f>
        <v/>
      </c>
      <c r="F38" s="25" t="str">
        <f t="shared" ca="1" si="5"/>
        <v/>
      </c>
      <c r="G38" s="26" t="str">
        <f t="shared" ca="1" si="6"/>
        <v/>
      </c>
      <c r="H38" s="33" t="str">
        <f ca="1">IF(COUNTIF($W$2:W1023,A38)=1,VLOOKUP(A38,S:T,2), IF(COUNTIF($W$2:W1023,A38)=0,$D$9,""))</f>
        <v/>
      </c>
      <c r="I38" s="34" t="str">
        <f ca="1">IF(COUNTIF($X$2:X1023,INT(A38))=1,VLOOKUP(INT(A38),X:Y,2), IF(ISERROR(H38-2),"",I37*(1-$D$8*(H38-H37)*0.0001)))</f>
        <v/>
      </c>
      <c r="J38" s="34" t="str">
        <f t="shared" ca="1" si="7"/>
        <v/>
      </c>
      <c r="K38" s="26" t="str">
        <f t="shared" ca="1" si="8"/>
        <v/>
      </c>
      <c r="L38" s="26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55" t="str">
        <f ca="1">IF(ISERROR(B38-2),"",C38+D38-F38-G38-K38+SUM($L$14:L38))</f>
        <v/>
      </c>
      <c r="O38" s="95">
        <v>46154.625</v>
      </c>
      <c r="P38" s="3">
        <v>311.7</v>
      </c>
      <c r="Q38" s="95">
        <v>46122.625</v>
      </c>
      <c r="R38" s="3">
        <v>105.845</v>
      </c>
      <c r="S38" s="95">
        <v>46097.625</v>
      </c>
      <c r="T38" s="3">
        <v>300.69400000000002</v>
      </c>
      <c r="U38" s="95">
        <f t="shared" si="0"/>
        <v>46154.625</v>
      </c>
      <c r="V38" s="95" t="str">
        <f t="shared" si="1"/>
        <v/>
      </c>
      <c r="X38" s="95">
        <v>46092</v>
      </c>
      <c r="Y38" s="41">
        <v>259.59120000000001</v>
      </c>
      <c r="Z38" s="95">
        <v>45831</v>
      </c>
      <c r="AA38" s="3">
        <v>236.5609</v>
      </c>
      <c r="AB38" s="37">
        <v>45831</v>
      </c>
      <c r="AC38" s="3">
        <v>307.142</v>
      </c>
      <c r="AD38" s="37">
        <f t="shared" si="2"/>
        <v>45831</v>
      </c>
    </row>
    <row r="39" spans="1:30" x14ac:dyDescent="0.25">
      <c r="A39" s="98" t="str">
        <f t="shared" ca="1" si="3"/>
        <v/>
      </c>
      <c r="B39" s="33" t="str">
        <f ca="1">IF(COUNTIF($W$2:W1024,A39)=1,VLOOKUP(A39,O:P,2), IF(COUNTIF($W$2:W1024,A39)=0,$B$9,""))</f>
        <v/>
      </c>
      <c r="C39" s="25" t="str">
        <f t="shared" ca="1" si="4"/>
        <v/>
      </c>
      <c r="D39" s="26"/>
      <c r="E39" s="33" t="str">
        <f ca="1">IF(COUNTIF($W$2:W1024,A39)=1,VLOOKUP(A39,Q:R,2), IF(COUNTIF($W$2:W1024,A39)=0,$C$9,""))</f>
        <v/>
      </c>
      <c r="F39" s="25" t="str">
        <f t="shared" ca="1" si="5"/>
        <v/>
      </c>
      <c r="G39" s="26" t="str">
        <f t="shared" ca="1" si="6"/>
        <v/>
      </c>
      <c r="H39" s="33" t="str">
        <f ca="1">IF(COUNTIF($W$2:W1024,A39)=1,VLOOKUP(A39,S:T,2), IF(COUNTIF($W$2:W1024,A39)=0,$D$9,""))</f>
        <v/>
      </c>
      <c r="I39" s="34" t="str">
        <f ca="1">IF(COUNTIF($X$2:X1024,INT(A39))=1,VLOOKUP(INT(A39),X:Y,2), IF(ISERROR(H39-2),"",I38*(1-$D$8*(H39-H38)*0.0001)))</f>
        <v/>
      </c>
      <c r="J39" s="34" t="str">
        <f t="shared" ca="1" si="7"/>
        <v/>
      </c>
      <c r="K39" s="26" t="str">
        <f t="shared" ca="1" si="8"/>
        <v/>
      </c>
      <c r="L39" s="26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55" t="str">
        <f ca="1">IF(ISERROR(B39-2),"",C39+D39-F39-G39-K39+SUM($L$14:L39))</f>
        <v/>
      </c>
      <c r="O39" s="95">
        <v>46155.625</v>
      </c>
      <c r="P39" s="3">
        <v>311.88</v>
      </c>
      <c r="Q39" s="95">
        <v>46125.625</v>
      </c>
      <c r="R39" s="3">
        <v>105.735</v>
      </c>
      <c r="S39" s="95">
        <v>46098.625</v>
      </c>
      <c r="T39" s="3">
        <v>294.98399999999998</v>
      </c>
      <c r="U39" s="95">
        <f t="shared" si="0"/>
        <v>46155.625</v>
      </c>
      <c r="V39" s="95" t="str">
        <f t="shared" si="1"/>
        <v/>
      </c>
      <c r="X39" s="95">
        <v>46093</v>
      </c>
      <c r="Y39" s="41">
        <v>258.51130000000001</v>
      </c>
      <c r="Z39" s="95">
        <v>45832</v>
      </c>
      <c r="AA39" s="3">
        <v>238.1567</v>
      </c>
      <c r="AB39" s="37">
        <v>45832</v>
      </c>
      <c r="AC39" s="3">
        <v>291.75099999999998</v>
      </c>
      <c r="AD39" s="37">
        <f t="shared" si="2"/>
        <v>45832</v>
      </c>
    </row>
    <row r="40" spans="1:30" x14ac:dyDescent="0.25">
      <c r="A40" s="98" t="str">
        <f t="shared" ca="1" si="3"/>
        <v/>
      </c>
      <c r="B40" s="33" t="str">
        <f ca="1">IF(COUNTIF($W$2:W1025,A40)=1,VLOOKUP(A40,O:P,2), IF(COUNTIF($W$2:W1025,A40)=0,$B$9,""))</f>
        <v/>
      </c>
      <c r="C40" s="25" t="str">
        <f t="shared" ca="1" si="4"/>
        <v/>
      </c>
      <c r="D40" s="26"/>
      <c r="E40" s="33" t="str">
        <f ca="1">IF(COUNTIF($W$2:W1025,A40)=1,VLOOKUP(A40,Q:R,2), IF(COUNTIF($W$2:W1025,A40)=0,$C$9,""))</f>
        <v/>
      </c>
      <c r="F40" s="25" t="str">
        <f t="shared" ca="1" si="5"/>
        <v/>
      </c>
      <c r="G40" s="26" t="str">
        <f t="shared" ca="1" si="6"/>
        <v/>
      </c>
      <c r="H40" s="33" t="str">
        <f ca="1">IF(COUNTIF($W$2:W1025,A40)=1,VLOOKUP(A40,S:T,2), IF(COUNTIF($W$2:W1025,A40)=0,$D$9,""))</f>
        <v/>
      </c>
      <c r="I40" s="34" t="str">
        <f ca="1">IF(COUNTIF($X$2:X1025,INT(A40))=1,VLOOKUP(INT(A40),X:Y,2), IF(ISERROR(H40-2),"",I39*(1-$D$8*(H40-H39)*0.0001)))</f>
        <v/>
      </c>
      <c r="J40" s="34" t="str">
        <f t="shared" ca="1" si="7"/>
        <v/>
      </c>
      <c r="K40" s="26" t="str">
        <f t="shared" ca="1" si="8"/>
        <v/>
      </c>
      <c r="L40" s="26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55" t="str">
        <f ca="1">IF(ISERROR(B40-2),"",C40+D40-F40-G40-K40+SUM($L$14:L40))</f>
        <v/>
      </c>
      <c r="O40" s="95">
        <v>46157.625</v>
      </c>
      <c r="P40" s="3">
        <v>311.48</v>
      </c>
      <c r="Q40" s="95">
        <v>46126.625</v>
      </c>
      <c r="R40" s="3">
        <v>105.905</v>
      </c>
      <c r="S40" s="95">
        <v>46099.625</v>
      </c>
      <c r="T40" s="3">
        <v>298.827</v>
      </c>
      <c r="U40" s="95">
        <f t="shared" si="0"/>
        <v>46157.625</v>
      </c>
      <c r="V40" s="95" t="str">
        <f t="shared" si="1"/>
        <v/>
      </c>
      <c r="X40" s="95">
        <v>46094</v>
      </c>
      <c r="Y40" s="41">
        <v>257.45740000000001</v>
      </c>
      <c r="Z40" s="95">
        <v>45833</v>
      </c>
      <c r="AA40" s="3">
        <v>238.0162</v>
      </c>
      <c r="AB40" s="37">
        <v>45833</v>
      </c>
      <c r="AC40" s="3">
        <v>292.76</v>
      </c>
      <c r="AD40" s="37">
        <f t="shared" si="2"/>
        <v>45833</v>
      </c>
    </row>
    <row r="41" spans="1:30" x14ac:dyDescent="0.25">
      <c r="A41" s="98" t="str">
        <f t="shared" ca="1" si="3"/>
        <v/>
      </c>
      <c r="B41" s="33" t="str">
        <f ca="1">IF(COUNTIF($W$2:W1026,A41)=1,VLOOKUP(A41,O:P,2), IF(COUNTIF($W$2:W1026,A41)=0,$B$9,""))</f>
        <v/>
      </c>
      <c r="C41" s="25" t="str">
        <f t="shared" ca="1" si="4"/>
        <v/>
      </c>
      <c r="D41" s="26"/>
      <c r="E41" s="33" t="str">
        <f ca="1">IF(COUNTIF($W$2:W1026,A41)=1,VLOOKUP(A41,Q:R,2), IF(COUNTIF($W$2:W1026,A41)=0,$C$9,""))</f>
        <v/>
      </c>
      <c r="F41" s="25" t="str">
        <f t="shared" ca="1" si="5"/>
        <v/>
      </c>
      <c r="G41" s="26" t="str">
        <f t="shared" ca="1" si="6"/>
        <v/>
      </c>
      <c r="H41" s="33" t="str">
        <f ca="1">IF(COUNTIF($W$2:W1026,A41)=1,VLOOKUP(A41,S:T,2), IF(COUNTIF($W$2:W1026,A41)=0,$D$9,""))</f>
        <v/>
      </c>
      <c r="I41" s="34" t="str">
        <f ca="1">IF(COUNTIF($X$2:X1026,INT(A41))=1,VLOOKUP(INT(A41),X:Y,2), IF(ISERROR(H41-2),"",I40*(1-$D$8*(H41-H40)*0.0001)))</f>
        <v/>
      </c>
      <c r="J41" s="34" t="str">
        <f t="shared" ca="1" si="7"/>
        <v/>
      </c>
      <c r="K41" s="26" t="str">
        <f t="shared" ca="1" si="8"/>
        <v/>
      </c>
      <c r="L41" s="26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55" t="str">
        <f ca="1">IF(ISERROR(B41-2),"",C41+D41-F41-G41-K41+SUM($L$14:L41))</f>
        <v/>
      </c>
      <c r="O41" s="95">
        <v>46161.625</v>
      </c>
      <c r="P41" s="3">
        <v>311.22000000000003</v>
      </c>
      <c r="Q41" s="95">
        <v>46127.625</v>
      </c>
      <c r="R41" s="3">
        <v>105.94499999999999</v>
      </c>
      <c r="S41" s="95">
        <v>46100.625</v>
      </c>
      <c r="T41" s="3">
        <v>309.03899999999999</v>
      </c>
      <c r="U41" s="95">
        <f t="shared" si="0"/>
        <v>46161.625</v>
      </c>
      <c r="V41" s="95" t="str">
        <f t="shared" si="1"/>
        <v/>
      </c>
      <c r="X41" s="95">
        <v>46097</v>
      </c>
      <c r="Y41" s="41">
        <v>257.82310000000001</v>
      </c>
      <c r="Z41" s="95">
        <v>45834</v>
      </c>
      <c r="AA41" s="3">
        <v>238.31659999999999</v>
      </c>
      <c r="AB41" s="37">
        <v>45834</v>
      </c>
      <c r="AC41" s="3">
        <v>290.53100000000001</v>
      </c>
      <c r="AD41" s="37">
        <f t="shared" si="2"/>
        <v>45834</v>
      </c>
    </row>
    <row r="42" spans="1:30" x14ac:dyDescent="0.25">
      <c r="A42" s="98" t="str">
        <f t="shared" ca="1" si="3"/>
        <v/>
      </c>
      <c r="B42" s="33" t="str">
        <f ca="1">IF(COUNTIF($W$2:W1027,A42)=1,VLOOKUP(A42,O:P,2), IF(COUNTIF($W$2:W1027,A42)=0,$B$9,""))</f>
        <v/>
      </c>
      <c r="C42" s="25" t="str">
        <f t="shared" ca="1" si="4"/>
        <v/>
      </c>
      <c r="D42" s="26"/>
      <c r="E42" s="33" t="str">
        <f ca="1">IF(COUNTIF($W$2:W1027,A42)=1,VLOOKUP(A42,Q:R,2), IF(COUNTIF($W$2:W1027,A42)=0,$C$9,""))</f>
        <v/>
      </c>
      <c r="F42" s="25" t="str">
        <f t="shared" ca="1" si="5"/>
        <v/>
      </c>
      <c r="G42" s="26" t="str">
        <f t="shared" ca="1" si="6"/>
        <v/>
      </c>
      <c r="H42" s="33" t="str">
        <f ca="1">IF(COUNTIF($W$2:W1027,A42)=1,VLOOKUP(A42,S:T,2), IF(COUNTIF($W$2:W1027,A42)=0,$D$9,""))</f>
        <v/>
      </c>
      <c r="I42" s="34" t="str">
        <f ca="1">IF(COUNTIF($X$2:X1027,INT(A42))=1,VLOOKUP(INT(A42),X:Y,2), IF(ISERROR(H42-2),"",I41*(1-$D$8*(H42-H41)*0.0001)))</f>
        <v/>
      </c>
      <c r="J42" s="34" t="str">
        <f t="shared" ca="1" si="7"/>
        <v/>
      </c>
      <c r="K42" s="26" t="str">
        <f t="shared" ca="1" si="8"/>
        <v/>
      </c>
      <c r="L42" s="26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55" t="str">
        <f ca="1">IF(ISERROR(B42-2),"",C42+D42-F42-G42-K42+SUM($L$14:L42))</f>
        <v/>
      </c>
      <c r="O42" s="95">
        <v>46162.625</v>
      </c>
      <c r="P42" s="3">
        <v>311.52</v>
      </c>
      <c r="Q42" s="95">
        <v>46128.625</v>
      </c>
      <c r="R42" s="3">
        <v>105.96</v>
      </c>
      <c r="S42" s="95">
        <v>46101.625</v>
      </c>
      <c r="T42" s="3">
        <v>350.86599999999999</v>
      </c>
      <c r="U42" s="95">
        <f t="shared" si="0"/>
        <v>46162.625</v>
      </c>
      <c r="V42" s="95" t="str">
        <f t="shared" si="1"/>
        <v/>
      </c>
      <c r="X42" s="95">
        <v>46098</v>
      </c>
      <c r="Y42" s="41">
        <v>258.83109999999999</v>
      </c>
      <c r="Z42" s="95">
        <v>45835</v>
      </c>
      <c r="AA42" s="3">
        <v>239.05629999999999</v>
      </c>
      <c r="AB42" s="37">
        <v>45835</v>
      </c>
      <c r="AC42" s="3">
        <v>284.21499999999997</v>
      </c>
      <c r="AD42" s="37">
        <f t="shared" si="2"/>
        <v>45835</v>
      </c>
    </row>
    <row r="43" spans="1:30" x14ac:dyDescent="0.25">
      <c r="A43" s="98" t="str">
        <f t="shared" ca="1" si="3"/>
        <v/>
      </c>
      <c r="B43" s="33" t="str">
        <f ca="1">IF(COUNTIF($W$2:W1028,A43)=1,VLOOKUP(A43,O:P,2), IF(COUNTIF($W$2:W1028,A43)=0,$B$9,""))</f>
        <v/>
      </c>
      <c r="C43" s="25" t="str">
        <f t="shared" ca="1" si="4"/>
        <v/>
      </c>
      <c r="D43" s="26"/>
      <c r="E43" s="33" t="str">
        <f ca="1">IF(COUNTIF($W$2:W1028,A43)=1,VLOOKUP(A43,Q:R,2), IF(COUNTIF($W$2:W1028,A43)=0,$C$9,""))</f>
        <v/>
      </c>
      <c r="F43" s="25" t="str">
        <f t="shared" ca="1" si="5"/>
        <v/>
      </c>
      <c r="G43" s="26" t="str">
        <f t="shared" ca="1" si="6"/>
        <v/>
      </c>
      <c r="H43" s="33" t="str">
        <f ca="1">IF(COUNTIF($W$2:W1028,A43)=1,VLOOKUP(A43,S:T,2), IF(COUNTIF($W$2:W1028,A43)=0,$D$9,""))</f>
        <v/>
      </c>
      <c r="I43" s="34" t="str">
        <f ca="1">IF(COUNTIF($X$2:X1028,INT(A43))=1,VLOOKUP(INT(A43),X:Y,2), IF(ISERROR(H43-2),"",I42*(1-$D$8*(H43-H42)*0.0001)))</f>
        <v/>
      </c>
      <c r="J43" s="34" t="str">
        <f t="shared" ca="1" si="7"/>
        <v/>
      </c>
      <c r="K43" s="26" t="str">
        <f t="shared" ca="1" si="8"/>
        <v/>
      </c>
      <c r="L43" s="26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55" t="str">
        <f ca="1">IF(ISERROR(B43-2),"",C43+D43-F43-G43-K43+SUM($L$14:L43))</f>
        <v/>
      </c>
      <c r="O43" s="95">
        <v>46163.625</v>
      </c>
      <c r="P43" s="3">
        <v>311.18</v>
      </c>
      <c r="Q43" s="95">
        <v>46129.625</v>
      </c>
      <c r="R43" s="3">
        <v>106.19499999999999</v>
      </c>
      <c r="S43" s="95">
        <v>46104.625</v>
      </c>
      <c r="T43" s="3">
        <v>341.82299999999998</v>
      </c>
      <c r="U43" s="95">
        <f t="shared" si="0"/>
        <v>46163.625</v>
      </c>
      <c r="V43" s="95" t="str">
        <f t="shared" si="1"/>
        <v/>
      </c>
      <c r="X43" s="95">
        <v>46099</v>
      </c>
      <c r="Y43" s="41">
        <v>258.3931</v>
      </c>
      <c r="Z43" s="95">
        <v>45838</v>
      </c>
      <c r="AA43" s="3">
        <v>239.3235</v>
      </c>
      <c r="AB43" s="37">
        <v>45838</v>
      </c>
      <c r="AC43" s="3">
        <v>282.54000000000002</v>
      </c>
      <c r="AD43" s="37">
        <f t="shared" si="2"/>
        <v>45838</v>
      </c>
    </row>
    <row r="44" spans="1:30" x14ac:dyDescent="0.25">
      <c r="A44" s="98" t="str">
        <f t="shared" ca="1" si="3"/>
        <v/>
      </c>
      <c r="B44" s="33" t="str">
        <f ca="1">IF(COUNTIF($W$2:W1029,A44)=1,VLOOKUP(A44,O:P,2), IF(COUNTIF($W$2:W1029,A44)=0,$B$9,""))</f>
        <v/>
      </c>
      <c r="C44" s="25" t="str">
        <f t="shared" ca="1" si="4"/>
        <v/>
      </c>
      <c r="D44" s="26"/>
      <c r="E44" s="33" t="str">
        <f ca="1">IF(COUNTIF($W$2:W1029,A44)=1,VLOOKUP(A44,Q:R,2), IF(COUNTIF($W$2:W1029,A44)=0,$C$9,""))</f>
        <v/>
      </c>
      <c r="F44" s="25" t="str">
        <f t="shared" ca="1" si="5"/>
        <v/>
      </c>
      <c r="G44" s="26" t="str">
        <f t="shared" ca="1" si="6"/>
        <v/>
      </c>
      <c r="H44" s="33" t="str">
        <f ca="1">IF(COUNTIF($W$2:W1029,A44)=1,VLOOKUP(A44,S:T,2), IF(COUNTIF($W$2:W1029,A44)=0,$D$9,""))</f>
        <v/>
      </c>
      <c r="I44" s="34" t="str">
        <f ca="1">IF(COUNTIF($X$2:X1029,INT(A44))=1,VLOOKUP(INT(A44),X:Y,2), IF(ISERROR(H44-2),"",I43*(1-$D$8*(H44-H43)*0.0001)))</f>
        <v/>
      </c>
      <c r="J44" s="34" t="str">
        <f t="shared" ca="1" si="7"/>
        <v/>
      </c>
      <c r="K44" s="26" t="str">
        <f t="shared" ca="1" si="8"/>
        <v/>
      </c>
      <c r="L44" s="26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55" t="str">
        <f ca="1">IF(ISERROR(B44-2),"",C44+D44-F44-G44-K44+SUM($L$14:L44))</f>
        <v/>
      </c>
      <c r="O44" s="95">
        <v>46167.625</v>
      </c>
      <c r="P44" s="3">
        <v>313.02</v>
      </c>
      <c r="Q44" s="95">
        <v>46132.625</v>
      </c>
      <c r="R44" s="3">
        <v>106.09</v>
      </c>
      <c r="S44" s="95">
        <v>46105.625</v>
      </c>
      <c r="T44" s="3">
        <v>342.43400000000003</v>
      </c>
      <c r="U44" s="95" t="str">
        <f t="shared" si="0"/>
        <v/>
      </c>
      <c r="V44" s="95" t="str">
        <f t="shared" si="1"/>
        <v/>
      </c>
      <c r="X44" s="95">
        <v>46100</v>
      </c>
      <c r="Y44" s="41">
        <v>257.0634</v>
      </c>
      <c r="Z44" s="95">
        <v>45839</v>
      </c>
      <c r="AA44" s="3">
        <v>239.28819999999999</v>
      </c>
      <c r="AB44" s="37">
        <v>45839</v>
      </c>
      <c r="AC44" s="3">
        <v>282.95999999999998</v>
      </c>
      <c r="AD44" s="37">
        <f t="shared" si="2"/>
        <v>45839</v>
      </c>
    </row>
    <row r="45" spans="1:30" x14ac:dyDescent="0.25">
      <c r="A45" s="98" t="str">
        <f t="shared" ca="1" si="3"/>
        <v/>
      </c>
      <c r="B45" s="33" t="str">
        <f ca="1">IF(COUNTIF($W$2:W1030,A45)=1,VLOOKUP(A45,O:P,2), IF(COUNTIF($W$2:W1030,A45)=0,$B$9,""))</f>
        <v/>
      </c>
      <c r="C45" s="25" t="str">
        <f t="shared" ca="1" si="4"/>
        <v/>
      </c>
      <c r="D45" s="26"/>
      <c r="E45" s="33" t="str">
        <f ca="1">IF(COUNTIF($W$2:W1030,A45)=1,VLOOKUP(A45,Q:R,2), IF(COUNTIF($W$2:W1030,A45)=0,$C$9,""))</f>
        <v/>
      </c>
      <c r="F45" s="25" t="str">
        <f t="shared" ca="1" si="5"/>
        <v/>
      </c>
      <c r="G45" s="26" t="str">
        <f t="shared" ca="1" si="6"/>
        <v/>
      </c>
      <c r="H45" s="33" t="str">
        <f ca="1">IF(COUNTIF($W$2:W1030,A45)=1,VLOOKUP(A45,S:T,2), IF(COUNTIF($W$2:W1030,A45)=0,$D$9,""))</f>
        <v/>
      </c>
      <c r="I45" s="34" t="str">
        <f ca="1">IF(COUNTIF($X$2:X1030,INT(A45))=1,VLOOKUP(INT(A45),X:Y,2), IF(ISERROR(H45-2),"",I44*(1-$D$8*(H45-H44)*0.0001)))</f>
        <v/>
      </c>
      <c r="J45" s="34" t="str">
        <f t="shared" ca="1" si="7"/>
        <v/>
      </c>
      <c r="K45" s="26" t="str">
        <f t="shared" ca="1" si="8"/>
        <v/>
      </c>
      <c r="L45" s="26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55" t="str">
        <f ca="1">IF(ISERROR(B45-2),"",C45+D45-F45-G45-K45+SUM($L$14:L45))</f>
        <v/>
      </c>
      <c r="O45" s="95">
        <v>46168.625</v>
      </c>
      <c r="P45" s="3">
        <v>312.5</v>
      </c>
      <c r="Q45" s="95">
        <v>46133.625</v>
      </c>
      <c r="R45" s="3">
        <v>105.98</v>
      </c>
      <c r="S45" s="95">
        <v>46106.625</v>
      </c>
      <c r="T45" s="3">
        <v>334.50400000000002</v>
      </c>
      <c r="U45" s="95">
        <f t="shared" si="0"/>
        <v>46168.625</v>
      </c>
      <c r="V45" s="95" t="str">
        <f t="shared" si="1"/>
        <v/>
      </c>
      <c r="X45" s="95">
        <v>46101</v>
      </c>
      <c r="Y45" s="41">
        <v>255.87119999999999</v>
      </c>
      <c r="Z45" s="95">
        <v>45840</v>
      </c>
      <c r="AA45" s="3">
        <v>239.2792</v>
      </c>
      <c r="AB45" s="37">
        <v>45840</v>
      </c>
      <c r="AC45" s="3">
        <v>283.459</v>
      </c>
      <c r="AD45" s="37">
        <f t="shared" si="2"/>
        <v>45840</v>
      </c>
    </row>
    <row r="46" spans="1:30" x14ac:dyDescent="0.25">
      <c r="A46" s="98" t="str">
        <f t="shared" ca="1" si="3"/>
        <v/>
      </c>
      <c r="B46" s="33" t="str">
        <f ca="1">IF(COUNTIF($W$2:W1031,A46)=1,VLOOKUP(A46,O:P,2), IF(COUNTIF($W$2:W1031,A46)=0,$B$9,""))</f>
        <v/>
      </c>
      <c r="C46" s="25" t="str">
        <f t="shared" ca="1" si="4"/>
        <v/>
      </c>
      <c r="D46" s="26"/>
      <c r="E46" s="33" t="str">
        <f ca="1">IF(COUNTIF($W$2:W1031,A46)=1,VLOOKUP(A46,Q:R,2), IF(COUNTIF($W$2:W1031,A46)=0,$C$9,""))</f>
        <v/>
      </c>
      <c r="F46" s="25" t="str">
        <f t="shared" ca="1" si="5"/>
        <v/>
      </c>
      <c r="G46" s="26" t="str">
        <f t="shared" ca="1" si="6"/>
        <v/>
      </c>
      <c r="H46" s="33" t="str">
        <f ca="1">IF(COUNTIF($W$2:W1031,A46)=1,VLOOKUP(A46,S:T,2), IF(COUNTIF($W$2:W1031,A46)=0,$D$9,""))</f>
        <v/>
      </c>
      <c r="I46" s="34" t="str">
        <f ca="1">IF(COUNTIF($X$2:X1031,INT(A46))=1,VLOOKUP(INT(A46),X:Y,2), IF(ISERROR(H46-2),"",I45*(1-$D$8*(H46-H45)*0.0001)))</f>
        <v/>
      </c>
      <c r="J46" s="34" t="str">
        <f t="shared" ca="1" si="7"/>
        <v/>
      </c>
      <c r="K46" s="26" t="str">
        <f t="shared" ca="1" si="8"/>
        <v/>
      </c>
      <c r="L46" s="26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55" t="str">
        <f ca="1">IF(ISERROR(B46-2),"",C46+D46-F46-G46-K46+SUM($L$14:L46))</f>
        <v/>
      </c>
      <c r="O46" s="95">
        <v>46169.625</v>
      </c>
      <c r="P46" s="3">
        <v>312.83999999999997</v>
      </c>
      <c r="Q46" s="95">
        <v>46134.625</v>
      </c>
      <c r="R46" s="3">
        <v>105.935</v>
      </c>
      <c r="S46" s="95">
        <v>46107.625</v>
      </c>
      <c r="T46" s="3">
        <v>344.47199999999998</v>
      </c>
      <c r="U46" s="95">
        <f t="shared" si="0"/>
        <v>46169.625</v>
      </c>
      <c r="V46" s="95" t="str">
        <f t="shared" si="1"/>
        <v/>
      </c>
      <c r="X46" s="95">
        <v>46104</v>
      </c>
      <c r="Y46" s="41">
        <v>256.74209999999999</v>
      </c>
      <c r="Z46" s="95">
        <v>45841</v>
      </c>
      <c r="AA46" s="3">
        <v>239.88030000000001</v>
      </c>
      <c r="AB46" s="37">
        <v>45841</v>
      </c>
      <c r="AC46" s="3">
        <v>278.322</v>
      </c>
      <c r="AD46" s="37">
        <f t="shared" si="2"/>
        <v>45841</v>
      </c>
    </row>
    <row r="47" spans="1:30" x14ac:dyDescent="0.25">
      <c r="A47" s="98" t="str">
        <f t="shared" ca="1" si="3"/>
        <v/>
      </c>
      <c r="B47" s="33" t="str">
        <f ca="1">IF(COUNTIF($W$2:W1032,A47)=1,VLOOKUP(A47,O:P,2), IF(COUNTIF($W$2:W1032,A47)=0,$B$9,""))</f>
        <v/>
      </c>
      <c r="C47" s="25" t="str">
        <f t="shared" ca="1" si="4"/>
        <v/>
      </c>
      <c r="D47" s="26"/>
      <c r="E47" s="33" t="str">
        <f ca="1">IF(COUNTIF($W$2:W1032,A47)=1,VLOOKUP(A47,Q:R,2), IF(COUNTIF($W$2:W1032,A47)=0,$C$9,""))</f>
        <v/>
      </c>
      <c r="F47" s="25" t="str">
        <f t="shared" ca="1" si="5"/>
        <v/>
      </c>
      <c r="G47" s="26" t="str">
        <f t="shared" ca="1" si="6"/>
        <v/>
      </c>
      <c r="H47" s="33" t="str">
        <f ca="1">IF(COUNTIF($W$2:W1032,A47)=1,VLOOKUP(A47,S:T,2), IF(COUNTIF($W$2:W1032,A47)=0,$D$9,""))</f>
        <v/>
      </c>
      <c r="I47" s="34" t="str">
        <f ca="1">IF(COUNTIF($X$2:X1032,INT(A47))=1,VLOOKUP(INT(A47),X:Y,2), IF(ISERROR(H47-2),"",I46*(1-$D$8*(H47-H46)*0.0001)))</f>
        <v/>
      </c>
      <c r="J47" s="34" t="str">
        <f t="shared" ca="1" si="7"/>
        <v/>
      </c>
      <c r="K47" s="26" t="str">
        <f t="shared" ca="1" si="8"/>
        <v/>
      </c>
      <c r="L47" s="26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55" t="str">
        <f ca="1">IF(ISERROR(B47-2),"",C47+D47-F47-G47-K47+SUM($L$14:L47))</f>
        <v/>
      </c>
      <c r="O47" s="95">
        <v>46170.625</v>
      </c>
      <c r="P47" s="3">
        <v>312.7</v>
      </c>
      <c r="Q47" s="95">
        <v>46135.625</v>
      </c>
      <c r="R47" s="3">
        <v>105.91500000000001</v>
      </c>
      <c r="S47" s="95">
        <v>46108.625</v>
      </c>
      <c r="T47" s="3">
        <v>361.33</v>
      </c>
      <c r="U47" s="95">
        <f t="shared" si="0"/>
        <v>46170.625</v>
      </c>
      <c r="V47" s="95" t="str">
        <f t="shared" si="1"/>
        <v/>
      </c>
      <c r="X47" s="95">
        <v>46105</v>
      </c>
      <c r="Y47" s="41">
        <v>256.9957</v>
      </c>
      <c r="Z47" s="95">
        <v>45842</v>
      </c>
      <c r="AA47" s="3">
        <v>239.0291</v>
      </c>
      <c r="AB47" s="37">
        <v>45842</v>
      </c>
      <c r="AC47" s="3">
        <v>286.32499999999999</v>
      </c>
      <c r="AD47" s="37">
        <f t="shared" si="2"/>
        <v>45842</v>
      </c>
    </row>
    <row r="48" spans="1:30" x14ac:dyDescent="0.25">
      <c r="A48" s="98" t="str">
        <f t="shared" ca="1" si="3"/>
        <v/>
      </c>
      <c r="B48" s="33" t="str">
        <f ca="1">IF(COUNTIF($W$2:W1033,A48)=1,VLOOKUP(A48,O:P,2), IF(COUNTIF($W$2:W1033,A48)=0,$B$9,""))</f>
        <v/>
      </c>
      <c r="C48" s="25" t="str">
        <f t="shared" ca="1" si="4"/>
        <v/>
      </c>
      <c r="D48" s="26"/>
      <c r="E48" s="33" t="str">
        <f ca="1">IF(COUNTIF($W$2:W1033,A48)=1,VLOOKUP(A48,Q:R,2), IF(COUNTIF($W$2:W1033,A48)=0,$C$9,""))</f>
        <v/>
      </c>
      <c r="F48" s="25" t="str">
        <f t="shared" ca="1" si="5"/>
        <v/>
      </c>
      <c r="G48" s="26" t="str">
        <f t="shared" ca="1" si="6"/>
        <v/>
      </c>
      <c r="H48" s="33" t="str">
        <f ca="1">IF(COUNTIF($W$2:W1033,A48)=1,VLOOKUP(A48,S:T,2), IF(COUNTIF($W$2:W1033,A48)=0,$D$9,""))</f>
        <v/>
      </c>
      <c r="I48" s="34" t="str">
        <f ca="1">IF(COUNTIF($X$2:X1033,INT(A48))=1,VLOOKUP(INT(A48),X:Y,2), IF(ISERROR(H48-2),"",I47*(1-$D$8*(H48-H47)*0.0001)))</f>
        <v/>
      </c>
      <c r="J48" s="34" t="str">
        <f t="shared" ca="1" si="7"/>
        <v/>
      </c>
      <c r="K48" s="26" t="str">
        <f t="shared" ca="1" si="8"/>
        <v/>
      </c>
      <c r="L48" s="26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55" t="str">
        <f ca="1">IF(ISERROR(B48-2),"",C48+D48-F48-G48-K48+SUM($L$14:L48))</f>
        <v/>
      </c>
      <c r="O48" s="95">
        <v>46171.625</v>
      </c>
      <c r="P48" s="3">
        <v>313.77999999999997</v>
      </c>
      <c r="Q48" s="95">
        <v>46136.625</v>
      </c>
      <c r="R48" s="3">
        <v>105.92</v>
      </c>
      <c r="S48" s="95">
        <v>46111.625</v>
      </c>
      <c r="T48" s="3">
        <v>364.03399999999999</v>
      </c>
      <c r="U48" s="95">
        <f t="shared" si="0"/>
        <v>46171.625</v>
      </c>
      <c r="V48" s="95" t="str">
        <f t="shared" si="1"/>
        <v/>
      </c>
      <c r="X48" s="95">
        <v>46106</v>
      </c>
      <c r="Y48" s="41">
        <v>258.20859999999999</v>
      </c>
      <c r="Z48" s="95">
        <v>45845</v>
      </c>
      <c r="AA48" s="3">
        <v>239.6181</v>
      </c>
      <c r="AB48" s="37">
        <v>45845</v>
      </c>
      <c r="AC48" s="3">
        <v>282.00400000000002</v>
      </c>
      <c r="AD48" s="37">
        <f t="shared" si="2"/>
        <v>45845</v>
      </c>
    </row>
    <row r="49" spans="1:35" x14ac:dyDescent="0.25">
      <c r="A49" s="98" t="str">
        <f t="shared" ca="1" si="3"/>
        <v/>
      </c>
      <c r="B49" s="33" t="str">
        <f ca="1">IF(COUNTIF($W$2:W1034,A49)=1,VLOOKUP(A49,O:P,2), IF(COUNTIF($W$2:W1034,A49)=0,$B$9,""))</f>
        <v/>
      </c>
      <c r="C49" s="25" t="str">
        <f t="shared" ca="1" si="4"/>
        <v/>
      </c>
      <c r="D49" s="26"/>
      <c r="E49" s="33" t="str">
        <f ca="1">IF(COUNTIF($W$2:W1034,A49)=1,VLOOKUP(A49,Q:R,2), IF(COUNTIF($W$2:W1034,A49)=0,$C$9,""))</f>
        <v/>
      </c>
      <c r="F49" s="25" t="str">
        <f t="shared" ca="1" si="5"/>
        <v/>
      </c>
      <c r="G49" s="26" t="str">
        <f t="shared" ca="1" si="6"/>
        <v/>
      </c>
      <c r="H49" s="33" t="str">
        <f ca="1">IF(COUNTIF($W$2:W1034,A49)=1,VLOOKUP(A49,S:T,2), IF(COUNTIF($W$2:W1034,A49)=0,$D$9,""))</f>
        <v/>
      </c>
      <c r="I49" s="34" t="str">
        <f ca="1">IF(COUNTIF($X$2:X1034,INT(A49))=1,VLOOKUP(INT(A49),X:Y,2), IF(ISERROR(H49-2),"",I48*(1-$D$8*(H49-H48)*0.0001)))</f>
        <v/>
      </c>
      <c r="J49" s="34" t="str">
        <f t="shared" ca="1" si="7"/>
        <v/>
      </c>
      <c r="K49" s="26" t="str">
        <f t="shared" ca="1" si="8"/>
        <v/>
      </c>
      <c r="L49" s="26" t="str">
        <f ca="1">IF($A49="","",IF(COUNTIFS(Dividends!$G:$G,"&gt;"&amp;INT($A48),Dividends!$G:$G,"&lt;="&amp;INT($A49))=0,"",$H$2*SUMIFS(Dividends!$H:$H,Dividends!$G:$G,"&gt;"&amp;INT($A48),Dividends!$G:$G,"&lt;="&amp;INT($A49))))</f>
        <v/>
      </c>
      <c r="M49" s="55" t="str">
        <f ca="1">IF(ISERROR(B49-2),"",C49+D49-F49-G49-K49+SUM($L$14:L49))</f>
        <v/>
      </c>
      <c r="O49" s="95">
        <v>46174.625</v>
      </c>
      <c r="P49" s="3">
        <v>312.83999999999997</v>
      </c>
      <c r="Q49" s="95">
        <v>46139.625</v>
      </c>
      <c r="R49" s="3">
        <v>105.9</v>
      </c>
      <c r="S49" s="95">
        <v>46112.625</v>
      </c>
      <c r="T49" s="3">
        <v>355.63</v>
      </c>
      <c r="U49" s="95">
        <f t="shared" si="0"/>
        <v>46174.625</v>
      </c>
      <c r="V49" s="95" t="str">
        <f t="shared" si="1"/>
        <v/>
      </c>
      <c r="X49" s="95">
        <v>46107</v>
      </c>
      <c r="Y49" s="41">
        <v>255.99350000000001</v>
      </c>
      <c r="Z49" s="95">
        <v>45846</v>
      </c>
      <c r="AA49" s="3">
        <v>239.49889999999999</v>
      </c>
      <c r="AB49" s="37">
        <v>45846</v>
      </c>
      <c r="AC49" s="3">
        <v>282.16399999999999</v>
      </c>
      <c r="AD49" s="37">
        <f t="shared" si="2"/>
        <v>45846</v>
      </c>
    </row>
    <row r="50" spans="1:35" x14ac:dyDescent="0.25">
      <c r="A50" s="98" t="str">
        <f t="shared" ca="1" si="3"/>
        <v/>
      </c>
      <c r="B50" s="33" t="str">
        <f ca="1">IF(COUNTIF($W$2:W1035,A50)=1,VLOOKUP(A50,O:P,2), IF(COUNTIF($W$2:W1035,A50)=0,$B$9,""))</f>
        <v/>
      </c>
      <c r="C50" s="25" t="str">
        <f t="shared" ca="1" si="4"/>
        <v/>
      </c>
      <c r="D50" s="26"/>
      <c r="E50" s="33" t="str">
        <f ca="1">IF(COUNTIF($W$2:W1035,A50)=1,VLOOKUP(A50,Q:R,2), IF(COUNTIF($W$2:W1035,A50)=0,$C$9,""))</f>
        <v/>
      </c>
      <c r="F50" s="25" t="str">
        <f t="shared" ca="1" si="5"/>
        <v/>
      </c>
      <c r="G50" s="26" t="str">
        <f t="shared" ca="1" si="6"/>
        <v/>
      </c>
      <c r="H50" s="33" t="str">
        <f ca="1">IF(COUNTIF($W$2:W1035,A50)=1,VLOOKUP(A50,S:T,2), IF(COUNTIF($W$2:W1035,A50)=0,$D$9,""))</f>
        <v/>
      </c>
      <c r="I50" s="34" t="str">
        <f ca="1">IF(COUNTIF($X$2:X1035,INT(A50))=1,VLOOKUP(INT(A50),X:Y,2), IF(ISERROR(H50-2),"",I49*(1-$D$8*(H50-H49)*0.0001)))</f>
        <v/>
      </c>
      <c r="J50" s="34" t="str">
        <f t="shared" ca="1" si="7"/>
        <v/>
      </c>
      <c r="K50" s="26" t="str">
        <f t="shared" ca="1" si="8"/>
        <v/>
      </c>
      <c r="L50" s="26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55" t="str">
        <f ca="1">IF(ISERROR(B50-2),"",C50+D50-F50-G50-K50+SUM($L$14:L50))</f>
        <v/>
      </c>
      <c r="O50" s="95">
        <v>46176.625</v>
      </c>
      <c r="P50" s="3">
        <v>313.08</v>
      </c>
      <c r="Q50" s="95">
        <v>46140.625</v>
      </c>
      <c r="R50" s="3">
        <v>105.77500000000001</v>
      </c>
      <c r="S50" s="95">
        <v>46113.625</v>
      </c>
      <c r="T50" s="3">
        <v>329.10599999999999</v>
      </c>
      <c r="U50" s="95">
        <f t="shared" si="0"/>
        <v>46176.625</v>
      </c>
      <c r="V50" s="95">
        <f t="shared" si="1"/>
        <v>46176.625</v>
      </c>
      <c r="X50" s="95">
        <v>46108</v>
      </c>
      <c r="Y50" s="41">
        <v>254.57159999999999</v>
      </c>
      <c r="Z50" s="95">
        <v>45847</v>
      </c>
      <c r="AA50" s="3">
        <v>239.9195</v>
      </c>
      <c r="AB50" s="37">
        <v>45847</v>
      </c>
      <c r="AC50" s="3">
        <v>278.887</v>
      </c>
      <c r="AD50" s="37">
        <f t="shared" si="2"/>
        <v>45847</v>
      </c>
    </row>
    <row r="51" spans="1:35" x14ac:dyDescent="0.25">
      <c r="A51" s="98" t="str">
        <f t="shared" ca="1" si="3"/>
        <v/>
      </c>
      <c r="B51" s="33" t="str">
        <f ca="1">IF(COUNTIF($W$2:W1036,A51)=1,VLOOKUP(A51,O:P,2), IF(COUNTIF($W$2:W1036,A51)=0,$B$9,""))</f>
        <v/>
      </c>
      <c r="C51" s="25" t="str">
        <f t="shared" ca="1" si="4"/>
        <v/>
      </c>
      <c r="D51" s="26"/>
      <c r="E51" s="33" t="str">
        <f ca="1">IF(COUNTIF($W$2:W1036,A51)=1,VLOOKUP(A51,Q:R,2), IF(COUNTIF($W$2:W1036,A51)=0,$C$9,""))</f>
        <v/>
      </c>
      <c r="F51" s="25" t="str">
        <f t="shared" ca="1" si="5"/>
        <v/>
      </c>
      <c r="G51" s="26" t="str">
        <f t="shared" ca="1" si="6"/>
        <v/>
      </c>
      <c r="H51" s="33" t="str">
        <f ca="1">IF(COUNTIF($W$2:W1036,A51)=1,VLOOKUP(A51,S:T,2), IF(COUNTIF($W$2:W1036,A51)=0,$D$9,""))</f>
        <v/>
      </c>
      <c r="I51" s="34" t="str">
        <f ca="1">IF(COUNTIF($X$2:X1036,INT(A51))=1,VLOOKUP(INT(A51),X:Y,2), IF(ISERROR(H51-2),"",I50*(1-$D$8*(H51-H50)*0.0001)))</f>
        <v/>
      </c>
      <c r="J51" s="34" t="str">
        <f t="shared" ca="1" si="7"/>
        <v/>
      </c>
      <c r="K51" s="26" t="str">
        <f t="shared" ca="1" si="8"/>
        <v/>
      </c>
      <c r="L51" s="26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55" t="str">
        <f ca="1">IF(ISERROR(B51-2),"",C51+D51-F51-G51-K51+SUM($L$14:L51))</f>
        <v/>
      </c>
      <c r="O51" s="95">
        <v>46177.625</v>
      </c>
      <c r="P51" s="3">
        <v>313.04000000000002</v>
      </c>
      <c r="Q51" s="95">
        <v>46141.625</v>
      </c>
      <c r="R51" s="3">
        <v>105.63</v>
      </c>
      <c r="S51" s="95">
        <v>46114.625</v>
      </c>
      <c r="T51" s="3">
        <v>326.72000000000003</v>
      </c>
      <c r="U51" s="95">
        <f t="shared" si="0"/>
        <v>46177.625</v>
      </c>
      <c r="V51" s="95">
        <f t="shared" si="1"/>
        <v>46177.625</v>
      </c>
      <c r="X51" s="95">
        <v>46111</v>
      </c>
      <c r="Y51" s="41">
        <v>254.6893</v>
      </c>
      <c r="Z51" s="95">
        <v>45848</v>
      </c>
      <c r="AA51" s="3">
        <v>240.07650000000001</v>
      </c>
      <c r="AB51" s="37">
        <v>45848</v>
      </c>
      <c r="AC51" s="3">
        <v>277.661</v>
      </c>
      <c r="AD51" s="37">
        <f t="shared" si="2"/>
        <v>45848</v>
      </c>
    </row>
    <row r="52" spans="1:35" x14ac:dyDescent="0.25">
      <c r="A52" s="98" t="str">
        <f t="shared" ca="1" si="3"/>
        <v/>
      </c>
      <c r="B52" s="33" t="str">
        <f ca="1">IF(COUNTIF($W$2:W1037,A52)=1,VLOOKUP(A52,O:P,2), IF(COUNTIF($W$2:W1037,A52)=0,$B$9,""))</f>
        <v/>
      </c>
      <c r="C52" s="25" t="str">
        <f t="shared" ca="1" si="4"/>
        <v/>
      </c>
      <c r="D52" s="26"/>
      <c r="E52" s="33" t="str">
        <f ca="1">IF(COUNTIF($W$2:W1037,A52)=1,VLOOKUP(A52,Q:R,2), IF(COUNTIF($W$2:W1037,A52)=0,$C$9,""))</f>
        <v/>
      </c>
      <c r="F52" s="25" t="str">
        <f t="shared" ca="1" si="5"/>
        <v/>
      </c>
      <c r="G52" s="26" t="str">
        <f t="shared" ca="1" si="6"/>
        <v/>
      </c>
      <c r="H52" s="33" t="str">
        <f ca="1">IF(COUNTIF($W$2:W1037,A52)=1,VLOOKUP(A52,S:T,2), IF(COUNTIF($W$2:W1037,A52)=0,$D$9,""))</f>
        <v/>
      </c>
      <c r="I52" s="34" t="str">
        <f ca="1">IF(COUNTIF($X$2:X1037,INT(A52))=1,VLOOKUP(INT(A52),X:Y,2), IF(ISERROR(H52-2),"",I51*(1-$D$8*(H52-H51)*0.0001)))</f>
        <v/>
      </c>
      <c r="J52" s="34" t="str">
        <f t="shared" ca="1" si="7"/>
        <v/>
      </c>
      <c r="K52" s="26" t="str">
        <f t="shared" ca="1" si="8"/>
        <v/>
      </c>
      <c r="L52" s="26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55" t="str">
        <f ca="1">IF(ISERROR(B52-2),"",C52+D52-F52-G52-K52+SUM($L$14:L52))</f>
        <v/>
      </c>
      <c r="O52" s="95">
        <v>46182.625</v>
      </c>
      <c r="P52" s="3">
        <v>313.3</v>
      </c>
      <c r="Q52" s="95">
        <v>46142.625</v>
      </c>
      <c r="R52" s="3">
        <v>105.74</v>
      </c>
      <c r="S52" s="95">
        <v>46119.625</v>
      </c>
      <c r="T52" s="3">
        <v>333.96699999999998</v>
      </c>
      <c r="U52" s="95" t="str">
        <f t="shared" si="0"/>
        <v/>
      </c>
      <c r="V52" s="95" t="str">
        <f t="shared" si="1"/>
        <v/>
      </c>
      <c r="X52" s="95">
        <v>46112</v>
      </c>
      <c r="Y52" s="41">
        <v>255.8124</v>
      </c>
      <c r="Z52" s="95">
        <v>45849</v>
      </c>
      <c r="AA52" s="3">
        <v>239.64150000000001</v>
      </c>
      <c r="AB52" s="37">
        <v>45849</v>
      </c>
      <c r="AC52" s="3">
        <v>281.73500000000001</v>
      </c>
      <c r="AD52" s="37">
        <f t="shared" si="2"/>
        <v>45849</v>
      </c>
    </row>
    <row r="53" spans="1:35" x14ac:dyDescent="0.25">
      <c r="A53" s="98" t="str">
        <f t="shared" ca="1" si="3"/>
        <v/>
      </c>
      <c r="B53" s="33" t="str">
        <f ca="1">IF(COUNTIF($W$2:W1038,A53)=1,VLOOKUP(A53,O:P,2), IF(COUNTIF($W$2:W1038,A53)=0,$B$9,""))</f>
        <v/>
      </c>
      <c r="C53" s="25" t="str">
        <f t="shared" ca="1" si="4"/>
        <v/>
      </c>
      <c r="D53" s="26"/>
      <c r="E53" s="33" t="str">
        <f ca="1">IF(COUNTIF($W$2:W1038,A53)=1,VLOOKUP(A53,Q:R,2), IF(COUNTIF($W$2:W1038,A53)=0,$C$9,""))</f>
        <v/>
      </c>
      <c r="F53" s="25" t="str">
        <f t="shared" ca="1" si="5"/>
        <v/>
      </c>
      <c r="G53" s="26" t="str">
        <f t="shared" ca="1" si="6"/>
        <v/>
      </c>
      <c r="H53" s="33" t="str">
        <f ca="1">IF(COUNTIF($W$2:W1038,A53)=1,VLOOKUP(A53,S:T,2), IF(COUNTIF($W$2:W1038,A53)=0,$D$9,""))</f>
        <v/>
      </c>
      <c r="I53" s="34" t="str">
        <f ca="1">IF(COUNTIF($X$2:X1038,INT(A53))=1,VLOOKUP(INT(A53),X:Y,2), IF(ISERROR(H53-2),"",I52*(1-$D$8*(H53-H52)*0.0001)))</f>
        <v/>
      </c>
      <c r="J53" s="34" t="str">
        <f t="shared" ca="1" si="7"/>
        <v/>
      </c>
      <c r="K53" s="26" t="str">
        <f t="shared" ca="1" si="8"/>
        <v/>
      </c>
      <c r="L53" s="26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55" t="str">
        <f ca="1">IF(ISERROR(B53-2),"",C53+D53-F53-G53-K53+SUM($L$14:L53))</f>
        <v/>
      </c>
      <c r="O53" s="95">
        <v>46188.625</v>
      </c>
      <c r="P53" s="3">
        <v>314.27999999999997</v>
      </c>
      <c r="Q53" s="95">
        <v>46146.625</v>
      </c>
      <c r="R53" s="3">
        <v>105.66</v>
      </c>
      <c r="S53" s="95">
        <v>46120.625</v>
      </c>
      <c r="T53" s="3">
        <v>301.61900000000003</v>
      </c>
      <c r="U53" s="95" t="str">
        <f t="shared" si="0"/>
        <v/>
      </c>
      <c r="V53" s="95" t="str">
        <f t="shared" si="1"/>
        <v/>
      </c>
      <c r="X53" s="95">
        <v>46113</v>
      </c>
      <c r="Y53" s="41">
        <v>258.79109999999997</v>
      </c>
      <c r="Z53" s="95">
        <v>45852</v>
      </c>
      <c r="AA53" s="3">
        <v>239.5692</v>
      </c>
      <c r="AB53" s="37">
        <v>45852</v>
      </c>
      <c r="AC53" s="3">
        <v>282.80599999999998</v>
      </c>
      <c r="AD53" s="37">
        <f t="shared" si="2"/>
        <v>45852</v>
      </c>
    </row>
    <row r="54" spans="1:35" x14ac:dyDescent="0.25">
      <c r="A54" s="98" t="str">
        <f t="shared" ca="1" si="3"/>
        <v/>
      </c>
      <c r="B54" s="33" t="str">
        <f ca="1">IF(COUNTIF($W$2:W1039,A54)=1,VLOOKUP(A54,O:P,2), IF(COUNTIF($W$2:W1039,A54)=0,$B$9,""))</f>
        <v/>
      </c>
      <c r="C54" s="25" t="str">
        <f t="shared" ca="1" si="4"/>
        <v/>
      </c>
      <c r="D54" s="26"/>
      <c r="E54" s="33" t="str">
        <f ca="1">IF(COUNTIF($W$2:W1039,A54)=1,VLOOKUP(A54,Q:R,2), IF(COUNTIF($W$2:W1039,A54)=0,$C$9,""))</f>
        <v/>
      </c>
      <c r="F54" s="25" t="str">
        <f t="shared" ca="1" si="5"/>
        <v/>
      </c>
      <c r="G54" s="26" t="str">
        <f t="shared" ca="1" si="6"/>
        <v/>
      </c>
      <c r="H54" s="33" t="str">
        <f ca="1">IF(COUNTIF($W$2:W1039,A54)=1,VLOOKUP(A54,S:T,2), IF(COUNTIF($W$2:W1039,A54)=0,$D$9,""))</f>
        <v/>
      </c>
      <c r="I54" s="34" t="str">
        <f ca="1">IF(COUNTIF($X$2:X1039,INT(A54))=1,VLOOKUP(INT(A54),X:Y,2), IF(ISERROR(H54-2),"",I53*(1-$D$8*(H54-H53)*0.0001)))</f>
        <v/>
      </c>
      <c r="J54" s="34" t="str">
        <f t="shared" ca="1" si="7"/>
        <v/>
      </c>
      <c r="K54" s="26" t="str">
        <f t="shared" ca="1" si="8"/>
        <v/>
      </c>
      <c r="L54" s="26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55" t="str">
        <f ca="1">IF(ISERROR(B54-2),"",C54+D54-F54-G54-K54+SUM($L$14:L54))</f>
        <v/>
      </c>
      <c r="O54" s="95">
        <v>46189.625</v>
      </c>
      <c r="P54" s="3">
        <v>314.16000000000003</v>
      </c>
      <c r="Q54" s="95">
        <v>46147.625</v>
      </c>
      <c r="R54" s="3">
        <v>105.66500000000001</v>
      </c>
      <c r="S54" s="95">
        <v>46121.625</v>
      </c>
      <c r="T54" s="3">
        <v>299.79199999999997</v>
      </c>
      <c r="U54" s="95" t="str">
        <f t="shared" si="0"/>
        <v/>
      </c>
      <c r="V54" s="95" t="str">
        <f t="shared" si="1"/>
        <v/>
      </c>
      <c r="X54" s="95">
        <v>46114</v>
      </c>
      <c r="Y54" s="41">
        <v>259.01429999999999</v>
      </c>
      <c r="Z54" s="95">
        <v>45853</v>
      </c>
      <c r="AA54" s="3">
        <v>239.57310000000001</v>
      </c>
      <c r="AB54" s="37">
        <v>45853</v>
      </c>
      <c r="AC54" s="3">
        <v>282.98599999999999</v>
      </c>
      <c r="AD54" s="37">
        <f t="shared" si="2"/>
        <v>45853</v>
      </c>
    </row>
    <row r="55" spans="1:35" x14ac:dyDescent="0.25">
      <c r="A55" s="98" t="str">
        <f t="shared" ca="1" si="3"/>
        <v/>
      </c>
      <c r="B55" s="33" t="str">
        <f ca="1">IF(COUNTIF($W$2:W1040,A55)=1,VLOOKUP(A55,O:P,2), IF(COUNTIF($W$2:W1040,A55)=0,$B$9,""))</f>
        <v/>
      </c>
      <c r="C55" s="25" t="str">
        <f t="shared" ca="1" si="4"/>
        <v/>
      </c>
      <c r="D55" s="26"/>
      <c r="E55" s="33" t="str">
        <f ca="1">IF(COUNTIF($W$2:W1040,A55)=1,VLOOKUP(A55,Q:R,2), IF(COUNTIF($W$2:W1040,A55)=0,$C$9,""))</f>
        <v/>
      </c>
      <c r="F55" s="25" t="str">
        <f t="shared" ca="1" si="5"/>
        <v/>
      </c>
      <c r="G55" s="26" t="str">
        <f t="shared" ca="1" si="6"/>
        <v/>
      </c>
      <c r="H55" s="33" t="str">
        <f ca="1">IF(COUNTIF($W$2:W1040,A55)=1,VLOOKUP(A55,S:T,2), IF(COUNTIF($W$2:W1040,A55)=0,$D$9,""))</f>
        <v/>
      </c>
      <c r="I55" s="34" t="str">
        <f ca="1">IF(COUNTIF($X$2:X1040,INT(A55))=1,VLOOKUP(INT(A55),X:Y,2), IF(ISERROR(H55-2),"",I54*(1-$D$8*(H55-H54)*0.0001)))</f>
        <v/>
      </c>
      <c r="J55" s="34" t="str">
        <f t="shared" ca="1" si="7"/>
        <v/>
      </c>
      <c r="K55" s="26" t="str">
        <f t="shared" ca="1" si="8"/>
        <v/>
      </c>
      <c r="L55" s="26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55" t="str">
        <f ca="1">IF(ISERROR(B55-2),"",C55+D55-F55-G55-K55+SUM($L$14:L55))</f>
        <v/>
      </c>
      <c r="O55" s="95">
        <v>46190.625</v>
      </c>
      <c r="P55" s="3">
        <v>313.66000000000003</v>
      </c>
      <c r="Q55" s="95">
        <v>46148.625</v>
      </c>
      <c r="R55" s="3">
        <v>105.905</v>
      </c>
      <c r="S55" s="95">
        <v>46122.625</v>
      </c>
      <c r="T55" s="3">
        <v>291.34300000000002</v>
      </c>
      <c r="U55" s="95" t="str">
        <f t="shared" si="0"/>
        <v/>
      </c>
      <c r="V55" s="95" t="str">
        <f t="shared" si="1"/>
        <v/>
      </c>
      <c r="X55" s="95">
        <v>46119</v>
      </c>
      <c r="Y55" s="41">
        <v>258.06200000000001</v>
      </c>
      <c r="Z55" s="95">
        <v>45854</v>
      </c>
      <c r="AA55" s="3">
        <v>239.2413</v>
      </c>
      <c r="AB55" s="37">
        <v>45854</v>
      </c>
      <c r="AC55" s="3">
        <v>285.26100000000002</v>
      </c>
      <c r="AD55" s="37">
        <f t="shared" si="2"/>
        <v>45854</v>
      </c>
    </row>
    <row r="56" spans="1:35" x14ac:dyDescent="0.25">
      <c r="A56" s="98" t="str">
        <f t="shared" ca="1" si="3"/>
        <v/>
      </c>
      <c r="B56" s="33" t="str">
        <f ca="1">IF(COUNTIF($W$2:W1041,A56)=1,VLOOKUP(A56,O:P,2), IF(COUNTIF($W$2:W1041,A56)=0,$B$9,""))</f>
        <v/>
      </c>
      <c r="C56" s="25" t="str">
        <f t="shared" ca="1" si="4"/>
        <v/>
      </c>
      <c r="D56" s="26"/>
      <c r="E56" s="33" t="str">
        <f ca="1">IF(COUNTIF($W$2:W1041,A56)=1,VLOOKUP(A56,Q:R,2), IF(COUNTIF($W$2:W1041,A56)=0,$C$9,""))</f>
        <v/>
      </c>
      <c r="F56" s="25" t="str">
        <f t="shared" ca="1" si="5"/>
        <v/>
      </c>
      <c r="G56" s="26" t="str">
        <f t="shared" ca="1" si="6"/>
        <v/>
      </c>
      <c r="H56" s="33" t="str">
        <f ca="1">IF(COUNTIF($W$2:W1041,A56)=1,VLOOKUP(A56,S:T,2), IF(COUNTIF($W$2:W1041,A56)=0,$D$9,""))</f>
        <v/>
      </c>
      <c r="I56" s="34" t="str">
        <f ca="1">IF(COUNTIF($X$2:X1041,INT(A56))=1,VLOOKUP(INT(A56),X:Y,2), IF(ISERROR(H56-2),"",I55*(1-$D$8*(H56-H55)*0.0001)))</f>
        <v/>
      </c>
      <c r="J56" s="34" t="str">
        <f t="shared" ca="1" si="7"/>
        <v/>
      </c>
      <c r="K56" s="26" t="str">
        <f t="shared" ca="1" si="8"/>
        <v/>
      </c>
      <c r="L56" s="26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55" t="str">
        <f ca="1">IF(ISERROR(B56-2),"",C56+D56-F56-G56-K56+SUM($L$14:L56))</f>
        <v/>
      </c>
      <c r="Q56" s="95">
        <v>46149.625</v>
      </c>
      <c r="R56" s="3">
        <v>105.925</v>
      </c>
      <c r="S56" s="95">
        <v>46125.625</v>
      </c>
      <c r="T56" s="3">
        <v>294.25299999999999</v>
      </c>
      <c r="U56" s="95" t="str">
        <f t="shared" si="0"/>
        <v/>
      </c>
      <c r="V56" s="95" t="str">
        <f t="shared" si="1"/>
        <v/>
      </c>
      <c r="X56" s="95">
        <v>46120</v>
      </c>
      <c r="Y56" s="41">
        <v>262.38350000000003</v>
      </c>
      <c r="Z56" s="95">
        <v>45855</v>
      </c>
      <c r="AA56" s="3">
        <v>240.13030000000001</v>
      </c>
      <c r="AB56" s="37">
        <v>45855</v>
      </c>
      <c r="AC56" s="3">
        <v>278.76799999999997</v>
      </c>
      <c r="AD56" s="37">
        <f t="shared" si="2"/>
        <v>45855</v>
      </c>
    </row>
    <row r="57" spans="1:35" x14ac:dyDescent="0.25">
      <c r="A57" s="98" t="str">
        <f t="shared" ca="1" si="3"/>
        <v/>
      </c>
      <c r="B57" s="33" t="str">
        <f ca="1">IF(COUNTIF($W$2:W1042,A57)=1,VLOOKUP(A57,O:P,2), IF(COUNTIF($W$2:W1042,A57)=0,$B$9,""))</f>
        <v/>
      </c>
      <c r="C57" s="25" t="str">
        <f t="shared" ca="1" si="4"/>
        <v/>
      </c>
      <c r="D57" s="26"/>
      <c r="E57" s="33" t="str">
        <f ca="1">IF(COUNTIF($W$2:W1042,A57)=1,VLOOKUP(A57,Q:R,2), IF(COUNTIF($W$2:W1042,A57)=0,$C$9,""))</f>
        <v/>
      </c>
      <c r="F57" s="25" t="str">
        <f t="shared" ca="1" si="5"/>
        <v/>
      </c>
      <c r="G57" s="26" t="str">
        <f t="shared" ca="1" si="6"/>
        <v/>
      </c>
      <c r="H57" s="33" t="str">
        <f ca="1">IF(COUNTIF($W$2:W1042,A57)=1,VLOOKUP(A57,S:T,2), IF(COUNTIF($W$2:W1042,A57)=0,$D$9,""))</f>
        <v/>
      </c>
      <c r="I57" s="34" t="str">
        <f ca="1">IF(COUNTIF($X$2:X1042,INT(A57))=1,VLOOKUP(INT(A57),X:Y,2), IF(ISERROR(H57-2),"",I56*(1-$D$8*(H57-H56)*0.0001)))</f>
        <v/>
      </c>
      <c r="J57" s="34" t="str">
        <f t="shared" ca="1" si="7"/>
        <v/>
      </c>
      <c r="K57" s="26" t="str">
        <f t="shared" ca="1" si="8"/>
        <v/>
      </c>
      <c r="L57" s="26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55" t="str">
        <f ca="1">IF(ISERROR(B57-2),"",C57+D57-F57-G57-K57+SUM($L$14:L57))</f>
        <v/>
      </c>
      <c r="Q57" s="95">
        <v>46150.625</v>
      </c>
      <c r="R57" s="3">
        <v>105.855</v>
      </c>
      <c r="S57" s="95">
        <v>46126.625</v>
      </c>
      <c r="T57" s="3">
        <v>282.697</v>
      </c>
      <c r="U57" s="95" t="str">
        <f t="shared" si="0"/>
        <v/>
      </c>
      <c r="V57" s="95" t="str">
        <f t="shared" si="1"/>
        <v/>
      </c>
      <c r="X57" s="95">
        <v>46121</v>
      </c>
      <c r="Y57" s="41">
        <v>263.26260000000002</v>
      </c>
      <c r="Z57" s="95">
        <v>45856</v>
      </c>
      <c r="AA57" s="3">
        <v>240.32839999999999</v>
      </c>
      <c r="AB57" s="37">
        <v>45856</v>
      </c>
      <c r="AC57" s="3">
        <v>277.18599999999998</v>
      </c>
      <c r="AD57" s="37">
        <f t="shared" si="2"/>
        <v>45856</v>
      </c>
    </row>
    <row r="58" spans="1:35" x14ac:dyDescent="0.25">
      <c r="A58" s="98" t="str">
        <f t="shared" ca="1" si="3"/>
        <v/>
      </c>
      <c r="B58" s="33" t="str">
        <f ca="1">IF(COUNTIF($W$2:W1043,A58)=1,VLOOKUP(A58,O:P,2), IF(COUNTIF($W$2:W1043,A58)=0,$B$9,""))</f>
        <v/>
      </c>
      <c r="C58" s="25" t="str">
        <f t="shared" ca="1" si="4"/>
        <v/>
      </c>
      <c r="D58" s="26"/>
      <c r="E58" s="33" t="str">
        <f ca="1">IF(COUNTIF($W$2:W1043,A58)=1,VLOOKUP(A58,Q:R,2), IF(COUNTIF($W$2:W1043,A58)=0,$C$9,""))</f>
        <v/>
      </c>
      <c r="F58" s="25" t="str">
        <f t="shared" ca="1" si="5"/>
        <v/>
      </c>
      <c r="G58" s="26" t="str">
        <f t="shared" ca="1" si="6"/>
        <v/>
      </c>
      <c r="H58" s="33" t="str">
        <f ca="1">IF(COUNTIF($W$2:W1043,A58)=1,VLOOKUP(A58,S:T,2), IF(COUNTIF($W$2:W1043,A58)=0,$D$9,""))</f>
        <v/>
      </c>
      <c r="I58" s="34" t="str">
        <f ca="1">IF(COUNTIF($X$2:X1043,INT(A58))=1,VLOOKUP(INT(A58),X:Y,2), IF(ISERROR(H58-2),"",I57*(1-$D$8*(H58-H57)*0.0001)))</f>
        <v/>
      </c>
      <c r="J58" s="34" t="str">
        <f t="shared" ca="1" si="7"/>
        <v/>
      </c>
      <c r="K58" s="26" t="str">
        <f t="shared" ca="1" si="8"/>
        <v/>
      </c>
      <c r="L58" s="26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55" t="str">
        <f ca="1">IF(ISERROR(B58-2),"",C58+D58-F58-G58-K58+SUM($L$14:L58))</f>
        <v/>
      </c>
      <c r="Q58" s="95">
        <v>46153.625</v>
      </c>
      <c r="R58" s="3">
        <v>105.745</v>
      </c>
      <c r="S58" s="95">
        <v>46127.625</v>
      </c>
      <c r="T58" s="3">
        <v>282.51900000000001</v>
      </c>
      <c r="U58" s="95" t="str">
        <f t="shared" si="0"/>
        <v/>
      </c>
      <c r="V58" s="95" t="str">
        <f t="shared" si="1"/>
        <v/>
      </c>
      <c r="X58" s="95">
        <v>46122</v>
      </c>
      <c r="Y58" s="41">
        <v>263.29309999999998</v>
      </c>
      <c r="Z58" s="95">
        <v>45859</v>
      </c>
      <c r="AA58" s="3">
        <v>240.33940000000001</v>
      </c>
      <c r="AB58" s="37">
        <v>45859</v>
      </c>
      <c r="AC58" s="3">
        <v>277.45800000000003</v>
      </c>
      <c r="AD58" s="37">
        <f t="shared" si="2"/>
        <v>45859</v>
      </c>
    </row>
    <row r="59" spans="1:35" x14ac:dyDescent="0.25">
      <c r="A59" s="98" t="str">
        <f t="shared" ca="1" si="3"/>
        <v/>
      </c>
      <c r="B59" s="33" t="str">
        <f ca="1">IF(COUNTIF($W$2:W1044,A59)=1,VLOOKUP(A59,O:P,2), IF(COUNTIF($W$2:W1044,A59)=0,$B$9,""))</f>
        <v/>
      </c>
      <c r="C59" s="25" t="str">
        <f t="shared" ca="1" si="4"/>
        <v/>
      </c>
      <c r="D59" s="26"/>
      <c r="E59" s="33" t="str">
        <f ca="1">IF(COUNTIF($W$2:W1044,A59)=1,VLOOKUP(A59,Q:R,2), IF(COUNTIF($W$2:W1044,A59)=0,$C$9,""))</f>
        <v/>
      </c>
      <c r="F59" s="25" t="str">
        <f t="shared" ca="1" si="5"/>
        <v/>
      </c>
      <c r="G59" s="26" t="str">
        <f t="shared" ca="1" si="6"/>
        <v/>
      </c>
      <c r="H59" s="33" t="str">
        <f ca="1">IF(COUNTIF($W$2:W1044,A59)=1,VLOOKUP(A59,S:T,2), IF(COUNTIF($W$2:W1044,A59)=0,$D$9,""))</f>
        <v/>
      </c>
      <c r="I59" s="34" t="str">
        <f ca="1">IF(COUNTIF($X$2:X1044,INT(A59))=1,VLOOKUP(INT(A59),X:Y,2), IF(ISERROR(H59-2),"",I58*(1-$D$8*(H59-H58)*0.0001)))</f>
        <v/>
      </c>
      <c r="J59" s="34" t="str">
        <f t="shared" ca="1" si="7"/>
        <v/>
      </c>
      <c r="K59" s="26" t="str">
        <f t="shared" ca="1" si="8"/>
        <v/>
      </c>
      <c r="L59" s="26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55" t="str">
        <f ca="1">IF(ISERROR(B59-2),"",C59+D59-F59-G59-K59+SUM($L$14:L59))</f>
        <v/>
      </c>
      <c r="Q59" s="95">
        <v>46154.625</v>
      </c>
      <c r="R59" s="3">
        <v>105.655</v>
      </c>
      <c r="S59" s="95">
        <v>46128.625</v>
      </c>
      <c r="T59" s="3">
        <v>286.733</v>
      </c>
      <c r="U59" s="95" t="str">
        <f t="shared" si="0"/>
        <v/>
      </c>
      <c r="V59" s="95" t="str">
        <f t="shared" si="1"/>
        <v/>
      </c>
      <c r="X59" s="95">
        <v>46125</v>
      </c>
      <c r="Y59" s="41">
        <v>263.03910000000002</v>
      </c>
      <c r="Z59" s="95">
        <v>45860</v>
      </c>
      <c r="AA59" s="3">
        <v>240.12450000000001</v>
      </c>
      <c r="AB59" s="37">
        <v>45860</v>
      </c>
      <c r="AC59" s="3">
        <v>279.55700000000002</v>
      </c>
      <c r="AD59" s="37">
        <f t="shared" si="2"/>
        <v>45860</v>
      </c>
    </row>
    <row r="60" spans="1:35" x14ac:dyDescent="0.25">
      <c r="A60" s="98" t="str">
        <f t="shared" ca="1" si="3"/>
        <v/>
      </c>
      <c r="B60" s="33" t="str">
        <f ca="1">IF(COUNTIF($W$2:W1045,A60)=1,VLOOKUP(A60,O:P,2), IF(COUNTIF($W$2:W1045,A60)=0,$B$9,""))</f>
        <v/>
      </c>
      <c r="C60" s="25" t="str">
        <f t="shared" ca="1" si="4"/>
        <v/>
      </c>
      <c r="D60" s="26"/>
      <c r="E60" s="33" t="str">
        <f ca="1">IF(COUNTIF($W$2:W1045,A60)=1,VLOOKUP(A60,Q:R,2), IF(COUNTIF($W$2:W1045,A60)=0,$C$9,""))</f>
        <v/>
      </c>
      <c r="F60" s="25" t="str">
        <f t="shared" ca="1" si="5"/>
        <v/>
      </c>
      <c r="G60" s="26" t="str">
        <f t="shared" ca="1" si="6"/>
        <v/>
      </c>
      <c r="H60" s="33" t="str">
        <f ca="1">IF(COUNTIF($W$2:W1045,A60)=1,VLOOKUP(A60,S:T,2), IF(COUNTIF($W$2:W1045,A60)=0,$D$9,""))</f>
        <v/>
      </c>
      <c r="I60" s="34" t="str">
        <f ca="1">IF(COUNTIF($X$2:X1045,INT(A60))=1,VLOOKUP(INT(A60),X:Y,2), IF(ISERROR(H60-2),"",I59*(1-$D$8*(H60-H59)*0.0001)))</f>
        <v/>
      </c>
      <c r="J60" s="34" t="str">
        <f t="shared" ca="1" si="7"/>
        <v/>
      </c>
      <c r="K60" s="26" t="str">
        <f t="shared" ca="1" si="8"/>
        <v/>
      </c>
      <c r="L60" s="26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55" t="str">
        <f ca="1">IF(ISERROR(B60-2),"",C60+D60-F60-G60-K60+SUM($L$14:L60))</f>
        <v/>
      </c>
      <c r="Q60" s="95">
        <v>46155.625</v>
      </c>
      <c r="R60" s="3">
        <v>105.63</v>
      </c>
      <c r="S60" s="95">
        <v>46129.625</v>
      </c>
      <c r="T60" s="3">
        <v>275.16800000000001</v>
      </c>
      <c r="U60" s="95" t="str">
        <f t="shared" si="0"/>
        <v/>
      </c>
      <c r="V60" s="95" t="str">
        <f t="shared" si="1"/>
        <v/>
      </c>
      <c r="X60" s="95">
        <v>46126</v>
      </c>
      <c r="Y60" s="41">
        <v>264.6927</v>
      </c>
      <c r="Z60" s="95">
        <v>45861</v>
      </c>
      <c r="AA60" s="3">
        <v>240.6497</v>
      </c>
      <c r="AB60" s="37">
        <v>45861</v>
      </c>
      <c r="AC60" s="3">
        <v>273.14100000000002</v>
      </c>
      <c r="AD60" s="37">
        <f t="shared" si="2"/>
        <v>45861</v>
      </c>
    </row>
    <row r="61" spans="1:35" x14ac:dyDescent="0.25">
      <c r="A61" s="98" t="str">
        <f t="shared" ca="1" si="3"/>
        <v/>
      </c>
      <c r="B61" s="33" t="str">
        <f ca="1">IF(COUNTIF($W$2:W1046,A61)=1,VLOOKUP(A61,O:P,2), IF(COUNTIF($W$2:W1046,A61)=0,$B$9,""))</f>
        <v/>
      </c>
      <c r="C61" s="25" t="str">
        <f t="shared" ca="1" si="4"/>
        <v/>
      </c>
      <c r="D61" s="26"/>
      <c r="E61" s="33" t="str">
        <f ca="1">IF(COUNTIF($W$2:W1046,A61)=1,VLOOKUP(A61,Q:R,2), IF(COUNTIF($W$2:W1046,A61)=0,$C$9,""))</f>
        <v/>
      </c>
      <c r="F61" s="25" t="str">
        <f t="shared" ca="1" si="5"/>
        <v/>
      </c>
      <c r="G61" s="26" t="str">
        <f t="shared" ca="1" si="6"/>
        <v/>
      </c>
      <c r="H61" s="33" t="str">
        <f ca="1">IF(COUNTIF($W$2:W1046,A61)=1,VLOOKUP(A61,S:T,2), IF(COUNTIF($W$2:W1046,A61)=0,$D$9,""))</f>
        <v/>
      </c>
      <c r="I61" s="34" t="str">
        <f ca="1">IF(COUNTIF($X$2:X1046,INT(A61))=1,VLOOKUP(INT(A61),X:Y,2), IF(ISERROR(H61-2),"",I60*(1-$D$8*(H61-H60)*0.0001)))</f>
        <v/>
      </c>
      <c r="J61" s="34" t="str">
        <f t="shared" ca="1" si="7"/>
        <v/>
      </c>
      <c r="K61" s="26" t="str">
        <f t="shared" ca="1" si="8"/>
        <v/>
      </c>
      <c r="L61" s="26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55" t="str">
        <f ca="1">IF(ISERROR(B61-2),"",C61+D61-F61-G61-K61+SUM($L$14:L61))</f>
        <v/>
      </c>
      <c r="Q61" s="95">
        <v>46156.625</v>
      </c>
      <c r="R61" s="3">
        <v>105.75</v>
      </c>
      <c r="S61" s="95">
        <v>46132.625</v>
      </c>
      <c r="T61" s="3">
        <v>280.36399999999998</v>
      </c>
      <c r="U61" s="95" t="str">
        <f t="shared" si="0"/>
        <v/>
      </c>
      <c r="V61" s="95" t="str">
        <f t="shared" si="1"/>
        <v/>
      </c>
      <c r="X61" s="95">
        <v>46127</v>
      </c>
      <c r="Y61" s="41">
        <v>264.62900000000002</v>
      </c>
      <c r="Z61" s="95">
        <v>45862</v>
      </c>
      <c r="AA61" s="3">
        <v>241.25620000000001</v>
      </c>
      <c r="AB61" s="37">
        <v>45862</v>
      </c>
      <c r="AC61" s="3">
        <v>270.69799999999998</v>
      </c>
      <c r="AD61" s="37">
        <f t="shared" si="2"/>
        <v>45862</v>
      </c>
    </row>
    <row r="62" spans="1:35" x14ac:dyDescent="0.25">
      <c r="A62" s="98" t="str">
        <f t="shared" ca="1" si="3"/>
        <v/>
      </c>
      <c r="B62" s="33" t="str">
        <f ca="1">IF(COUNTIF($W$2:W1047,A62)=1,VLOOKUP(A62,O:P,2), IF(COUNTIF($W$2:W1047,A62)=0,$B$9,""))</f>
        <v/>
      </c>
      <c r="C62" s="25" t="str">
        <f t="shared" ca="1" si="4"/>
        <v/>
      </c>
      <c r="D62" s="26"/>
      <c r="E62" s="33" t="str">
        <f ca="1">IF(COUNTIF($W$2:W1047,A62)=1,VLOOKUP(A62,Q:R,2), IF(COUNTIF($W$2:W1047,A62)=0,$C$9,""))</f>
        <v/>
      </c>
      <c r="F62" s="25" t="str">
        <f t="shared" ca="1" si="5"/>
        <v/>
      </c>
      <c r="G62" s="26" t="str">
        <f t="shared" ca="1" si="6"/>
        <v/>
      </c>
      <c r="H62" s="33" t="str">
        <f ca="1">IF(COUNTIF($W$2:W1047,A62)=1,VLOOKUP(A62,S:T,2), IF(COUNTIF($W$2:W1047,A62)=0,$D$9,""))</f>
        <v/>
      </c>
      <c r="I62" s="34" t="str">
        <f ca="1">IF(COUNTIF($X$2:X1047,INT(A62))=1,VLOOKUP(INT(A62),X:Y,2), IF(ISERROR(H62-2),"",I61*(1-$D$8*(H62-H61)*0.0001)))</f>
        <v/>
      </c>
      <c r="J62" s="34" t="str">
        <f t="shared" ca="1" si="7"/>
        <v/>
      </c>
      <c r="K62" s="26" t="str">
        <f t="shared" ca="1" si="8"/>
        <v/>
      </c>
      <c r="L62" s="26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55" t="str">
        <f ca="1">IF(ISERROR(B62-2),"",C62+D62-F62-G62-K62+SUM($L$14:L62))</f>
        <v/>
      </c>
      <c r="Q62" s="95">
        <v>46157.625</v>
      </c>
      <c r="R62" s="3">
        <v>105.625</v>
      </c>
      <c r="S62" s="95">
        <v>46133.625</v>
      </c>
      <c r="T62" s="3">
        <v>285.44799999999998</v>
      </c>
      <c r="U62" s="95" t="str">
        <f t="shared" si="0"/>
        <v/>
      </c>
      <c r="V62" s="95" t="str">
        <f t="shared" si="1"/>
        <v/>
      </c>
      <c r="X62" s="95">
        <v>46128</v>
      </c>
      <c r="Y62" s="41">
        <v>264.24419999999998</v>
      </c>
      <c r="Z62" s="95">
        <v>45863</v>
      </c>
      <c r="AA62" s="3">
        <v>241.32810000000001</v>
      </c>
      <c r="AB62" s="37">
        <v>45863</v>
      </c>
      <c r="AC62" s="3">
        <v>269.24400000000003</v>
      </c>
      <c r="AD62" s="37">
        <f t="shared" si="2"/>
        <v>45863</v>
      </c>
    </row>
    <row r="63" spans="1:35" x14ac:dyDescent="0.25">
      <c r="A63" s="98" t="str">
        <f t="shared" ca="1" si="3"/>
        <v/>
      </c>
      <c r="B63" s="33" t="str">
        <f ca="1">IF(COUNTIF($W$2:W1048,A63)=1,VLOOKUP(A63,O:P,2), IF(COUNTIF($W$2:W1048,A63)=0,$B$9,""))</f>
        <v/>
      </c>
      <c r="C63" s="25" t="str">
        <f t="shared" ca="1" si="4"/>
        <v/>
      </c>
      <c r="D63" s="26"/>
      <c r="E63" s="33" t="str">
        <f ca="1">IF(COUNTIF($W$2:W1048,A63)=1,VLOOKUP(A63,Q:R,2), IF(COUNTIF($W$2:W1048,A63)=0,$C$9,""))</f>
        <v/>
      </c>
      <c r="F63" s="25" t="str">
        <f t="shared" ca="1" si="5"/>
        <v/>
      </c>
      <c r="G63" s="26" t="str">
        <f t="shared" ca="1" si="6"/>
        <v/>
      </c>
      <c r="H63" s="33" t="str">
        <f ca="1">IF(COUNTIF($W$2:W1048,A63)=1,VLOOKUP(A63,S:T,2), IF(COUNTIF($W$2:W1048,A63)=0,$D$9,""))</f>
        <v/>
      </c>
      <c r="I63" s="34" t="str">
        <f ca="1">IF(COUNTIF($X$2:X1048,INT(A63))=1,VLOOKUP(INT(A63),X:Y,2), IF(ISERROR(H63-2),"",I62*(1-$D$8*(H63-H62)*0.0001)))</f>
        <v/>
      </c>
      <c r="J63" s="34" t="str">
        <f t="shared" ca="1" si="7"/>
        <v/>
      </c>
      <c r="K63" s="26" t="str">
        <f t="shared" ca="1" si="8"/>
        <v/>
      </c>
      <c r="L63" s="26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55" t="str">
        <f ca="1">IF(ISERROR(B63-2),"",C63+D63-F63-G63-K63+SUM($L$14:L63))</f>
        <v/>
      </c>
      <c r="Q63" s="95">
        <v>46160.625</v>
      </c>
      <c r="R63" s="3">
        <v>105.66</v>
      </c>
      <c r="S63" s="95">
        <v>46134.625</v>
      </c>
      <c r="T63" s="3">
        <v>285.53500000000003</v>
      </c>
      <c r="U63" s="95" t="str">
        <f t="shared" si="0"/>
        <v/>
      </c>
      <c r="V63" s="95" t="str">
        <f t="shared" si="1"/>
        <v/>
      </c>
      <c r="X63" s="95">
        <v>46129</v>
      </c>
      <c r="Y63" s="41">
        <v>265.60180000000003</v>
      </c>
      <c r="Z63" s="95">
        <v>45866</v>
      </c>
      <c r="AA63" s="3">
        <v>241.53149999999999</v>
      </c>
      <c r="AB63" s="37">
        <v>45866</v>
      </c>
      <c r="AC63" s="3">
        <v>267.81099999999998</v>
      </c>
      <c r="AD63" s="37">
        <f t="shared" si="2"/>
        <v>45866</v>
      </c>
      <c r="AI63" s="56"/>
    </row>
    <row r="64" spans="1:35" x14ac:dyDescent="0.25">
      <c r="A64" s="98" t="str">
        <f t="shared" ca="1" si="3"/>
        <v/>
      </c>
      <c r="B64" s="33" t="str">
        <f ca="1">IF(COUNTIF($W$2:W1049,A64)=1,VLOOKUP(A64,O:P,2), IF(COUNTIF($W$2:W1049,A64)=0,$B$9,""))</f>
        <v/>
      </c>
      <c r="C64" s="25" t="str">
        <f t="shared" ca="1" si="4"/>
        <v/>
      </c>
      <c r="D64" s="26"/>
      <c r="E64" s="33" t="str">
        <f ca="1">IF(COUNTIF($W$2:W1049,A64)=1,VLOOKUP(A64,Q:R,2), IF(COUNTIF($W$2:W1049,A64)=0,$C$9,""))</f>
        <v/>
      </c>
      <c r="F64" s="25" t="str">
        <f t="shared" ca="1" si="5"/>
        <v/>
      </c>
      <c r="G64" s="26" t="str">
        <f t="shared" ca="1" si="6"/>
        <v/>
      </c>
      <c r="H64" s="33" t="str">
        <f ca="1">IF(COUNTIF($W$2:W1049,A64)=1,VLOOKUP(A64,S:T,2), IF(COUNTIF($W$2:W1049,A64)=0,$D$9,""))</f>
        <v/>
      </c>
      <c r="I64" s="34" t="str">
        <f ca="1">IF(COUNTIF($X$2:X1049,INT(A64))=1,VLOOKUP(INT(A64),X:Y,2), IF(ISERROR(H64-2),"",I63*(1-$D$8*(H64-H63)*0.0001)))</f>
        <v/>
      </c>
      <c r="J64" s="34" t="str">
        <f t="shared" ca="1" si="7"/>
        <v/>
      </c>
      <c r="K64" s="26" t="str">
        <f t="shared" ca="1" si="8"/>
        <v/>
      </c>
      <c r="L64" s="26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55" t="str">
        <f ca="1">IF(ISERROR(B64-2),"",C64+D64-F64-G64-K64+SUM($L$14:L64))</f>
        <v/>
      </c>
      <c r="Q64" s="95">
        <v>46161.625</v>
      </c>
      <c r="R64" s="3">
        <v>105.565</v>
      </c>
      <c r="S64" s="95">
        <v>46135.625</v>
      </c>
      <c r="T64" s="3">
        <v>284.40800000000002</v>
      </c>
      <c r="U64" s="95" t="str">
        <f t="shared" si="0"/>
        <v/>
      </c>
      <c r="V64" s="95" t="str">
        <f t="shared" si="1"/>
        <v/>
      </c>
      <c r="X64" s="95">
        <v>46132</v>
      </c>
      <c r="Y64" s="41">
        <v>265.2414</v>
      </c>
      <c r="Z64" s="95">
        <v>45867</v>
      </c>
      <c r="AA64" s="67">
        <v>241.9485</v>
      </c>
      <c r="AB64" s="126">
        <v>45867</v>
      </c>
      <c r="AC64" s="67">
        <v>264.29199999999997</v>
      </c>
      <c r="AD64" s="37">
        <f t="shared" si="2"/>
        <v>45867</v>
      </c>
      <c r="AE64" s="67"/>
      <c r="AF64" s="67"/>
      <c r="AG64" s="67"/>
      <c r="AH64" s="66"/>
      <c r="AI64" s="56"/>
    </row>
    <row r="65" spans="1:35" x14ac:dyDescent="0.25">
      <c r="A65" s="98" t="str">
        <f t="shared" ca="1" si="3"/>
        <v/>
      </c>
      <c r="B65" s="33" t="str">
        <f ca="1">IF(COUNTIF($W$2:W1050,A65)=1,VLOOKUP(A65,O:P,2), IF(COUNTIF($W$2:W1050,A65)=0,$B$9,""))</f>
        <v/>
      </c>
      <c r="C65" s="25" t="str">
        <f t="shared" ca="1" si="4"/>
        <v/>
      </c>
      <c r="D65" s="26"/>
      <c r="E65" s="33" t="str">
        <f ca="1">IF(COUNTIF($W$2:W1050,A65)=1,VLOOKUP(A65,Q:R,2), IF(COUNTIF($W$2:W1050,A65)=0,$C$9,""))</f>
        <v/>
      </c>
      <c r="F65" s="25" t="str">
        <f t="shared" ca="1" si="5"/>
        <v/>
      </c>
      <c r="G65" s="26" t="str">
        <f t="shared" ca="1" si="6"/>
        <v/>
      </c>
      <c r="H65" s="33" t="str">
        <f ca="1">IF(COUNTIF($W$2:W1050,A65)=1,VLOOKUP(A65,S:T,2), IF(COUNTIF($W$2:W1050,A65)=0,$D$9,""))</f>
        <v/>
      </c>
      <c r="I65" s="34" t="str">
        <f ca="1">IF(COUNTIF($X$2:X1050,INT(A65))=1,VLOOKUP(INT(A65),X:Y,2), IF(ISERROR(H65-2),"",I64*(1-$D$8*(H65-H64)*0.0001)))</f>
        <v/>
      </c>
      <c r="J65" s="34" t="str">
        <f t="shared" ca="1" si="7"/>
        <v/>
      </c>
      <c r="K65" s="26" t="str">
        <f t="shared" ca="1" si="8"/>
        <v/>
      </c>
      <c r="L65" s="26" t="str">
        <f ca="1">IF($A65="","",IF(COUNTIFS(Dividends!$G:$G,"&gt;"&amp;INT($A64),Dividends!$G:$G,"&lt;="&amp;INT($A65))=0,"",$H$2*SUMIFS(Dividends!$H:$H,Dividends!$G:$G,"&gt;"&amp;INT($A64),Dividends!$G:$G,"&lt;="&amp;INT($A65))))</f>
        <v/>
      </c>
      <c r="M65" s="55" t="str">
        <f ca="1">IF(ISERROR(B65-2),"",C65+D65-F65-G65-K65+SUM($L$14:L65))</f>
        <v/>
      </c>
      <c r="Q65" s="95">
        <v>46162.625</v>
      </c>
      <c r="R65" s="3">
        <v>105.745</v>
      </c>
      <c r="S65" s="95">
        <v>46136.625</v>
      </c>
      <c r="T65" s="3">
        <v>288.863</v>
      </c>
      <c r="U65" s="95" t="str">
        <f t="shared" si="0"/>
        <v/>
      </c>
      <c r="V65" s="95" t="str">
        <f t="shared" si="1"/>
        <v/>
      </c>
      <c r="X65" s="95">
        <v>46133</v>
      </c>
      <c r="Y65" s="41">
        <v>264.60359999999997</v>
      </c>
      <c r="Z65" s="95">
        <v>45868</v>
      </c>
      <c r="AA65" s="67">
        <v>241.70859999999999</v>
      </c>
      <c r="AB65" s="68">
        <v>45868</v>
      </c>
      <c r="AC65" s="69">
        <v>266.43200000000002</v>
      </c>
      <c r="AD65" s="37">
        <f t="shared" si="2"/>
        <v>45868</v>
      </c>
      <c r="AE65" s="69"/>
      <c r="AF65" s="69"/>
      <c r="AG65" s="69"/>
      <c r="AH65" s="69"/>
      <c r="AI65" s="56"/>
    </row>
    <row r="66" spans="1:35" x14ac:dyDescent="0.25">
      <c r="A66" s="98" t="str">
        <f t="shared" ca="1" si="3"/>
        <v/>
      </c>
      <c r="B66" s="33" t="str">
        <f ca="1">IF(COUNTIF($W$2:W1051,A66)=1,VLOOKUP(A66,O:P,2), IF(COUNTIF($W$2:W1051,A66)=0,$B$9,""))</f>
        <v/>
      </c>
      <c r="C66" s="25" t="str">
        <f t="shared" ca="1" si="4"/>
        <v/>
      </c>
      <c r="D66" s="26"/>
      <c r="E66" s="33" t="str">
        <f ca="1">IF(COUNTIF($W$2:W1051,A66)=1,VLOOKUP(A66,Q:R,2), IF(COUNTIF($W$2:W1051,A66)=0,$C$9,""))</f>
        <v/>
      </c>
      <c r="F66" s="25" t="str">
        <f t="shared" ca="1" si="5"/>
        <v/>
      </c>
      <c r="G66" s="26" t="str">
        <f t="shared" ca="1" si="6"/>
        <v/>
      </c>
      <c r="H66" s="33" t="str">
        <f ca="1">IF(COUNTIF($W$2:W1051,A66)=1,VLOOKUP(A66,S:T,2), IF(COUNTIF($W$2:W1051,A66)=0,$D$9,""))</f>
        <v/>
      </c>
      <c r="I66" s="34" t="str">
        <f ca="1">IF(COUNTIF($X$2:X1051,INT(A66))=1,VLOOKUP(INT(A66),X:Y,2), IF(ISERROR(H66-2),"",I65*(1-$D$8*(H66-H65)*0.0001)))</f>
        <v/>
      </c>
      <c r="J66" s="34" t="str">
        <f t="shared" ca="1" si="7"/>
        <v/>
      </c>
      <c r="K66" s="26" t="str">
        <f t="shared" ca="1" si="8"/>
        <v/>
      </c>
      <c r="L66" s="26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55" t="str">
        <f ca="1">IF(ISERROR(B66-2),"",C66+D66-F66-G66-K66+SUM($L$14:L66))</f>
        <v/>
      </c>
      <c r="Q66" s="95">
        <v>46163.625</v>
      </c>
      <c r="R66" s="3">
        <v>105.735</v>
      </c>
      <c r="S66" s="95">
        <v>46139.625</v>
      </c>
      <c r="T66" s="3">
        <v>289.209</v>
      </c>
      <c r="U66" s="95" t="str">
        <f t="shared" si="0"/>
        <v/>
      </c>
      <c r="V66" s="95" t="str">
        <f t="shared" si="1"/>
        <v/>
      </c>
      <c r="X66" s="95">
        <v>46134</v>
      </c>
      <c r="Y66" s="41">
        <v>264.55340000000001</v>
      </c>
      <c r="Z66" s="95">
        <v>45869</v>
      </c>
      <c r="AA66" s="67">
        <v>241.51009999999999</v>
      </c>
      <c r="AB66" s="68">
        <v>45869</v>
      </c>
      <c r="AC66" s="69">
        <v>268.46899999999999</v>
      </c>
      <c r="AD66" s="37">
        <f t="shared" si="2"/>
        <v>45869</v>
      </c>
      <c r="AE66" s="69"/>
      <c r="AF66" s="69"/>
      <c r="AG66" s="69"/>
      <c r="AH66" s="69"/>
      <c r="AI66" s="56"/>
    </row>
    <row r="67" spans="1:35" x14ac:dyDescent="0.25">
      <c r="A67" s="98" t="str">
        <f t="shared" ca="1" si="3"/>
        <v/>
      </c>
      <c r="B67" s="33" t="str">
        <f ca="1">IF(COUNTIF($W$2:W1052,A67)=1,VLOOKUP(A67,O:P,2), IF(COUNTIF($W$2:W1052,A67)=0,$B$9,""))</f>
        <v/>
      </c>
      <c r="C67" s="25" t="str">
        <f t="shared" ca="1" si="4"/>
        <v/>
      </c>
      <c r="D67" s="26"/>
      <c r="E67" s="33" t="str">
        <f ca="1">IF(COUNTIF($W$2:W1052,A67)=1,VLOOKUP(A67,Q:R,2), IF(COUNTIF($W$2:W1052,A67)=0,$C$9,""))</f>
        <v/>
      </c>
      <c r="F67" s="25" t="str">
        <f t="shared" ca="1" si="5"/>
        <v/>
      </c>
      <c r="G67" s="26" t="str">
        <f t="shared" ca="1" si="6"/>
        <v/>
      </c>
      <c r="H67" s="33" t="str">
        <f ca="1">IF(COUNTIF($W$2:W1052,A67)=1,VLOOKUP(A67,S:T,2), IF(COUNTIF($W$2:W1052,A67)=0,$D$9,""))</f>
        <v/>
      </c>
      <c r="I67" s="34" t="str">
        <f ca="1">IF(COUNTIF($X$2:X1052,INT(A67))=1,VLOOKUP(INT(A67),X:Y,2), IF(ISERROR(H67-2),"",I66*(1-$D$8*(H67-H66)*0.0001)))</f>
        <v/>
      </c>
      <c r="J67" s="34" t="str">
        <f t="shared" ca="1" si="7"/>
        <v/>
      </c>
      <c r="K67" s="26" t="str">
        <f t="shared" ca="1" si="8"/>
        <v/>
      </c>
      <c r="L67" s="26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55" t="str">
        <f ca="1">IF(ISERROR(B67-2),"",C67+D67-F67-G67-K67+SUM($L$14:L67))</f>
        <v/>
      </c>
      <c r="Q67" s="95">
        <v>46164.625</v>
      </c>
      <c r="R67" s="3">
        <v>105.8</v>
      </c>
      <c r="S67" s="95">
        <v>46140.625</v>
      </c>
      <c r="T67" s="3">
        <v>291.65699999999998</v>
      </c>
      <c r="U67" s="95" t="str">
        <f t="shared" si="0"/>
        <v/>
      </c>
      <c r="V67" s="95" t="str">
        <f t="shared" si="1"/>
        <v/>
      </c>
      <c r="X67" s="95">
        <v>46135</v>
      </c>
      <c r="Y67" s="41">
        <v>264.38159999999999</v>
      </c>
      <c r="Z67" s="95">
        <v>45870</v>
      </c>
      <c r="AA67" s="67">
        <v>240.1619</v>
      </c>
      <c r="AB67" s="68">
        <v>45870</v>
      </c>
      <c r="AC67" s="69">
        <v>279.928</v>
      </c>
      <c r="AD67" s="37">
        <f t="shared" si="2"/>
        <v>45870</v>
      </c>
      <c r="AE67" s="69"/>
      <c r="AF67" s="69"/>
      <c r="AG67" s="69"/>
      <c r="AH67" s="69"/>
      <c r="AI67" s="56"/>
    </row>
    <row r="68" spans="1:35" x14ac:dyDescent="0.25">
      <c r="A68" s="98" t="str">
        <f t="shared" ca="1" si="3"/>
        <v/>
      </c>
      <c r="B68" s="33" t="str">
        <f ca="1">IF(COUNTIF($W$2:W1053,A68)=1,VLOOKUP(A68,O:P,2), IF(COUNTIF($W$2:W1053,A68)=0,$B$9,""))</f>
        <v/>
      </c>
      <c r="C68" s="25" t="str">
        <f t="shared" ca="1" si="4"/>
        <v/>
      </c>
      <c r="D68" s="26"/>
      <c r="E68" s="33" t="str">
        <f ca="1">IF(COUNTIF($W$2:W1053,A68)=1,VLOOKUP(A68,Q:R,2), IF(COUNTIF($W$2:W1053,A68)=0,$C$9,""))</f>
        <v/>
      </c>
      <c r="F68" s="25" t="str">
        <f t="shared" ca="1" si="5"/>
        <v/>
      </c>
      <c r="G68" s="26" t="str">
        <f t="shared" ca="1" si="6"/>
        <v/>
      </c>
      <c r="H68" s="33" t="str">
        <f ca="1">IF(COUNTIF($W$2:W1053,A68)=1,VLOOKUP(A68,S:T,2), IF(COUNTIF($W$2:W1053,A68)=0,$D$9,""))</f>
        <v/>
      </c>
      <c r="I68" s="34" t="str">
        <f ca="1">IF(COUNTIF($X$2:X1053,INT(A68))=1,VLOOKUP(INT(A68),X:Y,2), IF(ISERROR(H68-2),"",I67*(1-$D$8*(H68-H67)*0.0001)))</f>
        <v/>
      </c>
      <c r="J68" s="34" t="str">
        <f t="shared" ca="1" si="7"/>
        <v/>
      </c>
      <c r="K68" s="26" t="str">
        <f t="shared" ca="1" si="8"/>
        <v/>
      </c>
      <c r="L68" s="26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55" t="str">
        <f ca="1">IF(ISERROR(B68-2),"",C68+D68-F68-G68-K68+SUM($L$14:L68))</f>
        <v/>
      </c>
      <c r="Q68" s="95">
        <v>46167.625</v>
      </c>
      <c r="R68" s="3">
        <v>106</v>
      </c>
      <c r="S68" s="95">
        <v>46141.625</v>
      </c>
      <c r="T68" s="3">
        <v>294.57900000000001</v>
      </c>
      <c r="U68" s="95" t="str">
        <f t="shared" ref="U68:U131" si="9">IF(COUNTIF(Q:Q,O68)*COUNTIF(S:S,O68),O68,"")</f>
        <v/>
      </c>
      <c r="V68" s="95" t="str">
        <f t="shared" ref="V68:V131" si="10">IF(U68&gt;$A$14,U68,"")</f>
        <v/>
      </c>
      <c r="X68" s="95">
        <v>46136</v>
      </c>
      <c r="Y68" s="41">
        <v>264.2679</v>
      </c>
      <c r="Z68" s="95">
        <v>45873</v>
      </c>
      <c r="AA68" s="67">
        <v>240.82929999999999</v>
      </c>
      <c r="AB68" s="68">
        <v>45873</v>
      </c>
      <c r="AC68" s="69">
        <v>275.71300000000002</v>
      </c>
      <c r="AD68" s="37">
        <f t="shared" ref="AD68:AD131" si="11">IF(COUNTIF(AB:AB,Z68),Z68,"")</f>
        <v>45873</v>
      </c>
      <c r="AE68" s="69"/>
      <c r="AF68" s="69"/>
      <c r="AG68" s="69"/>
      <c r="AH68" s="69"/>
      <c r="AI68" s="56"/>
    </row>
    <row r="69" spans="1:35" x14ac:dyDescent="0.25">
      <c r="A69" s="98" t="str">
        <f t="shared" ca="1" si="3"/>
        <v/>
      </c>
      <c r="B69" s="33" t="str">
        <f ca="1">IF(COUNTIF($W$2:W1054,A69)=1,VLOOKUP(A69,O:P,2), IF(COUNTIF($W$2:W1054,A69)=0,$B$9,""))</f>
        <v/>
      </c>
      <c r="C69" s="25" t="str">
        <f t="shared" ca="1" si="4"/>
        <v/>
      </c>
      <c r="D69" s="26"/>
      <c r="E69" s="33" t="str">
        <f ca="1">IF(COUNTIF($W$2:W1054,A69)=1,VLOOKUP(A69,Q:R,2), IF(COUNTIF($W$2:W1054,A69)=0,$C$9,""))</f>
        <v/>
      </c>
      <c r="F69" s="25" t="str">
        <f t="shared" ca="1" si="5"/>
        <v/>
      </c>
      <c r="G69" s="26" t="str">
        <f t="shared" ca="1" si="6"/>
        <v/>
      </c>
      <c r="H69" s="33" t="str">
        <f ca="1">IF(COUNTIF($W$2:W1054,A69)=1,VLOOKUP(A69,S:T,2), IF(COUNTIF($W$2:W1054,A69)=0,$D$9,""))</f>
        <v/>
      </c>
      <c r="I69" s="34" t="str">
        <f ca="1">IF(COUNTIF($X$2:X1054,INT(A69))=1,VLOOKUP(INT(A69),X:Y,2), IF(ISERROR(H69-2),"",I68*(1-$D$8*(H69-H68)*0.0001)))</f>
        <v/>
      </c>
      <c r="J69" s="34" t="str">
        <f t="shared" ca="1" si="7"/>
        <v/>
      </c>
      <c r="K69" s="26" t="str">
        <f t="shared" ca="1" si="8"/>
        <v/>
      </c>
      <c r="L69" s="26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55" t="str">
        <f ca="1">IF(ISERROR(B69-2),"",C69+D69-F69-G69-K69+SUM($L$14:L69))</f>
        <v/>
      </c>
      <c r="Q69" s="95">
        <v>46168.625</v>
      </c>
      <c r="R69" s="3">
        <v>105.88</v>
      </c>
      <c r="S69" s="95">
        <v>46142.625</v>
      </c>
      <c r="T69" s="3">
        <v>292.42099999999999</v>
      </c>
      <c r="U69" s="95" t="str">
        <f t="shared" si="9"/>
        <v/>
      </c>
      <c r="V69" s="95" t="str">
        <f t="shared" si="10"/>
        <v/>
      </c>
      <c r="X69" s="95">
        <v>46139</v>
      </c>
      <c r="Y69" s="41">
        <v>264.16750000000002</v>
      </c>
      <c r="Z69" s="95">
        <v>45874</v>
      </c>
      <c r="AA69" s="67">
        <v>240.89189999999999</v>
      </c>
      <c r="AB69" s="68">
        <v>45874</v>
      </c>
      <c r="AC69" s="69">
        <v>275.75200000000001</v>
      </c>
      <c r="AD69" s="37">
        <f t="shared" si="11"/>
        <v>45874</v>
      </c>
      <c r="AE69" s="69"/>
      <c r="AF69" s="69"/>
      <c r="AG69" s="69"/>
      <c r="AH69" s="69"/>
      <c r="AI69" s="56"/>
    </row>
    <row r="70" spans="1:35" x14ac:dyDescent="0.25">
      <c r="A70" s="98" t="str">
        <f t="shared" ca="1" si="3"/>
        <v/>
      </c>
      <c r="B70" s="33" t="str">
        <f ca="1">IF(COUNTIF($W$2:W1055,A70)=1,VLOOKUP(A70,O:P,2), IF(COUNTIF($W$2:W1055,A70)=0,$B$9,""))</f>
        <v/>
      </c>
      <c r="C70" s="25" t="str">
        <f t="shared" ca="1" si="4"/>
        <v/>
      </c>
      <c r="D70" s="26"/>
      <c r="E70" s="33" t="str">
        <f ca="1">IF(COUNTIF($W$2:W1055,A70)=1,VLOOKUP(A70,Q:R,2), IF(COUNTIF($W$2:W1055,A70)=0,$C$9,""))</f>
        <v/>
      </c>
      <c r="F70" s="25" t="str">
        <f t="shared" ca="1" si="5"/>
        <v/>
      </c>
      <c r="G70" s="26" t="str">
        <f t="shared" ca="1" si="6"/>
        <v/>
      </c>
      <c r="H70" s="33" t="str">
        <f ca="1">IF(COUNTIF($W$2:W1055,A70)=1,VLOOKUP(A70,S:T,2), IF(COUNTIF($W$2:W1055,A70)=0,$D$9,""))</f>
        <v/>
      </c>
      <c r="I70" s="34" t="str">
        <f ca="1">IF(COUNTIF($X$2:X1055,INT(A70))=1,VLOOKUP(INT(A70),X:Y,2), IF(ISERROR(H70-2),"",I69*(1-$D$8*(H70-H69)*0.0001)))</f>
        <v/>
      </c>
      <c r="J70" s="34" t="str">
        <f t="shared" ca="1" si="7"/>
        <v/>
      </c>
      <c r="K70" s="26" t="str">
        <f t="shared" ca="1" si="8"/>
        <v/>
      </c>
      <c r="L70" s="26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55" t="str">
        <f ca="1">IF(ISERROR(B70-2),"",C70+D70-F70-G70-K70+SUM($L$14:L70))</f>
        <v/>
      </c>
      <c r="Q70" s="95">
        <v>46169.625</v>
      </c>
      <c r="R70" s="3">
        <v>105.905</v>
      </c>
      <c r="S70" s="95">
        <v>46143.625</v>
      </c>
      <c r="T70" s="3">
        <v>284.04199999999997</v>
      </c>
      <c r="U70" s="95" t="str">
        <f t="shared" si="9"/>
        <v/>
      </c>
      <c r="V70" s="95" t="str">
        <f t="shared" si="10"/>
        <v/>
      </c>
      <c r="X70" s="95">
        <v>46140</v>
      </c>
      <c r="Y70" s="41">
        <v>263.87139999999999</v>
      </c>
      <c r="Z70" s="95">
        <v>45875</v>
      </c>
      <c r="AA70" s="3">
        <v>240.93029999999999</v>
      </c>
      <c r="AB70" s="37">
        <v>45875</v>
      </c>
      <c r="AC70" s="3">
        <v>275.17599999999999</v>
      </c>
      <c r="AD70" s="37">
        <f t="shared" si="11"/>
        <v>45875</v>
      </c>
      <c r="AI70" s="56"/>
    </row>
    <row r="71" spans="1:35" x14ac:dyDescent="0.25">
      <c r="A71" s="98" t="str">
        <f t="shared" ca="1" si="3"/>
        <v/>
      </c>
      <c r="B71" s="33" t="str">
        <f ca="1">IF(COUNTIF($W$2:W1056,A71)=1,VLOOKUP(A71,O:P,2), IF(COUNTIF($W$2:W1056,A71)=0,$B$9,""))</f>
        <v/>
      </c>
      <c r="C71" s="25" t="str">
        <f t="shared" ca="1" si="4"/>
        <v/>
      </c>
      <c r="D71" s="26"/>
      <c r="E71" s="33" t="str">
        <f ca="1">IF(COUNTIF($W$2:W1056,A71)=1,VLOOKUP(A71,Q:R,2), IF(COUNTIF($W$2:W1056,A71)=0,$C$9,""))</f>
        <v/>
      </c>
      <c r="F71" s="25" t="str">
        <f t="shared" ca="1" si="5"/>
        <v/>
      </c>
      <c r="G71" s="26" t="str">
        <f t="shared" ca="1" si="6"/>
        <v/>
      </c>
      <c r="H71" s="33" t="str">
        <f ca="1">IF(COUNTIF($W$2:W1056,A71)=1,VLOOKUP(A71,S:T,2), IF(COUNTIF($W$2:W1056,A71)=0,$D$9,""))</f>
        <v/>
      </c>
      <c r="I71" s="34" t="str">
        <f ca="1">IF(COUNTIF($X$2:X1056,INT(A71))=1,VLOOKUP(INT(A71),X:Y,2), IF(ISERROR(H71-2),"",I70*(1-$D$8*(H71-H70)*0.0001)))</f>
        <v/>
      </c>
      <c r="J71" s="34" t="str">
        <f t="shared" ca="1" si="7"/>
        <v/>
      </c>
      <c r="K71" s="26" t="str">
        <f t="shared" ca="1" si="8"/>
        <v/>
      </c>
      <c r="L71" s="26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55" t="str">
        <f ca="1">IF(ISERROR(B71-2),"",C71+D71-F71-G71-K71+SUM($L$14:L71))</f>
        <v/>
      </c>
      <c r="Q71" s="95">
        <v>46170.625</v>
      </c>
      <c r="R71" s="3">
        <v>105.965</v>
      </c>
      <c r="S71" s="95">
        <v>46147.625</v>
      </c>
      <c r="T71" s="3">
        <v>287.88900000000001</v>
      </c>
      <c r="U71" s="95" t="str">
        <f t="shared" si="9"/>
        <v/>
      </c>
      <c r="V71" s="95" t="str">
        <f t="shared" si="10"/>
        <v/>
      </c>
      <c r="X71" s="95">
        <v>46141</v>
      </c>
      <c r="Y71" s="41">
        <v>263.29599999999999</v>
      </c>
      <c r="Z71" s="95">
        <v>45876</v>
      </c>
      <c r="AA71" s="3">
        <v>241.5027</v>
      </c>
      <c r="AB71" s="37">
        <v>45876</v>
      </c>
      <c r="AC71" s="3">
        <v>270.50400000000002</v>
      </c>
      <c r="AD71" s="37">
        <f t="shared" si="11"/>
        <v>45876</v>
      </c>
      <c r="AI71" s="56"/>
    </row>
    <row r="72" spans="1:35" x14ac:dyDescent="0.25">
      <c r="A72" s="98" t="str">
        <f t="shared" ca="1" si="3"/>
        <v/>
      </c>
      <c r="B72" s="33" t="str">
        <f ca="1">IF(COUNTIF($W$2:W1057,A72)=1,VLOOKUP(A72,O:P,2), IF(COUNTIF($W$2:W1057,A72)=0,$B$9,""))</f>
        <v/>
      </c>
      <c r="C72" s="25" t="str">
        <f t="shared" ca="1" si="4"/>
        <v/>
      </c>
      <c r="D72" s="26"/>
      <c r="E72" s="33" t="str">
        <f ca="1">IF(COUNTIF($W$2:W1057,A72)=1,VLOOKUP(A72,Q:R,2), IF(COUNTIF($W$2:W1057,A72)=0,$C$9,""))</f>
        <v/>
      </c>
      <c r="F72" s="25" t="str">
        <f t="shared" ca="1" si="5"/>
        <v/>
      </c>
      <c r="G72" s="26" t="str">
        <f t="shared" ca="1" si="6"/>
        <v/>
      </c>
      <c r="H72" s="33" t="str">
        <f ca="1">IF(COUNTIF($W$2:W1057,A72)=1,VLOOKUP(A72,S:T,2), IF(COUNTIF($W$2:W1057,A72)=0,$D$9,""))</f>
        <v/>
      </c>
      <c r="I72" s="34" t="str">
        <f ca="1">IF(COUNTIF($X$2:X1057,INT(A72))=1,VLOOKUP(INT(A72),X:Y,2), IF(ISERROR(H72-2),"",I71*(1-$D$8*(H72-H71)*0.0001)))</f>
        <v/>
      </c>
      <c r="J72" s="34" t="str">
        <f t="shared" ca="1" si="7"/>
        <v/>
      </c>
      <c r="K72" s="26" t="str">
        <f t="shared" ca="1" si="8"/>
        <v/>
      </c>
      <c r="L72" s="26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55" t="str">
        <f ca="1">IF(ISERROR(B72-2),"",C72+D72-F72-G72-K72+SUM($L$14:L72))</f>
        <v/>
      </c>
      <c r="Q72" s="95">
        <v>46171.625</v>
      </c>
      <c r="R72" s="3">
        <v>105.98</v>
      </c>
      <c r="S72" s="95">
        <v>46148.625</v>
      </c>
      <c r="T72" s="3">
        <v>275.09699999999998</v>
      </c>
      <c r="U72" s="95" t="str">
        <f t="shared" si="9"/>
        <v/>
      </c>
      <c r="V72" s="95" t="str">
        <f t="shared" si="10"/>
        <v/>
      </c>
      <c r="X72" s="95">
        <v>46142</v>
      </c>
      <c r="Y72" s="41">
        <v>263.72019999999998</v>
      </c>
      <c r="Z72" s="95">
        <v>45877</v>
      </c>
      <c r="AA72" s="3">
        <v>241.9376</v>
      </c>
      <c r="AB72" s="37">
        <v>45877</v>
      </c>
      <c r="AC72" s="3">
        <v>266.57299999999998</v>
      </c>
      <c r="AD72" s="37">
        <f t="shared" si="11"/>
        <v>45877</v>
      </c>
      <c r="AI72" s="56"/>
    </row>
    <row r="73" spans="1:35" x14ac:dyDescent="0.25">
      <c r="A73" s="98" t="str">
        <f t="shared" ca="1" si="3"/>
        <v/>
      </c>
      <c r="B73" s="33" t="str">
        <f ca="1">IF(COUNTIF($W$2:W1058,A73)=1,VLOOKUP(A73,O:P,2), IF(COUNTIF($W$2:W1058,A73)=0,$B$9,""))</f>
        <v/>
      </c>
      <c r="C73" s="25" t="str">
        <f t="shared" ca="1" si="4"/>
        <v/>
      </c>
      <c r="D73" s="26"/>
      <c r="E73" s="33" t="str">
        <f ca="1">IF(COUNTIF($W$2:W1058,A73)=1,VLOOKUP(A73,Q:R,2), IF(COUNTIF($W$2:W1058,A73)=0,$C$9,""))</f>
        <v/>
      </c>
      <c r="F73" s="25" t="str">
        <f t="shared" ca="1" si="5"/>
        <v/>
      </c>
      <c r="G73" s="26" t="str">
        <f t="shared" ca="1" si="6"/>
        <v/>
      </c>
      <c r="H73" s="33" t="str">
        <f ca="1">IF(COUNTIF($W$2:W1058,A73)=1,VLOOKUP(A73,S:T,2), IF(COUNTIF($W$2:W1058,A73)=0,$D$9,""))</f>
        <v/>
      </c>
      <c r="I73" s="34" t="str">
        <f ca="1">IF(COUNTIF($X$2:X1058,INT(A73))=1,VLOOKUP(INT(A73),X:Y,2), IF(ISERROR(H73-2),"",I72*(1-$D$8*(H73-H72)*0.0001)))</f>
        <v/>
      </c>
      <c r="J73" s="34" t="str">
        <f t="shared" ca="1" si="7"/>
        <v/>
      </c>
      <c r="K73" s="26" t="str">
        <f t="shared" ca="1" si="8"/>
        <v/>
      </c>
      <c r="L73" s="26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55" t="str">
        <f ca="1">IF(ISERROR(B73-2),"",C73+D73-F73-G73-K73+SUM($L$14:L73))</f>
        <v/>
      </c>
      <c r="Q73" s="95">
        <v>46174.625</v>
      </c>
      <c r="R73" s="3">
        <v>105.79</v>
      </c>
      <c r="S73" s="95">
        <v>46149.625</v>
      </c>
      <c r="T73" s="3">
        <v>275.04599999999999</v>
      </c>
      <c r="U73" s="95" t="str">
        <f t="shared" si="9"/>
        <v/>
      </c>
      <c r="V73" s="95" t="str">
        <f t="shared" si="10"/>
        <v/>
      </c>
      <c r="X73" s="95">
        <v>46143</v>
      </c>
      <c r="Y73" s="41">
        <v>264.85550000000001</v>
      </c>
      <c r="Z73" s="95">
        <v>45880</v>
      </c>
      <c r="AA73" s="3">
        <v>241.95820000000001</v>
      </c>
      <c r="AB73" s="37">
        <v>45880</v>
      </c>
      <c r="AC73" s="3">
        <v>265.935</v>
      </c>
      <c r="AD73" s="37">
        <f t="shared" si="11"/>
        <v>45880</v>
      </c>
      <c r="AI73" s="56"/>
    </row>
    <row r="74" spans="1:35" x14ac:dyDescent="0.25">
      <c r="A74" s="98" t="str">
        <f t="shared" ca="1" si="3"/>
        <v/>
      </c>
      <c r="B74" s="33" t="str">
        <f ca="1">IF(COUNTIF($W$2:W1059,A74)=1,VLOOKUP(A74,O:P,2), IF(COUNTIF($W$2:W1059,A74)=0,$B$9,""))</f>
        <v/>
      </c>
      <c r="C74" s="25" t="str">
        <f t="shared" ca="1" si="4"/>
        <v/>
      </c>
      <c r="D74" s="26"/>
      <c r="E74" s="33" t="str">
        <f ca="1">IF(COUNTIF($W$2:W1059,A74)=1,VLOOKUP(A74,Q:R,2), IF(COUNTIF($W$2:W1059,A74)=0,$C$9,""))</f>
        <v/>
      </c>
      <c r="F74" s="25" t="str">
        <f t="shared" ca="1" si="5"/>
        <v/>
      </c>
      <c r="G74" s="26" t="str">
        <f t="shared" ca="1" si="6"/>
        <v/>
      </c>
      <c r="H74" s="33" t="str">
        <f ca="1">IF(COUNTIF($W$2:W1059,A74)=1,VLOOKUP(A74,S:T,2), IF(COUNTIF($W$2:W1059,A74)=0,$D$9,""))</f>
        <v/>
      </c>
      <c r="I74" s="34" t="str">
        <f ca="1">IF(COUNTIF($X$2:X1059,INT(A74))=1,VLOOKUP(INT(A74),X:Y,2), IF(ISERROR(H74-2),"",I73*(1-$D$8*(H74-H73)*0.0001)))</f>
        <v/>
      </c>
      <c r="J74" s="34" t="str">
        <f t="shared" ca="1" si="7"/>
        <v/>
      </c>
      <c r="K74" s="26" t="str">
        <f t="shared" ca="1" si="8"/>
        <v/>
      </c>
      <c r="L74" s="26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55" t="str">
        <f ca="1">IF(ISERROR(B74-2),"",C74+D74-F74-G74-K74+SUM($L$14:L74))</f>
        <v/>
      </c>
      <c r="Q74" s="95">
        <v>46175.625</v>
      </c>
      <c r="R74" s="3">
        <v>105.85</v>
      </c>
      <c r="S74" s="95">
        <v>46150.625</v>
      </c>
      <c r="T74" s="3">
        <v>277.74599999999998</v>
      </c>
      <c r="U74" s="95" t="str">
        <f t="shared" si="9"/>
        <v/>
      </c>
      <c r="V74" s="95" t="str">
        <f t="shared" si="10"/>
        <v/>
      </c>
      <c r="X74" s="95">
        <v>46147</v>
      </c>
      <c r="Y74" s="41">
        <v>264.5573</v>
      </c>
      <c r="Z74" s="95">
        <v>45881</v>
      </c>
      <c r="AA74" s="3">
        <v>242.30109999999999</v>
      </c>
      <c r="AB74" s="37">
        <v>45881</v>
      </c>
      <c r="AC74" s="3">
        <v>263.49</v>
      </c>
      <c r="AD74" s="37">
        <f t="shared" si="11"/>
        <v>45881</v>
      </c>
      <c r="AI74" s="56"/>
    </row>
    <row r="75" spans="1:35" x14ac:dyDescent="0.25">
      <c r="A75" s="98" t="str">
        <f t="shared" ca="1" si="3"/>
        <v/>
      </c>
      <c r="B75" s="33" t="str">
        <f ca="1">IF(COUNTIF($W$2:W1060,A75)=1,VLOOKUP(A75,O:P,2), IF(COUNTIF($W$2:W1060,A75)=0,$B$9,""))</f>
        <v/>
      </c>
      <c r="C75" s="25" t="str">
        <f t="shared" ca="1" si="4"/>
        <v/>
      </c>
      <c r="D75" s="26"/>
      <c r="E75" s="33" t="str">
        <f ca="1">IF(COUNTIF($W$2:W1060,A75)=1,VLOOKUP(A75,Q:R,2), IF(COUNTIF($W$2:W1060,A75)=0,$C$9,""))</f>
        <v/>
      </c>
      <c r="F75" s="25" t="str">
        <f t="shared" ca="1" si="5"/>
        <v/>
      </c>
      <c r="G75" s="26" t="str">
        <f t="shared" ca="1" si="6"/>
        <v/>
      </c>
      <c r="H75" s="33" t="str">
        <f ca="1">IF(COUNTIF($W$2:W1060,A75)=1,VLOOKUP(A75,S:T,2), IF(COUNTIF($W$2:W1060,A75)=0,$D$9,""))</f>
        <v/>
      </c>
      <c r="I75" s="34" t="str">
        <f ca="1">IF(COUNTIF($X$2:X1060,INT(A75))=1,VLOOKUP(INT(A75),X:Y,2), IF(ISERROR(H75-2),"",I74*(1-$D$8*(H75-H74)*0.0001)))</f>
        <v/>
      </c>
      <c r="J75" s="34" t="str">
        <f t="shared" ca="1" si="7"/>
        <v/>
      </c>
      <c r="K75" s="26" t="str">
        <f t="shared" ca="1" si="8"/>
        <v/>
      </c>
      <c r="L75" s="26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55" t="str">
        <f ca="1">IF(ISERROR(B75-2),"",C75+D75-F75-G75-K75+SUM($L$14:L75))</f>
        <v/>
      </c>
      <c r="Q75" s="95">
        <v>46176.625</v>
      </c>
      <c r="R75" s="3">
        <v>105.76</v>
      </c>
      <c r="S75" s="95">
        <v>46153.625</v>
      </c>
      <c r="T75" s="3">
        <v>277.33600000000001</v>
      </c>
      <c r="U75" s="95" t="str">
        <f t="shared" si="9"/>
        <v/>
      </c>
      <c r="V75" s="95" t="str">
        <f t="shared" si="10"/>
        <v/>
      </c>
      <c r="X75" s="95">
        <v>46148</v>
      </c>
      <c r="Y75" s="41">
        <v>266.11750000000001</v>
      </c>
      <c r="Z75" s="95">
        <v>45882</v>
      </c>
      <c r="AA75" s="3">
        <v>242.66040000000001</v>
      </c>
      <c r="AB75" s="37">
        <v>45882</v>
      </c>
      <c r="AC75" s="3">
        <v>261.18700000000001</v>
      </c>
      <c r="AD75" s="37">
        <f t="shared" si="11"/>
        <v>45882</v>
      </c>
      <c r="AI75" s="56"/>
    </row>
    <row r="76" spans="1:35" x14ac:dyDescent="0.25">
      <c r="A76" s="98" t="str">
        <f t="shared" ca="1" si="3"/>
        <v/>
      </c>
      <c r="B76" s="33" t="str">
        <f ca="1">IF(COUNTIF($W$2:W1061,A76)=1,VLOOKUP(A76,O:P,2), IF(COUNTIF($W$2:W1061,A76)=0,$B$9,""))</f>
        <v/>
      </c>
      <c r="C76" s="25" t="str">
        <f t="shared" ca="1" si="4"/>
        <v/>
      </c>
      <c r="D76" s="26"/>
      <c r="E76" s="33" t="str">
        <f ca="1">IF(COUNTIF($W$2:W1061,A76)=1,VLOOKUP(A76,Q:R,2), IF(COUNTIF($W$2:W1061,A76)=0,$C$9,""))</f>
        <v/>
      </c>
      <c r="F76" s="25" t="str">
        <f t="shared" ca="1" si="5"/>
        <v/>
      </c>
      <c r="G76" s="26" t="str">
        <f t="shared" ca="1" si="6"/>
        <v/>
      </c>
      <c r="H76" s="33" t="str">
        <f ca="1">IF(COUNTIF($W$2:W1061,A76)=1,VLOOKUP(A76,S:T,2), IF(COUNTIF($W$2:W1061,A76)=0,$D$9,""))</f>
        <v/>
      </c>
      <c r="I76" s="34" t="str">
        <f ca="1">IF(COUNTIF($X$2:X1061,INT(A76))=1,VLOOKUP(INT(A76),X:Y,2), IF(ISERROR(H76-2),"",I75*(1-$D$8*(H76-H75)*0.0001)))</f>
        <v/>
      </c>
      <c r="J76" s="34" t="str">
        <f t="shared" ca="1" si="7"/>
        <v/>
      </c>
      <c r="K76" s="26" t="str">
        <f t="shared" ca="1" si="8"/>
        <v/>
      </c>
      <c r="L76" s="26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55" t="str">
        <f ca="1">IF(ISERROR(B76-2),"",C76+D76-F76-G76-K76+SUM($L$14:L76))</f>
        <v/>
      </c>
      <c r="Q76" s="95">
        <v>46177.625</v>
      </c>
      <c r="R76" s="3">
        <v>105.765</v>
      </c>
      <c r="S76" s="95">
        <v>46154.625</v>
      </c>
      <c r="T76" s="3">
        <v>283.721</v>
      </c>
      <c r="U76" s="95" t="str">
        <f t="shared" si="9"/>
        <v/>
      </c>
      <c r="V76" s="95" t="str">
        <f t="shared" si="10"/>
        <v/>
      </c>
      <c r="X76" s="95">
        <v>46149</v>
      </c>
      <c r="Y76" s="41">
        <v>265.79050000000001</v>
      </c>
      <c r="Z76" s="95">
        <v>45883</v>
      </c>
      <c r="AA76" s="3">
        <v>242.72069999999999</v>
      </c>
      <c r="AB76" s="37">
        <v>45883</v>
      </c>
      <c r="AC76" s="3">
        <v>260.53300000000002</v>
      </c>
      <c r="AD76" s="37">
        <f t="shared" si="11"/>
        <v>45883</v>
      </c>
      <c r="AI76" s="56"/>
    </row>
    <row r="77" spans="1:35" x14ac:dyDescent="0.25">
      <c r="A77" s="98" t="str">
        <f t="shared" ca="1" si="3"/>
        <v/>
      </c>
      <c r="B77" s="33" t="str">
        <f ca="1">IF(COUNTIF($W$2:W1062,A77)=1,VLOOKUP(A77,O:P,2), IF(COUNTIF($W$2:W1062,A77)=0,$B$9,""))</f>
        <v/>
      </c>
      <c r="C77" s="25" t="str">
        <f t="shared" ca="1" si="4"/>
        <v/>
      </c>
      <c r="D77" s="26"/>
      <c r="E77" s="33" t="str">
        <f ca="1">IF(COUNTIF($W$2:W1062,A77)=1,VLOOKUP(A77,Q:R,2), IF(COUNTIF($W$2:W1062,A77)=0,$C$9,""))</f>
        <v/>
      </c>
      <c r="F77" s="25" t="str">
        <f t="shared" ca="1" si="5"/>
        <v/>
      </c>
      <c r="G77" s="26" t="str">
        <f t="shared" ca="1" si="6"/>
        <v/>
      </c>
      <c r="H77" s="33" t="str">
        <f ca="1">IF(COUNTIF($W$2:W1062,A77)=1,VLOOKUP(A77,S:T,2), IF(COUNTIF($W$2:W1062,A77)=0,$D$9,""))</f>
        <v/>
      </c>
      <c r="I77" s="34" t="str">
        <f ca="1">IF(COUNTIF($X$2:X1062,INT(A77))=1,VLOOKUP(INT(A77),X:Y,2), IF(ISERROR(H77-2),"",I76*(1-$D$8*(H77-H76)*0.0001)))</f>
        <v/>
      </c>
      <c r="J77" s="34" t="str">
        <f t="shared" ca="1" si="7"/>
        <v/>
      </c>
      <c r="K77" s="26" t="str">
        <f t="shared" ca="1" si="8"/>
        <v/>
      </c>
      <c r="L77" s="26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55" t="str">
        <f ca="1">IF(ISERROR(B77-2),"",C77+D77-F77-G77-K77+SUM($L$14:L77))</f>
        <v/>
      </c>
      <c r="Q77" s="95">
        <v>46178.625</v>
      </c>
      <c r="R77" s="3">
        <v>105.72499999999999</v>
      </c>
      <c r="S77" s="95">
        <v>46155.625</v>
      </c>
      <c r="T77" s="3">
        <v>280.03899999999999</v>
      </c>
      <c r="U77" s="95" t="str">
        <f t="shared" si="9"/>
        <v/>
      </c>
      <c r="V77" s="95" t="str">
        <f t="shared" si="10"/>
        <v/>
      </c>
      <c r="X77" s="95">
        <v>46150</v>
      </c>
      <c r="Y77" s="41">
        <v>265.83870000000002</v>
      </c>
      <c r="Z77" s="95">
        <v>45884</v>
      </c>
      <c r="AA77" s="3">
        <v>242.86539999999999</v>
      </c>
      <c r="AB77" s="37">
        <v>45884</v>
      </c>
      <c r="AC77" s="3">
        <v>259.50799999999998</v>
      </c>
      <c r="AD77" s="37">
        <f t="shared" si="11"/>
        <v>45884</v>
      </c>
      <c r="AI77" s="56"/>
    </row>
    <row r="78" spans="1:35" x14ac:dyDescent="0.25">
      <c r="A78" s="98" t="str">
        <f t="shared" ca="1" si="3"/>
        <v/>
      </c>
      <c r="B78" s="33" t="str">
        <f ca="1">IF(COUNTIF($W$2:W1063,A78)=1,VLOOKUP(A78,O:P,2), IF(COUNTIF($W$2:W1063,A78)=0,$B$9,""))</f>
        <v/>
      </c>
      <c r="C78" s="25" t="str">
        <f t="shared" ca="1" si="4"/>
        <v/>
      </c>
      <c r="D78" s="26"/>
      <c r="E78" s="33" t="str">
        <f ca="1">IF(COUNTIF($W$2:W1063,A78)=1,VLOOKUP(A78,Q:R,2), IF(COUNTIF($W$2:W1063,A78)=0,$C$9,""))</f>
        <v/>
      </c>
      <c r="F78" s="25" t="str">
        <f t="shared" ca="1" si="5"/>
        <v/>
      </c>
      <c r="G78" s="26" t="str">
        <f t="shared" ca="1" si="6"/>
        <v/>
      </c>
      <c r="H78" s="33" t="str">
        <f ca="1">IF(COUNTIF($W$2:W1063,A78)=1,VLOOKUP(A78,S:T,2), IF(COUNTIF($W$2:W1063,A78)=0,$D$9,""))</f>
        <v/>
      </c>
      <c r="I78" s="34" t="str">
        <f ca="1">IF(COUNTIF($X$2:X1063,INT(A78))=1,VLOOKUP(INT(A78),X:Y,2), IF(ISERROR(H78-2),"",I77*(1-$D$8*(H78-H77)*0.0001)))</f>
        <v/>
      </c>
      <c r="J78" s="34" t="str">
        <f t="shared" ca="1" si="7"/>
        <v/>
      </c>
      <c r="K78" s="26" t="str">
        <f t="shared" ca="1" si="8"/>
        <v/>
      </c>
      <c r="L78" s="26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55" t="str">
        <f ca="1">IF(ISERROR(B78-2),"",C78+D78-F78-G78-K78+SUM($L$14:L78))</f>
        <v/>
      </c>
      <c r="S78" s="95">
        <v>46156.625</v>
      </c>
      <c r="T78" s="3">
        <v>274.584</v>
      </c>
      <c r="U78" s="95" t="str">
        <f t="shared" si="9"/>
        <v/>
      </c>
      <c r="V78" s="95" t="str">
        <f t="shared" si="10"/>
        <v/>
      </c>
      <c r="X78" s="95">
        <v>46153</v>
      </c>
      <c r="Y78" s="41">
        <v>266.14510000000001</v>
      </c>
      <c r="Z78" s="95">
        <v>45887</v>
      </c>
      <c r="AA78" s="3">
        <v>242.83189999999999</v>
      </c>
      <c r="AB78" s="37">
        <v>45887</v>
      </c>
      <c r="AC78" s="3">
        <v>259.964</v>
      </c>
      <c r="AD78" s="37">
        <f t="shared" si="11"/>
        <v>45887</v>
      </c>
    </row>
    <row r="79" spans="1:35" x14ac:dyDescent="0.25">
      <c r="A79" s="98" t="str">
        <f t="shared" ref="A79:A142" ca="1" si="12">IF(AND(ISBLANK(W68), A78 = $W$1),NOW(),IF(ISBLANK(W68),"",W68))</f>
        <v/>
      </c>
      <c r="B79" s="33" t="str">
        <f ca="1">IF(COUNTIF($W$2:W1064,A79)=1,VLOOKUP(A79,O:P,2), IF(COUNTIF($W$2:W1064,A79)=0,$B$9,""))</f>
        <v/>
      </c>
      <c r="C79" s="25" t="str">
        <f t="shared" ca="1" si="4"/>
        <v/>
      </c>
      <c r="D79" s="26"/>
      <c r="E79" s="33" t="str">
        <f ca="1">IF(COUNTIF($W$2:W1064,A79)=1,VLOOKUP(A79,Q:R,2), IF(COUNTIF($W$2:W1064,A79)=0,$C$9,""))</f>
        <v/>
      </c>
      <c r="F79" s="25" t="str">
        <f t="shared" ca="1" si="5"/>
        <v/>
      </c>
      <c r="G79" s="26" t="str">
        <f t="shared" ca="1" si="6"/>
        <v/>
      </c>
      <c r="H79" s="33" t="str">
        <f ca="1">IF(COUNTIF($W$2:W1064,A79)=1,VLOOKUP(A79,S:T,2), IF(COUNTIF($W$2:W1064,A79)=0,$D$9,""))</f>
        <v/>
      </c>
      <c r="I79" s="34" t="str">
        <f ca="1">IF(COUNTIF($X$2:X1064,INT(A79))=1,VLOOKUP(INT(A79),X:Y,2), IF(ISERROR(H79-2),"",I78*(1-$D$8*(H79-H78)*0.0001)))</f>
        <v/>
      </c>
      <c r="J79" s="34" t="str">
        <f t="shared" ca="1" si="7"/>
        <v/>
      </c>
      <c r="K79" s="26" t="str">
        <f t="shared" ca="1" si="8"/>
        <v/>
      </c>
      <c r="L79" s="26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55" t="str">
        <f ca="1">IF(ISERROR(B79-2),"",C79+D79-F79-G79-K79+SUM($L$14:L79))</f>
        <v/>
      </c>
      <c r="S79" s="95">
        <v>46157.625</v>
      </c>
      <c r="T79" s="3">
        <v>280.37200000000001</v>
      </c>
      <c r="U79" s="95" t="str">
        <f t="shared" si="9"/>
        <v/>
      </c>
      <c r="V79" s="95" t="str">
        <f t="shared" si="10"/>
        <v/>
      </c>
      <c r="X79" s="95">
        <v>46154</v>
      </c>
      <c r="Y79" s="41">
        <v>265.19240000000002</v>
      </c>
      <c r="Z79" s="95">
        <v>45888</v>
      </c>
      <c r="AA79" s="3">
        <v>242.8905</v>
      </c>
      <c r="AB79" s="37">
        <v>45888</v>
      </c>
      <c r="AC79" s="3">
        <v>260.928</v>
      </c>
      <c r="AD79" s="37">
        <f t="shared" si="11"/>
        <v>45888</v>
      </c>
    </row>
    <row r="80" spans="1:35" x14ac:dyDescent="0.25">
      <c r="A80" s="98" t="str">
        <f t="shared" ca="1" si="12"/>
        <v/>
      </c>
      <c r="B80" s="33" t="str">
        <f ca="1">IF(COUNTIF($W$2:W1065,A80)=1,VLOOKUP(A80,O:P,2), IF(COUNTIF($W$2:W1065,A80)=0,$B$9,""))</f>
        <v/>
      </c>
      <c r="C80" s="25" t="str">
        <f t="shared" ref="C80:C143" ca="1" si="13">IF(ISERROR(B80-2),"",(B80-$B$14)*$H$3*$J$3)</f>
        <v/>
      </c>
      <c r="D80" s="26"/>
      <c r="E80" s="33" t="str">
        <f ca="1">IF(COUNTIF($W$2:W1065,A80)=1,VLOOKUP(A80,Q:R,2), IF(COUNTIF($W$2:W1065,A80)=0,$C$9,""))</f>
        <v/>
      </c>
      <c r="F80" s="25" t="str">
        <f t="shared" ref="F80:F143" ca="1" si="14">IF(ISERROR(B80-2),"",(E80-$E$14)*$H$4*$J$4)</f>
        <v/>
      </c>
      <c r="G80" s="26" t="str">
        <f t="shared" ref="G80:G143" ca="1" si="15">IF(ISERROR(B80-2),"",(INT(A80)-INT($A$14))/360*$C$6*$C$5-(INT(A80)-INT($A$14))/360*$C$7*$C$5*$E$14/100)</f>
        <v/>
      </c>
      <c r="H80" s="33" t="str">
        <f ca="1">IF(COUNTIF($W$2:W1065,A80)=1,VLOOKUP(A80,S:T,2), IF(COUNTIF($W$2:W1065,A80)=0,$D$9,""))</f>
        <v/>
      </c>
      <c r="I80" s="34" t="str">
        <f ca="1">IF(COUNTIF($X$2:X1065,INT(A80))=1,VLOOKUP(INT(A80),X:Y,2), IF(ISERROR(H80-2),"",I79*(1-$D$8*(H80-H79)*0.0001)))</f>
        <v/>
      </c>
      <c r="J80" s="34" t="str">
        <f t="shared" ref="J80:J143" ca="1" si="16">IF(ISERROR(H80-2),"",I80)</f>
        <v/>
      </c>
      <c r="K80" s="26" t="str">
        <f t="shared" ref="K80:K143" ca="1" si="17">IF(ISERROR(H80-2),"",(J80/$J$14-1)*$D$5)</f>
        <v/>
      </c>
      <c r="L80" s="26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55" t="str">
        <f ca="1">IF(ISERROR(B80-2),"",C80+D80-F80-G80-K80+SUM($L$14:L80))</f>
        <v/>
      </c>
      <c r="S80" s="95">
        <v>46160.625</v>
      </c>
      <c r="T80" s="3">
        <v>279.00200000000001</v>
      </c>
      <c r="U80" s="95" t="str">
        <f t="shared" si="9"/>
        <v/>
      </c>
      <c r="V80" s="95" t="str">
        <f t="shared" si="10"/>
        <v/>
      </c>
      <c r="X80" s="95">
        <v>46155</v>
      </c>
      <c r="Y80" s="41">
        <v>265.76659999999998</v>
      </c>
      <c r="Z80" s="95">
        <v>45889</v>
      </c>
      <c r="AA80" s="3">
        <v>242.38249999999999</v>
      </c>
      <c r="AB80" s="37">
        <v>45889</v>
      </c>
      <c r="AC80" s="3">
        <v>265.03500000000003</v>
      </c>
      <c r="AD80" s="37">
        <f t="shared" si="11"/>
        <v>45889</v>
      </c>
    </row>
    <row r="81" spans="1:30" x14ac:dyDescent="0.25">
      <c r="A81" s="98" t="str">
        <f t="shared" ca="1" si="12"/>
        <v/>
      </c>
      <c r="B81" s="33" t="str">
        <f ca="1">IF(COUNTIF($W$2:W1066,A81)=1,VLOOKUP(A81,O:P,2), IF(COUNTIF($W$2:W1066,A81)=0,$B$9,""))</f>
        <v/>
      </c>
      <c r="C81" s="25" t="str">
        <f t="shared" ca="1" si="13"/>
        <v/>
      </c>
      <c r="D81" s="26"/>
      <c r="E81" s="33" t="str">
        <f ca="1">IF(COUNTIF($W$2:W1066,A81)=1,VLOOKUP(A81,Q:R,2), IF(COUNTIF($W$2:W1066,A81)=0,$C$9,""))</f>
        <v/>
      </c>
      <c r="F81" s="25" t="str">
        <f t="shared" ca="1" si="14"/>
        <v/>
      </c>
      <c r="G81" s="26" t="str">
        <f t="shared" ca="1" si="15"/>
        <v/>
      </c>
      <c r="H81" s="33" t="str">
        <f ca="1">IF(COUNTIF($W$2:W1066,A81)=1,VLOOKUP(A81,S:T,2), IF(COUNTIF($W$2:W1066,A81)=0,$D$9,""))</f>
        <v/>
      </c>
      <c r="I81" s="34" t="str">
        <f ca="1">IF(COUNTIF($X$2:X1066,INT(A81))=1,VLOOKUP(INT(A81),X:Y,2), IF(ISERROR(H81-2),"",I80*(1-$D$8*(H81-H80)*0.0001)))</f>
        <v/>
      </c>
      <c r="J81" s="34" t="str">
        <f t="shared" ca="1" si="16"/>
        <v/>
      </c>
      <c r="K81" s="26" t="str">
        <f t="shared" ca="1" si="17"/>
        <v/>
      </c>
      <c r="L81" s="26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55" t="str">
        <f ca="1">IF(ISERROR(B81-2),"",C81+D81-F81-G81-K81+SUM($L$14:L81))</f>
        <v/>
      </c>
      <c r="S81" s="95">
        <v>46161.625</v>
      </c>
      <c r="T81" s="3">
        <v>285.488</v>
      </c>
      <c r="U81" s="95" t="str">
        <f t="shared" si="9"/>
        <v/>
      </c>
      <c r="V81" s="95" t="str">
        <f t="shared" si="10"/>
        <v/>
      </c>
      <c r="X81" s="95">
        <v>46156</v>
      </c>
      <c r="Y81" s="41">
        <v>266.41410000000002</v>
      </c>
      <c r="Z81" s="95">
        <v>45890</v>
      </c>
      <c r="AA81" s="3">
        <v>242.1087</v>
      </c>
      <c r="AB81" s="37">
        <v>45890</v>
      </c>
      <c r="AC81" s="3">
        <v>267.86399999999998</v>
      </c>
      <c r="AD81" s="37">
        <f t="shared" si="11"/>
        <v>45890</v>
      </c>
    </row>
    <row r="82" spans="1:30" x14ac:dyDescent="0.25">
      <c r="A82" s="98" t="str">
        <f t="shared" ca="1" si="12"/>
        <v/>
      </c>
      <c r="B82" s="33" t="str">
        <f ca="1">IF(COUNTIF($W$2:W1067,A82)=1,VLOOKUP(A82,O:P,2), IF(COUNTIF($W$2:W1067,A82)=0,$B$9,""))</f>
        <v/>
      </c>
      <c r="C82" s="25" t="str">
        <f t="shared" ca="1" si="13"/>
        <v/>
      </c>
      <c r="D82" s="26"/>
      <c r="E82" s="33" t="str">
        <f ca="1">IF(COUNTIF($W$2:W1067,A82)=1,VLOOKUP(A82,Q:R,2), IF(COUNTIF($W$2:W1067,A82)=0,$C$9,""))</f>
        <v/>
      </c>
      <c r="F82" s="25" t="str">
        <f t="shared" ca="1" si="14"/>
        <v/>
      </c>
      <c r="G82" s="26" t="str">
        <f t="shared" ca="1" si="15"/>
        <v/>
      </c>
      <c r="H82" s="33" t="str">
        <f ca="1">IF(COUNTIF($W$2:W1067,A82)=1,VLOOKUP(A82,S:T,2), IF(COUNTIF($W$2:W1067,A82)=0,$D$9,""))</f>
        <v/>
      </c>
      <c r="I82" s="34" t="str">
        <f ca="1">IF(COUNTIF($X$2:X1067,INT(A82))=1,VLOOKUP(INT(A82),X:Y,2), IF(ISERROR(H82-2),"",I81*(1-$D$8*(H82-H81)*0.0001)))</f>
        <v/>
      </c>
      <c r="J82" s="34" t="str">
        <f t="shared" ca="1" si="16"/>
        <v/>
      </c>
      <c r="K82" s="26" t="str">
        <f t="shared" ca="1" si="17"/>
        <v/>
      </c>
      <c r="L82" s="26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55" t="str">
        <f ca="1">IF(ISERROR(B82-2),"",C82+D82-F82-G82-K82+SUM($L$14:L82))</f>
        <v/>
      </c>
      <c r="S82" s="95">
        <v>46162.625</v>
      </c>
      <c r="T82" s="3">
        <v>278.315</v>
      </c>
      <c r="U82" s="95" t="str">
        <f t="shared" si="9"/>
        <v/>
      </c>
      <c r="V82" s="95" t="str">
        <f t="shared" si="10"/>
        <v/>
      </c>
      <c r="X82" s="95">
        <v>46157</v>
      </c>
      <c r="Y82" s="41">
        <v>265.51639999999998</v>
      </c>
      <c r="Z82" s="95">
        <v>45891</v>
      </c>
      <c r="AA82" s="3">
        <v>242.8244</v>
      </c>
      <c r="AB82" s="37">
        <v>45891</v>
      </c>
      <c r="AC82" s="3">
        <v>260.35599999999999</v>
      </c>
      <c r="AD82" s="37">
        <f t="shared" si="11"/>
        <v>45891</v>
      </c>
    </row>
    <row r="83" spans="1:30" x14ac:dyDescent="0.25">
      <c r="A83" s="98" t="str">
        <f t="shared" ca="1" si="12"/>
        <v/>
      </c>
      <c r="B83" s="33" t="str">
        <f ca="1">IF(COUNTIF($W$2:W1068,A83)=1,VLOOKUP(A83,O:P,2), IF(COUNTIF($W$2:W1068,A83)=0,$B$9,""))</f>
        <v/>
      </c>
      <c r="C83" s="25" t="str">
        <f t="shared" ca="1" si="13"/>
        <v/>
      </c>
      <c r="D83" s="26"/>
      <c r="E83" s="33" t="str">
        <f ca="1">IF(COUNTIF($W$2:W1068,A83)=1,VLOOKUP(A83,Q:R,2), IF(COUNTIF($W$2:W1068,A83)=0,$C$9,""))</f>
        <v/>
      </c>
      <c r="F83" s="25" t="str">
        <f t="shared" ca="1" si="14"/>
        <v/>
      </c>
      <c r="G83" s="26" t="str">
        <f t="shared" ca="1" si="15"/>
        <v/>
      </c>
      <c r="H83" s="33" t="str">
        <f ca="1">IF(COUNTIF($W$2:W1068,A83)=1,VLOOKUP(A83,S:T,2), IF(COUNTIF($W$2:W1068,A83)=0,$D$9,""))</f>
        <v/>
      </c>
      <c r="I83" s="34" t="str">
        <f ca="1">IF(COUNTIF($X$2:X1068,INT(A83))=1,VLOOKUP(INT(A83),X:Y,2), IF(ISERROR(H83-2),"",I82*(1-$D$8*(H83-H82)*0.0001)))</f>
        <v/>
      </c>
      <c r="J83" s="34" t="str">
        <f t="shared" ca="1" si="16"/>
        <v/>
      </c>
      <c r="K83" s="26" t="str">
        <f t="shared" ca="1" si="17"/>
        <v/>
      </c>
      <c r="L83" s="26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55" t="str">
        <f ca="1">IF(ISERROR(B83-2),"",C83+D83-F83-G83-K83+SUM($L$14:L83))</f>
        <v/>
      </c>
      <c r="S83" s="95">
        <v>46163.625</v>
      </c>
      <c r="T83" s="3">
        <v>279.541</v>
      </c>
      <c r="U83" s="95" t="str">
        <f t="shared" si="9"/>
        <v/>
      </c>
      <c r="V83" s="95" t="str">
        <f t="shared" si="10"/>
        <v/>
      </c>
      <c r="X83" s="95">
        <v>46160</v>
      </c>
      <c r="Y83" s="41">
        <v>265.6705</v>
      </c>
      <c r="Z83" s="95">
        <v>45895</v>
      </c>
      <c r="AA83" s="3">
        <v>242.22980000000001</v>
      </c>
      <c r="AB83" s="37">
        <v>45895</v>
      </c>
      <c r="AC83" s="3">
        <v>267.541</v>
      </c>
      <c r="AD83" s="37">
        <f t="shared" si="11"/>
        <v>45895</v>
      </c>
    </row>
    <row r="84" spans="1:30" x14ac:dyDescent="0.25">
      <c r="A84" s="98" t="str">
        <f t="shared" ca="1" si="12"/>
        <v/>
      </c>
      <c r="B84" s="33" t="str">
        <f ca="1">IF(COUNTIF($W$2:W1069,A84)=1,VLOOKUP(A84,O:P,2), IF(COUNTIF($W$2:W1069,A84)=0,$B$9,""))</f>
        <v/>
      </c>
      <c r="C84" s="25" t="str">
        <f t="shared" ca="1" si="13"/>
        <v/>
      </c>
      <c r="D84" s="26"/>
      <c r="E84" s="33" t="str">
        <f ca="1">IF(COUNTIF($W$2:W1069,A84)=1,VLOOKUP(A84,Q:R,2), IF(COUNTIF($W$2:W1069,A84)=0,$C$9,""))</f>
        <v/>
      </c>
      <c r="F84" s="25" t="str">
        <f t="shared" ca="1" si="14"/>
        <v/>
      </c>
      <c r="G84" s="26" t="str">
        <f t="shared" ca="1" si="15"/>
        <v/>
      </c>
      <c r="H84" s="33" t="str">
        <f ca="1">IF(COUNTIF($W$2:W1069,A84)=1,VLOOKUP(A84,S:T,2), IF(COUNTIF($W$2:W1069,A84)=0,$D$9,""))</f>
        <v/>
      </c>
      <c r="I84" s="34" t="str">
        <f ca="1">IF(COUNTIF($X$2:X1069,INT(A84))=1,VLOOKUP(INT(A84),X:Y,2), IF(ISERROR(H84-2),"",I83*(1-$D$8*(H84-H83)*0.0001)))</f>
        <v/>
      </c>
      <c r="J84" s="34" t="str">
        <f t="shared" ca="1" si="16"/>
        <v/>
      </c>
      <c r="K84" s="26" t="str">
        <f t="shared" ca="1" si="17"/>
        <v/>
      </c>
      <c r="L84" s="26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55" t="str">
        <f ca="1">IF(ISERROR(B84-2),"",C84+D84-F84-G84-K84+SUM($L$14:L84))</f>
        <v/>
      </c>
      <c r="S84" s="95">
        <v>46164.625</v>
      </c>
      <c r="T84" s="3">
        <v>273.86200000000002</v>
      </c>
      <c r="U84" s="95" t="str">
        <f t="shared" si="9"/>
        <v/>
      </c>
      <c r="V84" s="95" t="str">
        <f t="shared" si="10"/>
        <v/>
      </c>
      <c r="X84" s="95">
        <v>46161</v>
      </c>
      <c r="Y84" s="41">
        <v>265.08920000000001</v>
      </c>
      <c r="Z84" s="95">
        <v>45896</v>
      </c>
      <c r="AA84" s="3">
        <v>241.55430000000001</v>
      </c>
      <c r="AB84" s="37">
        <v>45896</v>
      </c>
      <c r="AC84" s="3">
        <v>274.06099999999998</v>
      </c>
      <c r="AD84" s="37">
        <f t="shared" si="11"/>
        <v>45896</v>
      </c>
    </row>
    <row r="85" spans="1:30" x14ac:dyDescent="0.25">
      <c r="A85" s="98" t="str">
        <f t="shared" ca="1" si="12"/>
        <v/>
      </c>
      <c r="B85" s="33" t="str">
        <f ca="1">IF(COUNTIF($W$2:W1070,A85)=1,VLOOKUP(A85,O:P,2), IF(COUNTIF($W$2:W1070,A85)=0,$B$9,""))</f>
        <v/>
      </c>
      <c r="C85" s="25" t="str">
        <f t="shared" ca="1" si="13"/>
        <v/>
      </c>
      <c r="D85" s="26"/>
      <c r="E85" s="33" t="str">
        <f ca="1">IF(COUNTIF($W$2:W1070,A85)=1,VLOOKUP(A85,Q:R,2), IF(COUNTIF($W$2:W1070,A85)=0,$C$9,""))</f>
        <v/>
      </c>
      <c r="F85" s="25" t="str">
        <f t="shared" ca="1" si="14"/>
        <v/>
      </c>
      <c r="G85" s="26" t="str">
        <f t="shared" ca="1" si="15"/>
        <v/>
      </c>
      <c r="H85" s="33" t="str">
        <f ca="1">IF(COUNTIF($W$2:W1070,A85)=1,VLOOKUP(A85,S:T,2), IF(COUNTIF($W$2:W1070,A85)=0,$D$9,""))</f>
        <v/>
      </c>
      <c r="I85" s="34" t="str">
        <f ca="1">IF(COUNTIF($X$2:X1070,INT(A85))=1,VLOOKUP(INT(A85),X:Y,2), IF(ISERROR(H85-2),"",I84*(1-$D$8*(H85-H84)*0.0001)))</f>
        <v/>
      </c>
      <c r="J85" s="34" t="str">
        <f t="shared" ca="1" si="16"/>
        <v/>
      </c>
      <c r="K85" s="26" t="str">
        <f t="shared" ca="1" si="17"/>
        <v/>
      </c>
      <c r="L85" s="26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55" t="str">
        <f ca="1">IF(ISERROR(B85-2),"",C85+D85-F85-G85-K85+SUM($L$14:L85))</f>
        <v/>
      </c>
      <c r="S85" s="95">
        <v>46168.625</v>
      </c>
      <c r="T85" s="3">
        <v>268.83499999999998</v>
      </c>
      <c r="U85" s="95" t="str">
        <f t="shared" si="9"/>
        <v/>
      </c>
      <c r="V85" s="95" t="str">
        <f t="shared" si="10"/>
        <v/>
      </c>
      <c r="X85" s="95">
        <v>46162</v>
      </c>
      <c r="Y85" s="41">
        <v>266.18329999999997</v>
      </c>
      <c r="Z85" s="95">
        <v>45897</v>
      </c>
      <c r="AA85" s="3">
        <v>242.03229999999999</v>
      </c>
      <c r="AB85" s="37">
        <v>45897</v>
      </c>
      <c r="AC85" s="3">
        <v>262.23500000000001</v>
      </c>
      <c r="AD85" s="37">
        <f t="shared" si="11"/>
        <v>45897</v>
      </c>
    </row>
    <row r="86" spans="1:30" x14ac:dyDescent="0.25">
      <c r="A86" s="98" t="str">
        <f t="shared" ca="1" si="12"/>
        <v/>
      </c>
      <c r="B86" s="33" t="str">
        <f ca="1">IF(COUNTIF($W$2:W1071,A86)=1,VLOOKUP(A86,O:P,2), IF(COUNTIF($W$2:W1071,A86)=0,$B$9,""))</f>
        <v/>
      </c>
      <c r="C86" s="25" t="str">
        <f t="shared" ca="1" si="13"/>
        <v/>
      </c>
      <c r="D86" s="26"/>
      <c r="E86" s="33" t="str">
        <f ca="1">IF(COUNTIF($W$2:W1071,A86)=1,VLOOKUP(A86,Q:R,2), IF(COUNTIF($W$2:W1071,A86)=0,$C$9,""))</f>
        <v/>
      </c>
      <c r="F86" s="25" t="str">
        <f t="shared" ca="1" si="14"/>
        <v/>
      </c>
      <c r="G86" s="26" t="str">
        <f t="shared" ca="1" si="15"/>
        <v/>
      </c>
      <c r="H86" s="33" t="str">
        <f ca="1">IF(COUNTIF($W$2:W1071,A86)=1,VLOOKUP(A86,S:T,2), IF(COUNTIF($W$2:W1071,A86)=0,$D$9,""))</f>
        <v/>
      </c>
      <c r="I86" s="34" t="str">
        <f ca="1">IF(COUNTIF($X$2:X1071,INT(A86))=1,VLOOKUP(INT(A86),X:Y,2), IF(ISERROR(H86-2),"",I85*(1-$D$8*(H86-H85)*0.0001)))</f>
        <v/>
      </c>
      <c r="J86" s="34" t="str">
        <f t="shared" ca="1" si="16"/>
        <v/>
      </c>
      <c r="K86" s="26" t="str">
        <f t="shared" ca="1" si="17"/>
        <v/>
      </c>
      <c r="L86" s="26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55" t="str">
        <f ca="1">IF(ISERROR(B86-2),"",C86+D86-F86-G86-K86+SUM($L$14:L86))</f>
        <v/>
      </c>
      <c r="S86" s="95">
        <v>46169.625</v>
      </c>
      <c r="T86" s="3">
        <v>266.55900000000003</v>
      </c>
      <c r="U86" s="95" t="str">
        <f t="shared" si="9"/>
        <v/>
      </c>
      <c r="V86" s="95" t="str">
        <f t="shared" si="10"/>
        <v/>
      </c>
      <c r="X86" s="95">
        <v>46163</v>
      </c>
      <c r="Y86" s="41">
        <v>265.81610000000001</v>
      </c>
      <c r="Z86" s="95">
        <v>45898</v>
      </c>
      <c r="AA86" s="3">
        <v>241.4692</v>
      </c>
      <c r="AB86" s="37">
        <v>45898</v>
      </c>
      <c r="AC86" s="3">
        <v>267.947</v>
      </c>
      <c r="AD86" s="37">
        <f t="shared" si="11"/>
        <v>45898</v>
      </c>
    </row>
    <row r="87" spans="1:30" x14ac:dyDescent="0.25">
      <c r="A87" s="98" t="str">
        <f t="shared" ca="1" si="12"/>
        <v/>
      </c>
      <c r="B87" s="33" t="str">
        <f ca="1">IF(COUNTIF($W$2:W1072,A87)=1,VLOOKUP(A87,O:P,2), IF(COUNTIF($W$2:W1072,A87)=0,$B$9,""))</f>
        <v/>
      </c>
      <c r="C87" s="25" t="str">
        <f t="shared" ca="1" si="13"/>
        <v/>
      </c>
      <c r="D87" s="26"/>
      <c r="E87" s="33" t="str">
        <f ca="1">IF(COUNTIF($W$2:W1072,A87)=1,VLOOKUP(A87,Q:R,2), IF(COUNTIF($W$2:W1072,A87)=0,$C$9,""))</f>
        <v/>
      </c>
      <c r="F87" s="25" t="str">
        <f t="shared" ca="1" si="14"/>
        <v/>
      </c>
      <c r="G87" s="26" t="str">
        <f t="shared" ca="1" si="15"/>
        <v/>
      </c>
      <c r="H87" s="33" t="str">
        <f ca="1">IF(COUNTIF($W$2:W1072,A87)=1,VLOOKUP(A87,S:T,2), IF(COUNTIF($W$2:W1072,A87)=0,$D$9,""))</f>
        <v/>
      </c>
      <c r="I87" s="34" t="str">
        <f ca="1">IF(COUNTIF($X$2:X1072,INT(A87))=1,VLOOKUP(INT(A87),X:Y,2), IF(ISERROR(H87-2),"",I86*(1-$D$8*(H87-H86)*0.0001)))</f>
        <v/>
      </c>
      <c r="J87" s="34" t="str">
        <f t="shared" ca="1" si="16"/>
        <v/>
      </c>
      <c r="K87" s="26" t="str">
        <f t="shared" ca="1" si="17"/>
        <v/>
      </c>
      <c r="L87" s="26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55" t="str">
        <f ca="1">IF(ISERROR(B87-2),"",C87+D87-F87-G87-K87+SUM($L$14:L87))</f>
        <v/>
      </c>
      <c r="S87" s="95">
        <v>46170.625</v>
      </c>
      <c r="T87" s="3">
        <v>264.23200000000003</v>
      </c>
      <c r="U87" s="95" t="str">
        <f t="shared" si="9"/>
        <v/>
      </c>
      <c r="V87" s="95" t="str">
        <f t="shared" si="10"/>
        <v/>
      </c>
      <c r="X87" s="95">
        <v>46164</v>
      </c>
      <c r="Y87" s="41">
        <v>266.66180000000003</v>
      </c>
      <c r="Z87" s="95">
        <v>45901</v>
      </c>
      <c r="AA87" s="3">
        <v>241.56809999999999</v>
      </c>
      <c r="AB87" s="37">
        <v>45901</v>
      </c>
      <c r="AC87" s="3">
        <v>268.048</v>
      </c>
      <c r="AD87" s="37">
        <f t="shared" si="11"/>
        <v>45901</v>
      </c>
    </row>
    <row r="88" spans="1:30" x14ac:dyDescent="0.25">
      <c r="A88" s="98" t="str">
        <f t="shared" ca="1" si="12"/>
        <v/>
      </c>
      <c r="B88" s="33" t="str">
        <f ca="1">IF(COUNTIF($W$2:W1073,A88)=1,VLOOKUP(A88,O:P,2), IF(COUNTIF($W$2:W1073,A88)=0,$B$9,""))</f>
        <v/>
      </c>
      <c r="C88" s="25" t="str">
        <f t="shared" ca="1" si="13"/>
        <v/>
      </c>
      <c r="D88" s="26"/>
      <c r="E88" s="33" t="str">
        <f ca="1">IF(COUNTIF($W$2:W1073,A88)=1,VLOOKUP(A88,Q:R,2), IF(COUNTIF($W$2:W1073,A88)=0,$C$9,""))</f>
        <v/>
      </c>
      <c r="F88" s="25" t="str">
        <f t="shared" ca="1" si="14"/>
        <v/>
      </c>
      <c r="G88" s="26" t="str">
        <f t="shared" ca="1" si="15"/>
        <v/>
      </c>
      <c r="H88" s="33" t="str">
        <f ca="1">IF(COUNTIF($W$2:W1073,A88)=1,VLOOKUP(A88,S:T,2), IF(COUNTIF($W$2:W1073,A88)=0,$D$9,""))</f>
        <v/>
      </c>
      <c r="I88" s="34" t="str">
        <f ca="1">IF(COUNTIF($X$2:X1073,INT(A88))=1,VLOOKUP(INT(A88),X:Y,2), IF(ISERROR(H88-2),"",I87*(1-$D$8*(H88-H87)*0.0001)))</f>
        <v/>
      </c>
      <c r="J88" s="34" t="str">
        <f t="shared" ca="1" si="16"/>
        <v/>
      </c>
      <c r="K88" s="26" t="str">
        <f t="shared" ca="1" si="17"/>
        <v/>
      </c>
      <c r="L88" s="26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55" t="str">
        <f ca="1">IF(ISERROR(B88-2),"",C88+D88-F88-G88-K88+SUM($L$14:L88))</f>
        <v/>
      </c>
      <c r="S88" s="95">
        <v>46171.625</v>
      </c>
      <c r="T88" s="3">
        <v>258.70600000000002</v>
      </c>
      <c r="U88" s="95" t="str">
        <f t="shared" si="9"/>
        <v/>
      </c>
      <c r="V88" s="95" t="str">
        <f t="shared" si="10"/>
        <v/>
      </c>
      <c r="X88" s="95">
        <v>46168</v>
      </c>
      <c r="Y88" s="41">
        <v>267.40750000000003</v>
      </c>
      <c r="Z88" s="95">
        <v>45902</v>
      </c>
      <c r="AA88" s="3">
        <v>240.87819999999999</v>
      </c>
      <c r="AB88" s="37">
        <v>45902</v>
      </c>
      <c r="AC88" s="3">
        <v>274.36700000000002</v>
      </c>
      <c r="AD88" s="37">
        <f t="shared" si="11"/>
        <v>45902</v>
      </c>
    </row>
    <row r="89" spans="1:30" x14ac:dyDescent="0.25">
      <c r="A89" s="98" t="str">
        <f t="shared" ca="1" si="12"/>
        <v/>
      </c>
      <c r="B89" s="33" t="str">
        <f ca="1">IF(COUNTIF($W$2:W1074,A89)=1,VLOOKUP(A89,O:P,2), IF(COUNTIF($W$2:W1074,A89)=0,$B$9,""))</f>
        <v/>
      </c>
      <c r="C89" s="25" t="str">
        <f t="shared" ca="1" si="13"/>
        <v/>
      </c>
      <c r="D89" s="26"/>
      <c r="E89" s="33" t="str">
        <f ca="1">IF(COUNTIF($W$2:W1074,A89)=1,VLOOKUP(A89,Q:R,2), IF(COUNTIF($W$2:W1074,A89)=0,$C$9,""))</f>
        <v/>
      </c>
      <c r="F89" s="25" t="str">
        <f t="shared" ca="1" si="14"/>
        <v/>
      </c>
      <c r="G89" s="26" t="str">
        <f t="shared" ca="1" si="15"/>
        <v/>
      </c>
      <c r="H89" s="33" t="str">
        <f ca="1">IF(COUNTIF($W$2:W1074,A89)=1,VLOOKUP(A89,S:T,2), IF(COUNTIF($W$2:W1074,A89)=0,$D$9,""))</f>
        <v/>
      </c>
      <c r="I89" s="34" t="str">
        <f ca="1">IF(COUNTIF($X$2:X1074,INT(A89))=1,VLOOKUP(INT(A89),X:Y,2), IF(ISERROR(H89-2),"",I88*(1-$D$8*(H89-H88)*0.0001)))</f>
        <v/>
      </c>
      <c r="J89" s="34" t="str">
        <f t="shared" ca="1" si="16"/>
        <v/>
      </c>
      <c r="K89" s="26" t="str">
        <f t="shared" ca="1" si="17"/>
        <v/>
      </c>
      <c r="L89" s="26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55" t="str">
        <f ca="1">IF(ISERROR(B89-2),"",C89+D89-F89-G89-K89+SUM($L$14:L89))</f>
        <v/>
      </c>
      <c r="S89" s="95">
        <v>46174.625</v>
      </c>
      <c r="T89" s="3">
        <v>265.43599999999998</v>
      </c>
      <c r="U89" s="95" t="str">
        <f t="shared" si="9"/>
        <v/>
      </c>
      <c r="V89" s="95" t="str">
        <f t="shared" si="10"/>
        <v/>
      </c>
      <c r="X89" s="95">
        <v>46169</v>
      </c>
      <c r="Y89" s="41">
        <v>267.66390000000001</v>
      </c>
      <c r="Z89" s="95">
        <v>45903</v>
      </c>
      <c r="AA89" s="3">
        <v>241.68289999999999</v>
      </c>
      <c r="AB89" s="37">
        <v>45903</v>
      </c>
      <c r="AC89" s="3">
        <v>267.29599999999999</v>
      </c>
      <c r="AD89" s="37">
        <f t="shared" si="11"/>
        <v>45903</v>
      </c>
    </row>
    <row r="90" spans="1:30" x14ac:dyDescent="0.25">
      <c r="A90" s="98" t="str">
        <f t="shared" ca="1" si="12"/>
        <v/>
      </c>
      <c r="B90" s="33" t="str">
        <f ca="1">IF(COUNTIF($W$2:W1075,A90)=1,VLOOKUP(A90,O:P,2), IF(COUNTIF($W$2:W1075,A90)=0,$B$9,""))</f>
        <v/>
      </c>
      <c r="C90" s="25" t="str">
        <f t="shared" ca="1" si="13"/>
        <v/>
      </c>
      <c r="D90" s="26"/>
      <c r="E90" s="33" t="str">
        <f ca="1">IF(COUNTIF($W$2:W1075,A90)=1,VLOOKUP(A90,Q:R,2), IF(COUNTIF($W$2:W1075,A90)=0,$C$9,""))</f>
        <v/>
      </c>
      <c r="F90" s="25" t="str">
        <f t="shared" ca="1" si="14"/>
        <v/>
      </c>
      <c r="G90" s="26" t="str">
        <f t="shared" ca="1" si="15"/>
        <v/>
      </c>
      <c r="H90" s="33" t="str">
        <f ca="1">IF(COUNTIF($W$2:W1075,A90)=1,VLOOKUP(A90,S:T,2), IF(COUNTIF($W$2:W1075,A90)=0,$D$9,""))</f>
        <v/>
      </c>
      <c r="I90" s="34" t="str">
        <f ca="1">IF(COUNTIF($X$2:X1075,INT(A90))=1,VLOOKUP(INT(A90),X:Y,2), IF(ISERROR(H90-2),"",I89*(1-$D$8*(H90-H89)*0.0001)))</f>
        <v/>
      </c>
      <c r="J90" s="34" t="str">
        <f t="shared" ca="1" si="16"/>
        <v/>
      </c>
      <c r="K90" s="26" t="str">
        <f t="shared" ca="1" si="17"/>
        <v/>
      </c>
      <c r="L90" s="26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55" t="str">
        <f ca="1">IF(ISERROR(B90-2),"",C90+D90-F90-G90-K90+SUM($L$14:L90))</f>
        <v/>
      </c>
      <c r="S90" s="95">
        <v>46175.625</v>
      </c>
      <c r="T90" s="3">
        <v>258.46100000000001</v>
      </c>
      <c r="U90" s="95" t="str">
        <f t="shared" si="9"/>
        <v/>
      </c>
      <c r="V90" s="95" t="str">
        <f t="shared" si="10"/>
        <v/>
      </c>
      <c r="X90" s="95">
        <v>46170</v>
      </c>
      <c r="Y90" s="41">
        <v>268.21620000000001</v>
      </c>
      <c r="Z90" s="95">
        <v>45904</v>
      </c>
      <c r="AA90" s="3">
        <v>242.12819999999999</v>
      </c>
      <c r="AB90" s="37">
        <v>45904</v>
      </c>
      <c r="AC90" s="3">
        <v>262.767</v>
      </c>
      <c r="AD90" s="37">
        <f t="shared" si="11"/>
        <v>45904</v>
      </c>
    </row>
    <row r="91" spans="1:30" x14ac:dyDescent="0.25">
      <c r="A91" s="98" t="str">
        <f t="shared" ca="1" si="12"/>
        <v/>
      </c>
      <c r="B91" s="33" t="str">
        <f ca="1">IF(COUNTIF($W$2:W1076,A91)=1,VLOOKUP(A91,O:P,2), IF(COUNTIF($W$2:W1076,A91)=0,$B$9,""))</f>
        <v/>
      </c>
      <c r="C91" s="25" t="str">
        <f t="shared" ca="1" si="13"/>
        <v/>
      </c>
      <c r="D91" s="26"/>
      <c r="E91" s="33" t="str">
        <f ca="1">IF(COUNTIF($W$2:W1076,A91)=1,VLOOKUP(A91,Q:R,2), IF(COUNTIF($W$2:W1076,A91)=0,$C$9,""))</f>
        <v/>
      </c>
      <c r="F91" s="25" t="str">
        <f t="shared" ca="1" si="14"/>
        <v/>
      </c>
      <c r="G91" s="26" t="str">
        <f t="shared" ca="1" si="15"/>
        <v/>
      </c>
      <c r="H91" s="33" t="str">
        <f ca="1">IF(COUNTIF($W$2:W1076,A91)=1,VLOOKUP(A91,S:T,2), IF(COUNTIF($W$2:W1076,A91)=0,$D$9,""))</f>
        <v/>
      </c>
      <c r="I91" s="34" t="str">
        <f ca="1">IF(COUNTIF($X$2:X1076,INT(A91))=1,VLOOKUP(INT(A91),X:Y,2), IF(ISERROR(H91-2),"",I90*(1-$D$8*(H91-H90)*0.0001)))</f>
        <v/>
      </c>
      <c r="J91" s="34" t="str">
        <f t="shared" ca="1" si="16"/>
        <v/>
      </c>
      <c r="K91" s="26" t="str">
        <f t="shared" ca="1" si="17"/>
        <v/>
      </c>
      <c r="L91" s="26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55" t="str">
        <f ca="1">IF(ISERROR(B91-2),"",C91+D91-F91-G91-K91+SUM($L$14:L91))</f>
        <v/>
      </c>
      <c r="S91" s="95">
        <v>46176.625</v>
      </c>
      <c r="T91" s="3">
        <v>261.79599999999999</v>
      </c>
      <c r="U91" s="95" t="str">
        <f t="shared" si="9"/>
        <v/>
      </c>
      <c r="V91" s="95" t="str">
        <f t="shared" si="10"/>
        <v/>
      </c>
      <c r="X91" s="95">
        <v>46171</v>
      </c>
      <c r="Y91" s="41">
        <v>268.76229999999998</v>
      </c>
      <c r="Z91" s="95">
        <v>45905</v>
      </c>
      <c r="AA91" s="3">
        <v>242.15459999999999</v>
      </c>
      <c r="AB91" s="37">
        <v>45905</v>
      </c>
      <c r="AC91" s="3">
        <v>262.98399999999998</v>
      </c>
      <c r="AD91" s="37">
        <f t="shared" si="11"/>
        <v>45905</v>
      </c>
    </row>
    <row r="92" spans="1:30" x14ac:dyDescent="0.25">
      <c r="A92" s="98" t="str">
        <f t="shared" ca="1" si="12"/>
        <v/>
      </c>
      <c r="B92" s="33" t="str">
        <f ca="1">IF(COUNTIF($W$2:W1077,A92)=1,VLOOKUP(A92,O:P,2), IF(COUNTIF($W$2:W1077,A92)=0,$B$9,""))</f>
        <v/>
      </c>
      <c r="C92" s="25" t="str">
        <f t="shared" ca="1" si="13"/>
        <v/>
      </c>
      <c r="D92" s="26"/>
      <c r="E92" s="33" t="str">
        <f ca="1">IF(COUNTIF($W$2:W1077,A92)=1,VLOOKUP(A92,Q:R,2), IF(COUNTIF($W$2:W1077,A92)=0,$C$9,""))</f>
        <v/>
      </c>
      <c r="F92" s="25" t="str">
        <f t="shared" ca="1" si="14"/>
        <v/>
      </c>
      <c r="G92" s="26" t="str">
        <f t="shared" ca="1" si="15"/>
        <v/>
      </c>
      <c r="H92" s="33" t="str">
        <f ca="1">IF(COUNTIF($W$2:W1077,A92)=1,VLOOKUP(A92,S:T,2), IF(COUNTIF($W$2:W1077,A92)=0,$D$9,""))</f>
        <v/>
      </c>
      <c r="I92" s="34" t="str">
        <f ca="1">IF(COUNTIF($X$2:X1077,INT(A92))=1,VLOOKUP(INT(A92),X:Y,2), IF(ISERROR(H92-2),"",I91*(1-$D$8*(H92-H91)*0.0001)))</f>
        <v/>
      </c>
      <c r="J92" s="34" t="str">
        <f t="shared" ca="1" si="16"/>
        <v/>
      </c>
      <c r="K92" s="26" t="str">
        <f t="shared" ca="1" si="17"/>
        <v/>
      </c>
      <c r="L92" s="26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55" t="str">
        <f ca="1">IF(ISERROR(B92-2),"",C92+D92-F92-G92-K92+SUM($L$14:L92))</f>
        <v/>
      </c>
      <c r="S92" s="95">
        <v>46177.625</v>
      </c>
      <c r="T92" s="3">
        <v>261.392</v>
      </c>
      <c r="U92" s="95" t="str">
        <f t="shared" si="9"/>
        <v/>
      </c>
      <c r="V92" s="95" t="str">
        <f t="shared" si="10"/>
        <v/>
      </c>
      <c r="X92" s="95">
        <v>46174</v>
      </c>
      <c r="Y92" s="41">
        <v>268.39839999999998</v>
      </c>
      <c r="Z92" s="95">
        <v>45908</v>
      </c>
      <c r="AA92" s="3">
        <v>242.51220000000001</v>
      </c>
      <c r="AB92" s="37">
        <v>45908</v>
      </c>
      <c r="AC92" s="3">
        <v>260.62700000000001</v>
      </c>
      <c r="AD92" s="37">
        <f t="shared" si="11"/>
        <v>45908</v>
      </c>
    </row>
    <row r="93" spans="1:30" x14ac:dyDescent="0.25">
      <c r="A93" s="98" t="str">
        <f t="shared" ca="1" si="12"/>
        <v/>
      </c>
      <c r="B93" s="33" t="str">
        <f ca="1">IF(COUNTIF($W$2:W1078,A93)=1,VLOOKUP(A93,O:P,2), IF(COUNTIF($W$2:W1078,A93)=0,$B$9,""))</f>
        <v/>
      </c>
      <c r="C93" s="25" t="str">
        <f t="shared" ca="1" si="13"/>
        <v/>
      </c>
      <c r="D93" s="26"/>
      <c r="E93" s="33" t="str">
        <f ca="1">IF(COUNTIF($W$2:W1078,A93)=1,VLOOKUP(A93,Q:R,2), IF(COUNTIF($W$2:W1078,A93)=0,$C$9,""))</f>
        <v/>
      </c>
      <c r="F93" s="25" t="str">
        <f t="shared" ca="1" si="14"/>
        <v/>
      </c>
      <c r="G93" s="26" t="str">
        <f t="shared" ca="1" si="15"/>
        <v/>
      </c>
      <c r="H93" s="33" t="str">
        <f ca="1">IF(COUNTIF($W$2:W1078,A93)=1,VLOOKUP(A93,S:T,2), IF(COUNTIF($W$2:W1078,A93)=0,$D$9,""))</f>
        <v/>
      </c>
      <c r="I93" s="34" t="str">
        <f ca="1">IF(COUNTIF($X$2:X1078,INT(A93))=1,VLOOKUP(INT(A93),X:Y,2), IF(ISERROR(H93-2),"",I92*(1-$D$8*(H93-H92)*0.0001)))</f>
        <v/>
      </c>
      <c r="J93" s="34" t="str">
        <f t="shared" ca="1" si="16"/>
        <v/>
      </c>
      <c r="K93" s="26" t="str">
        <f t="shared" ca="1" si="17"/>
        <v/>
      </c>
      <c r="L93" s="26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55" t="str">
        <f ca="1">IF(ISERROR(B93-2),"",C93+D93-F93-G93-K93+SUM($L$14:L93))</f>
        <v/>
      </c>
      <c r="S93" s="95">
        <v>46178.625</v>
      </c>
      <c r="T93" s="3">
        <v>261.88600000000002</v>
      </c>
      <c r="U93" s="95" t="str">
        <f t="shared" si="9"/>
        <v/>
      </c>
      <c r="V93" s="95" t="str">
        <f t="shared" si="10"/>
        <v/>
      </c>
      <c r="X93" s="95">
        <v>46175</v>
      </c>
      <c r="Y93" s="41">
        <v>268.89879999999999</v>
      </c>
      <c r="Z93" s="95">
        <v>45909</v>
      </c>
      <c r="AA93" s="3">
        <v>242.49459999999999</v>
      </c>
      <c r="AB93" s="37">
        <v>45909</v>
      </c>
      <c r="AC93" s="3">
        <v>260.81900000000002</v>
      </c>
      <c r="AD93" s="37">
        <f t="shared" si="11"/>
        <v>45909</v>
      </c>
    </row>
    <row r="94" spans="1:30" x14ac:dyDescent="0.25">
      <c r="A94" s="98" t="str">
        <f t="shared" ca="1" si="12"/>
        <v/>
      </c>
      <c r="B94" s="33" t="str">
        <f ca="1">IF(COUNTIF($W$2:W1079,A94)=1,VLOOKUP(A94,O:P,2), IF(COUNTIF($W$2:W1079,A94)=0,$B$9,""))</f>
        <v/>
      </c>
      <c r="C94" s="25" t="str">
        <f t="shared" ca="1" si="13"/>
        <v/>
      </c>
      <c r="D94" s="26"/>
      <c r="E94" s="33" t="str">
        <f ca="1">IF(COUNTIF($W$2:W1079,A94)=1,VLOOKUP(A94,Q:R,2), IF(COUNTIF($W$2:W1079,A94)=0,$C$9,""))</f>
        <v/>
      </c>
      <c r="F94" s="25" t="str">
        <f t="shared" ca="1" si="14"/>
        <v/>
      </c>
      <c r="G94" s="26" t="str">
        <f t="shared" ca="1" si="15"/>
        <v/>
      </c>
      <c r="H94" s="33" t="str">
        <f ca="1">IF(COUNTIF($W$2:W1079,A94)=1,VLOOKUP(A94,S:T,2), IF(COUNTIF($W$2:W1079,A94)=0,$D$9,""))</f>
        <v/>
      </c>
      <c r="I94" s="34" t="str">
        <f ca="1">IF(COUNTIF($X$2:X1079,INT(A94))=1,VLOOKUP(INT(A94),X:Y,2), IF(ISERROR(H94-2),"",I93*(1-$D$8*(H94-H93)*0.0001)))</f>
        <v/>
      </c>
      <c r="J94" s="34" t="str">
        <f t="shared" ca="1" si="16"/>
        <v/>
      </c>
      <c r="K94" s="26" t="str">
        <f t="shared" ca="1" si="17"/>
        <v/>
      </c>
      <c r="L94" s="26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55" t="str">
        <f ca="1">IF(ISERROR(B94-2),"",C94+D94-F94-G94-K94+SUM($L$14:L94))</f>
        <v/>
      </c>
      <c r="S94" s="95">
        <v>46181.625</v>
      </c>
      <c r="T94" s="3">
        <v>263.755</v>
      </c>
      <c r="U94" s="95" t="str">
        <f t="shared" si="9"/>
        <v/>
      </c>
      <c r="V94" s="95" t="str">
        <f t="shared" si="10"/>
        <v/>
      </c>
      <c r="X94" s="95">
        <v>46176</v>
      </c>
      <c r="Y94" s="41">
        <v>268.40789999999998</v>
      </c>
      <c r="Z94" s="95">
        <v>45910</v>
      </c>
      <c r="AA94" s="3">
        <v>242.7055</v>
      </c>
      <c r="AB94" s="37">
        <v>45910</v>
      </c>
      <c r="AC94" s="3">
        <v>258.92</v>
      </c>
      <c r="AD94" s="37">
        <f t="shared" si="11"/>
        <v>45910</v>
      </c>
    </row>
    <row r="95" spans="1:30" x14ac:dyDescent="0.25">
      <c r="A95" s="98" t="str">
        <f t="shared" ca="1" si="12"/>
        <v/>
      </c>
      <c r="B95" s="33" t="str">
        <f ca="1">IF(COUNTIF($W$2:W1080,A95)=1,VLOOKUP(A95,O:P,2), IF(COUNTIF($W$2:W1080,A95)=0,$B$9,""))</f>
        <v/>
      </c>
      <c r="C95" s="25" t="str">
        <f t="shared" ca="1" si="13"/>
        <v/>
      </c>
      <c r="D95" s="26"/>
      <c r="E95" s="33" t="str">
        <f ca="1">IF(COUNTIF($W$2:W1080,A95)=1,VLOOKUP(A95,Q:R,2), IF(COUNTIF($W$2:W1080,A95)=0,$C$9,""))</f>
        <v/>
      </c>
      <c r="F95" s="25" t="str">
        <f t="shared" ca="1" si="14"/>
        <v/>
      </c>
      <c r="G95" s="26" t="str">
        <f t="shared" ca="1" si="15"/>
        <v/>
      </c>
      <c r="H95" s="33" t="str">
        <f ca="1">IF(COUNTIF($W$2:W1080,A95)=1,VLOOKUP(A95,S:T,2), IF(COUNTIF($W$2:W1080,A95)=0,$D$9,""))</f>
        <v/>
      </c>
      <c r="I95" s="34" t="str">
        <f ca="1">IF(COUNTIF($X$2:X1080,INT(A95))=1,VLOOKUP(INT(A95),X:Y,2), IF(ISERROR(H95-2),"",I94*(1-$D$8*(H95-H94)*0.0001)))</f>
        <v/>
      </c>
      <c r="J95" s="34" t="str">
        <f t="shared" ca="1" si="16"/>
        <v/>
      </c>
      <c r="K95" s="26" t="str">
        <f t="shared" ca="1" si="17"/>
        <v/>
      </c>
      <c r="L95" s="26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55" t="str">
        <f ca="1">IF(ISERROR(B95-2),"",C95+D95-F95-G95-K95+SUM($L$14:L95))</f>
        <v/>
      </c>
      <c r="S95" s="95">
        <v>46182.625</v>
      </c>
      <c r="T95" s="3">
        <v>261.05</v>
      </c>
      <c r="U95" s="95" t="str">
        <f t="shared" si="9"/>
        <v/>
      </c>
      <c r="V95" s="95" t="str">
        <f t="shared" si="10"/>
        <v/>
      </c>
      <c r="X95" s="95">
        <v>46177</v>
      </c>
      <c r="Y95" s="41">
        <v>268.64510000000001</v>
      </c>
      <c r="Z95" s="95">
        <v>45911</v>
      </c>
      <c r="AA95" s="3">
        <v>243.49940000000001</v>
      </c>
      <c r="AB95" s="37">
        <v>45911</v>
      </c>
      <c r="AC95" s="3">
        <v>252.2</v>
      </c>
      <c r="AD95" s="37">
        <f t="shared" si="11"/>
        <v>45911</v>
      </c>
    </row>
    <row r="96" spans="1:30" x14ac:dyDescent="0.25">
      <c r="A96" s="98" t="str">
        <f t="shared" ca="1" si="12"/>
        <v/>
      </c>
      <c r="B96" s="33" t="str">
        <f ca="1">IF(COUNTIF($W$2:W1081,A96)=1,VLOOKUP(A96,O:P,2), IF(COUNTIF($W$2:W1081,A96)=0,$B$9,""))</f>
        <v/>
      </c>
      <c r="C96" s="25" t="str">
        <f t="shared" ca="1" si="13"/>
        <v/>
      </c>
      <c r="D96" s="26"/>
      <c r="E96" s="33" t="str">
        <f ca="1">IF(COUNTIF($W$2:W1081,A96)=1,VLOOKUP(A96,Q:R,2), IF(COUNTIF($W$2:W1081,A96)=0,$C$9,""))</f>
        <v/>
      </c>
      <c r="F96" s="25" t="str">
        <f t="shared" ca="1" si="14"/>
        <v/>
      </c>
      <c r="G96" s="26" t="str">
        <f t="shared" ca="1" si="15"/>
        <v/>
      </c>
      <c r="H96" s="33" t="str">
        <f ca="1">IF(COUNTIF($W$2:W1081,A96)=1,VLOOKUP(A96,S:T,2), IF(COUNTIF($W$2:W1081,A96)=0,$D$9,""))</f>
        <v/>
      </c>
      <c r="I96" s="34" t="str">
        <f ca="1">IF(COUNTIF($X$2:X1081,INT(A96))=1,VLOOKUP(INT(A96),X:Y,2), IF(ISERROR(H96-2),"",I95*(1-$D$8*(H96-H95)*0.0001)))</f>
        <v/>
      </c>
      <c r="J96" s="34" t="str">
        <f t="shared" ca="1" si="16"/>
        <v/>
      </c>
      <c r="K96" s="26" t="str">
        <f t="shared" ca="1" si="17"/>
        <v/>
      </c>
      <c r="L96" s="26"/>
      <c r="M96" s="55" t="str">
        <f ca="1">IF(ISERROR(B96-2),"",C96+D96-F96-G96-K96+SUM($L$14:L96))</f>
        <v/>
      </c>
      <c r="S96" s="95">
        <v>46183.625</v>
      </c>
      <c r="T96" s="3">
        <v>264.82</v>
      </c>
      <c r="U96" s="95" t="str">
        <f t="shared" si="9"/>
        <v/>
      </c>
      <c r="V96" s="95" t="str">
        <f t="shared" si="10"/>
        <v/>
      </c>
      <c r="X96" s="95">
        <v>46178</v>
      </c>
      <c r="Y96" s="41">
        <v>268.35000000000002</v>
      </c>
      <c r="Z96" s="95">
        <v>45912</v>
      </c>
      <c r="AA96" s="3">
        <v>243.55</v>
      </c>
      <c r="AB96" s="37">
        <v>45912</v>
      </c>
      <c r="AC96" s="3">
        <v>251.792</v>
      </c>
      <c r="AD96" s="37">
        <f t="shared" si="11"/>
        <v>45912</v>
      </c>
    </row>
    <row r="97" spans="1:30" x14ac:dyDescent="0.25">
      <c r="A97" s="98" t="str">
        <f t="shared" ca="1" si="12"/>
        <v/>
      </c>
      <c r="B97" s="33" t="str">
        <f ca="1">IF(COUNTIF($W$2:W1082,A97)=1,VLOOKUP(A97,O:P,2), IF(COUNTIF($W$2:W1082,A97)=0,$B$9,""))</f>
        <v/>
      </c>
      <c r="C97" s="25" t="str">
        <f t="shared" ca="1" si="13"/>
        <v/>
      </c>
      <c r="D97" s="26"/>
      <c r="E97" s="33" t="str">
        <f ca="1">IF(COUNTIF($W$2:W1082,A97)=1,VLOOKUP(A97,Q:R,2), IF(COUNTIF($W$2:W1082,A97)=0,$C$9,""))</f>
        <v/>
      </c>
      <c r="F97" s="25" t="str">
        <f t="shared" ca="1" si="14"/>
        <v/>
      </c>
      <c r="G97" s="26" t="str">
        <f t="shared" ca="1" si="15"/>
        <v/>
      </c>
      <c r="H97" s="33" t="str">
        <f ca="1">IF(COUNTIF($W$2:W1082,A97)=1,VLOOKUP(A97,S:T,2), IF(COUNTIF($W$2:W1082,A97)=0,$D$9,""))</f>
        <v/>
      </c>
      <c r="I97" s="34" t="str">
        <f ca="1">IF(COUNTIF($X$2:X1082,INT(A97))=1,VLOOKUP(INT(A97),X:Y,2), IF(ISERROR(H97-2),"",I96*(1-$D$8*(H97-H96)*0.0001)))</f>
        <v/>
      </c>
      <c r="J97" s="34" t="str">
        <f t="shared" ca="1" si="16"/>
        <v/>
      </c>
      <c r="K97" s="26" t="str">
        <f t="shared" ca="1" si="17"/>
        <v/>
      </c>
      <c r="L97" s="26"/>
      <c r="M97" s="55" t="str">
        <f ca="1">IF(ISERROR(B97-2),"",C97+D97-F97-G97-K97+SUM($L$14:L97))</f>
        <v/>
      </c>
      <c r="S97" s="95">
        <v>46184.625</v>
      </c>
      <c r="T97" s="3">
        <v>263.56900000000002</v>
      </c>
      <c r="U97" s="95" t="str">
        <f t="shared" si="9"/>
        <v/>
      </c>
      <c r="V97" s="95" t="str">
        <f t="shared" si="10"/>
        <v/>
      </c>
      <c r="X97" s="95">
        <v>46181</v>
      </c>
      <c r="Y97" s="41">
        <v>268.29649999999998</v>
      </c>
      <c r="Z97" s="95">
        <v>45915</v>
      </c>
      <c r="AA97" s="3">
        <v>244.01660000000001</v>
      </c>
      <c r="AB97" s="37">
        <v>45915</v>
      </c>
      <c r="AC97" s="3">
        <v>248.089</v>
      </c>
      <c r="AD97" s="37">
        <f t="shared" si="11"/>
        <v>45915</v>
      </c>
    </row>
    <row r="98" spans="1:30" x14ac:dyDescent="0.25">
      <c r="A98" s="98" t="str">
        <f t="shared" ca="1" si="12"/>
        <v/>
      </c>
      <c r="B98" s="33" t="str">
        <f ca="1">IF(COUNTIF($W$2:W1083,A98)=1,VLOOKUP(A98,O:P,2), IF(COUNTIF($W$2:W1083,A98)=0,$B$9,""))</f>
        <v/>
      </c>
      <c r="C98" s="25" t="str">
        <f t="shared" ca="1" si="13"/>
        <v/>
      </c>
      <c r="D98" s="26"/>
      <c r="E98" s="33" t="str">
        <f ca="1">IF(COUNTIF($W$2:W1083,A98)=1,VLOOKUP(A98,Q:R,2), IF(COUNTIF($W$2:W1083,A98)=0,$C$9,""))</f>
        <v/>
      </c>
      <c r="F98" s="25" t="str">
        <f t="shared" ca="1" si="14"/>
        <v/>
      </c>
      <c r="G98" s="26" t="str">
        <f t="shared" ca="1" si="15"/>
        <v/>
      </c>
      <c r="H98" s="33" t="str">
        <f ca="1">IF(COUNTIF($W$2:W1083,A98)=1,VLOOKUP(A98,S:T,2), IF(COUNTIF($W$2:W1083,A98)=0,$D$9,""))</f>
        <v/>
      </c>
      <c r="I98" s="34" t="str">
        <f ca="1">IF(COUNTIF($X$2:X1083,INT(A98))=1,VLOOKUP(INT(A98),X:Y,2), IF(ISERROR(H98-2),"",I97*(1-$D$8*(H98-H97)*0.0001)))</f>
        <v/>
      </c>
      <c r="J98" s="34" t="str">
        <f t="shared" ca="1" si="16"/>
        <v/>
      </c>
      <c r="K98" s="26" t="str">
        <f t="shared" ca="1" si="17"/>
        <v/>
      </c>
      <c r="L98" s="26"/>
      <c r="M98" s="55" t="str">
        <f ca="1">IF(ISERROR(B98-2),"",C98+D98-F98-G98-K98+SUM($L$14:L98))</f>
        <v/>
      </c>
      <c r="S98" s="95">
        <v>46185.625</v>
      </c>
      <c r="T98" s="3">
        <v>253.16399999999999</v>
      </c>
      <c r="U98" s="95" t="str">
        <f t="shared" si="9"/>
        <v/>
      </c>
      <c r="V98" s="95" t="str">
        <f t="shared" si="10"/>
        <v/>
      </c>
      <c r="X98" s="95">
        <v>46182</v>
      </c>
      <c r="Y98" s="41">
        <v>268.3329</v>
      </c>
      <c r="Z98" s="95">
        <v>45916</v>
      </c>
      <c r="AA98" s="3">
        <v>243.57589999999999</v>
      </c>
      <c r="AB98" s="37">
        <v>45916</v>
      </c>
      <c r="AC98" s="3">
        <v>252.04</v>
      </c>
      <c r="AD98" s="37">
        <f t="shared" si="11"/>
        <v>45916</v>
      </c>
    </row>
    <row r="99" spans="1:30" x14ac:dyDescent="0.25">
      <c r="A99" s="98" t="str">
        <f t="shared" ca="1" si="12"/>
        <v/>
      </c>
      <c r="B99" s="33" t="str">
        <f ca="1">IF(COUNTIF($W$2:W1084,A99)=1,VLOOKUP(A99,O:P,2), IF(COUNTIF($W$2:W1084,A99)=0,$B$9,""))</f>
        <v/>
      </c>
      <c r="C99" s="25" t="str">
        <f t="shared" ca="1" si="13"/>
        <v/>
      </c>
      <c r="D99" s="26"/>
      <c r="E99" s="33" t="str">
        <f ca="1">IF(COUNTIF($W$2:W1084,A99)=1,VLOOKUP(A99,Q:R,2), IF(COUNTIF($W$2:W1084,A99)=0,$C$9,""))</f>
        <v/>
      </c>
      <c r="F99" s="25" t="str">
        <f t="shared" ca="1" si="14"/>
        <v/>
      </c>
      <c r="G99" s="26" t="str">
        <f t="shared" ca="1" si="15"/>
        <v/>
      </c>
      <c r="H99" s="33" t="str">
        <f ca="1">IF(COUNTIF($W$2:W1084,A99)=1,VLOOKUP(A99,S:T,2), IF(COUNTIF($W$2:W1084,A99)=0,$D$9,""))</f>
        <v/>
      </c>
      <c r="I99" s="34" t="str">
        <f ca="1">IF(COUNTIF($X$2:X1084,INT(A99))=1,VLOOKUP(INT(A99),X:Y,2), IF(ISERROR(H99-2),"",I98*(1-$D$8*(H99-H98)*0.0001)))</f>
        <v/>
      </c>
      <c r="J99" s="34" t="str">
        <f t="shared" ca="1" si="16"/>
        <v/>
      </c>
      <c r="K99" s="26" t="str">
        <f t="shared" ca="1" si="17"/>
        <v/>
      </c>
      <c r="L99" s="26"/>
      <c r="M99" s="55" t="str">
        <f ca="1">IF(ISERROR(B99-2),"",C99+D99-F99-G99-K99+SUM($L$14:L99))</f>
        <v/>
      </c>
      <c r="S99" s="95">
        <v>46188.625</v>
      </c>
      <c r="T99" s="3">
        <v>248.518</v>
      </c>
      <c r="U99" s="95" t="str">
        <f t="shared" si="9"/>
        <v/>
      </c>
      <c r="V99" s="95" t="str">
        <f t="shared" si="10"/>
        <v/>
      </c>
      <c r="X99" s="95">
        <v>46183</v>
      </c>
      <c r="Y99" s="41">
        <v>268.03980000000001</v>
      </c>
      <c r="Z99" s="95">
        <v>45917</v>
      </c>
      <c r="AA99" s="3">
        <v>243.72110000000001</v>
      </c>
      <c r="AB99" s="37">
        <v>45917</v>
      </c>
      <c r="AC99" s="3">
        <v>250.89500000000001</v>
      </c>
      <c r="AD99" s="37">
        <f t="shared" si="11"/>
        <v>45917</v>
      </c>
    </row>
    <row r="100" spans="1:30" x14ac:dyDescent="0.25">
      <c r="A100" s="98" t="str">
        <f t="shared" ca="1" si="12"/>
        <v/>
      </c>
      <c r="B100" s="33" t="str">
        <f ca="1">IF(COUNTIF($W$2:W1085,A100)=1,VLOOKUP(A100,O:P,2), IF(COUNTIF($W$2:W1085,A100)=0,$B$9,""))</f>
        <v/>
      </c>
      <c r="C100" s="25" t="str">
        <f t="shared" ca="1" si="13"/>
        <v/>
      </c>
      <c r="D100" s="26"/>
      <c r="E100" s="33" t="str">
        <f ca="1">IF(COUNTIF($W$2:W1085,A100)=1,VLOOKUP(A100,Q:R,2), IF(COUNTIF($W$2:W1085,A100)=0,$C$9,""))</f>
        <v/>
      </c>
      <c r="F100" s="25" t="str">
        <f t="shared" ca="1" si="14"/>
        <v/>
      </c>
      <c r="G100" s="26" t="str">
        <f t="shared" ca="1" si="15"/>
        <v/>
      </c>
      <c r="H100" s="33" t="str">
        <f ca="1">IF(COUNTIF($W$2:W1085,A100)=1,VLOOKUP(A100,S:T,2), IF(COUNTIF($W$2:W1085,A100)=0,$D$9,""))</f>
        <v/>
      </c>
      <c r="I100" s="34" t="str">
        <f ca="1">IF(COUNTIF($X$2:X1085,INT(A100))=1,VLOOKUP(INT(A100),X:Y,2), IF(ISERROR(H100-2),"",I99*(1-$D$8*(H100-H99)*0.0001)))</f>
        <v/>
      </c>
      <c r="J100" s="34" t="str">
        <f t="shared" ca="1" si="16"/>
        <v/>
      </c>
      <c r="K100" s="26" t="str">
        <f t="shared" ca="1" si="17"/>
        <v/>
      </c>
      <c r="L100" s="26"/>
      <c r="M100" s="55" t="str">
        <f ca="1">IF(ISERROR(B100-2),"",C100+D100-F100-G100-K100+SUM($L$14:L100))</f>
        <v/>
      </c>
      <c r="S100" s="95">
        <v>46189.625</v>
      </c>
      <c r="T100" s="3">
        <v>249.79400000000001</v>
      </c>
      <c r="U100" s="95" t="str">
        <f t="shared" si="9"/>
        <v/>
      </c>
      <c r="V100" s="95" t="str">
        <f t="shared" si="10"/>
        <v/>
      </c>
      <c r="X100" s="95">
        <v>46184</v>
      </c>
      <c r="Y100" s="41">
        <v>268.44299999999998</v>
      </c>
      <c r="Z100" s="95">
        <v>45918</v>
      </c>
      <c r="AA100" s="3">
        <v>244.14340000000001</v>
      </c>
      <c r="AB100" s="37">
        <v>45918</v>
      </c>
      <c r="AC100" s="3">
        <v>247.65700000000001</v>
      </c>
      <c r="AD100" s="37">
        <f t="shared" si="11"/>
        <v>45918</v>
      </c>
    </row>
    <row r="101" spans="1:30" x14ac:dyDescent="0.25">
      <c r="A101" s="98" t="str">
        <f t="shared" ca="1" si="12"/>
        <v/>
      </c>
      <c r="B101" s="33" t="str">
        <f ca="1">IF(COUNTIF($W$2:W1086,A101)=1,VLOOKUP(A101,O:P,2), IF(COUNTIF($W$2:W1086,A101)=0,$B$9,""))</f>
        <v/>
      </c>
      <c r="C101" s="25" t="str">
        <f t="shared" ca="1" si="13"/>
        <v/>
      </c>
      <c r="D101" s="26"/>
      <c r="E101" s="33" t="str">
        <f ca="1">IF(COUNTIF($W$2:W1086,A101)=1,VLOOKUP(A101,Q:R,2), IF(COUNTIF($W$2:W1086,A101)=0,$C$9,""))</f>
        <v/>
      </c>
      <c r="F101" s="25" t="str">
        <f t="shared" ca="1" si="14"/>
        <v/>
      </c>
      <c r="G101" s="26" t="str">
        <f t="shared" ca="1" si="15"/>
        <v/>
      </c>
      <c r="H101" s="33" t="str">
        <f ca="1">IF(COUNTIF($W$2:W1086,A101)=1,VLOOKUP(A101,S:T,2), IF(COUNTIF($W$2:W1086,A101)=0,$D$9,""))</f>
        <v/>
      </c>
      <c r="I101" s="34" t="str">
        <f ca="1">IF(COUNTIF($X$2:X1086,INT(A101))=1,VLOOKUP(INT(A101),X:Y,2), IF(ISERROR(H101-2),"",I100*(1-$D$8*(H101-H100)*0.0001)))</f>
        <v/>
      </c>
      <c r="J101" s="34" t="str">
        <f t="shared" ca="1" si="16"/>
        <v/>
      </c>
      <c r="K101" s="26" t="str">
        <f t="shared" ca="1" si="17"/>
        <v/>
      </c>
      <c r="L101" s="26"/>
      <c r="M101" s="55" t="str">
        <f ca="1">IF(ISERROR(B101-2),"",C101+D101-F101-G101-K101+SUM($L$14:L101))</f>
        <v/>
      </c>
      <c r="S101" s="95">
        <v>46190.625</v>
      </c>
      <c r="T101" s="3">
        <v>252.459</v>
      </c>
      <c r="U101" s="95" t="str">
        <f t="shared" si="9"/>
        <v/>
      </c>
      <c r="V101" s="95" t="str">
        <f t="shared" si="10"/>
        <v/>
      </c>
      <c r="X101" s="95">
        <v>46185</v>
      </c>
      <c r="Y101" s="41">
        <v>269.7552</v>
      </c>
      <c r="Z101" s="95">
        <v>45919</v>
      </c>
      <c r="AA101" s="3">
        <v>244.01089999999999</v>
      </c>
      <c r="AB101" s="37">
        <v>45919</v>
      </c>
      <c r="AC101" s="3">
        <v>248.416</v>
      </c>
      <c r="AD101" s="37">
        <f t="shared" si="11"/>
        <v>45919</v>
      </c>
    </row>
    <row r="102" spans="1:30" x14ac:dyDescent="0.25">
      <c r="A102" s="98" t="str">
        <f t="shared" ca="1" si="12"/>
        <v/>
      </c>
      <c r="B102" s="33" t="str">
        <f ca="1">IF(COUNTIF($W$2:W1087,A102)=1,VLOOKUP(A102,O:P,2), IF(COUNTIF($W$2:W1087,A102)=0,$B$9,""))</f>
        <v/>
      </c>
      <c r="C102" s="25" t="str">
        <f t="shared" ca="1" si="13"/>
        <v/>
      </c>
      <c r="D102" s="26"/>
      <c r="E102" s="33" t="str">
        <f ca="1">IF(COUNTIF($W$2:W1087,A102)=1,VLOOKUP(A102,Q:R,2), IF(COUNTIF($W$2:W1087,A102)=0,$C$9,""))</f>
        <v/>
      </c>
      <c r="F102" s="25" t="str">
        <f t="shared" ca="1" si="14"/>
        <v/>
      </c>
      <c r="G102" s="26" t="str">
        <f t="shared" ca="1" si="15"/>
        <v/>
      </c>
      <c r="H102" s="33" t="str">
        <f ca="1">IF(COUNTIF($W$2:W1087,A102)=1,VLOOKUP(A102,S:T,2), IF(COUNTIF($W$2:W1087,A102)=0,$D$9,""))</f>
        <v/>
      </c>
      <c r="I102" s="34" t="str">
        <f ca="1">IF(COUNTIF($X$2:X1087,INT(A102))=1,VLOOKUP(INT(A102),X:Y,2), IF(ISERROR(H102-2),"",I101*(1-$D$8*(H102-H101)*0.0001)))</f>
        <v/>
      </c>
      <c r="J102" s="34" t="str">
        <f t="shared" ca="1" si="16"/>
        <v/>
      </c>
      <c r="K102" s="26" t="str">
        <f t="shared" ca="1" si="17"/>
        <v/>
      </c>
      <c r="L102" s="26"/>
      <c r="M102" s="55" t="str">
        <f ca="1">IF(ISERROR(B102-2),"",C102+D102-F102-G102-K102+SUM($L$14:L102))</f>
        <v/>
      </c>
      <c r="S102" s="95">
        <v>46191.625</v>
      </c>
      <c r="T102" s="3">
        <v>250.322</v>
      </c>
      <c r="U102" s="95" t="str">
        <f t="shared" si="9"/>
        <v/>
      </c>
      <c r="V102" s="95" t="str">
        <f t="shared" si="10"/>
        <v/>
      </c>
      <c r="X102" s="95">
        <v>46188</v>
      </c>
      <c r="Y102" s="41">
        <v>270.47059999999999</v>
      </c>
      <c r="Z102" s="95">
        <v>45922</v>
      </c>
      <c r="AA102" s="3">
        <v>243.60169999999999</v>
      </c>
      <c r="AB102" s="37">
        <v>45922</v>
      </c>
      <c r="AC102" s="3">
        <v>268.25200000000001</v>
      </c>
      <c r="AD102" s="37">
        <f t="shared" si="11"/>
        <v>45922</v>
      </c>
    </row>
    <row r="103" spans="1:30" x14ac:dyDescent="0.25">
      <c r="A103" s="98" t="str">
        <f t="shared" ca="1" si="12"/>
        <v/>
      </c>
      <c r="B103" s="33" t="str">
        <f ca="1">IF(COUNTIF($W$2:W1088,A103)=1,VLOOKUP(A103,O:P,2), IF(COUNTIF($W$2:W1088,A103)=0,$B$9,""))</f>
        <v/>
      </c>
      <c r="C103" s="25" t="str">
        <f t="shared" ca="1" si="13"/>
        <v/>
      </c>
      <c r="D103" s="26"/>
      <c r="E103" s="33" t="str">
        <f ca="1">IF(COUNTIF($W$2:W1088,A103)=1,VLOOKUP(A103,Q:R,2), IF(COUNTIF($W$2:W1088,A103)=0,$C$9,""))</f>
        <v/>
      </c>
      <c r="F103" s="25" t="str">
        <f t="shared" ca="1" si="14"/>
        <v/>
      </c>
      <c r="G103" s="26" t="str">
        <f t="shared" ca="1" si="15"/>
        <v/>
      </c>
      <c r="H103" s="33" t="str">
        <f ca="1">IF(COUNTIF($W$2:W1088,A103)=1,VLOOKUP(A103,S:T,2), IF(COUNTIF($W$2:W1088,A103)=0,$D$9,""))</f>
        <v/>
      </c>
      <c r="I103" s="34" t="str">
        <f ca="1">IF(COUNTIF($X$2:X1088,INT(A103))=1,VLOOKUP(INT(A103),X:Y,2), IF(ISERROR(H103-2),"",I102*(1-$D$8*(H103-H102)*0.0001)))</f>
        <v/>
      </c>
      <c r="J103" s="34" t="str">
        <f t="shared" ca="1" si="16"/>
        <v/>
      </c>
      <c r="K103" s="26" t="str">
        <f t="shared" ca="1" si="17"/>
        <v/>
      </c>
      <c r="L103" s="26"/>
      <c r="M103" s="55" t="str">
        <f ca="1">IF(ISERROR(B103-2),"",C103+D103-F103-G103-K103+SUM($L$14:L103))</f>
        <v/>
      </c>
      <c r="U103" s="95" t="str">
        <f t="shared" si="9"/>
        <v/>
      </c>
      <c r="V103" s="95" t="str">
        <f t="shared" si="10"/>
        <v/>
      </c>
      <c r="X103" s="95">
        <v>46189</v>
      </c>
      <c r="Y103" s="41">
        <v>270.3356</v>
      </c>
      <c r="Z103" s="95">
        <v>45923</v>
      </c>
      <c r="AA103" s="3">
        <v>244.0994</v>
      </c>
      <c r="AB103" s="37">
        <v>45923</v>
      </c>
      <c r="AC103" s="3">
        <v>264.339</v>
      </c>
      <c r="AD103" s="37">
        <f t="shared" si="11"/>
        <v>45923</v>
      </c>
    </row>
    <row r="104" spans="1:30" x14ac:dyDescent="0.25">
      <c r="A104" s="98" t="str">
        <f t="shared" ca="1" si="12"/>
        <v/>
      </c>
      <c r="B104" s="33" t="str">
        <f ca="1">IF(COUNTIF($W$2:W1089,A104)=1,VLOOKUP(A104,O:P,2), IF(COUNTIF($W$2:W1089,A104)=0,$B$9,""))</f>
        <v/>
      </c>
      <c r="C104" s="25" t="str">
        <f t="shared" ca="1" si="13"/>
        <v/>
      </c>
      <c r="D104" s="26"/>
      <c r="E104" s="33" t="str">
        <f ca="1">IF(COUNTIF($W$2:W1089,A104)=1,VLOOKUP(A104,Q:R,2), IF(COUNTIF($W$2:W1089,A104)=0,$C$9,""))</f>
        <v/>
      </c>
      <c r="F104" s="25" t="str">
        <f t="shared" ca="1" si="14"/>
        <v/>
      </c>
      <c r="G104" s="26" t="str">
        <f t="shared" ca="1" si="15"/>
        <v/>
      </c>
      <c r="H104" s="33" t="str">
        <f ca="1">IF(COUNTIF($W$2:W1089,A104)=1,VLOOKUP(A104,S:T,2), IF(COUNTIF($W$2:W1089,A104)=0,$D$9,""))</f>
        <v/>
      </c>
      <c r="I104" s="34" t="str">
        <f ca="1">IF(COUNTIF($X$2:X1089,INT(A104))=1,VLOOKUP(INT(A104),X:Y,2), IF(ISERROR(H104-2),"",I103*(1-$D$8*(H104-H103)*0.0001)))</f>
        <v/>
      </c>
      <c r="J104" s="34" t="str">
        <f t="shared" ca="1" si="16"/>
        <v/>
      </c>
      <c r="K104" s="26" t="str">
        <f t="shared" ca="1" si="17"/>
        <v/>
      </c>
      <c r="L104" s="26"/>
      <c r="M104" s="55" t="str">
        <f ca="1">IF(ISERROR(B104-2),"",C104+D104-F104-G104-K104+SUM($L$14:L104))</f>
        <v/>
      </c>
      <c r="U104" s="95" t="str">
        <f t="shared" si="9"/>
        <v/>
      </c>
      <c r="V104" s="95" t="str">
        <f t="shared" si="10"/>
        <v/>
      </c>
      <c r="X104" s="95">
        <v>46190</v>
      </c>
      <c r="Y104" s="41">
        <v>270.1644</v>
      </c>
      <c r="Z104" s="95">
        <v>45924</v>
      </c>
      <c r="AA104" s="3">
        <v>244.1028</v>
      </c>
      <c r="AB104" s="37">
        <v>45924</v>
      </c>
      <c r="AC104" s="3">
        <v>264.625</v>
      </c>
      <c r="AD104" s="37">
        <f t="shared" si="11"/>
        <v>45924</v>
      </c>
    </row>
    <row r="105" spans="1:30" x14ac:dyDescent="0.25">
      <c r="A105" s="98" t="str">
        <f t="shared" ca="1" si="12"/>
        <v/>
      </c>
      <c r="B105" s="33" t="str">
        <f ca="1">IF(COUNTIF($W$2:W1090,A105)=1,VLOOKUP(A105,O:P,2), IF(COUNTIF($W$2:W1090,A105)=0,$B$9,""))</f>
        <v/>
      </c>
      <c r="C105" s="25" t="str">
        <f t="shared" ca="1" si="13"/>
        <v/>
      </c>
      <c r="D105" s="26"/>
      <c r="E105" s="33" t="str">
        <f ca="1">IF(COUNTIF($W$2:W1090,A105)=1,VLOOKUP(A105,Q:R,2), IF(COUNTIF($W$2:W1090,A105)=0,$C$9,""))</f>
        <v/>
      </c>
      <c r="F105" s="25" t="str">
        <f t="shared" ca="1" si="14"/>
        <v/>
      </c>
      <c r="G105" s="26" t="str">
        <f t="shared" ca="1" si="15"/>
        <v/>
      </c>
      <c r="H105" s="33" t="str">
        <f ca="1">IF(COUNTIF($W$2:W1090,A105)=1,VLOOKUP(A105,S:T,2), IF(COUNTIF($W$2:W1090,A105)=0,$D$9,""))</f>
        <v/>
      </c>
      <c r="I105" s="34" t="str">
        <f ca="1">IF(COUNTIF($X$2:X1090,INT(A105))=1,VLOOKUP(INT(A105),X:Y,2), IF(ISERROR(H105-2),"",I104*(1-$D$8*(H105-H104)*0.0001)))</f>
        <v/>
      </c>
      <c r="J105" s="34" t="str">
        <f t="shared" ca="1" si="16"/>
        <v/>
      </c>
      <c r="K105" s="26" t="str">
        <f t="shared" ca="1" si="17"/>
        <v/>
      </c>
      <c r="L105" s="26"/>
      <c r="M105" s="55" t="str">
        <f ca="1">IF(ISERROR(B105-2),"",C105+D105-F105-G105-K105+SUM($L$14:L105))</f>
        <v/>
      </c>
      <c r="U105" s="95" t="str">
        <f t="shared" si="9"/>
        <v/>
      </c>
      <c r="V105" s="95" t="str">
        <f t="shared" si="10"/>
        <v/>
      </c>
      <c r="Z105" s="95">
        <v>45925</v>
      </c>
      <c r="AA105" s="3">
        <v>243.57409999999999</v>
      </c>
      <c r="AB105" s="37">
        <v>45925</v>
      </c>
      <c r="AC105" s="3">
        <v>268.18400000000003</v>
      </c>
      <c r="AD105" s="37">
        <f t="shared" si="11"/>
        <v>45925</v>
      </c>
    </row>
    <row r="106" spans="1:30" x14ac:dyDescent="0.25">
      <c r="A106" s="98" t="str">
        <f t="shared" ca="1" si="12"/>
        <v/>
      </c>
      <c r="B106" s="33" t="str">
        <f ca="1">IF(COUNTIF($W$2:W1091,A106)=1,VLOOKUP(A106,O:P,2), IF(COUNTIF($W$2:W1091,A106)=0,$B$9,""))</f>
        <v/>
      </c>
      <c r="C106" s="25" t="str">
        <f t="shared" ca="1" si="13"/>
        <v/>
      </c>
      <c r="D106" s="26"/>
      <c r="E106" s="33" t="str">
        <f ca="1">IF(COUNTIF($W$2:W1091,A106)=1,VLOOKUP(A106,Q:R,2), IF(COUNTIF($W$2:W1091,A106)=0,$C$9,""))</f>
        <v/>
      </c>
      <c r="F106" s="25" t="str">
        <f t="shared" ca="1" si="14"/>
        <v/>
      </c>
      <c r="G106" s="26" t="str">
        <f t="shared" ca="1" si="15"/>
        <v/>
      </c>
      <c r="H106" s="33" t="str">
        <f ca="1">IF(COUNTIF($W$2:W1091,A106)=1,VLOOKUP(A106,S:T,2), IF(COUNTIF($W$2:W1091,A106)=0,$D$9,""))</f>
        <v/>
      </c>
      <c r="I106" s="34" t="str">
        <f ca="1">IF(COUNTIF($X$2:X1091,INT(A106))=1,VLOOKUP(INT(A106),X:Y,2), IF(ISERROR(H106-2),"",I105*(1-$D$8*(H106-H105)*0.0001)))</f>
        <v/>
      </c>
      <c r="J106" s="34" t="str">
        <f t="shared" ca="1" si="16"/>
        <v/>
      </c>
      <c r="K106" s="26" t="str">
        <f t="shared" ca="1" si="17"/>
        <v/>
      </c>
      <c r="L106" s="26"/>
      <c r="M106" s="55" t="str">
        <f ca="1">IF(ISERROR(B106-2),"",C106+D106-F106-G106-K106+SUM($L$14:L106))</f>
        <v/>
      </c>
      <c r="U106" s="95" t="str">
        <f t="shared" si="9"/>
        <v/>
      </c>
      <c r="V106" s="95" t="str">
        <f t="shared" si="10"/>
        <v/>
      </c>
      <c r="Z106" s="95">
        <v>45926</v>
      </c>
      <c r="AA106" s="3">
        <v>244.00890000000001</v>
      </c>
      <c r="AB106" s="37">
        <v>45926</v>
      </c>
      <c r="AC106" s="3">
        <v>265.48200000000003</v>
      </c>
      <c r="AD106" s="37">
        <f t="shared" si="11"/>
        <v>45926</v>
      </c>
    </row>
    <row r="107" spans="1:30" x14ac:dyDescent="0.25">
      <c r="A107" s="98" t="str">
        <f t="shared" ca="1" si="12"/>
        <v/>
      </c>
      <c r="B107" s="33" t="str">
        <f ca="1">IF(COUNTIF($W$2:W1092,A107)=1,VLOOKUP(A107,O:P,2), IF(COUNTIF($W$2:W1092,A107)=0,$B$9,""))</f>
        <v/>
      </c>
      <c r="C107" s="25" t="str">
        <f t="shared" ca="1" si="13"/>
        <v/>
      </c>
      <c r="D107" s="26"/>
      <c r="E107" s="33" t="str">
        <f ca="1">IF(COUNTIF($W$2:W1092,A107)=1,VLOOKUP(A107,Q:R,2), IF(COUNTIF($W$2:W1092,A107)=0,$C$9,""))</f>
        <v/>
      </c>
      <c r="F107" s="25" t="str">
        <f t="shared" ca="1" si="14"/>
        <v/>
      </c>
      <c r="G107" s="26" t="str">
        <f t="shared" ca="1" si="15"/>
        <v/>
      </c>
      <c r="H107" s="33" t="str">
        <f ca="1">IF(COUNTIF($W$2:W1092,A107)=1,VLOOKUP(A107,S:T,2), IF(COUNTIF($W$2:W1092,A107)=0,$D$9,""))</f>
        <v/>
      </c>
      <c r="I107" s="34" t="str">
        <f ca="1">IF(COUNTIF($X$2:X1092,INT(A107))=1,VLOOKUP(INT(A107),X:Y,2), IF(ISERROR(H107-2),"",I106*(1-$D$8*(H107-H106)*0.0001)))</f>
        <v/>
      </c>
      <c r="J107" s="34" t="str">
        <f t="shared" ca="1" si="16"/>
        <v/>
      </c>
      <c r="K107" s="26" t="str">
        <f t="shared" ca="1" si="17"/>
        <v/>
      </c>
      <c r="L107" s="26"/>
      <c r="M107" s="55" t="str">
        <f ca="1">IF(ISERROR(B107-2),"",C107+D107-F107-G107-K107+SUM($L$14:L107))</f>
        <v/>
      </c>
      <c r="U107" s="95" t="str">
        <f t="shared" si="9"/>
        <v/>
      </c>
      <c r="V107" s="95" t="str">
        <f t="shared" si="10"/>
        <v/>
      </c>
      <c r="Z107" s="95">
        <v>45929</v>
      </c>
      <c r="AA107" s="3">
        <v>244.41050000000001</v>
      </c>
      <c r="AB107" s="37">
        <v>45929</v>
      </c>
      <c r="AC107" s="3">
        <v>262.72199999999998</v>
      </c>
      <c r="AD107" s="37">
        <f t="shared" si="11"/>
        <v>45929</v>
      </c>
    </row>
    <row r="108" spans="1:30" x14ac:dyDescent="0.25">
      <c r="A108" s="98" t="str">
        <f t="shared" ca="1" si="12"/>
        <v/>
      </c>
      <c r="B108" s="33" t="str">
        <f ca="1">IF(COUNTIF($W$2:W1093,A108)=1,VLOOKUP(A108,O:P,2), IF(COUNTIF($W$2:W1093,A108)=0,$B$9,""))</f>
        <v/>
      </c>
      <c r="C108" s="25" t="str">
        <f t="shared" ca="1" si="13"/>
        <v/>
      </c>
      <c r="D108" s="26"/>
      <c r="E108" s="33" t="str">
        <f ca="1">IF(COUNTIF($W$2:W1093,A108)=1,VLOOKUP(A108,Q:R,2), IF(COUNTIF($W$2:W1093,A108)=0,$C$9,""))</f>
        <v/>
      </c>
      <c r="F108" s="25" t="str">
        <f t="shared" ca="1" si="14"/>
        <v/>
      </c>
      <c r="G108" s="26" t="str">
        <f t="shared" ca="1" si="15"/>
        <v/>
      </c>
      <c r="H108" s="33" t="str">
        <f ca="1">IF(COUNTIF($W$2:W1093,A108)=1,VLOOKUP(A108,S:T,2), IF(COUNTIF($W$2:W1093,A108)=0,$D$9,""))</f>
        <v/>
      </c>
      <c r="I108" s="34" t="str">
        <f ca="1">IF(COUNTIF($X$2:X1093,INT(A108))=1,VLOOKUP(INT(A108),X:Y,2), IF(ISERROR(H108-2),"",I107*(1-$D$8*(H108-H107)*0.0001)))</f>
        <v/>
      </c>
      <c r="J108" s="34" t="str">
        <f t="shared" ca="1" si="16"/>
        <v/>
      </c>
      <c r="K108" s="26" t="str">
        <f t="shared" ca="1" si="17"/>
        <v/>
      </c>
      <c r="L108" s="26"/>
      <c r="M108" s="55" t="str">
        <f ca="1">IF(ISERROR(B108-2),"",C108+D108-F108-G108-K108+SUM($L$14:L108))</f>
        <v/>
      </c>
      <c r="U108" s="95" t="str">
        <f t="shared" si="9"/>
        <v/>
      </c>
      <c r="V108" s="95" t="str">
        <f t="shared" si="10"/>
        <v/>
      </c>
      <c r="Z108" s="95">
        <v>45930</v>
      </c>
      <c r="AA108" s="3">
        <v>244.4126</v>
      </c>
      <c r="AB108" s="37">
        <v>45930</v>
      </c>
      <c r="AC108" s="3">
        <v>262.26600000000002</v>
      </c>
      <c r="AD108" s="37">
        <f t="shared" si="11"/>
        <v>45930</v>
      </c>
    </row>
    <row r="109" spans="1:30" x14ac:dyDescent="0.25">
      <c r="A109" s="98" t="str">
        <f t="shared" ca="1" si="12"/>
        <v/>
      </c>
      <c r="B109" s="33" t="str">
        <f ca="1">IF(COUNTIF($W$2:W1094,A109)=1,VLOOKUP(A109,O:P,2), IF(COUNTIF($W$2:W1094,A109)=0,$B$9,""))</f>
        <v/>
      </c>
      <c r="C109" s="25" t="str">
        <f t="shared" ca="1" si="13"/>
        <v/>
      </c>
      <c r="D109" s="26"/>
      <c r="E109" s="33" t="str">
        <f ca="1">IF(COUNTIF($W$2:W1094,A109)=1,VLOOKUP(A109,Q:R,2), IF(COUNTIF($W$2:W1094,A109)=0,$C$9,""))</f>
        <v/>
      </c>
      <c r="F109" s="25" t="str">
        <f t="shared" ca="1" si="14"/>
        <v/>
      </c>
      <c r="G109" s="26" t="str">
        <f t="shared" ca="1" si="15"/>
        <v/>
      </c>
      <c r="H109" s="33" t="str">
        <f ca="1">IF(COUNTIF($W$2:W1094,A109)=1,VLOOKUP(A109,S:T,2), IF(COUNTIF($W$2:W1094,A109)=0,$D$9,""))</f>
        <v/>
      </c>
      <c r="I109" s="34" t="str">
        <f ca="1">IF(COUNTIF($X$2:X1094,INT(A109))=1,VLOOKUP(INT(A109),X:Y,2), IF(ISERROR(H109-2),"",I108*(1-$D$8*(H109-H108)*0.0001)))</f>
        <v/>
      </c>
      <c r="J109" s="34" t="str">
        <f t="shared" ca="1" si="16"/>
        <v/>
      </c>
      <c r="K109" s="26" t="str">
        <f t="shared" ca="1" si="17"/>
        <v/>
      </c>
      <c r="L109" s="26"/>
      <c r="M109" s="55" t="str">
        <f ca="1">IF(ISERROR(B109-2),"",C109+D109-F109-G109-K109+SUM($L$14:L109))</f>
        <v/>
      </c>
      <c r="U109" s="95" t="str">
        <f t="shared" si="9"/>
        <v/>
      </c>
      <c r="V109" s="95" t="str">
        <f t="shared" si="10"/>
        <v/>
      </c>
      <c r="Z109" s="95">
        <v>45931</v>
      </c>
      <c r="AA109" s="3">
        <v>244.68109999999999</v>
      </c>
      <c r="AB109" s="37">
        <v>45931</v>
      </c>
      <c r="AC109" s="3">
        <v>260.63</v>
      </c>
      <c r="AD109" s="37">
        <f t="shared" si="11"/>
        <v>45931</v>
      </c>
    </row>
    <row r="110" spans="1:30" x14ac:dyDescent="0.25">
      <c r="A110" s="98" t="str">
        <f t="shared" ca="1" si="12"/>
        <v/>
      </c>
      <c r="B110" s="33" t="str">
        <f ca="1">IF(COUNTIF($W$2:W1095,A110)=1,VLOOKUP(A110,O:P,2), IF(COUNTIF($W$2:W1095,A110)=0,$B$9,""))</f>
        <v/>
      </c>
      <c r="C110" s="25" t="str">
        <f t="shared" ca="1" si="13"/>
        <v/>
      </c>
      <c r="D110" s="26"/>
      <c r="E110" s="33" t="str">
        <f ca="1">IF(COUNTIF($W$2:W1095,A110)=1,VLOOKUP(A110,Q:R,2), IF(COUNTIF($W$2:W1095,A110)=0,$C$9,""))</f>
        <v/>
      </c>
      <c r="F110" s="25" t="str">
        <f t="shared" ca="1" si="14"/>
        <v/>
      </c>
      <c r="G110" s="26" t="str">
        <f t="shared" ca="1" si="15"/>
        <v/>
      </c>
      <c r="H110" s="33" t="str">
        <f ca="1">IF(COUNTIF($W$2:W1095,A110)=1,VLOOKUP(A110,S:T,2), IF(COUNTIF($W$2:W1095,A110)=0,$D$9,""))</f>
        <v/>
      </c>
      <c r="I110" s="34" t="str">
        <f ca="1">IF(COUNTIF($X$2:X1095,INT(A110))=1,VLOOKUP(INT(A110),X:Y,2), IF(ISERROR(H110-2),"",I109*(1-$D$8*(H110-H109)*0.0001)))</f>
        <v/>
      </c>
      <c r="J110" s="34" t="str">
        <f t="shared" ca="1" si="16"/>
        <v/>
      </c>
      <c r="K110" s="26" t="str">
        <f t="shared" ca="1" si="17"/>
        <v/>
      </c>
      <c r="L110" s="26"/>
      <c r="M110" s="55" t="str">
        <f ca="1">IF(ISERROR(B110-2),"",C110+D110-F110-G110-K110+SUM($L$14:L110))</f>
        <v/>
      </c>
      <c r="U110" s="95" t="str">
        <f t="shared" si="9"/>
        <v/>
      </c>
      <c r="V110" s="95" t="str">
        <f t="shared" si="10"/>
        <v/>
      </c>
      <c r="Z110" s="95">
        <v>45932</v>
      </c>
      <c r="AA110" s="3">
        <v>245.01730000000001</v>
      </c>
      <c r="AB110" s="37">
        <v>45932</v>
      </c>
      <c r="AC110" s="3">
        <v>257.88900000000001</v>
      </c>
      <c r="AD110" s="37">
        <f t="shared" si="11"/>
        <v>45932</v>
      </c>
    </row>
    <row r="111" spans="1:30" x14ac:dyDescent="0.25">
      <c r="A111" s="98" t="str">
        <f t="shared" ca="1" si="12"/>
        <v/>
      </c>
      <c r="B111" s="33" t="str">
        <f ca="1">IF(COUNTIF($W$2:W1096,A111)=1,VLOOKUP(A111,O:P,2), IF(COUNTIF($W$2:W1096,A111)=0,$B$9,""))</f>
        <v/>
      </c>
      <c r="C111" s="25" t="str">
        <f t="shared" ca="1" si="13"/>
        <v/>
      </c>
      <c r="D111" s="26"/>
      <c r="E111" s="33" t="str">
        <f ca="1">IF(COUNTIF($W$2:W1096,A111)=1,VLOOKUP(A111,Q:R,2), IF(COUNTIF($W$2:W1096,A111)=0,$C$9,""))</f>
        <v/>
      </c>
      <c r="F111" s="25" t="str">
        <f t="shared" ca="1" si="14"/>
        <v/>
      </c>
      <c r="G111" s="26" t="str">
        <f t="shared" ca="1" si="15"/>
        <v/>
      </c>
      <c r="H111" s="33" t="str">
        <f ca="1">IF(COUNTIF($W$2:W1096,A111)=1,VLOOKUP(A111,S:T,2), IF(COUNTIF($W$2:W1096,A111)=0,$D$9,""))</f>
        <v/>
      </c>
      <c r="I111" s="34" t="str">
        <f ca="1">IF(COUNTIF($X$2:X1096,INT(A111))=1,VLOOKUP(INT(A111),X:Y,2), IF(ISERROR(H111-2),"",I110*(1-$D$8*(H111-H110)*0.0001)))</f>
        <v/>
      </c>
      <c r="J111" s="34" t="str">
        <f t="shared" ca="1" si="16"/>
        <v/>
      </c>
      <c r="K111" s="26" t="str">
        <f t="shared" ca="1" si="17"/>
        <v/>
      </c>
      <c r="L111" s="26"/>
      <c r="M111" s="55" t="str">
        <f ca="1">IF(ISERROR(B111-2),"",C111+D111-F111-G111-K111+SUM($L$14:L111))</f>
        <v/>
      </c>
      <c r="U111" s="95" t="str">
        <f t="shared" si="9"/>
        <v/>
      </c>
      <c r="V111" s="95" t="str">
        <f t="shared" si="10"/>
        <v/>
      </c>
      <c r="Z111" s="95">
        <v>45933</v>
      </c>
      <c r="AA111" s="3">
        <v>244.96510000000001</v>
      </c>
      <c r="AB111" s="37">
        <v>45933</v>
      </c>
      <c r="AC111" s="3">
        <v>258.346</v>
      </c>
      <c r="AD111" s="37">
        <f t="shared" si="11"/>
        <v>45933</v>
      </c>
    </row>
    <row r="112" spans="1:30" x14ac:dyDescent="0.25">
      <c r="A112" s="98" t="str">
        <f t="shared" ca="1" si="12"/>
        <v/>
      </c>
      <c r="B112" s="33" t="str">
        <f ca="1">IF(COUNTIF($W$2:W1097,A112)=1,VLOOKUP(A112,O:P,2), IF(COUNTIF($W$2:W1097,A112)=0,$B$9,""))</f>
        <v/>
      </c>
      <c r="C112" s="25" t="str">
        <f t="shared" ca="1" si="13"/>
        <v/>
      </c>
      <c r="D112" s="26"/>
      <c r="E112" s="33" t="str">
        <f ca="1">IF(COUNTIF($W$2:W1097,A112)=1,VLOOKUP(A112,Q:R,2), IF(COUNTIF($W$2:W1097,A112)=0,$C$9,""))</f>
        <v/>
      </c>
      <c r="F112" s="25" t="str">
        <f t="shared" ca="1" si="14"/>
        <v/>
      </c>
      <c r="G112" s="26" t="str">
        <f t="shared" ca="1" si="15"/>
        <v/>
      </c>
      <c r="H112" s="33" t="str">
        <f ca="1">IF(COUNTIF($W$2:W1097,A112)=1,VLOOKUP(A112,S:T,2), IF(COUNTIF($W$2:W1097,A112)=0,$D$9,""))</f>
        <v/>
      </c>
      <c r="I112" s="34" t="str">
        <f ca="1">IF(COUNTIF($X$2:X1097,INT(A112))=1,VLOOKUP(INT(A112),X:Y,2), IF(ISERROR(H112-2),"",I111*(1-$D$8*(H112-H111)*0.0001)))</f>
        <v/>
      </c>
      <c r="J112" s="34" t="str">
        <f t="shared" ca="1" si="16"/>
        <v/>
      </c>
      <c r="K112" s="26" t="str">
        <f t="shared" ca="1" si="17"/>
        <v/>
      </c>
      <c r="L112" s="26"/>
      <c r="M112" s="55" t="str">
        <f ca="1">IF(ISERROR(B112-2),"",C112+D112-F112-G112-K112+SUM($L$14:L112))</f>
        <v/>
      </c>
      <c r="U112" s="95" t="str">
        <f t="shared" si="9"/>
        <v/>
      </c>
      <c r="V112" s="95" t="str">
        <f t="shared" si="10"/>
        <v/>
      </c>
      <c r="Z112" s="95">
        <v>45936</v>
      </c>
      <c r="AA112" s="3">
        <v>244.72149999999999</v>
      </c>
      <c r="AB112" s="37">
        <v>45936</v>
      </c>
      <c r="AC112" s="3">
        <v>261.209</v>
      </c>
      <c r="AD112" s="37">
        <f t="shared" si="11"/>
        <v>45936</v>
      </c>
    </row>
    <row r="113" spans="1:30" x14ac:dyDescent="0.25">
      <c r="A113" s="98" t="str">
        <f t="shared" ca="1" si="12"/>
        <v/>
      </c>
      <c r="B113" s="33" t="str">
        <f ca="1">IF(COUNTIF($W$2:W1098,A113)=1,VLOOKUP(A113,O:P,2), IF(COUNTIF($W$2:W1098,A113)=0,$B$9,""))</f>
        <v/>
      </c>
      <c r="C113" s="25" t="str">
        <f t="shared" ca="1" si="13"/>
        <v/>
      </c>
      <c r="D113" s="26"/>
      <c r="E113" s="33" t="str">
        <f ca="1">IF(COUNTIF($W$2:W1098,A113)=1,VLOOKUP(A113,Q:R,2), IF(COUNTIF($W$2:W1098,A113)=0,$C$9,""))</f>
        <v/>
      </c>
      <c r="F113" s="25" t="str">
        <f t="shared" ca="1" si="14"/>
        <v/>
      </c>
      <c r="G113" s="26" t="str">
        <f t="shared" ca="1" si="15"/>
        <v/>
      </c>
      <c r="H113" s="33" t="str">
        <f ca="1">IF(COUNTIF($W$2:W1098,A113)=1,VLOOKUP(A113,S:T,2), IF(COUNTIF($W$2:W1098,A113)=0,$D$9,""))</f>
        <v/>
      </c>
      <c r="I113" s="34" t="str">
        <f ca="1">IF(COUNTIF($X$2:X1098,INT(A113))=1,VLOOKUP(INT(A113),X:Y,2), IF(ISERROR(H113-2),"",I112*(1-$D$8*(H113-H112)*0.0001)))</f>
        <v/>
      </c>
      <c r="J113" s="34" t="str">
        <f t="shared" ca="1" si="16"/>
        <v/>
      </c>
      <c r="K113" s="26" t="str">
        <f t="shared" ca="1" si="17"/>
        <v/>
      </c>
      <c r="L113" s="26"/>
      <c r="M113" s="55" t="str">
        <f ca="1">IF(ISERROR(B113-2),"",C113+D113-F113-G113-K113+SUM($L$14:L113))</f>
        <v/>
      </c>
      <c r="U113" s="95" t="str">
        <f t="shared" si="9"/>
        <v/>
      </c>
      <c r="V113" s="95" t="str">
        <f t="shared" si="10"/>
        <v/>
      </c>
      <c r="Z113" s="95">
        <v>45937</v>
      </c>
      <c r="AA113" s="3">
        <v>244.3331</v>
      </c>
      <c r="AB113" s="37">
        <v>45937</v>
      </c>
      <c r="AC113" s="3">
        <v>265.35199999999998</v>
      </c>
      <c r="AD113" s="37">
        <f t="shared" si="11"/>
        <v>45937</v>
      </c>
    </row>
    <row r="114" spans="1:30" x14ac:dyDescent="0.25">
      <c r="A114" s="98" t="str">
        <f t="shared" ca="1" si="12"/>
        <v/>
      </c>
      <c r="B114" s="33" t="str">
        <f ca="1">IF(COUNTIF($W$2:W1099,A114)=1,VLOOKUP(A114,O:P,2), IF(COUNTIF($W$2:W1099,A114)=0,$B$9,""))</f>
        <v/>
      </c>
      <c r="C114" s="25" t="str">
        <f t="shared" ca="1" si="13"/>
        <v/>
      </c>
      <c r="D114" s="26"/>
      <c r="E114" s="33" t="str">
        <f ca="1">IF(COUNTIF($W$2:W1099,A114)=1,VLOOKUP(A114,Q:R,2), IF(COUNTIF($W$2:W1099,A114)=0,$C$9,""))</f>
        <v/>
      </c>
      <c r="F114" s="25" t="str">
        <f t="shared" ca="1" si="14"/>
        <v/>
      </c>
      <c r="G114" s="26" t="str">
        <f t="shared" ca="1" si="15"/>
        <v/>
      </c>
      <c r="H114" s="33" t="str">
        <f ca="1">IF(COUNTIF($W$2:W1099,A114)=1,VLOOKUP(A114,S:T,2), IF(COUNTIF($W$2:W1099,A114)=0,$D$9,""))</f>
        <v/>
      </c>
      <c r="I114" s="34" t="str">
        <f ca="1">IF(COUNTIF($X$2:X1099,INT(A114))=1,VLOOKUP(INT(A114),X:Y,2), IF(ISERROR(H114-2),"",I113*(1-$D$8*(H114-H113)*0.0001)))</f>
        <v/>
      </c>
      <c r="J114" s="34" t="str">
        <f t="shared" ca="1" si="16"/>
        <v/>
      </c>
      <c r="K114" s="26" t="str">
        <f t="shared" ca="1" si="17"/>
        <v/>
      </c>
      <c r="L114" s="26"/>
      <c r="M114" s="55" t="str">
        <f ca="1">IF(ISERROR(B114-2),"",C114+D114-F114-G114-K114+SUM($L$14:L114))</f>
        <v/>
      </c>
      <c r="U114" s="95" t="str">
        <f t="shared" si="9"/>
        <v/>
      </c>
      <c r="V114" s="95" t="str">
        <f t="shared" si="10"/>
        <v/>
      </c>
      <c r="Z114" s="95">
        <v>45938</v>
      </c>
      <c r="AA114" s="3">
        <v>244.23560000000001</v>
      </c>
      <c r="AB114" s="37">
        <v>45938</v>
      </c>
      <c r="AC114" s="3">
        <v>265.35300000000001</v>
      </c>
      <c r="AD114" s="37">
        <f t="shared" si="11"/>
        <v>45938</v>
      </c>
    </row>
    <row r="115" spans="1:30" x14ac:dyDescent="0.25">
      <c r="A115" s="98" t="str">
        <f t="shared" ca="1" si="12"/>
        <v/>
      </c>
      <c r="B115" s="33" t="str">
        <f ca="1">IF(COUNTIF($W$2:W1100,A115)=1,VLOOKUP(A115,O:P,2), IF(COUNTIF($W$2:W1100,A115)=0,$B$9,""))</f>
        <v/>
      </c>
      <c r="C115" s="25" t="str">
        <f t="shared" ca="1" si="13"/>
        <v/>
      </c>
      <c r="D115" s="26"/>
      <c r="E115" s="33" t="str">
        <f ca="1">IF(COUNTIF($W$2:W1100,A115)=1,VLOOKUP(A115,Q:R,2), IF(COUNTIF($W$2:W1100,A115)=0,$C$9,""))</f>
        <v/>
      </c>
      <c r="F115" s="25" t="str">
        <f t="shared" ca="1" si="14"/>
        <v/>
      </c>
      <c r="G115" s="26" t="str">
        <f t="shared" ca="1" si="15"/>
        <v/>
      </c>
      <c r="H115" s="33" t="str">
        <f ca="1">IF(COUNTIF($W$2:W1100,A115)=1,VLOOKUP(A115,S:T,2), IF(COUNTIF($W$2:W1100,A115)=0,$D$9,""))</f>
        <v/>
      </c>
      <c r="I115" s="34" t="str">
        <f ca="1">IF(COUNTIF($X$2:X1100,INT(A115))=1,VLOOKUP(INT(A115),X:Y,2), IF(ISERROR(H115-2),"",I114*(1-$D$8*(H115-H114)*0.0001)))</f>
        <v/>
      </c>
      <c r="J115" s="34" t="str">
        <f t="shared" ca="1" si="16"/>
        <v/>
      </c>
      <c r="K115" s="26" t="str">
        <f t="shared" ca="1" si="17"/>
        <v/>
      </c>
      <c r="L115" s="26"/>
      <c r="M115" s="55" t="str">
        <f ca="1">IF(ISERROR(B115-2),"",C115+D115-F115-G115-K115+SUM($L$14:L115))</f>
        <v/>
      </c>
      <c r="U115" s="95" t="str">
        <f t="shared" si="9"/>
        <v/>
      </c>
      <c r="V115" s="95" t="str">
        <f t="shared" si="10"/>
        <v/>
      </c>
      <c r="Z115" s="95">
        <v>45939</v>
      </c>
      <c r="AA115" s="3">
        <v>243.46870000000001</v>
      </c>
      <c r="AB115" s="37">
        <v>45939</v>
      </c>
      <c r="AC115" s="3">
        <v>271.95800000000003</v>
      </c>
      <c r="AD115" s="37">
        <f t="shared" si="11"/>
        <v>45939</v>
      </c>
    </row>
    <row r="116" spans="1:30" x14ac:dyDescent="0.25">
      <c r="A116" s="98" t="str">
        <f t="shared" ca="1" si="12"/>
        <v/>
      </c>
      <c r="B116" s="33" t="str">
        <f ca="1">IF(COUNTIF($W$2:W1101,A116)=1,VLOOKUP(A116,O:P,2), IF(COUNTIF($W$2:W1101,A116)=0,$B$9,""))</f>
        <v/>
      </c>
      <c r="C116" s="25" t="str">
        <f t="shared" ca="1" si="13"/>
        <v/>
      </c>
      <c r="D116" s="26"/>
      <c r="E116" s="33" t="str">
        <f ca="1">IF(COUNTIF($W$2:W1101,A116)=1,VLOOKUP(A116,Q:R,2), IF(COUNTIF($W$2:W1101,A116)=0,$C$9,""))</f>
        <v/>
      </c>
      <c r="F116" s="25" t="str">
        <f t="shared" ca="1" si="14"/>
        <v/>
      </c>
      <c r="G116" s="26" t="str">
        <f t="shared" ca="1" si="15"/>
        <v/>
      </c>
      <c r="H116" s="33" t="str">
        <f ca="1">IF(COUNTIF($W$2:W1101,A116)=1,VLOOKUP(A116,S:T,2), IF(COUNTIF($W$2:W1101,A116)=0,$D$9,""))</f>
        <v/>
      </c>
      <c r="I116" s="34" t="str">
        <f ca="1">IF(COUNTIF($X$2:X1101,INT(A116))=1,VLOOKUP(INT(A116),X:Y,2), IF(ISERROR(H116-2),"",I115*(1-$D$8*(H116-H115)*0.0001)))</f>
        <v/>
      </c>
      <c r="J116" s="34" t="str">
        <f t="shared" ca="1" si="16"/>
        <v/>
      </c>
      <c r="K116" s="26" t="str">
        <f t="shared" ca="1" si="17"/>
        <v/>
      </c>
      <c r="L116" s="26"/>
      <c r="M116" s="55" t="str">
        <f ca="1">IF(ISERROR(B116-2),"",C116+D116-F116-G116-K116+SUM($L$14:L116))</f>
        <v/>
      </c>
      <c r="U116" s="95" t="str">
        <f t="shared" si="9"/>
        <v/>
      </c>
      <c r="V116" s="95" t="str">
        <f t="shared" si="10"/>
        <v/>
      </c>
      <c r="Z116" s="95">
        <v>45940</v>
      </c>
      <c r="AA116" s="3">
        <v>242.13290000000001</v>
      </c>
      <c r="AB116" s="37">
        <v>45940</v>
      </c>
      <c r="AC116" s="3">
        <v>283.27499999999998</v>
      </c>
      <c r="AD116" s="37">
        <f t="shared" si="11"/>
        <v>45940</v>
      </c>
    </row>
    <row r="117" spans="1:30" x14ac:dyDescent="0.25">
      <c r="A117" s="98" t="str">
        <f t="shared" ca="1" si="12"/>
        <v/>
      </c>
      <c r="B117" s="33" t="str">
        <f ca="1">IF(COUNTIF($W$2:W1102,A117)=1,VLOOKUP(A117,O:P,2), IF(COUNTIF($W$2:W1102,A117)=0,$B$9,""))</f>
        <v/>
      </c>
      <c r="C117" s="25" t="str">
        <f t="shared" ca="1" si="13"/>
        <v/>
      </c>
      <c r="D117" s="26"/>
      <c r="E117" s="33" t="str">
        <f ca="1">IF(COUNTIF($W$2:W1102,A117)=1,VLOOKUP(A117,Q:R,2), IF(COUNTIF($W$2:W1102,A117)=0,$C$9,""))</f>
        <v/>
      </c>
      <c r="F117" s="25" t="str">
        <f t="shared" ca="1" si="14"/>
        <v/>
      </c>
      <c r="G117" s="26" t="str">
        <f t="shared" ca="1" si="15"/>
        <v/>
      </c>
      <c r="H117" s="33" t="str">
        <f ca="1">IF(COUNTIF($W$2:W1102,A117)=1,VLOOKUP(A117,S:T,2), IF(COUNTIF($W$2:W1102,A117)=0,$D$9,""))</f>
        <v/>
      </c>
      <c r="I117" s="34" t="str">
        <f ca="1">IF(COUNTIF($X$2:X1102,INT(A117))=1,VLOOKUP(INT(A117),X:Y,2), IF(ISERROR(H117-2),"",I116*(1-$D$8*(H117-H116)*0.0001)))</f>
        <v/>
      </c>
      <c r="J117" s="34" t="str">
        <f t="shared" ca="1" si="16"/>
        <v/>
      </c>
      <c r="K117" s="26" t="str">
        <f t="shared" ca="1" si="17"/>
        <v/>
      </c>
      <c r="L117" s="26"/>
      <c r="M117" s="55" t="str">
        <f ca="1">IF(ISERROR(B117-2),"",C117+D117-F117-G117-K117+SUM($L$14:L117))</f>
        <v/>
      </c>
      <c r="U117" s="95" t="str">
        <f t="shared" si="9"/>
        <v/>
      </c>
      <c r="V117" s="95" t="str">
        <f t="shared" si="10"/>
        <v/>
      </c>
      <c r="Z117" s="95">
        <v>45943</v>
      </c>
      <c r="AA117" s="3">
        <v>242.50720000000001</v>
      </c>
      <c r="AB117" s="37">
        <v>45943</v>
      </c>
      <c r="AC117" s="3">
        <v>280.70100000000002</v>
      </c>
      <c r="AD117" s="37">
        <f t="shared" si="11"/>
        <v>45943</v>
      </c>
    </row>
    <row r="118" spans="1:30" x14ac:dyDescent="0.25">
      <c r="A118" s="98" t="str">
        <f t="shared" ca="1" si="12"/>
        <v/>
      </c>
      <c r="B118" s="33" t="str">
        <f ca="1">IF(COUNTIF($W$2:W1103,A118)=1,VLOOKUP(A118,O:P,2), IF(COUNTIF($W$2:W1103,A118)=0,$B$9,""))</f>
        <v/>
      </c>
      <c r="C118" s="25" t="str">
        <f t="shared" ca="1" si="13"/>
        <v/>
      </c>
      <c r="D118" s="26"/>
      <c r="E118" s="33" t="str">
        <f ca="1">IF(COUNTIF($W$2:W1103,A118)=1,VLOOKUP(A118,Q:R,2), IF(COUNTIF($W$2:W1103,A118)=0,$C$9,""))</f>
        <v/>
      </c>
      <c r="F118" s="25" t="str">
        <f t="shared" ca="1" si="14"/>
        <v/>
      </c>
      <c r="G118" s="26" t="str">
        <f t="shared" ca="1" si="15"/>
        <v/>
      </c>
      <c r="H118" s="33" t="str">
        <f ca="1">IF(COUNTIF($W$2:W1103,A118)=1,VLOOKUP(A118,S:T,2), IF(COUNTIF($W$2:W1103,A118)=0,$D$9,""))</f>
        <v/>
      </c>
      <c r="I118" s="34" t="str">
        <f ca="1">IF(COUNTIF($X$2:X1103,INT(A118))=1,VLOOKUP(INT(A118),X:Y,2), IF(ISERROR(H118-2),"",I117*(1-$D$8*(H118-H117)*0.0001)))</f>
        <v/>
      </c>
      <c r="J118" s="34" t="str">
        <f t="shared" ca="1" si="16"/>
        <v/>
      </c>
      <c r="K118" s="26" t="str">
        <f t="shared" ca="1" si="17"/>
        <v/>
      </c>
      <c r="L118" s="26"/>
      <c r="M118" s="55" t="str">
        <f ca="1">IF(ISERROR(B118-2),"",C118+D118-F118-G118-K118+SUM($L$14:L118))</f>
        <v/>
      </c>
      <c r="U118" s="95" t="str">
        <f t="shared" si="9"/>
        <v/>
      </c>
      <c r="V118" s="95" t="str">
        <f t="shared" si="10"/>
        <v/>
      </c>
      <c r="Z118" s="95">
        <v>45944</v>
      </c>
      <c r="AA118" s="3">
        <v>242.9716</v>
      </c>
      <c r="AB118" s="37">
        <v>45944</v>
      </c>
      <c r="AC118" s="3">
        <v>275.89800000000002</v>
      </c>
      <c r="AD118" s="37">
        <f t="shared" si="11"/>
        <v>45944</v>
      </c>
    </row>
    <row r="119" spans="1:30" x14ac:dyDescent="0.25">
      <c r="A119" s="98" t="str">
        <f t="shared" ca="1" si="12"/>
        <v/>
      </c>
      <c r="B119" s="33" t="str">
        <f ca="1">IF(COUNTIF($W$2:W1104,A119)=1,VLOOKUP(A119,O:P,2), IF(COUNTIF($W$2:W1104,A119)=0,$B$9,""))</f>
        <v/>
      </c>
      <c r="C119" s="25" t="str">
        <f t="shared" ca="1" si="13"/>
        <v/>
      </c>
      <c r="D119" s="26"/>
      <c r="E119" s="33" t="str">
        <f ca="1">IF(COUNTIF($W$2:W1104,A119)=1,VLOOKUP(A119,Q:R,2), IF(COUNTIF($W$2:W1104,A119)=0,$C$9,""))</f>
        <v/>
      </c>
      <c r="F119" s="25" t="str">
        <f t="shared" ca="1" si="14"/>
        <v/>
      </c>
      <c r="G119" s="26" t="str">
        <f t="shared" ca="1" si="15"/>
        <v/>
      </c>
      <c r="H119" s="33" t="str">
        <f ca="1">IF(COUNTIF($W$2:W1104,A119)=1,VLOOKUP(A119,S:T,2), IF(COUNTIF($W$2:W1104,A119)=0,$D$9,""))</f>
        <v/>
      </c>
      <c r="I119" s="34" t="str">
        <f ca="1">IF(COUNTIF($X$2:X1104,INT(A119))=1,VLOOKUP(INT(A119),X:Y,2), IF(ISERROR(H119-2),"",I118*(1-$D$8*(H119-H118)*0.0001)))</f>
        <v/>
      </c>
      <c r="J119" s="34" t="str">
        <f t="shared" ca="1" si="16"/>
        <v/>
      </c>
      <c r="K119" s="26" t="str">
        <f t="shared" ca="1" si="17"/>
        <v/>
      </c>
      <c r="L119" s="26"/>
      <c r="M119" s="55" t="str">
        <f ca="1">IF(ISERROR(B119-2),"",C119+D119-F119-G119-K119+SUM($L$14:L119))</f>
        <v/>
      </c>
      <c r="U119" s="95" t="str">
        <f t="shared" si="9"/>
        <v/>
      </c>
      <c r="V119" s="95" t="str">
        <f t="shared" si="10"/>
        <v/>
      </c>
      <c r="Z119" s="95">
        <v>45945</v>
      </c>
      <c r="AA119" s="3">
        <v>244.08959999999999</v>
      </c>
      <c r="AB119" s="37">
        <v>45945</v>
      </c>
      <c r="AC119" s="3">
        <v>269.79700000000003</v>
      </c>
      <c r="AD119" s="37">
        <f t="shared" si="11"/>
        <v>45945</v>
      </c>
    </row>
    <row r="120" spans="1:30" x14ac:dyDescent="0.25">
      <c r="A120" s="98" t="str">
        <f t="shared" ca="1" si="12"/>
        <v/>
      </c>
      <c r="B120" s="33" t="str">
        <f ca="1">IF(COUNTIF($W$2:W1105,A120)=1,VLOOKUP(A120,O:P,2), IF(COUNTIF($W$2:W1105,A120)=0,$B$9,""))</f>
        <v/>
      </c>
      <c r="C120" s="25" t="str">
        <f t="shared" ca="1" si="13"/>
        <v/>
      </c>
      <c r="D120" s="26"/>
      <c r="E120" s="33" t="str">
        <f ca="1">IF(COUNTIF($W$2:W1105,A120)=1,VLOOKUP(A120,Q:R,2), IF(COUNTIF($W$2:W1105,A120)=0,$C$9,""))</f>
        <v/>
      </c>
      <c r="F120" s="25" t="str">
        <f t="shared" ca="1" si="14"/>
        <v/>
      </c>
      <c r="G120" s="26" t="str">
        <f t="shared" ca="1" si="15"/>
        <v/>
      </c>
      <c r="H120" s="33" t="str">
        <f ca="1">IF(COUNTIF($W$2:W1105,A120)=1,VLOOKUP(A120,S:T,2), IF(COUNTIF($W$2:W1105,A120)=0,$D$9,""))</f>
        <v/>
      </c>
      <c r="I120" s="34" t="str">
        <f ca="1">IF(COUNTIF($X$2:X1105,INT(A120))=1,VLOOKUP(INT(A120),X:Y,2), IF(ISERROR(H120-2),"",I119*(1-$D$8*(H120-H119)*0.0001)))</f>
        <v/>
      </c>
      <c r="J120" s="34" t="str">
        <f t="shared" ca="1" si="16"/>
        <v/>
      </c>
      <c r="K120" s="26" t="str">
        <f t="shared" ca="1" si="17"/>
        <v/>
      </c>
      <c r="L120" s="26"/>
      <c r="M120" s="55" t="str">
        <f ca="1">IF(ISERROR(B120-2),"",C120+D120-F120-G120-K120+SUM($L$14:L120))</f>
        <v/>
      </c>
      <c r="U120" s="95" t="str">
        <f t="shared" si="9"/>
        <v/>
      </c>
      <c r="V120" s="95" t="str">
        <f t="shared" si="10"/>
        <v/>
      </c>
      <c r="Z120" s="95">
        <v>45946</v>
      </c>
      <c r="AA120" s="3">
        <v>243.5917</v>
      </c>
      <c r="AB120" s="37">
        <v>45946</v>
      </c>
      <c r="AC120" s="3">
        <v>273.65499999999997</v>
      </c>
      <c r="AD120" s="37">
        <f t="shared" si="11"/>
        <v>45946</v>
      </c>
    </row>
    <row r="121" spans="1:30" x14ac:dyDescent="0.25">
      <c r="A121" s="98" t="str">
        <f t="shared" ca="1" si="12"/>
        <v/>
      </c>
      <c r="B121" s="33" t="str">
        <f ca="1">IF(COUNTIF($W$2:W1106,A121)=1,VLOOKUP(A121,O:P,2), IF(COUNTIF($W$2:W1106,A121)=0,$B$9,""))</f>
        <v/>
      </c>
      <c r="C121" s="25" t="str">
        <f t="shared" ca="1" si="13"/>
        <v/>
      </c>
      <c r="D121" s="26"/>
      <c r="E121" s="33" t="str">
        <f ca="1">IF(COUNTIF($W$2:W1106,A121)=1,VLOOKUP(A121,Q:R,2), IF(COUNTIF($W$2:W1106,A121)=0,$C$9,""))</f>
        <v/>
      </c>
      <c r="F121" s="25" t="str">
        <f t="shared" ca="1" si="14"/>
        <v/>
      </c>
      <c r="G121" s="26" t="str">
        <f t="shared" ca="1" si="15"/>
        <v/>
      </c>
      <c r="H121" s="33" t="str">
        <f ca="1">IF(COUNTIF($W$2:W1106,A121)=1,VLOOKUP(A121,S:T,2), IF(COUNTIF($W$2:W1106,A121)=0,$D$9,""))</f>
        <v/>
      </c>
      <c r="I121" s="34" t="str">
        <f ca="1">IF(COUNTIF($X$2:X1106,INT(A121))=1,VLOOKUP(INT(A121),X:Y,2), IF(ISERROR(H121-2),"",I120*(1-$D$8*(H121-H120)*0.0001)))</f>
        <v/>
      </c>
      <c r="J121" s="34" t="str">
        <f t="shared" ca="1" si="16"/>
        <v/>
      </c>
      <c r="K121" s="26" t="str">
        <f t="shared" ca="1" si="17"/>
        <v/>
      </c>
      <c r="L121" s="26"/>
      <c r="M121" s="55" t="str">
        <f ca="1">IF(ISERROR(B121-2),"",C121+D121-F121-G121-K121+SUM($L$14:L121))</f>
        <v/>
      </c>
      <c r="U121" s="95" t="str">
        <f t="shared" si="9"/>
        <v/>
      </c>
      <c r="V121" s="95" t="str">
        <f t="shared" si="10"/>
        <v/>
      </c>
      <c r="Z121" s="95">
        <v>45947</v>
      </c>
      <c r="AA121" s="3">
        <v>243.0658</v>
      </c>
      <c r="AB121" s="37">
        <v>45947</v>
      </c>
      <c r="AC121" s="3">
        <v>277.44600000000003</v>
      </c>
      <c r="AD121" s="37">
        <f t="shared" si="11"/>
        <v>45947</v>
      </c>
    </row>
    <row r="122" spans="1:30" x14ac:dyDescent="0.25">
      <c r="A122" s="98" t="str">
        <f t="shared" ca="1" si="12"/>
        <v/>
      </c>
      <c r="B122" s="33" t="str">
        <f ca="1">IF(COUNTIF($W$2:W1107,A122)=1,VLOOKUP(A122,O:P,2), IF(COUNTIF($W$2:W1107,A122)=0,$B$9,""))</f>
        <v/>
      </c>
      <c r="C122" s="25" t="str">
        <f t="shared" ca="1" si="13"/>
        <v/>
      </c>
      <c r="D122" s="26"/>
      <c r="E122" s="33" t="str">
        <f ca="1">IF(COUNTIF($W$2:W1107,A122)=1,VLOOKUP(A122,Q:R,2), IF(COUNTIF($W$2:W1107,A122)=0,$C$9,""))</f>
        <v/>
      </c>
      <c r="F122" s="25" t="str">
        <f t="shared" ca="1" si="14"/>
        <v/>
      </c>
      <c r="G122" s="26" t="str">
        <f t="shared" ca="1" si="15"/>
        <v/>
      </c>
      <c r="H122" s="33" t="str">
        <f ca="1">IF(COUNTIF($W$2:W1107,A122)=1,VLOOKUP(A122,S:T,2), IF(COUNTIF($W$2:W1107,A122)=0,$D$9,""))</f>
        <v/>
      </c>
      <c r="I122" s="34" t="str">
        <f ca="1">IF(COUNTIF($X$2:X1107,INT(A122))=1,VLOOKUP(INT(A122),X:Y,2), IF(ISERROR(H122-2),"",I121*(1-$D$8*(H122-H121)*0.0001)))</f>
        <v/>
      </c>
      <c r="J122" s="34" t="str">
        <f t="shared" ca="1" si="16"/>
        <v/>
      </c>
      <c r="K122" s="26" t="str">
        <f t="shared" ca="1" si="17"/>
        <v/>
      </c>
      <c r="L122" s="26"/>
      <c r="M122" s="55" t="str">
        <f ca="1">IF(ISERROR(B122-2),"",C122+D122-F122-G122-K122+SUM($L$14:L122))</f>
        <v/>
      </c>
      <c r="U122" s="95" t="str">
        <f t="shared" si="9"/>
        <v/>
      </c>
      <c r="V122" s="95" t="str">
        <f t="shared" si="10"/>
        <v/>
      </c>
      <c r="Z122" s="95">
        <v>45950</v>
      </c>
      <c r="AA122" s="3">
        <v>244.0598</v>
      </c>
      <c r="AB122" s="37">
        <v>45950</v>
      </c>
      <c r="AC122" s="3">
        <v>269.54399999999998</v>
      </c>
      <c r="AD122" s="37">
        <f t="shared" si="11"/>
        <v>45950</v>
      </c>
    </row>
    <row r="123" spans="1:30" x14ac:dyDescent="0.25">
      <c r="A123" s="98" t="str">
        <f t="shared" ca="1" si="12"/>
        <v/>
      </c>
      <c r="B123" s="33" t="str">
        <f ca="1">IF(COUNTIF($W$2:W1108,A123)=1,VLOOKUP(A123,O:P,2), IF(COUNTIF($W$2:W1108,A123)=0,$B$9,""))</f>
        <v/>
      </c>
      <c r="C123" s="25" t="str">
        <f t="shared" ca="1" si="13"/>
        <v/>
      </c>
      <c r="D123" s="26"/>
      <c r="E123" s="33" t="str">
        <f ca="1">IF(COUNTIF($W$2:W1108,A123)=1,VLOOKUP(A123,Q:R,2), IF(COUNTIF($W$2:W1108,A123)=0,$C$9,""))</f>
        <v/>
      </c>
      <c r="F123" s="25" t="str">
        <f t="shared" ca="1" si="14"/>
        <v/>
      </c>
      <c r="G123" s="26" t="str">
        <f t="shared" ca="1" si="15"/>
        <v/>
      </c>
      <c r="H123" s="33" t="str">
        <f ca="1">IF(COUNTIF($W$2:W1108,A123)=1,VLOOKUP(A123,S:T,2), IF(COUNTIF($W$2:W1108,A123)=0,$D$9,""))</f>
        <v/>
      </c>
      <c r="I123" s="34" t="str">
        <f ca="1">IF(COUNTIF($X$2:X1108,INT(A123))=1,VLOOKUP(INT(A123),X:Y,2), IF(ISERROR(H123-2),"",I122*(1-$D$8*(H123-H122)*0.0001)))</f>
        <v/>
      </c>
      <c r="J123" s="34" t="str">
        <f t="shared" ca="1" si="16"/>
        <v/>
      </c>
      <c r="K123" s="26" t="str">
        <f t="shared" ca="1" si="17"/>
        <v/>
      </c>
      <c r="L123" s="26"/>
      <c r="M123" s="55" t="str">
        <f ca="1">IF(ISERROR(B123-2),"",C123+D123-F123-G123-K123+SUM($L$14:L123))</f>
        <v/>
      </c>
      <c r="U123" s="95" t="str">
        <f t="shared" si="9"/>
        <v/>
      </c>
      <c r="V123" s="95" t="str">
        <f t="shared" si="10"/>
        <v/>
      </c>
      <c r="Z123" s="95">
        <v>45951</v>
      </c>
      <c r="AA123" s="3">
        <v>244.31870000000001</v>
      </c>
      <c r="AB123" s="37">
        <v>45951</v>
      </c>
      <c r="AC123" s="3">
        <v>267.43400000000003</v>
      </c>
      <c r="AD123" s="37">
        <f t="shared" si="11"/>
        <v>45951</v>
      </c>
    </row>
    <row r="124" spans="1:30" x14ac:dyDescent="0.25">
      <c r="A124" s="98" t="str">
        <f t="shared" ca="1" si="12"/>
        <v/>
      </c>
      <c r="B124" s="33" t="str">
        <f ca="1">IF(COUNTIF($W$2:W1109,A124)=1,VLOOKUP(A124,O:P,2), IF(COUNTIF($W$2:W1109,A124)=0,$B$9,""))</f>
        <v/>
      </c>
      <c r="C124" s="25" t="str">
        <f t="shared" ca="1" si="13"/>
        <v/>
      </c>
      <c r="D124" s="26"/>
      <c r="E124" s="33" t="str">
        <f ca="1">IF(COUNTIF($W$2:W1109,A124)=1,VLOOKUP(A124,Q:R,2), IF(COUNTIF($W$2:W1109,A124)=0,$C$9,""))</f>
        <v/>
      </c>
      <c r="F124" s="25" t="str">
        <f t="shared" ca="1" si="14"/>
        <v/>
      </c>
      <c r="G124" s="26" t="str">
        <f t="shared" ca="1" si="15"/>
        <v/>
      </c>
      <c r="H124" s="33" t="str">
        <f ca="1">IF(COUNTIF($W$2:W1109,A124)=1,VLOOKUP(A124,S:T,2), IF(COUNTIF($W$2:W1109,A124)=0,$D$9,""))</f>
        <v/>
      </c>
      <c r="I124" s="34" t="str">
        <f ca="1">IF(COUNTIF($X$2:X1109,INT(A124))=1,VLOOKUP(INT(A124),X:Y,2), IF(ISERROR(H124-2),"",I123*(1-$D$8*(H124-H123)*0.0001)))</f>
        <v/>
      </c>
      <c r="J124" s="34" t="str">
        <f t="shared" ca="1" si="16"/>
        <v/>
      </c>
      <c r="K124" s="26" t="str">
        <f t="shared" ca="1" si="17"/>
        <v/>
      </c>
      <c r="L124" s="26"/>
      <c r="M124" s="55" t="str">
        <f ca="1">IF(ISERROR(B124-2),"",C124+D124-F124-G124-K124+SUM($L$14:L124))</f>
        <v/>
      </c>
      <c r="U124" s="95" t="str">
        <f t="shared" si="9"/>
        <v/>
      </c>
      <c r="V124" s="95" t="str">
        <f t="shared" si="10"/>
        <v/>
      </c>
      <c r="Z124" s="95">
        <v>45952</v>
      </c>
      <c r="AA124" s="3">
        <v>244.07040000000001</v>
      </c>
      <c r="AB124" s="37">
        <v>45952</v>
      </c>
      <c r="AC124" s="3">
        <v>269.74599999999998</v>
      </c>
      <c r="AD124" s="37">
        <f t="shared" si="11"/>
        <v>45952</v>
      </c>
    </row>
    <row r="125" spans="1:30" x14ac:dyDescent="0.25">
      <c r="A125" s="98" t="str">
        <f t="shared" ca="1" si="12"/>
        <v/>
      </c>
      <c r="B125" s="33" t="str">
        <f ca="1">IF(COUNTIF($W$2:W1110,A125)=1,VLOOKUP(A125,O:P,2), IF(COUNTIF($W$2:W1110,A125)=0,$B$9,""))</f>
        <v/>
      </c>
      <c r="C125" s="25" t="str">
        <f t="shared" ca="1" si="13"/>
        <v/>
      </c>
      <c r="D125" s="26"/>
      <c r="E125" s="33" t="str">
        <f ca="1">IF(COUNTIF($W$2:W1110,A125)=1,VLOOKUP(A125,Q:R,2), IF(COUNTIF($W$2:W1110,A125)=0,$C$9,""))</f>
        <v/>
      </c>
      <c r="F125" s="25" t="str">
        <f t="shared" ca="1" si="14"/>
        <v/>
      </c>
      <c r="G125" s="26" t="str">
        <f t="shared" ca="1" si="15"/>
        <v/>
      </c>
      <c r="H125" s="33" t="str">
        <f ca="1">IF(COUNTIF($W$2:W1110,A125)=1,VLOOKUP(A125,S:T,2), IF(COUNTIF($W$2:W1110,A125)=0,$D$9,""))</f>
        <v/>
      </c>
      <c r="I125" s="34" t="str">
        <f ca="1">IF(COUNTIF($X$2:X1110,INT(A125))=1,VLOOKUP(INT(A125),X:Y,2), IF(ISERROR(H125-2),"",I124*(1-$D$8*(H125-H124)*0.0001)))</f>
        <v/>
      </c>
      <c r="J125" s="34" t="str">
        <f t="shared" ca="1" si="16"/>
        <v/>
      </c>
      <c r="K125" s="26" t="str">
        <f t="shared" ca="1" si="17"/>
        <v/>
      </c>
      <c r="L125" s="26"/>
      <c r="M125" s="55" t="str">
        <f ca="1">IF(ISERROR(B125-2),"",C125+D125-F125-G125-K125+SUM($L$14:L125))</f>
        <v/>
      </c>
      <c r="U125" s="95" t="str">
        <f t="shared" si="9"/>
        <v/>
      </c>
      <c r="V125" s="95" t="str">
        <f t="shared" si="10"/>
        <v/>
      </c>
      <c r="Z125" s="95">
        <v>45953</v>
      </c>
      <c r="AA125" s="3">
        <v>244.25409999999999</v>
      </c>
      <c r="AB125" s="37">
        <v>45953</v>
      </c>
      <c r="AC125" s="3">
        <v>268.49799999999999</v>
      </c>
      <c r="AD125" s="37">
        <f t="shared" si="11"/>
        <v>45953</v>
      </c>
    </row>
    <row r="126" spans="1:30" x14ac:dyDescent="0.25">
      <c r="A126" s="98" t="str">
        <f t="shared" ca="1" si="12"/>
        <v/>
      </c>
      <c r="B126" s="33" t="str">
        <f ca="1">IF(COUNTIF($W$2:W1111,A126)=1,VLOOKUP(A126,O:P,2), IF(COUNTIF($W$2:W1111,A126)=0,$B$9,""))</f>
        <v/>
      </c>
      <c r="C126" s="25" t="str">
        <f t="shared" ca="1" si="13"/>
        <v/>
      </c>
      <c r="D126" s="26"/>
      <c r="E126" s="33" t="str">
        <f ca="1">IF(COUNTIF($W$2:W1111,A126)=1,VLOOKUP(A126,Q:R,2), IF(COUNTIF($W$2:W1111,A126)=0,$C$9,""))</f>
        <v/>
      </c>
      <c r="F126" s="25" t="str">
        <f t="shared" ca="1" si="14"/>
        <v/>
      </c>
      <c r="G126" s="26" t="str">
        <f t="shared" ca="1" si="15"/>
        <v/>
      </c>
      <c r="H126" s="33" t="str">
        <f ca="1">IF(COUNTIF($W$2:W1111,A126)=1,VLOOKUP(A126,S:T,2), IF(COUNTIF($W$2:W1111,A126)=0,$D$9,""))</f>
        <v/>
      </c>
      <c r="I126" s="34" t="str">
        <f ca="1">IF(COUNTIF($X$2:X1111,INT(A126))=1,VLOOKUP(INT(A126),X:Y,2), IF(ISERROR(H126-2),"",I125*(1-$D$8*(H126-H125)*0.0001)))</f>
        <v/>
      </c>
      <c r="J126" s="34" t="str">
        <f t="shared" ca="1" si="16"/>
        <v/>
      </c>
      <c r="K126" s="26" t="str">
        <f t="shared" ca="1" si="17"/>
        <v/>
      </c>
      <c r="L126" s="26"/>
      <c r="M126" s="55" t="str">
        <f ca="1">IF(ISERROR(B126-2),"",C126+D126-F126-G126-K126+SUM($L$14:L126))</f>
        <v/>
      </c>
      <c r="U126" s="95" t="str">
        <f t="shared" si="9"/>
        <v/>
      </c>
      <c r="V126" s="95" t="str">
        <f t="shared" si="10"/>
        <v/>
      </c>
      <c r="Z126" s="95">
        <v>45954</v>
      </c>
      <c r="AA126" s="3">
        <v>244.79400000000001</v>
      </c>
      <c r="AB126" s="37">
        <v>45954</v>
      </c>
      <c r="AC126" s="3">
        <v>265.077</v>
      </c>
      <c r="AD126" s="37">
        <f t="shared" si="11"/>
        <v>45954</v>
      </c>
    </row>
    <row r="127" spans="1:30" x14ac:dyDescent="0.25">
      <c r="A127" s="98" t="str">
        <f t="shared" ca="1" si="12"/>
        <v/>
      </c>
      <c r="B127" s="33" t="str">
        <f ca="1">IF(COUNTIF($W$2:W1112,A127)=1,VLOOKUP(A127,O:P,2), IF(COUNTIF($W$2:W1112,A127)=0,$B$9,""))</f>
        <v/>
      </c>
      <c r="C127" s="25" t="str">
        <f t="shared" ca="1" si="13"/>
        <v/>
      </c>
      <c r="D127" s="26"/>
      <c r="E127" s="33" t="str">
        <f ca="1">IF(COUNTIF($W$2:W1112,A127)=1,VLOOKUP(A127,Q:R,2), IF(COUNTIF($W$2:W1112,A127)=0,$C$9,""))</f>
        <v/>
      </c>
      <c r="F127" s="25" t="str">
        <f t="shared" ca="1" si="14"/>
        <v/>
      </c>
      <c r="G127" s="26" t="str">
        <f t="shared" ca="1" si="15"/>
        <v/>
      </c>
      <c r="H127" s="33" t="str">
        <f ca="1">IF(COUNTIF($W$2:W1112,A127)=1,VLOOKUP(A127,S:T,2), IF(COUNTIF($W$2:W1112,A127)=0,$D$9,""))</f>
        <v/>
      </c>
      <c r="I127" s="34" t="str">
        <f ca="1">IF(COUNTIF($X$2:X1112,INT(A127))=1,VLOOKUP(INT(A127),X:Y,2), IF(ISERROR(H127-2),"",I126*(1-$D$8*(H127-H126)*0.0001)))</f>
        <v/>
      </c>
      <c r="J127" s="34" t="str">
        <f t="shared" ca="1" si="16"/>
        <v/>
      </c>
      <c r="K127" s="26" t="str">
        <f t="shared" ca="1" si="17"/>
        <v/>
      </c>
      <c r="L127" s="26"/>
      <c r="M127" s="55" t="str">
        <f ca="1">IF(ISERROR(B127-2),"",C127+D127-F127-G127-K127+SUM($L$14:L127))</f>
        <v/>
      </c>
      <c r="U127" s="95" t="str">
        <f t="shared" si="9"/>
        <v/>
      </c>
      <c r="V127" s="95" t="str">
        <f t="shared" si="10"/>
        <v/>
      </c>
      <c r="Z127" s="95">
        <v>45957</v>
      </c>
      <c r="AA127" s="3">
        <v>245.7517</v>
      </c>
      <c r="AB127" s="37">
        <v>45957</v>
      </c>
      <c r="AC127" s="3">
        <v>256.41899999999998</v>
      </c>
      <c r="AD127" s="37">
        <f t="shared" si="11"/>
        <v>45957</v>
      </c>
    </row>
    <row r="128" spans="1:30" x14ac:dyDescent="0.25">
      <c r="A128" s="98" t="str">
        <f t="shared" ca="1" si="12"/>
        <v/>
      </c>
      <c r="B128" s="33" t="str">
        <f ca="1">IF(COUNTIF($W$2:W1113,A128)=1,VLOOKUP(A128,O:P,2), IF(COUNTIF($W$2:W1113,A128)=0,$B$9,""))</f>
        <v/>
      </c>
      <c r="C128" s="25" t="str">
        <f t="shared" ca="1" si="13"/>
        <v/>
      </c>
      <c r="D128" s="26"/>
      <c r="E128" s="33" t="str">
        <f ca="1">IF(COUNTIF($W$2:W1113,A128)=1,VLOOKUP(A128,Q:R,2), IF(COUNTIF($W$2:W1113,A128)=0,$C$9,""))</f>
        <v/>
      </c>
      <c r="F128" s="25" t="str">
        <f t="shared" ca="1" si="14"/>
        <v/>
      </c>
      <c r="G128" s="26" t="str">
        <f t="shared" ca="1" si="15"/>
        <v/>
      </c>
      <c r="H128" s="33" t="str">
        <f ca="1">IF(COUNTIF($W$2:W1113,A128)=1,VLOOKUP(A128,S:T,2), IF(COUNTIF($W$2:W1113,A128)=0,$D$9,""))</f>
        <v/>
      </c>
      <c r="I128" s="34" t="str">
        <f ca="1">IF(COUNTIF($X$2:X1113,INT(A128))=1,VLOOKUP(INT(A128),X:Y,2), IF(ISERROR(H128-2),"",I127*(1-$D$8*(H128-H127)*0.0001)))</f>
        <v/>
      </c>
      <c r="J128" s="34" t="str">
        <f t="shared" ca="1" si="16"/>
        <v/>
      </c>
      <c r="K128" s="26" t="str">
        <f t="shared" ca="1" si="17"/>
        <v/>
      </c>
      <c r="L128" s="26"/>
      <c r="M128" s="55" t="str">
        <f ca="1">IF(ISERROR(B128-2),"",C128+D128-F128-G128-K128+SUM($L$14:L128))</f>
        <v/>
      </c>
      <c r="U128" s="95" t="str">
        <f t="shared" si="9"/>
        <v/>
      </c>
      <c r="V128" s="95" t="str">
        <f t="shared" si="10"/>
        <v/>
      </c>
      <c r="Z128" s="95">
        <v>45958</v>
      </c>
      <c r="AA128" s="3">
        <v>245.49199999999999</v>
      </c>
      <c r="AB128" s="37">
        <v>45958</v>
      </c>
      <c r="AC128" s="3">
        <v>258.21699999999998</v>
      </c>
      <c r="AD128" s="37">
        <f t="shared" si="11"/>
        <v>45958</v>
      </c>
    </row>
    <row r="129" spans="1:30" x14ac:dyDescent="0.25">
      <c r="A129" s="98" t="str">
        <f t="shared" ca="1" si="12"/>
        <v/>
      </c>
      <c r="B129" s="33" t="str">
        <f ca="1">IF(COUNTIF($W$2:W1114,A129)=1,VLOOKUP(A129,O:P,2), IF(COUNTIF($W$2:W1114,A129)=0,$B$9,""))</f>
        <v/>
      </c>
      <c r="C129" s="25" t="str">
        <f t="shared" ca="1" si="13"/>
        <v/>
      </c>
      <c r="D129" s="26"/>
      <c r="E129" s="33" t="str">
        <f ca="1">IF(COUNTIF($W$2:W1114,A129)=1,VLOOKUP(A129,Q:R,2), IF(COUNTIF($W$2:W1114,A129)=0,$C$9,""))</f>
        <v/>
      </c>
      <c r="F129" s="25" t="str">
        <f t="shared" ca="1" si="14"/>
        <v/>
      </c>
      <c r="G129" s="26" t="str">
        <f t="shared" ca="1" si="15"/>
        <v/>
      </c>
      <c r="H129" s="33" t="str">
        <f ca="1">IF(COUNTIF($W$2:W1114,A129)=1,VLOOKUP(A129,S:T,2), IF(COUNTIF($W$2:W1114,A129)=0,$D$9,""))</f>
        <v/>
      </c>
      <c r="I129" s="34" t="str">
        <f ca="1">IF(COUNTIF($X$2:X1114,INT(A129))=1,VLOOKUP(INT(A129),X:Y,2), IF(ISERROR(H129-2),"",I128*(1-$D$8*(H129-H128)*0.0001)))</f>
        <v/>
      </c>
      <c r="J129" s="34" t="str">
        <f t="shared" ca="1" si="16"/>
        <v/>
      </c>
      <c r="K129" s="26" t="str">
        <f t="shared" ca="1" si="17"/>
        <v/>
      </c>
      <c r="L129" s="26"/>
      <c r="M129" s="55" t="str">
        <f ca="1">IF(ISERROR(B129-2),"",C129+D129-F129-G129-K129+SUM($L$14:L129))</f>
        <v/>
      </c>
      <c r="U129" s="95" t="str">
        <f t="shared" si="9"/>
        <v/>
      </c>
      <c r="V129" s="95" t="str">
        <f t="shared" si="10"/>
        <v/>
      </c>
      <c r="Z129" s="95">
        <v>45959</v>
      </c>
      <c r="AA129" s="3">
        <v>245.55119999999999</v>
      </c>
      <c r="AB129" s="37">
        <v>45959</v>
      </c>
      <c r="AC129" s="3">
        <v>258.82100000000003</v>
      </c>
      <c r="AD129" s="37">
        <f t="shared" si="11"/>
        <v>45959</v>
      </c>
    </row>
    <row r="130" spans="1:30" x14ac:dyDescent="0.25">
      <c r="A130" s="98" t="str">
        <f t="shared" ca="1" si="12"/>
        <v/>
      </c>
      <c r="B130" s="33" t="str">
        <f ca="1">IF(COUNTIF($W$2:W1115,A130)=1,VLOOKUP(A130,O:P,2), IF(COUNTIF($W$2:W1115,A130)=0,$B$9,""))</f>
        <v/>
      </c>
      <c r="C130" s="25" t="str">
        <f t="shared" ca="1" si="13"/>
        <v/>
      </c>
      <c r="D130" s="26"/>
      <c r="E130" s="33" t="str">
        <f ca="1">IF(COUNTIF($W$2:W1115,A130)=1,VLOOKUP(A130,Q:R,2), IF(COUNTIF($W$2:W1115,A130)=0,$C$9,""))</f>
        <v/>
      </c>
      <c r="F130" s="25" t="str">
        <f t="shared" ca="1" si="14"/>
        <v/>
      </c>
      <c r="G130" s="26" t="str">
        <f t="shared" ca="1" si="15"/>
        <v/>
      </c>
      <c r="H130" s="33" t="str">
        <f ca="1">IF(COUNTIF($W$2:W1115,A130)=1,VLOOKUP(A130,S:T,2), IF(COUNTIF($W$2:W1115,A130)=0,$D$9,""))</f>
        <v/>
      </c>
      <c r="I130" s="34" t="str">
        <f ca="1">IF(COUNTIF($X$2:X1115,INT(A130))=1,VLOOKUP(INT(A130),X:Y,2), IF(ISERROR(H130-2),"",I129*(1-$D$8*(H130-H129)*0.0001)))</f>
        <v/>
      </c>
      <c r="J130" s="34" t="str">
        <f t="shared" ca="1" si="16"/>
        <v/>
      </c>
      <c r="K130" s="26" t="str">
        <f t="shared" ca="1" si="17"/>
        <v/>
      </c>
      <c r="L130" s="26"/>
      <c r="M130" s="55" t="str">
        <f ca="1">IF(ISERROR(B130-2),"",C130+D130-F130-G130-K130+SUM($L$14:L130))</f>
        <v/>
      </c>
      <c r="U130" s="95" t="str">
        <f t="shared" si="9"/>
        <v/>
      </c>
      <c r="V130" s="95" t="str">
        <f t="shared" si="10"/>
        <v/>
      </c>
      <c r="Z130" s="95">
        <v>45960</v>
      </c>
      <c r="AA130" s="3">
        <v>245.16900000000001</v>
      </c>
      <c r="AB130" s="37">
        <v>45960</v>
      </c>
      <c r="AC130" s="3">
        <v>262.49700000000001</v>
      </c>
      <c r="AD130" s="37">
        <f t="shared" si="11"/>
        <v>45960</v>
      </c>
    </row>
    <row r="131" spans="1:30" x14ac:dyDescent="0.25">
      <c r="A131" s="98" t="str">
        <f t="shared" ca="1" si="12"/>
        <v/>
      </c>
      <c r="B131" s="33" t="str">
        <f ca="1">IF(COUNTIF($W$2:W1116,A131)=1,VLOOKUP(A131,O:P,2), IF(COUNTIF($W$2:W1116,A131)=0,$B$9,""))</f>
        <v/>
      </c>
      <c r="C131" s="25" t="str">
        <f t="shared" ca="1" si="13"/>
        <v/>
      </c>
      <c r="D131" s="26"/>
      <c r="E131" s="33" t="str">
        <f ca="1">IF(COUNTIF($W$2:W1116,A131)=1,VLOOKUP(A131,Q:R,2), IF(COUNTIF($W$2:W1116,A131)=0,$C$9,""))</f>
        <v/>
      </c>
      <c r="F131" s="25" t="str">
        <f t="shared" ca="1" si="14"/>
        <v/>
      </c>
      <c r="G131" s="26" t="str">
        <f t="shared" ca="1" si="15"/>
        <v/>
      </c>
      <c r="H131" s="33" t="str">
        <f ca="1">IF(COUNTIF($W$2:W1116,A131)=1,VLOOKUP(A131,S:T,2), IF(COUNTIF($W$2:W1116,A131)=0,$D$9,""))</f>
        <v/>
      </c>
      <c r="I131" s="34" t="str">
        <f ca="1">IF(COUNTIF($X$2:X1116,INT(A131))=1,VLOOKUP(INT(A131),X:Y,2), IF(ISERROR(H131-2),"",I130*(1-$D$8*(H131-H130)*0.0001)))</f>
        <v/>
      </c>
      <c r="J131" s="34" t="str">
        <f t="shared" ca="1" si="16"/>
        <v/>
      </c>
      <c r="K131" s="26" t="str">
        <f t="shared" ca="1" si="17"/>
        <v/>
      </c>
      <c r="L131" s="26"/>
      <c r="M131" s="55" t="str">
        <f ca="1">IF(ISERROR(B131-2),"",C131+D131-F131-G131-K131+SUM($L$14:L131))</f>
        <v/>
      </c>
      <c r="U131" s="95" t="str">
        <f t="shared" si="9"/>
        <v/>
      </c>
      <c r="V131" s="95" t="str">
        <f t="shared" si="10"/>
        <v/>
      </c>
      <c r="Z131" s="95">
        <v>45961</v>
      </c>
      <c r="AA131" s="3">
        <v>244.8545</v>
      </c>
      <c r="AB131" s="37">
        <v>45961</v>
      </c>
      <c r="AC131" s="3">
        <v>265.971</v>
      </c>
      <c r="AD131" s="37">
        <f t="shared" si="11"/>
        <v>45961</v>
      </c>
    </row>
    <row r="132" spans="1:30" x14ac:dyDescent="0.25">
      <c r="A132" s="98" t="str">
        <f t="shared" ca="1" si="12"/>
        <v/>
      </c>
      <c r="B132" s="33" t="str">
        <f ca="1">IF(COUNTIF($W$2:W1117,A132)=1,VLOOKUP(A132,O:P,2), IF(COUNTIF($W$2:W1117,A132)=0,$B$9,""))</f>
        <v/>
      </c>
      <c r="C132" s="25" t="str">
        <f t="shared" ca="1" si="13"/>
        <v/>
      </c>
      <c r="D132" s="26"/>
      <c r="E132" s="33" t="str">
        <f ca="1">IF(COUNTIF($W$2:W1117,A132)=1,VLOOKUP(A132,Q:R,2), IF(COUNTIF($W$2:W1117,A132)=0,$C$9,""))</f>
        <v/>
      </c>
      <c r="F132" s="25" t="str">
        <f t="shared" ca="1" si="14"/>
        <v/>
      </c>
      <c r="G132" s="26" t="str">
        <f t="shared" ca="1" si="15"/>
        <v/>
      </c>
      <c r="H132" s="33" t="str">
        <f ca="1">IF(COUNTIF($W$2:W1117,A132)=1,VLOOKUP(A132,S:T,2), IF(COUNTIF($W$2:W1117,A132)=0,$D$9,""))</f>
        <v/>
      </c>
      <c r="I132" s="34" t="str">
        <f ca="1">IF(COUNTIF($X$2:X1117,INT(A132))=1,VLOOKUP(INT(A132),X:Y,2), IF(ISERROR(H132-2),"",I131*(1-$D$8*(H132-H131)*0.0001)))</f>
        <v/>
      </c>
      <c r="J132" s="34" t="str">
        <f t="shared" ca="1" si="16"/>
        <v/>
      </c>
      <c r="K132" s="26" t="str">
        <f t="shared" ca="1" si="17"/>
        <v/>
      </c>
      <c r="L132" s="26"/>
      <c r="M132" s="55" t="str">
        <f ca="1">IF(ISERROR(B132-2),"",C132+D132-F132-G132-K132+SUM($L$14:L132))</f>
        <v/>
      </c>
      <c r="U132" s="95" t="str">
        <f t="shared" ref="U132:U195" si="18">IF(COUNTIF(Q:Q,O132)*COUNTIF(S:S,O132),O132,"")</f>
        <v/>
      </c>
      <c r="V132" s="95" t="str">
        <f t="shared" ref="V132:V195" si="19">IF(U132&gt;$A$14,U132,"")</f>
        <v/>
      </c>
      <c r="Z132" s="95">
        <v>45964</v>
      </c>
      <c r="AA132" s="3">
        <v>244.89699999999999</v>
      </c>
      <c r="AB132" s="37">
        <v>45964</v>
      </c>
      <c r="AC132" s="3">
        <v>264.774</v>
      </c>
      <c r="AD132" s="37">
        <f t="shared" ref="AD132:AD195" si="20">IF(COUNTIF(AB:AB,Z132),Z132,"")</f>
        <v>45964</v>
      </c>
    </row>
    <row r="133" spans="1:30" x14ac:dyDescent="0.25">
      <c r="A133" s="98" t="str">
        <f t="shared" ca="1" si="12"/>
        <v/>
      </c>
      <c r="B133" s="33" t="str">
        <f ca="1">IF(COUNTIF($W$2:W1118,A133)=1,VLOOKUP(A133,O:P,2), IF(COUNTIF($W$2:W1118,A133)=0,$B$9,""))</f>
        <v/>
      </c>
      <c r="C133" s="25" t="str">
        <f t="shared" ca="1" si="13"/>
        <v/>
      </c>
      <c r="D133" s="26"/>
      <c r="E133" s="33" t="str">
        <f ca="1">IF(COUNTIF($W$2:W1118,A133)=1,VLOOKUP(A133,Q:R,2), IF(COUNTIF($W$2:W1118,A133)=0,$C$9,""))</f>
        <v/>
      </c>
      <c r="F133" s="25" t="str">
        <f t="shared" ca="1" si="14"/>
        <v/>
      </c>
      <c r="G133" s="26" t="str">
        <f t="shared" ca="1" si="15"/>
        <v/>
      </c>
      <c r="H133" s="33" t="str">
        <f ca="1">IF(COUNTIF($W$2:W1118,A133)=1,VLOOKUP(A133,S:T,2), IF(COUNTIF($W$2:W1118,A133)=0,$D$9,""))</f>
        <v/>
      </c>
      <c r="I133" s="34" t="str">
        <f ca="1">IF(COUNTIF($X$2:X1118,INT(A133))=1,VLOOKUP(INT(A133),X:Y,2), IF(ISERROR(H133-2),"",I132*(1-$D$8*(H133-H132)*0.0001)))</f>
        <v/>
      </c>
      <c r="J133" s="34" t="str">
        <f t="shared" ca="1" si="16"/>
        <v/>
      </c>
      <c r="K133" s="26" t="str">
        <f t="shared" ca="1" si="17"/>
        <v/>
      </c>
      <c r="L133" s="26"/>
      <c r="M133" s="55" t="str">
        <f ca="1">IF(ISERROR(B133-2),"",C133+D133-F133-G133-K133+SUM($L$14:L133))</f>
        <v/>
      </c>
      <c r="U133" s="95" t="str">
        <f t="shared" si="18"/>
        <v/>
      </c>
      <c r="V133" s="95" t="str">
        <f t="shared" si="19"/>
        <v/>
      </c>
      <c r="Z133" s="95">
        <v>45965</v>
      </c>
      <c r="AA133" s="3">
        <v>244.79839999999999</v>
      </c>
      <c r="AB133" s="37">
        <v>45965</v>
      </c>
      <c r="AC133" s="3">
        <v>265.75200000000001</v>
      </c>
      <c r="AD133" s="37">
        <f t="shared" si="20"/>
        <v>45965</v>
      </c>
    </row>
    <row r="134" spans="1:30" x14ac:dyDescent="0.25">
      <c r="A134" s="98" t="str">
        <f t="shared" ca="1" si="12"/>
        <v/>
      </c>
      <c r="B134" s="33" t="str">
        <f ca="1">IF(COUNTIF($W$2:W1119,A134)=1,VLOOKUP(A134,O:P,2), IF(COUNTIF($W$2:W1119,A134)=0,$B$9,""))</f>
        <v/>
      </c>
      <c r="C134" s="25" t="str">
        <f t="shared" ca="1" si="13"/>
        <v/>
      </c>
      <c r="D134" s="26"/>
      <c r="E134" s="33" t="str">
        <f ca="1">IF(COUNTIF($W$2:W1119,A134)=1,VLOOKUP(A134,Q:R,2), IF(COUNTIF($W$2:W1119,A134)=0,$C$9,""))</f>
        <v/>
      </c>
      <c r="F134" s="25" t="str">
        <f t="shared" ca="1" si="14"/>
        <v/>
      </c>
      <c r="G134" s="26" t="str">
        <f t="shared" ca="1" si="15"/>
        <v/>
      </c>
      <c r="H134" s="33" t="str">
        <f ca="1">IF(COUNTIF($W$2:W1119,A134)=1,VLOOKUP(A134,S:T,2), IF(COUNTIF($W$2:W1119,A134)=0,$D$9,""))</f>
        <v/>
      </c>
      <c r="I134" s="34" t="str">
        <f ca="1">IF(COUNTIF($X$2:X1119,INT(A134))=1,VLOOKUP(INT(A134),X:Y,2), IF(ISERROR(H134-2),"",I133*(1-$D$8*(H134-H133)*0.0001)))</f>
        <v/>
      </c>
      <c r="J134" s="34" t="str">
        <f t="shared" ca="1" si="16"/>
        <v/>
      </c>
      <c r="K134" s="26" t="str">
        <f t="shared" ca="1" si="17"/>
        <v/>
      </c>
      <c r="L134" s="26"/>
      <c r="M134" s="55" t="str">
        <f ca="1">IF(ISERROR(B134-2),"",C134+D134-F134-G134-K134+SUM($L$14:L134))</f>
        <v/>
      </c>
      <c r="U134" s="95" t="str">
        <f t="shared" si="18"/>
        <v/>
      </c>
      <c r="V134" s="95" t="str">
        <f t="shared" si="19"/>
        <v/>
      </c>
      <c r="Z134" s="95">
        <v>45966</v>
      </c>
      <c r="AA134" s="3">
        <v>245.10939999999999</v>
      </c>
      <c r="AB134" s="37">
        <v>45966</v>
      </c>
      <c r="AC134" s="3">
        <v>262.87900000000002</v>
      </c>
      <c r="AD134" s="37">
        <f t="shared" si="20"/>
        <v>45966</v>
      </c>
    </row>
    <row r="135" spans="1:30" x14ac:dyDescent="0.25">
      <c r="A135" s="98" t="str">
        <f t="shared" ca="1" si="12"/>
        <v/>
      </c>
      <c r="B135" s="33" t="str">
        <f ca="1">IF(COUNTIF($W$2:W1120,A135)=1,VLOOKUP(A135,O:P,2), IF(COUNTIF($W$2:W1120,A135)=0,$B$9,""))</f>
        <v/>
      </c>
      <c r="C135" s="25" t="str">
        <f t="shared" ca="1" si="13"/>
        <v/>
      </c>
      <c r="D135" s="26"/>
      <c r="E135" s="33" t="str">
        <f ca="1">IF(COUNTIF($W$2:W1120,A135)=1,VLOOKUP(A135,Q:R,2), IF(COUNTIF($W$2:W1120,A135)=0,$C$9,""))</f>
        <v/>
      </c>
      <c r="F135" s="25" t="str">
        <f t="shared" ca="1" si="14"/>
        <v/>
      </c>
      <c r="G135" s="26" t="str">
        <f t="shared" ca="1" si="15"/>
        <v/>
      </c>
      <c r="H135" s="33" t="str">
        <f ca="1">IF(COUNTIF($W$2:W1120,A135)=1,VLOOKUP(A135,S:T,2), IF(COUNTIF($W$2:W1120,A135)=0,$D$9,""))</f>
        <v/>
      </c>
      <c r="I135" s="34" t="str">
        <f ca="1">IF(COUNTIF($X$2:X1120,INT(A135))=1,VLOOKUP(INT(A135),X:Y,2), IF(ISERROR(H135-2),"",I134*(1-$D$8*(H135-H134)*0.0001)))</f>
        <v/>
      </c>
      <c r="J135" s="34" t="str">
        <f t="shared" ca="1" si="16"/>
        <v/>
      </c>
      <c r="K135" s="26" t="str">
        <f t="shared" ca="1" si="17"/>
        <v/>
      </c>
      <c r="L135" s="26"/>
      <c r="M135" s="55" t="str">
        <f ca="1">IF(ISERROR(B135-2),"",C135+D135-F135-G135-K135+SUM($L$14:L135))</f>
        <v/>
      </c>
      <c r="U135" s="95" t="str">
        <f t="shared" si="18"/>
        <v/>
      </c>
      <c r="V135" s="95" t="str">
        <f t="shared" si="19"/>
        <v/>
      </c>
      <c r="Z135" s="95">
        <v>45967</v>
      </c>
      <c r="AA135" s="3">
        <v>244.75219999999999</v>
      </c>
      <c r="AB135" s="37">
        <v>45967</v>
      </c>
      <c r="AC135" s="3">
        <v>268.62700000000001</v>
      </c>
      <c r="AD135" s="37">
        <f t="shared" si="20"/>
        <v>45967</v>
      </c>
    </row>
    <row r="136" spans="1:30" x14ac:dyDescent="0.25">
      <c r="A136" s="98" t="str">
        <f t="shared" ca="1" si="12"/>
        <v/>
      </c>
      <c r="B136" s="33" t="str">
        <f ca="1">IF(COUNTIF($W$2:W1121,A136)=1,VLOOKUP(A136,O:P,2), IF(COUNTIF($W$2:W1121,A136)=0,$B$9,""))</f>
        <v/>
      </c>
      <c r="C136" s="25" t="str">
        <f t="shared" ca="1" si="13"/>
        <v/>
      </c>
      <c r="D136" s="26"/>
      <c r="E136" s="33" t="str">
        <f ca="1">IF(COUNTIF($W$2:W1121,A136)=1,VLOOKUP(A136,Q:R,2), IF(COUNTIF($W$2:W1121,A136)=0,$C$9,""))</f>
        <v/>
      </c>
      <c r="F136" s="25" t="str">
        <f t="shared" ca="1" si="14"/>
        <v/>
      </c>
      <c r="G136" s="26" t="str">
        <f t="shared" ca="1" si="15"/>
        <v/>
      </c>
      <c r="H136" s="33" t="str">
        <f ca="1">IF(COUNTIF($W$2:W1121,A136)=1,VLOOKUP(A136,S:T,2), IF(COUNTIF($W$2:W1121,A136)=0,$D$9,""))</f>
        <v/>
      </c>
      <c r="I136" s="34" t="str">
        <f ca="1">IF(COUNTIF($X$2:X1121,INT(A136))=1,VLOOKUP(INT(A136),X:Y,2), IF(ISERROR(H136-2),"",I135*(1-$D$8*(H136-H135)*0.0001)))</f>
        <v/>
      </c>
      <c r="J136" s="34" t="str">
        <f t="shared" ca="1" si="16"/>
        <v/>
      </c>
      <c r="K136" s="26" t="str">
        <f t="shared" ca="1" si="17"/>
        <v/>
      </c>
      <c r="L136" s="26"/>
      <c r="M136" s="55" t="str">
        <f ca="1">IF(ISERROR(B136-2),"",C136+D136-F136-G136-K136+SUM($L$14:L136))</f>
        <v/>
      </c>
      <c r="U136" s="95" t="str">
        <f t="shared" si="18"/>
        <v/>
      </c>
      <c r="V136" s="95" t="str">
        <f t="shared" si="19"/>
        <v/>
      </c>
      <c r="Z136" s="95">
        <v>45968</v>
      </c>
      <c r="AA136" s="3">
        <v>244.27430000000001</v>
      </c>
      <c r="AB136" s="37">
        <v>45968</v>
      </c>
      <c r="AC136" s="3">
        <v>272.18799999999999</v>
      </c>
      <c r="AD136" s="37">
        <f t="shared" si="20"/>
        <v>45968</v>
      </c>
    </row>
    <row r="137" spans="1:30" x14ac:dyDescent="0.25">
      <c r="A137" s="98" t="str">
        <f t="shared" ca="1" si="12"/>
        <v/>
      </c>
      <c r="B137" s="33" t="str">
        <f ca="1">IF(COUNTIF($W$2:W1122,A137)=1,VLOOKUP(A137,O:P,2), IF(COUNTIF($W$2:W1122,A137)=0,$B$9,""))</f>
        <v/>
      </c>
      <c r="C137" s="25" t="str">
        <f t="shared" ca="1" si="13"/>
        <v/>
      </c>
      <c r="D137" s="26"/>
      <c r="E137" s="33" t="str">
        <f ca="1">IF(COUNTIF($W$2:W1122,A137)=1,VLOOKUP(A137,Q:R,2), IF(COUNTIF($W$2:W1122,A137)=0,$C$9,""))</f>
        <v/>
      </c>
      <c r="F137" s="25" t="str">
        <f t="shared" ca="1" si="14"/>
        <v/>
      </c>
      <c r="G137" s="26" t="str">
        <f t="shared" ca="1" si="15"/>
        <v/>
      </c>
      <c r="H137" s="33" t="str">
        <f ca="1">IF(COUNTIF($W$2:W1122,A137)=1,VLOOKUP(A137,S:T,2), IF(COUNTIF($W$2:W1122,A137)=0,$D$9,""))</f>
        <v/>
      </c>
      <c r="I137" s="34" t="str">
        <f ca="1">IF(COUNTIF($X$2:X1122,INT(A137))=1,VLOOKUP(INT(A137),X:Y,2), IF(ISERROR(H137-2),"",I136*(1-$D$8*(H137-H136)*0.0001)))</f>
        <v/>
      </c>
      <c r="J137" s="34" t="str">
        <f t="shared" ca="1" si="16"/>
        <v/>
      </c>
      <c r="K137" s="26" t="str">
        <f t="shared" ca="1" si="17"/>
        <v/>
      </c>
      <c r="L137" s="26"/>
      <c r="M137" s="55" t="str">
        <f ca="1">IF(ISERROR(B137-2),"",C137+D137-F137-G137-K137+SUM($L$14:L137))</f>
        <v/>
      </c>
      <c r="U137" s="95" t="str">
        <f t="shared" si="18"/>
        <v/>
      </c>
      <c r="V137" s="95" t="str">
        <f t="shared" si="19"/>
        <v/>
      </c>
      <c r="Z137" s="95">
        <v>45971</v>
      </c>
      <c r="AA137" s="3">
        <v>245.4716</v>
      </c>
      <c r="AB137" s="37">
        <v>45971</v>
      </c>
      <c r="AC137" s="3">
        <v>261.46800000000002</v>
      </c>
      <c r="AD137" s="37">
        <f t="shared" si="20"/>
        <v>45971</v>
      </c>
    </row>
    <row r="138" spans="1:30" x14ac:dyDescent="0.25">
      <c r="A138" s="98" t="str">
        <f t="shared" ca="1" si="12"/>
        <v/>
      </c>
      <c r="B138" s="33" t="str">
        <f ca="1">IF(COUNTIF($W$2:W1123,A138)=1,VLOOKUP(A138,O:P,2), IF(COUNTIF($W$2:W1123,A138)=0,$B$9,""))</f>
        <v/>
      </c>
      <c r="C138" s="25" t="str">
        <f t="shared" ca="1" si="13"/>
        <v/>
      </c>
      <c r="D138" s="26"/>
      <c r="E138" s="33" t="str">
        <f ca="1">IF(COUNTIF($W$2:W1123,A138)=1,VLOOKUP(A138,Q:R,2), IF(COUNTIF($W$2:W1123,A138)=0,$C$9,""))</f>
        <v/>
      </c>
      <c r="F138" s="25" t="str">
        <f t="shared" ca="1" si="14"/>
        <v/>
      </c>
      <c r="G138" s="26" t="str">
        <f t="shared" ca="1" si="15"/>
        <v/>
      </c>
      <c r="H138" s="33" t="str">
        <f ca="1">IF(COUNTIF($W$2:W1123,A138)=1,VLOOKUP(A138,S:T,2), IF(COUNTIF($W$2:W1123,A138)=0,$D$9,""))</f>
        <v/>
      </c>
      <c r="I138" s="34" t="str">
        <f ca="1">IF(COUNTIF($X$2:X1123,INT(A138))=1,VLOOKUP(INT(A138),X:Y,2), IF(ISERROR(H138-2),"",I137*(1-$D$8*(H138-H137)*0.0001)))</f>
        <v/>
      </c>
      <c r="J138" s="34" t="str">
        <f t="shared" ca="1" si="16"/>
        <v/>
      </c>
      <c r="K138" s="26" t="str">
        <f t="shared" ca="1" si="17"/>
        <v/>
      </c>
      <c r="L138" s="26"/>
      <c r="M138" s="55" t="str">
        <f ca="1">IF(ISERROR(B138-2),"",C138+D138-F138-G138-K138+SUM($L$14:L138))</f>
        <v/>
      </c>
      <c r="U138" s="95" t="str">
        <f t="shared" si="18"/>
        <v/>
      </c>
      <c r="V138" s="95" t="str">
        <f t="shared" si="19"/>
        <v/>
      </c>
      <c r="Z138" s="95">
        <v>45972</v>
      </c>
      <c r="AA138" s="3">
        <v>245.6224</v>
      </c>
      <c r="AB138" s="37">
        <v>45972</v>
      </c>
      <c r="AC138" s="3">
        <v>260.42200000000003</v>
      </c>
      <c r="AD138" s="37">
        <f t="shared" si="20"/>
        <v>45972</v>
      </c>
    </row>
    <row r="139" spans="1:30" x14ac:dyDescent="0.25">
      <c r="A139" s="98" t="str">
        <f t="shared" ca="1" si="12"/>
        <v/>
      </c>
      <c r="B139" s="33" t="str">
        <f ca="1">IF(COUNTIF($W$2:W1124,A139)=1,VLOOKUP(A139,O:P,2), IF(COUNTIF($W$2:W1124,A139)=0,$B$9,""))</f>
        <v/>
      </c>
      <c r="C139" s="25" t="str">
        <f t="shared" ca="1" si="13"/>
        <v/>
      </c>
      <c r="D139" s="26"/>
      <c r="E139" s="33" t="str">
        <f ca="1">IF(COUNTIF($W$2:W1124,A139)=1,VLOOKUP(A139,Q:R,2), IF(COUNTIF($W$2:W1124,A139)=0,$C$9,""))</f>
        <v/>
      </c>
      <c r="F139" s="25" t="str">
        <f t="shared" ca="1" si="14"/>
        <v/>
      </c>
      <c r="G139" s="26" t="str">
        <f t="shared" ca="1" si="15"/>
        <v/>
      </c>
      <c r="H139" s="33" t="str">
        <f ca="1">IF(COUNTIF($W$2:W1124,A139)=1,VLOOKUP(A139,S:T,2), IF(COUNTIF($W$2:W1124,A139)=0,$D$9,""))</f>
        <v/>
      </c>
      <c r="I139" s="34" t="str">
        <f ca="1">IF(COUNTIF($X$2:X1124,INT(A139))=1,VLOOKUP(INT(A139),X:Y,2), IF(ISERROR(H139-2),"",I138*(1-$D$8*(H139-H138)*0.0001)))</f>
        <v/>
      </c>
      <c r="J139" s="34" t="str">
        <f t="shared" ca="1" si="16"/>
        <v/>
      </c>
      <c r="K139" s="26" t="str">
        <f t="shared" ca="1" si="17"/>
        <v/>
      </c>
      <c r="L139" s="26"/>
      <c r="M139" s="55" t="str">
        <f ca="1">IF(ISERROR(B139-2),"",C139+D139-F139-G139-K139+SUM($L$14:L139))</f>
        <v/>
      </c>
      <c r="U139" s="95" t="str">
        <f t="shared" si="18"/>
        <v/>
      </c>
      <c r="V139" s="95" t="str">
        <f t="shared" si="19"/>
        <v/>
      </c>
      <c r="Z139" s="95">
        <v>45973</v>
      </c>
      <c r="AA139" s="3">
        <v>245.78739999999999</v>
      </c>
      <c r="AB139" s="37">
        <v>45973</v>
      </c>
      <c r="AC139" s="3">
        <v>259.49700000000001</v>
      </c>
      <c r="AD139" s="37">
        <f t="shared" si="20"/>
        <v>45973</v>
      </c>
    </row>
    <row r="140" spans="1:30" x14ac:dyDescent="0.25">
      <c r="A140" s="98" t="str">
        <f t="shared" ca="1" si="12"/>
        <v/>
      </c>
      <c r="B140" s="33" t="str">
        <f ca="1">IF(COUNTIF($W$2:W1125,A140)=1,VLOOKUP(A140,O:P,2), IF(COUNTIF($W$2:W1125,A140)=0,$B$9,""))</f>
        <v/>
      </c>
      <c r="C140" s="25" t="str">
        <f t="shared" ca="1" si="13"/>
        <v/>
      </c>
      <c r="D140" s="26"/>
      <c r="E140" s="33" t="str">
        <f ca="1">IF(COUNTIF($W$2:W1125,A140)=1,VLOOKUP(A140,Q:R,2), IF(COUNTIF($W$2:W1125,A140)=0,$C$9,""))</f>
        <v/>
      </c>
      <c r="F140" s="25" t="str">
        <f t="shared" ca="1" si="14"/>
        <v/>
      </c>
      <c r="G140" s="26" t="str">
        <f t="shared" ca="1" si="15"/>
        <v/>
      </c>
      <c r="H140" s="33" t="str">
        <f ca="1">IF(COUNTIF($W$2:W1125,A140)=1,VLOOKUP(A140,S:T,2), IF(COUNTIF($W$2:W1125,A140)=0,$D$9,""))</f>
        <v/>
      </c>
      <c r="I140" s="34" t="str">
        <f ca="1">IF(COUNTIF($X$2:X1125,INT(A140))=1,VLOOKUP(INT(A140),X:Y,2), IF(ISERROR(H140-2),"",I139*(1-$D$8*(H140-H139)*0.0001)))</f>
        <v/>
      </c>
      <c r="J140" s="34" t="str">
        <f t="shared" ca="1" si="16"/>
        <v/>
      </c>
      <c r="K140" s="26" t="str">
        <f t="shared" ca="1" si="17"/>
        <v/>
      </c>
      <c r="L140" s="26"/>
      <c r="M140" s="55" t="str">
        <f ca="1">IF(ISERROR(B140-2),"",C140+D140-F140-G140-K140+SUM($L$14:L140))</f>
        <v/>
      </c>
      <c r="U140" s="95" t="str">
        <f t="shared" si="18"/>
        <v/>
      </c>
      <c r="V140" s="95" t="str">
        <f t="shared" si="19"/>
        <v/>
      </c>
      <c r="Z140" s="95">
        <v>45974</v>
      </c>
      <c r="AA140" s="3">
        <v>245.34219999999999</v>
      </c>
      <c r="AB140" s="37">
        <v>45974</v>
      </c>
      <c r="AC140" s="3">
        <v>263.71800000000002</v>
      </c>
      <c r="AD140" s="37">
        <f t="shared" si="20"/>
        <v>45974</v>
      </c>
    </row>
    <row r="141" spans="1:30" x14ac:dyDescent="0.25">
      <c r="A141" s="98" t="str">
        <f t="shared" ca="1" si="12"/>
        <v/>
      </c>
      <c r="B141" s="33" t="str">
        <f ca="1">IF(COUNTIF($W$2:W1126,A141)=1,VLOOKUP(A141,O:P,2), IF(COUNTIF($W$2:W1126,A141)=0,$B$9,""))</f>
        <v/>
      </c>
      <c r="C141" s="25" t="str">
        <f t="shared" ca="1" si="13"/>
        <v/>
      </c>
      <c r="D141" s="26"/>
      <c r="E141" s="33" t="str">
        <f ca="1">IF(COUNTIF($W$2:W1126,A141)=1,VLOOKUP(A141,Q:R,2), IF(COUNTIF($W$2:W1126,A141)=0,$C$9,""))</f>
        <v/>
      </c>
      <c r="F141" s="25" t="str">
        <f t="shared" ca="1" si="14"/>
        <v/>
      </c>
      <c r="G141" s="26" t="str">
        <f t="shared" ca="1" si="15"/>
        <v/>
      </c>
      <c r="H141" s="33" t="str">
        <f ca="1">IF(COUNTIF($W$2:W1126,A141)=1,VLOOKUP(A141,S:T,2), IF(COUNTIF($W$2:W1126,A141)=0,$D$9,""))</f>
        <v/>
      </c>
      <c r="I141" s="34" t="str">
        <f ca="1">IF(COUNTIF($X$2:X1126,INT(A141))=1,VLOOKUP(INT(A141),X:Y,2), IF(ISERROR(H141-2),"",I140*(1-$D$8*(H141-H140)*0.0001)))</f>
        <v/>
      </c>
      <c r="J141" s="34" t="str">
        <f t="shared" ca="1" si="16"/>
        <v/>
      </c>
      <c r="K141" s="26" t="str">
        <f t="shared" ca="1" si="17"/>
        <v/>
      </c>
      <c r="L141" s="26"/>
      <c r="M141" s="55" t="str">
        <f ca="1">IF(ISERROR(B141-2),"",C141+D141-F141-G141-K141+SUM($L$14:L141))</f>
        <v/>
      </c>
      <c r="U141" s="95" t="str">
        <f t="shared" si="18"/>
        <v/>
      </c>
      <c r="V141" s="95" t="str">
        <f t="shared" si="19"/>
        <v/>
      </c>
      <c r="Z141" s="95">
        <v>45975</v>
      </c>
      <c r="AA141" s="3">
        <v>245.24520000000001</v>
      </c>
      <c r="AB141" s="37">
        <v>45975</v>
      </c>
      <c r="AC141" s="3">
        <v>263.74200000000002</v>
      </c>
      <c r="AD141" s="37">
        <f t="shared" si="20"/>
        <v>45975</v>
      </c>
    </row>
    <row r="142" spans="1:30" x14ac:dyDescent="0.25">
      <c r="A142" s="98" t="str">
        <f t="shared" ca="1" si="12"/>
        <v/>
      </c>
      <c r="B142" s="33" t="str">
        <f ca="1">IF(COUNTIF($W$2:W1127,A142)=1,VLOOKUP(A142,O:P,2), IF(COUNTIF($W$2:W1127,A142)=0,$B$9,""))</f>
        <v/>
      </c>
      <c r="C142" s="25" t="str">
        <f t="shared" ca="1" si="13"/>
        <v/>
      </c>
      <c r="D142" s="26"/>
      <c r="E142" s="33" t="str">
        <f ca="1">IF(COUNTIF($W$2:W1127,A142)=1,VLOOKUP(A142,Q:R,2), IF(COUNTIF($W$2:W1127,A142)=0,$C$9,""))</f>
        <v/>
      </c>
      <c r="F142" s="25" t="str">
        <f t="shared" ca="1" si="14"/>
        <v/>
      </c>
      <c r="G142" s="26" t="str">
        <f t="shared" ca="1" si="15"/>
        <v/>
      </c>
      <c r="H142" s="33" t="str">
        <f ca="1">IF(COUNTIF($W$2:W1127,A142)=1,VLOOKUP(A142,S:T,2), IF(COUNTIF($W$2:W1127,A142)=0,$D$9,""))</f>
        <v/>
      </c>
      <c r="I142" s="34" t="str">
        <f ca="1">IF(COUNTIF($X$2:X1127,INT(A142))=1,VLOOKUP(INT(A142),X:Y,2), IF(ISERROR(H142-2),"",I141*(1-$D$8*(H142-H141)*0.0001)))</f>
        <v/>
      </c>
      <c r="J142" s="34" t="str">
        <f t="shared" ca="1" si="16"/>
        <v/>
      </c>
      <c r="K142" s="26" t="str">
        <f t="shared" ca="1" si="17"/>
        <v/>
      </c>
      <c r="L142" s="26"/>
      <c r="M142" s="55" t="str">
        <f ca="1">IF(ISERROR(B142-2),"",C142+D142-F142-G142-K142+SUM($L$14:L142))</f>
        <v/>
      </c>
      <c r="U142" s="95" t="str">
        <f t="shared" si="18"/>
        <v/>
      </c>
      <c r="V142" s="95" t="str">
        <f t="shared" si="19"/>
        <v/>
      </c>
      <c r="Z142" s="95">
        <v>45978</v>
      </c>
      <c r="AA142" s="3">
        <v>244.98150000000001</v>
      </c>
      <c r="AB142" s="37">
        <v>45978</v>
      </c>
      <c r="AC142" s="3">
        <v>266.43900000000002</v>
      </c>
      <c r="AD142" s="37">
        <f t="shared" si="20"/>
        <v>45978</v>
      </c>
    </row>
    <row r="143" spans="1:30" x14ac:dyDescent="0.25">
      <c r="A143" s="98" t="str">
        <f t="shared" ref="A143:A167" ca="1" si="21">IF(AND(ISBLANK(W132), A142 = $W$1),NOW(),IF(ISBLANK(W132),"",W132))</f>
        <v/>
      </c>
      <c r="B143" s="33" t="str">
        <f ca="1">IF(COUNTIF($W$2:W1128,A143)=1,VLOOKUP(A143,O:P,2), IF(COUNTIF($W$2:W1128,A143)=0,$B$9,""))</f>
        <v/>
      </c>
      <c r="C143" s="25" t="str">
        <f t="shared" ca="1" si="13"/>
        <v/>
      </c>
      <c r="D143" s="26"/>
      <c r="E143" s="33" t="str">
        <f ca="1">IF(COUNTIF($W$2:W1128,A143)=1,VLOOKUP(A143,Q:R,2), IF(COUNTIF($W$2:W1128,A143)=0,$C$9,""))</f>
        <v/>
      </c>
      <c r="F143" s="25" t="str">
        <f t="shared" ca="1" si="14"/>
        <v/>
      </c>
      <c r="G143" s="26" t="str">
        <f t="shared" ca="1" si="15"/>
        <v/>
      </c>
      <c r="H143" s="33" t="str">
        <f ca="1">IF(COUNTIF($W$2:W1128,A143)=1,VLOOKUP(A143,S:T,2), IF(COUNTIF($W$2:W1128,A143)=0,$D$9,""))</f>
        <v/>
      </c>
      <c r="I143" s="34" t="str">
        <f ca="1">IF(COUNTIF($X$2:X1128,INT(A143))=1,VLOOKUP(INT(A143),X:Y,2), IF(ISERROR(H143-2),"",I142*(1-$D$8*(H143-H142)*0.0001)))</f>
        <v/>
      </c>
      <c r="J143" s="34" t="str">
        <f t="shared" ca="1" si="16"/>
        <v/>
      </c>
      <c r="K143" s="26" t="str">
        <f t="shared" ca="1" si="17"/>
        <v/>
      </c>
      <c r="L143" s="26"/>
      <c r="M143" s="55" t="str">
        <f ca="1">IF(ISERROR(B143-2),"",C143+D143-F143-G143-K143+SUM($L$14:L143))</f>
        <v/>
      </c>
      <c r="U143" s="95" t="str">
        <f t="shared" si="18"/>
        <v/>
      </c>
      <c r="V143" s="95" t="str">
        <f t="shared" si="19"/>
        <v/>
      </c>
      <c r="Z143" s="95">
        <v>45979</v>
      </c>
      <c r="AA143" s="3">
        <v>244.39429999999999</v>
      </c>
      <c r="AB143" s="37">
        <v>45979</v>
      </c>
      <c r="AC143" s="3">
        <v>272.28399999999999</v>
      </c>
      <c r="AD143" s="37">
        <f t="shared" si="20"/>
        <v>45979</v>
      </c>
    </row>
    <row r="144" spans="1:30" x14ac:dyDescent="0.25">
      <c r="A144" s="98" t="str">
        <f t="shared" ca="1" si="21"/>
        <v/>
      </c>
      <c r="B144" s="33" t="str">
        <f ca="1">IF(COUNTIF($W$2:W1129,A144)=1,VLOOKUP(A144,O:P,2), IF(COUNTIF($W$2:W1129,A144)=0,$B$9,""))</f>
        <v/>
      </c>
      <c r="C144" s="25" t="str">
        <f t="shared" ref="C144:C167" ca="1" si="22">IF(ISERROR(B144-2),"",(B144-$B$14)*$H$3*$J$3)</f>
        <v/>
      </c>
      <c r="D144" s="26"/>
      <c r="E144" s="33" t="str">
        <f ca="1">IF(COUNTIF($W$2:W1129,A144)=1,VLOOKUP(A144,Q:R,2), IF(COUNTIF($W$2:W1129,A144)=0,$C$9,""))</f>
        <v/>
      </c>
      <c r="F144" s="25" t="str">
        <f t="shared" ref="F144:F167" ca="1" si="23">IF(ISERROR(B144-2),"",(E144-$E$14)*$H$4*$J$4)</f>
        <v/>
      </c>
      <c r="G144" s="26" t="str">
        <f t="shared" ref="G144:G167" ca="1" si="24">IF(ISERROR(B144-2),"",(INT(A144)-INT($A$14))/360*$C$6*$C$5-(INT(A144)-INT($A$14))/360*$C$7*$C$5*$E$14/100)</f>
        <v/>
      </c>
      <c r="H144" s="33" t="str">
        <f ca="1">IF(COUNTIF($W$2:W1129,A144)=1,VLOOKUP(A144,S:T,2), IF(COUNTIF($W$2:W1129,A144)=0,$D$9,""))</f>
        <v/>
      </c>
      <c r="I144" s="34" t="str">
        <f ca="1">IF(COUNTIF($X$2:X1129,INT(A144))=1,VLOOKUP(INT(A144),X:Y,2), IF(ISERROR(H144-2),"",I143*(1-$D$8*(H144-H143)*0.0001)))</f>
        <v/>
      </c>
      <c r="J144" s="34" t="str">
        <f t="shared" ref="J144:J167" ca="1" si="25">IF(ISERROR(H144-2),"",I144)</f>
        <v/>
      </c>
      <c r="K144" s="26" t="str">
        <f t="shared" ref="K144:K167" ca="1" si="26">IF(ISERROR(H144-2),"",(J144/$J$14-1)*$D$5)</f>
        <v/>
      </c>
      <c r="L144" s="26"/>
      <c r="M144" s="55" t="str">
        <f ca="1">IF(ISERROR(B144-2),"",C144+D144-F144-G144-K144+SUM($L$14:L144))</f>
        <v/>
      </c>
      <c r="U144" s="95" t="str">
        <f t="shared" si="18"/>
        <v/>
      </c>
      <c r="V144" s="95" t="str">
        <f t="shared" si="19"/>
        <v/>
      </c>
      <c r="Z144" s="95">
        <v>45980</v>
      </c>
      <c r="AA144" s="3">
        <v>244.95580000000001</v>
      </c>
      <c r="AB144" s="37">
        <v>45980</v>
      </c>
      <c r="AC144" s="3">
        <v>267.14499999999998</v>
      </c>
      <c r="AD144" s="37">
        <f t="shared" si="20"/>
        <v>45980</v>
      </c>
    </row>
    <row r="145" spans="1:30" x14ac:dyDescent="0.25">
      <c r="A145" s="98" t="str">
        <f t="shared" ca="1" si="21"/>
        <v/>
      </c>
      <c r="B145" s="33" t="str">
        <f ca="1">IF(COUNTIF($W$2:W1130,A145)=1,VLOOKUP(A145,O:P,2), IF(COUNTIF($W$2:W1130,A145)=0,$B$9,""))</f>
        <v/>
      </c>
      <c r="C145" s="25" t="str">
        <f t="shared" ca="1" si="22"/>
        <v/>
      </c>
      <c r="D145" s="26"/>
      <c r="E145" s="33" t="str">
        <f ca="1">IF(COUNTIF($W$2:W1130,A145)=1,VLOOKUP(A145,Q:R,2), IF(COUNTIF($W$2:W1130,A145)=0,$C$9,""))</f>
        <v/>
      </c>
      <c r="F145" s="25" t="str">
        <f t="shared" ca="1" si="23"/>
        <v/>
      </c>
      <c r="G145" s="26" t="str">
        <f t="shared" ca="1" si="24"/>
        <v/>
      </c>
      <c r="H145" s="33" t="str">
        <f ca="1">IF(COUNTIF($W$2:W1130,A145)=1,VLOOKUP(A145,S:T,2), IF(COUNTIF($W$2:W1130,A145)=0,$D$9,""))</f>
        <v/>
      </c>
      <c r="I145" s="34" t="str">
        <f ca="1">IF(COUNTIF($X$2:X1130,INT(A145))=1,VLOOKUP(INT(A145),X:Y,2), IF(ISERROR(H145-2),"",I144*(1-$D$8*(H145-H144)*0.0001)))</f>
        <v/>
      </c>
      <c r="J145" s="34" t="str">
        <f t="shared" ca="1" si="25"/>
        <v/>
      </c>
      <c r="K145" s="26" t="str">
        <f t="shared" ca="1" si="26"/>
        <v/>
      </c>
      <c r="L145" s="26"/>
      <c r="M145" s="55" t="str">
        <f ca="1">IF(ISERROR(B145-2),"",C145+D145-F145-G145-K145+SUM($L$14:L145))</f>
        <v/>
      </c>
      <c r="U145" s="95" t="str">
        <f t="shared" si="18"/>
        <v/>
      </c>
      <c r="V145" s="95" t="str">
        <f t="shared" si="19"/>
        <v/>
      </c>
      <c r="Z145" s="95">
        <v>45981</v>
      </c>
      <c r="AA145" s="3">
        <v>245.47790000000001</v>
      </c>
      <c r="AB145" s="37">
        <v>45981</v>
      </c>
      <c r="AC145" s="3">
        <v>265.76900000000001</v>
      </c>
      <c r="AD145" s="37">
        <f t="shared" si="20"/>
        <v>45981</v>
      </c>
    </row>
    <row r="146" spans="1:30" x14ac:dyDescent="0.25">
      <c r="A146" s="98" t="str">
        <f t="shared" ca="1" si="21"/>
        <v/>
      </c>
      <c r="B146" s="33" t="str">
        <f ca="1">IF(COUNTIF($W$2:W1131,A146)=1,VLOOKUP(A146,O:P,2), IF(COUNTIF($W$2:W1131,A146)=0,$B$9,""))</f>
        <v/>
      </c>
      <c r="C146" s="25" t="str">
        <f t="shared" ca="1" si="22"/>
        <v/>
      </c>
      <c r="D146" s="26"/>
      <c r="E146" s="33" t="str">
        <f ca="1">IF(COUNTIF($W$2:W1131,A146)=1,VLOOKUP(A146,Q:R,2), IF(COUNTIF($W$2:W1131,A146)=0,$C$9,""))</f>
        <v/>
      </c>
      <c r="F146" s="25" t="str">
        <f t="shared" ca="1" si="23"/>
        <v/>
      </c>
      <c r="G146" s="26" t="str">
        <f t="shared" ca="1" si="24"/>
        <v/>
      </c>
      <c r="H146" s="33" t="str">
        <f ca="1">IF(COUNTIF($W$2:W1131,A146)=1,VLOOKUP(A146,S:T,2), IF(COUNTIF($W$2:W1131,A146)=0,$D$9,""))</f>
        <v/>
      </c>
      <c r="I146" s="34" t="str">
        <f ca="1">IF(COUNTIF($X$2:X1131,INT(A146))=1,VLOOKUP(INT(A146),X:Y,2), IF(ISERROR(H146-2),"",I145*(1-$D$8*(H146-H145)*0.0001)))</f>
        <v/>
      </c>
      <c r="J146" s="34" t="str">
        <f t="shared" ca="1" si="25"/>
        <v/>
      </c>
      <c r="K146" s="26" t="str">
        <f t="shared" ca="1" si="26"/>
        <v/>
      </c>
      <c r="L146" s="26"/>
      <c r="M146" s="55" t="str">
        <f ca="1">IF(ISERROR(B146-2),"",C146+D146-F146-G146-K146+SUM($L$14:L146))</f>
        <v/>
      </c>
      <c r="U146" s="95" t="str">
        <f t="shared" si="18"/>
        <v/>
      </c>
      <c r="V146" s="95" t="str">
        <f t="shared" si="19"/>
        <v/>
      </c>
      <c r="Z146" s="95">
        <v>45982</v>
      </c>
      <c r="AA146" s="3">
        <v>244.55760000000001</v>
      </c>
      <c r="AB146" s="37">
        <v>45982</v>
      </c>
      <c r="AC146" s="3">
        <v>267.34800000000001</v>
      </c>
      <c r="AD146" s="37">
        <f t="shared" si="20"/>
        <v>45982</v>
      </c>
    </row>
    <row r="147" spans="1:30" x14ac:dyDescent="0.25">
      <c r="A147" s="98" t="str">
        <f t="shared" ca="1" si="21"/>
        <v/>
      </c>
      <c r="B147" s="33" t="str">
        <f ca="1">IF(COUNTIF($W$2:W1132,A147)=1,VLOOKUP(A147,O:P,2), IF(COUNTIF($W$2:W1132,A147)=0,$B$9,""))</f>
        <v/>
      </c>
      <c r="C147" s="25" t="str">
        <f t="shared" ca="1" si="22"/>
        <v/>
      </c>
      <c r="D147" s="26"/>
      <c r="E147" s="33" t="str">
        <f ca="1">IF(COUNTIF($W$2:W1132,A147)=1,VLOOKUP(A147,Q:R,2), IF(COUNTIF($W$2:W1132,A147)=0,$C$9,""))</f>
        <v/>
      </c>
      <c r="F147" s="25" t="str">
        <f t="shared" ca="1" si="23"/>
        <v/>
      </c>
      <c r="G147" s="26" t="str">
        <f t="shared" ca="1" si="24"/>
        <v/>
      </c>
      <c r="H147" s="33" t="str">
        <f ca="1">IF(COUNTIF($W$2:W1132,A147)=1,VLOOKUP(A147,S:T,2), IF(COUNTIF($W$2:W1132,A147)=0,$D$9,""))</f>
        <v/>
      </c>
      <c r="I147" s="34" t="str">
        <f ca="1">IF(COUNTIF($X$2:X1132,INT(A147))=1,VLOOKUP(INT(A147),X:Y,2), IF(ISERROR(H147-2),"",I146*(1-$D$8*(H147-H146)*0.0001)))</f>
        <v/>
      </c>
      <c r="J147" s="34" t="str">
        <f t="shared" ca="1" si="25"/>
        <v/>
      </c>
      <c r="K147" s="26" t="str">
        <f t="shared" ca="1" si="26"/>
        <v/>
      </c>
      <c r="L147" s="26"/>
      <c r="M147" s="55" t="str">
        <f ca="1">IF(ISERROR(B147-2),"",C147+D147-F147-G147-K147+SUM($L$14:L147))</f>
        <v/>
      </c>
      <c r="U147" s="95" t="str">
        <f t="shared" si="18"/>
        <v/>
      </c>
      <c r="V147" s="95" t="str">
        <f t="shared" si="19"/>
        <v/>
      </c>
      <c r="Z147" s="95">
        <v>45985</v>
      </c>
      <c r="AA147" s="3">
        <v>245.57339999999999</v>
      </c>
      <c r="AB147" s="37">
        <v>45985</v>
      </c>
      <c r="AC147" s="3">
        <v>264.28199999999998</v>
      </c>
      <c r="AD147" s="37">
        <f t="shared" si="20"/>
        <v>45985</v>
      </c>
    </row>
    <row r="148" spans="1:30" x14ac:dyDescent="0.25">
      <c r="A148" s="98" t="str">
        <f t="shared" ca="1" si="21"/>
        <v/>
      </c>
      <c r="B148" s="33" t="str">
        <f ca="1">IF(COUNTIF($W$2:W1133,A148)=1,VLOOKUP(A148,O:P,2), IF(COUNTIF($W$2:W1133,A148)=0,$B$9,""))</f>
        <v/>
      </c>
      <c r="C148" s="25" t="str">
        <f t="shared" ca="1" si="22"/>
        <v/>
      </c>
      <c r="D148" s="26"/>
      <c r="E148" s="33" t="str">
        <f ca="1">IF(COUNTIF($W$2:W1133,A148)=1,VLOOKUP(A148,Q:R,2), IF(COUNTIF($W$2:W1133,A148)=0,$C$9,""))</f>
        <v/>
      </c>
      <c r="F148" s="25" t="str">
        <f t="shared" ca="1" si="23"/>
        <v/>
      </c>
      <c r="G148" s="26" t="str">
        <f t="shared" ca="1" si="24"/>
        <v/>
      </c>
      <c r="H148" s="33" t="str">
        <f ca="1">IF(COUNTIF($W$2:W1133,A148)=1,VLOOKUP(A148,S:T,2), IF(COUNTIF($W$2:W1133,A148)=0,$D$9,""))</f>
        <v/>
      </c>
      <c r="I148" s="34" t="str">
        <f ca="1">IF(COUNTIF($X$2:X1133,INT(A148))=1,VLOOKUP(INT(A148),X:Y,2), IF(ISERROR(H148-2),"",I147*(1-$D$8*(H148-H147)*0.0001)))</f>
        <v/>
      </c>
      <c r="J148" s="34" t="str">
        <f t="shared" ca="1" si="25"/>
        <v/>
      </c>
      <c r="K148" s="26" t="str">
        <f t="shared" ca="1" si="26"/>
        <v/>
      </c>
      <c r="L148" s="26"/>
      <c r="M148" s="55" t="str">
        <f ca="1">IF(ISERROR(B148-2),"",C148+D148-F148-G148-K148+SUM($L$14:L148))</f>
        <v/>
      </c>
      <c r="U148" s="95" t="str">
        <f t="shared" si="18"/>
        <v/>
      </c>
      <c r="V148" s="95" t="str">
        <f t="shared" si="19"/>
        <v/>
      </c>
      <c r="Z148" s="95">
        <v>45986</v>
      </c>
      <c r="AA148" s="3">
        <v>245.78149999999999</v>
      </c>
      <c r="AB148" s="37">
        <v>45986</v>
      </c>
      <c r="AC148" s="3">
        <v>260.93599999999998</v>
      </c>
      <c r="AD148" s="37">
        <f t="shared" si="20"/>
        <v>45986</v>
      </c>
    </row>
    <row r="149" spans="1:30" x14ac:dyDescent="0.25">
      <c r="A149" s="98" t="str">
        <f t="shared" ca="1" si="21"/>
        <v/>
      </c>
      <c r="B149" s="33" t="str">
        <f ca="1">IF(COUNTIF($W$2:W1134,A149)=1,VLOOKUP(A149,O:P,2), IF(COUNTIF($W$2:W1134,A149)=0,$B$9,""))</f>
        <v/>
      </c>
      <c r="C149" s="25" t="str">
        <f t="shared" ca="1" si="22"/>
        <v/>
      </c>
      <c r="D149" s="26"/>
      <c r="E149" s="33" t="str">
        <f ca="1">IF(COUNTIF($W$2:W1134,A149)=1,VLOOKUP(A149,Q:R,2), IF(COUNTIF($W$2:W1134,A149)=0,$C$9,""))</f>
        <v/>
      </c>
      <c r="F149" s="25" t="str">
        <f t="shared" ca="1" si="23"/>
        <v/>
      </c>
      <c r="G149" s="26" t="str">
        <f t="shared" ca="1" si="24"/>
        <v/>
      </c>
      <c r="H149" s="33" t="str">
        <f ca="1">IF(COUNTIF($W$2:W1134,A149)=1,VLOOKUP(A149,S:T,2), IF(COUNTIF($W$2:W1134,A149)=0,$D$9,""))</f>
        <v/>
      </c>
      <c r="I149" s="34" t="str">
        <f ca="1">IF(COUNTIF($X$2:X1134,INT(A149))=1,VLOOKUP(INT(A149),X:Y,2), IF(ISERROR(H149-2),"",I148*(1-$D$8*(H149-H148)*0.0001)))</f>
        <v/>
      </c>
      <c r="J149" s="34" t="str">
        <f t="shared" ca="1" si="25"/>
        <v/>
      </c>
      <c r="K149" s="26" t="str">
        <f t="shared" ca="1" si="26"/>
        <v/>
      </c>
      <c r="L149" s="26"/>
      <c r="M149" s="55" t="str">
        <f ca="1">IF(ISERROR(B149-2),"",C149+D149-F149-G149-K149+SUM($L$14:L149))</f>
        <v/>
      </c>
      <c r="U149" s="95" t="str">
        <f t="shared" si="18"/>
        <v/>
      </c>
      <c r="V149" s="95" t="str">
        <f t="shared" si="19"/>
        <v/>
      </c>
      <c r="Z149" s="95">
        <v>45987</v>
      </c>
      <c r="AA149" s="3">
        <v>246.1097</v>
      </c>
      <c r="AB149" s="37">
        <v>45987</v>
      </c>
      <c r="AC149" s="3">
        <v>258.24200000000002</v>
      </c>
      <c r="AD149" s="37">
        <f t="shared" si="20"/>
        <v>45987</v>
      </c>
    </row>
    <row r="150" spans="1:30" x14ac:dyDescent="0.25">
      <c r="A150" s="98" t="str">
        <f t="shared" ca="1" si="21"/>
        <v/>
      </c>
      <c r="B150" s="33" t="str">
        <f ca="1">IF(COUNTIF($W$2:W1135,A150)=1,VLOOKUP(A150,O:P,2), IF(COUNTIF($W$2:W1135,A150)=0,$B$9,""))</f>
        <v/>
      </c>
      <c r="C150" s="25" t="str">
        <f t="shared" ca="1" si="22"/>
        <v/>
      </c>
      <c r="D150" s="26"/>
      <c r="E150" s="33" t="str">
        <f ca="1">IF(COUNTIF($W$2:W1135,A150)=1,VLOOKUP(A150,Q:R,2), IF(COUNTIF($W$2:W1135,A150)=0,$C$9,""))</f>
        <v/>
      </c>
      <c r="F150" s="25" t="str">
        <f t="shared" ca="1" si="23"/>
        <v/>
      </c>
      <c r="G150" s="26" t="str">
        <f t="shared" ca="1" si="24"/>
        <v/>
      </c>
      <c r="H150" s="33" t="str">
        <f ca="1">IF(COUNTIF($W$2:W1135,A150)=1,VLOOKUP(A150,S:T,2), IF(COUNTIF($W$2:W1135,A150)=0,$D$9,""))</f>
        <v/>
      </c>
      <c r="I150" s="34" t="str">
        <f ca="1">IF(COUNTIF($X$2:X1135,INT(A150))=1,VLOOKUP(INT(A150),X:Y,2), IF(ISERROR(H150-2),"",I149*(1-$D$8*(H150-H149)*0.0001)))</f>
        <v/>
      </c>
      <c r="J150" s="34" t="str">
        <f t="shared" ca="1" si="25"/>
        <v/>
      </c>
      <c r="K150" s="26" t="str">
        <f t="shared" ca="1" si="26"/>
        <v/>
      </c>
      <c r="L150" s="26"/>
      <c r="M150" s="55" t="str">
        <f ca="1">IF(ISERROR(B150-2),"",C150+D150-F150-G150-K150+SUM($L$14:L150))</f>
        <v/>
      </c>
      <c r="U150" s="95" t="str">
        <f t="shared" si="18"/>
        <v/>
      </c>
      <c r="V150" s="95" t="str">
        <f t="shared" si="19"/>
        <v/>
      </c>
      <c r="Z150" s="95">
        <v>45988</v>
      </c>
      <c r="AA150" s="3">
        <v>246.30340000000001</v>
      </c>
      <c r="AB150" s="37">
        <v>45988</v>
      </c>
      <c r="AC150" s="3">
        <v>257.72500000000002</v>
      </c>
      <c r="AD150" s="37">
        <f t="shared" si="20"/>
        <v>45988</v>
      </c>
    </row>
    <row r="151" spans="1:30" x14ac:dyDescent="0.25">
      <c r="A151" s="98" t="str">
        <f t="shared" ca="1" si="21"/>
        <v/>
      </c>
      <c r="B151" s="33" t="str">
        <f ca="1">IF(COUNTIF($W$2:W1136,A151)=1,VLOOKUP(A151,O:P,2), IF(COUNTIF($W$2:W1136,A151)=0,$B$9,""))</f>
        <v/>
      </c>
      <c r="C151" s="25" t="str">
        <f t="shared" ca="1" si="22"/>
        <v/>
      </c>
      <c r="D151" s="26"/>
      <c r="E151" s="33" t="str">
        <f ca="1">IF(COUNTIF($W$2:W1136,A151)=1,VLOOKUP(A151,Q:R,2), IF(COUNTIF($W$2:W1136,A151)=0,$C$9,""))</f>
        <v/>
      </c>
      <c r="F151" s="25" t="str">
        <f t="shared" ca="1" si="23"/>
        <v/>
      </c>
      <c r="G151" s="26" t="str">
        <f t="shared" ca="1" si="24"/>
        <v/>
      </c>
      <c r="H151" s="33" t="str">
        <f ca="1">IF(COUNTIF($W$2:W1136,A151)=1,VLOOKUP(A151,S:T,2), IF(COUNTIF($W$2:W1136,A151)=0,$D$9,""))</f>
        <v/>
      </c>
      <c r="I151" s="34" t="str">
        <f ca="1">IF(COUNTIF($X$2:X1136,INT(A151))=1,VLOOKUP(INT(A151),X:Y,2), IF(ISERROR(H151-2),"",I150*(1-$D$8*(H151-H150)*0.0001)))</f>
        <v/>
      </c>
      <c r="J151" s="34" t="str">
        <f t="shared" ca="1" si="25"/>
        <v/>
      </c>
      <c r="K151" s="26" t="str">
        <f t="shared" ca="1" si="26"/>
        <v/>
      </c>
      <c r="L151" s="26"/>
      <c r="M151" s="55" t="str">
        <f ca="1">IF(ISERROR(B151-2),"",C151+D151-F151-G151-K151+SUM($L$14:L151))</f>
        <v/>
      </c>
      <c r="U151" s="95" t="str">
        <f t="shared" si="18"/>
        <v/>
      </c>
      <c r="V151" s="95" t="str">
        <f t="shared" si="19"/>
        <v/>
      </c>
      <c r="Z151" s="95">
        <v>45989</v>
      </c>
      <c r="AA151" s="3">
        <v>246.51609999999999</v>
      </c>
      <c r="AB151" s="37">
        <v>45989</v>
      </c>
      <c r="AC151" s="3">
        <v>255.52199999999999</v>
      </c>
      <c r="AD151" s="37">
        <f t="shared" si="20"/>
        <v>45989</v>
      </c>
    </row>
    <row r="152" spans="1:30" x14ac:dyDescent="0.25">
      <c r="A152" s="98" t="str">
        <f t="shared" ca="1" si="21"/>
        <v/>
      </c>
      <c r="B152" s="33" t="str">
        <f ca="1">IF(COUNTIF($W$2:W1137,A152)=1,VLOOKUP(A152,O:P,2), IF(COUNTIF($W$2:W1137,A152)=0,$B$9,""))</f>
        <v/>
      </c>
      <c r="C152" s="25" t="str">
        <f t="shared" ca="1" si="22"/>
        <v/>
      </c>
      <c r="D152" s="26"/>
      <c r="E152" s="33" t="str">
        <f ca="1">IF(COUNTIF($W$2:W1137,A152)=1,VLOOKUP(A152,Q:R,2), IF(COUNTIF($W$2:W1137,A152)=0,$C$9,""))</f>
        <v/>
      </c>
      <c r="F152" s="25" t="str">
        <f t="shared" ca="1" si="23"/>
        <v/>
      </c>
      <c r="G152" s="26" t="str">
        <f t="shared" ca="1" si="24"/>
        <v/>
      </c>
      <c r="H152" s="33" t="str">
        <f ca="1">IF(COUNTIF($W$2:W1137,A152)=1,VLOOKUP(A152,S:T,2), IF(COUNTIF($W$2:W1137,A152)=0,$D$9,""))</f>
        <v/>
      </c>
      <c r="I152" s="34" t="str">
        <f ca="1">IF(COUNTIF($X$2:X1137,INT(A152))=1,VLOOKUP(INT(A152),X:Y,2), IF(ISERROR(H152-2),"",I151*(1-$D$8*(H152-H151)*0.0001)))</f>
        <v/>
      </c>
      <c r="J152" s="34" t="str">
        <f t="shared" ca="1" si="25"/>
        <v/>
      </c>
      <c r="K152" s="26" t="str">
        <f t="shared" ca="1" si="26"/>
        <v/>
      </c>
      <c r="L152" s="26"/>
      <c r="M152" s="55" t="str">
        <f ca="1">IF(ISERROR(B152-2),"",C152+D152-F152-G152-K152+SUM($L$14:L152))</f>
        <v/>
      </c>
      <c r="U152" s="95" t="str">
        <f t="shared" si="18"/>
        <v/>
      </c>
      <c r="V152" s="95" t="str">
        <f t="shared" si="19"/>
        <v/>
      </c>
      <c r="Z152" s="95">
        <v>45992</v>
      </c>
      <c r="AA152" s="3">
        <v>246.52199999999999</v>
      </c>
      <c r="AB152" s="37">
        <v>45992</v>
      </c>
      <c r="AC152" s="3">
        <v>256.12799999999999</v>
      </c>
      <c r="AD152" s="37">
        <f t="shared" si="20"/>
        <v>45992</v>
      </c>
    </row>
    <row r="153" spans="1:30" x14ac:dyDescent="0.25">
      <c r="A153" s="98" t="str">
        <f t="shared" ca="1" si="21"/>
        <v/>
      </c>
      <c r="B153" s="33" t="str">
        <f ca="1">IF(COUNTIF($W$2:W1138,A153)=1,VLOOKUP(A153,O:P,2), IF(COUNTIF($W$2:W1138,A153)=0,$B$9,""))</f>
        <v/>
      </c>
      <c r="C153" s="25" t="str">
        <f t="shared" ca="1" si="22"/>
        <v/>
      </c>
      <c r="D153" s="26"/>
      <c r="E153" s="33" t="str">
        <f ca="1">IF(COUNTIF($W$2:W1138,A153)=1,VLOOKUP(A153,Q:R,2), IF(COUNTIF($W$2:W1138,A153)=0,$C$9,""))</f>
        <v/>
      </c>
      <c r="F153" s="25" t="str">
        <f t="shared" ca="1" si="23"/>
        <v/>
      </c>
      <c r="G153" s="26" t="str">
        <f t="shared" ca="1" si="24"/>
        <v/>
      </c>
      <c r="H153" s="33" t="str">
        <f ca="1">IF(COUNTIF($W$2:W1138,A153)=1,VLOOKUP(A153,S:T,2), IF(COUNTIF($W$2:W1138,A153)=0,$D$9,""))</f>
        <v/>
      </c>
      <c r="I153" s="34" t="str">
        <f ca="1">IF(COUNTIF($X$2:X1138,INT(A153))=1,VLOOKUP(INT(A153),X:Y,2), IF(ISERROR(H153-2),"",I152*(1-$D$8*(H153-H152)*0.0001)))</f>
        <v/>
      </c>
      <c r="J153" s="34" t="str">
        <f t="shared" ca="1" si="25"/>
        <v/>
      </c>
      <c r="K153" s="26" t="str">
        <f t="shared" ca="1" si="26"/>
        <v/>
      </c>
      <c r="L153" s="26"/>
      <c r="M153" s="55" t="str">
        <f ca="1">IF(ISERROR(B153-2),"",C153+D153-F153-G153-K153+SUM($L$14:L153))</f>
        <v/>
      </c>
      <c r="U153" s="95" t="str">
        <f t="shared" si="18"/>
        <v/>
      </c>
      <c r="V153" s="95" t="str">
        <f t="shared" si="19"/>
        <v/>
      </c>
      <c r="Z153" s="95">
        <v>45993</v>
      </c>
      <c r="AA153" s="3">
        <v>246.64009999999999</v>
      </c>
      <c r="AB153" s="37">
        <v>45993</v>
      </c>
      <c r="AC153" s="3">
        <v>255.16499999999999</v>
      </c>
      <c r="AD153" s="37">
        <f t="shared" si="20"/>
        <v>45993</v>
      </c>
    </row>
    <row r="154" spans="1:30" x14ac:dyDescent="0.25">
      <c r="A154" s="98" t="str">
        <f t="shared" ca="1" si="21"/>
        <v/>
      </c>
      <c r="B154" s="33" t="str">
        <f ca="1">IF(COUNTIF($W$2:W1139,A154)=1,VLOOKUP(A154,O:P,2), IF(COUNTIF($W$2:W1139,A154)=0,$B$9,""))</f>
        <v/>
      </c>
      <c r="C154" s="25" t="str">
        <f t="shared" ca="1" si="22"/>
        <v/>
      </c>
      <c r="D154" s="26"/>
      <c r="E154" s="33" t="str">
        <f ca="1">IF(COUNTIF($W$2:W1139,A154)=1,VLOOKUP(A154,Q:R,2), IF(COUNTIF($W$2:W1139,A154)=0,$C$9,""))</f>
        <v/>
      </c>
      <c r="F154" s="25" t="str">
        <f t="shared" ca="1" si="23"/>
        <v/>
      </c>
      <c r="G154" s="26" t="str">
        <f t="shared" ca="1" si="24"/>
        <v/>
      </c>
      <c r="H154" s="33" t="str">
        <f ca="1">IF(COUNTIF($W$2:W1139,A154)=1,VLOOKUP(A154,S:T,2), IF(COUNTIF($W$2:W1139,A154)=0,$D$9,""))</f>
        <v/>
      </c>
      <c r="I154" s="34" t="str">
        <f ca="1">IF(COUNTIF($X$2:X1139,INT(A154))=1,VLOOKUP(INT(A154),X:Y,2), IF(ISERROR(H154-2),"",I153*(1-$D$8*(H154-H153)*0.0001)))</f>
        <v/>
      </c>
      <c r="J154" s="34" t="str">
        <f t="shared" ca="1" si="25"/>
        <v/>
      </c>
      <c r="K154" s="26" t="str">
        <f t="shared" ca="1" si="26"/>
        <v/>
      </c>
      <c r="L154" s="26"/>
      <c r="M154" s="55" t="str">
        <f ca="1">IF(ISERROR(B154-2),"",C154+D154-F154-G154-K154+SUM($L$14:L154))</f>
        <v/>
      </c>
      <c r="U154" s="95" t="str">
        <f t="shared" si="18"/>
        <v/>
      </c>
      <c r="V154" s="95" t="str">
        <f t="shared" si="19"/>
        <v/>
      </c>
      <c r="Z154" s="95">
        <v>45994</v>
      </c>
      <c r="AA154" s="3">
        <v>246.69659999999999</v>
      </c>
      <c r="AB154" s="37">
        <v>45994</v>
      </c>
      <c r="AC154" s="3">
        <v>254.90700000000001</v>
      </c>
      <c r="AD154" s="37">
        <f t="shared" si="20"/>
        <v>45994</v>
      </c>
    </row>
    <row r="155" spans="1:30" x14ac:dyDescent="0.25">
      <c r="A155" s="98" t="str">
        <f t="shared" ca="1" si="21"/>
        <v/>
      </c>
      <c r="B155" s="33" t="str">
        <f ca="1">IF(COUNTIF($W$2:W1140,A155)=1,VLOOKUP(A155,O:P,2), IF(COUNTIF($W$2:W1140,A155)=0,$B$9,""))</f>
        <v/>
      </c>
      <c r="C155" s="25" t="str">
        <f t="shared" ca="1" si="22"/>
        <v/>
      </c>
      <c r="D155" s="26"/>
      <c r="E155" s="33" t="str">
        <f ca="1">IF(COUNTIF($W$2:W1140,A155)=1,VLOOKUP(A155,Q:R,2), IF(COUNTIF($W$2:W1140,A155)=0,$C$9,""))</f>
        <v/>
      </c>
      <c r="F155" s="25" t="str">
        <f t="shared" ca="1" si="23"/>
        <v/>
      </c>
      <c r="G155" s="26" t="str">
        <f t="shared" ca="1" si="24"/>
        <v/>
      </c>
      <c r="H155" s="33" t="str">
        <f ca="1">IF(COUNTIF($W$2:W1140,A155)=1,VLOOKUP(A155,S:T,2), IF(COUNTIF($W$2:W1140,A155)=0,$D$9,""))</f>
        <v/>
      </c>
      <c r="I155" s="34" t="str">
        <f ca="1">IF(COUNTIF($X$2:X1140,INT(A155))=1,VLOOKUP(INT(A155),X:Y,2), IF(ISERROR(H155-2),"",I154*(1-$D$8*(H155-H154)*0.0001)))</f>
        <v/>
      </c>
      <c r="J155" s="34" t="str">
        <f t="shared" ca="1" si="25"/>
        <v/>
      </c>
      <c r="K155" s="26" t="str">
        <f t="shared" ca="1" si="26"/>
        <v/>
      </c>
      <c r="L155" s="26"/>
      <c r="M155" s="55" t="str">
        <f ca="1">IF(ISERROR(B155-2),"",C155+D155-F155-G155-K155+SUM($L$14:L155))</f>
        <v/>
      </c>
      <c r="U155" s="95" t="str">
        <f t="shared" si="18"/>
        <v/>
      </c>
      <c r="V155" s="95" t="str">
        <f t="shared" si="19"/>
        <v/>
      </c>
      <c r="Z155" s="95">
        <v>45995</v>
      </c>
      <c r="AA155" s="3">
        <v>246.7276</v>
      </c>
      <c r="AB155" s="37">
        <v>45995</v>
      </c>
      <c r="AC155" s="3">
        <v>254.619</v>
      </c>
      <c r="AD155" s="37">
        <f t="shared" si="20"/>
        <v>45995</v>
      </c>
    </row>
    <row r="156" spans="1:30" x14ac:dyDescent="0.25">
      <c r="A156" s="98" t="str">
        <f t="shared" ca="1" si="21"/>
        <v/>
      </c>
      <c r="B156" s="33" t="str">
        <f ca="1">IF(COUNTIF($W$2:W1141,A156)=1,VLOOKUP(A156,O:P,2), IF(COUNTIF($W$2:W1141,A156)=0,$B$9,""))</f>
        <v/>
      </c>
      <c r="C156" s="25" t="str">
        <f t="shared" ca="1" si="22"/>
        <v/>
      </c>
      <c r="D156" s="26"/>
      <c r="E156" s="33" t="str">
        <f ca="1">IF(COUNTIF($W$2:W1141,A156)=1,VLOOKUP(A156,Q:R,2), IF(COUNTIF($W$2:W1141,A156)=0,$C$9,""))</f>
        <v/>
      </c>
      <c r="F156" s="25" t="str">
        <f t="shared" ca="1" si="23"/>
        <v/>
      </c>
      <c r="G156" s="26" t="str">
        <f t="shared" ca="1" si="24"/>
        <v/>
      </c>
      <c r="H156" s="33" t="str">
        <f ca="1">IF(COUNTIF($W$2:W1141,A156)=1,VLOOKUP(A156,S:T,2), IF(COUNTIF($W$2:W1141,A156)=0,$D$9,""))</f>
        <v/>
      </c>
      <c r="I156" s="34" t="str">
        <f ca="1">IF(COUNTIF($X$2:X1141,INT(A156))=1,VLOOKUP(INT(A156),X:Y,2), IF(ISERROR(H156-2),"",I155*(1-$D$8*(H156-H155)*0.0001)))</f>
        <v/>
      </c>
      <c r="J156" s="34" t="str">
        <f t="shared" ca="1" si="25"/>
        <v/>
      </c>
      <c r="K156" s="26" t="str">
        <f t="shared" ca="1" si="26"/>
        <v/>
      </c>
      <c r="L156" s="26"/>
      <c r="M156" s="55" t="str">
        <f ca="1">IF(ISERROR(B156-2),"",C156+D156-F156-G156-K156+SUM($L$14:L156))</f>
        <v/>
      </c>
      <c r="U156" s="95" t="str">
        <f t="shared" si="18"/>
        <v/>
      </c>
      <c r="V156" s="95" t="str">
        <f t="shared" si="19"/>
        <v/>
      </c>
      <c r="Z156" s="95">
        <v>45996</v>
      </c>
      <c r="AA156" s="3">
        <v>246.92910000000001</v>
      </c>
      <c r="AB156" s="37">
        <v>45996</v>
      </c>
      <c r="AC156" s="3">
        <v>252.95500000000001</v>
      </c>
      <c r="AD156" s="37">
        <f t="shared" si="20"/>
        <v>45996</v>
      </c>
    </row>
    <row r="157" spans="1:30" x14ac:dyDescent="0.25">
      <c r="A157" s="98" t="str">
        <f t="shared" ca="1" si="21"/>
        <v/>
      </c>
      <c r="B157" s="33" t="str">
        <f ca="1">IF(COUNTIF($W$2:W1142,A157)=1,VLOOKUP(A157,O:P,2), IF(COUNTIF($W$2:W1142,A157)=0,$B$9,""))</f>
        <v/>
      </c>
      <c r="C157" s="25" t="str">
        <f t="shared" ca="1" si="22"/>
        <v/>
      </c>
      <c r="D157" s="26"/>
      <c r="E157" s="33" t="str">
        <f ca="1">IF(COUNTIF($W$2:W1142,A157)=1,VLOOKUP(A157,Q:R,2), IF(COUNTIF($W$2:W1142,A157)=0,$C$9,""))</f>
        <v/>
      </c>
      <c r="F157" s="25" t="str">
        <f t="shared" ca="1" si="23"/>
        <v/>
      </c>
      <c r="G157" s="26" t="str">
        <f t="shared" ca="1" si="24"/>
        <v/>
      </c>
      <c r="H157" s="33" t="str">
        <f ca="1">IF(COUNTIF($W$2:W1142,A157)=1,VLOOKUP(A157,S:T,2), IF(COUNTIF($W$2:W1142,A157)=0,$D$9,""))</f>
        <v/>
      </c>
      <c r="I157" s="34" t="str">
        <f ca="1">IF(COUNTIF($X$2:X1142,INT(A157))=1,VLOOKUP(INT(A157),X:Y,2), IF(ISERROR(H157-2),"",I156*(1-$D$8*(H157-H156)*0.0001)))</f>
        <v/>
      </c>
      <c r="J157" s="34" t="str">
        <f t="shared" ca="1" si="25"/>
        <v/>
      </c>
      <c r="K157" s="26" t="str">
        <f t="shared" ca="1" si="26"/>
        <v/>
      </c>
      <c r="L157" s="26"/>
      <c r="M157" s="55" t="str">
        <f ca="1">IF(ISERROR(B157-2),"",C157+D157-F157-G157-K157+SUM($L$14:L157))</f>
        <v/>
      </c>
      <c r="U157" s="95" t="str">
        <f t="shared" si="18"/>
        <v/>
      </c>
      <c r="V157" s="95" t="str">
        <f t="shared" si="19"/>
        <v/>
      </c>
      <c r="Z157" s="95">
        <v>45999</v>
      </c>
      <c r="AA157" s="3">
        <v>246.71809999999999</v>
      </c>
      <c r="AB157" s="37">
        <v>45999</v>
      </c>
      <c r="AC157" s="3">
        <v>256.38</v>
      </c>
      <c r="AD157" s="37">
        <f t="shared" si="20"/>
        <v>45999</v>
      </c>
    </row>
    <row r="158" spans="1:30" x14ac:dyDescent="0.25">
      <c r="A158" s="98" t="str">
        <f t="shared" ca="1" si="21"/>
        <v/>
      </c>
      <c r="B158" s="33" t="str">
        <f ca="1">IF(COUNTIF($W$2:W1143,A158)=1,VLOOKUP(A158,O:P,2), IF(COUNTIF($W$2:W1143,A158)=0,$B$9,""))</f>
        <v/>
      </c>
      <c r="C158" s="25" t="str">
        <f t="shared" ca="1" si="22"/>
        <v/>
      </c>
      <c r="D158" s="26"/>
      <c r="E158" s="33" t="str">
        <f ca="1">IF(COUNTIF($W$2:W1143,A158)=1,VLOOKUP(A158,Q:R,2), IF(COUNTIF($W$2:W1143,A158)=0,$C$9,""))</f>
        <v/>
      </c>
      <c r="F158" s="25" t="str">
        <f t="shared" ca="1" si="23"/>
        <v/>
      </c>
      <c r="G158" s="26" t="str">
        <f t="shared" ca="1" si="24"/>
        <v/>
      </c>
      <c r="H158" s="33" t="str">
        <f ca="1">IF(COUNTIF($W$2:W1143,A158)=1,VLOOKUP(A158,S:T,2), IF(COUNTIF($W$2:W1143,A158)=0,$D$9,""))</f>
        <v/>
      </c>
      <c r="I158" s="34" t="str">
        <f ca="1">IF(COUNTIF($X$2:X1143,INT(A158))=1,VLOOKUP(INT(A158),X:Y,2), IF(ISERROR(H158-2),"",I157*(1-$D$8*(H158-H157)*0.0001)))</f>
        <v/>
      </c>
      <c r="J158" s="34" t="str">
        <f t="shared" ca="1" si="25"/>
        <v/>
      </c>
      <c r="K158" s="26" t="str">
        <f t="shared" ca="1" si="26"/>
        <v/>
      </c>
      <c r="L158" s="26"/>
      <c r="M158" s="55" t="str">
        <f ca="1">IF(ISERROR(B158-2),"",C158+D158-F158-G158-K158+SUM($L$14:L158))</f>
        <v/>
      </c>
      <c r="U158" s="95" t="str">
        <f t="shared" si="18"/>
        <v/>
      </c>
      <c r="V158" s="95" t="str">
        <f t="shared" si="19"/>
        <v/>
      </c>
      <c r="Z158" s="95">
        <v>46000</v>
      </c>
      <c r="AA158" s="3">
        <v>246.76429999999999</v>
      </c>
      <c r="AB158" s="37">
        <v>46000</v>
      </c>
      <c r="AC158" s="3">
        <v>254.755</v>
      </c>
      <c r="AD158" s="37">
        <f t="shared" si="20"/>
        <v>46000</v>
      </c>
    </row>
    <row r="159" spans="1:30" x14ac:dyDescent="0.25">
      <c r="A159" s="98" t="str">
        <f t="shared" ca="1" si="21"/>
        <v/>
      </c>
      <c r="B159" s="33" t="str">
        <f ca="1">IF(COUNTIF($W$2:W1144,A159)=1,VLOOKUP(A159,O:P,2), IF(COUNTIF($W$2:W1144,A159)=0,$B$9,""))</f>
        <v/>
      </c>
      <c r="C159" s="25" t="str">
        <f t="shared" ca="1" si="22"/>
        <v/>
      </c>
      <c r="D159" s="26"/>
      <c r="E159" s="33" t="str">
        <f ca="1">IF(COUNTIF($W$2:W1144,A159)=1,VLOOKUP(A159,Q:R,2), IF(COUNTIF($W$2:W1144,A159)=0,$C$9,""))</f>
        <v/>
      </c>
      <c r="F159" s="25" t="str">
        <f t="shared" ca="1" si="23"/>
        <v/>
      </c>
      <c r="G159" s="26" t="str">
        <f t="shared" ca="1" si="24"/>
        <v/>
      </c>
      <c r="H159" s="33" t="str">
        <f ca="1">IF(COUNTIF($W$2:W1144,A159)=1,VLOOKUP(A159,S:T,2), IF(COUNTIF($W$2:W1144,A159)=0,$D$9,""))</f>
        <v/>
      </c>
      <c r="I159" s="34" t="str">
        <f ca="1">IF(COUNTIF($X$2:X1144,INT(A159))=1,VLOOKUP(INT(A159),X:Y,2), IF(ISERROR(H159-2),"",I158*(1-$D$8*(H159-H158)*0.0001)))</f>
        <v/>
      </c>
      <c r="J159" s="34" t="str">
        <f t="shared" ca="1" si="25"/>
        <v/>
      </c>
      <c r="K159" s="26" t="str">
        <f t="shared" ca="1" si="26"/>
        <v/>
      </c>
      <c r="L159" s="26"/>
      <c r="M159" s="55" t="str">
        <f ca="1">IF(ISERROR(B159-2),"",C159+D159-F159-G159-K159+SUM($L$14:L159))</f>
        <v/>
      </c>
      <c r="U159" s="95" t="str">
        <f t="shared" si="18"/>
        <v/>
      </c>
      <c r="V159" s="95" t="str">
        <f t="shared" si="19"/>
        <v/>
      </c>
      <c r="Z159" s="95">
        <v>46001</v>
      </c>
      <c r="AA159" s="3">
        <v>246.89660000000001</v>
      </c>
      <c r="AB159" s="37">
        <v>46001</v>
      </c>
      <c r="AC159" s="3">
        <v>253.602</v>
      </c>
      <c r="AD159" s="37">
        <f t="shared" si="20"/>
        <v>46001</v>
      </c>
    </row>
    <row r="160" spans="1:30" x14ac:dyDescent="0.25">
      <c r="A160" s="98" t="str">
        <f t="shared" ca="1" si="21"/>
        <v/>
      </c>
      <c r="B160" s="33" t="str">
        <f ca="1">IF(COUNTIF($W$2:W1145,A160)=1,VLOOKUP(A160,O:P,2), IF(COUNTIF($W$2:W1145,A160)=0,$B$9,""))</f>
        <v/>
      </c>
      <c r="C160" s="25" t="str">
        <f t="shared" ca="1" si="22"/>
        <v/>
      </c>
      <c r="D160" s="26"/>
      <c r="E160" s="33" t="str">
        <f ca="1">IF(COUNTIF($W$2:W1145,A160)=1,VLOOKUP(A160,Q:R,2), IF(COUNTIF($W$2:W1145,A160)=0,$C$9,""))</f>
        <v/>
      </c>
      <c r="F160" s="25" t="str">
        <f t="shared" ca="1" si="23"/>
        <v/>
      </c>
      <c r="G160" s="26" t="str">
        <f t="shared" ca="1" si="24"/>
        <v/>
      </c>
      <c r="H160" s="33" t="str">
        <f ca="1">IF(COUNTIF($W$2:W1145,A160)=1,VLOOKUP(A160,S:T,2), IF(COUNTIF($W$2:W1145,A160)=0,$D$9,""))</f>
        <v/>
      </c>
      <c r="I160" s="34" t="str">
        <f ca="1">IF(COUNTIF($X$2:X1145,INT(A160))=1,VLOOKUP(INT(A160),X:Y,2), IF(ISERROR(H160-2),"",I159*(1-$D$8*(H160-H159)*0.0001)))</f>
        <v/>
      </c>
      <c r="J160" s="34" t="str">
        <f t="shared" ca="1" si="25"/>
        <v/>
      </c>
      <c r="K160" s="26" t="str">
        <f t="shared" ca="1" si="26"/>
        <v/>
      </c>
      <c r="L160" s="26"/>
      <c r="M160" s="55" t="str">
        <f ca="1">IF(ISERROR(B160-2),"",C160+D160-F160-G160-K160+SUM($L$14:L160))</f>
        <v/>
      </c>
      <c r="U160" s="95" t="str">
        <f t="shared" si="18"/>
        <v/>
      </c>
      <c r="V160" s="95" t="str">
        <f t="shared" si="19"/>
        <v/>
      </c>
      <c r="Z160" s="95">
        <v>46002</v>
      </c>
      <c r="AA160" s="3">
        <v>247.6378</v>
      </c>
      <c r="AB160" s="37">
        <v>46002</v>
      </c>
      <c r="AC160" s="3">
        <v>247.48400000000001</v>
      </c>
      <c r="AD160" s="37">
        <f t="shared" si="20"/>
        <v>46002</v>
      </c>
    </row>
    <row r="161" spans="1:30" x14ac:dyDescent="0.25">
      <c r="A161" s="98" t="str">
        <f t="shared" ca="1" si="21"/>
        <v/>
      </c>
      <c r="B161" s="33" t="str">
        <f ca="1">IF(COUNTIF($W$2:W1146,A161)=1,VLOOKUP(A161,O:P,2), IF(COUNTIF($W$2:W1146,A161)=0,$B$9,""))</f>
        <v/>
      </c>
      <c r="C161" s="25" t="str">
        <f t="shared" ca="1" si="22"/>
        <v/>
      </c>
      <c r="D161" s="26"/>
      <c r="E161" s="33" t="str">
        <f ca="1">IF(COUNTIF($W$2:W1146,A161)=1,VLOOKUP(A161,Q:R,2), IF(COUNTIF($W$2:W1146,A161)=0,$C$9,""))</f>
        <v/>
      </c>
      <c r="F161" s="25" t="str">
        <f t="shared" ca="1" si="23"/>
        <v/>
      </c>
      <c r="G161" s="26" t="str">
        <f t="shared" ca="1" si="24"/>
        <v/>
      </c>
      <c r="H161" s="33" t="str">
        <f ca="1">IF(COUNTIF($W$2:W1146,A161)=1,VLOOKUP(A161,S:T,2), IF(COUNTIF($W$2:W1146,A161)=0,$D$9,""))</f>
        <v/>
      </c>
      <c r="I161" s="34" t="str">
        <f ca="1">IF(COUNTIF($X$2:X1146,INT(A161))=1,VLOOKUP(INT(A161),X:Y,2), IF(ISERROR(H161-2),"",I160*(1-$D$8*(H161-H160)*0.0001)))</f>
        <v/>
      </c>
      <c r="J161" s="34" t="str">
        <f t="shared" ca="1" si="25"/>
        <v/>
      </c>
      <c r="K161" s="26" t="str">
        <f t="shared" ca="1" si="26"/>
        <v/>
      </c>
      <c r="L161" s="26"/>
      <c r="M161" s="55" t="str">
        <f ca="1">IF(ISERROR(B161-2),"",C161+D161-F161-G161-K161+SUM($L$14:L161))</f>
        <v/>
      </c>
      <c r="U161" s="95" t="str">
        <f t="shared" si="18"/>
        <v/>
      </c>
      <c r="V161" s="95" t="str">
        <f t="shared" si="19"/>
        <v/>
      </c>
      <c r="Z161" s="95">
        <v>46003</v>
      </c>
      <c r="AA161" s="3">
        <v>247.29140000000001</v>
      </c>
      <c r="AB161" s="37">
        <v>46003</v>
      </c>
      <c r="AC161" s="3">
        <v>251.251</v>
      </c>
      <c r="AD161" s="37">
        <f t="shared" si="20"/>
        <v>46003</v>
      </c>
    </row>
    <row r="162" spans="1:30" x14ac:dyDescent="0.25">
      <c r="A162" s="98" t="str">
        <f t="shared" ca="1" si="21"/>
        <v/>
      </c>
      <c r="B162" s="33" t="str">
        <f ca="1">IF(COUNTIF($W$2:W1147,A162)=1,VLOOKUP(A162,O:P,2), IF(COUNTIF($W$2:W1147,A162)=0,$B$9,""))</f>
        <v/>
      </c>
      <c r="C162" s="25" t="str">
        <f t="shared" ca="1" si="22"/>
        <v/>
      </c>
      <c r="D162" s="26"/>
      <c r="E162" s="33" t="str">
        <f ca="1">IF(COUNTIF($W$2:W1147,A162)=1,VLOOKUP(A162,Q:R,2), IF(COUNTIF($W$2:W1147,A162)=0,$C$9,""))</f>
        <v/>
      </c>
      <c r="F162" s="25" t="str">
        <f t="shared" ca="1" si="23"/>
        <v/>
      </c>
      <c r="G162" s="26" t="str">
        <f t="shared" ca="1" si="24"/>
        <v/>
      </c>
      <c r="H162" s="33" t="str">
        <f ca="1">IF(COUNTIF($W$2:W1147,A162)=1,VLOOKUP(A162,S:T,2), IF(COUNTIF($W$2:W1147,A162)=0,$D$9,""))</f>
        <v/>
      </c>
      <c r="I162" s="34" t="str">
        <f ca="1">IF(COUNTIF($X$2:X1147,INT(A162))=1,VLOOKUP(INT(A162),X:Y,2), IF(ISERROR(H162-2),"",I161*(1-$D$8*(H162-H161)*0.0001)))</f>
        <v/>
      </c>
      <c r="J162" s="34" t="str">
        <f t="shared" ca="1" si="25"/>
        <v/>
      </c>
      <c r="K162" s="26" t="str">
        <f t="shared" ca="1" si="26"/>
        <v/>
      </c>
      <c r="L162" s="26"/>
      <c r="M162" s="55" t="str">
        <f ca="1">IF(ISERROR(B162-2),"",C162+D162-F162-G162-K162+SUM($L$14:L162))</f>
        <v/>
      </c>
      <c r="U162" s="95" t="str">
        <f t="shared" si="18"/>
        <v/>
      </c>
      <c r="V162" s="95" t="str">
        <f t="shared" si="19"/>
        <v/>
      </c>
      <c r="Z162" s="95">
        <v>46006</v>
      </c>
      <c r="AA162" s="3">
        <v>247.6292</v>
      </c>
      <c r="AB162" s="37">
        <v>46006</v>
      </c>
      <c r="AC162" s="3">
        <v>248.71100000000001</v>
      </c>
      <c r="AD162" s="37">
        <f t="shared" si="20"/>
        <v>46006</v>
      </c>
    </row>
    <row r="163" spans="1:30" x14ac:dyDescent="0.25">
      <c r="A163" s="98" t="str">
        <f t="shared" ca="1" si="21"/>
        <v/>
      </c>
      <c r="B163" s="33" t="str">
        <f ca="1">IF(COUNTIF($W$2:W1148,A163)=1,VLOOKUP(A163,O:P,2), IF(COUNTIF($W$2:W1148,A163)=0,$B$9,""))</f>
        <v/>
      </c>
      <c r="C163" s="25" t="str">
        <f t="shared" ca="1" si="22"/>
        <v/>
      </c>
      <c r="D163" s="26"/>
      <c r="E163" s="33" t="str">
        <f ca="1">IF(COUNTIF($W$2:W1148,A163)=1,VLOOKUP(A163,Q:R,2), IF(COUNTIF($W$2:W1148,A163)=0,$C$9,""))</f>
        <v/>
      </c>
      <c r="F163" s="25" t="str">
        <f t="shared" ca="1" si="23"/>
        <v/>
      </c>
      <c r="G163" s="26" t="str">
        <f t="shared" ca="1" si="24"/>
        <v/>
      </c>
      <c r="H163" s="33" t="str">
        <f ca="1">IF(COUNTIF($W$2:W1148,A163)=1,VLOOKUP(A163,S:T,2), IF(COUNTIF($W$2:W1148,A163)=0,$D$9,""))</f>
        <v/>
      </c>
      <c r="I163" s="34" t="str">
        <f ca="1">IF(COUNTIF($X$2:X1148,INT(A163))=1,VLOOKUP(INT(A163),X:Y,2), IF(ISERROR(H163-2),"",I162*(1-$D$8*(H163-H162)*0.0001)))</f>
        <v/>
      </c>
      <c r="J163" s="34" t="str">
        <f t="shared" ca="1" si="25"/>
        <v/>
      </c>
      <c r="K163" s="26" t="str">
        <f t="shared" ca="1" si="26"/>
        <v/>
      </c>
      <c r="L163" s="26"/>
      <c r="M163" s="55" t="str">
        <f ca="1">IF(ISERROR(B163-2),"",C163+D163-F163-G163-K163+SUM($L$14:L163))</f>
        <v/>
      </c>
      <c r="U163" s="95" t="str">
        <f t="shared" si="18"/>
        <v/>
      </c>
      <c r="V163" s="95" t="str">
        <f t="shared" si="19"/>
        <v/>
      </c>
      <c r="Z163" s="95">
        <v>46007</v>
      </c>
      <c r="AA163" s="3">
        <v>247.4761</v>
      </c>
      <c r="AB163" s="37">
        <v>46007</v>
      </c>
      <c r="AC163" s="3">
        <v>250.40600000000001</v>
      </c>
      <c r="AD163" s="37">
        <f t="shared" si="20"/>
        <v>46007</v>
      </c>
    </row>
    <row r="164" spans="1:30" x14ac:dyDescent="0.25">
      <c r="A164" s="98" t="str">
        <f t="shared" ca="1" si="21"/>
        <v/>
      </c>
      <c r="B164" s="33" t="str">
        <f ca="1">IF(COUNTIF($W$2:W1149,A164)=1,VLOOKUP(A164,O:P,2), IF(COUNTIF($W$2:W1149,A164)=0,$B$9,""))</f>
        <v/>
      </c>
      <c r="C164" s="25" t="str">
        <f t="shared" ca="1" si="22"/>
        <v/>
      </c>
      <c r="D164" s="26"/>
      <c r="E164" s="33" t="str">
        <f ca="1">IF(COUNTIF($W$2:W1149,A164)=1,VLOOKUP(A164,Q:R,2), IF(COUNTIF($W$2:W1149,A164)=0,$C$9,""))</f>
        <v/>
      </c>
      <c r="F164" s="25" t="str">
        <f t="shared" ca="1" si="23"/>
        <v/>
      </c>
      <c r="G164" s="26" t="str">
        <f t="shared" ca="1" si="24"/>
        <v/>
      </c>
      <c r="H164" s="33" t="str">
        <f ca="1">IF(COUNTIF($W$2:W1149,A164)=1,VLOOKUP(A164,S:T,2), IF(COUNTIF($W$2:W1149,A164)=0,$D$9,""))</f>
        <v/>
      </c>
      <c r="I164" s="34" t="str">
        <f ca="1">IF(COUNTIF($X$2:X1149,INT(A164))=1,VLOOKUP(INT(A164),X:Y,2), IF(ISERROR(H164-2),"",I163*(1-$D$8*(H164-H163)*0.0001)))</f>
        <v/>
      </c>
      <c r="J164" s="34" t="str">
        <f t="shared" ca="1" si="25"/>
        <v/>
      </c>
      <c r="K164" s="26" t="str">
        <f t="shared" ca="1" si="26"/>
        <v/>
      </c>
      <c r="L164" s="26"/>
      <c r="M164" s="55" t="str">
        <f ca="1">IF(ISERROR(B164-2),"",C164+D164-F164-G164-K164+SUM($L$14:L164))</f>
        <v/>
      </c>
      <c r="U164" s="95" t="str">
        <f t="shared" si="18"/>
        <v/>
      </c>
      <c r="V164" s="95" t="str">
        <f t="shared" si="19"/>
        <v/>
      </c>
      <c r="Z164" s="95">
        <v>46008</v>
      </c>
      <c r="AA164" s="3">
        <v>247.34719999999999</v>
      </c>
      <c r="AB164" s="37">
        <v>46008</v>
      </c>
      <c r="AC164" s="3">
        <v>251.99100000000001</v>
      </c>
      <c r="AD164" s="37">
        <f t="shared" si="20"/>
        <v>46008</v>
      </c>
    </row>
    <row r="165" spans="1:30" x14ac:dyDescent="0.25">
      <c r="A165" s="98" t="str">
        <f t="shared" ca="1" si="21"/>
        <v/>
      </c>
      <c r="B165" s="33" t="str">
        <f ca="1">IF(COUNTIF($W$2:W1150,A165)=1,VLOOKUP(A165,O:P,2), IF(COUNTIF($W$2:W1150,A165)=0,$B$9,""))</f>
        <v/>
      </c>
      <c r="C165" s="25" t="str">
        <f t="shared" ca="1" si="22"/>
        <v/>
      </c>
      <c r="D165" s="26"/>
      <c r="E165" s="33" t="str">
        <f ca="1">IF(COUNTIF($W$2:W1150,A165)=1,VLOOKUP(A165,Q:R,2), IF(COUNTIF($W$2:W1150,A165)=0,$C$9,""))</f>
        <v/>
      </c>
      <c r="F165" s="25" t="str">
        <f t="shared" ca="1" si="23"/>
        <v/>
      </c>
      <c r="G165" s="26" t="str">
        <f t="shared" ca="1" si="24"/>
        <v/>
      </c>
      <c r="H165" s="33" t="str">
        <f ca="1">IF(COUNTIF($W$2:W1150,A165)=1,VLOOKUP(A165,S:T,2), IF(COUNTIF($W$2:W1150,A165)=0,$D$9,""))</f>
        <v/>
      </c>
      <c r="I165" s="34" t="str">
        <f ca="1">IF(COUNTIF($X$2:X1150,INT(A165))=1,VLOOKUP(INT(A165),X:Y,2), IF(ISERROR(H165-2),"",I164*(1-$D$8*(H165-H164)*0.0001)))</f>
        <v/>
      </c>
      <c r="J165" s="34" t="str">
        <f t="shared" ca="1" si="25"/>
        <v/>
      </c>
      <c r="K165" s="26" t="str">
        <f t="shared" ca="1" si="26"/>
        <v/>
      </c>
      <c r="L165" s="26"/>
      <c r="M165" s="55" t="str">
        <f ca="1">IF(ISERROR(B165-2),"",C165+D165-F165-G165-K165+SUM($L$14:L165))</f>
        <v/>
      </c>
      <c r="U165" s="95" t="str">
        <f t="shared" si="18"/>
        <v/>
      </c>
      <c r="V165" s="95" t="str">
        <f t="shared" si="19"/>
        <v/>
      </c>
      <c r="Z165" s="95">
        <v>46009</v>
      </c>
      <c r="AA165" s="3">
        <v>248.1044</v>
      </c>
      <c r="AB165" s="37">
        <v>46009</v>
      </c>
      <c r="AC165" s="3">
        <v>245.59399999999999</v>
      </c>
      <c r="AD165" s="37">
        <f t="shared" si="20"/>
        <v>46009</v>
      </c>
    </row>
    <row r="166" spans="1:30" x14ac:dyDescent="0.25">
      <c r="A166" s="98" t="str">
        <f t="shared" ca="1" si="21"/>
        <v/>
      </c>
      <c r="B166" s="33" t="str">
        <f ca="1">IF(COUNTIF($W$2:W1151,A166)=1,VLOOKUP(A166,O:P,2), IF(COUNTIF($W$2:W1151,A166)=0,$B$9,""))</f>
        <v/>
      </c>
      <c r="C166" s="25" t="str">
        <f t="shared" ca="1" si="22"/>
        <v/>
      </c>
      <c r="D166" s="26"/>
      <c r="E166" s="33" t="str">
        <f ca="1">IF(COUNTIF($W$2:W1151,A166)=1,VLOOKUP(A166,Q:R,2), IF(COUNTIF($W$2:W1151,A166)=0,$C$9,""))</f>
        <v/>
      </c>
      <c r="F166" s="25" t="str">
        <f t="shared" ca="1" si="23"/>
        <v/>
      </c>
      <c r="G166" s="26" t="str">
        <f t="shared" ca="1" si="24"/>
        <v/>
      </c>
      <c r="H166" s="33" t="str">
        <f ca="1">IF(COUNTIF($W$2:W1151,A166)=1,VLOOKUP(A166,S:T,2), IF(COUNTIF($W$2:W1151,A166)=0,$D$9,""))</f>
        <v/>
      </c>
      <c r="I166" s="34" t="str">
        <f ca="1">IF(COUNTIF($X$2:X1151,INT(A166))=1,VLOOKUP(INT(A166),X:Y,2), IF(ISERROR(H166-2),"",I165*(1-$D$8*(H166-H165)*0.0001)))</f>
        <v/>
      </c>
      <c r="J166" s="34" t="str">
        <f t="shared" ca="1" si="25"/>
        <v/>
      </c>
      <c r="K166" s="26" t="str">
        <f t="shared" ca="1" si="26"/>
        <v/>
      </c>
      <c r="L166" s="26"/>
      <c r="M166" s="55" t="str">
        <f ca="1">IF(ISERROR(B166-2),"",C166+D166-F166-G166-K166+SUM($L$14:L166))</f>
        <v/>
      </c>
      <c r="U166" s="95" t="str">
        <f t="shared" si="18"/>
        <v/>
      </c>
      <c r="V166" s="95" t="str">
        <f t="shared" si="19"/>
        <v/>
      </c>
      <c r="Z166" s="95">
        <v>46010</v>
      </c>
      <c r="AA166" s="3">
        <v>248.1113</v>
      </c>
      <c r="AB166" s="37">
        <v>46010</v>
      </c>
      <c r="AC166" s="3">
        <v>245.69</v>
      </c>
      <c r="AD166" s="37">
        <f t="shared" si="20"/>
        <v>46010</v>
      </c>
    </row>
    <row r="167" spans="1:30" x14ac:dyDescent="0.25">
      <c r="A167" s="98" t="str">
        <f t="shared" ca="1" si="21"/>
        <v/>
      </c>
      <c r="B167" s="33" t="str">
        <f ca="1">IF(COUNTIF($W$2:W1152,A167)=1,VLOOKUP(A167,O:P,2), IF(COUNTIF($W$2:W1152,A167)=0,$B$9,""))</f>
        <v/>
      </c>
      <c r="C167" s="25" t="str">
        <f t="shared" ca="1" si="22"/>
        <v/>
      </c>
      <c r="D167" s="26"/>
      <c r="E167" s="33" t="str">
        <f ca="1">IF(COUNTIF($W$2:W1152,A167)=1,VLOOKUP(A167,Q:R,2), IF(COUNTIF($W$2:W1152,A167)=0,$C$9,""))</f>
        <v/>
      </c>
      <c r="F167" s="25" t="str">
        <f t="shared" ca="1" si="23"/>
        <v/>
      </c>
      <c r="G167" s="26" t="str">
        <f t="shared" ca="1" si="24"/>
        <v/>
      </c>
      <c r="H167" s="33" t="str">
        <f ca="1">IF(COUNTIF($W$2:W1152,A167)=1,VLOOKUP(A167,S:T,2), IF(COUNTIF($W$2:W1152,A167)=0,$D$9,""))</f>
        <v/>
      </c>
      <c r="I167" s="34" t="str">
        <f ca="1">IF(COUNTIF($X$2:X1152,INT(A167))=1,VLOOKUP(INT(A167),X:Y,2), IF(ISERROR(H167-2),"",I166*(1-$D$8*(H167-H166)*0.0001)))</f>
        <v/>
      </c>
      <c r="J167" s="34" t="str">
        <f t="shared" ca="1" si="25"/>
        <v/>
      </c>
      <c r="K167" s="26" t="str">
        <f t="shared" ca="1" si="26"/>
        <v/>
      </c>
      <c r="L167" s="26"/>
      <c r="M167" s="55" t="str">
        <f ca="1">IF(ISERROR(B167-2),"",C167+D167-F167-G167-K167+SUM($L$14:L167))</f>
        <v/>
      </c>
      <c r="U167" s="95" t="str">
        <f t="shared" si="18"/>
        <v/>
      </c>
      <c r="V167" s="95" t="str">
        <f t="shared" si="19"/>
        <v/>
      </c>
      <c r="Z167" s="95">
        <v>46013</v>
      </c>
      <c r="AA167" s="3">
        <v>248.3845</v>
      </c>
      <c r="AB167" s="37">
        <v>46013</v>
      </c>
      <c r="AC167" s="3">
        <v>244.00800000000001</v>
      </c>
      <c r="AD167" s="37">
        <f t="shared" si="20"/>
        <v>46013</v>
      </c>
    </row>
    <row r="168" spans="1:30" x14ac:dyDescent="0.25">
      <c r="A168" s="98"/>
      <c r="B168" s="33"/>
      <c r="C168" s="25"/>
      <c r="D168" s="26"/>
      <c r="E168" s="33"/>
      <c r="F168" s="25"/>
      <c r="G168" s="26"/>
      <c r="H168" s="33"/>
      <c r="I168" s="34"/>
      <c r="J168" s="34"/>
      <c r="K168" s="26"/>
      <c r="L168" s="26"/>
      <c r="M168" s="55"/>
      <c r="U168" s="95" t="str">
        <f t="shared" si="18"/>
        <v/>
      </c>
      <c r="V168" s="95" t="str">
        <f t="shared" si="19"/>
        <v/>
      </c>
      <c r="Z168" s="95">
        <v>46014</v>
      </c>
      <c r="AA168" s="3">
        <v>248.27979999999999</v>
      </c>
      <c r="AB168" s="37">
        <v>46014</v>
      </c>
      <c r="AC168" s="3">
        <v>244.649</v>
      </c>
      <c r="AD168" s="37">
        <f t="shared" si="20"/>
        <v>46014</v>
      </c>
    </row>
    <row r="169" spans="1:30" x14ac:dyDescent="0.25">
      <c r="A169" s="98"/>
      <c r="B169" s="33"/>
      <c r="C169" s="25"/>
      <c r="D169" s="26"/>
      <c r="E169" s="33"/>
      <c r="F169" s="25"/>
      <c r="G169" s="26"/>
      <c r="H169" s="33"/>
      <c r="I169" s="34"/>
      <c r="J169" s="34"/>
      <c r="K169" s="26"/>
      <c r="L169" s="26"/>
      <c r="M169" s="55"/>
      <c r="U169" s="95" t="str">
        <f t="shared" si="18"/>
        <v/>
      </c>
      <c r="V169" s="95" t="str">
        <f t="shared" si="19"/>
        <v/>
      </c>
      <c r="Z169" s="95">
        <v>46015</v>
      </c>
      <c r="AA169" s="3">
        <v>248.3295</v>
      </c>
      <c r="AB169" s="37">
        <v>46015</v>
      </c>
      <c r="AC169" s="3">
        <v>244.44200000000001</v>
      </c>
      <c r="AD169" s="37">
        <f t="shared" si="20"/>
        <v>46015</v>
      </c>
    </row>
    <row r="170" spans="1:30" x14ac:dyDescent="0.25">
      <c r="A170" s="98"/>
      <c r="B170" s="33"/>
      <c r="C170" s="25"/>
      <c r="D170" s="26"/>
      <c r="E170" s="33"/>
      <c r="F170" s="25"/>
      <c r="G170" s="26"/>
      <c r="H170" s="33"/>
      <c r="I170" s="34"/>
      <c r="J170" s="34"/>
      <c r="K170" s="26"/>
      <c r="L170" s="26"/>
      <c r="M170" s="55"/>
      <c r="U170" s="95" t="str">
        <f t="shared" si="18"/>
        <v/>
      </c>
      <c r="V170" s="95" t="str">
        <f t="shared" si="19"/>
        <v/>
      </c>
      <c r="Z170" s="95">
        <v>46020</v>
      </c>
      <c r="AA170" s="3">
        <v>248.321</v>
      </c>
      <c r="AB170" s="37">
        <v>46020</v>
      </c>
      <c r="AC170" s="3">
        <v>245.09</v>
      </c>
      <c r="AD170" s="37">
        <f t="shared" si="20"/>
        <v>46020</v>
      </c>
    </row>
    <row r="171" spans="1:30" x14ac:dyDescent="0.25">
      <c r="A171" s="98"/>
      <c r="B171" s="33"/>
      <c r="C171" s="25"/>
      <c r="D171" s="26"/>
      <c r="E171" s="33"/>
      <c r="F171" s="25"/>
      <c r="G171" s="26"/>
      <c r="H171" s="33"/>
      <c r="I171" s="34"/>
      <c r="J171" s="34"/>
      <c r="K171" s="26"/>
      <c r="L171" s="26"/>
      <c r="M171" s="55"/>
      <c r="U171" s="95" t="str">
        <f t="shared" si="18"/>
        <v/>
      </c>
      <c r="V171" s="95" t="str">
        <f t="shared" si="19"/>
        <v/>
      </c>
      <c r="Z171" s="95">
        <v>46021</v>
      </c>
      <c r="AA171" s="3">
        <v>248.6404</v>
      </c>
      <c r="AB171" s="37">
        <v>46021</v>
      </c>
      <c r="AC171" s="3">
        <v>244.19900000000001</v>
      </c>
      <c r="AD171" s="37">
        <f t="shared" si="20"/>
        <v>46021</v>
      </c>
    </row>
    <row r="172" spans="1:30" x14ac:dyDescent="0.25">
      <c r="A172" s="98"/>
      <c r="B172" s="33"/>
      <c r="C172" s="25"/>
      <c r="D172" s="26"/>
      <c r="E172" s="33"/>
      <c r="F172" s="25"/>
      <c r="G172" s="26"/>
      <c r="H172" s="33"/>
      <c r="I172" s="34"/>
      <c r="J172" s="34"/>
      <c r="K172" s="26"/>
      <c r="L172" s="26"/>
      <c r="M172" s="55"/>
      <c r="U172" s="95" t="str">
        <f t="shared" si="18"/>
        <v/>
      </c>
      <c r="V172" s="95" t="str">
        <f t="shared" si="19"/>
        <v/>
      </c>
      <c r="Z172" s="95">
        <v>46022</v>
      </c>
      <c r="AA172" s="3">
        <v>248.5951</v>
      </c>
      <c r="AB172" s="37">
        <v>46022</v>
      </c>
      <c r="AC172" s="3">
        <v>244.239</v>
      </c>
      <c r="AD172" s="37">
        <f t="shared" si="20"/>
        <v>46022</v>
      </c>
    </row>
    <row r="173" spans="1:30" x14ac:dyDescent="0.25">
      <c r="A173" s="98"/>
      <c r="B173" s="33"/>
      <c r="C173" s="25"/>
      <c r="D173" s="26"/>
      <c r="E173" s="33"/>
      <c r="F173" s="25"/>
      <c r="G173" s="26"/>
      <c r="H173" s="33"/>
      <c r="I173" s="34"/>
      <c r="J173" s="34"/>
      <c r="K173" s="26"/>
      <c r="L173" s="26"/>
      <c r="M173" s="55"/>
      <c r="U173" s="95" t="str">
        <f t="shared" si="18"/>
        <v/>
      </c>
      <c r="V173" s="95" t="str">
        <f t="shared" si="19"/>
        <v/>
      </c>
      <c r="Z173" s="95">
        <v>46024</v>
      </c>
      <c r="AA173" s="3">
        <v>248.6541</v>
      </c>
      <c r="AB173" s="37">
        <v>46024</v>
      </c>
      <c r="AC173" s="3">
        <v>243.732</v>
      </c>
      <c r="AD173" s="37">
        <f t="shared" si="20"/>
        <v>46024</v>
      </c>
    </row>
    <row r="174" spans="1:30" x14ac:dyDescent="0.25">
      <c r="A174" s="98"/>
      <c r="B174" s="33"/>
      <c r="C174" s="25"/>
      <c r="D174" s="26"/>
      <c r="E174" s="33"/>
      <c r="F174" s="25"/>
      <c r="G174" s="26"/>
      <c r="H174" s="33"/>
      <c r="I174" s="34"/>
      <c r="J174" s="34"/>
      <c r="K174" s="26"/>
      <c r="L174" s="26"/>
      <c r="M174" s="55"/>
      <c r="U174" s="95" t="str">
        <f t="shared" si="18"/>
        <v/>
      </c>
      <c r="V174" s="95" t="str">
        <f t="shared" si="19"/>
        <v/>
      </c>
      <c r="Z174" s="95">
        <v>46027</v>
      </c>
      <c r="AA174" s="3">
        <v>248.83519999999999</v>
      </c>
      <c r="AB174" s="37">
        <v>46027</v>
      </c>
      <c r="AC174" s="3">
        <v>242.14599999999999</v>
      </c>
      <c r="AD174" s="37">
        <f t="shared" si="20"/>
        <v>46027</v>
      </c>
    </row>
    <row r="175" spans="1:30" x14ac:dyDescent="0.25">
      <c r="A175" s="98"/>
      <c r="B175" s="33"/>
      <c r="C175" s="25"/>
      <c r="D175" s="26"/>
      <c r="E175" s="33"/>
      <c r="F175" s="25"/>
      <c r="G175" s="26"/>
      <c r="H175" s="33"/>
      <c r="I175" s="34"/>
      <c r="J175" s="34"/>
      <c r="K175" s="26"/>
      <c r="L175" s="26"/>
      <c r="M175" s="55"/>
      <c r="U175" s="95" t="str">
        <f t="shared" si="18"/>
        <v/>
      </c>
      <c r="V175" s="95" t="str">
        <f t="shared" si="19"/>
        <v/>
      </c>
      <c r="Z175" s="95">
        <v>46028</v>
      </c>
      <c r="AA175" s="3">
        <v>248.91249999999999</v>
      </c>
      <c r="AB175" s="37">
        <v>46028</v>
      </c>
      <c r="AC175" s="3">
        <v>242.20400000000001</v>
      </c>
      <c r="AD175" s="37">
        <f t="shared" si="20"/>
        <v>46028</v>
      </c>
    </row>
    <row r="176" spans="1:30" x14ac:dyDescent="0.25">
      <c r="A176" s="98"/>
      <c r="B176" s="33"/>
      <c r="C176" s="25"/>
      <c r="D176" s="26"/>
      <c r="E176" s="33"/>
      <c r="F176" s="25"/>
      <c r="G176" s="26"/>
      <c r="H176" s="33"/>
      <c r="I176" s="34"/>
      <c r="J176" s="34"/>
      <c r="K176" s="26"/>
      <c r="L176" s="26"/>
      <c r="M176" s="55"/>
      <c r="U176" s="95" t="str">
        <f t="shared" si="18"/>
        <v/>
      </c>
      <c r="V176" s="95" t="str">
        <f t="shared" si="19"/>
        <v/>
      </c>
      <c r="Z176" s="95">
        <v>46029</v>
      </c>
      <c r="AA176" s="3">
        <v>248.8612</v>
      </c>
      <c r="AB176" s="37">
        <v>46029</v>
      </c>
      <c r="AC176" s="3">
        <v>242.517</v>
      </c>
      <c r="AD176" s="37">
        <f t="shared" si="20"/>
        <v>46029</v>
      </c>
    </row>
    <row r="177" spans="1:30" x14ac:dyDescent="0.25">
      <c r="A177" s="98"/>
      <c r="B177" s="33"/>
      <c r="C177" s="25"/>
      <c r="D177" s="26"/>
      <c r="E177" s="33"/>
      <c r="F177" s="25"/>
      <c r="G177" s="26"/>
      <c r="H177" s="33"/>
      <c r="I177" s="34"/>
      <c r="J177" s="34"/>
      <c r="K177" s="26"/>
      <c r="L177" s="26"/>
      <c r="M177" s="55"/>
      <c r="U177" s="95" t="str">
        <f t="shared" si="18"/>
        <v/>
      </c>
      <c r="V177" s="95" t="str">
        <f t="shared" si="19"/>
        <v/>
      </c>
      <c r="Z177" s="95">
        <v>46030</v>
      </c>
      <c r="AA177" s="3">
        <v>248.84979999999999</v>
      </c>
      <c r="AB177" s="37">
        <v>46030</v>
      </c>
      <c r="AC177" s="3">
        <v>242.678</v>
      </c>
      <c r="AD177" s="37">
        <f t="shared" si="20"/>
        <v>46030</v>
      </c>
    </row>
    <row r="178" spans="1:30" x14ac:dyDescent="0.25">
      <c r="A178" s="98"/>
      <c r="B178" s="33"/>
      <c r="C178" s="25"/>
      <c r="D178" s="26"/>
      <c r="E178" s="33"/>
      <c r="F178" s="25"/>
      <c r="G178" s="26"/>
      <c r="H178" s="33"/>
      <c r="I178" s="34"/>
      <c r="J178" s="34"/>
      <c r="K178" s="26"/>
      <c r="L178" s="26"/>
      <c r="M178" s="55"/>
      <c r="U178" s="95" t="str">
        <f t="shared" si="18"/>
        <v/>
      </c>
      <c r="V178" s="95" t="str">
        <f t="shared" si="19"/>
        <v/>
      </c>
      <c r="Z178" s="95">
        <v>46031</v>
      </c>
      <c r="AA178" s="3">
        <v>249.13050000000001</v>
      </c>
      <c r="AB178" s="37">
        <v>46031</v>
      </c>
      <c r="AC178" s="3">
        <v>240.93600000000001</v>
      </c>
      <c r="AD178" s="37">
        <f t="shared" si="20"/>
        <v>46031</v>
      </c>
    </row>
    <row r="179" spans="1:30" x14ac:dyDescent="0.25">
      <c r="A179" s="98"/>
      <c r="B179" s="33"/>
      <c r="C179" s="25"/>
      <c r="D179" s="26"/>
      <c r="E179" s="33"/>
      <c r="F179" s="25"/>
      <c r="G179" s="26"/>
      <c r="H179" s="33"/>
      <c r="I179" s="34"/>
      <c r="J179" s="34"/>
      <c r="K179" s="26"/>
      <c r="L179" s="26"/>
      <c r="M179" s="55"/>
      <c r="U179" s="95" t="str">
        <f t="shared" si="18"/>
        <v/>
      </c>
      <c r="V179" s="95" t="str">
        <f t="shared" si="19"/>
        <v/>
      </c>
      <c r="Z179" s="95">
        <v>46034</v>
      </c>
      <c r="AA179" s="3">
        <v>249.25470000000001</v>
      </c>
      <c r="AB179" s="37">
        <v>46034</v>
      </c>
      <c r="AC179" s="3">
        <v>240.25800000000001</v>
      </c>
      <c r="AD179" s="37">
        <f t="shared" si="20"/>
        <v>46034</v>
      </c>
    </row>
    <row r="180" spans="1:30" x14ac:dyDescent="0.25">
      <c r="A180" s="98"/>
      <c r="B180" s="33"/>
      <c r="C180" s="25"/>
      <c r="D180" s="26"/>
      <c r="E180" s="33"/>
      <c r="F180" s="25"/>
      <c r="G180" s="26"/>
      <c r="H180" s="33"/>
      <c r="I180" s="34"/>
      <c r="J180" s="34"/>
      <c r="K180" s="26"/>
      <c r="L180" s="26"/>
      <c r="M180" s="55"/>
      <c r="U180" s="95" t="str">
        <f t="shared" si="18"/>
        <v/>
      </c>
      <c r="V180" s="95" t="str">
        <f t="shared" si="19"/>
        <v/>
      </c>
      <c r="Z180" s="95">
        <v>46035</v>
      </c>
      <c r="AA180" s="3">
        <v>249.17660000000001</v>
      </c>
      <c r="AB180" s="37">
        <v>46035</v>
      </c>
      <c r="AC180" s="3">
        <v>240.88900000000001</v>
      </c>
      <c r="AD180" s="37">
        <f t="shared" si="20"/>
        <v>46035</v>
      </c>
    </row>
    <row r="181" spans="1:30" x14ac:dyDescent="0.25">
      <c r="A181" s="98"/>
      <c r="B181" s="33"/>
      <c r="C181" s="25"/>
      <c r="D181" s="26"/>
      <c r="E181" s="33"/>
      <c r="F181" s="25"/>
      <c r="G181" s="26"/>
      <c r="H181" s="33"/>
      <c r="I181" s="34"/>
      <c r="J181" s="34"/>
      <c r="K181" s="26"/>
      <c r="L181" s="26"/>
      <c r="M181" s="55"/>
      <c r="U181" s="95" t="str">
        <f t="shared" si="18"/>
        <v/>
      </c>
      <c r="V181" s="95" t="str">
        <f t="shared" si="19"/>
        <v/>
      </c>
      <c r="Z181" s="95">
        <v>46036</v>
      </c>
      <c r="AA181" s="3">
        <v>248.81209999999999</v>
      </c>
      <c r="AB181" s="37">
        <v>46036</v>
      </c>
      <c r="AC181" s="3">
        <v>244.88200000000001</v>
      </c>
      <c r="AD181" s="37">
        <f t="shared" si="20"/>
        <v>46036</v>
      </c>
    </row>
    <row r="182" spans="1:30" x14ac:dyDescent="0.25">
      <c r="A182" s="98"/>
      <c r="B182" s="33"/>
      <c r="C182" s="25"/>
      <c r="D182" s="26"/>
      <c r="E182" s="33"/>
      <c r="F182" s="25"/>
      <c r="G182" s="26"/>
      <c r="H182" s="33"/>
      <c r="I182" s="34"/>
      <c r="J182" s="34"/>
      <c r="K182" s="26"/>
      <c r="L182" s="26"/>
      <c r="M182" s="55"/>
      <c r="U182" s="95" t="str">
        <f t="shared" si="18"/>
        <v/>
      </c>
      <c r="V182" s="95" t="str">
        <f t="shared" si="19"/>
        <v/>
      </c>
      <c r="Z182" s="95">
        <v>46037</v>
      </c>
      <c r="AA182" s="3">
        <v>249.15880000000001</v>
      </c>
      <c r="AB182" s="37">
        <v>46037</v>
      </c>
      <c r="AC182" s="3">
        <v>241.666</v>
      </c>
      <c r="AD182" s="37">
        <f t="shared" si="20"/>
        <v>46037</v>
      </c>
    </row>
    <row r="183" spans="1:30" x14ac:dyDescent="0.25">
      <c r="A183" s="98"/>
      <c r="B183" s="33"/>
      <c r="C183" s="25"/>
      <c r="D183" s="26"/>
      <c r="E183" s="33"/>
      <c r="F183" s="25"/>
      <c r="G183" s="26"/>
      <c r="H183" s="33"/>
      <c r="I183" s="34"/>
      <c r="J183" s="34"/>
      <c r="K183" s="26"/>
      <c r="L183" s="26"/>
      <c r="M183" s="55"/>
      <c r="U183" s="95" t="str">
        <f t="shared" si="18"/>
        <v/>
      </c>
      <c r="V183" s="95" t="str">
        <f t="shared" si="19"/>
        <v/>
      </c>
      <c r="Z183" s="95">
        <v>46038</v>
      </c>
      <c r="AA183" s="3">
        <v>249.01169999999999</v>
      </c>
      <c r="AB183" s="37">
        <v>46038</v>
      </c>
      <c r="AC183" s="3">
        <v>243.13399999999999</v>
      </c>
      <c r="AD183" s="37">
        <f t="shared" si="20"/>
        <v>46038</v>
      </c>
    </row>
    <row r="184" spans="1:30" x14ac:dyDescent="0.25">
      <c r="A184" s="98"/>
      <c r="B184" s="33"/>
      <c r="C184" s="25"/>
      <c r="D184" s="26"/>
      <c r="E184" s="33"/>
      <c r="F184" s="25"/>
      <c r="G184" s="26"/>
      <c r="H184" s="33"/>
      <c r="I184" s="34"/>
      <c r="J184" s="34"/>
      <c r="K184" s="26"/>
      <c r="L184" s="26"/>
      <c r="M184" s="55"/>
      <c r="U184" s="95" t="str">
        <f t="shared" si="18"/>
        <v/>
      </c>
      <c r="V184" s="95" t="str">
        <f t="shared" si="19"/>
        <v/>
      </c>
      <c r="Z184" s="95">
        <v>46041</v>
      </c>
      <c r="AA184" s="3">
        <v>248.35810000000001</v>
      </c>
      <c r="AB184" s="37">
        <v>46041</v>
      </c>
      <c r="AC184" s="3">
        <v>250.24199999999999</v>
      </c>
      <c r="AD184" s="37">
        <f t="shared" si="20"/>
        <v>46041</v>
      </c>
    </row>
    <row r="185" spans="1:30" x14ac:dyDescent="0.25">
      <c r="A185" s="98"/>
      <c r="B185" s="33"/>
      <c r="C185" s="25"/>
      <c r="D185" s="26"/>
      <c r="E185" s="33"/>
      <c r="F185" s="25"/>
      <c r="G185" s="26"/>
      <c r="H185" s="33"/>
      <c r="I185" s="34"/>
      <c r="J185" s="34"/>
      <c r="K185" s="26"/>
      <c r="L185" s="26"/>
      <c r="M185" s="55"/>
      <c r="U185" s="95" t="str">
        <f t="shared" si="18"/>
        <v/>
      </c>
      <c r="V185" s="95" t="str">
        <f t="shared" si="19"/>
        <v/>
      </c>
      <c r="Z185" s="95">
        <v>46042</v>
      </c>
      <c r="AA185" s="3">
        <v>248.08500000000001</v>
      </c>
      <c r="AB185" s="37">
        <v>46042</v>
      </c>
      <c r="AC185" s="3">
        <v>252.017</v>
      </c>
      <c r="AD185" s="37">
        <f t="shared" si="20"/>
        <v>46042</v>
      </c>
    </row>
    <row r="186" spans="1:30" x14ac:dyDescent="0.25">
      <c r="A186" s="98"/>
      <c r="B186" s="33"/>
      <c r="C186" s="25"/>
      <c r="D186" s="26"/>
      <c r="E186" s="33"/>
      <c r="F186" s="25"/>
      <c r="G186" s="26"/>
      <c r="H186" s="33"/>
      <c r="I186" s="34"/>
      <c r="J186" s="34"/>
      <c r="K186" s="26"/>
      <c r="L186" s="26"/>
      <c r="M186" s="55"/>
      <c r="U186" s="95" t="str">
        <f t="shared" si="18"/>
        <v/>
      </c>
      <c r="V186" s="95" t="str">
        <f t="shared" si="19"/>
        <v/>
      </c>
      <c r="Z186" s="95">
        <v>46043</v>
      </c>
      <c r="AA186" s="3">
        <v>248.64510000000001</v>
      </c>
      <c r="AB186" s="37">
        <v>46043</v>
      </c>
      <c r="AC186" s="3">
        <v>248.50399999999999</v>
      </c>
      <c r="AD186" s="37">
        <f t="shared" si="20"/>
        <v>46043</v>
      </c>
    </row>
    <row r="187" spans="1:30" x14ac:dyDescent="0.25">
      <c r="A187" s="98"/>
      <c r="B187" s="33"/>
      <c r="C187" s="25"/>
      <c r="D187" s="26"/>
      <c r="E187" s="33"/>
      <c r="F187" s="25"/>
      <c r="G187" s="26"/>
      <c r="H187" s="33"/>
      <c r="I187" s="34"/>
      <c r="J187" s="34"/>
      <c r="K187" s="26"/>
      <c r="L187" s="26"/>
      <c r="M187" s="55"/>
      <c r="U187" s="95" t="str">
        <f t="shared" si="18"/>
        <v/>
      </c>
      <c r="V187" s="95" t="str">
        <f t="shared" si="19"/>
        <v/>
      </c>
      <c r="Z187" s="95">
        <v>46044</v>
      </c>
      <c r="AA187" s="3">
        <v>249.4425</v>
      </c>
      <c r="AB187" s="37">
        <v>46044</v>
      </c>
      <c r="AC187" s="3">
        <v>240.483</v>
      </c>
      <c r="AD187" s="37">
        <f t="shared" si="20"/>
        <v>46044</v>
      </c>
    </row>
    <row r="188" spans="1:30" x14ac:dyDescent="0.25">
      <c r="A188" s="98"/>
      <c r="B188" s="33"/>
      <c r="C188" s="25"/>
      <c r="D188" s="26"/>
      <c r="E188" s="33"/>
      <c r="F188" s="25"/>
      <c r="G188" s="26"/>
      <c r="H188" s="33"/>
      <c r="I188" s="34"/>
      <c r="J188" s="34"/>
      <c r="K188" s="26"/>
      <c r="L188" s="26"/>
      <c r="M188" s="55"/>
      <c r="U188" s="95" t="str">
        <f t="shared" si="18"/>
        <v/>
      </c>
      <c r="V188" s="95" t="str">
        <f t="shared" si="19"/>
        <v/>
      </c>
      <c r="Z188" s="95">
        <v>46045</v>
      </c>
      <c r="AA188" s="3">
        <v>249.2397</v>
      </c>
      <c r="AB188" s="37">
        <v>46045</v>
      </c>
      <c r="AC188" s="3">
        <v>242.67099999999999</v>
      </c>
      <c r="AD188" s="37">
        <f t="shared" si="20"/>
        <v>46045</v>
      </c>
    </row>
    <row r="189" spans="1:30" x14ac:dyDescent="0.25">
      <c r="A189" s="98"/>
      <c r="B189" s="33"/>
      <c r="C189" s="25"/>
      <c r="D189" s="26"/>
      <c r="E189" s="33"/>
      <c r="F189" s="25"/>
      <c r="G189" s="26"/>
      <c r="H189" s="33"/>
      <c r="I189" s="34"/>
      <c r="J189" s="34"/>
      <c r="K189" s="26"/>
      <c r="L189" s="26"/>
      <c r="M189" s="55"/>
      <c r="U189" s="95" t="str">
        <f t="shared" si="18"/>
        <v/>
      </c>
      <c r="V189" s="95" t="str">
        <f t="shared" si="19"/>
        <v/>
      </c>
      <c r="Z189" s="95">
        <v>46048</v>
      </c>
      <c r="AA189" s="3">
        <v>249.3184</v>
      </c>
      <c r="AB189" s="37">
        <v>46048</v>
      </c>
      <c r="AC189" s="3">
        <v>242.38300000000001</v>
      </c>
      <c r="AD189" s="37">
        <f t="shared" si="20"/>
        <v>46048</v>
      </c>
    </row>
    <row r="190" spans="1:30" x14ac:dyDescent="0.25">
      <c r="A190" s="98"/>
      <c r="B190" s="33"/>
      <c r="C190" s="25"/>
      <c r="D190" s="26"/>
      <c r="E190" s="33"/>
      <c r="F190" s="25"/>
      <c r="G190" s="26"/>
      <c r="H190" s="33"/>
      <c r="I190" s="34"/>
      <c r="J190" s="34"/>
      <c r="K190" s="26"/>
      <c r="L190" s="26"/>
      <c r="M190" s="55"/>
      <c r="U190" s="95" t="str">
        <f t="shared" si="18"/>
        <v/>
      </c>
      <c r="V190" s="95" t="str">
        <f t="shared" si="19"/>
        <v/>
      </c>
      <c r="Z190" s="95">
        <v>46049</v>
      </c>
      <c r="AA190" s="3">
        <v>249.45769999999999</v>
      </c>
      <c r="AB190" s="37">
        <v>46049</v>
      </c>
      <c r="AC190" s="3">
        <v>241.536</v>
      </c>
      <c r="AD190" s="37">
        <f t="shared" si="20"/>
        <v>46049</v>
      </c>
    </row>
    <row r="191" spans="1:30" x14ac:dyDescent="0.25">
      <c r="A191" s="98"/>
      <c r="B191" s="33"/>
      <c r="C191" s="25"/>
      <c r="D191" s="26"/>
      <c r="E191" s="33"/>
      <c r="F191" s="25"/>
      <c r="G191" s="26"/>
      <c r="H191" s="33"/>
      <c r="I191" s="34"/>
      <c r="J191" s="34"/>
      <c r="K191" s="26"/>
      <c r="L191" s="26"/>
      <c r="M191" s="55"/>
      <c r="U191" s="95" t="str">
        <f t="shared" si="18"/>
        <v/>
      </c>
      <c r="V191" s="95" t="str">
        <f t="shared" si="19"/>
        <v/>
      </c>
      <c r="Z191" s="95">
        <v>46050</v>
      </c>
      <c r="AA191" s="3">
        <v>249.07820000000001</v>
      </c>
      <c r="AB191" s="37">
        <v>46050</v>
      </c>
      <c r="AC191" s="3">
        <v>245.107</v>
      </c>
      <c r="AD191" s="37">
        <f t="shared" si="20"/>
        <v>46050</v>
      </c>
    </row>
    <row r="192" spans="1:30" x14ac:dyDescent="0.25">
      <c r="A192" s="98"/>
      <c r="B192" s="33"/>
      <c r="C192" s="25"/>
      <c r="D192" s="26"/>
      <c r="E192" s="33"/>
      <c r="F192" s="25"/>
      <c r="G192" s="26"/>
      <c r="H192" s="33"/>
      <c r="I192" s="34"/>
      <c r="J192" s="34"/>
      <c r="K192" s="26"/>
      <c r="L192" s="26"/>
      <c r="M192" s="55"/>
      <c r="U192" s="95" t="str">
        <f t="shared" si="18"/>
        <v/>
      </c>
      <c r="V192" s="95" t="str">
        <f t="shared" si="19"/>
        <v/>
      </c>
      <c r="Z192" s="95">
        <v>46051</v>
      </c>
      <c r="AA192" s="3">
        <v>248.7859</v>
      </c>
      <c r="AB192" s="37">
        <v>46051</v>
      </c>
      <c r="AC192" s="3">
        <v>247.57400000000001</v>
      </c>
      <c r="AD192" s="37">
        <f t="shared" si="20"/>
        <v>46051</v>
      </c>
    </row>
    <row r="193" spans="1:30" x14ac:dyDescent="0.25">
      <c r="A193" s="98"/>
      <c r="B193" s="33"/>
      <c r="C193" s="25"/>
      <c r="D193" s="26"/>
      <c r="E193" s="33"/>
      <c r="F193" s="25"/>
      <c r="G193" s="26"/>
      <c r="H193" s="33"/>
      <c r="I193" s="34"/>
      <c r="J193" s="34"/>
      <c r="K193" s="26"/>
      <c r="L193" s="26"/>
      <c r="M193" s="55"/>
      <c r="U193" s="95" t="str">
        <f t="shared" si="18"/>
        <v/>
      </c>
      <c r="V193" s="95" t="str">
        <f t="shared" si="19"/>
        <v/>
      </c>
      <c r="Z193" s="95">
        <v>46052</v>
      </c>
      <c r="AA193" s="3">
        <v>248.92789999999999</v>
      </c>
      <c r="AB193" s="37">
        <v>46052</v>
      </c>
      <c r="AC193" s="3">
        <v>247.31899999999999</v>
      </c>
      <c r="AD193" s="37">
        <f t="shared" si="20"/>
        <v>46052</v>
      </c>
    </row>
    <row r="194" spans="1:30" x14ac:dyDescent="0.25">
      <c r="A194" s="98"/>
      <c r="B194" s="33"/>
      <c r="C194" s="25"/>
      <c r="D194" s="26"/>
      <c r="E194" s="33"/>
      <c r="F194" s="25"/>
      <c r="G194" s="26"/>
      <c r="H194" s="33"/>
      <c r="I194" s="34"/>
      <c r="J194" s="34"/>
      <c r="K194" s="26"/>
      <c r="L194" s="26"/>
      <c r="M194" s="55"/>
      <c r="U194" s="95" t="str">
        <f t="shared" si="18"/>
        <v/>
      </c>
      <c r="V194" s="95" t="str">
        <f t="shared" si="19"/>
        <v/>
      </c>
      <c r="Z194" s="95">
        <v>46055</v>
      </c>
      <c r="AA194" s="3">
        <v>249.41380000000001</v>
      </c>
      <c r="AB194" s="37">
        <v>46055</v>
      </c>
      <c r="AC194" s="3">
        <v>242.94800000000001</v>
      </c>
      <c r="AD194" s="37">
        <f t="shared" si="20"/>
        <v>46055</v>
      </c>
    </row>
    <row r="195" spans="1:30" x14ac:dyDescent="0.25">
      <c r="A195" s="98"/>
      <c r="B195" s="33"/>
      <c r="C195" s="25"/>
      <c r="D195" s="26"/>
      <c r="E195" s="33"/>
      <c r="F195" s="25"/>
      <c r="G195" s="26"/>
      <c r="H195" s="33"/>
      <c r="I195" s="34"/>
      <c r="J195" s="34"/>
      <c r="K195" s="26"/>
      <c r="L195" s="26"/>
      <c r="M195" s="55"/>
      <c r="U195" s="95" t="str">
        <f t="shared" si="18"/>
        <v/>
      </c>
      <c r="V195" s="95" t="str">
        <f t="shared" si="19"/>
        <v/>
      </c>
      <c r="Z195" s="95">
        <v>46056</v>
      </c>
      <c r="AA195" s="3">
        <v>249.29150000000001</v>
      </c>
      <c r="AB195" s="37">
        <v>46056</v>
      </c>
      <c r="AC195" s="3">
        <v>244.75399999999999</v>
      </c>
      <c r="AD195" s="37">
        <f t="shared" si="20"/>
        <v>46056</v>
      </c>
    </row>
    <row r="196" spans="1:30" x14ac:dyDescent="0.25">
      <c r="A196" s="98"/>
      <c r="B196" s="33"/>
      <c r="C196" s="25"/>
      <c r="D196" s="26"/>
      <c r="E196" s="33"/>
      <c r="F196" s="25"/>
      <c r="G196" s="26"/>
      <c r="H196" s="33"/>
      <c r="I196" s="34"/>
      <c r="J196" s="34"/>
      <c r="K196" s="26"/>
      <c r="L196" s="26"/>
      <c r="M196" s="55"/>
      <c r="U196" s="95" t="str">
        <f t="shared" ref="U196:U259" si="27">IF(COUNTIF(Q:Q,O196)*COUNTIF(S:S,O196),O196,"")</f>
        <v/>
      </c>
      <c r="V196" s="95" t="str">
        <f t="shared" ref="V196:V259" si="28">IF(U196&gt;$A$14,U196,"")</f>
        <v/>
      </c>
      <c r="Z196" s="95">
        <v>46057</v>
      </c>
      <c r="AA196" s="3">
        <v>249.12110000000001</v>
      </c>
      <c r="AB196" s="37">
        <v>46057</v>
      </c>
      <c r="AC196" s="3">
        <v>246.44200000000001</v>
      </c>
      <c r="AD196" s="37">
        <f t="shared" ref="AD196:AD259" si="29">IF(COUNTIF(AB:AB,Z196),Z196,"")</f>
        <v>46057</v>
      </c>
    </row>
    <row r="197" spans="1:30" x14ac:dyDescent="0.25">
      <c r="A197" s="98"/>
      <c r="B197" s="33"/>
      <c r="C197" s="25"/>
      <c r="D197" s="26"/>
      <c r="E197" s="33"/>
      <c r="F197" s="25"/>
      <c r="G197" s="26"/>
      <c r="H197" s="33"/>
      <c r="I197" s="34"/>
      <c r="J197" s="34"/>
      <c r="K197" s="26"/>
      <c r="L197" s="26"/>
      <c r="M197" s="55"/>
      <c r="U197" s="95" t="str">
        <f t="shared" si="27"/>
        <v/>
      </c>
      <c r="V197" s="95" t="str">
        <f t="shared" si="28"/>
        <v/>
      </c>
      <c r="Z197" s="95">
        <v>46058</v>
      </c>
      <c r="AA197" s="3">
        <v>248.86420000000001</v>
      </c>
      <c r="AB197" s="37">
        <v>46058</v>
      </c>
      <c r="AC197" s="3">
        <v>247.72399999999999</v>
      </c>
      <c r="AD197" s="37">
        <f t="shared" si="29"/>
        <v>46058</v>
      </c>
    </row>
    <row r="198" spans="1:30" x14ac:dyDescent="0.25">
      <c r="A198" s="98"/>
      <c r="B198" s="33"/>
      <c r="C198" s="25"/>
      <c r="D198" s="26"/>
      <c r="E198" s="33"/>
      <c r="F198" s="25"/>
      <c r="G198" s="26"/>
      <c r="H198" s="33"/>
      <c r="I198" s="34"/>
      <c r="J198" s="34"/>
      <c r="K198" s="26"/>
      <c r="L198" s="26"/>
      <c r="M198" s="55"/>
      <c r="U198" s="95" t="str">
        <f t="shared" si="27"/>
        <v/>
      </c>
      <c r="V198" s="95" t="str">
        <f t="shared" si="28"/>
        <v/>
      </c>
      <c r="Z198" s="95">
        <v>46059</v>
      </c>
      <c r="AA198" s="3">
        <v>249.4572</v>
      </c>
      <c r="AB198" s="37">
        <v>46059</v>
      </c>
      <c r="AC198" s="3">
        <v>243.90799999999999</v>
      </c>
      <c r="AD198" s="37">
        <f t="shared" si="29"/>
        <v>46059</v>
      </c>
    </row>
    <row r="199" spans="1:30" x14ac:dyDescent="0.25">
      <c r="A199" s="98"/>
      <c r="B199" s="33"/>
      <c r="C199" s="25"/>
      <c r="D199" s="26"/>
      <c r="E199" s="33"/>
      <c r="F199" s="25"/>
      <c r="G199" s="26"/>
      <c r="H199" s="33"/>
      <c r="I199" s="34"/>
      <c r="J199" s="34"/>
      <c r="K199" s="26"/>
      <c r="L199" s="26"/>
      <c r="M199" s="55"/>
      <c r="U199" s="95" t="str">
        <f t="shared" si="27"/>
        <v/>
      </c>
      <c r="V199" s="95" t="str">
        <f t="shared" si="28"/>
        <v/>
      </c>
      <c r="Z199" s="95">
        <v>46062</v>
      </c>
      <c r="AA199" s="3">
        <v>249.82130000000001</v>
      </c>
      <c r="AB199" s="37">
        <v>46062</v>
      </c>
      <c r="AC199" s="3">
        <v>240.52</v>
      </c>
      <c r="AD199" s="37">
        <f t="shared" si="29"/>
        <v>46062</v>
      </c>
    </row>
    <row r="200" spans="1:30" x14ac:dyDescent="0.25">
      <c r="A200" s="98"/>
      <c r="B200" s="33"/>
      <c r="C200" s="25"/>
      <c r="D200" s="26"/>
      <c r="E200" s="33"/>
      <c r="F200" s="25"/>
      <c r="G200" s="26"/>
      <c r="H200" s="33"/>
      <c r="I200" s="34"/>
      <c r="J200" s="34"/>
      <c r="K200" s="26"/>
      <c r="L200" s="26"/>
      <c r="M200" s="55"/>
      <c r="U200" s="95" t="str">
        <f t="shared" si="27"/>
        <v/>
      </c>
      <c r="V200" s="95" t="str">
        <f t="shared" si="28"/>
        <v/>
      </c>
      <c r="Z200" s="95">
        <v>46063</v>
      </c>
      <c r="AA200" s="3">
        <v>249.73419999999999</v>
      </c>
      <c r="AB200" s="37">
        <v>46063</v>
      </c>
      <c r="AC200" s="3">
        <v>241.834</v>
      </c>
      <c r="AD200" s="37">
        <f t="shared" si="29"/>
        <v>46063</v>
      </c>
    </row>
    <row r="201" spans="1:30" x14ac:dyDescent="0.25">
      <c r="A201" s="98"/>
      <c r="B201" s="33"/>
      <c r="C201" s="25"/>
      <c r="D201" s="26"/>
      <c r="E201" s="33"/>
      <c r="F201" s="25"/>
      <c r="G201" s="26"/>
      <c r="H201" s="33"/>
      <c r="I201" s="34"/>
      <c r="J201" s="34"/>
      <c r="K201" s="26"/>
      <c r="L201" s="26"/>
      <c r="M201" s="55"/>
      <c r="U201" s="95" t="str">
        <f t="shared" si="27"/>
        <v/>
      </c>
      <c r="V201" s="95" t="str">
        <f t="shared" si="28"/>
        <v/>
      </c>
      <c r="Z201" s="95">
        <v>46064</v>
      </c>
      <c r="AA201" s="3">
        <v>249.6275</v>
      </c>
      <c r="AB201" s="37">
        <v>46064</v>
      </c>
      <c r="AC201" s="3">
        <v>243.429</v>
      </c>
      <c r="AD201" s="37">
        <f t="shared" si="29"/>
        <v>46064</v>
      </c>
    </row>
    <row r="202" spans="1:30" x14ac:dyDescent="0.25">
      <c r="A202" s="98"/>
      <c r="B202" s="33"/>
      <c r="C202" s="25"/>
      <c r="D202" s="26"/>
      <c r="E202" s="33"/>
      <c r="F202" s="25"/>
      <c r="G202" s="26"/>
      <c r="H202" s="33"/>
      <c r="I202" s="34"/>
      <c r="J202" s="34"/>
      <c r="K202" s="26"/>
      <c r="L202" s="26"/>
      <c r="M202" s="55"/>
      <c r="U202" s="95" t="str">
        <f t="shared" si="27"/>
        <v/>
      </c>
      <c r="V202" s="95" t="str">
        <f t="shared" si="28"/>
        <v/>
      </c>
      <c r="Z202" s="95">
        <v>46065</v>
      </c>
      <c r="AA202" s="3">
        <v>249.3349</v>
      </c>
      <c r="AB202" s="37">
        <v>46065</v>
      </c>
      <c r="AC202" s="3">
        <v>246.203</v>
      </c>
      <c r="AD202" s="37">
        <f t="shared" si="29"/>
        <v>46065</v>
      </c>
    </row>
    <row r="203" spans="1:30" x14ac:dyDescent="0.25">
      <c r="A203" s="98"/>
      <c r="B203" s="33"/>
      <c r="C203" s="25"/>
      <c r="D203" s="26"/>
      <c r="E203" s="33"/>
      <c r="F203" s="25"/>
      <c r="G203" s="26"/>
      <c r="H203" s="33"/>
      <c r="I203" s="34"/>
      <c r="J203" s="34"/>
      <c r="K203" s="26"/>
      <c r="L203" s="26"/>
      <c r="M203" s="55"/>
      <c r="U203" s="95" t="str">
        <f t="shared" si="27"/>
        <v/>
      </c>
      <c r="V203" s="95" t="str">
        <f t="shared" si="28"/>
        <v/>
      </c>
      <c r="Z203" s="95">
        <v>46066</v>
      </c>
      <c r="AA203" s="3">
        <v>249.1874</v>
      </c>
      <c r="AB203" s="37">
        <v>46066</v>
      </c>
      <c r="AC203" s="3">
        <v>247.685</v>
      </c>
      <c r="AD203" s="37">
        <f t="shared" si="29"/>
        <v>46066</v>
      </c>
    </row>
    <row r="204" spans="1:30" x14ac:dyDescent="0.25">
      <c r="A204" s="98"/>
      <c r="B204" s="33"/>
      <c r="C204" s="25"/>
      <c r="D204" s="26"/>
      <c r="E204" s="33"/>
      <c r="F204" s="25"/>
      <c r="G204" s="26"/>
      <c r="H204" s="33"/>
      <c r="I204" s="34"/>
      <c r="J204" s="34"/>
      <c r="K204" s="26"/>
      <c r="L204" s="26"/>
      <c r="M204" s="55"/>
      <c r="U204" s="95" t="str">
        <f t="shared" si="27"/>
        <v/>
      </c>
      <c r="V204" s="95" t="str">
        <f t="shared" si="28"/>
        <v/>
      </c>
      <c r="Z204" s="95">
        <v>46069</v>
      </c>
      <c r="AA204" s="3">
        <v>249.0668</v>
      </c>
      <c r="AB204" s="37">
        <v>46069</v>
      </c>
      <c r="AC204" s="3">
        <v>249.32300000000001</v>
      </c>
      <c r="AD204" s="37">
        <f t="shared" si="29"/>
        <v>46069</v>
      </c>
    </row>
    <row r="205" spans="1:30" x14ac:dyDescent="0.25">
      <c r="A205" s="98"/>
      <c r="B205" s="33"/>
      <c r="C205" s="25"/>
      <c r="D205" s="26"/>
      <c r="E205" s="33"/>
      <c r="F205" s="25"/>
      <c r="G205" s="26"/>
      <c r="H205" s="33"/>
      <c r="I205" s="34"/>
      <c r="J205" s="34"/>
      <c r="K205" s="26"/>
      <c r="L205" s="26"/>
      <c r="M205" s="55"/>
      <c r="U205" s="95" t="str">
        <f t="shared" si="27"/>
        <v/>
      </c>
      <c r="V205" s="95" t="str">
        <f t="shared" si="28"/>
        <v/>
      </c>
      <c r="Z205" s="95">
        <v>46070</v>
      </c>
      <c r="AA205" s="3">
        <v>248.9178</v>
      </c>
      <c r="AB205" s="37">
        <v>46070</v>
      </c>
      <c r="AC205" s="3">
        <v>250.65299999999999</v>
      </c>
      <c r="AD205" s="37">
        <f t="shared" si="29"/>
        <v>46070</v>
      </c>
    </row>
    <row r="206" spans="1:30" x14ac:dyDescent="0.25">
      <c r="A206" s="98"/>
      <c r="B206" s="33"/>
      <c r="C206" s="25"/>
      <c r="D206" s="26"/>
      <c r="E206" s="33"/>
      <c r="F206" s="25"/>
      <c r="G206" s="26"/>
      <c r="H206" s="33"/>
      <c r="I206" s="34"/>
      <c r="J206" s="34"/>
      <c r="K206" s="26"/>
      <c r="L206" s="26"/>
      <c r="M206" s="55"/>
      <c r="U206" s="95" t="str">
        <f t="shared" si="27"/>
        <v/>
      </c>
      <c r="V206" s="95" t="str">
        <f t="shared" si="28"/>
        <v/>
      </c>
      <c r="Z206" s="95">
        <v>46071</v>
      </c>
      <c r="AA206" s="3">
        <v>249.54349999999999</v>
      </c>
      <c r="AB206" s="37">
        <v>46071</v>
      </c>
      <c r="AC206" s="3">
        <v>245.28100000000001</v>
      </c>
      <c r="AD206" s="37">
        <f t="shared" si="29"/>
        <v>46071</v>
      </c>
    </row>
    <row r="207" spans="1:30" x14ac:dyDescent="0.25">
      <c r="A207" s="98"/>
      <c r="B207" s="33"/>
      <c r="C207" s="25"/>
      <c r="D207" s="26"/>
      <c r="E207" s="33"/>
      <c r="F207" s="25"/>
      <c r="G207" s="26"/>
      <c r="H207" s="33"/>
      <c r="I207" s="34"/>
      <c r="J207" s="34"/>
      <c r="K207" s="26"/>
      <c r="L207" s="26"/>
      <c r="M207" s="55"/>
      <c r="U207" s="95" t="str">
        <f t="shared" si="27"/>
        <v/>
      </c>
      <c r="V207" s="95" t="str">
        <f t="shared" si="28"/>
        <v/>
      </c>
      <c r="Z207" s="95">
        <v>46072</v>
      </c>
      <c r="AA207" s="3">
        <v>249.05619999999999</v>
      </c>
      <c r="AB207" s="37">
        <v>46072</v>
      </c>
      <c r="AC207" s="3">
        <v>249.80099999999999</v>
      </c>
      <c r="AD207" s="37">
        <f t="shared" si="29"/>
        <v>46072</v>
      </c>
    </row>
    <row r="208" spans="1:30" x14ac:dyDescent="0.25">
      <c r="A208" s="98"/>
      <c r="B208" s="33"/>
      <c r="C208" s="25"/>
      <c r="D208" s="26"/>
      <c r="E208" s="33"/>
      <c r="F208" s="25"/>
      <c r="G208" s="26"/>
      <c r="H208" s="33"/>
      <c r="I208" s="34"/>
      <c r="J208" s="34"/>
      <c r="K208" s="26"/>
      <c r="L208" s="26"/>
      <c r="M208" s="55"/>
      <c r="U208" s="95" t="str">
        <f t="shared" si="27"/>
        <v/>
      </c>
      <c r="V208" s="95" t="str">
        <f t="shared" si="28"/>
        <v/>
      </c>
      <c r="Z208" s="95">
        <v>46073</v>
      </c>
      <c r="AA208" s="3">
        <v>249.35589999999999</v>
      </c>
      <c r="AB208" s="37">
        <v>46073</v>
      </c>
      <c r="AC208" s="3">
        <v>247.39400000000001</v>
      </c>
      <c r="AD208" s="37">
        <f t="shared" si="29"/>
        <v>46073</v>
      </c>
    </row>
    <row r="209" spans="1:30" x14ac:dyDescent="0.25">
      <c r="A209" s="98"/>
      <c r="B209" s="33"/>
      <c r="C209" s="25"/>
      <c r="D209" s="26"/>
      <c r="E209" s="33"/>
      <c r="F209" s="25"/>
      <c r="G209" s="26"/>
      <c r="H209" s="33"/>
      <c r="I209" s="34"/>
      <c r="J209" s="34"/>
      <c r="K209" s="26"/>
      <c r="L209" s="26"/>
      <c r="M209" s="55"/>
      <c r="U209" s="95" t="str">
        <f t="shared" si="27"/>
        <v/>
      </c>
      <c r="V209" s="95" t="str">
        <f t="shared" si="28"/>
        <v/>
      </c>
      <c r="Z209" s="95">
        <v>46076</v>
      </c>
      <c r="AA209" s="3">
        <v>249.17140000000001</v>
      </c>
      <c r="AB209" s="37">
        <v>46076</v>
      </c>
      <c r="AC209" s="3">
        <v>249.6</v>
      </c>
      <c r="AD209" s="37">
        <f t="shared" si="29"/>
        <v>46076</v>
      </c>
    </row>
    <row r="210" spans="1:30" x14ac:dyDescent="0.25">
      <c r="A210" s="98"/>
      <c r="B210" s="33"/>
      <c r="C210" s="25"/>
      <c r="D210" s="26"/>
      <c r="E210" s="33"/>
      <c r="F210" s="25"/>
      <c r="G210" s="26"/>
      <c r="H210" s="33"/>
      <c r="I210" s="34"/>
      <c r="J210" s="34"/>
      <c r="K210" s="26"/>
      <c r="L210" s="26"/>
      <c r="M210" s="55"/>
      <c r="U210" s="95" t="str">
        <f t="shared" si="27"/>
        <v/>
      </c>
      <c r="V210" s="95" t="str">
        <f t="shared" si="28"/>
        <v/>
      </c>
      <c r="Z210" s="95">
        <v>46077</v>
      </c>
      <c r="AA210" s="3">
        <v>248.90289999999999</v>
      </c>
      <c r="AB210" s="37">
        <v>46077</v>
      </c>
      <c r="AC210" s="3">
        <v>251.95099999999999</v>
      </c>
      <c r="AD210" s="37">
        <f t="shared" si="29"/>
        <v>46077</v>
      </c>
    </row>
    <row r="211" spans="1:30" x14ac:dyDescent="0.25">
      <c r="A211" s="98"/>
      <c r="B211" s="33"/>
      <c r="C211" s="25"/>
      <c r="D211" s="26"/>
      <c r="E211" s="33"/>
      <c r="F211" s="25"/>
      <c r="G211" s="26"/>
      <c r="H211" s="33"/>
      <c r="I211" s="34"/>
      <c r="J211" s="34"/>
      <c r="K211" s="26"/>
      <c r="L211" s="26"/>
      <c r="M211" s="55"/>
      <c r="U211" s="95" t="str">
        <f t="shared" si="27"/>
        <v/>
      </c>
      <c r="V211" s="95" t="str">
        <f t="shared" si="28"/>
        <v/>
      </c>
      <c r="Z211" s="95">
        <v>46078</v>
      </c>
      <c r="AA211" s="3">
        <v>249.0966</v>
      </c>
      <c r="AB211" s="37">
        <v>46078</v>
      </c>
      <c r="AC211" s="3">
        <v>250.364</v>
      </c>
      <c r="AD211" s="37">
        <f t="shared" si="29"/>
        <v>46078</v>
      </c>
    </row>
    <row r="212" spans="1:30" x14ac:dyDescent="0.25">
      <c r="A212" s="98"/>
      <c r="B212" s="33"/>
      <c r="C212" s="25"/>
      <c r="D212" s="26"/>
      <c r="E212" s="33"/>
      <c r="F212" s="25"/>
      <c r="G212" s="26"/>
      <c r="H212" s="33"/>
      <c r="I212" s="34"/>
      <c r="J212" s="34"/>
      <c r="K212" s="26"/>
      <c r="L212" s="26"/>
      <c r="M212" s="55"/>
      <c r="U212" s="95" t="str">
        <f t="shared" si="27"/>
        <v/>
      </c>
      <c r="V212" s="95" t="str">
        <f t="shared" si="28"/>
        <v/>
      </c>
      <c r="Z212" s="95">
        <v>46079</v>
      </c>
      <c r="AA212" s="3">
        <v>248.75470000000001</v>
      </c>
      <c r="AB212" s="37">
        <v>46079</v>
      </c>
      <c r="AC212" s="3">
        <v>255.23400000000001</v>
      </c>
      <c r="AD212" s="37">
        <f t="shared" si="29"/>
        <v>46079</v>
      </c>
    </row>
    <row r="213" spans="1:30" x14ac:dyDescent="0.25">
      <c r="A213" s="98"/>
      <c r="B213" s="33"/>
      <c r="C213" s="25"/>
      <c r="D213" s="26"/>
      <c r="E213" s="33"/>
      <c r="F213" s="25"/>
      <c r="G213" s="26"/>
      <c r="H213" s="33"/>
      <c r="I213" s="34"/>
      <c r="J213" s="34"/>
      <c r="K213" s="26"/>
      <c r="L213" s="26"/>
      <c r="M213" s="55"/>
      <c r="U213" s="95" t="str">
        <f t="shared" si="27"/>
        <v/>
      </c>
      <c r="V213" s="95" t="str">
        <f t="shared" si="28"/>
        <v/>
      </c>
      <c r="Z213" s="95">
        <v>46080</v>
      </c>
      <c r="AA213" s="3">
        <v>248.09289999999999</v>
      </c>
      <c r="AB213" s="37">
        <v>46080</v>
      </c>
      <c r="AC213" s="3">
        <v>260.47699999999998</v>
      </c>
      <c r="AD213" s="37">
        <f t="shared" si="29"/>
        <v>46080</v>
      </c>
    </row>
    <row r="214" spans="1:30" x14ac:dyDescent="0.25">
      <c r="A214" s="98"/>
      <c r="B214" s="33"/>
      <c r="C214" s="25"/>
      <c r="D214" s="26"/>
      <c r="E214" s="33"/>
      <c r="F214" s="25"/>
      <c r="G214" s="26"/>
      <c r="H214" s="33"/>
      <c r="I214" s="34"/>
      <c r="J214" s="34"/>
      <c r="K214" s="26"/>
      <c r="L214" s="26"/>
      <c r="M214" s="55"/>
      <c r="U214" s="95" t="str">
        <f t="shared" si="27"/>
        <v/>
      </c>
      <c r="V214" s="95" t="str">
        <f t="shared" si="28"/>
        <v/>
      </c>
      <c r="Z214" s="95">
        <v>46083</v>
      </c>
      <c r="AA214" s="3">
        <v>247.5763</v>
      </c>
      <c r="AB214" s="37">
        <v>46083</v>
      </c>
      <c r="AC214" s="3">
        <v>263.697</v>
      </c>
      <c r="AD214" s="37">
        <f t="shared" si="29"/>
        <v>46083</v>
      </c>
    </row>
    <row r="215" spans="1:30" x14ac:dyDescent="0.25">
      <c r="A215" s="98"/>
      <c r="B215" s="33"/>
      <c r="C215" s="25"/>
      <c r="D215" s="26"/>
      <c r="E215" s="33"/>
      <c r="F215" s="25"/>
      <c r="G215" s="26"/>
      <c r="H215" s="33"/>
      <c r="I215" s="34"/>
      <c r="J215" s="34"/>
      <c r="K215" s="26"/>
      <c r="L215" s="26"/>
      <c r="M215" s="55"/>
      <c r="U215" s="95" t="str">
        <f t="shared" si="27"/>
        <v/>
      </c>
      <c r="V215" s="95" t="str">
        <f t="shared" si="28"/>
        <v/>
      </c>
      <c r="Z215" s="95">
        <v>46084</v>
      </c>
      <c r="AA215" s="3">
        <v>246.2878</v>
      </c>
      <c r="AB215" s="37">
        <v>46084</v>
      </c>
      <c r="AC215" s="3">
        <v>274.05799999999999</v>
      </c>
      <c r="AD215" s="37">
        <f t="shared" si="29"/>
        <v>46084</v>
      </c>
    </row>
    <row r="216" spans="1:30" x14ac:dyDescent="0.25">
      <c r="A216" s="98"/>
      <c r="B216" s="33"/>
      <c r="C216" s="25"/>
      <c r="D216" s="26"/>
      <c r="E216" s="33"/>
      <c r="F216" s="25"/>
      <c r="G216" s="26"/>
      <c r="H216" s="33"/>
      <c r="I216" s="34"/>
      <c r="J216" s="34"/>
      <c r="K216" s="26"/>
      <c r="L216" s="26"/>
      <c r="M216" s="55"/>
      <c r="U216" s="95" t="str">
        <f t="shared" si="27"/>
        <v/>
      </c>
      <c r="V216" s="95" t="str">
        <f t="shared" si="28"/>
        <v/>
      </c>
      <c r="Z216" s="95">
        <v>46085</v>
      </c>
      <c r="AA216" s="3">
        <v>247.53190000000001</v>
      </c>
      <c r="AB216" s="37">
        <v>46085</v>
      </c>
      <c r="AC216" s="3">
        <v>264.47800000000001</v>
      </c>
      <c r="AD216" s="37">
        <f t="shared" si="29"/>
        <v>46085</v>
      </c>
    </row>
    <row r="217" spans="1:30" x14ac:dyDescent="0.25">
      <c r="A217" s="98"/>
      <c r="B217" s="33"/>
      <c r="C217" s="25"/>
      <c r="D217" s="26"/>
      <c r="E217" s="33"/>
      <c r="F217" s="25"/>
      <c r="G217" s="26"/>
      <c r="H217" s="33"/>
      <c r="I217" s="34"/>
      <c r="J217" s="34"/>
      <c r="K217" s="26"/>
      <c r="L217" s="26"/>
      <c r="M217" s="55"/>
      <c r="U217" s="95" t="str">
        <f t="shared" si="27"/>
        <v/>
      </c>
      <c r="V217" s="95" t="str">
        <f t="shared" si="28"/>
        <v/>
      </c>
      <c r="Z217" s="95">
        <v>46086</v>
      </c>
      <c r="AA217" s="3">
        <v>246.4889</v>
      </c>
      <c r="AB217" s="37">
        <v>46086</v>
      </c>
      <c r="AC217" s="3">
        <v>273.99700000000001</v>
      </c>
      <c r="AD217" s="37">
        <f t="shared" si="29"/>
        <v>46086</v>
      </c>
    </row>
    <row r="218" spans="1:30" x14ac:dyDescent="0.25">
      <c r="A218" s="98"/>
      <c r="B218" s="33"/>
      <c r="C218" s="25"/>
      <c r="D218" s="26"/>
      <c r="E218" s="33"/>
      <c r="F218" s="25"/>
      <c r="G218" s="26"/>
      <c r="H218" s="33"/>
      <c r="I218" s="34"/>
      <c r="J218" s="34"/>
      <c r="K218" s="26"/>
      <c r="L218" s="26"/>
      <c r="M218" s="55"/>
      <c r="U218" s="95" t="str">
        <f t="shared" si="27"/>
        <v/>
      </c>
      <c r="V218" s="95" t="str">
        <f t="shared" si="28"/>
        <v/>
      </c>
      <c r="Z218" s="95">
        <v>46087</v>
      </c>
      <c r="AA218" s="3">
        <v>244.8614</v>
      </c>
      <c r="AB218" s="37">
        <v>46087</v>
      </c>
      <c r="AC218" s="3">
        <v>288.99400000000003</v>
      </c>
      <c r="AD218" s="37">
        <f t="shared" si="29"/>
        <v>46087</v>
      </c>
    </row>
    <row r="219" spans="1:30" x14ac:dyDescent="0.25">
      <c r="A219" s="98"/>
      <c r="B219" s="33"/>
      <c r="C219" s="25"/>
      <c r="D219" s="26"/>
      <c r="E219" s="33"/>
      <c r="F219" s="25"/>
      <c r="G219" s="26"/>
      <c r="H219" s="33"/>
      <c r="I219" s="34"/>
      <c r="J219" s="34"/>
      <c r="K219" s="26"/>
      <c r="L219" s="26"/>
      <c r="M219" s="55"/>
      <c r="U219" s="95" t="str">
        <f t="shared" si="27"/>
        <v/>
      </c>
      <c r="V219" s="95" t="str">
        <f t="shared" si="28"/>
        <v/>
      </c>
      <c r="Z219" s="95">
        <v>46090</v>
      </c>
      <c r="AA219" s="3">
        <v>244.64580000000001</v>
      </c>
      <c r="AB219" s="37">
        <v>46090</v>
      </c>
      <c r="AC219" s="3">
        <v>291.28300000000002</v>
      </c>
      <c r="AD219" s="37">
        <f t="shared" si="29"/>
        <v>46090</v>
      </c>
    </row>
    <row r="220" spans="1:30" x14ac:dyDescent="0.25">
      <c r="A220" s="98"/>
      <c r="B220" s="33"/>
      <c r="C220" s="25"/>
      <c r="D220" s="26"/>
      <c r="E220" s="33"/>
      <c r="F220" s="25"/>
      <c r="G220" s="26"/>
      <c r="H220" s="33"/>
      <c r="I220" s="34"/>
      <c r="J220" s="34"/>
      <c r="K220" s="26"/>
      <c r="L220" s="26"/>
      <c r="M220" s="55"/>
      <c r="U220" s="95" t="str">
        <f t="shared" si="27"/>
        <v/>
      </c>
      <c r="V220" s="95" t="str">
        <f t="shared" si="28"/>
        <v/>
      </c>
      <c r="Z220" s="95">
        <v>46091</v>
      </c>
      <c r="AA220" s="3">
        <v>246.5496</v>
      </c>
      <c r="AB220" s="37">
        <v>46091</v>
      </c>
      <c r="AC220" s="3">
        <v>273.73200000000003</v>
      </c>
      <c r="AD220" s="37">
        <f t="shared" si="29"/>
        <v>46091</v>
      </c>
    </row>
    <row r="221" spans="1:30" x14ac:dyDescent="0.25">
      <c r="A221" s="98"/>
      <c r="B221" s="33"/>
      <c r="C221" s="25"/>
      <c r="D221" s="26"/>
      <c r="E221" s="33"/>
      <c r="F221" s="25"/>
      <c r="G221" s="26"/>
      <c r="H221" s="33"/>
      <c r="I221" s="34"/>
      <c r="J221" s="34"/>
      <c r="K221" s="26"/>
      <c r="L221" s="26"/>
      <c r="M221" s="55"/>
      <c r="U221" s="95" t="str">
        <f t="shared" si="27"/>
        <v/>
      </c>
      <c r="V221" s="95" t="str">
        <f t="shared" si="28"/>
        <v/>
      </c>
      <c r="Z221" s="95">
        <v>46092</v>
      </c>
      <c r="AA221" s="3">
        <v>245.137</v>
      </c>
      <c r="AB221" s="37">
        <v>46092</v>
      </c>
      <c r="AC221" s="3">
        <v>286.94400000000002</v>
      </c>
      <c r="AD221" s="37">
        <f t="shared" si="29"/>
        <v>46092</v>
      </c>
    </row>
    <row r="222" spans="1:30" x14ac:dyDescent="0.25">
      <c r="A222" s="98"/>
      <c r="B222" s="33"/>
      <c r="C222" s="25"/>
      <c r="D222" s="26"/>
      <c r="E222" s="33"/>
      <c r="F222" s="25"/>
      <c r="G222" s="26"/>
      <c r="H222" s="33"/>
      <c r="I222" s="34"/>
      <c r="J222" s="34"/>
      <c r="K222" s="26"/>
      <c r="L222" s="26"/>
      <c r="M222" s="55"/>
      <c r="U222" s="95" t="str">
        <f t="shared" si="27"/>
        <v/>
      </c>
      <c r="V222" s="95" t="str">
        <f t="shared" si="28"/>
        <v/>
      </c>
      <c r="Z222" s="95">
        <v>46093</v>
      </c>
      <c r="AA222" s="3">
        <v>244.11789999999999</v>
      </c>
      <c r="AB222" s="37">
        <v>46093</v>
      </c>
      <c r="AC222" s="3">
        <v>296.94900000000001</v>
      </c>
      <c r="AD222" s="37">
        <f t="shared" si="29"/>
        <v>46093</v>
      </c>
    </row>
    <row r="223" spans="1:30" x14ac:dyDescent="0.25">
      <c r="A223" s="98"/>
      <c r="B223" s="33"/>
      <c r="C223" s="25"/>
      <c r="D223" s="26"/>
      <c r="E223" s="33"/>
      <c r="F223" s="25"/>
      <c r="G223" s="26"/>
      <c r="H223" s="33"/>
      <c r="I223" s="34"/>
      <c r="J223" s="34"/>
      <c r="K223" s="26"/>
      <c r="L223" s="26"/>
      <c r="M223" s="55"/>
      <c r="U223" s="95" t="str">
        <f t="shared" si="27"/>
        <v/>
      </c>
      <c r="V223" s="95" t="str">
        <f t="shared" si="28"/>
        <v/>
      </c>
      <c r="Z223" s="95">
        <v>46094</v>
      </c>
      <c r="AA223" s="3">
        <v>243.1234</v>
      </c>
      <c r="AB223" s="37">
        <v>46094</v>
      </c>
      <c r="AC223" s="3">
        <v>306.91699999999997</v>
      </c>
      <c r="AD223" s="37">
        <f t="shared" si="29"/>
        <v>46094</v>
      </c>
    </row>
    <row r="224" spans="1:30" x14ac:dyDescent="0.25">
      <c r="A224" s="98"/>
      <c r="B224" s="33"/>
      <c r="C224" s="25"/>
      <c r="D224" s="26"/>
      <c r="E224" s="33"/>
      <c r="F224" s="25"/>
      <c r="G224" s="26"/>
      <c r="H224" s="33"/>
      <c r="I224" s="34"/>
      <c r="J224" s="34"/>
      <c r="K224" s="26"/>
      <c r="L224" s="26"/>
      <c r="M224" s="55"/>
      <c r="U224" s="95" t="str">
        <f t="shared" si="27"/>
        <v/>
      </c>
      <c r="V224" s="95" t="str">
        <f t="shared" si="28"/>
        <v/>
      </c>
      <c r="Z224" s="95">
        <v>46097</v>
      </c>
      <c r="AA224" s="3">
        <v>243.46899999999999</v>
      </c>
      <c r="AB224" s="37">
        <v>46097</v>
      </c>
      <c r="AC224" s="3">
        <v>303.91500000000002</v>
      </c>
      <c r="AD224" s="37">
        <f t="shared" si="29"/>
        <v>46097</v>
      </c>
    </row>
    <row r="225" spans="1:30" x14ac:dyDescent="0.25">
      <c r="A225" s="98"/>
      <c r="B225" s="33"/>
      <c r="C225" s="25"/>
      <c r="D225" s="26"/>
      <c r="E225" s="33"/>
      <c r="F225" s="25"/>
      <c r="G225" s="26"/>
      <c r="H225" s="33"/>
      <c r="I225" s="34"/>
      <c r="J225" s="34"/>
      <c r="K225" s="26"/>
      <c r="L225" s="26"/>
      <c r="M225" s="55"/>
      <c r="U225" s="95" t="str">
        <f t="shared" si="27"/>
        <v/>
      </c>
      <c r="V225" s="95" t="str">
        <f t="shared" si="28"/>
        <v/>
      </c>
      <c r="Z225" s="95">
        <v>46098</v>
      </c>
      <c r="AA225" s="3">
        <v>244.42140000000001</v>
      </c>
      <c r="AB225" s="37">
        <v>46098</v>
      </c>
      <c r="AC225" s="3">
        <v>294.67</v>
      </c>
      <c r="AD225" s="37">
        <f t="shared" si="29"/>
        <v>46098</v>
      </c>
    </row>
    <row r="226" spans="1:30" x14ac:dyDescent="0.25">
      <c r="A226" s="98"/>
      <c r="B226" s="33"/>
      <c r="C226" s="25"/>
      <c r="D226" s="26"/>
      <c r="E226" s="33"/>
      <c r="F226" s="25"/>
      <c r="G226" s="26"/>
      <c r="H226" s="33"/>
      <c r="I226" s="34"/>
      <c r="J226" s="34"/>
      <c r="K226" s="26"/>
      <c r="L226" s="26"/>
      <c r="M226" s="55"/>
      <c r="U226" s="95" t="str">
        <f t="shared" si="27"/>
        <v/>
      </c>
      <c r="V226" s="95" t="str">
        <f t="shared" si="28"/>
        <v/>
      </c>
      <c r="Z226" s="95">
        <v>46099</v>
      </c>
      <c r="AA226" s="3">
        <v>244.00810000000001</v>
      </c>
      <c r="AB226" s="37">
        <v>46099</v>
      </c>
      <c r="AC226" s="3">
        <v>298.87400000000002</v>
      </c>
      <c r="AD226" s="37">
        <f t="shared" si="29"/>
        <v>46099</v>
      </c>
    </row>
    <row r="227" spans="1:30" x14ac:dyDescent="0.25">
      <c r="A227" s="98"/>
      <c r="B227" s="33"/>
      <c r="C227" s="25"/>
      <c r="D227" s="26"/>
      <c r="E227" s="33"/>
      <c r="F227" s="25"/>
      <c r="G227" s="26"/>
      <c r="H227" s="33"/>
      <c r="I227" s="34"/>
      <c r="J227" s="34"/>
      <c r="K227" s="26"/>
      <c r="L227" s="26"/>
      <c r="M227" s="55"/>
      <c r="U227" s="95" t="str">
        <f t="shared" si="27"/>
        <v/>
      </c>
      <c r="V227" s="95" t="str">
        <f t="shared" si="28"/>
        <v/>
      </c>
      <c r="Z227" s="95">
        <v>46100</v>
      </c>
      <c r="AA227" s="3">
        <v>242.7533</v>
      </c>
      <c r="AB227" s="37">
        <v>46100</v>
      </c>
      <c r="AC227" s="3">
        <v>310.92399999999998</v>
      </c>
      <c r="AD227" s="37">
        <f t="shared" si="29"/>
        <v>46100</v>
      </c>
    </row>
    <row r="228" spans="1:30" x14ac:dyDescent="0.25">
      <c r="A228" s="98"/>
      <c r="B228" s="33"/>
      <c r="C228" s="25"/>
      <c r="D228" s="26"/>
      <c r="E228" s="33"/>
      <c r="F228" s="25"/>
      <c r="G228" s="26"/>
      <c r="H228" s="33"/>
      <c r="I228" s="34"/>
      <c r="J228" s="34"/>
      <c r="K228" s="26"/>
      <c r="L228" s="26"/>
      <c r="M228" s="55"/>
      <c r="U228" s="95" t="str">
        <f t="shared" si="27"/>
        <v/>
      </c>
      <c r="V228" s="95" t="str">
        <f t="shared" si="28"/>
        <v/>
      </c>
      <c r="Z228" s="95">
        <v>46101</v>
      </c>
      <c r="AA228" s="3">
        <v>241.26779999999999</v>
      </c>
      <c r="AB228" s="37">
        <v>46101</v>
      </c>
      <c r="AC228" s="3">
        <v>349.96800000000002</v>
      </c>
      <c r="AD228" s="37">
        <f t="shared" si="29"/>
        <v>46101</v>
      </c>
    </row>
    <row r="229" spans="1:30" x14ac:dyDescent="0.25">
      <c r="A229" s="98"/>
      <c r="B229" s="33"/>
      <c r="C229" s="25"/>
      <c r="D229" s="26"/>
      <c r="E229" s="33"/>
      <c r="F229" s="25"/>
      <c r="G229" s="26"/>
      <c r="H229" s="33"/>
      <c r="I229" s="34"/>
      <c r="J229" s="34"/>
      <c r="K229" s="26"/>
      <c r="L229" s="26"/>
      <c r="M229" s="55"/>
      <c r="U229" s="95" t="str">
        <f t="shared" si="27"/>
        <v/>
      </c>
      <c r="V229" s="95" t="str">
        <f t="shared" si="28"/>
        <v/>
      </c>
      <c r="Z229" s="95">
        <v>46104</v>
      </c>
      <c r="AA229" s="3">
        <v>242.08969999999999</v>
      </c>
      <c r="AB229" s="37">
        <v>46104</v>
      </c>
      <c r="AC229" s="3">
        <v>341.77300000000002</v>
      </c>
      <c r="AD229" s="37">
        <f t="shared" si="29"/>
        <v>46104</v>
      </c>
    </row>
    <row r="230" spans="1:30" x14ac:dyDescent="0.25">
      <c r="A230" s="98"/>
      <c r="B230" s="33"/>
      <c r="C230" s="25"/>
      <c r="D230" s="26"/>
      <c r="E230" s="33"/>
      <c r="F230" s="25"/>
      <c r="G230" s="26"/>
      <c r="H230" s="33"/>
      <c r="I230" s="34"/>
      <c r="J230" s="34"/>
      <c r="K230" s="26"/>
      <c r="L230" s="26"/>
      <c r="M230" s="55"/>
      <c r="U230" s="95" t="str">
        <f t="shared" si="27"/>
        <v/>
      </c>
      <c r="V230" s="95" t="str">
        <f t="shared" si="28"/>
        <v/>
      </c>
      <c r="Z230" s="95">
        <v>46105</v>
      </c>
      <c r="AA230" s="3">
        <v>242.32900000000001</v>
      </c>
      <c r="AB230" s="37">
        <v>46105</v>
      </c>
      <c r="AC230" s="3">
        <v>342.03300000000002</v>
      </c>
      <c r="AD230" s="37">
        <f t="shared" si="29"/>
        <v>46105</v>
      </c>
    </row>
    <row r="231" spans="1:30" x14ac:dyDescent="0.25">
      <c r="A231" s="98"/>
      <c r="B231" s="33"/>
      <c r="C231" s="25"/>
      <c r="D231" s="26"/>
      <c r="E231" s="33"/>
      <c r="F231" s="25"/>
      <c r="G231" s="26"/>
      <c r="H231" s="33"/>
      <c r="I231" s="34"/>
      <c r="J231" s="34"/>
      <c r="K231" s="26"/>
      <c r="L231" s="26"/>
      <c r="M231" s="55"/>
      <c r="U231" s="95" t="str">
        <f t="shared" si="27"/>
        <v/>
      </c>
      <c r="V231" s="95" t="str">
        <f t="shared" si="28"/>
        <v/>
      </c>
      <c r="Z231" s="95">
        <v>46106</v>
      </c>
      <c r="AA231" s="3">
        <v>243.4736</v>
      </c>
      <c r="AB231" s="37">
        <v>46106</v>
      </c>
      <c r="AC231" s="3">
        <v>330.851</v>
      </c>
      <c r="AD231" s="37">
        <f t="shared" si="29"/>
        <v>46106</v>
      </c>
    </row>
    <row r="232" spans="1:30" x14ac:dyDescent="0.25">
      <c r="A232" s="98"/>
      <c r="B232" s="33"/>
      <c r="C232" s="25"/>
      <c r="D232" s="26"/>
      <c r="E232" s="33"/>
      <c r="F232" s="25"/>
      <c r="G232" s="26"/>
      <c r="H232" s="33"/>
      <c r="I232" s="34"/>
      <c r="J232" s="34"/>
      <c r="K232" s="26"/>
      <c r="L232" s="26"/>
      <c r="M232" s="55"/>
      <c r="U232" s="95" t="str">
        <f t="shared" si="27"/>
        <v/>
      </c>
      <c r="V232" s="95" t="str">
        <f t="shared" si="28"/>
        <v/>
      </c>
      <c r="Z232" s="95">
        <v>46107</v>
      </c>
      <c r="AA232" s="3">
        <v>241.38650000000001</v>
      </c>
      <c r="AB232" s="37">
        <v>46107</v>
      </c>
      <c r="AC232" s="3">
        <v>351.12799999999999</v>
      </c>
      <c r="AD232" s="37">
        <f t="shared" si="29"/>
        <v>46107</v>
      </c>
    </row>
    <row r="233" spans="1:30" x14ac:dyDescent="0.25">
      <c r="A233" s="98"/>
      <c r="B233" s="33"/>
      <c r="C233" s="25"/>
      <c r="D233" s="26"/>
      <c r="E233" s="33"/>
      <c r="F233" s="25"/>
      <c r="G233" s="26"/>
      <c r="H233" s="33"/>
      <c r="I233" s="34"/>
      <c r="J233" s="34"/>
      <c r="K233" s="26"/>
      <c r="L233" s="26"/>
      <c r="M233" s="55"/>
      <c r="U233" s="95" t="str">
        <f t="shared" si="27"/>
        <v/>
      </c>
      <c r="V233" s="95" t="str">
        <f t="shared" si="28"/>
        <v/>
      </c>
      <c r="Z233" s="95">
        <v>46108</v>
      </c>
      <c r="AA233" s="3">
        <v>240.04679999999999</v>
      </c>
      <c r="AB233" s="37">
        <v>46108</v>
      </c>
      <c r="AC233" s="3">
        <v>361.84800000000001</v>
      </c>
      <c r="AD233" s="37">
        <f t="shared" si="29"/>
        <v>46108</v>
      </c>
    </row>
    <row r="234" spans="1:30" x14ac:dyDescent="0.25">
      <c r="A234" s="98"/>
      <c r="B234" s="33"/>
      <c r="C234" s="25"/>
      <c r="D234" s="26"/>
      <c r="E234" s="33"/>
      <c r="F234" s="25"/>
      <c r="G234" s="26"/>
      <c r="H234" s="33"/>
      <c r="I234" s="34"/>
      <c r="J234" s="34"/>
      <c r="K234" s="26"/>
      <c r="L234" s="26"/>
      <c r="M234" s="55"/>
      <c r="U234" s="95" t="str">
        <f t="shared" si="27"/>
        <v/>
      </c>
      <c r="V234" s="95" t="str">
        <f t="shared" si="28"/>
        <v/>
      </c>
      <c r="Z234" s="95">
        <v>46111</v>
      </c>
      <c r="AA234" s="3">
        <v>240.15790000000001</v>
      </c>
      <c r="AB234" s="37">
        <v>46111</v>
      </c>
      <c r="AC234" s="3">
        <v>361.5</v>
      </c>
      <c r="AD234" s="37">
        <f t="shared" si="29"/>
        <v>46111</v>
      </c>
    </row>
    <row r="235" spans="1:30" x14ac:dyDescent="0.25">
      <c r="A235" s="98"/>
      <c r="B235" s="33"/>
      <c r="C235" s="25"/>
      <c r="D235" s="26"/>
      <c r="E235" s="33"/>
      <c r="F235" s="25"/>
      <c r="G235" s="26"/>
      <c r="H235" s="33"/>
      <c r="I235" s="34"/>
      <c r="J235" s="34"/>
      <c r="K235" s="26"/>
      <c r="L235" s="26"/>
      <c r="M235" s="55"/>
      <c r="U235" s="95" t="str">
        <f t="shared" si="27"/>
        <v/>
      </c>
      <c r="V235" s="95" t="str">
        <f t="shared" si="28"/>
        <v/>
      </c>
      <c r="Z235" s="95">
        <v>46112</v>
      </c>
      <c r="AA235" s="3">
        <v>241.21780000000001</v>
      </c>
      <c r="AB235" s="37">
        <v>46112</v>
      </c>
      <c r="AC235" s="3">
        <v>353.01900000000001</v>
      </c>
      <c r="AD235" s="37">
        <f t="shared" si="29"/>
        <v>46112</v>
      </c>
    </row>
    <row r="236" spans="1:30" x14ac:dyDescent="0.25">
      <c r="A236" s="98"/>
      <c r="B236" s="33"/>
      <c r="C236" s="25"/>
      <c r="D236" s="26"/>
      <c r="E236" s="33"/>
      <c r="F236" s="25"/>
      <c r="G236" s="26"/>
      <c r="H236" s="33"/>
      <c r="I236" s="34"/>
      <c r="J236" s="34"/>
      <c r="K236" s="26"/>
      <c r="L236" s="26"/>
      <c r="M236" s="55"/>
      <c r="U236" s="95" t="str">
        <f t="shared" si="27"/>
        <v/>
      </c>
      <c r="V236" s="95" t="str">
        <f t="shared" si="28"/>
        <v/>
      </c>
      <c r="Z236" s="95">
        <v>46113</v>
      </c>
      <c r="AA236" s="3">
        <v>244.02869999999999</v>
      </c>
      <c r="AB236" s="37">
        <v>46113</v>
      </c>
      <c r="AC236" s="3">
        <v>327.18900000000002</v>
      </c>
      <c r="AD236" s="37">
        <f t="shared" si="29"/>
        <v>46113</v>
      </c>
    </row>
    <row r="237" spans="1:30" x14ac:dyDescent="0.25">
      <c r="A237" s="98"/>
      <c r="B237" s="33"/>
      <c r="C237" s="25"/>
      <c r="D237" s="26"/>
      <c r="E237" s="33"/>
      <c r="F237" s="25"/>
      <c r="G237" s="26"/>
      <c r="H237" s="33"/>
      <c r="I237" s="34"/>
      <c r="J237" s="34"/>
      <c r="K237" s="26"/>
      <c r="L237" s="26"/>
      <c r="M237" s="55"/>
      <c r="U237" s="95" t="str">
        <f t="shared" si="27"/>
        <v/>
      </c>
      <c r="V237" s="95" t="str">
        <f t="shared" si="28"/>
        <v/>
      </c>
      <c r="Z237" s="95">
        <v>46114</v>
      </c>
      <c r="AA237" s="3">
        <v>244.23920000000001</v>
      </c>
      <c r="AB237" s="37">
        <v>46114</v>
      </c>
      <c r="AC237" s="3">
        <v>325.447</v>
      </c>
      <c r="AD237" s="37">
        <f t="shared" si="29"/>
        <v>46114</v>
      </c>
    </row>
    <row r="238" spans="1:30" x14ac:dyDescent="0.25">
      <c r="A238" s="98"/>
      <c r="B238" s="33"/>
      <c r="C238" s="25"/>
      <c r="D238" s="26"/>
      <c r="E238" s="33"/>
      <c r="F238" s="25"/>
      <c r="G238" s="26"/>
      <c r="H238" s="33"/>
      <c r="I238" s="34"/>
      <c r="J238" s="34"/>
      <c r="K238" s="26"/>
      <c r="L238" s="26"/>
      <c r="M238" s="55"/>
      <c r="U238" s="95" t="str">
        <f t="shared" si="27"/>
        <v/>
      </c>
      <c r="V238" s="95" t="str">
        <f t="shared" si="28"/>
        <v/>
      </c>
      <c r="Z238" s="95">
        <v>46119</v>
      </c>
      <c r="AA238" s="3">
        <v>243.34200000000001</v>
      </c>
      <c r="AB238" s="37">
        <v>46119</v>
      </c>
      <c r="AC238" s="3">
        <v>335.255</v>
      </c>
      <c r="AD238" s="37">
        <f t="shared" si="29"/>
        <v>46119</v>
      </c>
    </row>
    <row r="239" spans="1:30" x14ac:dyDescent="0.25">
      <c r="A239" s="98"/>
      <c r="B239" s="33"/>
      <c r="C239" s="25"/>
      <c r="D239" s="26"/>
      <c r="E239" s="33"/>
      <c r="F239" s="25"/>
      <c r="G239" s="26"/>
      <c r="H239" s="33"/>
      <c r="I239" s="34"/>
      <c r="J239" s="34"/>
      <c r="K239" s="26"/>
      <c r="L239" s="26"/>
      <c r="M239" s="55"/>
      <c r="U239" s="95" t="str">
        <f t="shared" si="27"/>
        <v/>
      </c>
      <c r="V239" s="95" t="str">
        <f t="shared" si="28"/>
        <v/>
      </c>
      <c r="Z239" s="95">
        <v>46120</v>
      </c>
      <c r="AA239" s="3">
        <v>247.41990000000001</v>
      </c>
      <c r="AB239" s="37">
        <v>46120</v>
      </c>
      <c r="AC239" s="3">
        <v>297.39699999999999</v>
      </c>
      <c r="AD239" s="37">
        <f t="shared" si="29"/>
        <v>46120</v>
      </c>
    </row>
    <row r="240" spans="1:30" x14ac:dyDescent="0.25">
      <c r="A240" s="98"/>
      <c r="B240" s="33"/>
      <c r="C240" s="25"/>
      <c r="D240" s="26"/>
      <c r="E240" s="33"/>
      <c r="F240" s="25"/>
      <c r="G240" s="26"/>
      <c r="H240" s="33"/>
      <c r="I240" s="34"/>
      <c r="J240" s="34"/>
      <c r="K240" s="26"/>
      <c r="L240" s="26"/>
      <c r="M240" s="55"/>
      <c r="U240" s="95" t="str">
        <f t="shared" si="27"/>
        <v/>
      </c>
      <c r="V240" s="95" t="str">
        <f t="shared" si="28"/>
        <v/>
      </c>
      <c r="Z240" s="95">
        <v>46121</v>
      </c>
      <c r="AA240" s="3">
        <v>248.24930000000001</v>
      </c>
      <c r="AB240" s="37">
        <v>46121</v>
      </c>
      <c r="AC240" s="3">
        <v>290.79300000000001</v>
      </c>
      <c r="AD240" s="37">
        <f t="shared" si="29"/>
        <v>46121</v>
      </c>
    </row>
    <row r="241" spans="1:30" x14ac:dyDescent="0.25">
      <c r="A241" s="98"/>
      <c r="B241" s="33"/>
      <c r="C241" s="25"/>
      <c r="D241" s="26"/>
      <c r="E241" s="33"/>
      <c r="F241" s="25"/>
      <c r="G241" s="26"/>
      <c r="H241" s="33"/>
      <c r="I241" s="34"/>
      <c r="J241" s="34"/>
      <c r="K241" s="26"/>
      <c r="L241" s="26"/>
      <c r="M241" s="55"/>
      <c r="U241" s="95" t="str">
        <f t="shared" si="27"/>
        <v/>
      </c>
      <c r="V241" s="95" t="str">
        <f t="shared" si="28"/>
        <v/>
      </c>
      <c r="Z241" s="95">
        <v>46122</v>
      </c>
      <c r="AA241" s="3">
        <v>248.2782</v>
      </c>
      <c r="AB241" s="37">
        <v>46122</v>
      </c>
      <c r="AC241" s="3">
        <v>294.03300000000002</v>
      </c>
      <c r="AD241" s="37">
        <f t="shared" si="29"/>
        <v>46122</v>
      </c>
    </row>
    <row r="242" spans="1:30" x14ac:dyDescent="0.25">
      <c r="A242" s="98"/>
      <c r="B242" s="33"/>
      <c r="C242" s="25"/>
      <c r="D242" s="26"/>
      <c r="E242" s="33"/>
      <c r="F242" s="25"/>
      <c r="G242" s="26"/>
      <c r="H242" s="33"/>
      <c r="I242" s="34"/>
      <c r="J242" s="34"/>
      <c r="K242" s="26"/>
      <c r="L242" s="26"/>
      <c r="M242" s="55"/>
      <c r="U242" s="95" t="str">
        <f t="shared" si="27"/>
        <v/>
      </c>
      <c r="V242" s="95" t="str">
        <f t="shared" si="28"/>
        <v/>
      </c>
      <c r="Z242" s="95">
        <v>46125</v>
      </c>
      <c r="AA242" s="3">
        <v>248.03890000000001</v>
      </c>
      <c r="AB242" s="37">
        <v>46125</v>
      </c>
      <c r="AC242" s="3">
        <v>295.34500000000003</v>
      </c>
      <c r="AD242" s="37">
        <f t="shared" si="29"/>
        <v>46125</v>
      </c>
    </row>
    <row r="243" spans="1:30" x14ac:dyDescent="0.25">
      <c r="A243" s="98"/>
      <c r="B243" s="33"/>
      <c r="C243" s="25"/>
      <c r="D243" s="26"/>
      <c r="E243" s="33"/>
      <c r="F243" s="25"/>
      <c r="G243" s="26"/>
      <c r="H243" s="33"/>
      <c r="I243" s="34"/>
      <c r="J243" s="34"/>
      <c r="K243" s="26"/>
      <c r="L243" s="26"/>
      <c r="M243" s="55"/>
      <c r="U243" s="95" t="str">
        <f t="shared" si="27"/>
        <v/>
      </c>
      <c r="V243" s="95" t="str">
        <f t="shared" si="28"/>
        <v/>
      </c>
      <c r="Z243" s="95">
        <v>46126</v>
      </c>
      <c r="AA243" s="3">
        <v>249.5992</v>
      </c>
      <c r="AB243" s="37">
        <v>46126</v>
      </c>
      <c r="AC243" s="3">
        <v>281.303</v>
      </c>
      <c r="AD243" s="37">
        <f t="shared" si="29"/>
        <v>46126</v>
      </c>
    </row>
    <row r="244" spans="1:30" x14ac:dyDescent="0.25">
      <c r="A244" s="98"/>
      <c r="B244" s="33"/>
      <c r="C244" s="25"/>
      <c r="D244" s="26"/>
      <c r="E244" s="33"/>
      <c r="F244" s="25"/>
      <c r="G244" s="26"/>
      <c r="H244" s="33"/>
      <c r="I244" s="34"/>
      <c r="J244" s="34"/>
      <c r="K244" s="26"/>
      <c r="L244" s="26"/>
      <c r="M244" s="55"/>
      <c r="U244" s="95" t="str">
        <f t="shared" si="27"/>
        <v/>
      </c>
      <c r="V244" s="95" t="str">
        <f t="shared" si="28"/>
        <v/>
      </c>
      <c r="Z244" s="95">
        <v>46127</v>
      </c>
      <c r="AA244" s="3">
        <v>249.53909999999999</v>
      </c>
      <c r="AB244" s="37">
        <v>46127</v>
      </c>
      <c r="AC244" s="3">
        <v>283.45699999999999</v>
      </c>
      <c r="AD244" s="37">
        <f t="shared" si="29"/>
        <v>46127</v>
      </c>
    </row>
    <row r="245" spans="1:30" x14ac:dyDescent="0.25">
      <c r="A245" s="98"/>
      <c r="B245" s="33"/>
      <c r="C245" s="25"/>
      <c r="D245" s="26"/>
      <c r="E245" s="33"/>
      <c r="F245" s="25"/>
      <c r="G245" s="26"/>
      <c r="H245" s="33"/>
      <c r="I245" s="34"/>
      <c r="J245" s="34"/>
      <c r="K245" s="26"/>
      <c r="L245" s="26"/>
      <c r="M245" s="55"/>
      <c r="U245" s="95" t="str">
        <f t="shared" si="27"/>
        <v/>
      </c>
      <c r="V245" s="95" t="str">
        <f t="shared" si="28"/>
        <v/>
      </c>
      <c r="Z245" s="95">
        <v>46128</v>
      </c>
      <c r="AA245" s="3">
        <v>249.1765</v>
      </c>
      <c r="AB245" s="37">
        <v>46128</v>
      </c>
      <c r="AC245" s="3">
        <v>287.08800000000002</v>
      </c>
      <c r="AD245" s="37">
        <f t="shared" si="29"/>
        <v>46128</v>
      </c>
    </row>
    <row r="246" spans="1:30" x14ac:dyDescent="0.25">
      <c r="A246" s="98"/>
      <c r="B246" s="33"/>
      <c r="C246" s="25"/>
      <c r="D246" s="26"/>
      <c r="E246" s="33"/>
      <c r="F246" s="25"/>
      <c r="G246" s="26"/>
      <c r="H246" s="33"/>
      <c r="I246" s="34"/>
      <c r="J246" s="34"/>
      <c r="K246" s="26"/>
      <c r="L246" s="26"/>
      <c r="M246" s="55"/>
      <c r="U246" s="95" t="str">
        <f t="shared" si="27"/>
        <v/>
      </c>
      <c r="V246" s="95" t="str">
        <f t="shared" si="28"/>
        <v/>
      </c>
      <c r="Z246" s="95">
        <v>46129</v>
      </c>
      <c r="AA246" s="3">
        <v>250.45760000000001</v>
      </c>
      <c r="AB246" s="37">
        <v>46129</v>
      </c>
      <c r="AC246" s="3">
        <v>275.86700000000002</v>
      </c>
      <c r="AD246" s="37">
        <f t="shared" si="29"/>
        <v>46129</v>
      </c>
    </row>
    <row r="247" spans="1:30" x14ac:dyDescent="0.25">
      <c r="A247" s="98"/>
      <c r="B247" s="33"/>
      <c r="C247" s="25"/>
      <c r="D247" s="26"/>
      <c r="E247" s="33"/>
      <c r="F247" s="25"/>
      <c r="G247" s="26"/>
      <c r="H247" s="33"/>
      <c r="I247" s="34"/>
      <c r="J247" s="34"/>
      <c r="K247" s="26"/>
      <c r="L247" s="26"/>
      <c r="M247" s="55"/>
      <c r="U247" s="95" t="str">
        <f t="shared" si="27"/>
        <v/>
      </c>
      <c r="V247" s="95" t="str">
        <f t="shared" si="28"/>
        <v/>
      </c>
      <c r="Z247" s="95">
        <v>46132</v>
      </c>
      <c r="AA247" s="3">
        <v>250.11789999999999</v>
      </c>
      <c r="AB247" s="37">
        <v>46132</v>
      </c>
      <c r="AC247" s="3">
        <v>279.73</v>
      </c>
      <c r="AD247" s="37">
        <f t="shared" si="29"/>
        <v>46132</v>
      </c>
    </row>
    <row r="248" spans="1:30" x14ac:dyDescent="0.25">
      <c r="A248" s="98"/>
      <c r="B248" s="33"/>
      <c r="C248" s="25"/>
      <c r="D248" s="26"/>
      <c r="E248" s="33"/>
      <c r="F248" s="25"/>
      <c r="G248" s="26"/>
      <c r="H248" s="33"/>
      <c r="I248" s="34"/>
      <c r="J248" s="34"/>
      <c r="K248" s="26"/>
      <c r="L248" s="26"/>
      <c r="M248" s="55"/>
      <c r="U248" s="95" t="str">
        <f t="shared" si="27"/>
        <v/>
      </c>
      <c r="V248" s="95" t="str">
        <f t="shared" si="28"/>
        <v/>
      </c>
      <c r="Z248" s="95">
        <v>46133</v>
      </c>
      <c r="AA248" s="3">
        <v>249.51689999999999</v>
      </c>
      <c r="AB248" s="37">
        <v>46133</v>
      </c>
      <c r="AC248" s="3">
        <v>285.02300000000002</v>
      </c>
      <c r="AD248" s="37">
        <f t="shared" si="29"/>
        <v>46133</v>
      </c>
    </row>
    <row r="249" spans="1:30" x14ac:dyDescent="0.25">
      <c r="A249" s="98"/>
      <c r="B249" s="33"/>
      <c r="C249" s="25"/>
      <c r="D249" s="26"/>
      <c r="E249" s="33"/>
      <c r="F249" s="25"/>
      <c r="G249" s="26"/>
      <c r="H249" s="33"/>
      <c r="I249" s="34"/>
      <c r="J249" s="34"/>
      <c r="K249" s="26"/>
      <c r="L249" s="26"/>
      <c r="M249" s="55"/>
      <c r="U249" s="95" t="str">
        <f t="shared" si="27"/>
        <v/>
      </c>
      <c r="V249" s="95" t="str">
        <f t="shared" si="28"/>
        <v/>
      </c>
      <c r="Z249" s="95">
        <v>46134</v>
      </c>
      <c r="AA249" s="3">
        <v>249.46960000000001</v>
      </c>
      <c r="AB249" s="37">
        <v>46134</v>
      </c>
      <c r="AC249" s="3">
        <v>285.94499999999999</v>
      </c>
      <c r="AD249" s="37">
        <f t="shared" si="29"/>
        <v>46134</v>
      </c>
    </row>
    <row r="250" spans="1:30" x14ac:dyDescent="0.25">
      <c r="A250" s="98"/>
      <c r="B250" s="33"/>
      <c r="C250" s="25"/>
      <c r="D250" s="26"/>
      <c r="E250" s="33"/>
      <c r="F250" s="25"/>
      <c r="G250" s="26"/>
      <c r="H250" s="33"/>
      <c r="I250" s="34"/>
      <c r="J250" s="34"/>
      <c r="K250" s="26"/>
      <c r="L250" s="26"/>
      <c r="M250" s="55"/>
      <c r="U250" s="95" t="str">
        <f t="shared" si="27"/>
        <v/>
      </c>
      <c r="V250" s="95" t="str">
        <f t="shared" si="28"/>
        <v/>
      </c>
      <c r="Z250" s="95">
        <v>46135</v>
      </c>
      <c r="AA250" s="3">
        <v>249.30770000000001</v>
      </c>
      <c r="AB250" s="37">
        <v>46135</v>
      </c>
      <c r="AC250" s="3">
        <v>288.49599999999998</v>
      </c>
      <c r="AD250" s="37">
        <f t="shared" si="29"/>
        <v>46135</v>
      </c>
    </row>
    <row r="251" spans="1:30" x14ac:dyDescent="0.25">
      <c r="A251" s="98"/>
      <c r="B251" s="33"/>
      <c r="C251" s="25"/>
      <c r="D251" s="26"/>
      <c r="E251" s="33"/>
      <c r="F251" s="25"/>
      <c r="G251" s="26"/>
      <c r="H251" s="33"/>
      <c r="I251" s="34"/>
      <c r="J251" s="34"/>
      <c r="K251" s="26"/>
      <c r="L251" s="26"/>
      <c r="M251" s="55"/>
      <c r="U251" s="95" t="str">
        <f t="shared" si="27"/>
        <v/>
      </c>
      <c r="V251" s="95" t="str">
        <f t="shared" si="28"/>
        <v/>
      </c>
      <c r="Z251" s="95">
        <v>46136</v>
      </c>
      <c r="AA251" s="3">
        <v>249.20050000000001</v>
      </c>
      <c r="AB251" s="37">
        <v>46136</v>
      </c>
      <c r="AC251" s="3">
        <v>287.25799999999998</v>
      </c>
      <c r="AD251" s="37">
        <f t="shared" si="29"/>
        <v>46136</v>
      </c>
    </row>
    <row r="252" spans="1:30" x14ac:dyDescent="0.25">
      <c r="A252" s="98"/>
      <c r="B252" s="33"/>
      <c r="C252" s="25"/>
      <c r="D252" s="26"/>
      <c r="E252" s="33"/>
      <c r="F252" s="25"/>
      <c r="G252" s="26"/>
      <c r="H252" s="33"/>
      <c r="I252" s="34"/>
      <c r="J252" s="34"/>
      <c r="K252" s="26"/>
      <c r="L252" s="26"/>
      <c r="M252" s="55"/>
      <c r="U252" s="95" t="str">
        <f t="shared" si="27"/>
        <v/>
      </c>
      <c r="V252" s="95" t="str">
        <f t="shared" si="28"/>
        <v/>
      </c>
      <c r="Z252" s="95">
        <v>46139</v>
      </c>
      <c r="AA252" s="3">
        <v>249.10599999999999</v>
      </c>
      <c r="AB252" s="37">
        <v>46139</v>
      </c>
      <c r="AC252" s="3">
        <v>288.53300000000002</v>
      </c>
      <c r="AD252" s="37">
        <f t="shared" si="29"/>
        <v>46139</v>
      </c>
    </row>
    <row r="253" spans="1:30" x14ac:dyDescent="0.25">
      <c r="A253" s="98"/>
      <c r="B253" s="33"/>
      <c r="C253" s="25"/>
      <c r="D253" s="26"/>
      <c r="E253" s="33"/>
      <c r="F253" s="25"/>
      <c r="G253" s="26"/>
      <c r="H253" s="33"/>
      <c r="I253" s="34"/>
      <c r="J253" s="34"/>
      <c r="K253" s="26"/>
      <c r="L253" s="26"/>
      <c r="M253" s="55"/>
      <c r="U253" s="95" t="str">
        <f t="shared" si="27"/>
        <v/>
      </c>
      <c r="V253" s="95" t="str">
        <f t="shared" si="28"/>
        <v/>
      </c>
      <c r="Z253" s="95">
        <v>46140</v>
      </c>
      <c r="AA253" s="3">
        <v>248.827</v>
      </c>
      <c r="AB253" s="37">
        <v>46140</v>
      </c>
      <c r="AC253" s="3">
        <v>292.154</v>
      </c>
      <c r="AD253" s="37">
        <f t="shared" si="29"/>
        <v>46140</v>
      </c>
    </row>
    <row r="254" spans="1:30" x14ac:dyDescent="0.25">
      <c r="A254" s="98"/>
      <c r="B254" s="33"/>
      <c r="C254" s="25"/>
      <c r="D254" s="26"/>
      <c r="E254" s="33"/>
      <c r="F254" s="25"/>
      <c r="G254" s="26"/>
      <c r="H254" s="33"/>
      <c r="I254" s="34"/>
      <c r="J254" s="34"/>
      <c r="K254" s="26"/>
      <c r="L254" s="26"/>
      <c r="M254" s="55"/>
      <c r="U254" s="95" t="str">
        <f t="shared" si="27"/>
        <v/>
      </c>
      <c r="V254" s="95" t="str">
        <f t="shared" si="28"/>
        <v/>
      </c>
      <c r="Z254" s="95">
        <v>46141</v>
      </c>
      <c r="AA254" s="3">
        <v>248.28469999999999</v>
      </c>
      <c r="AB254" s="37">
        <v>46141</v>
      </c>
      <c r="AC254" s="3">
        <v>297.69</v>
      </c>
      <c r="AD254" s="37">
        <f t="shared" si="29"/>
        <v>46141</v>
      </c>
    </row>
    <row r="255" spans="1:30" x14ac:dyDescent="0.25">
      <c r="A255" s="98"/>
      <c r="B255" s="33"/>
      <c r="C255" s="25"/>
      <c r="D255" s="26"/>
      <c r="E255" s="33"/>
      <c r="F255" s="25"/>
      <c r="G255" s="26"/>
      <c r="H255" s="33"/>
      <c r="I255" s="34"/>
      <c r="J255" s="34"/>
      <c r="K255" s="26"/>
      <c r="L255" s="26"/>
      <c r="M255" s="55"/>
      <c r="U255" s="95" t="str">
        <f t="shared" si="27"/>
        <v/>
      </c>
      <c r="V255" s="95" t="str">
        <f t="shared" si="28"/>
        <v/>
      </c>
      <c r="Z255" s="95">
        <v>46142</v>
      </c>
      <c r="AA255" s="3">
        <v>248.685</v>
      </c>
      <c r="AB255" s="37">
        <v>46142</v>
      </c>
      <c r="AC255" s="3">
        <v>292.53100000000001</v>
      </c>
      <c r="AD255" s="37">
        <f t="shared" si="29"/>
        <v>46142</v>
      </c>
    </row>
    <row r="256" spans="1:30" x14ac:dyDescent="0.25">
      <c r="A256" s="98"/>
      <c r="B256" s="33"/>
      <c r="C256" s="25"/>
      <c r="D256" s="26"/>
      <c r="E256" s="33"/>
      <c r="F256" s="25"/>
      <c r="G256" s="26"/>
      <c r="H256" s="33"/>
      <c r="I256" s="34"/>
      <c r="J256" s="34"/>
      <c r="K256" s="26"/>
      <c r="L256" s="26"/>
      <c r="M256" s="55"/>
      <c r="U256" s="95" t="str">
        <f t="shared" si="27"/>
        <v/>
      </c>
      <c r="V256" s="95" t="str">
        <f t="shared" si="28"/>
        <v/>
      </c>
      <c r="Z256" s="95">
        <v>46143</v>
      </c>
      <c r="AA256" s="3">
        <v>249.75620000000001</v>
      </c>
      <c r="AB256" s="37">
        <v>46143</v>
      </c>
      <c r="AC256" s="3">
        <v>284.60300000000001</v>
      </c>
      <c r="AD256" s="37">
        <f t="shared" si="29"/>
        <v>46143</v>
      </c>
    </row>
    <row r="257" spans="1:30" x14ac:dyDescent="0.25">
      <c r="A257" s="98"/>
      <c r="B257" s="33"/>
      <c r="C257" s="25"/>
      <c r="D257" s="26"/>
      <c r="E257" s="33"/>
      <c r="F257" s="25"/>
      <c r="G257" s="26"/>
      <c r="H257" s="33"/>
      <c r="I257" s="34"/>
      <c r="J257" s="34"/>
      <c r="K257" s="26"/>
      <c r="L257" s="26"/>
      <c r="M257" s="55"/>
      <c r="U257" s="95" t="str">
        <f t="shared" si="27"/>
        <v/>
      </c>
      <c r="V257" s="95" t="str">
        <f t="shared" si="28"/>
        <v/>
      </c>
      <c r="Z257" s="95">
        <v>46147</v>
      </c>
      <c r="AA257" s="3">
        <v>249.4753</v>
      </c>
      <c r="AB257" s="37">
        <v>46147</v>
      </c>
      <c r="AC257" s="3">
        <v>287.411</v>
      </c>
      <c r="AD257" s="37">
        <f t="shared" si="29"/>
        <v>46147</v>
      </c>
    </row>
    <row r="258" spans="1:30" x14ac:dyDescent="0.25">
      <c r="A258" s="98"/>
      <c r="B258" s="33"/>
      <c r="C258" s="25"/>
      <c r="D258" s="26"/>
      <c r="E258" s="33"/>
      <c r="F258" s="25"/>
      <c r="G258" s="26"/>
      <c r="H258" s="33"/>
      <c r="I258" s="34"/>
      <c r="J258" s="34"/>
      <c r="K258" s="26"/>
      <c r="L258" s="26"/>
      <c r="M258" s="55"/>
      <c r="U258" s="95" t="str">
        <f t="shared" si="27"/>
        <v/>
      </c>
      <c r="V258" s="95" t="str">
        <f t="shared" si="28"/>
        <v/>
      </c>
      <c r="Z258" s="95">
        <v>46148</v>
      </c>
      <c r="AA258" s="3">
        <v>250.94749999999999</v>
      </c>
      <c r="AB258" s="37">
        <v>46148</v>
      </c>
      <c r="AC258" s="3">
        <v>275.23200000000003</v>
      </c>
      <c r="AD258" s="37">
        <f t="shared" si="29"/>
        <v>46148</v>
      </c>
    </row>
    <row r="259" spans="1:30" x14ac:dyDescent="0.25">
      <c r="A259" s="98"/>
      <c r="B259" s="33"/>
      <c r="C259" s="25"/>
      <c r="D259" s="26"/>
      <c r="E259" s="33"/>
      <c r="F259" s="25"/>
      <c r="G259" s="26"/>
      <c r="H259" s="33"/>
      <c r="I259" s="34"/>
      <c r="J259" s="34"/>
      <c r="K259" s="26"/>
      <c r="L259" s="26"/>
      <c r="M259" s="55"/>
      <c r="U259" s="95" t="str">
        <f t="shared" si="27"/>
        <v/>
      </c>
      <c r="V259" s="95" t="str">
        <f t="shared" si="28"/>
        <v/>
      </c>
      <c r="Z259" s="95">
        <v>46149</v>
      </c>
      <c r="AA259" s="3">
        <v>250.63929999999999</v>
      </c>
      <c r="AB259" s="37">
        <v>46149</v>
      </c>
      <c r="AC259" s="3">
        <v>278.976</v>
      </c>
      <c r="AD259" s="37">
        <f t="shared" si="29"/>
        <v>46149</v>
      </c>
    </row>
    <row r="260" spans="1:30" x14ac:dyDescent="0.25">
      <c r="A260" s="98"/>
      <c r="B260" s="33"/>
      <c r="C260" s="25"/>
      <c r="D260" s="26"/>
      <c r="E260" s="33"/>
      <c r="F260" s="25"/>
      <c r="G260" s="26"/>
      <c r="H260" s="33"/>
      <c r="I260" s="34"/>
      <c r="J260" s="34"/>
      <c r="K260" s="26"/>
      <c r="L260" s="26"/>
      <c r="M260" s="55"/>
      <c r="U260" s="95" t="str">
        <f t="shared" ref="U260:U323" si="30">IF(COUNTIF(Q:Q,O260)*COUNTIF(S:S,O260),O260,"")</f>
        <v/>
      </c>
      <c r="V260" s="95" t="str">
        <f t="shared" ref="V260:V323" si="31">IF(U260&gt;$A$14,U260,"")</f>
        <v/>
      </c>
      <c r="Z260" s="95">
        <v>46150</v>
      </c>
      <c r="AA260" s="3">
        <v>250.6848</v>
      </c>
      <c r="AB260" s="37">
        <v>46150</v>
      </c>
      <c r="AC260" s="3">
        <v>277.91800000000001</v>
      </c>
      <c r="AD260" s="37">
        <f t="shared" ref="AD260:AD323" si="32">IF(COUNTIF(AB:AB,Z260),Z260,"")</f>
        <v>46150</v>
      </c>
    </row>
    <row r="261" spans="1:30" x14ac:dyDescent="0.25">
      <c r="A261" s="98"/>
      <c r="B261" s="33"/>
      <c r="C261" s="25"/>
      <c r="D261" s="26"/>
      <c r="E261" s="33"/>
      <c r="F261" s="25"/>
      <c r="G261" s="26"/>
      <c r="H261" s="33"/>
      <c r="I261" s="34"/>
      <c r="J261" s="34"/>
      <c r="K261" s="26"/>
      <c r="L261" s="26"/>
      <c r="M261" s="55"/>
      <c r="U261" s="95" t="str">
        <f t="shared" si="30"/>
        <v/>
      </c>
      <c r="V261" s="95" t="str">
        <f t="shared" si="31"/>
        <v/>
      </c>
      <c r="Z261" s="95">
        <v>46153</v>
      </c>
      <c r="AA261" s="3">
        <v>250.97389999999999</v>
      </c>
      <c r="AB261" s="37">
        <v>46153</v>
      </c>
      <c r="AC261" s="3">
        <v>276.47399999999999</v>
      </c>
      <c r="AD261" s="37">
        <f t="shared" si="32"/>
        <v>46153</v>
      </c>
    </row>
    <row r="262" spans="1:30" x14ac:dyDescent="0.25">
      <c r="A262" s="98"/>
      <c r="B262" s="33"/>
      <c r="C262" s="25"/>
      <c r="D262" s="26"/>
      <c r="E262" s="33"/>
      <c r="F262" s="25"/>
      <c r="G262" s="26"/>
      <c r="H262" s="33"/>
      <c r="I262" s="34"/>
      <c r="J262" s="34"/>
      <c r="K262" s="26"/>
      <c r="L262" s="26"/>
      <c r="M262" s="55"/>
      <c r="U262" s="95" t="str">
        <f t="shared" si="30"/>
        <v/>
      </c>
      <c r="V262" s="95" t="str">
        <f t="shared" si="31"/>
        <v/>
      </c>
      <c r="Z262" s="95">
        <v>46154</v>
      </c>
      <c r="AA262" s="3">
        <v>250.0761</v>
      </c>
      <c r="AB262" s="37">
        <v>46154</v>
      </c>
      <c r="AC262" s="3">
        <v>284.12599999999998</v>
      </c>
      <c r="AD262" s="37">
        <f t="shared" si="32"/>
        <v>46154</v>
      </c>
    </row>
    <row r="263" spans="1:30" x14ac:dyDescent="0.25">
      <c r="A263" s="98"/>
      <c r="B263" s="33"/>
      <c r="C263" s="25"/>
      <c r="D263" s="26"/>
      <c r="E263" s="33"/>
      <c r="F263" s="25"/>
      <c r="G263" s="26"/>
      <c r="H263" s="33"/>
      <c r="I263" s="34"/>
      <c r="J263" s="34"/>
      <c r="K263" s="26"/>
      <c r="L263" s="26"/>
      <c r="M263" s="55"/>
      <c r="U263" s="95" t="str">
        <f t="shared" si="30"/>
        <v/>
      </c>
      <c r="V263" s="95" t="str">
        <f t="shared" si="31"/>
        <v/>
      </c>
      <c r="Z263" s="95">
        <v>46155</v>
      </c>
      <c r="AA263" s="3">
        <v>250.61799999999999</v>
      </c>
      <c r="AB263" s="37">
        <v>46155</v>
      </c>
      <c r="AC263" s="3">
        <v>278.68400000000003</v>
      </c>
      <c r="AD263" s="37">
        <f t="shared" si="32"/>
        <v>46155</v>
      </c>
    </row>
    <row r="264" spans="1:30" x14ac:dyDescent="0.25">
      <c r="A264" s="98"/>
      <c r="B264" s="33"/>
      <c r="C264" s="25"/>
      <c r="D264" s="26"/>
      <c r="E264" s="33"/>
      <c r="F264" s="25"/>
      <c r="G264" s="26"/>
      <c r="H264" s="33"/>
      <c r="I264" s="34"/>
      <c r="J264" s="34"/>
      <c r="K264" s="26"/>
      <c r="L264" s="26"/>
      <c r="M264" s="55"/>
      <c r="U264" s="95" t="str">
        <f t="shared" si="30"/>
        <v/>
      </c>
      <c r="V264" s="95" t="str">
        <f t="shared" si="31"/>
        <v/>
      </c>
      <c r="Z264" s="95">
        <v>46156</v>
      </c>
      <c r="AA264" s="3">
        <v>251.22890000000001</v>
      </c>
      <c r="AB264" s="37">
        <v>46156</v>
      </c>
      <c r="AC264" s="3">
        <v>273.61</v>
      </c>
      <c r="AD264" s="37">
        <f t="shared" si="32"/>
        <v>46156</v>
      </c>
    </row>
    <row r="265" spans="1:30" x14ac:dyDescent="0.25">
      <c r="A265" s="98"/>
      <c r="B265" s="33"/>
      <c r="C265" s="25"/>
      <c r="D265" s="26"/>
      <c r="E265" s="33"/>
      <c r="F265" s="25"/>
      <c r="G265" s="26"/>
      <c r="H265" s="33"/>
      <c r="I265" s="34"/>
      <c r="J265" s="34"/>
      <c r="K265" s="26"/>
      <c r="L265" s="26"/>
      <c r="M265" s="55"/>
      <c r="U265" s="95" t="str">
        <f t="shared" si="30"/>
        <v/>
      </c>
      <c r="V265" s="95" t="str">
        <f t="shared" si="31"/>
        <v/>
      </c>
      <c r="Z265" s="95">
        <v>46157</v>
      </c>
      <c r="AA265" s="3">
        <v>250.38300000000001</v>
      </c>
      <c r="AB265" s="37">
        <v>46157</v>
      </c>
      <c r="AC265" s="3">
        <v>282.07</v>
      </c>
      <c r="AD265" s="37">
        <f t="shared" si="32"/>
        <v>46157</v>
      </c>
    </row>
    <row r="266" spans="1:30" x14ac:dyDescent="0.25">
      <c r="A266" s="98"/>
      <c r="B266" s="33"/>
      <c r="C266" s="25"/>
      <c r="D266" s="26"/>
      <c r="E266" s="33"/>
      <c r="F266" s="25"/>
      <c r="G266" s="26"/>
      <c r="H266" s="33"/>
      <c r="I266" s="34"/>
      <c r="J266" s="34"/>
      <c r="K266" s="26"/>
      <c r="L266" s="26"/>
      <c r="M266" s="55"/>
      <c r="U266" s="95" t="str">
        <f t="shared" si="30"/>
        <v/>
      </c>
      <c r="V266" s="95" t="str">
        <f t="shared" si="31"/>
        <v/>
      </c>
      <c r="Z266" s="95">
        <v>46160</v>
      </c>
      <c r="AA266" s="3">
        <v>250.5284</v>
      </c>
      <c r="AB266" s="37">
        <v>46160</v>
      </c>
      <c r="AC266" s="3">
        <v>280.35000000000002</v>
      </c>
      <c r="AD266" s="37">
        <f t="shared" si="32"/>
        <v>46160</v>
      </c>
    </row>
    <row r="267" spans="1:30" x14ac:dyDescent="0.25">
      <c r="A267" s="98"/>
      <c r="B267" s="33"/>
      <c r="C267" s="25"/>
      <c r="D267" s="26"/>
      <c r="E267" s="33"/>
      <c r="F267" s="25"/>
      <c r="G267" s="26"/>
      <c r="H267" s="33"/>
      <c r="I267" s="34"/>
      <c r="J267" s="34"/>
      <c r="K267" s="26"/>
      <c r="L267" s="26"/>
      <c r="M267" s="55"/>
      <c r="U267" s="95" t="str">
        <f t="shared" si="30"/>
        <v/>
      </c>
      <c r="V267" s="95" t="str">
        <f t="shared" si="31"/>
        <v/>
      </c>
      <c r="Z267" s="95">
        <v>46161</v>
      </c>
      <c r="AA267" s="3">
        <v>249.98050000000001</v>
      </c>
      <c r="AB267" s="37">
        <v>46161</v>
      </c>
      <c r="AC267" s="3">
        <v>285.892</v>
      </c>
      <c r="AD267" s="37">
        <f t="shared" si="32"/>
        <v>46161</v>
      </c>
    </row>
    <row r="268" spans="1:30" x14ac:dyDescent="0.25">
      <c r="A268" s="98"/>
      <c r="B268" s="33"/>
      <c r="C268" s="25"/>
      <c r="D268" s="26"/>
      <c r="E268" s="33"/>
      <c r="F268" s="25"/>
      <c r="G268" s="26"/>
      <c r="H268" s="33"/>
      <c r="I268" s="34"/>
      <c r="J268" s="34"/>
      <c r="K268" s="26"/>
      <c r="L268" s="26"/>
      <c r="M268" s="55"/>
      <c r="U268" s="95" t="str">
        <f t="shared" si="30"/>
        <v/>
      </c>
      <c r="V268" s="95" t="str">
        <f t="shared" si="31"/>
        <v/>
      </c>
      <c r="Z268" s="95">
        <v>46162</v>
      </c>
      <c r="AA268" s="3">
        <v>251.0129</v>
      </c>
      <c r="AB268" s="37">
        <v>46162</v>
      </c>
      <c r="AC268" s="3">
        <v>276.52</v>
      </c>
      <c r="AD268" s="37">
        <f t="shared" si="32"/>
        <v>46162</v>
      </c>
    </row>
    <row r="269" spans="1:30" x14ac:dyDescent="0.25">
      <c r="A269" s="98"/>
      <c r="B269" s="33"/>
      <c r="C269" s="25"/>
      <c r="D269" s="26"/>
      <c r="E269" s="33"/>
      <c r="F269" s="25"/>
      <c r="G269" s="26"/>
      <c r="H269" s="33"/>
      <c r="I269" s="34"/>
      <c r="J269" s="34"/>
      <c r="K269" s="26"/>
      <c r="L269" s="26"/>
      <c r="M269" s="55"/>
      <c r="U269" s="95" t="str">
        <f t="shared" si="30"/>
        <v/>
      </c>
      <c r="V269" s="95" t="str">
        <f t="shared" si="31"/>
        <v/>
      </c>
      <c r="Z269" s="95">
        <v>46163</v>
      </c>
      <c r="AA269" s="3">
        <v>250.6669</v>
      </c>
      <c r="AB269" s="37">
        <v>46163</v>
      </c>
      <c r="AC269" s="3">
        <v>279.66300000000001</v>
      </c>
      <c r="AD269" s="37">
        <f t="shared" si="32"/>
        <v>46163</v>
      </c>
    </row>
    <row r="270" spans="1:30" x14ac:dyDescent="0.25">
      <c r="A270" s="98"/>
      <c r="B270" s="33"/>
      <c r="C270" s="25"/>
      <c r="D270" s="26"/>
      <c r="E270" s="33"/>
      <c r="F270" s="25"/>
      <c r="G270" s="26"/>
      <c r="H270" s="33"/>
      <c r="I270" s="34"/>
      <c r="J270" s="34"/>
      <c r="K270" s="26"/>
      <c r="L270" s="26"/>
      <c r="M270" s="55"/>
      <c r="U270" s="95" t="str">
        <f t="shared" si="30"/>
        <v/>
      </c>
      <c r="V270" s="95" t="str">
        <f t="shared" si="31"/>
        <v/>
      </c>
      <c r="Z270" s="95">
        <v>46164</v>
      </c>
      <c r="AA270" s="3">
        <v>251.4649</v>
      </c>
      <c r="AB270" s="37">
        <v>46164</v>
      </c>
      <c r="AC270" s="3">
        <v>273.38799999999998</v>
      </c>
      <c r="AD270" s="37">
        <f t="shared" si="32"/>
        <v>46164</v>
      </c>
    </row>
    <row r="271" spans="1:30" x14ac:dyDescent="0.25">
      <c r="A271" s="98"/>
      <c r="B271" s="33"/>
      <c r="C271" s="25"/>
      <c r="D271" s="26"/>
      <c r="E271" s="33"/>
      <c r="F271" s="25"/>
      <c r="G271" s="26"/>
      <c r="H271" s="33"/>
      <c r="I271" s="34"/>
      <c r="J271" s="34"/>
      <c r="K271" s="26"/>
      <c r="L271" s="26"/>
      <c r="M271" s="55"/>
      <c r="U271" s="95" t="str">
        <f t="shared" si="30"/>
        <v/>
      </c>
      <c r="V271" s="95" t="str">
        <f t="shared" si="31"/>
        <v/>
      </c>
      <c r="Z271" s="95">
        <v>46168</v>
      </c>
      <c r="AA271" s="3">
        <v>252.1686</v>
      </c>
      <c r="AB271" s="37">
        <v>46168</v>
      </c>
      <c r="AC271" s="3">
        <v>269.02600000000001</v>
      </c>
      <c r="AD271" s="37">
        <f t="shared" si="32"/>
        <v>46168</v>
      </c>
    </row>
    <row r="272" spans="1:30" x14ac:dyDescent="0.25">
      <c r="A272" s="98"/>
      <c r="B272" s="33"/>
      <c r="C272" s="25"/>
      <c r="D272" s="26"/>
      <c r="E272" s="33"/>
      <c r="F272" s="25"/>
      <c r="G272" s="26"/>
      <c r="H272" s="33"/>
      <c r="I272" s="34"/>
      <c r="J272" s="34"/>
      <c r="K272" s="26"/>
      <c r="L272" s="26"/>
      <c r="M272" s="55"/>
      <c r="U272" s="95" t="str">
        <f t="shared" si="30"/>
        <v/>
      </c>
      <c r="V272" s="95" t="str">
        <f t="shared" si="31"/>
        <v/>
      </c>
      <c r="Z272" s="95">
        <v>46169</v>
      </c>
      <c r="AA272" s="3">
        <v>252.41059999999999</v>
      </c>
      <c r="AB272" s="37">
        <v>46169</v>
      </c>
      <c r="AC272" s="3">
        <v>267.50200000000001</v>
      </c>
      <c r="AD272" s="37">
        <f t="shared" si="32"/>
        <v>46169</v>
      </c>
    </row>
    <row r="273" spans="1:30" x14ac:dyDescent="0.25">
      <c r="A273" s="98"/>
      <c r="B273" s="33"/>
      <c r="C273" s="25"/>
      <c r="D273" s="26"/>
      <c r="E273" s="33"/>
      <c r="F273" s="25"/>
      <c r="G273" s="26"/>
      <c r="H273" s="33"/>
      <c r="I273" s="34"/>
      <c r="J273" s="34"/>
      <c r="K273" s="26"/>
      <c r="L273" s="26"/>
      <c r="M273" s="55"/>
      <c r="U273" s="95" t="str">
        <f t="shared" si="30"/>
        <v/>
      </c>
      <c r="V273" s="95" t="str">
        <f t="shared" si="31"/>
        <v/>
      </c>
      <c r="Z273" s="95">
        <v>46170</v>
      </c>
      <c r="AA273" s="3">
        <v>252.9316</v>
      </c>
      <c r="AB273" s="37">
        <v>46170</v>
      </c>
      <c r="AC273" s="3">
        <v>263.03699999999998</v>
      </c>
      <c r="AD273" s="37">
        <f t="shared" si="32"/>
        <v>46170</v>
      </c>
    </row>
    <row r="274" spans="1:30" x14ac:dyDescent="0.25">
      <c r="A274" s="98"/>
      <c r="B274" s="33"/>
      <c r="C274" s="25"/>
      <c r="D274" s="26"/>
      <c r="E274" s="33"/>
      <c r="F274" s="25"/>
      <c r="G274" s="26"/>
      <c r="H274" s="33"/>
      <c r="I274" s="34"/>
      <c r="J274" s="34"/>
      <c r="K274" s="26"/>
      <c r="L274" s="26"/>
      <c r="M274" s="55"/>
      <c r="U274" s="95" t="str">
        <f t="shared" si="30"/>
        <v/>
      </c>
      <c r="V274" s="95" t="str">
        <f t="shared" si="31"/>
        <v/>
      </c>
      <c r="Z274" s="95">
        <v>46171</v>
      </c>
      <c r="AA274" s="3">
        <v>253.4469</v>
      </c>
      <c r="AB274" s="37">
        <v>46171</v>
      </c>
      <c r="AC274" s="3">
        <v>258.964</v>
      </c>
      <c r="AD274" s="37">
        <f t="shared" si="32"/>
        <v>46171</v>
      </c>
    </row>
    <row r="275" spans="1:30" x14ac:dyDescent="0.25">
      <c r="A275" s="98"/>
      <c r="B275" s="33"/>
      <c r="C275" s="25"/>
      <c r="D275" s="26"/>
      <c r="E275" s="33"/>
      <c r="F275" s="25"/>
      <c r="G275" s="26"/>
      <c r="H275" s="33"/>
      <c r="I275" s="34"/>
      <c r="J275" s="34"/>
      <c r="K275" s="26"/>
      <c r="L275" s="26"/>
      <c r="M275" s="55"/>
      <c r="U275" s="95" t="str">
        <f t="shared" si="30"/>
        <v/>
      </c>
      <c r="V275" s="95" t="str">
        <f t="shared" si="31"/>
        <v/>
      </c>
      <c r="Z275" s="95">
        <v>46174</v>
      </c>
      <c r="AA275" s="3">
        <v>253.10400000000001</v>
      </c>
      <c r="AB275" s="37">
        <v>46174</v>
      </c>
      <c r="AC275" s="3">
        <v>262.60300000000001</v>
      </c>
      <c r="AD275" s="37">
        <f t="shared" si="32"/>
        <v>46174</v>
      </c>
    </row>
    <row r="276" spans="1:30" x14ac:dyDescent="0.25">
      <c r="A276" s="98"/>
      <c r="B276" s="33"/>
      <c r="C276" s="25"/>
      <c r="D276" s="26"/>
      <c r="E276" s="33"/>
      <c r="F276" s="25"/>
      <c r="G276" s="26"/>
      <c r="H276" s="33"/>
      <c r="I276" s="34"/>
      <c r="J276" s="34"/>
      <c r="K276" s="26"/>
      <c r="L276" s="26"/>
      <c r="M276" s="55"/>
      <c r="U276" s="95" t="str">
        <f t="shared" si="30"/>
        <v/>
      </c>
      <c r="V276" s="95" t="str">
        <f t="shared" si="31"/>
        <v/>
      </c>
      <c r="Z276" s="95">
        <v>46175</v>
      </c>
      <c r="AA276" s="3">
        <v>253.5762</v>
      </c>
      <c r="AB276" s="37">
        <v>46175</v>
      </c>
      <c r="AC276" s="3">
        <v>258.23399999999998</v>
      </c>
      <c r="AD276" s="37">
        <f t="shared" si="32"/>
        <v>46175</v>
      </c>
    </row>
    <row r="277" spans="1:30" x14ac:dyDescent="0.25">
      <c r="A277" s="98"/>
      <c r="B277" s="33"/>
      <c r="C277" s="25"/>
      <c r="D277" s="26"/>
      <c r="E277" s="33"/>
      <c r="F277" s="25"/>
      <c r="G277" s="26"/>
      <c r="H277" s="33"/>
      <c r="I277" s="34"/>
      <c r="J277" s="34"/>
      <c r="K277" s="26"/>
      <c r="L277" s="26"/>
      <c r="M277" s="55"/>
      <c r="U277" s="95" t="str">
        <f t="shared" si="30"/>
        <v/>
      </c>
      <c r="V277" s="95" t="str">
        <f t="shared" si="31"/>
        <v/>
      </c>
      <c r="Z277" s="95">
        <v>46176</v>
      </c>
      <c r="AA277" s="3">
        <v>253.11359999999999</v>
      </c>
      <c r="AB277" s="37">
        <v>46176</v>
      </c>
      <c r="AC277" s="3">
        <v>263.00799999999998</v>
      </c>
      <c r="AD277" s="37">
        <f t="shared" si="32"/>
        <v>46176</v>
      </c>
    </row>
    <row r="278" spans="1:30" x14ac:dyDescent="0.25">
      <c r="A278" s="98"/>
      <c r="B278" s="33"/>
      <c r="C278" s="25"/>
      <c r="D278" s="26"/>
      <c r="E278" s="33"/>
      <c r="F278" s="25"/>
      <c r="G278" s="26"/>
      <c r="H278" s="33"/>
      <c r="I278" s="34"/>
      <c r="J278" s="34"/>
      <c r="K278" s="26"/>
      <c r="L278" s="26"/>
      <c r="M278" s="55"/>
      <c r="U278" s="95" t="str">
        <f t="shared" si="30"/>
        <v/>
      </c>
      <c r="V278" s="95" t="str">
        <f t="shared" si="31"/>
        <v/>
      </c>
      <c r="Z278" s="95">
        <v>46177</v>
      </c>
      <c r="AA278" s="3">
        <v>253.3374</v>
      </c>
      <c r="AB278" s="37">
        <v>46177</v>
      </c>
      <c r="AC278" s="3">
        <v>260.78100000000001</v>
      </c>
      <c r="AD278" s="37">
        <f t="shared" si="32"/>
        <v>46177</v>
      </c>
    </row>
    <row r="279" spans="1:30" x14ac:dyDescent="0.25">
      <c r="A279" s="98"/>
      <c r="B279" s="33"/>
      <c r="C279" s="25"/>
      <c r="D279" s="26"/>
      <c r="E279" s="33"/>
      <c r="F279" s="25"/>
      <c r="G279" s="26"/>
      <c r="H279" s="33"/>
      <c r="I279" s="34"/>
      <c r="J279" s="34"/>
      <c r="K279" s="26"/>
      <c r="L279" s="26"/>
      <c r="M279" s="55"/>
      <c r="U279" s="95" t="str">
        <f t="shared" si="30"/>
        <v/>
      </c>
      <c r="V279" s="95" t="str">
        <f t="shared" si="31"/>
        <v/>
      </c>
      <c r="Z279" s="95">
        <v>46178</v>
      </c>
      <c r="AA279" s="3">
        <v>253.05930000000001</v>
      </c>
      <c r="AB279" s="37">
        <v>46178</v>
      </c>
      <c r="AC279" s="3">
        <v>263.12099999999998</v>
      </c>
      <c r="AD279" s="37">
        <f t="shared" si="32"/>
        <v>46178</v>
      </c>
    </row>
    <row r="280" spans="1:30" x14ac:dyDescent="0.25">
      <c r="A280" s="98"/>
      <c r="B280" s="33"/>
      <c r="C280" s="25"/>
      <c r="D280" s="26"/>
      <c r="E280" s="33"/>
      <c r="F280" s="25"/>
      <c r="G280" s="26"/>
      <c r="H280" s="33"/>
      <c r="I280" s="34"/>
      <c r="J280" s="34"/>
      <c r="K280" s="26"/>
      <c r="L280" s="26"/>
      <c r="M280" s="55"/>
      <c r="U280" s="95" t="str">
        <f t="shared" si="30"/>
        <v/>
      </c>
      <c r="V280" s="95" t="str">
        <f t="shared" si="31"/>
        <v/>
      </c>
      <c r="Z280" s="95">
        <v>46181</v>
      </c>
      <c r="AA280" s="3">
        <v>253.00890000000001</v>
      </c>
      <c r="AB280" s="37">
        <v>46181</v>
      </c>
      <c r="AC280" s="3">
        <v>264.17899999999997</v>
      </c>
      <c r="AD280" s="37">
        <f t="shared" si="32"/>
        <v>46181</v>
      </c>
    </row>
    <row r="281" spans="1:30" x14ac:dyDescent="0.25">
      <c r="A281" s="98"/>
      <c r="B281" s="33"/>
      <c r="C281" s="25"/>
      <c r="D281" s="26"/>
      <c r="E281" s="33"/>
      <c r="F281" s="25"/>
      <c r="G281" s="26"/>
      <c r="H281" s="33"/>
      <c r="I281" s="34"/>
      <c r="J281" s="34"/>
      <c r="K281" s="26"/>
      <c r="L281" s="26"/>
      <c r="M281" s="55"/>
      <c r="U281" s="95" t="str">
        <f t="shared" si="30"/>
        <v/>
      </c>
      <c r="V281" s="95" t="str">
        <f t="shared" si="31"/>
        <v/>
      </c>
      <c r="Z281" s="95">
        <v>46182</v>
      </c>
      <c r="AA281" s="3">
        <v>253.04320000000001</v>
      </c>
      <c r="AB281" s="37">
        <v>46182</v>
      </c>
      <c r="AC281" s="3">
        <v>264.78399999999999</v>
      </c>
      <c r="AD281" s="37">
        <f t="shared" si="32"/>
        <v>46182</v>
      </c>
    </row>
    <row r="282" spans="1:30" x14ac:dyDescent="0.25">
      <c r="A282" s="98"/>
      <c r="B282" s="33"/>
      <c r="C282" s="25"/>
      <c r="D282" s="26"/>
      <c r="E282" s="33"/>
      <c r="F282" s="25"/>
      <c r="G282" s="26"/>
      <c r="H282" s="33"/>
      <c r="I282" s="34"/>
      <c r="J282" s="34"/>
      <c r="K282" s="26"/>
      <c r="L282" s="26"/>
      <c r="M282" s="55"/>
      <c r="U282" s="95" t="str">
        <f t="shared" si="30"/>
        <v/>
      </c>
      <c r="V282" s="95" t="str">
        <f t="shared" si="31"/>
        <v/>
      </c>
      <c r="Z282" s="95">
        <v>46183</v>
      </c>
      <c r="AA282" s="3">
        <v>252.767</v>
      </c>
      <c r="AB282" s="37">
        <v>46183</v>
      </c>
      <c r="AC282" s="3">
        <v>266.137</v>
      </c>
      <c r="AD282" s="37">
        <f t="shared" si="32"/>
        <v>46183</v>
      </c>
    </row>
    <row r="283" spans="1:30" x14ac:dyDescent="0.25">
      <c r="A283" s="98"/>
      <c r="B283" s="33"/>
      <c r="C283" s="25"/>
      <c r="D283" s="26"/>
      <c r="E283" s="33"/>
      <c r="F283" s="25"/>
      <c r="G283" s="26"/>
      <c r="H283" s="33"/>
      <c r="I283" s="34"/>
      <c r="J283" s="34"/>
      <c r="K283" s="26"/>
      <c r="L283" s="26"/>
      <c r="M283" s="55"/>
      <c r="U283" s="95" t="str">
        <f t="shared" si="30"/>
        <v/>
      </c>
      <c r="V283" s="95" t="str">
        <f t="shared" si="31"/>
        <v/>
      </c>
      <c r="Z283" s="95">
        <v>46184</v>
      </c>
      <c r="AA283" s="3">
        <v>253.1474</v>
      </c>
      <c r="AB283" s="37">
        <v>46184</v>
      </c>
      <c r="AC283" s="3">
        <v>263.45299999999997</v>
      </c>
      <c r="AD283" s="37">
        <f t="shared" si="32"/>
        <v>46184</v>
      </c>
    </row>
    <row r="284" spans="1:30" x14ac:dyDescent="0.25">
      <c r="A284" s="98"/>
      <c r="B284" s="33"/>
      <c r="C284" s="25"/>
      <c r="D284" s="26"/>
      <c r="E284" s="33"/>
      <c r="F284" s="25"/>
      <c r="G284" s="26"/>
      <c r="H284" s="33"/>
      <c r="I284" s="34"/>
      <c r="J284" s="34"/>
      <c r="K284" s="26"/>
      <c r="L284" s="26"/>
      <c r="M284" s="55"/>
      <c r="U284" s="95" t="str">
        <f t="shared" si="30"/>
        <v/>
      </c>
      <c r="V284" s="95" t="str">
        <f t="shared" si="31"/>
        <v/>
      </c>
      <c r="Z284" s="95">
        <v>46185</v>
      </c>
      <c r="AA284" s="3">
        <v>254.38560000000001</v>
      </c>
      <c r="AB284" s="37">
        <v>46185</v>
      </c>
      <c r="AC284" s="3">
        <v>253.41399999999999</v>
      </c>
      <c r="AD284" s="37">
        <f t="shared" si="32"/>
        <v>46185</v>
      </c>
    </row>
    <row r="285" spans="1:30" x14ac:dyDescent="0.25">
      <c r="A285" s="98"/>
      <c r="B285" s="33"/>
      <c r="C285" s="25"/>
      <c r="D285" s="26"/>
      <c r="E285" s="33"/>
      <c r="F285" s="25"/>
      <c r="G285" s="26"/>
      <c r="H285" s="33"/>
      <c r="I285" s="34"/>
      <c r="J285" s="34"/>
      <c r="K285" s="26"/>
      <c r="L285" s="26"/>
      <c r="M285" s="55"/>
      <c r="U285" s="95" t="str">
        <f t="shared" si="30"/>
        <v/>
      </c>
      <c r="V285" s="95" t="str">
        <f t="shared" si="31"/>
        <v/>
      </c>
      <c r="Z285" s="95">
        <v>46188</v>
      </c>
      <c r="AA285" s="3">
        <v>255.0607</v>
      </c>
      <c r="AB285" s="37">
        <v>46188</v>
      </c>
      <c r="AC285" s="3">
        <v>247.93899999999999</v>
      </c>
      <c r="AD285" s="37">
        <f t="shared" si="32"/>
        <v>46188</v>
      </c>
    </row>
    <row r="286" spans="1:30" x14ac:dyDescent="0.25">
      <c r="A286" s="98"/>
      <c r="B286" s="33"/>
      <c r="C286" s="25"/>
      <c r="D286" s="26"/>
      <c r="E286" s="33"/>
      <c r="F286" s="25"/>
      <c r="G286" s="26"/>
      <c r="H286" s="33"/>
      <c r="I286" s="34"/>
      <c r="J286" s="34"/>
      <c r="K286" s="26"/>
      <c r="L286" s="26"/>
      <c r="M286" s="55"/>
      <c r="U286" s="95" t="str">
        <f t="shared" si="30"/>
        <v/>
      </c>
      <c r="V286" s="95" t="str">
        <f t="shared" si="31"/>
        <v/>
      </c>
      <c r="Z286" s="95">
        <v>46189</v>
      </c>
      <c r="AA286" s="3">
        <v>254.93340000000001</v>
      </c>
      <c r="AB286" s="37">
        <v>46189</v>
      </c>
      <c r="AC286" s="3">
        <v>249.708</v>
      </c>
      <c r="AD286" s="37">
        <f t="shared" si="32"/>
        <v>46189</v>
      </c>
    </row>
    <row r="287" spans="1:30" x14ac:dyDescent="0.25">
      <c r="A287" s="98"/>
      <c r="B287" s="33"/>
      <c r="C287" s="25"/>
      <c r="D287" s="26"/>
      <c r="E287" s="33"/>
      <c r="F287" s="25"/>
      <c r="G287" s="26"/>
      <c r="H287" s="33"/>
      <c r="I287" s="34"/>
      <c r="J287" s="34"/>
      <c r="K287" s="26"/>
      <c r="L287" s="26"/>
      <c r="M287" s="55"/>
      <c r="U287" s="95" t="str">
        <f t="shared" si="30"/>
        <v/>
      </c>
      <c r="V287" s="95" t="str">
        <f t="shared" si="31"/>
        <v/>
      </c>
      <c r="Z287" s="95">
        <v>46190</v>
      </c>
      <c r="AA287" s="3">
        <v>254.77209999999999</v>
      </c>
      <c r="AB287" s="37">
        <v>46190</v>
      </c>
      <c r="AC287" s="3">
        <v>251.36</v>
      </c>
      <c r="AD287" s="37">
        <f t="shared" si="32"/>
        <v>46190</v>
      </c>
    </row>
    <row r="288" spans="1:30" x14ac:dyDescent="0.25">
      <c r="A288" s="98"/>
      <c r="B288" s="33"/>
      <c r="C288" s="25"/>
      <c r="D288" s="26"/>
      <c r="E288" s="33"/>
      <c r="F288" s="25"/>
      <c r="G288" s="26"/>
      <c r="H288" s="33"/>
      <c r="I288" s="34"/>
      <c r="J288" s="34"/>
      <c r="K288" s="26"/>
      <c r="L288" s="26"/>
      <c r="M288" s="55"/>
      <c r="U288" s="95" t="str">
        <f t="shared" si="30"/>
        <v/>
      </c>
      <c r="V288" s="95" t="str">
        <f t="shared" si="31"/>
        <v/>
      </c>
      <c r="AB288" s="37">
        <v>46191</v>
      </c>
      <c r="AC288" s="3">
        <v>250.322</v>
      </c>
      <c r="AD288" s="37" t="str">
        <f t="shared" si="32"/>
        <v/>
      </c>
    </row>
    <row r="289" spans="1:30" x14ac:dyDescent="0.25">
      <c r="A289" s="98"/>
      <c r="B289" s="33"/>
      <c r="C289" s="25"/>
      <c r="D289" s="26"/>
      <c r="E289" s="33"/>
      <c r="F289" s="25"/>
      <c r="G289" s="26"/>
      <c r="H289" s="33"/>
      <c r="I289" s="34"/>
      <c r="J289" s="34"/>
      <c r="K289" s="26"/>
      <c r="L289" s="26"/>
      <c r="M289" s="55"/>
      <c r="U289" s="95" t="str">
        <f t="shared" si="30"/>
        <v/>
      </c>
      <c r="V289" s="95" t="str">
        <f t="shared" si="31"/>
        <v/>
      </c>
      <c r="AD289" s="37" t="str">
        <f t="shared" si="32"/>
        <v/>
      </c>
    </row>
    <row r="290" spans="1:30" x14ac:dyDescent="0.25">
      <c r="A290" s="98"/>
      <c r="B290" s="33"/>
      <c r="C290" s="25"/>
      <c r="D290" s="26"/>
      <c r="E290" s="33"/>
      <c r="F290" s="25"/>
      <c r="G290" s="26"/>
      <c r="H290" s="33"/>
      <c r="I290" s="34"/>
      <c r="J290" s="34"/>
      <c r="K290" s="26"/>
      <c r="L290" s="26"/>
      <c r="M290" s="55"/>
      <c r="U290" s="95" t="str">
        <f t="shared" si="30"/>
        <v/>
      </c>
      <c r="V290" s="95" t="str">
        <f t="shared" si="31"/>
        <v/>
      </c>
      <c r="AD290" s="37" t="str">
        <f t="shared" si="32"/>
        <v/>
      </c>
    </row>
    <row r="291" spans="1:30" x14ac:dyDescent="0.25">
      <c r="A291" s="98"/>
      <c r="B291" s="33"/>
      <c r="C291" s="25"/>
      <c r="D291" s="26"/>
      <c r="E291" s="33"/>
      <c r="F291" s="25"/>
      <c r="G291" s="26"/>
      <c r="H291" s="33"/>
      <c r="I291" s="34"/>
      <c r="J291" s="34"/>
      <c r="K291" s="26"/>
      <c r="L291" s="26"/>
      <c r="M291" s="55"/>
      <c r="U291" s="95" t="str">
        <f t="shared" si="30"/>
        <v/>
      </c>
      <c r="V291" s="95" t="str">
        <f t="shared" si="31"/>
        <v/>
      </c>
      <c r="AD291" s="37" t="str">
        <f t="shared" si="32"/>
        <v/>
      </c>
    </row>
    <row r="292" spans="1:30" x14ac:dyDescent="0.25">
      <c r="A292" s="98"/>
      <c r="B292" s="33"/>
      <c r="C292" s="25"/>
      <c r="D292" s="26"/>
      <c r="E292" s="33"/>
      <c r="F292" s="25"/>
      <c r="G292" s="26"/>
      <c r="H292" s="33"/>
      <c r="I292" s="34"/>
      <c r="J292" s="34"/>
      <c r="K292" s="26"/>
      <c r="L292" s="26"/>
      <c r="M292" s="55"/>
      <c r="U292" s="95" t="str">
        <f t="shared" si="30"/>
        <v/>
      </c>
      <c r="V292" s="95" t="str">
        <f t="shared" si="31"/>
        <v/>
      </c>
      <c r="AD292" s="37" t="str">
        <f t="shared" si="32"/>
        <v/>
      </c>
    </row>
    <row r="293" spans="1:30" x14ac:dyDescent="0.25">
      <c r="A293" s="98"/>
      <c r="B293" s="33"/>
      <c r="C293" s="25"/>
      <c r="D293" s="26"/>
      <c r="E293" s="33"/>
      <c r="F293" s="25"/>
      <c r="G293" s="26"/>
      <c r="H293" s="33"/>
      <c r="I293" s="34"/>
      <c r="J293" s="34"/>
      <c r="K293" s="26"/>
      <c r="L293" s="26"/>
      <c r="M293" s="55"/>
      <c r="U293" s="95" t="str">
        <f t="shared" si="30"/>
        <v/>
      </c>
      <c r="V293" s="95" t="str">
        <f t="shared" si="31"/>
        <v/>
      </c>
      <c r="AD293" s="37" t="str">
        <f t="shared" si="32"/>
        <v/>
      </c>
    </row>
    <row r="294" spans="1:30" x14ac:dyDescent="0.25">
      <c r="A294" s="98"/>
      <c r="B294" s="33"/>
      <c r="C294" s="25"/>
      <c r="D294" s="26"/>
      <c r="E294" s="33"/>
      <c r="F294" s="25"/>
      <c r="G294" s="26"/>
      <c r="H294" s="33"/>
      <c r="I294" s="34"/>
      <c r="J294" s="34"/>
      <c r="K294" s="26"/>
      <c r="L294" s="26"/>
      <c r="M294" s="55"/>
      <c r="U294" s="95" t="str">
        <f t="shared" si="30"/>
        <v/>
      </c>
      <c r="V294" s="95" t="str">
        <f t="shared" si="31"/>
        <v/>
      </c>
      <c r="AD294" s="37" t="str">
        <f t="shared" si="32"/>
        <v/>
      </c>
    </row>
    <row r="295" spans="1:30" x14ac:dyDescent="0.25">
      <c r="A295" s="98"/>
      <c r="B295" s="33"/>
      <c r="C295" s="25"/>
      <c r="D295" s="26"/>
      <c r="E295" s="33"/>
      <c r="F295" s="25"/>
      <c r="G295" s="26"/>
      <c r="H295" s="33"/>
      <c r="I295" s="34"/>
      <c r="J295" s="34"/>
      <c r="K295" s="26"/>
      <c r="L295" s="26"/>
      <c r="M295" s="55"/>
      <c r="U295" s="95" t="str">
        <f t="shared" si="30"/>
        <v/>
      </c>
      <c r="V295" s="95" t="str">
        <f t="shared" si="31"/>
        <v/>
      </c>
      <c r="AD295" s="37" t="str">
        <f t="shared" si="32"/>
        <v/>
      </c>
    </row>
    <row r="296" spans="1:30" x14ac:dyDescent="0.25">
      <c r="A296" s="98"/>
      <c r="B296" s="33"/>
      <c r="C296" s="25"/>
      <c r="D296" s="26"/>
      <c r="E296" s="33"/>
      <c r="F296" s="25"/>
      <c r="G296" s="26"/>
      <c r="H296" s="33"/>
      <c r="I296" s="34"/>
      <c r="J296" s="34"/>
      <c r="K296" s="26"/>
      <c r="L296" s="26"/>
      <c r="M296" s="55"/>
      <c r="U296" s="95" t="str">
        <f t="shared" si="30"/>
        <v/>
      </c>
      <c r="V296" s="95" t="str">
        <f t="shared" si="31"/>
        <v/>
      </c>
      <c r="AD296" s="37" t="str">
        <f t="shared" si="32"/>
        <v/>
      </c>
    </row>
    <row r="297" spans="1:30" x14ac:dyDescent="0.25">
      <c r="A297" s="98"/>
      <c r="B297" s="33"/>
      <c r="C297" s="25"/>
      <c r="D297" s="26"/>
      <c r="E297" s="33"/>
      <c r="F297" s="25"/>
      <c r="G297" s="26"/>
      <c r="H297" s="33"/>
      <c r="I297" s="34"/>
      <c r="J297" s="34"/>
      <c r="K297" s="26"/>
      <c r="L297" s="26"/>
      <c r="M297" s="55"/>
      <c r="U297" s="95" t="str">
        <f t="shared" si="30"/>
        <v/>
      </c>
      <c r="V297" s="95" t="str">
        <f t="shared" si="31"/>
        <v/>
      </c>
      <c r="AD297" s="37" t="str">
        <f t="shared" si="32"/>
        <v/>
      </c>
    </row>
    <row r="298" spans="1:30" x14ac:dyDescent="0.25">
      <c r="A298" s="98"/>
      <c r="B298" s="33"/>
      <c r="C298" s="25"/>
      <c r="D298" s="26"/>
      <c r="E298" s="33"/>
      <c r="F298" s="25"/>
      <c r="G298" s="26"/>
      <c r="H298" s="33"/>
      <c r="I298" s="34"/>
      <c r="J298" s="34"/>
      <c r="K298" s="26"/>
      <c r="L298" s="26"/>
      <c r="M298" s="55"/>
      <c r="U298" s="95" t="str">
        <f t="shared" si="30"/>
        <v/>
      </c>
      <c r="V298" s="95" t="str">
        <f t="shared" si="31"/>
        <v/>
      </c>
      <c r="AD298" s="37" t="str">
        <f t="shared" si="32"/>
        <v/>
      </c>
    </row>
    <row r="299" spans="1:30" x14ac:dyDescent="0.25">
      <c r="A299" s="98"/>
      <c r="B299" s="33"/>
      <c r="C299" s="25"/>
      <c r="D299" s="26"/>
      <c r="E299" s="33"/>
      <c r="F299" s="25"/>
      <c r="G299" s="26"/>
      <c r="H299" s="33"/>
      <c r="I299" s="34"/>
      <c r="J299" s="34"/>
      <c r="K299" s="26"/>
      <c r="L299" s="26"/>
      <c r="M299" s="55"/>
      <c r="U299" s="95" t="str">
        <f t="shared" si="30"/>
        <v/>
      </c>
      <c r="V299" s="95" t="str">
        <f t="shared" si="31"/>
        <v/>
      </c>
      <c r="AD299" s="37" t="str">
        <f t="shared" si="32"/>
        <v/>
      </c>
    </row>
    <row r="300" spans="1:30" x14ac:dyDescent="0.25">
      <c r="A300" s="98"/>
      <c r="B300" s="33"/>
      <c r="C300" s="25"/>
      <c r="D300" s="26"/>
      <c r="E300" s="33"/>
      <c r="F300" s="25"/>
      <c r="G300" s="26"/>
      <c r="H300" s="33"/>
      <c r="I300" s="34"/>
      <c r="J300" s="34"/>
      <c r="K300" s="26"/>
      <c r="L300" s="26"/>
      <c r="M300" s="55"/>
      <c r="U300" s="95" t="str">
        <f t="shared" si="30"/>
        <v/>
      </c>
      <c r="V300" s="95" t="str">
        <f t="shared" si="31"/>
        <v/>
      </c>
      <c r="AD300" s="37" t="str">
        <f t="shared" si="32"/>
        <v/>
      </c>
    </row>
    <row r="301" spans="1:30" x14ac:dyDescent="0.25">
      <c r="A301" s="98"/>
      <c r="B301" s="33"/>
      <c r="C301" s="25"/>
      <c r="D301" s="26"/>
      <c r="E301" s="33"/>
      <c r="F301" s="25"/>
      <c r="G301" s="26"/>
      <c r="H301" s="33"/>
      <c r="I301" s="34"/>
      <c r="J301" s="34"/>
      <c r="K301" s="26"/>
      <c r="L301" s="26"/>
      <c r="M301" s="55"/>
      <c r="U301" s="95" t="str">
        <f t="shared" si="30"/>
        <v/>
      </c>
      <c r="V301" s="95" t="str">
        <f t="shared" si="31"/>
        <v/>
      </c>
      <c r="AD301" s="37" t="str">
        <f t="shared" si="32"/>
        <v/>
      </c>
    </row>
    <row r="302" spans="1:30" x14ac:dyDescent="0.25">
      <c r="A302" s="98"/>
      <c r="B302" s="33"/>
      <c r="C302" s="25"/>
      <c r="D302" s="26"/>
      <c r="E302" s="33"/>
      <c r="F302" s="25"/>
      <c r="G302" s="26"/>
      <c r="H302" s="33"/>
      <c r="I302" s="34"/>
      <c r="J302" s="34"/>
      <c r="K302" s="26"/>
      <c r="L302" s="26"/>
      <c r="M302" s="55"/>
      <c r="U302" s="95" t="str">
        <f t="shared" si="30"/>
        <v/>
      </c>
      <c r="V302" s="95" t="str">
        <f t="shared" si="31"/>
        <v/>
      </c>
      <c r="AD302" s="37" t="str">
        <f t="shared" si="32"/>
        <v/>
      </c>
    </row>
    <row r="303" spans="1:30" x14ac:dyDescent="0.25">
      <c r="A303" s="98"/>
      <c r="B303" s="33"/>
      <c r="C303" s="25"/>
      <c r="D303" s="26"/>
      <c r="E303" s="33"/>
      <c r="F303" s="25"/>
      <c r="G303" s="26"/>
      <c r="H303" s="33"/>
      <c r="I303" s="34"/>
      <c r="J303" s="34"/>
      <c r="K303" s="26"/>
      <c r="L303" s="26"/>
      <c r="M303" s="55"/>
      <c r="U303" s="95" t="str">
        <f t="shared" si="30"/>
        <v/>
      </c>
      <c r="V303" s="95" t="str">
        <f t="shared" si="31"/>
        <v/>
      </c>
      <c r="AD303" s="37" t="str">
        <f t="shared" si="32"/>
        <v/>
      </c>
    </row>
    <row r="304" spans="1:30" x14ac:dyDescent="0.25">
      <c r="A304" s="98"/>
      <c r="B304" s="33"/>
      <c r="C304" s="25"/>
      <c r="D304" s="26"/>
      <c r="E304" s="33"/>
      <c r="F304" s="25"/>
      <c r="G304" s="26"/>
      <c r="H304" s="33"/>
      <c r="I304" s="34"/>
      <c r="J304" s="34"/>
      <c r="K304" s="26"/>
      <c r="L304" s="26"/>
      <c r="M304" s="55"/>
      <c r="U304" s="95" t="str">
        <f t="shared" si="30"/>
        <v/>
      </c>
      <c r="V304" s="95" t="str">
        <f t="shared" si="31"/>
        <v/>
      </c>
      <c r="AD304" s="37" t="str">
        <f t="shared" si="32"/>
        <v/>
      </c>
    </row>
    <row r="305" spans="1:30" x14ac:dyDescent="0.25">
      <c r="A305" s="98"/>
      <c r="B305" s="33"/>
      <c r="C305" s="25"/>
      <c r="D305" s="26"/>
      <c r="E305" s="33"/>
      <c r="F305" s="25"/>
      <c r="G305" s="26"/>
      <c r="H305" s="33"/>
      <c r="I305" s="34"/>
      <c r="J305" s="34"/>
      <c r="K305" s="26"/>
      <c r="L305" s="26"/>
      <c r="M305" s="55"/>
      <c r="U305" s="95" t="str">
        <f t="shared" si="30"/>
        <v/>
      </c>
      <c r="V305" s="95" t="str">
        <f t="shared" si="31"/>
        <v/>
      </c>
      <c r="AD305" s="37" t="str">
        <f t="shared" si="32"/>
        <v/>
      </c>
    </row>
    <row r="306" spans="1:30" x14ac:dyDescent="0.25">
      <c r="A306" s="98"/>
      <c r="B306" s="33"/>
      <c r="C306" s="25"/>
      <c r="D306" s="26"/>
      <c r="E306" s="33"/>
      <c r="F306" s="25"/>
      <c r="G306" s="26"/>
      <c r="H306" s="33"/>
      <c r="I306" s="34"/>
      <c r="J306" s="34"/>
      <c r="K306" s="26"/>
      <c r="L306" s="26"/>
      <c r="M306" s="55"/>
      <c r="U306" s="95" t="str">
        <f t="shared" si="30"/>
        <v/>
      </c>
      <c r="V306" s="95" t="str">
        <f t="shared" si="31"/>
        <v/>
      </c>
      <c r="AD306" s="37" t="str">
        <f t="shared" si="32"/>
        <v/>
      </c>
    </row>
    <row r="307" spans="1:30" x14ac:dyDescent="0.25">
      <c r="A307" s="98"/>
      <c r="B307" s="33"/>
      <c r="C307" s="25"/>
      <c r="D307" s="26"/>
      <c r="E307" s="33"/>
      <c r="F307" s="25"/>
      <c r="G307" s="26"/>
      <c r="H307" s="33"/>
      <c r="I307" s="34"/>
      <c r="J307" s="34"/>
      <c r="K307" s="26"/>
      <c r="L307" s="26"/>
      <c r="M307" s="55"/>
      <c r="U307" s="95" t="str">
        <f t="shared" si="30"/>
        <v/>
      </c>
      <c r="V307" s="95" t="str">
        <f t="shared" si="31"/>
        <v/>
      </c>
      <c r="AD307" s="37" t="str">
        <f t="shared" si="32"/>
        <v/>
      </c>
    </row>
    <row r="308" spans="1:30" x14ac:dyDescent="0.25">
      <c r="A308" s="98"/>
      <c r="B308" s="33"/>
      <c r="C308" s="25"/>
      <c r="D308" s="26"/>
      <c r="E308" s="33"/>
      <c r="F308" s="25"/>
      <c r="G308" s="26"/>
      <c r="H308" s="33"/>
      <c r="I308" s="34"/>
      <c r="J308" s="34"/>
      <c r="K308" s="26"/>
      <c r="L308" s="26"/>
      <c r="M308" s="55"/>
      <c r="U308" s="95" t="str">
        <f t="shared" si="30"/>
        <v/>
      </c>
      <c r="V308" s="95" t="str">
        <f t="shared" si="31"/>
        <v/>
      </c>
      <c r="AD308" s="37" t="str">
        <f t="shared" si="32"/>
        <v/>
      </c>
    </row>
    <row r="309" spans="1:30" x14ac:dyDescent="0.25">
      <c r="A309" s="98"/>
      <c r="B309" s="33"/>
      <c r="C309" s="25"/>
      <c r="D309" s="26"/>
      <c r="E309" s="33"/>
      <c r="F309" s="25"/>
      <c r="G309" s="26"/>
      <c r="H309" s="33"/>
      <c r="I309" s="34"/>
      <c r="J309" s="34"/>
      <c r="K309" s="26"/>
      <c r="L309" s="26"/>
      <c r="M309" s="55"/>
      <c r="U309" s="95" t="str">
        <f t="shared" si="30"/>
        <v/>
      </c>
      <c r="V309" s="95" t="str">
        <f t="shared" si="31"/>
        <v/>
      </c>
      <c r="AD309" s="37" t="str">
        <f t="shared" si="32"/>
        <v/>
      </c>
    </row>
    <row r="310" spans="1:30" x14ac:dyDescent="0.25">
      <c r="A310" s="98"/>
      <c r="B310" s="33"/>
      <c r="C310" s="25"/>
      <c r="D310" s="26"/>
      <c r="E310" s="33"/>
      <c r="F310" s="25"/>
      <c r="G310" s="26"/>
      <c r="H310" s="33"/>
      <c r="I310" s="34"/>
      <c r="J310" s="34"/>
      <c r="K310" s="26"/>
      <c r="L310" s="26"/>
      <c r="M310" s="55"/>
      <c r="U310" s="95" t="str">
        <f t="shared" si="30"/>
        <v/>
      </c>
      <c r="V310" s="95" t="str">
        <f t="shared" si="31"/>
        <v/>
      </c>
      <c r="AD310" s="37" t="str">
        <f t="shared" si="32"/>
        <v/>
      </c>
    </row>
    <row r="311" spans="1:30" x14ac:dyDescent="0.25">
      <c r="A311" s="98"/>
      <c r="B311" s="33"/>
      <c r="C311" s="25"/>
      <c r="D311" s="26"/>
      <c r="E311" s="33"/>
      <c r="F311" s="25"/>
      <c r="G311" s="26"/>
      <c r="H311" s="33"/>
      <c r="I311" s="34"/>
      <c r="J311" s="34"/>
      <c r="K311" s="26"/>
      <c r="L311" s="26"/>
      <c r="M311" s="55"/>
      <c r="U311" s="95" t="str">
        <f t="shared" si="30"/>
        <v/>
      </c>
      <c r="V311" s="95" t="str">
        <f t="shared" si="31"/>
        <v/>
      </c>
      <c r="AD311" s="37" t="str">
        <f t="shared" si="32"/>
        <v/>
      </c>
    </row>
    <row r="312" spans="1:30" x14ac:dyDescent="0.25">
      <c r="A312" s="98"/>
      <c r="B312" s="33"/>
      <c r="C312" s="25"/>
      <c r="D312" s="26"/>
      <c r="E312" s="33"/>
      <c r="F312" s="25"/>
      <c r="G312" s="26"/>
      <c r="H312" s="33"/>
      <c r="I312" s="34"/>
      <c r="J312" s="34"/>
      <c r="K312" s="26"/>
      <c r="L312" s="26"/>
      <c r="M312" s="55"/>
      <c r="U312" s="95" t="str">
        <f t="shared" si="30"/>
        <v/>
      </c>
      <c r="V312" s="95" t="str">
        <f t="shared" si="31"/>
        <v/>
      </c>
      <c r="AD312" s="37" t="str">
        <f t="shared" si="32"/>
        <v/>
      </c>
    </row>
    <row r="313" spans="1:30" x14ac:dyDescent="0.25">
      <c r="A313" s="98"/>
      <c r="B313" s="33"/>
      <c r="C313" s="25"/>
      <c r="D313" s="26"/>
      <c r="E313" s="33"/>
      <c r="F313" s="25"/>
      <c r="G313" s="26"/>
      <c r="H313" s="33"/>
      <c r="I313" s="34"/>
      <c r="J313" s="34"/>
      <c r="K313" s="26"/>
      <c r="L313" s="26"/>
      <c r="M313" s="55"/>
      <c r="U313" s="95" t="str">
        <f t="shared" si="30"/>
        <v/>
      </c>
      <c r="V313" s="95" t="str">
        <f t="shared" si="31"/>
        <v/>
      </c>
      <c r="AD313" s="37" t="str">
        <f t="shared" si="32"/>
        <v/>
      </c>
    </row>
    <row r="314" spans="1:30" x14ac:dyDescent="0.25">
      <c r="A314" s="98"/>
      <c r="B314" s="33"/>
      <c r="C314" s="25"/>
      <c r="D314" s="26"/>
      <c r="E314" s="33"/>
      <c r="F314" s="25"/>
      <c r="G314" s="26"/>
      <c r="H314" s="33"/>
      <c r="I314" s="34"/>
      <c r="J314" s="34"/>
      <c r="K314" s="26"/>
      <c r="L314" s="26"/>
      <c r="M314" s="55"/>
      <c r="U314" s="95" t="str">
        <f t="shared" si="30"/>
        <v/>
      </c>
      <c r="V314" s="95" t="str">
        <f t="shared" si="31"/>
        <v/>
      </c>
      <c r="AD314" s="37" t="str">
        <f t="shared" si="32"/>
        <v/>
      </c>
    </row>
    <row r="315" spans="1:30" x14ac:dyDescent="0.25">
      <c r="A315" s="98"/>
      <c r="B315" s="33"/>
      <c r="C315" s="25"/>
      <c r="D315" s="26"/>
      <c r="E315" s="33"/>
      <c r="F315" s="25"/>
      <c r="G315" s="26"/>
      <c r="H315" s="33"/>
      <c r="I315" s="34"/>
      <c r="J315" s="34"/>
      <c r="K315" s="26"/>
      <c r="L315" s="26"/>
      <c r="M315" s="55"/>
      <c r="U315" s="95" t="str">
        <f t="shared" si="30"/>
        <v/>
      </c>
      <c r="V315" s="95" t="str">
        <f t="shared" si="31"/>
        <v/>
      </c>
      <c r="AD315" s="37" t="str">
        <f t="shared" si="32"/>
        <v/>
      </c>
    </row>
    <row r="316" spans="1:30" x14ac:dyDescent="0.25">
      <c r="A316" s="98"/>
      <c r="B316" s="33"/>
      <c r="C316" s="25"/>
      <c r="D316" s="26"/>
      <c r="E316" s="33"/>
      <c r="F316" s="25"/>
      <c r="G316" s="26"/>
      <c r="H316" s="33"/>
      <c r="I316" s="34"/>
      <c r="J316" s="34"/>
      <c r="K316" s="26"/>
      <c r="L316" s="26"/>
      <c r="M316" s="55"/>
      <c r="U316" s="95" t="str">
        <f t="shared" si="30"/>
        <v/>
      </c>
      <c r="V316" s="95" t="str">
        <f t="shared" si="31"/>
        <v/>
      </c>
      <c r="AD316" s="37" t="str">
        <f t="shared" si="32"/>
        <v/>
      </c>
    </row>
    <row r="317" spans="1:30" x14ac:dyDescent="0.25">
      <c r="A317" s="98"/>
      <c r="B317" s="33"/>
      <c r="C317" s="25"/>
      <c r="D317" s="26"/>
      <c r="E317" s="33"/>
      <c r="F317" s="25"/>
      <c r="G317" s="26"/>
      <c r="H317" s="33"/>
      <c r="I317" s="34"/>
      <c r="J317" s="34"/>
      <c r="K317" s="26"/>
      <c r="L317" s="26"/>
      <c r="M317" s="55"/>
      <c r="U317" s="95" t="str">
        <f t="shared" si="30"/>
        <v/>
      </c>
      <c r="V317" s="95" t="str">
        <f t="shared" si="31"/>
        <v/>
      </c>
      <c r="AD317" s="37" t="str">
        <f t="shared" si="32"/>
        <v/>
      </c>
    </row>
    <row r="318" spans="1:30" x14ac:dyDescent="0.25">
      <c r="A318" s="98"/>
      <c r="B318" s="33"/>
      <c r="C318" s="25"/>
      <c r="D318" s="26"/>
      <c r="E318" s="33"/>
      <c r="F318" s="25"/>
      <c r="G318" s="26"/>
      <c r="H318" s="33"/>
      <c r="I318" s="34"/>
      <c r="J318" s="34"/>
      <c r="K318" s="26"/>
      <c r="L318" s="26"/>
      <c r="M318" s="55"/>
      <c r="U318" s="95" t="str">
        <f t="shared" si="30"/>
        <v/>
      </c>
      <c r="V318" s="95" t="str">
        <f t="shared" si="31"/>
        <v/>
      </c>
      <c r="AD318" s="37" t="str">
        <f t="shared" si="32"/>
        <v/>
      </c>
    </row>
    <row r="319" spans="1:30" x14ac:dyDescent="0.25">
      <c r="A319" s="98"/>
      <c r="B319" s="33"/>
      <c r="C319" s="25"/>
      <c r="D319" s="26"/>
      <c r="E319" s="33"/>
      <c r="F319" s="25"/>
      <c r="G319" s="26"/>
      <c r="H319" s="33"/>
      <c r="I319" s="34"/>
      <c r="J319" s="34"/>
      <c r="K319" s="26"/>
      <c r="L319" s="26"/>
      <c r="M319" s="55"/>
      <c r="U319" s="95" t="str">
        <f t="shared" si="30"/>
        <v/>
      </c>
      <c r="V319" s="95" t="str">
        <f t="shared" si="31"/>
        <v/>
      </c>
      <c r="AD319" s="37" t="str">
        <f t="shared" si="32"/>
        <v/>
      </c>
    </row>
    <row r="320" spans="1:30" x14ac:dyDescent="0.25">
      <c r="A320" s="98"/>
      <c r="B320" s="33"/>
      <c r="C320" s="25"/>
      <c r="D320" s="26"/>
      <c r="E320" s="33"/>
      <c r="F320" s="25"/>
      <c r="G320" s="26"/>
      <c r="H320" s="33"/>
      <c r="I320" s="34"/>
      <c r="J320" s="34"/>
      <c r="K320" s="26"/>
      <c r="L320" s="26"/>
      <c r="M320" s="55"/>
      <c r="U320" s="95" t="str">
        <f t="shared" si="30"/>
        <v/>
      </c>
      <c r="V320" s="95" t="str">
        <f t="shared" si="31"/>
        <v/>
      </c>
      <c r="AD320" s="37" t="str">
        <f t="shared" si="32"/>
        <v/>
      </c>
    </row>
    <row r="321" spans="1:30" x14ac:dyDescent="0.25">
      <c r="A321" s="98"/>
      <c r="B321" s="33"/>
      <c r="C321" s="25"/>
      <c r="D321" s="26"/>
      <c r="E321" s="33"/>
      <c r="F321" s="25"/>
      <c r="G321" s="26"/>
      <c r="H321" s="33"/>
      <c r="I321" s="34"/>
      <c r="J321" s="34"/>
      <c r="K321" s="26"/>
      <c r="L321" s="26"/>
      <c r="M321" s="55"/>
      <c r="U321" s="95" t="str">
        <f t="shared" si="30"/>
        <v/>
      </c>
      <c r="V321" s="95" t="str">
        <f t="shared" si="31"/>
        <v/>
      </c>
      <c r="AD321" s="37" t="str">
        <f t="shared" si="32"/>
        <v/>
      </c>
    </row>
    <row r="322" spans="1:30" x14ac:dyDescent="0.25">
      <c r="A322" s="98"/>
      <c r="B322" s="33"/>
      <c r="C322" s="25"/>
      <c r="D322" s="26"/>
      <c r="E322" s="33"/>
      <c r="F322" s="25"/>
      <c r="G322" s="26"/>
      <c r="H322" s="33"/>
      <c r="I322" s="34"/>
      <c r="J322" s="34"/>
      <c r="K322" s="26"/>
      <c r="L322" s="26"/>
      <c r="M322" s="55"/>
      <c r="U322" s="95" t="str">
        <f t="shared" si="30"/>
        <v/>
      </c>
      <c r="V322" s="95" t="str">
        <f t="shared" si="31"/>
        <v/>
      </c>
      <c r="AD322" s="37" t="str">
        <f t="shared" si="32"/>
        <v/>
      </c>
    </row>
    <row r="323" spans="1:30" x14ac:dyDescent="0.25">
      <c r="A323" s="98"/>
      <c r="B323" s="33"/>
      <c r="C323" s="25"/>
      <c r="D323" s="26"/>
      <c r="E323" s="33"/>
      <c r="F323" s="25"/>
      <c r="G323" s="26"/>
      <c r="H323" s="33"/>
      <c r="I323" s="34"/>
      <c r="J323" s="34"/>
      <c r="K323" s="26"/>
      <c r="L323" s="26"/>
      <c r="M323" s="55"/>
      <c r="U323" s="95" t="str">
        <f t="shared" si="30"/>
        <v/>
      </c>
      <c r="V323" s="95" t="str">
        <f t="shared" si="31"/>
        <v/>
      </c>
      <c r="AD323" s="37" t="str">
        <f t="shared" si="32"/>
        <v/>
      </c>
    </row>
    <row r="324" spans="1:30" x14ac:dyDescent="0.25">
      <c r="A324" s="98"/>
      <c r="B324" s="33"/>
      <c r="C324" s="25"/>
      <c r="D324" s="26"/>
      <c r="E324" s="33"/>
      <c r="F324" s="25"/>
      <c r="G324" s="26"/>
      <c r="H324" s="33"/>
      <c r="I324" s="34"/>
      <c r="J324" s="34"/>
      <c r="K324" s="26"/>
      <c r="L324" s="26"/>
      <c r="M324" s="55"/>
      <c r="U324" s="95" t="str">
        <f t="shared" ref="U324:U387" si="33">IF(COUNTIF(Q:Q,O324)*COUNTIF(S:S,O324),O324,"")</f>
        <v/>
      </c>
      <c r="V324" s="95" t="str">
        <f t="shared" ref="V324:V387" si="34">IF(U324&gt;$A$14,U324,"")</f>
        <v/>
      </c>
      <c r="AD324" s="37" t="str">
        <f t="shared" ref="AD324:AD387" si="35">IF(COUNTIF(AB:AB,Z324),Z324,"")</f>
        <v/>
      </c>
    </row>
    <row r="325" spans="1:30" x14ac:dyDescent="0.25">
      <c r="A325" s="98"/>
      <c r="B325" s="33"/>
      <c r="C325" s="25"/>
      <c r="D325" s="26"/>
      <c r="E325" s="33"/>
      <c r="F325" s="25"/>
      <c r="G325" s="26"/>
      <c r="H325" s="33"/>
      <c r="I325" s="34"/>
      <c r="J325" s="34"/>
      <c r="K325" s="26"/>
      <c r="L325" s="26"/>
      <c r="M325" s="55"/>
      <c r="U325" s="95" t="str">
        <f t="shared" si="33"/>
        <v/>
      </c>
      <c r="V325" s="95" t="str">
        <f t="shared" si="34"/>
        <v/>
      </c>
      <c r="AD325" s="37" t="str">
        <f t="shared" si="35"/>
        <v/>
      </c>
    </row>
    <row r="326" spans="1:30" x14ac:dyDescent="0.25">
      <c r="A326" s="98"/>
      <c r="B326" s="33"/>
      <c r="C326" s="25"/>
      <c r="D326" s="26"/>
      <c r="E326" s="33"/>
      <c r="F326" s="25"/>
      <c r="G326" s="26"/>
      <c r="H326" s="33"/>
      <c r="I326" s="34"/>
      <c r="J326" s="34"/>
      <c r="K326" s="26"/>
      <c r="L326" s="26"/>
      <c r="M326" s="55"/>
      <c r="U326" s="95" t="str">
        <f t="shared" si="33"/>
        <v/>
      </c>
      <c r="V326" s="95" t="str">
        <f t="shared" si="34"/>
        <v/>
      </c>
      <c r="AD326" s="37" t="str">
        <f t="shared" si="35"/>
        <v/>
      </c>
    </row>
    <row r="327" spans="1:30" x14ac:dyDescent="0.25">
      <c r="A327" s="98"/>
      <c r="B327" s="33"/>
      <c r="C327" s="25"/>
      <c r="D327" s="26"/>
      <c r="E327" s="33"/>
      <c r="F327" s="25"/>
      <c r="G327" s="26"/>
      <c r="H327" s="33"/>
      <c r="I327" s="34"/>
      <c r="J327" s="34"/>
      <c r="K327" s="26"/>
      <c r="L327" s="26"/>
      <c r="M327" s="55"/>
      <c r="U327" s="95" t="str">
        <f t="shared" si="33"/>
        <v/>
      </c>
      <c r="V327" s="95" t="str">
        <f t="shared" si="34"/>
        <v/>
      </c>
      <c r="AD327" s="37" t="str">
        <f t="shared" si="35"/>
        <v/>
      </c>
    </row>
    <row r="328" spans="1:30" x14ac:dyDescent="0.25">
      <c r="A328" s="98"/>
      <c r="B328" s="33"/>
      <c r="C328" s="25"/>
      <c r="D328" s="26"/>
      <c r="E328" s="33"/>
      <c r="F328" s="25"/>
      <c r="G328" s="26"/>
      <c r="H328" s="33"/>
      <c r="I328" s="34"/>
      <c r="J328" s="34"/>
      <c r="K328" s="26"/>
      <c r="L328" s="26"/>
      <c r="M328" s="55"/>
      <c r="U328" s="95" t="str">
        <f t="shared" si="33"/>
        <v/>
      </c>
      <c r="V328" s="95" t="str">
        <f t="shared" si="34"/>
        <v/>
      </c>
      <c r="AD328" s="37" t="str">
        <f t="shared" si="35"/>
        <v/>
      </c>
    </row>
    <row r="329" spans="1:30" x14ac:dyDescent="0.25">
      <c r="A329" s="98"/>
      <c r="B329" s="33"/>
      <c r="C329" s="25"/>
      <c r="D329" s="26"/>
      <c r="E329" s="33"/>
      <c r="F329" s="25"/>
      <c r="G329" s="26"/>
      <c r="H329" s="33"/>
      <c r="I329" s="34"/>
      <c r="J329" s="34"/>
      <c r="K329" s="26"/>
      <c r="L329" s="26"/>
      <c r="M329" s="55"/>
      <c r="U329" s="95" t="str">
        <f t="shared" si="33"/>
        <v/>
      </c>
      <c r="V329" s="95" t="str">
        <f t="shared" si="34"/>
        <v/>
      </c>
      <c r="AD329" s="37" t="str">
        <f t="shared" si="35"/>
        <v/>
      </c>
    </row>
    <row r="330" spans="1:30" x14ac:dyDescent="0.25">
      <c r="A330" s="98"/>
      <c r="B330" s="33"/>
      <c r="C330" s="25"/>
      <c r="D330" s="26"/>
      <c r="E330" s="33"/>
      <c r="F330" s="25"/>
      <c r="G330" s="26"/>
      <c r="H330" s="33"/>
      <c r="I330" s="34"/>
      <c r="J330" s="34"/>
      <c r="K330" s="26"/>
      <c r="L330" s="26"/>
      <c r="M330" s="55"/>
      <c r="U330" s="95" t="str">
        <f t="shared" si="33"/>
        <v/>
      </c>
      <c r="V330" s="95" t="str">
        <f t="shared" si="34"/>
        <v/>
      </c>
      <c r="AD330" s="37" t="str">
        <f t="shared" si="35"/>
        <v/>
      </c>
    </row>
    <row r="331" spans="1:30" x14ac:dyDescent="0.25">
      <c r="A331" s="98"/>
      <c r="B331" s="33"/>
      <c r="C331" s="25"/>
      <c r="D331" s="26"/>
      <c r="E331" s="33"/>
      <c r="F331" s="25"/>
      <c r="G331" s="26"/>
      <c r="H331" s="33"/>
      <c r="I331" s="34"/>
      <c r="J331" s="34"/>
      <c r="K331" s="26"/>
      <c r="L331" s="26"/>
      <c r="M331" s="55"/>
      <c r="U331" s="95" t="str">
        <f t="shared" si="33"/>
        <v/>
      </c>
      <c r="V331" s="95" t="str">
        <f t="shared" si="34"/>
        <v/>
      </c>
      <c r="AD331" s="37" t="str">
        <f t="shared" si="35"/>
        <v/>
      </c>
    </row>
    <row r="332" spans="1:30" x14ac:dyDescent="0.25">
      <c r="A332" s="98"/>
      <c r="B332" s="33"/>
      <c r="C332" s="25"/>
      <c r="D332" s="26"/>
      <c r="E332" s="33"/>
      <c r="F332" s="25"/>
      <c r="G332" s="26"/>
      <c r="H332" s="33"/>
      <c r="I332" s="34"/>
      <c r="J332" s="34"/>
      <c r="K332" s="26"/>
      <c r="L332" s="26"/>
      <c r="M332" s="55"/>
      <c r="U332" s="95" t="str">
        <f t="shared" si="33"/>
        <v/>
      </c>
      <c r="V332" s="95" t="str">
        <f t="shared" si="34"/>
        <v/>
      </c>
      <c r="AD332" s="37" t="str">
        <f t="shared" si="35"/>
        <v/>
      </c>
    </row>
    <row r="333" spans="1:30" x14ac:dyDescent="0.25">
      <c r="A333" s="98"/>
      <c r="B333" s="33"/>
      <c r="C333" s="25"/>
      <c r="D333" s="26"/>
      <c r="E333" s="33"/>
      <c r="F333" s="25"/>
      <c r="G333" s="26"/>
      <c r="H333" s="33"/>
      <c r="I333" s="34"/>
      <c r="J333" s="34"/>
      <c r="K333" s="26"/>
      <c r="L333" s="26"/>
      <c r="M333" s="55"/>
      <c r="U333" s="95" t="str">
        <f t="shared" si="33"/>
        <v/>
      </c>
      <c r="V333" s="95" t="str">
        <f t="shared" si="34"/>
        <v/>
      </c>
      <c r="AD333" s="37" t="str">
        <f t="shared" si="35"/>
        <v/>
      </c>
    </row>
    <row r="334" spans="1:30" x14ac:dyDescent="0.25">
      <c r="A334" s="98"/>
      <c r="B334" s="33"/>
      <c r="C334" s="25"/>
      <c r="D334" s="26"/>
      <c r="E334" s="33"/>
      <c r="F334" s="25"/>
      <c r="G334" s="26"/>
      <c r="H334" s="33"/>
      <c r="I334" s="34"/>
      <c r="J334" s="34"/>
      <c r="K334" s="26"/>
      <c r="L334" s="26"/>
      <c r="M334" s="55"/>
      <c r="U334" s="95" t="str">
        <f t="shared" si="33"/>
        <v/>
      </c>
      <c r="V334" s="95" t="str">
        <f t="shared" si="34"/>
        <v/>
      </c>
      <c r="AD334" s="37" t="str">
        <f t="shared" si="35"/>
        <v/>
      </c>
    </row>
    <row r="335" spans="1:30" x14ac:dyDescent="0.25">
      <c r="A335" s="98"/>
      <c r="B335" s="33"/>
      <c r="C335" s="25"/>
      <c r="D335" s="26"/>
      <c r="E335" s="33"/>
      <c r="F335" s="25"/>
      <c r="G335" s="26"/>
      <c r="H335" s="33"/>
      <c r="I335" s="34"/>
      <c r="J335" s="34"/>
      <c r="K335" s="26"/>
      <c r="L335" s="26"/>
      <c r="M335" s="55"/>
      <c r="U335" s="95" t="str">
        <f t="shared" si="33"/>
        <v/>
      </c>
      <c r="V335" s="95" t="str">
        <f t="shared" si="34"/>
        <v/>
      </c>
      <c r="AD335" s="37" t="str">
        <f t="shared" si="35"/>
        <v/>
      </c>
    </row>
    <row r="336" spans="1:30" x14ac:dyDescent="0.25">
      <c r="A336" s="98"/>
      <c r="B336" s="33"/>
      <c r="C336" s="25"/>
      <c r="D336" s="26"/>
      <c r="E336" s="33"/>
      <c r="F336" s="25"/>
      <c r="G336" s="26"/>
      <c r="H336" s="33"/>
      <c r="I336" s="34"/>
      <c r="J336" s="34"/>
      <c r="K336" s="26"/>
      <c r="L336" s="26"/>
      <c r="M336" s="55"/>
      <c r="U336" s="95" t="str">
        <f t="shared" si="33"/>
        <v/>
      </c>
      <c r="V336" s="95" t="str">
        <f t="shared" si="34"/>
        <v/>
      </c>
      <c r="AD336" s="37" t="str">
        <f t="shared" si="35"/>
        <v/>
      </c>
    </row>
    <row r="337" spans="1:30" x14ac:dyDescent="0.25">
      <c r="A337" s="98"/>
      <c r="B337" s="33"/>
      <c r="C337" s="25"/>
      <c r="D337" s="26"/>
      <c r="E337" s="33"/>
      <c r="F337" s="25"/>
      <c r="G337" s="26"/>
      <c r="H337" s="33"/>
      <c r="I337" s="34"/>
      <c r="J337" s="34"/>
      <c r="K337" s="26"/>
      <c r="L337" s="26"/>
      <c r="M337" s="55"/>
      <c r="U337" s="95" t="str">
        <f t="shared" si="33"/>
        <v/>
      </c>
      <c r="V337" s="95" t="str">
        <f t="shared" si="34"/>
        <v/>
      </c>
      <c r="AD337" s="37" t="str">
        <f t="shared" si="35"/>
        <v/>
      </c>
    </row>
    <row r="338" spans="1:30" x14ac:dyDescent="0.25">
      <c r="A338" s="98"/>
      <c r="B338" s="33"/>
      <c r="C338" s="25"/>
      <c r="D338" s="26"/>
      <c r="E338" s="33"/>
      <c r="F338" s="25"/>
      <c r="G338" s="26"/>
      <c r="H338" s="33"/>
      <c r="I338" s="34"/>
      <c r="J338" s="34"/>
      <c r="K338" s="26"/>
      <c r="L338" s="26"/>
      <c r="M338" s="55"/>
      <c r="U338" s="95" t="str">
        <f t="shared" si="33"/>
        <v/>
      </c>
      <c r="V338" s="95" t="str">
        <f t="shared" si="34"/>
        <v/>
      </c>
      <c r="AD338" s="37" t="str">
        <f t="shared" si="35"/>
        <v/>
      </c>
    </row>
    <row r="339" spans="1:30" x14ac:dyDescent="0.25">
      <c r="A339" s="98"/>
      <c r="B339" s="33"/>
      <c r="C339" s="25"/>
      <c r="D339" s="26"/>
      <c r="E339" s="33"/>
      <c r="F339" s="25"/>
      <c r="G339" s="26"/>
      <c r="H339" s="33"/>
      <c r="I339" s="34"/>
      <c r="J339" s="34"/>
      <c r="K339" s="26"/>
      <c r="L339" s="26"/>
      <c r="M339" s="55"/>
      <c r="U339" s="95" t="str">
        <f t="shared" si="33"/>
        <v/>
      </c>
      <c r="V339" s="95" t="str">
        <f t="shared" si="34"/>
        <v/>
      </c>
      <c r="AD339" s="37" t="str">
        <f t="shared" si="35"/>
        <v/>
      </c>
    </row>
    <row r="340" spans="1:30" x14ac:dyDescent="0.25">
      <c r="A340" s="98"/>
      <c r="B340" s="33"/>
      <c r="C340" s="25"/>
      <c r="D340" s="26"/>
      <c r="E340" s="33"/>
      <c r="F340" s="25"/>
      <c r="G340" s="26"/>
      <c r="H340" s="33"/>
      <c r="I340" s="34"/>
      <c r="J340" s="34"/>
      <c r="K340" s="26"/>
      <c r="L340" s="26"/>
      <c r="M340" s="55"/>
      <c r="U340" s="95" t="str">
        <f t="shared" si="33"/>
        <v/>
      </c>
      <c r="V340" s="95" t="str">
        <f t="shared" si="34"/>
        <v/>
      </c>
      <c r="AD340" s="37" t="str">
        <f t="shared" si="35"/>
        <v/>
      </c>
    </row>
    <row r="341" spans="1:30" x14ac:dyDescent="0.25">
      <c r="A341" s="98"/>
      <c r="B341" s="33"/>
      <c r="C341" s="25"/>
      <c r="D341" s="26"/>
      <c r="E341" s="33"/>
      <c r="F341" s="25"/>
      <c r="G341" s="26"/>
      <c r="H341" s="33"/>
      <c r="I341" s="34"/>
      <c r="J341" s="34"/>
      <c r="K341" s="26"/>
      <c r="L341" s="26"/>
      <c r="M341" s="55"/>
      <c r="U341" s="95" t="str">
        <f t="shared" si="33"/>
        <v/>
      </c>
      <c r="V341" s="95" t="str">
        <f t="shared" si="34"/>
        <v/>
      </c>
      <c r="AD341" s="37" t="str">
        <f t="shared" si="35"/>
        <v/>
      </c>
    </row>
    <row r="342" spans="1:30" x14ac:dyDescent="0.25">
      <c r="A342" s="98"/>
      <c r="B342" s="33"/>
      <c r="C342" s="25"/>
      <c r="D342" s="26"/>
      <c r="E342" s="33"/>
      <c r="F342" s="25"/>
      <c r="G342" s="26"/>
      <c r="H342" s="33"/>
      <c r="I342" s="34"/>
      <c r="J342" s="34"/>
      <c r="K342" s="26"/>
      <c r="L342" s="26"/>
      <c r="M342" s="55"/>
      <c r="U342" s="95" t="str">
        <f t="shared" si="33"/>
        <v/>
      </c>
      <c r="V342" s="95" t="str">
        <f t="shared" si="34"/>
        <v/>
      </c>
      <c r="AD342" s="37" t="str">
        <f t="shared" si="35"/>
        <v/>
      </c>
    </row>
    <row r="343" spans="1:30" x14ac:dyDescent="0.25">
      <c r="A343" s="98"/>
      <c r="B343" s="33"/>
      <c r="C343" s="25"/>
      <c r="D343" s="26"/>
      <c r="E343" s="33"/>
      <c r="F343" s="25"/>
      <c r="G343" s="26"/>
      <c r="H343" s="33"/>
      <c r="I343" s="34"/>
      <c r="J343" s="34"/>
      <c r="K343" s="26"/>
      <c r="L343" s="26"/>
      <c r="M343" s="55"/>
      <c r="U343" s="95" t="str">
        <f t="shared" si="33"/>
        <v/>
      </c>
      <c r="V343" s="95" t="str">
        <f t="shared" si="34"/>
        <v/>
      </c>
      <c r="AD343" s="37" t="str">
        <f t="shared" si="35"/>
        <v/>
      </c>
    </row>
    <row r="344" spans="1:30" x14ac:dyDescent="0.25">
      <c r="A344" s="98"/>
      <c r="B344" s="33"/>
      <c r="C344" s="25"/>
      <c r="D344" s="26"/>
      <c r="E344" s="33"/>
      <c r="F344" s="25"/>
      <c r="G344" s="26"/>
      <c r="H344" s="33"/>
      <c r="I344" s="34"/>
      <c r="J344" s="34"/>
      <c r="K344" s="26"/>
      <c r="L344" s="26"/>
      <c r="M344" s="55"/>
      <c r="U344" s="95" t="str">
        <f t="shared" si="33"/>
        <v/>
      </c>
      <c r="V344" s="95" t="str">
        <f t="shared" si="34"/>
        <v/>
      </c>
      <c r="AD344" s="37" t="str">
        <f t="shared" si="35"/>
        <v/>
      </c>
    </row>
    <row r="345" spans="1:30" x14ac:dyDescent="0.25">
      <c r="A345" s="98"/>
      <c r="B345" s="33"/>
      <c r="C345" s="25"/>
      <c r="D345" s="26"/>
      <c r="E345" s="33"/>
      <c r="F345" s="25"/>
      <c r="G345" s="26"/>
      <c r="H345" s="33"/>
      <c r="I345" s="34"/>
      <c r="J345" s="34"/>
      <c r="K345" s="26"/>
      <c r="L345" s="26"/>
      <c r="M345" s="55"/>
      <c r="U345" s="95" t="str">
        <f t="shared" si="33"/>
        <v/>
      </c>
      <c r="V345" s="95" t="str">
        <f t="shared" si="34"/>
        <v/>
      </c>
      <c r="AD345" s="37" t="str">
        <f t="shared" si="35"/>
        <v/>
      </c>
    </row>
    <row r="346" spans="1:30" x14ac:dyDescent="0.25">
      <c r="A346" s="98"/>
      <c r="B346" s="33"/>
      <c r="C346" s="25"/>
      <c r="D346" s="26"/>
      <c r="E346" s="33"/>
      <c r="F346" s="25"/>
      <c r="G346" s="26"/>
      <c r="H346" s="33"/>
      <c r="I346" s="34"/>
      <c r="J346" s="34"/>
      <c r="K346" s="26"/>
      <c r="L346" s="26"/>
      <c r="M346" s="55"/>
      <c r="U346" s="95" t="str">
        <f t="shared" si="33"/>
        <v/>
      </c>
      <c r="V346" s="95" t="str">
        <f t="shared" si="34"/>
        <v/>
      </c>
      <c r="AD346" s="37" t="str">
        <f t="shared" si="35"/>
        <v/>
      </c>
    </row>
    <row r="347" spans="1:30" x14ac:dyDescent="0.25">
      <c r="A347" s="98"/>
      <c r="B347" s="33"/>
      <c r="C347" s="25"/>
      <c r="D347" s="26"/>
      <c r="E347" s="33"/>
      <c r="F347" s="25"/>
      <c r="G347" s="26"/>
      <c r="H347" s="33"/>
      <c r="I347" s="34"/>
      <c r="J347" s="34"/>
      <c r="K347" s="26"/>
      <c r="L347" s="26"/>
      <c r="M347" s="55"/>
      <c r="U347" s="95" t="str">
        <f t="shared" si="33"/>
        <v/>
      </c>
      <c r="V347" s="95" t="str">
        <f t="shared" si="34"/>
        <v/>
      </c>
      <c r="AD347" s="37" t="str">
        <f t="shared" si="35"/>
        <v/>
      </c>
    </row>
    <row r="348" spans="1:30" x14ac:dyDescent="0.25">
      <c r="A348" s="98"/>
      <c r="B348" s="33"/>
      <c r="C348" s="25"/>
      <c r="D348" s="26"/>
      <c r="E348" s="33"/>
      <c r="F348" s="25"/>
      <c r="G348" s="26"/>
      <c r="H348" s="33"/>
      <c r="I348" s="34"/>
      <c r="J348" s="34"/>
      <c r="K348" s="26"/>
      <c r="L348" s="26"/>
      <c r="M348" s="55"/>
      <c r="U348" s="95" t="str">
        <f t="shared" si="33"/>
        <v/>
      </c>
      <c r="V348" s="95" t="str">
        <f t="shared" si="34"/>
        <v/>
      </c>
      <c r="AD348" s="37" t="str">
        <f t="shared" si="35"/>
        <v/>
      </c>
    </row>
    <row r="349" spans="1:30" x14ac:dyDescent="0.25">
      <c r="A349" s="98"/>
      <c r="B349" s="33"/>
      <c r="C349" s="25"/>
      <c r="D349" s="26"/>
      <c r="E349" s="33"/>
      <c r="F349" s="25"/>
      <c r="G349" s="26"/>
      <c r="H349" s="33"/>
      <c r="I349" s="34"/>
      <c r="J349" s="34"/>
      <c r="K349" s="26"/>
      <c r="L349" s="26"/>
      <c r="M349" s="55"/>
      <c r="U349" s="95" t="str">
        <f t="shared" si="33"/>
        <v/>
      </c>
      <c r="V349" s="95" t="str">
        <f t="shared" si="34"/>
        <v/>
      </c>
      <c r="AD349" s="37" t="str">
        <f t="shared" si="35"/>
        <v/>
      </c>
    </row>
    <row r="350" spans="1:30" x14ac:dyDescent="0.25">
      <c r="A350" s="98"/>
      <c r="B350" s="33"/>
      <c r="C350" s="25"/>
      <c r="D350" s="26"/>
      <c r="E350" s="33"/>
      <c r="F350" s="25"/>
      <c r="G350" s="26"/>
      <c r="H350" s="33"/>
      <c r="I350" s="34"/>
      <c r="J350" s="34"/>
      <c r="K350" s="26"/>
      <c r="L350" s="26"/>
      <c r="M350" s="55"/>
      <c r="U350" s="95" t="str">
        <f t="shared" si="33"/>
        <v/>
      </c>
      <c r="V350" s="95" t="str">
        <f t="shared" si="34"/>
        <v/>
      </c>
      <c r="AD350" s="37" t="str">
        <f t="shared" si="35"/>
        <v/>
      </c>
    </row>
    <row r="351" spans="1:30" x14ac:dyDescent="0.25">
      <c r="A351" s="98"/>
      <c r="B351" s="33"/>
      <c r="C351" s="25"/>
      <c r="D351" s="26"/>
      <c r="E351" s="33"/>
      <c r="F351" s="25"/>
      <c r="G351" s="26"/>
      <c r="H351" s="33"/>
      <c r="I351" s="34"/>
      <c r="J351" s="34"/>
      <c r="K351" s="26"/>
      <c r="L351" s="26"/>
      <c r="M351" s="55"/>
      <c r="U351" s="95" t="str">
        <f t="shared" si="33"/>
        <v/>
      </c>
      <c r="V351" s="95" t="str">
        <f t="shared" si="34"/>
        <v/>
      </c>
      <c r="AD351" s="37" t="str">
        <f t="shared" si="35"/>
        <v/>
      </c>
    </row>
    <row r="352" spans="1:30" x14ac:dyDescent="0.25">
      <c r="A352" s="98"/>
      <c r="B352" s="33"/>
      <c r="C352" s="25"/>
      <c r="D352" s="26"/>
      <c r="E352" s="33"/>
      <c r="F352" s="25"/>
      <c r="G352" s="26"/>
      <c r="H352" s="33"/>
      <c r="I352" s="34"/>
      <c r="J352" s="34"/>
      <c r="K352" s="26"/>
      <c r="L352" s="26"/>
      <c r="M352" s="55"/>
      <c r="U352" s="95" t="str">
        <f t="shared" si="33"/>
        <v/>
      </c>
      <c r="V352" s="95" t="str">
        <f t="shared" si="34"/>
        <v/>
      </c>
      <c r="AD352" s="37" t="str">
        <f t="shared" si="35"/>
        <v/>
      </c>
    </row>
    <row r="353" spans="1:30" x14ac:dyDescent="0.25">
      <c r="A353" s="98"/>
      <c r="B353" s="33"/>
      <c r="C353" s="25"/>
      <c r="D353" s="26"/>
      <c r="E353" s="33"/>
      <c r="F353" s="25"/>
      <c r="G353" s="26"/>
      <c r="H353" s="33"/>
      <c r="I353" s="34"/>
      <c r="J353" s="34"/>
      <c r="K353" s="26"/>
      <c r="L353" s="26"/>
      <c r="M353" s="55"/>
      <c r="U353" s="95" t="str">
        <f t="shared" si="33"/>
        <v/>
      </c>
      <c r="V353" s="95" t="str">
        <f t="shared" si="34"/>
        <v/>
      </c>
      <c r="AD353" s="37" t="str">
        <f t="shared" si="35"/>
        <v/>
      </c>
    </row>
    <row r="354" spans="1:30" x14ac:dyDescent="0.25">
      <c r="A354" s="98"/>
      <c r="B354" s="33"/>
      <c r="C354" s="25"/>
      <c r="D354" s="26"/>
      <c r="E354" s="33"/>
      <c r="F354" s="25"/>
      <c r="G354" s="26"/>
      <c r="H354" s="33"/>
      <c r="I354" s="34"/>
      <c r="J354" s="34"/>
      <c r="K354" s="26"/>
      <c r="L354" s="26"/>
      <c r="M354" s="55"/>
      <c r="U354" s="95" t="str">
        <f t="shared" si="33"/>
        <v/>
      </c>
      <c r="V354" s="95" t="str">
        <f t="shared" si="34"/>
        <v/>
      </c>
      <c r="AD354" s="37" t="str">
        <f t="shared" si="35"/>
        <v/>
      </c>
    </row>
    <row r="355" spans="1:30" x14ac:dyDescent="0.25">
      <c r="A355" s="98"/>
      <c r="B355" s="33"/>
      <c r="C355" s="25"/>
      <c r="D355" s="26"/>
      <c r="E355" s="33"/>
      <c r="F355" s="25"/>
      <c r="G355" s="26"/>
      <c r="H355" s="33"/>
      <c r="I355" s="34"/>
      <c r="J355" s="34"/>
      <c r="K355" s="26"/>
      <c r="L355" s="26"/>
      <c r="M355" s="55"/>
      <c r="U355" s="95" t="str">
        <f t="shared" si="33"/>
        <v/>
      </c>
      <c r="V355" s="95" t="str">
        <f t="shared" si="34"/>
        <v/>
      </c>
      <c r="AD355" s="37" t="str">
        <f t="shared" si="35"/>
        <v/>
      </c>
    </row>
    <row r="356" spans="1:30" x14ac:dyDescent="0.25">
      <c r="A356" s="98"/>
      <c r="B356" s="33"/>
      <c r="C356" s="25"/>
      <c r="D356" s="26"/>
      <c r="E356" s="33"/>
      <c r="F356" s="25"/>
      <c r="G356" s="26"/>
      <c r="H356" s="33"/>
      <c r="I356" s="34"/>
      <c r="J356" s="34"/>
      <c r="K356" s="26"/>
      <c r="L356" s="26"/>
      <c r="M356" s="55"/>
      <c r="U356" s="95" t="str">
        <f t="shared" si="33"/>
        <v/>
      </c>
      <c r="V356" s="95" t="str">
        <f t="shared" si="34"/>
        <v/>
      </c>
      <c r="AD356" s="37" t="str">
        <f t="shared" si="35"/>
        <v/>
      </c>
    </row>
    <row r="357" spans="1:30" x14ac:dyDescent="0.25">
      <c r="A357" s="98"/>
      <c r="B357" s="33"/>
      <c r="C357" s="25"/>
      <c r="D357" s="26"/>
      <c r="E357" s="33"/>
      <c r="F357" s="25"/>
      <c r="G357" s="26"/>
      <c r="H357" s="33"/>
      <c r="I357" s="34"/>
      <c r="J357" s="34"/>
      <c r="K357" s="26"/>
      <c r="L357" s="26"/>
      <c r="M357" s="55"/>
      <c r="U357" s="95" t="str">
        <f t="shared" si="33"/>
        <v/>
      </c>
      <c r="V357" s="95" t="str">
        <f t="shared" si="34"/>
        <v/>
      </c>
      <c r="AD357" s="37" t="str">
        <f t="shared" si="35"/>
        <v/>
      </c>
    </row>
    <row r="358" spans="1:30" x14ac:dyDescent="0.25">
      <c r="A358" s="98"/>
      <c r="B358" s="33"/>
      <c r="C358" s="25"/>
      <c r="D358" s="26"/>
      <c r="E358" s="33"/>
      <c r="F358" s="25"/>
      <c r="G358" s="26"/>
      <c r="H358" s="33"/>
      <c r="I358" s="34"/>
      <c r="J358" s="34"/>
      <c r="K358" s="26"/>
      <c r="L358" s="26"/>
      <c r="M358" s="55"/>
      <c r="U358" s="95" t="str">
        <f t="shared" si="33"/>
        <v/>
      </c>
      <c r="V358" s="95" t="str">
        <f t="shared" si="34"/>
        <v/>
      </c>
      <c r="AD358" s="37" t="str">
        <f t="shared" si="35"/>
        <v/>
      </c>
    </row>
    <row r="359" spans="1:30" x14ac:dyDescent="0.25">
      <c r="A359" s="98"/>
      <c r="B359" s="33"/>
      <c r="C359" s="25"/>
      <c r="D359" s="26"/>
      <c r="E359" s="33"/>
      <c r="F359" s="25"/>
      <c r="G359" s="26"/>
      <c r="H359" s="33"/>
      <c r="I359" s="34"/>
      <c r="J359" s="34"/>
      <c r="K359" s="26"/>
      <c r="L359" s="26"/>
      <c r="M359" s="55"/>
      <c r="U359" s="95" t="str">
        <f t="shared" si="33"/>
        <v/>
      </c>
      <c r="V359" s="95" t="str">
        <f t="shared" si="34"/>
        <v/>
      </c>
      <c r="AD359" s="37" t="str">
        <f t="shared" si="35"/>
        <v/>
      </c>
    </row>
    <row r="360" spans="1:30" x14ac:dyDescent="0.25">
      <c r="A360" s="98"/>
      <c r="B360" s="33"/>
      <c r="C360" s="25"/>
      <c r="D360" s="26"/>
      <c r="E360" s="33"/>
      <c r="F360" s="25"/>
      <c r="G360" s="26"/>
      <c r="H360" s="33"/>
      <c r="I360" s="34"/>
      <c r="J360" s="34"/>
      <c r="K360" s="26"/>
      <c r="L360" s="26"/>
      <c r="M360" s="55"/>
      <c r="U360" s="95" t="str">
        <f t="shared" si="33"/>
        <v/>
      </c>
      <c r="V360" s="95" t="str">
        <f t="shared" si="34"/>
        <v/>
      </c>
      <c r="AD360" s="37" t="str">
        <f t="shared" si="35"/>
        <v/>
      </c>
    </row>
    <row r="361" spans="1:30" x14ac:dyDescent="0.25">
      <c r="A361" s="98"/>
      <c r="B361" s="33"/>
      <c r="C361" s="25"/>
      <c r="D361" s="26"/>
      <c r="E361" s="33"/>
      <c r="F361" s="25"/>
      <c r="G361" s="26"/>
      <c r="H361" s="33"/>
      <c r="I361" s="34"/>
      <c r="J361" s="34"/>
      <c r="K361" s="26"/>
      <c r="L361" s="26"/>
      <c r="M361" s="55"/>
      <c r="U361" s="95" t="str">
        <f t="shared" si="33"/>
        <v/>
      </c>
      <c r="V361" s="95" t="str">
        <f t="shared" si="34"/>
        <v/>
      </c>
      <c r="AD361" s="37" t="str">
        <f t="shared" si="35"/>
        <v/>
      </c>
    </row>
    <row r="362" spans="1:30" x14ac:dyDescent="0.25">
      <c r="A362" s="98"/>
      <c r="B362" s="33"/>
      <c r="C362" s="25"/>
      <c r="D362" s="26"/>
      <c r="E362" s="33"/>
      <c r="F362" s="25"/>
      <c r="G362" s="26"/>
      <c r="H362" s="33"/>
      <c r="I362" s="34"/>
      <c r="J362" s="34"/>
      <c r="K362" s="26"/>
      <c r="L362" s="26"/>
      <c r="M362" s="55"/>
      <c r="U362" s="95" t="str">
        <f t="shared" si="33"/>
        <v/>
      </c>
      <c r="V362" s="95" t="str">
        <f t="shared" si="34"/>
        <v/>
      </c>
      <c r="AD362" s="37" t="str">
        <f t="shared" si="35"/>
        <v/>
      </c>
    </row>
    <row r="363" spans="1:30" x14ac:dyDescent="0.25">
      <c r="A363" s="98"/>
      <c r="B363" s="33"/>
      <c r="C363" s="25"/>
      <c r="D363" s="26"/>
      <c r="E363" s="33"/>
      <c r="F363" s="25"/>
      <c r="G363" s="26"/>
      <c r="H363" s="33"/>
      <c r="I363" s="34"/>
      <c r="J363" s="34"/>
      <c r="K363" s="26"/>
      <c r="L363" s="26"/>
      <c r="M363" s="55"/>
      <c r="U363" s="95" t="str">
        <f t="shared" si="33"/>
        <v/>
      </c>
      <c r="V363" s="95" t="str">
        <f t="shared" si="34"/>
        <v/>
      </c>
      <c r="AD363" s="37" t="str">
        <f t="shared" si="35"/>
        <v/>
      </c>
    </row>
    <row r="364" spans="1:30" x14ac:dyDescent="0.25">
      <c r="A364" s="98"/>
      <c r="B364" s="33"/>
      <c r="C364" s="25"/>
      <c r="D364" s="26"/>
      <c r="E364" s="33"/>
      <c r="F364" s="25"/>
      <c r="G364" s="26"/>
      <c r="H364" s="33"/>
      <c r="I364" s="34"/>
      <c r="J364" s="34"/>
      <c r="K364" s="26"/>
      <c r="L364" s="26"/>
      <c r="M364" s="55"/>
      <c r="U364" s="95" t="str">
        <f t="shared" si="33"/>
        <v/>
      </c>
      <c r="V364" s="95" t="str">
        <f t="shared" si="34"/>
        <v/>
      </c>
      <c r="AD364" s="37" t="str">
        <f t="shared" si="35"/>
        <v/>
      </c>
    </row>
    <row r="365" spans="1:30" x14ac:dyDescent="0.25">
      <c r="A365" s="98"/>
      <c r="B365" s="33"/>
      <c r="C365" s="25"/>
      <c r="D365" s="26"/>
      <c r="E365" s="33"/>
      <c r="F365" s="25"/>
      <c r="G365" s="26"/>
      <c r="H365" s="33"/>
      <c r="I365" s="34"/>
      <c r="J365" s="34"/>
      <c r="K365" s="26"/>
      <c r="L365" s="26"/>
      <c r="M365" s="55"/>
      <c r="U365" s="95" t="str">
        <f t="shared" si="33"/>
        <v/>
      </c>
      <c r="V365" s="95" t="str">
        <f t="shared" si="34"/>
        <v/>
      </c>
      <c r="AD365" s="37" t="str">
        <f t="shared" si="35"/>
        <v/>
      </c>
    </row>
    <row r="366" spans="1:30" x14ac:dyDescent="0.25">
      <c r="A366" s="98"/>
      <c r="B366" s="33"/>
      <c r="C366" s="25"/>
      <c r="D366" s="26"/>
      <c r="E366" s="33"/>
      <c r="F366" s="25"/>
      <c r="G366" s="26"/>
      <c r="H366" s="33"/>
      <c r="I366" s="34"/>
      <c r="J366" s="34"/>
      <c r="K366" s="26"/>
      <c r="L366" s="26"/>
      <c r="M366" s="55"/>
      <c r="U366" s="95" t="str">
        <f t="shared" si="33"/>
        <v/>
      </c>
      <c r="V366" s="95" t="str">
        <f t="shared" si="34"/>
        <v/>
      </c>
      <c r="AD366" s="37" t="str">
        <f t="shared" si="35"/>
        <v/>
      </c>
    </row>
    <row r="367" spans="1:30" x14ac:dyDescent="0.25">
      <c r="A367" s="98"/>
      <c r="B367" s="33"/>
      <c r="C367" s="25"/>
      <c r="D367" s="26"/>
      <c r="E367" s="33"/>
      <c r="F367" s="25"/>
      <c r="G367" s="26"/>
      <c r="H367" s="33"/>
      <c r="I367" s="34"/>
      <c r="J367" s="34"/>
      <c r="K367" s="26"/>
      <c r="L367" s="26"/>
      <c r="M367" s="55"/>
      <c r="U367" s="95" t="str">
        <f t="shared" si="33"/>
        <v/>
      </c>
      <c r="V367" s="95" t="str">
        <f t="shared" si="34"/>
        <v/>
      </c>
      <c r="AD367" s="37" t="str">
        <f t="shared" si="35"/>
        <v/>
      </c>
    </row>
    <row r="368" spans="1:30" x14ac:dyDescent="0.25">
      <c r="A368" s="98"/>
      <c r="B368" s="33"/>
      <c r="C368" s="25"/>
      <c r="D368" s="26"/>
      <c r="E368" s="33"/>
      <c r="F368" s="25"/>
      <c r="G368" s="26"/>
      <c r="H368" s="33"/>
      <c r="I368" s="34"/>
      <c r="J368" s="34"/>
      <c r="K368" s="26"/>
      <c r="L368" s="26"/>
      <c r="M368" s="55"/>
      <c r="U368" s="95" t="str">
        <f t="shared" si="33"/>
        <v/>
      </c>
      <c r="V368" s="95" t="str">
        <f t="shared" si="34"/>
        <v/>
      </c>
      <c r="AD368" s="37" t="str">
        <f t="shared" si="35"/>
        <v/>
      </c>
    </row>
    <row r="369" spans="1:30" x14ac:dyDescent="0.25">
      <c r="A369" s="98"/>
      <c r="B369" s="33"/>
      <c r="C369" s="25"/>
      <c r="D369" s="26"/>
      <c r="E369" s="33"/>
      <c r="F369" s="25"/>
      <c r="G369" s="26"/>
      <c r="H369" s="33"/>
      <c r="I369" s="34"/>
      <c r="J369" s="34"/>
      <c r="K369" s="26"/>
      <c r="L369" s="26"/>
      <c r="M369" s="55"/>
      <c r="U369" s="95" t="str">
        <f t="shared" si="33"/>
        <v/>
      </c>
      <c r="V369" s="95" t="str">
        <f t="shared" si="34"/>
        <v/>
      </c>
      <c r="AD369" s="37" t="str">
        <f t="shared" si="35"/>
        <v/>
      </c>
    </row>
    <row r="370" spans="1:30" x14ac:dyDescent="0.25">
      <c r="A370" s="98"/>
      <c r="B370" s="33"/>
      <c r="C370" s="25"/>
      <c r="D370" s="26"/>
      <c r="E370" s="33"/>
      <c r="F370" s="25"/>
      <c r="G370" s="26"/>
      <c r="H370" s="33"/>
      <c r="I370" s="34"/>
      <c r="J370" s="34"/>
      <c r="K370" s="26"/>
      <c r="L370" s="26"/>
      <c r="M370" s="55"/>
      <c r="U370" s="95" t="str">
        <f t="shared" si="33"/>
        <v/>
      </c>
      <c r="V370" s="95" t="str">
        <f t="shared" si="34"/>
        <v/>
      </c>
      <c r="AD370" s="37" t="str">
        <f t="shared" si="35"/>
        <v/>
      </c>
    </row>
    <row r="371" spans="1:30" x14ac:dyDescent="0.25">
      <c r="A371" s="98"/>
      <c r="B371" s="33"/>
      <c r="C371" s="25"/>
      <c r="D371" s="26"/>
      <c r="E371" s="33"/>
      <c r="F371" s="25"/>
      <c r="G371" s="26"/>
      <c r="H371" s="33"/>
      <c r="I371" s="34"/>
      <c r="J371" s="34"/>
      <c r="K371" s="26"/>
      <c r="L371" s="26"/>
      <c r="M371" s="55"/>
      <c r="U371" s="95" t="str">
        <f t="shared" si="33"/>
        <v/>
      </c>
      <c r="V371" s="95" t="str">
        <f t="shared" si="34"/>
        <v/>
      </c>
      <c r="AD371" s="37" t="str">
        <f t="shared" si="35"/>
        <v/>
      </c>
    </row>
    <row r="372" spans="1:30" x14ac:dyDescent="0.25">
      <c r="A372" s="98"/>
      <c r="B372" s="33"/>
      <c r="C372" s="25"/>
      <c r="D372" s="26"/>
      <c r="E372" s="33"/>
      <c r="F372" s="25"/>
      <c r="G372" s="26"/>
      <c r="H372" s="33"/>
      <c r="I372" s="34"/>
      <c r="J372" s="34"/>
      <c r="K372" s="26"/>
      <c r="L372" s="26"/>
      <c r="M372" s="55"/>
      <c r="U372" s="95" t="str">
        <f t="shared" si="33"/>
        <v/>
      </c>
      <c r="V372" s="95" t="str">
        <f t="shared" si="34"/>
        <v/>
      </c>
      <c r="AD372" s="37" t="str">
        <f t="shared" si="35"/>
        <v/>
      </c>
    </row>
    <row r="373" spans="1:30" x14ac:dyDescent="0.25">
      <c r="A373" s="98"/>
      <c r="B373" s="33"/>
      <c r="C373" s="25"/>
      <c r="D373" s="26"/>
      <c r="E373" s="33"/>
      <c r="F373" s="25"/>
      <c r="G373" s="26"/>
      <c r="H373" s="33"/>
      <c r="I373" s="34"/>
      <c r="J373" s="34"/>
      <c r="K373" s="26"/>
      <c r="L373" s="26"/>
      <c r="M373" s="55"/>
      <c r="U373" s="95" t="str">
        <f t="shared" si="33"/>
        <v/>
      </c>
      <c r="V373" s="95" t="str">
        <f t="shared" si="34"/>
        <v/>
      </c>
      <c r="AD373" s="37" t="str">
        <f t="shared" si="35"/>
        <v/>
      </c>
    </row>
    <row r="374" spans="1:30" x14ac:dyDescent="0.25">
      <c r="A374" s="98"/>
      <c r="B374" s="33"/>
      <c r="C374" s="25"/>
      <c r="D374" s="26"/>
      <c r="E374" s="33"/>
      <c r="F374" s="25"/>
      <c r="G374" s="26"/>
      <c r="H374" s="33"/>
      <c r="I374" s="34"/>
      <c r="J374" s="34"/>
      <c r="K374" s="26"/>
      <c r="L374" s="26"/>
      <c r="M374" s="55"/>
      <c r="U374" s="95" t="str">
        <f t="shared" si="33"/>
        <v/>
      </c>
      <c r="V374" s="95" t="str">
        <f t="shared" si="34"/>
        <v/>
      </c>
      <c r="AD374" s="37" t="str">
        <f t="shared" si="35"/>
        <v/>
      </c>
    </row>
    <row r="375" spans="1:30" x14ac:dyDescent="0.25">
      <c r="A375" s="98"/>
      <c r="B375" s="33"/>
      <c r="C375" s="25"/>
      <c r="D375" s="26"/>
      <c r="E375" s="33"/>
      <c r="F375" s="25"/>
      <c r="G375" s="26"/>
      <c r="H375" s="33"/>
      <c r="I375" s="34"/>
      <c r="J375" s="34"/>
      <c r="K375" s="26"/>
      <c r="L375" s="26"/>
      <c r="M375" s="55"/>
      <c r="U375" s="95" t="str">
        <f t="shared" si="33"/>
        <v/>
      </c>
      <c r="V375" s="95" t="str">
        <f t="shared" si="34"/>
        <v/>
      </c>
      <c r="AD375" s="37" t="str">
        <f t="shared" si="35"/>
        <v/>
      </c>
    </row>
    <row r="376" spans="1:30" x14ac:dyDescent="0.25">
      <c r="A376" s="98"/>
      <c r="B376" s="33"/>
      <c r="C376" s="25"/>
      <c r="D376" s="26"/>
      <c r="E376" s="33"/>
      <c r="F376" s="25"/>
      <c r="G376" s="26"/>
      <c r="H376" s="33"/>
      <c r="I376" s="34"/>
      <c r="J376" s="34"/>
      <c r="K376" s="26"/>
      <c r="L376" s="26"/>
      <c r="M376" s="55"/>
      <c r="U376" s="95" t="str">
        <f t="shared" si="33"/>
        <v/>
      </c>
      <c r="V376" s="95" t="str">
        <f t="shared" si="34"/>
        <v/>
      </c>
      <c r="AD376" s="37" t="str">
        <f t="shared" si="35"/>
        <v/>
      </c>
    </row>
    <row r="377" spans="1:30" x14ac:dyDescent="0.25">
      <c r="A377" s="98"/>
      <c r="B377" s="33"/>
      <c r="C377" s="25"/>
      <c r="D377" s="26"/>
      <c r="E377" s="33"/>
      <c r="F377" s="25"/>
      <c r="G377" s="26"/>
      <c r="H377" s="33"/>
      <c r="I377" s="34"/>
      <c r="J377" s="34"/>
      <c r="K377" s="26"/>
      <c r="L377" s="26"/>
      <c r="M377" s="55"/>
      <c r="U377" s="95" t="str">
        <f t="shared" si="33"/>
        <v/>
      </c>
      <c r="V377" s="95" t="str">
        <f t="shared" si="34"/>
        <v/>
      </c>
      <c r="AD377" s="37" t="str">
        <f t="shared" si="35"/>
        <v/>
      </c>
    </row>
    <row r="378" spans="1:30" x14ac:dyDescent="0.25">
      <c r="A378" s="98"/>
      <c r="B378" s="33"/>
      <c r="C378" s="25"/>
      <c r="D378" s="26"/>
      <c r="E378" s="33"/>
      <c r="F378" s="25"/>
      <c r="G378" s="26"/>
      <c r="H378" s="33"/>
      <c r="I378" s="34"/>
      <c r="J378" s="34"/>
      <c r="K378" s="26"/>
      <c r="L378" s="26"/>
      <c r="M378" s="55"/>
      <c r="U378" s="95" t="str">
        <f t="shared" si="33"/>
        <v/>
      </c>
      <c r="V378" s="95" t="str">
        <f t="shared" si="34"/>
        <v/>
      </c>
      <c r="AD378" s="37" t="str">
        <f t="shared" si="35"/>
        <v/>
      </c>
    </row>
    <row r="379" spans="1:30" x14ac:dyDescent="0.25">
      <c r="A379" s="98"/>
      <c r="B379" s="33"/>
      <c r="C379" s="25"/>
      <c r="D379" s="26"/>
      <c r="E379" s="33"/>
      <c r="F379" s="25"/>
      <c r="G379" s="26"/>
      <c r="H379" s="33"/>
      <c r="I379" s="34"/>
      <c r="J379" s="34"/>
      <c r="K379" s="26"/>
      <c r="L379" s="26"/>
      <c r="M379" s="55"/>
      <c r="U379" s="95" t="str">
        <f t="shared" si="33"/>
        <v/>
      </c>
      <c r="V379" s="95" t="str">
        <f t="shared" si="34"/>
        <v/>
      </c>
      <c r="AD379" s="37" t="str">
        <f t="shared" si="35"/>
        <v/>
      </c>
    </row>
    <row r="380" spans="1:30" x14ac:dyDescent="0.25">
      <c r="A380" s="98"/>
      <c r="B380" s="33"/>
      <c r="C380" s="25"/>
      <c r="D380" s="26"/>
      <c r="E380" s="33"/>
      <c r="F380" s="25"/>
      <c r="G380" s="26"/>
      <c r="H380" s="33"/>
      <c r="I380" s="34"/>
      <c r="J380" s="34"/>
      <c r="K380" s="26"/>
      <c r="L380" s="26"/>
      <c r="M380" s="55"/>
      <c r="U380" s="95" t="str">
        <f t="shared" si="33"/>
        <v/>
      </c>
      <c r="V380" s="95" t="str">
        <f t="shared" si="34"/>
        <v/>
      </c>
      <c r="AD380" s="37" t="str">
        <f t="shared" si="35"/>
        <v/>
      </c>
    </row>
    <row r="381" spans="1:30" x14ac:dyDescent="0.25">
      <c r="A381" s="98"/>
      <c r="B381" s="33"/>
      <c r="C381" s="25"/>
      <c r="D381" s="26"/>
      <c r="E381" s="33"/>
      <c r="F381" s="25"/>
      <c r="G381" s="26"/>
      <c r="H381" s="33"/>
      <c r="I381" s="34"/>
      <c r="J381" s="34"/>
      <c r="K381" s="26"/>
      <c r="L381" s="26"/>
      <c r="M381" s="55"/>
      <c r="U381" s="95" t="str">
        <f t="shared" si="33"/>
        <v/>
      </c>
      <c r="V381" s="95" t="str">
        <f t="shared" si="34"/>
        <v/>
      </c>
      <c r="AD381" s="37" t="str">
        <f t="shared" si="35"/>
        <v/>
      </c>
    </row>
    <row r="382" spans="1:30" x14ac:dyDescent="0.25">
      <c r="A382" s="98"/>
      <c r="B382" s="33"/>
      <c r="C382" s="25"/>
      <c r="D382" s="26"/>
      <c r="E382" s="33"/>
      <c r="F382" s="25"/>
      <c r="G382" s="26"/>
      <c r="H382" s="33"/>
      <c r="I382" s="34"/>
      <c r="J382" s="34"/>
      <c r="K382" s="26"/>
      <c r="L382" s="26"/>
      <c r="M382" s="55"/>
      <c r="U382" s="95" t="str">
        <f t="shared" si="33"/>
        <v/>
      </c>
      <c r="V382" s="95" t="str">
        <f t="shared" si="34"/>
        <v/>
      </c>
      <c r="AD382" s="37" t="str">
        <f t="shared" si="35"/>
        <v/>
      </c>
    </row>
    <row r="383" spans="1:30" x14ac:dyDescent="0.25">
      <c r="A383" s="98"/>
      <c r="B383" s="33"/>
      <c r="C383" s="25"/>
      <c r="D383" s="26"/>
      <c r="E383" s="33"/>
      <c r="F383" s="25"/>
      <c r="G383" s="26"/>
      <c r="H383" s="33"/>
      <c r="I383" s="34"/>
      <c r="J383" s="34"/>
      <c r="K383" s="26"/>
      <c r="L383" s="26"/>
      <c r="M383" s="55"/>
      <c r="U383" s="95" t="str">
        <f t="shared" si="33"/>
        <v/>
      </c>
      <c r="V383" s="95" t="str">
        <f t="shared" si="34"/>
        <v/>
      </c>
      <c r="AD383" s="37" t="str">
        <f t="shared" si="35"/>
        <v/>
      </c>
    </row>
    <row r="384" spans="1:30" x14ac:dyDescent="0.25">
      <c r="A384" s="98"/>
      <c r="B384" s="33"/>
      <c r="C384" s="25"/>
      <c r="D384" s="26"/>
      <c r="E384" s="33"/>
      <c r="F384" s="25"/>
      <c r="G384" s="26"/>
      <c r="H384" s="33"/>
      <c r="I384" s="34"/>
      <c r="J384" s="34"/>
      <c r="K384" s="26"/>
      <c r="L384" s="26"/>
      <c r="M384" s="55"/>
      <c r="U384" s="95" t="str">
        <f t="shared" si="33"/>
        <v/>
      </c>
      <c r="V384" s="95" t="str">
        <f t="shared" si="34"/>
        <v/>
      </c>
      <c r="AD384" s="37" t="str">
        <f t="shared" si="35"/>
        <v/>
      </c>
    </row>
    <row r="385" spans="1:30" x14ac:dyDescent="0.25">
      <c r="A385" s="98"/>
      <c r="B385" s="33"/>
      <c r="C385" s="25"/>
      <c r="D385" s="26"/>
      <c r="E385" s="33"/>
      <c r="F385" s="25"/>
      <c r="G385" s="26"/>
      <c r="H385" s="33"/>
      <c r="I385" s="34"/>
      <c r="J385" s="34"/>
      <c r="K385" s="26"/>
      <c r="L385" s="26"/>
      <c r="M385" s="55"/>
      <c r="U385" s="95" t="str">
        <f t="shared" si="33"/>
        <v/>
      </c>
      <c r="V385" s="95" t="str">
        <f t="shared" si="34"/>
        <v/>
      </c>
      <c r="AD385" s="37" t="str">
        <f t="shared" si="35"/>
        <v/>
      </c>
    </row>
    <row r="386" spans="1:30" x14ac:dyDescent="0.25">
      <c r="A386" s="98"/>
      <c r="B386" s="33"/>
      <c r="C386" s="25"/>
      <c r="D386" s="26"/>
      <c r="E386" s="33"/>
      <c r="F386" s="25"/>
      <c r="G386" s="26"/>
      <c r="H386" s="33"/>
      <c r="I386" s="34"/>
      <c r="J386" s="34"/>
      <c r="K386" s="26"/>
      <c r="L386" s="26"/>
      <c r="M386" s="55"/>
      <c r="U386" s="95" t="str">
        <f t="shared" si="33"/>
        <v/>
      </c>
      <c r="V386" s="95" t="str">
        <f t="shared" si="34"/>
        <v/>
      </c>
      <c r="AD386" s="37" t="str">
        <f t="shared" si="35"/>
        <v/>
      </c>
    </row>
    <row r="387" spans="1:30" x14ac:dyDescent="0.25">
      <c r="A387" s="98"/>
      <c r="B387" s="33"/>
      <c r="C387" s="25"/>
      <c r="D387" s="26"/>
      <c r="E387" s="33"/>
      <c r="F387" s="25"/>
      <c r="G387" s="26"/>
      <c r="H387" s="33"/>
      <c r="I387" s="34"/>
      <c r="J387" s="34"/>
      <c r="K387" s="26"/>
      <c r="L387" s="26"/>
      <c r="M387" s="55"/>
      <c r="U387" s="95" t="str">
        <f t="shared" si="33"/>
        <v/>
      </c>
      <c r="V387" s="95" t="str">
        <f t="shared" si="34"/>
        <v/>
      </c>
      <c r="AD387" s="37" t="str">
        <f t="shared" si="35"/>
        <v/>
      </c>
    </row>
    <row r="388" spans="1:30" x14ac:dyDescent="0.25">
      <c r="A388" s="98"/>
      <c r="B388" s="33"/>
      <c r="C388" s="25"/>
      <c r="D388" s="26"/>
      <c r="E388" s="33"/>
      <c r="F388" s="25"/>
      <c r="G388" s="26"/>
      <c r="H388" s="33"/>
      <c r="I388" s="34"/>
      <c r="J388" s="34"/>
      <c r="K388" s="26"/>
      <c r="L388" s="26"/>
      <c r="M388" s="55"/>
      <c r="U388" s="95" t="str">
        <f t="shared" ref="U388:U451" si="36">IF(COUNTIF(Q:Q,O388)*COUNTIF(S:S,O388),O388,"")</f>
        <v/>
      </c>
      <c r="V388" s="95" t="str">
        <f t="shared" ref="V388:V451" si="37">IF(U388&gt;$A$14,U388,"")</f>
        <v/>
      </c>
      <c r="AD388" s="37" t="str">
        <f t="shared" ref="AD388:AD421" si="38">IF(COUNTIF(AB:AB,Z388),Z388,"")</f>
        <v/>
      </c>
    </row>
    <row r="389" spans="1:30" x14ac:dyDescent="0.25">
      <c r="A389" s="98"/>
      <c r="B389" s="33"/>
      <c r="C389" s="25"/>
      <c r="D389" s="26"/>
      <c r="E389" s="33"/>
      <c r="F389" s="25"/>
      <c r="G389" s="26"/>
      <c r="H389" s="33"/>
      <c r="I389" s="34"/>
      <c r="J389" s="34"/>
      <c r="K389" s="26"/>
      <c r="L389" s="26"/>
      <c r="M389" s="55"/>
      <c r="U389" s="95" t="str">
        <f t="shared" si="36"/>
        <v/>
      </c>
      <c r="V389" s="95" t="str">
        <f t="shared" si="37"/>
        <v/>
      </c>
      <c r="AD389" s="37" t="str">
        <f t="shared" si="38"/>
        <v/>
      </c>
    </row>
    <row r="390" spans="1:30" x14ac:dyDescent="0.25">
      <c r="A390" s="98"/>
      <c r="B390" s="33"/>
      <c r="C390" s="25"/>
      <c r="D390" s="26"/>
      <c r="E390" s="33"/>
      <c r="F390" s="25"/>
      <c r="G390" s="26"/>
      <c r="H390" s="33"/>
      <c r="I390" s="34"/>
      <c r="J390" s="34"/>
      <c r="K390" s="26"/>
      <c r="L390" s="26"/>
      <c r="M390" s="55"/>
      <c r="U390" s="95" t="str">
        <f t="shared" si="36"/>
        <v/>
      </c>
      <c r="V390" s="95" t="str">
        <f t="shared" si="37"/>
        <v/>
      </c>
      <c r="AD390" s="37" t="str">
        <f t="shared" si="38"/>
        <v/>
      </c>
    </row>
    <row r="391" spans="1:30" x14ac:dyDescent="0.25">
      <c r="A391" s="98"/>
      <c r="B391" s="33"/>
      <c r="C391" s="25"/>
      <c r="D391" s="26"/>
      <c r="E391" s="33"/>
      <c r="F391" s="25"/>
      <c r="G391" s="26"/>
      <c r="H391" s="33"/>
      <c r="I391" s="34"/>
      <c r="J391" s="34"/>
      <c r="K391" s="26"/>
      <c r="L391" s="26"/>
      <c r="M391" s="55"/>
      <c r="U391" s="95" t="str">
        <f t="shared" si="36"/>
        <v/>
      </c>
      <c r="V391" s="95" t="str">
        <f t="shared" si="37"/>
        <v/>
      </c>
      <c r="AD391" s="37" t="str">
        <f t="shared" si="38"/>
        <v/>
      </c>
    </row>
    <row r="392" spans="1:30" x14ac:dyDescent="0.25">
      <c r="A392" s="98"/>
      <c r="B392" s="33"/>
      <c r="C392" s="25"/>
      <c r="D392" s="26"/>
      <c r="E392" s="33"/>
      <c r="F392" s="25"/>
      <c r="G392" s="26"/>
      <c r="H392" s="33"/>
      <c r="I392" s="34"/>
      <c r="J392" s="34"/>
      <c r="K392" s="26"/>
      <c r="L392" s="26"/>
      <c r="M392" s="55"/>
      <c r="U392" s="95" t="str">
        <f t="shared" si="36"/>
        <v/>
      </c>
      <c r="V392" s="95" t="str">
        <f t="shared" si="37"/>
        <v/>
      </c>
      <c r="AD392" s="37" t="str">
        <f t="shared" si="38"/>
        <v/>
      </c>
    </row>
    <row r="393" spans="1:30" x14ac:dyDescent="0.25">
      <c r="A393" s="98"/>
      <c r="B393" s="33"/>
      <c r="C393" s="25"/>
      <c r="D393" s="26"/>
      <c r="E393" s="33"/>
      <c r="F393" s="25"/>
      <c r="G393" s="26"/>
      <c r="H393" s="33"/>
      <c r="I393" s="34"/>
      <c r="J393" s="34"/>
      <c r="K393" s="26"/>
      <c r="L393" s="26"/>
      <c r="M393" s="55"/>
      <c r="U393" s="95" t="str">
        <f t="shared" si="36"/>
        <v/>
      </c>
      <c r="V393" s="95" t="str">
        <f t="shared" si="37"/>
        <v/>
      </c>
      <c r="AD393" s="37" t="str">
        <f t="shared" si="38"/>
        <v/>
      </c>
    </row>
    <row r="394" spans="1:30" x14ac:dyDescent="0.25">
      <c r="A394" s="98"/>
      <c r="B394" s="33"/>
      <c r="C394" s="25"/>
      <c r="D394" s="26"/>
      <c r="E394" s="33"/>
      <c r="F394" s="25"/>
      <c r="G394" s="26"/>
      <c r="H394" s="33"/>
      <c r="I394" s="34"/>
      <c r="J394" s="34"/>
      <c r="K394" s="26"/>
      <c r="L394" s="26"/>
      <c r="M394" s="55"/>
      <c r="U394" s="95" t="str">
        <f t="shared" si="36"/>
        <v/>
      </c>
      <c r="V394" s="95" t="str">
        <f t="shared" si="37"/>
        <v/>
      </c>
      <c r="AD394" s="37" t="str">
        <f t="shared" si="38"/>
        <v/>
      </c>
    </row>
    <row r="395" spans="1:30" x14ac:dyDescent="0.25">
      <c r="A395" s="98"/>
      <c r="B395" s="33"/>
      <c r="C395" s="25"/>
      <c r="D395" s="26"/>
      <c r="E395" s="33"/>
      <c r="F395" s="25"/>
      <c r="G395" s="26"/>
      <c r="H395" s="33"/>
      <c r="I395" s="34"/>
      <c r="J395" s="34"/>
      <c r="K395" s="26"/>
      <c r="L395" s="26"/>
      <c r="M395" s="55"/>
      <c r="U395" s="95" t="str">
        <f t="shared" si="36"/>
        <v/>
      </c>
      <c r="V395" s="95" t="str">
        <f t="shared" si="37"/>
        <v/>
      </c>
      <c r="AD395" s="37" t="str">
        <f t="shared" si="38"/>
        <v/>
      </c>
    </row>
    <row r="396" spans="1:30" x14ac:dyDescent="0.25">
      <c r="A396" s="98"/>
      <c r="B396" s="33"/>
      <c r="C396" s="25"/>
      <c r="D396" s="26"/>
      <c r="E396" s="33"/>
      <c r="F396" s="25"/>
      <c r="G396" s="26"/>
      <c r="H396" s="33"/>
      <c r="I396" s="34"/>
      <c r="J396" s="34"/>
      <c r="K396" s="26"/>
      <c r="L396" s="26"/>
      <c r="M396" s="55"/>
      <c r="U396" s="95" t="str">
        <f t="shared" si="36"/>
        <v/>
      </c>
      <c r="V396" s="95" t="str">
        <f t="shared" si="37"/>
        <v/>
      </c>
      <c r="AD396" s="37" t="str">
        <f t="shared" si="38"/>
        <v/>
      </c>
    </row>
    <row r="397" spans="1:30" x14ac:dyDescent="0.25">
      <c r="A397" s="98"/>
      <c r="B397" s="33"/>
      <c r="C397" s="25"/>
      <c r="D397" s="26"/>
      <c r="E397" s="33"/>
      <c r="F397" s="25"/>
      <c r="G397" s="26"/>
      <c r="H397" s="33"/>
      <c r="I397" s="34"/>
      <c r="J397" s="34"/>
      <c r="K397" s="26"/>
      <c r="L397" s="26"/>
      <c r="M397" s="55"/>
      <c r="U397" s="95" t="str">
        <f t="shared" si="36"/>
        <v/>
      </c>
      <c r="V397" s="95" t="str">
        <f t="shared" si="37"/>
        <v/>
      </c>
      <c r="AD397" s="37" t="str">
        <f t="shared" si="38"/>
        <v/>
      </c>
    </row>
    <row r="398" spans="1:30" x14ac:dyDescent="0.25">
      <c r="A398" s="98"/>
      <c r="B398" s="33"/>
      <c r="C398" s="25"/>
      <c r="D398" s="26"/>
      <c r="E398" s="33"/>
      <c r="F398" s="25"/>
      <c r="G398" s="26"/>
      <c r="H398" s="33"/>
      <c r="I398" s="34"/>
      <c r="J398" s="34"/>
      <c r="K398" s="26"/>
      <c r="L398" s="26"/>
      <c r="M398" s="55"/>
      <c r="U398" s="95" t="str">
        <f t="shared" si="36"/>
        <v/>
      </c>
      <c r="V398" s="95" t="str">
        <f t="shared" si="37"/>
        <v/>
      </c>
      <c r="AD398" s="37" t="str">
        <f t="shared" si="38"/>
        <v/>
      </c>
    </row>
    <row r="399" spans="1:30" x14ac:dyDescent="0.25">
      <c r="A399" s="98"/>
      <c r="B399" s="33"/>
      <c r="C399" s="25"/>
      <c r="D399" s="26"/>
      <c r="E399" s="33"/>
      <c r="F399" s="25"/>
      <c r="G399" s="26"/>
      <c r="H399" s="33"/>
      <c r="I399" s="34"/>
      <c r="J399" s="34"/>
      <c r="K399" s="26"/>
      <c r="L399" s="26"/>
      <c r="M399" s="55"/>
      <c r="U399" s="95" t="str">
        <f t="shared" si="36"/>
        <v/>
      </c>
      <c r="V399" s="95" t="str">
        <f t="shared" si="37"/>
        <v/>
      </c>
      <c r="AD399" s="37" t="str">
        <f t="shared" si="38"/>
        <v/>
      </c>
    </row>
    <row r="400" spans="1:30" x14ac:dyDescent="0.25">
      <c r="A400" s="98"/>
      <c r="B400" s="33"/>
      <c r="C400" s="25"/>
      <c r="D400" s="26"/>
      <c r="E400" s="33"/>
      <c r="F400" s="25"/>
      <c r="G400" s="26"/>
      <c r="H400" s="33"/>
      <c r="I400" s="34"/>
      <c r="J400" s="34"/>
      <c r="K400" s="26"/>
      <c r="L400" s="26"/>
      <c r="M400" s="55"/>
      <c r="U400" s="95" t="str">
        <f t="shared" si="36"/>
        <v/>
      </c>
      <c r="V400" s="95" t="str">
        <f t="shared" si="37"/>
        <v/>
      </c>
      <c r="AD400" s="37" t="str">
        <f t="shared" si="38"/>
        <v/>
      </c>
    </row>
    <row r="401" spans="1:30" x14ac:dyDescent="0.25">
      <c r="A401" s="98"/>
      <c r="B401" s="33"/>
      <c r="C401" s="25"/>
      <c r="D401" s="26"/>
      <c r="E401" s="33"/>
      <c r="F401" s="25"/>
      <c r="G401" s="26"/>
      <c r="H401" s="33"/>
      <c r="I401" s="34"/>
      <c r="J401" s="34"/>
      <c r="K401" s="26"/>
      <c r="L401" s="26"/>
      <c r="M401" s="55"/>
      <c r="U401" s="95" t="str">
        <f t="shared" si="36"/>
        <v/>
      </c>
      <c r="V401" s="95" t="str">
        <f t="shared" si="37"/>
        <v/>
      </c>
      <c r="AD401" s="37" t="str">
        <f t="shared" si="38"/>
        <v/>
      </c>
    </row>
    <row r="402" spans="1:30" x14ac:dyDescent="0.25">
      <c r="A402" s="98"/>
      <c r="B402" s="33"/>
      <c r="C402" s="25"/>
      <c r="D402" s="26"/>
      <c r="E402" s="33"/>
      <c r="F402" s="25"/>
      <c r="G402" s="26"/>
      <c r="H402" s="33"/>
      <c r="I402" s="34"/>
      <c r="J402" s="34"/>
      <c r="K402" s="26"/>
      <c r="L402" s="26"/>
      <c r="M402" s="55"/>
      <c r="U402" s="95" t="str">
        <f t="shared" si="36"/>
        <v/>
      </c>
      <c r="V402" s="95" t="str">
        <f t="shared" si="37"/>
        <v/>
      </c>
      <c r="AD402" s="37" t="str">
        <f t="shared" si="38"/>
        <v/>
      </c>
    </row>
    <row r="403" spans="1:30" x14ac:dyDescent="0.25">
      <c r="A403" s="98"/>
      <c r="B403" s="33"/>
      <c r="C403" s="25"/>
      <c r="D403" s="26"/>
      <c r="E403" s="33"/>
      <c r="F403" s="25"/>
      <c r="G403" s="26"/>
      <c r="H403" s="33"/>
      <c r="I403" s="34"/>
      <c r="J403" s="34"/>
      <c r="K403" s="26"/>
      <c r="L403" s="26"/>
      <c r="M403" s="55"/>
      <c r="U403" s="95" t="str">
        <f t="shared" si="36"/>
        <v/>
      </c>
      <c r="V403" s="95" t="str">
        <f t="shared" si="37"/>
        <v/>
      </c>
      <c r="AD403" s="37" t="str">
        <f t="shared" si="38"/>
        <v/>
      </c>
    </row>
    <row r="404" spans="1:30" x14ac:dyDescent="0.25">
      <c r="A404" s="98"/>
      <c r="B404" s="33"/>
      <c r="C404" s="25"/>
      <c r="D404" s="26"/>
      <c r="E404" s="33"/>
      <c r="F404" s="25"/>
      <c r="G404" s="26"/>
      <c r="H404" s="33"/>
      <c r="I404" s="34"/>
      <c r="J404" s="34"/>
      <c r="K404" s="26"/>
      <c r="L404" s="26"/>
      <c r="M404" s="55"/>
      <c r="U404" s="95" t="str">
        <f t="shared" si="36"/>
        <v/>
      </c>
      <c r="V404" s="95" t="str">
        <f t="shared" si="37"/>
        <v/>
      </c>
      <c r="AD404" s="37" t="str">
        <f t="shared" si="38"/>
        <v/>
      </c>
    </row>
    <row r="405" spans="1:30" x14ac:dyDescent="0.25">
      <c r="A405" s="98"/>
      <c r="B405" s="33"/>
      <c r="C405" s="25"/>
      <c r="D405" s="26"/>
      <c r="E405" s="33"/>
      <c r="F405" s="25"/>
      <c r="G405" s="26"/>
      <c r="H405" s="33"/>
      <c r="I405" s="34"/>
      <c r="J405" s="34"/>
      <c r="K405" s="26"/>
      <c r="L405" s="26"/>
      <c r="M405" s="55"/>
      <c r="U405" s="95" t="str">
        <f t="shared" si="36"/>
        <v/>
      </c>
      <c r="V405" s="95" t="str">
        <f t="shared" si="37"/>
        <v/>
      </c>
      <c r="AD405" s="37" t="str">
        <f t="shared" si="38"/>
        <v/>
      </c>
    </row>
    <row r="406" spans="1:30" x14ac:dyDescent="0.25">
      <c r="A406" s="98"/>
      <c r="B406" s="33"/>
      <c r="C406" s="25"/>
      <c r="D406" s="26"/>
      <c r="E406" s="33"/>
      <c r="F406" s="25"/>
      <c r="G406" s="26"/>
      <c r="H406" s="33"/>
      <c r="I406" s="34"/>
      <c r="J406" s="34"/>
      <c r="K406" s="26"/>
      <c r="L406" s="26"/>
      <c r="M406" s="55"/>
      <c r="U406" s="95" t="str">
        <f t="shared" si="36"/>
        <v/>
      </c>
      <c r="V406" s="95" t="str">
        <f t="shared" si="37"/>
        <v/>
      </c>
      <c r="AD406" s="37" t="str">
        <f t="shared" si="38"/>
        <v/>
      </c>
    </row>
    <row r="407" spans="1:30" x14ac:dyDescent="0.25">
      <c r="A407" s="98"/>
      <c r="B407" s="33"/>
      <c r="C407" s="25"/>
      <c r="D407" s="26"/>
      <c r="E407" s="33"/>
      <c r="F407" s="25"/>
      <c r="G407" s="26"/>
      <c r="H407" s="33"/>
      <c r="I407" s="34"/>
      <c r="J407" s="34"/>
      <c r="K407" s="26"/>
      <c r="L407" s="26"/>
      <c r="M407" s="55"/>
      <c r="U407" s="95" t="str">
        <f t="shared" si="36"/>
        <v/>
      </c>
      <c r="V407" s="95" t="str">
        <f t="shared" si="37"/>
        <v/>
      </c>
      <c r="AD407" s="37" t="str">
        <f t="shared" si="38"/>
        <v/>
      </c>
    </row>
    <row r="408" spans="1:30" x14ac:dyDescent="0.25">
      <c r="A408" s="98"/>
      <c r="B408" s="33"/>
      <c r="C408" s="25"/>
      <c r="D408" s="26"/>
      <c r="E408" s="33"/>
      <c r="F408" s="25"/>
      <c r="G408" s="26"/>
      <c r="H408" s="33"/>
      <c r="I408" s="34"/>
      <c r="J408" s="34"/>
      <c r="K408" s="26"/>
      <c r="L408" s="26"/>
      <c r="M408" s="55"/>
      <c r="U408" s="95" t="str">
        <f t="shared" si="36"/>
        <v/>
      </c>
      <c r="V408" s="95" t="str">
        <f t="shared" si="37"/>
        <v/>
      </c>
      <c r="AD408" s="37" t="str">
        <f t="shared" si="38"/>
        <v/>
      </c>
    </row>
    <row r="409" spans="1:30" x14ac:dyDescent="0.25">
      <c r="A409" s="98"/>
      <c r="B409" s="33"/>
      <c r="C409" s="25"/>
      <c r="D409" s="26"/>
      <c r="E409" s="33"/>
      <c r="F409" s="25"/>
      <c r="G409" s="26"/>
      <c r="H409" s="33"/>
      <c r="I409" s="34"/>
      <c r="J409" s="34"/>
      <c r="K409" s="26"/>
      <c r="L409" s="26"/>
      <c r="M409" s="55"/>
      <c r="U409" s="95" t="str">
        <f t="shared" si="36"/>
        <v/>
      </c>
      <c r="V409" s="95" t="str">
        <f t="shared" si="37"/>
        <v/>
      </c>
      <c r="AD409" s="37" t="str">
        <f t="shared" si="38"/>
        <v/>
      </c>
    </row>
    <row r="410" spans="1:30" x14ac:dyDescent="0.25">
      <c r="A410" s="98"/>
      <c r="B410" s="33"/>
      <c r="C410" s="25"/>
      <c r="D410" s="26"/>
      <c r="E410" s="33"/>
      <c r="F410" s="25"/>
      <c r="G410" s="26"/>
      <c r="H410" s="33"/>
      <c r="I410" s="34"/>
      <c r="J410" s="34"/>
      <c r="K410" s="26"/>
      <c r="L410" s="26"/>
      <c r="M410" s="55"/>
      <c r="U410" s="95" t="str">
        <f t="shared" si="36"/>
        <v/>
      </c>
      <c r="V410" s="95" t="str">
        <f t="shared" si="37"/>
        <v/>
      </c>
      <c r="AD410" s="37" t="str">
        <f t="shared" si="38"/>
        <v/>
      </c>
    </row>
    <row r="411" spans="1:30" x14ac:dyDescent="0.25">
      <c r="A411" s="98"/>
      <c r="B411" s="33"/>
      <c r="C411" s="25"/>
      <c r="D411" s="26"/>
      <c r="E411" s="33"/>
      <c r="F411" s="25"/>
      <c r="G411" s="26"/>
      <c r="H411" s="33"/>
      <c r="I411" s="34"/>
      <c r="J411" s="34"/>
      <c r="K411" s="26"/>
      <c r="L411" s="26"/>
      <c r="M411" s="55"/>
      <c r="U411" s="95" t="str">
        <f t="shared" si="36"/>
        <v/>
      </c>
      <c r="V411" s="95" t="str">
        <f t="shared" si="37"/>
        <v/>
      </c>
      <c r="AD411" s="37" t="str">
        <f t="shared" si="38"/>
        <v/>
      </c>
    </row>
    <row r="412" spans="1:30" x14ac:dyDescent="0.25">
      <c r="A412" s="98"/>
      <c r="B412" s="33"/>
      <c r="C412" s="25"/>
      <c r="D412" s="26"/>
      <c r="E412" s="33"/>
      <c r="F412" s="25"/>
      <c r="G412" s="26"/>
      <c r="H412" s="33"/>
      <c r="I412" s="34"/>
      <c r="J412" s="34"/>
      <c r="K412" s="26"/>
      <c r="L412" s="26"/>
      <c r="M412" s="55"/>
      <c r="U412" s="95" t="str">
        <f t="shared" si="36"/>
        <v/>
      </c>
      <c r="V412" s="95" t="str">
        <f t="shared" si="37"/>
        <v/>
      </c>
      <c r="AD412" s="37" t="str">
        <f t="shared" si="38"/>
        <v/>
      </c>
    </row>
    <row r="413" spans="1:30" x14ac:dyDescent="0.25">
      <c r="A413" s="98"/>
      <c r="B413" s="33"/>
      <c r="C413" s="25"/>
      <c r="D413" s="26"/>
      <c r="E413" s="33"/>
      <c r="F413" s="25"/>
      <c r="G413" s="26"/>
      <c r="H413" s="33"/>
      <c r="I413" s="34"/>
      <c r="J413" s="34"/>
      <c r="K413" s="26"/>
      <c r="L413" s="26"/>
      <c r="M413" s="55"/>
      <c r="U413" s="95" t="str">
        <f t="shared" si="36"/>
        <v/>
      </c>
      <c r="V413" s="95" t="str">
        <f t="shared" si="37"/>
        <v/>
      </c>
      <c r="AD413" s="37" t="str">
        <f t="shared" si="38"/>
        <v/>
      </c>
    </row>
    <row r="414" spans="1:30" x14ac:dyDescent="0.25">
      <c r="A414" s="98"/>
      <c r="B414" s="33"/>
      <c r="C414" s="25"/>
      <c r="D414" s="26"/>
      <c r="E414" s="33"/>
      <c r="F414" s="25"/>
      <c r="G414" s="26"/>
      <c r="H414" s="33"/>
      <c r="I414" s="34"/>
      <c r="J414" s="34"/>
      <c r="K414" s="26"/>
      <c r="L414" s="26"/>
      <c r="M414" s="55"/>
      <c r="U414" s="95" t="str">
        <f t="shared" si="36"/>
        <v/>
      </c>
      <c r="V414" s="95" t="str">
        <f t="shared" si="37"/>
        <v/>
      </c>
      <c r="AD414" s="37" t="str">
        <f t="shared" si="38"/>
        <v/>
      </c>
    </row>
    <row r="415" spans="1:30" x14ac:dyDescent="0.25">
      <c r="A415" s="98"/>
      <c r="B415" s="33"/>
      <c r="C415" s="25"/>
      <c r="D415" s="26"/>
      <c r="E415" s="33"/>
      <c r="F415" s="25"/>
      <c r="G415" s="26"/>
      <c r="H415" s="33"/>
      <c r="I415" s="34"/>
      <c r="J415" s="34"/>
      <c r="K415" s="26"/>
      <c r="L415" s="26"/>
      <c r="M415" s="55"/>
      <c r="U415" s="95" t="str">
        <f t="shared" si="36"/>
        <v/>
      </c>
      <c r="V415" s="95" t="str">
        <f t="shared" si="37"/>
        <v/>
      </c>
      <c r="AD415" s="37" t="str">
        <f t="shared" si="38"/>
        <v/>
      </c>
    </row>
    <row r="416" spans="1:30" x14ac:dyDescent="0.25">
      <c r="A416" s="98"/>
      <c r="B416" s="33"/>
      <c r="C416" s="25"/>
      <c r="D416" s="26"/>
      <c r="E416" s="33"/>
      <c r="F416" s="25"/>
      <c r="G416" s="26"/>
      <c r="H416" s="33"/>
      <c r="I416" s="34"/>
      <c r="J416" s="34"/>
      <c r="K416" s="26"/>
      <c r="L416" s="26"/>
      <c r="M416" s="55"/>
      <c r="U416" s="95" t="str">
        <f t="shared" si="36"/>
        <v/>
      </c>
      <c r="V416" s="95" t="str">
        <f t="shared" si="37"/>
        <v/>
      </c>
      <c r="AD416" s="37" t="str">
        <f t="shared" si="38"/>
        <v/>
      </c>
    </row>
    <row r="417" spans="1:30" x14ac:dyDescent="0.25">
      <c r="A417" s="98"/>
      <c r="B417" s="33"/>
      <c r="C417" s="25"/>
      <c r="D417" s="26"/>
      <c r="E417" s="33"/>
      <c r="F417" s="25"/>
      <c r="G417" s="26"/>
      <c r="H417" s="33"/>
      <c r="I417" s="34"/>
      <c r="J417" s="34"/>
      <c r="K417" s="26"/>
      <c r="L417" s="26"/>
      <c r="M417" s="55"/>
      <c r="U417" s="95" t="str">
        <f t="shared" si="36"/>
        <v/>
      </c>
      <c r="V417" s="95" t="str">
        <f t="shared" si="37"/>
        <v/>
      </c>
      <c r="AD417" s="37" t="str">
        <f t="shared" si="38"/>
        <v/>
      </c>
    </row>
    <row r="418" spans="1:30" x14ac:dyDescent="0.25">
      <c r="A418" s="98"/>
      <c r="B418" s="33"/>
      <c r="C418" s="25"/>
      <c r="D418" s="26"/>
      <c r="E418" s="33"/>
      <c r="F418" s="25"/>
      <c r="G418" s="26"/>
      <c r="H418" s="33"/>
      <c r="I418" s="34"/>
      <c r="J418" s="34"/>
      <c r="K418" s="26"/>
      <c r="L418" s="26"/>
      <c r="M418" s="55"/>
      <c r="U418" s="95" t="str">
        <f t="shared" si="36"/>
        <v/>
      </c>
      <c r="V418" s="95" t="str">
        <f t="shared" si="37"/>
        <v/>
      </c>
      <c r="AD418" s="37" t="str">
        <f t="shared" si="38"/>
        <v/>
      </c>
    </row>
    <row r="419" spans="1:30" x14ac:dyDescent="0.25">
      <c r="A419" s="98"/>
      <c r="B419" s="33"/>
      <c r="C419" s="25"/>
      <c r="D419" s="26"/>
      <c r="E419" s="33"/>
      <c r="F419" s="25"/>
      <c r="G419" s="26"/>
      <c r="H419" s="33"/>
      <c r="I419" s="34"/>
      <c r="J419" s="34"/>
      <c r="K419" s="26"/>
      <c r="L419" s="26"/>
      <c r="M419" s="55"/>
      <c r="U419" s="95" t="str">
        <f t="shared" si="36"/>
        <v/>
      </c>
      <c r="V419" s="95" t="str">
        <f t="shared" si="37"/>
        <v/>
      </c>
      <c r="AD419" s="37" t="str">
        <f t="shared" si="38"/>
        <v/>
      </c>
    </row>
    <row r="420" spans="1:30" x14ac:dyDescent="0.25">
      <c r="A420" s="98"/>
      <c r="B420" s="33"/>
      <c r="C420" s="25"/>
      <c r="D420" s="26"/>
      <c r="E420" s="33"/>
      <c r="F420" s="25"/>
      <c r="G420" s="26"/>
      <c r="H420" s="33"/>
      <c r="I420" s="34"/>
      <c r="J420" s="34"/>
      <c r="K420" s="26"/>
      <c r="L420" s="26"/>
      <c r="M420" s="55"/>
      <c r="U420" s="95" t="str">
        <f t="shared" si="36"/>
        <v/>
      </c>
      <c r="V420" s="95" t="str">
        <f t="shared" si="37"/>
        <v/>
      </c>
      <c r="AD420" s="37" t="str">
        <f t="shared" si="38"/>
        <v/>
      </c>
    </row>
    <row r="421" spans="1:30" x14ac:dyDescent="0.25">
      <c r="A421" s="98"/>
      <c r="B421" s="33"/>
      <c r="C421" s="25"/>
      <c r="D421" s="26"/>
      <c r="E421" s="33"/>
      <c r="F421" s="25"/>
      <c r="G421" s="26"/>
      <c r="H421" s="33"/>
      <c r="I421" s="34"/>
      <c r="J421" s="34"/>
      <c r="K421" s="26"/>
      <c r="L421" s="26"/>
      <c r="M421" s="55"/>
      <c r="U421" s="95" t="str">
        <f t="shared" si="36"/>
        <v/>
      </c>
      <c r="V421" s="95" t="str">
        <f t="shared" si="37"/>
        <v/>
      </c>
      <c r="AD421" s="37" t="str">
        <f t="shared" si="38"/>
        <v/>
      </c>
    </row>
    <row r="422" spans="1:30" x14ac:dyDescent="0.25">
      <c r="A422" s="98"/>
      <c r="B422" s="33"/>
      <c r="C422" s="25"/>
      <c r="D422" s="26"/>
      <c r="E422" s="33"/>
      <c r="F422" s="25"/>
      <c r="G422" s="26"/>
      <c r="H422" s="33"/>
      <c r="I422" s="34"/>
      <c r="J422" s="34"/>
      <c r="K422" s="26"/>
      <c r="L422" s="26"/>
      <c r="M422" s="55"/>
      <c r="U422" s="95" t="str">
        <f t="shared" si="36"/>
        <v/>
      </c>
      <c r="V422" s="95" t="str">
        <f t="shared" si="37"/>
        <v/>
      </c>
    </row>
    <row r="423" spans="1:30" x14ac:dyDescent="0.25">
      <c r="A423" s="98"/>
      <c r="B423" s="33"/>
      <c r="C423" s="25"/>
      <c r="D423" s="26"/>
      <c r="E423" s="33"/>
      <c r="F423" s="25"/>
      <c r="G423" s="26"/>
      <c r="H423" s="33"/>
      <c r="I423" s="34"/>
      <c r="J423" s="34"/>
      <c r="K423" s="26"/>
      <c r="L423" s="26"/>
      <c r="M423" s="55"/>
      <c r="U423" s="95" t="str">
        <f t="shared" si="36"/>
        <v/>
      </c>
      <c r="V423" s="95" t="str">
        <f t="shared" si="37"/>
        <v/>
      </c>
    </row>
    <row r="424" spans="1:30" x14ac:dyDescent="0.25">
      <c r="A424" s="98"/>
      <c r="B424" s="33"/>
      <c r="C424" s="25"/>
      <c r="D424" s="26"/>
      <c r="E424" s="33"/>
      <c r="F424" s="25"/>
      <c r="G424" s="26"/>
      <c r="H424" s="33"/>
      <c r="I424" s="34"/>
      <c r="J424" s="34"/>
      <c r="K424" s="26"/>
      <c r="L424" s="26"/>
      <c r="M424" s="55"/>
      <c r="U424" s="95" t="str">
        <f t="shared" si="36"/>
        <v/>
      </c>
      <c r="V424" s="95" t="str">
        <f t="shared" si="37"/>
        <v/>
      </c>
    </row>
    <row r="425" spans="1:30" x14ac:dyDescent="0.25">
      <c r="A425" s="98"/>
      <c r="B425" s="33"/>
      <c r="C425" s="25"/>
      <c r="D425" s="26"/>
      <c r="E425" s="33"/>
      <c r="F425" s="25"/>
      <c r="G425" s="26"/>
      <c r="H425" s="33"/>
      <c r="I425" s="34"/>
      <c r="J425" s="34"/>
      <c r="K425" s="26"/>
      <c r="L425" s="26"/>
      <c r="M425" s="55"/>
      <c r="U425" s="95" t="str">
        <f t="shared" si="36"/>
        <v/>
      </c>
      <c r="V425" s="95" t="str">
        <f t="shared" si="37"/>
        <v/>
      </c>
    </row>
    <row r="426" spans="1:30" x14ac:dyDescent="0.25">
      <c r="A426" s="98"/>
      <c r="B426" s="33"/>
      <c r="C426" s="25"/>
      <c r="D426" s="26"/>
      <c r="E426" s="33"/>
      <c r="F426" s="25"/>
      <c r="G426" s="26"/>
      <c r="H426" s="33"/>
      <c r="I426" s="34"/>
      <c r="J426" s="34"/>
      <c r="K426" s="26"/>
      <c r="L426" s="26"/>
      <c r="M426" s="55"/>
      <c r="U426" s="95" t="str">
        <f t="shared" si="36"/>
        <v/>
      </c>
      <c r="V426" s="95" t="str">
        <f t="shared" si="37"/>
        <v/>
      </c>
    </row>
    <row r="427" spans="1:30" x14ac:dyDescent="0.25">
      <c r="A427" s="98"/>
      <c r="B427" s="33"/>
      <c r="C427" s="25"/>
      <c r="D427" s="26"/>
      <c r="E427" s="33"/>
      <c r="F427" s="25"/>
      <c r="G427" s="26"/>
      <c r="H427" s="33"/>
      <c r="I427" s="34"/>
      <c r="J427" s="34"/>
      <c r="K427" s="26"/>
      <c r="L427" s="26"/>
      <c r="M427" s="55"/>
      <c r="U427" s="95" t="str">
        <f t="shared" si="36"/>
        <v/>
      </c>
      <c r="V427" s="95" t="str">
        <f t="shared" si="37"/>
        <v/>
      </c>
    </row>
    <row r="428" spans="1:30" x14ac:dyDescent="0.25">
      <c r="A428" s="98"/>
      <c r="B428" s="33"/>
      <c r="C428" s="25"/>
      <c r="D428" s="26"/>
      <c r="E428" s="33"/>
      <c r="F428" s="25"/>
      <c r="G428" s="26"/>
      <c r="H428" s="33"/>
      <c r="I428" s="34"/>
      <c r="J428" s="34"/>
      <c r="K428" s="26"/>
      <c r="L428" s="26"/>
      <c r="M428" s="55"/>
      <c r="U428" s="95" t="str">
        <f t="shared" si="36"/>
        <v/>
      </c>
      <c r="V428" s="95" t="str">
        <f t="shared" si="37"/>
        <v/>
      </c>
    </row>
    <row r="429" spans="1:30" x14ac:dyDescent="0.25">
      <c r="A429" s="98"/>
      <c r="B429" s="33"/>
      <c r="C429" s="25"/>
      <c r="D429" s="26"/>
      <c r="E429" s="33"/>
      <c r="F429" s="25"/>
      <c r="G429" s="26"/>
      <c r="H429" s="33"/>
      <c r="I429" s="34"/>
      <c r="J429" s="34"/>
      <c r="K429" s="26"/>
      <c r="L429" s="26"/>
      <c r="M429" s="55"/>
      <c r="U429" s="95" t="str">
        <f t="shared" si="36"/>
        <v/>
      </c>
      <c r="V429" s="95" t="str">
        <f t="shared" si="37"/>
        <v/>
      </c>
    </row>
    <row r="430" spans="1:30" x14ac:dyDescent="0.25">
      <c r="A430" s="98"/>
      <c r="B430" s="33"/>
      <c r="C430" s="25"/>
      <c r="D430" s="26"/>
      <c r="E430" s="33"/>
      <c r="F430" s="25"/>
      <c r="G430" s="26"/>
      <c r="H430" s="33"/>
      <c r="I430" s="34"/>
      <c r="J430" s="34"/>
      <c r="K430" s="26"/>
      <c r="L430" s="26"/>
      <c r="M430" s="55"/>
      <c r="U430" s="95" t="str">
        <f t="shared" si="36"/>
        <v/>
      </c>
      <c r="V430" s="95" t="str">
        <f t="shared" si="37"/>
        <v/>
      </c>
    </row>
    <row r="431" spans="1:30" x14ac:dyDescent="0.25">
      <c r="A431" s="98"/>
      <c r="B431" s="33"/>
      <c r="C431" s="25"/>
      <c r="D431" s="26"/>
      <c r="E431" s="33"/>
      <c r="F431" s="25"/>
      <c r="G431" s="26"/>
      <c r="H431" s="33"/>
      <c r="I431" s="34"/>
      <c r="J431" s="34"/>
      <c r="K431" s="26"/>
      <c r="L431" s="26"/>
      <c r="M431" s="55"/>
      <c r="U431" s="95" t="str">
        <f t="shared" si="36"/>
        <v/>
      </c>
      <c r="V431" s="95" t="str">
        <f t="shared" si="37"/>
        <v/>
      </c>
    </row>
    <row r="432" spans="1:30" x14ac:dyDescent="0.25">
      <c r="A432" s="98"/>
      <c r="B432" s="33"/>
      <c r="C432" s="25"/>
      <c r="D432" s="26"/>
      <c r="E432" s="33"/>
      <c r="F432" s="25"/>
      <c r="G432" s="26"/>
      <c r="H432" s="33"/>
      <c r="I432" s="34"/>
      <c r="J432" s="34"/>
      <c r="K432" s="26"/>
      <c r="L432" s="26"/>
      <c r="M432" s="55"/>
      <c r="U432" s="95" t="str">
        <f t="shared" si="36"/>
        <v/>
      </c>
      <c r="V432" s="95" t="str">
        <f t="shared" si="37"/>
        <v/>
      </c>
    </row>
    <row r="433" spans="1:22" x14ac:dyDescent="0.25">
      <c r="A433" s="98"/>
      <c r="B433" s="33"/>
      <c r="C433" s="25"/>
      <c r="D433" s="26"/>
      <c r="E433" s="33"/>
      <c r="F433" s="25"/>
      <c r="G433" s="26"/>
      <c r="H433" s="33"/>
      <c r="I433" s="34"/>
      <c r="J433" s="34"/>
      <c r="K433" s="26"/>
      <c r="L433" s="26"/>
      <c r="M433" s="55"/>
      <c r="U433" s="95" t="str">
        <f t="shared" si="36"/>
        <v/>
      </c>
      <c r="V433" s="95" t="str">
        <f t="shared" si="37"/>
        <v/>
      </c>
    </row>
    <row r="434" spans="1:22" x14ac:dyDescent="0.25">
      <c r="A434" s="98"/>
      <c r="B434" s="33"/>
      <c r="C434" s="25"/>
      <c r="D434" s="26"/>
      <c r="E434" s="33"/>
      <c r="F434" s="25"/>
      <c r="G434" s="26"/>
      <c r="H434" s="33"/>
      <c r="I434" s="34"/>
      <c r="J434" s="34"/>
      <c r="K434" s="26"/>
      <c r="L434" s="26"/>
      <c r="M434" s="55"/>
      <c r="U434" s="95" t="str">
        <f t="shared" si="36"/>
        <v/>
      </c>
      <c r="V434" s="95" t="str">
        <f t="shared" si="37"/>
        <v/>
      </c>
    </row>
    <row r="435" spans="1:22" x14ac:dyDescent="0.25">
      <c r="A435" s="98"/>
      <c r="B435" s="33"/>
      <c r="C435" s="25"/>
      <c r="D435" s="26"/>
      <c r="E435" s="33"/>
      <c r="F435" s="25"/>
      <c r="G435" s="26"/>
      <c r="H435" s="33"/>
      <c r="I435" s="34"/>
      <c r="J435" s="34"/>
      <c r="K435" s="26"/>
      <c r="L435" s="26"/>
      <c r="M435" s="55"/>
      <c r="U435" s="95" t="str">
        <f t="shared" si="36"/>
        <v/>
      </c>
      <c r="V435" s="95" t="str">
        <f t="shared" si="37"/>
        <v/>
      </c>
    </row>
    <row r="436" spans="1:22" x14ac:dyDescent="0.25">
      <c r="A436" s="98"/>
      <c r="B436" s="33"/>
      <c r="C436" s="25"/>
      <c r="D436" s="26"/>
      <c r="E436" s="33"/>
      <c r="F436" s="25"/>
      <c r="G436" s="26"/>
      <c r="H436" s="33"/>
      <c r="I436" s="34"/>
      <c r="J436" s="34"/>
      <c r="K436" s="26"/>
      <c r="L436" s="26"/>
      <c r="M436" s="55"/>
      <c r="U436" s="95" t="str">
        <f t="shared" si="36"/>
        <v/>
      </c>
      <c r="V436" s="95" t="str">
        <f t="shared" si="37"/>
        <v/>
      </c>
    </row>
    <row r="437" spans="1:22" x14ac:dyDescent="0.25">
      <c r="A437" s="98"/>
      <c r="B437" s="33"/>
      <c r="C437" s="25"/>
      <c r="D437" s="26"/>
      <c r="E437" s="33"/>
      <c r="F437" s="25"/>
      <c r="G437" s="26"/>
      <c r="H437" s="33"/>
      <c r="I437" s="34"/>
      <c r="J437" s="34"/>
      <c r="K437" s="26"/>
      <c r="L437" s="26"/>
      <c r="M437" s="55"/>
      <c r="U437" s="95" t="str">
        <f t="shared" si="36"/>
        <v/>
      </c>
      <c r="V437" s="95" t="str">
        <f t="shared" si="37"/>
        <v/>
      </c>
    </row>
    <row r="438" spans="1:22" x14ac:dyDescent="0.25">
      <c r="A438" s="98"/>
      <c r="B438" s="33"/>
      <c r="C438" s="25"/>
      <c r="D438" s="26"/>
      <c r="E438" s="33"/>
      <c r="F438" s="25"/>
      <c r="G438" s="26"/>
      <c r="H438" s="33"/>
      <c r="I438" s="34"/>
      <c r="J438" s="34"/>
      <c r="K438" s="26"/>
      <c r="L438" s="26"/>
      <c r="M438" s="55"/>
      <c r="U438" s="95" t="str">
        <f t="shared" si="36"/>
        <v/>
      </c>
      <c r="V438" s="95" t="str">
        <f t="shared" si="37"/>
        <v/>
      </c>
    </row>
    <row r="439" spans="1:22" x14ac:dyDescent="0.25">
      <c r="A439" s="98"/>
      <c r="B439" s="33"/>
      <c r="C439" s="25"/>
      <c r="D439" s="26"/>
      <c r="E439" s="33"/>
      <c r="F439" s="25"/>
      <c r="G439" s="26"/>
      <c r="H439" s="33"/>
      <c r="I439" s="34"/>
      <c r="J439" s="34"/>
      <c r="K439" s="26"/>
      <c r="L439" s="26"/>
      <c r="M439" s="55"/>
      <c r="U439" s="95" t="str">
        <f t="shared" si="36"/>
        <v/>
      </c>
      <c r="V439" s="95" t="str">
        <f t="shared" si="37"/>
        <v/>
      </c>
    </row>
    <row r="440" spans="1:22" x14ac:dyDescent="0.25">
      <c r="A440" s="98"/>
      <c r="B440" s="33"/>
      <c r="C440" s="25"/>
      <c r="D440" s="26"/>
      <c r="E440" s="33"/>
      <c r="F440" s="25"/>
      <c r="G440" s="26"/>
      <c r="H440" s="33"/>
      <c r="I440" s="34"/>
      <c r="J440" s="34"/>
      <c r="K440" s="26"/>
      <c r="L440" s="26"/>
      <c r="M440" s="55"/>
      <c r="U440" s="95" t="str">
        <f t="shared" si="36"/>
        <v/>
      </c>
      <c r="V440" s="95" t="str">
        <f t="shared" si="37"/>
        <v/>
      </c>
    </row>
    <row r="441" spans="1:22" x14ac:dyDescent="0.25">
      <c r="A441" s="98"/>
      <c r="B441" s="33"/>
      <c r="C441" s="25"/>
      <c r="D441" s="26"/>
      <c r="E441" s="33"/>
      <c r="F441" s="25"/>
      <c r="G441" s="26"/>
      <c r="H441" s="33"/>
      <c r="I441" s="34"/>
      <c r="J441" s="34"/>
      <c r="K441" s="26"/>
      <c r="L441" s="26"/>
      <c r="M441" s="55"/>
      <c r="U441" s="95" t="str">
        <f t="shared" si="36"/>
        <v/>
      </c>
      <c r="V441" s="95" t="str">
        <f t="shared" si="37"/>
        <v/>
      </c>
    </row>
    <row r="442" spans="1:22" x14ac:dyDescent="0.25">
      <c r="A442" s="98"/>
      <c r="B442" s="33"/>
      <c r="C442" s="25"/>
      <c r="D442" s="26"/>
      <c r="E442" s="33"/>
      <c r="F442" s="25"/>
      <c r="G442" s="26"/>
      <c r="H442" s="33"/>
      <c r="I442" s="34"/>
      <c r="J442" s="34"/>
      <c r="K442" s="26"/>
      <c r="L442" s="26"/>
      <c r="M442" s="55"/>
      <c r="U442" s="95" t="str">
        <f t="shared" si="36"/>
        <v/>
      </c>
      <c r="V442" s="95" t="str">
        <f t="shared" si="37"/>
        <v/>
      </c>
    </row>
    <row r="443" spans="1:22" x14ac:dyDescent="0.25">
      <c r="A443" s="98"/>
      <c r="B443" s="33"/>
      <c r="C443" s="25"/>
      <c r="D443" s="26"/>
      <c r="E443" s="33"/>
      <c r="F443" s="25"/>
      <c r="G443" s="26"/>
      <c r="H443" s="33"/>
      <c r="I443" s="34"/>
      <c r="J443" s="34"/>
      <c r="K443" s="26"/>
      <c r="L443" s="26"/>
      <c r="M443" s="55"/>
      <c r="U443" s="95" t="str">
        <f t="shared" si="36"/>
        <v/>
      </c>
      <c r="V443" s="95" t="str">
        <f t="shared" si="37"/>
        <v/>
      </c>
    </row>
    <row r="444" spans="1:22" x14ac:dyDescent="0.25">
      <c r="A444" s="98"/>
      <c r="B444" s="33"/>
      <c r="C444" s="25"/>
      <c r="D444" s="26"/>
      <c r="E444" s="33"/>
      <c r="F444" s="25"/>
      <c r="G444" s="26"/>
      <c r="H444" s="33"/>
      <c r="I444" s="34"/>
      <c r="J444" s="34"/>
      <c r="K444" s="26"/>
      <c r="L444" s="26"/>
      <c r="M444" s="55"/>
      <c r="U444" s="95" t="str">
        <f t="shared" si="36"/>
        <v/>
      </c>
      <c r="V444" s="95" t="str">
        <f t="shared" si="37"/>
        <v/>
      </c>
    </row>
    <row r="445" spans="1:22" x14ac:dyDescent="0.25">
      <c r="A445" s="98"/>
      <c r="B445" s="33"/>
      <c r="C445" s="25"/>
      <c r="D445" s="26"/>
      <c r="E445" s="33"/>
      <c r="F445" s="25"/>
      <c r="G445" s="26"/>
      <c r="H445" s="33"/>
      <c r="I445" s="34"/>
      <c r="J445" s="34"/>
      <c r="K445" s="26"/>
      <c r="L445" s="26"/>
      <c r="M445" s="55"/>
      <c r="U445" s="95" t="str">
        <f t="shared" si="36"/>
        <v/>
      </c>
      <c r="V445" s="95" t="str">
        <f t="shared" si="37"/>
        <v/>
      </c>
    </row>
    <row r="446" spans="1:22" x14ac:dyDescent="0.25">
      <c r="A446" s="98"/>
      <c r="B446" s="33"/>
      <c r="C446" s="25"/>
      <c r="D446" s="26"/>
      <c r="E446" s="33"/>
      <c r="F446" s="25"/>
      <c r="G446" s="26"/>
      <c r="H446" s="33"/>
      <c r="I446" s="34"/>
      <c r="J446" s="34"/>
      <c r="K446" s="26"/>
      <c r="L446" s="26"/>
      <c r="M446" s="55"/>
      <c r="U446" s="95" t="str">
        <f t="shared" si="36"/>
        <v/>
      </c>
      <c r="V446" s="95" t="str">
        <f t="shared" si="37"/>
        <v/>
      </c>
    </row>
    <row r="447" spans="1:22" x14ac:dyDescent="0.25">
      <c r="A447" s="98"/>
      <c r="B447" s="33"/>
      <c r="C447" s="25"/>
      <c r="D447" s="26"/>
      <c r="E447" s="33"/>
      <c r="F447" s="25"/>
      <c r="G447" s="26"/>
      <c r="H447" s="33"/>
      <c r="I447" s="34"/>
      <c r="J447" s="34"/>
      <c r="K447" s="26"/>
      <c r="L447" s="26"/>
      <c r="M447" s="55"/>
      <c r="U447" s="95" t="str">
        <f t="shared" si="36"/>
        <v/>
      </c>
      <c r="V447" s="95" t="str">
        <f t="shared" si="37"/>
        <v/>
      </c>
    </row>
    <row r="448" spans="1:22" x14ac:dyDescent="0.25">
      <c r="A448" s="98"/>
      <c r="B448" s="33"/>
      <c r="C448" s="25"/>
      <c r="D448" s="26"/>
      <c r="E448" s="33"/>
      <c r="F448" s="25"/>
      <c r="G448" s="26"/>
      <c r="H448" s="33"/>
      <c r="I448" s="34"/>
      <c r="J448" s="34"/>
      <c r="K448" s="26"/>
      <c r="L448" s="26"/>
      <c r="M448" s="55"/>
      <c r="U448" s="95" t="str">
        <f t="shared" si="36"/>
        <v/>
      </c>
      <c r="V448" s="95" t="str">
        <f t="shared" si="37"/>
        <v/>
      </c>
    </row>
    <row r="449" spans="1:22" x14ac:dyDescent="0.25">
      <c r="A449" s="98"/>
      <c r="B449" s="33"/>
      <c r="C449" s="25"/>
      <c r="D449" s="26"/>
      <c r="E449" s="33"/>
      <c r="F449" s="25"/>
      <c r="G449" s="26"/>
      <c r="H449" s="33"/>
      <c r="I449" s="34"/>
      <c r="J449" s="34"/>
      <c r="K449" s="26"/>
      <c r="L449" s="26"/>
      <c r="M449" s="55"/>
      <c r="U449" s="95" t="str">
        <f t="shared" si="36"/>
        <v/>
      </c>
      <c r="V449" s="95" t="str">
        <f t="shared" si="37"/>
        <v/>
      </c>
    </row>
    <row r="450" spans="1:22" x14ac:dyDescent="0.25">
      <c r="A450" s="98"/>
      <c r="B450" s="33"/>
      <c r="C450" s="25"/>
      <c r="D450" s="26"/>
      <c r="E450" s="33"/>
      <c r="F450" s="25"/>
      <c r="G450" s="26"/>
      <c r="H450" s="33"/>
      <c r="I450" s="34"/>
      <c r="J450" s="34"/>
      <c r="K450" s="26"/>
      <c r="L450" s="26"/>
      <c r="M450" s="55"/>
      <c r="U450" s="95" t="str">
        <f t="shared" si="36"/>
        <v/>
      </c>
      <c r="V450" s="95" t="str">
        <f t="shared" si="37"/>
        <v/>
      </c>
    </row>
    <row r="451" spans="1:22" x14ac:dyDescent="0.25">
      <c r="A451" s="98"/>
      <c r="B451" s="33"/>
      <c r="C451" s="25"/>
      <c r="D451" s="26"/>
      <c r="E451" s="33"/>
      <c r="F451" s="25"/>
      <c r="G451" s="26"/>
      <c r="H451" s="33"/>
      <c r="I451" s="34"/>
      <c r="J451" s="34"/>
      <c r="K451" s="26"/>
      <c r="L451" s="26"/>
      <c r="M451" s="55"/>
      <c r="U451" s="95" t="str">
        <f t="shared" si="36"/>
        <v/>
      </c>
      <c r="V451" s="95" t="str">
        <f t="shared" si="37"/>
        <v/>
      </c>
    </row>
    <row r="452" spans="1:22" x14ac:dyDescent="0.25">
      <c r="A452" s="98"/>
      <c r="B452" s="33"/>
      <c r="C452" s="25"/>
      <c r="D452" s="26"/>
      <c r="E452" s="33"/>
      <c r="F452" s="25"/>
      <c r="G452" s="26"/>
      <c r="H452" s="33"/>
      <c r="I452" s="34"/>
      <c r="J452" s="34"/>
      <c r="K452" s="26"/>
      <c r="L452" s="26"/>
      <c r="M452" s="55"/>
      <c r="U452" s="95" t="str">
        <f t="shared" ref="U452:U515" si="39">IF(COUNTIF(Q:Q,O452)*COUNTIF(S:S,O452),O452,"")</f>
        <v/>
      </c>
      <c r="V452" s="95" t="str">
        <f t="shared" ref="V452:V515" si="40">IF(U452&gt;$A$14,U452,"")</f>
        <v/>
      </c>
    </row>
    <row r="453" spans="1:22" x14ac:dyDescent="0.25">
      <c r="A453" s="98"/>
      <c r="B453" s="33"/>
      <c r="C453" s="25"/>
      <c r="D453" s="26"/>
      <c r="E453" s="33"/>
      <c r="F453" s="25"/>
      <c r="G453" s="26"/>
      <c r="H453" s="33"/>
      <c r="I453" s="34"/>
      <c r="J453" s="34"/>
      <c r="K453" s="26"/>
      <c r="L453" s="26"/>
      <c r="M453" s="55"/>
      <c r="U453" s="95" t="str">
        <f t="shared" si="39"/>
        <v/>
      </c>
      <c r="V453" s="95" t="str">
        <f t="shared" si="40"/>
        <v/>
      </c>
    </row>
    <row r="454" spans="1:22" x14ac:dyDescent="0.25">
      <c r="A454" s="98"/>
      <c r="B454" s="33"/>
      <c r="C454" s="25"/>
      <c r="D454" s="26"/>
      <c r="E454" s="33"/>
      <c r="F454" s="25"/>
      <c r="G454" s="26"/>
      <c r="H454" s="33"/>
      <c r="I454" s="34"/>
      <c r="J454" s="34"/>
      <c r="K454" s="26"/>
      <c r="L454" s="26"/>
      <c r="M454" s="55"/>
      <c r="U454" s="95" t="str">
        <f t="shared" si="39"/>
        <v/>
      </c>
      <c r="V454" s="95" t="str">
        <f t="shared" si="40"/>
        <v/>
      </c>
    </row>
    <row r="455" spans="1:22" x14ac:dyDescent="0.25">
      <c r="A455" s="98"/>
      <c r="B455" s="33"/>
      <c r="C455" s="25"/>
      <c r="D455" s="26"/>
      <c r="E455" s="33"/>
      <c r="F455" s="25"/>
      <c r="G455" s="26"/>
      <c r="H455" s="33"/>
      <c r="I455" s="34"/>
      <c r="J455" s="34"/>
      <c r="K455" s="26"/>
      <c r="L455" s="26"/>
      <c r="M455" s="55"/>
      <c r="U455" s="95" t="str">
        <f t="shared" si="39"/>
        <v/>
      </c>
      <c r="V455" s="95" t="str">
        <f t="shared" si="40"/>
        <v/>
      </c>
    </row>
    <row r="456" spans="1:22" x14ac:dyDescent="0.25">
      <c r="A456" s="98"/>
      <c r="B456" s="33"/>
      <c r="C456" s="25"/>
      <c r="D456" s="26"/>
      <c r="E456" s="33"/>
      <c r="F456" s="25"/>
      <c r="G456" s="26"/>
      <c r="H456" s="33"/>
      <c r="I456" s="34"/>
      <c r="J456" s="34"/>
      <c r="K456" s="26"/>
      <c r="L456" s="26"/>
      <c r="M456" s="55"/>
      <c r="U456" s="95" t="str">
        <f t="shared" si="39"/>
        <v/>
      </c>
      <c r="V456" s="95" t="str">
        <f t="shared" si="40"/>
        <v/>
      </c>
    </row>
    <row r="457" spans="1:22" x14ac:dyDescent="0.25">
      <c r="A457" s="98"/>
      <c r="B457" s="33"/>
      <c r="C457" s="25"/>
      <c r="D457" s="26"/>
      <c r="E457" s="33"/>
      <c r="F457" s="25"/>
      <c r="G457" s="26"/>
      <c r="H457" s="33"/>
      <c r="I457" s="34"/>
      <c r="J457" s="34"/>
      <c r="K457" s="26"/>
      <c r="L457" s="26"/>
      <c r="M457" s="55"/>
      <c r="U457" s="95" t="str">
        <f t="shared" si="39"/>
        <v/>
      </c>
      <c r="V457" s="95" t="str">
        <f t="shared" si="40"/>
        <v/>
      </c>
    </row>
    <row r="458" spans="1:22" x14ac:dyDescent="0.25">
      <c r="A458" s="98"/>
      <c r="B458" s="33"/>
      <c r="C458" s="25"/>
      <c r="D458" s="26"/>
      <c r="E458" s="33"/>
      <c r="F458" s="25"/>
      <c r="G458" s="26"/>
      <c r="H458" s="33"/>
      <c r="I458" s="34"/>
      <c r="J458" s="34"/>
      <c r="K458" s="26"/>
      <c r="L458" s="26"/>
      <c r="M458" s="55"/>
      <c r="U458" s="95" t="str">
        <f t="shared" si="39"/>
        <v/>
      </c>
      <c r="V458" s="95" t="str">
        <f t="shared" si="40"/>
        <v/>
      </c>
    </row>
    <row r="459" spans="1:22" x14ac:dyDescent="0.25">
      <c r="A459" s="98"/>
      <c r="B459" s="33"/>
      <c r="C459" s="25"/>
      <c r="D459" s="26"/>
      <c r="E459" s="33"/>
      <c r="F459" s="25"/>
      <c r="G459" s="26"/>
      <c r="H459" s="33"/>
      <c r="I459" s="34"/>
      <c r="J459" s="34"/>
      <c r="K459" s="26"/>
      <c r="L459" s="26"/>
      <c r="M459" s="55"/>
      <c r="U459" s="95" t="str">
        <f t="shared" si="39"/>
        <v/>
      </c>
      <c r="V459" s="95" t="str">
        <f t="shared" si="40"/>
        <v/>
      </c>
    </row>
    <row r="460" spans="1:22" x14ac:dyDescent="0.25">
      <c r="A460" s="98"/>
      <c r="B460" s="33"/>
      <c r="C460" s="25"/>
      <c r="D460" s="26"/>
      <c r="E460" s="33"/>
      <c r="F460" s="25"/>
      <c r="G460" s="26"/>
      <c r="H460" s="33"/>
      <c r="I460" s="34"/>
      <c r="J460" s="34"/>
      <c r="K460" s="26"/>
      <c r="L460" s="26"/>
      <c r="M460" s="55"/>
      <c r="U460" s="95" t="str">
        <f t="shared" si="39"/>
        <v/>
      </c>
      <c r="V460" s="95" t="str">
        <f t="shared" si="40"/>
        <v/>
      </c>
    </row>
    <row r="461" spans="1:22" x14ac:dyDescent="0.25">
      <c r="A461" s="98"/>
      <c r="B461" s="33"/>
      <c r="C461" s="25"/>
      <c r="D461" s="26"/>
      <c r="E461" s="33"/>
      <c r="F461" s="25"/>
      <c r="G461" s="26"/>
      <c r="H461" s="33"/>
      <c r="I461" s="34"/>
      <c r="J461" s="34"/>
      <c r="K461" s="26"/>
      <c r="L461" s="26"/>
      <c r="M461" s="55"/>
      <c r="U461" s="95" t="str">
        <f t="shared" si="39"/>
        <v/>
      </c>
      <c r="V461" s="95" t="str">
        <f t="shared" si="40"/>
        <v/>
      </c>
    </row>
    <row r="462" spans="1:22" x14ac:dyDescent="0.25">
      <c r="A462" s="98"/>
      <c r="B462" s="33"/>
      <c r="C462" s="25"/>
      <c r="D462" s="26"/>
      <c r="E462" s="33"/>
      <c r="F462" s="25"/>
      <c r="G462" s="26"/>
      <c r="H462" s="33"/>
      <c r="I462" s="34"/>
      <c r="J462" s="34"/>
      <c r="K462" s="26"/>
      <c r="L462" s="26"/>
      <c r="M462" s="55"/>
      <c r="U462" s="95" t="str">
        <f t="shared" si="39"/>
        <v/>
      </c>
      <c r="V462" s="95" t="str">
        <f t="shared" si="40"/>
        <v/>
      </c>
    </row>
    <row r="463" spans="1:22" x14ac:dyDescent="0.25">
      <c r="A463" s="98"/>
      <c r="B463" s="33"/>
      <c r="C463" s="25"/>
      <c r="D463" s="26"/>
      <c r="E463" s="33"/>
      <c r="F463" s="25"/>
      <c r="G463" s="26"/>
      <c r="H463" s="33"/>
      <c r="I463" s="34"/>
      <c r="J463" s="34"/>
      <c r="K463" s="26"/>
      <c r="L463" s="26"/>
      <c r="M463" s="55"/>
      <c r="U463" s="95" t="str">
        <f t="shared" si="39"/>
        <v/>
      </c>
      <c r="V463" s="95" t="str">
        <f t="shared" si="40"/>
        <v/>
      </c>
    </row>
    <row r="464" spans="1:22" x14ac:dyDescent="0.25">
      <c r="A464" s="98"/>
      <c r="B464" s="33"/>
      <c r="C464" s="25"/>
      <c r="D464" s="26"/>
      <c r="E464" s="33"/>
      <c r="F464" s="25"/>
      <c r="G464" s="26"/>
      <c r="H464" s="33"/>
      <c r="I464" s="34"/>
      <c r="J464" s="34"/>
      <c r="K464" s="26"/>
      <c r="L464" s="26"/>
      <c r="M464" s="55"/>
      <c r="U464" s="95" t="str">
        <f t="shared" si="39"/>
        <v/>
      </c>
      <c r="V464" s="95" t="str">
        <f t="shared" si="40"/>
        <v/>
      </c>
    </row>
    <row r="465" spans="1:22" x14ac:dyDescent="0.25">
      <c r="A465" s="98"/>
      <c r="B465" s="33"/>
      <c r="C465" s="25"/>
      <c r="D465" s="26"/>
      <c r="E465" s="33"/>
      <c r="F465" s="25"/>
      <c r="G465" s="26"/>
      <c r="H465" s="33"/>
      <c r="I465" s="34"/>
      <c r="J465" s="34"/>
      <c r="K465" s="26"/>
      <c r="L465" s="26"/>
      <c r="M465" s="55"/>
      <c r="U465" s="95" t="str">
        <f t="shared" si="39"/>
        <v/>
      </c>
      <c r="V465" s="95" t="str">
        <f t="shared" si="40"/>
        <v/>
      </c>
    </row>
    <row r="466" spans="1:22" x14ac:dyDescent="0.25">
      <c r="A466" s="98"/>
      <c r="B466" s="33"/>
      <c r="C466" s="25"/>
      <c r="D466" s="26"/>
      <c r="E466" s="33"/>
      <c r="F466" s="25"/>
      <c r="G466" s="26"/>
      <c r="H466" s="33"/>
      <c r="I466" s="34"/>
      <c r="J466" s="34"/>
      <c r="K466" s="26"/>
      <c r="L466" s="26"/>
      <c r="M466" s="55"/>
      <c r="U466" s="95" t="str">
        <f t="shared" si="39"/>
        <v/>
      </c>
      <c r="V466" s="95" t="str">
        <f t="shared" si="40"/>
        <v/>
      </c>
    </row>
    <row r="467" spans="1:22" x14ac:dyDescent="0.25">
      <c r="A467" s="98"/>
      <c r="B467" s="33"/>
      <c r="C467" s="25"/>
      <c r="D467" s="26"/>
      <c r="E467" s="33"/>
      <c r="F467" s="25"/>
      <c r="G467" s="26"/>
      <c r="H467" s="33"/>
      <c r="I467" s="34"/>
      <c r="J467" s="34"/>
      <c r="K467" s="26"/>
      <c r="L467" s="26"/>
      <c r="M467" s="55"/>
      <c r="U467" s="95" t="str">
        <f t="shared" si="39"/>
        <v/>
      </c>
      <c r="V467" s="95" t="str">
        <f t="shared" si="40"/>
        <v/>
      </c>
    </row>
    <row r="468" spans="1:22" x14ac:dyDescent="0.25">
      <c r="A468" s="98"/>
      <c r="B468" s="33"/>
      <c r="C468" s="25"/>
      <c r="D468" s="26"/>
      <c r="E468" s="33"/>
      <c r="F468" s="25"/>
      <c r="G468" s="26"/>
      <c r="H468" s="33"/>
      <c r="I468" s="34"/>
      <c r="J468" s="34"/>
      <c r="K468" s="26"/>
      <c r="L468" s="26"/>
      <c r="M468" s="55"/>
      <c r="U468" s="95" t="str">
        <f t="shared" si="39"/>
        <v/>
      </c>
      <c r="V468" s="95" t="str">
        <f t="shared" si="40"/>
        <v/>
      </c>
    </row>
    <row r="469" spans="1:22" x14ac:dyDescent="0.25">
      <c r="A469" s="98"/>
      <c r="B469" s="33"/>
      <c r="C469" s="25"/>
      <c r="D469" s="26"/>
      <c r="E469" s="33"/>
      <c r="F469" s="25"/>
      <c r="G469" s="26"/>
      <c r="H469" s="33"/>
      <c r="I469" s="34"/>
      <c r="J469" s="34"/>
      <c r="K469" s="26"/>
      <c r="L469" s="26"/>
      <c r="M469" s="55"/>
      <c r="U469" s="95" t="str">
        <f t="shared" si="39"/>
        <v/>
      </c>
      <c r="V469" s="95" t="str">
        <f t="shared" si="40"/>
        <v/>
      </c>
    </row>
    <row r="470" spans="1:22" x14ac:dyDescent="0.25">
      <c r="A470" s="98"/>
      <c r="B470" s="33"/>
      <c r="C470" s="25"/>
      <c r="D470" s="26"/>
      <c r="E470" s="33"/>
      <c r="F470" s="25"/>
      <c r="G470" s="26"/>
      <c r="H470" s="33"/>
      <c r="I470" s="34"/>
      <c r="J470" s="34"/>
      <c r="K470" s="26"/>
      <c r="L470" s="26"/>
      <c r="M470" s="55"/>
      <c r="U470" s="95" t="str">
        <f t="shared" si="39"/>
        <v/>
      </c>
      <c r="V470" s="95" t="str">
        <f t="shared" si="40"/>
        <v/>
      </c>
    </row>
    <row r="471" spans="1:22" x14ac:dyDescent="0.25">
      <c r="A471" s="98"/>
      <c r="B471" s="33"/>
      <c r="C471" s="25"/>
      <c r="D471" s="26"/>
      <c r="E471" s="33"/>
      <c r="F471" s="25"/>
      <c r="G471" s="26"/>
      <c r="H471" s="33"/>
      <c r="I471" s="34"/>
      <c r="J471" s="34"/>
      <c r="K471" s="26"/>
      <c r="L471" s="26"/>
      <c r="M471" s="55"/>
      <c r="U471" s="95" t="str">
        <f t="shared" si="39"/>
        <v/>
      </c>
      <c r="V471" s="95" t="str">
        <f t="shared" si="40"/>
        <v/>
      </c>
    </row>
    <row r="472" spans="1:22" x14ac:dyDescent="0.25">
      <c r="A472" s="98"/>
      <c r="B472" s="33"/>
      <c r="C472" s="25"/>
      <c r="D472" s="26"/>
      <c r="E472" s="33"/>
      <c r="F472" s="25"/>
      <c r="G472" s="26"/>
      <c r="H472" s="33"/>
      <c r="I472" s="34"/>
      <c r="J472" s="34"/>
      <c r="K472" s="26"/>
      <c r="L472" s="26"/>
      <c r="M472" s="55"/>
      <c r="U472" s="95" t="str">
        <f t="shared" si="39"/>
        <v/>
      </c>
      <c r="V472" s="95" t="str">
        <f t="shared" si="40"/>
        <v/>
      </c>
    </row>
    <row r="473" spans="1:22" x14ac:dyDescent="0.25">
      <c r="A473" s="98"/>
      <c r="B473" s="33"/>
      <c r="C473" s="25"/>
      <c r="D473" s="26"/>
      <c r="E473" s="33"/>
      <c r="F473" s="25"/>
      <c r="G473" s="26"/>
      <c r="H473" s="33"/>
      <c r="I473" s="34"/>
      <c r="J473" s="34"/>
      <c r="K473" s="26"/>
      <c r="L473" s="26"/>
      <c r="M473" s="55"/>
      <c r="U473" s="95" t="str">
        <f t="shared" si="39"/>
        <v/>
      </c>
      <c r="V473" s="95" t="str">
        <f t="shared" si="40"/>
        <v/>
      </c>
    </row>
    <row r="474" spans="1:22" x14ac:dyDescent="0.25">
      <c r="A474" s="98"/>
      <c r="B474" s="33"/>
      <c r="C474" s="25"/>
      <c r="D474" s="26"/>
      <c r="E474" s="33"/>
      <c r="F474" s="25"/>
      <c r="G474" s="26"/>
      <c r="H474" s="33"/>
      <c r="I474" s="34"/>
      <c r="J474" s="34"/>
      <c r="K474" s="26"/>
      <c r="L474" s="26"/>
      <c r="M474" s="55"/>
      <c r="U474" s="95" t="str">
        <f t="shared" si="39"/>
        <v/>
      </c>
      <c r="V474" s="95" t="str">
        <f t="shared" si="40"/>
        <v/>
      </c>
    </row>
    <row r="475" spans="1:22" x14ac:dyDescent="0.25">
      <c r="A475" s="98"/>
      <c r="B475" s="33"/>
      <c r="C475" s="25"/>
      <c r="D475" s="26"/>
      <c r="E475" s="33"/>
      <c r="F475" s="25"/>
      <c r="G475" s="26"/>
      <c r="H475" s="33"/>
      <c r="I475" s="34"/>
      <c r="J475" s="34"/>
      <c r="K475" s="26"/>
      <c r="L475" s="26"/>
      <c r="M475" s="55"/>
      <c r="U475" s="95" t="str">
        <f t="shared" si="39"/>
        <v/>
      </c>
      <c r="V475" s="95" t="str">
        <f t="shared" si="40"/>
        <v/>
      </c>
    </row>
    <row r="476" spans="1:22" x14ac:dyDescent="0.25">
      <c r="A476" s="98"/>
      <c r="B476" s="33"/>
      <c r="C476" s="25"/>
      <c r="D476" s="26"/>
      <c r="E476" s="33"/>
      <c r="F476" s="25"/>
      <c r="G476" s="26"/>
      <c r="H476" s="33"/>
      <c r="I476" s="34"/>
      <c r="J476" s="34"/>
      <c r="K476" s="26"/>
      <c r="L476" s="26"/>
      <c r="M476" s="55"/>
      <c r="U476" s="95" t="str">
        <f t="shared" si="39"/>
        <v/>
      </c>
      <c r="V476" s="95" t="str">
        <f t="shared" si="40"/>
        <v/>
      </c>
    </row>
    <row r="477" spans="1:22" x14ac:dyDescent="0.25">
      <c r="A477" s="98"/>
      <c r="B477" s="33"/>
      <c r="C477" s="25"/>
      <c r="D477" s="26"/>
      <c r="E477" s="33"/>
      <c r="F477" s="25"/>
      <c r="G477" s="26"/>
      <c r="H477" s="33"/>
      <c r="I477" s="34"/>
      <c r="J477" s="34"/>
      <c r="K477" s="26"/>
      <c r="L477" s="26"/>
      <c r="M477" s="55"/>
      <c r="U477" s="95" t="str">
        <f t="shared" si="39"/>
        <v/>
      </c>
      <c r="V477" s="95" t="str">
        <f t="shared" si="40"/>
        <v/>
      </c>
    </row>
    <row r="478" spans="1:22" x14ac:dyDescent="0.25">
      <c r="A478" s="98"/>
      <c r="B478" s="33"/>
      <c r="C478" s="25"/>
      <c r="D478" s="26"/>
      <c r="E478" s="33"/>
      <c r="F478" s="25"/>
      <c r="G478" s="26"/>
      <c r="H478" s="33"/>
      <c r="I478" s="34"/>
      <c r="J478" s="34"/>
      <c r="K478" s="26"/>
      <c r="L478" s="26"/>
      <c r="M478" s="55"/>
      <c r="U478" s="95" t="str">
        <f t="shared" si="39"/>
        <v/>
      </c>
      <c r="V478" s="95" t="str">
        <f t="shared" si="40"/>
        <v/>
      </c>
    </row>
    <row r="479" spans="1:22" x14ac:dyDescent="0.25">
      <c r="A479" s="98"/>
      <c r="B479" s="33"/>
      <c r="C479" s="25"/>
      <c r="D479" s="26"/>
      <c r="E479" s="33"/>
      <c r="F479" s="25"/>
      <c r="G479" s="26"/>
      <c r="H479" s="33"/>
      <c r="I479" s="34"/>
      <c r="J479" s="34"/>
      <c r="K479" s="26"/>
      <c r="L479" s="26"/>
      <c r="M479" s="55"/>
      <c r="U479" s="95" t="str">
        <f t="shared" si="39"/>
        <v/>
      </c>
      <c r="V479" s="95" t="str">
        <f t="shared" si="40"/>
        <v/>
      </c>
    </row>
    <row r="480" spans="1:22" x14ac:dyDescent="0.25">
      <c r="A480" s="98"/>
      <c r="B480" s="33"/>
      <c r="C480" s="25"/>
      <c r="D480" s="26"/>
      <c r="E480" s="33"/>
      <c r="F480" s="25"/>
      <c r="G480" s="26"/>
      <c r="H480" s="33"/>
      <c r="I480" s="34"/>
      <c r="J480" s="34"/>
      <c r="K480" s="26"/>
      <c r="L480" s="26"/>
      <c r="M480" s="55"/>
      <c r="U480" s="95" t="str">
        <f t="shared" si="39"/>
        <v/>
      </c>
      <c r="V480" s="95" t="str">
        <f t="shared" si="40"/>
        <v/>
      </c>
    </row>
    <row r="481" spans="1:22" x14ac:dyDescent="0.25">
      <c r="A481" s="98"/>
      <c r="B481" s="33"/>
      <c r="C481" s="25"/>
      <c r="D481" s="26"/>
      <c r="E481" s="33"/>
      <c r="F481" s="25"/>
      <c r="G481" s="26"/>
      <c r="H481" s="33"/>
      <c r="I481" s="34"/>
      <c r="J481" s="34"/>
      <c r="K481" s="26"/>
      <c r="L481" s="26"/>
      <c r="M481" s="55"/>
      <c r="U481" s="95" t="str">
        <f t="shared" si="39"/>
        <v/>
      </c>
      <c r="V481" s="95" t="str">
        <f t="shared" si="40"/>
        <v/>
      </c>
    </row>
    <row r="482" spans="1:22" x14ac:dyDescent="0.25">
      <c r="A482" s="98"/>
      <c r="B482" s="33"/>
      <c r="C482" s="25"/>
      <c r="D482" s="26"/>
      <c r="E482" s="33"/>
      <c r="F482" s="25"/>
      <c r="G482" s="26"/>
      <c r="H482" s="33"/>
      <c r="I482" s="34"/>
      <c r="J482" s="34"/>
      <c r="K482" s="26"/>
      <c r="L482" s="26"/>
      <c r="M482" s="55"/>
      <c r="U482" s="95" t="str">
        <f t="shared" si="39"/>
        <v/>
      </c>
      <c r="V482" s="95" t="str">
        <f t="shared" si="40"/>
        <v/>
      </c>
    </row>
    <row r="483" spans="1:22" x14ac:dyDescent="0.25">
      <c r="A483" s="98"/>
      <c r="B483" s="33"/>
      <c r="C483" s="25"/>
      <c r="D483" s="26"/>
      <c r="E483" s="33"/>
      <c r="F483" s="25"/>
      <c r="G483" s="26"/>
      <c r="H483" s="33"/>
      <c r="I483" s="34"/>
      <c r="J483" s="34"/>
      <c r="K483" s="26"/>
      <c r="L483" s="26"/>
      <c r="M483" s="55"/>
      <c r="U483" s="95" t="str">
        <f t="shared" si="39"/>
        <v/>
      </c>
      <c r="V483" s="95" t="str">
        <f t="shared" si="40"/>
        <v/>
      </c>
    </row>
    <row r="484" spans="1:22" x14ac:dyDescent="0.25">
      <c r="A484" s="98"/>
      <c r="B484" s="33"/>
      <c r="C484" s="25"/>
      <c r="D484" s="26"/>
      <c r="E484" s="33"/>
      <c r="F484" s="25"/>
      <c r="G484" s="26"/>
      <c r="H484" s="33"/>
      <c r="I484" s="34"/>
      <c r="J484" s="34"/>
      <c r="K484" s="26"/>
      <c r="L484" s="26"/>
      <c r="M484" s="55"/>
      <c r="U484" s="95" t="str">
        <f t="shared" si="39"/>
        <v/>
      </c>
      <c r="V484" s="95" t="str">
        <f t="shared" si="40"/>
        <v/>
      </c>
    </row>
    <row r="485" spans="1:22" x14ac:dyDescent="0.25">
      <c r="A485" s="98"/>
      <c r="B485" s="33"/>
      <c r="C485" s="25"/>
      <c r="D485" s="26"/>
      <c r="E485" s="33"/>
      <c r="F485" s="25"/>
      <c r="G485" s="26"/>
      <c r="H485" s="33"/>
      <c r="I485" s="34"/>
      <c r="J485" s="34"/>
      <c r="K485" s="26"/>
      <c r="L485" s="26"/>
      <c r="M485" s="55"/>
      <c r="U485" s="95" t="str">
        <f t="shared" si="39"/>
        <v/>
      </c>
      <c r="V485" s="95" t="str">
        <f t="shared" si="40"/>
        <v/>
      </c>
    </row>
    <row r="486" spans="1:22" x14ac:dyDescent="0.25">
      <c r="A486" s="98"/>
      <c r="B486" s="33"/>
      <c r="C486" s="25"/>
      <c r="D486" s="26"/>
      <c r="E486" s="33"/>
      <c r="F486" s="25"/>
      <c r="G486" s="26"/>
      <c r="H486" s="33"/>
      <c r="I486" s="34"/>
      <c r="J486" s="34"/>
      <c r="K486" s="26"/>
      <c r="L486" s="26"/>
      <c r="M486" s="55"/>
      <c r="U486" s="95" t="str">
        <f t="shared" si="39"/>
        <v/>
      </c>
      <c r="V486" s="95" t="str">
        <f t="shared" si="40"/>
        <v/>
      </c>
    </row>
    <row r="487" spans="1:22" x14ac:dyDescent="0.25">
      <c r="A487" s="98"/>
      <c r="B487" s="33"/>
      <c r="C487" s="25"/>
      <c r="D487" s="26"/>
      <c r="E487" s="33"/>
      <c r="F487" s="25"/>
      <c r="G487" s="26"/>
      <c r="H487" s="33"/>
      <c r="I487" s="34"/>
      <c r="J487" s="34"/>
      <c r="K487" s="26"/>
      <c r="L487" s="26"/>
      <c r="M487" s="55"/>
      <c r="U487" s="95" t="str">
        <f t="shared" si="39"/>
        <v/>
      </c>
      <c r="V487" s="95" t="str">
        <f t="shared" si="40"/>
        <v/>
      </c>
    </row>
    <row r="488" spans="1:22" x14ac:dyDescent="0.25">
      <c r="A488" s="98"/>
      <c r="B488" s="33"/>
      <c r="C488" s="25"/>
      <c r="D488" s="26"/>
      <c r="E488" s="33"/>
      <c r="F488" s="25"/>
      <c r="G488" s="26"/>
      <c r="H488" s="33"/>
      <c r="I488" s="34"/>
      <c r="J488" s="34"/>
      <c r="K488" s="26"/>
      <c r="L488" s="26"/>
      <c r="M488" s="55"/>
      <c r="U488" s="95" t="str">
        <f t="shared" si="39"/>
        <v/>
      </c>
      <c r="V488" s="95" t="str">
        <f t="shared" si="40"/>
        <v/>
      </c>
    </row>
    <row r="489" spans="1:22" x14ac:dyDescent="0.25">
      <c r="A489" s="98"/>
      <c r="B489" s="33"/>
      <c r="C489" s="25"/>
      <c r="D489" s="26"/>
      <c r="E489" s="33"/>
      <c r="F489" s="25"/>
      <c r="G489" s="26"/>
      <c r="H489" s="33"/>
      <c r="I489" s="34"/>
      <c r="J489" s="34"/>
      <c r="K489" s="26"/>
      <c r="L489" s="26"/>
      <c r="M489" s="55"/>
      <c r="U489" s="95" t="str">
        <f t="shared" si="39"/>
        <v/>
      </c>
      <c r="V489" s="95" t="str">
        <f t="shared" si="40"/>
        <v/>
      </c>
    </row>
    <row r="490" spans="1:22" x14ac:dyDescent="0.25">
      <c r="A490" s="98"/>
      <c r="B490" s="33"/>
      <c r="C490" s="25"/>
      <c r="D490" s="26"/>
      <c r="E490" s="33"/>
      <c r="F490" s="25"/>
      <c r="G490" s="26"/>
      <c r="H490" s="33"/>
      <c r="I490" s="34"/>
      <c r="J490" s="34"/>
      <c r="K490" s="26"/>
      <c r="L490" s="26"/>
      <c r="M490" s="55"/>
      <c r="U490" s="95" t="str">
        <f t="shared" si="39"/>
        <v/>
      </c>
      <c r="V490" s="95" t="str">
        <f t="shared" si="40"/>
        <v/>
      </c>
    </row>
    <row r="491" spans="1:22" x14ac:dyDescent="0.25">
      <c r="A491" s="98"/>
      <c r="B491" s="33"/>
      <c r="C491" s="25"/>
      <c r="D491" s="26"/>
      <c r="E491" s="33"/>
      <c r="F491" s="25"/>
      <c r="G491" s="26"/>
      <c r="H491" s="33"/>
      <c r="I491" s="34"/>
      <c r="J491" s="34"/>
      <c r="K491" s="26"/>
      <c r="L491" s="26"/>
      <c r="M491" s="55"/>
      <c r="U491" s="95" t="str">
        <f t="shared" si="39"/>
        <v/>
      </c>
      <c r="V491" s="95" t="str">
        <f t="shared" si="40"/>
        <v/>
      </c>
    </row>
    <row r="492" spans="1:22" x14ac:dyDescent="0.25">
      <c r="A492" s="98"/>
      <c r="B492" s="33"/>
      <c r="C492" s="25"/>
      <c r="D492" s="26"/>
      <c r="E492" s="33"/>
      <c r="F492" s="25"/>
      <c r="G492" s="26"/>
      <c r="H492" s="33"/>
      <c r="I492" s="34"/>
      <c r="J492" s="34"/>
      <c r="K492" s="26"/>
      <c r="L492" s="26"/>
      <c r="M492" s="55"/>
      <c r="U492" s="95" t="str">
        <f t="shared" si="39"/>
        <v/>
      </c>
      <c r="V492" s="95" t="str">
        <f t="shared" si="40"/>
        <v/>
      </c>
    </row>
    <row r="493" spans="1:22" x14ac:dyDescent="0.25">
      <c r="A493" s="98"/>
      <c r="B493" s="33"/>
      <c r="C493" s="25"/>
      <c r="D493" s="26"/>
      <c r="E493" s="33"/>
      <c r="F493" s="25"/>
      <c r="G493" s="26"/>
      <c r="H493" s="33"/>
      <c r="I493" s="34"/>
      <c r="J493" s="34"/>
      <c r="K493" s="26"/>
      <c r="L493" s="26"/>
      <c r="M493" s="55"/>
      <c r="U493" s="95" t="str">
        <f t="shared" si="39"/>
        <v/>
      </c>
      <c r="V493" s="95" t="str">
        <f t="shared" si="40"/>
        <v/>
      </c>
    </row>
    <row r="494" spans="1:22" x14ac:dyDescent="0.25">
      <c r="A494" s="98"/>
      <c r="B494" s="33"/>
      <c r="C494" s="25"/>
      <c r="D494" s="26"/>
      <c r="E494" s="33"/>
      <c r="F494" s="25"/>
      <c r="G494" s="26"/>
      <c r="H494" s="33"/>
      <c r="I494" s="34"/>
      <c r="J494" s="34"/>
      <c r="K494" s="26"/>
      <c r="L494" s="26"/>
      <c r="M494" s="55"/>
      <c r="U494" s="95" t="str">
        <f t="shared" si="39"/>
        <v/>
      </c>
      <c r="V494" s="95" t="str">
        <f t="shared" si="40"/>
        <v/>
      </c>
    </row>
    <row r="495" spans="1:22" x14ac:dyDescent="0.25">
      <c r="A495" s="98"/>
      <c r="B495" s="33"/>
      <c r="C495" s="25"/>
      <c r="D495" s="26"/>
      <c r="E495" s="33"/>
      <c r="F495" s="25"/>
      <c r="G495" s="26"/>
      <c r="H495" s="33"/>
      <c r="I495" s="34"/>
      <c r="J495" s="34"/>
      <c r="K495" s="26"/>
      <c r="L495" s="26"/>
      <c r="M495" s="55"/>
      <c r="U495" s="95" t="str">
        <f t="shared" si="39"/>
        <v/>
      </c>
      <c r="V495" s="95" t="str">
        <f t="shared" si="40"/>
        <v/>
      </c>
    </row>
    <row r="496" spans="1:22" x14ac:dyDescent="0.25">
      <c r="A496" s="98"/>
      <c r="B496" s="33"/>
      <c r="C496" s="25"/>
      <c r="D496" s="26"/>
      <c r="E496" s="33"/>
      <c r="F496" s="25"/>
      <c r="G496" s="26"/>
      <c r="H496" s="33"/>
      <c r="I496" s="34"/>
      <c r="J496" s="34"/>
      <c r="K496" s="26"/>
      <c r="L496" s="26"/>
      <c r="M496" s="55"/>
      <c r="U496" s="95" t="str">
        <f t="shared" si="39"/>
        <v/>
      </c>
      <c r="V496" s="95" t="str">
        <f t="shared" si="40"/>
        <v/>
      </c>
    </row>
    <row r="497" spans="1:22" x14ac:dyDescent="0.25">
      <c r="A497" s="98"/>
      <c r="B497" s="33"/>
      <c r="C497" s="25"/>
      <c r="D497" s="26"/>
      <c r="E497" s="33"/>
      <c r="F497" s="25"/>
      <c r="G497" s="26"/>
      <c r="H497" s="33"/>
      <c r="I497" s="34"/>
      <c r="J497" s="34"/>
      <c r="K497" s="26"/>
      <c r="L497" s="26"/>
      <c r="M497" s="55"/>
      <c r="U497" s="95" t="str">
        <f t="shared" si="39"/>
        <v/>
      </c>
      <c r="V497" s="95" t="str">
        <f t="shared" si="40"/>
        <v/>
      </c>
    </row>
    <row r="498" spans="1:22" x14ac:dyDescent="0.25">
      <c r="A498" s="98"/>
      <c r="B498" s="33"/>
      <c r="C498" s="25"/>
      <c r="D498" s="26"/>
      <c r="E498" s="33"/>
      <c r="F498" s="25"/>
      <c r="G498" s="26"/>
      <c r="H498" s="33"/>
      <c r="I498" s="34"/>
      <c r="J498" s="34"/>
      <c r="K498" s="26"/>
      <c r="L498" s="26"/>
      <c r="M498" s="55"/>
      <c r="U498" s="95" t="str">
        <f t="shared" si="39"/>
        <v/>
      </c>
      <c r="V498" s="95" t="str">
        <f t="shared" si="40"/>
        <v/>
      </c>
    </row>
    <row r="499" spans="1:22" x14ac:dyDescent="0.25">
      <c r="A499" s="98"/>
      <c r="B499" s="33"/>
      <c r="C499" s="25"/>
      <c r="D499" s="26"/>
      <c r="E499" s="33"/>
      <c r="F499" s="25"/>
      <c r="G499" s="26"/>
      <c r="H499" s="33"/>
      <c r="I499" s="34"/>
      <c r="J499" s="34"/>
      <c r="K499" s="26"/>
      <c r="L499" s="26"/>
      <c r="M499" s="55"/>
      <c r="U499" s="95" t="str">
        <f t="shared" si="39"/>
        <v/>
      </c>
      <c r="V499" s="95" t="str">
        <f t="shared" si="40"/>
        <v/>
      </c>
    </row>
    <row r="500" spans="1:22" x14ac:dyDescent="0.25">
      <c r="A500" s="98"/>
      <c r="B500" s="33"/>
      <c r="C500" s="25"/>
      <c r="D500" s="26"/>
      <c r="E500" s="33"/>
      <c r="F500" s="25"/>
      <c r="G500" s="26"/>
      <c r="H500" s="33"/>
      <c r="I500" s="34"/>
      <c r="J500" s="34"/>
      <c r="K500" s="26"/>
      <c r="L500" s="26"/>
      <c r="M500" s="55"/>
      <c r="U500" s="95" t="str">
        <f t="shared" si="39"/>
        <v/>
      </c>
      <c r="V500" s="95" t="str">
        <f t="shared" si="40"/>
        <v/>
      </c>
    </row>
    <row r="501" spans="1:22" x14ac:dyDescent="0.25">
      <c r="A501" s="98"/>
      <c r="B501" s="33"/>
      <c r="C501" s="25"/>
      <c r="D501" s="26"/>
      <c r="E501" s="33"/>
      <c r="F501" s="25"/>
      <c r="G501" s="26"/>
      <c r="H501" s="33"/>
      <c r="I501" s="34"/>
      <c r="J501" s="34"/>
      <c r="K501" s="26"/>
      <c r="L501" s="26"/>
      <c r="M501" s="55"/>
      <c r="U501" s="95" t="str">
        <f t="shared" si="39"/>
        <v/>
      </c>
      <c r="V501" s="95" t="str">
        <f t="shared" si="40"/>
        <v/>
      </c>
    </row>
    <row r="502" spans="1:22" x14ac:dyDescent="0.25">
      <c r="A502" s="98"/>
      <c r="B502" s="33"/>
      <c r="C502" s="25"/>
      <c r="D502" s="26"/>
      <c r="E502" s="33"/>
      <c r="F502" s="25"/>
      <c r="G502" s="26"/>
      <c r="H502" s="33"/>
      <c r="I502" s="34"/>
      <c r="J502" s="34"/>
      <c r="K502" s="26"/>
      <c r="L502" s="26"/>
      <c r="M502" s="55"/>
      <c r="U502" s="95" t="str">
        <f t="shared" si="39"/>
        <v/>
      </c>
      <c r="V502" s="95" t="str">
        <f t="shared" si="40"/>
        <v/>
      </c>
    </row>
    <row r="503" spans="1:22" x14ac:dyDescent="0.25">
      <c r="A503" s="98"/>
      <c r="B503" s="33"/>
      <c r="C503" s="25"/>
      <c r="D503" s="26"/>
      <c r="E503" s="33"/>
      <c r="F503" s="25"/>
      <c r="G503" s="26"/>
      <c r="H503" s="33"/>
      <c r="I503" s="34"/>
      <c r="J503" s="34"/>
      <c r="K503" s="26"/>
      <c r="L503" s="26"/>
      <c r="M503" s="55"/>
      <c r="U503" s="95" t="str">
        <f t="shared" si="39"/>
        <v/>
      </c>
      <c r="V503" s="95" t="str">
        <f t="shared" si="40"/>
        <v/>
      </c>
    </row>
    <row r="504" spans="1:22" x14ac:dyDescent="0.25">
      <c r="A504" s="98"/>
      <c r="B504" s="33"/>
      <c r="C504" s="25"/>
      <c r="D504" s="26"/>
      <c r="E504" s="33"/>
      <c r="F504" s="25"/>
      <c r="G504" s="26"/>
      <c r="H504" s="33"/>
      <c r="I504" s="34"/>
      <c r="J504" s="34"/>
      <c r="K504" s="26"/>
      <c r="L504" s="26"/>
      <c r="M504" s="55"/>
      <c r="U504" s="95" t="str">
        <f t="shared" si="39"/>
        <v/>
      </c>
      <c r="V504" s="95" t="str">
        <f t="shared" si="40"/>
        <v/>
      </c>
    </row>
    <row r="505" spans="1:22" x14ac:dyDescent="0.25">
      <c r="A505" s="98"/>
      <c r="B505" s="33"/>
      <c r="C505" s="25"/>
      <c r="D505" s="26"/>
      <c r="E505" s="33"/>
      <c r="F505" s="25"/>
      <c r="G505" s="26"/>
      <c r="H505" s="33"/>
      <c r="I505" s="34"/>
      <c r="J505" s="34"/>
      <c r="K505" s="26"/>
      <c r="L505" s="26"/>
      <c r="M505" s="55"/>
      <c r="U505" s="95" t="str">
        <f t="shared" si="39"/>
        <v/>
      </c>
      <c r="V505" s="95" t="str">
        <f t="shared" si="40"/>
        <v/>
      </c>
    </row>
    <row r="506" spans="1:22" x14ac:dyDescent="0.25">
      <c r="A506" s="98"/>
      <c r="B506" s="33"/>
      <c r="C506" s="25"/>
      <c r="D506" s="26"/>
      <c r="E506" s="33"/>
      <c r="F506" s="25"/>
      <c r="G506" s="26"/>
      <c r="H506" s="33"/>
      <c r="I506" s="34"/>
      <c r="J506" s="34"/>
      <c r="K506" s="26"/>
      <c r="L506" s="26"/>
      <c r="M506" s="55"/>
      <c r="U506" s="95" t="str">
        <f t="shared" si="39"/>
        <v/>
      </c>
      <c r="V506" s="95" t="str">
        <f t="shared" si="40"/>
        <v/>
      </c>
    </row>
    <row r="507" spans="1:22" x14ac:dyDescent="0.25">
      <c r="A507" s="98"/>
      <c r="B507" s="33"/>
      <c r="C507" s="25"/>
      <c r="D507" s="26"/>
      <c r="E507" s="33"/>
      <c r="F507" s="25"/>
      <c r="G507" s="26"/>
      <c r="H507" s="33"/>
      <c r="I507" s="34"/>
      <c r="J507" s="34"/>
      <c r="K507" s="26"/>
      <c r="L507" s="26"/>
      <c r="M507" s="55"/>
      <c r="U507" s="95" t="str">
        <f t="shared" si="39"/>
        <v/>
      </c>
      <c r="V507" s="95" t="str">
        <f t="shared" si="40"/>
        <v/>
      </c>
    </row>
    <row r="508" spans="1:22" x14ac:dyDescent="0.25">
      <c r="A508" s="98"/>
      <c r="B508" s="33"/>
      <c r="C508" s="25"/>
      <c r="D508" s="26"/>
      <c r="E508" s="33"/>
      <c r="F508" s="25"/>
      <c r="G508" s="26"/>
      <c r="H508" s="33"/>
      <c r="I508" s="34"/>
      <c r="J508" s="34"/>
      <c r="K508" s="26"/>
      <c r="L508" s="26"/>
      <c r="M508" s="55"/>
      <c r="U508" s="95" t="str">
        <f t="shared" si="39"/>
        <v/>
      </c>
      <c r="V508" s="95" t="str">
        <f t="shared" si="40"/>
        <v/>
      </c>
    </row>
    <row r="509" spans="1:22" x14ac:dyDescent="0.25">
      <c r="A509" s="98"/>
      <c r="B509" s="33"/>
      <c r="C509" s="25"/>
      <c r="D509" s="26"/>
      <c r="E509" s="33"/>
      <c r="F509" s="25"/>
      <c r="G509" s="26"/>
      <c r="H509" s="33"/>
      <c r="I509" s="34"/>
      <c r="J509" s="34"/>
      <c r="K509" s="26"/>
      <c r="L509" s="26"/>
      <c r="M509" s="55"/>
      <c r="U509" s="95" t="str">
        <f t="shared" si="39"/>
        <v/>
      </c>
      <c r="V509" s="95" t="str">
        <f t="shared" si="40"/>
        <v/>
      </c>
    </row>
    <row r="510" spans="1:22" x14ac:dyDescent="0.25">
      <c r="A510" s="98"/>
      <c r="B510" s="33"/>
      <c r="C510" s="25"/>
      <c r="D510" s="26"/>
      <c r="E510" s="33"/>
      <c r="F510" s="25"/>
      <c r="G510" s="26"/>
      <c r="H510" s="33"/>
      <c r="I510" s="34"/>
      <c r="J510" s="34"/>
      <c r="K510" s="26"/>
      <c r="L510" s="26"/>
      <c r="M510" s="55"/>
      <c r="U510" s="95" t="str">
        <f t="shared" si="39"/>
        <v/>
      </c>
      <c r="V510" s="95" t="str">
        <f t="shared" si="40"/>
        <v/>
      </c>
    </row>
    <row r="511" spans="1:22" x14ac:dyDescent="0.25">
      <c r="A511" s="98"/>
      <c r="B511" s="33"/>
      <c r="C511" s="25"/>
      <c r="D511" s="26"/>
      <c r="E511" s="33"/>
      <c r="F511" s="25"/>
      <c r="G511" s="26"/>
      <c r="H511" s="33"/>
      <c r="I511" s="34"/>
      <c r="J511" s="34"/>
      <c r="K511" s="26"/>
      <c r="L511" s="26"/>
      <c r="M511" s="55"/>
      <c r="U511" s="95" t="str">
        <f t="shared" si="39"/>
        <v/>
      </c>
      <c r="V511" s="95" t="str">
        <f t="shared" si="40"/>
        <v/>
      </c>
    </row>
    <row r="512" spans="1:22" x14ac:dyDescent="0.25">
      <c r="A512" s="98"/>
      <c r="B512" s="33"/>
      <c r="C512" s="25"/>
      <c r="D512" s="26"/>
      <c r="E512" s="33"/>
      <c r="F512" s="25"/>
      <c r="G512" s="26"/>
      <c r="H512" s="33"/>
      <c r="I512" s="34"/>
      <c r="J512" s="34"/>
      <c r="K512" s="26"/>
      <c r="L512" s="26"/>
      <c r="M512" s="55"/>
      <c r="U512" s="95" t="str">
        <f t="shared" si="39"/>
        <v/>
      </c>
      <c r="V512" s="95" t="str">
        <f t="shared" si="40"/>
        <v/>
      </c>
    </row>
    <row r="513" spans="1:22" x14ac:dyDescent="0.25">
      <c r="A513" s="98"/>
      <c r="B513" s="33"/>
      <c r="C513" s="25"/>
      <c r="D513" s="26"/>
      <c r="E513" s="33"/>
      <c r="F513" s="25"/>
      <c r="G513" s="26"/>
      <c r="H513" s="33"/>
      <c r="I513" s="34"/>
      <c r="J513" s="34"/>
      <c r="K513" s="26"/>
      <c r="L513" s="26"/>
      <c r="M513" s="55"/>
      <c r="U513" s="95" t="str">
        <f t="shared" si="39"/>
        <v/>
      </c>
      <c r="V513" s="95" t="str">
        <f t="shared" si="40"/>
        <v/>
      </c>
    </row>
    <row r="514" spans="1:22" x14ac:dyDescent="0.25">
      <c r="A514" s="98"/>
      <c r="B514" s="33"/>
      <c r="C514" s="25"/>
      <c r="D514" s="26"/>
      <c r="E514" s="33"/>
      <c r="F514" s="25"/>
      <c r="G514" s="26"/>
      <c r="H514" s="33"/>
      <c r="I514" s="34"/>
      <c r="J514" s="34"/>
      <c r="K514" s="26"/>
      <c r="L514" s="26"/>
      <c r="M514" s="55"/>
      <c r="U514" s="95" t="str">
        <f t="shared" si="39"/>
        <v/>
      </c>
      <c r="V514" s="95" t="str">
        <f t="shared" si="40"/>
        <v/>
      </c>
    </row>
    <row r="515" spans="1:22" x14ac:dyDescent="0.25">
      <c r="A515" s="98"/>
      <c r="B515" s="33"/>
      <c r="C515" s="25"/>
      <c r="D515" s="26"/>
      <c r="E515" s="33"/>
      <c r="F515" s="25"/>
      <c r="G515" s="26"/>
      <c r="H515" s="33"/>
      <c r="I515" s="34"/>
      <c r="J515" s="34"/>
      <c r="K515" s="26"/>
      <c r="L515" s="26"/>
      <c r="M515" s="55"/>
      <c r="U515" s="95" t="str">
        <f t="shared" si="39"/>
        <v/>
      </c>
      <c r="V515" s="95" t="str">
        <f t="shared" si="40"/>
        <v/>
      </c>
    </row>
    <row r="516" spans="1:22" x14ac:dyDescent="0.25">
      <c r="A516" s="98"/>
      <c r="B516" s="33"/>
      <c r="C516" s="25"/>
      <c r="D516" s="26"/>
      <c r="E516" s="33"/>
      <c r="F516" s="25"/>
      <c r="G516" s="26"/>
      <c r="H516" s="33"/>
      <c r="I516" s="34"/>
      <c r="J516" s="34"/>
      <c r="K516" s="26"/>
      <c r="L516" s="26"/>
      <c r="M516" s="55"/>
      <c r="U516" s="95" t="str">
        <f t="shared" ref="U516:U567" si="41">IF(COUNTIF(Q:Q,O516)*COUNTIF(S:S,O516),O516,"")</f>
        <v/>
      </c>
      <c r="V516" s="95" t="str">
        <f t="shared" ref="V516:V567" si="42">IF(U516&gt;$A$14,U516,"")</f>
        <v/>
      </c>
    </row>
    <row r="517" spans="1:22" x14ac:dyDescent="0.25">
      <c r="A517" s="98"/>
      <c r="B517" s="33"/>
      <c r="C517" s="25"/>
      <c r="D517" s="26"/>
      <c r="E517" s="33"/>
      <c r="F517" s="25"/>
      <c r="G517" s="26"/>
      <c r="H517" s="33"/>
      <c r="I517" s="34"/>
      <c r="J517" s="34"/>
      <c r="K517" s="26"/>
      <c r="L517" s="26"/>
      <c r="M517" s="55"/>
      <c r="U517" s="95" t="str">
        <f t="shared" si="41"/>
        <v/>
      </c>
      <c r="V517" s="95" t="str">
        <f t="shared" si="42"/>
        <v/>
      </c>
    </row>
    <row r="518" spans="1:22" x14ac:dyDescent="0.25">
      <c r="A518" s="98"/>
      <c r="B518" s="33"/>
      <c r="C518" s="25"/>
      <c r="D518" s="26"/>
      <c r="E518" s="33"/>
      <c r="F518" s="25"/>
      <c r="G518" s="26"/>
      <c r="H518" s="33"/>
      <c r="I518" s="34"/>
      <c r="J518" s="34"/>
      <c r="K518" s="26"/>
      <c r="L518" s="26"/>
      <c r="M518" s="55"/>
      <c r="U518" s="95" t="str">
        <f t="shared" si="41"/>
        <v/>
      </c>
      <c r="V518" s="95" t="str">
        <f t="shared" si="42"/>
        <v/>
      </c>
    </row>
    <row r="519" spans="1:22" x14ac:dyDescent="0.25">
      <c r="A519" s="98"/>
      <c r="B519" s="33"/>
      <c r="C519" s="25"/>
      <c r="D519" s="26"/>
      <c r="E519" s="33"/>
      <c r="F519" s="25"/>
      <c r="G519" s="26"/>
      <c r="H519" s="33"/>
      <c r="I519" s="34"/>
      <c r="J519" s="34"/>
      <c r="K519" s="26"/>
      <c r="L519" s="26"/>
      <c r="M519" s="55"/>
      <c r="U519" s="95" t="str">
        <f t="shared" si="41"/>
        <v/>
      </c>
      <c r="V519" s="95" t="str">
        <f t="shared" si="42"/>
        <v/>
      </c>
    </row>
    <row r="520" spans="1:22" x14ac:dyDescent="0.25">
      <c r="A520" s="98"/>
      <c r="B520" s="33"/>
      <c r="C520" s="25"/>
      <c r="D520" s="26"/>
      <c r="E520" s="33"/>
      <c r="F520" s="25"/>
      <c r="G520" s="26"/>
      <c r="H520" s="33"/>
      <c r="I520" s="34"/>
      <c r="J520" s="34"/>
      <c r="K520" s="26"/>
      <c r="L520" s="26"/>
      <c r="M520" s="55"/>
      <c r="U520" s="95" t="str">
        <f t="shared" si="41"/>
        <v/>
      </c>
      <c r="V520" s="95" t="str">
        <f t="shared" si="42"/>
        <v/>
      </c>
    </row>
    <row r="521" spans="1:22" x14ac:dyDescent="0.25">
      <c r="A521" s="98"/>
      <c r="B521" s="33"/>
      <c r="C521" s="25"/>
      <c r="D521" s="26"/>
      <c r="E521" s="33"/>
      <c r="F521" s="25"/>
      <c r="G521" s="26"/>
      <c r="H521" s="33"/>
      <c r="I521" s="34"/>
      <c r="J521" s="34"/>
      <c r="K521" s="26"/>
      <c r="L521" s="26"/>
      <c r="M521" s="55"/>
      <c r="U521" s="95" t="str">
        <f t="shared" si="41"/>
        <v/>
      </c>
      <c r="V521" s="95" t="str">
        <f t="shared" si="42"/>
        <v/>
      </c>
    </row>
    <row r="522" spans="1:22" x14ac:dyDescent="0.25">
      <c r="A522" s="98"/>
      <c r="B522" s="33"/>
      <c r="C522" s="25"/>
      <c r="D522" s="26"/>
      <c r="E522" s="33"/>
      <c r="F522" s="25"/>
      <c r="G522" s="26"/>
      <c r="H522" s="33"/>
      <c r="I522" s="34"/>
      <c r="J522" s="34"/>
      <c r="K522" s="26"/>
      <c r="L522" s="26"/>
      <c r="M522" s="55"/>
      <c r="U522" s="95" t="str">
        <f t="shared" si="41"/>
        <v/>
      </c>
      <c r="V522" s="95" t="str">
        <f t="shared" si="42"/>
        <v/>
      </c>
    </row>
    <row r="523" spans="1:22" x14ac:dyDescent="0.25">
      <c r="A523" s="98"/>
      <c r="B523" s="33"/>
      <c r="C523" s="25"/>
      <c r="D523" s="26"/>
      <c r="E523" s="33"/>
      <c r="F523" s="25"/>
      <c r="G523" s="26"/>
      <c r="H523" s="33"/>
      <c r="I523" s="34"/>
      <c r="J523" s="34"/>
      <c r="K523" s="26"/>
      <c r="L523" s="26"/>
      <c r="M523" s="55"/>
      <c r="U523" s="95" t="str">
        <f t="shared" si="41"/>
        <v/>
      </c>
      <c r="V523" s="95" t="str">
        <f t="shared" si="42"/>
        <v/>
      </c>
    </row>
    <row r="524" spans="1:22" x14ac:dyDescent="0.25">
      <c r="A524" s="98"/>
      <c r="B524" s="33"/>
      <c r="C524" s="25"/>
      <c r="D524" s="26"/>
      <c r="E524" s="33"/>
      <c r="F524" s="25"/>
      <c r="G524" s="26"/>
      <c r="H524" s="33"/>
      <c r="I524" s="34"/>
      <c r="J524" s="34"/>
      <c r="K524" s="26"/>
      <c r="L524" s="26"/>
      <c r="M524" s="55"/>
      <c r="U524" s="95" t="str">
        <f t="shared" si="41"/>
        <v/>
      </c>
      <c r="V524" s="95" t="str">
        <f t="shared" si="42"/>
        <v/>
      </c>
    </row>
    <row r="525" spans="1:22" x14ac:dyDescent="0.25">
      <c r="A525" s="98"/>
      <c r="B525" s="33"/>
      <c r="C525" s="25"/>
      <c r="D525" s="26"/>
      <c r="E525" s="33"/>
      <c r="F525" s="25"/>
      <c r="G525" s="26"/>
      <c r="H525" s="33"/>
      <c r="I525" s="34"/>
      <c r="J525" s="34"/>
      <c r="K525" s="26"/>
      <c r="L525" s="26"/>
      <c r="M525" s="55"/>
      <c r="U525" s="95" t="str">
        <f t="shared" si="41"/>
        <v/>
      </c>
      <c r="V525" s="95" t="str">
        <f t="shared" si="42"/>
        <v/>
      </c>
    </row>
    <row r="526" spans="1:22" x14ac:dyDescent="0.25">
      <c r="A526" s="98"/>
      <c r="B526" s="33"/>
      <c r="C526" s="25"/>
      <c r="D526" s="26"/>
      <c r="E526" s="33"/>
      <c r="F526" s="25"/>
      <c r="G526" s="26"/>
      <c r="H526" s="33"/>
      <c r="I526" s="34"/>
      <c r="J526" s="34"/>
      <c r="K526" s="26"/>
      <c r="L526" s="26"/>
      <c r="M526" s="55"/>
      <c r="U526" s="95" t="str">
        <f t="shared" si="41"/>
        <v/>
      </c>
      <c r="V526" s="95" t="str">
        <f t="shared" si="42"/>
        <v/>
      </c>
    </row>
    <row r="527" spans="1:22" x14ac:dyDescent="0.25">
      <c r="A527" s="98"/>
      <c r="B527" s="33"/>
      <c r="C527" s="25"/>
      <c r="D527" s="26"/>
      <c r="E527" s="33"/>
      <c r="F527" s="25"/>
      <c r="G527" s="26"/>
      <c r="H527" s="33"/>
      <c r="I527" s="34"/>
      <c r="J527" s="34"/>
      <c r="K527" s="26"/>
      <c r="L527" s="26"/>
      <c r="M527" s="55"/>
      <c r="U527" s="95" t="str">
        <f t="shared" si="41"/>
        <v/>
      </c>
      <c r="V527" s="95" t="str">
        <f t="shared" si="42"/>
        <v/>
      </c>
    </row>
    <row r="528" spans="1:22" x14ac:dyDescent="0.25">
      <c r="A528" s="98"/>
      <c r="B528" s="33"/>
      <c r="C528" s="25"/>
      <c r="D528" s="26"/>
      <c r="E528" s="33"/>
      <c r="F528" s="25"/>
      <c r="G528" s="26"/>
      <c r="H528" s="33"/>
      <c r="I528" s="34"/>
      <c r="J528" s="34"/>
      <c r="K528" s="26"/>
      <c r="L528" s="26"/>
      <c r="M528" s="55"/>
      <c r="U528" s="95" t="str">
        <f t="shared" si="41"/>
        <v/>
      </c>
      <c r="V528" s="95" t="str">
        <f t="shared" si="42"/>
        <v/>
      </c>
    </row>
    <row r="529" spans="1:22" x14ac:dyDescent="0.25">
      <c r="A529" s="98"/>
      <c r="B529" s="33"/>
      <c r="C529" s="25"/>
      <c r="D529" s="26"/>
      <c r="E529" s="33"/>
      <c r="F529" s="25"/>
      <c r="G529" s="26"/>
      <c r="H529" s="33"/>
      <c r="I529" s="34"/>
      <c r="J529" s="34"/>
      <c r="K529" s="26"/>
      <c r="L529" s="26"/>
      <c r="M529" s="55"/>
      <c r="U529" s="95" t="str">
        <f t="shared" si="41"/>
        <v/>
      </c>
      <c r="V529" s="95" t="str">
        <f t="shared" si="42"/>
        <v/>
      </c>
    </row>
    <row r="530" spans="1:22" x14ac:dyDescent="0.25">
      <c r="A530" s="98"/>
      <c r="B530" s="33"/>
      <c r="C530" s="25"/>
      <c r="D530" s="26"/>
      <c r="E530" s="33"/>
      <c r="F530" s="25"/>
      <c r="G530" s="26"/>
      <c r="H530" s="33"/>
      <c r="I530" s="34"/>
      <c r="J530" s="34"/>
      <c r="K530" s="26"/>
      <c r="L530" s="26"/>
      <c r="M530" s="55"/>
      <c r="U530" s="95" t="str">
        <f t="shared" si="41"/>
        <v/>
      </c>
      <c r="V530" s="95" t="str">
        <f t="shared" si="42"/>
        <v/>
      </c>
    </row>
    <row r="531" spans="1:22" x14ac:dyDescent="0.25">
      <c r="A531" s="98"/>
      <c r="B531" s="33"/>
      <c r="C531" s="25"/>
      <c r="D531" s="26"/>
      <c r="E531" s="33"/>
      <c r="F531" s="25"/>
      <c r="G531" s="26"/>
      <c r="H531" s="33"/>
      <c r="I531" s="34"/>
      <c r="J531" s="34"/>
      <c r="K531" s="26"/>
      <c r="L531" s="26"/>
      <c r="M531" s="55"/>
      <c r="U531" s="95" t="str">
        <f t="shared" si="41"/>
        <v/>
      </c>
      <c r="V531" s="95" t="str">
        <f t="shared" si="42"/>
        <v/>
      </c>
    </row>
    <row r="532" spans="1:22" x14ac:dyDescent="0.25">
      <c r="A532" s="98"/>
      <c r="B532" s="33"/>
      <c r="C532" s="25"/>
      <c r="D532" s="26"/>
      <c r="E532" s="33"/>
      <c r="F532" s="25"/>
      <c r="G532" s="26"/>
      <c r="H532" s="33"/>
      <c r="I532" s="34"/>
      <c r="J532" s="34"/>
      <c r="K532" s="26"/>
      <c r="L532" s="26"/>
      <c r="M532" s="55"/>
      <c r="U532" s="95" t="str">
        <f t="shared" si="41"/>
        <v/>
      </c>
      <c r="V532" s="95" t="str">
        <f t="shared" si="42"/>
        <v/>
      </c>
    </row>
    <row r="533" spans="1:22" x14ac:dyDescent="0.25">
      <c r="A533" s="98"/>
      <c r="B533" s="33"/>
      <c r="C533" s="25"/>
      <c r="D533" s="26"/>
      <c r="E533" s="33"/>
      <c r="F533" s="25"/>
      <c r="G533" s="26"/>
      <c r="H533" s="33"/>
      <c r="I533" s="34"/>
      <c r="J533" s="34"/>
      <c r="K533" s="26"/>
      <c r="L533" s="26"/>
      <c r="M533" s="55"/>
      <c r="U533" s="95" t="str">
        <f t="shared" si="41"/>
        <v/>
      </c>
      <c r="V533" s="95" t="str">
        <f t="shared" si="42"/>
        <v/>
      </c>
    </row>
    <row r="534" spans="1:22" x14ac:dyDescent="0.25">
      <c r="A534" s="98"/>
      <c r="B534" s="33"/>
      <c r="C534" s="25"/>
      <c r="D534" s="26"/>
      <c r="E534" s="33"/>
      <c r="F534" s="25"/>
      <c r="G534" s="26"/>
      <c r="H534" s="33"/>
      <c r="I534" s="34"/>
      <c r="J534" s="34"/>
      <c r="K534" s="26"/>
      <c r="L534" s="26"/>
      <c r="M534" s="55"/>
      <c r="U534" s="95" t="str">
        <f t="shared" si="41"/>
        <v/>
      </c>
      <c r="V534" s="95" t="str">
        <f t="shared" si="42"/>
        <v/>
      </c>
    </row>
    <row r="535" spans="1:22" x14ac:dyDescent="0.25">
      <c r="A535" s="98"/>
      <c r="B535" s="33"/>
      <c r="C535" s="25"/>
      <c r="D535" s="26"/>
      <c r="E535" s="33"/>
      <c r="F535" s="25"/>
      <c r="G535" s="26"/>
      <c r="H535" s="33"/>
      <c r="I535" s="34"/>
      <c r="J535" s="34"/>
      <c r="K535" s="26"/>
      <c r="L535" s="26"/>
      <c r="M535" s="55"/>
      <c r="U535" s="95" t="str">
        <f t="shared" si="41"/>
        <v/>
      </c>
      <c r="V535" s="95" t="str">
        <f t="shared" si="42"/>
        <v/>
      </c>
    </row>
    <row r="536" spans="1:22" x14ac:dyDescent="0.25">
      <c r="A536" s="98"/>
      <c r="B536" s="33"/>
      <c r="C536" s="25"/>
      <c r="D536" s="26"/>
      <c r="E536" s="33"/>
      <c r="F536" s="25"/>
      <c r="G536" s="26"/>
      <c r="H536" s="33"/>
      <c r="I536" s="34"/>
      <c r="J536" s="34"/>
      <c r="K536" s="26"/>
      <c r="L536" s="26"/>
      <c r="M536" s="55"/>
      <c r="U536" s="95" t="str">
        <f t="shared" si="41"/>
        <v/>
      </c>
      <c r="V536" s="95" t="str">
        <f t="shared" si="42"/>
        <v/>
      </c>
    </row>
    <row r="537" spans="1:22" x14ac:dyDescent="0.25">
      <c r="A537" s="98"/>
      <c r="B537" s="33"/>
      <c r="C537" s="25"/>
      <c r="D537" s="26"/>
      <c r="E537" s="33"/>
      <c r="F537" s="25"/>
      <c r="G537" s="26"/>
      <c r="H537" s="33"/>
      <c r="I537" s="34"/>
      <c r="J537" s="34"/>
      <c r="K537" s="26"/>
      <c r="L537" s="26"/>
      <c r="M537" s="55"/>
      <c r="U537" s="95" t="str">
        <f t="shared" si="41"/>
        <v/>
      </c>
      <c r="V537" s="95" t="str">
        <f t="shared" si="42"/>
        <v/>
      </c>
    </row>
    <row r="538" spans="1:22" x14ac:dyDescent="0.25">
      <c r="A538" s="98"/>
      <c r="B538" s="33"/>
      <c r="C538" s="25"/>
      <c r="D538" s="26"/>
      <c r="E538" s="33"/>
      <c r="F538" s="25"/>
      <c r="G538" s="26"/>
      <c r="H538" s="33"/>
      <c r="I538" s="34"/>
      <c r="J538" s="34"/>
      <c r="K538" s="26"/>
      <c r="L538" s="26"/>
      <c r="M538" s="55"/>
      <c r="U538" s="95" t="str">
        <f t="shared" si="41"/>
        <v/>
      </c>
      <c r="V538" s="95" t="str">
        <f t="shared" si="42"/>
        <v/>
      </c>
    </row>
    <row r="539" spans="1:22" x14ac:dyDescent="0.25">
      <c r="A539" s="98"/>
      <c r="B539" s="33"/>
      <c r="C539" s="25"/>
      <c r="D539" s="26"/>
      <c r="E539" s="33"/>
      <c r="F539" s="25"/>
      <c r="G539" s="26"/>
      <c r="H539" s="33"/>
      <c r="I539" s="34"/>
      <c r="J539" s="34"/>
      <c r="K539" s="26"/>
      <c r="L539" s="26"/>
      <c r="M539" s="55"/>
      <c r="U539" s="95" t="str">
        <f t="shared" si="41"/>
        <v/>
      </c>
      <c r="V539" s="95" t="str">
        <f t="shared" si="42"/>
        <v/>
      </c>
    </row>
    <row r="540" spans="1:22" x14ac:dyDescent="0.25">
      <c r="A540" s="98"/>
      <c r="B540" s="33"/>
      <c r="C540" s="25"/>
      <c r="D540" s="26"/>
      <c r="E540" s="33"/>
      <c r="F540" s="25"/>
      <c r="G540" s="26"/>
      <c r="H540" s="33"/>
      <c r="I540" s="34"/>
      <c r="J540" s="34"/>
      <c r="K540" s="26"/>
      <c r="L540" s="26"/>
      <c r="M540" s="55"/>
      <c r="U540" s="95" t="str">
        <f t="shared" si="41"/>
        <v/>
      </c>
      <c r="V540" s="95" t="str">
        <f t="shared" si="42"/>
        <v/>
      </c>
    </row>
    <row r="541" spans="1:22" x14ac:dyDescent="0.25">
      <c r="A541" s="98"/>
      <c r="B541" s="33"/>
      <c r="C541" s="25"/>
      <c r="D541" s="26"/>
      <c r="E541" s="33"/>
      <c r="F541" s="25"/>
      <c r="G541" s="26"/>
      <c r="H541" s="33"/>
      <c r="I541" s="34"/>
      <c r="J541" s="34"/>
      <c r="K541" s="26"/>
      <c r="L541" s="26"/>
      <c r="M541" s="55"/>
      <c r="U541" s="95" t="str">
        <f t="shared" si="41"/>
        <v/>
      </c>
      <c r="V541" s="95" t="str">
        <f t="shared" si="42"/>
        <v/>
      </c>
    </row>
    <row r="542" spans="1:22" x14ac:dyDescent="0.25">
      <c r="A542" s="98"/>
      <c r="B542" s="33"/>
      <c r="C542" s="25"/>
      <c r="D542" s="26"/>
      <c r="E542" s="33"/>
      <c r="F542" s="25"/>
      <c r="G542" s="26"/>
      <c r="H542" s="33"/>
      <c r="I542" s="34"/>
      <c r="J542" s="34"/>
      <c r="K542" s="26"/>
      <c r="L542" s="26"/>
      <c r="M542" s="55"/>
      <c r="U542" s="95" t="str">
        <f t="shared" si="41"/>
        <v/>
      </c>
      <c r="V542" s="95" t="str">
        <f t="shared" si="42"/>
        <v/>
      </c>
    </row>
    <row r="543" spans="1:22" x14ac:dyDescent="0.25">
      <c r="A543" s="98"/>
      <c r="B543" s="33"/>
      <c r="C543" s="25"/>
      <c r="D543" s="26"/>
      <c r="E543" s="33"/>
      <c r="F543" s="25"/>
      <c r="G543" s="26"/>
      <c r="H543" s="33"/>
      <c r="I543" s="34"/>
      <c r="J543" s="34"/>
      <c r="K543" s="26"/>
      <c r="L543" s="26"/>
      <c r="M543" s="55"/>
      <c r="U543" s="95" t="str">
        <f t="shared" si="41"/>
        <v/>
      </c>
      <c r="V543" s="95" t="str">
        <f t="shared" si="42"/>
        <v/>
      </c>
    </row>
    <row r="544" spans="1:22" x14ac:dyDescent="0.25">
      <c r="A544" s="98"/>
      <c r="B544" s="33"/>
      <c r="C544" s="25"/>
      <c r="D544" s="26"/>
      <c r="E544" s="33"/>
      <c r="F544" s="25"/>
      <c r="G544" s="26"/>
      <c r="H544" s="33"/>
      <c r="I544" s="34"/>
      <c r="J544" s="34"/>
      <c r="K544" s="26"/>
      <c r="L544" s="26"/>
      <c r="M544" s="55"/>
      <c r="U544" s="95" t="str">
        <f t="shared" si="41"/>
        <v/>
      </c>
      <c r="V544" s="95" t="str">
        <f t="shared" si="42"/>
        <v/>
      </c>
    </row>
    <row r="545" spans="1:22" x14ac:dyDescent="0.25">
      <c r="A545" s="98"/>
      <c r="B545" s="33"/>
      <c r="C545" s="25"/>
      <c r="D545" s="26"/>
      <c r="E545" s="33"/>
      <c r="F545" s="25"/>
      <c r="G545" s="26"/>
      <c r="H545" s="33"/>
      <c r="I545" s="34"/>
      <c r="J545" s="34"/>
      <c r="K545" s="26"/>
      <c r="L545" s="26"/>
      <c r="M545" s="55"/>
      <c r="U545" s="95" t="str">
        <f t="shared" si="41"/>
        <v/>
      </c>
      <c r="V545" s="95" t="str">
        <f t="shared" si="42"/>
        <v/>
      </c>
    </row>
    <row r="546" spans="1:22" x14ac:dyDescent="0.25">
      <c r="A546" s="98"/>
      <c r="B546" s="33"/>
      <c r="C546" s="25"/>
      <c r="D546" s="26"/>
      <c r="E546" s="33"/>
      <c r="F546" s="25"/>
      <c r="G546" s="26"/>
      <c r="H546" s="33"/>
      <c r="I546" s="34"/>
      <c r="J546" s="34"/>
      <c r="K546" s="26"/>
      <c r="L546" s="26"/>
      <c r="M546" s="55"/>
      <c r="U546" s="95" t="str">
        <f t="shared" si="41"/>
        <v/>
      </c>
      <c r="V546" s="95" t="str">
        <f t="shared" si="42"/>
        <v/>
      </c>
    </row>
    <row r="547" spans="1:22" x14ac:dyDescent="0.25">
      <c r="A547" s="98"/>
      <c r="B547" s="33"/>
      <c r="C547" s="25"/>
      <c r="D547" s="26"/>
      <c r="E547" s="33"/>
      <c r="F547" s="25"/>
      <c r="G547" s="26"/>
      <c r="H547" s="33"/>
      <c r="I547" s="34"/>
      <c r="J547" s="34"/>
      <c r="K547" s="26"/>
      <c r="L547" s="26"/>
      <c r="M547" s="55"/>
      <c r="U547" s="95" t="str">
        <f t="shared" si="41"/>
        <v/>
      </c>
      <c r="V547" s="95" t="str">
        <f t="shared" si="42"/>
        <v/>
      </c>
    </row>
    <row r="548" spans="1:22" x14ac:dyDescent="0.25">
      <c r="A548" s="98"/>
      <c r="B548" s="33"/>
      <c r="C548" s="25"/>
      <c r="D548" s="26"/>
      <c r="E548" s="33"/>
      <c r="F548" s="25"/>
      <c r="G548" s="26"/>
      <c r="H548" s="33"/>
      <c r="I548" s="34"/>
      <c r="J548" s="34"/>
      <c r="K548" s="26"/>
      <c r="L548" s="26"/>
      <c r="M548" s="55"/>
      <c r="U548" s="95" t="str">
        <f t="shared" si="41"/>
        <v/>
      </c>
      <c r="V548" s="95" t="str">
        <f t="shared" si="42"/>
        <v/>
      </c>
    </row>
    <row r="549" spans="1:22" x14ac:dyDescent="0.25">
      <c r="A549" s="98"/>
      <c r="B549" s="33"/>
      <c r="C549" s="25"/>
      <c r="D549" s="26"/>
      <c r="E549" s="33"/>
      <c r="F549" s="25"/>
      <c r="G549" s="26"/>
      <c r="H549" s="33"/>
      <c r="I549" s="34"/>
      <c r="J549" s="34"/>
      <c r="K549" s="26"/>
      <c r="L549" s="26"/>
      <c r="M549" s="55"/>
      <c r="U549" s="95" t="str">
        <f t="shared" si="41"/>
        <v/>
      </c>
      <c r="V549" s="95" t="str">
        <f t="shared" si="42"/>
        <v/>
      </c>
    </row>
    <row r="550" spans="1:22" x14ac:dyDescent="0.25">
      <c r="A550" s="98"/>
      <c r="B550" s="33"/>
      <c r="C550" s="25"/>
      <c r="D550" s="26"/>
      <c r="E550" s="33"/>
      <c r="F550" s="25"/>
      <c r="G550" s="26"/>
      <c r="H550" s="33"/>
      <c r="I550" s="34"/>
      <c r="J550" s="34"/>
      <c r="K550" s="26"/>
      <c r="L550" s="26"/>
      <c r="M550" s="55"/>
      <c r="U550" s="95" t="str">
        <f t="shared" si="41"/>
        <v/>
      </c>
      <c r="V550" s="95" t="str">
        <f t="shared" si="42"/>
        <v/>
      </c>
    </row>
    <row r="551" spans="1:22" x14ac:dyDescent="0.25">
      <c r="A551" s="98"/>
      <c r="B551" s="33"/>
      <c r="C551" s="25"/>
      <c r="D551" s="26"/>
      <c r="E551" s="33"/>
      <c r="F551" s="25"/>
      <c r="G551" s="26"/>
      <c r="H551" s="33"/>
      <c r="I551" s="34"/>
      <c r="J551" s="34"/>
      <c r="K551" s="26"/>
      <c r="L551" s="26"/>
      <c r="M551" s="55"/>
      <c r="U551" s="95" t="str">
        <f t="shared" si="41"/>
        <v/>
      </c>
      <c r="V551" s="95" t="str">
        <f t="shared" si="42"/>
        <v/>
      </c>
    </row>
    <row r="552" spans="1:22" x14ac:dyDescent="0.25">
      <c r="A552" s="98"/>
      <c r="B552" s="33"/>
      <c r="C552" s="25"/>
      <c r="D552" s="26"/>
      <c r="E552" s="33"/>
      <c r="F552" s="25"/>
      <c r="G552" s="26"/>
      <c r="H552" s="33"/>
      <c r="I552" s="34"/>
      <c r="J552" s="34"/>
      <c r="K552" s="26"/>
      <c r="L552" s="26"/>
      <c r="M552" s="55"/>
      <c r="U552" s="95" t="str">
        <f t="shared" si="41"/>
        <v/>
      </c>
      <c r="V552" s="95" t="str">
        <f t="shared" si="42"/>
        <v/>
      </c>
    </row>
    <row r="553" spans="1:22" x14ac:dyDescent="0.25">
      <c r="A553" s="98"/>
      <c r="B553" s="33"/>
      <c r="C553" s="25"/>
      <c r="D553" s="26"/>
      <c r="E553" s="33"/>
      <c r="F553" s="25"/>
      <c r="G553" s="26"/>
      <c r="H553" s="33"/>
      <c r="I553" s="34"/>
      <c r="J553" s="34"/>
      <c r="K553" s="26"/>
      <c r="L553" s="26"/>
      <c r="M553" s="55"/>
      <c r="U553" s="95" t="str">
        <f t="shared" si="41"/>
        <v/>
      </c>
      <c r="V553" s="95" t="str">
        <f t="shared" si="42"/>
        <v/>
      </c>
    </row>
    <row r="554" spans="1:22" x14ac:dyDescent="0.25">
      <c r="A554" s="98"/>
      <c r="B554" s="33"/>
      <c r="C554" s="25"/>
      <c r="D554" s="26"/>
      <c r="E554" s="33"/>
      <c r="F554" s="25"/>
      <c r="G554" s="26"/>
      <c r="H554" s="33"/>
      <c r="I554" s="34"/>
      <c r="J554" s="34"/>
      <c r="K554" s="26"/>
      <c r="L554" s="26"/>
      <c r="M554" s="55"/>
      <c r="U554" s="95" t="str">
        <f t="shared" si="41"/>
        <v/>
      </c>
      <c r="V554" s="95" t="str">
        <f t="shared" si="42"/>
        <v/>
      </c>
    </row>
    <row r="555" spans="1:22" x14ac:dyDescent="0.25">
      <c r="U555" s="95" t="str">
        <f t="shared" si="41"/>
        <v/>
      </c>
      <c r="V555" s="95" t="str">
        <f t="shared" si="42"/>
        <v/>
      </c>
    </row>
    <row r="556" spans="1:22" x14ac:dyDescent="0.25">
      <c r="U556" s="95" t="str">
        <f t="shared" si="41"/>
        <v/>
      </c>
      <c r="V556" s="95" t="str">
        <f t="shared" si="42"/>
        <v/>
      </c>
    </row>
    <row r="557" spans="1:22" x14ac:dyDescent="0.25">
      <c r="U557" s="95" t="str">
        <f t="shared" si="41"/>
        <v/>
      </c>
      <c r="V557" s="95" t="str">
        <f t="shared" si="42"/>
        <v/>
      </c>
    </row>
    <row r="558" spans="1:22" x14ac:dyDescent="0.25">
      <c r="U558" s="95" t="str">
        <f t="shared" si="41"/>
        <v/>
      </c>
      <c r="V558" s="95" t="str">
        <f t="shared" si="42"/>
        <v/>
      </c>
    </row>
    <row r="559" spans="1:22" x14ac:dyDescent="0.25">
      <c r="U559" s="95" t="str">
        <f t="shared" si="41"/>
        <v/>
      </c>
      <c r="V559" s="95" t="str">
        <f t="shared" si="42"/>
        <v/>
      </c>
    </row>
    <row r="560" spans="1:22" x14ac:dyDescent="0.25">
      <c r="U560" s="95" t="str">
        <f t="shared" si="41"/>
        <v/>
      </c>
      <c r="V560" s="95" t="str">
        <f t="shared" si="42"/>
        <v/>
      </c>
    </row>
    <row r="561" spans="21:22" x14ac:dyDescent="0.25">
      <c r="U561" s="95" t="str">
        <f t="shared" si="41"/>
        <v/>
      </c>
      <c r="V561" s="95" t="str">
        <f t="shared" si="42"/>
        <v/>
      </c>
    </row>
    <row r="562" spans="21:22" x14ac:dyDescent="0.25">
      <c r="U562" s="95" t="str">
        <f t="shared" si="41"/>
        <v/>
      </c>
      <c r="V562" s="95" t="str">
        <f t="shared" si="42"/>
        <v/>
      </c>
    </row>
    <row r="563" spans="21:22" x14ac:dyDescent="0.25">
      <c r="U563" s="95" t="str">
        <f t="shared" si="41"/>
        <v/>
      </c>
      <c r="V563" s="95" t="str">
        <f t="shared" si="42"/>
        <v/>
      </c>
    </row>
    <row r="564" spans="21:22" x14ac:dyDescent="0.25">
      <c r="U564" s="95" t="str">
        <f t="shared" si="41"/>
        <v/>
      </c>
      <c r="V564" s="95" t="str">
        <f t="shared" si="42"/>
        <v/>
      </c>
    </row>
    <row r="565" spans="21:22" x14ac:dyDescent="0.25">
      <c r="U565" s="95" t="str">
        <f t="shared" si="41"/>
        <v/>
      </c>
      <c r="V565" s="95" t="str">
        <f t="shared" si="42"/>
        <v/>
      </c>
    </row>
    <row r="566" spans="21:22" x14ac:dyDescent="0.25">
      <c r="U566" s="95" t="str">
        <f t="shared" si="41"/>
        <v/>
      </c>
      <c r="V566" s="95" t="str">
        <f t="shared" si="42"/>
        <v/>
      </c>
    </row>
    <row r="567" spans="21:22" x14ac:dyDescent="0.25">
      <c r="U567" s="95" t="str">
        <f t="shared" si="41"/>
        <v/>
      </c>
      <c r="V567" s="95" t="str">
        <f t="shared" si="42"/>
        <v/>
      </c>
    </row>
    <row r="568" spans="21:22" x14ac:dyDescent="0.25">
      <c r="U568" s="95" t="str">
        <f>IF(COUNTIF(Q:Q,O568)*COUNTIF(S:S,O568),O568,"")</f>
        <v/>
      </c>
      <c r="V568" s="95" t="str">
        <f>IF(U568&gt;$A$14,U568,"")</f>
        <v/>
      </c>
    </row>
    <row r="569" spans="21:22" x14ac:dyDescent="0.25">
      <c r="U569" s="95" t="str">
        <f>IF(COUNTIF(Q:Q,O569)*COUNTIF(S:S,O569),O569,"")</f>
        <v/>
      </c>
      <c r="V569" s="95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AI63:AI77 N116:N1048576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1C18-CE1A-4886-B6B2-02305986D11A}">
  <dimension ref="A1:Z1075"/>
  <sheetViews>
    <sheetView zoomScaleNormal="100" workbookViewId="0">
      <selection activeCell="E2" sqref="E2"/>
    </sheetView>
  </sheetViews>
  <sheetFormatPr defaultColWidth="8.85546875" defaultRowHeight="15" x14ac:dyDescent="0.25"/>
  <cols>
    <col min="1" max="1" width="18.140625" style="52" bestFit="1" customWidth="1"/>
    <col min="2" max="2" width="14.85546875" style="39" bestFit="1" customWidth="1"/>
    <col min="3" max="3" width="16.7109375" style="39" bestFit="1" customWidth="1"/>
    <col min="4" max="4" width="16.85546875" style="39" customWidth="1"/>
    <col min="5" max="5" width="16.42578125" style="39" bestFit="1" customWidth="1"/>
    <col min="6" max="6" width="10" style="39" bestFit="1" customWidth="1"/>
    <col min="7" max="8" width="14.85546875" style="39" bestFit="1" customWidth="1"/>
    <col min="9" max="9" width="10" style="39" bestFit="1" customWidth="1"/>
    <col min="10" max="10" width="11.5703125" style="39" bestFit="1" customWidth="1"/>
    <col min="11" max="11" width="14.85546875" style="115" bestFit="1" customWidth="1"/>
    <col min="12" max="12" width="13.5703125" style="39" bestFit="1" customWidth="1"/>
    <col min="14" max="14" width="12.85546875" style="52" bestFit="1" customWidth="1"/>
    <col min="15" max="15" width="7.42578125" style="39" bestFit="1" customWidth="1"/>
    <col min="16" max="16" width="13.140625" style="52" bestFit="1" customWidth="1"/>
    <col min="17" max="17" width="10" style="39" bestFit="1" customWidth="1"/>
    <col min="18" max="18" width="17.85546875" style="52" bestFit="1" customWidth="1"/>
    <col min="19" max="19" width="8.7109375" style="39" bestFit="1" customWidth="1"/>
    <col min="20" max="20" width="18.140625" style="52" bestFit="1" customWidth="1"/>
    <col min="21" max="21" width="18.140625" style="97" bestFit="1" customWidth="1"/>
    <col min="22" max="22" width="18.140625" style="52" bestFit="1" customWidth="1"/>
    <col min="23" max="24" width="8.85546875" style="97"/>
    <col min="25" max="16384" width="8.85546875" style="39"/>
  </cols>
  <sheetData>
    <row r="1" spans="1:26" s="97" customFormat="1" ht="15.75" thickBot="1" x14ac:dyDescent="0.3">
      <c r="A1" s="1"/>
      <c r="B1" s="1"/>
      <c r="C1" s="1"/>
      <c r="D1" s="1"/>
      <c r="E1" s="1"/>
      <c r="F1" s="39"/>
      <c r="G1" s="52"/>
      <c r="H1" s="1"/>
      <c r="I1" s="38"/>
      <c r="J1" s="1"/>
      <c r="K1" s="112"/>
      <c r="L1" s="39"/>
      <c r="M1"/>
      <c r="N1" s="38"/>
      <c r="O1" s="1"/>
      <c r="P1" s="38"/>
      <c r="Q1" s="1"/>
      <c r="R1" s="38"/>
      <c r="S1" s="1"/>
      <c r="T1" s="52"/>
      <c r="V1" s="52" cm="1">
        <f t="array" aca="1" ref="V1" ca="1">LOOKUP(2,1/(T:T&lt;&gt;""),T:T)</f>
        <v>46190</v>
      </c>
      <c r="Y1" s="39"/>
      <c r="Z1" s="39"/>
    </row>
    <row r="2" spans="1:26" s="97" customFormat="1" ht="15.75" thickBot="1" x14ac:dyDescent="0.3">
      <c r="A2" s="24"/>
      <c r="B2" s="28" t="s">
        <v>0</v>
      </c>
      <c r="C2" s="32" t="s">
        <v>1</v>
      </c>
      <c r="D2" s="49" t="s">
        <v>1</v>
      </c>
      <c r="E2" s="1"/>
      <c r="F2" s="39"/>
      <c r="G2" s="110" t="s">
        <v>72</v>
      </c>
      <c r="H2" s="1"/>
      <c r="I2" s="73"/>
      <c r="J2" s="39"/>
      <c r="K2" s="112"/>
      <c r="L2" s="39"/>
      <c r="M2"/>
      <c r="N2" s="61" t="s">
        <v>0</v>
      </c>
      <c r="O2" s="1"/>
      <c r="P2" s="62" t="s">
        <v>1</v>
      </c>
      <c r="Q2" s="2"/>
      <c r="R2" s="63" t="s">
        <v>1</v>
      </c>
      <c r="S2" s="1"/>
      <c r="T2" s="52"/>
      <c r="V2" s="52" cm="1">
        <f t="array" aca="1" ref="V2:V3" ca="1">_xlfn._xlws.SORT(_xlfn.UNIQUE(_xlfn._xlws.FILTER(U:U, ISNUMBER(U:U))))</f>
        <v>46189</v>
      </c>
      <c r="Y2" s="39"/>
      <c r="Z2" s="39"/>
    </row>
    <row r="3" spans="1:26" s="97" customFormat="1" ht="15.75" thickBot="1" x14ac:dyDescent="0.3">
      <c r="A3" s="14" t="s">
        <v>19</v>
      </c>
      <c r="B3" s="43" t="s">
        <v>24</v>
      </c>
      <c r="C3" s="50" t="s">
        <v>144</v>
      </c>
      <c r="D3" s="44" t="s">
        <v>141</v>
      </c>
      <c r="E3" s="1"/>
      <c r="F3" s="39"/>
      <c r="G3" s="24" t="s">
        <v>24</v>
      </c>
      <c r="H3" s="1"/>
      <c r="I3" s="38"/>
      <c r="J3" s="39"/>
      <c r="K3" s="112"/>
      <c r="L3" s="39"/>
      <c r="M3"/>
      <c r="N3" s="37" cm="1">
        <f t="array" aca="1" ref="N3:O131" ca="1">_xll.BDH($B$4, "PX_LAST, ", TODAY()-190, TODAY()-1)</f>
        <v>46001</v>
      </c>
      <c r="O3" s="1">
        <f ca="1"/>
        <v>118.7394</v>
      </c>
      <c r="P3" s="37" cm="1">
        <f t="array" aca="1" ref="P3:Q113" ca="1">_xll.BDH($C$4, "PX_LAST, ", TODAY()-190, TODAY()-1)</f>
        <v>46035</v>
      </c>
      <c r="Q3" s="34">
        <f ca="1"/>
        <v>100.245</v>
      </c>
      <c r="R3" s="37" cm="1">
        <f t="array" aca="1" ref="R3:S130" ca="1">_xll.BDH($D$4, "PX_LAST, ", TODAY()-190, TODAY()-1)</f>
        <v>46001</v>
      </c>
      <c r="S3" s="1">
        <f ca="1"/>
        <v>637.4</v>
      </c>
      <c r="T3" s="52" t="str">
        <f t="shared" ref="T3:T66" ca="1" si="0">IF(COUNTIF(P:P,N3)*COUNTIF(R:R,N3),N3,"")</f>
        <v/>
      </c>
      <c r="U3" s="97" t="str">
        <f ca="1">IF(T3&gt;=$A$14,T3,"")</f>
        <v/>
      </c>
      <c r="V3" s="52">
        <f ca="1"/>
        <v>46190</v>
      </c>
      <c r="Y3" s="39"/>
      <c r="Z3" s="39"/>
    </row>
    <row r="4" spans="1:26" s="97" customFormat="1" ht="32.25" customHeight="1" thickBot="1" x14ac:dyDescent="0.3">
      <c r="A4" s="14" t="s">
        <v>20</v>
      </c>
      <c r="B4" s="45" t="s">
        <v>26</v>
      </c>
      <c r="C4" s="120" t="s">
        <v>143</v>
      </c>
      <c r="D4" s="30" t="s">
        <v>142</v>
      </c>
      <c r="E4" s="1"/>
      <c r="F4" s="39"/>
      <c r="G4" s="134">
        <f>B5/B14</f>
        <v>415454.92314083927</v>
      </c>
      <c r="H4" s="1"/>
      <c r="I4" s="38"/>
      <c r="J4" s="39"/>
      <c r="K4" s="112"/>
      <c r="L4" s="39"/>
      <c r="M4"/>
      <c r="N4" s="52">
        <f ca="1"/>
        <v>46002</v>
      </c>
      <c r="O4" s="39">
        <f ca="1"/>
        <v>118.8279</v>
      </c>
      <c r="P4" s="52">
        <f ca="1"/>
        <v>46036</v>
      </c>
      <c r="Q4" s="39">
        <f ca="1"/>
        <v>100.405</v>
      </c>
      <c r="R4" s="52">
        <f ca="1"/>
        <v>46002</v>
      </c>
      <c r="S4" s="39">
        <f ca="1"/>
        <v>598.5</v>
      </c>
      <c r="T4" s="52" t="str">
        <f t="shared" ca="1" si="0"/>
        <v/>
      </c>
      <c r="U4" s="97" t="str">
        <f t="shared" ref="U4:U67" ca="1" si="1">IF(T4&gt;=$A$14,T4,"")</f>
        <v/>
      </c>
      <c r="V4" s="52"/>
      <c r="Y4" s="39"/>
      <c r="Z4" s="39"/>
    </row>
    <row r="5" spans="1:26" s="97" customFormat="1" x14ac:dyDescent="0.25">
      <c r="A5" s="14" t="s">
        <v>2</v>
      </c>
      <c r="B5" s="46">
        <f>50*10^6</f>
        <v>50000000</v>
      </c>
      <c r="C5" s="7">
        <f>51*10^6</f>
        <v>51000000</v>
      </c>
      <c r="D5" s="26">
        <v>150</v>
      </c>
      <c r="E5" s="1"/>
      <c r="F5" s="39"/>
      <c r="G5" s="39"/>
      <c r="H5" s="39"/>
      <c r="I5" s="1"/>
      <c r="J5" s="1"/>
      <c r="K5" s="112"/>
      <c r="L5" s="39"/>
      <c r="M5"/>
      <c r="N5" s="52">
        <f ca="1"/>
        <v>46003</v>
      </c>
      <c r="O5" s="39">
        <f ca="1"/>
        <v>118.7984</v>
      </c>
      <c r="P5" s="52">
        <f ca="1"/>
        <v>46037</v>
      </c>
      <c r="Q5" s="39">
        <f ca="1"/>
        <v>100.315</v>
      </c>
      <c r="R5" s="52">
        <f ca="1"/>
        <v>46003</v>
      </c>
      <c r="S5" s="39">
        <f ca="1"/>
        <v>620.6</v>
      </c>
      <c r="T5" s="52" t="str">
        <f t="shared" ca="1" si="0"/>
        <v/>
      </c>
      <c r="U5" s="97" t="str">
        <f t="shared" ca="1" si="1"/>
        <v/>
      </c>
      <c r="V5" s="52"/>
      <c r="Y5" s="39"/>
      <c r="Z5" s="39"/>
    </row>
    <row r="6" spans="1:26" s="97" customFormat="1" x14ac:dyDescent="0.25">
      <c r="A6" s="14" t="s">
        <v>3</v>
      </c>
      <c r="B6" s="48">
        <v>0</v>
      </c>
      <c r="C6" s="51">
        <v>2.5000000000000001E-2</v>
      </c>
      <c r="D6" s="10">
        <v>0</v>
      </c>
      <c r="E6" s="1"/>
      <c r="F6" s="39"/>
      <c r="G6" s="1" t="s">
        <v>145</v>
      </c>
      <c r="H6" s="1"/>
      <c r="I6" s="133">
        <v>10</v>
      </c>
      <c r="J6" s="1"/>
      <c r="K6" s="112"/>
      <c r="L6" s="39"/>
      <c r="M6"/>
      <c r="N6" s="52">
        <f ca="1"/>
        <v>46006</v>
      </c>
      <c r="O6" s="39">
        <f ca="1"/>
        <v>118.877</v>
      </c>
      <c r="P6" s="52">
        <f ca="1"/>
        <v>46038</v>
      </c>
      <c r="Q6" s="39">
        <f ca="1"/>
        <v>100.226</v>
      </c>
      <c r="R6" s="52">
        <f ca="1"/>
        <v>46006</v>
      </c>
      <c r="S6" s="39">
        <f ca="1"/>
        <v>592.29999999999995</v>
      </c>
      <c r="T6" s="52" t="str">
        <f t="shared" ca="1" si="0"/>
        <v/>
      </c>
      <c r="U6" s="97" t="str">
        <f t="shared" ca="1" si="1"/>
        <v/>
      </c>
      <c r="V6" s="52"/>
      <c r="Y6" s="39"/>
      <c r="Z6" s="39"/>
    </row>
    <row r="7" spans="1:26" s="97" customFormat="1" x14ac:dyDescent="0.25">
      <c r="A7" s="14" t="s">
        <v>4</v>
      </c>
      <c r="B7" s="48">
        <v>1.9300000000000001E-2</v>
      </c>
      <c r="C7" s="51">
        <v>2.4E-2</v>
      </c>
      <c r="D7" s="10">
        <v>0</v>
      </c>
      <c r="E7" s="1"/>
      <c r="F7" s="39"/>
      <c r="G7" s="1"/>
      <c r="H7" s="1"/>
      <c r="I7" s="1"/>
      <c r="J7" s="1"/>
      <c r="K7" s="112"/>
      <c r="L7" s="1"/>
      <c r="M7"/>
      <c r="N7" s="52">
        <f ca="1"/>
        <v>46007</v>
      </c>
      <c r="O7" s="39">
        <f ca="1"/>
        <v>118.8574</v>
      </c>
      <c r="P7" s="52">
        <f ca="1"/>
        <v>46041</v>
      </c>
      <c r="Q7" s="39">
        <f ca="1"/>
        <v>100.31</v>
      </c>
      <c r="R7" s="52">
        <f ca="1"/>
        <v>46007</v>
      </c>
      <c r="S7" s="39">
        <f ca="1"/>
        <v>620.70000000000005</v>
      </c>
      <c r="T7" s="52" t="str">
        <f t="shared" ca="1" si="0"/>
        <v/>
      </c>
      <c r="U7" s="97" t="str">
        <f t="shared" ca="1" si="1"/>
        <v/>
      </c>
      <c r="V7" s="52"/>
      <c r="Y7" s="39"/>
      <c r="Z7" s="39"/>
    </row>
    <row r="8" spans="1:26" s="97" customFormat="1" x14ac:dyDescent="0.25">
      <c r="A8" s="14" t="s">
        <v>5</v>
      </c>
      <c r="B8" s="4" t="s">
        <v>13</v>
      </c>
      <c r="C8" s="1" t="s">
        <v>13</v>
      </c>
      <c r="D8" s="5" t="s">
        <v>13</v>
      </c>
      <c r="E8" s="1"/>
      <c r="F8" s="39"/>
      <c r="G8" s="1"/>
      <c r="H8" s="1"/>
      <c r="I8" s="1"/>
      <c r="J8" s="1"/>
      <c r="K8" s="112"/>
      <c r="L8" s="1"/>
      <c r="M8"/>
      <c r="N8" s="52">
        <f ca="1"/>
        <v>46008</v>
      </c>
      <c r="O8" s="39">
        <f ca="1"/>
        <v>118.7492</v>
      </c>
      <c r="P8" s="52">
        <f ca="1"/>
        <v>46042</v>
      </c>
      <c r="Q8" s="39">
        <f ca="1"/>
        <v>100.29900000000001</v>
      </c>
      <c r="R8" s="52">
        <f ca="1"/>
        <v>46008</v>
      </c>
      <c r="S8" s="39">
        <f ca="1"/>
        <v>653.1</v>
      </c>
      <c r="T8" s="52" t="str">
        <f t="shared" ca="1" si="0"/>
        <v/>
      </c>
      <c r="U8" s="97" t="str">
        <f t="shared" ca="1" si="1"/>
        <v/>
      </c>
      <c r="V8" s="52"/>
      <c r="Y8" s="39"/>
      <c r="Z8" s="39"/>
    </row>
    <row r="9" spans="1:26" s="97" customFormat="1" x14ac:dyDescent="0.25">
      <c r="A9" s="14" t="s">
        <v>6</v>
      </c>
      <c r="B9" s="4" t="s">
        <v>13</v>
      </c>
      <c r="C9" s="1" t="s">
        <v>13</v>
      </c>
      <c r="D9" s="5"/>
      <c r="E9" s="1"/>
      <c r="F9" s="39"/>
      <c r="G9" s="1"/>
      <c r="H9" s="1"/>
      <c r="I9" s="1"/>
      <c r="J9" s="1"/>
      <c r="K9" s="112"/>
      <c r="L9" s="1"/>
      <c r="M9"/>
      <c r="N9" s="52">
        <f ca="1"/>
        <v>46009</v>
      </c>
      <c r="O9" s="39">
        <f ca="1"/>
        <v>118.8475</v>
      </c>
      <c r="P9" s="52">
        <f ca="1"/>
        <v>46043</v>
      </c>
      <c r="Q9" s="39">
        <f ca="1"/>
        <v>100.184</v>
      </c>
      <c r="R9" s="52">
        <f ca="1"/>
        <v>46009</v>
      </c>
      <c r="S9" s="39">
        <f ca="1"/>
        <v>605.20000000000005</v>
      </c>
      <c r="T9" s="52" t="str">
        <f t="shared" ca="1" si="0"/>
        <v/>
      </c>
      <c r="U9" s="97" t="str">
        <f t="shared" ca="1" si="1"/>
        <v/>
      </c>
      <c r="V9" s="52"/>
      <c r="Y9" s="39"/>
      <c r="Z9" s="39"/>
    </row>
    <row r="10" spans="1:26" s="97" customFormat="1" ht="15.75" thickBot="1" x14ac:dyDescent="0.3">
      <c r="A10" s="15" t="s">
        <v>15</v>
      </c>
      <c r="B10" s="11" cm="1">
        <f t="array" ref="B10">_xll.BDP(B4,"px_last")</f>
        <v>120.17</v>
      </c>
      <c r="C10" s="20" cm="1">
        <f t="array" ref="C10">_xll.BDP(C4,"px_last")</f>
        <v>99.238</v>
      </c>
      <c r="D10" s="21" cm="1">
        <f t="array" ref="D10">_xll.BDP(D4,"px_last")</f>
        <v>121</v>
      </c>
      <c r="E10" s="1"/>
      <c r="F10" s="1"/>
      <c r="G10" s="1"/>
      <c r="H10" s="1"/>
      <c r="I10" s="1"/>
      <c r="J10" s="1"/>
      <c r="K10" s="112"/>
      <c r="L10" s="1"/>
      <c r="M10"/>
      <c r="N10" s="52">
        <f ca="1"/>
        <v>46010</v>
      </c>
      <c r="O10" s="39">
        <f ca="1"/>
        <v>118.60169999999999</v>
      </c>
      <c r="P10" s="52">
        <f ca="1"/>
        <v>46044</v>
      </c>
      <c r="Q10" s="39">
        <f ca="1"/>
        <v>100.093</v>
      </c>
      <c r="R10" s="52">
        <f ca="1"/>
        <v>46010</v>
      </c>
      <c r="S10" s="39">
        <f ca="1"/>
        <v>583.79999999999995</v>
      </c>
      <c r="T10" s="52" t="str">
        <f t="shared" ca="1" si="0"/>
        <v/>
      </c>
      <c r="U10" s="97" t="str">
        <f t="shared" ca="1" si="1"/>
        <v/>
      </c>
      <c r="V10" s="52"/>
      <c r="Y10" s="39"/>
      <c r="Z10" s="39"/>
    </row>
    <row r="11" spans="1:26" s="97" customFormat="1" ht="15.75" thickBot="1" x14ac:dyDescent="0.3">
      <c r="A11" s="39"/>
      <c r="B11" s="39"/>
      <c r="C11" s="1"/>
      <c r="D11" s="1"/>
      <c r="E11" s="1"/>
      <c r="F11" s="1"/>
      <c r="G11" s="1"/>
      <c r="H11" s="1"/>
      <c r="I11" s="1"/>
      <c r="J11" s="1"/>
      <c r="K11" s="112"/>
      <c r="L11" s="1"/>
      <c r="M11"/>
      <c r="N11" s="52">
        <f ca="1"/>
        <v>46013</v>
      </c>
      <c r="O11" s="39">
        <f ca="1"/>
        <v>118.63120000000001</v>
      </c>
      <c r="P11" s="52">
        <f ca="1"/>
        <v>46045</v>
      </c>
      <c r="Q11" s="39">
        <f ca="1"/>
        <v>99.988</v>
      </c>
      <c r="R11" s="52">
        <f ca="1"/>
        <v>46013</v>
      </c>
      <c r="S11" s="39">
        <f ca="1"/>
        <v>593.70000000000005</v>
      </c>
      <c r="T11" s="52" t="str">
        <f t="shared" ca="1" si="0"/>
        <v/>
      </c>
      <c r="U11" s="97" t="str">
        <f t="shared" ca="1" si="1"/>
        <v/>
      </c>
      <c r="V11" s="52"/>
      <c r="Y11" s="39"/>
      <c r="Z11" s="39"/>
    </row>
    <row r="12" spans="1:26" s="97" customFormat="1" ht="15.75" thickBot="1" x14ac:dyDescent="0.3">
      <c r="A12" s="27" t="s">
        <v>12</v>
      </c>
      <c r="B12" s="138" t="s">
        <v>0</v>
      </c>
      <c r="C12" s="139"/>
      <c r="D12" s="139"/>
      <c r="E12" s="135" t="s">
        <v>1</v>
      </c>
      <c r="F12" s="136"/>
      <c r="G12" s="137"/>
      <c r="H12" s="140" t="s">
        <v>1</v>
      </c>
      <c r="I12" s="141"/>
      <c r="J12" s="142"/>
      <c r="K12" s="113" t="s">
        <v>74</v>
      </c>
      <c r="L12" s="27" t="s">
        <v>7</v>
      </c>
      <c r="M12"/>
      <c r="N12" s="52">
        <f ca="1"/>
        <v>46014</v>
      </c>
      <c r="O12" s="39">
        <f ca="1"/>
        <v>118.8967</v>
      </c>
      <c r="P12" s="52">
        <f ca="1"/>
        <v>46048</v>
      </c>
      <c r="Q12" s="39">
        <f ca="1"/>
        <v>100.166</v>
      </c>
      <c r="R12" s="52">
        <f ca="1"/>
        <v>46014</v>
      </c>
      <c r="S12" s="39">
        <f ca="1"/>
        <v>595</v>
      </c>
      <c r="T12" s="52" t="str">
        <f t="shared" ca="1" si="0"/>
        <v/>
      </c>
      <c r="U12" s="97" t="str">
        <f t="shared" ca="1" si="1"/>
        <v/>
      </c>
      <c r="V12" s="52"/>
      <c r="Y12" s="39"/>
      <c r="Z12" s="39"/>
    </row>
    <row r="13" spans="1:26" s="97" customFormat="1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1" t="s">
        <v>8</v>
      </c>
      <c r="I13" s="20" t="s">
        <v>11</v>
      </c>
      <c r="J13" s="21" t="s">
        <v>10</v>
      </c>
      <c r="K13" s="111"/>
      <c r="L13" s="60"/>
      <c r="M13"/>
      <c r="N13" s="52">
        <f ca="1"/>
        <v>46015</v>
      </c>
      <c r="O13" s="39">
        <f ca="1"/>
        <v>118.90649999999999</v>
      </c>
      <c r="P13" s="52">
        <f ca="1"/>
        <v>46049</v>
      </c>
      <c r="Q13" s="39">
        <f ca="1"/>
        <v>100.154</v>
      </c>
      <c r="R13" s="52">
        <f ca="1"/>
        <v>46020</v>
      </c>
      <c r="S13" s="39">
        <f ca="1"/>
        <v>589.29999999999995</v>
      </c>
      <c r="T13" s="52" t="str">
        <f t="shared" ca="1" si="0"/>
        <v/>
      </c>
      <c r="U13" s="97" t="str">
        <f t="shared" ca="1" si="1"/>
        <v/>
      </c>
      <c r="V13" s="52"/>
      <c r="Y13" s="39"/>
      <c r="Z13" s="39"/>
    </row>
    <row r="14" spans="1:26" x14ac:dyDescent="0.25">
      <c r="A14" s="102">
        <v>46189</v>
      </c>
      <c r="B14" s="53">
        <v>120.35</v>
      </c>
      <c r="C14" s="34"/>
      <c r="D14" s="35"/>
      <c r="E14" s="53">
        <v>99.28</v>
      </c>
      <c r="F14" s="1"/>
      <c r="G14" s="5"/>
      <c r="H14" s="53">
        <v>147</v>
      </c>
      <c r="I14" s="1"/>
      <c r="J14" s="5"/>
      <c r="K14" s="114"/>
      <c r="L14" s="55">
        <v>0</v>
      </c>
      <c r="N14" s="52">
        <f ca="1"/>
        <v>46020</v>
      </c>
      <c r="O14" s="39">
        <f ca="1"/>
        <v>119.113</v>
      </c>
      <c r="P14" s="52">
        <f ca="1"/>
        <v>46050</v>
      </c>
      <c r="Q14" s="39">
        <f ca="1"/>
        <v>100.283</v>
      </c>
      <c r="R14" s="52">
        <f ca="1"/>
        <v>46021</v>
      </c>
      <c r="S14" s="39">
        <f ca="1"/>
        <v>541.9</v>
      </c>
      <c r="T14" s="52" t="str">
        <f t="shared" ca="1" si="0"/>
        <v/>
      </c>
      <c r="U14" s="97" t="str">
        <f t="shared" ca="1" si="1"/>
        <v/>
      </c>
    </row>
    <row r="15" spans="1:26" x14ac:dyDescent="0.25">
      <c r="A15" s="102">
        <f ca="1">IF(AND(ISBLANK(V2), A14 = $V$1),NOW(),IF(ISBLANK(V2),"",V2))</f>
        <v>46189</v>
      </c>
      <c r="B15" s="53">
        <f t="shared" ref="B15:B78" ca="1" si="2">IF(COUNTIF(N:N,A15)=1,VLOOKUP(A15,N:O,2), IF(COUNTIF(N:N,A15)=0,$B$10,""))</f>
        <v>120.3</v>
      </c>
      <c r="C15" s="25">
        <f ca="1">IF(ISERROR(B15-2),"",(B15/$B$14-1)*$B$5)</f>
        <v>-20772.746157038389</v>
      </c>
      <c r="D15" s="26">
        <f ca="1">IF(ISERROR(B15-2),"",-1*(INT(A15)-INT($A$14))/360*$B$7*$B$5)</f>
        <v>0</v>
      </c>
      <c r="E15" s="53">
        <f t="shared" ref="E15:E78" ca="1" si="3">IF(COUNTIF(N:N,A15)=1,VLOOKUP(A15,P:Q,2), IF(COUNTIF(N:N,A15)=0,$C$10,""))</f>
        <v>99.328000000000003</v>
      </c>
      <c r="F15" s="25">
        <f ca="1">IF(ISERROR(B15-2),"",(E15-$E$14)/100*$C$5)</f>
        <v>24480.000000000928</v>
      </c>
      <c r="G15" s="26">
        <f ca="1">IF(ISERROR(B15-2),"",(INT(A15)-INT($A$14))/360*$C$6*$C$5-(INT(A15)-INT($A$14))/360*$C$7*$C$5*$E$14/100)</f>
        <v>0</v>
      </c>
      <c r="H15" s="53">
        <f t="shared" ref="H15:H78" ca="1" si="4">IF(COUNTIF(N:N,A15)=1,VLOOKUP(A15,R:S,2), IF(COUNTIF(N:N,A15)=0,$D$10,""))</f>
        <v>150.1</v>
      </c>
      <c r="I15" s="25">
        <f ca="1">IF(ISERROR(B15-2),"",(H15-$H$14)*$D$5*$I$6)</f>
        <v>4649.9999999999918</v>
      </c>
      <c r="J15" s="26"/>
      <c r="K15" s="114" t="str">
        <f ca="1">IF($A15="","",IF(COUNTIFS(Dividends!$J:$J,"&gt;"&amp;INT($A14),Dividends!$J:$J,"&lt;="&amp;INT($A15))=0,"",$G$4*SUMIFS(Dividends!$K:$K,Dividends!$J:$J,"&gt;"&amp;INT($A14),Dividends!$J:$J,"&lt;="&amp;INT($A15))))</f>
        <v/>
      </c>
      <c r="L15" s="55">
        <f ca="1">IF(ISERROR(B15-2),"",C15+D15-F15-G15+I15+J15+SUM($K$14:K15))</f>
        <v>-40602.746157039328</v>
      </c>
      <c r="N15" s="52">
        <f ca="1"/>
        <v>46021</v>
      </c>
      <c r="O15" s="39">
        <f ca="1"/>
        <v>119.1032</v>
      </c>
      <c r="P15" s="52">
        <f ca="1"/>
        <v>46051</v>
      </c>
      <c r="Q15" s="39">
        <f ca="1"/>
        <v>100.392</v>
      </c>
      <c r="R15" s="52">
        <f ca="1"/>
        <v>46024</v>
      </c>
      <c r="S15" s="39">
        <f ca="1"/>
        <v>526.20000000000005</v>
      </c>
      <c r="T15" s="52" t="str">
        <f t="shared" ca="1" si="0"/>
        <v/>
      </c>
      <c r="U15" s="97" t="str">
        <f t="shared" ca="1" si="1"/>
        <v/>
      </c>
    </row>
    <row r="16" spans="1:26" x14ac:dyDescent="0.25">
      <c r="A16" s="102">
        <f t="shared" ref="A16:A79" ca="1" si="5">IF(AND(ISBLANK(V3), A15 = $V$1),NOW(),IF(ISBLANK(V3),"",V3))</f>
        <v>46190</v>
      </c>
      <c r="B16" s="53">
        <f t="shared" ca="1" si="2"/>
        <v>120.17</v>
      </c>
      <c r="C16" s="25">
        <f t="shared" ref="C16:C79" ca="1" si="6">IF(ISERROR(B16-2),"",(B16/$B$14-1)*$B$5)</f>
        <v>-74781.886165348202</v>
      </c>
      <c r="D16" s="26">
        <f t="shared" ref="D16:D79" ca="1" si="7">IF(ISERROR(B16-2),"",-1*(INT(A16)-INT($A$14))/360*$B$7*$B$5)</f>
        <v>-2680.5555555555557</v>
      </c>
      <c r="E16" s="53">
        <f t="shared" ca="1" si="3"/>
        <v>99.284000000000006</v>
      </c>
      <c r="F16" s="25">
        <f t="shared" ref="F16:F79" ca="1" si="8">IF(ISERROR(B16-2),"",(E16-$E$14)/100*$C$5)</f>
        <v>2040.0000000024932</v>
      </c>
      <c r="G16" s="26">
        <f t="shared" ref="G16:G79" ca="1" si="9">IF(ISERROR(B16-2),"",(INT(A16)-INT($A$14))/360*$C$6*$C$5-(INT(A16)-INT($A$14))/360*$C$7*$C$5*$E$14/100)</f>
        <v>166.14666666666653</v>
      </c>
      <c r="H16" s="53">
        <f t="shared" ca="1" si="4"/>
        <v>133.1</v>
      </c>
      <c r="I16" s="25">
        <f t="shared" ref="I16:I79" ca="1" si="10">IF(ISERROR(B16-2),"",(H16-$H$14)*$D$5*$I$6)</f>
        <v>-20850.000000000007</v>
      </c>
      <c r="J16" s="26"/>
      <c r="K16" s="114" t="str">
        <f ca="1">IF($A16="","",IF(COUNTIFS(Dividends!$J:$J,"&gt;"&amp;INT($A15),Dividends!$J:$J,"&lt;="&amp;INT($A16))=0,"",$G$4*SUMIFS(Dividends!$K:$K,Dividends!$J:$J,"&gt;"&amp;INT($A15),Dividends!$J:$J,"&lt;="&amp;INT($A16))))</f>
        <v/>
      </c>
      <c r="L16" s="55">
        <f ca="1">IF(ISERROR(B16-2),"",C16+D16-F16-G16+I16+J16+SUM($K$14:K16))</f>
        <v>-100518.58838757293</v>
      </c>
      <c r="N16" s="52">
        <f ca="1"/>
        <v>46022</v>
      </c>
      <c r="O16" s="39">
        <f ca="1"/>
        <v>119.19159999999999</v>
      </c>
      <c r="P16" s="52">
        <f ca="1"/>
        <v>46052</v>
      </c>
      <c r="Q16" s="39">
        <f ca="1"/>
        <v>100.39400000000001</v>
      </c>
      <c r="R16" s="52">
        <f ca="1"/>
        <v>46027</v>
      </c>
      <c r="S16" s="39">
        <f ca="1"/>
        <v>477.4</v>
      </c>
      <c r="T16" s="52" t="str">
        <f t="shared" ca="1" si="0"/>
        <v/>
      </c>
      <c r="U16" s="97" t="str">
        <f t="shared" ca="1" si="1"/>
        <v/>
      </c>
    </row>
    <row r="17" spans="1:21" x14ac:dyDescent="0.25">
      <c r="A17" s="102">
        <f t="shared" ca="1" si="5"/>
        <v>46191.470797337963</v>
      </c>
      <c r="B17" s="53">
        <f t="shared" ca="1" si="2"/>
        <v>120.17</v>
      </c>
      <c r="C17" s="25">
        <f t="shared" ca="1" si="6"/>
        <v>-74781.886165348202</v>
      </c>
      <c r="D17" s="26">
        <f t="shared" ca="1" si="7"/>
        <v>-5361.1111111111113</v>
      </c>
      <c r="E17" s="53">
        <f t="shared" ca="1" si="3"/>
        <v>99.238</v>
      </c>
      <c r="F17" s="25">
        <f t="shared" ca="1" si="8"/>
        <v>-21420.000000000811</v>
      </c>
      <c r="G17" s="26">
        <f t="shared" ca="1" si="9"/>
        <v>332.29333333333307</v>
      </c>
      <c r="H17" s="53">
        <f t="shared" ca="1" si="4"/>
        <v>121</v>
      </c>
      <c r="I17" s="25">
        <f t="shared" ca="1" si="10"/>
        <v>-39000</v>
      </c>
      <c r="J17" s="26"/>
      <c r="K17" s="114" t="str">
        <f ca="1">IF($A17="","",IF(COUNTIFS(Dividends!$J:$J,"&gt;"&amp;INT($A16),Dividends!$J:$J,"&lt;="&amp;INT($A17))=0,"",$G$4*SUMIFS(Dividends!$K:$K,Dividends!$J:$J,"&gt;"&amp;INT($A16),Dividends!$J:$J,"&lt;="&amp;INT($A17))))</f>
        <v/>
      </c>
      <c r="L17" s="55">
        <f ca="1">IF(ISERROR(B17-2),"",C17+D17-F17-G17+I17+J17+SUM($K$14:K17))</f>
        <v>-98055.290609791831</v>
      </c>
      <c r="N17" s="52">
        <f ca="1"/>
        <v>46024</v>
      </c>
      <c r="O17" s="39">
        <f ca="1"/>
        <v>118.877</v>
      </c>
      <c r="P17" s="52">
        <f ca="1"/>
        <v>46055</v>
      </c>
      <c r="Q17" s="39">
        <f ca="1"/>
        <v>100.244</v>
      </c>
      <c r="R17" s="52">
        <f ca="1"/>
        <v>46028</v>
      </c>
      <c r="S17" s="39">
        <f ca="1"/>
        <v>468.9</v>
      </c>
      <c r="T17" s="52" t="str">
        <f t="shared" ca="1" si="0"/>
        <v/>
      </c>
      <c r="U17" s="97" t="str">
        <f t="shared" ca="1" si="1"/>
        <v/>
      </c>
    </row>
    <row r="18" spans="1:21" x14ac:dyDescent="0.25">
      <c r="A18" s="102" t="str">
        <f t="shared" ca="1" si="5"/>
        <v/>
      </c>
      <c r="B18" s="53" t="str">
        <f t="shared" ca="1" si="2"/>
        <v/>
      </c>
      <c r="C18" s="25" t="str">
        <f t="shared" ca="1" si="6"/>
        <v/>
      </c>
      <c r="D18" s="26" t="str">
        <f t="shared" ca="1" si="7"/>
        <v/>
      </c>
      <c r="E18" s="53" t="str">
        <f t="shared" ca="1" si="3"/>
        <v/>
      </c>
      <c r="F18" s="25" t="str">
        <f t="shared" ca="1" si="8"/>
        <v/>
      </c>
      <c r="G18" s="26" t="str">
        <f t="shared" ca="1" si="9"/>
        <v/>
      </c>
      <c r="H18" s="53" t="str">
        <f t="shared" ca="1" si="4"/>
        <v/>
      </c>
      <c r="I18" s="25" t="str">
        <f t="shared" ca="1" si="10"/>
        <v/>
      </c>
      <c r="J18" s="26"/>
      <c r="K18" s="114" t="str">
        <f ca="1">IF($A18="","",IF(COUNTIFS(Dividends!$J:$J,"&gt;"&amp;INT($A17),Dividends!$J:$J,"&lt;="&amp;INT($A18))=0,"",$G$4*SUMIFS(Dividends!$K:$K,Dividends!$J:$J,"&gt;"&amp;INT($A17),Dividends!$J:$J,"&lt;="&amp;INT($A18))))</f>
        <v/>
      </c>
      <c r="L18" s="55" t="str">
        <f ca="1">IF(ISERROR(B18-2),"",C18+D18-F18-G18+I18+J18+SUM($K$14:K18))</f>
        <v/>
      </c>
      <c r="N18" s="52">
        <f ca="1"/>
        <v>46027</v>
      </c>
      <c r="O18" s="39">
        <f ca="1"/>
        <v>119.0835</v>
      </c>
      <c r="P18" s="52">
        <f ca="1"/>
        <v>46056</v>
      </c>
      <c r="Q18" s="39">
        <f ca="1"/>
        <v>100.178</v>
      </c>
      <c r="R18" s="52">
        <f ca="1"/>
        <v>46029</v>
      </c>
      <c r="S18" s="39">
        <f ca="1"/>
        <v>476.8</v>
      </c>
      <c r="T18" s="52" t="str">
        <f t="shared" ca="1" si="0"/>
        <v/>
      </c>
      <c r="U18" s="97" t="str">
        <f t="shared" ca="1" si="1"/>
        <v/>
      </c>
    </row>
    <row r="19" spans="1:21" x14ac:dyDescent="0.25">
      <c r="A19" s="102" t="str">
        <f t="shared" ca="1" si="5"/>
        <v/>
      </c>
      <c r="B19" s="53" t="str">
        <f t="shared" ca="1" si="2"/>
        <v/>
      </c>
      <c r="C19" s="25" t="str">
        <f t="shared" ca="1" si="6"/>
        <v/>
      </c>
      <c r="D19" s="26" t="str">
        <f t="shared" ca="1" si="7"/>
        <v/>
      </c>
      <c r="E19" s="53" t="str">
        <f t="shared" ca="1" si="3"/>
        <v/>
      </c>
      <c r="F19" s="25" t="str">
        <f t="shared" ca="1" si="8"/>
        <v/>
      </c>
      <c r="G19" s="26" t="str">
        <f t="shared" ca="1" si="9"/>
        <v/>
      </c>
      <c r="H19" s="53" t="str">
        <f t="shared" ca="1" si="4"/>
        <v/>
      </c>
      <c r="I19" s="25" t="str">
        <f t="shared" ca="1" si="10"/>
        <v/>
      </c>
      <c r="J19" s="26"/>
      <c r="K19" s="114" t="str">
        <f ca="1">IF($A19="","",IF(COUNTIFS(Dividends!$J:$J,"&gt;"&amp;INT($A18),Dividends!$J:$J,"&lt;="&amp;INT($A19))=0,"",$G$4*SUMIFS(Dividends!$K:$K,Dividends!$J:$J,"&gt;"&amp;INT($A18),Dividends!$J:$J,"&lt;="&amp;INT($A19))))</f>
        <v/>
      </c>
      <c r="L19" s="55" t="str">
        <f ca="1">IF(ISERROR(B19-2),"",C19+D19-F19-G19+I19+J19+SUM($K$14:K19))</f>
        <v/>
      </c>
      <c r="N19" s="52">
        <f ca="1"/>
        <v>46028</v>
      </c>
      <c r="O19" s="39">
        <f ca="1"/>
        <v>119.285</v>
      </c>
      <c r="P19" s="52">
        <f ca="1"/>
        <v>46057</v>
      </c>
      <c r="Q19" s="39">
        <f ca="1"/>
        <v>100.328</v>
      </c>
      <c r="R19" s="52">
        <f ca="1"/>
        <v>46030</v>
      </c>
      <c r="S19" s="39">
        <f ca="1"/>
        <v>491.3</v>
      </c>
      <c r="T19" s="52" t="str">
        <f t="shared" ca="1" si="0"/>
        <v/>
      </c>
      <c r="U19" s="97" t="str">
        <f t="shared" ca="1" si="1"/>
        <v/>
      </c>
    </row>
    <row r="20" spans="1:21" x14ac:dyDescent="0.25">
      <c r="A20" s="102" t="str">
        <f t="shared" ca="1" si="5"/>
        <v/>
      </c>
      <c r="B20" s="53" t="str">
        <f t="shared" ca="1" si="2"/>
        <v/>
      </c>
      <c r="C20" s="25" t="str">
        <f t="shared" ca="1" si="6"/>
        <v/>
      </c>
      <c r="D20" s="26" t="str">
        <f t="shared" ca="1" si="7"/>
        <v/>
      </c>
      <c r="E20" s="53" t="str">
        <f t="shared" ca="1" si="3"/>
        <v/>
      </c>
      <c r="F20" s="25" t="str">
        <f t="shared" ca="1" si="8"/>
        <v/>
      </c>
      <c r="G20" s="26" t="str">
        <f t="shared" ca="1" si="9"/>
        <v/>
      </c>
      <c r="H20" s="53" t="str">
        <f t="shared" ca="1" si="4"/>
        <v/>
      </c>
      <c r="I20" s="25" t="str">
        <f t="shared" ca="1" si="10"/>
        <v/>
      </c>
      <c r="J20" s="26"/>
      <c r="K20" s="114" t="str">
        <f ca="1">IF($A20="","",IF(COUNTIFS(Dividends!$J:$J,"&gt;"&amp;INT($A19),Dividends!$J:$J,"&lt;="&amp;INT($A20))=0,"",$G$4*SUMIFS(Dividends!$K:$K,Dividends!$J:$J,"&gt;"&amp;INT($A19),Dividends!$J:$J,"&lt;="&amp;INT($A20))))</f>
        <v/>
      </c>
      <c r="L20" s="55" t="str">
        <f ca="1">IF(ISERROR(B20-2),"",C20+D20-F20-G20+I20+J20+SUM($K$14:K20))</f>
        <v/>
      </c>
      <c r="N20" s="52">
        <f ca="1"/>
        <v>46029</v>
      </c>
      <c r="O20" s="39">
        <f ca="1"/>
        <v>119.4374</v>
      </c>
      <c r="P20" s="52">
        <f ca="1"/>
        <v>46058</v>
      </c>
      <c r="Q20" s="39">
        <f ca="1"/>
        <v>100.375</v>
      </c>
      <c r="R20" s="52">
        <f ca="1"/>
        <v>46031</v>
      </c>
      <c r="S20" s="39">
        <f ca="1"/>
        <v>432.9</v>
      </c>
      <c r="T20" s="52" t="str">
        <f t="shared" ca="1" si="0"/>
        <v/>
      </c>
      <c r="U20" s="97" t="str">
        <f t="shared" ca="1" si="1"/>
        <v/>
      </c>
    </row>
    <row r="21" spans="1:21" x14ac:dyDescent="0.25">
      <c r="A21" s="102" t="str">
        <f t="shared" ca="1" si="5"/>
        <v/>
      </c>
      <c r="B21" s="53" t="str">
        <f t="shared" ca="1" si="2"/>
        <v/>
      </c>
      <c r="C21" s="25" t="str">
        <f t="shared" ca="1" si="6"/>
        <v/>
      </c>
      <c r="D21" s="26" t="str">
        <f t="shared" ca="1" si="7"/>
        <v/>
      </c>
      <c r="E21" s="53" t="str">
        <f t="shared" ca="1" si="3"/>
        <v/>
      </c>
      <c r="F21" s="25" t="str">
        <f t="shared" ca="1" si="8"/>
        <v/>
      </c>
      <c r="G21" s="26" t="str">
        <f t="shared" ca="1" si="9"/>
        <v/>
      </c>
      <c r="H21" s="53" t="str">
        <f t="shared" ca="1" si="4"/>
        <v/>
      </c>
      <c r="I21" s="25" t="str">
        <f t="shared" ca="1" si="10"/>
        <v/>
      </c>
      <c r="J21" s="26"/>
      <c r="K21" s="114" t="str">
        <f ca="1">IF($A21="","",IF(COUNTIFS(Dividends!$J:$J,"&gt;"&amp;INT($A20),Dividends!$J:$J,"&lt;="&amp;INT($A21))=0,"",$G$4*SUMIFS(Dividends!$K:$K,Dividends!$J:$J,"&gt;"&amp;INT($A20),Dividends!$J:$J,"&lt;="&amp;INT($A21))))</f>
        <v/>
      </c>
      <c r="L21" s="55" t="str">
        <f ca="1">IF(ISERROR(B21-2),"",C21+D21-F21-G21+I21+J21+SUM($K$14:K21))</f>
        <v/>
      </c>
      <c r="N21" s="52">
        <f ca="1"/>
        <v>46030</v>
      </c>
      <c r="O21" s="39">
        <f ca="1"/>
        <v>119.3686</v>
      </c>
      <c r="P21" s="52">
        <f ca="1"/>
        <v>46059</v>
      </c>
      <c r="Q21" s="39">
        <f ca="1"/>
        <v>100.414</v>
      </c>
      <c r="R21" s="52">
        <f ca="1"/>
        <v>46034</v>
      </c>
      <c r="S21" s="39">
        <f ca="1"/>
        <v>422.1</v>
      </c>
      <c r="T21" s="52" t="str">
        <f t="shared" ca="1" si="0"/>
        <v/>
      </c>
      <c r="U21" s="97" t="str">
        <f t="shared" ca="1" si="1"/>
        <v/>
      </c>
    </row>
    <row r="22" spans="1:21" x14ac:dyDescent="0.25">
      <c r="A22" s="102" t="str">
        <f t="shared" ca="1" si="5"/>
        <v/>
      </c>
      <c r="B22" s="53" t="str">
        <f t="shared" ca="1" si="2"/>
        <v/>
      </c>
      <c r="C22" s="25" t="str">
        <f t="shared" ca="1" si="6"/>
        <v/>
      </c>
      <c r="D22" s="26" t="str">
        <f t="shared" ca="1" si="7"/>
        <v/>
      </c>
      <c r="E22" s="53" t="str">
        <f t="shared" ca="1" si="3"/>
        <v/>
      </c>
      <c r="F22" s="25" t="str">
        <f t="shared" ca="1" si="8"/>
        <v/>
      </c>
      <c r="G22" s="26" t="str">
        <f t="shared" ca="1" si="9"/>
        <v/>
      </c>
      <c r="H22" s="53" t="str">
        <f t="shared" ca="1" si="4"/>
        <v/>
      </c>
      <c r="I22" s="25" t="str">
        <f t="shared" ca="1" si="10"/>
        <v/>
      </c>
      <c r="J22" s="26"/>
      <c r="K22" s="114" t="str">
        <f ca="1">IF($A22="","",IF(COUNTIFS(Dividends!$J:$J,"&gt;"&amp;INT($A21),Dividends!$J:$J,"&lt;="&amp;INT($A22))=0,"",$G$4*SUMIFS(Dividends!$K:$K,Dividends!$J:$J,"&gt;"&amp;INT($A21),Dividends!$J:$J,"&lt;="&amp;INT($A22))))</f>
        <v/>
      </c>
      <c r="L22" s="55" t="str">
        <f ca="1">IF(ISERROR(B22-2),"",C22+D22-F22-G22+I22+J22+SUM($K$14:K22))</f>
        <v/>
      </c>
      <c r="N22" s="52">
        <f ca="1"/>
        <v>46031</v>
      </c>
      <c r="O22" s="39">
        <f ca="1"/>
        <v>119.4473</v>
      </c>
      <c r="P22" s="52">
        <f ca="1"/>
        <v>46062</v>
      </c>
      <c r="Q22" s="39">
        <f ca="1"/>
        <v>100.44799999999999</v>
      </c>
      <c r="R22" s="52">
        <f ca="1"/>
        <v>46035</v>
      </c>
      <c r="S22" s="39">
        <f ca="1"/>
        <v>416.1</v>
      </c>
      <c r="T22" s="52" t="str">
        <f t="shared" ca="1" si="0"/>
        <v/>
      </c>
      <c r="U22" s="97" t="str">
        <f t="shared" ca="1" si="1"/>
        <v/>
      </c>
    </row>
    <row r="23" spans="1:21" x14ac:dyDescent="0.25">
      <c r="A23" s="102" t="str">
        <f t="shared" ca="1" si="5"/>
        <v/>
      </c>
      <c r="B23" s="53" t="str">
        <f t="shared" ca="1" si="2"/>
        <v/>
      </c>
      <c r="C23" s="25" t="str">
        <f t="shared" ca="1" si="6"/>
        <v/>
      </c>
      <c r="D23" s="26" t="str">
        <f t="shared" ca="1" si="7"/>
        <v/>
      </c>
      <c r="E23" s="53" t="str">
        <f t="shared" ca="1" si="3"/>
        <v/>
      </c>
      <c r="F23" s="25" t="str">
        <f t="shared" ca="1" si="8"/>
        <v/>
      </c>
      <c r="G23" s="26" t="str">
        <f t="shared" ca="1" si="9"/>
        <v/>
      </c>
      <c r="H23" s="53" t="str">
        <f t="shared" ca="1" si="4"/>
        <v/>
      </c>
      <c r="I23" s="25" t="str">
        <f t="shared" ca="1" si="10"/>
        <v/>
      </c>
      <c r="J23" s="26"/>
      <c r="K23" s="114" t="str">
        <f ca="1">IF($A23="","",IF(COUNTIFS(Dividends!$J:$J,"&gt;"&amp;INT($A22),Dividends!$J:$J,"&lt;="&amp;INT($A23))=0,"",$G$4*SUMIFS(Dividends!$K:$K,Dividends!$J:$J,"&gt;"&amp;INT($A22),Dividends!$J:$J,"&lt;="&amp;INT($A23))))</f>
        <v/>
      </c>
      <c r="L23" s="55" t="str">
        <f ca="1">IF(ISERROR(B23-2),"",C23+D23-F23-G23+I23+J23+SUM($K$14:K23))</f>
        <v/>
      </c>
      <c r="N23" s="52">
        <f ca="1"/>
        <v>46034</v>
      </c>
      <c r="O23" s="39">
        <f ca="1"/>
        <v>119.4768</v>
      </c>
      <c r="P23" s="52">
        <f ca="1"/>
        <v>46063</v>
      </c>
      <c r="Q23" s="39">
        <f ca="1"/>
        <v>100.562</v>
      </c>
      <c r="R23" s="52">
        <f ca="1"/>
        <v>46036</v>
      </c>
      <c r="S23" s="39">
        <f ca="1"/>
        <v>427.5</v>
      </c>
      <c r="T23" s="52" t="str">
        <f t="shared" ca="1" si="0"/>
        <v/>
      </c>
      <c r="U23" s="97" t="str">
        <f t="shared" ca="1" si="1"/>
        <v/>
      </c>
    </row>
    <row r="24" spans="1:21" x14ac:dyDescent="0.25">
      <c r="A24" s="102" t="str">
        <f t="shared" ca="1" si="5"/>
        <v/>
      </c>
      <c r="B24" s="53" t="str">
        <f t="shared" ca="1" si="2"/>
        <v/>
      </c>
      <c r="C24" s="25" t="str">
        <f t="shared" ca="1" si="6"/>
        <v/>
      </c>
      <c r="D24" s="26" t="str">
        <f t="shared" ca="1" si="7"/>
        <v/>
      </c>
      <c r="E24" s="53" t="str">
        <f t="shared" ca="1" si="3"/>
        <v/>
      </c>
      <c r="F24" s="25" t="str">
        <f t="shared" ca="1" si="8"/>
        <v/>
      </c>
      <c r="G24" s="26" t="str">
        <f t="shared" ca="1" si="9"/>
        <v/>
      </c>
      <c r="H24" s="53" t="str">
        <f t="shared" ca="1" si="4"/>
        <v/>
      </c>
      <c r="I24" s="25" t="str">
        <f t="shared" ca="1" si="10"/>
        <v/>
      </c>
      <c r="J24" s="26"/>
      <c r="K24" s="114" t="str">
        <f ca="1">IF($A24="","",IF(COUNTIFS(Dividends!$J:$J,"&gt;"&amp;INT($A23),Dividends!$J:$J,"&lt;="&amp;INT($A24))=0,"",$G$4*SUMIFS(Dividends!$K:$K,Dividends!$J:$J,"&gt;"&amp;INT($A23),Dividends!$J:$J,"&lt;="&amp;INT($A24))))</f>
        <v/>
      </c>
      <c r="L24" s="55" t="str">
        <f ca="1">IF(ISERROR(B24-2),"",C24+D24-F24-G24+I24+J24+SUM($K$14:K24))</f>
        <v/>
      </c>
      <c r="N24" s="52">
        <f ca="1"/>
        <v>46035</v>
      </c>
      <c r="O24" s="39">
        <f ca="1"/>
        <v>119.5849</v>
      </c>
      <c r="P24" s="52">
        <f ca="1"/>
        <v>46064</v>
      </c>
      <c r="Q24" s="39">
        <f ca="1"/>
        <v>100.583</v>
      </c>
      <c r="R24" s="52">
        <f ca="1"/>
        <v>46037</v>
      </c>
      <c r="S24" s="39">
        <f ca="1"/>
        <v>402.4</v>
      </c>
      <c r="T24" s="52">
        <f t="shared" ca="1" si="0"/>
        <v>46035</v>
      </c>
      <c r="U24" s="97" t="str">
        <f t="shared" ca="1" si="1"/>
        <v/>
      </c>
    </row>
    <row r="25" spans="1:21" x14ac:dyDescent="0.25">
      <c r="A25" s="102" t="str">
        <f t="shared" ca="1" si="5"/>
        <v/>
      </c>
      <c r="B25" s="53" t="str">
        <f t="shared" ca="1" si="2"/>
        <v/>
      </c>
      <c r="C25" s="25" t="str">
        <f t="shared" ca="1" si="6"/>
        <v/>
      </c>
      <c r="D25" s="26" t="str">
        <f t="shared" ca="1" si="7"/>
        <v/>
      </c>
      <c r="E25" s="53" t="str">
        <f t="shared" ca="1" si="3"/>
        <v/>
      </c>
      <c r="F25" s="25" t="str">
        <f t="shared" ca="1" si="8"/>
        <v/>
      </c>
      <c r="G25" s="26" t="str">
        <f t="shared" ca="1" si="9"/>
        <v/>
      </c>
      <c r="H25" s="53" t="str">
        <f t="shared" ca="1" si="4"/>
        <v/>
      </c>
      <c r="I25" s="25" t="str">
        <f t="shared" ca="1" si="10"/>
        <v/>
      </c>
      <c r="J25" s="26"/>
      <c r="K25" s="114" t="str">
        <f ca="1">IF($A25="","",IF(COUNTIFS(Dividends!$J:$J,"&gt;"&amp;INT($A24),Dividends!$J:$J,"&lt;="&amp;INT($A25))=0,"",$G$4*SUMIFS(Dividends!$K:$K,Dividends!$J:$J,"&gt;"&amp;INT($A24),Dividends!$J:$J,"&lt;="&amp;INT($A25))))</f>
        <v/>
      </c>
      <c r="L25" s="55" t="str">
        <f ca="1">IF(ISERROR(B25-2),"",C25+D25-F25-G25+I25+J25+SUM($K$14:K25))</f>
        <v/>
      </c>
      <c r="N25" s="52">
        <f ca="1"/>
        <v>46036</v>
      </c>
      <c r="O25" s="39">
        <f ca="1"/>
        <v>119.57510000000001</v>
      </c>
      <c r="P25" s="52">
        <f ca="1"/>
        <v>46065</v>
      </c>
      <c r="Q25" s="39">
        <f ca="1"/>
        <v>100.64400000000001</v>
      </c>
      <c r="R25" s="52">
        <f ca="1"/>
        <v>46038</v>
      </c>
      <c r="S25" s="39">
        <f ca="1"/>
        <v>422.7</v>
      </c>
      <c r="T25" s="52">
        <f t="shared" ca="1" si="0"/>
        <v>46036</v>
      </c>
      <c r="U25" s="97" t="str">
        <f t="shared" ca="1" si="1"/>
        <v/>
      </c>
    </row>
    <row r="26" spans="1:21" x14ac:dyDescent="0.25">
      <c r="A26" s="102" t="str">
        <f t="shared" ca="1" si="5"/>
        <v/>
      </c>
      <c r="B26" s="53" t="str">
        <f t="shared" ca="1" si="2"/>
        <v/>
      </c>
      <c r="C26" s="25" t="str">
        <f t="shared" ca="1" si="6"/>
        <v/>
      </c>
      <c r="D26" s="26" t="str">
        <f t="shared" ca="1" si="7"/>
        <v/>
      </c>
      <c r="E26" s="53" t="str">
        <f t="shared" ca="1" si="3"/>
        <v/>
      </c>
      <c r="F26" s="25" t="str">
        <f t="shared" ca="1" si="8"/>
        <v/>
      </c>
      <c r="G26" s="26" t="str">
        <f t="shared" ca="1" si="9"/>
        <v/>
      </c>
      <c r="H26" s="53" t="str">
        <f t="shared" ca="1" si="4"/>
        <v/>
      </c>
      <c r="I26" s="25" t="str">
        <f t="shared" ca="1" si="10"/>
        <v/>
      </c>
      <c r="J26" s="26"/>
      <c r="K26" s="114" t="str">
        <f ca="1">IF($A26="","",IF(COUNTIFS(Dividends!$J:$J,"&gt;"&amp;INT($A25),Dividends!$J:$J,"&lt;="&amp;INT($A26))=0,"",$G$4*SUMIFS(Dividends!$K:$K,Dividends!$J:$J,"&gt;"&amp;INT($A25),Dividends!$J:$J,"&lt;="&amp;INT($A26))))</f>
        <v/>
      </c>
      <c r="L26" s="55" t="str">
        <f ca="1">IF(ISERROR(B26-2),"",C26+D26-F26-G26+I26+J26+SUM($K$14:K26))</f>
        <v/>
      </c>
      <c r="N26" s="52">
        <f ca="1"/>
        <v>46037</v>
      </c>
      <c r="O26" s="39">
        <f ca="1"/>
        <v>119.65</v>
      </c>
      <c r="P26" s="52">
        <f ca="1"/>
        <v>46066</v>
      </c>
      <c r="Q26" s="39">
        <f ca="1"/>
        <v>100.77800000000001</v>
      </c>
      <c r="R26" s="52">
        <f ca="1"/>
        <v>46041</v>
      </c>
      <c r="S26" s="39">
        <f ca="1"/>
        <v>492.1</v>
      </c>
      <c r="T26" s="52">
        <f t="shared" ca="1" si="0"/>
        <v>46037</v>
      </c>
      <c r="U26" s="97" t="str">
        <f t="shared" ca="1" si="1"/>
        <v/>
      </c>
    </row>
    <row r="27" spans="1:21" x14ac:dyDescent="0.25">
      <c r="A27" s="102" t="str">
        <f t="shared" ca="1" si="5"/>
        <v/>
      </c>
      <c r="B27" s="53" t="str">
        <f t="shared" ca="1" si="2"/>
        <v/>
      </c>
      <c r="C27" s="25" t="str">
        <f t="shared" ca="1" si="6"/>
        <v/>
      </c>
      <c r="D27" s="26" t="str">
        <f t="shared" ca="1" si="7"/>
        <v/>
      </c>
      <c r="E27" s="53" t="str">
        <f t="shared" ca="1" si="3"/>
        <v/>
      </c>
      <c r="F27" s="25" t="str">
        <f t="shared" ca="1" si="8"/>
        <v/>
      </c>
      <c r="G27" s="26" t="str">
        <f t="shared" ca="1" si="9"/>
        <v/>
      </c>
      <c r="H27" s="53" t="str">
        <f t="shared" ca="1" si="4"/>
        <v/>
      </c>
      <c r="I27" s="25" t="str">
        <f t="shared" ca="1" si="10"/>
        <v/>
      </c>
      <c r="J27" s="26"/>
      <c r="K27" s="114" t="str">
        <f ca="1">IF($A27="","",IF(COUNTIFS(Dividends!$J:$J,"&gt;"&amp;INT($A26),Dividends!$J:$J,"&lt;="&amp;INT($A27))=0,"",$G$4*SUMIFS(Dividends!$K:$K,Dividends!$J:$J,"&gt;"&amp;INT($A26),Dividends!$J:$J,"&lt;="&amp;INT($A27))))</f>
        <v/>
      </c>
      <c r="L27" s="55" t="str">
        <f ca="1">IF(ISERROR(B27-2),"",C27+D27-F27-G27+I27+J27+SUM($K$14:K27))</f>
        <v/>
      </c>
      <c r="N27" s="52">
        <f ca="1"/>
        <v>46038</v>
      </c>
      <c r="O27" s="39">
        <f ca="1"/>
        <v>119.57</v>
      </c>
      <c r="P27" s="52">
        <f ca="1"/>
        <v>46069</v>
      </c>
      <c r="Q27" s="39">
        <f ca="1"/>
        <v>100.768</v>
      </c>
      <c r="R27" s="52">
        <f ca="1"/>
        <v>46042</v>
      </c>
      <c r="S27" s="39">
        <f ca="1"/>
        <v>506.6</v>
      </c>
      <c r="T27" s="52">
        <f t="shared" ca="1" si="0"/>
        <v>46038</v>
      </c>
      <c r="U27" s="97" t="str">
        <f t="shared" ca="1" si="1"/>
        <v/>
      </c>
    </row>
    <row r="28" spans="1:21" x14ac:dyDescent="0.25">
      <c r="A28" s="102" t="str">
        <f t="shared" ca="1" si="5"/>
        <v/>
      </c>
      <c r="B28" s="53" t="str">
        <f t="shared" ca="1" si="2"/>
        <v/>
      </c>
      <c r="C28" s="25" t="str">
        <f t="shared" ca="1" si="6"/>
        <v/>
      </c>
      <c r="D28" s="26" t="str">
        <f t="shared" ca="1" si="7"/>
        <v/>
      </c>
      <c r="E28" s="53" t="str">
        <f t="shared" ca="1" si="3"/>
        <v/>
      </c>
      <c r="F28" s="25" t="str">
        <f t="shared" ca="1" si="8"/>
        <v/>
      </c>
      <c r="G28" s="26" t="str">
        <f t="shared" ca="1" si="9"/>
        <v/>
      </c>
      <c r="H28" s="53" t="str">
        <f t="shared" ca="1" si="4"/>
        <v/>
      </c>
      <c r="I28" s="25" t="str">
        <f t="shared" ca="1" si="10"/>
        <v/>
      </c>
      <c r="J28" s="26"/>
      <c r="K28" s="114" t="str">
        <f ca="1">IF($A28="","",IF(COUNTIFS(Dividends!$J:$J,"&gt;"&amp;INT($A27),Dividends!$J:$J,"&lt;="&amp;INT($A28))=0,"",$G$4*SUMIFS(Dividends!$K:$K,Dividends!$J:$J,"&gt;"&amp;INT($A27),Dividends!$J:$J,"&lt;="&amp;INT($A28))))</f>
        <v/>
      </c>
      <c r="L28" s="55" t="str">
        <f ca="1">IF(ISERROR(B28-2),"",C28+D28-F28-G28+I28+J28+SUM($K$14:K28))</f>
        <v/>
      </c>
      <c r="N28" s="52">
        <f ca="1"/>
        <v>46041</v>
      </c>
      <c r="O28" s="39">
        <f ca="1"/>
        <v>119.6</v>
      </c>
      <c r="P28" s="52">
        <f ca="1"/>
        <v>46070</v>
      </c>
      <c r="Q28" s="39">
        <f ca="1"/>
        <v>100.82</v>
      </c>
      <c r="R28" s="52">
        <f ca="1"/>
        <v>46043</v>
      </c>
      <c r="S28" s="39">
        <f ca="1"/>
        <v>506.3</v>
      </c>
      <c r="T28" s="52">
        <f t="shared" ca="1" si="0"/>
        <v>46041</v>
      </c>
      <c r="U28" s="97" t="str">
        <f t="shared" ca="1" si="1"/>
        <v/>
      </c>
    </row>
    <row r="29" spans="1:21" x14ac:dyDescent="0.25">
      <c r="A29" s="102" t="str">
        <f t="shared" ca="1" si="5"/>
        <v/>
      </c>
      <c r="B29" s="53" t="str">
        <f t="shared" ca="1" si="2"/>
        <v/>
      </c>
      <c r="C29" s="25" t="str">
        <f t="shared" ca="1" si="6"/>
        <v/>
      </c>
      <c r="D29" s="26" t="str">
        <f t="shared" ca="1" si="7"/>
        <v/>
      </c>
      <c r="E29" s="53" t="str">
        <f t="shared" ca="1" si="3"/>
        <v/>
      </c>
      <c r="F29" s="25" t="str">
        <f t="shared" ca="1" si="8"/>
        <v/>
      </c>
      <c r="G29" s="26" t="str">
        <f t="shared" ca="1" si="9"/>
        <v/>
      </c>
      <c r="H29" s="53" t="str">
        <f t="shared" ca="1" si="4"/>
        <v/>
      </c>
      <c r="I29" s="25" t="str">
        <f t="shared" ca="1" si="10"/>
        <v/>
      </c>
      <c r="J29" s="26"/>
      <c r="K29" s="114" t="str">
        <f ca="1">IF($A29="","",IF(COUNTIFS(Dividends!$J:$J,"&gt;"&amp;INT($A28),Dividends!$J:$J,"&lt;="&amp;INT($A29))=0,"",$G$4*SUMIFS(Dividends!$K:$K,Dividends!$J:$J,"&gt;"&amp;INT($A28),Dividends!$J:$J,"&lt;="&amp;INT($A29))))</f>
        <v/>
      </c>
      <c r="L29" s="55" t="str">
        <f ca="1">IF(ISERROR(B29-2),"",C29+D29-F29-G29+I29+J29+SUM($K$14:K29))</f>
        <v/>
      </c>
      <c r="N29" s="52">
        <f ca="1"/>
        <v>46042</v>
      </c>
      <c r="O29" s="39">
        <f ca="1"/>
        <v>119.46</v>
      </c>
      <c r="P29" s="52">
        <f ca="1"/>
        <v>46071</v>
      </c>
      <c r="Q29" s="39">
        <f ca="1"/>
        <v>100.791</v>
      </c>
      <c r="R29" s="52">
        <f ca="1"/>
        <v>46044</v>
      </c>
      <c r="S29" s="39">
        <f ca="1"/>
        <v>455.3</v>
      </c>
      <c r="T29" s="52">
        <f t="shared" ca="1" si="0"/>
        <v>46042</v>
      </c>
      <c r="U29" s="97" t="str">
        <f t="shared" ca="1" si="1"/>
        <v/>
      </c>
    </row>
    <row r="30" spans="1:21" x14ac:dyDescent="0.25">
      <c r="A30" s="102" t="str">
        <f t="shared" ca="1" si="5"/>
        <v/>
      </c>
      <c r="B30" s="53" t="str">
        <f t="shared" ca="1" si="2"/>
        <v/>
      </c>
      <c r="C30" s="25" t="str">
        <f t="shared" ca="1" si="6"/>
        <v/>
      </c>
      <c r="D30" s="26" t="str">
        <f t="shared" ca="1" si="7"/>
        <v/>
      </c>
      <c r="E30" s="53" t="str">
        <f t="shared" ca="1" si="3"/>
        <v/>
      </c>
      <c r="F30" s="25" t="str">
        <f t="shared" ca="1" si="8"/>
        <v/>
      </c>
      <c r="G30" s="26" t="str">
        <f t="shared" ca="1" si="9"/>
        <v/>
      </c>
      <c r="H30" s="53" t="str">
        <f t="shared" ca="1" si="4"/>
        <v/>
      </c>
      <c r="I30" s="25" t="str">
        <f t="shared" ca="1" si="10"/>
        <v/>
      </c>
      <c r="J30" s="26"/>
      <c r="K30" s="114" t="str">
        <f ca="1">IF($A30="","",IF(COUNTIFS(Dividends!$J:$J,"&gt;"&amp;INT($A29),Dividends!$J:$J,"&lt;="&amp;INT($A30))=0,"",$G$4*SUMIFS(Dividends!$K:$K,Dividends!$J:$J,"&gt;"&amp;INT($A29),Dividends!$J:$J,"&lt;="&amp;INT($A30))))</f>
        <v/>
      </c>
      <c r="L30" s="55" t="str">
        <f ca="1">IF(ISERROR(B30-2),"",C30+D30-F30-G30+I30+J30+SUM($K$14:K30))</f>
        <v/>
      </c>
      <c r="N30" s="52">
        <f ca="1"/>
        <v>46043</v>
      </c>
      <c r="O30" s="39">
        <f ca="1"/>
        <v>119.61</v>
      </c>
      <c r="P30" s="52">
        <f ca="1"/>
        <v>46072</v>
      </c>
      <c r="Q30" s="39">
        <f ca="1"/>
        <v>100.78400000000001</v>
      </c>
      <c r="R30" s="52">
        <f ca="1"/>
        <v>46045</v>
      </c>
      <c r="S30" s="39">
        <f ca="1"/>
        <v>467.1</v>
      </c>
      <c r="T30" s="52">
        <f t="shared" ca="1" si="0"/>
        <v>46043</v>
      </c>
      <c r="U30" s="97" t="str">
        <f t="shared" ca="1" si="1"/>
        <v/>
      </c>
    </row>
    <row r="31" spans="1:21" x14ac:dyDescent="0.25">
      <c r="A31" s="102" t="str">
        <f t="shared" ca="1" si="5"/>
        <v/>
      </c>
      <c r="B31" s="53" t="str">
        <f t="shared" ca="1" si="2"/>
        <v/>
      </c>
      <c r="C31" s="25" t="str">
        <f t="shared" ca="1" si="6"/>
        <v/>
      </c>
      <c r="D31" s="26" t="str">
        <f t="shared" ca="1" si="7"/>
        <v/>
      </c>
      <c r="E31" s="53" t="str">
        <f t="shared" ca="1" si="3"/>
        <v/>
      </c>
      <c r="F31" s="25" t="str">
        <f t="shared" ca="1" si="8"/>
        <v/>
      </c>
      <c r="G31" s="26" t="str">
        <f t="shared" ca="1" si="9"/>
        <v/>
      </c>
      <c r="H31" s="53" t="str">
        <f t="shared" ca="1" si="4"/>
        <v/>
      </c>
      <c r="I31" s="25" t="str">
        <f t="shared" ca="1" si="10"/>
        <v/>
      </c>
      <c r="J31" s="26"/>
      <c r="K31" s="114" t="str">
        <f ca="1">IF($A31="","",IF(COUNTIFS(Dividends!$J:$J,"&gt;"&amp;INT($A30),Dividends!$J:$J,"&lt;="&amp;INT($A31))=0,"",$G$4*SUMIFS(Dividends!$K:$K,Dividends!$J:$J,"&gt;"&amp;INT($A30),Dividends!$J:$J,"&lt;="&amp;INT($A31))))</f>
        <v/>
      </c>
      <c r="L31" s="55" t="str">
        <f ca="1">IF(ISERROR(B31-2),"",C31+D31-F31-G31+I31+J31+SUM($K$14:K31))</f>
        <v/>
      </c>
      <c r="N31" s="52">
        <f ca="1"/>
        <v>46044</v>
      </c>
      <c r="O31" s="39">
        <f ca="1"/>
        <v>119.55</v>
      </c>
      <c r="P31" s="52">
        <f ca="1"/>
        <v>46073</v>
      </c>
      <c r="Q31" s="39">
        <f ca="1"/>
        <v>100.777</v>
      </c>
      <c r="R31" s="52">
        <f ca="1"/>
        <v>46048</v>
      </c>
      <c r="S31" s="39">
        <f ca="1"/>
        <v>452.5</v>
      </c>
      <c r="T31" s="52">
        <f t="shared" ca="1" si="0"/>
        <v>46044</v>
      </c>
      <c r="U31" s="97" t="str">
        <f t="shared" ca="1" si="1"/>
        <v/>
      </c>
    </row>
    <row r="32" spans="1:21" x14ac:dyDescent="0.25">
      <c r="A32" s="102" t="str">
        <f t="shared" ca="1" si="5"/>
        <v/>
      </c>
      <c r="B32" s="53" t="str">
        <f t="shared" ca="1" si="2"/>
        <v/>
      </c>
      <c r="C32" s="25" t="str">
        <f t="shared" ca="1" si="6"/>
        <v/>
      </c>
      <c r="D32" s="26" t="str">
        <f t="shared" ca="1" si="7"/>
        <v/>
      </c>
      <c r="E32" s="53" t="str">
        <f t="shared" ca="1" si="3"/>
        <v/>
      </c>
      <c r="F32" s="25" t="str">
        <f t="shared" ca="1" si="8"/>
        <v/>
      </c>
      <c r="G32" s="26" t="str">
        <f t="shared" ca="1" si="9"/>
        <v/>
      </c>
      <c r="H32" s="53" t="str">
        <f t="shared" ca="1" si="4"/>
        <v/>
      </c>
      <c r="I32" s="25" t="str">
        <f t="shared" ca="1" si="10"/>
        <v/>
      </c>
      <c r="J32" s="26"/>
      <c r="K32" s="114" t="str">
        <f ca="1">IF($A32="","",IF(COUNTIFS(Dividends!$J:$J,"&gt;"&amp;INT($A31),Dividends!$J:$J,"&lt;="&amp;INT($A32))=0,"",$G$4*SUMIFS(Dividends!$K:$K,Dividends!$J:$J,"&gt;"&amp;INT($A31),Dividends!$J:$J,"&lt;="&amp;INT($A32))))</f>
        <v/>
      </c>
      <c r="L32" s="55" t="str">
        <f ca="1">IF(ISERROR(B32-2),"",C32+D32-F32-G32+I32+J32+SUM($K$14:K32))</f>
        <v/>
      </c>
      <c r="N32" s="52">
        <f ca="1"/>
        <v>46045</v>
      </c>
      <c r="O32" s="39">
        <f ca="1"/>
        <v>119.49</v>
      </c>
      <c r="P32" s="52">
        <f ca="1"/>
        <v>46076</v>
      </c>
      <c r="Q32" s="39">
        <f ca="1"/>
        <v>100.923</v>
      </c>
      <c r="R32" s="52">
        <f ca="1"/>
        <v>46049</v>
      </c>
      <c r="S32" s="39">
        <f ca="1"/>
        <v>429.5</v>
      </c>
      <c r="T32" s="52">
        <f t="shared" ca="1" si="0"/>
        <v>46045</v>
      </c>
      <c r="U32" s="97" t="str">
        <f t="shared" ca="1" si="1"/>
        <v/>
      </c>
    </row>
    <row r="33" spans="1:21" x14ac:dyDescent="0.25">
      <c r="A33" s="102" t="str">
        <f t="shared" ca="1" si="5"/>
        <v/>
      </c>
      <c r="B33" s="53" t="str">
        <f t="shared" ca="1" si="2"/>
        <v/>
      </c>
      <c r="C33" s="25" t="str">
        <f t="shared" ca="1" si="6"/>
        <v/>
      </c>
      <c r="D33" s="26" t="str">
        <f t="shared" ca="1" si="7"/>
        <v/>
      </c>
      <c r="E33" s="53" t="str">
        <f t="shared" ca="1" si="3"/>
        <v/>
      </c>
      <c r="F33" s="25" t="str">
        <f t="shared" ca="1" si="8"/>
        <v/>
      </c>
      <c r="G33" s="26" t="str">
        <f t="shared" ca="1" si="9"/>
        <v/>
      </c>
      <c r="H33" s="53" t="str">
        <f t="shared" ca="1" si="4"/>
        <v/>
      </c>
      <c r="I33" s="25" t="str">
        <f t="shared" ca="1" si="10"/>
        <v/>
      </c>
      <c r="J33" s="26"/>
      <c r="K33" s="114" t="str">
        <f ca="1">IF($A33="","",IF(COUNTIFS(Dividends!$J:$J,"&gt;"&amp;INT($A32),Dividends!$J:$J,"&lt;="&amp;INT($A33))=0,"",$G$4*SUMIFS(Dividends!$K:$K,Dividends!$J:$J,"&gt;"&amp;INT($A32),Dividends!$J:$J,"&lt;="&amp;INT($A33))))</f>
        <v/>
      </c>
      <c r="L33" s="55" t="str">
        <f ca="1">IF(ISERROR(B33-2),"",C33+D33-F33-G33+I33+J33+SUM($K$14:K33))</f>
        <v/>
      </c>
      <c r="N33" s="52">
        <f ca="1"/>
        <v>46048</v>
      </c>
      <c r="O33" s="39">
        <f ca="1"/>
        <v>119.66</v>
      </c>
      <c r="P33" s="52">
        <f ca="1"/>
        <v>46077</v>
      </c>
      <c r="Q33" s="39">
        <f ca="1"/>
        <v>100.923</v>
      </c>
      <c r="R33" s="52">
        <f ca="1"/>
        <v>46050</v>
      </c>
      <c r="S33" s="39">
        <f ca="1"/>
        <v>469.1</v>
      </c>
      <c r="T33" s="52">
        <f t="shared" ca="1" si="0"/>
        <v>46048</v>
      </c>
      <c r="U33" s="97" t="str">
        <f t="shared" ca="1" si="1"/>
        <v/>
      </c>
    </row>
    <row r="34" spans="1:21" x14ac:dyDescent="0.25">
      <c r="A34" s="102" t="str">
        <f t="shared" ca="1" si="5"/>
        <v/>
      </c>
      <c r="B34" s="53" t="str">
        <f t="shared" ca="1" si="2"/>
        <v/>
      </c>
      <c r="C34" s="25" t="str">
        <f t="shared" ca="1" si="6"/>
        <v/>
      </c>
      <c r="D34" s="26" t="str">
        <f t="shared" ca="1" si="7"/>
        <v/>
      </c>
      <c r="E34" s="53" t="str">
        <f t="shared" ca="1" si="3"/>
        <v/>
      </c>
      <c r="F34" s="25" t="str">
        <f t="shared" ca="1" si="8"/>
        <v/>
      </c>
      <c r="G34" s="26" t="str">
        <f t="shared" ca="1" si="9"/>
        <v/>
      </c>
      <c r="H34" s="53" t="str">
        <f t="shared" ca="1" si="4"/>
        <v/>
      </c>
      <c r="I34" s="25" t="str">
        <f t="shared" ca="1" si="10"/>
        <v/>
      </c>
      <c r="J34" s="26"/>
      <c r="K34" s="114" t="str">
        <f ca="1">IF($A34="","",IF(COUNTIFS(Dividends!$J:$J,"&gt;"&amp;INT($A33),Dividends!$J:$J,"&lt;="&amp;INT($A34))=0,"",$G$4*SUMIFS(Dividends!$K:$K,Dividends!$J:$J,"&gt;"&amp;INT($A33),Dividends!$J:$J,"&lt;="&amp;INT($A34))))</f>
        <v/>
      </c>
      <c r="L34" s="55" t="str">
        <f ca="1">IF(ISERROR(B34-2),"",C34+D34-F34-G34+I34+J34+SUM($K$14:K34))</f>
        <v/>
      </c>
      <c r="N34" s="52">
        <f ca="1"/>
        <v>46049</v>
      </c>
      <c r="O34" s="39">
        <f ca="1"/>
        <v>119.75</v>
      </c>
      <c r="P34" s="52">
        <f ca="1"/>
        <v>46078</v>
      </c>
      <c r="Q34" s="39">
        <f ca="1"/>
        <v>100.917</v>
      </c>
      <c r="R34" s="52">
        <f ca="1"/>
        <v>46051</v>
      </c>
      <c r="S34" s="39">
        <f ca="1"/>
        <v>509.4</v>
      </c>
      <c r="T34" s="52">
        <f t="shared" ca="1" si="0"/>
        <v>46049</v>
      </c>
      <c r="U34" s="97" t="str">
        <f t="shared" ca="1" si="1"/>
        <v/>
      </c>
    </row>
    <row r="35" spans="1:21" x14ac:dyDescent="0.25">
      <c r="A35" s="102" t="str">
        <f t="shared" ca="1" si="5"/>
        <v/>
      </c>
      <c r="B35" s="53" t="str">
        <f t="shared" ca="1" si="2"/>
        <v/>
      </c>
      <c r="C35" s="25" t="str">
        <f t="shared" ca="1" si="6"/>
        <v/>
      </c>
      <c r="D35" s="26" t="str">
        <f t="shared" ca="1" si="7"/>
        <v/>
      </c>
      <c r="E35" s="53" t="str">
        <f t="shared" ca="1" si="3"/>
        <v/>
      </c>
      <c r="F35" s="25" t="str">
        <f t="shared" ca="1" si="8"/>
        <v/>
      </c>
      <c r="G35" s="26" t="str">
        <f t="shared" ca="1" si="9"/>
        <v/>
      </c>
      <c r="H35" s="53" t="str">
        <f t="shared" ca="1" si="4"/>
        <v/>
      </c>
      <c r="I35" s="25" t="str">
        <f t="shared" ca="1" si="10"/>
        <v/>
      </c>
      <c r="J35" s="26"/>
      <c r="K35" s="114" t="str">
        <f ca="1">IF($A35="","",IF(COUNTIFS(Dividends!$J:$J,"&gt;"&amp;INT($A34),Dividends!$J:$J,"&lt;="&amp;INT($A35))=0,"",$G$4*SUMIFS(Dividends!$K:$K,Dividends!$J:$J,"&gt;"&amp;INT($A34),Dividends!$J:$J,"&lt;="&amp;INT($A35))))</f>
        <v/>
      </c>
      <c r="L35" s="55" t="str">
        <f ca="1">IF(ISERROR(B35-2),"",C35+D35-F35-G35+I35+J35+SUM($K$14:K35))</f>
        <v/>
      </c>
      <c r="N35" s="52">
        <f ca="1"/>
        <v>46050</v>
      </c>
      <c r="O35" s="39">
        <f ca="1"/>
        <v>119.86</v>
      </c>
      <c r="P35" s="52">
        <f ca="1"/>
        <v>46079</v>
      </c>
      <c r="Q35" s="39">
        <f ca="1"/>
        <v>100.97</v>
      </c>
      <c r="R35" s="52">
        <f ca="1"/>
        <v>46052</v>
      </c>
      <c r="S35" s="39">
        <f ca="1"/>
        <v>473.5</v>
      </c>
      <c r="T35" s="52">
        <f t="shared" ca="1" si="0"/>
        <v>46050</v>
      </c>
      <c r="U35" s="97" t="str">
        <f t="shared" ca="1" si="1"/>
        <v/>
      </c>
    </row>
    <row r="36" spans="1:21" x14ac:dyDescent="0.25">
      <c r="A36" s="102" t="str">
        <f t="shared" ca="1" si="5"/>
        <v/>
      </c>
      <c r="B36" s="53" t="str">
        <f t="shared" ca="1" si="2"/>
        <v/>
      </c>
      <c r="C36" s="25" t="str">
        <f t="shared" ca="1" si="6"/>
        <v/>
      </c>
      <c r="D36" s="26" t="str">
        <f t="shared" ca="1" si="7"/>
        <v/>
      </c>
      <c r="E36" s="53" t="str">
        <f t="shared" ca="1" si="3"/>
        <v/>
      </c>
      <c r="F36" s="25" t="str">
        <f t="shared" ca="1" si="8"/>
        <v/>
      </c>
      <c r="G36" s="26" t="str">
        <f t="shared" ca="1" si="9"/>
        <v/>
      </c>
      <c r="H36" s="53" t="str">
        <f t="shared" ca="1" si="4"/>
        <v/>
      </c>
      <c r="I36" s="25" t="str">
        <f t="shared" ca="1" si="10"/>
        <v/>
      </c>
      <c r="J36" s="26"/>
      <c r="K36" s="114" t="str">
        <f ca="1">IF($A36="","",IF(COUNTIFS(Dividends!$J:$J,"&gt;"&amp;INT($A35),Dividends!$J:$J,"&lt;="&amp;INT($A36))=0,"",$G$4*SUMIFS(Dividends!$K:$K,Dividends!$J:$J,"&gt;"&amp;INT($A35),Dividends!$J:$J,"&lt;="&amp;INT($A36))))</f>
        <v/>
      </c>
      <c r="L36" s="55" t="str">
        <f ca="1">IF(ISERROR(B36-2),"",C36+D36-F36-G36+I36+J36+SUM($K$14:K36))</f>
        <v/>
      </c>
      <c r="N36" s="52">
        <f ca="1"/>
        <v>46051</v>
      </c>
      <c r="O36" s="39">
        <f ca="1"/>
        <v>119.91</v>
      </c>
      <c r="P36" s="52">
        <f ca="1"/>
        <v>46080</v>
      </c>
      <c r="Q36" s="39">
        <f ca="1"/>
        <v>101.247</v>
      </c>
      <c r="R36" s="52">
        <f ca="1"/>
        <v>46055</v>
      </c>
      <c r="S36" s="39">
        <f ca="1"/>
        <v>426.1</v>
      </c>
      <c r="T36" s="52">
        <f t="shared" ca="1" si="0"/>
        <v>46051</v>
      </c>
      <c r="U36" s="97" t="str">
        <f t="shared" ca="1" si="1"/>
        <v/>
      </c>
    </row>
    <row r="37" spans="1:21" x14ac:dyDescent="0.25">
      <c r="A37" s="102" t="str">
        <f t="shared" ca="1" si="5"/>
        <v/>
      </c>
      <c r="B37" s="53" t="str">
        <f t="shared" ca="1" si="2"/>
        <v/>
      </c>
      <c r="C37" s="25" t="str">
        <f t="shared" ca="1" si="6"/>
        <v/>
      </c>
      <c r="D37" s="26" t="str">
        <f t="shared" ca="1" si="7"/>
        <v/>
      </c>
      <c r="E37" s="53" t="str">
        <f t="shared" ca="1" si="3"/>
        <v/>
      </c>
      <c r="F37" s="25" t="str">
        <f t="shared" ca="1" si="8"/>
        <v/>
      </c>
      <c r="G37" s="26" t="str">
        <f t="shared" ca="1" si="9"/>
        <v/>
      </c>
      <c r="H37" s="53" t="str">
        <f t="shared" ca="1" si="4"/>
        <v/>
      </c>
      <c r="I37" s="25" t="str">
        <f t="shared" ca="1" si="10"/>
        <v/>
      </c>
      <c r="J37" s="26"/>
      <c r="K37" s="114" t="str">
        <f ca="1">IF($A37="","",IF(COUNTIFS(Dividends!$J:$J,"&gt;"&amp;INT($A36),Dividends!$J:$J,"&lt;="&amp;INT($A37))=0,"",$G$4*SUMIFS(Dividends!$K:$K,Dividends!$J:$J,"&gt;"&amp;INT($A36),Dividends!$J:$J,"&lt;="&amp;INT($A37))))</f>
        <v/>
      </c>
      <c r="L37" s="55" t="str">
        <f ca="1">IF(ISERROR(B37-2),"",C37+D37-F37-G37+I37+J37+SUM($K$14:K37))</f>
        <v/>
      </c>
      <c r="N37" s="52">
        <f ca="1"/>
        <v>46052</v>
      </c>
      <c r="O37" s="39">
        <f ca="1"/>
        <v>120.05</v>
      </c>
      <c r="P37" s="52">
        <f ca="1"/>
        <v>46083</v>
      </c>
      <c r="Q37" s="39">
        <f ca="1"/>
        <v>100.825</v>
      </c>
      <c r="R37" s="52">
        <f ca="1"/>
        <v>46056</v>
      </c>
      <c r="S37" s="39">
        <f ca="1"/>
        <v>438.6</v>
      </c>
      <c r="T37" s="52">
        <f t="shared" ca="1" si="0"/>
        <v>46052</v>
      </c>
      <c r="U37" s="97" t="str">
        <f t="shared" ca="1" si="1"/>
        <v/>
      </c>
    </row>
    <row r="38" spans="1:21" x14ac:dyDescent="0.25">
      <c r="A38" s="102" t="str">
        <f t="shared" ca="1" si="5"/>
        <v/>
      </c>
      <c r="B38" s="53" t="str">
        <f t="shared" ca="1" si="2"/>
        <v/>
      </c>
      <c r="C38" s="25" t="str">
        <f t="shared" ca="1" si="6"/>
        <v/>
      </c>
      <c r="D38" s="26" t="str">
        <f t="shared" ca="1" si="7"/>
        <v/>
      </c>
      <c r="E38" s="53" t="str">
        <f t="shared" ca="1" si="3"/>
        <v/>
      </c>
      <c r="F38" s="25" t="str">
        <f t="shared" ca="1" si="8"/>
        <v/>
      </c>
      <c r="G38" s="26" t="str">
        <f t="shared" ca="1" si="9"/>
        <v/>
      </c>
      <c r="H38" s="53" t="str">
        <f t="shared" ca="1" si="4"/>
        <v/>
      </c>
      <c r="I38" s="25" t="str">
        <f t="shared" ca="1" si="10"/>
        <v/>
      </c>
      <c r="J38" s="26"/>
      <c r="K38" s="114" t="str">
        <f ca="1">IF($A38="","",IF(COUNTIFS(Dividends!$J:$J,"&gt;"&amp;INT($A37),Dividends!$J:$J,"&lt;="&amp;INT($A38))=0,"",$G$4*SUMIFS(Dividends!$K:$K,Dividends!$J:$J,"&gt;"&amp;INT($A37),Dividends!$J:$J,"&lt;="&amp;INT($A38))))</f>
        <v/>
      </c>
      <c r="L38" s="55" t="str">
        <f ca="1">IF(ISERROR(B38-2),"",C38+D38-F38-G38+I38+J38+SUM($K$14:K38))</f>
        <v/>
      </c>
      <c r="N38" s="52">
        <f ca="1"/>
        <v>46055</v>
      </c>
      <c r="O38" s="39">
        <f ca="1"/>
        <v>119.87</v>
      </c>
      <c r="P38" s="52">
        <f ca="1"/>
        <v>46084</v>
      </c>
      <c r="Q38" s="39">
        <f ca="1"/>
        <v>100.572</v>
      </c>
      <c r="R38" s="52">
        <f ca="1"/>
        <v>46057</v>
      </c>
      <c r="S38" s="39">
        <f ca="1"/>
        <v>445.1</v>
      </c>
      <c r="T38" s="52">
        <f t="shared" ca="1" si="0"/>
        <v>46055</v>
      </c>
      <c r="U38" s="97" t="str">
        <f t="shared" ca="1" si="1"/>
        <v/>
      </c>
    </row>
    <row r="39" spans="1:21" x14ac:dyDescent="0.25">
      <c r="A39" s="102" t="str">
        <f t="shared" ca="1" si="5"/>
        <v/>
      </c>
      <c r="B39" s="53" t="str">
        <f t="shared" ca="1" si="2"/>
        <v/>
      </c>
      <c r="C39" s="25" t="str">
        <f t="shared" ca="1" si="6"/>
        <v/>
      </c>
      <c r="D39" s="26" t="str">
        <f t="shared" ca="1" si="7"/>
        <v/>
      </c>
      <c r="E39" s="53" t="str">
        <f t="shared" ca="1" si="3"/>
        <v/>
      </c>
      <c r="F39" s="25" t="str">
        <f t="shared" ca="1" si="8"/>
        <v/>
      </c>
      <c r="G39" s="26" t="str">
        <f t="shared" ca="1" si="9"/>
        <v/>
      </c>
      <c r="H39" s="53" t="str">
        <f t="shared" ca="1" si="4"/>
        <v/>
      </c>
      <c r="I39" s="25" t="str">
        <f t="shared" ca="1" si="10"/>
        <v/>
      </c>
      <c r="J39" s="26"/>
      <c r="K39" s="114" t="str">
        <f ca="1">IF($A39="","",IF(COUNTIFS(Dividends!$J:$J,"&gt;"&amp;INT($A38),Dividends!$J:$J,"&lt;="&amp;INT($A39))=0,"",$G$4*SUMIFS(Dividends!$K:$K,Dividends!$J:$J,"&gt;"&amp;INT($A38),Dividends!$J:$J,"&lt;="&amp;INT($A39))))</f>
        <v/>
      </c>
      <c r="L39" s="55" t="str">
        <f ca="1">IF(ISERROR(B39-2),"",C39+D39-F39-G39+I39+J39+SUM($K$14:K39))</f>
        <v/>
      </c>
      <c r="N39" s="52">
        <f ca="1"/>
        <v>46056</v>
      </c>
      <c r="O39" s="39">
        <f ca="1"/>
        <v>119.85</v>
      </c>
      <c r="P39" s="52">
        <f ca="1"/>
        <v>46085</v>
      </c>
      <c r="Q39" s="39">
        <f ca="1"/>
        <v>100.62</v>
      </c>
      <c r="R39" s="52">
        <f ca="1"/>
        <v>46058</v>
      </c>
      <c r="S39" s="39">
        <f ca="1"/>
        <v>489.5</v>
      </c>
      <c r="T39" s="52">
        <f t="shared" ca="1" si="0"/>
        <v>46056</v>
      </c>
      <c r="U39" s="97" t="str">
        <f t="shared" ca="1" si="1"/>
        <v/>
      </c>
    </row>
    <row r="40" spans="1:21" x14ac:dyDescent="0.25">
      <c r="A40" s="102" t="str">
        <f t="shared" ca="1" si="5"/>
        <v/>
      </c>
      <c r="B40" s="53" t="str">
        <f t="shared" ca="1" si="2"/>
        <v/>
      </c>
      <c r="C40" s="25" t="str">
        <f t="shared" ca="1" si="6"/>
        <v/>
      </c>
      <c r="D40" s="26" t="str">
        <f t="shared" ca="1" si="7"/>
        <v/>
      </c>
      <c r="E40" s="53" t="str">
        <f t="shared" ca="1" si="3"/>
        <v/>
      </c>
      <c r="F40" s="25" t="str">
        <f t="shared" ca="1" si="8"/>
        <v/>
      </c>
      <c r="G40" s="26" t="str">
        <f t="shared" ca="1" si="9"/>
        <v/>
      </c>
      <c r="H40" s="53" t="str">
        <f t="shared" ca="1" si="4"/>
        <v/>
      </c>
      <c r="I40" s="25" t="str">
        <f t="shared" ca="1" si="10"/>
        <v/>
      </c>
      <c r="J40" s="26"/>
      <c r="K40" s="114" t="str">
        <f ca="1">IF($A40="","",IF(COUNTIFS(Dividends!$J:$J,"&gt;"&amp;INT($A39),Dividends!$J:$J,"&lt;="&amp;INT($A40))=0,"",$G$4*SUMIFS(Dividends!$K:$K,Dividends!$J:$J,"&gt;"&amp;INT($A39),Dividends!$J:$J,"&lt;="&amp;INT($A40))))</f>
        <v/>
      </c>
      <c r="L40" s="55" t="str">
        <f ca="1">IF(ISERROR(B40-2),"",C40+D40-F40-G40+I40+J40+SUM($K$14:K40))</f>
        <v/>
      </c>
      <c r="N40" s="52">
        <f ca="1"/>
        <v>46057</v>
      </c>
      <c r="O40" s="39">
        <f ca="1"/>
        <v>119.94</v>
      </c>
      <c r="P40" s="52">
        <f ca="1"/>
        <v>46086</v>
      </c>
      <c r="Q40" s="39">
        <f ca="1"/>
        <v>100.06</v>
      </c>
      <c r="R40" s="52">
        <f ca="1"/>
        <v>46059</v>
      </c>
      <c r="S40" s="39">
        <f ca="1"/>
        <v>434.7</v>
      </c>
      <c r="T40" s="52">
        <f t="shared" ca="1" si="0"/>
        <v>46057</v>
      </c>
      <c r="U40" s="97" t="str">
        <f t="shared" ca="1" si="1"/>
        <v/>
      </c>
    </row>
    <row r="41" spans="1:21" x14ac:dyDescent="0.25">
      <c r="A41" s="102" t="str">
        <f t="shared" ca="1" si="5"/>
        <v/>
      </c>
      <c r="B41" s="53" t="str">
        <f t="shared" ca="1" si="2"/>
        <v/>
      </c>
      <c r="C41" s="25" t="str">
        <f t="shared" ca="1" si="6"/>
        <v/>
      </c>
      <c r="D41" s="26" t="str">
        <f t="shared" ca="1" si="7"/>
        <v/>
      </c>
      <c r="E41" s="53" t="str">
        <f t="shared" ca="1" si="3"/>
        <v/>
      </c>
      <c r="F41" s="25" t="str">
        <f t="shared" ca="1" si="8"/>
        <v/>
      </c>
      <c r="G41" s="26" t="str">
        <f t="shared" ca="1" si="9"/>
        <v/>
      </c>
      <c r="H41" s="53" t="str">
        <f t="shared" ca="1" si="4"/>
        <v/>
      </c>
      <c r="I41" s="25" t="str">
        <f t="shared" ca="1" si="10"/>
        <v/>
      </c>
      <c r="J41" s="26"/>
      <c r="K41" s="114" t="str">
        <f ca="1">IF($A41="","",IF(COUNTIFS(Dividends!$J:$J,"&gt;"&amp;INT($A40),Dividends!$J:$J,"&lt;="&amp;INT($A41))=0,"",$G$4*SUMIFS(Dividends!$K:$K,Dividends!$J:$J,"&gt;"&amp;INT($A40),Dividends!$J:$J,"&lt;="&amp;INT($A41))))</f>
        <v/>
      </c>
      <c r="L41" s="55" t="str">
        <f ca="1">IF(ISERROR(B41-2),"",C41+D41-F41-G41+I41+J41+SUM($K$14:K41))</f>
        <v/>
      </c>
      <c r="N41" s="52">
        <f ca="1"/>
        <v>46058</v>
      </c>
      <c r="O41" s="39">
        <f ca="1"/>
        <v>119.96</v>
      </c>
      <c r="P41" s="52">
        <f ca="1"/>
        <v>46087</v>
      </c>
      <c r="Q41" s="39">
        <f ca="1"/>
        <v>99.888999999999996</v>
      </c>
      <c r="R41" s="52">
        <f ca="1"/>
        <v>46062</v>
      </c>
      <c r="S41" s="39">
        <f ca="1"/>
        <v>393.6</v>
      </c>
      <c r="T41" s="52">
        <f t="shared" ca="1" si="0"/>
        <v>46058</v>
      </c>
      <c r="U41" s="97" t="str">
        <f t="shared" ca="1" si="1"/>
        <v/>
      </c>
    </row>
    <row r="42" spans="1:21" x14ac:dyDescent="0.25">
      <c r="A42" s="102" t="str">
        <f t="shared" ca="1" si="5"/>
        <v/>
      </c>
      <c r="B42" s="53" t="str">
        <f t="shared" ca="1" si="2"/>
        <v/>
      </c>
      <c r="C42" s="25" t="str">
        <f t="shared" ca="1" si="6"/>
        <v/>
      </c>
      <c r="D42" s="26" t="str">
        <f t="shared" ca="1" si="7"/>
        <v/>
      </c>
      <c r="E42" s="53" t="str">
        <f t="shared" ca="1" si="3"/>
        <v/>
      </c>
      <c r="F42" s="25" t="str">
        <f t="shared" ca="1" si="8"/>
        <v/>
      </c>
      <c r="G42" s="26" t="str">
        <f t="shared" ca="1" si="9"/>
        <v/>
      </c>
      <c r="H42" s="53" t="str">
        <f t="shared" ca="1" si="4"/>
        <v/>
      </c>
      <c r="I42" s="25" t="str">
        <f t="shared" ca="1" si="10"/>
        <v/>
      </c>
      <c r="J42" s="26"/>
      <c r="K42" s="114" t="str">
        <f ca="1">IF($A42="","",IF(COUNTIFS(Dividends!$J:$J,"&gt;"&amp;INT($A41),Dividends!$J:$J,"&lt;="&amp;INT($A42))=0,"",$G$4*SUMIFS(Dividends!$K:$K,Dividends!$J:$J,"&gt;"&amp;INT($A41),Dividends!$J:$J,"&lt;="&amp;INT($A42))))</f>
        <v/>
      </c>
      <c r="L42" s="55" t="str">
        <f ca="1">IF(ISERROR(B42-2),"",C42+D42-F42-G42+I42+J42+SUM($K$14:K42))</f>
        <v/>
      </c>
      <c r="N42" s="52">
        <f ca="1"/>
        <v>46059</v>
      </c>
      <c r="O42" s="39">
        <f ca="1"/>
        <v>120</v>
      </c>
      <c r="P42" s="52">
        <f ca="1"/>
        <v>46090</v>
      </c>
      <c r="Q42" s="39">
        <f ca="1"/>
        <v>99.897000000000006</v>
      </c>
      <c r="R42" s="52">
        <f ca="1"/>
        <v>46063</v>
      </c>
      <c r="S42" s="39">
        <f ca="1"/>
        <v>397.6</v>
      </c>
      <c r="T42" s="52">
        <f t="shared" ca="1" si="0"/>
        <v>46059</v>
      </c>
      <c r="U42" s="97" t="str">
        <f t="shared" ca="1" si="1"/>
        <v/>
      </c>
    </row>
    <row r="43" spans="1:21" x14ac:dyDescent="0.25">
      <c r="A43" s="102" t="str">
        <f t="shared" ca="1" si="5"/>
        <v/>
      </c>
      <c r="B43" s="53" t="str">
        <f t="shared" ca="1" si="2"/>
        <v/>
      </c>
      <c r="C43" s="25" t="str">
        <f t="shared" ca="1" si="6"/>
        <v/>
      </c>
      <c r="D43" s="26" t="str">
        <f t="shared" ca="1" si="7"/>
        <v/>
      </c>
      <c r="E43" s="53" t="str">
        <f t="shared" ca="1" si="3"/>
        <v/>
      </c>
      <c r="F43" s="25" t="str">
        <f t="shared" ca="1" si="8"/>
        <v/>
      </c>
      <c r="G43" s="26" t="str">
        <f t="shared" ca="1" si="9"/>
        <v/>
      </c>
      <c r="H43" s="53" t="str">
        <f t="shared" ca="1" si="4"/>
        <v/>
      </c>
      <c r="I43" s="25" t="str">
        <f t="shared" ca="1" si="10"/>
        <v/>
      </c>
      <c r="J43" s="26"/>
      <c r="K43" s="114" t="str">
        <f ca="1">IF($A43="","",IF(COUNTIFS(Dividends!$J:$J,"&gt;"&amp;INT($A42),Dividends!$J:$J,"&lt;="&amp;INT($A43))=0,"",$G$4*SUMIFS(Dividends!$K:$K,Dividends!$J:$J,"&gt;"&amp;INT($A42),Dividends!$J:$J,"&lt;="&amp;INT($A43))))</f>
        <v/>
      </c>
      <c r="L43" s="55" t="str">
        <f ca="1">IF(ISERROR(B43-2),"",C43+D43-F43-G43+I43+J43+SUM($K$14:K43))</f>
        <v/>
      </c>
      <c r="N43" s="52">
        <f ca="1"/>
        <v>46062</v>
      </c>
      <c r="O43" s="39">
        <f ca="1"/>
        <v>120.05</v>
      </c>
      <c r="P43" s="52">
        <f ca="1"/>
        <v>46091</v>
      </c>
      <c r="Q43" s="39">
        <f ca="1"/>
        <v>100.09399999999999</v>
      </c>
      <c r="R43" s="52">
        <f ca="1"/>
        <v>46064</v>
      </c>
      <c r="S43" s="39">
        <f ca="1"/>
        <v>404.1</v>
      </c>
      <c r="T43" s="52">
        <f t="shared" ca="1" si="0"/>
        <v>46062</v>
      </c>
      <c r="U43" s="97" t="str">
        <f t="shared" ca="1" si="1"/>
        <v/>
      </c>
    </row>
    <row r="44" spans="1:21" x14ac:dyDescent="0.25">
      <c r="A44" s="102" t="str">
        <f t="shared" ca="1" si="5"/>
        <v/>
      </c>
      <c r="B44" s="53" t="str">
        <f t="shared" ca="1" si="2"/>
        <v/>
      </c>
      <c r="C44" s="25" t="str">
        <f t="shared" ca="1" si="6"/>
        <v/>
      </c>
      <c r="D44" s="26" t="str">
        <f t="shared" ca="1" si="7"/>
        <v/>
      </c>
      <c r="E44" s="53" t="str">
        <f t="shared" ca="1" si="3"/>
        <v/>
      </c>
      <c r="F44" s="25" t="str">
        <f t="shared" ca="1" si="8"/>
        <v/>
      </c>
      <c r="G44" s="26" t="str">
        <f t="shared" ca="1" si="9"/>
        <v/>
      </c>
      <c r="H44" s="53" t="str">
        <f t="shared" ca="1" si="4"/>
        <v/>
      </c>
      <c r="I44" s="25" t="str">
        <f t="shared" ca="1" si="10"/>
        <v/>
      </c>
      <c r="J44" s="26"/>
      <c r="K44" s="114" t="str">
        <f ca="1">IF($A44="","",IF(COUNTIFS(Dividends!$J:$J,"&gt;"&amp;INT($A43),Dividends!$J:$J,"&lt;="&amp;INT($A44))=0,"",$G$4*SUMIFS(Dividends!$K:$K,Dividends!$J:$J,"&gt;"&amp;INT($A43),Dividends!$J:$J,"&lt;="&amp;INT($A44))))</f>
        <v/>
      </c>
      <c r="L44" s="55" t="str">
        <f ca="1">IF(ISERROR(B44-2),"",C44+D44-F44-G44+I44+J44+SUM($K$14:K44))</f>
        <v/>
      </c>
      <c r="N44" s="52">
        <f ca="1"/>
        <v>46063</v>
      </c>
      <c r="O44" s="39">
        <f ca="1"/>
        <v>120.16</v>
      </c>
      <c r="P44" s="52">
        <f ca="1"/>
        <v>46092</v>
      </c>
      <c r="Q44" s="39">
        <f ca="1"/>
        <v>99.558000000000007</v>
      </c>
      <c r="R44" s="52">
        <f ca="1"/>
        <v>46065</v>
      </c>
      <c r="S44" s="39">
        <f ca="1"/>
        <v>434.5</v>
      </c>
      <c r="T44" s="52">
        <f t="shared" ca="1" si="0"/>
        <v>46063</v>
      </c>
      <c r="U44" s="97" t="str">
        <f t="shared" ca="1" si="1"/>
        <v/>
      </c>
    </row>
    <row r="45" spans="1:21" x14ac:dyDescent="0.25">
      <c r="A45" s="102" t="str">
        <f t="shared" ca="1" si="5"/>
        <v/>
      </c>
      <c r="B45" s="53" t="str">
        <f t="shared" ca="1" si="2"/>
        <v/>
      </c>
      <c r="C45" s="25" t="str">
        <f t="shared" ca="1" si="6"/>
        <v/>
      </c>
      <c r="D45" s="26" t="str">
        <f t="shared" ca="1" si="7"/>
        <v/>
      </c>
      <c r="E45" s="53" t="str">
        <f t="shared" ca="1" si="3"/>
        <v/>
      </c>
      <c r="F45" s="25" t="str">
        <f t="shared" ca="1" si="8"/>
        <v/>
      </c>
      <c r="G45" s="26" t="str">
        <f t="shared" ca="1" si="9"/>
        <v/>
      </c>
      <c r="H45" s="53" t="str">
        <f t="shared" ca="1" si="4"/>
        <v/>
      </c>
      <c r="I45" s="25" t="str">
        <f t="shared" ca="1" si="10"/>
        <v/>
      </c>
      <c r="J45" s="26"/>
      <c r="K45" s="114" t="str">
        <f ca="1">IF($A45="","",IF(COUNTIFS(Dividends!$J:$J,"&gt;"&amp;INT($A44),Dividends!$J:$J,"&lt;="&amp;INT($A45))=0,"",$G$4*SUMIFS(Dividends!$K:$K,Dividends!$J:$J,"&gt;"&amp;INT($A44),Dividends!$J:$J,"&lt;="&amp;INT($A45))))</f>
        <v/>
      </c>
      <c r="L45" s="55" t="str">
        <f ca="1">IF(ISERROR(B45-2),"",C45+D45-F45-G45+I45+J45+SUM($K$14:K45))</f>
        <v/>
      </c>
      <c r="N45" s="52">
        <f ca="1"/>
        <v>46064</v>
      </c>
      <c r="O45" s="39">
        <f ca="1"/>
        <v>120.18</v>
      </c>
      <c r="P45" s="52">
        <f ca="1"/>
        <v>46093</v>
      </c>
      <c r="Q45" s="39">
        <f ca="1"/>
        <v>99.468000000000004</v>
      </c>
      <c r="R45" s="52">
        <f ca="1"/>
        <v>46066</v>
      </c>
      <c r="S45" s="39">
        <f ca="1"/>
        <v>440.2</v>
      </c>
      <c r="T45" s="52">
        <f t="shared" ca="1" si="0"/>
        <v>46064</v>
      </c>
      <c r="U45" s="97" t="str">
        <f t="shared" ca="1" si="1"/>
        <v/>
      </c>
    </row>
    <row r="46" spans="1:21" x14ac:dyDescent="0.25">
      <c r="A46" s="102" t="str">
        <f t="shared" ca="1" si="5"/>
        <v/>
      </c>
      <c r="B46" s="53" t="str">
        <f t="shared" ca="1" si="2"/>
        <v/>
      </c>
      <c r="C46" s="25" t="str">
        <f t="shared" ca="1" si="6"/>
        <v/>
      </c>
      <c r="D46" s="26" t="str">
        <f t="shared" ca="1" si="7"/>
        <v/>
      </c>
      <c r="E46" s="53" t="str">
        <f t="shared" ca="1" si="3"/>
        <v/>
      </c>
      <c r="F46" s="25" t="str">
        <f t="shared" ca="1" si="8"/>
        <v/>
      </c>
      <c r="G46" s="26" t="str">
        <f t="shared" ca="1" si="9"/>
        <v/>
      </c>
      <c r="H46" s="53" t="str">
        <f t="shared" ca="1" si="4"/>
        <v/>
      </c>
      <c r="I46" s="25" t="str">
        <f t="shared" ca="1" si="10"/>
        <v/>
      </c>
      <c r="J46" s="26"/>
      <c r="K46" s="114" t="str">
        <f ca="1">IF($A46="","",IF(COUNTIFS(Dividends!$J:$J,"&gt;"&amp;INT($A45),Dividends!$J:$J,"&lt;="&amp;INT($A46))=0,"",$G$4*SUMIFS(Dividends!$K:$K,Dividends!$J:$J,"&gt;"&amp;INT($A45),Dividends!$J:$J,"&lt;="&amp;INT($A46))))</f>
        <v/>
      </c>
      <c r="L46" s="55" t="str">
        <f ca="1">IF(ISERROR(B46-2),"",C46+D46-F46-G46+I46+J46+SUM($K$14:K46))</f>
        <v/>
      </c>
      <c r="N46" s="52">
        <f ca="1"/>
        <v>46065</v>
      </c>
      <c r="O46" s="39">
        <f ca="1"/>
        <v>120.23</v>
      </c>
      <c r="P46" s="52">
        <f ca="1"/>
        <v>46094</v>
      </c>
      <c r="Q46" s="39">
        <f ca="1"/>
        <v>99.35</v>
      </c>
      <c r="R46" s="52">
        <f ca="1"/>
        <v>46069</v>
      </c>
      <c r="S46" s="39">
        <f ca="1"/>
        <v>440.2</v>
      </c>
      <c r="T46" s="52">
        <f t="shared" ca="1" si="0"/>
        <v>46065</v>
      </c>
      <c r="U46" s="97" t="str">
        <f t="shared" ca="1" si="1"/>
        <v/>
      </c>
    </row>
    <row r="47" spans="1:21" x14ac:dyDescent="0.25">
      <c r="A47" s="102" t="str">
        <f t="shared" ca="1" si="5"/>
        <v/>
      </c>
      <c r="B47" s="53" t="str">
        <f t="shared" ca="1" si="2"/>
        <v/>
      </c>
      <c r="C47" s="25" t="str">
        <f t="shared" ca="1" si="6"/>
        <v/>
      </c>
      <c r="D47" s="26" t="str">
        <f t="shared" ca="1" si="7"/>
        <v/>
      </c>
      <c r="E47" s="53" t="str">
        <f t="shared" ca="1" si="3"/>
        <v/>
      </c>
      <c r="F47" s="25" t="str">
        <f t="shared" ca="1" si="8"/>
        <v/>
      </c>
      <c r="G47" s="26" t="str">
        <f t="shared" ca="1" si="9"/>
        <v/>
      </c>
      <c r="H47" s="53" t="str">
        <f t="shared" ca="1" si="4"/>
        <v/>
      </c>
      <c r="I47" s="25" t="str">
        <f t="shared" ca="1" si="10"/>
        <v/>
      </c>
      <c r="J47" s="26"/>
      <c r="K47" s="114" t="str">
        <f ca="1">IF($A47="","",IF(COUNTIFS(Dividends!$J:$J,"&gt;"&amp;INT($A46),Dividends!$J:$J,"&lt;="&amp;INT($A47))=0,"",$G$4*SUMIFS(Dividends!$K:$K,Dividends!$J:$J,"&gt;"&amp;INT($A46),Dividends!$J:$J,"&lt;="&amp;INT($A47))))</f>
        <v/>
      </c>
      <c r="L47" s="55" t="str">
        <f ca="1">IF(ISERROR(B47-2),"",C47+D47-F47-G47+I47+J47+SUM($K$14:K47))</f>
        <v/>
      </c>
      <c r="N47" s="52">
        <f ca="1"/>
        <v>46066</v>
      </c>
      <c r="O47" s="39">
        <f ca="1"/>
        <v>120.3</v>
      </c>
      <c r="P47" s="52">
        <f ca="1"/>
        <v>46097</v>
      </c>
      <c r="Q47" s="39">
        <f ca="1"/>
        <v>99.513000000000005</v>
      </c>
      <c r="R47" s="52">
        <f ca="1"/>
        <v>46070</v>
      </c>
      <c r="S47" s="39">
        <f ca="1"/>
        <v>413.2</v>
      </c>
      <c r="T47" s="52">
        <f t="shared" ca="1" si="0"/>
        <v>46066</v>
      </c>
      <c r="U47" s="97" t="str">
        <f t="shared" ca="1" si="1"/>
        <v/>
      </c>
    </row>
    <row r="48" spans="1:21" x14ac:dyDescent="0.25">
      <c r="A48" s="102" t="str">
        <f t="shared" ca="1" si="5"/>
        <v/>
      </c>
      <c r="B48" s="53" t="str">
        <f t="shared" ca="1" si="2"/>
        <v/>
      </c>
      <c r="C48" s="25" t="str">
        <f t="shared" ca="1" si="6"/>
        <v/>
      </c>
      <c r="D48" s="26" t="str">
        <f t="shared" ca="1" si="7"/>
        <v/>
      </c>
      <c r="E48" s="53" t="str">
        <f t="shared" ca="1" si="3"/>
        <v/>
      </c>
      <c r="F48" s="25" t="str">
        <f t="shared" ca="1" si="8"/>
        <v/>
      </c>
      <c r="G48" s="26" t="str">
        <f t="shared" ca="1" si="9"/>
        <v/>
      </c>
      <c r="H48" s="53" t="str">
        <f t="shared" ca="1" si="4"/>
        <v/>
      </c>
      <c r="I48" s="25" t="str">
        <f t="shared" ca="1" si="10"/>
        <v/>
      </c>
      <c r="J48" s="26"/>
      <c r="K48" s="114" t="str">
        <f ca="1">IF($A48="","",IF(COUNTIFS(Dividends!$J:$J,"&gt;"&amp;INT($A47),Dividends!$J:$J,"&lt;="&amp;INT($A48))=0,"",$G$4*SUMIFS(Dividends!$K:$K,Dividends!$J:$J,"&gt;"&amp;INT($A47),Dividends!$J:$J,"&lt;="&amp;INT($A48))))</f>
        <v/>
      </c>
      <c r="L48" s="55" t="str">
        <f ca="1">IF(ISERROR(B48-2),"",C48+D48-F48-G48+I48+J48+SUM($K$14:K48))</f>
        <v/>
      </c>
      <c r="N48" s="52">
        <f ca="1"/>
        <v>46069</v>
      </c>
      <c r="O48" s="39">
        <f ca="1"/>
        <v>120.26</v>
      </c>
      <c r="P48" s="52">
        <f ca="1"/>
        <v>46098</v>
      </c>
      <c r="Q48" s="39">
        <f ca="1"/>
        <v>99.688999999999993</v>
      </c>
      <c r="R48" s="52">
        <f ca="1"/>
        <v>46071</v>
      </c>
      <c r="S48" s="39">
        <f ca="1"/>
        <v>365.5</v>
      </c>
      <c r="T48" s="52">
        <f t="shared" ca="1" si="0"/>
        <v>46069</v>
      </c>
      <c r="U48" s="97" t="str">
        <f t="shared" ca="1" si="1"/>
        <v/>
      </c>
    </row>
    <row r="49" spans="1:21" x14ac:dyDescent="0.25">
      <c r="A49" s="102" t="str">
        <f t="shared" ca="1" si="5"/>
        <v/>
      </c>
      <c r="B49" s="53" t="str">
        <f t="shared" ca="1" si="2"/>
        <v/>
      </c>
      <c r="C49" s="25" t="str">
        <f t="shared" ca="1" si="6"/>
        <v/>
      </c>
      <c r="D49" s="26" t="str">
        <f t="shared" ca="1" si="7"/>
        <v/>
      </c>
      <c r="E49" s="53" t="str">
        <f t="shared" ca="1" si="3"/>
        <v/>
      </c>
      <c r="F49" s="25" t="str">
        <f t="shared" ca="1" si="8"/>
        <v/>
      </c>
      <c r="G49" s="26" t="str">
        <f t="shared" ca="1" si="9"/>
        <v/>
      </c>
      <c r="H49" s="53" t="str">
        <f t="shared" ca="1" si="4"/>
        <v/>
      </c>
      <c r="I49" s="25" t="str">
        <f t="shared" ca="1" si="10"/>
        <v/>
      </c>
      <c r="J49" s="26"/>
      <c r="K49" s="114" t="str">
        <f ca="1">IF($A49="","",IF(COUNTIFS(Dividends!$J:$J,"&gt;"&amp;INT($A48),Dividends!$J:$J,"&lt;="&amp;INT($A49))=0,"",$G$4*SUMIFS(Dividends!$K:$K,Dividends!$J:$J,"&gt;"&amp;INT($A48),Dividends!$J:$J,"&lt;="&amp;INT($A49))))</f>
        <v/>
      </c>
      <c r="L49" s="55" t="str">
        <f ca="1">IF(ISERROR(B49-2),"",C49+D49-F49-G49+I49+J49+SUM($K$14:K49))</f>
        <v/>
      </c>
      <c r="N49" s="52">
        <f ca="1"/>
        <v>46070</v>
      </c>
      <c r="O49" s="39">
        <f ca="1"/>
        <v>120.295</v>
      </c>
      <c r="P49" s="52">
        <f ca="1"/>
        <v>46099</v>
      </c>
      <c r="Q49" s="39">
        <f ca="1"/>
        <v>99.462000000000003</v>
      </c>
      <c r="R49" s="52">
        <f ca="1"/>
        <v>46072</v>
      </c>
      <c r="S49" s="39">
        <f ca="1"/>
        <v>402.1</v>
      </c>
      <c r="T49" s="52">
        <f t="shared" ca="1" si="0"/>
        <v>46070</v>
      </c>
      <c r="U49" s="97" t="str">
        <f t="shared" ca="1" si="1"/>
        <v/>
      </c>
    </row>
    <row r="50" spans="1:21" x14ac:dyDescent="0.25">
      <c r="A50" s="102" t="str">
        <f t="shared" ca="1" si="5"/>
        <v/>
      </c>
      <c r="B50" s="53" t="str">
        <f t="shared" ca="1" si="2"/>
        <v/>
      </c>
      <c r="C50" s="25" t="str">
        <f t="shared" ca="1" si="6"/>
        <v/>
      </c>
      <c r="D50" s="26" t="str">
        <f t="shared" ca="1" si="7"/>
        <v/>
      </c>
      <c r="E50" s="53" t="str">
        <f t="shared" ca="1" si="3"/>
        <v/>
      </c>
      <c r="F50" s="25" t="str">
        <f t="shared" ca="1" si="8"/>
        <v/>
      </c>
      <c r="G50" s="26" t="str">
        <f t="shared" ca="1" si="9"/>
        <v/>
      </c>
      <c r="H50" s="53" t="str">
        <f t="shared" ca="1" si="4"/>
        <v/>
      </c>
      <c r="I50" s="25" t="str">
        <f t="shared" ca="1" si="10"/>
        <v/>
      </c>
      <c r="J50" s="26"/>
      <c r="K50" s="114" t="str">
        <f ca="1">IF($A50="","",IF(COUNTIFS(Dividends!$J:$J,"&gt;"&amp;INT($A49),Dividends!$J:$J,"&lt;="&amp;INT($A50))=0,"",$G$4*SUMIFS(Dividends!$K:$K,Dividends!$J:$J,"&gt;"&amp;INT($A49),Dividends!$J:$J,"&lt;="&amp;INT($A50))))</f>
        <v/>
      </c>
      <c r="L50" s="55" t="str">
        <f ca="1">IF(ISERROR(B50-2),"",C50+D50-F50-G50+I50+J50+SUM($K$14:K50))</f>
        <v/>
      </c>
      <c r="N50" s="52">
        <f ca="1"/>
        <v>46071</v>
      </c>
      <c r="O50" s="39">
        <f ca="1"/>
        <v>120.33</v>
      </c>
      <c r="P50" s="52">
        <f ca="1"/>
        <v>46100</v>
      </c>
      <c r="Q50" s="39">
        <f ca="1"/>
        <v>99.13</v>
      </c>
      <c r="R50" s="52">
        <f ca="1"/>
        <v>46073</v>
      </c>
      <c r="S50" s="39">
        <f ca="1"/>
        <v>355.5</v>
      </c>
      <c r="T50" s="52">
        <f t="shared" ca="1" si="0"/>
        <v>46071</v>
      </c>
      <c r="U50" s="97" t="str">
        <f t="shared" ca="1" si="1"/>
        <v/>
      </c>
    </row>
    <row r="51" spans="1:21" x14ac:dyDescent="0.25">
      <c r="A51" s="102" t="str">
        <f t="shared" ca="1" si="5"/>
        <v/>
      </c>
      <c r="B51" s="53" t="str">
        <f t="shared" ca="1" si="2"/>
        <v/>
      </c>
      <c r="C51" s="25" t="str">
        <f t="shared" ca="1" si="6"/>
        <v/>
      </c>
      <c r="D51" s="26" t="str">
        <f t="shared" ca="1" si="7"/>
        <v/>
      </c>
      <c r="E51" s="53" t="str">
        <f t="shared" ca="1" si="3"/>
        <v/>
      </c>
      <c r="F51" s="25" t="str">
        <f t="shared" ca="1" si="8"/>
        <v/>
      </c>
      <c r="G51" s="26" t="str">
        <f t="shared" ca="1" si="9"/>
        <v/>
      </c>
      <c r="H51" s="53" t="str">
        <f t="shared" ca="1" si="4"/>
        <v/>
      </c>
      <c r="I51" s="25" t="str">
        <f t="shared" ca="1" si="10"/>
        <v/>
      </c>
      <c r="J51" s="26"/>
      <c r="K51" s="114" t="str">
        <f ca="1">IF($A51="","",IF(COUNTIFS(Dividends!$J:$J,"&gt;"&amp;INT($A50),Dividends!$J:$J,"&lt;="&amp;INT($A51))=0,"",$G$4*SUMIFS(Dividends!$K:$K,Dividends!$J:$J,"&gt;"&amp;INT($A50),Dividends!$J:$J,"&lt;="&amp;INT($A51))))</f>
        <v/>
      </c>
      <c r="L51" s="55" t="str">
        <f ca="1">IF(ISERROR(B51-2),"",C51+D51-F51-G51+I51+J51+SUM($K$14:K51))</f>
        <v/>
      </c>
      <c r="N51" s="52">
        <f ca="1"/>
        <v>46072</v>
      </c>
      <c r="O51" s="39">
        <f ca="1"/>
        <v>120.3</v>
      </c>
      <c r="P51" s="52">
        <f ca="1"/>
        <v>46101</v>
      </c>
      <c r="Q51" s="39">
        <f ca="1"/>
        <v>98.734999999999999</v>
      </c>
      <c r="R51" s="52">
        <f ca="1"/>
        <v>46076</v>
      </c>
      <c r="S51" s="39">
        <f ca="1"/>
        <v>365.1</v>
      </c>
      <c r="T51" s="52">
        <f t="shared" ca="1" si="0"/>
        <v>46072</v>
      </c>
      <c r="U51" s="97" t="str">
        <f t="shared" ca="1" si="1"/>
        <v/>
      </c>
    </row>
    <row r="52" spans="1:21" x14ac:dyDescent="0.25">
      <c r="A52" s="102" t="str">
        <f t="shared" ca="1" si="5"/>
        <v/>
      </c>
      <c r="B52" s="53" t="str">
        <f t="shared" ca="1" si="2"/>
        <v/>
      </c>
      <c r="C52" s="25" t="str">
        <f t="shared" ca="1" si="6"/>
        <v/>
      </c>
      <c r="D52" s="26" t="str">
        <f t="shared" ca="1" si="7"/>
        <v/>
      </c>
      <c r="E52" s="53" t="str">
        <f t="shared" ca="1" si="3"/>
        <v/>
      </c>
      <c r="F52" s="25" t="str">
        <f t="shared" ca="1" si="8"/>
        <v/>
      </c>
      <c r="G52" s="26" t="str">
        <f t="shared" ca="1" si="9"/>
        <v/>
      </c>
      <c r="H52" s="53" t="str">
        <f t="shared" ca="1" si="4"/>
        <v/>
      </c>
      <c r="I52" s="25" t="str">
        <f t="shared" ca="1" si="10"/>
        <v/>
      </c>
      <c r="J52" s="26"/>
      <c r="K52" s="114" t="str">
        <f ca="1">IF($A52="","",IF(COUNTIFS(Dividends!$J:$J,"&gt;"&amp;INT($A51),Dividends!$J:$J,"&lt;="&amp;INT($A52))=0,"",$G$4*SUMIFS(Dividends!$K:$K,Dividends!$J:$J,"&gt;"&amp;INT($A51),Dividends!$J:$J,"&lt;="&amp;INT($A52))))</f>
        <v/>
      </c>
      <c r="L52" s="55" t="str">
        <f ca="1">IF(ISERROR(B52-2),"",C52+D52-F52-G52+I52+J52+SUM($K$14:K52))</f>
        <v/>
      </c>
      <c r="N52" s="52">
        <f ca="1"/>
        <v>46073</v>
      </c>
      <c r="O52" s="39">
        <f ca="1"/>
        <v>120.36</v>
      </c>
      <c r="P52" s="52">
        <f ca="1"/>
        <v>46104</v>
      </c>
      <c r="Q52" s="39">
        <f ca="1"/>
        <v>99.009</v>
      </c>
      <c r="R52" s="52">
        <f ca="1"/>
        <v>46077</v>
      </c>
      <c r="S52" s="39">
        <f ca="1"/>
        <v>354.3</v>
      </c>
      <c r="T52" s="52">
        <f t="shared" ca="1" si="0"/>
        <v>46073</v>
      </c>
      <c r="U52" s="97" t="str">
        <f t="shared" ca="1" si="1"/>
        <v/>
      </c>
    </row>
    <row r="53" spans="1:21" x14ac:dyDescent="0.25">
      <c r="A53" s="102" t="str">
        <f t="shared" ca="1" si="5"/>
        <v/>
      </c>
      <c r="B53" s="53" t="str">
        <f t="shared" ca="1" si="2"/>
        <v/>
      </c>
      <c r="C53" s="25" t="str">
        <f t="shared" ca="1" si="6"/>
        <v/>
      </c>
      <c r="D53" s="26" t="str">
        <f t="shared" ca="1" si="7"/>
        <v/>
      </c>
      <c r="E53" s="53" t="str">
        <f t="shared" ca="1" si="3"/>
        <v/>
      </c>
      <c r="F53" s="25" t="str">
        <f t="shared" ca="1" si="8"/>
        <v/>
      </c>
      <c r="G53" s="26" t="str">
        <f t="shared" ca="1" si="9"/>
        <v/>
      </c>
      <c r="H53" s="53" t="str">
        <f t="shared" ca="1" si="4"/>
        <v/>
      </c>
      <c r="I53" s="25" t="str">
        <f t="shared" ca="1" si="10"/>
        <v/>
      </c>
      <c r="J53" s="26"/>
      <c r="K53" s="114" t="str">
        <f ca="1">IF($A53="","",IF(COUNTIFS(Dividends!$J:$J,"&gt;"&amp;INT($A52),Dividends!$J:$J,"&lt;="&amp;INT($A53))=0,"",$G$4*SUMIFS(Dividends!$K:$K,Dividends!$J:$J,"&gt;"&amp;INT($A52),Dividends!$J:$J,"&lt;="&amp;INT($A53))))</f>
        <v/>
      </c>
      <c r="L53" s="55" t="str">
        <f ca="1">IF(ISERROR(B53-2),"",C53+D53-F53-G53+I53+J53+SUM($K$14:K53))</f>
        <v/>
      </c>
      <c r="N53" s="52">
        <f ca="1"/>
        <v>46076</v>
      </c>
      <c r="O53" s="39">
        <f ca="1"/>
        <v>120.5</v>
      </c>
      <c r="P53" s="52">
        <f ca="1"/>
        <v>46105</v>
      </c>
      <c r="Q53" s="39">
        <f ca="1"/>
        <v>98.790999999999997</v>
      </c>
      <c r="R53" s="52">
        <f ca="1"/>
        <v>46078</v>
      </c>
      <c r="S53" s="39">
        <f ca="1"/>
        <v>327.60000000000002</v>
      </c>
      <c r="T53" s="52">
        <f t="shared" ca="1" si="0"/>
        <v>46076</v>
      </c>
      <c r="U53" s="97" t="str">
        <f t="shared" ca="1" si="1"/>
        <v/>
      </c>
    </row>
    <row r="54" spans="1:21" x14ac:dyDescent="0.25">
      <c r="A54" s="102" t="str">
        <f t="shared" ca="1" si="5"/>
        <v/>
      </c>
      <c r="B54" s="53" t="str">
        <f t="shared" ca="1" si="2"/>
        <v/>
      </c>
      <c r="C54" s="25" t="str">
        <f t="shared" ca="1" si="6"/>
        <v/>
      </c>
      <c r="D54" s="26" t="str">
        <f t="shared" ca="1" si="7"/>
        <v/>
      </c>
      <c r="E54" s="53" t="str">
        <f t="shared" ca="1" si="3"/>
        <v/>
      </c>
      <c r="F54" s="25" t="str">
        <f t="shared" ca="1" si="8"/>
        <v/>
      </c>
      <c r="G54" s="26" t="str">
        <f t="shared" ca="1" si="9"/>
        <v/>
      </c>
      <c r="H54" s="53" t="str">
        <f t="shared" ca="1" si="4"/>
        <v/>
      </c>
      <c r="I54" s="25" t="str">
        <f t="shared" ca="1" si="10"/>
        <v/>
      </c>
      <c r="J54" s="26"/>
      <c r="K54" s="114" t="str">
        <f ca="1">IF($A54="","",IF(COUNTIFS(Dividends!$J:$J,"&gt;"&amp;INT($A53),Dividends!$J:$J,"&lt;="&amp;INT($A54))=0,"",$G$4*SUMIFS(Dividends!$K:$K,Dividends!$J:$J,"&gt;"&amp;INT($A53),Dividends!$J:$J,"&lt;="&amp;INT($A54))))</f>
        <v/>
      </c>
      <c r="L54" s="55" t="str">
        <f ca="1">IF(ISERROR(B54-2),"",C54+D54-F54-G54+I54+J54+SUM($K$14:K54))</f>
        <v/>
      </c>
      <c r="N54" s="52">
        <f ca="1"/>
        <v>46077</v>
      </c>
      <c r="O54" s="39">
        <f ca="1"/>
        <v>120.45</v>
      </c>
      <c r="P54" s="52">
        <f ca="1"/>
        <v>46106</v>
      </c>
      <c r="Q54" s="39">
        <f ca="1"/>
        <v>99.094999999999999</v>
      </c>
      <c r="R54" s="52">
        <f ca="1"/>
        <v>46079</v>
      </c>
      <c r="S54" s="39">
        <f ca="1"/>
        <v>335.5</v>
      </c>
      <c r="T54" s="52">
        <f t="shared" ca="1" si="0"/>
        <v>46077</v>
      </c>
      <c r="U54" s="97" t="str">
        <f t="shared" ca="1" si="1"/>
        <v/>
      </c>
    </row>
    <row r="55" spans="1:21" x14ac:dyDescent="0.25">
      <c r="A55" s="102" t="str">
        <f t="shared" ca="1" si="5"/>
        <v/>
      </c>
      <c r="B55" s="53" t="str">
        <f t="shared" ca="1" si="2"/>
        <v/>
      </c>
      <c r="C55" s="25" t="str">
        <f t="shared" ca="1" si="6"/>
        <v/>
      </c>
      <c r="D55" s="26" t="str">
        <f t="shared" ca="1" si="7"/>
        <v/>
      </c>
      <c r="E55" s="53" t="str">
        <f t="shared" ca="1" si="3"/>
        <v/>
      </c>
      <c r="F55" s="25" t="str">
        <f t="shared" ca="1" si="8"/>
        <v/>
      </c>
      <c r="G55" s="26" t="str">
        <f t="shared" ca="1" si="9"/>
        <v/>
      </c>
      <c r="H55" s="53" t="str">
        <f t="shared" ca="1" si="4"/>
        <v/>
      </c>
      <c r="I55" s="25" t="str">
        <f t="shared" ca="1" si="10"/>
        <v/>
      </c>
      <c r="J55" s="26"/>
      <c r="K55" s="114" t="str">
        <f ca="1">IF($A55="","",IF(COUNTIFS(Dividends!$J:$J,"&gt;"&amp;INT($A54),Dividends!$J:$J,"&lt;="&amp;INT($A55))=0,"",$G$4*SUMIFS(Dividends!$K:$K,Dividends!$J:$J,"&gt;"&amp;INT($A54),Dividends!$J:$J,"&lt;="&amp;INT($A55))))</f>
        <v/>
      </c>
      <c r="L55" s="55" t="str">
        <f ca="1">IF(ISERROR(B55-2),"",C55+D55-F55-G55+I55+J55+SUM($K$14:K55))</f>
        <v/>
      </c>
      <c r="N55" s="52">
        <f ca="1"/>
        <v>46078</v>
      </c>
      <c r="O55" s="39">
        <f ca="1"/>
        <v>120.47</v>
      </c>
      <c r="P55" s="52">
        <f ca="1"/>
        <v>46107</v>
      </c>
      <c r="Q55" s="39">
        <f ca="1"/>
        <v>98.557000000000002</v>
      </c>
      <c r="R55" s="52">
        <f ca="1"/>
        <v>46080</v>
      </c>
      <c r="S55" s="39">
        <f ca="1"/>
        <v>343.9</v>
      </c>
      <c r="T55" s="52">
        <f t="shared" ca="1" si="0"/>
        <v>46078</v>
      </c>
      <c r="U55" s="97" t="str">
        <f t="shared" ca="1" si="1"/>
        <v/>
      </c>
    </row>
    <row r="56" spans="1:21" x14ac:dyDescent="0.25">
      <c r="A56" s="102" t="str">
        <f t="shared" ca="1" si="5"/>
        <v/>
      </c>
      <c r="B56" s="53" t="str">
        <f t="shared" ca="1" si="2"/>
        <v/>
      </c>
      <c r="C56" s="25" t="str">
        <f t="shared" ca="1" si="6"/>
        <v/>
      </c>
      <c r="D56" s="26" t="str">
        <f t="shared" ca="1" si="7"/>
        <v/>
      </c>
      <c r="E56" s="53" t="str">
        <f t="shared" ca="1" si="3"/>
        <v/>
      </c>
      <c r="F56" s="25" t="str">
        <f t="shared" ca="1" si="8"/>
        <v/>
      </c>
      <c r="G56" s="26" t="str">
        <f t="shared" ca="1" si="9"/>
        <v/>
      </c>
      <c r="H56" s="53" t="str">
        <f t="shared" ca="1" si="4"/>
        <v/>
      </c>
      <c r="I56" s="25" t="str">
        <f t="shared" ca="1" si="10"/>
        <v/>
      </c>
      <c r="J56" s="26"/>
      <c r="K56" s="114" t="str">
        <f ca="1">IF($A56="","",IF(COUNTIFS(Dividends!$J:$J,"&gt;"&amp;INT($A55),Dividends!$J:$J,"&lt;="&amp;INT($A56))=0,"",$G$4*SUMIFS(Dividends!$K:$K,Dividends!$J:$J,"&gt;"&amp;INT($A55),Dividends!$J:$J,"&lt;="&amp;INT($A56))))</f>
        <v/>
      </c>
      <c r="L56" s="55" t="str">
        <f ca="1">IF(ISERROR(B56-2),"",C56+D56-F56-G56+I56+J56+SUM($K$14:K56))</f>
        <v/>
      </c>
      <c r="N56" s="52">
        <f ca="1"/>
        <v>46079</v>
      </c>
      <c r="O56" s="39">
        <f ca="1"/>
        <v>120.47</v>
      </c>
      <c r="P56" s="52">
        <f ca="1"/>
        <v>46108</v>
      </c>
      <c r="Q56" s="39">
        <f ca="1"/>
        <v>98.56</v>
      </c>
      <c r="R56" s="52">
        <f ca="1"/>
        <v>46083</v>
      </c>
      <c r="S56" s="39">
        <f ca="1"/>
        <v>437.1</v>
      </c>
      <c r="T56" s="52">
        <f t="shared" ca="1" si="0"/>
        <v>46079</v>
      </c>
      <c r="U56" s="97" t="str">
        <f t="shared" ca="1" si="1"/>
        <v/>
      </c>
    </row>
    <row r="57" spans="1:21" x14ac:dyDescent="0.25">
      <c r="A57" s="102" t="str">
        <f t="shared" ca="1" si="5"/>
        <v/>
      </c>
      <c r="B57" s="53" t="str">
        <f t="shared" ca="1" si="2"/>
        <v/>
      </c>
      <c r="C57" s="25" t="str">
        <f t="shared" ca="1" si="6"/>
        <v/>
      </c>
      <c r="D57" s="26" t="str">
        <f t="shared" ca="1" si="7"/>
        <v/>
      </c>
      <c r="E57" s="53" t="str">
        <f t="shared" ca="1" si="3"/>
        <v/>
      </c>
      <c r="F57" s="25" t="str">
        <f t="shared" ca="1" si="8"/>
        <v/>
      </c>
      <c r="G57" s="26" t="str">
        <f t="shared" ca="1" si="9"/>
        <v/>
      </c>
      <c r="H57" s="53" t="str">
        <f t="shared" ca="1" si="4"/>
        <v/>
      </c>
      <c r="I57" s="25" t="str">
        <f t="shared" ca="1" si="10"/>
        <v/>
      </c>
      <c r="J57" s="26"/>
      <c r="K57" s="114" t="str">
        <f ca="1">IF($A57="","",IF(COUNTIFS(Dividends!$J:$J,"&gt;"&amp;INT($A56),Dividends!$J:$J,"&lt;="&amp;INT($A57))=0,"",$G$4*SUMIFS(Dividends!$K:$K,Dividends!$J:$J,"&gt;"&amp;INT($A56),Dividends!$J:$J,"&lt;="&amp;INT($A57))))</f>
        <v/>
      </c>
      <c r="L57" s="55" t="str">
        <f ca="1">IF(ISERROR(B57-2),"",C57+D57-F57-G57+I57+J57+SUM($K$14:K57))</f>
        <v/>
      </c>
      <c r="N57" s="52">
        <f ca="1"/>
        <v>46080</v>
      </c>
      <c r="O57" s="39">
        <f ca="1"/>
        <v>120.55</v>
      </c>
      <c r="P57" s="52">
        <f ca="1"/>
        <v>46111</v>
      </c>
      <c r="Q57" s="39">
        <f ca="1"/>
        <v>98.828000000000003</v>
      </c>
      <c r="R57" s="52">
        <f ca="1"/>
        <v>46084</v>
      </c>
      <c r="S57" s="39">
        <f ca="1"/>
        <v>604.70000000000005</v>
      </c>
      <c r="T57" s="52">
        <f t="shared" ca="1" si="0"/>
        <v>46080</v>
      </c>
      <c r="U57" s="97" t="str">
        <f t="shared" ca="1" si="1"/>
        <v/>
      </c>
    </row>
    <row r="58" spans="1:21" x14ac:dyDescent="0.25">
      <c r="A58" s="102" t="str">
        <f t="shared" ca="1" si="5"/>
        <v/>
      </c>
      <c r="B58" s="53" t="str">
        <f t="shared" ca="1" si="2"/>
        <v/>
      </c>
      <c r="C58" s="25" t="str">
        <f t="shared" ca="1" si="6"/>
        <v/>
      </c>
      <c r="D58" s="26" t="str">
        <f t="shared" ca="1" si="7"/>
        <v/>
      </c>
      <c r="E58" s="53" t="str">
        <f t="shared" ca="1" si="3"/>
        <v/>
      </c>
      <c r="F58" s="25" t="str">
        <f t="shared" ca="1" si="8"/>
        <v/>
      </c>
      <c r="G58" s="26" t="str">
        <f t="shared" ca="1" si="9"/>
        <v/>
      </c>
      <c r="H58" s="53" t="str">
        <f t="shared" ca="1" si="4"/>
        <v/>
      </c>
      <c r="I58" s="25" t="str">
        <f t="shared" ca="1" si="10"/>
        <v/>
      </c>
      <c r="J58" s="26"/>
      <c r="K58" s="114" t="str">
        <f ca="1">IF($A58="","",IF(COUNTIFS(Dividends!$J:$J,"&gt;"&amp;INT($A57),Dividends!$J:$J,"&lt;="&amp;INT($A58))=0,"",$G$4*SUMIFS(Dividends!$K:$K,Dividends!$J:$J,"&gt;"&amp;INT($A57),Dividends!$J:$J,"&lt;="&amp;INT($A58))))</f>
        <v/>
      </c>
      <c r="L58" s="55" t="str">
        <f ca="1">IF(ISERROR(B58-2),"",C58+D58-F58-G58+I58+J58+SUM($K$14:K58))</f>
        <v/>
      </c>
      <c r="N58" s="52">
        <f ca="1"/>
        <v>46083</v>
      </c>
      <c r="O58" s="39">
        <f ca="1"/>
        <v>120.12</v>
      </c>
      <c r="P58" s="52">
        <f ca="1"/>
        <v>46112</v>
      </c>
      <c r="Q58" s="39">
        <f ca="1"/>
        <v>98.938000000000002</v>
      </c>
      <c r="R58" s="52">
        <f ca="1"/>
        <v>46085</v>
      </c>
      <c r="S58" s="39">
        <f ca="1"/>
        <v>517.20000000000005</v>
      </c>
      <c r="T58" s="52">
        <f t="shared" ca="1" si="0"/>
        <v>46083</v>
      </c>
      <c r="U58" s="97" t="str">
        <f t="shared" ca="1" si="1"/>
        <v/>
      </c>
    </row>
    <row r="59" spans="1:21" x14ac:dyDescent="0.25">
      <c r="A59" s="102" t="str">
        <f t="shared" ca="1" si="5"/>
        <v/>
      </c>
      <c r="B59" s="53" t="str">
        <f t="shared" ca="1" si="2"/>
        <v/>
      </c>
      <c r="C59" s="25" t="str">
        <f t="shared" ca="1" si="6"/>
        <v/>
      </c>
      <c r="D59" s="26" t="str">
        <f t="shared" ca="1" si="7"/>
        <v/>
      </c>
      <c r="E59" s="53" t="str">
        <f t="shared" ca="1" si="3"/>
        <v/>
      </c>
      <c r="F59" s="25" t="str">
        <f t="shared" ca="1" si="8"/>
        <v/>
      </c>
      <c r="G59" s="26" t="str">
        <f t="shared" ca="1" si="9"/>
        <v/>
      </c>
      <c r="H59" s="53" t="str">
        <f t="shared" ca="1" si="4"/>
        <v/>
      </c>
      <c r="I59" s="25" t="str">
        <f t="shared" ca="1" si="10"/>
        <v/>
      </c>
      <c r="J59" s="26"/>
      <c r="K59" s="114" t="str">
        <f ca="1">IF($A59="","",IF(COUNTIFS(Dividends!$J:$J,"&gt;"&amp;INT($A58),Dividends!$J:$J,"&lt;="&amp;INT($A59))=0,"",$G$4*SUMIFS(Dividends!$K:$K,Dividends!$J:$J,"&gt;"&amp;INT($A58),Dividends!$J:$J,"&lt;="&amp;INT($A59))))</f>
        <v/>
      </c>
      <c r="L59" s="55" t="str">
        <f ca="1">IF(ISERROR(B59-2),"",C59+D59-F59-G59+I59+J59+SUM($K$14:K59))</f>
        <v/>
      </c>
      <c r="N59" s="52">
        <f ca="1"/>
        <v>46084</v>
      </c>
      <c r="O59" s="39">
        <f ca="1"/>
        <v>119.63</v>
      </c>
      <c r="P59" s="52">
        <f ca="1"/>
        <v>46113</v>
      </c>
      <c r="Q59" s="39">
        <f ca="1"/>
        <v>99.022000000000006</v>
      </c>
      <c r="R59" s="52">
        <f ca="1"/>
        <v>46086</v>
      </c>
      <c r="S59" s="39">
        <f ca="1"/>
        <v>603.5</v>
      </c>
      <c r="T59" s="52">
        <f t="shared" ca="1" si="0"/>
        <v>46084</v>
      </c>
      <c r="U59" s="97" t="str">
        <f t="shared" ca="1" si="1"/>
        <v/>
      </c>
    </row>
    <row r="60" spans="1:21" x14ac:dyDescent="0.25">
      <c r="A60" s="102" t="str">
        <f t="shared" ca="1" si="5"/>
        <v/>
      </c>
      <c r="B60" s="53" t="str">
        <f t="shared" ca="1" si="2"/>
        <v/>
      </c>
      <c r="C60" s="25" t="str">
        <f t="shared" ca="1" si="6"/>
        <v/>
      </c>
      <c r="D60" s="26" t="str">
        <f t="shared" ca="1" si="7"/>
        <v/>
      </c>
      <c r="E60" s="53" t="str">
        <f t="shared" ca="1" si="3"/>
        <v/>
      </c>
      <c r="F60" s="25" t="str">
        <f t="shared" ca="1" si="8"/>
        <v/>
      </c>
      <c r="G60" s="26" t="str">
        <f t="shared" ca="1" si="9"/>
        <v/>
      </c>
      <c r="H60" s="53" t="str">
        <f t="shared" ca="1" si="4"/>
        <v/>
      </c>
      <c r="I60" s="25" t="str">
        <f t="shared" ca="1" si="10"/>
        <v/>
      </c>
      <c r="J60" s="26"/>
      <c r="K60" s="114" t="str">
        <f ca="1">IF($A60="","",IF(COUNTIFS(Dividends!$J:$J,"&gt;"&amp;INT($A59),Dividends!$J:$J,"&lt;="&amp;INT($A60))=0,"",$G$4*SUMIFS(Dividends!$K:$K,Dividends!$J:$J,"&gt;"&amp;INT($A59),Dividends!$J:$J,"&lt;="&amp;INT($A60))))</f>
        <v/>
      </c>
      <c r="L60" s="55" t="str">
        <f ca="1">IF(ISERROR(B60-2),"",C60+D60-F60-G60+I60+J60+SUM($K$14:K60))</f>
        <v/>
      </c>
      <c r="N60" s="52">
        <f ca="1"/>
        <v>46085</v>
      </c>
      <c r="O60" s="39">
        <f ca="1"/>
        <v>120.12</v>
      </c>
      <c r="P60" s="52">
        <f ca="1"/>
        <v>46114</v>
      </c>
      <c r="Q60" s="39">
        <f ca="1"/>
        <v>99.025999999999996</v>
      </c>
      <c r="R60" s="52">
        <f ca="1"/>
        <v>46087</v>
      </c>
      <c r="S60" s="39">
        <f ca="1"/>
        <v>655.8</v>
      </c>
      <c r="T60" s="52">
        <f t="shared" ca="1" si="0"/>
        <v>46085</v>
      </c>
      <c r="U60" s="97" t="str">
        <f t="shared" ca="1" si="1"/>
        <v/>
      </c>
    </row>
    <row r="61" spans="1:21" x14ac:dyDescent="0.25">
      <c r="A61" s="102" t="str">
        <f t="shared" ca="1" si="5"/>
        <v/>
      </c>
      <c r="B61" s="53" t="str">
        <f t="shared" ca="1" si="2"/>
        <v/>
      </c>
      <c r="C61" s="25" t="str">
        <f t="shared" ca="1" si="6"/>
        <v/>
      </c>
      <c r="D61" s="26" t="str">
        <f t="shared" ca="1" si="7"/>
        <v/>
      </c>
      <c r="E61" s="53" t="str">
        <f t="shared" ca="1" si="3"/>
        <v/>
      </c>
      <c r="F61" s="25" t="str">
        <f t="shared" ca="1" si="8"/>
        <v/>
      </c>
      <c r="G61" s="26" t="str">
        <f t="shared" ca="1" si="9"/>
        <v/>
      </c>
      <c r="H61" s="53" t="str">
        <f t="shared" ca="1" si="4"/>
        <v/>
      </c>
      <c r="I61" s="25" t="str">
        <f t="shared" ca="1" si="10"/>
        <v/>
      </c>
      <c r="J61" s="26"/>
      <c r="K61" s="114" t="str">
        <f ca="1">IF($A61="","",IF(COUNTIFS(Dividends!$J:$J,"&gt;"&amp;INT($A60),Dividends!$J:$J,"&lt;="&amp;INT($A61))=0,"",$G$4*SUMIFS(Dividends!$K:$K,Dividends!$J:$J,"&gt;"&amp;INT($A60),Dividends!$J:$J,"&lt;="&amp;INT($A61))))</f>
        <v/>
      </c>
      <c r="L61" s="55" t="str">
        <f ca="1">IF(ISERROR(B61-2),"",C61+D61-F61-G61+I61+J61+SUM($K$14:K61))</f>
        <v/>
      </c>
      <c r="N61" s="52">
        <f ca="1"/>
        <v>46086</v>
      </c>
      <c r="O61" s="39">
        <f ca="1"/>
        <v>119.49</v>
      </c>
      <c r="P61" s="52">
        <f ca="1"/>
        <v>46115</v>
      </c>
      <c r="Q61" s="39">
        <f ca="1"/>
        <v>99.025999999999996</v>
      </c>
      <c r="R61" s="52">
        <f ca="1"/>
        <v>46090</v>
      </c>
      <c r="S61" s="39">
        <f ca="1"/>
        <v>674.7</v>
      </c>
      <c r="T61" s="52">
        <f t="shared" ca="1" si="0"/>
        <v>46086</v>
      </c>
      <c r="U61" s="97" t="str">
        <f t="shared" ca="1" si="1"/>
        <v/>
      </c>
    </row>
    <row r="62" spans="1:21" x14ac:dyDescent="0.25">
      <c r="A62" s="102" t="str">
        <f t="shared" ca="1" si="5"/>
        <v/>
      </c>
      <c r="B62" s="53" t="str">
        <f t="shared" ca="1" si="2"/>
        <v/>
      </c>
      <c r="C62" s="25" t="str">
        <f t="shared" ca="1" si="6"/>
        <v/>
      </c>
      <c r="D62" s="26" t="str">
        <f t="shared" ca="1" si="7"/>
        <v/>
      </c>
      <c r="E62" s="53" t="str">
        <f t="shared" ca="1" si="3"/>
        <v/>
      </c>
      <c r="F62" s="25" t="str">
        <f t="shared" ca="1" si="8"/>
        <v/>
      </c>
      <c r="G62" s="26" t="str">
        <f t="shared" ca="1" si="9"/>
        <v/>
      </c>
      <c r="H62" s="53" t="str">
        <f t="shared" ca="1" si="4"/>
        <v/>
      </c>
      <c r="I62" s="25" t="str">
        <f t="shared" ca="1" si="10"/>
        <v/>
      </c>
      <c r="J62" s="26"/>
      <c r="K62" s="114" t="str">
        <f ca="1">IF($A62="","",IF(COUNTIFS(Dividends!$J:$J,"&gt;"&amp;INT($A61),Dividends!$J:$J,"&lt;="&amp;INT($A62))=0,"",$G$4*SUMIFS(Dividends!$K:$K,Dividends!$J:$J,"&gt;"&amp;INT($A61),Dividends!$J:$J,"&lt;="&amp;INT($A62))))</f>
        <v/>
      </c>
      <c r="L62" s="55" t="str">
        <f ca="1">IF(ISERROR(B62-2),"",C62+D62-F62-G62+I62+J62+SUM($K$14:K62))</f>
        <v/>
      </c>
      <c r="N62" s="52">
        <f ca="1"/>
        <v>46087</v>
      </c>
      <c r="O62" s="39">
        <f ca="1"/>
        <v>119.12</v>
      </c>
      <c r="P62" s="52">
        <f ca="1"/>
        <v>46119</v>
      </c>
      <c r="Q62" s="39">
        <f ca="1"/>
        <v>98.528000000000006</v>
      </c>
      <c r="R62" s="52">
        <f ca="1"/>
        <v>46091</v>
      </c>
      <c r="S62" s="39">
        <f ca="1"/>
        <v>558.1</v>
      </c>
      <c r="T62" s="52">
        <f t="shared" ca="1" si="0"/>
        <v>46087</v>
      </c>
      <c r="U62" s="97" t="str">
        <f t="shared" ca="1" si="1"/>
        <v/>
      </c>
    </row>
    <row r="63" spans="1:21" x14ac:dyDescent="0.25">
      <c r="A63" s="102" t="str">
        <f t="shared" ca="1" si="5"/>
        <v/>
      </c>
      <c r="B63" s="53" t="str">
        <f t="shared" ca="1" si="2"/>
        <v/>
      </c>
      <c r="C63" s="25" t="str">
        <f t="shared" ca="1" si="6"/>
        <v/>
      </c>
      <c r="D63" s="26" t="str">
        <f t="shared" ca="1" si="7"/>
        <v/>
      </c>
      <c r="E63" s="53" t="str">
        <f t="shared" ca="1" si="3"/>
        <v/>
      </c>
      <c r="F63" s="25" t="str">
        <f t="shared" ca="1" si="8"/>
        <v/>
      </c>
      <c r="G63" s="26" t="str">
        <f t="shared" ca="1" si="9"/>
        <v/>
      </c>
      <c r="H63" s="53" t="str">
        <f t="shared" ca="1" si="4"/>
        <v/>
      </c>
      <c r="I63" s="25" t="str">
        <f t="shared" ca="1" si="10"/>
        <v/>
      </c>
      <c r="J63" s="26"/>
      <c r="K63" s="114" t="str">
        <f ca="1">IF($A63="","",IF(COUNTIFS(Dividends!$J:$J,"&gt;"&amp;INT($A62),Dividends!$J:$J,"&lt;="&amp;INT($A63))=0,"",$G$4*SUMIFS(Dividends!$K:$K,Dividends!$J:$J,"&gt;"&amp;INT($A62),Dividends!$J:$J,"&lt;="&amp;INT($A63))))</f>
        <v/>
      </c>
      <c r="L63" s="55" t="str">
        <f ca="1">IF(ISERROR(B63-2),"",C63+D63-F63-G63+I63+J63+SUM($K$14:K63))</f>
        <v/>
      </c>
      <c r="N63" s="52">
        <f ca="1"/>
        <v>46090</v>
      </c>
      <c r="O63" s="39">
        <f ca="1"/>
        <v>119.06</v>
      </c>
      <c r="P63" s="52">
        <f ca="1"/>
        <v>46120</v>
      </c>
      <c r="Q63" s="39">
        <f ca="1"/>
        <v>99.367000000000004</v>
      </c>
      <c r="R63" s="52">
        <f ca="1"/>
        <v>46092</v>
      </c>
      <c r="S63" s="39">
        <f ca="1"/>
        <v>607</v>
      </c>
      <c r="T63" s="52">
        <f t="shared" ca="1" si="0"/>
        <v>46090</v>
      </c>
      <c r="U63" s="97" t="str">
        <f t="shared" ca="1" si="1"/>
        <v/>
      </c>
    </row>
    <row r="64" spans="1:21" x14ac:dyDescent="0.25">
      <c r="A64" s="102" t="str">
        <f t="shared" ca="1" si="5"/>
        <v/>
      </c>
      <c r="B64" s="53" t="str">
        <f t="shared" ca="1" si="2"/>
        <v/>
      </c>
      <c r="C64" s="25" t="str">
        <f t="shared" ca="1" si="6"/>
        <v/>
      </c>
      <c r="D64" s="26" t="str">
        <f t="shared" ca="1" si="7"/>
        <v/>
      </c>
      <c r="E64" s="53" t="str">
        <f t="shared" ca="1" si="3"/>
        <v/>
      </c>
      <c r="F64" s="25" t="str">
        <f t="shared" ca="1" si="8"/>
        <v/>
      </c>
      <c r="G64" s="26" t="str">
        <f t="shared" ca="1" si="9"/>
        <v/>
      </c>
      <c r="H64" s="53" t="str">
        <f t="shared" ca="1" si="4"/>
        <v/>
      </c>
      <c r="I64" s="25" t="str">
        <f t="shared" ca="1" si="10"/>
        <v/>
      </c>
      <c r="J64" s="26"/>
      <c r="K64" s="114" t="str">
        <f ca="1">IF($A64="","",IF(COUNTIFS(Dividends!$J:$J,"&gt;"&amp;INT($A63),Dividends!$J:$J,"&lt;="&amp;INT($A64))=0,"",$G$4*SUMIFS(Dividends!$K:$K,Dividends!$J:$J,"&gt;"&amp;INT($A63),Dividends!$J:$J,"&lt;="&amp;INT($A64))))</f>
        <v/>
      </c>
      <c r="L64" s="55" t="str">
        <f ca="1">IF(ISERROR(B64-2),"",C64+D64-F64-G64+I64+J64+SUM($K$14:K64))</f>
        <v/>
      </c>
      <c r="N64" s="52">
        <f ca="1"/>
        <v>46091</v>
      </c>
      <c r="O64" s="39">
        <f ca="1"/>
        <v>119.55</v>
      </c>
      <c r="P64" s="52">
        <f ca="1"/>
        <v>46121</v>
      </c>
      <c r="Q64" s="39">
        <f ca="1"/>
        <v>99.204999999999998</v>
      </c>
      <c r="R64" s="52">
        <f ca="1"/>
        <v>46093</v>
      </c>
      <c r="S64" s="39">
        <f ca="1"/>
        <v>632.9</v>
      </c>
      <c r="T64" s="52">
        <f t="shared" ca="1" si="0"/>
        <v>46091</v>
      </c>
      <c r="U64" s="97" t="str">
        <f t="shared" ca="1" si="1"/>
        <v/>
      </c>
    </row>
    <row r="65" spans="1:21" x14ac:dyDescent="0.25">
      <c r="A65" s="102" t="str">
        <f t="shared" ca="1" si="5"/>
        <v/>
      </c>
      <c r="B65" s="53" t="str">
        <f t="shared" ca="1" si="2"/>
        <v/>
      </c>
      <c r="C65" s="25" t="str">
        <f t="shared" ca="1" si="6"/>
        <v/>
      </c>
      <c r="D65" s="26" t="str">
        <f t="shared" ca="1" si="7"/>
        <v/>
      </c>
      <c r="E65" s="53" t="str">
        <f t="shared" ca="1" si="3"/>
        <v/>
      </c>
      <c r="F65" s="25" t="str">
        <f t="shared" ca="1" si="8"/>
        <v/>
      </c>
      <c r="G65" s="26" t="str">
        <f t="shared" ca="1" si="9"/>
        <v/>
      </c>
      <c r="H65" s="53" t="str">
        <f t="shared" ca="1" si="4"/>
        <v/>
      </c>
      <c r="I65" s="25" t="str">
        <f t="shared" ca="1" si="10"/>
        <v/>
      </c>
      <c r="J65" s="26"/>
      <c r="K65" s="114" t="str">
        <f ca="1">IF($A65="","",IF(COUNTIFS(Dividends!$J:$J,"&gt;"&amp;INT($A64),Dividends!$J:$J,"&lt;="&amp;INT($A65))=0,"",$G$4*SUMIFS(Dividends!$K:$K,Dividends!$J:$J,"&gt;"&amp;INT($A64),Dividends!$J:$J,"&lt;="&amp;INT($A65))))</f>
        <v/>
      </c>
      <c r="L65" s="55" t="str">
        <f ca="1">IF(ISERROR(B65-2),"",C65+D65-F65-G65+I65+J65+SUM($K$14:K65))</f>
        <v/>
      </c>
      <c r="N65" s="52">
        <f ca="1"/>
        <v>46092</v>
      </c>
      <c r="O65" s="39">
        <f ca="1"/>
        <v>118.83</v>
      </c>
      <c r="P65" s="52">
        <f ca="1"/>
        <v>46122</v>
      </c>
      <c r="Q65" s="39">
        <f ca="1"/>
        <v>98.872</v>
      </c>
      <c r="R65" s="52">
        <f ca="1"/>
        <v>46094</v>
      </c>
      <c r="S65" s="39">
        <f ca="1"/>
        <v>656.6</v>
      </c>
      <c r="T65" s="52">
        <f t="shared" ca="1" si="0"/>
        <v>46092</v>
      </c>
      <c r="U65" s="97" t="str">
        <f t="shared" ca="1" si="1"/>
        <v/>
      </c>
    </row>
    <row r="66" spans="1:21" x14ac:dyDescent="0.25">
      <c r="A66" s="102" t="str">
        <f t="shared" ca="1" si="5"/>
        <v/>
      </c>
      <c r="B66" s="53" t="str">
        <f t="shared" ca="1" si="2"/>
        <v/>
      </c>
      <c r="C66" s="25" t="str">
        <f t="shared" ca="1" si="6"/>
        <v/>
      </c>
      <c r="D66" s="26" t="str">
        <f t="shared" ca="1" si="7"/>
        <v/>
      </c>
      <c r="E66" s="53" t="str">
        <f t="shared" ca="1" si="3"/>
        <v/>
      </c>
      <c r="F66" s="25" t="str">
        <f t="shared" ca="1" si="8"/>
        <v/>
      </c>
      <c r="G66" s="26" t="str">
        <f t="shared" ca="1" si="9"/>
        <v/>
      </c>
      <c r="H66" s="53" t="str">
        <f t="shared" ca="1" si="4"/>
        <v/>
      </c>
      <c r="I66" s="25" t="str">
        <f t="shared" ca="1" si="10"/>
        <v/>
      </c>
      <c r="J66" s="26"/>
      <c r="K66" s="114" t="str">
        <f ca="1">IF($A66="","",IF(COUNTIFS(Dividends!$J:$J,"&gt;"&amp;INT($A65),Dividends!$J:$J,"&lt;="&amp;INT($A66))=0,"",$G$4*SUMIFS(Dividends!$K:$K,Dividends!$J:$J,"&gt;"&amp;INT($A65),Dividends!$J:$J,"&lt;="&amp;INT($A66))))</f>
        <v/>
      </c>
      <c r="L66" s="55" t="str">
        <f ca="1">IF(ISERROR(B66-2),"",C66+D66-F66-G66+I66+J66+SUM($K$14:K66))</f>
        <v/>
      </c>
      <c r="N66" s="52">
        <f ca="1"/>
        <v>46093</v>
      </c>
      <c r="O66" s="39">
        <f ca="1"/>
        <v>118.5</v>
      </c>
      <c r="P66" s="52">
        <f ca="1"/>
        <v>46125</v>
      </c>
      <c r="Q66" s="39">
        <f ca="1"/>
        <v>98.673000000000002</v>
      </c>
      <c r="R66" s="52">
        <f ca="1"/>
        <v>46097</v>
      </c>
      <c r="S66" s="39">
        <f ca="1"/>
        <v>632.1</v>
      </c>
      <c r="T66" s="52">
        <f t="shared" ca="1" si="0"/>
        <v>46093</v>
      </c>
      <c r="U66" s="97" t="str">
        <f t="shared" ca="1" si="1"/>
        <v/>
      </c>
    </row>
    <row r="67" spans="1:21" x14ac:dyDescent="0.25">
      <c r="A67" s="102" t="str">
        <f t="shared" ca="1" si="5"/>
        <v/>
      </c>
      <c r="B67" s="53" t="str">
        <f t="shared" ca="1" si="2"/>
        <v/>
      </c>
      <c r="C67" s="25" t="str">
        <f t="shared" ca="1" si="6"/>
        <v/>
      </c>
      <c r="D67" s="26" t="str">
        <f t="shared" ca="1" si="7"/>
        <v/>
      </c>
      <c r="E67" s="53" t="str">
        <f t="shared" ca="1" si="3"/>
        <v/>
      </c>
      <c r="F67" s="25" t="str">
        <f t="shared" ca="1" si="8"/>
        <v/>
      </c>
      <c r="G67" s="26" t="str">
        <f t="shared" ca="1" si="9"/>
        <v/>
      </c>
      <c r="H67" s="53" t="str">
        <f t="shared" ca="1" si="4"/>
        <v/>
      </c>
      <c r="I67" s="25" t="str">
        <f t="shared" ca="1" si="10"/>
        <v/>
      </c>
      <c r="J67" s="26"/>
      <c r="K67" s="114" t="str">
        <f ca="1">IF($A67="","",IF(COUNTIFS(Dividends!$J:$J,"&gt;"&amp;INT($A66),Dividends!$J:$J,"&lt;="&amp;INT($A67))=0,"",$G$4*SUMIFS(Dividends!$K:$K,Dividends!$J:$J,"&gt;"&amp;INT($A66),Dividends!$J:$J,"&lt;="&amp;INT($A67))))</f>
        <v/>
      </c>
      <c r="L67" s="55" t="str">
        <f ca="1">IF(ISERROR(B67-2),"",C67+D67-F67-G67+I67+J67+SUM($K$14:K67))</f>
        <v/>
      </c>
      <c r="N67" s="52">
        <f ca="1"/>
        <v>46094</v>
      </c>
      <c r="O67" s="39">
        <f ca="1"/>
        <v>118.3</v>
      </c>
      <c r="P67" s="52">
        <f ca="1"/>
        <v>46126</v>
      </c>
      <c r="Q67" s="39">
        <f ca="1"/>
        <v>99.052000000000007</v>
      </c>
      <c r="R67" s="52">
        <f ca="1"/>
        <v>46098</v>
      </c>
      <c r="S67" s="39">
        <f ca="1"/>
        <v>608.29999999999995</v>
      </c>
      <c r="T67" s="52">
        <f t="shared" ref="T67:T130" ca="1" si="11">IF(COUNTIF(P:P,N67)*COUNTIF(R:R,N67),N67,"")</f>
        <v>46094</v>
      </c>
      <c r="U67" s="97" t="str">
        <f t="shared" ca="1" si="1"/>
        <v/>
      </c>
    </row>
    <row r="68" spans="1:21" x14ac:dyDescent="0.25">
      <c r="A68" s="102" t="str">
        <f t="shared" ca="1" si="5"/>
        <v/>
      </c>
      <c r="B68" s="53" t="str">
        <f t="shared" ca="1" si="2"/>
        <v/>
      </c>
      <c r="C68" s="25" t="str">
        <f t="shared" ca="1" si="6"/>
        <v/>
      </c>
      <c r="D68" s="26" t="str">
        <f t="shared" ca="1" si="7"/>
        <v/>
      </c>
      <c r="E68" s="53" t="str">
        <f t="shared" ca="1" si="3"/>
        <v/>
      </c>
      <c r="F68" s="25" t="str">
        <f t="shared" ca="1" si="8"/>
        <v/>
      </c>
      <c r="G68" s="26" t="str">
        <f t="shared" ca="1" si="9"/>
        <v/>
      </c>
      <c r="H68" s="53" t="str">
        <f t="shared" ca="1" si="4"/>
        <v/>
      </c>
      <c r="I68" s="25" t="str">
        <f t="shared" ca="1" si="10"/>
        <v/>
      </c>
      <c r="J68" s="26"/>
      <c r="K68" s="114" t="str">
        <f ca="1">IF($A68="","",IF(COUNTIFS(Dividends!$J:$J,"&gt;"&amp;INT($A67),Dividends!$J:$J,"&lt;="&amp;INT($A68))=0,"",$G$4*SUMIFS(Dividends!$K:$K,Dividends!$J:$J,"&gt;"&amp;INT($A67),Dividends!$J:$J,"&lt;="&amp;INT($A68))))</f>
        <v/>
      </c>
      <c r="L68" s="55" t="str">
        <f ca="1">IF(ISERROR(B68-2),"",C68+D68-F68-G68+I68+J68+SUM($K$14:K68))</f>
        <v/>
      </c>
      <c r="N68" s="52">
        <f ca="1"/>
        <v>46097</v>
      </c>
      <c r="O68" s="39">
        <f ca="1"/>
        <v>118.49</v>
      </c>
      <c r="P68" s="52">
        <f ca="1"/>
        <v>46127</v>
      </c>
      <c r="Q68" s="39">
        <f ca="1"/>
        <v>98.992999999999995</v>
      </c>
      <c r="R68" s="52">
        <f ca="1"/>
        <v>46099</v>
      </c>
      <c r="S68" s="39">
        <f ca="1"/>
        <v>632.1</v>
      </c>
      <c r="T68" s="52">
        <f t="shared" ca="1" si="11"/>
        <v>46097</v>
      </c>
      <c r="U68" s="97" t="str">
        <f t="shared" ref="U68:U131" ca="1" si="12">IF(T68&gt;=$A$14,T68,"")</f>
        <v/>
      </c>
    </row>
    <row r="69" spans="1:21" x14ac:dyDescent="0.25">
      <c r="A69" s="102" t="str">
        <f t="shared" ca="1" si="5"/>
        <v/>
      </c>
      <c r="B69" s="53" t="str">
        <f t="shared" ca="1" si="2"/>
        <v/>
      </c>
      <c r="C69" s="25" t="str">
        <f t="shared" ca="1" si="6"/>
        <v/>
      </c>
      <c r="D69" s="26" t="str">
        <f t="shared" ca="1" si="7"/>
        <v/>
      </c>
      <c r="E69" s="53" t="str">
        <f t="shared" ca="1" si="3"/>
        <v/>
      </c>
      <c r="F69" s="25" t="str">
        <f t="shared" ca="1" si="8"/>
        <v/>
      </c>
      <c r="G69" s="26" t="str">
        <f t="shared" ca="1" si="9"/>
        <v/>
      </c>
      <c r="H69" s="53" t="str">
        <f t="shared" ca="1" si="4"/>
        <v/>
      </c>
      <c r="I69" s="25" t="str">
        <f t="shared" ca="1" si="10"/>
        <v/>
      </c>
      <c r="J69" s="26"/>
      <c r="K69" s="114" t="str">
        <f ca="1">IF($A69="","",IF(COUNTIFS(Dividends!$J:$J,"&gt;"&amp;INT($A68),Dividends!$J:$J,"&lt;="&amp;INT($A69))=0,"",$G$4*SUMIFS(Dividends!$K:$K,Dividends!$J:$J,"&gt;"&amp;INT($A68),Dividends!$J:$J,"&lt;="&amp;INT($A69))))</f>
        <v/>
      </c>
      <c r="L69" s="55" t="str">
        <f ca="1">IF(ISERROR(B69-2),"",C69+D69-F69-G69+I69+J69+SUM($K$14:K69))</f>
        <v/>
      </c>
      <c r="N69" s="52">
        <f ca="1"/>
        <v>46098</v>
      </c>
      <c r="O69" s="39">
        <f ca="1"/>
        <v>118.86</v>
      </c>
      <c r="P69" s="52">
        <f ca="1"/>
        <v>46128</v>
      </c>
      <c r="Q69" s="39">
        <f ca="1"/>
        <v>99.084000000000003</v>
      </c>
      <c r="R69" s="52">
        <f ca="1"/>
        <v>46100</v>
      </c>
      <c r="S69" s="39">
        <f ca="1"/>
        <v>737.8</v>
      </c>
      <c r="T69" s="52">
        <f t="shared" ca="1" si="11"/>
        <v>46098</v>
      </c>
      <c r="U69" s="97" t="str">
        <f t="shared" ca="1" si="12"/>
        <v/>
      </c>
    </row>
    <row r="70" spans="1:21" x14ac:dyDescent="0.25">
      <c r="A70" s="102" t="str">
        <f t="shared" ca="1" si="5"/>
        <v/>
      </c>
      <c r="B70" s="53" t="str">
        <f t="shared" ca="1" si="2"/>
        <v/>
      </c>
      <c r="C70" s="25" t="str">
        <f t="shared" ca="1" si="6"/>
        <v/>
      </c>
      <c r="D70" s="26" t="str">
        <f t="shared" ca="1" si="7"/>
        <v/>
      </c>
      <c r="E70" s="53" t="str">
        <f t="shared" ca="1" si="3"/>
        <v/>
      </c>
      <c r="F70" s="25" t="str">
        <f t="shared" ca="1" si="8"/>
        <v/>
      </c>
      <c r="G70" s="26" t="str">
        <f t="shared" ca="1" si="9"/>
        <v/>
      </c>
      <c r="H70" s="53" t="str">
        <f t="shared" ca="1" si="4"/>
        <v/>
      </c>
      <c r="I70" s="25" t="str">
        <f t="shared" ca="1" si="10"/>
        <v/>
      </c>
      <c r="J70" s="26"/>
      <c r="K70" s="114" t="str">
        <f ca="1">IF($A70="","",IF(COUNTIFS(Dividends!$J:$J,"&gt;"&amp;INT($A69),Dividends!$J:$J,"&lt;="&amp;INT($A70))=0,"",$G$4*SUMIFS(Dividends!$K:$K,Dividends!$J:$J,"&gt;"&amp;INT($A69),Dividends!$J:$J,"&lt;="&amp;INT($A70))))</f>
        <v/>
      </c>
      <c r="L70" s="55" t="str">
        <f ca="1">IF(ISERROR(B70-2),"",C70+D70-F70-G70+I70+J70+SUM($K$14:K70))</f>
        <v/>
      </c>
      <c r="N70" s="52">
        <f ca="1"/>
        <v>46099</v>
      </c>
      <c r="O70" s="39">
        <f ca="1"/>
        <v>118.68</v>
      </c>
      <c r="P70" s="52">
        <f ca="1"/>
        <v>46129</v>
      </c>
      <c r="Q70" s="39">
        <f ca="1"/>
        <v>99.477000000000004</v>
      </c>
      <c r="R70" s="52">
        <f ca="1"/>
        <v>46101</v>
      </c>
      <c r="S70" s="39">
        <f ca="1"/>
        <v>830.1</v>
      </c>
      <c r="T70" s="52">
        <f t="shared" ca="1" si="11"/>
        <v>46099</v>
      </c>
      <c r="U70" s="97" t="str">
        <f t="shared" ca="1" si="12"/>
        <v/>
      </c>
    </row>
    <row r="71" spans="1:21" x14ac:dyDescent="0.25">
      <c r="A71" s="102" t="str">
        <f t="shared" ca="1" si="5"/>
        <v/>
      </c>
      <c r="B71" s="53" t="str">
        <f t="shared" ca="1" si="2"/>
        <v/>
      </c>
      <c r="C71" s="25" t="str">
        <f t="shared" ca="1" si="6"/>
        <v/>
      </c>
      <c r="D71" s="26" t="str">
        <f t="shared" ca="1" si="7"/>
        <v/>
      </c>
      <c r="E71" s="53" t="str">
        <f t="shared" ca="1" si="3"/>
        <v/>
      </c>
      <c r="F71" s="25" t="str">
        <f t="shared" ca="1" si="8"/>
        <v/>
      </c>
      <c r="G71" s="26" t="str">
        <f t="shared" ca="1" si="9"/>
        <v/>
      </c>
      <c r="H71" s="53" t="str">
        <f t="shared" ca="1" si="4"/>
        <v/>
      </c>
      <c r="I71" s="25" t="str">
        <f t="shared" ca="1" si="10"/>
        <v/>
      </c>
      <c r="J71" s="26"/>
      <c r="K71" s="114" t="str">
        <f ca="1">IF($A71="","",IF(COUNTIFS(Dividends!$J:$J,"&gt;"&amp;INT($A70),Dividends!$J:$J,"&lt;="&amp;INT($A71))=0,"",$G$4*SUMIFS(Dividends!$K:$K,Dividends!$J:$J,"&gt;"&amp;INT($A70),Dividends!$J:$J,"&lt;="&amp;INT($A71))))</f>
        <v/>
      </c>
      <c r="L71" s="55" t="str">
        <f ca="1">IF(ISERROR(B71-2),"",C71+D71-F71-G71+I71+J71+SUM($K$14:K71))</f>
        <v/>
      </c>
      <c r="N71" s="52">
        <f ca="1"/>
        <v>46100</v>
      </c>
      <c r="O71" s="39">
        <f ca="1"/>
        <v>118.33</v>
      </c>
      <c r="P71" s="52">
        <f ca="1"/>
        <v>46132</v>
      </c>
      <c r="Q71" s="39">
        <f ca="1"/>
        <v>99.364000000000004</v>
      </c>
      <c r="R71" s="52">
        <f ca="1"/>
        <v>46104</v>
      </c>
      <c r="S71" s="39">
        <f ca="1"/>
        <v>778.9</v>
      </c>
      <c r="T71" s="52">
        <f t="shared" ca="1" si="11"/>
        <v>46100</v>
      </c>
      <c r="U71" s="97" t="str">
        <f t="shared" ca="1" si="12"/>
        <v/>
      </c>
    </row>
    <row r="72" spans="1:21" x14ac:dyDescent="0.25">
      <c r="A72" s="102" t="str">
        <f t="shared" ca="1" si="5"/>
        <v/>
      </c>
      <c r="B72" s="53" t="str">
        <f t="shared" ca="1" si="2"/>
        <v/>
      </c>
      <c r="C72" s="25" t="str">
        <f t="shared" ca="1" si="6"/>
        <v/>
      </c>
      <c r="D72" s="26" t="str">
        <f t="shared" ca="1" si="7"/>
        <v/>
      </c>
      <c r="E72" s="53" t="str">
        <f t="shared" ca="1" si="3"/>
        <v/>
      </c>
      <c r="F72" s="25" t="str">
        <f t="shared" ca="1" si="8"/>
        <v/>
      </c>
      <c r="G72" s="26" t="str">
        <f t="shared" ca="1" si="9"/>
        <v/>
      </c>
      <c r="H72" s="53" t="str">
        <f t="shared" ca="1" si="4"/>
        <v/>
      </c>
      <c r="I72" s="25" t="str">
        <f t="shared" ca="1" si="10"/>
        <v/>
      </c>
      <c r="J72" s="26"/>
      <c r="K72" s="114" t="str">
        <f ca="1">IF($A72="","",IF(COUNTIFS(Dividends!$J:$J,"&gt;"&amp;INT($A71),Dividends!$J:$J,"&lt;="&amp;INT($A72))=0,"",$G$4*SUMIFS(Dividends!$K:$K,Dividends!$J:$J,"&gt;"&amp;INT($A71),Dividends!$J:$J,"&lt;="&amp;INT($A72))))</f>
        <v/>
      </c>
      <c r="L72" s="55" t="str">
        <f ca="1">IF(ISERROR(B72-2),"",C72+D72-F72-G72+I72+J72+SUM($K$14:K72))</f>
        <v/>
      </c>
      <c r="N72" s="52">
        <f ca="1"/>
        <v>46101</v>
      </c>
      <c r="O72" s="39">
        <f ca="1"/>
        <v>117.63</v>
      </c>
      <c r="P72" s="52">
        <f ca="1"/>
        <v>46133</v>
      </c>
      <c r="Q72" s="39">
        <f ca="1"/>
        <v>99.168000000000006</v>
      </c>
      <c r="R72" s="52">
        <f ca="1"/>
        <v>46105</v>
      </c>
      <c r="S72" s="39">
        <f ca="1"/>
        <v>762.4</v>
      </c>
      <c r="T72" s="52">
        <f t="shared" ca="1" si="11"/>
        <v>46101</v>
      </c>
      <c r="U72" s="97" t="str">
        <f t="shared" ca="1" si="12"/>
        <v/>
      </c>
    </row>
    <row r="73" spans="1:21" x14ac:dyDescent="0.25">
      <c r="A73" s="102" t="str">
        <f t="shared" ca="1" si="5"/>
        <v/>
      </c>
      <c r="B73" s="53" t="str">
        <f t="shared" ca="1" si="2"/>
        <v/>
      </c>
      <c r="C73" s="25" t="str">
        <f t="shared" ca="1" si="6"/>
        <v/>
      </c>
      <c r="D73" s="26" t="str">
        <f t="shared" ca="1" si="7"/>
        <v/>
      </c>
      <c r="E73" s="53" t="str">
        <f t="shared" ca="1" si="3"/>
        <v/>
      </c>
      <c r="F73" s="25" t="str">
        <f t="shared" ca="1" si="8"/>
        <v/>
      </c>
      <c r="G73" s="26" t="str">
        <f t="shared" ca="1" si="9"/>
        <v/>
      </c>
      <c r="H73" s="53" t="str">
        <f t="shared" ca="1" si="4"/>
        <v/>
      </c>
      <c r="I73" s="25" t="str">
        <f t="shared" ca="1" si="10"/>
        <v/>
      </c>
      <c r="J73" s="26"/>
      <c r="K73" s="114" t="str">
        <f ca="1">IF($A73="","",IF(COUNTIFS(Dividends!$J:$J,"&gt;"&amp;INT($A72),Dividends!$J:$J,"&lt;="&amp;INT($A73))=0,"",$G$4*SUMIFS(Dividends!$K:$K,Dividends!$J:$J,"&gt;"&amp;INT($A72),Dividends!$J:$J,"&lt;="&amp;INT($A73))))</f>
        <v/>
      </c>
      <c r="L73" s="55" t="str">
        <f ca="1">IF(ISERROR(B73-2),"",C73+D73-F73-G73+I73+J73+SUM($K$14:K73))</f>
        <v/>
      </c>
      <c r="N73" s="52">
        <f ca="1"/>
        <v>46104</v>
      </c>
      <c r="O73" s="39">
        <f ca="1"/>
        <v>117.89</v>
      </c>
      <c r="P73" s="52">
        <f ca="1"/>
        <v>46134</v>
      </c>
      <c r="Q73" s="39">
        <f ca="1"/>
        <v>99.072000000000003</v>
      </c>
      <c r="R73" s="52">
        <f ca="1"/>
        <v>46106</v>
      </c>
      <c r="S73" s="39">
        <f ca="1"/>
        <v>715.9</v>
      </c>
      <c r="T73" s="52">
        <f t="shared" ca="1" si="11"/>
        <v>46104</v>
      </c>
      <c r="U73" s="97" t="str">
        <f t="shared" ca="1" si="12"/>
        <v/>
      </c>
    </row>
    <row r="74" spans="1:21" x14ac:dyDescent="0.25">
      <c r="A74" s="102" t="str">
        <f t="shared" ca="1" si="5"/>
        <v/>
      </c>
      <c r="B74" s="53" t="str">
        <f t="shared" ca="1" si="2"/>
        <v/>
      </c>
      <c r="C74" s="25" t="str">
        <f t="shared" ca="1" si="6"/>
        <v/>
      </c>
      <c r="D74" s="26" t="str">
        <f t="shared" ca="1" si="7"/>
        <v/>
      </c>
      <c r="E74" s="53" t="str">
        <f t="shared" ca="1" si="3"/>
        <v/>
      </c>
      <c r="F74" s="25" t="str">
        <f t="shared" ca="1" si="8"/>
        <v/>
      </c>
      <c r="G74" s="26" t="str">
        <f t="shared" ca="1" si="9"/>
        <v/>
      </c>
      <c r="H74" s="53" t="str">
        <f t="shared" ca="1" si="4"/>
        <v/>
      </c>
      <c r="I74" s="25" t="str">
        <f t="shared" ca="1" si="10"/>
        <v/>
      </c>
      <c r="J74" s="26"/>
      <c r="K74" s="114" t="str">
        <f ca="1">IF($A74="","",IF(COUNTIFS(Dividends!$J:$J,"&gt;"&amp;INT($A73),Dividends!$J:$J,"&lt;="&amp;INT($A74))=0,"",$G$4*SUMIFS(Dividends!$K:$K,Dividends!$J:$J,"&gt;"&amp;INT($A73),Dividends!$J:$J,"&lt;="&amp;INT($A74))))</f>
        <v/>
      </c>
      <c r="L74" s="55" t="str">
        <f ca="1">IF(ISERROR(B74-2),"",C74+D74-F74-G74+I74+J74+SUM($K$14:K74))</f>
        <v/>
      </c>
      <c r="N74" s="52">
        <f ca="1"/>
        <v>46105</v>
      </c>
      <c r="O74" s="39">
        <f ca="1"/>
        <v>117.76</v>
      </c>
      <c r="P74" s="52">
        <f ca="1"/>
        <v>46135</v>
      </c>
      <c r="Q74" s="39">
        <f ca="1"/>
        <v>99.043999999999997</v>
      </c>
      <c r="R74" s="52">
        <f ca="1"/>
        <v>46107</v>
      </c>
      <c r="S74" s="39">
        <f ca="1"/>
        <v>784.8</v>
      </c>
      <c r="T74" s="52">
        <f t="shared" ca="1" si="11"/>
        <v>46105</v>
      </c>
      <c r="U74" s="97" t="str">
        <f t="shared" ca="1" si="12"/>
        <v/>
      </c>
    </row>
    <row r="75" spans="1:21" x14ac:dyDescent="0.25">
      <c r="A75" s="102" t="str">
        <f t="shared" ca="1" si="5"/>
        <v/>
      </c>
      <c r="B75" s="53" t="str">
        <f t="shared" ca="1" si="2"/>
        <v/>
      </c>
      <c r="C75" s="25" t="str">
        <f t="shared" ca="1" si="6"/>
        <v/>
      </c>
      <c r="D75" s="26" t="str">
        <f t="shared" ca="1" si="7"/>
        <v/>
      </c>
      <c r="E75" s="53" t="str">
        <f t="shared" ca="1" si="3"/>
        <v/>
      </c>
      <c r="F75" s="25" t="str">
        <f t="shared" ca="1" si="8"/>
        <v/>
      </c>
      <c r="G75" s="26" t="str">
        <f t="shared" ca="1" si="9"/>
        <v/>
      </c>
      <c r="H75" s="53" t="str">
        <f t="shared" ca="1" si="4"/>
        <v/>
      </c>
      <c r="I75" s="25" t="str">
        <f t="shared" ca="1" si="10"/>
        <v/>
      </c>
      <c r="J75" s="26"/>
      <c r="K75" s="114" t="str">
        <f ca="1">IF($A75="","",IF(COUNTIFS(Dividends!$J:$J,"&gt;"&amp;INT($A74),Dividends!$J:$J,"&lt;="&amp;INT($A75))=0,"",$G$4*SUMIFS(Dividends!$K:$K,Dividends!$J:$J,"&gt;"&amp;INT($A74),Dividends!$J:$J,"&lt;="&amp;INT($A75))))</f>
        <v/>
      </c>
      <c r="L75" s="55" t="str">
        <f ca="1">IF(ISERROR(B75-2),"",C75+D75-F75-G75+I75+J75+SUM($K$14:K75))</f>
        <v/>
      </c>
      <c r="N75" s="52">
        <f ca="1"/>
        <v>46106</v>
      </c>
      <c r="O75" s="39">
        <f ca="1"/>
        <v>118.26</v>
      </c>
      <c r="P75" s="52">
        <f ca="1"/>
        <v>46136</v>
      </c>
      <c r="Q75" s="39">
        <f ca="1"/>
        <v>99.138999999999996</v>
      </c>
      <c r="R75" s="52">
        <f ca="1"/>
        <v>46108</v>
      </c>
      <c r="S75" s="39">
        <f ca="1"/>
        <v>833.9</v>
      </c>
      <c r="T75" s="52">
        <f t="shared" ca="1" si="11"/>
        <v>46106</v>
      </c>
      <c r="U75" s="97" t="str">
        <f t="shared" ca="1" si="12"/>
        <v/>
      </c>
    </row>
    <row r="76" spans="1:21" x14ac:dyDescent="0.25">
      <c r="A76" s="102" t="str">
        <f t="shared" ca="1" si="5"/>
        <v/>
      </c>
      <c r="B76" s="53" t="str">
        <f t="shared" ca="1" si="2"/>
        <v/>
      </c>
      <c r="C76" s="25" t="str">
        <f t="shared" ca="1" si="6"/>
        <v/>
      </c>
      <c r="D76" s="26" t="str">
        <f t="shared" ca="1" si="7"/>
        <v/>
      </c>
      <c r="E76" s="53" t="str">
        <f t="shared" ca="1" si="3"/>
        <v/>
      </c>
      <c r="F76" s="25" t="str">
        <f t="shared" ca="1" si="8"/>
        <v/>
      </c>
      <c r="G76" s="26" t="str">
        <f t="shared" ca="1" si="9"/>
        <v/>
      </c>
      <c r="H76" s="53" t="str">
        <f t="shared" ca="1" si="4"/>
        <v/>
      </c>
      <c r="I76" s="25" t="str">
        <f t="shared" ca="1" si="10"/>
        <v/>
      </c>
      <c r="J76" s="26"/>
      <c r="K76" s="114" t="str">
        <f ca="1">IF($A76="","",IF(COUNTIFS(Dividends!$J:$J,"&gt;"&amp;INT($A75),Dividends!$J:$J,"&lt;="&amp;INT($A76))=0,"",$G$4*SUMIFS(Dividends!$K:$K,Dividends!$J:$J,"&gt;"&amp;INT($A75),Dividends!$J:$J,"&lt;="&amp;INT($A76))))</f>
        <v/>
      </c>
      <c r="L76" s="55" t="str">
        <f ca="1">IF(ISERROR(B76-2),"",C76+D76-F76-G76+I76+J76+SUM($K$14:K76))</f>
        <v/>
      </c>
      <c r="N76" s="52">
        <f ca="1"/>
        <v>46107</v>
      </c>
      <c r="O76" s="39">
        <f ca="1"/>
        <v>117.55</v>
      </c>
      <c r="P76" s="52">
        <f ca="1"/>
        <v>46139</v>
      </c>
      <c r="Q76" s="39">
        <f ca="1"/>
        <v>98.983000000000004</v>
      </c>
      <c r="R76" s="52">
        <f ca="1"/>
        <v>46111</v>
      </c>
      <c r="S76" s="39">
        <f ca="1"/>
        <v>814</v>
      </c>
      <c r="T76" s="52">
        <f t="shared" ca="1" si="11"/>
        <v>46107</v>
      </c>
      <c r="U76" s="97" t="str">
        <f t="shared" ca="1" si="12"/>
        <v/>
      </c>
    </row>
    <row r="77" spans="1:21" x14ac:dyDescent="0.25">
      <c r="A77" s="102" t="str">
        <f t="shared" ca="1" si="5"/>
        <v/>
      </c>
      <c r="B77" s="53" t="str">
        <f t="shared" ca="1" si="2"/>
        <v/>
      </c>
      <c r="C77" s="25" t="str">
        <f t="shared" ca="1" si="6"/>
        <v/>
      </c>
      <c r="D77" s="26" t="str">
        <f t="shared" ca="1" si="7"/>
        <v/>
      </c>
      <c r="E77" s="53" t="str">
        <f t="shared" ca="1" si="3"/>
        <v/>
      </c>
      <c r="F77" s="25" t="str">
        <f t="shared" ca="1" si="8"/>
        <v/>
      </c>
      <c r="G77" s="26" t="str">
        <f t="shared" ca="1" si="9"/>
        <v/>
      </c>
      <c r="H77" s="53" t="str">
        <f t="shared" ca="1" si="4"/>
        <v/>
      </c>
      <c r="I77" s="25" t="str">
        <f t="shared" ca="1" si="10"/>
        <v/>
      </c>
      <c r="J77" s="26"/>
      <c r="K77" s="114" t="str">
        <f ca="1">IF($A77="","",IF(COUNTIFS(Dividends!$J:$J,"&gt;"&amp;INT($A76),Dividends!$J:$J,"&lt;="&amp;INT($A77))=0,"",$G$4*SUMIFS(Dividends!$K:$K,Dividends!$J:$J,"&gt;"&amp;INT($A76),Dividends!$J:$J,"&lt;="&amp;INT($A77))))</f>
        <v/>
      </c>
      <c r="L77" s="55" t="str">
        <f ca="1">IF(ISERROR(B77-2),"",C77+D77-F77-G77+I77+J77+SUM($K$14:K77))</f>
        <v/>
      </c>
      <c r="N77" s="52">
        <f ca="1"/>
        <v>46108</v>
      </c>
      <c r="O77" s="39">
        <f ca="1"/>
        <v>117.4</v>
      </c>
      <c r="P77" s="52">
        <f ca="1"/>
        <v>46140</v>
      </c>
      <c r="Q77" s="39">
        <f ca="1"/>
        <v>98.757999999999996</v>
      </c>
      <c r="R77" s="52">
        <f ca="1"/>
        <v>46112</v>
      </c>
      <c r="S77" s="39">
        <f ca="1"/>
        <v>779</v>
      </c>
      <c r="T77" s="52">
        <f t="shared" ca="1" si="11"/>
        <v>46108</v>
      </c>
      <c r="U77" s="97" t="str">
        <f t="shared" ca="1" si="12"/>
        <v/>
      </c>
    </row>
    <row r="78" spans="1:21" x14ac:dyDescent="0.25">
      <c r="A78" s="102" t="str">
        <f t="shared" ca="1" si="5"/>
        <v/>
      </c>
      <c r="B78" s="53" t="str">
        <f t="shared" ca="1" si="2"/>
        <v/>
      </c>
      <c r="C78" s="25" t="str">
        <f t="shared" ca="1" si="6"/>
        <v/>
      </c>
      <c r="D78" s="26" t="str">
        <f t="shared" ca="1" si="7"/>
        <v/>
      </c>
      <c r="E78" s="53" t="str">
        <f t="shared" ca="1" si="3"/>
        <v/>
      </c>
      <c r="F78" s="25" t="str">
        <f t="shared" ca="1" si="8"/>
        <v/>
      </c>
      <c r="G78" s="26" t="str">
        <f t="shared" ca="1" si="9"/>
        <v/>
      </c>
      <c r="H78" s="53" t="str">
        <f t="shared" ca="1" si="4"/>
        <v/>
      </c>
      <c r="I78" s="25" t="str">
        <f t="shared" ca="1" si="10"/>
        <v/>
      </c>
      <c r="J78" s="26"/>
      <c r="K78" s="114" t="str">
        <f ca="1">IF($A78="","",IF(COUNTIFS(Dividends!$J:$J,"&gt;"&amp;INT($A77),Dividends!$J:$J,"&lt;="&amp;INT($A78))=0,"",$G$4*SUMIFS(Dividends!$K:$K,Dividends!$J:$J,"&gt;"&amp;INT($A77),Dividends!$J:$J,"&lt;="&amp;INT($A78))))</f>
        <v/>
      </c>
      <c r="L78" s="55" t="str">
        <f ca="1">IF(ISERROR(B78-2),"",C78+D78-F78-G78+I78+J78+SUM($K$14:K78))</f>
        <v/>
      </c>
      <c r="N78" s="52">
        <f ca="1"/>
        <v>46111</v>
      </c>
      <c r="O78" s="39">
        <f ca="1"/>
        <v>117.68</v>
      </c>
      <c r="P78" s="52">
        <f ca="1"/>
        <v>46141</v>
      </c>
      <c r="Q78" s="39">
        <f ca="1"/>
        <v>98.459000000000003</v>
      </c>
      <c r="R78" s="52">
        <f ca="1"/>
        <v>46113</v>
      </c>
      <c r="S78" s="39">
        <f ca="1"/>
        <v>637.5</v>
      </c>
      <c r="T78" s="52">
        <f t="shared" ca="1" si="11"/>
        <v>46111</v>
      </c>
      <c r="U78" s="97" t="str">
        <f t="shared" ca="1" si="12"/>
        <v/>
      </c>
    </row>
    <row r="79" spans="1:21" x14ac:dyDescent="0.25">
      <c r="A79" s="102" t="str">
        <f t="shared" ca="1" si="5"/>
        <v/>
      </c>
      <c r="B79" s="53" t="str">
        <f t="shared" ref="B79:B142" ca="1" si="13">IF(COUNTIF(N:N,A79)=1,VLOOKUP(A79,N:O,2), IF(COUNTIF(N:N,A79)=0,$B$10,""))</f>
        <v/>
      </c>
      <c r="C79" s="25" t="str">
        <f t="shared" ca="1" si="6"/>
        <v/>
      </c>
      <c r="D79" s="26" t="str">
        <f t="shared" ca="1" si="7"/>
        <v/>
      </c>
      <c r="E79" s="53" t="str">
        <f t="shared" ref="E79:E142" ca="1" si="14">IF(COUNTIF(N:N,A79)=1,VLOOKUP(A79,P:Q,2), IF(COUNTIF(N:N,A79)=0,$C$10,""))</f>
        <v/>
      </c>
      <c r="F79" s="25" t="str">
        <f t="shared" ca="1" si="8"/>
        <v/>
      </c>
      <c r="G79" s="26" t="str">
        <f t="shared" ca="1" si="9"/>
        <v/>
      </c>
      <c r="H79" s="53" t="str">
        <f t="shared" ref="H79:H142" ca="1" si="15">IF(COUNTIF(N:N,A79)=1,VLOOKUP(A79,R:S,2), IF(COUNTIF(N:N,A79)=0,$D$10,""))</f>
        <v/>
      </c>
      <c r="I79" s="25" t="str">
        <f t="shared" ca="1" si="10"/>
        <v/>
      </c>
      <c r="J79" s="26"/>
      <c r="K79" s="114" t="str">
        <f ca="1">IF($A79="","",IF(COUNTIFS(Dividends!$J:$J,"&gt;"&amp;INT($A78),Dividends!$J:$J,"&lt;="&amp;INT($A79))=0,"",$G$4*SUMIFS(Dividends!$K:$K,Dividends!$J:$J,"&gt;"&amp;INT($A78),Dividends!$J:$J,"&lt;="&amp;INT($A79))))</f>
        <v/>
      </c>
      <c r="L79" s="55" t="str">
        <f ca="1">IF(ISERROR(B79-2),"",C79+D79-F79-G79+I79+J79+SUM($K$14:K79))</f>
        <v/>
      </c>
      <c r="N79" s="52">
        <f ca="1"/>
        <v>46112</v>
      </c>
      <c r="O79" s="39">
        <f ca="1"/>
        <v>117.97</v>
      </c>
      <c r="P79" s="52">
        <f ca="1"/>
        <v>46142</v>
      </c>
      <c r="Q79" s="39">
        <f ca="1"/>
        <v>98.858000000000004</v>
      </c>
      <c r="R79" s="52">
        <f ca="1"/>
        <v>46114</v>
      </c>
      <c r="S79" s="39">
        <f ca="1"/>
        <v>672.5</v>
      </c>
      <c r="T79" s="52">
        <f t="shared" ca="1" si="11"/>
        <v>46112</v>
      </c>
      <c r="U79" s="97" t="str">
        <f t="shared" ca="1" si="12"/>
        <v/>
      </c>
    </row>
    <row r="80" spans="1:21" x14ac:dyDescent="0.25">
      <c r="A80" s="102" t="str">
        <f t="shared" ref="A80:A143" ca="1" si="16">IF(AND(ISBLANK(V67), A79 = $V$1),NOW(),IF(ISBLANK(V67),"",V67))</f>
        <v/>
      </c>
      <c r="B80" s="53" t="str">
        <f t="shared" ca="1" si="13"/>
        <v/>
      </c>
      <c r="C80" s="25" t="str">
        <f t="shared" ref="C80:C143" ca="1" si="17">IF(ISERROR(B80-2),"",(B80/$B$14-1)*$B$5)</f>
        <v/>
      </c>
      <c r="D80" s="26" t="str">
        <f t="shared" ref="D80:D143" ca="1" si="18">IF(ISERROR(B80-2),"",-1*(INT(A80)-INT($A$14))/360*$B$7*$B$5)</f>
        <v/>
      </c>
      <c r="E80" s="53" t="str">
        <f t="shared" ca="1" si="14"/>
        <v/>
      </c>
      <c r="F80" s="25" t="str">
        <f t="shared" ref="F80:F143" ca="1" si="19">IF(ISERROR(B80-2),"",(E80-$E$14)/100*$C$5)</f>
        <v/>
      </c>
      <c r="G80" s="26" t="str">
        <f t="shared" ref="G80:G143" ca="1" si="20">IF(ISERROR(B80-2),"",(INT(A80)-INT($A$14))/360*$C$6*$C$5-(INT(A80)-INT($A$14))/360*$C$7*$C$5*$E$14/100)</f>
        <v/>
      </c>
      <c r="H80" s="53" t="str">
        <f t="shared" ca="1" si="15"/>
        <v/>
      </c>
      <c r="I80" s="25" t="str">
        <f t="shared" ref="I80:I143" ca="1" si="21">IF(ISERROR(B80-2),"",(H80-$H$14)*$D$5*$I$6)</f>
        <v/>
      </c>
      <c r="J80" s="26"/>
      <c r="K80" s="114" t="str">
        <f ca="1">IF($A80="","",IF(COUNTIFS(Dividends!$J:$J,"&gt;"&amp;INT($A79),Dividends!$J:$J,"&lt;="&amp;INT($A80))=0,"",$G$4*SUMIFS(Dividends!$K:$K,Dividends!$J:$J,"&gt;"&amp;INT($A79),Dividends!$J:$J,"&lt;="&amp;INT($A80))))</f>
        <v/>
      </c>
      <c r="L80" s="55" t="str">
        <f ca="1">IF(ISERROR(B80-2),"",C80+D80-F80-G80+I80+J80+SUM($K$14:K80))</f>
        <v/>
      </c>
      <c r="N80" s="52">
        <f ca="1"/>
        <v>46113</v>
      </c>
      <c r="O80" s="39">
        <f ca="1"/>
        <v>118.42</v>
      </c>
      <c r="P80" s="52">
        <f ca="1"/>
        <v>46143</v>
      </c>
      <c r="Q80" s="39">
        <f ca="1"/>
        <v>98.858000000000004</v>
      </c>
      <c r="R80" s="52">
        <f ca="1"/>
        <v>46119</v>
      </c>
      <c r="S80" s="39">
        <f ca="1"/>
        <v>716.6</v>
      </c>
      <c r="T80" s="52">
        <f t="shared" ca="1" si="11"/>
        <v>46113</v>
      </c>
      <c r="U80" s="97" t="str">
        <f t="shared" ca="1" si="12"/>
        <v/>
      </c>
    </row>
    <row r="81" spans="1:21" x14ac:dyDescent="0.25">
      <c r="A81" s="102" t="str">
        <f t="shared" ca="1" si="16"/>
        <v/>
      </c>
      <c r="B81" s="53" t="str">
        <f t="shared" ca="1" si="13"/>
        <v/>
      </c>
      <c r="C81" s="25" t="str">
        <f t="shared" ca="1" si="17"/>
        <v/>
      </c>
      <c r="D81" s="26" t="str">
        <f t="shared" ca="1" si="18"/>
        <v/>
      </c>
      <c r="E81" s="53" t="str">
        <f t="shared" ca="1" si="14"/>
        <v/>
      </c>
      <c r="F81" s="25" t="str">
        <f t="shared" ca="1" si="19"/>
        <v/>
      </c>
      <c r="G81" s="26" t="str">
        <f t="shared" ca="1" si="20"/>
        <v/>
      </c>
      <c r="H81" s="53" t="str">
        <f t="shared" ca="1" si="15"/>
        <v/>
      </c>
      <c r="I81" s="25" t="str">
        <f t="shared" ca="1" si="21"/>
        <v/>
      </c>
      <c r="J81" s="26"/>
      <c r="K81" s="114" t="str">
        <f ca="1">IF($A81="","",IF(COUNTIFS(Dividends!$J:$J,"&gt;"&amp;INT($A80),Dividends!$J:$J,"&lt;="&amp;INT($A81))=0,"",$G$4*SUMIFS(Dividends!$K:$K,Dividends!$J:$J,"&gt;"&amp;INT($A80),Dividends!$J:$J,"&lt;="&amp;INT($A81))))</f>
        <v/>
      </c>
      <c r="L81" s="55" t="str">
        <f ca="1">IF(ISERROR(B81-2),"",C81+D81-F81-G81+I81+J81+SUM($K$14:K81))</f>
        <v/>
      </c>
      <c r="N81" s="52">
        <f ca="1"/>
        <v>46114</v>
      </c>
      <c r="O81" s="39">
        <f ca="1"/>
        <v>118.61</v>
      </c>
      <c r="P81" s="52">
        <f ca="1"/>
        <v>46146</v>
      </c>
      <c r="Q81" s="39">
        <f ca="1"/>
        <v>98.587000000000003</v>
      </c>
      <c r="R81" s="52">
        <f ca="1"/>
        <v>46120</v>
      </c>
      <c r="S81" s="39">
        <f ca="1"/>
        <v>493.1</v>
      </c>
      <c r="T81" s="52">
        <f t="shared" ca="1" si="11"/>
        <v>46114</v>
      </c>
      <c r="U81" s="97" t="str">
        <f t="shared" ca="1" si="12"/>
        <v/>
      </c>
    </row>
    <row r="82" spans="1:21" x14ac:dyDescent="0.25">
      <c r="A82" s="102" t="str">
        <f t="shared" ca="1" si="16"/>
        <v/>
      </c>
      <c r="B82" s="53" t="str">
        <f t="shared" ca="1" si="13"/>
        <v/>
      </c>
      <c r="C82" s="25" t="str">
        <f t="shared" ca="1" si="17"/>
        <v/>
      </c>
      <c r="D82" s="26" t="str">
        <f t="shared" ca="1" si="18"/>
        <v/>
      </c>
      <c r="E82" s="53" t="str">
        <f t="shared" ca="1" si="14"/>
        <v/>
      </c>
      <c r="F82" s="25" t="str">
        <f t="shared" ca="1" si="19"/>
        <v/>
      </c>
      <c r="G82" s="26" t="str">
        <f t="shared" ca="1" si="20"/>
        <v/>
      </c>
      <c r="H82" s="53" t="str">
        <f t="shared" ca="1" si="15"/>
        <v/>
      </c>
      <c r="I82" s="25" t="str">
        <f t="shared" ca="1" si="21"/>
        <v/>
      </c>
      <c r="J82" s="26"/>
      <c r="K82" s="114" t="str">
        <f ca="1">IF($A82="","",IF(COUNTIFS(Dividends!$J:$J,"&gt;"&amp;INT($A81),Dividends!$J:$J,"&lt;="&amp;INT($A82))=0,"",$G$4*SUMIFS(Dividends!$K:$K,Dividends!$J:$J,"&gt;"&amp;INT($A81),Dividends!$J:$J,"&lt;="&amp;INT($A82))))</f>
        <v/>
      </c>
      <c r="L82" s="55" t="str">
        <f ca="1">IF(ISERROR(B82-2),"",C82+D82-F82-G82+I82+J82+SUM($K$14:K82))</f>
        <v/>
      </c>
      <c r="N82" s="52">
        <f ca="1"/>
        <v>46119</v>
      </c>
      <c r="O82" s="39">
        <f ca="1"/>
        <v>117.95</v>
      </c>
      <c r="P82" s="52">
        <f ca="1"/>
        <v>46147</v>
      </c>
      <c r="Q82" s="39">
        <f ca="1"/>
        <v>98.753</v>
      </c>
      <c r="R82" s="52">
        <f ca="1"/>
        <v>46121</v>
      </c>
      <c r="S82" s="39">
        <f ca="1"/>
        <v>502</v>
      </c>
      <c r="T82" s="52">
        <f t="shared" ca="1" si="11"/>
        <v>46119</v>
      </c>
      <c r="U82" s="97" t="str">
        <f t="shared" ca="1" si="12"/>
        <v/>
      </c>
    </row>
    <row r="83" spans="1:21" x14ac:dyDescent="0.25">
      <c r="A83" s="102" t="str">
        <f t="shared" ca="1" si="16"/>
        <v/>
      </c>
      <c r="B83" s="53" t="str">
        <f t="shared" ca="1" si="13"/>
        <v/>
      </c>
      <c r="C83" s="25" t="str">
        <f t="shared" ca="1" si="17"/>
        <v/>
      </c>
      <c r="D83" s="26" t="str">
        <f t="shared" ca="1" si="18"/>
        <v/>
      </c>
      <c r="E83" s="53" t="str">
        <f t="shared" ca="1" si="14"/>
        <v/>
      </c>
      <c r="F83" s="25" t="str">
        <f t="shared" ca="1" si="19"/>
        <v/>
      </c>
      <c r="G83" s="26" t="str">
        <f t="shared" ca="1" si="20"/>
        <v/>
      </c>
      <c r="H83" s="53" t="str">
        <f t="shared" ca="1" si="15"/>
        <v/>
      </c>
      <c r="I83" s="25" t="str">
        <f t="shared" ca="1" si="21"/>
        <v/>
      </c>
      <c r="J83" s="26"/>
      <c r="K83" s="114" t="str">
        <f ca="1">IF($A83="","",IF(COUNTIFS(Dividends!$J:$J,"&gt;"&amp;INT($A82),Dividends!$J:$J,"&lt;="&amp;INT($A83))=0,"",$G$4*SUMIFS(Dividends!$K:$K,Dividends!$J:$J,"&gt;"&amp;INT($A82),Dividends!$J:$J,"&lt;="&amp;INT($A83))))</f>
        <v/>
      </c>
      <c r="L83" s="55" t="str">
        <f ca="1">IF(ISERROR(B83-2),"",C83+D83-F83-G83+I83+J83+SUM($K$14:K83))</f>
        <v/>
      </c>
      <c r="N83" s="52">
        <f ca="1"/>
        <v>46120</v>
      </c>
      <c r="O83" s="39">
        <f ca="1"/>
        <v>119.43</v>
      </c>
      <c r="P83" s="52">
        <f ca="1"/>
        <v>46148</v>
      </c>
      <c r="Q83" s="39">
        <f ca="1"/>
        <v>99.103999999999999</v>
      </c>
      <c r="R83" s="52">
        <f ca="1"/>
        <v>46122</v>
      </c>
      <c r="S83" s="39">
        <f ca="1"/>
        <v>457.3</v>
      </c>
      <c r="T83" s="52">
        <f t="shared" ca="1" si="11"/>
        <v>46120</v>
      </c>
      <c r="U83" s="97" t="str">
        <f t="shared" ca="1" si="12"/>
        <v/>
      </c>
    </row>
    <row r="84" spans="1:21" x14ac:dyDescent="0.25">
      <c r="A84" s="102" t="str">
        <f t="shared" ca="1" si="16"/>
        <v/>
      </c>
      <c r="B84" s="53" t="str">
        <f t="shared" ca="1" si="13"/>
        <v/>
      </c>
      <c r="C84" s="25" t="str">
        <f t="shared" ca="1" si="17"/>
        <v/>
      </c>
      <c r="D84" s="26" t="str">
        <f t="shared" ca="1" si="18"/>
        <v/>
      </c>
      <c r="E84" s="53" t="str">
        <f t="shared" ca="1" si="14"/>
        <v/>
      </c>
      <c r="F84" s="25" t="str">
        <f t="shared" ca="1" si="19"/>
        <v/>
      </c>
      <c r="G84" s="26" t="str">
        <f t="shared" ca="1" si="20"/>
        <v/>
      </c>
      <c r="H84" s="53" t="str">
        <f t="shared" ca="1" si="15"/>
        <v/>
      </c>
      <c r="I84" s="25" t="str">
        <f t="shared" ca="1" si="21"/>
        <v/>
      </c>
      <c r="J84" s="26"/>
      <c r="K84" s="114" t="str">
        <f ca="1">IF($A84="","",IF(COUNTIFS(Dividends!$J:$J,"&gt;"&amp;INT($A83),Dividends!$J:$J,"&lt;="&amp;INT($A84))=0,"",$G$4*SUMIFS(Dividends!$K:$K,Dividends!$J:$J,"&gt;"&amp;INT($A83),Dividends!$J:$J,"&lt;="&amp;INT($A84))))</f>
        <v/>
      </c>
      <c r="L84" s="55" t="str">
        <f ca="1">IF(ISERROR(B84-2),"",C84+D84-F84-G84+I84+J84+SUM($K$14:K84))</f>
        <v/>
      </c>
      <c r="N84" s="52">
        <f ca="1"/>
        <v>46121</v>
      </c>
      <c r="O84" s="39">
        <f ca="1"/>
        <v>119.07</v>
      </c>
      <c r="P84" s="52">
        <f ca="1"/>
        <v>46149</v>
      </c>
      <c r="Q84" s="39">
        <f ca="1"/>
        <v>99.066999999999993</v>
      </c>
      <c r="R84" s="52">
        <f ca="1"/>
        <v>46125</v>
      </c>
      <c r="S84" s="39">
        <f ca="1"/>
        <v>473.9</v>
      </c>
      <c r="T84" s="52">
        <f t="shared" ca="1" si="11"/>
        <v>46121</v>
      </c>
      <c r="U84" s="97" t="str">
        <f t="shared" ca="1" si="12"/>
        <v/>
      </c>
    </row>
    <row r="85" spans="1:21" x14ac:dyDescent="0.25">
      <c r="A85" s="102" t="str">
        <f t="shared" ca="1" si="16"/>
        <v/>
      </c>
      <c r="B85" s="53" t="str">
        <f t="shared" ca="1" si="13"/>
        <v/>
      </c>
      <c r="C85" s="25" t="str">
        <f t="shared" ca="1" si="17"/>
        <v/>
      </c>
      <c r="D85" s="26" t="str">
        <f t="shared" ca="1" si="18"/>
        <v/>
      </c>
      <c r="E85" s="53" t="str">
        <f t="shared" ca="1" si="14"/>
        <v/>
      </c>
      <c r="F85" s="25" t="str">
        <f t="shared" ca="1" si="19"/>
        <v/>
      </c>
      <c r="G85" s="26" t="str">
        <f t="shared" ca="1" si="20"/>
        <v/>
      </c>
      <c r="H85" s="53" t="str">
        <f t="shared" ca="1" si="15"/>
        <v/>
      </c>
      <c r="I85" s="25" t="str">
        <f t="shared" ca="1" si="21"/>
        <v/>
      </c>
      <c r="J85" s="26"/>
      <c r="K85" s="114" t="str">
        <f ca="1">IF($A85="","",IF(COUNTIFS(Dividends!$J:$J,"&gt;"&amp;INT($A84),Dividends!$J:$J,"&lt;="&amp;INT($A85))=0,"",$G$4*SUMIFS(Dividends!$K:$K,Dividends!$J:$J,"&gt;"&amp;INT($A84),Dividends!$J:$J,"&lt;="&amp;INT($A85))))</f>
        <v/>
      </c>
      <c r="L85" s="55" t="str">
        <f ca="1">IF(ISERROR(B85-2),"",C85+D85-F85-G85+I85+J85+SUM($K$14:K85))</f>
        <v/>
      </c>
      <c r="N85" s="52">
        <f ca="1"/>
        <v>46122</v>
      </c>
      <c r="O85" s="39">
        <f ca="1"/>
        <v>118.85</v>
      </c>
      <c r="P85" s="52">
        <f ca="1"/>
        <v>46150</v>
      </c>
      <c r="Q85" s="39">
        <f ca="1"/>
        <v>99.046000000000006</v>
      </c>
      <c r="R85" s="52">
        <f ca="1"/>
        <v>46126</v>
      </c>
      <c r="S85" s="39">
        <f ca="1"/>
        <v>410.1</v>
      </c>
      <c r="T85" s="52">
        <f t="shared" ca="1" si="11"/>
        <v>46122</v>
      </c>
      <c r="U85" s="97" t="str">
        <f t="shared" ca="1" si="12"/>
        <v/>
      </c>
    </row>
    <row r="86" spans="1:21" x14ac:dyDescent="0.25">
      <c r="A86" s="102" t="str">
        <f t="shared" ca="1" si="16"/>
        <v/>
      </c>
      <c r="B86" s="53" t="str">
        <f t="shared" ca="1" si="13"/>
        <v/>
      </c>
      <c r="C86" s="25" t="str">
        <f t="shared" ca="1" si="17"/>
        <v/>
      </c>
      <c r="D86" s="26" t="str">
        <f t="shared" ca="1" si="18"/>
        <v/>
      </c>
      <c r="E86" s="53" t="str">
        <f t="shared" ca="1" si="14"/>
        <v/>
      </c>
      <c r="F86" s="25" t="str">
        <f t="shared" ca="1" si="19"/>
        <v/>
      </c>
      <c r="G86" s="26" t="str">
        <f t="shared" ca="1" si="20"/>
        <v/>
      </c>
      <c r="H86" s="53" t="str">
        <f t="shared" ca="1" si="15"/>
        <v/>
      </c>
      <c r="I86" s="25" t="str">
        <f t="shared" ca="1" si="21"/>
        <v/>
      </c>
      <c r="J86" s="26"/>
      <c r="K86" s="114" t="str">
        <f ca="1">IF($A86="","",IF(COUNTIFS(Dividends!$J:$J,"&gt;"&amp;INT($A85),Dividends!$J:$J,"&lt;="&amp;INT($A86))=0,"",$G$4*SUMIFS(Dividends!$K:$K,Dividends!$J:$J,"&gt;"&amp;INT($A85),Dividends!$J:$J,"&lt;="&amp;INT($A86))))</f>
        <v/>
      </c>
      <c r="L86" s="55" t="str">
        <f ca="1">IF(ISERROR(B86-2),"",C86+D86-F86-G86+I86+J86+SUM($K$14:K86))</f>
        <v/>
      </c>
      <c r="N86" s="52">
        <f ca="1"/>
        <v>46125</v>
      </c>
      <c r="O86" s="39">
        <f ca="1"/>
        <v>118.66</v>
      </c>
      <c r="P86" s="52">
        <f ca="1"/>
        <v>46153</v>
      </c>
      <c r="Q86" s="39">
        <f ca="1"/>
        <v>98.861999999999995</v>
      </c>
      <c r="R86" s="52">
        <f ca="1"/>
        <v>46127</v>
      </c>
      <c r="S86" s="39">
        <f ca="1"/>
        <v>434.1</v>
      </c>
      <c r="T86" s="52">
        <f t="shared" ca="1" si="11"/>
        <v>46125</v>
      </c>
      <c r="U86" s="97" t="str">
        <f t="shared" ca="1" si="12"/>
        <v/>
      </c>
    </row>
    <row r="87" spans="1:21" x14ac:dyDescent="0.25">
      <c r="A87" s="102" t="str">
        <f t="shared" ca="1" si="16"/>
        <v/>
      </c>
      <c r="B87" s="53" t="str">
        <f t="shared" ca="1" si="13"/>
        <v/>
      </c>
      <c r="C87" s="25" t="str">
        <f t="shared" ca="1" si="17"/>
        <v/>
      </c>
      <c r="D87" s="26" t="str">
        <f t="shared" ca="1" si="18"/>
        <v/>
      </c>
      <c r="E87" s="53" t="str">
        <f t="shared" ca="1" si="14"/>
        <v/>
      </c>
      <c r="F87" s="25" t="str">
        <f t="shared" ca="1" si="19"/>
        <v/>
      </c>
      <c r="G87" s="26" t="str">
        <f t="shared" ca="1" si="20"/>
        <v/>
      </c>
      <c r="H87" s="53" t="str">
        <f t="shared" ca="1" si="15"/>
        <v/>
      </c>
      <c r="I87" s="25" t="str">
        <f t="shared" ca="1" si="21"/>
        <v/>
      </c>
      <c r="J87" s="26"/>
      <c r="K87" s="114" t="str">
        <f ca="1">IF($A87="","",IF(COUNTIFS(Dividends!$J:$J,"&gt;"&amp;INT($A86),Dividends!$J:$J,"&lt;="&amp;INT($A87))=0,"",$G$4*SUMIFS(Dividends!$K:$K,Dividends!$J:$J,"&gt;"&amp;INT($A86),Dividends!$J:$J,"&lt;="&amp;INT($A87))))</f>
        <v/>
      </c>
      <c r="L87" s="55" t="str">
        <f ca="1">IF(ISERROR(B87-2),"",C87+D87-F87-G87+I87+J87+SUM($K$14:K87))</f>
        <v/>
      </c>
      <c r="N87" s="52">
        <f ca="1"/>
        <v>46126</v>
      </c>
      <c r="O87" s="39">
        <f ca="1"/>
        <v>119.12</v>
      </c>
      <c r="P87" s="52">
        <f ca="1"/>
        <v>46154</v>
      </c>
      <c r="Q87" s="39">
        <f ca="1"/>
        <v>98.56</v>
      </c>
      <c r="R87" s="52">
        <f ca="1"/>
        <v>46128</v>
      </c>
      <c r="S87" s="39">
        <f ca="1"/>
        <v>443.4</v>
      </c>
      <c r="T87" s="52">
        <f t="shared" ca="1" si="11"/>
        <v>46126</v>
      </c>
      <c r="U87" s="97" t="str">
        <f t="shared" ca="1" si="12"/>
        <v/>
      </c>
    </row>
    <row r="88" spans="1:21" x14ac:dyDescent="0.25">
      <c r="A88" s="102" t="str">
        <f t="shared" ca="1" si="16"/>
        <v/>
      </c>
      <c r="B88" s="53" t="str">
        <f t="shared" ca="1" si="13"/>
        <v/>
      </c>
      <c r="C88" s="25" t="str">
        <f t="shared" ca="1" si="17"/>
        <v/>
      </c>
      <c r="D88" s="26" t="str">
        <f t="shared" ca="1" si="18"/>
        <v/>
      </c>
      <c r="E88" s="53" t="str">
        <f t="shared" ca="1" si="14"/>
        <v/>
      </c>
      <c r="F88" s="25" t="str">
        <f t="shared" ca="1" si="19"/>
        <v/>
      </c>
      <c r="G88" s="26" t="str">
        <f t="shared" ca="1" si="20"/>
        <v/>
      </c>
      <c r="H88" s="53" t="str">
        <f t="shared" ca="1" si="15"/>
        <v/>
      </c>
      <c r="I88" s="25" t="str">
        <f t="shared" ca="1" si="21"/>
        <v/>
      </c>
      <c r="J88" s="26"/>
      <c r="K88" s="114" t="str">
        <f ca="1">IF($A88="","",IF(COUNTIFS(Dividends!$J:$J,"&gt;"&amp;INT($A87),Dividends!$J:$J,"&lt;="&amp;INT($A88))=0,"",$G$4*SUMIFS(Dividends!$K:$K,Dividends!$J:$J,"&gt;"&amp;INT($A87),Dividends!$J:$J,"&lt;="&amp;INT($A88))))</f>
        <v/>
      </c>
      <c r="L88" s="55" t="str">
        <f ca="1">IF(ISERROR(B88-2),"",C88+D88-F88-G88+I88+J88+SUM($K$14:K88))</f>
        <v/>
      </c>
      <c r="N88" s="52">
        <f ca="1"/>
        <v>46127</v>
      </c>
      <c r="O88" s="39">
        <f ca="1"/>
        <v>119.11</v>
      </c>
      <c r="P88" s="52">
        <f ca="1"/>
        <v>46155</v>
      </c>
      <c r="Q88" s="39">
        <f ca="1"/>
        <v>98.546999999999997</v>
      </c>
      <c r="R88" s="52">
        <f ca="1"/>
        <v>46129</v>
      </c>
      <c r="S88" s="39">
        <f ca="1"/>
        <v>355.7</v>
      </c>
      <c r="T88" s="52">
        <f t="shared" ca="1" si="11"/>
        <v>46127</v>
      </c>
      <c r="U88" s="97" t="str">
        <f t="shared" ca="1" si="12"/>
        <v/>
      </c>
    </row>
    <row r="89" spans="1:21" x14ac:dyDescent="0.25">
      <c r="A89" s="102" t="str">
        <f t="shared" ca="1" si="16"/>
        <v/>
      </c>
      <c r="B89" s="53" t="str">
        <f t="shared" ca="1" si="13"/>
        <v/>
      </c>
      <c r="C89" s="25" t="str">
        <f t="shared" ca="1" si="17"/>
        <v/>
      </c>
      <c r="D89" s="26" t="str">
        <f t="shared" ca="1" si="18"/>
        <v/>
      </c>
      <c r="E89" s="53" t="str">
        <f t="shared" ca="1" si="14"/>
        <v/>
      </c>
      <c r="F89" s="25" t="str">
        <f t="shared" ca="1" si="19"/>
        <v/>
      </c>
      <c r="G89" s="26" t="str">
        <f t="shared" ca="1" si="20"/>
        <v/>
      </c>
      <c r="H89" s="53" t="str">
        <f t="shared" ca="1" si="15"/>
        <v/>
      </c>
      <c r="I89" s="25" t="str">
        <f t="shared" ca="1" si="21"/>
        <v/>
      </c>
      <c r="J89" s="26"/>
      <c r="K89" s="114" t="str">
        <f ca="1">IF($A89="","",IF(COUNTIFS(Dividends!$J:$J,"&gt;"&amp;INT($A88),Dividends!$J:$J,"&lt;="&amp;INT($A89))=0,"",$G$4*SUMIFS(Dividends!$K:$K,Dividends!$J:$J,"&gt;"&amp;INT($A88),Dividends!$J:$J,"&lt;="&amp;INT($A89))))</f>
        <v/>
      </c>
      <c r="L89" s="55" t="str">
        <f ca="1">IF(ISERROR(B89-2),"",C89+D89-F89-G89+I89+J89+SUM($K$14:K89))</f>
        <v/>
      </c>
      <c r="N89" s="52">
        <f ca="1"/>
        <v>46128</v>
      </c>
      <c r="O89" s="39">
        <f ca="1"/>
        <v>119.16</v>
      </c>
      <c r="P89" s="52">
        <f ca="1"/>
        <v>46156</v>
      </c>
      <c r="Q89" s="39">
        <f ca="1"/>
        <v>98.823999999999998</v>
      </c>
      <c r="R89" s="52">
        <f ca="1"/>
        <v>46132</v>
      </c>
      <c r="S89" s="39">
        <f ca="1"/>
        <v>408.2</v>
      </c>
      <c r="T89" s="52">
        <f t="shared" ca="1" si="11"/>
        <v>46128</v>
      </c>
      <c r="U89" s="97" t="str">
        <f t="shared" ca="1" si="12"/>
        <v/>
      </c>
    </row>
    <row r="90" spans="1:21" x14ac:dyDescent="0.25">
      <c r="A90" s="102" t="str">
        <f t="shared" ca="1" si="16"/>
        <v/>
      </c>
      <c r="B90" s="53" t="str">
        <f t="shared" ca="1" si="13"/>
        <v/>
      </c>
      <c r="C90" s="25" t="str">
        <f t="shared" ca="1" si="17"/>
        <v/>
      </c>
      <c r="D90" s="26" t="str">
        <f t="shared" ca="1" si="18"/>
        <v/>
      </c>
      <c r="E90" s="53" t="str">
        <f t="shared" ca="1" si="14"/>
        <v/>
      </c>
      <c r="F90" s="25" t="str">
        <f t="shared" ca="1" si="19"/>
        <v/>
      </c>
      <c r="G90" s="26" t="str">
        <f t="shared" ca="1" si="20"/>
        <v/>
      </c>
      <c r="H90" s="53" t="str">
        <f t="shared" ca="1" si="15"/>
        <v/>
      </c>
      <c r="I90" s="25" t="str">
        <f t="shared" ca="1" si="21"/>
        <v/>
      </c>
      <c r="J90" s="26"/>
      <c r="K90" s="114" t="str">
        <f ca="1">IF($A90="","",IF(COUNTIFS(Dividends!$J:$J,"&gt;"&amp;INT($A89),Dividends!$J:$J,"&lt;="&amp;INT($A90))=0,"",$G$4*SUMIFS(Dividends!$K:$K,Dividends!$J:$J,"&gt;"&amp;INT($A89),Dividends!$J:$J,"&lt;="&amp;INT($A90))))</f>
        <v/>
      </c>
      <c r="L90" s="55" t="str">
        <f ca="1">IF(ISERROR(B90-2),"",C90+D90-F90-G90+I90+J90+SUM($K$14:K90))</f>
        <v/>
      </c>
      <c r="N90" s="52">
        <f ca="1"/>
        <v>46129</v>
      </c>
      <c r="O90" s="39">
        <f ca="1"/>
        <v>119.75</v>
      </c>
      <c r="P90" s="52">
        <f ca="1"/>
        <v>46157</v>
      </c>
      <c r="Q90" s="39">
        <f ca="1"/>
        <v>98.316000000000003</v>
      </c>
      <c r="R90" s="52">
        <f ca="1"/>
        <v>46133</v>
      </c>
      <c r="S90" s="39">
        <f ca="1"/>
        <v>440.5</v>
      </c>
      <c r="T90" s="52">
        <f t="shared" ca="1" si="11"/>
        <v>46129</v>
      </c>
      <c r="U90" s="97" t="str">
        <f t="shared" ca="1" si="12"/>
        <v/>
      </c>
    </row>
    <row r="91" spans="1:21" x14ac:dyDescent="0.25">
      <c r="A91" s="102" t="str">
        <f t="shared" ca="1" si="16"/>
        <v/>
      </c>
      <c r="B91" s="53" t="str">
        <f t="shared" ca="1" si="13"/>
        <v/>
      </c>
      <c r="C91" s="25" t="str">
        <f t="shared" ca="1" si="17"/>
        <v/>
      </c>
      <c r="D91" s="26" t="str">
        <f t="shared" ca="1" si="18"/>
        <v/>
      </c>
      <c r="E91" s="53" t="str">
        <f t="shared" ca="1" si="14"/>
        <v/>
      </c>
      <c r="F91" s="25" t="str">
        <f t="shared" ca="1" si="19"/>
        <v/>
      </c>
      <c r="G91" s="26" t="str">
        <f t="shared" ca="1" si="20"/>
        <v/>
      </c>
      <c r="H91" s="53" t="str">
        <f t="shared" ca="1" si="15"/>
        <v/>
      </c>
      <c r="I91" s="25" t="str">
        <f t="shared" ca="1" si="21"/>
        <v/>
      </c>
      <c r="J91" s="26"/>
      <c r="K91" s="114" t="str">
        <f ca="1">IF($A91="","",IF(COUNTIFS(Dividends!$J:$J,"&gt;"&amp;INT($A90),Dividends!$J:$J,"&lt;="&amp;INT($A91))=0,"",$G$4*SUMIFS(Dividends!$K:$K,Dividends!$J:$J,"&gt;"&amp;INT($A90),Dividends!$J:$J,"&lt;="&amp;INT($A91))))</f>
        <v/>
      </c>
      <c r="L91" s="55" t="str">
        <f ca="1">IF(ISERROR(B91-2),"",C91+D91-F91-G91+I91+J91+SUM($K$14:K91))</f>
        <v/>
      </c>
      <c r="N91" s="52">
        <f ca="1"/>
        <v>46132</v>
      </c>
      <c r="O91" s="39">
        <f ca="1"/>
        <v>119.62</v>
      </c>
      <c r="P91" s="52">
        <f ca="1"/>
        <v>46160</v>
      </c>
      <c r="Q91" s="39">
        <f ca="1"/>
        <v>98.430999999999997</v>
      </c>
      <c r="R91" s="52">
        <f ca="1"/>
        <v>46134</v>
      </c>
      <c r="S91" s="39">
        <f ca="1"/>
        <v>456</v>
      </c>
      <c r="T91" s="52">
        <f t="shared" ca="1" si="11"/>
        <v>46132</v>
      </c>
      <c r="U91" s="97" t="str">
        <f t="shared" ca="1" si="12"/>
        <v/>
      </c>
    </row>
    <row r="92" spans="1:21" x14ac:dyDescent="0.25">
      <c r="A92" s="102" t="str">
        <f t="shared" ca="1" si="16"/>
        <v/>
      </c>
      <c r="B92" s="53" t="str">
        <f t="shared" ca="1" si="13"/>
        <v/>
      </c>
      <c r="C92" s="25" t="str">
        <f t="shared" ca="1" si="17"/>
        <v/>
      </c>
      <c r="D92" s="26" t="str">
        <f t="shared" ca="1" si="18"/>
        <v/>
      </c>
      <c r="E92" s="53" t="str">
        <f t="shared" ca="1" si="14"/>
        <v/>
      </c>
      <c r="F92" s="25" t="str">
        <f t="shared" ca="1" si="19"/>
        <v/>
      </c>
      <c r="G92" s="26" t="str">
        <f t="shared" ca="1" si="20"/>
        <v/>
      </c>
      <c r="H92" s="53" t="str">
        <f t="shared" ca="1" si="15"/>
        <v/>
      </c>
      <c r="I92" s="25" t="str">
        <f t="shared" ca="1" si="21"/>
        <v/>
      </c>
      <c r="J92" s="26"/>
      <c r="K92" s="114" t="str">
        <f ca="1">IF($A92="","",IF(COUNTIFS(Dividends!$J:$J,"&gt;"&amp;INT($A91),Dividends!$J:$J,"&lt;="&amp;INT($A92))=0,"",$G$4*SUMIFS(Dividends!$K:$K,Dividends!$J:$J,"&gt;"&amp;INT($A91),Dividends!$J:$J,"&lt;="&amp;INT($A92))))</f>
        <v/>
      </c>
      <c r="L92" s="55" t="str">
        <f ca="1">IF(ISERROR(B92-2),"",C92+D92-F92-G92+I92+J92+SUM($K$14:K92))</f>
        <v/>
      </c>
      <c r="N92" s="52">
        <f ca="1"/>
        <v>46133</v>
      </c>
      <c r="O92" s="39">
        <f ca="1"/>
        <v>119.22</v>
      </c>
      <c r="P92" s="52">
        <f ca="1"/>
        <v>46161</v>
      </c>
      <c r="Q92" s="39">
        <f ca="1"/>
        <v>98.215000000000003</v>
      </c>
      <c r="R92" s="52">
        <f ca="1"/>
        <v>46135</v>
      </c>
      <c r="S92" s="39">
        <f ca="1"/>
        <v>464.5</v>
      </c>
      <c r="T92" s="52">
        <f t="shared" ca="1" si="11"/>
        <v>46133</v>
      </c>
      <c r="U92" s="97" t="str">
        <f t="shared" ca="1" si="12"/>
        <v/>
      </c>
    </row>
    <row r="93" spans="1:21" x14ac:dyDescent="0.25">
      <c r="A93" s="102" t="str">
        <f t="shared" ca="1" si="16"/>
        <v/>
      </c>
      <c r="B93" s="53" t="str">
        <f t="shared" ca="1" si="13"/>
        <v/>
      </c>
      <c r="C93" s="25" t="str">
        <f t="shared" ca="1" si="17"/>
        <v/>
      </c>
      <c r="D93" s="26" t="str">
        <f t="shared" ca="1" si="18"/>
        <v/>
      </c>
      <c r="E93" s="53" t="str">
        <f t="shared" ca="1" si="14"/>
        <v/>
      </c>
      <c r="F93" s="25" t="str">
        <f t="shared" ca="1" si="19"/>
        <v/>
      </c>
      <c r="G93" s="26" t="str">
        <f t="shared" ca="1" si="20"/>
        <v/>
      </c>
      <c r="H93" s="53" t="str">
        <f t="shared" ca="1" si="15"/>
        <v/>
      </c>
      <c r="I93" s="25" t="str">
        <f t="shared" ca="1" si="21"/>
        <v/>
      </c>
      <c r="J93" s="26"/>
      <c r="K93" s="114" t="str">
        <f ca="1">IF($A93="","",IF(COUNTIFS(Dividends!$J:$J,"&gt;"&amp;INT($A92),Dividends!$J:$J,"&lt;="&amp;INT($A93))=0,"",$G$4*SUMIFS(Dividends!$K:$K,Dividends!$J:$J,"&gt;"&amp;INT($A92),Dividends!$J:$J,"&lt;="&amp;INT($A93))))</f>
        <v/>
      </c>
      <c r="L93" s="55" t="str">
        <f ca="1">IF(ISERROR(B93-2),"",C93+D93-F93-G93+I93+J93+SUM($K$14:K93))</f>
        <v/>
      </c>
      <c r="N93" s="52">
        <f ca="1"/>
        <v>46134</v>
      </c>
      <c r="O93" s="39">
        <f ca="1"/>
        <v>119.25</v>
      </c>
      <c r="P93" s="52">
        <f ca="1"/>
        <v>46162</v>
      </c>
      <c r="Q93" s="39">
        <f ca="1"/>
        <v>98.67</v>
      </c>
      <c r="R93" s="52">
        <f ca="1"/>
        <v>46136</v>
      </c>
      <c r="S93" s="39">
        <f ca="1"/>
        <v>480.2</v>
      </c>
      <c r="T93" s="52">
        <f t="shared" ca="1" si="11"/>
        <v>46134</v>
      </c>
      <c r="U93" s="97" t="str">
        <f t="shared" ca="1" si="12"/>
        <v/>
      </c>
    </row>
    <row r="94" spans="1:21" x14ac:dyDescent="0.25">
      <c r="A94" s="102" t="str">
        <f t="shared" ca="1" si="16"/>
        <v/>
      </c>
      <c r="B94" s="53" t="str">
        <f t="shared" ca="1" si="13"/>
        <v/>
      </c>
      <c r="C94" s="25" t="str">
        <f t="shared" ca="1" si="17"/>
        <v/>
      </c>
      <c r="D94" s="26" t="str">
        <f t="shared" ca="1" si="18"/>
        <v/>
      </c>
      <c r="E94" s="53" t="str">
        <f t="shared" ca="1" si="14"/>
        <v/>
      </c>
      <c r="F94" s="25" t="str">
        <f t="shared" ca="1" si="19"/>
        <v/>
      </c>
      <c r="G94" s="26" t="str">
        <f t="shared" ca="1" si="20"/>
        <v/>
      </c>
      <c r="H94" s="53" t="str">
        <f t="shared" ca="1" si="15"/>
        <v/>
      </c>
      <c r="I94" s="25" t="str">
        <f t="shared" ca="1" si="21"/>
        <v/>
      </c>
      <c r="J94" s="26"/>
      <c r="K94" s="114" t="str">
        <f ca="1">IF($A94="","",IF(COUNTIFS(Dividends!$J:$J,"&gt;"&amp;INT($A93),Dividends!$J:$J,"&lt;="&amp;INT($A94))=0,"",$G$4*SUMIFS(Dividends!$K:$K,Dividends!$J:$J,"&gt;"&amp;INT($A93),Dividends!$J:$J,"&lt;="&amp;INT($A94))))</f>
        <v/>
      </c>
      <c r="L94" s="55" t="str">
        <f ca="1">IF(ISERROR(B94-2),"",C94+D94-F94-G94+I94+J94+SUM($K$14:K94))</f>
        <v/>
      </c>
      <c r="N94" s="52">
        <f ca="1"/>
        <v>46135</v>
      </c>
      <c r="O94" s="39">
        <f ca="1"/>
        <v>119.16</v>
      </c>
      <c r="P94" s="52">
        <f ca="1"/>
        <v>46163</v>
      </c>
      <c r="Q94" s="39">
        <f ca="1"/>
        <v>98.611999999999995</v>
      </c>
      <c r="R94" s="52">
        <f ca="1"/>
        <v>46139</v>
      </c>
      <c r="S94" s="39">
        <f ca="1"/>
        <v>496.4</v>
      </c>
      <c r="T94" s="52">
        <f t="shared" ca="1" si="11"/>
        <v>46135</v>
      </c>
      <c r="U94" s="97" t="str">
        <f t="shared" ca="1" si="12"/>
        <v/>
      </c>
    </row>
    <row r="95" spans="1:21" x14ac:dyDescent="0.25">
      <c r="A95" s="102" t="str">
        <f t="shared" ca="1" si="16"/>
        <v/>
      </c>
      <c r="B95" s="53" t="str">
        <f t="shared" ca="1" si="13"/>
        <v/>
      </c>
      <c r="C95" s="25" t="str">
        <f t="shared" ca="1" si="17"/>
        <v/>
      </c>
      <c r="D95" s="26" t="str">
        <f t="shared" ca="1" si="18"/>
        <v/>
      </c>
      <c r="E95" s="53" t="str">
        <f t="shared" ca="1" si="14"/>
        <v/>
      </c>
      <c r="F95" s="25" t="str">
        <f t="shared" ca="1" si="19"/>
        <v/>
      </c>
      <c r="G95" s="26" t="str">
        <f t="shared" ca="1" si="20"/>
        <v/>
      </c>
      <c r="H95" s="53" t="str">
        <f t="shared" ca="1" si="15"/>
        <v/>
      </c>
      <c r="I95" s="25" t="str">
        <f t="shared" ca="1" si="21"/>
        <v/>
      </c>
      <c r="J95" s="26"/>
      <c r="K95" s="114" t="str">
        <f ca="1">IF($A95="","",IF(COUNTIFS(Dividends!$J:$J,"&gt;"&amp;INT($A94),Dividends!$J:$J,"&lt;="&amp;INT($A95))=0,"",$G$4*SUMIFS(Dividends!$K:$K,Dividends!$J:$J,"&gt;"&amp;INT($A94),Dividends!$J:$J,"&lt;="&amp;INT($A95))))</f>
        <v/>
      </c>
      <c r="L95" s="55" t="str">
        <f ca="1">IF(ISERROR(B95-2),"",C95+D95-F95-G95+I95+J95+SUM($K$14:K95))</f>
        <v/>
      </c>
      <c r="N95" s="52">
        <f ca="1"/>
        <v>46136</v>
      </c>
      <c r="O95" s="39">
        <f ca="1"/>
        <v>119.14</v>
      </c>
      <c r="P95" s="52">
        <f ca="1"/>
        <v>46164</v>
      </c>
      <c r="Q95" s="39">
        <f ca="1"/>
        <v>98.861000000000004</v>
      </c>
      <c r="R95" s="52">
        <f ca="1"/>
        <v>46140</v>
      </c>
      <c r="S95" s="39">
        <f ca="1"/>
        <v>505.3</v>
      </c>
      <c r="T95" s="52">
        <f t="shared" ca="1" si="11"/>
        <v>46136</v>
      </c>
      <c r="U95" s="97" t="str">
        <f t="shared" ca="1" si="12"/>
        <v/>
      </c>
    </row>
    <row r="96" spans="1:21" x14ac:dyDescent="0.25">
      <c r="A96" s="102" t="str">
        <f t="shared" ca="1" si="16"/>
        <v/>
      </c>
      <c r="B96" s="53" t="str">
        <f t="shared" ca="1" si="13"/>
        <v/>
      </c>
      <c r="C96" s="25" t="str">
        <f t="shared" ca="1" si="17"/>
        <v/>
      </c>
      <c r="D96" s="26" t="str">
        <f t="shared" ca="1" si="18"/>
        <v/>
      </c>
      <c r="E96" s="53" t="str">
        <f t="shared" ca="1" si="14"/>
        <v/>
      </c>
      <c r="F96" s="25" t="str">
        <f t="shared" ca="1" si="19"/>
        <v/>
      </c>
      <c r="G96" s="26" t="str">
        <f t="shared" ca="1" si="20"/>
        <v/>
      </c>
      <c r="H96" s="53" t="str">
        <f t="shared" ca="1" si="15"/>
        <v/>
      </c>
      <c r="I96" s="25" t="str">
        <f t="shared" ca="1" si="21"/>
        <v/>
      </c>
      <c r="J96" s="26"/>
      <c r="K96" s="114" t="str">
        <f ca="1">IF($A96="","",IF(COUNTIFS(Dividends!$J:$J,"&gt;"&amp;INT($A95),Dividends!$J:$J,"&lt;="&amp;INT($A96))=0,"",$G$4*SUMIFS(Dividends!$K:$K,Dividends!$J:$J,"&gt;"&amp;INT($A95),Dividends!$J:$J,"&lt;="&amp;INT($A96))))</f>
        <v/>
      </c>
      <c r="L96" s="55" t="str">
        <f ca="1">IF(ISERROR(B96-2),"",C96+D96-F96-G96+I96+J96+SUM($K$14:K96))</f>
        <v/>
      </c>
      <c r="N96" s="52">
        <f ca="1"/>
        <v>46139</v>
      </c>
      <c r="O96" s="39">
        <f ca="1"/>
        <v>118.95</v>
      </c>
      <c r="P96" s="52">
        <f ca="1"/>
        <v>46167</v>
      </c>
      <c r="Q96" s="39">
        <f ca="1"/>
        <v>99.313999999999993</v>
      </c>
      <c r="R96" s="52">
        <f ca="1"/>
        <v>46141</v>
      </c>
      <c r="S96" s="39">
        <f ca="1"/>
        <v>524</v>
      </c>
      <c r="T96" s="52">
        <f t="shared" ca="1" si="11"/>
        <v>46139</v>
      </c>
      <c r="U96" s="97" t="str">
        <f t="shared" ca="1" si="12"/>
        <v/>
      </c>
    </row>
    <row r="97" spans="1:21" x14ac:dyDescent="0.25">
      <c r="A97" s="102" t="str">
        <f t="shared" ca="1" si="16"/>
        <v/>
      </c>
      <c r="B97" s="53" t="str">
        <f t="shared" ca="1" si="13"/>
        <v/>
      </c>
      <c r="C97" s="25" t="str">
        <f t="shared" ca="1" si="17"/>
        <v/>
      </c>
      <c r="D97" s="26" t="str">
        <f t="shared" ca="1" si="18"/>
        <v/>
      </c>
      <c r="E97" s="53" t="str">
        <f t="shared" ca="1" si="14"/>
        <v/>
      </c>
      <c r="F97" s="25" t="str">
        <f t="shared" ca="1" si="19"/>
        <v/>
      </c>
      <c r="G97" s="26" t="str">
        <f t="shared" ca="1" si="20"/>
        <v/>
      </c>
      <c r="H97" s="53" t="str">
        <f t="shared" ca="1" si="15"/>
        <v/>
      </c>
      <c r="I97" s="25" t="str">
        <f t="shared" ca="1" si="21"/>
        <v/>
      </c>
      <c r="J97" s="26"/>
      <c r="K97" s="114" t="str">
        <f ca="1">IF($A97="","",IF(COUNTIFS(Dividends!$J:$J,"&gt;"&amp;INT($A96),Dividends!$J:$J,"&lt;="&amp;INT($A97))=0,"",$G$4*SUMIFS(Dividends!$K:$K,Dividends!$J:$J,"&gt;"&amp;INT($A96),Dividends!$J:$J,"&lt;="&amp;INT($A97))))</f>
        <v/>
      </c>
      <c r="L97" s="55" t="str">
        <f ca="1">IF(ISERROR(B97-2),"",C97+D97-F97-G97+I97+J97+SUM($K$14:K97))</f>
        <v/>
      </c>
      <c r="N97" s="52">
        <f ca="1"/>
        <v>46140</v>
      </c>
      <c r="O97" s="39">
        <f ca="1"/>
        <v>118.8</v>
      </c>
      <c r="P97" s="52">
        <f ca="1"/>
        <v>46168</v>
      </c>
      <c r="Q97" s="39">
        <f ca="1"/>
        <v>99.131</v>
      </c>
      <c r="R97" s="52">
        <f ca="1"/>
        <v>46142</v>
      </c>
      <c r="S97" s="39">
        <f ca="1"/>
        <v>464.8</v>
      </c>
      <c r="T97" s="52">
        <f t="shared" ca="1" si="11"/>
        <v>46140</v>
      </c>
      <c r="U97" s="97" t="str">
        <f t="shared" ca="1" si="12"/>
        <v/>
      </c>
    </row>
    <row r="98" spans="1:21" x14ac:dyDescent="0.25">
      <c r="A98" s="102" t="str">
        <f t="shared" ca="1" si="16"/>
        <v/>
      </c>
      <c r="B98" s="53" t="str">
        <f t="shared" ca="1" si="13"/>
        <v/>
      </c>
      <c r="C98" s="25" t="str">
        <f t="shared" ca="1" si="17"/>
        <v/>
      </c>
      <c r="D98" s="26" t="str">
        <f t="shared" ca="1" si="18"/>
        <v/>
      </c>
      <c r="E98" s="53" t="str">
        <f t="shared" ca="1" si="14"/>
        <v/>
      </c>
      <c r="F98" s="25" t="str">
        <f t="shared" ca="1" si="19"/>
        <v/>
      </c>
      <c r="G98" s="26" t="str">
        <f t="shared" ca="1" si="20"/>
        <v/>
      </c>
      <c r="H98" s="53" t="str">
        <f t="shared" ca="1" si="15"/>
        <v/>
      </c>
      <c r="I98" s="25" t="str">
        <f t="shared" ca="1" si="21"/>
        <v/>
      </c>
      <c r="J98" s="26"/>
      <c r="K98" s="114" t="str">
        <f ca="1">IF($A98="","",IF(COUNTIFS(Dividends!$J:$J,"&gt;"&amp;INT($A97),Dividends!$J:$J,"&lt;="&amp;INT($A98))=0,"",$G$4*SUMIFS(Dividends!$K:$K,Dividends!$J:$J,"&gt;"&amp;INT($A97),Dividends!$J:$J,"&lt;="&amp;INT($A98))))</f>
        <v/>
      </c>
      <c r="L98" s="55" t="str">
        <f ca="1">IF(ISERROR(B98-2),"",C98+D98-F98-G98+I98+J98+SUM($K$14:K98))</f>
        <v/>
      </c>
      <c r="N98" s="52">
        <f ca="1"/>
        <v>46141</v>
      </c>
      <c r="O98" s="39">
        <f ca="1"/>
        <v>118.57</v>
      </c>
      <c r="P98" s="52">
        <f ca="1"/>
        <v>46169</v>
      </c>
      <c r="Q98" s="39">
        <f ca="1"/>
        <v>99.125</v>
      </c>
      <c r="R98" s="52">
        <f ca="1"/>
        <v>46146</v>
      </c>
      <c r="S98" s="39">
        <f ca="1"/>
        <v>555.29999999999995</v>
      </c>
      <c r="T98" s="52">
        <f t="shared" ca="1" si="11"/>
        <v>46141</v>
      </c>
      <c r="U98" s="97" t="str">
        <f t="shared" ca="1" si="12"/>
        <v/>
      </c>
    </row>
    <row r="99" spans="1:21" x14ac:dyDescent="0.25">
      <c r="A99" s="102" t="str">
        <f t="shared" ca="1" si="16"/>
        <v/>
      </c>
      <c r="B99" s="53" t="str">
        <f t="shared" ca="1" si="13"/>
        <v/>
      </c>
      <c r="C99" s="25" t="str">
        <f t="shared" ca="1" si="17"/>
        <v/>
      </c>
      <c r="D99" s="26" t="str">
        <f t="shared" ca="1" si="18"/>
        <v/>
      </c>
      <c r="E99" s="53" t="str">
        <f t="shared" ca="1" si="14"/>
        <v/>
      </c>
      <c r="F99" s="25" t="str">
        <f t="shared" ca="1" si="19"/>
        <v/>
      </c>
      <c r="G99" s="26" t="str">
        <f t="shared" ca="1" si="20"/>
        <v/>
      </c>
      <c r="H99" s="53" t="str">
        <f t="shared" ca="1" si="15"/>
        <v/>
      </c>
      <c r="I99" s="25" t="str">
        <f t="shared" ca="1" si="21"/>
        <v/>
      </c>
      <c r="J99" s="26"/>
      <c r="K99" s="114" t="str">
        <f ca="1">IF($A99="","",IF(COUNTIFS(Dividends!$J:$J,"&gt;"&amp;INT($A98),Dividends!$J:$J,"&lt;="&amp;INT($A99))=0,"",$G$4*SUMIFS(Dividends!$K:$K,Dividends!$J:$J,"&gt;"&amp;INT($A98),Dividends!$J:$J,"&lt;="&amp;INT($A99))))</f>
        <v/>
      </c>
      <c r="L99" s="55" t="str">
        <f ca="1">IF(ISERROR(B99-2),"",C99+D99-F99-G99+I99+J99+SUM($K$14:K99))</f>
        <v/>
      </c>
      <c r="N99" s="52">
        <f ca="1"/>
        <v>46142</v>
      </c>
      <c r="O99" s="39">
        <f ca="1"/>
        <v>119.02</v>
      </c>
      <c r="P99" s="52">
        <f ca="1"/>
        <v>46170</v>
      </c>
      <c r="Q99" s="39">
        <f ca="1"/>
        <v>99.251000000000005</v>
      </c>
      <c r="R99" s="52">
        <f ca="1"/>
        <v>46147</v>
      </c>
      <c r="S99" s="39">
        <f ca="1"/>
        <v>468.7</v>
      </c>
      <c r="T99" s="52">
        <f t="shared" ca="1" si="11"/>
        <v>46142</v>
      </c>
      <c r="U99" s="97" t="str">
        <f t="shared" ca="1" si="12"/>
        <v/>
      </c>
    </row>
    <row r="100" spans="1:21" x14ac:dyDescent="0.25">
      <c r="A100" s="102" t="str">
        <f t="shared" ca="1" si="16"/>
        <v/>
      </c>
      <c r="B100" s="53" t="str">
        <f t="shared" ca="1" si="13"/>
        <v/>
      </c>
      <c r="C100" s="25" t="str">
        <f t="shared" ca="1" si="17"/>
        <v/>
      </c>
      <c r="D100" s="26" t="str">
        <f t="shared" ca="1" si="18"/>
        <v/>
      </c>
      <c r="E100" s="53" t="str">
        <f t="shared" ca="1" si="14"/>
        <v/>
      </c>
      <c r="F100" s="25" t="str">
        <f t="shared" ca="1" si="19"/>
        <v/>
      </c>
      <c r="G100" s="26" t="str">
        <f t="shared" ca="1" si="20"/>
        <v/>
      </c>
      <c r="H100" s="53" t="str">
        <f t="shared" ca="1" si="15"/>
        <v/>
      </c>
      <c r="I100" s="25" t="str">
        <f t="shared" ca="1" si="21"/>
        <v/>
      </c>
      <c r="J100" s="26"/>
      <c r="K100" s="114" t="str">
        <f ca="1">IF($A100="","",IF(COUNTIFS(Dividends!$J:$J,"&gt;"&amp;INT($A99),Dividends!$J:$J,"&lt;="&amp;INT($A100))=0,"",$G$4*SUMIFS(Dividends!$K:$K,Dividends!$J:$J,"&gt;"&amp;INT($A99),Dividends!$J:$J,"&lt;="&amp;INT($A100))))</f>
        <v/>
      </c>
      <c r="L100" s="55" t="str">
        <f ca="1">IF(ISERROR(B100-2),"",C100+D100-F100-G100+I100+J100+SUM($K$14:K100))</f>
        <v/>
      </c>
      <c r="N100" s="52">
        <f ca="1"/>
        <v>46143</v>
      </c>
      <c r="O100" s="39">
        <f ca="1"/>
        <v>119.1</v>
      </c>
      <c r="P100" s="52">
        <f ca="1"/>
        <v>46171</v>
      </c>
      <c r="Q100" s="39">
        <f ca="1"/>
        <v>99.369</v>
      </c>
      <c r="R100" s="52">
        <f ca="1"/>
        <v>46148</v>
      </c>
      <c r="S100" s="39">
        <f ca="1"/>
        <v>343.4</v>
      </c>
      <c r="T100" s="52" t="str">
        <f t="shared" ca="1" si="11"/>
        <v/>
      </c>
      <c r="U100" s="97" t="str">
        <f t="shared" ca="1" si="12"/>
        <v/>
      </c>
    </row>
    <row r="101" spans="1:21" x14ac:dyDescent="0.25">
      <c r="A101" s="102" t="str">
        <f t="shared" ca="1" si="16"/>
        <v/>
      </c>
      <c r="B101" s="53" t="str">
        <f t="shared" ca="1" si="13"/>
        <v/>
      </c>
      <c r="C101" s="25" t="str">
        <f t="shared" ca="1" si="17"/>
        <v/>
      </c>
      <c r="D101" s="26" t="str">
        <f t="shared" ca="1" si="18"/>
        <v/>
      </c>
      <c r="E101" s="53" t="str">
        <f t="shared" ca="1" si="14"/>
        <v/>
      </c>
      <c r="F101" s="25" t="str">
        <f t="shared" ca="1" si="19"/>
        <v/>
      </c>
      <c r="G101" s="26" t="str">
        <f t="shared" ca="1" si="20"/>
        <v/>
      </c>
      <c r="H101" s="53" t="str">
        <f t="shared" ca="1" si="15"/>
        <v/>
      </c>
      <c r="I101" s="25" t="str">
        <f t="shared" ca="1" si="21"/>
        <v/>
      </c>
      <c r="J101" s="26"/>
      <c r="K101" s="114" t="str">
        <f ca="1">IF($A101="","",IF(COUNTIFS(Dividends!$J:$J,"&gt;"&amp;INT($A100),Dividends!$J:$J,"&lt;="&amp;INT($A101))=0,"",$G$4*SUMIFS(Dividends!$K:$K,Dividends!$J:$J,"&gt;"&amp;INT($A100),Dividends!$J:$J,"&lt;="&amp;INT($A101))))</f>
        <v/>
      </c>
      <c r="L101" s="55" t="str">
        <f ca="1">IF(ISERROR(B101-2),"",C101+D101-F101-G101+I101+J101+SUM($K$14:K101))</f>
        <v/>
      </c>
      <c r="N101" s="52">
        <f ca="1"/>
        <v>46147</v>
      </c>
      <c r="O101" s="39">
        <f ca="1"/>
        <v>118.8</v>
      </c>
      <c r="P101" s="52">
        <f ca="1"/>
        <v>46174</v>
      </c>
      <c r="Q101" s="39">
        <f ca="1"/>
        <v>99.016000000000005</v>
      </c>
      <c r="R101" s="52">
        <f ca="1"/>
        <v>46149</v>
      </c>
      <c r="S101" s="39">
        <f ca="1"/>
        <v>387.3</v>
      </c>
      <c r="T101" s="52">
        <f t="shared" ca="1" si="11"/>
        <v>46147</v>
      </c>
      <c r="U101" s="97" t="str">
        <f t="shared" ca="1" si="12"/>
        <v/>
      </c>
    </row>
    <row r="102" spans="1:21" x14ac:dyDescent="0.25">
      <c r="A102" s="102" t="str">
        <f t="shared" ca="1" si="16"/>
        <v/>
      </c>
      <c r="B102" s="53" t="str">
        <f t="shared" ca="1" si="13"/>
        <v/>
      </c>
      <c r="C102" s="25" t="str">
        <f t="shared" ca="1" si="17"/>
        <v/>
      </c>
      <c r="D102" s="26" t="str">
        <f t="shared" ca="1" si="18"/>
        <v/>
      </c>
      <c r="E102" s="53" t="str">
        <f t="shared" ca="1" si="14"/>
        <v/>
      </c>
      <c r="F102" s="25" t="str">
        <f t="shared" ca="1" si="19"/>
        <v/>
      </c>
      <c r="G102" s="26" t="str">
        <f t="shared" ca="1" si="20"/>
        <v/>
      </c>
      <c r="H102" s="53" t="str">
        <f t="shared" ca="1" si="15"/>
        <v/>
      </c>
      <c r="I102" s="25" t="str">
        <f t="shared" ca="1" si="21"/>
        <v/>
      </c>
      <c r="J102" s="26"/>
      <c r="K102" s="114" t="str">
        <f ca="1">IF($A102="","",IF(COUNTIFS(Dividends!$J:$J,"&gt;"&amp;INT($A101),Dividends!$J:$J,"&lt;="&amp;INT($A102))=0,"",$G$4*SUMIFS(Dividends!$K:$K,Dividends!$J:$J,"&gt;"&amp;INT($A101),Dividends!$J:$J,"&lt;="&amp;INT($A102))))</f>
        <v/>
      </c>
      <c r="L102" s="55" t="str">
        <f ca="1">IF(ISERROR(B102-2),"",C102+D102-F102-G102+I102+J102+SUM($K$14:K102))</f>
        <v/>
      </c>
      <c r="N102" s="52">
        <f ca="1"/>
        <v>46148</v>
      </c>
      <c r="O102" s="39">
        <f ca="1"/>
        <v>119.38</v>
      </c>
      <c r="P102" s="52">
        <f ca="1"/>
        <v>46175</v>
      </c>
      <c r="Q102" s="39">
        <f ca="1"/>
        <v>99.119</v>
      </c>
      <c r="R102" s="52">
        <f ca="1"/>
        <v>46150</v>
      </c>
      <c r="S102" s="39">
        <f ca="1"/>
        <v>428.9</v>
      </c>
      <c r="T102" s="52">
        <f t="shared" ca="1" si="11"/>
        <v>46148</v>
      </c>
      <c r="U102" s="97" t="str">
        <f t="shared" ca="1" si="12"/>
        <v/>
      </c>
    </row>
    <row r="103" spans="1:21" x14ac:dyDescent="0.25">
      <c r="A103" s="102" t="str">
        <f t="shared" ca="1" si="16"/>
        <v/>
      </c>
      <c r="B103" s="53" t="str">
        <f t="shared" ca="1" si="13"/>
        <v/>
      </c>
      <c r="C103" s="25" t="str">
        <f t="shared" ca="1" si="17"/>
        <v/>
      </c>
      <c r="D103" s="26" t="str">
        <f t="shared" ca="1" si="18"/>
        <v/>
      </c>
      <c r="E103" s="53" t="str">
        <f t="shared" ca="1" si="14"/>
        <v/>
      </c>
      <c r="F103" s="25" t="str">
        <f t="shared" ca="1" si="19"/>
        <v/>
      </c>
      <c r="G103" s="26" t="str">
        <f t="shared" ca="1" si="20"/>
        <v/>
      </c>
      <c r="H103" s="53" t="str">
        <f t="shared" ca="1" si="15"/>
        <v/>
      </c>
      <c r="I103" s="25" t="str">
        <f t="shared" ca="1" si="21"/>
        <v/>
      </c>
      <c r="J103" s="26"/>
      <c r="K103" s="114" t="str">
        <f ca="1">IF($A103="","",IF(COUNTIFS(Dividends!$J:$J,"&gt;"&amp;INT($A102),Dividends!$J:$J,"&lt;="&amp;INT($A103))=0,"",$G$4*SUMIFS(Dividends!$K:$K,Dividends!$J:$J,"&gt;"&amp;INT($A102),Dividends!$J:$J,"&lt;="&amp;INT($A103))))</f>
        <v/>
      </c>
      <c r="L103" s="55" t="str">
        <f ca="1">IF(ISERROR(B103-2),"",C103+D103-F103-G103+I103+J103+SUM($K$14:K103))</f>
        <v/>
      </c>
      <c r="N103" s="52">
        <f ca="1"/>
        <v>46149</v>
      </c>
      <c r="O103" s="39">
        <f ca="1"/>
        <v>119.4</v>
      </c>
      <c r="P103" s="52">
        <f ca="1"/>
        <v>46176</v>
      </c>
      <c r="Q103" s="39">
        <f ca="1"/>
        <v>98.849000000000004</v>
      </c>
      <c r="R103" s="52">
        <f ca="1"/>
        <v>46153</v>
      </c>
      <c r="S103" s="39">
        <f ca="1"/>
        <v>425.7</v>
      </c>
      <c r="T103" s="52">
        <f t="shared" ca="1" si="11"/>
        <v>46149</v>
      </c>
      <c r="U103" s="97" t="str">
        <f t="shared" ca="1" si="12"/>
        <v/>
      </c>
    </row>
    <row r="104" spans="1:21" x14ac:dyDescent="0.25">
      <c r="A104" s="102" t="str">
        <f t="shared" ca="1" si="16"/>
        <v/>
      </c>
      <c r="B104" s="53" t="str">
        <f t="shared" ca="1" si="13"/>
        <v/>
      </c>
      <c r="C104" s="25" t="str">
        <f t="shared" ca="1" si="17"/>
        <v/>
      </c>
      <c r="D104" s="26" t="str">
        <f t="shared" ca="1" si="18"/>
        <v/>
      </c>
      <c r="E104" s="53" t="str">
        <f t="shared" ca="1" si="14"/>
        <v/>
      </c>
      <c r="F104" s="25" t="str">
        <f t="shared" ca="1" si="19"/>
        <v/>
      </c>
      <c r="G104" s="26" t="str">
        <f t="shared" ca="1" si="20"/>
        <v/>
      </c>
      <c r="H104" s="53" t="str">
        <f t="shared" ca="1" si="15"/>
        <v/>
      </c>
      <c r="I104" s="25" t="str">
        <f t="shared" ca="1" si="21"/>
        <v/>
      </c>
      <c r="J104" s="26"/>
      <c r="K104" s="114" t="str">
        <f ca="1">IF($A104="","",IF(COUNTIFS(Dividends!$J:$J,"&gt;"&amp;INT($A103),Dividends!$J:$J,"&lt;="&amp;INT($A104))=0,"",$G$4*SUMIFS(Dividends!$K:$K,Dividends!$J:$J,"&gt;"&amp;INT($A103),Dividends!$J:$J,"&lt;="&amp;INT($A104))))</f>
        <v/>
      </c>
      <c r="L104" s="55" t="str">
        <f ca="1">IF(ISERROR(B104-2),"",C104+D104-F104-G104+I104+J104+SUM($K$14:K104))</f>
        <v/>
      </c>
      <c r="N104" s="52">
        <f ca="1"/>
        <v>46150</v>
      </c>
      <c r="O104" s="39">
        <f ca="1"/>
        <v>119.39</v>
      </c>
      <c r="P104" s="52">
        <f ca="1"/>
        <v>46177</v>
      </c>
      <c r="Q104" s="39">
        <f ca="1"/>
        <v>98.917000000000002</v>
      </c>
      <c r="R104" s="52">
        <f ca="1"/>
        <v>46154</v>
      </c>
      <c r="S104" s="39">
        <f ca="1"/>
        <v>492.5</v>
      </c>
      <c r="T104" s="52">
        <f t="shared" ca="1" si="11"/>
        <v>46150</v>
      </c>
      <c r="U104" s="97" t="str">
        <f t="shared" ca="1" si="12"/>
        <v/>
      </c>
    </row>
    <row r="105" spans="1:21" x14ac:dyDescent="0.25">
      <c r="A105" s="102" t="str">
        <f t="shared" ca="1" si="16"/>
        <v/>
      </c>
      <c r="B105" s="53" t="str">
        <f t="shared" ca="1" si="13"/>
        <v/>
      </c>
      <c r="C105" s="25" t="str">
        <f t="shared" ca="1" si="17"/>
        <v/>
      </c>
      <c r="D105" s="26" t="str">
        <f t="shared" ca="1" si="18"/>
        <v/>
      </c>
      <c r="E105" s="53" t="str">
        <f t="shared" ca="1" si="14"/>
        <v/>
      </c>
      <c r="F105" s="25" t="str">
        <f t="shared" ca="1" si="19"/>
        <v/>
      </c>
      <c r="G105" s="26" t="str">
        <f t="shared" ca="1" si="20"/>
        <v/>
      </c>
      <c r="H105" s="53" t="str">
        <f t="shared" ca="1" si="15"/>
        <v/>
      </c>
      <c r="I105" s="25" t="str">
        <f t="shared" ca="1" si="21"/>
        <v/>
      </c>
      <c r="J105" s="26"/>
      <c r="K105" s="114" t="str">
        <f ca="1">IF($A105="","",IF(COUNTIFS(Dividends!$J:$J,"&gt;"&amp;INT($A104),Dividends!$J:$J,"&lt;="&amp;INT($A105))=0,"",$G$4*SUMIFS(Dividends!$K:$K,Dividends!$J:$J,"&gt;"&amp;INT($A104),Dividends!$J:$J,"&lt;="&amp;INT($A105))))</f>
        <v/>
      </c>
      <c r="L105" s="55" t="str">
        <f ca="1">IF(ISERROR(B105-2),"",C105+D105-F105-G105+I105+J105+SUM($K$14:K105))</f>
        <v/>
      </c>
      <c r="N105" s="52">
        <f ca="1"/>
        <v>46153</v>
      </c>
      <c r="O105" s="39">
        <f ca="1"/>
        <v>119.12</v>
      </c>
      <c r="P105" s="52">
        <f ca="1"/>
        <v>46178</v>
      </c>
      <c r="Q105" s="39">
        <f ca="1"/>
        <v>98.784000000000006</v>
      </c>
      <c r="R105" s="52">
        <f ca="1"/>
        <v>46155</v>
      </c>
      <c r="S105" s="39">
        <f ca="1"/>
        <v>458.7</v>
      </c>
      <c r="T105" s="52">
        <f t="shared" ca="1" si="11"/>
        <v>46153</v>
      </c>
      <c r="U105" s="97" t="str">
        <f t="shared" ca="1" si="12"/>
        <v/>
      </c>
    </row>
    <row r="106" spans="1:21" x14ac:dyDescent="0.25">
      <c r="A106" s="102" t="str">
        <f t="shared" ca="1" si="16"/>
        <v/>
      </c>
      <c r="B106" s="53" t="str">
        <f t="shared" ca="1" si="13"/>
        <v/>
      </c>
      <c r="C106" s="25" t="str">
        <f t="shared" ca="1" si="17"/>
        <v/>
      </c>
      <c r="D106" s="26" t="str">
        <f t="shared" ca="1" si="18"/>
        <v/>
      </c>
      <c r="E106" s="53" t="str">
        <f t="shared" ca="1" si="14"/>
        <v/>
      </c>
      <c r="F106" s="25" t="str">
        <f t="shared" ca="1" si="19"/>
        <v/>
      </c>
      <c r="G106" s="26" t="str">
        <f t="shared" ca="1" si="20"/>
        <v/>
      </c>
      <c r="H106" s="53" t="str">
        <f t="shared" ca="1" si="15"/>
        <v/>
      </c>
      <c r="I106" s="25" t="str">
        <f t="shared" ca="1" si="21"/>
        <v/>
      </c>
      <c r="J106" s="26"/>
      <c r="K106" s="114" t="str">
        <f ca="1">IF($A106="","",IF(COUNTIFS(Dividends!$J:$J,"&gt;"&amp;INT($A105),Dividends!$J:$J,"&lt;="&amp;INT($A106))=0,"",$G$4*SUMIFS(Dividends!$K:$K,Dividends!$J:$J,"&gt;"&amp;INT($A105),Dividends!$J:$J,"&lt;="&amp;INT($A106))))</f>
        <v/>
      </c>
      <c r="L106" s="55" t="str">
        <f ca="1">IF(ISERROR(B106-2),"",C106+D106-F106-G106+I106+J106+SUM($K$14:K106))</f>
        <v/>
      </c>
      <c r="N106" s="52">
        <f ca="1"/>
        <v>46154</v>
      </c>
      <c r="O106" s="39">
        <f ca="1"/>
        <v>118.84</v>
      </c>
      <c r="P106" s="52">
        <f ca="1"/>
        <v>46181</v>
      </c>
      <c r="Q106" s="39">
        <f ca="1"/>
        <v>98.691999999999993</v>
      </c>
      <c r="R106" s="52">
        <f ca="1"/>
        <v>46156</v>
      </c>
      <c r="S106" s="39">
        <f ca="1"/>
        <v>400.1</v>
      </c>
      <c r="T106" s="52">
        <f t="shared" ca="1" si="11"/>
        <v>46154</v>
      </c>
      <c r="U106" s="97" t="str">
        <f t="shared" ca="1" si="12"/>
        <v/>
      </c>
    </row>
    <row r="107" spans="1:21" x14ac:dyDescent="0.25">
      <c r="A107" s="102" t="str">
        <f t="shared" ca="1" si="16"/>
        <v/>
      </c>
      <c r="B107" s="53" t="str">
        <f t="shared" ca="1" si="13"/>
        <v/>
      </c>
      <c r="C107" s="25" t="str">
        <f t="shared" ca="1" si="17"/>
        <v/>
      </c>
      <c r="D107" s="26" t="str">
        <f t="shared" ca="1" si="18"/>
        <v/>
      </c>
      <c r="E107" s="53" t="str">
        <f t="shared" ca="1" si="14"/>
        <v/>
      </c>
      <c r="F107" s="25" t="str">
        <f t="shared" ca="1" si="19"/>
        <v/>
      </c>
      <c r="G107" s="26" t="str">
        <f t="shared" ca="1" si="20"/>
        <v/>
      </c>
      <c r="H107" s="53" t="str">
        <f t="shared" ca="1" si="15"/>
        <v/>
      </c>
      <c r="I107" s="25" t="str">
        <f t="shared" ca="1" si="21"/>
        <v/>
      </c>
      <c r="J107" s="26"/>
      <c r="K107" s="114" t="str">
        <f ca="1">IF($A107="","",IF(COUNTIFS(Dividends!$J:$J,"&gt;"&amp;INT($A106),Dividends!$J:$J,"&lt;="&amp;INT($A107))=0,"",$G$4*SUMIFS(Dividends!$K:$K,Dividends!$J:$J,"&gt;"&amp;INT($A106),Dividends!$J:$J,"&lt;="&amp;INT($A107))))</f>
        <v/>
      </c>
      <c r="L107" s="55" t="str">
        <f ca="1">IF(ISERROR(B107-2),"",C107+D107-F107-G107+I107+J107+SUM($K$14:K107))</f>
        <v/>
      </c>
      <c r="N107" s="52">
        <f ca="1"/>
        <v>46155</v>
      </c>
      <c r="O107" s="39">
        <f ca="1"/>
        <v>118.88</v>
      </c>
      <c r="P107" s="52">
        <f ca="1"/>
        <v>46182</v>
      </c>
      <c r="Q107" s="39">
        <f ca="1"/>
        <v>98.834000000000003</v>
      </c>
      <c r="R107" s="52">
        <f ca="1"/>
        <v>46157</v>
      </c>
      <c r="S107" s="39">
        <f ca="1"/>
        <v>478.2</v>
      </c>
      <c r="T107" s="52">
        <f t="shared" ca="1" si="11"/>
        <v>46155</v>
      </c>
      <c r="U107" s="97" t="str">
        <f t="shared" ca="1" si="12"/>
        <v/>
      </c>
    </row>
    <row r="108" spans="1:21" x14ac:dyDescent="0.25">
      <c r="A108" s="102" t="str">
        <f t="shared" ca="1" si="16"/>
        <v/>
      </c>
      <c r="B108" s="53" t="str">
        <f t="shared" ca="1" si="13"/>
        <v/>
      </c>
      <c r="C108" s="25" t="str">
        <f t="shared" ca="1" si="17"/>
        <v/>
      </c>
      <c r="D108" s="26" t="str">
        <f t="shared" ca="1" si="18"/>
        <v/>
      </c>
      <c r="E108" s="53" t="str">
        <f t="shared" ca="1" si="14"/>
        <v/>
      </c>
      <c r="F108" s="25" t="str">
        <f t="shared" ca="1" si="19"/>
        <v/>
      </c>
      <c r="G108" s="26" t="str">
        <f t="shared" ca="1" si="20"/>
        <v/>
      </c>
      <c r="H108" s="53" t="str">
        <f t="shared" ca="1" si="15"/>
        <v/>
      </c>
      <c r="I108" s="25" t="str">
        <f t="shared" ca="1" si="21"/>
        <v/>
      </c>
      <c r="J108" s="26"/>
      <c r="K108" s="114" t="str">
        <f ca="1">IF($A108="","",IF(COUNTIFS(Dividends!$J:$J,"&gt;"&amp;INT($A107),Dividends!$J:$J,"&lt;="&amp;INT($A108))=0,"",$G$4*SUMIFS(Dividends!$K:$K,Dividends!$J:$J,"&gt;"&amp;INT($A107),Dividends!$J:$J,"&lt;="&amp;INT($A108))))</f>
        <v/>
      </c>
      <c r="L108" s="55" t="str">
        <f ca="1">IF(ISERROR(B108-2),"",C108+D108-F108-G108+I108+J108+SUM($K$14:K108))</f>
        <v/>
      </c>
      <c r="N108" s="52">
        <f ca="1"/>
        <v>46156</v>
      </c>
      <c r="O108" s="39">
        <f ca="1"/>
        <v>119.23</v>
      </c>
      <c r="P108" s="52">
        <f ca="1"/>
        <v>46183</v>
      </c>
      <c r="Q108" s="39">
        <f ca="1"/>
        <v>98.641999999999996</v>
      </c>
      <c r="R108" s="52">
        <f ca="1"/>
        <v>46160</v>
      </c>
      <c r="S108" s="39">
        <f ca="1"/>
        <v>462.4</v>
      </c>
      <c r="T108" s="52">
        <f t="shared" ca="1" si="11"/>
        <v>46156</v>
      </c>
      <c r="U108" s="97" t="str">
        <f t="shared" ca="1" si="12"/>
        <v/>
      </c>
    </row>
    <row r="109" spans="1:21" x14ac:dyDescent="0.25">
      <c r="A109" s="102" t="str">
        <f t="shared" ca="1" si="16"/>
        <v/>
      </c>
      <c r="B109" s="53" t="str">
        <f t="shared" ca="1" si="13"/>
        <v/>
      </c>
      <c r="C109" s="25" t="str">
        <f t="shared" ca="1" si="17"/>
        <v/>
      </c>
      <c r="D109" s="26" t="str">
        <f t="shared" ca="1" si="18"/>
        <v/>
      </c>
      <c r="E109" s="53" t="str">
        <f t="shared" ca="1" si="14"/>
        <v/>
      </c>
      <c r="F109" s="25" t="str">
        <f t="shared" ca="1" si="19"/>
        <v/>
      </c>
      <c r="G109" s="26" t="str">
        <f t="shared" ca="1" si="20"/>
        <v/>
      </c>
      <c r="H109" s="53" t="str">
        <f t="shared" ca="1" si="15"/>
        <v/>
      </c>
      <c r="I109" s="25" t="str">
        <f t="shared" ca="1" si="21"/>
        <v/>
      </c>
      <c r="J109" s="26"/>
      <c r="K109" s="114" t="str">
        <f ca="1">IF($A109="","",IF(COUNTIFS(Dividends!$J:$J,"&gt;"&amp;INT($A108),Dividends!$J:$J,"&lt;="&amp;INT($A109))=0,"",$G$4*SUMIFS(Dividends!$K:$K,Dividends!$J:$J,"&gt;"&amp;INT($A108),Dividends!$J:$J,"&lt;="&amp;INT($A109))))</f>
        <v/>
      </c>
      <c r="L109" s="55" t="str">
        <f ca="1">IF(ISERROR(B109-2),"",C109+D109-F109-G109+I109+J109+SUM($K$14:K109))</f>
        <v/>
      </c>
      <c r="N109" s="52">
        <f ca="1"/>
        <v>46157</v>
      </c>
      <c r="O109" s="39">
        <f ca="1"/>
        <v>118.785</v>
      </c>
      <c r="P109" s="52">
        <f ca="1"/>
        <v>46184</v>
      </c>
      <c r="Q109" s="39">
        <f ca="1"/>
        <v>98.832999999999998</v>
      </c>
      <c r="R109" s="52">
        <f ca="1"/>
        <v>46161</v>
      </c>
      <c r="S109" s="39">
        <f ca="1"/>
        <v>444.5</v>
      </c>
      <c r="T109" s="52">
        <f t="shared" ca="1" si="11"/>
        <v>46157</v>
      </c>
      <c r="U109" s="97" t="str">
        <f t="shared" ca="1" si="12"/>
        <v/>
      </c>
    </row>
    <row r="110" spans="1:21" x14ac:dyDescent="0.25">
      <c r="A110" s="102" t="str">
        <f t="shared" ca="1" si="16"/>
        <v/>
      </c>
      <c r="B110" s="53" t="str">
        <f t="shared" ca="1" si="13"/>
        <v/>
      </c>
      <c r="C110" s="25" t="str">
        <f t="shared" ca="1" si="17"/>
        <v/>
      </c>
      <c r="D110" s="26" t="str">
        <f t="shared" ca="1" si="18"/>
        <v/>
      </c>
      <c r="E110" s="53" t="str">
        <f t="shared" ca="1" si="14"/>
        <v/>
      </c>
      <c r="F110" s="25" t="str">
        <f t="shared" ca="1" si="19"/>
        <v/>
      </c>
      <c r="G110" s="26" t="str">
        <f t="shared" ca="1" si="20"/>
        <v/>
      </c>
      <c r="H110" s="53" t="str">
        <f t="shared" ca="1" si="15"/>
        <v/>
      </c>
      <c r="I110" s="25" t="str">
        <f t="shared" ca="1" si="21"/>
        <v/>
      </c>
      <c r="J110" s="26"/>
      <c r="K110" s="114" t="str">
        <f ca="1">IF($A110="","",IF(COUNTIFS(Dividends!$J:$J,"&gt;"&amp;INT($A109),Dividends!$J:$J,"&lt;="&amp;INT($A110))=0,"",$G$4*SUMIFS(Dividends!$K:$K,Dividends!$J:$J,"&gt;"&amp;INT($A109),Dividends!$J:$J,"&lt;="&amp;INT($A110))))</f>
        <v/>
      </c>
      <c r="L110" s="55" t="str">
        <f ca="1">IF(ISERROR(B110-2),"",C110+D110-F110-G110+I110+J110+SUM($K$14:K110))</f>
        <v/>
      </c>
      <c r="N110" s="52">
        <f ca="1"/>
        <v>46160</v>
      </c>
      <c r="O110" s="39">
        <f ca="1"/>
        <v>118.8</v>
      </c>
      <c r="P110" s="52">
        <f ca="1"/>
        <v>46185</v>
      </c>
      <c r="Q110" s="39">
        <f ca="1"/>
        <v>99.036000000000001</v>
      </c>
      <c r="R110" s="52">
        <f ca="1"/>
        <v>46162</v>
      </c>
      <c r="S110" s="39">
        <f ca="1"/>
        <v>362.7</v>
      </c>
      <c r="T110" s="52">
        <f t="shared" ca="1" si="11"/>
        <v>46160</v>
      </c>
      <c r="U110" s="97" t="str">
        <f t="shared" ca="1" si="12"/>
        <v/>
      </c>
    </row>
    <row r="111" spans="1:21" x14ac:dyDescent="0.25">
      <c r="A111" s="102" t="str">
        <f t="shared" ca="1" si="16"/>
        <v/>
      </c>
      <c r="B111" s="53" t="str">
        <f t="shared" ca="1" si="13"/>
        <v/>
      </c>
      <c r="C111" s="25" t="str">
        <f t="shared" ca="1" si="17"/>
        <v/>
      </c>
      <c r="D111" s="26" t="str">
        <f t="shared" ca="1" si="18"/>
        <v/>
      </c>
      <c r="E111" s="53" t="str">
        <f t="shared" ca="1" si="14"/>
        <v/>
      </c>
      <c r="F111" s="25" t="str">
        <f t="shared" ca="1" si="19"/>
        <v/>
      </c>
      <c r="G111" s="26" t="str">
        <f t="shared" ca="1" si="20"/>
        <v/>
      </c>
      <c r="H111" s="53" t="str">
        <f t="shared" ca="1" si="15"/>
        <v/>
      </c>
      <c r="I111" s="25" t="str">
        <f t="shared" ca="1" si="21"/>
        <v/>
      </c>
      <c r="J111" s="26"/>
      <c r="K111" s="114" t="str">
        <f ca="1">IF($A111="","",IF(COUNTIFS(Dividends!$J:$J,"&gt;"&amp;INT($A110),Dividends!$J:$J,"&lt;="&amp;INT($A111))=0,"",$G$4*SUMIFS(Dividends!$K:$K,Dividends!$J:$J,"&gt;"&amp;INT($A110),Dividends!$J:$J,"&lt;="&amp;INT($A111))))</f>
        <v/>
      </c>
      <c r="L111" s="55" t="str">
        <f ca="1">IF(ISERROR(B111-2),"",C111+D111-F111-G111+I111+J111+SUM($K$14:K111))</f>
        <v/>
      </c>
      <c r="N111" s="52">
        <f ca="1"/>
        <v>46161</v>
      </c>
      <c r="O111" s="39">
        <f ca="1"/>
        <v>118.57</v>
      </c>
      <c r="P111" s="52">
        <f ca="1"/>
        <v>46188</v>
      </c>
      <c r="Q111" s="39">
        <f ca="1"/>
        <v>99.25</v>
      </c>
      <c r="R111" s="52">
        <f ca="1"/>
        <v>46163</v>
      </c>
      <c r="S111" s="39">
        <f ca="1"/>
        <v>358.4</v>
      </c>
      <c r="T111" s="52">
        <f t="shared" ca="1" si="11"/>
        <v>46161</v>
      </c>
      <c r="U111" s="97" t="str">
        <f t="shared" ca="1" si="12"/>
        <v/>
      </c>
    </row>
    <row r="112" spans="1:21" x14ac:dyDescent="0.25">
      <c r="A112" s="102" t="str">
        <f t="shared" ca="1" si="16"/>
        <v/>
      </c>
      <c r="B112" s="53" t="str">
        <f t="shared" ca="1" si="13"/>
        <v/>
      </c>
      <c r="C112" s="25" t="str">
        <f t="shared" ca="1" si="17"/>
        <v/>
      </c>
      <c r="D112" s="26" t="str">
        <f t="shared" ca="1" si="18"/>
        <v/>
      </c>
      <c r="E112" s="53" t="str">
        <f t="shared" ca="1" si="14"/>
        <v/>
      </c>
      <c r="F112" s="25" t="str">
        <f t="shared" ca="1" si="19"/>
        <v/>
      </c>
      <c r="G112" s="26" t="str">
        <f t="shared" ca="1" si="20"/>
        <v/>
      </c>
      <c r="H112" s="53" t="str">
        <f t="shared" ca="1" si="15"/>
        <v/>
      </c>
      <c r="I112" s="25" t="str">
        <f t="shared" ca="1" si="21"/>
        <v/>
      </c>
      <c r="J112" s="26"/>
      <c r="K112" s="114" t="str">
        <f ca="1">IF($A112="","",IF(COUNTIFS(Dividends!$J:$J,"&gt;"&amp;INT($A111),Dividends!$J:$J,"&lt;="&amp;INT($A112))=0,"",$G$4*SUMIFS(Dividends!$K:$K,Dividends!$J:$J,"&gt;"&amp;INT($A111),Dividends!$J:$J,"&lt;="&amp;INT($A112))))</f>
        <v/>
      </c>
      <c r="L112" s="55" t="str">
        <f ca="1">IF(ISERROR(B112-2),"",C112+D112-F112-G112+I112+J112+SUM($K$14:K112))</f>
        <v/>
      </c>
      <c r="N112" s="52">
        <f ca="1"/>
        <v>46162</v>
      </c>
      <c r="O112" s="39">
        <f ca="1"/>
        <v>119.26</v>
      </c>
      <c r="P112" s="52">
        <f ca="1"/>
        <v>46189</v>
      </c>
      <c r="Q112" s="39">
        <f ca="1"/>
        <v>99.328000000000003</v>
      </c>
      <c r="R112" s="52">
        <f ca="1"/>
        <v>46164</v>
      </c>
      <c r="S112" s="39">
        <f ca="1"/>
        <v>323.10000000000002</v>
      </c>
      <c r="T112" s="52">
        <f t="shared" ca="1" si="11"/>
        <v>46162</v>
      </c>
      <c r="U112" s="97" t="str">
        <f t="shared" ca="1" si="12"/>
        <v/>
      </c>
    </row>
    <row r="113" spans="1:21" x14ac:dyDescent="0.25">
      <c r="A113" s="102" t="str">
        <f t="shared" ca="1" si="16"/>
        <v/>
      </c>
      <c r="B113" s="53" t="str">
        <f t="shared" ca="1" si="13"/>
        <v/>
      </c>
      <c r="C113" s="25" t="str">
        <f t="shared" ca="1" si="17"/>
        <v/>
      </c>
      <c r="D113" s="26" t="str">
        <f t="shared" ca="1" si="18"/>
        <v/>
      </c>
      <c r="E113" s="53" t="str">
        <f t="shared" ca="1" si="14"/>
        <v/>
      </c>
      <c r="F113" s="25" t="str">
        <f t="shared" ca="1" si="19"/>
        <v/>
      </c>
      <c r="G113" s="26" t="str">
        <f t="shared" ca="1" si="20"/>
        <v/>
      </c>
      <c r="H113" s="53" t="str">
        <f t="shared" ca="1" si="15"/>
        <v/>
      </c>
      <c r="I113" s="25" t="str">
        <f t="shared" ca="1" si="21"/>
        <v/>
      </c>
      <c r="J113" s="26"/>
      <c r="K113" s="114" t="str">
        <f ca="1">IF($A113="","",IF(COUNTIFS(Dividends!$J:$J,"&gt;"&amp;INT($A112),Dividends!$J:$J,"&lt;="&amp;INT($A113))=0,"",$G$4*SUMIFS(Dividends!$K:$K,Dividends!$J:$J,"&gt;"&amp;INT($A112),Dividends!$J:$J,"&lt;="&amp;INT($A113))))</f>
        <v/>
      </c>
      <c r="L113" s="55" t="str">
        <f ca="1">IF(ISERROR(B113-2),"",C113+D113-F113-G113+I113+J113+SUM($K$14:K113))</f>
        <v/>
      </c>
      <c r="N113" s="52">
        <f ca="1"/>
        <v>46163</v>
      </c>
      <c r="O113" s="39">
        <f ca="1"/>
        <v>119.08</v>
      </c>
      <c r="P113" s="52">
        <f ca="1"/>
        <v>46190</v>
      </c>
      <c r="Q113" s="39">
        <f ca="1"/>
        <v>99.284000000000006</v>
      </c>
      <c r="R113" s="52">
        <f ca="1"/>
        <v>46167</v>
      </c>
      <c r="S113" s="39">
        <f ca="1"/>
        <v>251.7</v>
      </c>
      <c r="T113" s="52">
        <f t="shared" ca="1" si="11"/>
        <v>46163</v>
      </c>
      <c r="U113" s="97" t="str">
        <f t="shared" ca="1" si="12"/>
        <v/>
      </c>
    </row>
    <row r="114" spans="1:21" x14ac:dyDescent="0.25">
      <c r="A114" s="102" t="str">
        <f t="shared" ca="1" si="16"/>
        <v/>
      </c>
      <c r="B114" s="53" t="str">
        <f t="shared" ca="1" si="13"/>
        <v/>
      </c>
      <c r="C114" s="25" t="str">
        <f t="shared" ca="1" si="17"/>
        <v/>
      </c>
      <c r="D114" s="26" t="str">
        <f t="shared" ca="1" si="18"/>
        <v/>
      </c>
      <c r="E114" s="53" t="str">
        <f t="shared" ca="1" si="14"/>
        <v/>
      </c>
      <c r="F114" s="25" t="str">
        <f t="shared" ca="1" si="19"/>
        <v/>
      </c>
      <c r="G114" s="26" t="str">
        <f t="shared" ca="1" si="20"/>
        <v/>
      </c>
      <c r="H114" s="53" t="str">
        <f t="shared" ca="1" si="15"/>
        <v/>
      </c>
      <c r="I114" s="25" t="str">
        <f t="shared" ca="1" si="21"/>
        <v/>
      </c>
      <c r="J114" s="26"/>
      <c r="K114" s="114" t="str">
        <f ca="1">IF($A114="","",IF(COUNTIFS(Dividends!$J:$J,"&gt;"&amp;INT($A113),Dividends!$J:$J,"&lt;="&amp;INT($A114))=0,"",$G$4*SUMIFS(Dividends!$K:$K,Dividends!$J:$J,"&gt;"&amp;INT($A113),Dividends!$J:$J,"&lt;="&amp;INT($A114))))</f>
        <v/>
      </c>
      <c r="L114" s="55" t="str">
        <f ca="1">IF(ISERROR(B114-2),"",C114+D114-F114-G114+I114+J114+SUM($K$14:K114))</f>
        <v/>
      </c>
      <c r="N114" s="52">
        <f ca="1"/>
        <v>46164</v>
      </c>
      <c r="O114" s="39">
        <f ca="1"/>
        <v>119.36</v>
      </c>
      <c r="R114" s="52">
        <f ca="1"/>
        <v>46168</v>
      </c>
      <c r="S114" s="39">
        <f ca="1"/>
        <v>288</v>
      </c>
      <c r="T114" s="52">
        <f t="shared" ca="1" si="11"/>
        <v>46164</v>
      </c>
      <c r="U114" s="97" t="str">
        <f t="shared" ca="1" si="12"/>
        <v/>
      </c>
    </row>
    <row r="115" spans="1:21" x14ac:dyDescent="0.25">
      <c r="A115" s="102" t="str">
        <f t="shared" ca="1" si="16"/>
        <v/>
      </c>
      <c r="B115" s="53" t="str">
        <f t="shared" ca="1" si="13"/>
        <v/>
      </c>
      <c r="C115" s="25" t="str">
        <f t="shared" ca="1" si="17"/>
        <v/>
      </c>
      <c r="D115" s="26" t="str">
        <f t="shared" ca="1" si="18"/>
        <v/>
      </c>
      <c r="E115" s="53" t="str">
        <f t="shared" ca="1" si="14"/>
        <v/>
      </c>
      <c r="F115" s="25" t="str">
        <f t="shared" ca="1" si="19"/>
        <v/>
      </c>
      <c r="G115" s="26" t="str">
        <f t="shared" ca="1" si="20"/>
        <v/>
      </c>
      <c r="H115" s="53" t="str">
        <f t="shared" ca="1" si="15"/>
        <v/>
      </c>
      <c r="I115" s="25" t="str">
        <f t="shared" ca="1" si="21"/>
        <v/>
      </c>
      <c r="J115" s="26"/>
      <c r="K115" s="114" t="str">
        <f ca="1">IF($A115="","",IF(COUNTIFS(Dividends!$J:$J,"&gt;"&amp;INT($A114),Dividends!$J:$J,"&lt;="&amp;INT($A115))=0,"",$G$4*SUMIFS(Dividends!$K:$K,Dividends!$J:$J,"&gt;"&amp;INT($A114),Dividends!$J:$J,"&lt;="&amp;INT($A115))))</f>
        <v/>
      </c>
      <c r="L115" s="55" t="str">
        <f ca="1">IF(ISERROR(B115-2),"",C115+D115-F115-G115+I115+J115+SUM($K$14:K115))</f>
        <v/>
      </c>
      <c r="N115" s="52">
        <f ca="1"/>
        <v>46168</v>
      </c>
      <c r="O115" s="39">
        <f ca="1"/>
        <v>119.85</v>
      </c>
      <c r="R115" s="52">
        <f ca="1"/>
        <v>46169</v>
      </c>
      <c r="S115" s="39">
        <f ca="1"/>
        <v>279</v>
      </c>
      <c r="T115" s="52">
        <f t="shared" ca="1" si="11"/>
        <v>46168</v>
      </c>
      <c r="U115" s="97" t="str">
        <f t="shared" ca="1" si="12"/>
        <v/>
      </c>
    </row>
    <row r="116" spans="1:21" x14ac:dyDescent="0.25">
      <c r="A116" s="102" t="str">
        <f t="shared" ca="1" si="16"/>
        <v/>
      </c>
      <c r="B116" s="53" t="str">
        <f t="shared" ca="1" si="13"/>
        <v/>
      </c>
      <c r="C116" s="25" t="str">
        <f t="shared" ca="1" si="17"/>
        <v/>
      </c>
      <c r="D116" s="26" t="str">
        <f t="shared" ca="1" si="18"/>
        <v/>
      </c>
      <c r="E116" s="53" t="str">
        <f t="shared" ca="1" si="14"/>
        <v/>
      </c>
      <c r="F116" s="25" t="str">
        <f t="shared" ca="1" si="19"/>
        <v/>
      </c>
      <c r="G116" s="26" t="str">
        <f t="shared" ca="1" si="20"/>
        <v/>
      </c>
      <c r="H116" s="53" t="str">
        <f t="shared" ca="1" si="15"/>
        <v/>
      </c>
      <c r="I116" s="25" t="str">
        <f t="shared" ca="1" si="21"/>
        <v/>
      </c>
      <c r="J116" s="26"/>
      <c r="K116" s="114" t="str">
        <f ca="1">IF($A116="","",IF(COUNTIFS(Dividends!$J:$J,"&gt;"&amp;INT($A115),Dividends!$J:$J,"&lt;="&amp;INT($A116))=0,"",$G$4*SUMIFS(Dividends!$K:$K,Dividends!$J:$J,"&gt;"&amp;INT($A115),Dividends!$J:$J,"&lt;="&amp;INT($A116))))</f>
        <v/>
      </c>
      <c r="L116" s="55" t="str">
        <f ca="1">IF(ISERROR(B116-2),"",C116+D116-F116-G116+I116+J116+SUM($K$14:K116))</f>
        <v/>
      </c>
      <c r="N116" s="52">
        <f ca="1"/>
        <v>46169</v>
      </c>
      <c r="O116" s="39">
        <f ca="1"/>
        <v>119.74</v>
      </c>
      <c r="R116" s="52">
        <f ca="1"/>
        <v>46170</v>
      </c>
      <c r="S116" s="39">
        <f ca="1"/>
        <v>290.7</v>
      </c>
      <c r="T116" s="52">
        <f t="shared" ca="1" si="11"/>
        <v>46169</v>
      </c>
      <c r="U116" s="97" t="str">
        <f t="shared" ca="1" si="12"/>
        <v/>
      </c>
    </row>
    <row r="117" spans="1:21" x14ac:dyDescent="0.25">
      <c r="A117" s="102" t="str">
        <f t="shared" ca="1" si="16"/>
        <v/>
      </c>
      <c r="B117" s="53" t="str">
        <f t="shared" ca="1" si="13"/>
        <v/>
      </c>
      <c r="C117" s="25" t="str">
        <f t="shared" ca="1" si="17"/>
        <v/>
      </c>
      <c r="D117" s="26" t="str">
        <f t="shared" ca="1" si="18"/>
        <v/>
      </c>
      <c r="E117" s="53" t="str">
        <f t="shared" ca="1" si="14"/>
        <v/>
      </c>
      <c r="F117" s="25" t="str">
        <f t="shared" ca="1" si="19"/>
        <v/>
      </c>
      <c r="G117" s="26" t="str">
        <f t="shared" ca="1" si="20"/>
        <v/>
      </c>
      <c r="H117" s="53" t="str">
        <f t="shared" ca="1" si="15"/>
        <v/>
      </c>
      <c r="I117" s="25" t="str">
        <f t="shared" ca="1" si="21"/>
        <v/>
      </c>
      <c r="J117" s="26"/>
      <c r="K117" s="114" t="str">
        <f ca="1">IF($A117="","",IF(COUNTIFS(Dividends!$J:$J,"&gt;"&amp;INT($A116),Dividends!$J:$J,"&lt;="&amp;INT($A117))=0,"",$G$4*SUMIFS(Dividends!$K:$K,Dividends!$J:$J,"&gt;"&amp;INT($A116),Dividends!$J:$J,"&lt;="&amp;INT($A117))))</f>
        <v/>
      </c>
      <c r="L117" s="55" t="str">
        <f ca="1">IF(ISERROR(B117-2),"",C117+D117-F117-G117+I117+J117+SUM($K$14:K117))</f>
        <v/>
      </c>
      <c r="N117" s="52">
        <f ca="1"/>
        <v>46170</v>
      </c>
      <c r="O117" s="39">
        <f ca="1"/>
        <v>120</v>
      </c>
      <c r="R117" s="52">
        <f ca="1"/>
        <v>46171</v>
      </c>
      <c r="S117" s="39">
        <f ca="1"/>
        <v>285.10000000000002</v>
      </c>
      <c r="T117" s="52">
        <f t="shared" ca="1" si="11"/>
        <v>46170</v>
      </c>
      <c r="U117" s="97" t="str">
        <f t="shared" ca="1" si="12"/>
        <v/>
      </c>
    </row>
    <row r="118" spans="1:21" x14ac:dyDescent="0.25">
      <c r="A118" s="102" t="str">
        <f t="shared" ca="1" si="16"/>
        <v/>
      </c>
      <c r="B118" s="53" t="str">
        <f t="shared" ca="1" si="13"/>
        <v/>
      </c>
      <c r="C118" s="25" t="str">
        <f t="shared" ca="1" si="17"/>
        <v/>
      </c>
      <c r="D118" s="26" t="str">
        <f t="shared" ca="1" si="18"/>
        <v/>
      </c>
      <c r="E118" s="53" t="str">
        <f t="shared" ca="1" si="14"/>
        <v/>
      </c>
      <c r="F118" s="25" t="str">
        <f t="shared" ca="1" si="19"/>
        <v/>
      </c>
      <c r="G118" s="26" t="str">
        <f t="shared" ca="1" si="20"/>
        <v/>
      </c>
      <c r="H118" s="53" t="str">
        <f t="shared" ca="1" si="15"/>
        <v/>
      </c>
      <c r="I118" s="25" t="str">
        <f t="shared" ca="1" si="21"/>
        <v/>
      </c>
      <c r="J118" s="26"/>
      <c r="K118" s="114" t="str">
        <f ca="1">IF($A118="","",IF(COUNTIFS(Dividends!$J:$J,"&gt;"&amp;INT($A117),Dividends!$J:$J,"&lt;="&amp;INT($A118))=0,"",$G$4*SUMIFS(Dividends!$K:$K,Dividends!$J:$J,"&gt;"&amp;INT($A117),Dividends!$J:$J,"&lt;="&amp;INT($A118))))</f>
        <v/>
      </c>
      <c r="L118" s="55" t="str">
        <f ca="1">IF(ISERROR(B118-2),"",C118+D118-F118-G118+I118+J118+SUM($K$14:K118))</f>
        <v/>
      </c>
      <c r="N118" s="52">
        <f ca="1"/>
        <v>46171</v>
      </c>
      <c r="O118" s="39">
        <f ca="1"/>
        <v>120.08</v>
      </c>
      <c r="R118" s="52">
        <f ca="1"/>
        <v>46174</v>
      </c>
      <c r="S118" s="39">
        <f ca="1"/>
        <v>307.3</v>
      </c>
      <c r="T118" s="52">
        <f t="shared" ca="1" si="11"/>
        <v>46171</v>
      </c>
      <c r="U118" s="97" t="str">
        <f t="shared" ca="1" si="12"/>
        <v/>
      </c>
    </row>
    <row r="119" spans="1:21" x14ac:dyDescent="0.25">
      <c r="A119" s="102" t="str">
        <f t="shared" ca="1" si="16"/>
        <v/>
      </c>
      <c r="B119" s="53" t="str">
        <f t="shared" ca="1" si="13"/>
        <v/>
      </c>
      <c r="C119" s="25" t="str">
        <f t="shared" ca="1" si="17"/>
        <v/>
      </c>
      <c r="D119" s="26" t="str">
        <f t="shared" ca="1" si="18"/>
        <v/>
      </c>
      <c r="E119" s="53" t="str">
        <f t="shared" ca="1" si="14"/>
        <v/>
      </c>
      <c r="F119" s="25" t="str">
        <f t="shared" ca="1" si="19"/>
        <v/>
      </c>
      <c r="G119" s="26" t="str">
        <f t="shared" ca="1" si="20"/>
        <v/>
      </c>
      <c r="H119" s="53" t="str">
        <f t="shared" ca="1" si="15"/>
        <v/>
      </c>
      <c r="I119" s="25" t="str">
        <f t="shared" ca="1" si="21"/>
        <v/>
      </c>
      <c r="J119" s="26"/>
      <c r="K119" s="114" t="str">
        <f ca="1">IF($A119="","",IF(COUNTIFS(Dividends!$J:$J,"&gt;"&amp;INT($A118),Dividends!$J:$J,"&lt;="&amp;INT($A119))=0,"",$G$4*SUMIFS(Dividends!$K:$K,Dividends!$J:$J,"&gt;"&amp;INT($A118),Dividends!$J:$J,"&lt;="&amp;INT($A119))))</f>
        <v/>
      </c>
      <c r="L119" s="55" t="str">
        <f ca="1">IF(ISERROR(B119-2),"",C119+D119-F119-G119+I119+J119+SUM($K$14:K119))</f>
        <v/>
      </c>
      <c r="N119" s="52">
        <f ca="1"/>
        <v>46174</v>
      </c>
      <c r="O119" s="39">
        <f ca="1"/>
        <v>119.72</v>
      </c>
      <c r="R119" s="52">
        <f ca="1"/>
        <v>46175</v>
      </c>
      <c r="S119" s="39">
        <f ca="1"/>
        <v>252.8</v>
      </c>
      <c r="T119" s="52">
        <f t="shared" ca="1" si="11"/>
        <v>46174</v>
      </c>
      <c r="U119" s="97" t="str">
        <f t="shared" ca="1" si="12"/>
        <v/>
      </c>
    </row>
    <row r="120" spans="1:21" x14ac:dyDescent="0.25">
      <c r="A120" s="102" t="str">
        <f t="shared" ca="1" si="16"/>
        <v/>
      </c>
      <c r="B120" s="53" t="str">
        <f t="shared" ca="1" si="13"/>
        <v/>
      </c>
      <c r="C120" s="25" t="str">
        <f t="shared" ca="1" si="17"/>
        <v/>
      </c>
      <c r="D120" s="26" t="str">
        <f t="shared" ca="1" si="18"/>
        <v/>
      </c>
      <c r="E120" s="53" t="str">
        <f t="shared" ca="1" si="14"/>
        <v/>
      </c>
      <c r="F120" s="25" t="str">
        <f t="shared" ca="1" si="19"/>
        <v/>
      </c>
      <c r="G120" s="26" t="str">
        <f t="shared" ca="1" si="20"/>
        <v/>
      </c>
      <c r="H120" s="53" t="str">
        <f t="shared" ca="1" si="15"/>
        <v/>
      </c>
      <c r="I120" s="25" t="str">
        <f t="shared" ca="1" si="21"/>
        <v/>
      </c>
      <c r="J120" s="26"/>
      <c r="K120" s="114" t="str">
        <f ca="1">IF($A120="","",IF(COUNTIFS(Dividends!$J:$J,"&gt;"&amp;INT($A119),Dividends!$J:$J,"&lt;="&amp;INT($A120))=0,"",$G$4*SUMIFS(Dividends!$K:$K,Dividends!$J:$J,"&gt;"&amp;INT($A119),Dividends!$J:$J,"&lt;="&amp;INT($A120))))</f>
        <v/>
      </c>
      <c r="L120" s="55" t="str">
        <f ca="1">IF(ISERROR(B120-2),"",C120+D120-F120-G120+I120+J120+SUM($K$14:K120))</f>
        <v/>
      </c>
      <c r="N120" s="52">
        <f ca="1"/>
        <v>46175</v>
      </c>
      <c r="O120" s="39">
        <f ca="1"/>
        <v>119.95</v>
      </c>
      <c r="R120" s="52">
        <f ca="1"/>
        <v>46176</v>
      </c>
      <c r="S120" s="39">
        <f ca="1"/>
        <v>279.5</v>
      </c>
      <c r="T120" s="52">
        <f t="shared" ca="1" si="11"/>
        <v>46175</v>
      </c>
      <c r="U120" s="97" t="str">
        <f t="shared" ca="1" si="12"/>
        <v/>
      </c>
    </row>
    <row r="121" spans="1:21" x14ac:dyDescent="0.25">
      <c r="A121" s="102" t="str">
        <f t="shared" ca="1" si="16"/>
        <v/>
      </c>
      <c r="B121" s="53" t="str">
        <f t="shared" ca="1" si="13"/>
        <v/>
      </c>
      <c r="C121" s="25" t="str">
        <f t="shared" ca="1" si="17"/>
        <v/>
      </c>
      <c r="D121" s="26" t="str">
        <f t="shared" ca="1" si="18"/>
        <v/>
      </c>
      <c r="E121" s="53" t="str">
        <f t="shared" ca="1" si="14"/>
        <v/>
      </c>
      <c r="F121" s="25" t="str">
        <f t="shared" ca="1" si="19"/>
        <v/>
      </c>
      <c r="G121" s="26" t="str">
        <f t="shared" ca="1" si="20"/>
        <v/>
      </c>
      <c r="H121" s="53" t="str">
        <f t="shared" ca="1" si="15"/>
        <v/>
      </c>
      <c r="I121" s="25" t="str">
        <f t="shared" ca="1" si="21"/>
        <v/>
      </c>
      <c r="J121" s="26"/>
      <c r="K121" s="114" t="str">
        <f ca="1">IF($A121="","",IF(COUNTIFS(Dividends!$J:$J,"&gt;"&amp;INT($A120),Dividends!$J:$J,"&lt;="&amp;INT($A121))=0,"",$G$4*SUMIFS(Dividends!$K:$K,Dividends!$J:$J,"&gt;"&amp;INT($A120),Dividends!$J:$J,"&lt;="&amp;INT($A121))))</f>
        <v/>
      </c>
      <c r="L121" s="55" t="str">
        <f ca="1">IF(ISERROR(B121-2),"",C121+D121-F121-G121+I121+J121+SUM($K$14:K121))</f>
        <v/>
      </c>
      <c r="N121" s="52">
        <f ca="1"/>
        <v>46176</v>
      </c>
      <c r="O121" s="39">
        <f ca="1"/>
        <v>119.67</v>
      </c>
      <c r="R121" s="52">
        <f ca="1"/>
        <v>46177</v>
      </c>
      <c r="S121" s="39">
        <f ca="1"/>
        <v>260.7</v>
      </c>
      <c r="T121" s="52">
        <f t="shared" ca="1" si="11"/>
        <v>46176</v>
      </c>
      <c r="U121" s="97" t="str">
        <f t="shared" ca="1" si="12"/>
        <v/>
      </c>
    </row>
    <row r="122" spans="1:21" x14ac:dyDescent="0.25">
      <c r="A122" s="102" t="str">
        <f t="shared" ca="1" si="16"/>
        <v/>
      </c>
      <c r="B122" s="53" t="str">
        <f t="shared" ca="1" si="13"/>
        <v/>
      </c>
      <c r="C122" s="25" t="str">
        <f t="shared" ca="1" si="17"/>
        <v/>
      </c>
      <c r="D122" s="26" t="str">
        <f t="shared" ca="1" si="18"/>
        <v/>
      </c>
      <c r="E122" s="53" t="str">
        <f t="shared" ca="1" si="14"/>
        <v/>
      </c>
      <c r="F122" s="25" t="str">
        <f t="shared" ca="1" si="19"/>
        <v/>
      </c>
      <c r="G122" s="26" t="str">
        <f t="shared" ca="1" si="20"/>
        <v/>
      </c>
      <c r="H122" s="53" t="str">
        <f t="shared" ca="1" si="15"/>
        <v/>
      </c>
      <c r="I122" s="25" t="str">
        <f t="shared" ca="1" si="21"/>
        <v/>
      </c>
      <c r="J122" s="26"/>
      <c r="K122" s="114" t="str">
        <f ca="1">IF($A122="","",IF(COUNTIFS(Dividends!$J:$J,"&gt;"&amp;INT($A121),Dividends!$J:$J,"&lt;="&amp;INT($A122))=0,"",$G$4*SUMIFS(Dividends!$K:$K,Dividends!$J:$J,"&gt;"&amp;INT($A121),Dividends!$J:$J,"&lt;="&amp;INT($A122))))</f>
        <v/>
      </c>
      <c r="L122" s="55" t="str">
        <f ca="1">IF(ISERROR(B122-2),"",C122+D122-F122-G122+I122+J122+SUM($K$14:K122))</f>
        <v/>
      </c>
      <c r="N122" s="52">
        <f ca="1"/>
        <v>46177</v>
      </c>
      <c r="O122" s="39">
        <f ca="1"/>
        <v>119.74</v>
      </c>
      <c r="R122" s="52">
        <f ca="1"/>
        <v>46178</v>
      </c>
      <c r="S122" s="39">
        <f ca="1"/>
        <v>273.39999999999998</v>
      </c>
      <c r="T122" s="52">
        <f t="shared" ca="1" si="11"/>
        <v>46177</v>
      </c>
      <c r="U122" s="97" t="str">
        <f t="shared" ca="1" si="12"/>
        <v/>
      </c>
    </row>
    <row r="123" spans="1:21" x14ac:dyDescent="0.25">
      <c r="A123" s="102" t="str">
        <f t="shared" ca="1" si="16"/>
        <v/>
      </c>
      <c r="B123" s="53" t="str">
        <f t="shared" ca="1" si="13"/>
        <v/>
      </c>
      <c r="C123" s="25" t="str">
        <f t="shared" ca="1" si="17"/>
        <v/>
      </c>
      <c r="D123" s="26" t="str">
        <f t="shared" ca="1" si="18"/>
        <v/>
      </c>
      <c r="E123" s="53" t="str">
        <f t="shared" ca="1" si="14"/>
        <v/>
      </c>
      <c r="F123" s="25" t="str">
        <f t="shared" ca="1" si="19"/>
        <v/>
      </c>
      <c r="G123" s="26" t="str">
        <f t="shared" ca="1" si="20"/>
        <v/>
      </c>
      <c r="H123" s="53" t="str">
        <f t="shared" ca="1" si="15"/>
        <v/>
      </c>
      <c r="I123" s="25" t="str">
        <f t="shared" ca="1" si="21"/>
        <v/>
      </c>
      <c r="J123" s="26"/>
      <c r="K123" s="114" t="str">
        <f ca="1">IF($A123="","",IF(COUNTIFS(Dividends!$J:$J,"&gt;"&amp;INT($A122),Dividends!$J:$J,"&lt;="&amp;INT($A123))=0,"",$G$4*SUMIFS(Dividends!$K:$K,Dividends!$J:$J,"&gt;"&amp;INT($A122),Dividends!$J:$J,"&lt;="&amp;INT($A123))))</f>
        <v/>
      </c>
      <c r="L123" s="55" t="str">
        <f ca="1">IF(ISERROR(B123-2),"",C123+D123-F123-G123+I123+J123+SUM($K$14:K123))</f>
        <v/>
      </c>
      <c r="N123" s="52">
        <f ca="1"/>
        <v>46178</v>
      </c>
      <c r="O123" s="39">
        <f ca="1"/>
        <v>119.63</v>
      </c>
      <c r="R123" s="52">
        <f ca="1"/>
        <v>46181</v>
      </c>
      <c r="S123" s="39">
        <f ca="1"/>
        <v>264.60000000000002</v>
      </c>
      <c r="T123" s="52">
        <f t="shared" ca="1" si="11"/>
        <v>46178</v>
      </c>
      <c r="U123" s="97" t="str">
        <f t="shared" ca="1" si="12"/>
        <v/>
      </c>
    </row>
    <row r="124" spans="1:21" x14ac:dyDescent="0.25">
      <c r="A124" s="102" t="str">
        <f t="shared" ca="1" si="16"/>
        <v/>
      </c>
      <c r="B124" s="53" t="str">
        <f t="shared" ca="1" si="13"/>
        <v/>
      </c>
      <c r="C124" s="25" t="str">
        <f t="shared" ca="1" si="17"/>
        <v/>
      </c>
      <c r="D124" s="26" t="str">
        <f t="shared" ca="1" si="18"/>
        <v/>
      </c>
      <c r="E124" s="53" t="str">
        <f t="shared" ca="1" si="14"/>
        <v/>
      </c>
      <c r="F124" s="25" t="str">
        <f t="shared" ca="1" si="19"/>
        <v/>
      </c>
      <c r="G124" s="26" t="str">
        <f t="shared" ca="1" si="20"/>
        <v/>
      </c>
      <c r="H124" s="53" t="str">
        <f t="shared" ca="1" si="15"/>
        <v/>
      </c>
      <c r="I124" s="25" t="str">
        <f t="shared" ca="1" si="21"/>
        <v/>
      </c>
      <c r="J124" s="26"/>
      <c r="K124" s="114" t="str">
        <f ca="1">IF($A124="","",IF(COUNTIFS(Dividends!$J:$J,"&gt;"&amp;INT($A123),Dividends!$J:$J,"&lt;="&amp;INT($A124))=0,"",$G$4*SUMIFS(Dividends!$K:$K,Dividends!$J:$J,"&gt;"&amp;INT($A123),Dividends!$J:$J,"&lt;="&amp;INT($A124))))</f>
        <v/>
      </c>
      <c r="L124" s="55" t="str">
        <f ca="1">IF(ISERROR(B124-2),"",C124+D124-F124-G124+I124+J124+SUM($K$14:K124))</f>
        <v/>
      </c>
      <c r="N124" s="52">
        <f ca="1"/>
        <v>46181</v>
      </c>
      <c r="O124" s="39">
        <f ca="1"/>
        <v>119.49</v>
      </c>
      <c r="R124" s="52">
        <f ca="1"/>
        <v>46182</v>
      </c>
      <c r="S124" s="39">
        <f ca="1"/>
        <v>283.60000000000002</v>
      </c>
      <c r="T124" s="52">
        <f t="shared" ca="1" si="11"/>
        <v>46181</v>
      </c>
      <c r="U124" s="97" t="str">
        <f t="shared" ca="1" si="12"/>
        <v/>
      </c>
    </row>
    <row r="125" spans="1:21" x14ac:dyDescent="0.25">
      <c r="A125" s="102" t="str">
        <f t="shared" ca="1" si="16"/>
        <v/>
      </c>
      <c r="B125" s="53" t="str">
        <f t="shared" ca="1" si="13"/>
        <v/>
      </c>
      <c r="C125" s="25" t="str">
        <f t="shared" ca="1" si="17"/>
        <v/>
      </c>
      <c r="D125" s="26" t="str">
        <f t="shared" ca="1" si="18"/>
        <v/>
      </c>
      <c r="E125" s="53" t="str">
        <f t="shared" ca="1" si="14"/>
        <v/>
      </c>
      <c r="F125" s="25" t="str">
        <f t="shared" ca="1" si="19"/>
        <v/>
      </c>
      <c r="G125" s="26" t="str">
        <f t="shared" ca="1" si="20"/>
        <v/>
      </c>
      <c r="H125" s="53" t="str">
        <f t="shared" ca="1" si="15"/>
        <v/>
      </c>
      <c r="I125" s="25" t="str">
        <f t="shared" ca="1" si="21"/>
        <v/>
      </c>
      <c r="J125" s="26"/>
      <c r="K125" s="114" t="str">
        <f ca="1">IF($A125="","",IF(COUNTIFS(Dividends!$J:$J,"&gt;"&amp;INT($A124),Dividends!$J:$J,"&lt;="&amp;INT($A125))=0,"",$G$4*SUMIFS(Dividends!$K:$K,Dividends!$J:$J,"&gt;"&amp;INT($A124),Dividends!$J:$J,"&lt;="&amp;INT($A125))))</f>
        <v/>
      </c>
      <c r="L125" s="55" t="str">
        <f ca="1">IF(ISERROR(B125-2),"",C125+D125-F125-G125+I125+J125+SUM($K$14:K125))</f>
        <v/>
      </c>
      <c r="N125" s="52">
        <f ca="1"/>
        <v>46182</v>
      </c>
      <c r="O125" s="39">
        <f ca="1"/>
        <v>119.55</v>
      </c>
      <c r="R125" s="52">
        <f ca="1"/>
        <v>46183</v>
      </c>
      <c r="S125" s="39">
        <f ca="1"/>
        <v>300.7</v>
      </c>
      <c r="T125" s="52">
        <f t="shared" ca="1" si="11"/>
        <v>46182</v>
      </c>
      <c r="U125" s="97" t="str">
        <f t="shared" ca="1" si="12"/>
        <v/>
      </c>
    </row>
    <row r="126" spans="1:21" x14ac:dyDescent="0.25">
      <c r="A126" s="102" t="str">
        <f t="shared" ca="1" si="16"/>
        <v/>
      </c>
      <c r="B126" s="53" t="str">
        <f t="shared" ca="1" si="13"/>
        <v/>
      </c>
      <c r="C126" s="25" t="str">
        <f t="shared" ca="1" si="17"/>
        <v/>
      </c>
      <c r="D126" s="26" t="str">
        <f t="shared" ca="1" si="18"/>
        <v/>
      </c>
      <c r="E126" s="53" t="str">
        <f t="shared" ca="1" si="14"/>
        <v/>
      </c>
      <c r="F126" s="25" t="str">
        <f t="shared" ca="1" si="19"/>
        <v/>
      </c>
      <c r="G126" s="26" t="str">
        <f t="shared" ca="1" si="20"/>
        <v/>
      </c>
      <c r="H126" s="53" t="str">
        <f t="shared" ca="1" si="15"/>
        <v/>
      </c>
      <c r="I126" s="25" t="str">
        <f t="shared" ca="1" si="21"/>
        <v/>
      </c>
      <c r="J126" s="26"/>
      <c r="K126" s="114" t="str">
        <f ca="1">IF($A126="","",IF(COUNTIFS(Dividends!$J:$J,"&gt;"&amp;INT($A125),Dividends!$J:$J,"&lt;="&amp;INT($A126))=0,"",$G$4*SUMIFS(Dividends!$K:$K,Dividends!$J:$J,"&gt;"&amp;INT($A125),Dividends!$J:$J,"&lt;="&amp;INT($A126))))</f>
        <v/>
      </c>
      <c r="L126" s="55" t="str">
        <f ca="1">IF(ISERROR(B126-2),"",C126+D126-F126-G126+I126+J126+SUM($K$14:K126))</f>
        <v/>
      </c>
      <c r="N126" s="52">
        <f ca="1"/>
        <v>46183</v>
      </c>
      <c r="O126" s="39">
        <f ca="1"/>
        <v>119.42</v>
      </c>
      <c r="R126" s="52">
        <f ca="1"/>
        <v>46184</v>
      </c>
      <c r="S126" s="39">
        <f ca="1"/>
        <v>279.5</v>
      </c>
      <c r="T126" s="52">
        <f t="shared" ca="1" si="11"/>
        <v>46183</v>
      </c>
      <c r="U126" s="97" t="str">
        <f t="shared" ca="1" si="12"/>
        <v/>
      </c>
    </row>
    <row r="127" spans="1:21" x14ac:dyDescent="0.25">
      <c r="A127" s="102" t="str">
        <f t="shared" ca="1" si="16"/>
        <v/>
      </c>
      <c r="B127" s="53" t="str">
        <f t="shared" ca="1" si="13"/>
        <v/>
      </c>
      <c r="C127" s="25" t="str">
        <f t="shared" ca="1" si="17"/>
        <v/>
      </c>
      <c r="D127" s="26" t="str">
        <f t="shared" ca="1" si="18"/>
        <v/>
      </c>
      <c r="E127" s="53" t="str">
        <f t="shared" ca="1" si="14"/>
        <v/>
      </c>
      <c r="F127" s="25" t="str">
        <f t="shared" ca="1" si="19"/>
        <v/>
      </c>
      <c r="G127" s="26" t="str">
        <f t="shared" ca="1" si="20"/>
        <v/>
      </c>
      <c r="H127" s="53" t="str">
        <f t="shared" ca="1" si="15"/>
        <v/>
      </c>
      <c r="I127" s="25" t="str">
        <f t="shared" ca="1" si="21"/>
        <v/>
      </c>
      <c r="J127" s="26"/>
      <c r="K127" s="114" t="str">
        <f ca="1">IF($A127="","",IF(COUNTIFS(Dividends!$J:$J,"&gt;"&amp;INT($A126),Dividends!$J:$J,"&lt;="&amp;INT($A127))=0,"",$G$4*SUMIFS(Dividends!$K:$K,Dividends!$J:$J,"&gt;"&amp;INT($A126),Dividends!$J:$J,"&lt;="&amp;INT($A127))))</f>
        <v/>
      </c>
      <c r="L127" s="55" t="str">
        <f ca="1">IF(ISERROR(B127-2),"",C127+D127-F127-G127+I127+J127+SUM($K$14:K127))</f>
        <v/>
      </c>
      <c r="N127" s="52">
        <f ca="1"/>
        <v>46184</v>
      </c>
      <c r="O127" s="39">
        <f ca="1"/>
        <v>119.75</v>
      </c>
      <c r="R127" s="52">
        <f ca="1"/>
        <v>46185</v>
      </c>
      <c r="S127" s="39">
        <f ca="1"/>
        <v>202.5</v>
      </c>
      <c r="T127" s="52">
        <f t="shared" ca="1" si="11"/>
        <v>46184</v>
      </c>
      <c r="U127" s="97" t="str">
        <f t="shared" ca="1" si="12"/>
        <v/>
      </c>
    </row>
    <row r="128" spans="1:21" x14ac:dyDescent="0.25">
      <c r="A128" s="102" t="str">
        <f t="shared" ca="1" si="16"/>
        <v/>
      </c>
      <c r="B128" s="53" t="str">
        <f t="shared" ca="1" si="13"/>
        <v/>
      </c>
      <c r="C128" s="25" t="str">
        <f t="shared" ca="1" si="17"/>
        <v/>
      </c>
      <c r="D128" s="26" t="str">
        <f t="shared" ca="1" si="18"/>
        <v/>
      </c>
      <c r="E128" s="53" t="str">
        <f t="shared" ca="1" si="14"/>
        <v/>
      </c>
      <c r="F128" s="25" t="str">
        <f t="shared" ca="1" si="19"/>
        <v/>
      </c>
      <c r="G128" s="26" t="str">
        <f t="shared" ca="1" si="20"/>
        <v/>
      </c>
      <c r="H128" s="53" t="str">
        <f t="shared" ca="1" si="15"/>
        <v/>
      </c>
      <c r="I128" s="25" t="str">
        <f t="shared" ca="1" si="21"/>
        <v/>
      </c>
      <c r="J128" s="26"/>
      <c r="K128" s="114" t="str">
        <f ca="1">IF($A128="","",IF(COUNTIFS(Dividends!$J:$J,"&gt;"&amp;INT($A127),Dividends!$J:$J,"&lt;="&amp;INT($A128))=0,"",$G$4*SUMIFS(Dividends!$K:$K,Dividends!$J:$J,"&gt;"&amp;INT($A127),Dividends!$J:$J,"&lt;="&amp;INT($A128))))</f>
        <v/>
      </c>
      <c r="L128" s="55" t="str">
        <f ca="1">IF(ISERROR(B128-2),"",C128+D128-F128-G128+I128+J128+SUM($K$14:K128))</f>
        <v/>
      </c>
      <c r="N128" s="52">
        <f ca="1"/>
        <v>46185</v>
      </c>
      <c r="O128" s="39">
        <f ca="1"/>
        <v>120.04</v>
      </c>
      <c r="R128" s="52">
        <f ca="1"/>
        <v>46188</v>
      </c>
      <c r="S128" s="39">
        <f ca="1"/>
        <v>160.6</v>
      </c>
      <c r="T128" s="52">
        <f t="shared" ca="1" si="11"/>
        <v>46185</v>
      </c>
      <c r="U128" s="97" t="str">
        <f t="shared" ca="1" si="12"/>
        <v/>
      </c>
    </row>
    <row r="129" spans="1:21" x14ac:dyDescent="0.25">
      <c r="A129" s="102" t="str">
        <f t="shared" ca="1" si="16"/>
        <v/>
      </c>
      <c r="B129" s="53" t="str">
        <f t="shared" ca="1" si="13"/>
        <v/>
      </c>
      <c r="C129" s="25" t="str">
        <f t="shared" ca="1" si="17"/>
        <v/>
      </c>
      <c r="D129" s="26" t="str">
        <f t="shared" ca="1" si="18"/>
        <v/>
      </c>
      <c r="E129" s="53" t="str">
        <f t="shared" ca="1" si="14"/>
        <v/>
      </c>
      <c r="F129" s="25" t="str">
        <f t="shared" ca="1" si="19"/>
        <v/>
      </c>
      <c r="G129" s="26" t="str">
        <f t="shared" ca="1" si="20"/>
        <v/>
      </c>
      <c r="H129" s="53" t="str">
        <f t="shared" ca="1" si="15"/>
        <v/>
      </c>
      <c r="I129" s="25" t="str">
        <f t="shared" ca="1" si="21"/>
        <v/>
      </c>
      <c r="J129" s="26"/>
      <c r="K129" s="114" t="str">
        <f ca="1">IF($A129="","",IF(COUNTIFS(Dividends!$J:$J,"&gt;"&amp;INT($A128),Dividends!$J:$J,"&lt;="&amp;INT($A129))=0,"",$G$4*SUMIFS(Dividends!$K:$K,Dividends!$J:$J,"&gt;"&amp;INT($A128),Dividends!$J:$J,"&lt;="&amp;INT($A129))))</f>
        <v/>
      </c>
      <c r="L129" s="55" t="str">
        <f ca="1">IF(ISERROR(B129-2),"",C129+D129-F129-G129+I129+J129+SUM($K$14:K129))</f>
        <v/>
      </c>
      <c r="N129" s="52">
        <f ca="1"/>
        <v>46188</v>
      </c>
      <c r="O129" s="39">
        <f ca="1"/>
        <v>120.27</v>
      </c>
      <c r="R129" s="52">
        <f ca="1"/>
        <v>46189</v>
      </c>
      <c r="S129" s="39">
        <f ca="1"/>
        <v>150.1</v>
      </c>
      <c r="T129" s="52">
        <f t="shared" ca="1" si="11"/>
        <v>46188</v>
      </c>
      <c r="U129" s="97" t="str">
        <f t="shared" ca="1" si="12"/>
        <v/>
      </c>
    </row>
    <row r="130" spans="1:21" x14ac:dyDescent="0.25">
      <c r="A130" s="102" t="str">
        <f t="shared" ca="1" si="16"/>
        <v/>
      </c>
      <c r="B130" s="53" t="str">
        <f t="shared" ca="1" si="13"/>
        <v/>
      </c>
      <c r="C130" s="25" t="str">
        <f t="shared" ca="1" si="17"/>
        <v/>
      </c>
      <c r="D130" s="26" t="str">
        <f t="shared" ca="1" si="18"/>
        <v/>
      </c>
      <c r="E130" s="53" t="str">
        <f t="shared" ca="1" si="14"/>
        <v/>
      </c>
      <c r="F130" s="25" t="str">
        <f t="shared" ca="1" si="19"/>
        <v/>
      </c>
      <c r="G130" s="26" t="str">
        <f t="shared" ca="1" si="20"/>
        <v/>
      </c>
      <c r="H130" s="53" t="str">
        <f t="shared" ca="1" si="15"/>
        <v/>
      </c>
      <c r="I130" s="25" t="str">
        <f t="shared" ca="1" si="21"/>
        <v/>
      </c>
      <c r="J130" s="26"/>
      <c r="K130" s="114" t="str">
        <f ca="1">IF($A130="","",IF(COUNTIFS(Dividends!$J:$J,"&gt;"&amp;INT($A129),Dividends!$J:$J,"&lt;="&amp;INT($A130))=0,"",$G$4*SUMIFS(Dividends!$K:$K,Dividends!$J:$J,"&gt;"&amp;INT($A129),Dividends!$J:$J,"&lt;="&amp;INT($A130))))</f>
        <v/>
      </c>
      <c r="L130" s="55" t="str">
        <f ca="1">IF(ISERROR(B130-2),"",C130+D130-F130-G130+I130+J130+SUM($K$14:K130))</f>
        <v/>
      </c>
      <c r="N130" s="52">
        <f ca="1"/>
        <v>46189</v>
      </c>
      <c r="O130" s="39">
        <f ca="1"/>
        <v>120.3</v>
      </c>
      <c r="R130" s="52">
        <f ca="1"/>
        <v>46190</v>
      </c>
      <c r="S130" s="39">
        <f ca="1"/>
        <v>133.1</v>
      </c>
      <c r="T130" s="52">
        <f t="shared" ca="1" si="11"/>
        <v>46189</v>
      </c>
      <c r="U130" s="97">
        <f t="shared" ca="1" si="12"/>
        <v>46189</v>
      </c>
    </row>
    <row r="131" spans="1:21" x14ac:dyDescent="0.25">
      <c r="A131" s="102" t="str">
        <f t="shared" ca="1" si="16"/>
        <v/>
      </c>
      <c r="B131" s="53" t="str">
        <f t="shared" ca="1" si="13"/>
        <v/>
      </c>
      <c r="C131" s="25" t="str">
        <f t="shared" ca="1" si="17"/>
        <v/>
      </c>
      <c r="D131" s="26" t="str">
        <f t="shared" ca="1" si="18"/>
        <v/>
      </c>
      <c r="E131" s="53" t="str">
        <f t="shared" ca="1" si="14"/>
        <v/>
      </c>
      <c r="F131" s="25" t="str">
        <f t="shared" ca="1" si="19"/>
        <v/>
      </c>
      <c r="G131" s="26" t="str">
        <f t="shared" ca="1" si="20"/>
        <v/>
      </c>
      <c r="H131" s="53" t="str">
        <f t="shared" ca="1" si="15"/>
        <v/>
      </c>
      <c r="I131" s="25" t="str">
        <f t="shared" ca="1" si="21"/>
        <v/>
      </c>
      <c r="J131" s="26"/>
      <c r="K131" s="114" t="str">
        <f ca="1">IF($A131="","",IF(COUNTIFS(Dividends!$J:$J,"&gt;"&amp;INT($A130),Dividends!$J:$J,"&lt;="&amp;INT($A131))=0,"",$G$4*SUMIFS(Dividends!$K:$K,Dividends!$J:$J,"&gt;"&amp;INT($A130),Dividends!$J:$J,"&lt;="&amp;INT($A131))))</f>
        <v/>
      </c>
      <c r="L131" s="55" t="str">
        <f ca="1">IF(ISERROR(B131-2),"",C131+D131-F131-G131+I131+J131+SUM($K$14:K131))</f>
        <v/>
      </c>
      <c r="N131" s="52">
        <f ca="1"/>
        <v>46190</v>
      </c>
      <c r="O131" s="39">
        <f ca="1"/>
        <v>120.17</v>
      </c>
      <c r="T131" s="52">
        <f t="shared" ref="T131:T194" ca="1" si="22">IF(COUNTIF(P:P,N131)*COUNTIF(R:R,N131),N131,"")</f>
        <v>46190</v>
      </c>
      <c r="U131" s="97">
        <f t="shared" ca="1" si="12"/>
        <v>46190</v>
      </c>
    </row>
    <row r="132" spans="1:21" x14ac:dyDescent="0.25">
      <c r="A132" s="102" t="str">
        <f t="shared" ca="1" si="16"/>
        <v/>
      </c>
      <c r="B132" s="53" t="str">
        <f t="shared" ca="1" si="13"/>
        <v/>
      </c>
      <c r="C132" s="25" t="str">
        <f t="shared" ca="1" si="17"/>
        <v/>
      </c>
      <c r="D132" s="26" t="str">
        <f t="shared" ca="1" si="18"/>
        <v/>
      </c>
      <c r="E132" s="53" t="str">
        <f t="shared" ca="1" si="14"/>
        <v/>
      </c>
      <c r="F132" s="25" t="str">
        <f t="shared" ca="1" si="19"/>
        <v/>
      </c>
      <c r="G132" s="26" t="str">
        <f t="shared" ca="1" si="20"/>
        <v/>
      </c>
      <c r="H132" s="53" t="str">
        <f t="shared" ca="1" si="15"/>
        <v/>
      </c>
      <c r="I132" s="25" t="str">
        <f t="shared" ca="1" si="21"/>
        <v/>
      </c>
      <c r="J132" s="26"/>
      <c r="K132" s="114" t="str">
        <f ca="1">IF($A132="","",IF(COUNTIFS(Dividends!$J:$J,"&gt;"&amp;INT($A131),Dividends!$J:$J,"&lt;="&amp;INT($A132))=0,"",$G$4*SUMIFS(Dividends!$K:$K,Dividends!$J:$J,"&gt;"&amp;INT($A131),Dividends!$J:$J,"&lt;="&amp;INT($A132))))</f>
        <v/>
      </c>
      <c r="L132" s="55" t="str">
        <f ca="1">IF(ISERROR(B132-2),"",C132+D132-F132-G132+I132+J132+SUM($K$14:K132))</f>
        <v/>
      </c>
      <c r="T132" s="52" t="str">
        <f t="shared" ca="1" si="22"/>
        <v/>
      </c>
      <c r="U132" s="97" t="str">
        <f t="shared" ref="U132:U195" ca="1" si="23">IF(T132&gt;=$A$14,T132,"")</f>
        <v/>
      </c>
    </row>
    <row r="133" spans="1:21" x14ac:dyDescent="0.25">
      <c r="A133" s="102" t="str">
        <f t="shared" ca="1" si="16"/>
        <v/>
      </c>
      <c r="B133" s="53" t="str">
        <f t="shared" ca="1" si="13"/>
        <v/>
      </c>
      <c r="C133" s="25" t="str">
        <f t="shared" ca="1" si="17"/>
        <v/>
      </c>
      <c r="D133" s="26" t="str">
        <f t="shared" ca="1" si="18"/>
        <v/>
      </c>
      <c r="E133" s="53" t="str">
        <f t="shared" ca="1" si="14"/>
        <v/>
      </c>
      <c r="F133" s="25" t="str">
        <f t="shared" ca="1" si="19"/>
        <v/>
      </c>
      <c r="G133" s="26" t="str">
        <f t="shared" ca="1" si="20"/>
        <v/>
      </c>
      <c r="H133" s="53" t="str">
        <f t="shared" ca="1" si="15"/>
        <v/>
      </c>
      <c r="I133" s="25" t="str">
        <f t="shared" ca="1" si="21"/>
        <v/>
      </c>
      <c r="J133" s="26"/>
      <c r="K133" s="114" t="str">
        <f ca="1">IF($A133="","",IF(COUNTIFS(Dividends!$J:$J,"&gt;"&amp;INT($A132),Dividends!$J:$J,"&lt;="&amp;INT($A133))=0,"",$G$4*SUMIFS(Dividends!$K:$K,Dividends!$J:$J,"&gt;"&amp;INT($A132),Dividends!$J:$J,"&lt;="&amp;INT($A133))))</f>
        <v/>
      </c>
      <c r="L133" s="55" t="str">
        <f ca="1">IF(ISERROR(B133-2),"",C133+D133-F133-G133+I133+J133+SUM($K$14:K133))</f>
        <v/>
      </c>
      <c r="T133" s="52" t="str">
        <f t="shared" ca="1" si="22"/>
        <v/>
      </c>
      <c r="U133" s="97" t="str">
        <f t="shared" ca="1" si="23"/>
        <v/>
      </c>
    </row>
    <row r="134" spans="1:21" x14ac:dyDescent="0.25">
      <c r="A134" s="102" t="str">
        <f t="shared" ca="1" si="16"/>
        <v/>
      </c>
      <c r="B134" s="53" t="str">
        <f t="shared" ca="1" si="13"/>
        <v/>
      </c>
      <c r="C134" s="25" t="str">
        <f t="shared" ca="1" si="17"/>
        <v/>
      </c>
      <c r="D134" s="26" t="str">
        <f t="shared" ca="1" si="18"/>
        <v/>
      </c>
      <c r="E134" s="53" t="str">
        <f t="shared" ca="1" si="14"/>
        <v/>
      </c>
      <c r="F134" s="25" t="str">
        <f t="shared" ca="1" si="19"/>
        <v/>
      </c>
      <c r="G134" s="26" t="str">
        <f t="shared" ca="1" si="20"/>
        <v/>
      </c>
      <c r="H134" s="53" t="str">
        <f t="shared" ca="1" si="15"/>
        <v/>
      </c>
      <c r="I134" s="25" t="str">
        <f t="shared" ca="1" si="21"/>
        <v/>
      </c>
      <c r="J134" s="26"/>
      <c r="K134" s="114" t="str">
        <f ca="1">IF($A134="","",IF(COUNTIFS(Dividends!$J:$J,"&gt;"&amp;INT($A133),Dividends!$J:$J,"&lt;="&amp;INT($A134))=0,"",$G$4*SUMIFS(Dividends!$K:$K,Dividends!$J:$J,"&gt;"&amp;INT($A133),Dividends!$J:$J,"&lt;="&amp;INT($A134))))</f>
        <v/>
      </c>
      <c r="L134" s="55" t="str">
        <f ca="1">IF(ISERROR(B134-2),"",C134+D134-F134-G134+I134+J134+SUM($K$14:K134))</f>
        <v/>
      </c>
      <c r="T134" s="52" t="str">
        <f t="shared" ca="1" si="22"/>
        <v/>
      </c>
      <c r="U134" s="97" t="str">
        <f t="shared" ca="1" si="23"/>
        <v/>
      </c>
    </row>
    <row r="135" spans="1:21" x14ac:dyDescent="0.25">
      <c r="A135" s="102" t="str">
        <f t="shared" ca="1" si="16"/>
        <v/>
      </c>
      <c r="B135" s="53" t="str">
        <f t="shared" ca="1" si="13"/>
        <v/>
      </c>
      <c r="C135" s="25" t="str">
        <f t="shared" ca="1" si="17"/>
        <v/>
      </c>
      <c r="D135" s="26" t="str">
        <f t="shared" ca="1" si="18"/>
        <v/>
      </c>
      <c r="E135" s="53" t="str">
        <f t="shared" ca="1" si="14"/>
        <v/>
      </c>
      <c r="F135" s="25" t="str">
        <f t="shared" ca="1" si="19"/>
        <v/>
      </c>
      <c r="G135" s="26" t="str">
        <f t="shared" ca="1" si="20"/>
        <v/>
      </c>
      <c r="H135" s="53" t="str">
        <f t="shared" ca="1" si="15"/>
        <v/>
      </c>
      <c r="I135" s="25" t="str">
        <f t="shared" ca="1" si="21"/>
        <v/>
      </c>
      <c r="J135" s="26"/>
      <c r="K135" s="114" t="str">
        <f ca="1">IF($A135="","",IF(COUNTIFS(Dividends!$J:$J,"&gt;"&amp;INT($A134),Dividends!$J:$J,"&lt;="&amp;INT($A135))=0,"",$G$4*SUMIFS(Dividends!$K:$K,Dividends!$J:$J,"&gt;"&amp;INT($A134),Dividends!$J:$J,"&lt;="&amp;INT($A135))))</f>
        <v/>
      </c>
      <c r="L135" s="55" t="str">
        <f ca="1">IF(ISERROR(B135-2),"",C135+D135-F135-G135+I135+J135+SUM($K$14:K135))</f>
        <v/>
      </c>
      <c r="T135" s="52" t="str">
        <f t="shared" ca="1" si="22"/>
        <v/>
      </c>
      <c r="U135" s="97" t="str">
        <f t="shared" ca="1" si="23"/>
        <v/>
      </c>
    </row>
    <row r="136" spans="1:21" x14ac:dyDescent="0.25">
      <c r="A136" s="102" t="str">
        <f t="shared" ca="1" si="16"/>
        <v/>
      </c>
      <c r="B136" s="53" t="str">
        <f t="shared" ca="1" si="13"/>
        <v/>
      </c>
      <c r="C136" s="25" t="str">
        <f t="shared" ca="1" si="17"/>
        <v/>
      </c>
      <c r="D136" s="26" t="str">
        <f t="shared" ca="1" si="18"/>
        <v/>
      </c>
      <c r="E136" s="53" t="str">
        <f t="shared" ca="1" si="14"/>
        <v/>
      </c>
      <c r="F136" s="25" t="str">
        <f t="shared" ca="1" si="19"/>
        <v/>
      </c>
      <c r="G136" s="26" t="str">
        <f t="shared" ca="1" si="20"/>
        <v/>
      </c>
      <c r="H136" s="53" t="str">
        <f t="shared" ca="1" si="15"/>
        <v/>
      </c>
      <c r="I136" s="25" t="str">
        <f t="shared" ca="1" si="21"/>
        <v/>
      </c>
      <c r="J136" s="26"/>
      <c r="K136" s="114" t="str">
        <f ca="1">IF($A136="","",IF(COUNTIFS(Dividends!$J:$J,"&gt;"&amp;INT($A135),Dividends!$J:$J,"&lt;="&amp;INT($A136))=0,"",$G$4*SUMIFS(Dividends!$K:$K,Dividends!$J:$J,"&gt;"&amp;INT($A135),Dividends!$J:$J,"&lt;="&amp;INT($A136))))</f>
        <v/>
      </c>
      <c r="L136" s="55" t="str">
        <f ca="1">IF(ISERROR(B136-2),"",C136+D136-F136-G136+I136+J136+SUM($K$14:K136))</f>
        <v/>
      </c>
      <c r="T136" s="52" t="str">
        <f t="shared" ca="1" si="22"/>
        <v/>
      </c>
      <c r="U136" s="97" t="str">
        <f t="shared" ca="1" si="23"/>
        <v/>
      </c>
    </row>
    <row r="137" spans="1:21" x14ac:dyDescent="0.25">
      <c r="A137" s="102" t="str">
        <f t="shared" ca="1" si="16"/>
        <v/>
      </c>
      <c r="B137" s="53" t="str">
        <f t="shared" ca="1" si="13"/>
        <v/>
      </c>
      <c r="C137" s="25" t="str">
        <f t="shared" ca="1" si="17"/>
        <v/>
      </c>
      <c r="D137" s="26" t="str">
        <f t="shared" ca="1" si="18"/>
        <v/>
      </c>
      <c r="E137" s="53" t="str">
        <f t="shared" ca="1" si="14"/>
        <v/>
      </c>
      <c r="F137" s="25" t="str">
        <f t="shared" ca="1" si="19"/>
        <v/>
      </c>
      <c r="G137" s="26" t="str">
        <f t="shared" ca="1" si="20"/>
        <v/>
      </c>
      <c r="H137" s="53" t="str">
        <f t="shared" ca="1" si="15"/>
        <v/>
      </c>
      <c r="I137" s="25" t="str">
        <f t="shared" ca="1" si="21"/>
        <v/>
      </c>
      <c r="J137" s="26"/>
      <c r="K137" s="114" t="str">
        <f ca="1">IF($A137="","",IF(COUNTIFS(Dividends!$J:$J,"&gt;"&amp;INT($A136),Dividends!$J:$J,"&lt;="&amp;INT($A137))=0,"",$G$4*SUMIFS(Dividends!$K:$K,Dividends!$J:$J,"&gt;"&amp;INT($A136),Dividends!$J:$J,"&lt;="&amp;INT($A137))))</f>
        <v/>
      </c>
      <c r="L137" s="55" t="str">
        <f ca="1">IF(ISERROR(B137-2),"",C137+D137-F137-G137+I137+J137+SUM($K$14:K137))</f>
        <v/>
      </c>
      <c r="T137" s="52" t="str">
        <f t="shared" ca="1" si="22"/>
        <v/>
      </c>
      <c r="U137" s="97" t="str">
        <f t="shared" ca="1" si="23"/>
        <v/>
      </c>
    </row>
    <row r="138" spans="1:21" x14ac:dyDescent="0.25">
      <c r="A138" s="102" t="str">
        <f t="shared" ca="1" si="16"/>
        <v/>
      </c>
      <c r="B138" s="53" t="str">
        <f t="shared" ca="1" si="13"/>
        <v/>
      </c>
      <c r="C138" s="25" t="str">
        <f t="shared" ca="1" si="17"/>
        <v/>
      </c>
      <c r="D138" s="26" t="str">
        <f t="shared" ca="1" si="18"/>
        <v/>
      </c>
      <c r="E138" s="53" t="str">
        <f t="shared" ca="1" si="14"/>
        <v/>
      </c>
      <c r="F138" s="25" t="str">
        <f t="shared" ca="1" si="19"/>
        <v/>
      </c>
      <c r="G138" s="26" t="str">
        <f t="shared" ca="1" si="20"/>
        <v/>
      </c>
      <c r="H138" s="53" t="str">
        <f t="shared" ca="1" si="15"/>
        <v/>
      </c>
      <c r="I138" s="25" t="str">
        <f t="shared" ca="1" si="21"/>
        <v/>
      </c>
      <c r="J138" s="26"/>
      <c r="K138" s="114" t="str">
        <f ca="1">IF($A138="","",IF(COUNTIFS(Dividends!$J:$J,"&gt;"&amp;INT($A137),Dividends!$J:$J,"&lt;="&amp;INT($A138))=0,"",$G$4*SUMIFS(Dividends!$K:$K,Dividends!$J:$J,"&gt;"&amp;INT($A137),Dividends!$J:$J,"&lt;="&amp;INT($A138))))</f>
        <v/>
      </c>
      <c r="L138" s="55" t="str">
        <f ca="1">IF(ISERROR(B138-2),"",C138+D138-F138-G138+I138+J138+SUM($K$14:K138))</f>
        <v/>
      </c>
      <c r="T138" s="52" t="str">
        <f t="shared" ca="1" si="22"/>
        <v/>
      </c>
      <c r="U138" s="97" t="str">
        <f t="shared" ca="1" si="23"/>
        <v/>
      </c>
    </row>
    <row r="139" spans="1:21" x14ac:dyDescent="0.25">
      <c r="A139" s="102" t="str">
        <f t="shared" ca="1" si="16"/>
        <v/>
      </c>
      <c r="B139" s="53" t="str">
        <f t="shared" ca="1" si="13"/>
        <v/>
      </c>
      <c r="C139" s="25" t="str">
        <f t="shared" ca="1" si="17"/>
        <v/>
      </c>
      <c r="D139" s="26" t="str">
        <f t="shared" ca="1" si="18"/>
        <v/>
      </c>
      <c r="E139" s="53" t="str">
        <f t="shared" ca="1" si="14"/>
        <v/>
      </c>
      <c r="F139" s="25" t="str">
        <f t="shared" ca="1" si="19"/>
        <v/>
      </c>
      <c r="G139" s="26" t="str">
        <f t="shared" ca="1" si="20"/>
        <v/>
      </c>
      <c r="H139" s="53" t="str">
        <f t="shared" ca="1" si="15"/>
        <v/>
      </c>
      <c r="I139" s="25" t="str">
        <f t="shared" ca="1" si="21"/>
        <v/>
      </c>
      <c r="J139" s="26"/>
      <c r="K139" s="114" t="str">
        <f ca="1">IF($A139="","",IF(COUNTIFS(Dividends!$J:$J,"&gt;"&amp;INT($A138),Dividends!$J:$J,"&lt;="&amp;INT($A139))=0,"",$G$4*SUMIFS(Dividends!$K:$K,Dividends!$J:$J,"&gt;"&amp;INT($A138),Dividends!$J:$J,"&lt;="&amp;INT($A139))))</f>
        <v/>
      </c>
      <c r="L139" s="55" t="str">
        <f ca="1">IF(ISERROR(B139-2),"",C139+D139-F139-G139+I139+J139+SUM($K$14:K139))</f>
        <v/>
      </c>
      <c r="T139" s="52" t="str">
        <f t="shared" ca="1" si="22"/>
        <v/>
      </c>
      <c r="U139" s="97" t="str">
        <f t="shared" ca="1" si="23"/>
        <v/>
      </c>
    </row>
    <row r="140" spans="1:21" x14ac:dyDescent="0.25">
      <c r="A140" s="102" t="str">
        <f t="shared" ca="1" si="16"/>
        <v/>
      </c>
      <c r="B140" s="53" t="str">
        <f t="shared" ca="1" si="13"/>
        <v/>
      </c>
      <c r="C140" s="25" t="str">
        <f t="shared" ca="1" si="17"/>
        <v/>
      </c>
      <c r="D140" s="26" t="str">
        <f t="shared" ca="1" si="18"/>
        <v/>
      </c>
      <c r="E140" s="53" t="str">
        <f t="shared" ca="1" si="14"/>
        <v/>
      </c>
      <c r="F140" s="25" t="str">
        <f t="shared" ca="1" si="19"/>
        <v/>
      </c>
      <c r="G140" s="26" t="str">
        <f t="shared" ca="1" si="20"/>
        <v/>
      </c>
      <c r="H140" s="53" t="str">
        <f t="shared" ca="1" si="15"/>
        <v/>
      </c>
      <c r="I140" s="25" t="str">
        <f t="shared" ca="1" si="21"/>
        <v/>
      </c>
      <c r="J140" s="26"/>
      <c r="K140" s="114" t="str">
        <f ca="1">IF($A140="","",IF(COUNTIFS(Dividends!$J:$J,"&gt;"&amp;INT($A139),Dividends!$J:$J,"&lt;="&amp;INT($A140))=0,"",$G$4*SUMIFS(Dividends!$K:$K,Dividends!$J:$J,"&gt;"&amp;INT($A139),Dividends!$J:$J,"&lt;="&amp;INT($A140))))</f>
        <v/>
      </c>
      <c r="L140" s="55" t="str">
        <f ca="1">IF(ISERROR(B140-2),"",C140+D140-F140-G140+I140+J140+SUM($K$14:K140))</f>
        <v/>
      </c>
      <c r="T140" s="52" t="str">
        <f t="shared" ca="1" si="22"/>
        <v/>
      </c>
      <c r="U140" s="97" t="str">
        <f t="shared" ca="1" si="23"/>
        <v/>
      </c>
    </row>
    <row r="141" spans="1:21" x14ac:dyDescent="0.25">
      <c r="A141" s="102" t="str">
        <f t="shared" ca="1" si="16"/>
        <v/>
      </c>
      <c r="B141" s="53" t="str">
        <f t="shared" ca="1" si="13"/>
        <v/>
      </c>
      <c r="C141" s="25" t="str">
        <f t="shared" ca="1" si="17"/>
        <v/>
      </c>
      <c r="D141" s="26" t="str">
        <f t="shared" ca="1" si="18"/>
        <v/>
      </c>
      <c r="E141" s="53" t="str">
        <f t="shared" ca="1" si="14"/>
        <v/>
      </c>
      <c r="F141" s="25" t="str">
        <f t="shared" ca="1" si="19"/>
        <v/>
      </c>
      <c r="G141" s="26" t="str">
        <f t="shared" ca="1" si="20"/>
        <v/>
      </c>
      <c r="H141" s="53" t="str">
        <f t="shared" ca="1" si="15"/>
        <v/>
      </c>
      <c r="I141" s="25" t="str">
        <f t="shared" ca="1" si="21"/>
        <v/>
      </c>
      <c r="J141" s="26"/>
      <c r="K141" s="114" t="str">
        <f ca="1">IF($A141="","",IF(COUNTIFS(Dividends!$J:$J,"&gt;"&amp;INT($A140),Dividends!$J:$J,"&lt;="&amp;INT($A141))=0,"",$G$4*SUMIFS(Dividends!$K:$K,Dividends!$J:$J,"&gt;"&amp;INT($A140),Dividends!$J:$J,"&lt;="&amp;INT($A141))))</f>
        <v/>
      </c>
      <c r="L141" s="55" t="str">
        <f ca="1">IF(ISERROR(B141-2),"",C141+D141-F141-G141+I141+J141+SUM($K$14:K141))</f>
        <v/>
      </c>
      <c r="T141" s="52" t="str">
        <f t="shared" ca="1" si="22"/>
        <v/>
      </c>
      <c r="U141" s="97" t="str">
        <f t="shared" ca="1" si="23"/>
        <v/>
      </c>
    </row>
    <row r="142" spans="1:21" x14ac:dyDescent="0.25">
      <c r="A142" s="102" t="str">
        <f t="shared" ca="1" si="16"/>
        <v/>
      </c>
      <c r="B142" s="53" t="str">
        <f t="shared" ca="1" si="13"/>
        <v/>
      </c>
      <c r="C142" s="25" t="str">
        <f t="shared" ca="1" si="17"/>
        <v/>
      </c>
      <c r="D142" s="26" t="str">
        <f t="shared" ca="1" si="18"/>
        <v/>
      </c>
      <c r="E142" s="53" t="str">
        <f t="shared" ca="1" si="14"/>
        <v/>
      </c>
      <c r="F142" s="25" t="str">
        <f t="shared" ca="1" si="19"/>
        <v/>
      </c>
      <c r="G142" s="26" t="str">
        <f t="shared" ca="1" si="20"/>
        <v/>
      </c>
      <c r="H142" s="53" t="str">
        <f t="shared" ca="1" si="15"/>
        <v/>
      </c>
      <c r="I142" s="25" t="str">
        <f t="shared" ca="1" si="21"/>
        <v/>
      </c>
      <c r="J142" s="26"/>
      <c r="K142" s="114" t="str">
        <f ca="1">IF($A142="","",IF(COUNTIFS(Dividends!$J:$J,"&gt;"&amp;INT($A141),Dividends!$J:$J,"&lt;="&amp;INT($A142))=0,"",$G$4*SUMIFS(Dividends!$K:$K,Dividends!$J:$J,"&gt;"&amp;INT($A141),Dividends!$J:$J,"&lt;="&amp;INT($A142))))</f>
        <v/>
      </c>
      <c r="L142" s="55" t="str">
        <f ca="1">IF(ISERROR(B142-2),"",C142+D142-F142-G142+I142+J142+SUM($K$14:K142))</f>
        <v/>
      </c>
      <c r="T142" s="52" t="str">
        <f t="shared" ca="1" si="22"/>
        <v/>
      </c>
      <c r="U142" s="97" t="str">
        <f t="shared" ca="1" si="23"/>
        <v/>
      </c>
    </row>
    <row r="143" spans="1:21" x14ac:dyDescent="0.25">
      <c r="A143" s="102" t="str">
        <f t="shared" ca="1" si="16"/>
        <v/>
      </c>
      <c r="B143" s="53" t="str">
        <f t="shared" ref="B143:B206" ca="1" si="24">IF(COUNTIF(N:N,A143)=1,VLOOKUP(A143,N:O,2), IF(COUNTIF(N:N,A143)=0,$B$10,""))</f>
        <v/>
      </c>
      <c r="C143" s="25" t="str">
        <f t="shared" ca="1" si="17"/>
        <v/>
      </c>
      <c r="D143" s="26" t="str">
        <f t="shared" ca="1" si="18"/>
        <v/>
      </c>
      <c r="E143" s="53" t="str">
        <f t="shared" ref="E143:E206" ca="1" si="25">IF(COUNTIF(N:N,A143)=1,VLOOKUP(A143,P:Q,2), IF(COUNTIF(N:N,A143)=0,$C$10,""))</f>
        <v/>
      </c>
      <c r="F143" s="25" t="str">
        <f t="shared" ca="1" si="19"/>
        <v/>
      </c>
      <c r="G143" s="26" t="str">
        <f t="shared" ca="1" si="20"/>
        <v/>
      </c>
      <c r="H143" s="53" t="str">
        <f t="shared" ref="H143:H206" ca="1" si="26">IF(COUNTIF(N:N,A143)=1,VLOOKUP(A143,R:S,2), IF(COUNTIF(N:N,A143)=0,$D$10,""))</f>
        <v/>
      </c>
      <c r="I143" s="25" t="str">
        <f t="shared" ca="1" si="21"/>
        <v/>
      </c>
      <c r="J143" s="26"/>
      <c r="K143" s="114" t="str">
        <f ca="1">IF($A143="","",IF(COUNTIFS(Dividends!$J:$J,"&gt;"&amp;INT($A142),Dividends!$J:$J,"&lt;="&amp;INT($A143))=0,"",$G$4*SUMIFS(Dividends!$K:$K,Dividends!$J:$J,"&gt;"&amp;INT($A142),Dividends!$J:$J,"&lt;="&amp;INT($A143))))</f>
        <v/>
      </c>
      <c r="L143" s="55" t="str">
        <f ca="1">IF(ISERROR(B143-2),"",C143+D143-F143-G143+I143+J143+SUM($K$14:K143))</f>
        <v/>
      </c>
      <c r="T143" s="52" t="str">
        <f t="shared" ca="1" si="22"/>
        <v/>
      </c>
      <c r="U143" s="97" t="str">
        <f t="shared" ca="1" si="23"/>
        <v/>
      </c>
    </row>
    <row r="144" spans="1:21" x14ac:dyDescent="0.25">
      <c r="A144" s="102" t="str">
        <f t="shared" ref="A144:A207" ca="1" si="27">IF(AND(ISBLANK(V131), A143 = $V$1),NOW(),IF(ISBLANK(V131),"",V131))</f>
        <v/>
      </c>
      <c r="B144" s="53" t="str">
        <f t="shared" ca="1" si="24"/>
        <v/>
      </c>
      <c r="C144" s="25" t="str">
        <f t="shared" ref="C144:C207" ca="1" si="28">IF(ISERROR(B144-2),"",(B144/$B$14-1)*$B$5)</f>
        <v/>
      </c>
      <c r="D144" s="26" t="str">
        <f t="shared" ref="D144:D207" ca="1" si="29">IF(ISERROR(B144-2),"",-1*(INT(A144)-INT($A$14))/360*$B$7*$B$5)</f>
        <v/>
      </c>
      <c r="E144" s="53" t="str">
        <f t="shared" ca="1" si="25"/>
        <v/>
      </c>
      <c r="F144" s="25" t="str">
        <f t="shared" ref="F144:F207" ca="1" si="30">IF(ISERROR(B144-2),"",(E144-$E$14)/100*$C$5)</f>
        <v/>
      </c>
      <c r="G144" s="26" t="str">
        <f t="shared" ref="G144:G207" ca="1" si="31">IF(ISERROR(B144-2),"",(INT(A144)-INT($A$14))/360*$C$6*$C$5-(INT(A144)-INT($A$14))/360*$C$7*$C$5*$E$14/100)</f>
        <v/>
      </c>
      <c r="H144" s="53" t="str">
        <f t="shared" ca="1" si="26"/>
        <v/>
      </c>
      <c r="I144" s="25" t="str">
        <f t="shared" ref="I144:I207" ca="1" si="32">IF(ISERROR(B144-2),"",(H144-$H$14)*$D$5*$I$6)</f>
        <v/>
      </c>
      <c r="J144" s="26"/>
      <c r="K144" s="114" t="str">
        <f ca="1">IF($A144="","",IF(COUNTIFS(Dividends!$J:$J,"&gt;"&amp;INT($A143),Dividends!$J:$J,"&lt;="&amp;INT($A144))=0,"",$G$4*SUMIFS(Dividends!$K:$K,Dividends!$J:$J,"&gt;"&amp;INT($A143),Dividends!$J:$J,"&lt;="&amp;INT($A144))))</f>
        <v/>
      </c>
      <c r="L144" s="55" t="str">
        <f ca="1">IF(ISERROR(B144-2),"",C144+D144-F144-G144+I144+J144+SUM($K$14:K144))</f>
        <v/>
      </c>
      <c r="T144" s="52" t="str">
        <f t="shared" ca="1" si="22"/>
        <v/>
      </c>
      <c r="U144" s="97" t="str">
        <f t="shared" ca="1" si="23"/>
        <v/>
      </c>
    </row>
    <row r="145" spans="1:21" x14ac:dyDescent="0.25">
      <c r="A145" s="102" t="str">
        <f t="shared" ca="1" si="27"/>
        <v/>
      </c>
      <c r="B145" s="53" t="str">
        <f t="shared" ca="1" si="24"/>
        <v/>
      </c>
      <c r="C145" s="25" t="str">
        <f t="shared" ca="1" si="28"/>
        <v/>
      </c>
      <c r="D145" s="26" t="str">
        <f t="shared" ca="1" si="29"/>
        <v/>
      </c>
      <c r="E145" s="53" t="str">
        <f t="shared" ca="1" si="25"/>
        <v/>
      </c>
      <c r="F145" s="25" t="str">
        <f t="shared" ca="1" si="30"/>
        <v/>
      </c>
      <c r="G145" s="26" t="str">
        <f t="shared" ca="1" si="31"/>
        <v/>
      </c>
      <c r="H145" s="53" t="str">
        <f t="shared" ca="1" si="26"/>
        <v/>
      </c>
      <c r="I145" s="25" t="str">
        <f t="shared" ca="1" si="32"/>
        <v/>
      </c>
      <c r="J145" s="26"/>
      <c r="K145" s="114" t="str">
        <f ca="1">IF($A145="","",IF(COUNTIFS(Dividends!$J:$J,"&gt;"&amp;INT($A144),Dividends!$J:$J,"&lt;="&amp;INT($A145))=0,"",$G$4*SUMIFS(Dividends!$K:$K,Dividends!$J:$J,"&gt;"&amp;INT($A144),Dividends!$J:$J,"&lt;="&amp;INT($A145))))</f>
        <v/>
      </c>
      <c r="L145" s="55" t="str">
        <f ca="1">IF(ISERROR(B145-2),"",C145+D145-F145-G145+I145+J145+SUM($K$14:K145))</f>
        <v/>
      </c>
      <c r="T145" s="52" t="str">
        <f t="shared" ca="1" si="22"/>
        <v/>
      </c>
      <c r="U145" s="97" t="str">
        <f t="shared" ca="1" si="23"/>
        <v/>
      </c>
    </row>
    <row r="146" spans="1:21" x14ac:dyDescent="0.25">
      <c r="A146" s="102" t="str">
        <f t="shared" ca="1" si="27"/>
        <v/>
      </c>
      <c r="B146" s="53" t="str">
        <f t="shared" ca="1" si="24"/>
        <v/>
      </c>
      <c r="C146" s="25" t="str">
        <f t="shared" ca="1" si="28"/>
        <v/>
      </c>
      <c r="D146" s="26" t="str">
        <f t="shared" ca="1" si="29"/>
        <v/>
      </c>
      <c r="E146" s="53" t="str">
        <f t="shared" ca="1" si="25"/>
        <v/>
      </c>
      <c r="F146" s="25" t="str">
        <f t="shared" ca="1" si="30"/>
        <v/>
      </c>
      <c r="G146" s="26" t="str">
        <f t="shared" ca="1" si="31"/>
        <v/>
      </c>
      <c r="H146" s="53" t="str">
        <f t="shared" ca="1" si="26"/>
        <v/>
      </c>
      <c r="I146" s="25" t="str">
        <f t="shared" ca="1" si="32"/>
        <v/>
      </c>
      <c r="J146" s="26"/>
      <c r="K146" s="114" t="str">
        <f ca="1">IF($A146="","",IF(COUNTIFS(Dividends!$J:$J,"&gt;"&amp;INT($A145),Dividends!$J:$J,"&lt;="&amp;INT($A146))=0,"",$G$4*SUMIFS(Dividends!$K:$K,Dividends!$J:$J,"&gt;"&amp;INT($A145),Dividends!$J:$J,"&lt;="&amp;INT($A146))))</f>
        <v/>
      </c>
      <c r="L146" s="55" t="str">
        <f ca="1">IF(ISERROR(B146-2),"",C146+D146-F146-G146+I146+J146+SUM($K$14:K146))</f>
        <v/>
      </c>
      <c r="T146" s="52" t="str">
        <f t="shared" ca="1" si="22"/>
        <v/>
      </c>
      <c r="U146" s="97" t="str">
        <f t="shared" ca="1" si="23"/>
        <v/>
      </c>
    </row>
    <row r="147" spans="1:21" x14ac:dyDescent="0.25">
      <c r="A147" s="102" t="str">
        <f t="shared" ca="1" si="27"/>
        <v/>
      </c>
      <c r="B147" s="53" t="str">
        <f t="shared" ca="1" si="24"/>
        <v/>
      </c>
      <c r="C147" s="25" t="str">
        <f t="shared" ca="1" si="28"/>
        <v/>
      </c>
      <c r="D147" s="26" t="str">
        <f t="shared" ca="1" si="29"/>
        <v/>
      </c>
      <c r="E147" s="53" t="str">
        <f t="shared" ca="1" si="25"/>
        <v/>
      </c>
      <c r="F147" s="25" t="str">
        <f t="shared" ca="1" si="30"/>
        <v/>
      </c>
      <c r="G147" s="26" t="str">
        <f t="shared" ca="1" si="31"/>
        <v/>
      </c>
      <c r="H147" s="53" t="str">
        <f t="shared" ca="1" si="26"/>
        <v/>
      </c>
      <c r="I147" s="25" t="str">
        <f t="shared" ca="1" si="32"/>
        <v/>
      </c>
      <c r="J147" s="26"/>
      <c r="K147" s="114" t="str">
        <f ca="1">IF($A147="","",IF(COUNTIFS(Dividends!$J:$J,"&gt;"&amp;INT($A146),Dividends!$J:$J,"&lt;="&amp;INT($A147))=0,"",$G$4*SUMIFS(Dividends!$K:$K,Dividends!$J:$J,"&gt;"&amp;INT($A146),Dividends!$J:$J,"&lt;="&amp;INT($A147))))</f>
        <v/>
      </c>
      <c r="L147" s="55" t="str">
        <f ca="1">IF(ISERROR(B147-2),"",C147+D147-F147-G147+I147+J147+SUM($K$14:K147))</f>
        <v/>
      </c>
      <c r="T147" s="52" t="str">
        <f t="shared" ca="1" si="22"/>
        <v/>
      </c>
      <c r="U147" s="97" t="str">
        <f t="shared" ca="1" si="23"/>
        <v/>
      </c>
    </row>
    <row r="148" spans="1:21" x14ac:dyDescent="0.25">
      <c r="A148" s="102" t="str">
        <f t="shared" ca="1" si="27"/>
        <v/>
      </c>
      <c r="B148" s="53" t="str">
        <f t="shared" ca="1" si="24"/>
        <v/>
      </c>
      <c r="C148" s="25" t="str">
        <f t="shared" ca="1" si="28"/>
        <v/>
      </c>
      <c r="D148" s="26" t="str">
        <f t="shared" ca="1" si="29"/>
        <v/>
      </c>
      <c r="E148" s="53" t="str">
        <f t="shared" ca="1" si="25"/>
        <v/>
      </c>
      <c r="F148" s="25" t="str">
        <f t="shared" ca="1" si="30"/>
        <v/>
      </c>
      <c r="G148" s="26" t="str">
        <f t="shared" ca="1" si="31"/>
        <v/>
      </c>
      <c r="H148" s="53" t="str">
        <f t="shared" ca="1" si="26"/>
        <v/>
      </c>
      <c r="I148" s="25" t="str">
        <f t="shared" ca="1" si="32"/>
        <v/>
      </c>
      <c r="J148" s="26"/>
      <c r="K148" s="114" t="str">
        <f ca="1">IF($A148="","",IF(COUNTIFS(Dividends!$J:$J,"&gt;"&amp;INT($A147),Dividends!$J:$J,"&lt;="&amp;INT($A148))=0,"",$G$4*SUMIFS(Dividends!$K:$K,Dividends!$J:$J,"&gt;"&amp;INT($A147),Dividends!$J:$J,"&lt;="&amp;INT($A148))))</f>
        <v/>
      </c>
      <c r="L148" s="55" t="str">
        <f ca="1">IF(ISERROR(B148-2),"",C148+D148-F148-G148+I148+J148+SUM($K$14:K148))</f>
        <v/>
      </c>
      <c r="T148" s="52" t="str">
        <f t="shared" ca="1" si="22"/>
        <v/>
      </c>
      <c r="U148" s="97" t="str">
        <f t="shared" ca="1" si="23"/>
        <v/>
      </c>
    </row>
    <row r="149" spans="1:21" x14ac:dyDescent="0.25">
      <c r="A149" s="102" t="str">
        <f t="shared" ca="1" si="27"/>
        <v/>
      </c>
      <c r="B149" s="53" t="str">
        <f t="shared" ca="1" si="24"/>
        <v/>
      </c>
      <c r="C149" s="25" t="str">
        <f t="shared" ca="1" si="28"/>
        <v/>
      </c>
      <c r="D149" s="26" t="str">
        <f t="shared" ca="1" si="29"/>
        <v/>
      </c>
      <c r="E149" s="53" t="str">
        <f t="shared" ca="1" si="25"/>
        <v/>
      </c>
      <c r="F149" s="25" t="str">
        <f t="shared" ca="1" si="30"/>
        <v/>
      </c>
      <c r="G149" s="26" t="str">
        <f t="shared" ca="1" si="31"/>
        <v/>
      </c>
      <c r="H149" s="53" t="str">
        <f t="shared" ca="1" si="26"/>
        <v/>
      </c>
      <c r="I149" s="25" t="str">
        <f t="shared" ca="1" si="32"/>
        <v/>
      </c>
      <c r="J149" s="26"/>
      <c r="K149" s="114" t="str">
        <f ca="1">IF($A149="","",IF(COUNTIFS(Dividends!$J:$J,"&gt;"&amp;INT($A148),Dividends!$J:$J,"&lt;="&amp;INT($A149))=0,"",$G$4*SUMIFS(Dividends!$K:$K,Dividends!$J:$J,"&gt;"&amp;INT($A148),Dividends!$J:$J,"&lt;="&amp;INT($A149))))</f>
        <v/>
      </c>
      <c r="L149" s="55" t="str">
        <f ca="1">IF(ISERROR(B149-2),"",C149+D149-F149-G149+I149+J149+SUM($K$14:K149))</f>
        <v/>
      </c>
      <c r="T149" s="52" t="str">
        <f t="shared" ca="1" si="22"/>
        <v/>
      </c>
      <c r="U149" s="97" t="str">
        <f t="shared" ca="1" si="23"/>
        <v/>
      </c>
    </row>
    <row r="150" spans="1:21" x14ac:dyDescent="0.25">
      <c r="A150" s="102" t="str">
        <f t="shared" ca="1" si="27"/>
        <v/>
      </c>
      <c r="B150" s="53" t="str">
        <f t="shared" ca="1" si="24"/>
        <v/>
      </c>
      <c r="C150" s="25" t="str">
        <f t="shared" ca="1" si="28"/>
        <v/>
      </c>
      <c r="D150" s="26" t="str">
        <f t="shared" ca="1" si="29"/>
        <v/>
      </c>
      <c r="E150" s="53" t="str">
        <f t="shared" ca="1" si="25"/>
        <v/>
      </c>
      <c r="F150" s="25" t="str">
        <f t="shared" ca="1" si="30"/>
        <v/>
      </c>
      <c r="G150" s="26" t="str">
        <f t="shared" ca="1" si="31"/>
        <v/>
      </c>
      <c r="H150" s="53" t="str">
        <f t="shared" ca="1" si="26"/>
        <v/>
      </c>
      <c r="I150" s="25" t="str">
        <f t="shared" ca="1" si="32"/>
        <v/>
      </c>
      <c r="J150" s="26"/>
      <c r="K150" s="114" t="str">
        <f ca="1">IF($A150="","",IF(COUNTIFS(Dividends!$J:$J,"&gt;"&amp;INT($A149),Dividends!$J:$J,"&lt;="&amp;INT($A150))=0,"",$G$4*SUMIFS(Dividends!$K:$K,Dividends!$J:$J,"&gt;"&amp;INT($A149),Dividends!$J:$J,"&lt;="&amp;INT($A150))))</f>
        <v/>
      </c>
      <c r="L150" s="55" t="str">
        <f ca="1">IF(ISERROR(B150-2),"",C150+D150-F150-G150+I150+J150+SUM($K$14:K150))</f>
        <v/>
      </c>
      <c r="T150" s="52" t="str">
        <f t="shared" ca="1" si="22"/>
        <v/>
      </c>
      <c r="U150" s="97" t="str">
        <f t="shared" ca="1" si="23"/>
        <v/>
      </c>
    </row>
    <row r="151" spans="1:21" x14ac:dyDescent="0.25">
      <c r="A151" s="102" t="str">
        <f t="shared" ca="1" si="27"/>
        <v/>
      </c>
      <c r="B151" s="53" t="str">
        <f t="shared" ca="1" si="24"/>
        <v/>
      </c>
      <c r="C151" s="25" t="str">
        <f t="shared" ca="1" si="28"/>
        <v/>
      </c>
      <c r="D151" s="26" t="str">
        <f t="shared" ca="1" si="29"/>
        <v/>
      </c>
      <c r="E151" s="53" t="str">
        <f t="shared" ca="1" si="25"/>
        <v/>
      </c>
      <c r="F151" s="25" t="str">
        <f t="shared" ca="1" si="30"/>
        <v/>
      </c>
      <c r="G151" s="26" t="str">
        <f t="shared" ca="1" si="31"/>
        <v/>
      </c>
      <c r="H151" s="53" t="str">
        <f t="shared" ca="1" si="26"/>
        <v/>
      </c>
      <c r="I151" s="25" t="str">
        <f t="shared" ca="1" si="32"/>
        <v/>
      </c>
      <c r="J151" s="26"/>
      <c r="K151" s="114" t="str">
        <f ca="1">IF($A151="","",IF(COUNTIFS(Dividends!$J:$J,"&gt;"&amp;INT($A150),Dividends!$J:$J,"&lt;="&amp;INT($A151))=0,"",$G$4*SUMIFS(Dividends!$K:$K,Dividends!$J:$J,"&gt;"&amp;INT($A150),Dividends!$J:$J,"&lt;="&amp;INT($A151))))</f>
        <v/>
      </c>
      <c r="L151" s="55" t="str">
        <f ca="1">IF(ISERROR(B151-2),"",C151+D151-F151-G151+I151+J151+SUM($K$14:K151))</f>
        <v/>
      </c>
      <c r="T151" s="52" t="str">
        <f t="shared" ca="1" si="22"/>
        <v/>
      </c>
      <c r="U151" s="97" t="str">
        <f t="shared" ca="1" si="23"/>
        <v/>
      </c>
    </row>
    <row r="152" spans="1:21" x14ac:dyDescent="0.25">
      <c r="A152" s="102" t="str">
        <f t="shared" ca="1" si="27"/>
        <v/>
      </c>
      <c r="B152" s="53" t="str">
        <f t="shared" ca="1" si="24"/>
        <v/>
      </c>
      <c r="C152" s="25" t="str">
        <f t="shared" ca="1" si="28"/>
        <v/>
      </c>
      <c r="D152" s="26" t="str">
        <f t="shared" ca="1" si="29"/>
        <v/>
      </c>
      <c r="E152" s="53" t="str">
        <f t="shared" ca="1" si="25"/>
        <v/>
      </c>
      <c r="F152" s="25" t="str">
        <f t="shared" ca="1" si="30"/>
        <v/>
      </c>
      <c r="G152" s="26" t="str">
        <f t="shared" ca="1" si="31"/>
        <v/>
      </c>
      <c r="H152" s="53" t="str">
        <f t="shared" ca="1" si="26"/>
        <v/>
      </c>
      <c r="I152" s="25" t="str">
        <f t="shared" ca="1" si="32"/>
        <v/>
      </c>
      <c r="J152" s="26"/>
      <c r="K152" s="114" t="str">
        <f ca="1">IF($A152="","",IF(COUNTIFS(Dividends!$J:$J,"&gt;"&amp;INT($A151),Dividends!$J:$J,"&lt;="&amp;INT($A152))=0,"",$G$4*SUMIFS(Dividends!$K:$K,Dividends!$J:$J,"&gt;"&amp;INT($A151),Dividends!$J:$J,"&lt;="&amp;INT($A152))))</f>
        <v/>
      </c>
      <c r="L152" s="55" t="str">
        <f ca="1">IF(ISERROR(B152-2),"",C152+D152-F152-G152+I152+J152+SUM($K$14:K152))</f>
        <v/>
      </c>
      <c r="T152" s="52" t="str">
        <f t="shared" ca="1" si="22"/>
        <v/>
      </c>
      <c r="U152" s="97" t="str">
        <f t="shared" ca="1" si="23"/>
        <v/>
      </c>
    </row>
    <row r="153" spans="1:21" x14ac:dyDescent="0.25">
      <c r="A153" s="102" t="str">
        <f t="shared" ca="1" si="27"/>
        <v/>
      </c>
      <c r="B153" s="53" t="str">
        <f t="shared" ca="1" si="24"/>
        <v/>
      </c>
      <c r="C153" s="25" t="str">
        <f t="shared" ca="1" si="28"/>
        <v/>
      </c>
      <c r="D153" s="26" t="str">
        <f t="shared" ca="1" si="29"/>
        <v/>
      </c>
      <c r="E153" s="53" t="str">
        <f t="shared" ca="1" si="25"/>
        <v/>
      </c>
      <c r="F153" s="25" t="str">
        <f t="shared" ca="1" si="30"/>
        <v/>
      </c>
      <c r="G153" s="26" t="str">
        <f t="shared" ca="1" si="31"/>
        <v/>
      </c>
      <c r="H153" s="53" t="str">
        <f t="shared" ca="1" si="26"/>
        <v/>
      </c>
      <c r="I153" s="25" t="str">
        <f t="shared" ca="1" si="32"/>
        <v/>
      </c>
      <c r="J153" s="26"/>
      <c r="K153" s="114" t="str">
        <f ca="1">IF($A153="","",IF(COUNTIFS(Dividends!$J:$J,"&gt;"&amp;INT($A152),Dividends!$J:$J,"&lt;="&amp;INT($A153))=0,"",$G$4*SUMIFS(Dividends!$K:$K,Dividends!$J:$J,"&gt;"&amp;INT($A152),Dividends!$J:$J,"&lt;="&amp;INT($A153))))</f>
        <v/>
      </c>
      <c r="L153" s="55" t="str">
        <f ca="1">IF(ISERROR(B153-2),"",C153+D153-F153-G153+I153+J153+SUM($K$14:K153))</f>
        <v/>
      </c>
      <c r="T153" s="52" t="str">
        <f t="shared" ca="1" si="22"/>
        <v/>
      </c>
      <c r="U153" s="97" t="str">
        <f t="shared" ca="1" si="23"/>
        <v/>
      </c>
    </row>
    <row r="154" spans="1:21" x14ac:dyDescent="0.25">
      <c r="A154" s="102" t="str">
        <f t="shared" ca="1" si="27"/>
        <v/>
      </c>
      <c r="B154" s="53" t="str">
        <f t="shared" ca="1" si="24"/>
        <v/>
      </c>
      <c r="C154" s="25" t="str">
        <f t="shared" ca="1" si="28"/>
        <v/>
      </c>
      <c r="D154" s="26" t="str">
        <f t="shared" ca="1" si="29"/>
        <v/>
      </c>
      <c r="E154" s="53" t="str">
        <f t="shared" ca="1" si="25"/>
        <v/>
      </c>
      <c r="F154" s="25" t="str">
        <f t="shared" ca="1" si="30"/>
        <v/>
      </c>
      <c r="G154" s="26" t="str">
        <f t="shared" ca="1" si="31"/>
        <v/>
      </c>
      <c r="H154" s="53" t="str">
        <f t="shared" ca="1" si="26"/>
        <v/>
      </c>
      <c r="I154" s="25" t="str">
        <f t="shared" ca="1" si="32"/>
        <v/>
      </c>
      <c r="J154" s="26"/>
      <c r="K154" s="114" t="str">
        <f ca="1">IF($A154="","",IF(COUNTIFS(Dividends!$J:$J,"&gt;"&amp;INT($A153),Dividends!$J:$J,"&lt;="&amp;INT($A154))=0,"",$G$4*SUMIFS(Dividends!$K:$K,Dividends!$J:$J,"&gt;"&amp;INT($A153),Dividends!$J:$J,"&lt;="&amp;INT($A154))))</f>
        <v/>
      </c>
      <c r="L154" s="55" t="str">
        <f ca="1">IF(ISERROR(B154-2),"",C154+D154-F154-G154+I154+J154+SUM($K$14:K154))</f>
        <v/>
      </c>
      <c r="T154" s="52" t="str">
        <f t="shared" ca="1" si="22"/>
        <v/>
      </c>
      <c r="U154" s="97" t="str">
        <f t="shared" ca="1" si="23"/>
        <v/>
      </c>
    </row>
    <row r="155" spans="1:21" x14ac:dyDescent="0.25">
      <c r="A155" s="102" t="str">
        <f t="shared" ca="1" si="27"/>
        <v/>
      </c>
      <c r="B155" s="53" t="str">
        <f t="shared" ca="1" si="24"/>
        <v/>
      </c>
      <c r="C155" s="25" t="str">
        <f t="shared" ca="1" si="28"/>
        <v/>
      </c>
      <c r="D155" s="26" t="str">
        <f t="shared" ca="1" si="29"/>
        <v/>
      </c>
      <c r="E155" s="53" t="str">
        <f t="shared" ca="1" si="25"/>
        <v/>
      </c>
      <c r="F155" s="25" t="str">
        <f t="shared" ca="1" si="30"/>
        <v/>
      </c>
      <c r="G155" s="26" t="str">
        <f t="shared" ca="1" si="31"/>
        <v/>
      </c>
      <c r="H155" s="53" t="str">
        <f t="shared" ca="1" si="26"/>
        <v/>
      </c>
      <c r="I155" s="25" t="str">
        <f t="shared" ca="1" si="32"/>
        <v/>
      </c>
      <c r="J155" s="26"/>
      <c r="K155" s="114" t="str">
        <f ca="1">IF($A155="","",IF(COUNTIFS(Dividends!$J:$J,"&gt;"&amp;INT($A154),Dividends!$J:$J,"&lt;="&amp;INT($A155))=0,"",$G$4*SUMIFS(Dividends!$K:$K,Dividends!$J:$J,"&gt;"&amp;INT($A154),Dividends!$J:$J,"&lt;="&amp;INT($A155))))</f>
        <v/>
      </c>
      <c r="L155" s="55" t="str">
        <f ca="1">IF(ISERROR(B155-2),"",C155+D155-F155-G155+I155+J155+SUM($K$14:K155))</f>
        <v/>
      </c>
      <c r="T155" s="52" t="str">
        <f t="shared" ca="1" si="22"/>
        <v/>
      </c>
      <c r="U155" s="97" t="str">
        <f t="shared" ca="1" si="23"/>
        <v/>
      </c>
    </row>
    <row r="156" spans="1:21" x14ac:dyDescent="0.25">
      <c r="A156" s="102" t="str">
        <f t="shared" ca="1" si="27"/>
        <v/>
      </c>
      <c r="B156" s="53" t="str">
        <f t="shared" ca="1" si="24"/>
        <v/>
      </c>
      <c r="C156" s="25" t="str">
        <f t="shared" ca="1" si="28"/>
        <v/>
      </c>
      <c r="D156" s="26" t="str">
        <f t="shared" ca="1" si="29"/>
        <v/>
      </c>
      <c r="E156" s="53" t="str">
        <f t="shared" ca="1" si="25"/>
        <v/>
      </c>
      <c r="F156" s="25" t="str">
        <f t="shared" ca="1" si="30"/>
        <v/>
      </c>
      <c r="G156" s="26" t="str">
        <f t="shared" ca="1" si="31"/>
        <v/>
      </c>
      <c r="H156" s="53" t="str">
        <f t="shared" ca="1" si="26"/>
        <v/>
      </c>
      <c r="I156" s="25" t="str">
        <f t="shared" ca="1" si="32"/>
        <v/>
      </c>
      <c r="J156" s="26"/>
      <c r="K156" s="114" t="str">
        <f ca="1">IF($A156="","",IF(COUNTIFS(Dividends!$J:$J,"&gt;"&amp;INT($A155),Dividends!$J:$J,"&lt;="&amp;INT($A156))=0,"",$G$4*SUMIFS(Dividends!$K:$K,Dividends!$J:$J,"&gt;"&amp;INT($A155),Dividends!$J:$J,"&lt;="&amp;INT($A156))))</f>
        <v/>
      </c>
      <c r="L156" s="55" t="str">
        <f ca="1">IF(ISERROR(B156-2),"",C156+D156-F156-G156+I156+J156+SUM($K$14:K156))</f>
        <v/>
      </c>
      <c r="T156" s="52" t="str">
        <f t="shared" ca="1" si="22"/>
        <v/>
      </c>
      <c r="U156" s="97" t="str">
        <f t="shared" ca="1" si="23"/>
        <v/>
      </c>
    </row>
    <row r="157" spans="1:21" x14ac:dyDescent="0.25">
      <c r="A157" s="102" t="str">
        <f t="shared" ca="1" si="27"/>
        <v/>
      </c>
      <c r="B157" s="53" t="str">
        <f t="shared" ca="1" si="24"/>
        <v/>
      </c>
      <c r="C157" s="25" t="str">
        <f t="shared" ca="1" si="28"/>
        <v/>
      </c>
      <c r="D157" s="26" t="str">
        <f t="shared" ca="1" si="29"/>
        <v/>
      </c>
      <c r="E157" s="53" t="str">
        <f t="shared" ca="1" si="25"/>
        <v/>
      </c>
      <c r="F157" s="25" t="str">
        <f t="shared" ca="1" si="30"/>
        <v/>
      </c>
      <c r="G157" s="26" t="str">
        <f t="shared" ca="1" si="31"/>
        <v/>
      </c>
      <c r="H157" s="53" t="str">
        <f t="shared" ca="1" si="26"/>
        <v/>
      </c>
      <c r="I157" s="25" t="str">
        <f t="shared" ca="1" si="32"/>
        <v/>
      </c>
      <c r="J157" s="26"/>
      <c r="K157" s="114" t="str">
        <f ca="1">IF($A157="","",IF(COUNTIFS(Dividends!$J:$J,"&gt;"&amp;INT($A156),Dividends!$J:$J,"&lt;="&amp;INT($A157))=0,"",$G$4*SUMIFS(Dividends!$K:$K,Dividends!$J:$J,"&gt;"&amp;INT($A156),Dividends!$J:$J,"&lt;="&amp;INT($A157))))</f>
        <v/>
      </c>
      <c r="L157" s="55" t="str">
        <f ca="1">IF(ISERROR(B157-2),"",C157+D157-F157-G157+I157+J157+SUM($K$14:K157))</f>
        <v/>
      </c>
      <c r="T157" s="52" t="str">
        <f t="shared" ca="1" si="22"/>
        <v/>
      </c>
      <c r="U157" s="97" t="str">
        <f t="shared" ca="1" si="23"/>
        <v/>
      </c>
    </row>
    <row r="158" spans="1:21" x14ac:dyDescent="0.25">
      <c r="A158" s="102" t="str">
        <f t="shared" ca="1" si="27"/>
        <v/>
      </c>
      <c r="B158" s="53" t="str">
        <f t="shared" ca="1" si="24"/>
        <v/>
      </c>
      <c r="C158" s="25" t="str">
        <f t="shared" ca="1" si="28"/>
        <v/>
      </c>
      <c r="D158" s="26" t="str">
        <f t="shared" ca="1" si="29"/>
        <v/>
      </c>
      <c r="E158" s="53" t="str">
        <f t="shared" ca="1" si="25"/>
        <v/>
      </c>
      <c r="F158" s="25" t="str">
        <f t="shared" ca="1" si="30"/>
        <v/>
      </c>
      <c r="G158" s="26" t="str">
        <f t="shared" ca="1" si="31"/>
        <v/>
      </c>
      <c r="H158" s="53" t="str">
        <f t="shared" ca="1" si="26"/>
        <v/>
      </c>
      <c r="I158" s="25" t="str">
        <f t="shared" ca="1" si="32"/>
        <v/>
      </c>
      <c r="J158" s="26"/>
      <c r="K158" s="114" t="str">
        <f ca="1">IF($A158="","",IF(COUNTIFS(Dividends!$J:$J,"&gt;"&amp;INT($A157),Dividends!$J:$J,"&lt;="&amp;INT($A158))=0,"",$G$4*SUMIFS(Dividends!$K:$K,Dividends!$J:$J,"&gt;"&amp;INT($A157),Dividends!$J:$J,"&lt;="&amp;INT($A158))))</f>
        <v/>
      </c>
      <c r="L158" s="55" t="str">
        <f ca="1">IF(ISERROR(B158-2),"",C158+D158-F158-G158+I158+J158+SUM($K$14:K158))</f>
        <v/>
      </c>
      <c r="T158" s="52" t="str">
        <f t="shared" ca="1" si="22"/>
        <v/>
      </c>
      <c r="U158" s="97" t="str">
        <f t="shared" ca="1" si="23"/>
        <v/>
      </c>
    </row>
    <row r="159" spans="1:21" x14ac:dyDescent="0.25">
      <c r="A159" s="102" t="str">
        <f t="shared" ca="1" si="27"/>
        <v/>
      </c>
      <c r="B159" s="53" t="str">
        <f t="shared" ca="1" si="24"/>
        <v/>
      </c>
      <c r="C159" s="25" t="str">
        <f t="shared" ca="1" si="28"/>
        <v/>
      </c>
      <c r="D159" s="26" t="str">
        <f t="shared" ca="1" si="29"/>
        <v/>
      </c>
      <c r="E159" s="53" t="str">
        <f t="shared" ca="1" si="25"/>
        <v/>
      </c>
      <c r="F159" s="25" t="str">
        <f t="shared" ca="1" si="30"/>
        <v/>
      </c>
      <c r="G159" s="26" t="str">
        <f t="shared" ca="1" si="31"/>
        <v/>
      </c>
      <c r="H159" s="53" t="str">
        <f t="shared" ca="1" si="26"/>
        <v/>
      </c>
      <c r="I159" s="25" t="str">
        <f t="shared" ca="1" si="32"/>
        <v/>
      </c>
      <c r="J159" s="26"/>
      <c r="K159" s="114" t="str">
        <f ca="1">IF($A159="","",IF(COUNTIFS(Dividends!$J:$J,"&gt;"&amp;INT($A158),Dividends!$J:$J,"&lt;="&amp;INT($A159))=0,"",$G$4*SUMIFS(Dividends!$K:$K,Dividends!$J:$J,"&gt;"&amp;INT($A158),Dividends!$J:$J,"&lt;="&amp;INT($A159))))</f>
        <v/>
      </c>
      <c r="L159" s="55" t="str">
        <f ca="1">IF(ISERROR(B159-2),"",C159+D159-F159-G159+I159+J159+SUM($K$14:K159))</f>
        <v/>
      </c>
      <c r="T159" s="52" t="str">
        <f t="shared" ca="1" si="22"/>
        <v/>
      </c>
      <c r="U159" s="97" t="str">
        <f t="shared" ca="1" si="23"/>
        <v/>
      </c>
    </row>
    <row r="160" spans="1:21" x14ac:dyDescent="0.25">
      <c r="A160" s="102" t="str">
        <f t="shared" ca="1" si="27"/>
        <v/>
      </c>
      <c r="B160" s="53" t="str">
        <f t="shared" ca="1" si="24"/>
        <v/>
      </c>
      <c r="C160" s="25" t="str">
        <f t="shared" ca="1" si="28"/>
        <v/>
      </c>
      <c r="D160" s="26" t="str">
        <f t="shared" ca="1" si="29"/>
        <v/>
      </c>
      <c r="E160" s="53" t="str">
        <f t="shared" ca="1" si="25"/>
        <v/>
      </c>
      <c r="F160" s="25" t="str">
        <f t="shared" ca="1" si="30"/>
        <v/>
      </c>
      <c r="G160" s="26" t="str">
        <f t="shared" ca="1" si="31"/>
        <v/>
      </c>
      <c r="H160" s="53" t="str">
        <f t="shared" ca="1" si="26"/>
        <v/>
      </c>
      <c r="I160" s="25" t="str">
        <f t="shared" ca="1" si="32"/>
        <v/>
      </c>
      <c r="J160" s="26"/>
      <c r="K160" s="114" t="str">
        <f ca="1">IF($A160="","",IF(COUNTIFS(Dividends!$J:$J,"&gt;"&amp;INT($A159),Dividends!$J:$J,"&lt;="&amp;INT($A160))=0,"",$G$4*SUMIFS(Dividends!$K:$K,Dividends!$J:$J,"&gt;"&amp;INT($A159),Dividends!$J:$J,"&lt;="&amp;INT($A160))))</f>
        <v/>
      </c>
      <c r="L160" s="55" t="str">
        <f ca="1">IF(ISERROR(B160-2),"",C160+D160-F160-G160+I160+J160+SUM($K$14:K160))</f>
        <v/>
      </c>
      <c r="T160" s="52" t="str">
        <f t="shared" ca="1" si="22"/>
        <v/>
      </c>
      <c r="U160" s="97" t="str">
        <f t="shared" ca="1" si="23"/>
        <v/>
      </c>
    </row>
    <row r="161" spans="1:21" x14ac:dyDescent="0.25">
      <c r="A161" s="102" t="str">
        <f t="shared" ca="1" si="27"/>
        <v/>
      </c>
      <c r="B161" s="53" t="str">
        <f t="shared" ca="1" si="24"/>
        <v/>
      </c>
      <c r="C161" s="25" t="str">
        <f t="shared" ca="1" si="28"/>
        <v/>
      </c>
      <c r="D161" s="26" t="str">
        <f t="shared" ca="1" si="29"/>
        <v/>
      </c>
      <c r="E161" s="53" t="str">
        <f t="shared" ca="1" si="25"/>
        <v/>
      </c>
      <c r="F161" s="25" t="str">
        <f t="shared" ca="1" si="30"/>
        <v/>
      </c>
      <c r="G161" s="26" t="str">
        <f t="shared" ca="1" si="31"/>
        <v/>
      </c>
      <c r="H161" s="53" t="str">
        <f t="shared" ca="1" si="26"/>
        <v/>
      </c>
      <c r="I161" s="25" t="str">
        <f t="shared" ca="1" si="32"/>
        <v/>
      </c>
      <c r="J161" s="26"/>
      <c r="K161" s="114" t="str">
        <f ca="1">IF($A161="","",IF(COUNTIFS(Dividends!$J:$J,"&gt;"&amp;INT($A160),Dividends!$J:$J,"&lt;="&amp;INT($A161))=0,"",$G$4*SUMIFS(Dividends!$K:$K,Dividends!$J:$J,"&gt;"&amp;INT($A160),Dividends!$J:$J,"&lt;="&amp;INT($A161))))</f>
        <v/>
      </c>
      <c r="L161" s="55" t="str">
        <f ca="1">IF(ISERROR(B161-2),"",C161+D161-F161-G161+I161+J161+SUM($K$14:K161))</f>
        <v/>
      </c>
      <c r="T161" s="52" t="str">
        <f t="shared" ca="1" si="22"/>
        <v/>
      </c>
      <c r="U161" s="97" t="str">
        <f t="shared" ca="1" si="23"/>
        <v/>
      </c>
    </row>
    <row r="162" spans="1:21" x14ac:dyDescent="0.25">
      <c r="A162" s="102" t="str">
        <f t="shared" ca="1" si="27"/>
        <v/>
      </c>
      <c r="B162" s="53" t="str">
        <f t="shared" ca="1" si="24"/>
        <v/>
      </c>
      <c r="C162" s="25" t="str">
        <f t="shared" ca="1" si="28"/>
        <v/>
      </c>
      <c r="D162" s="26" t="str">
        <f t="shared" ca="1" si="29"/>
        <v/>
      </c>
      <c r="E162" s="53" t="str">
        <f t="shared" ca="1" si="25"/>
        <v/>
      </c>
      <c r="F162" s="25" t="str">
        <f t="shared" ca="1" si="30"/>
        <v/>
      </c>
      <c r="G162" s="26" t="str">
        <f t="shared" ca="1" si="31"/>
        <v/>
      </c>
      <c r="H162" s="53" t="str">
        <f t="shared" ca="1" si="26"/>
        <v/>
      </c>
      <c r="I162" s="25" t="str">
        <f t="shared" ca="1" si="32"/>
        <v/>
      </c>
      <c r="J162" s="26"/>
      <c r="K162" s="114" t="str">
        <f ca="1">IF($A162="","",IF(COUNTIFS(Dividends!$J:$J,"&gt;"&amp;INT($A161),Dividends!$J:$J,"&lt;="&amp;INT($A162))=0,"",$G$4*SUMIFS(Dividends!$K:$K,Dividends!$J:$J,"&gt;"&amp;INT($A161),Dividends!$J:$J,"&lt;="&amp;INT($A162))))</f>
        <v/>
      </c>
      <c r="L162" s="55" t="str">
        <f ca="1">IF(ISERROR(B162-2),"",C162+D162-F162-G162+I162+J162+SUM($K$14:K162))</f>
        <v/>
      </c>
      <c r="T162" s="52" t="str">
        <f t="shared" ca="1" si="22"/>
        <v/>
      </c>
      <c r="U162" s="97" t="str">
        <f t="shared" ca="1" si="23"/>
        <v/>
      </c>
    </row>
    <row r="163" spans="1:21" x14ac:dyDescent="0.25">
      <c r="A163" s="102" t="str">
        <f t="shared" ca="1" si="27"/>
        <v/>
      </c>
      <c r="B163" s="53" t="str">
        <f t="shared" ca="1" si="24"/>
        <v/>
      </c>
      <c r="C163" s="25" t="str">
        <f t="shared" ca="1" si="28"/>
        <v/>
      </c>
      <c r="D163" s="26" t="str">
        <f t="shared" ca="1" si="29"/>
        <v/>
      </c>
      <c r="E163" s="53" t="str">
        <f t="shared" ca="1" si="25"/>
        <v/>
      </c>
      <c r="F163" s="25" t="str">
        <f t="shared" ca="1" si="30"/>
        <v/>
      </c>
      <c r="G163" s="26" t="str">
        <f t="shared" ca="1" si="31"/>
        <v/>
      </c>
      <c r="H163" s="53" t="str">
        <f t="shared" ca="1" si="26"/>
        <v/>
      </c>
      <c r="I163" s="25" t="str">
        <f t="shared" ca="1" si="32"/>
        <v/>
      </c>
      <c r="J163" s="26"/>
      <c r="K163" s="114" t="str">
        <f ca="1">IF($A163="","",IF(COUNTIFS(Dividends!$J:$J,"&gt;"&amp;INT($A162),Dividends!$J:$J,"&lt;="&amp;INT($A163))=0,"",$G$4*SUMIFS(Dividends!$K:$K,Dividends!$J:$J,"&gt;"&amp;INT($A162),Dividends!$J:$J,"&lt;="&amp;INT($A163))))</f>
        <v/>
      </c>
      <c r="L163" s="55" t="str">
        <f ca="1">IF(ISERROR(B163-2),"",C163+D163-F163-G163+I163+J163+SUM($K$14:K163))</f>
        <v/>
      </c>
      <c r="T163" s="52" t="str">
        <f t="shared" ca="1" si="22"/>
        <v/>
      </c>
      <c r="U163" s="97" t="str">
        <f t="shared" ca="1" si="23"/>
        <v/>
      </c>
    </row>
    <row r="164" spans="1:21" x14ac:dyDescent="0.25">
      <c r="A164" s="102" t="str">
        <f t="shared" ca="1" si="27"/>
        <v/>
      </c>
      <c r="B164" s="53" t="str">
        <f t="shared" ca="1" si="24"/>
        <v/>
      </c>
      <c r="C164" s="25" t="str">
        <f t="shared" ca="1" si="28"/>
        <v/>
      </c>
      <c r="D164" s="26" t="str">
        <f t="shared" ca="1" si="29"/>
        <v/>
      </c>
      <c r="E164" s="53" t="str">
        <f t="shared" ca="1" si="25"/>
        <v/>
      </c>
      <c r="F164" s="25" t="str">
        <f t="shared" ca="1" si="30"/>
        <v/>
      </c>
      <c r="G164" s="26" t="str">
        <f t="shared" ca="1" si="31"/>
        <v/>
      </c>
      <c r="H164" s="53" t="str">
        <f t="shared" ca="1" si="26"/>
        <v/>
      </c>
      <c r="I164" s="25" t="str">
        <f t="shared" ca="1" si="32"/>
        <v/>
      </c>
      <c r="J164" s="26"/>
      <c r="K164" s="114" t="str">
        <f ca="1">IF($A164="","",IF(COUNTIFS(Dividends!$J:$J,"&gt;"&amp;INT($A163),Dividends!$J:$J,"&lt;="&amp;INT($A164))=0,"",$G$4*SUMIFS(Dividends!$K:$K,Dividends!$J:$J,"&gt;"&amp;INT($A163),Dividends!$J:$J,"&lt;="&amp;INT($A164))))</f>
        <v/>
      </c>
      <c r="L164" s="55" t="str">
        <f ca="1">IF(ISERROR(B164-2),"",C164+D164-F164-G164+I164+J164+SUM($K$14:K164))</f>
        <v/>
      </c>
      <c r="T164" s="52" t="str">
        <f t="shared" ca="1" si="22"/>
        <v/>
      </c>
      <c r="U164" s="97" t="str">
        <f t="shared" ca="1" si="23"/>
        <v/>
      </c>
    </row>
    <row r="165" spans="1:21" x14ac:dyDescent="0.25">
      <c r="A165" s="102" t="str">
        <f t="shared" ca="1" si="27"/>
        <v/>
      </c>
      <c r="B165" s="53" t="str">
        <f t="shared" ca="1" si="24"/>
        <v/>
      </c>
      <c r="C165" s="25" t="str">
        <f t="shared" ca="1" si="28"/>
        <v/>
      </c>
      <c r="D165" s="26" t="str">
        <f t="shared" ca="1" si="29"/>
        <v/>
      </c>
      <c r="E165" s="53" t="str">
        <f t="shared" ca="1" si="25"/>
        <v/>
      </c>
      <c r="F165" s="25" t="str">
        <f t="shared" ca="1" si="30"/>
        <v/>
      </c>
      <c r="G165" s="26" t="str">
        <f t="shared" ca="1" si="31"/>
        <v/>
      </c>
      <c r="H165" s="53" t="str">
        <f t="shared" ca="1" si="26"/>
        <v/>
      </c>
      <c r="I165" s="25" t="str">
        <f t="shared" ca="1" si="32"/>
        <v/>
      </c>
      <c r="J165" s="26"/>
      <c r="K165" s="114" t="str">
        <f ca="1">IF($A165="","",IF(COUNTIFS(Dividends!$J:$J,"&gt;"&amp;INT($A164),Dividends!$J:$J,"&lt;="&amp;INT($A165))=0,"",$G$4*SUMIFS(Dividends!$K:$K,Dividends!$J:$J,"&gt;"&amp;INT($A164),Dividends!$J:$J,"&lt;="&amp;INT($A165))))</f>
        <v/>
      </c>
      <c r="L165" s="55" t="str">
        <f ca="1">IF(ISERROR(B165-2),"",C165+D165-F165-G165+I165+J165+SUM($K$14:K165))</f>
        <v/>
      </c>
      <c r="T165" s="52" t="str">
        <f t="shared" ca="1" si="22"/>
        <v/>
      </c>
      <c r="U165" s="97" t="str">
        <f t="shared" ca="1" si="23"/>
        <v/>
      </c>
    </row>
    <row r="166" spans="1:21" x14ac:dyDescent="0.25">
      <c r="A166" s="102" t="str">
        <f t="shared" ca="1" si="27"/>
        <v/>
      </c>
      <c r="B166" s="53" t="str">
        <f t="shared" ca="1" si="24"/>
        <v/>
      </c>
      <c r="C166" s="25" t="str">
        <f t="shared" ca="1" si="28"/>
        <v/>
      </c>
      <c r="D166" s="26" t="str">
        <f t="shared" ca="1" si="29"/>
        <v/>
      </c>
      <c r="E166" s="53" t="str">
        <f t="shared" ca="1" si="25"/>
        <v/>
      </c>
      <c r="F166" s="25" t="str">
        <f t="shared" ca="1" si="30"/>
        <v/>
      </c>
      <c r="G166" s="26" t="str">
        <f t="shared" ca="1" si="31"/>
        <v/>
      </c>
      <c r="H166" s="53" t="str">
        <f t="shared" ca="1" si="26"/>
        <v/>
      </c>
      <c r="I166" s="25" t="str">
        <f t="shared" ca="1" si="32"/>
        <v/>
      </c>
      <c r="J166" s="26"/>
      <c r="K166" s="114" t="str">
        <f ca="1">IF($A166="","",IF(COUNTIFS(Dividends!$J:$J,"&gt;"&amp;INT($A165),Dividends!$J:$J,"&lt;="&amp;INT($A166))=0,"",$G$4*SUMIFS(Dividends!$K:$K,Dividends!$J:$J,"&gt;"&amp;INT($A165),Dividends!$J:$J,"&lt;="&amp;INT($A166))))</f>
        <v/>
      </c>
      <c r="L166" s="55" t="str">
        <f ca="1">IF(ISERROR(B166-2),"",C166+D166-F166-G166+I166+J166+SUM($K$14:K166))</f>
        <v/>
      </c>
      <c r="T166" s="52" t="str">
        <f t="shared" ca="1" si="22"/>
        <v/>
      </c>
      <c r="U166" s="97" t="str">
        <f t="shared" ca="1" si="23"/>
        <v/>
      </c>
    </row>
    <row r="167" spans="1:21" x14ac:dyDescent="0.25">
      <c r="A167" s="102" t="str">
        <f t="shared" ca="1" si="27"/>
        <v/>
      </c>
      <c r="B167" s="53" t="str">
        <f t="shared" ca="1" si="24"/>
        <v/>
      </c>
      <c r="C167" s="25" t="str">
        <f t="shared" ca="1" si="28"/>
        <v/>
      </c>
      <c r="D167" s="26" t="str">
        <f t="shared" ca="1" si="29"/>
        <v/>
      </c>
      <c r="E167" s="53" t="str">
        <f t="shared" ca="1" si="25"/>
        <v/>
      </c>
      <c r="F167" s="25" t="str">
        <f t="shared" ca="1" si="30"/>
        <v/>
      </c>
      <c r="G167" s="26" t="str">
        <f t="shared" ca="1" si="31"/>
        <v/>
      </c>
      <c r="H167" s="53" t="str">
        <f t="shared" ca="1" si="26"/>
        <v/>
      </c>
      <c r="I167" s="25" t="str">
        <f t="shared" ca="1" si="32"/>
        <v/>
      </c>
      <c r="J167" s="26"/>
      <c r="K167" s="114" t="str">
        <f ca="1">IF($A167="","",IF(COUNTIFS(Dividends!$J:$J,"&gt;"&amp;INT($A166),Dividends!$J:$J,"&lt;="&amp;INT($A167))=0,"",$G$4*SUMIFS(Dividends!$K:$K,Dividends!$J:$J,"&gt;"&amp;INT($A166),Dividends!$J:$J,"&lt;="&amp;INT($A167))))</f>
        <v/>
      </c>
      <c r="L167" s="55" t="str">
        <f ca="1">IF(ISERROR(B167-2),"",C167+D167-F167-G167+I167+J167+SUM($K$14:K167))</f>
        <v/>
      </c>
      <c r="T167" s="52" t="str">
        <f t="shared" ca="1" si="22"/>
        <v/>
      </c>
      <c r="U167" s="97" t="str">
        <f t="shared" ca="1" si="23"/>
        <v/>
      </c>
    </row>
    <row r="168" spans="1:21" x14ac:dyDescent="0.25">
      <c r="A168" s="102" t="str">
        <f t="shared" ca="1" si="27"/>
        <v/>
      </c>
      <c r="B168" s="53" t="str">
        <f t="shared" ca="1" si="24"/>
        <v/>
      </c>
      <c r="C168" s="25" t="str">
        <f t="shared" ca="1" si="28"/>
        <v/>
      </c>
      <c r="D168" s="26" t="str">
        <f t="shared" ca="1" si="29"/>
        <v/>
      </c>
      <c r="E168" s="53" t="str">
        <f t="shared" ca="1" si="25"/>
        <v/>
      </c>
      <c r="F168" s="25" t="str">
        <f t="shared" ca="1" si="30"/>
        <v/>
      </c>
      <c r="G168" s="26" t="str">
        <f t="shared" ca="1" si="31"/>
        <v/>
      </c>
      <c r="H168" s="53" t="str">
        <f t="shared" ca="1" si="26"/>
        <v/>
      </c>
      <c r="I168" s="25" t="str">
        <f t="shared" ca="1" si="32"/>
        <v/>
      </c>
      <c r="J168" s="26"/>
      <c r="K168" s="114" t="str">
        <f ca="1">IF($A168="","",IF(COUNTIFS(Dividends!$J:$J,"&gt;"&amp;INT($A167),Dividends!$J:$J,"&lt;="&amp;INT($A168))=0,"",$G$4*SUMIFS(Dividends!$K:$K,Dividends!$J:$J,"&gt;"&amp;INT($A167),Dividends!$J:$J,"&lt;="&amp;INT($A168))))</f>
        <v/>
      </c>
      <c r="L168" s="55" t="str">
        <f ca="1">IF(ISERROR(B168-2),"",C168+D168-F168-G168+I168+J168+SUM($K$14:K168))</f>
        <v/>
      </c>
      <c r="T168" s="52" t="str">
        <f t="shared" ca="1" si="22"/>
        <v/>
      </c>
      <c r="U168" s="97" t="str">
        <f t="shared" ca="1" si="23"/>
        <v/>
      </c>
    </row>
    <row r="169" spans="1:21" x14ac:dyDescent="0.25">
      <c r="A169" s="102" t="str">
        <f t="shared" ca="1" si="27"/>
        <v/>
      </c>
      <c r="B169" s="53" t="str">
        <f t="shared" ca="1" si="24"/>
        <v/>
      </c>
      <c r="C169" s="25" t="str">
        <f t="shared" ca="1" si="28"/>
        <v/>
      </c>
      <c r="D169" s="26" t="str">
        <f t="shared" ca="1" si="29"/>
        <v/>
      </c>
      <c r="E169" s="53" t="str">
        <f t="shared" ca="1" si="25"/>
        <v/>
      </c>
      <c r="F169" s="25" t="str">
        <f t="shared" ca="1" si="30"/>
        <v/>
      </c>
      <c r="G169" s="26" t="str">
        <f t="shared" ca="1" si="31"/>
        <v/>
      </c>
      <c r="H169" s="53" t="str">
        <f t="shared" ca="1" si="26"/>
        <v/>
      </c>
      <c r="I169" s="25" t="str">
        <f t="shared" ca="1" si="32"/>
        <v/>
      </c>
      <c r="J169" s="26"/>
      <c r="K169" s="114" t="str">
        <f ca="1">IF($A169="","",IF(COUNTIFS(Dividends!$J:$J,"&gt;"&amp;INT($A168),Dividends!$J:$J,"&lt;="&amp;INT($A169))=0,"",$G$4*SUMIFS(Dividends!$K:$K,Dividends!$J:$J,"&gt;"&amp;INT($A168),Dividends!$J:$J,"&lt;="&amp;INT($A169))))</f>
        <v/>
      </c>
      <c r="L169" s="55" t="str">
        <f ca="1">IF(ISERROR(B169-2),"",C169+D169-F169-G169+I169+J169+SUM($K$14:K169))</f>
        <v/>
      </c>
      <c r="T169" s="52" t="str">
        <f t="shared" ca="1" si="22"/>
        <v/>
      </c>
      <c r="U169" s="97" t="str">
        <f t="shared" ca="1" si="23"/>
        <v/>
      </c>
    </row>
    <row r="170" spans="1:21" x14ac:dyDescent="0.25">
      <c r="A170" s="102" t="str">
        <f t="shared" ca="1" si="27"/>
        <v/>
      </c>
      <c r="B170" s="53" t="str">
        <f t="shared" ca="1" si="24"/>
        <v/>
      </c>
      <c r="C170" s="25" t="str">
        <f t="shared" ca="1" si="28"/>
        <v/>
      </c>
      <c r="D170" s="26" t="str">
        <f t="shared" ca="1" si="29"/>
        <v/>
      </c>
      <c r="E170" s="53" t="str">
        <f t="shared" ca="1" si="25"/>
        <v/>
      </c>
      <c r="F170" s="25" t="str">
        <f t="shared" ca="1" si="30"/>
        <v/>
      </c>
      <c r="G170" s="26" t="str">
        <f t="shared" ca="1" si="31"/>
        <v/>
      </c>
      <c r="H170" s="53" t="str">
        <f t="shared" ca="1" si="26"/>
        <v/>
      </c>
      <c r="I170" s="25" t="str">
        <f t="shared" ca="1" si="32"/>
        <v/>
      </c>
      <c r="J170" s="26"/>
      <c r="K170" s="114" t="str">
        <f ca="1">IF($A170="","",IF(COUNTIFS(Dividends!$J:$J,"&gt;"&amp;INT($A169),Dividends!$J:$J,"&lt;="&amp;INT($A170))=0,"",$G$4*SUMIFS(Dividends!$K:$K,Dividends!$J:$J,"&gt;"&amp;INT($A169),Dividends!$J:$J,"&lt;="&amp;INT($A170))))</f>
        <v/>
      </c>
      <c r="L170" s="55" t="str">
        <f ca="1">IF(ISERROR(B170-2),"",C170+D170-F170-G170+I170+J170+SUM($K$14:K170))</f>
        <v/>
      </c>
      <c r="T170" s="52" t="str">
        <f t="shared" ca="1" si="22"/>
        <v/>
      </c>
      <c r="U170" s="97" t="str">
        <f t="shared" ca="1" si="23"/>
        <v/>
      </c>
    </row>
    <row r="171" spans="1:21" x14ac:dyDescent="0.25">
      <c r="A171" s="102" t="str">
        <f t="shared" ca="1" si="27"/>
        <v/>
      </c>
      <c r="B171" s="53" t="str">
        <f t="shared" ca="1" si="24"/>
        <v/>
      </c>
      <c r="C171" s="25" t="str">
        <f t="shared" ca="1" si="28"/>
        <v/>
      </c>
      <c r="D171" s="26" t="str">
        <f t="shared" ca="1" si="29"/>
        <v/>
      </c>
      <c r="E171" s="53" t="str">
        <f t="shared" ca="1" si="25"/>
        <v/>
      </c>
      <c r="F171" s="25" t="str">
        <f t="shared" ca="1" si="30"/>
        <v/>
      </c>
      <c r="G171" s="26" t="str">
        <f t="shared" ca="1" si="31"/>
        <v/>
      </c>
      <c r="H171" s="53" t="str">
        <f t="shared" ca="1" si="26"/>
        <v/>
      </c>
      <c r="I171" s="25" t="str">
        <f t="shared" ca="1" si="32"/>
        <v/>
      </c>
      <c r="J171" s="26"/>
      <c r="K171" s="114" t="str">
        <f ca="1">IF($A171="","",IF(COUNTIFS(Dividends!$J:$J,"&gt;"&amp;INT($A170),Dividends!$J:$J,"&lt;="&amp;INT($A171))=0,"",$G$4*SUMIFS(Dividends!$K:$K,Dividends!$J:$J,"&gt;"&amp;INT($A170),Dividends!$J:$J,"&lt;="&amp;INT($A171))))</f>
        <v/>
      </c>
      <c r="L171" s="55" t="str">
        <f ca="1">IF(ISERROR(B171-2),"",C171+D171-F171-G171+I171+J171+SUM($K$14:K171))</f>
        <v/>
      </c>
      <c r="T171" s="52" t="str">
        <f t="shared" ca="1" si="22"/>
        <v/>
      </c>
      <c r="U171" s="97" t="str">
        <f t="shared" ca="1" si="23"/>
        <v/>
      </c>
    </row>
    <row r="172" spans="1:21" x14ac:dyDescent="0.25">
      <c r="A172" s="102" t="str">
        <f t="shared" ca="1" si="27"/>
        <v/>
      </c>
      <c r="B172" s="53" t="str">
        <f t="shared" ca="1" si="24"/>
        <v/>
      </c>
      <c r="C172" s="25" t="str">
        <f t="shared" ca="1" si="28"/>
        <v/>
      </c>
      <c r="D172" s="26" t="str">
        <f t="shared" ca="1" si="29"/>
        <v/>
      </c>
      <c r="E172" s="53" t="str">
        <f t="shared" ca="1" si="25"/>
        <v/>
      </c>
      <c r="F172" s="25" t="str">
        <f t="shared" ca="1" si="30"/>
        <v/>
      </c>
      <c r="G172" s="26" t="str">
        <f t="shared" ca="1" si="31"/>
        <v/>
      </c>
      <c r="H172" s="53" t="str">
        <f t="shared" ca="1" si="26"/>
        <v/>
      </c>
      <c r="I172" s="25" t="str">
        <f t="shared" ca="1" si="32"/>
        <v/>
      </c>
      <c r="J172" s="26"/>
      <c r="K172" s="114" t="str">
        <f ca="1">IF($A172="","",IF(COUNTIFS(Dividends!$J:$J,"&gt;"&amp;INT($A171),Dividends!$J:$J,"&lt;="&amp;INT($A172))=0,"",$G$4*SUMIFS(Dividends!$K:$K,Dividends!$J:$J,"&gt;"&amp;INT($A171),Dividends!$J:$J,"&lt;="&amp;INT($A172))))</f>
        <v/>
      </c>
      <c r="L172" s="55" t="str">
        <f ca="1">IF(ISERROR(B172-2),"",C172+D172-F172-G172+I172+J172+SUM($K$14:K172))</f>
        <v/>
      </c>
      <c r="T172" s="52" t="str">
        <f t="shared" ca="1" si="22"/>
        <v/>
      </c>
      <c r="U172" s="97" t="str">
        <f t="shared" ca="1" si="23"/>
        <v/>
      </c>
    </row>
    <row r="173" spans="1:21" x14ac:dyDescent="0.25">
      <c r="A173" s="102" t="str">
        <f t="shared" ca="1" si="27"/>
        <v/>
      </c>
      <c r="B173" s="53" t="str">
        <f t="shared" ca="1" si="24"/>
        <v/>
      </c>
      <c r="C173" s="25" t="str">
        <f t="shared" ca="1" si="28"/>
        <v/>
      </c>
      <c r="D173" s="26" t="str">
        <f t="shared" ca="1" si="29"/>
        <v/>
      </c>
      <c r="E173" s="53" t="str">
        <f t="shared" ca="1" si="25"/>
        <v/>
      </c>
      <c r="F173" s="25" t="str">
        <f t="shared" ca="1" si="30"/>
        <v/>
      </c>
      <c r="G173" s="26" t="str">
        <f t="shared" ca="1" si="31"/>
        <v/>
      </c>
      <c r="H173" s="53" t="str">
        <f t="shared" ca="1" si="26"/>
        <v/>
      </c>
      <c r="I173" s="25" t="str">
        <f t="shared" ca="1" si="32"/>
        <v/>
      </c>
      <c r="J173" s="26"/>
      <c r="K173" s="114" t="str">
        <f ca="1">IF($A173="","",IF(COUNTIFS(Dividends!$J:$J,"&gt;"&amp;INT($A172),Dividends!$J:$J,"&lt;="&amp;INT($A173))=0,"",$G$4*SUMIFS(Dividends!$K:$K,Dividends!$J:$J,"&gt;"&amp;INT($A172),Dividends!$J:$J,"&lt;="&amp;INT($A173))))</f>
        <v/>
      </c>
      <c r="L173" s="55" t="str">
        <f ca="1">IF(ISERROR(B173-2),"",C173+D173-F173-G173+I173+J173+SUM($K$14:K173))</f>
        <v/>
      </c>
      <c r="T173" s="52" t="str">
        <f t="shared" ca="1" si="22"/>
        <v/>
      </c>
      <c r="U173" s="97" t="str">
        <f t="shared" ca="1" si="23"/>
        <v/>
      </c>
    </row>
    <row r="174" spans="1:21" x14ac:dyDescent="0.25">
      <c r="A174" s="102" t="str">
        <f t="shared" ca="1" si="27"/>
        <v/>
      </c>
      <c r="B174" s="53" t="str">
        <f t="shared" ca="1" si="24"/>
        <v/>
      </c>
      <c r="C174" s="25" t="str">
        <f t="shared" ca="1" si="28"/>
        <v/>
      </c>
      <c r="D174" s="26" t="str">
        <f t="shared" ca="1" si="29"/>
        <v/>
      </c>
      <c r="E174" s="53" t="str">
        <f t="shared" ca="1" si="25"/>
        <v/>
      </c>
      <c r="F174" s="25" t="str">
        <f t="shared" ca="1" si="30"/>
        <v/>
      </c>
      <c r="G174" s="26" t="str">
        <f t="shared" ca="1" si="31"/>
        <v/>
      </c>
      <c r="H174" s="53" t="str">
        <f t="shared" ca="1" si="26"/>
        <v/>
      </c>
      <c r="I174" s="25" t="str">
        <f t="shared" ca="1" si="32"/>
        <v/>
      </c>
      <c r="J174" s="26"/>
      <c r="K174" s="114" t="str">
        <f ca="1">IF($A174="","",IF(COUNTIFS(Dividends!$J:$J,"&gt;"&amp;INT($A173),Dividends!$J:$J,"&lt;="&amp;INT($A174))=0,"",$G$4*SUMIFS(Dividends!$K:$K,Dividends!$J:$J,"&gt;"&amp;INT($A173),Dividends!$J:$J,"&lt;="&amp;INT($A174))))</f>
        <v/>
      </c>
      <c r="L174" s="55" t="str">
        <f ca="1">IF(ISERROR(B174-2),"",C174+D174-F174-G174+I174+J174+SUM($K$14:K174))</f>
        <v/>
      </c>
      <c r="T174" s="52" t="str">
        <f t="shared" ca="1" si="22"/>
        <v/>
      </c>
      <c r="U174" s="97" t="str">
        <f t="shared" ca="1" si="23"/>
        <v/>
      </c>
    </row>
    <row r="175" spans="1:21" x14ac:dyDescent="0.25">
      <c r="A175" s="102" t="str">
        <f t="shared" ca="1" si="27"/>
        <v/>
      </c>
      <c r="B175" s="53" t="str">
        <f t="shared" ca="1" si="24"/>
        <v/>
      </c>
      <c r="C175" s="25" t="str">
        <f t="shared" ca="1" si="28"/>
        <v/>
      </c>
      <c r="D175" s="26" t="str">
        <f t="shared" ca="1" si="29"/>
        <v/>
      </c>
      <c r="E175" s="53" t="str">
        <f t="shared" ca="1" si="25"/>
        <v/>
      </c>
      <c r="F175" s="25" t="str">
        <f t="shared" ca="1" si="30"/>
        <v/>
      </c>
      <c r="G175" s="26" t="str">
        <f t="shared" ca="1" si="31"/>
        <v/>
      </c>
      <c r="H175" s="53" t="str">
        <f t="shared" ca="1" si="26"/>
        <v/>
      </c>
      <c r="I175" s="25" t="str">
        <f t="shared" ca="1" si="32"/>
        <v/>
      </c>
      <c r="J175" s="26"/>
      <c r="K175" s="114" t="str">
        <f ca="1">IF($A175="","",IF(COUNTIFS(Dividends!$J:$J,"&gt;"&amp;INT($A174),Dividends!$J:$J,"&lt;="&amp;INT($A175))=0,"",$G$4*SUMIFS(Dividends!$K:$K,Dividends!$J:$J,"&gt;"&amp;INT($A174),Dividends!$J:$J,"&lt;="&amp;INT($A175))))</f>
        <v/>
      </c>
      <c r="L175" s="55" t="str">
        <f ca="1">IF(ISERROR(B175-2),"",C175+D175-F175-G175+I175+J175+SUM($K$14:K175))</f>
        <v/>
      </c>
      <c r="T175" s="52" t="str">
        <f t="shared" ca="1" si="22"/>
        <v/>
      </c>
      <c r="U175" s="97" t="str">
        <f t="shared" ca="1" si="23"/>
        <v/>
      </c>
    </row>
    <row r="176" spans="1:21" x14ac:dyDescent="0.25">
      <c r="A176" s="102" t="str">
        <f t="shared" ca="1" si="27"/>
        <v/>
      </c>
      <c r="B176" s="53" t="str">
        <f t="shared" ca="1" si="24"/>
        <v/>
      </c>
      <c r="C176" s="25" t="str">
        <f t="shared" ca="1" si="28"/>
        <v/>
      </c>
      <c r="D176" s="26" t="str">
        <f t="shared" ca="1" si="29"/>
        <v/>
      </c>
      <c r="E176" s="53" t="str">
        <f t="shared" ca="1" si="25"/>
        <v/>
      </c>
      <c r="F176" s="25" t="str">
        <f t="shared" ca="1" si="30"/>
        <v/>
      </c>
      <c r="G176" s="26" t="str">
        <f t="shared" ca="1" si="31"/>
        <v/>
      </c>
      <c r="H176" s="53" t="str">
        <f t="shared" ca="1" si="26"/>
        <v/>
      </c>
      <c r="I176" s="25" t="str">
        <f t="shared" ca="1" si="32"/>
        <v/>
      </c>
      <c r="J176" s="26"/>
      <c r="K176" s="114" t="str">
        <f ca="1">IF($A176="","",IF(COUNTIFS(Dividends!$J:$J,"&gt;"&amp;INT($A175),Dividends!$J:$J,"&lt;="&amp;INT($A176))=0,"",$G$4*SUMIFS(Dividends!$K:$K,Dividends!$J:$J,"&gt;"&amp;INT($A175),Dividends!$J:$J,"&lt;="&amp;INT($A176))))</f>
        <v/>
      </c>
      <c r="L176" s="55" t="str">
        <f ca="1">IF(ISERROR(B176-2),"",C176+D176-F176-G176+I176+J176+SUM($K$14:K176))</f>
        <v/>
      </c>
      <c r="T176" s="52" t="str">
        <f t="shared" ca="1" si="22"/>
        <v/>
      </c>
      <c r="U176" s="97" t="str">
        <f t="shared" ca="1" si="23"/>
        <v/>
      </c>
    </row>
    <row r="177" spans="1:21" x14ac:dyDescent="0.25">
      <c r="A177" s="102" t="str">
        <f t="shared" ca="1" si="27"/>
        <v/>
      </c>
      <c r="B177" s="53" t="str">
        <f t="shared" ca="1" si="24"/>
        <v/>
      </c>
      <c r="C177" s="25" t="str">
        <f t="shared" ca="1" si="28"/>
        <v/>
      </c>
      <c r="D177" s="26" t="str">
        <f t="shared" ca="1" si="29"/>
        <v/>
      </c>
      <c r="E177" s="53" t="str">
        <f t="shared" ca="1" si="25"/>
        <v/>
      </c>
      <c r="F177" s="25" t="str">
        <f t="shared" ca="1" si="30"/>
        <v/>
      </c>
      <c r="G177" s="26" t="str">
        <f t="shared" ca="1" si="31"/>
        <v/>
      </c>
      <c r="H177" s="53" t="str">
        <f t="shared" ca="1" si="26"/>
        <v/>
      </c>
      <c r="I177" s="25" t="str">
        <f t="shared" ca="1" si="32"/>
        <v/>
      </c>
      <c r="J177" s="26"/>
      <c r="K177" s="114" t="str">
        <f ca="1">IF($A177="","",IF(COUNTIFS(Dividends!$J:$J,"&gt;"&amp;INT($A176),Dividends!$J:$J,"&lt;="&amp;INT($A177))=0,"",$G$4*SUMIFS(Dividends!$K:$K,Dividends!$J:$J,"&gt;"&amp;INT($A176),Dividends!$J:$J,"&lt;="&amp;INT($A177))))</f>
        <v/>
      </c>
      <c r="L177" s="55" t="str">
        <f ca="1">IF(ISERROR(B177-2),"",C177+D177-F177-G177+I177+J177+SUM($K$14:K177))</f>
        <v/>
      </c>
      <c r="T177" s="52" t="str">
        <f t="shared" ca="1" si="22"/>
        <v/>
      </c>
      <c r="U177" s="97" t="str">
        <f t="shared" ca="1" si="23"/>
        <v/>
      </c>
    </row>
    <row r="178" spans="1:21" x14ac:dyDescent="0.25">
      <c r="A178" s="102" t="str">
        <f t="shared" ca="1" si="27"/>
        <v/>
      </c>
      <c r="B178" s="53" t="str">
        <f t="shared" ca="1" si="24"/>
        <v/>
      </c>
      <c r="C178" s="25" t="str">
        <f t="shared" ca="1" si="28"/>
        <v/>
      </c>
      <c r="D178" s="26" t="str">
        <f t="shared" ca="1" si="29"/>
        <v/>
      </c>
      <c r="E178" s="53" t="str">
        <f t="shared" ca="1" si="25"/>
        <v/>
      </c>
      <c r="F178" s="25" t="str">
        <f t="shared" ca="1" si="30"/>
        <v/>
      </c>
      <c r="G178" s="26" t="str">
        <f t="shared" ca="1" si="31"/>
        <v/>
      </c>
      <c r="H178" s="53" t="str">
        <f t="shared" ca="1" si="26"/>
        <v/>
      </c>
      <c r="I178" s="25" t="str">
        <f t="shared" ca="1" si="32"/>
        <v/>
      </c>
      <c r="J178" s="26"/>
      <c r="K178" s="114" t="str">
        <f ca="1">IF($A178="","",IF(COUNTIFS(Dividends!$J:$J,"&gt;"&amp;INT($A177),Dividends!$J:$J,"&lt;="&amp;INT($A178))=0,"",$G$4*SUMIFS(Dividends!$K:$K,Dividends!$J:$J,"&gt;"&amp;INT($A177),Dividends!$J:$J,"&lt;="&amp;INT($A178))))</f>
        <v/>
      </c>
      <c r="L178" s="55" t="str">
        <f ca="1">IF(ISERROR(B178-2),"",C178+D178-F178-G178+I178+J178+SUM($K$14:K178))</f>
        <v/>
      </c>
      <c r="T178" s="52" t="str">
        <f t="shared" ca="1" si="22"/>
        <v/>
      </c>
      <c r="U178" s="97" t="str">
        <f t="shared" ca="1" si="23"/>
        <v/>
      </c>
    </row>
    <row r="179" spans="1:21" x14ac:dyDescent="0.25">
      <c r="A179" s="102" t="str">
        <f t="shared" ca="1" si="27"/>
        <v/>
      </c>
      <c r="B179" s="53" t="str">
        <f t="shared" ca="1" si="24"/>
        <v/>
      </c>
      <c r="C179" s="25" t="str">
        <f t="shared" ca="1" si="28"/>
        <v/>
      </c>
      <c r="D179" s="26" t="str">
        <f t="shared" ca="1" si="29"/>
        <v/>
      </c>
      <c r="E179" s="53" t="str">
        <f t="shared" ca="1" si="25"/>
        <v/>
      </c>
      <c r="F179" s="25" t="str">
        <f t="shared" ca="1" si="30"/>
        <v/>
      </c>
      <c r="G179" s="26" t="str">
        <f t="shared" ca="1" si="31"/>
        <v/>
      </c>
      <c r="H179" s="53" t="str">
        <f t="shared" ca="1" si="26"/>
        <v/>
      </c>
      <c r="I179" s="25" t="str">
        <f t="shared" ca="1" si="32"/>
        <v/>
      </c>
      <c r="J179" s="26"/>
      <c r="K179" s="114" t="str">
        <f ca="1">IF($A179="","",IF(COUNTIFS(Dividends!$J:$J,"&gt;"&amp;INT($A178),Dividends!$J:$J,"&lt;="&amp;INT($A179))=0,"",$G$4*SUMIFS(Dividends!$K:$K,Dividends!$J:$J,"&gt;"&amp;INT($A178),Dividends!$J:$J,"&lt;="&amp;INT($A179))))</f>
        <v/>
      </c>
      <c r="L179" s="55" t="str">
        <f ca="1">IF(ISERROR(B179-2),"",C179+D179-F179-G179+I179+J179+SUM($K$14:K179))</f>
        <v/>
      </c>
      <c r="T179" s="52" t="str">
        <f t="shared" ca="1" si="22"/>
        <v/>
      </c>
      <c r="U179" s="97" t="str">
        <f t="shared" ca="1" si="23"/>
        <v/>
      </c>
    </row>
    <row r="180" spans="1:21" x14ac:dyDescent="0.25">
      <c r="A180" s="102" t="str">
        <f t="shared" ca="1" si="27"/>
        <v/>
      </c>
      <c r="B180" s="53" t="str">
        <f t="shared" ca="1" si="24"/>
        <v/>
      </c>
      <c r="C180" s="25" t="str">
        <f t="shared" ca="1" si="28"/>
        <v/>
      </c>
      <c r="D180" s="26" t="str">
        <f t="shared" ca="1" si="29"/>
        <v/>
      </c>
      <c r="E180" s="53" t="str">
        <f t="shared" ca="1" si="25"/>
        <v/>
      </c>
      <c r="F180" s="25" t="str">
        <f t="shared" ca="1" si="30"/>
        <v/>
      </c>
      <c r="G180" s="26" t="str">
        <f t="shared" ca="1" si="31"/>
        <v/>
      </c>
      <c r="H180" s="53" t="str">
        <f t="shared" ca="1" si="26"/>
        <v/>
      </c>
      <c r="I180" s="25" t="str">
        <f t="shared" ca="1" si="32"/>
        <v/>
      </c>
      <c r="J180" s="26"/>
      <c r="K180" s="114" t="str">
        <f ca="1">IF($A180="","",IF(COUNTIFS(Dividends!$J:$J,"&gt;"&amp;INT($A179),Dividends!$J:$J,"&lt;="&amp;INT($A180))=0,"",$G$4*SUMIFS(Dividends!$K:$K,Dividends!$J:$J,"&gt;"&amp;INT($A179),Dividends!$J:$J,"&lt;="&amp;INT($A180))))</f>
        <v/>
      </c>
      <c r="L180" s="55" t="str">
        <f ca="1">IF(ISERROR(B180-2),"",C180+D180-F180-G180+I180+J180+SUM($K$14:K180))</f>
        <v/>
      </c>
      <c r="T180" s="52" t="str">
        <f t="shared" ca="1" si="22"/>
        <v/>
      </c>
      <c r="U180" s="97" t="str">
        <f t="shared" ca="1" si="23"/>
        <v/>
      </c>
    </row>
    <row r="181" spans="1:21" x14ac:dyDescent="0.25">
      <c r="A181" s="102" t="str">
        <f t="shared" ca="1" si="27"/>
        <v/>
      </c>
      <c r="B181" s="53" t="str">
        <f t="shared" ca="1" si="24"/>
        <v/>
      </c>
      <c r="C181" s="25" t="str">
        <f t="shared" ca="1" si="28"/>
        <v/>
      </c>
      <c r="D181" s="26" t="str">
        <f t="shared" ca="1" si="29"/>
        <v/>
      </c>
      <c r="E181" s="53" t="str">
        <f t="shared" ca="1" si="25"/>
        <v/>
      </c>
      <c r="F181" s="25" t="str">
        <f t="shared" ca="1" si="30"/>
        <v/>
      </c>
      <c r="G181" s="26" t="str">
        <f t="shared" ca="1" si="31"/>
        <v/>
      </c>
      <c r="H181" s="53" t="str">
        <f t="shared" ca="1" si="26"/>
        <v/>
      </c>
      <c r="I181" s="25" t="str">
        <f t="shared" ca="1" si="32"/>
        <v/>
      </c>
      <c r="J181" s="26"/>
      <c r="K181" s="114" t="str">
        <f ca="1">IF($A181="","",IF(COUNTIFS(Dividends!$J:$J,"&gt;"&amp;INT($A180),Dividends!$J:$J,"&lt;="&amp;INT($A181))=0,"",$G$4*SUMIFS(Dividends!$K:$K,Dividends!$J:$J,"&gt;"&amp;INT($A180),Dividends!$J:$J,"&lt;="&amp;INT($A181))))</f>
        <v/>
      </c>
      <c r="L181" s="55" t="str">
        <f ca="1">IF(ISERROR(B181-2),"",C181+D181-F181-G181+I181+J181+SUM($K$14:K181))</f>
        <v/>
      </c>
      <c r="T181" s="52" t="str">
        <f t="shared" ca="1" si="22"/>
        <v/>
      </c>
      <c r="U181" s="97" t="str">
        <f t="shared" ca="1" si="23"/>
        <v/>
      </c>
    </row>
    <row r="182" spans="1:21" x14ac:dyDescent="0.25">
      <c r="A182" s="102" t="str">
        <f t="shared" ca="1" si="27"/>
        <v/>
      </c>
      <c r="B182" s="53" t="str">
        <f t="shared" ca="1" si="24"/>
        <v/>
      </c>
      <c r="C182" s="25" t="str">
        <f t="shared" ca="1" si="28"/>
        <v/>
      </c>
      <c r="D182" s="26" t="str">
        <f t="shared" ca="1" si="29"/>
        <v/>
      </c>
      <c r="E182" s="53" t="str">
        <f t="shared" ca="1" si="25"/>
        <v/>
      </c>
      <c r="F182" s="25" t="str">
        <f t="shared" ca="1" si="30"/>
        <v/>
      </c>
      <c r="G182" s="26" t="str">
        <f t="shared" ca="1" si="31"/>
        <v/>
      </c>
      <c r="H182" s="53" t="str">
        <f t="shared" ca="1" si="26"/>
        <v/>
      </c>
      <c r="I182" s="25" t="str">
        <f t="shared" ca="1" si="32"/>
        <v/>
      </c>
      <c r="J182" s="26"/>
      <c r="K182" s="114" t="str">
        <f ca="1">IF($A182="","",IF(COUNTIFS(Dividends!$J:$J,"&gt;"&amp;INT($A181),Dividends!$J:$J,"&lt;="&amp;INT($A182))=0,"",$G$4*SUMIFS(Dividends!$K:$K,Dividends!$J:$J,"&gt;"&amp;INT($A181),Dividends!$J:$J,"&lt;="&amp;INT($A182))))</f>
        <v/>
      </c>
      <c r="L182" s="55" t="str">
        <f ca="1">IF(ISERROR(B182-2),"",C182+D182-F182-G182+I182+J182+SUM($K$14:K182))</f>
        <v/>
      </c>
      <c r="T182" s="52" t="str">
        <f t="shared" ca="1" si="22"/>
        <v/>
      </c>
      <c r="U182" s="97" t="str">
        <f t="shared" ca="1" si="23"/>
        <v/>
      </c>
    </row>
    <row r="183" spans="1:21" x14ac:dyDescent="0.25">
      <c r="A183" s="102" t="str">
        <f t="shared" ca="1" si="27"/>
        <v/>
      </c>
      <c r="B183" s="53" t="str">
        <f t="shared" ca="1" si="24"/>
        <v/>
      </c>
      <c r="C183" s="25" t="str">
        <f t="shared" ca="1" si="28"/>
        <v/>
      </c>
      <c r="D183" s="26" t="str">
        <f t="shared" ca="1" si="29"/>
        <v/>
      </c>
      <c r="E183" s="53" t="str">
        <f t="shared" ca="1" si="25"/>
        <v/>
      </c>
      <c r="F183" s="25" t="str">
        <f t="shared" ca="1" si="30"/>
        <v/>
      </c>
      <c r="G183" s="26" t="str">
        <f t="shared" ca="1" si="31"/>
        <v/>
      </c>
      <c r="H183" s="53" t="str">
        <f t="shared" ca="1" si="26"/>
        <v/>
      </c>
      <c r="I183" s="25" t="str">
        <f t="shared" ca="1" si="32"/>
        <v/>
      </c>
      <c r="J183" s="26"/>
      <c r="K183" s="114" t="str">
        <f ca="1">IF($A183="","",IF(COUNTIFS(Dividends!$J:$J,"&gt;"&amp;INT($A182),Dividends!$J:$J,"&lt;="&amp;INT($A183))=0,"",$G$4*SUMIFS(Dividends!$K:$K,Dividends!$J:$J,"&gt;"&amp;INT($A182),Dividends!$J:$J,"&lt;="&amp;INT($A183))))</f>
        <v/>
      </c>
      <c r="L183" s="55" t="str">
        <f ca="1">IF(ISERROR(B183-2),"",C183+D183-F183-G183+I183+J183+SUM($K$14:K183))</f>
        <v/>
      </c>
      <c r="T183" s="52" t="str">
        <f t="shared" ca="1" si="22"/>
        <v/>
      </c>
      <c r="U183" s="97" t="str">
        <f t="shared" ca="1" si="23"/>
        <v/>
      </c>
    </row>
    <row r="184" spans="1:21" x14ac:dyDescent="0.25">
      <c r="A184" s="102" t="str">
        <f t="shared" ca="1" si="27"/>
        <v/>
      </c>
      <c r="B184" s="53" t="str">
        <f t="shared" ca="1" si="24"/>
        <v/>
      </c>
      <c r="C184" s="25" t="str">
        <f t="shared" ca="1" si="28"/>
        <v/>
      </c>
      <c r="D184" s="26" t="str">
        <f t="shared" ca="1" si="29"/>
        <v/>
      </c>
      <c r="E184" s="53" t="str">
        <f t="shared" ca="1" si="25"/>
        <v/>
      </c>
      <c r="F184" s="25" t="str">
        <f t="shared" ca="1" si="30"/>
        <v/>
      </c>
      <c r="G184" s="26" t="str">
        <f t="shared" ca="1" si="31"/>
        <v/>
      </c>
      <c r="H184" s="53" t="str">
        <f t="shared" ca="1" si="26"/>
        <v/>
      </c>
      <c r="I184" s="25" t="str">
        <f t="shared" ca="1" si="32"/>
        <v/>
      </c>
      <c r="J184" s="26"/>
      <c r="K184" s="114" t="str">
        <f ca="1">IF($A184="","",IF(COUNTIFS(Dividends!$J:$J,"&gt;"&amp;INT($A183),Dividends!$J:$J,"&lt;="&amp;INT($A184))=0,"",$G$4*SUMIFS(Dividends!$K:$K,Dividends!$J:$J,"&gt;"&amp;INT($A183),Dividends!$J:$J,"&lt;="&amp;INT($A184))))</f>
        <v/>
      </c>
      <c r="L184" s="55" t="str">
        <f ca="1">IF(ISERROR(B184-2),"",C184+D184-F184-G184+I184+J184+SUM($K$14:K184))</f>
        <v/>
      </c>
      <c r="T184" s="52" t="str">
        <f t="shared" ca="1" si="22"/>
        <v/>
      </c>
      <c r="U184" s="97" t="str">
        <f t="shared" ca="1" si="23"/>
        <v/>
      </c>
    </row>
    <row r="185" spans="1:21" x14ac:dyDescent="0.25">
      <c r="A185" s="102" t="str">
        <f t="shared" ca="1" si="27"/>
        <v/>
      </c>
      <c r="B185" s="53" t="str">
        <f t="shared" ca="1" si="24"/>
        <v/>
      </c>
      <c r="C185" s="25" t="str">
        <f t="shared" ca="1" si="28"/>
        <v/>
      </c>
      <c r="D185" s="26" t="str">
        <f t="shared" ca="1" si="29"/>
        <v/>
      </c>
      <c r="E185" s="53" t="str">
        <f t="shared" ca="1" si="25"/>
        <v/>
      </c>
      <c r="F185" s="25" t="str">
        <f t="shared" ca="1" si="30"/>
        <v/>
      </c>
      <c r="G185" s="26" t="str">
        <f t="shared" ca="1" si="31"/>
        <v/>
      </c>
      <c r="H185" s="53" t="str">
        <f t="shared" ca="1" si="26"/>
        <v/>
      </c>
      <c r="I185" s="25" t="str">
        <f t="shared" ca="1" si="32"/>
        <v/>
      </c>
      <c r="J185" s="26"/>
      <c r="K185" s="114" t="str">
        <f ca="1">IF($A185="","",IF(COUNTIFS(Dividends!$J:$J,"&gt;"&amp;INT($A184),Dividends!$J:$J,"&lt;="&amp;INT($A185))=0,"",$G$4*SUMIFS(Dividends!$K:$K,Dividends!$J:$J,"&gt;"&amp;INT($A184),Dividends!$J:$J,"&lt;="&amp;INT($A185))))</f>
        <v/>
      </c>
      <c r="L185" s="55" t="str">
        <f ca="1">IF(ISERROR(B185-2),"",C185+D185-F185-G185+I185+J185+SUM($K$14:K185))</f>
        <v/>
      </c>
      <c r="T185" s="52" t="str">
        <f t="shared" ca="1" si="22"/>
        <v/>
      </c>
      <c r="U185" s="97" t="str">
        <f t="shared" ca="1" si="23"/>
        <v/>
      </c>
    </row>
    <row r="186" spans="1:21" x14ac:dyDescent="0.25">
      <c r="A186" s="102" t="str">
        <f t="shared" ca="1" si="27"/>
        <v/>
      </c>
      <c r="B186" s="53" t="str">
        <f t="shared" ca="1" si="24"/>
        <v/>
      </c>
      <c r="C186" s="25" t="str">
        <f t="shared" ca="1" si="28"/>
        <v/>
      </c>
      <c r="D186" s="26" t="str">
        <f t="shared" ca="1" si="29"/>
        <v/>
      </c>
      <c r="E186" s="53" t="str">
        <f t="shared" ca="1" si="25"/>
        <v/>
      </c>
      <c r="F186" s="25" t="str">
        <f t="shared" ca="1" si="30"/>
        <v/>
      </c>
      <c r="G186" s="26" t="str">
        <f t="shared" ca="1" si="31"/>
        <v/>
      </c>
      <c r="H186" s="53" t="str">
        <f t="shared" ca="1" si="26"/>
        <v/>
      </c>
      <c r="I186" s="25" t="str">
        <f t="shared" ca="1" si="32"/>
        <v/>
      </c>
      <c r="J186" s="26"/>
      <c r="K186" s="114" t="str">
        <f ca="1">IF($A186="","",IF(COUNTIFS(Dividends!$J:$J,"&gt;"&amp;INT($A185),Dividends!$J:$J,"&lt;="&amp;INT($A186))=0,"",$G$4*SUMIFS(Dividends!$K:$K,Dividends!$J:$J,"&gt;"&amp;INT($A185),Dividends!$J:$J,"&lt;="&amp;INT($A186))))</f>
        <v/>
      </c>
      <c r="L186" s="55" t="str">
        <f ca="1">IF(ISERROR(B186-2),"",C186+D186-F186-G186+I186+J186+SUM($K$14:K186))</f>
        <v/>
      </c>
      <c r="T186" s="52" t="str">
        <f t="shared" ca="1" si="22"/>
        <v/>
      </c>
      <c r="U186" s="97" t="str">
        <f t="shared" ca="1" si="23"/>
        <v/>
      </c>
    </row>
    <row r="187" spans="1:21" x14ac:dyDescent="0.25">
      <c r="A187" s="102" t="str">
        <f t="shared" ca="1" si="27"/>
        <v/>
      </c>
      <c r="B187" s="53" t="str">
        <f t="shared" ca="1" si="24"/>
        <v/>
      </c>
      <c r="C187" s="25" t="str">
        <f t="shared" ca="1" si="28"/>
        <v/>
      </c>
      <c r="D187" s="26" t="str">
        <f t="shared" ca="1" si="29"/>
        <v/>
      </c>
      <c r="E187" s="53" t="str">
        <f t="shared" ca="1" si="25"/>
        <v/>
      </c>
      <c r="F187" s="25" t="str">
        <f t="shared" ca="1" si="30"/>
        <v/>
      </c>
      <c r="G187" s="26" t="str">
        <f t="shared" ca="1" si="31"/>
        <v/>
      </c>
      <c r="H187" s="53" t="str">
        <f t="shared" ca="1" si="26"/>
        <v/>
      </c>
      <c r="I187" s="25" t="str">
        <f t="shared" ca="1" si="32"/>
        <v/>
      </c>
      <c r="J187" s="26"/>
      <c r="K187" s="114" t="str">
        <f ca="1">IF($A187="","",IF(COUNTIFS(Dividends!$J:$J,"&gt;"&amp;INT($A186),Dividends!$J:$J,"&lt;="&amp;INT($A187))=0,"",$G$4*SUMIFS(Dividends!$K:$K,Dividends!$J:$J,"&gt;"&amp;INT($A186),Dividends!$J:$J,"&lt;="&amp;INT($A187))))</f>
        <v/>
      </c>
      <c r="L187" s="55" t="str">
        <f ca="1">IF(ISERROR(B187-2),"",C187+D187-F187-G187+I187+J187+SUM($K$14:K187))</f>
        <v/>
      </c>
      <c r="T187" s="52" t="str">
        <f t="shared" ca="1" si="22"/>
        <v/>
      </c>
      <c r="U187" s="97" t="str">
        <f t="shared" ca="1" si="23"/>
        <v/>
      </c>
    </row>
    <row r="188" spans="1:21" x14ac:dyDescent="0.25">
      <c r="A188" s="102" t="str">
        <f t="shared" ca="1" si="27"/>
        <v/>
      </c>
      <c r="B188" s="53" t="str">
        <f t="shared" ca="1" si="24"/>
        <v/>
      </c>
      <c r="C188" s="25" t="str">
        <f t="shared" ca="1" si="28"/>
        <v/>
      </c>
      <c r="D188" s="26" t="str">
        <f t="shared" ca="1" si="29"/>
        <v/>
      </c>
      <c r="E188" s="53" t="str">
        <f t="shared" ca="1" si="25"/>
        <v/>
      </c>
      <c r="F188" s="25" t="str">
        <f t="shared" ca="1" si="30"/>
        <v/>
      </c>
      <c r="G188" s="26" t="str">
        <f t="shared" ca="1" si="31"/>
        <v/>
      </c>
      <c r="H188" s="53" t="str">
        <f t="shared" ca="1" si="26"/>
        <v/>
      </c>
      <c r="I188" s="25" t="str">
        <f t="shared" ca="1" si="32"/>
        <v/>
      </c>
      <c r="J188" s="26"/>
      <c r="K188" s="114" t="str">
        <f ca="1">IF($A188="","",IF(COUNTIFS(Dividends!$J:$J,"&gt;"&amp;INT($A187),Dividends!$J:$J,"&lt;="&amp;INT($A188))=0,"",$G$4*SUMIFS(Dividends!$K:$K,Dividends!$J:$J,"&gt;"&amp;INT($A187),Dividends!$J:$J,"&lt;="&amp;INT($A188))))</f>
        <v/>
      </c>
      <c r="L188" s="55" t="str">
        <f ca="1">IF(ISERROR(B188-2),"",C188+D188-F188-G188+I188+J188+SUM($K$14:K188))</f>
        <v/>
      </c>
      <c r="T188" s="52" t="str">
        <f t="shared" ca="1" si="22"/>
        <v/>
      </c>
      <c r="U188" s="97" t="str">
        <f t="shared" ca="1" si="23"/>
        <v/>
      </c>
    </row>
    <row r="189" spans="1:21" x14ac:dyDescent="0.25">
      <c r="A189" s="102" t="str">
        <f t="shared" ca="1" si="27"/>
        <v/>
      </c>
      <c r="B189" s="53" t="str">
        <f t="shared" ca="1" si="24"/>
        <v/>
      </c>
      <c r="C189" s="25" t="str">
        <f t="shared" ca="1" si="28"/>
        <v/>
      </c>
      <c r="D189" s="26" t="str">
        <f t="shared" ca="1" si="29"/>
        <v/>
      </c>
      <c r="E189" s="53" t="str">
        <f t="shared" ca="1" si="25"/>
        <v/>
      </c>
      <c r="F189" s="25" t="str">
        <f t="shared" ca="1" si="30"/>
        <v/>
      </c>
      <c r="G189" s="26" t="str">
        <f t="shared" ca="1" si="31"/>
        <v/>
      </c>
      <c r="H189" s="53" t="str">
        <f t="shared" ca="1" si="26"/>
        <v/>
      </c>
      <c r="I189" s="25" t="str">
        <f t="shared" ca="1" si="32"/>
        <v/>
      </c>
      <c r="J189" s="26"/>
      <c r="K189" s="114" t="str">
        <f ca="1">IF($A189="","",IF(COUNTIFS(Dividends!$J:$J,"&gt;"&amp;INT($A188),Dividends!$J:$J,"&lt;="&amp;INT($A189))=0,"",$G$4*SUMIFS(Dividends!$K:$K,Dividends!$J:$J,"&gt;"&amp;INT($A188),Dividends!$J:$J,"&lt;="&amp;INT($A189))))</f>
        <v/>
      </c>
      <c r="L189" s="55" t="str">
        <f ca="1">IF(ISERROR(B189-2),"",C189+D189-F189-G189+I189+J189+SUM($K$14:K189))</f>
        <v/>
      </c>
      <c r="T189" s="52" t="str">
        <f t="shared" ca="1" si="22"/>
        <v/>
      </c>
      <c r="U189" s="97" t="str">
        <f t="shared" ca="1" si="23"/>
        <v/>
      </c>
    </row>
    <row r="190" spans="1:21" x14ac:dyDescent="0.25">
      <c r="A190" s="102" t="str">
        <f t="shared" ca="1" si="27"/>
        <v/>
      </c>
      <c r="B190" s="53" t="str">
        <f t="shared" ca="1" si="24"/>
        <v/>
      </c>
      <c r="C190" s="25" t="str">
        <f t="shared" ca="1" si="28"/>
        <v/>
      </c>
      <c r="D190" s="26" t="str">
        <f t="shared" ca="1" si="29"/>
        <v/>
      </c>
      <c r="E190" s="53" t="str">
        <f t="shared" ca="1" si="25"/>
        <v/>
      </c>
      <c r="F190" s="25" t="str">
        <f t="shared" ca="1" si="30"/>
        <v/>
      </c>
      <c r="G190" s="26" t="str">
        <f t="shared" ca="1" si="31"/>
        <v/>
      </c>
      <c r="H190" s="53" t="str">
        <f t="shared" ca="1" si="26"/>
        <v/>
      </c>
      <c r="I190" s="25" t="str">
        <f t="shared" ca="1" si="32"/>
        <v/>
      </c>
      <c r="J190" s="26"/>
      <c r="K190" s="114" t="str">
        <f ca="1">IF($A190="","",IF(COUNTIFS(Dividends!$J:$J,"&gt;"&amp;INT($A189),Dividends!$J:$J,"&lt;="&amp;INT($A190))=0,"",$G$4*SUMIFS(Dividends!$K:$K,Dividends!$J:$J,"&gt;"&amp;INT($A189),Dividends!$J:$J,"&lt;="&amp;INT($A190))))</f>
        <v/>
      </c>
      <c r="L190" s="55" t="str">
        <f ca="1">IF(ISERROR(B190-2),"",C190+D190-F190-G190+I190+J190+SUM($K$14:K190))</f>
        <v/>
      </c>
      <c r="T190" s="52" t="str">
        <f t="shared" ca="1" si="22"/>
        <v/>
      </c>
      <c r="U190" s="97" t="str">
        <f t="shared" ca="1" si="23"/>
        <v/>
      </c>
    </row>
    <row r="191" spans="1:21" x14ac:dyDescent="0.25">
      <c r="A191" s="102" t="str">
        <f t="shared" ca="1" si="27"/>
        <v/>
      </c>
      <c r="B191" s="53" t="str">
        <f t="shared" ca="1" si="24"/>
        <v/>
      </c>
      <c r="C191" s="25" t="str">
        <f t="shared" ca="1" si="28"/>
        <v/>
      </c>
      <c r="D191" s="26" t="str">
        <f t="shared" ca="1" si="29"/>
        <v/>
      </c>
      <c r="E191" s="53" t="str">
        <f t="shared" ca="1" si="25"/>
        <v/>
      </c>
      <c r="F191" s="25" t="str">
        <f t="shared" ca="1" si="30"/>
        <v/>
      </c>
      <c r="G191" s="26" t="str">
        <f t="shared" ca="1" si="31"/>
        <v/>
      </c>
      <c r="H191" s="53" t="str">
        <f t="shared" ca="1" si="26"/>
        <v/>
      </c>
      <c r="I191" s="25" t="str">
        <f t="shared" ca="1" si="32"/>
        <v/>
      </c>
      <c r="J191" s="26"/>
      <c r="K191" s="114" t="str">
        <f ca="1">IF($A191="","",IF(COUNTIFS(Dividends!$J:$J,"&gt;"&amp;INT($A190),Dividends!$J:$J,"&lt;="&amp;INT($A191))=0,"",$G$4*SUMIFS(Dividends!$K:$K,Dividends!$J:$J,"&gt;"&amp;INT($A190),Dividends!$J:$J,"&lt;="&amp;INT($A191))))</f>
        <v/>
      </c>
      <c r="L191" s="55" t="str">
        <f ca="1">IF(ISERROR(B191-2),"",C191+D191-F191-G191+I191+J191+SUM($K$14:K191))</f>
        <v/>
      </c>
      <c r="T191" s="52" t="str">
        <f t="shared" ca="1" si="22"/>
        <v/>
      </c>
      <c r="U191" s="97" t="str">
        <f t="shared" ca="1" si="23"/>
        <v/>
      </c>
    </row>
    <row r="192" spans="1:21" x14ac:dyDescent="0.25">
      <c r="A192" s="102" t="str">
        <f t="shared" ca="1" si="27"/>
        <v/>
      </c>
      <c r="B192" s="53" t="str">
        <f t="shared" ca="1" si="24"/>
        <v/>
      </c>
      <c r="C192" s="25" t="str">
        <f t="shared" ca="1" si="28"/>
        <v/>
      </c>
      <c r="D192" s="26" t="str">
        <f t="shared" ca="1" si="29"/>
        <v/>
      </c>
      <c r="E192" s="53" t="str">
        <f t="shared" ca="1" si="25"/>
        <v/>
      </c>
      <c r="F192" s="25" t="str">
        <f t="shared" ca="1" si="30"/>
        <v/>
      </c>
      <c r="G192" s="26" t="str">
        <f t="shared" ca="1" si="31"/>
        <v/>
      </c>
      <c r="H192" s="53" t="str">
        <f t="shared" ca="1" si="26"/>
        <v/>
      </c>
      <c r="I192" s="25" t="str">
        <f t="shared" ca="1" si="32"/>
        <v/>
      </c>
      <c r="J192" s="26"/>
      <c r="K192" s="114" t="str">
        <f ca="1">IF($A192="","",IF(COUNTIFS(Dividends!$J:$J,"&gt;"&amp;INT($A191),Dividends!$J:$J,"&lt;="&amp;INT($A192))=0,"",$G$4*SUMIFS(Dividends!$K:$K,Dividends!$J:$J,"&gt;"&amp;INT($A191),Dividends!$J:$J,"&lt;="&amp;INT($A192))))</f>
        <v/>
      </c>
      <c r="L192" s="55" t="str">
        <f ca="1">IF(ISERROR(B192-2),"",C192+D192-F192-G192+I192+J192+SUM($K$14:K192))</f>
        <v/>
      </c>
      <c r="T192" s="52" t="str">
        <f t="shared" ca="1" si="22"/>
        <v/>
      </c>
      <c r="U192" s="97" t="str">
        <f t="shared" ca="1" si="23"/>
        <v/>
      </c>
    </row>
    <row r="193" spans="1:21" x14ac:dyDescent="0.25">
      <c r="A193" s="102" t="str">
        <f t="shared" ca="1" si="27"/>
        <v/>
      </c>
      <c r="B193" s="53" t="str">
        <f t="shared" ca="1" si="24"/>
        <v/>
      </c>
      <c r="C193" s="25" t="str">
        <f t="shared" ca="1" si="28"/>
        <v/>
      </c>
      <c r="D193" s="26" t="str">
        <f t="shared" ca="1" si="29"/>
        <v/>
      </c>
      <c r="E193" s="53" t="str">
        <f t="shared" ca="1" si="25"/>
        <v/>
      </c>
      <c r="F193" s="25" t="str">
        <f t="shared" ca="1" si="30"/>
        <v/>
      </c>
      <c r="G193" s="26" t="str">
        <f t="shared" ca="1" si="31"/>
        <v/>
      </c>
      <c r="H193" s="53" t="str">
        <f t="shared" ca="1" si="26"/>
        <v/>
      </c>
      <c r="I193" s="25" t="str">
        <f t="shared" ca="1" si="32"/>
        <v/>
      </c>
      <c r="J193" s="26"/>
      <c r="K193" s="114" t="str">
        <f ca="1">IF($A193="","",IF(COUNTIFS(Dividends!$J:$J,"&gt;"&amp;INT($A192),Dividends!$J:$J,"&lt;="&amp;INT($A193))=0,"",$G$4*SUMIFS(Dividends!$K:$K,Dividends!$J:$J,"&gt;"&amp;INT($A192),Dividends!$J:$J,"&lt;="&amp;INT($A193))))</f>
        <v/>
      </c>
      <c r="L193" s="55" t="str">
        <f ca="1">IF(ISERROR(B193-2),"",C193+D193-F193-G193+I193+J193+SUM($K$14:K193))</f>
        <v/>
      </c>
      <c r="T193" s="52" t="str">
        <f t="shared" ca="1" si="22"/>
        <v/>
      </c>
      <c r="U193" s="97" t="str">
        <f t="shared" ca="1" si="23"/>
        <v/>
      </c>
    </row>
    <row r="194" spans="1:21" x14ac:dyDescent="0.25">
      <c r="A194" s="102" t="str">
        <f t="shared" ca="1" si="27"/>
        <v/>
      </c>
      <c r="B194" s="53" t="str">
        <f t="shared" ca="1" si="24"/>
        <v/>
      </c>
      <c r="C194" s="25" t="str">
        <f t="shared" ca="1" si="28"/>
        <v/>
      </c>
      <c r="D194" s="26" t="str">
        <f t="shared" ca="1" si="29"/>
        <v/>
      </c>
      <c r="E194" s="53" t="str">
        <f t="shared" ca="1" si="25"/>
        <v/>
      </c>
      <c r="F194" s="25" t="str">
        <f t="shared" ca="1" si="30"/>
        <v/>
      </c>
      <c r="G194" s="26" t="str">
        <f t="shared" ca="1" si="31"/>
        <v/>
      </c>
      <c r="H194" s="53" t="str">
        <f t="shared" ca="1" si="26"/>
        <v/>
      </c>
      <c r="I194" s="25" t="str">
        <f t="shared" ca="1" si="32"/>
        <v/>
      </c>
      <c r="J194" s="26"/>
      <c r="K194" s="114" t="str">
        <f ca="1">IF($A194="","",IF(COUNTIFS(Dividends!$J:$J,"&gt;"&amp;INT($A193),Dividends!$J:$J,"&lt;="&amp;INT($A194))=0,"",$G$4*SUMIFS(Dividends!$K:$K,Dividends!$J:$J,"&gt;"&amp;INT($A193),Dividends!$J:$J,"&lt;="&amp;INT($A194))))</f>
        <v/>
      </c>
      <c r="L194" s="55" t="str">
        <f ca="1">IF(ISERROR(B194-2),"",C194+D194-F194-G194+I194+J194+SUM($K$14:K194))</f>
        <v/>
      </c>
      <c r="T194" s="52" t="str">
        <f t="shared" ca="1" si="22"/>
        <v/>
      </c>
      <c r="U194" s="97" t="str">
        <f t="shared" ca="1" si="23"/>
        <v/>
      </c>
    </row>
    <row r="195" spans="1:21" x14ac:dyDescent="0.25">
      <c r="A195" s="102" t="str">
        <f t="shared" ca="1" si="27"/>
        <v/>
      </c>
      <c r="B195" s="53" t="str">
        <f t="shared" ca="1" si="24"/>
        <v/>
      </c>
      <c r="C195" s="25" t="str">
        <f t="shared" ca="1" si="28"/>
        <v/>
      </c>
      <c r="D195" s="26" t="str">
        <f t="shared" ca="1" si="29"/>
        <v/>
      </c>
      <c r="E195" s="53" t="str">
        <f t="shared" ca="1" si="25"/>
        <v/>
      </c>
      <c r="F195" s="25" t="str">
        <f t="shared" ca="1" si="30"/>
        <v/>
      </c>
      <c r="G195" s="26" t="str">
        <f t="shared" ca="1" si="31"/>
        <v/>
      </c>
      <c r="H195" s="53" t="str">
        <f t="shared" ca="1" si="26"/>
        <v/>
      </c>
      <c r="I195" s="25" t="str">
        <f t="shared" ca="1" si="32"/>
        <v/>
      </c>
      <c r="J195" s="26"/>
      <c r="K195" s="114" t="str">
        <f ca="1">IF($A195="","",IF(COUNTIFS(Dividends!$J:$J,"&gt;"&amp;INT($A194),Dividends!$J:$J,"&lt;="&amp;INT($A195))=0,"",$G$4*SUMIFS(Dividends!$K:$K,Dividends!$J:$J,"&gt;"&amp;INT($A194),Dividends!$J:$J,"&lt;="&amp;INT($A195))))</f>
        <v/>
      </c>
      <c r="L195" s="55" t="str">
        <f ca="1">IF(ISERROR(B195-2),"",C195+D195-F195-G195+I195+J195+SUM($K$14:K195))</f>
        <v/>
      </c>
      <c r="T195" s="52" t="str">
        <f t="shared" ref="T195:T258" ca="1" si="33">IF(COUNTIF(P:P,N195)*COUNTIF(R:R,N195),N195,"")</f>
        <v/>
      </c>
      <c r="U195" s="97" t="str">
        <f t="shared" ca="1" si="23"/>
        <v/>
      </c>
    </row>
    <row r="196" spans="1:21" x14ac:dyDescent="0.25">
      <c r="A196" s="102" t="str">
        <f t="shared" ca="1" si="27"/>
        <v/>
      </c>
      <c r="B196" s="53" t="str">
        <f t="shared" ca="1" si="24"/>
        <v/>
      </c>
      <c r="C196" s="25" t="str">
        <f t="shared" ca="1" si="28"/>
        <v/>
      </c>
      <c r="D196" s="26" t="str">
        <f t="shared" ca="1" si="29"/>
        <v/>
      </c>
      <c r="E196" s="53" t="str">
        <f t="shared" ca="1" si="25"/>
        <v/>
      </c>
      <c r="F196" s="25" t="str">
        <f t="shared" ca="1" si="30"/>
        <v/>
      </c>
      <c r="G196" s="26" t="str">
        <f t="shared" ca="1" si="31"/>
        <v/>
      </c>
      <c r="H196" s="53" t="str">
        <f t="shared" ca="1" si="26"/>
        <v/>
      </c>
      <c r="I196" s="25" t="str">
        <f t="shared" ca="1" si="32"/>
        <v/>
      </c>
      <c r="J196" s="26"/>
      <c r="K196" s="114" t="str">
        <f ca="1">IF($A196="","",IF(COUNTIFS(Dividends!$J:$J,"&gt;"&amp;INT($A195),Dividends!$J:$J,"&lt;="&amp;INT($A196))=0,"",$G$4*SUMIFS(Dividends!$K:$K,Dividends!$J:$J,"&gt;"&amp;INT($A195),Dividends!$J:$J,"&lt;="&amp;INT($A196))))</f>
        <v/>
      </c>
      <c r="L196" s="55" t="str">
        <f ca="1">IF(ISERROR(B196-2),"",C196+D196-F196-G196+I196+J196+SUM($K$14:K196))</f>
        <v/>
      </c>
      <c r="T196" s="52" t="str">
        <f t="shared" ca="1" si="33"/>
        <v/>
      </c>
      <c r="U196" s="97" t="str">
        <f t="shared" ref="U196:U259" ca="1" si="34">IF(T196&gt;=$A$14,T196,"")</f>
        <v/>
      </c>
    </row>
    <row r="197" spans="1:21" x14ac:dyDescent="0.25">
      <c r="A197" s="102" t="str">
        <f t="shared" ca="1" si="27"/>
        <v/>
      </c>
      <c r="B197" s="53" t="str">
        <f t="shared" ca="1" si="24"/>
        <v/>
      </c>
      <c r="C197" s="25" t="str">
        <f t="shared" ca="1" si="28"/>
        <v/>
      </c>
      <c r="D197" s="26" t="str">
        <f t="shared" ca="1" si="29"/>
        <v/>
      </c>
      <c r="E197" s="53" t="str">
        <f t="shared" ca="1" si="25"/>
        <v/>
      </c>
      <c r="F197" s="25" t="str">
        <f t="shared" ca="1" si="30"/>
        <v/>
      </c>
      <c r="G197" s="26" t="str">
        <f t="shared" ca="1" si="31"/>
        <v/>
      </c>
      <c r="H197" s="53" t="str">
        <f t="shared" ca="1" si="26"/>
        <v/>
      </c>
      <c r="I197" s="25" t="str">
        <f t="shared" ca="1" si="32"/>
        <v/>
      </c>
      <c r="J197" s="26"/>
      <c r="K197" s="114" t="str">
        <f ca="1">IF($A197="","",IF(COUNTIFS(Dividends!$J:$J,"&gt;"&amp;INT($A196),Dividends!$J:$J,"&lt;="&amp;INT($A197))=0,"",$G$4*SUMIFS(Dividends!$K:$K,Dividends!$J:$J,"&gt;"&amp;INT($A196),Dividends!$J:$J,"&lt;="&amp;INT($A197))))</f>
        <v/>
      </c>
      <c r="L197" s="55" t="str">
        <f ca="1">IF(ISERROR(B197-2),"",C197+D197-F197-G197+I197+J197+SUM($K$14:K197))</f>
        <v/>
      </c>
      <c r="T197" s="52" t="str">
        <f t="shared" ca="1" si="33"/>
        <v/>
      </c>
      <c r="U197" s="97" t="str">
        <f t="shared" ca="1" si="34"/>
        <v/>
      </c>
    </row>
    <row r="198" spans="1:21" x14ac:dyDescent="0.25">
      <c r="A198" s="102" t="str">
        <f t="shared" ca="1" si="27"/>
        <v/>
      </c>
      <c r="B198" s="53" t="str">
        <f t="shared" ca="1" si="24"/>
        <v/>
      </c>
      <c r="C198" s="25" t="str">
        <f t="shared" ca="1" si="28"/>
        <v/>
      </c>
      <c r="D198" s="26" t="str">
        <f t="shared" ca="1" si="29"/>
        <v/>
      </c>
      <c r="E198" s="53" t="str">
        <f t="shared" ca="1" si="25"/>
        <v/>
      </c>
      <c r="F198" s="25" t="str">
        <f t="shared" ca="1" si="30"/>
        <v/>
      </c>
      <c r="G198" s="26" t="str">
        <f t="shared" ca="1" si="31"/>
        <v/>
      </c>
      <c r="H198" s="53" t="str">
        <f t="shared" ca="1" si="26"/>
        <v/>
      </c>
      <c r="I198" s="25" t="str">
        <f t="shared" ca="1" si="32"/>
        <v/>
      </c>
      <c r="J198" s="26"/>
      <c r="K198" s="114" t="str">
        <f ca="1">IF($A198="","",IF(COUNTIFS(Dividends!$J:$J,"&gt;"&amp;INT($A197),Dividends!$J:$J,"&lt;="&amp;INT($A198))=0,"",$G$4*SUMIFS(Dividends!$K:$K,Dividends!$J:$J,"&gt;"&amp;INT($A197),Dividends!$J:$J,"&lt;="&amp;INT($A198))))</f>
        <v/>
      </c>
      <c r="L198" s="55" t="str">
        <f ca="1">IF(ISERROR(B198-2),"",C198+D198-F198-G198+I198+J198+SUM($K$14:K198))</f>
        <v/>
      </c>
      <c r="T198" s="52" t="str">
        <f t="shared" ca="1" si="33"/>
        <v/>
      </c>
      <c r="U198" s="97" t="str">
        <f t="shared" ca="1" si="34"/>
        <v/>
      </c>
    </row>
    <row r="199" spans="1:21" x14ac:dyDescent="0.25">
      <c r="A199" s="102" t="str">
        <f t="shared" ca="1" si="27"/>
        <v/>
      </c>
      <c r="B199" s="53" t="str">
        <f t="shared" ca="1" si="24"/>
        <v/>
      </c>
      <c r="C199" s="25" t="str">
        <f t="shared" ca="1" si="28"/>
        <v/>
      </c>
      <c r="D199" s="26" t="str">
        <f t="shared" ca="1" si="29"/>
        <v/>
      </c>
      <c r="E199" s="53" t="str">
        <f t="shared" ca="1" si="25"/>
        <v/>
      </c>
      <c r="F199" s="25" t="str">
        <f t="shared" ca="1" si="30"/>
        <v/>
      </c>
      <c r="G199" s="26" t="str">
        <f t="shared" ca="1" si="31"/>
        <v/>
      </c>
      <c r="H199" s="53" t="str">
        <f t="shared" ca="1" si="26"/>
        <v/>
      </c>
      <c r="I199" s="25" t="str">
        <f t="shared" ca="1" si="32"/>
        <v/>
      </c>
      <c r="J199" s="26"/>
      <c r="K199" s="114" t="str">
        <f ca="1">IF($A199="","",IF(COUNTIFS(Dividends!$J:$J,"&gt;"&amp;INT($A198),Dividends!$J:$J,"&lt;="&amp;INT($A199))=0,"",$G$4*SUMIFS(Dividends!$K:$K,Dividends!$J:$J,"&gt;"&amp;INT($A198),Dividends!$J:$J,"&lt;="&amp;INT($A199))))</f>
        <v/>
      </c>
      <c r="L199" s="55" t="str">
        <f ca="1">IF(ISERROR(B199-2),"",C199+D199-F199-G199+I199+J199+SUM($K$14:K199))</f>
        <v/>
      </c>
      <c r="T199" s="52" t="str">
        <f t="shared" ca="1" si="33"/>
        <v/>
      </c>
      <c r="U199" s="97" t="str">
        <f t="shared" ca="1" si="34"/>
        <v/>
      </c>
    </row>
    <row r="200" spans="1:21" x14ac:dyDescent="0.25">
      <c r="A200" s="102" t="str">
        <f t="shared" ca="1" si="27"/>
        <v/>
      </c>
      <c r="B200" s="53" t="str">
        <f t="shared" ca="1" si="24"/>
        <v/>
      </c>
      <c r="C200" s="25" t="str">
        <f t="shared" ca="1" si="28"/>
        <v/>
      </c>
      <c r="D200" s="26" t="str">
        <f t="shared" ca="1" si="29"/>
        <v/>
      </c>
      <c r="E200" s="53" t="str">
        <f t="shared" ca="1" si="25"/>
        <v/>
      </c>
      <c r="F200" s="25" t="str">
        <f t="shared" ca="1" si="30"/>
        <v/>
      </c>
      <c r="G200" s="26" t="str">
        <f t="shared" ca="1" si="31"/>
        <v/>
      </c>
      <c r="H200" s="53" t="str">
        <f t="shared" ca="1" si="26"/>
        <v/>
      </c>
      <c r="I200" s="25" t="str">
        <f t="shared" ca="1" si="32"/>
        <v/>
      </c>
      <c r="J200" s="26"/>
      <c r="K200" s="114" t="str">
        <f ca="1">IF($A200="","",IF(COUNTIFS(Dividends!$J:$J,"&gt;"&amp;INT($A199),Dividends!$J:$J,"&lt;="&amp;INT($A200))=0,"",$G$4*SUMIFS(Dividends!$K:$K,Dividends!$J:$J,"&gt;"&amp;INT($A199),Dividends!$J:$J,"&lt;="&amp;INT($A200))))</f>
        <v/>
      </c>
      <c r="L200" s="55" t="str">
        <f ca="1">IF(ISERROR(B200-2),"",C200+D200-F200-G200+I200+J200+SUM($K$14:K200))</f>
        <v/>
      </c>
      <c r="T200" s="52" t="str">
        <f t="shared" ca="1" si="33"/>
        <v/>
      </c>
      <c r="U200" s="97" t="str">
        <f t="shared" ca="1" si="34"/>
        <v/>
      </c>
    </row>
    <row r="201" spans="1:21" x14ac:dyDescent="0.25">
      <c r="A201" s="102" t="str">
        <f t="shared" ca="1" si="27"/>
        <v/>
      </c>
      <c r="B201" s="53" t="str">
        <f t="shared" ca="1" si="24"/>
        <v/>
      </c>
      <c r="C201" s="25" t="str">
        <f t="shared" ca="1" si="28"/>
        <v/>
      </c>
      <c r="D201" s="26" t="str">
        <f t="shared" ca="1" si="29"/>
        <v/>
      </c>
      <c r="E201" s="53" t="str">
        <f t="shared" ca="1" si="25"/>
        <v/>
      </c>
      <c r="F201" s="25" t="str">
        <f t="shared" ca="1" si="30"/>
        <v/>
      </c>
      <c r="G201" s="26" t="str">
        <f t="shared" ca="1" si="31"/>
        <v/>
      </c>
      <c r="H201" s="53" t="str">
        <f t="shared" ca="1" si="26"/>
        <v/>
      </c>
      <c r="I201" s="25" t="str">
        <f t="shared" ca="1" si="32"/>
        <v/>
      </c>
      <c r="J201" s="26"/>
      <c r="K201" s="114"/>
      <c r="L201" s="55" t="str">
        <f ca="1">IF(ISERROR(B201-2),"",C201+D201-F201-G201+I201+J201+SUM($K$14:K201))</f>
        <v/>
      </c>
      <c r="T201" s="52" t="str">
        <f t="shared" ca="1" si="33"/>
        <v/>
      </c>
      <c r="U201" s="97" t="str">
        <f t="shared" ca="1" si="34"/>
        <v/>
      </c>
    </row>
    <row r="202" spans="1:21" x14ac:dyDescent="0.25">
      <c r="A202" s="102" t="str">
        <f t="shared" ca="1" si="27"/>
        <v/>
      </c>
      <c r="B202" s="53" t="str">
        <f t="shared" ca="1" si="24"/>
        <v/>
      </c>
      <c r="C202" s="25" t="str">
        <f t="shared" ca="1" si="28"/>
        <v/>
      </c>
      <c r="D202" s="26" t="str">
        <f t="shared" ca="1" si="29"/>
        <v/>
      </c>
      <c r="E202" s="53" t="str">
        <f t="shared" ca="1" si="25"/>
        <v/>
      </c>
      <c r="F202" s="25" t="str">
        <f t="shared" ca="1" si="30"/>
        <v/>
      </c>
      <c r="G202" s="26" t="str">
        <f t="shared" ca="1" si="31"/>
        <v/>
      </c>
      <c r="H202" s="53" t="str">
        <f t="shared" ca="1" si="26"/>
        <v/>
      </c>
      <c r="I202" s="25" t="str">
        <f t="shared" ca="1" si="32"/>
        <v/>
      </c>
      <c r="J202" s="26"/>
      <c r="K202" s="114"/>
      <c r="L202" s="55" t="str">
        <f ca="1">IF(ISERROR(B202-2),"",C202+D202-F202-G202+I202+J202+SUM($K$14:K202))</f>
        <v/>
      </c>
      <c r="T202" s="52" t="str">
        <f t="shared" ca="1" si="33"/>
        <v/>
      </c>
      <c r="U202" s="97" t="str">
        <f t="shared" ca="1" si="34"/>
        <v/>
      </c>
    </row>
    <row r="203" spans="1:21" x14ac:dyDescent="0.25">
      <c r="A203" s="102" t="str">
        <f t="shared" ca="1" si="27"/>
        <v/>
      </c>
      <c r="B203" s="53" t="str">
        <f t="shared" ca="1" si="24"/>
        <v/>
      </c>
      <c r="C203" s="25" t="str">
        <f t="shared" ca="1" si="28"/>
        <v/>
      </c>
      <c r="D203" s="26" t="str">
        <f t="shared" ca="1" si="29"/>
        <v/>
      </c>
      <c r="E203" s="53" t="str">
        <f t="shared" ca="1" si="25"/>
        <v/>
      </c>
      <c r="F203" s="25" t="str">
        <f t="shared" ca="1" si="30"/>
        <v/>
      </c>
      <c r="G203" s="26" t="str">
        <f t="shared" ca="1" si="31"/>
        <v/>
      </c>
      <c r="H203" s="53" t="str">
        <f t="shared" ca="1" si="26"/>
        <v/>
      </c>
      <c r="I203" s="25" t="str">
        <f t="shared" ca="1" si="32"/>
        <v/>
      </c>
      <c r="J203" s="26"/>
      <c r="K203" s="114"/>
      <c r="L203" s="55" t="str">
        <f ca="1">IF(ISERROR(B203-2),"",C203+D203-F203-G203+I203+J203+SUM($K$14:K203))</f>
        <v/>
      </c>
      <c r="T203" s="52" t="str">
        <f t="shared" ca="1" si="33"/>
        <v/>
      </c>
      <c r="U203" s="97" t="str">
        <f t="shared" ca="1" si="34"/>
        <v/>
      </c>
    </row>
    <row r="204" spans="1:21" x14ac:dyDescent="0.25">
      <c r="A204" s="102" t="str">
        <f t="shared" ca="1" si="27"/>
        <v/>
      </c>
      <c r="B204" s="53" t="str">
        <f t="shared" ca="1" si="24"/>
        <v/>
      </c>
      <c r="C204" s="25" t="str">
        <f t="shared" ca="1" si="28"/>
        <v/>
      </c>
      <c r="D204" s="26" t="str">
        <f t="shared" ca="1" si="29"/>
        <v/>
      </c>
      <c r="E204" s="53" t="str">
        <f t="shared" ca="1" si="25"/>
        <v/>
      </c>
      <c r="F204" s="25" t="str">
        <f t="shared" ca="1" si="30"/>
        <v/>
      </c>
      <c r="G204" s="26" t="str">
        <f t="shared" ca="1" si="31"/>
        <v/>
      </c>
      <c r="H204" s="53" t="str">
        <f t="shared" ca="1" si="26"/>
        <v/>
      </c>
      <c r="I204" s="25" t="str">
        <f t="shared" ca="1" si="32"/>
        <v/>
      </c>
      <c r="J204" s="26"/>
      <c r="K204" s="114"/>
      <c r="L204" s="55" t="str">
        <f ca="1">IF(ISERROR(B204-2),"",C204+D204-F204-G204+I204+J204+SUM($K$14:K204))</f>
        <v/>
      </c>
      <c r="T204" s="52" t="str">
        <f t="shared" ca="1" si="33"/>
        <v/>
      </c>
      <c r="U204" s="97" t="str">
        <f t="shared" ca="1" si="34"/>
        <v/>
      </c>
    </row>
    <row r="205" spans="1:21" x14ac:dyDescent="0.25">
      <c r="A205" s="102" t="str">
        <f t="shared" ca="1" si="27"/>
        <v/>
      </c>
      <c r="B205" s="53" t="str">
        <f t="shared" ca="1" si="24"/>
        <v/>
      </c>
      <c r="C205" s="25" t="str">
        <f t="shared" ca="1" si="28"/>
        <v/>
      </c>
      <c r="D205" s="26" t="str">
        <f t="shared" ca="1" si="29"/>
        <v/>
      </c>
      <c r="E205" s="53" t="str">
        <f t="shared" ca="1" si="25"/>
        <v/>
      </c>
      <c r="F205" s="25" t="str">
        <f t="shared" ca="1" si="30"/>
        <v/>
      </c>
      <c r="G205" s="26" t="str">
        <f t="shared" ca="1" si="31"/>
        <v/>
      </c>
      <c r="H205" s="53" t="str">
        <f t="shared" ca="1" si="26"/>
        <v/>
      </c>
      <c r="I205" s="25" t="str">
        <f t="shared" ca="1" si="32"/>
        <v/>
      </c>
      <c r="J205" s="26"/>
      <c r="K205" s="114"/>
      <c r="L205" s="55" t="str">
        <f ca="1">IF(ISERROR(B205-2),"",C205+D205-F205-G205+I205+J205+SUM($K$14:K205))</f>
        <v/>
      </c>
      <c r="T205" s="52" t="str">
        <f t="shared" ca="1" si="33"/>
        <v/>
      </c>
      <c r="U205" s="97" t="str">
        <f t="shared" ca="1" si="34"/>
        <v/>
      </c>
    </row>
    <row r="206" spans="1:21" x14ac:dyDescent="0.25">
      <c r="A206" s="102" t="str">
        <f t="shared" ca="1" si="27"/>
        <v/>
      </c>
      <c r="B206" s="53" t="str">
        <f t="shared" ca="1" si="24"/>
        <v/>
      </c>
      <c r="C206" s="25" t="str">
        <f t="shared" ca="1" si="28"/>
        <v/>
      </c>
      <c r="D206" s="26" t="str">
        <f t="shared" ca="1" si="29"/>
        <v/>
      </c>
      <c r="E206" s="53" t="str">
        <f t="shared" ca="1" si="25"/>
        <v/>
      </c>
      <c r="F206" s="25" t="str">
        <f t="shared" ca="1" si="30"/>
        <v/>
      </c>
      <c r="G206" s="26" t="str">
        <f t="shared" ca="1" si="31"/>
        <v/>
      </c>
      <c r="H206" s="53" t="str">
        <f t="shared" ca="1" si="26"/>
        <v/>
      </c>
      <c r="I206" s="25" t="str">
        <f t="shared" ca="1" si="32"/>
        <v/>
      </c>
      <c r="J206" s="26"/>
      <c r="K206" s="114"/>
      <c r="L206" s="55" t="str">
        <f ca="1">IF(ISERROR(B206-2),"",C206+D206-F206-G206+I206+J206+SUM($K$14:K206))</f>
        <v/>
      </c>
      <c r="T206" s="52" t="str">
        <f t="shared" ca="1" si="33"/>
        <v/>
      </c>
      <c r="U206" s="97" t="str">
        <f t="shared" ca="1" si="34"/>
        <v/>
      </c>
    </row>
    <row r="207" spans="1:21" x14ac:dyDescent="0.25">
      <c r="A207" s="102" t="str">
        <f t="shared" ca="1" si="27"/>
        <v/>
      </c>
      <c r="B207" s="53" t="str">
        <f t="shared" ref="B207:B252" ca="1" si="35">IF(COUNTIF(N:N,A207)=1,VLOOKUP(A207,N:O,2), IF(COUNTIF(N:N,A207)=0,$B$10,""))</f>
        <v/>
      </c>
      <c r="C207" s="25" t="str">
        <f t="shared" ca="1" si="28"/>
        <v/>
      </c>
      <c r="D207" s="26" t="str">
        <f t="shared" ca="1" si="29"/>
        <v/>
      </c>
      <c r="E207" s="53" t="str">
        <f t="shared" ref="E207:E252" ca="1" si="36">IF(COUNTIF(N:N,A207)=1,VLOOKUP(A207,P:Q,2), IF(COUNTIF(N:N,A207)=0,$C$10,""))</f>
        <v/>
      </c>
      <c r="F207" s="25" t="str">
        <f t="shared" ca="1" si="30"/>
        <v/>
      </c>
      <c r="G207" s="26" t="str">
        <f t="shared" ca="1" si="31"/>
        <v/>
      </c>
      <c r="H207" s="53" t="str">
        <f t="shared" ref="H207:H252" ca="1" si="37">IF(COUNTIF(N:N,A207)=1,VLOOKUP(A207,R:S,2), IF(COUNTIF(N:N,A207)=0,$D$10,""))</f>
        <v/>
      </c>
      <c r="I207" s="25" t="str">
        <f t="shared" ca="1" si="32"/>
        <v/>
      </c>
      <c r="J207" s="26"/>
      <c r="K207" s="114"/>
      <c r="L207" s="55" t="str">
        <f ca="1">IF(ISERROR(B207-2),"",C207+D207-F207-G207+I207+J207+SUM($K$14:K207))</f>
        <v/>
      </c>
      <c r="T207" s="52" t="str">
        <f t="shared" ca="1" si="33"/>
        <v/>
      </c>
      <c r="U207" s="97" t="str">
        <f t="shared" ca="1" si="34"/>
        <v/>
      </c>
    </row>
    <row r="208" spans="1:21" x14ac:dyDescent="0.25">
      <c r="A208" s="102" t="str">
        <f t="shared" ref="A208:A252" ca="1" si="38">IF(AND(ISBLANK(V195), A207 = $V$1),NOW(),IF(ISBLANK(V195),"",V195))</f>
        <v/>
      </c>
      <c r="B208" s="53" t="str">
        <f t="shared" ca="1" si="35"/>
        <v/>
      </c>
      <c r="C208" s="25" t="str">
        <f t="shared" ref="C208:C252" ca="1" si="39">IF(ISERROR(B208-2),"",(B208/$B$14-1)*$B$5)</f>
        <v/>
      </c>
      <c r="D208" s="26" t="str">
        <f t="shared" ref="D208:D252" ca="1" si="40">IF(ISERROR(B208-2),"",-1*(INT(A208)-INT($A$14))/360*$B$7*$B$5)</f>
        <v/>
      </c>
      <c r="E208" s="53" t="str">
        <f t="shared" ca="1" si="36"/>
        <v/>
      </c>
      <c r="F208" s="25" t="str">
        <f t="shared" ref="F208:F252" ca="1" si="41">IF(ISERROR(B208-2),"",(E208-$E$14)/100*$C$5)</f>
        <v/>
      </c>
      <c r="G208" s="26" t="str">
        <f t="shared" ref="G208:G252" ca="1" si="42">IF(ISERROR(B208-2),"",(INT(A208)-INT($A$14))/360*$C$6*$C$5-(INT(A208)-INT($A$14))/360*$C$7*$C$5*$E$14/100)</f>
        <v/>
      </c>
      <c r="H208" s="53" t="str">
        <f t="shared" ca="1" si="37"/>
        <v/>
      </c>
      <c r="I208" s="25" t="str">
        <f t="shared" ref="I208:I252" ca="1" si="43">IF(ISERROR(B208-2),"",(H208-$H$14)*$D$5*$I$6)</f>
        <v/>
      </c>
      <c r="J208" s="26"/>
      <c r="K208" s="114"/>
      <c r="L208" s="55" t="str">
        <f ca="1">IF(ISERROR(B208-2),"",C208+D208-F208-G208+I208+J208+SUM($K$14:K208))</f>
        <v/>
      </c>
      <c r="T208" s="52" t="str">
        <f t="shared" ca="1" si="33"/>
        <v/>
      </c>
      <c r="U208" s="97" t="str">
        <f t="shared" ca="1" si="34"/>
        <v/>
      </c>
    </row>
    <row r="209" spans="1:21" x14ac:dyDescent="0.25">
      <c r="A209" s="102" t="str">
        <f t="shared" ca="1" si="38"/>
        <v/>
      </c>
      <c r="B209" s="53" t="str">
        <f t="shared" ca="1" si="35"/>
        <v/>
      </c>
      <c r="C209" s="25" t="str">
        <f t="shared" ca="1" si="39"/>
        <v/>
      </c>
      <c r="D209" s="26" t="str">
        <f t="shared" ca="1" si="40"/>
        <v/>
      </c>
      <c r="E209" s="53" t="str">
        <f t="shared" ca="1" si="36"/>
        <v/>
      </c>
      <c r="F209" s="25" t="str">
        <f t="shared" ca="1" si="41"/>
        <v/>
      </c>
      <c r="G209" s="26" t="str">
        <f t="shared" ca="1" si="42"/>
        <v/>
      </c>
      <c r="H209" s="53" t="str">
        <f t="shared" ca="1" si="37"/>
        <v/>
      </c>
      <c r="I209" s="25" t="str">
        <f t="shared" ca="1" si="43"/>
        <v/>
      </c>
      <c r="J209" s="26"/>
      <c r="K209" s="114"/>
      <c r="L209" s="55" t="str">
        <f ca="1">IF(ISERROR(B209-2),"",C209+D209-F209-G209+I209+J209+SUM($K$14:K209))</f>
        <v/>
      </c>
      <c r="T209" s="52" t="str">
        <f t="shared" ca="1" si="33"/>
        <v/>
      </c>
      <c r="U209" s="97" t="str">
        <f t="shared" ca="1" si="34"/>
        <v/>
      </c>
    </row>
    <row r="210" spans="1:21" x14ac:dyDescent="0.25">
      <c r="A210" s="102" t="str">
        <f t="shared" ca="1" si="38"/>
        <v/>
      </c>
      <c r="B210" s="53" t="str">
        <f t="shared" ca="1" si="35"/>
        <v/>
      </c>
      <c r="C210" s="25" t="str">
        <f t="shared" ca="1" si="39"/>
        <v/>
      </c>
      <c r="D210" s="26" t="str">
        <f t="shared" ca="1" si="40"/>
        <v/>
      </c>
      <c r="E210" s="53" t="str">
        <f t="shared" ca="1" si="36"/>
        <v/>
      </c>
      <c r="F210" s="25" t="str">
        <f t="shared" ca="1" si="41"/>
        <v/>
      </c>
      <c r="G210" s="26" t="str">
        <f t="shared" ca="1" si="42"/>
        <v/>
      </c>
      <c r="H210" s="53" t="str">
        <f t="shared" ca="1" si="37"/>
        <v/>
      </c>
      <c r="I210" s="25" t="str">
        <f t="shared" ca="1" si="43"/>
        <v/>
      </c>
      <c r="J210" s="26"/>
      <c r="K210" s="114"/>
      <c r="L210" s="55" t="str">
        <f ca="1">IF(ISERROR(B210-2),"",C210+D210-F210-G210+I210+J210+SUM($K$14:K210))</f>
        <v/>
      </c>
      <c r="T210" s="52" t="str">
        <f t="shared" ca="1" si="33"/>
        <v/>
      </c>
      <c r="U210" s="97" t="str">
        <f t="shared" ca="1" si="34"/>
        <v/>
      </c>
    </row>
    <row r="211" spans="1:21" x14ac:dyDescent="0.25">
      <c r="A211" s="102" t="str">
        <f t="shared" ca="1" si="38"/>
        <v/>
      </c>
      <c r="B211" s="53" t="str">
        <f t="shared" ca="1" si="35"/>
        <v/>
      </c>
      <c r="C211" s="25" t="str">
        <f t="shared" ca="1" si="39"/>
        <v/>
      </c>
      <c r="D211" s="26" t="str">
        <f t="shared" ca="1" si="40"/>
        <v/>
      </c>
      <c r="E211" s="53" t="str">
        <f t="shared" ca="1" si="36"/>
        <v/>
      </c>
      <c r="F211" s="25" t="str">
        <f t="shared" ca="1" si="41"/>
        <v/>
      </c>
      <c r="G211" s="26" t="str">
        <f t="shared" ca="1" si="42"/>
        <v/>
      </c>
      <c r="H211" s="53" t="str">
        <f t="shared" ca="1" si="37"/>
        <v/>
      </c>
      <c r="I211" s="25" t="str">
        <f t="shared" ca="1" si="43"/>
        <v/>
      </c>
      <c r="J211" s="26"/>
      <c r="K211" s="114"/>
      <c r="L211" s="55" t="str">
        <f ca="1">IF(ISERROR(B211-2),"",C211+D211-F211-G211+I211+J211+SUM($K$14:K211))</f>
        <v/>
      </c>
      <c r="T211" s="52" t="str">
        <f t="shared" ca="1" si="33"/>
        <v/>
      </c>
      <c r="U211" s="97" t="str">
        <f t="shared" ca="1" si="34"/>
        <v/>
      </c>
    </row>
    <row r="212" spans="1:21" x14ac:dyDescent="0.25">
      <c r="A212" s="102" t="str">
        <f t="shared" ca="1" si="38"/>
        <v/>
      </c>
      <c r="B212" s="53" t="str">
        <f t="shared" ca="1" si="35"/>
        <v/>
      </c>
      <c r="C212" s="25" t="str">
        <f t="shared" ca="1" si="39"/>
        <v/>
      </c>
      <c r="D212" s="26" t="str">
        <f t="shared" ca="1" si="40"/>
        <v/>
      </c>
      <c r="E212" s="53" t="str">
        <f t="shared" ca="1" si="36"/>
        <v/>
      </c>
      <c r="F212" s="25" t="str">
        <f t="shared" ca="1" si="41"/>
        <v/>
      </c>
      <c r="G212" s="26" t="str">
        <f t="shared" ca="1" si="42"/>
        <v/>
      </c>
      <c r="H212" s="53" t="str">
        <f t="shared" ca="1" si="37"/>
        <v/>
      </c>
      <c r="I212" s="25" t="str">
        <f t="shared" ca="1" si="43"/>
        <v/>
      </c>
      <c r="J212" s="26"/>
      <c r="K212" s="114"/>
      <c r="L212" s="55" t="str">
        <f ca="1">IF(ISERROR(B212-2),"",C212+D212-F212-G212+I212+J212+SUM($K$14:K212))</f>
        <v/>
      </c>
      <c r="T212" s="52" t="str">
        <f t="shared" ca="1" si="33"/>
        <v/>
      </c>
      <c r="U212" s="97" t="str">
        <f t="shared" ca="1" si="34"/>
        <v/>
      </c>
    </row>
    <row r="213" spans="1:21" x14ac:dyDescent="0.25">
      <c r="A213" s="102" t="str">
        <f t="shared" ca="1" si="38"/>
        <v/>
      </c>
      <c r="B213" s="53" t="str">
        <f t="shared" ca="1" si="35"/>
        <v/>
      </c>
      <c r="C213" s="25" t="str">
        <f t="shared" ca="1" si="39"/>
        <v/>
      </c>
      <c r="D213" s="26" t="str">
        <f t="shared" ca="1" si="40"/>
        <v/>
      </c>
      <c r="E213" s="53" t="str">
        <f t="shared" ca="1" si="36"/>
        <v/>
      </c>
      <c r="F213" s="25" t="str">
        <f t="shared" ca="1" si="41"/>
        <v/>
      </c>
      <c r="G213" s="26" t="str">
        <f t="shared" ca="1" si="42"/>
        <v/>
      </c>
      <c r="H213" s="53" t="str">
        <f t="shared" ca="1" si="37"/>
        <v/>
      </c>
      <c r="I213" s="25" t="str">
        <f t="shared" ca="1" si="43"/>
        <v/>
      </c>
      <c r="J213" s="26"/>
      <c r="K213" s="114"/>
      <c r="L213" s="55" t="str">
        <f ca="1">IF(ISERROR(B213-2),"",C213+D213-F213-G213+I213+J213+SUM($K$14:K213))</f>
        <v/>
      </c>
      <c r="T213" s="52" t="str">
        <f t="shared" ca="1" si="33"/>
        <v/>
      </c>
      <c r="U213" s="97" t="str">
        <f t="shared" ca="1" si="34"/>
        <v/>
      </c>
    </row>
    <row r="214" spans="1:21" x14ac:dyDescent="0.25">
      <c r="A214" s="102" t="str">
        <f t="shared" ca="1" si="38"/>
        <v/>
      </c>
      <c r="B214" s="53" t="str">
        <f t="shared" ca="1" si="35"/>
        <v/>
      </c>
      <c r="C214" s="25" t="str">
        <f t="shared" ca="1" si="39"/>
        <v/>
      </c>
      <c r="D214" s="26" t="str">
        <f t="shared" ca="1" si="40"/>
        <v/>
      </c>
      <c r="E214" s="53" t="str">
        <f t="shared" ca="1" si="36"/>
        <v/>
      </c>
      <c r="F214" s="25" t="str">
        <f t="shared" ca="1" si="41"/>
        <v/>
      </c>
      <c r="G214" s="26" t="str">
        <f t="shared" ca="1" si="42"/>
        <v/>
      </c>
      <c r="H214" s="53" t="str">
        <f t="shared" ca="1" si="37"/>
        <v/>
      </c>
      <c r="I214" s="25" t="str">
        <f t="shared" ca="1" si="43"/>
        <v/>
      </c>
      <c r="J214" s="26"/>
      <c r="K214" s="114"/>
      <c r="L214" s="55" t="str">
        <f ca="1">IF(ISERROR(B214-2),"",C214+D214-F214-G214+I214+J214+SUM($K$14:K214))</f>
        <v/>
      </c>
      <c r="T214" s="52" t="str">
        <f t="shared" ca="1" si="33"/>
        <v/>
      </c>
      <c r="U214" s="97" t="str">
        <f t="shared" ca="1" si="34"/>
        <v/>
      </c>
    </row>
    <row r="215" spans="1:21" x14ac:dyDescent="0.25">
      <c r="A215" s="102" t="str">
        <f t="shared" ca="1" si="38"/>
        <v/>
      </c>
      <c r="B215" s="53" t="str">
        <f t="shared" ca="1" si="35"/>
        <v/>
      </c>
      <c r="C215" s="25" t="str">
        <f t="shared" ca="1" si="39"/>
        <v/>
      </c>
      <c r="D215" s="26" t="str">
        <f t="shared" ca="1" si="40"/>
        <v/>
      </c>
      <c r="E215" s="53" t="str">
        <f t="shared" ca="1" si="36"/>
        <v/>
      </c>
      <c r="F215" s="25" t="str">
        <f t="shared" ca="1" si="41"/>
        <v/>
      </c>
      <c r="G215" s="26" t="str">
        <f t="shared" ca="1" si="42"/>
        <v/>
      </c>
      <c r="H215" s="53" t="str">
        <f t="shared" ca="1" si="37"/>
        <v/>
      </c>
      <c r="I215" s="25" t="str">
        <f t="shared" ca="1" si="43"/>
        <v/>
      </c>
      <c r="J215" s="26"/>
      <c r="K215" s="114"/>
      <c r="L215" s="55" t="str">
        <f ca="1">IF(ISERROR(B215-2),"",C215+D215-F215-G215+I215+J215+SUM($K$14:K215))</f>
        <v/>
      </c>
      <c r="T215" s="52" t="str">
        <f t="shared" ca="1" si="33"/>
        <v/>
      </c>
      <c r="U215" s="97" t="str">
        <f t="shared" ca="1" si="34"/>
        <v/>
      </c>
    </row>
    <row r="216" spans="1:21" x14ac:dyDescent="0.25">
      <c r="A216" s="102" t="str">
        <f t="shared" ca="1" si="38"/>
        <v/>
      </c>
      <c r="B216" s="53" t="str">
        <f t="shared" ca="1" si="35"/>
        <v/>
      </c>
      <c r="C216" s="25" t="str">
        <f t="shared" ca="1" si="39"/>
        <v/>
      </c>
      <c r="D216" s="26" t="str">
        <f t="shared" ca="1" si="40"/>
        <v/>
      </c>
      <c r="E216" s="53" t="str">
        <f t="shared" ca="1" si="36"/>
        <v/>
      </c>
      <c r="F216" s="25" t="str">
        <f t="shared" ca="1" si="41"/>
        <v/>
      </c>
      <c r="G216" s="26" t="str">
        <f t="shared" ca="1" si="42"/>
        <v/>
      </c>
      <c r="H216" s="53" t="str">
        <f t="shared" ca="1" si="37"/>
        <v/>
      </c>
      <c r="I216" s="25" t="str">
        <f t="shared" ca="1" si="43"/>
        <v/>
      </c>
      <c r="J216" s="26"/>
      <c r="K216" s="114"/>
      <c r="L216" s="55" t="str">
        <f ca="1">IF(ISERROR(B216-2),"",C216+D216-F216-G216+I216+J216+SUM($K$14:K216))</f>
        <v/>
      </c>
      <c r="T216" s="52" t="str">
        <f t="shared" ca="1" si="33"/>
        <v/>
      </c>
      <c r="U216" s="97" t="str">
        <f t="shared" ca="1" si="34"/>
        <v/>
      </c>
    </row>
    <row r="217" spans="1:21" x14ac:dyDescent="0.25">
      <c r="A217" s="102" t="str">
        <f t="shared" ca="1" si="38"/>
        <v/>
      </c>
      <c r="B217" s="53" t="str">
        <f t="shared" ca="1" si="35"/>
        <v/>
      </c>
      <c r="C217" s="25" t="str">
        <f t="shared" ca="1" si="39"/>
        <v/>
      </c>
      <c r="D217" s="26" t="str">
        <f t="shared" ca="1" si="40"/>
        <v/>
      </c>
      <c r="E217" s="53" t="str">
        <f t="shared" ca="1" si="36"/>
        <v/>
      </c>
      <c r="F217" s="25" t="str">
        <f t="shared" ca="1" si="41"/>
        <v/>
      </c>
      <c r="G217" s="26" t="str">
        <f t="shared" ca="1" si="42"/>
        <v/>
      </c>
      <c r="H217" s="53" t="str">
        <f t="shared" ca="1" si="37"/>
        <v/>
      </c>
      <c r="I217" s="25" t="str">
        <f t="shared" ca="1" si="43"/>
        <v/>
      </c>
      <c r="J217" s="26"/>
      <c r="K217" s="114"/>
      <c r="L217" s="55" t="str">
        <f ca="1">IF(ISERROR(B217-2),"",C217+D217-F217-G217+I217+J217+SUM($K$14:K217))</f>
        <v/>
      </c>
      <c r="T217" s="52" t="str">
        <f t="shared" ca="1" si="33"/>
        <v/>
      </c>
      <c r="U217" s="97" t="str">
        <f t="shared" ca="1" si="34"/>
        <v/>
      </c>
    </row>
    <row r="218" spans="1:21" x14ac:dyDescent="0.25">
      <c r="A218" s="102" t="str">
        <f t="shared" ca="1" si="38"/>
        <v/>
      </c>
      <c r="B218" s="53" t="str">
        <f t="shared" ca="1" si="35"/>
        <v/>
      </c>
      <c r="C218" s="25" t="str">
        <f t="shared" ca="1" si="39"/>
        <v/>
      </c>
      <c r="D218" s="26" t="str">
        <f t="shared" ca="1" si="40"/>
        <v/>
      </c>
      <c r="E218" s="53" t="str">
        <f t="shared" ca="1" si="36"/>
        <v/>
      </c>
      <c r="F218" s="25" t="str">
        <f t="shared" ca="1" si="41"/>
        <v/>
      </c>
      <c r="G218" s="26" t="str">
        <f t="shared" ca="1" si="42"/>
        <v/>
      </c>
      <c r="H218" s="53" t="str">
        <f t="shared" ca="1" si="37"/>
        <v/>
      </c>
      <c r="I218" s="25" t="str">
        <f t="shared" ca="1" si="43"/>
        <v/>
      </c>
      <c r="J218" s="26"/>
      <c r="K218" s="114"/>
      <c r="L218" s="55" t="str">
        <f ca="1">IF(ISERROR(B218-2),"",C218+D218-F218-G218+I218+J218+SUM($K$14:K218))</f>
        <v/>
      </c>
      <c r="T218" s="52" t="str">
        <f t="shared" ca="1" si="33"/>
        <v/>
      </c>
      <c r="U218" s="97" t="str">
        <f t="shared" ca="1" si="34"/>
        <v/>
      </c>
    </row>
    <row r="219" spans="1:21" x14ac:dyDescent="0.25">
      <c r="A219" s="102" t="str">
        <f t="shared" ca="1" si="38"/>
        <v/>
      </c>
      <c r="B219" s="53" t="str">
        <f t="shared" ca="1" si="35"/>
        <v/>
      </c>
      <c r="C219" s="25" t="str">
        <f t="shared" ca="1" si="39"/>
        <v/>
      </c>
      <c r="D219" s="26" t="str">
        <f t="shared" ca="1" si="40"/>
        <v/>
      </c>
      <c r="E219" s="53" t="str">
        <f t="shared" ca="1" si="36"/>
        <v/>
      </c>
      <c r="F219" s="25" t="str">
        <f t="shared" ca="1" si="41"/>
        <v/>
      </c>
      <c r="G219" s="26" t="str">
        <f t="shared" ca="1" si="42"/>
        <v/>
      </c>
      <c r="H219" s="53" t="str">
        <f t="shared" ca="1" si="37"/>
        <v/>
      </c>
      <c r="I219" s="25" t="str">
        <f t="shared" ca="1" si="43"/>
        <v/>
      </c>
      <c r="J219" s="26"/>
      <c r="K219" s="114"/>
      <c r="L219" s="55" t="str">
        <f ca="1">IF(ISERROR(B219-2),"",C219+D219-F219-G219+I219+J219+SUM($K$14:K219))</f>
        <v/>
      </c>
      <c r="T219" s="52" t="str">
        <f t="shared" ca="1" si="33"/>
        <v/>
      </c>
      <c r="U219" s="97" t="str">
        <f t="shared" ca="1" si="34"/>
        <v/>
      </c>
    </row>
    <row r="220" spans="1:21" x14ac:dyDescent="0.25">
      <c r="A220" s="102" t="str">
        <f t="shared" ca="1" si="38"/>
        <v/>
      </c>
      <c r="B220" s="53" t="str">
        <f t="shared" ca="1" si="35"/>
        <v/>
      </c>
      <c r="C220" s="25" t="str">
        <f t="shared" ca="1" si="39"/>
        <v/>
      </c>
      <c r="D220" s="26" t="str">
        <f t="shared" ca="1" si="40"/>
        <v/>
      </c>
      <c r="E220" s="53" t="str">
        <f t="shared" ca="1" si="36"/>
        <v/>
      </c>
      <c r="F220" s="25" t="str">
        <f t="shared" ca="1" si="41"/>
        <v/>
      </c>
      <c r="G220" s="26" t="str">
        <f t="shared" ca="1" si="42"/>
        <v/>
      </c>
      <c r="H220" s="53" t="str">
        <f t="shared" ca="1" si="37"/>
        <v/>
      </c>
      <c r="I220" s="25" t="str">
        <f t="shared" ca="1" si="43"/>
        <v/>
      </c>
      <c r="J220" s="26"/>
      <c r="K220" s="114"/>
      <c r="L220" s="55" t="str">
        <f ca="1">IF(ISERROR(B220-2),"",C220+D220-F220-G220+I220+J220+SUM($K$14:K220))</f>
        <v/>
      </c>
      <c r="T220" s="52" t="str">
        <f t="shared" ca="1" si="33"/>
        <v/>
      </c>
      <c r="U220" s="97" t="str">
        <f t="shared" ca="1" si="34"/>
        <v/>
      </c>
    </row>
    <row r="221" spans="1:21" x14ac:dyDescent="0.25">
      <c r="A221" s="102" t="str">
        <f t="shared" ca="1" si="38"/>
        <v/>
      </c>
      <c r="B221" s="53" t="str">
        <f t="shared" ca="1" si="35"/>
        <v/>
      </c>
      <c r="C221" s="25" t="str">
        <f t="shared" ca="1" si="39"/>
        <v/>
      </c>
      <c r="D221" s="26" t="str">
        <f t="shared" ca="1" si="40"/>
        <v/>
      </c>
      <c r="E221" s="53" t="str">
        <f t="shared" ca="1" si="36"/>
        <v/>
      </c>
      <c r="F221" s="25" t="str">
        <f t="shared" ca="1" si="41"/>
        <v/>
      </c>
      <c r="G221" s="26" t="str">
        <f t="shared" ca="1" si="42"/>
        <v/>
      </c>
      <c r="H221" s="53" t="str">
        <f t="shared" ca="1" si="37"/>
        <v/>
      </c>
      <c r="I221" s="25" t="str">
        <f t="shared" ca="1" si="43"/>
        <v/>
      </c>
      <c r="J221" s="26"/>
      <c r="K221" s="114"/>
      <c r="L221" s="55" t="str">
        <f ca="1">IF(ISERROR(B221-2),"",C221+D221-F221-G221+I221+J221+SUM($K$14:K221))</f>
        <v/>
      </c>
      <c r="T221" s="52" t="str">
        <f t="shared" ca="1" si="33"/>
        <v/>
      </c>
      <c r="U221" s="97" t="str">
        <f t="shared" ca="1" si="34"/>
        <v/>
      </c>
    </row>
    <row r="222" spans="1:21" x14ac:dyDescent="0.25">
      <c r="A222" s="102" t="str">
        <f t="shared" ca="1" si="38"/>
        <v/>
      </c>
      <c r="B222" s="53" t="str">
        <f t="shared" ca="1" si="35"/>
        <v/>
      </c>
      <c r="C222" s="25" t="str">
        <f t="shared" ca="1" si="39"/>
        <v/>
      </c>
      <c r="D222" s="26" t="str">
        <f t="shared" ca="1" si="40"/>
        <v/>
      </c>
      <c r="E222" s="53" t="str">
        <f t="shared" ca="1" si="36"/>
        <v/>
      </c>
      <c r="F222" s="25" t="str">
        <f t="shared" ca="1" si="41"/>
        <v/>
      </c>
      <c r="G222" s="26" t="str">
        <f t="shared" ca="1" si="42"/>
        <v/>
      </c>
      <c r="H222" s="53" t="str">
        <f t="shared" ca="1" si="37"/>
        <v/>
      </c>
      <c r="I222" s="25" t="str">
        <f t="shared" ca="1" si="43"/>
        <v/>
      </c>
      <c r="J222" s="26"/>
      <c r="K222" s="114"/>
      <c r="L222" s="55" t="str">
        <f ca="1">IF(ISERROR(B222-2),"",C222+D222-F222-G222+I222+J222+SUM($K$14:K222))</f>
        <v/>
      </c>
      <c r="T222" s="52" t="str">
        <f t="shared" ca="1" si="33"/>
        <v/>
      </c>
      <c r="U222" s="97" t="str">
        <f t="shared" ca="1" si="34"/>
        <v/>
      </c>
    </row>
    <row r="223" spans="1:21" x14ac:dyDescent="0.25">
      <c r="A223" s="102" t="str">
        <f t="shared" ca="1" si="38"/>
        <v/>
      </c>
      <c r="B223" s="53" t="str">
        <f t="shared" ca="1" si="35"/>
        <v/>
      </c>
      <c r="C223" s="25" t="str">
        <f t="shared" ca="1" si="39"/>
        <v/>
      </c>
      <c r="D223" s="26" t="str">
        <f t="shared" ca="1" si="40"/>
        <v/>
      </c>
      <c r="E223" s="53" t="str">
        <f t="shared" ca="1" si="36"/>
        <v/>
      </c>
      <c r="F223" s="25" t="str">
        <f t="shared" ca="1" si="41"/>
        <v/>
      </c>
      <c r="G223" s="26" t="str">
        <f t="shared" ca="1" si="42"/>
        <v/>
      </c>
      <c r="H223" s="53" t="str">
        <f t="shared" ca="1" si="37"/>
        <v/>
      </c>
      <c r="I223" s="25" t="str">
        <f t="shared" ca="1" si="43"/>
        <v/>
      </c>
      <c r="J223" s="26"/>
      <c r="K223" s="114"/>
      <c r="L223" s="55" t="str">
        <f ca="1">IF(ISERROR(B223-2),"",C223+D223-F223-G223+I223+J223+SUM($K$14:K223))</f>
        <v/>
      </c>
      <c r="T223" s="52" t="str">
        <f t="shared" ca="1" si="33"/>
        <v/>
      </c>
      <c r="U223" s="97" t="str">
        <f t="shared" ca="1" si="34"/>
        <v/>
      </c>
    </row>
    <row r="224" spans="1:21" x14ac:dyDescent="0.25">
      <c r="A224" s="102" t="str">
        <f t="shared" ca="1" si="38"/>
        <v/>
      </c>
      <c r="B224" s="53" t="str">
        <f t="shared" ca="1" si="35"/>
        <v/>
      </c>
      <c r="C224" s="25" t="str">
        <f t="shared" ca="1" si="39"/>
        <v/>
      </c>
      <c r="D224" s="26" t="str">
        <f t="shared" ca="1" si="40"/>
        <v/>
      </c>
      <c r="E224" s="53" t="str">
        <f t="shared" ca="1" si="36"/>
        <v/>
      </c>
      <c r="F224" s="25" t="str">
        <f t="shared" ca="1" si="41"/>
        <v/>
      </c>
      <c r="G224" s="26" t="str">
        <f t="shared" ca="1" si="42"/>
        <v/>
      </c>
      <c r="H224" s="53" t="str">
        <f t="shared" ca="1" si="37"/>
        <v/>
      </c>
      <c r="I224" s="25" t="str">
        <f t="shared" ca="1" si="43"/>
        <v/>
      </c>
      <c r="J224" s="26"/>
      <c r="K224" s="114"/>
      <c r="L224" s="55" t="str">
        <f ca="1">IF(ISERROR(B224-2),"",C224+D224-F224-G224+I224+J224+SUM($K$14:K224))</f>
        <v/>
      </c>
      <c r="T224" s="52" t="str">
        <f t="shared" ca="1" si="33"/>
        <v/>
      </c>
      <c r="U224" s="97" t="str">
        <f t="shared" ca="1" si="34"/>
        <v/>
      </c>
    </row>
    <row r="225" spans="1:21" x14ac:dyDescent="0.25">
      <c r="A225" s="102" t="str">
        <f t="shared" ca="1" si="38"/>
        <v/>
      </c>
      <c r="B225" s="53" t="str">
        <f t="shared" ca="1" si="35"/>
        <v/>
      </c>
      <c r="C225" s="25" t="str">
        <f t="shared" ca="1" si="39"/>
        <v/>
      </c>
      <c r="D225" s="26" t="str">
        <f t="shared" ca="1" si="40"/>
        <v/>
      </c>
      <c r="E225" s="53" t="str">
        <f t="shared" ca="1" si="36"/>
        <v/>
      </c>
      <c r="F225" s="25" t="str">
        <f t="shared" ca="1" si="41"/>
        <v/>
      </c>
      <c r="G225" s="26" t="str">
        <f t="shared" ca="1" si="42"/>
        <v/>
      </c>
      <c r="H225" s="53" t="str">
        <f t="shared" ca="1" si="37"/>
        <v/>
      </c>
      <c r="I225" s="25" t="str">
        <f t="shared" ca="1" si="43"/>
        <v/>
      </c>
      <c r="J225" s="26"/>
      <c r="K225" s="114"/>
      <c r="L225" s="55" t="str">
        <f ca="1">IF(ISERROR(B225-2),"",C225+D225-F225-G225+I225+J225+SUM($K$14:K225))</f>
        <v/>
      </c>
      <c r="T225" s="52" t="str">
        <f t="shared" ca="1" si="33"/>
        <v/>
      </c>
      <c r="U225" s="97" t="str">
        <f t="shared" ca="1" si="34"/>
        <v/>
      </c>
    </row>
    <row r="226" spans="1:21" x14ac:dyDescent="0.25">
      <c r="A226" s="102" t="str">
        <f t="shared" ca="1" si="38"/>
        <v/>
      </c>
      <c r="B226" s="53" t="str">
        <f t="shared" ca="1" si="35"/>
        <v/>
      </c>
      <c r="C226" s="25" t="str">
        <f t="shared" ca="1" si="39"/>
        <v/>
      </c>
      <c r="D226" s="26" t="str">
        <f t="shared" ca="1" si="40"/>
        <v/>
      </c>
      <c r="E226" s="53" t="str">
        <f t="shared" ca="1" si="36"/>
        <v/>
      </c>
      <c r="F226" s="25" t="str">
        <f t="shared" ca="1" si="41"/>
        <v/>
      </c>
      <c r="G226" s="26" t="str">
        <f t="shared" ca="1" si="42"/>
        <v/>
      </c>
      <c r="H226" s="53" t="str">
        <f t="shared" ca="1" si="37"/>
        <v/>
      </c>
      <c r="I226" s="25" t="str">
        <f t="shared" ca="1" si="43"/>
        <v/>
      </c>
      <c r="J226" s="26"/>
      <c r="K226" s="114"/>
      <c r="L226" s="55" t="str">
        <f ca="1">IF(ISERROR(B226-2),"",C226+D226-F226-G226+I226+J226+SUM($K$14:K226))</f>
        <v/>
      </c>
      <c r="T226" s="52" t="str">
        <f t="shared" ca="1" si="33"/>
        <v/>
      </c>
      <c r="U226" s="97" t="str">
        <f t="shared" ca="1" si="34"/>
        <v/>
      </c>
    </row>
    <row r="227" spans="1:21" x14ac:dyDescent="0.25">
      <c r="A227" s="102" t="str">
        <f t="shared" ca="1" si="38"/>
        <v/>
      </c>
      <c r="B227" s="53" t="str">
        <f t="shared" ca="1" si="35"/>
        <v/>
      </c>
      <c r="C227" s="25" t="str">
        <f t="shared" ca="1" si="39"/>
        <v/>
      </c>
      <c r="D227" s="26" t="str">
        <f t="shared" ca="1" si="40"/>
        <v/>
      </c>
      <c r="E227" s="53" t="str">
        <f t="shared" ca="1" si="36"/>
        <v/>
      </c>
      <c r="F227" s="25" t="str">
        <f t="shared" ca="1" si="41"/>
        <v/>
      </c>
      <c r="G227" s="26" t="str">
        <f t="shared" ca="1" si="42"/>
        <v/>
      </c>
      <c r="H227" s="53" t="str">
        <f t="shared" ca="1" si="37"/>
        <v/>
      </c>
      <c r="I227" s="25" t="str">
        <f t="shared" ca="1" si="43"/>
        <v/>
      </c>
      <c r="J227" s="26"/>
      <c r="K227" s="114"/>
      <c r="L227" s="55" t="str">
        <f ca="1">IF(ISERROR(B227-2),"",C227+D227-F227-G227+I227+J227+SUM($K$14:K227))</f>
        <v/>
      </c>
      <c r="T227" s="52" t="str">
        <f t="shared" ca="1" si="33"/>
        <v/>
      </c>
      <c r="U227" s="97" t="str">
        <f t="shared" ca="1" si="34"/>
        <v/>
      </c>
    </row>
    <row r="228" spans="1:21" x14ac:dyDescent="0.25">
      <c r="A228" s="102" t="str">
        <f t="shared" ca="1" si="38"/>
        <v/>
      </c>
      <c r="B228" s="53" t="str">
        <f t="shared" ca="1" si="35"/>
        <v/>
      </c>
      <c r="C228" s="25" t="str">
        <f t="shared" ca="1" si="39"/>
        <v/>
      </c>
      <c r="D228" s="26" t="str">
        <f t="shared" ca="1" si="40"/>
        <v/>
      </c>
      <c r="E228" s="53" t="str">
        <f t="shared" ca="1" si="36"/>
        <v/>
      </c>
      <c r="F228" s="25" t="str">
        <f t="shared" ca="1" si="41"/>
        <v/>
      </c>
      <c r="G228" s="26" t="str">
        <f t="shared" ca="1" si="42"/>
        <v/>
      </c>
      <c r="H228" s="53" t="str">
        <f t="shared" ca="1" si="37"/>
        <v/>
      </c>
      <c r="I228" s="25" t="str">
        <f t="shared" ca="1" si="43"/>
        <v/>
      </c>
      <c r="J228" s="26"/>
      <c r="K228" s="114"/>
      <c r="L228" s="55" t="str">
        <f ca="1">IF(ISERROR(B228-2),"",C228+D228-F228-G228+I228+J228+SUM($K$14:K228))</f>
        <v/>
      </c>
      <c r="T228" s="52" t="str">
        <f t="shared" ca="1" si="33"/>
        <v/>
      </c>
      <c r="U228" s="97" t="str">
        <f t="shared" ca="1" si="34"/>
        <v/>
      </c>
    </row>
    <row r="229" spans="1:21" x14ac:dyDescent="0.25">
      <c r="A229" s="102" t="str">
        <f t="shared" ca="1" si="38"/>
        <v/>
      </c>
      <c r="B229" s="53" t="str">
        <f t="shared" ca="1" si="35"/>
        <v/>
      </c>
      <c r="C229" s="25" t="str">
        <f t="shared" ca="1" si="39"/>
        <v/>
      </c>
      <c r="D229" s="26" t="str">
        <f t="shared" ca="1" si="40"/>
        <v/>
      </c>
      <c r="E229" s="53" t="str">
        <f t="shared" ca="1" si="36"/>
        <v/>
      </c>
      <c r="F229" s="25" t="str">
        <f t="shared" ca="1" si="41"/>
        <v/>
      </c>
      <c r="G229" s="26" t="str">
        <f t="shared" ca="1" si="42"/>
        <v/>
      </c>
      <c r="H229" s="53" t="str">
        <f t="shared" ca="1" si="37"/>
        <v/>
      </c>
      <c r="I229" s="25" t="str">
        <f t="shared" ca="1" si="43"/>
        <v/>
      </c>
      <c r="J229" s="26"/>
      <c r="K229" s="114"/>
      <c r="L229" s="55" t="str">
        <f ca="1">IF(ISERROR(B229-2),"",C229+D229-F229-G229+I229+J229+SUM($K$14:K229))</f>
        <v/>
      </c>
      <c r="T229" s="52" t="str">
        <f t="shared" ca="1" si="33"/>
        <v/>
      </c>
      <c r="U229" s="97" t="str">
        <f t="shared" ca="1" si="34"/>
        <v/>
      </c>
    </row>
    <row r="230" spans="1:21" x14ac:dyDescent="0.25">
      <c r="A230" s="102" t="str">
        <f t="shared" ca="1" si="38"/>
        <v/>
      </c>
      <c r="B230" s="53" t="str">
        <f t="shared" ca="1" si="35"/>
        <v/>
      </c>
      <c r="C230" s="25" t="str">
        <f t="shared" ca="1" si="39"/>
        <v/>
      </c>
      <c r="D230" s="26" t="str">
        <f t="shared" ca="1" si="40"/>
        <v/>
      </c>
      <c r="E230" s="53" t="str">
        <f t="shared" ca="1" si="36"/>
        <v/>
      </c>
      <c r="F230" s="25" t="str">
        <f t="shared" ca="1" si="41"/>
        <v/>
      </c>
      <c r="G230" s="26" t="str">
        <f t="shared" ca="1" si="42"/>
        <v/>
      </c>
      <c r="H230" s="53" t="str">
        <f t="shared" ca="1" si="37"/>
        <v/>
      </c>
      <c r="I230" s="25" t="str">
        <f t="shared" ca="1" si="43"/>
        <v/>
      </c>
      <c r="J230" s="26"/>
      <c r="K230" s="114"/>
      <c r="L230" s="55" t="str">
        <f ca="1">IF(ISERROR(B230-2),"",C230+D230-F230-G230+I230+J230+SUM($K$14:K230))</f>
        <v/>
      </c>
      <c r="T230" s="52" t="str">
        <f t="shared" ca="1" si="33"/>
        <v/>
      </c>
      <c r="U230" s="97" t="str">
        <f t="shared" ca="1" si="34"/>
        <v/>
      </c>
    </row>
    <row r="231" spans="1:21" x14ac:dyDescent="0.25">
      <c r="A231" s="102" t="str">
        <f t="shared" ca="1" si="38"/>
        <v/>
      </c>
      <c r="B231" s="53" t="str">
        <f t="shared" ca="1" si="35"/>
        <v/>
      </c>
      <c r="C231" s="25" t="str">
        <f t="shared" ca="1" si="39"/>
        <v/>
      </c>
      <c r="D231" s="26" t="str">
        <f t="shared" ca="1" si="40"/>
        <v/>
      </c>
      <c r="E231" s="53" t="str">
        <f t="shared" ca="1" si="36"/>
        <v/>
      </c>
      <c r="F231" s="25" t="str">
        <f t="shared" ca="1" si="41"/>
        <v/>
      </c>
      <c r="G231" s="26" t="str">
        <f t="shared" ca="1" si="42"/>
        <v/>
      </c>
      <c r="H231" s="53" t="str">
        <f t="shared" ca="1" si="37"/>
        <v/>
      </c>
      <c r="I231" s="25" t="str">
        <f t="shared" ca="1" si="43"/>
        <v/>
      </c>
      <c r="J231" s="26"/>
      <c r="K231" s="114"/>
      <c r="L231" s="55" t="str">
        <f ca="1">IF(ISERROR(B231-2),"",C231+D231-F231-G231+I231+J231+SUM($K$14:K231))</f>
        <v/>
      </c>
      <c r="T231" s="52" t="str">
        <f t="shared" ca="1" si="33"/>
        <v/>
      </c>
      <c r="U231" s="97" t="str">
        <f t="shared" ca="1" si="34"/>
        <v/>
      </c>
    </row>
    <row r="232" spans="1:21" x14ac:dyDescent="0.25">
      <c r="A232" s="102" t="str">
        <f t="shared" ca="1" si="38"/>
        <v/>
      </c>
      <c r="B232" s="53" t="str">
        <f t="shared" ca="1" si="35"/>
        <v/>
      </c>
      <c r="C232" s="25" t="str">
        <f t="shared" ca="1" si="39"/>
        <v/>
      </c>
      <c r="D232" s="26" t="str">
        <f t="shared" ca="1" si="40"/>
        <v/>
      </c>
      <c r="E232" s="53" t="str">
        <f t="shared" ca="1" si="36"/>
        <v/>
      </c>
      <c r="F232" s="25" t="str">
        <f t="shared" ca="1" si="41"/>
        <v/>
      </c>
      <c r="G232" s="26" t="str">
        <f t="shared" ca="1" si="42"/>
        <v/>
      </c>
      <c r="H232" s="53" t="str">
        <f t="shared" ca="1" si="37"/>
        <v/>
      </c>
      <c r="I232" s="25" t="str">
        <f t="shared" ca="1" si="43"/>
        <v/>
      </c>
      <c r="J232" s="26"/>
      <c r="K232" s="114"/>
      <c r="L232" s="55" t="str">
        <f ca="1">IF(ISERROR(B232-2),"",C232+D232-F232-G232+I232+J232+SUM($K$14:K232))</f>
        <v/>
      </c>
      <c r="T232" s="52" t="str">
        <f t="shared" ca="1" si="33"/>
        <v/>
      </c>
      <c r="U232" s="97" t="str">
        <f t="shared" ca="1" si="34"/>
        <v/>
      </c>
    </row>
    <row r="233" spans="1:21" x14ac:dyDescent="0.25">
      <c r="A233" s="102" t="str">
        <f t="shared" ca="1" si="38"/>
        <v/>
      </c>
      <c r="B233" s="53" t="str">
        <f t="shared" ca="1" si="35"/>
        <v/>
      </c>
      <c r="C233" s="25" t="str">
        <f t="shared" ca="1" si="39"/>
        <v/>
      </c>
      <c r="D233" s="26" t="str">
        <f t="shared" ca="1" si="40"/>
        <v/>
      </c>
      <c r="E233" s="53" t="str">
        <f t="shared" ca="1" si="36"/>
        <v/>
      </c>
      <c r="F233" s="25" t="str">
        <f t="shared" ca="1" si="41"/>
        <v/>
      </c>
      <c r="G233" s="26" t="str">
        <f t="shared" ca="1" si="42"/>
        <v/>
      </c>
      <c r="H233" s="53" t="str">
        <f t="shared" ca="1" si="37"/>
        <v/>
      </c>
      <c r="I233" s="25" t="str">
        <f t="shared" ca="1" si="43"/>
        <v/>
      </c>
      <c r="J233" s="26"/>
      <c r="K233" s="114"/>
      <c r="L233" s="55" t="str">
        <f ca="1">IF(ISERROR(B233-2),"",C233+D233-F233-G233+I233+J233+SUM($K$14:K233))</f>
        <v/>
      </c>
      <c r="T233" s="52" t="str">
        <f t="shared" ca="1" si="33"/>
        <v/>
      </c>
      <c r="U233" s="97" t="str">
        <f t="shared" ca="1" si="34"/>
        <v/>
      </c>
    </row>
    <row r="234" spans="1:21" x14ac:dyDescent="0.25">
      <c r="A234" s="102" t="str">
        <f t="shared" ca="1" si="38"/>
        <v/>
      </c>
      <c r="B234" s="53" t="str">
        <f t="shared" ca="1" si="35"/>
        <v/>
      </c>
      <c r="C234" s="25" t="str">
        <f t="shared" ca="1" si="39"/>
        <v/>
      </c>
      <c r="D234" s="26" t="str">
        <f t="shared" ca="1" si="40"/>
        <v/>
      </c>
      <c r="E234" s="53" t="str">
        <f t="shared" ca="1" si="36"/>
        <v/>
      </c>
      <c r="F234" s="25" t="str">
        <f t="shared" ca="1" si="41"/>
        <v/>
      </c>
      <c r="G234" s="26" t="str">
        <f t="shared" ca="1" si="42"/>
        <v/>
      </c>
      <c r="H234" s="53" t="str">
        <f t="shared" ca="1" si="37"/>
        <v/>
      </c>
      <c r="I234" s="25" t="str">
        <f t="shared" ca="1" si="43"/>
        <v/>
      </c>
      <c r="J234" s="26"/>
      <c r="K234" s="114"/>
      <c r="L234" s="55" t="str">
        <f ca="1">IF(ISERROR(B234-2),"",C234+D234-F234-G234+I234+J234+SUM($K$14:K234))</f>
        <v/>
      </c>
      <c r="T234" s="52" t="str">
        <f t="shared" ca="1" si="33"/>
        <v/>
      </c>
      <c r="U234" s="97" t="str">
        <f t="shared" ca="1" si="34"/>
        <v/>
      </c>
    </row>
    <row r="235" spans="1:21" x14ac:dyDescent="0.25">
      <c r="A235" s="102" t="str">
        <f t="shared" ca="1" si="38"/>
        <v/>
      </c>
      <c r="B235" s="53" t="str">
        <f t="shared" ca="1" si="35"/>
        <v/>
      </c>
      <c r="C235" s="25" t="str">
        <f t="shared" ca="1" si="39"/>
        <v/>
      </c>
      <c r="D235" s="26" t="str">
        <f t="shared" ca="1" si="40"/>
        <v/>
      </c>
      <c r="E235" s="53" t="str">
        <f t="shared" ca="1" si="36"/>
        <v/>
      </c>
      <c r="F235" s="25" t="str">
        <f t="shared" ca="1" si="41"/>
        <v/>
      </c>
      <c r="G235" s="26" t="str">
        <f t="shared" ca="1" si="42"/>
        <v/>
      </c>
      <c r="H235" s="53" t="str">
        <f t="shared" ca="1" si="37"/>
        <v/>
      </c>
      <c r="I235" s="25" t="str">
        <f t="shared" ca="1" si="43"/>
        <v/>
      </c>
      <c r="J235" s="26"/>
      <c r="K235" s="114"/>
      <c r="L235" s="55" t="str">
        <f ca="1">IF(ISERROR(B235-2),"",C235+D235-F235-G235+I235+J235+SUM($K$14:K235))</f>
        <v/>
      </c>
      <c r="T235" s="52" t="str">
        <f t="shared" ca="1" si="33"/>
        <v/>
      </c>
      <c r="U235" s="97" t="str">
        <f t="shared" ca="1" si="34"/>
        <v/>
      </c>
    </row>
    <row r="236" spans="1:21" x14ac:dyDescent="0.25">
      <c r="A236" s="102" t="str">
        <f t="shared" ca="1" si="38"/>
        <v/>
      </c>
      <c r="B236" s="53" t="str">
        <f t="shared" ca="1" si="35"/>
        <v/>
      </c>
      <c r="C236" s="25" t="str">
        <f t="shared" ca="1" si="39"/>
        <v/>
      </c>
      <c r="D236" s="26" t="str">
        <f t="shared" ca="1" si="40"/>
        <v/>
      </c>
      <c r="E236" s="53" t="str">
        <f t="shared" ca="1" si="36"/>
        <v/>
      </c>
      <c r="F236" s="25" t="str">
        <f t="shared" ca="1" si="41"/>
        <v/>
      </c>
      <c r="G236" s="26" t="str">
        <f t="shared" ca="1" si="42"/>
        <v/>
      </c>
      <c r="H236" s="53" t="str">
        <f t="shared" ca="1" si="37"/>
        <v/>
      </c>
      <c r="I236" s="25" t="str">
        <f t="shared" ca="1" si="43"/>
        <v/>
      </c>
      <c r="J236" s="26"/>
      <c r="K236" s="114"/>
      <c r="L236" s="55" t="str">
        <f ca="1">IF(ISERROR(B236-2),"",C236+D236-F236-G236+I236+J236+SUM($K$14:K236))</f>
        <v/>
      </c>
      <c r="T236" s="52" t="str">
        <f t="shared" ca="1" si="33"/>
        <v/>
      </c>
      <c r="U236" s="97" t="str">
        <f t="shared" ca="1" si="34"/>
        <v/>
      </c>
    </row>
    <row r="237" spans="1:21" x14ac:dyDescent="0.25">
      <c r="A237" s="102" t="str">
        <f t="shared" ca="1" si="38"/>
        <v/>
      </c>
      <c r="B237" s="53" t="str">
        <f t="shared" ca="1" si="35"/>
        <v/>
      </c>
      <c r="C237" s="25" t="str">
        <f t="shared" ca="1" si="39"/>
        <v/>
      </c>
      <c r="D237" s="26" t="str">
        <f t="shared" ca="1" si="40"/>
        <v/>
      </c>
      <c r="E237" s="53" t="str">
        <f t="shared" ca="1" si="36"/>
        <v/>
      </c>
      <c r="F237" s="25" t="str">
        <f t="shared" ca="1" si="41"/>
        <v/>
      </c>
      <c r="G237" s="26" t="str">
        <f t="shared" ca="1" si="42"/>
        <v/>
      </c>
      <c r="H237" s="53" t="str">
        <f t="shared" ca="1" si="37"/>
        <v/>
      </c>
      <c r="I237" s="25" t="str">
        <f t="shared" ca="1" si="43"/>
        <v/>
      </c>
      <c r="J237" s="26"/>
      <c r="K237" s="114"/>
      <c r="L237" s="55" t="str">
        <f ca="1">IF(ISERROR(B237-2),"",C237+D237-F237-G237+I237+J237+SUM($K$14:K237))</f>
        <v/>
      </c>
      <c r="T237" s="52" t="str">
        <f t="shared" ca="1" si="33"/>
        <v/>
      </c>
      <c r="U237" s="97" t="str">
        <f t="shared" ca="1" si="34"/>
        <v/>
      </c>
    </row>
    <row r="238" spans="1:21" x14ac:dyDescent="0.25">
      <c r="A238" s="102" t="str">
        <f t="shared" ca="1" si="38"/>
        <v/>
      </c>
      <c r="B238" s="53" t="str">
        <f t="shared" ca="1" si="35"/>
        <v/>
      </c>
      <c r="C238" s="25" t="str">
        <f t="shared" ca="1" si="39"/>
        <v/>
      </c>
      <c r="D238" s="26" t="str">
        <f t="shared" ca="1" si="40"/>
        <v/>
      </c>
      <c r="E238" s="53" t="str">
        <f t="shared" ca="1" si="36"/>
        <v/>
      </c>
      <c r="F238" s="25" t="str">
        <f t="shared" ca="1" si="41"/>
        <v/>
      </c>
      <c r="G238" s="26" t="str">
        <f t="shared" ca="1" si="42"/>
        <v/>
      </c>
      <c r="H238" s="53" t="str">
        <f t="shared" ca="1" si="37"/>
        <v/>
      </c>
      <c r="I238" s="25" t="str">
        <f t="shared" ca="1" si="43"/>
        <v/>
      </c>
      <c r="J238" s="26"/>
      <c r="K238" s="114"/>
      <c r="L238" s="55" t="str">
        <f ca="1">IF(ISERROR(B238-2),"",C238+D238-F238-G238+I238+J238+SUM($K$14:K238))</f>
        <v/>
      </c>
      <c r="T238" s="52" t="str">
        <f t="shared" ca="1" si="33"/>
        <v/>
      </c>
      <c r="U238" s="97" t="str">
        <f t="shared" ca="1" si="34"/>
        <v/>
      </c>
    </row>
    <row r="239" spans="1:21" x14ac:dyDescent="0.25">
      <c r="A239" s="102" t="str">
        <f t="shared" ca="1" si="38"/>
        <v/>
      </c>
      <c r="B239" s="53" t="str">
        <f t="shared" ca="1" si="35"/>
        <v/>
      </c>
      <c r="C239" s="25" t="str">
        <f t="shared" ca="1" si="39"/>
        <v/>
      </c>
      <c r="D239" s="26" t="str">
        <f t="shared" ca="1" si="40"/>
        <v/>
      </c>
      <c r="E239" s="53" t="str">
        <f t="shared" ca="1" si="36"/>
        <v/>
      </c>
      <c r="F239" s="25" t="str">
        <f t="shared" ca="1" si="41"/>
        <v/>
      </c>
      <c r="G239" s="26" t="str">
        <f t="shared" ca="1" si="42"/>
        <v/>
      </c>
      <c r="H239" s="53" t="str">
        <f t="shared" ca="1" si="37"/>
        <v/>
      </c>
      <c r="I239" s="25" t="str">
        <f t="shared" ca="1" si="43"/>
        <v/>
      </c>
      <c r="J239" s="26"/>
      <c r="K239" s="114"/>
      <c r="L239" s="55" t="str">
        <f ca="1">IF(ISERROR(B239-2),"",C239+D239-F239-G239+I239+J239+SUM($K$14:K239))</f>
        <v/>
      </c>
      <c r="T239" s="52" t="str">
        <f t="shared" ca="1" si="33"/>
        <v/>
      </c>
      <c r="U239" s="97" t="str">
        <f t="shared" ca="1" si="34"/>
        <v/>
      </c>
    </row>
    <row r="240" spans="1:21" x14ac:dyDescent="0.25">
      <c r="A240" s="102" t="str">
        <f t="shared" ca="1" si="38"/>
        <v/>
      </c>
      <c r="B240" s="53" t="str">
        <f t="shared" ca="1" si="35"/>
        <v/>
      </c>
      <c r="C240" s="25" t="str">
        <f t="shared" ca="1" si="39"/>
        <v/>
      </c>
      <c r="D240" s="26" t="str">
        <f t="shared" ca="1" si="40"/>
        <v/>
      </c>
      <c r="E240" s="53" t="str">
        <f t="shared" ca="1" si="36"/>
        <v/>
      </c>
      <c r="F240" s="25" t="str">
        <f t="shared" ca="1" si="41"/>
        <v/>
      </c>
      <c r="G240" s="26" t="str">
        <f t="shared" ca="1" si="42"/>
        <v/>
      </c>
      <c r="H240" s="53" t="str">
        <f t="shared" ca="1" si="37"/>
        <v/>
      </c>
      <c r="I240" s="25" t="str">
        <f t="shared" ca="1" si="43"/>
        <v/>
      </c>
      <c r="J240" s="26"/>
      <c r="K240" s="114"/>
      <c r="L240" s="55" t="str">
        <f ca="1">IF(ISERROR(B240-2),"",C240+D240-F240-G240+I240+J240+SUM($K$14:K240))</f>
        <v/>
      </c>
      <c r="T240" s="52" t="str">
        <f t="shared" ca="1" si="33"/>
        <v/>
      </c>
      <c r="U240" s="97" t="str">
        <f t="shared" ca="1" si="34"/>
        <v/>
      </c>
    </row>
    <row r="241" spans="1:21" x14ac:dyDescent="0.25">
      <c r="A241" s="102" t="str">
        <f t="shared" ca="1" si="38"/>
        <v/>
      </c>
      <c r="B241" s="53" t="str">
        <f t="shared" ca="1" si="35"/>
        <v/>
      </c>
      <c r="C241" s="25" t="str">
        <f t="shared" ca="1" si="39"/>
        <v/>
      </c>
      <c r="D241" s="26" t="str">
        <f t="shared" ca="1" si="40"/>
        <v/>
      </c>
      <c r="E241" s="53" t="str">
        <f t="shared" ca="1" si="36"/>
        <v/>
      </c>
      <c r="F241" s="25" t="str">
        <f t="shared" ca="1" si="41"/>
        <v/>
      </c>
      <c r="G241" s="26" t="str">
        <f t="shared" ca="1" si="42"/>
        <v/>
      </c>
      <c r="H241" s="53" t="str">
        <f t="shared" ca="1" si="37"/>
        <v/>
      </c>
      <c r="I241" s="25" t="str">
        <f t="shared" ca="1" si="43"/>
        <v/>
      </c>
      <c r="J241" s="26"/>
      <c r="K241" s="114"/>
      <c r="L241" s="55" t="str">
        <f ca="1">IF(ISERROR(B241-2),"",C241+D241-F241-G241+I241+J241+SUM($K$14:K241))</f>
        <v/>
      </c>
      <c r="T241" s="52" t="str">
        <f t="shared" ca="1" si="33"/>
        <v/>
      </c>
      <c r="U241" s="97" t="str">
        <f t="shared" ca="1" si="34"/>
        <v/>
      </c>
    </row>
    <row r="242" spans="1:21" x14ac:dyDescent="0.25">
      <c r="A242" s="102" t="str">
        <f t="shared" ca="1" si="38"/>
        <v/>
      </c>
      <c r="B242" s="53" t="str">
        <f t="shared" ca="1" si="35"/>
        <v/>
      </c>
      <c r="C242" s="25" t="str">
        <f t="shared" ca="1" si="39"/>
        <v/>
      </c>
      <c r="D242" s="26" t="str">
        <f t="shared" ca="1" si="40"/>
        <v/>
      </c>
      <c r="E242" s="53" t="str">
        <f t="shared" ca="1" si="36"/>
        <v/>
      </c>
      <c r="F242" s="25" t="str">
        <f t="shared" ca="1" si="41"/>
        <v/>
      </c>
      <c r="G242" s="26" t="str">
        <f t="shared" ca="1" si="42"/>
        <v/>
      </c>
      <c r="H242" s="53" t="str">
        <f t="shared" ca="1" si="37"/>
        <v/>
      </c>
      <c r="I242" s="25" t="str">
        <f t="shared" ca="1" si="43"/>
        <v/>
      </c>
      <c r="J242" s="26"/>
      <c r="K242" s="114"/>
      <c r="L242" s="55" t="str">
        <f ca="1">IF(ISERROR(B242-2),"",C242+D242-F242-G242+I242+J242+SUM($K$14:K242))</f>
        <v/>
      </c>
      <c r="T242" s="52" t="str">
        <f t="shared" ca="1" si="33"/>
        <v/>
      </c>
      <c r="U242" s="97" t="str">
        <f t="shared" ca="1" si="34"/>
        <v/>
      </c>
    </row>
    <row r="243" spans="1:21" x14ac:dyDescent="0.25">
      <c r="A243" s="102" t="str">
        <f t="shared" ca="1" si="38"/>
        <v/>
      </c>
      <c r="B243" s="53" t="str">
        <f t="shared" ca="1" si="35"/>
        <v/>
      </c>
      <c r="C243" s="25" t="str">
        <f t="shared" ca="1" si="39"/>
        <v/>
      </c>
      <c r="D243" s="26" t="str">
        <f t="shared" ca="1" si="40"/>
        <v/>
      </c>
      <c r="E243" s="53" t="str">
        <f t="shared" ca="1" si="36"/>
        <v/>
      </c>
      <c r="F243" s="25" t="str">
        <f t="shared" ca="1" si="41"/>
        <v/>
      </c>
      <c r="G243" s="26" t="str">
        <f t="shared" ca="1" si="42"/>
        <v/>
      </c>
      <c r="H243" s="53" t="str">
        <f t="shared" ca="1" si="37"/>
        <v/>
      </c>
      <c r="I243" s="25" t="str">
        <f t="shared" ca="1" si="43"/>
        <v/>
      </c>
      <c r="J243" s="26"/>
      <c r="K243" s="114"/>
      <c r="L243" s="55" t="str">
        <f ca="1">IF(ISERROR(B243-2),"",C243+D243-F243-G243+I243+J243+SUM($K$14:K243))</f>
        <v/>
      </c>
      <c r="T243" s="52" t="str">
        <f t="shared" ca="1" si="33"/>
        <v/>
      </c>
      <c r="U243" s="97" t="str">
        <f t="shared" ca="1" si="34"/>
        <v/>
      </c>
    </row>
    <row r="244" spans="1:21" x14ac:dyDescent="0.25">
      <c r="A244" s="102" t="str">
        <f t="shared" ca="1" si="38"/>
        <v/>
      </c>
      <c r="B244" s="53" t="str">
        <f t="shared" ca="1" si="35"/>
        <v/>
      </c>
      <c r="C244" s="25" t="str">
        <f t="shared" ca="1" si="39"/>
        <v/>
      </c>
      <c r="D244" s="26" t="str">
        <f t="shared" ca="1" si="40"/>
        <v/>
      </c>
      <c r="E244" s="53" t="str">
        <f t="shared" ca="1" si="36"/>
        <v/>
      </c>
      <c r="F244" s="25" t="str">
        <f t="shared" ca="1" si="41"/>
        <v/>
      </c>
      <c r="G244" s="26" t="str">
        <f t="shared" ca="1" si="42"/>
        <v/>
      </c>
      <c r="H244" s="53" t="str">
        <f t="shared" ca="1" si="37"/>
        <v/>
      </c>
      <c r="I244" s="25" t="str">
        <f t="shared" ca="1" si="43"/>
        <v/>
      </c>
      <c r="J244" s="26"/>
      <c r="K244" s="114"/>
      <c r="L244" s="55" t="str">
        <f ca="1">IF(ISERROR(B244-2),"",C244+D244-F244-G244+I244+J244+SUM($K$14:K244))</f>
        <v/>
      </c>
      <c r="T244" s="52" t="str">
        <f t="shared" ca="1" si="33"/>
        <v/>
      </c>
      <c r="U244" s="97" t="str">
        <f t="shared" ca="1" si="34"/>
        <v/>
      </c>
    </row>
    <row r="245" spans="1:21" x14ac:dyDescent="0.25">
      <c r="A245" s="102" t="str">
        <f t="shared" ca="1" si="38"/>
        <v/>
      </c>
      <c r="B245" s="53" t="str">
        <f t="shared" ca="1" si="35"/>
        <v/>
      </c>
      <c r="C245" s="25" t="str">
        <f t="shared" ca="1" si="39"/>
        <v/>
      </c>
      <c r="D245" s="26" t="str">
        <f t="shared" ca="1" si="40"/>
        <v/>
      </c>
      <c r="E245" s="53" t="str">
        <f t="shared" ca="1" si="36"/>
        <v/>
      </c>
      <c r="F245" s="25" t="str">
        <f t="shared" ca="1" si="41"/>
        <v/>
      </c>
      <c r="G245" s="26" t="str">
        <f t="shared" ca="1" si="42"/>
        <v/>
      </c>
      <c r="H245" s="53" t="str">
        <f t="shared" ca="1" si="37"/>
        <v/>
      </c>
      <c r="I245" s="25" t="str">
        <f t="shared" ca="1" si="43"/>
        <v/>
      </c>
      <c r="J245" s="26"/>
      <c r="K245" s="114"/>
      <c r="L245" s="55" t="str">
        <f ca="1">IF(ISERROR(B245-2),"",C245+D245-F245-G245+I245+J245+SUM($K$14:K245))</f>
        <v/>
      </c>
      <c r="T245" s="52" t="str">
        <f t="shared" ca="1" si="33"/>
        <v/>
      </c>
      <c r="U245" s="97" t="str">
        <f t="shared" ca="1" si="34"/>
        <v/>
      </c>
    </row>
    <row r="246" spans="1:21" x14ac:dyDescent="0.25">
      <c r="A246" s="102" t="str">
        <f t="shared" ca="1" si="38"/>
        <v/>
      </c>
      <c r="B246" s="53" t="str">
        <f t="shared" ca="1" si="35"/>
        <v/>
      </c>
      <c r="C246" s="25" t="str">
        <f t="shared" ca="1" si="39"/>
        <v/>
      </c>
      <c r="D246" s="26" t="str">
        <f t="shared" ca="1" si="40"/>
        <v/>
      </c>
      <c r="E246" s="53" t="str">
        <f t="shared" ca="1" si="36"/>
        <v/>
      </c>
      <c r="F246" s="25" t="str">
        <f t="shared" ca="1" si="41"/>
        <v/>
      </c>
      <c r="G246" s="26" t="str">
        <f t="shared" ca="1" si="42"/>
        <v/>
      </c>
      <c r="H246" s="53" t="str">
        <f t="shared" ca="1" si="37"/>
        <v/>
      </c>
      <c r="I246" s="25" t="str">
        <f t="shared" ca="1" si="43"/>
        <v/>
      </c>
      <c r="J246" s="26"/>
      <c r="K246" s="114"/>
      <c r="L246" s="55" t="str">
        <f ca="1">IF(ISERROR(B246-2),"",C246+D246-F246-G246+I246+J246+SUM($K$14:K246))</f>
        <v/>
      </c>
      <c r="T246" s="52" t="str">
        <f t="shared" ca="1" si="33"/>
        <v/>
      </c>
      <c r="U246" s="97" t="str">
        <f t="shared" ca="1" si="34"/>
        <v/>
      </c>
    </row>
    <row r="247" spans="1:21" x14ac:dyDescent="0.25">
      <c r="A247" s="102" t="str">
        <f t="shared" ca="1" si="38"/>
        <v/>
      </c>
      <c r="B247" s="53" t="str">
        <f t="shared" ca="1" si="35"/>
        <v/>
      </c>
      <c r="C247" s="25" t="str">
        <f t="shared" ca="1" si="39"/>
        <v/>
      </c>
      <c r="D247" s="26" t="str">
        <f t="shared" ca="1" si="40"/>
        <v/>
      </c>
      <c r="E247" s="53" t="str">
        <f t="shared" ca="1" si="36"/>
        <v/>
      </c>
      <c r="F247" s="25" t="str">
        <f t="shared" ca="1" si="41"/>
        <v/>
      </c>
      <c r="G247" s="26" t="str">
        <f t="shared" ca="1" si="42"/>
        <v/>
      </c>
      <c r="H247" s="53" t="str">
        <f t="shared" ca="1" si="37"/>
        <v/>
      </c>
      <c r="I247" s="25" t="str">
        <f t="shared" ca="1" si="43"/>
        <v/>
      </c>
      <c r="J247" s="26"/>
      <c r="K247" s="114"/>
      <c r="L247" s="55" t="str">
        <f ca="1">IF(ISERROR(B247-2),"",C247+D247-F247-G247+I247+J247+SUM($K$14:K247))</f>
        <v/>
      </c>
      <c r="T247" s="52" t="str">
        <f t="shared" ca="1" si="33"/>
        <v/>
      </c>
      <c r="U247" s="97" t="str">
        <f t="shared" ca="1" si="34"/>
        <v/>
      </c>
    </row>
    <row r="248" spans="1:21" x14ac:dyDescent="0.25">
      <c r="A248" s="102" t="str">
        <f t="shared" ca="1" si="38"/>
        <v/>
      </c>
      <c r="B248" s="53" t="str">
        <f t="shared" ca="1" si="35"/>
        <v/>
      </c>
      <c r="C248" s="25" t="str">
        <f t="shared" ca="1" si="39"/>
        <v/>
      </c>
      <c r="D248" s="26" t="str">
        <f t="shared" ca="1" si="40"/>
        <v/>
      </c>
      <c r="E248" s="53" t="str">
        <f t="shared" ca="1" si="36"/>
        <v/>
      </c>
      <c r="F248" s="25" t="str">
        <f t="shared" ca="1" si="41"/>
        <v/>
      </c>
      <c r="G248" s="26" t="str">
        <f t="shared" ca="1" si="42"/>
        <v/>
      </c>
      <c r="H248" s="53" t="str">
        <f t="shared" ca="1" si="37"/>
        <v/>
      </c>
      <c r="I248" s="25" t="str">
        <f t="shared" ca="1" si="43"/>
        <v/>
      </c>
      <c r="J248" s="26"/>
      <c r="K248" s="114"/>
      <c r="L248" s="55" t="str">
        <f ca="1">IF(ISERROR(B248-2),"",C248+D248-F248-G248+I248+J248+SUM($K$14:K248))</f>
        <v/>
      </c>
      <c r="T248" s="52" t="str">
        <f t="shared" ca="1" si="33"/>
        <v/>
      </c>
      <c r="U248" s="97" t="str">
        <f t="shared" ca="1" si="34"/>
        <v/>
      </c>
    </row>
    <row r="249" spans="1:21" x14ac:dyDescent="0.25">
      <c r="A249" s="102" t="str">
        <f t="shared" ca="1" si="38"/>
        <v/>
      </c>
      <c r="B249" s="53" t="str">
        <f t="shared" ca="1" si="35"/>
        <v/>
      </c>
      <c r="C249" s="25" t="str">
        <f t="shared" ca="1" si="39"/>
        <v/>
      </c>
      <c r="D249" s="26" t="str">
        <f t="shared" ca="1" si="40"/>
        <v/>
      </c>
      <c r="E249" s="53" t="str">
        <f t="shared" ca="1" si="36"/>
        <v/>
      </c>
      <c r="F249" s="25" t="str">
        <f t="shared" ca="1" si="41"/>
        <v/>
      </c>
      <c r="G249" s="26" t="str">
        <f t="shared" ca="1" si="42"/>
        <v/>
      </c>
      <c r="H249" s="53" t="str">
        <f t="shared" ca="1" si="37"/>
        <v/>
      </c>
      <c r="I249" s="25" t="str">
        <f t="shared" ca="1" si="43"/>
        <v/>
      </c>
      <c r="J249" s="26"/>
      <c r="K249" s="114"/>
      <c r="L249" s="55" t="str">
        <f ca="1">IF(ISERROR(B249-2),"",C249+D249-F249-G249+I249+J249+SUM($K$14:K249))</f>
        <v/>
      </c>
      <c r="T249" s="52" t="str">
        <f t="shared" ca="1" si="33"/>
        <v/>
      </c>
      <c r="U249" s="97" t="str">
        <f t="shared" ca="1" si="34"/>
        <v/>
      </c>
    </row>
    <row r="250" spans="1:21" x14ac:dyDescent="0.25">
      <c r="A250" s="102" t="str">
        <f t="shared" ca="1" si="38"/>
        <v/>
      </c>
      <c r="B250" s="53" t="str">
        <f t="shared" ca="1" si="35"/>
        <v/>
      </c>
      <c r="C250" s="25" t="str">
        <f t="shared" ca="1" si="39"/>
        <v/>
      </c>
      <c r="D250" s="26" t="str">
        <f t="shared" ca="1" si="40"/>
        <v/>
      </c>
      <c r="E250" s="53" t="str">
        <f t="shared" ca="1" si="36"/>
        <v/>
      </c>
      <c r="F250" s="25" t="str">
        <f t="shared" ca="1" si="41"/>
        <v/>
      </c>
      <c r="G250" s="26" t="str">
        <f t="shared" ca="1" si="42"/>
        <v/>
      </c>
      <c r="H250" s="53" t="str">
        <f t="shared" ca="1" si="37"/>
        <v/>
      </c>
      <c r="I250" s="25" t="str">
        <f t="shared" ca="1" si="43"/>
        <v/>
      </c>
      <c r="J250" s="26"/>
      <c r="K250" s="114"/>
      <c r="L250" s="55" t="str">
        <f ca="1">IF(ISERROR(B250-2),"",C250+D250-F250-G250+I250+J250+SUM($K$14:K250))</f>
        <v/>
      </c>
      <c r="T250" s="52" t="str">
        <f t="shared" ca="1" si="33"/>
        <v/>
      </c>
      <c r="U250" s="97" t="str">
        <f t="shared" ca="1" si="34"/>
        <v/>
      </c>
    </row>
    <row r="251" spans="1:21" x14ac:dyDescent="0.25">
      <c r="A251" s="102" t="str">
        <f t="shared" ca="1" si="38"/>
        <v/>
      </c>
      <c r="B251" s="53" t="str">
        <f t="shared" ca="1" si="35"/>
        <v/>
      </c>
      <c r="C251" s="25" t="str">
        <f t="shared" ca="1" si="39"/>
        <v/>
      </c>
      <c r="D251" s="26" t="str">
        <f t="shared" ca="1" si="40"/>
        <v/>
      </c>
      <c r="E251" s="53" t="str">
        <f t="shared" ca="1" si="36"/>
        <v/>
      </c>
      <c r="F251" s="25" t="str">
        <f t="shared" ca="1" si="41"/>
        <v/>
      </c>
      <c r="G251" s="26" t="str">
        <f t="shared" ca="1" si="42"/>
        <v/>
      </c>
      <c r="H251" s="53" t="str">
        <f t="shared" ca="1" si="37"/>
        <v/>
      </c>
      <c r="I251" s="25" t="str">
        <f t="shared" ca="1" si="43"/>
        <v/>
      </c>
      <c r="J251" s="26"/>
      <c r="K251" s="114"/>
      <c r="L251" s="55" t="str">
        <f ca="1">IF(ISERROR(B251-2),"",C251+D251-F251-G251+I251+J251+SUM($K$14:K251))</f>
        <v/>
      </c>
      <c r="T251" s="52" t="str">
        <f t="shared" ca="1" si="33"/>
        <v/>
      </c>
      <c r="U251" s="97" t="str">
        <f t="shared" ca="1" si="34"/>
        <v/>
      </c>
    </row>
    <row r="252" spans="1:21" x14ac:dyDescent="0.25">
      <c r="A252" s="102" t="str">
        <f t="shared" ca="1" si="38"/>
        <v/>
      </c>
      <c r="B252" s="53" t="str">
        <f t="shared" ca="1" si="35"/>
        <v/>
      </c>
      <c r="C252" s="25" t="str">
        <f t="shared" ca="1" si="39"/>
        <v/>
      </c>
      <c r="D252" s="26" t="str">
        <f t="shared" ca="1" si="40"/>
        <v/>
      </c>
      <c r="E252" s="53" t="str">
        <f t="shared" ca="1" si="36"/>
        <v/>
      </c>
      <c r="F252" s="25" t="str">
        <f t="shared" ca="1" si="41"/>
        <v/>
      </c>
      <c r="G252" s="26" t="str">
        <f t="shared" ca="1" si="42"/>
        <v/>
      </c>
      <c r="H252" s="53" t="str">
        <f t="shared" ca="1" si="37"/>
        <v/>
      </c>
      <c r="I252" s="25" t="str">
        <f t="shared" ca="1" si="43"/>
        <v/>
      </c>
      <c r="J252" s="26"/>
      <c r="K252" s="114"/>
      <c r="L252" s="55" t="str">
        <f ca="1">IF(ISERROR(B252-2),"",C252+D252-F252-G252+I252+J252+SUM($K$14:K252))</f>
        <v/>
      </c>
      <c r="T252" s="52" t="str">
        <f t="shared" ca="1" si="33"/>
        <v/>
      </c>
      <c r="U252" s="97" t="str">
        <f t="shared" ca="1" si="34"/>
        <v/>
      </c>
    </row>
    <row r="253" spans="1:21" x14ac:dyDescent="0.25">
      <c r="A253" s="102"/>
      <c r="B253" s="53"/>
      <c r="C253" s="25"/>
      <c r="D253" s="26"/>
      <c r="E253" s="53"/>
      <c r="F253" s="25"/>
      <c r="G253" s="26"/>
      <c r="H253" s="53"/>
      <c r="I253" s="25"/>
      <c r="J253" s="26"/>
      <c r="K253" s="114"/>
      <c r="L253" s="55"/>
      <c r="T253" s="52" t="str">
        <f t="shared" ca="1" si="33"/>
        <v/>
      </c>
      <c r="U253" s="97" t="str">
        <f t="shared" ca="1" si="34"/>
        <v/>
      </c>
    </row>
    <row r="254" spans="1:21" x14ac:dyDescent="0.25">
      <c r="A254" s="102"/>
      <c r="B254" s="53"/>
      <c r="C254" s="25"/>
      <c r="D254" s="26"/>
      <c r="E254" s="53"/>
      <c r="F254" s="25"/>
      <c r="G254" s="26"/>
      <c r="H254" s="53"/>
      <c r="I254" s="25"/>
      <c r="J254" s="26"/>
      <c r="K254" s="114"/>
      <c r="L254" s="55"/>
      <c r="T254" s="52" t="str">
        <f t="shared" ca="1" si="33"/>
        <v/>
      </c>
      <c r="U254" s="97" t="str">
        <f t="shared" ca="1" si="34"/>
        <v/>
      </c>
    </row>
    <row r="255" spans="1:21" x14ac:dyDescent="0.25">
      <c r="A255" s="102"/>
      <c r="B255" s="53"/>
      <c r="C255" s="25"/>
      <c r="D255" s="26"/>
      <c r="E255" s="53"/>
      <c r="F255" s="25"/>
      <c r="G255" s="26"/>
      <c r="H255" s="53"/>
      <c r="I255" s="25"/>
      <c r="J255" s="26"/>
      <c r="K255" s="114"/>
      <c r="L255" s="55"/>
      <c r="T255" s="52" t="str">
        <f t="shared" ca="1" si="33"/>
        <v/>
      </c>
      <c r="U255" s="97" t="str">
        <f t="shared" ca="1" si="34"/>
        <v/>
      </c>
    </row>
    <row r="256" spans="1:21" x14ac:dyDescent="0.25">
      <c r="A256" s="102"/>
      <c r="B256" s="53"/>
      <c r="C256" s="25"/>
      <c r="D256" s="26"/>
      <c r="E256" s="53"/>
      <c r="F256" s="25"/>
      <c r="G256" s="26"/>
      <c r="H256" s="53"/>
      <c r="I256" s="25"/>
      <c r="J256" s="26"/>
      <c r="K256" s="114"/>
      <c r="L256" s="55"/>
      <c r="T256" s="52" t="str">
        <f t="shared" ca="1" si="33"/>
        <v/>
      </c>
      <c r="U256" s="97" t="str">
        <f t="shared" ca="1" si="34"/>
        <v/>
      </c>
    </row>
    <row r="257" spans="1:21" x14ac:dyDescent="0.25">
      <c r="A257" s="102"/>
      <c r="B257" s="53"/>
      <c r="C257" s="25"/>
      <c r="D257" s="26"/>
      <c r="E257" s="53"/>
      <c r="F257" s="25"/>
      <c r="G257" s="26"/>
      <c r="H257" s="53"/>
      <c r="I257" s="25"/>
      <c r="J257" s="26"/>
      <c r="K257" s="114"/>
      <c r="L257" s="55"/>
      <c r="T257" s="52" t="str">
        <f t="shared" ca="1" si="33"/>
        <v/>
      </c>
      <c r="U257" s="97" t="str">
        <f t="shared" ca="1" si="34"/>
        <v/>
      </c>
    </row>
    <row r="258" spans="1:21" x14ac:dyDescent="0.25">
      <c r="A258" s="102"/>
      <c r="B258" s="53"/>
      <c r="C258" s="25"/>
      <c r="D258" s="26"/>
      <c r="E258" s="53"/>
      <c r="F258" s="25"/>
      <c r="G258" s="26"/>
      <c r="H258" s="53"/>
      <c r="I258" s="25"/>
      <c r="J258" s="26"/>
      <c r="K258" s="114"/>
      <c r="L258" s="55"/>
      <c r="T258" s="52" t="str">
        <f t="shared" ca="1" si="33"/>
        <v/>
      </c>
      <c r="U258" s="97" t="str">
        <f t="shared" ca="1" si="34"/>
        <v/>
      </c>
    </row>
    <row r="259" spans="1:21" x14ac:dyDescent="0.25">
      <c r="A259" s="102"/>
      <c r="B259" s="53"/>
      <c r="C259" s="25"/>
      <c r="D259" s="26"/>
      <c r="E259" s="53"/>
      <c r="F259" s="25"/>
      <c r="G259" s="26"/>
      <c r="H259" s="53"/>
      <c r="I259" s="25"/>
      <c r="J259" s="26"/>
      <c r="K259" s="114"/>
      <c r="L259" s="55"/>
      <c r="T259" s="52" t="str">
        <f t="shared" ref="T259:T322" ca="1" si="44">IF(COUNTIF(P:P,N259)*COUNTIF(R:R,N259),N259,"")</f>
        <v/>
      </c>
      <c r="U259" s="97" t="str">
        <f t="shared" ca="1" si="34"/>
        <v/>
      </c>
    </row>
    <row r="260" spans="1:21" x14ac:dyDescent="0.25">
      <c r="A260" s="102"/>
      <c r="B260" s="53"/>
      <c r="C260" s="25"/>
      <c r="D260" s="26"/>
      <c r="E260" s="53"/>
      <c r="F260" s="25"/>
      <c r="G260" s="26"/>
      <c r="H260" s="53"/>
      <c r="I260" s="25"/>
      <c r="J260" s="26"/>
      <c r="K260" s="114"/>
      <c r="L260" s="55"/>
      <c r="T260" s="52" t="str">
        <f t="shared" ca="1" si="44"/>
        <v/>
      </c>
      <c r="U260" s="97" t="str">
        <f t="shared" ref="U260:U323" ca="1" si="45">IF(T260&gt;=$A$14,T260,"")</f>
        <v/>
      </c>
    </row>
    <row r="261" spans="1:21" x14ac:dyDescent="0.25">
      <c r="A261" s="102"/>
      <c r="B261" s="53"/>
      <c r="C261" s="25"/>
      <c r="D261" s="26"/>
      <c r="E261" s="53"/>
      <c r="F261" s="25"/>
      <c r="G261" s="26"/>
      <c r="H261" s="53"/>
      <c r="I261" s="25"/>
      <c r="J261" s="26"/>
      <c r="K261" s="114"/>
      <c r="L261" s="55"/>
      <c r="T261" s="52" t="str">
        <f t="shared" ca="1" si="44"/>
        <v/>
      </c>
      <c r="U261" s="97" t="str">
        <f t="shared" ca="1" si="45"/>
        <v/>
      </c>
    </row>
    <row r="262" spans="1:21" x14ac:dyDescent="0.25">
      <c r="A262" s="102"/>
      <c r="B262" s="53"/>
      <c r="C262" s="25"/>
      <c r="D262" s="26"/>
      <c r="E262" s="53"/>
      <c r="F262" s="25"/>
      <c r="G262" s="26"/>
      <c r="H262" s="53"/>
      <c r="I262" s="25"/>
      <c r="J262" s="26"/>
      <c r="K262" s="114"/>
      <c r="L262" s="55"/>
      <c r="T262" s="52" t="str">
        <f t="shared" ca="1" si="44"/>
        <v/>
      </c>
      <c r="U262" s="97" t="str">
        <f t="shared" ca="1" si="45"/>
        <v/>
      </c>
    </row>
    <row r="263" spans="1:21" x14ac:dyDescent="0.25">
      <c r="A263" s="102"/>
      <c r="B263" s="53"/>
      <c r="C263" s="25"/>
      <c r="D263" s="26"/>
      <c r="E263" s="53"/>
      <c r="F263" s="25"/>
      <c r="G263" s="26"/>
      <c r="H263" s="53"/>
      <c r="I263" s="25"/>
      <c r="J263" s="26"/>
      <c r="K263" s="114"/>
      <c r="L263" s="55"/>
      <c r="T263" s="52" t="str">
        <f t="shared" ca="1" si="44"/>
        <v/>
      </c>
      <c r="U263" s="97" t="str">
        <f t="shared" ca="1" si="45"/>
        <v/>
      </c>
    </row>
    <row r="264" spans="1:21" x14ac:dyDescent="0.25">
      <c r="A264" s="102"/>
      <c r="B264" s="53"/>
      <c r="C264" s="25"/>
      <c r="D264" s="26"/>
      <c r="E264" s="53"/>
      <c r="F264" s="25"/>
      <c r="G264" s="26"/>
      <c r="H264" s="53"/>
      <c r="I264" s="25"/>
      <c r="J264" s="26"/>
      <c r="K264" s="114"/>
      <c r="L264" s="55"/>
      <c r="T264" s="52" t="str">
        <f t="shared" ca="1" si="44"/>
        <v/>
      </c>
      <c r="U264" s="97" t="str">
        <f t="shared" ca="1" si="45"/>
        <v/>
      </c>
    </row>
    <row r="265" spans="1:21" x14ac:dyDescent="0.25">
      <c r="A265" s="102"/>
      <c r="B265" s="53"/>
      <c r="C265" s="25"/>
      <c r="D265" s="26"/>
      <c r="E265" s="53"/>
      <c r="F265" s="25"/>
      <c r="G265" s="26"/>
      <c r="H265" s="53"/>
      <c r="I265" s="25"/>
      <c r="J265" s="26"/>
      <c r="K265" s="114"/>
      <c r="L265" s="55"/>
      <c r="T265" s="52" t="str">
        <f t="shared" ca="1" si="44"/>
        <v/>
      </c>
      <c r="U265" s="97" t="str">
        <f t="shared" ca="1" si="45"/>
        <v/>
      </c>
    </row>
    <row r="266" spans="1:21" x14ac:dyDescent="0.25">
      <c r="A266" s="102"/>
      <c r="B266" s="53"/>
      <c r="C266" s="25"/>
      <c r="D266" s="26"/>
      <c r="E266" s="53"/>
      <c r="F266" s="25"/>
      <c r="G266" s="26"/>
      <c r="H266" s="53"/>
      <c r="I266" s="25"/>
      <c r="J266" s="26"/>
      <c r="K266" s="114"/>
      <c r="L266" s="55"/>
      <c r="T266" s="52" t="str">
        <f t="shared" ca="1" si="44"/>
        <v/>
      </c>
      <c r="U266" s="97" t="str">
        <f t="shared" ca="1" si="45"/>
        <v/>
      </c>
    </row>
    <row r="267" spans="1:21" x14ac:dyDescent="0.25">
      <c r="A267" s="102"/>
      <c r="B267" s="53"/>
      <c r="C267" s="25"/>
      <c r="D267" s="26"/>
      <c r="E267" s="53"/>
      <c r="F267" s="25"/>
      <c r="G267" s="26"/>
      <c r="H267" s="53"/>
      <c r="I267" s="25"/>
      <c r="J267" s="26"/>
      <c r="K267" s="114"/>
      <c r="L267" s="55"/>
      <c r="T267" s="52" t="str">
        <f t="shared" ca="1" si="44"/>
        <v/>
      </c>
      <c r="U267" s="97" t="str">
        <f t="shared" ca="1" si="45"/>
        <v/>
      </c>
    </row>
    <row r="268" spans="1:21" x14ac:dyDescent="0.25">
      <c r="A268" s="102"/>
      <c r="B268" s="53"/>
      <c r="C268" s="25"/>
      <c r="D268" s="26"/>
      <c r="E268" s="53"/>
      <c r="F268" s="25"/>
      <c r="G268" s="26"/>
      <c r="H268" s="53"/>
      <c r="I268" s="25"/>
      <c r="J268" s="26"/>
      <c r="K268" s="114"/>
      <c r="L268" s="55"/>
      <c r="T268" s="52" t="str">
        <f t="shared" ca="1" si="44"/>
        <v/>
      </c>
      <c r="U268" s="97" t="str">
        <f t="shared" ca="1" si="45"/>
        <v/>
      </c>
    </row>
    <row r="269" spans="1:21" x14ac:dyDescent="0.25">
      <c r="A269" s="102"/>
      <c r="B269" s="53"/>
      <c r="C269" s="25"/>
      <c r="D269" s="26"/>
      <c r="E269" s="53"/>
      <c r="F269" s="25"/>
      <c r="G269" s="26"/>
      <c r="H269" s="53"/>
      <c r="I269" s="25"/>
      <c r="J269" s="26"/>
      <c r="K269" s="114"/>
      <c r="L269" s="55"/>
      <c r="T269" s="52" t="str">
        <f t="shared" ca="1" si="44"/>
        <v/>
      </c>
      <c r="U269" s="97" t="str">
        <f t="shared" ca="1" si="45"/>
        <v/>
      </c>
    </row>
    <row r="270" spans="1:21" x14ac:dyDescent="0.25">
      <c r="A270" s="102"/>
      <c r="B270" s="53"/>
      <c r="C270" s="25"/>
      <c r="D270" s="26"/>
      <c r="E270" s="53"/>
      <c r="F270" s="25"/>
      <c r="G270" s="26"/>
      <c r="H270" s="53"/>
      <c r="I270" s="25"/>
      <c r="J270" s="26"/>
      <c r="K270" s="114"/>
      <c r="L270" s="55"/>
      <c r="T270" s="52" t="str">
        <f t="shared" ca="1" si="44"/>
        <v/>
      </c>
      <c r="U270" s="97" t="str">
        <f t="shared" ca="1" si="45"/>
        <v/>
      </c>
    </row>
    <row r="271" spans="1:21" x14ac:dyDescent="0.25">
      <c r="A271" s="102"/>
      <c r="B271" s="53"/>
      <c r="C271" s="25"/>
      <c r="D271" s="26"/>
      <c r="E271" s="53"/>
      <c r="F271" s="25"/>
      <c r="G271" s="26"/>
      <c r="H271" s="53"/>
      <c r="I271" s="25"/>
      <c r="J271" s="26"/>
      <c r="K271" s="114"/>
      <c r="L271" s="55"/>
      <c r="T271" s="52" t="str">
        <f t="shared" ca="1" si="44"/>
        <v/>
      </c>
      <c r="U271" s="97" t="str">
        <f t="shared" ca="1" si="45"/>
        <v/>
      </c>
    </row>
    <row r="272" spans="1:21" x14ac:dyDescent="0.25">
      <c r="A272" s="102"/>
      <c r="B272" s="53"/>
      <c r="C272" s="25"/>
      <c r="D272" s="26"/>
      <c r="E272" s="53"/>
      <c r="F272" s="25"/>
      <c r="G272" s="26"/>
      <c r="H272" s="53"/>
      <c r="I272" s="25"/>
      <c r="J272" s="26"/>
      <c r="K272" s="114"/>
      <c r="L272" s="55"/>
      <c r="T272" s="52" t="str">
        <f t="shared" ca="1" si="44"/>
        <v/>
      </c>
      <c r="U272" s="97" t="str">
        <f t="shared" ca="1" si="45"/>
        <v/>
      </c>
    </row>
    <row r="273" spans="1:21" x14ac:dyDescent="0.25">
      <c r="A273" s="102"/>
      <c r="B273" s="53"/>
      <c r="C273" s="25"/>
      <c r="D273" s="26"/>
      <c r="E273" s="53"/>
      <c r="F273" s="25"/>
      <c r="G273" s="26"/>
      <c r="H273" s="53"/>
      <c r="I273" s="25"/>
      <c r="J273" s="26"/>
      <c r="K273" s="114"/>
      <c r="L273" s="55"/>
      <c r="T273" s="52" t="str">
        <f t="shared" ca="1" si="44"/>
        <v/>
      </c>
      <c r="U273" s="97" t="str">
        <f t="shared" ca="1" si="45"/>
        <v/>
      </c>
    </row>
    <row r="274" spans="1:21" x14ac:dyDescent="0.25">
      <c r="A274" s="102"/>
      <c r="B274" s="53"/>
      <c r="C274" s="25"/>
      <c r="D274" s="26"/>
      <c r="E274" s="53"/>
      <c r="F274" s="25"/>
      <c r="G274" s="26"/>
      <c r="H274" s="53"/>
      <c r="I274" s="25"/>
      <c r="J274" s="26"/>
      <c r="K274" s="114"/>
      <c r="L274" s="55"/>
      <c r="T274" s="52" t="str">
        <f t="shared" ca="1" si="44"/>
        <v/>
      </c>
      <c r="U274" s="97" t="str">
        <f t="shared" ca="1" si="45"/>
        <v/>
      </c>
    </row>
    <row r="275" spans="1:21" x14ac:dyDescent="0.25">
      <c r="A275" s="102"/>
      <c r="B275" s="53"/>
      <c r="C275" s="25"/>
      <c r="D275" s="26"/>
      <c r="E275" s="53"/>
      <c r="F275" s="25"/>
      <c r="G275" s="26"/>
      <c r="H275" s="53"/>
      <c r="I275" s="25"/>
      <c r="J275" s="26"/>
      <c r="K275" s="114"/>
      <c r="L275" s="55"/>
      <c r="T275" s="52" t="str">
        <f t="shared" ca="1" si="44"/>
        <v/>
      </c>
      <c r="U275" s="97" t="str">
        <f t="shared" ca="1" si="45"/>
        <v/>
      </c>
    </row>
    <row r="276" spans="1:21" x14ac:dyDescent="0.25">
      <c r="A276" s="102"/>
      <c r="B276" s="53"/>
      <c r="C276" s="25"/>
      <c r="D276" s="26"/>
      <c r="E276" s="53"/>
      <c r="F276" s="25"/>
      <c r="G276" s="26"/>
      <c r="H276" s="53"/>
      <c r="I276" s="25"/>
      <c r="J276" s="26"/>
      <c r="K276" s="114"/>
      <c r="L276" s="55"/>
      <c r="T276" s="52" t="str">
        <f t="shared" ca="1" si="44"/>
        <v/>
      </c>
      <c r="U276" s="97" t="str">
        <f t="shared" ca="1" si="45"/>
        <v/>
      </c>
    </row>
    <row r="277" spans="1:21" x14ac:dyDescent="0.25">
      <c r="A277" s="102"/>
      <c r="B277" s="53"/>
      <c r="C277" s="25"/>
      <c r="D277" s="26"/>
      <c r="E277" s="53"/>
      <c r="F277" s="25"/>
      <c r="G277" s="26"/>
      <c r="H277" s="53"/>
      <c r="I277" s="25"/>
      <c r="J277" s="26"/>
      <c r="K277" s="114"/>
      <c r="L277" s="55"/>
      <c r="T277" s="52" t="str">
        <f t="shared" ca="1" si="44"/>
        <v/>
      </c>
      <c r="U277" s="97" t="str">
        <f t="shared" ca="1" si="45"/>
        <v/>
      </c>
    </row>
    <row r="278" spans="1:21" x14ac:dyDescent="0.25">
      <c r="A278" s="102"/>
      <c r="B278" s="53"/>
      <c r="C278" s="25"/>
      <c r="D278" s="26"/>
      <c r="E278" s="53"/>
      <c r="F278" s="25"/>
      <c r="G278" s="26"/>
      <c r="H278" s="53"/>
      <c r="I278" s="25"/>
      <c r="J278" s="26"/>
      <c r="K278" s="114"/>
      <c r="L278" s="55"/>
      <c r="T278" s="52" t="str">
        <f t="shared" ca="1" si="44"/>
        <v/>
      </c>
      <c r="U278" s="97" t="str">
        <f t="shared" ca="1" si="45"/>
        <v/>
      </c>
    </row>
    <row r="279" spans="1:21" x14ac:dyDescent="0.25">
      <c r="A279" s="102"/>
      <c r="B279" s="53"/>
      <c r="C279" s="25"/>
      <c r="D279" s="26"/>
      <c r="E279" s="53"/>
      <c r="F279" s="25"/>
      <c r="G279" s="26"/>
      <c r="H279" s="53"/>
      <c r="I279" s="25"/>
      <c r="J279" s="26"/>
      <c r="K279" s="114"/>
      <c r="L279" s="55"/>
      <c r="T279" s="52" t="str">
        <f t="shared" ca="1" si="44"/>
        <v/>
      </c>
      <c r="U279" s="97" t="str">
        <f t="shared" ca="1" si="45"/>
        <v/>
      </c>
    </row>
    <row r="280" spans="1:21" x14ac:dyDescent="0.25">
      <c r="A280" s="102"/>
      <c r="B280" s="53"/>
      <c r="C280" s="25"/>
      <c r="D280" s="26"/>
      <c r="E280" s="53"/>
      <c r="F280" s="25"/>
      <c r="G280" s="26"/>
      <c r="H280" s="53"/>
      <c r="I280" s="25"/>
      <c r="J280" s="26"/>
      <c r="K280" s="114"/>
      <c r="L280" s="55"/>
      <c r="T280" s="52" t="str">
        <f t="shared" ca="1" si="44"/>
        <v/>
      </c>
      <c r="U280" s="97" t="str">
        <f t="shared" ca="1" si="45"/>
        <v/>
      </c>
    </row>
    <row r="281" spans="1:21" x14ac:dyDescent="0.25">
      <c r="A281" s="102"/>
      <c r="B281" s="53"/>
      <c r="C281" s="25"/>
      <c r="D281" s="26"/>
      <c r="E281" s="53"/>
      <c r="F281" s="25"/>
      <c r="G281" s="26"/>
      <c r="H281" s="53"/>
      <c r="I281" s="25"/>
      <c r="J281" s="26"/>
      <c r="K281" s="114"/>
      <c r="L281" s="55"/>
      <c r="T281" s="52" t="str">
        <f t="shared" ca="1" si="44"/>
        <v/>
      </c>
      <c r="U281" s="97" t="str">
        <f t="shared" ca="1" si="45"/>
        <v/>
      </c>
    </row>
    <row r="282" spans="1:21" x14ac:dyDescent="0.25">
      <c r="A282" s="102"/>
      <c r="B282" s="53"/>
      <c r="C282" s="25"/>
      <c r="D282" s="26"/>
      <c r="E282" s="53"/>
      <c r="F282" s="25"/>
      <c r="G282" s="26"/>
      <c r="H282" s="53"/>
      <c r="I282" s="25"/>
      <c r="J282" s="26"/>
      <c r="K282" s="114"/>
      <c r="L282" s="55"/>
      <c r="T282" s="52" t="str">
        <f t="shared" ca="1" si="44"/>
        <v/>
      </c>
      <c r="U282" s="97" t="str">
        <f t="shared" ca="1" si="45"/>
        <v/>
      </c>
    </row>
    <row r="283" spans="1:21" x14ac:dyDescent="0.25">
      <c r="A283" s="102"/>
      <c r="B283" s="53"/>
      <c r="C283" s="25"/>
      <c r="D283" s="26"/>
      <c r="E283" s="53"/>
      <c r="F283" s="25"/>
      <c r="G283" s="26"/>
      <c r="H283" s="53"/>
      <c r="I283" s="25"/>
      <c r="J283" s="26"/>
      <c r="K283" s="114"/>
      <c r="L283" s="55"/>
      <c r="T283" s="52" t="str">
        <f t="shared" ca="1" si="44"/>
        <v/>
      </c>
      <c r="U283" s="97" t="str">
        <f t="shared" ca="1" si="45"/>
        <v/>
      </c>
    </row>
    <row r="284" spans="1:21" x14ac:dyDescent="0.25">
      <c r="A284" s="102"/>
      <c r="B284" s="53"/>
      <c r="C284" s="25"/>
      <c r="D284" s="26"/>
      <c r="E284" s="53"/>
      <c r="F284" s="25"/>
      <c r="G284" s="26"/>
      <c r="H284" s="53"/>
      <c r="I284" s="25"/>
      <c r="J284" s="26"/>
      <c r="K284" s="114"/>
      <c r="L284" s="55"/>
      <c r="T284" s="52" t="str">
        <f t="shared" ca="1" si="44"/>
        <v/>
      </c>
      <c r="U284" s="97" t="str">
        <f t="shared" ca="1" si="45"/>
        <v/>
      </c>
    </row>
    <row r="285" spans="1:21" x14ac:dyDescent="0.25">
      <c r="A285" s="102"/>
      <c r="B285" s="53"/>
      <c r="C285" s="25"/>
      <c r="D285" s="26"/>
      <c r="E285" s="53"/>
      <c r="F285" s="25"/>
      <c r="G285" s="26"/>
      <c r="H285" s="53"/>
      <c r="I285" s="25"/>
      <c r="J285" s="26"/>
      <c r="K285" s="114"/>
      <c r="L285" s="55"/>
      <c r="T285" s="52" t="str">
        <f t="shared" ca="1" si="44"/>
        <v/>
      </c>
      <c r="U285" s="97" t="str">
        <f t="shared" ca="1" si="45"/>
        <v/>
      </c>
    </row>
    <row r="286" spans="1:21" x14ac:dyDescent="0.25">
      <c r="A286" s="102"/>
      <c r="B286" s="53"/>
      <c r="C286" s="25"/>
      <c r="D286" s="26"/>
      <c r="E286" s="53"/>
      <c r="F286" s="25"/>
      <c r="G286" s="26"/>
      <c r="H286" s="53"/>
      <c r="I286" s="25"/>
      <c r="J286" s="26"/>
      <c r="K286" s="114"/>
      <c r="L286" s="55"/>
      <c r="T286" s="52" t="str">
        <f t="shared" ca="1" si="44"/>
        <v/>
      </c>
      <c r="U286" s="97" t="str">
        <f t="shared" ca="1" si="45"/>
        <v/>
      </c>
    </row>
    <row r="287" spans="1:21" x14ac:dyDescent="0.25">
      <c r="A287" s="102"/>
      <c r="B287" s="53"/>
      <c r="C287" s="25"/>
      <c r="D287" s="26"/>
      <c r="E287" s="53"/>
      <c r="F287" s="25"/>
      <c r="G287" s="26"/>
      <c r="H287" s="53"/>
      <c r="I287" s="25"/>
      <c r="J287" s="26"/>
      <c r="K287" s="114"/>
      <c r="L287" s="55"/>
      <c r="T287" s="52" t="str">
        <f t="shared" ca="1" si="44"/>
        <v/>
      </c>
      <c r="U287" s="97" t="str">
        <f t="shared" ca="1" si="45"/>
        <v/>
      </c>
    </row>
    <row r="288" spans="1:21" x14ac:dyDescent="0.25">
      <c r="A288" s="102"/>
      <c r="B288" s="53"/>
      <c r="C288" s="25"/>
      <c r="D288" s="26"/>
      <c r="E288" s="53"/>
      <c r="F288" s="25"/>
      <c r="G288" s="26"/>
      <c r="H288" s="53"/>
      <c r="I288" s="25"/>
      <c r="J288" s="26"/>
      <c r="K288" s="114"/>
      <c r="L288" s="55"/>
      <c r="T288" s="52" t="str">
        <f t="shared" ca="1" si="44"/>
        <v/>
      </c>
      <c r="U288" s="97" t="str">
        <f t="shared" ca="1" si="45"/>
        <v/>
      </c>
    </row>
    <row r="289" spans="1:21" x14ac:dyDescent="0.25">
      <c r="A289" s="102"/>
      <c r="B289" s="53"/>
      <c r="C289" s="25"/>
      <c r="D289" s="26"/>
      <c r="E289" s="53"/>
      <c r="F289" s="25"/>
      <c r="G289" s="26"/>
      <c r="H289" s="53"/>
      <c r="I289" s="25"/>
      <c r="J289" s="26"/>
      <c r="K289" s="114"/>
      <c r="L289" s="55"/>
      <c r="T289" s="52" t="str">
        <f t="shared" ca="1" si="44"/>
        <v/>
      </c>
      <c r="U289" s="97" t="str">
        <f t="shared" ca="1" si="45"/>
        <v/>
      </c>
    </row>
    <row r="290" spans="1:21" x14ac:dyDescent="0.25">
      <c r="A290" s="102"/>
      <c r="B290" s="53"/>
      <c r="C290" s="25"/>
      <c r="D290" s="26"/>
      <c r="E290" s="53"/>
      <c r="F290" s="25"/>
      <c r="G290" s="26"/>
      <c r="H290" s="53"/>
      <c r="I290" s="25"/>
      <c r="J290" s="26"/>
      <c r="K290" s="114"/>
      <c r="L290" s="55"/>
      <c r="T290" s="52" t="str">
        <f t="shared" ca="1" si="44"/>
        <v/>
      </c>
      <c r="U290" s="97" t="str">
        <f t="shared" ca="1" si="45"/>
        <v/>
      </c>
    </row>
    <row r="291" spans="1:21" x14ac:dyDescent="0.25">
      <c r="A291" s="102"/>
      <c r="B291" s="53"/>
      <c r="C291" s="25"/>
      <c r="D291" s="26"/>
      <c r="E291" s="53"/>
      <c r="F291" s="25"/>
      <c r="G291" s="26"/>
      <c r="H291" s="53"/>
      <c r="I291" s="25"/>
      <c r="J291" s="26"/>
      <c r="K291" s="114"/>
      <c r="L291" s="55"/>
      <c r="T291" s="52" t="str">
        <f t="shared" ca="1" si="44"/>
        <v/>
      </c>
      <c r="U291" s="97" t="str">
        <f t="shared" ca="1" si="45"/>
        <v/>
      </c>
    </row>
    <row r="292" spans="1:21" x14ac:dyDescent="0.25">
      <c r="A292" s="102"/>
      <c r="B292" s="53"/>
      <c r="C292" s="25"/>
      <c r="D292" s="26"/>
      <c r="E292" s="53"/>
      <c r="F292" s="25"/>
      <c r="G292" s="26"/>
      <c r="H292" s="53"/>
      <c r="I292" s="25"/>
      <c r="J292" s="26"/>
      <c r="K292" s="114"/>
      <c r="L292" s="55"/>
      <c r="T292" s="52" t="str">
        <f t="shared" ca="1" si="44"/>
        <v/>
      </c>
      <c r="U292" s="97" t="str">
        <f t="shared" ca="1" si="45"/>
        <v/>
      </c>
    </row>
    <row r="293" spans="1:21" x14ac:dyDescent="0.25">
      <c r="A293" s="102"/>
      <c r="B293" s="53"/>
      <c r="C293" s="25"/>
      <c r="D293" s="26"/>
      <c r="E293" s="53"/>
      <c r="F293" s="25"/>
      <c r="G293" s="26"/>
      <c r="H293" s="53"/>
      <c r="I293" s="25"/>
      <c r="J293" s="26"/>
      <c r="K293" s="114"/>
      <c r="L293" s="55"/>
      <c r="T293" s="52" t="str">
        <f t="shared" ca="1" si="44"/>
        <v/>
      </c>
      <c r="U293" s="97" t="str">
        <f t="shared" ca="1" si="45"/>
        <v/>
      </c>
    </row>
    <row r="294" spans="1:21" x14ac:dyDescent="0.25">
      <c r="A294" s="102"/>
      <c r="B294" s="53"/>
      <c r="C294" s="25"/>
      <c r="D294" s="26"/>
      <c r="E294" s="53"/>
      <c r="F294" s="25"/>
      <c r="G294" s="26"/>
      <c r="H294" s="53"/>
      <c r="I294" s="25"/>
      <c r="J294" s="26"/>
      <c r="K294" s="114"/>
      <c r="L294" s="55"/>
      <c r="T294" s="52" t="str">
        <f t="shared" ca="1" si="44"/>
        <v/>
      </c>
      <c r="U294" s="97" t="str">
        <f t="shared" ca="1" si="45"/>
        <v/>
      </c>
    </row>
    <row r="295" spans="1:21" x14ac:dyDescent="0.25">
      <c r="A295" s="102"/>
      <c r="B295" s="53"/>
      <c r="C295" s="25"/>
      <c r="D295" s="26"/>
      <c r="E295" s="53"/>
      <c r="F295" s="25"/>
      <c r="G295" s="26"/>
      <c r="H295" s="53"/>
      <c r="I295" s="25"/>
      <c r="J295" s="26"/>
      <c r="K295" s="114"/>
      <c r="L295" s="55"/>
      <c r="T295" s="52" t="str">
        <f t="shared" ca="1" si="44"/>
        <v/>
      </c>
      <c r="U295" s="97" t="str">
        <f t="shared" ca="1" si="45"/>
        <v/>
      </c>
    </row>
    <row r="296" spans="1:21" x14ac:dyDescent="0.25">
      <c r="A296" s="102"/>
      <c r="B296" s="53"/>
      <c r="C296" s="25"/>
      <c r="D296" s="26"/>
      <c r="E296" s="53"/>
      <c r="F296" s="25"/>
      <c r="G296" s="26"/>
      <c r="H296" s="53"/>
      <c r="I296" s="25"/>
      <c r="J296" s="26"/>
      <c r="K296" s="114"/>
      <c r="L296" s="55"/>
      <c r="T296" s="52" t="str">
        <f t="shared" ca="1" si="44"/>
        <v/>
      </c>
      <c r="U296" s="97" t="str">
        <f t="shared" ca="1" si="45"/>
        <v/>
      </c>
    </row>
    <row r="297" spans="1:21" x14ac:dyDescent="0.25">
      <c r="A297" s="102"/>
      <c r="B297" s="53"/>
      <c r="C297" s="25"/>
      <c r="D297" s="26"/>
      <c r="E297" s="53"/>
      <c r="F297" s="25"/>
      <c r="G297" s="26"/>
      <c r="H297" s="53"/>
      <c r="I297" s="25"/>
      <c r="J297" s="26"/>
      <c r="K297" s="114"/>
      <c r="L297" s="55"/>
      <c r="T297" s="52" t="str">
        <f t="shared" ca="1" si="44"/>
        <v/>
      </c>
      <c r="U297" s="97" t="str">
        <f t="shared" ca="1" si="45"/>
        <v/>
      </c>
    </row>
    <row r="298" spans="1:21" x14ac:dyDescent="0.25">
      <c r="A298" s="102"/>
      <c r="B298" s="53"/>
      <c r="C298" s="25"/>
      <c r="D298" s="26"/>
      <c r="E298" s="53"/>
      <c r="F298" s="25"/>
      <c r="G298" s="26"/>
      <c r="H298" s="53"/>
      <c r="I298" s="25"/>
      <c r="J298" s="26"/>
      <c r="K298" s="114"/>
      <c r="L298" s="55"/>
      <c r="T298" s="52" t="str">
        <f t="shared" ca="1" si="44"/>
        <v/>
      </c>
      <c r="U298" s="97" t="str">
        <f t="shared" ca="1" si="45"/>
        <v/>
      </c>
    </row>
    <row r="299" spans="1:21" x14ac:dyDescent="0.25">
      <c r="A299" s="102"/>
      <c r="B299" s="53"/>
      <c r="C299" s="25"/>
      <c r="D299" s="26"/>
      <c r="E299" s="53"/>
      <c r="F299" s="25"/>
      <c r="G299" s="26"/>
      <c r="H299" s="53"/>
      <c r="I299" s="25"/>
      <c r="J299" s="26"/>
      <c r="K299" s="114"/>
      <c r="L299" s="55"/>
      <c r="T299" s="52" t="str">
        <f t="shared" ca="1" si="44"/>
        <v/>
      </c>
      <c r="U299" s="97" t="str">
        <f t="shared" ca="1" si="45"/>
        <v/>
      </c>
    </row>
    <row r="300" spans="1:21" x14ac:dyDescent="0.25">
      <c r="A300" s="102"/>
      <c r="B300" s="53"/>
      <c r="C300" s="25"/>
      <c r="D300" s="26"/>
      <c r="E300" s="53"/>
      <c r="F300" s="25"/>
      <c r="G300" s="26"/>
      <c r="H300" s="53"/>
      <c r="I300" s="25"/>
      <c r="J300" s="26"/>
      <c r="K300" s="114"/>
      <c r="L300" s="55"/>
      <c r="T300" s="52" t="str">
        <f t="shared" ca="1" si="44"/>
        <v/>
      </c>
      <c r="U300" s="97" t="str">
        <f t="shared" ca="1" si="45"/>
        <v/>
      </c>
    </row>
    <row r="301" spans="1:21" x14ac:dyDescent="0.25">
      <c r="A301" s="102"/>
      <c r="B301" s="53"/>
      <c r="C301" s="25"/>
      <c r="D301" s="26"/>
      <c r="E301" s="53"/>
      <c r="F301" s="25"/>
      <c r="G301" s="26"/>
      <c r="H301" s="53"/>
      <c r="I301" s="25"/>
      <c r="J301" s="26"/>
      <c r="K301" s="114"/>
      <c r="L301" s="55"/>
      <c r="T301" s="52" t="str">
        <f t="shared" ca="1" si="44"/>
        <v/>
      </c>
      <c r="U301" s="97" t="str">
        <f t="shared" ca="1" si="45"/>
        <v/>
      </c>
    </row>
    <row r="302" spans="1:21" x14ac:dyDescent="0.25">
      <c r="A302" s="102"/>
      <c r="B302" s="53"/>
      <c r="C302" s="25"/>
      <c r="D302" s="26"/>
      <c r="E302" s="53"/>
      <c r="F302" s="25"/>
      <c r="G302" s="26"/>
      <c r="H302" s="53"/>
      <c r="I302" s="25"/>
      <c r="J302" s="26"/>
      <c r="K302" s="114"/>
      <c r="L302" s="55"/>
      <c r="T302" s="52" t="str">
        <f t="shared" ca="1" si="44"/>
        <v/>
      </c>
      <c r="U302" s="97" t="str">
        <f t="shared" ca="1" si="45"/>
        <v/>
      </c>
    </row>
    <row r="303" spans="1:21" x14ac:dyDescent="0.25">
      <c r="A303" s="102"/>
      <c r="B303" s="53"/>
      <c r="C303" s="25"/>
      <c r="D303" s="26"/>
      <c r="E303" s="53"/>
      <c r="F303" s="25"/>
      <c r="G303" s="26"/>
      <c r="H303" s="53"/>
      <c r="I303" s="25"/>
      <c r="J303" s="26"/>
      <c r="K303" s="114"/>
      <c r="L303" s="55"/>
      <c r="T303" s="52" t="str">
        <f t="shared" ca="1" si="44"/>
        <v/>
      </c>
      <c r="U303" s="97" t="str">
        <f t="shared" ca="1" si="45"/>
        <v/>
      </c>
    </row>
    <row r="304" spans="1:21" x14ac:dyDescent="0.25">
      <c r="A304" s="102"/>
      <c r="B304" s="53"/>
      <c r="C304" s="25"/>
      <c r="D304" s="26"/>
      <c r="E304" s="53"/>
      <c r="F304" s="25"/>
      <c r="G304" s="26"/>
      <c r="H304" s="53"/>
      <c r="I304" s="25"/>
      <c r="J304" s="26"/>
      <c r="K304" s="114"/>
      <c r="L304" s="55"/>
      <c r="T304" s="52" t="str">
        <f t="shared" ca="1" si="44"/>
        <v/>
      </c>
      <c r="U304" s="97" t="str">
        <f t="shared" ca="1" si="45"/>
        <v/>
      </c>
    </row>
    <row r="305" spans="1:21" x14ac:dyDescent="0.25">
      <c r="A305" s="102"/>
      <c r="B305" s="53"/>
      <c r="C305" s="25"/>
      <c r="D305" s="26"/>
      <c r="E305" s="53"/>
      <c r="F305" s="25"/>
      <c r="G305" s="26"/>
      <c r="H305" s="53"/>
      <c r="I305" s="25"/>
      <c r="J305" s="26"/>
      <c r="K305" s="114"/>
      <c r="L305" s="55"/>
      <c r="T305" s="52" t="str">
        <f t="shared" ca="1" si="44"/>
        <v/>
      </c>
      <c r="U305" s="97" t="str">
        <f t="shared" ca="1" si="45"/>
        <v/>
      </c>
    </row>
    <row r="306" spans="1:21" x14ac:dyDescent="0.25">
      <c r="A306" s="102"/>
      <c r="B306" s="53"/>
      <c r="C306" s="25"/>
      <c r="D306" s="26"/>
      <c r="E306" s="53"/>
      <c r="F306" s="25"/>
      <c r="G306" s="26"/>
      <c r="H306" s="53"/>
      <c r="I306" s="25"/>
      <c r="J306" s="26"/>
      <c r="K306" s="114"/>
      <c r="L306" s="55"/>
      <c r="T306" s="52" t="str">
        <f t="shared" ca="1" si="44"/>
        <v/>
      </c>
      <c r="U306" s="97" t="str">
        <f t="shared" ca="1" si="45"/>
        <v/>
      </c>
    </row>
    <row r="307" spans="1:21" x14ac:dyDescent="0.25">
      <c r="A307" s="102"/>
      <c r="B307" s="53"/>
      <c r="C307" s="25"/>
      <c r="D307" s="26"/>
      <c r="E307" s="53"/>
      <c r="F307" s="25"/>
      <c r="G307" s="26"/>
      <c r="H307" s="53"/>
      <c r="I307" s="25"/>
      <c r="J307" s="26"/>
      <c r="K307" s="114"/>
      <c r="L307" s="55"/>
      <c r="T307" s="52" t="str">
        <f t="shared" ca="1" si="44"/>
        <v/>
      </c>
      <c r="U307" s="97" t="str">
        <f t="shared" ca="1" si="45"/>
        <v/>
      </c>
    </row>
    <row r="308" spans="1:21" x14ac:dyDescent="0.25">
      <c r="A308" s="102"/>
      <c r="B308" s="53"/>
      <c r="C308" s="25"/>
      <c r="D308" s="26"/>
      <c r="E308" s="53"/>
      <c r="F308" s="25"/>
      <c r="G308" s="26"/>
      <c r="H308" s="53"/>
      <c r="I308" s="25"/>
      <c r="J308" s="26"/>
      <c r="K308" s="114"/>
      <c r="L308" s="55"/>
      <c r="T308" s="52" t="str">
        <f t="shared" ca="1" si="44"/>
        <v/>
      </c>
      <c r="U308" s="97" t="str">
        <f t="shared" ca="1" si="45"/>
        <v/>
      </c>
    </row>
    <row r="309" spans="1:21" x14ac:dyDescent="0.25">
      <c r="A309" s="102"/>
      <c r="B309" s="53"/>
      <c r="C309" s="25"/>
      <c r="D309" s="26"/>
      <c r="E309" s="53"/>
      <c r="F309" s="25"/>
      <c r="G309" s="26"/>
      <c r="H309" s="53"/>
      <c r="I309" s="25"/>
      <c r="J309" s="26"/>
      <c r="K309" s="114"/>
      <c r="L309" s="55"/>
      <c r="T309" s="52" t="str">
        <f t="shared" ca="1" si="44"/>
        <v/>
      </c>
      <c r="U309" s="97" t="str">
        <f t="shared" ca="1" si="45"/>
        <v/>
      </c>
    </row>
    <row r="310" spans="1:21" x14ac:dyDescent="0.25">
      <c r="A310" s="102"/>
      <c r="B310" s="53"/>
      <c r="C310" s="25"/>
      <c r="D310" s="26"/>
      <c r="E310" s="53"/>
      <c r="F310" s="25"/>
      <c r="G310" s="26"/>
      <c r="H310" s="53"/>
      <c r="I310" s="25"/>
      <c r="J310" s="26"/>
      <c r="K310" s="114"/>
      <c r="L310" s="55"/>
      <c r="T310" s="52" t="str">
        <f t="shared" ca="1" si="44"/>
        <v/>
      </c>
      <c r="U310" s="97" t="str">
        <f t="shared" ca="1" si="45"/>
        <v/>
      </c>
    </row>
    <row r="311" spans="1:21" x14ac:dyDescent="0.25">
      <c r="A311" s="102"/>
      <c r="B311" s="53"/>
      <c r="C311" s="25"/>
      <c r="D311" s="26"/>
      <c r="E311" s="53"/>
      <c r="F311" s="25"/>
      <c r="G311" s="26"/>
      <c r="H311" s="53"/>
      <c r="I311" s="25"/>
      <c r="J311" s="26"/>
      <c r="K311" s="114"/>
      <c r="L311" s="55"/>
      <c r="T311" s="52" t="str">
        <f t="shared" ca="1" si="44"/>
        <v/>
      </c>
      <c r="U311" s="97" t="str">
        <f t="shared" ca="1" si="45"/>
        <v/>
      </c>
    </row>
    <row r="312" spans="1:21" x14ac:dyDescent="0.25">
      <c r="A312" s="102"/>
      <c r="B312" s="53"/>
      <c r="C312" s="25"/>
      <c r="D312" s="26"/>
      <c r="E312" s="53"/>
      <c r="F312" s="25"/>
      <c r="G312" s="26"/>
      <c r="H312" s="53"/>
      <c r="I312" s="25"/>
      <c r="J312" s="26"/>
      <c r="K312" s="114"/>
      <c r="L312" s="55"/>
      <c r="T312" s="52" t="str">
        <f t="shared" ca="1" si="44"/>
        <v/>
      </c>
      <c r="U312" s="97" t="str">
        <f t="shared" ca="1" si="45"/>
        <v/>
      </c>
    </row>
    <row r="313" spans="1:21" x14ac:dyDescent="0.25">
      <c r="A313" s="102"/>
      <c r="B313" s="53"/>
      <c r="C313" s="25"/>
      <c r="D313" s="26"/>
      <c r="E313" s="53"/>
      <c r="F313" s="25"/>
      <c r="G313" s="26"/>
      <c r="H313" s="53"/>
      <c r="I313" s="25"/>
      <c r="J313" s="26"/>
      <c r="K313" s="114"/>
      <c r="L313" s="55"/>
      <c r="T313" s="52" t="str">
        <f t="shared" ca="1" si="44"/>
        <v/>
      </c>
      <c r="U313" s="97" t="str">
        <f t="shared" ca="1" si="45"/>
        <v/>
      </c>
    </row>
    <row r="314" spans="1:21" x14ac:dyDescent="0.25">
      <c r="A314" s="102"/>
      <c r="B314" s="53"/>
      <c r="C314" s="25"/>
      <c r="D314" s="26"/>
      <c r="E314" s="53"/>
      <c r="F314" s="25"/>
      <c r="G314" s="26"/>
      <c r="H314" s="53"/>
      <c r="I314" s="25"/>
      <c r="J314" s="26"/>
      <c r="K314" s="114"/>
      <c r="L314" s="55"/>
      <c r="T314" s="52" t="str">
        <f t="shared" ca="1" si="44"/>
        <v/>
      </c>
      <c r="U314" s="97" t="str">
        <f t="shared" ca="1" si="45"/>
        <v/>
      </c>
    </row>
    <row r="315" spans="1:21" x14ac:dyDescent="0.25">
      <c r="A315" s="102"/>
      <c r="B315" s="53"/>
      <c r="C315" s="25"/>
      <c r="D315" s="26"/>
      <c r="E315" s="53"/>
      <c r="F315" s="25"/>
      <c r="G315" s="26"/>
      <c r="H315" s="53"/>
      <c r="I315" s="25"/>
      <c r="J315" s="26"/>
      <c r="K315" s="114"/>
      <c r="L315" s="55"/>
      <c r="T315" s="52" t="str">
        <f t="shared" ca="1" si="44"/>
        <v/>
      </c>
      <c r="U315" s="97" t="str">
        <f t="shared" ca="1" si="45"/>
        <v/>
      </c>
    </row>
    <row r="316" spans="1:21" x14ac:dyDescent="0.25">
      <c r="A316" s="102"/>
      <c r="B316" s="53"/>
      <c r="C316" s="25"/>
      <c r="D316" s="26"/>
      <c r="E316" s="53"/>
      <c r="F316" s="25"/>
      <c r="G316" s="26"/>
      <c r="H316" s="53"/>
      <c r="I316" s="25"/>
      <c r="J316" s="26"/>
      <c r="K316" s="114"/>
      <c r="L316" s="55"/>
      <c r="T316" s="52" t="str">
        <f t="shared" ca="1" si="44"/>
        <v/>
      </c>
      <c r="U316" s="97" t="str">
        <f t="shared" ca="1" si="45"/>
        <v/>
      </c>
    </row>
    <row r="317" spans="1:21" x14ac:dyDescent="0.25">
      <c r="A317" s="102"/>
      <c r="B317" s="53"/>
      <c r="C317" s="25"/>
      <c r="D317" s="26"/>
      <c r="E317" s="53"/>
      <c r="F317" s="25"/>
      <c r="G317" s="26"/>
      <c r="H317" s="53"/>
      <c r="I317" s="25"/>
      <c r="J317" s="26"/>
      <c r="K317" s="114"/>
      <c r="L317" s="55"/>
      <c r="T317" s="52" t="str">
        <f t="shared" ca="1" si="44"/>
        <v/>
      </c>
      <c r="U317" s="97" t="str">
        <f t="shared" ca="1" si="45"/>
        <v/>
      </c>
    </row>
    <row r="318" spans="1:21" x14ac:dyDescent="0.25">
      <c r="A318" s="102"/>
      <c r="B318" s="53"/>
      <c r="C318" s="25"/>
      <c r="D318" s="26"/>
      <c r="E318" s="53"/>
      <c r="F318" s="25"/>
      <c r="G318" s="26"/>
      <c r="H318" s="53"/>
      <c r="I318" s="25"/>
      <c r="J318" s="26"/>
      <c r="K318" s="114"/>
      <c r="L318" s="55"/>
      <c r="T318" s="52" t="str">
        <f t="shared" ca="1" si="44"/>
        <v/>
      </c>
      <c r="U318" s="97" t="str">
        <f t="shared" ca="1" si="45"/>
        <v/>
      </c>
    </row>
    <row r="319" spans="1:21" x14ac:dyDescent="0.25">
      <c r="A319" s="102"/>
      <c r="B319" s="53"/>
      <c r="C319" s="25"/>
      <c r="D319" s="26"/>
      <c r="E319" s="53"/>
      <c r="F319" s="25"/>
      <c r="G319" s="26"/>
      <c r="H319" s="53"/>
      <c r="I319" s="25"/>
      <c r="J319" s="26"/>
      <c r="K319" s="114"/>
      <c r="L319" s="55"/>
      <c r="T319" s="52" t="str">
        <f t="shared" ca="1" si="44"/>
        <v/>
      </c>
      <c r="U319" s="97" t="str">
        <f t="shared" ca="1" si="45"/>
        <v/>
      </c>
    </row>
    <row r="320" spans="1:21" x14ac:dyDescent="0.25">
      <c r="A320" s="102"/>
      <c r="B320" s="53"/>
      <c r="C320" s="25"/>
      <c r="D320" s="26"/>
      <c r="E320" s="53"/>
      <c r="F320" s="25"/>
      <c r="G320" s="26"/>
      <c r="H320" s="53"/>
      <c r="I320" s="25"/>
      <c r="J320" s="26"/>
      <c r="K320" s="114"/>
      <c r="L320" s="55"/>
      <c r="T320" s="52" t="str">
        <f t="shared" ca="1" si="44"/>
        <v/>
      </c>
      <c r="U320" s="97" t="str">
        <f t="shared" ca="1" si="45"/>
        <v/>
      </c>
    </row>
    <row r="321" spans="1:21" x14ac:dyDescent="0.25">
      <c r="A321" s="102"/>
      <c r="B321" s="53"/>
      <c r="C321" s="25"/>
      <c r="D321" s="26"/>
      <c r="E321" s="53"/>
      <c r="F321" s="25"/>
      <c r="G321" s="26"/>
      <c r="H321" s="53"/>
      <c r="I321" s="25"/>
      <c r="J321" s="26"/>
      <c r="K321" s="114"/>
      <c r="L321" s="55"/>
      <c r="T321" s="52" t="str">
        <f t="shared" ca="1" si="44"/>
        <v/>
      </c>
      <c r="U321" s="97" t="str">
        <f t="shared" ca="1" si="45"/>
        <v/>
      </c>
    </row>
    <row r="322" spans="1:21" x14ac:dyDescent="0.25">
      <c r="A322" s="102"/>
      <c r="B322" s="53"/>
      <c r="C322" s="25"/>
      <c r="D322" s="26"/>
      <c r="E322" s="53"/>
      <c r="F322" s="25"/>
      <c r="G322" s="26"/>
      <c r="H322" s="53"/>
      <c r="I322" s="25"/>
      <c r="J322" s="26"/>
      <c r="K322" s="114"/>
      <c r="L322" s="55"/>
      <c r="T322" s="52" t="str">
        <f t="shared" ca="1" si="44"/>
        <v/>
      </c>
      <c r="U322" s="97" t="str">
        <f t="shared" ca="1" si="45"/>
        <v/>
      </c>
    </row>
    <row r="323" spans="1:21" x14ac:dyDescent="0.25">
      <c r="A323" s="102"/>
      <c r="B323" s="53"/>
      <c r="C323" s="25"/>
      <c r="D323" s="26"/>
      <c r="E323" s="53"/>
      <c r="F323" s="25"/>
      <c r="G323" s="26"/>
      <c r="H323" s="53"/>
      <c r="I323" s="25"/>
      <c r="J323" s="26"/>
      <c r="K323" s="114"/>
      <c r="L323" s="55"/>
      <c r="T323" s="52" t="str">
        <f t="shared" ref="T323:T386" ca="1" si="46">IF(COUNTIF(P:P,N323)*COUNTIF(R:R,N323),N323,"")</f>
        <v/>
      </c>
      <c r="U323" s="97" t="str">
        <f t="shared" ca="1" si="45"/>
        <v/>
      </c>
    </row>
    <row r="324" spans="1:21" x14ac:dyDescent="0.25">
      <c r="A324" s="102"/>
      <c r="B324" s="53"/>
      <c r="C324" s="25"/>
      <c r="D324" s="26"/>
      <c r="E324" s="53"/>
      <c r="F324" s="25"/>
      <c r="G324" s="26"/>
      <c r="H324" s="53"/>
      <c r="I324" s="25"/>
      <c r="J324" s="26"/>
      <c r="K324" s="114"/>
      <c r="L324" s="55"/>
      <c r="T324" s="52" t="str">
        <f t="shared" ca="1" si="46"/>
        <v/>
      </c>
      <c r="U324" s="97" t="str">
        <f t="shared" ref="U324:U387" ca="1" si="47">IF(T324&gt;=$A$14,T324,"")</f>
        <v/>
      </c>
    </row>
    <row r="325" spans="1:21" x14ac:dyDescent="0.25">
      <c r="A325" s="102"/>
      <c r="B325" s="53"/>
      <c r="C325" s="25"/>
      <c r="D325" s="26"/>
      <c r="E325" s="53"/>
      <c r="F325" s="25"/>
      <c r="G325" s="26"/>
      <c r="H325" s="53"/>
      <c r="I325" s="25"/>
      <c r="J325" s="26"/>
      <c r="K325" s="114"/>
      <c r="L325" s="55"/>
      <c r="T325" s="52" t="str">
        <f t="shared" ca="1" si="46"/>
        <v/>
      </c>
      <c r="U325" s="97" t="str">
        <f t="shared" ca="1" si="47"/>
        <v/>
      </c>
    </row>
    <row r="326" spans="1:21" x14ac:dyDescent="0.25">
      <c r="A326" s="102"/>
      <c r="B326" s="53"/>
      <c r="C326" s="25"/>
      <c r="D326" s="26"/>
      <c r="E326" s="53"/>
      <c r="F326" s="25"/>
      <c r="G326" s="26"/>
      <c r="H326" s="53"/>
      <c r="I326" s="25"/>
      <c r="J326" s="26"/>
      <c r="K326" s="114"/>
      <c r="L326" s="55"/>
      <c r="T326" s="52" t="str">
        <f t="shared" ca="1" si="46"/>
        <v/>
      </c>
      <c r="U326" s="97" t="str">
        <f t="shared" ca="1" si="47"/>
        <v/>
      </c>
    </row>
    <row r="327" spans="1:21" x14ac:dyDescent="0.25">
      <c r="A327" s="102"/>
      <c r="B327" s="53"/>
      <c r="C327" s="25"/>
      <c r="D327" s="26"/>
      <c r="E327" s="53"/>
      <c r="F327" s="25"/>
      <c r="G327" s="26"/>
      <c r="H327" s="53"/>
      <c r="I327" s="25"/>
      <c r="J327" s="26"/>
      <c r="K327" s="114"/>
      <c r="L327" s="55"/>
      <c r="T327" s="52" t="str">
        <f t="shared" ca="1" si="46"/>
        <v/>
      </c>
      <c r="U327" s="97" t="str">
        <f t="shared" ca="1" si="47"/>
        <v/>
      </c>
    </row>
    <row r="328" spans="1:21" x14ac:dyDescent="0.25">
      <c r="A328" s="102"/>
      <c r="B328" s="53"/>
      <c r="C328" s="25"/>
      <c r="D328" s="26"/>
      <c r="E328" s="53"/>
      <c r="F328" s="25"/>
      <c r="G328" s="26"/>
      <c r="H328" s="53"/>
      <c r="I328" s="25"/>
      <c r="J328" s="26"/>
      <c r="K328" s="114"/>
      <c r="L328" s="55"/>
      <c r="T328" s="52" t="str">
        <f t="shared" ca="1" si="46"/>
        <v/>
      </c>
      <c r="U328" s="97" t="str">
        <f t="shared" ca="1" si="47"/>
        <v/>
      </c>
    </row>
    <row r="329" spans="1:21" x14ac:dyDescent="0.25">
      <c r="A329" s="102"/>
      <c r="B329" s="53"/>
      <c r="C329" s="25"/>
      <c r="D329" s="26"/>
      <c r="E329" s="53"/>
      <c r="F329" s="25"/>
      <c r="G329" s="26"/>
      <c r="H329" s="53"/>
      <c r="I329" s="25"/>
      <c r="J329" s="26"/>
      <c r="K329" s="114"/>
      <c r="L329" s="55"/>
      <c r="T329" s="52" t="str">
        <f t="shared" ca="1" si="46"/>
        <v/>
      </c>
      <c r="U329" s="97" t="str">
        <f t="shared" ca="1" si="47"/>
        <v/>
      </c>
    </row>
    <row r="330" spans="1:21" x14ac:dyDescent="0.25">
      <c r="A330" s="102"/>
      <c r="B330" s="53"/>
      <c r="C330" s="25"/>
      <c r="D330" s="26"/>
      <c r="E330" s="53"/>
      <c r="F330" s="25"/>
      <c r="G330" s="26"/>
      <c r="H330" s="53"/>
      <c r="I330" s="25"/>
      <c r="J330" s="26"/>
      <c r="K330" s="114"/>
      <c r="L330" s="55"/>
      <c r="T330" s="52" t="str">
        <f t="shared" ca="1" si="46"/>
        <v/>
      </c>
      <c r="U330" s="97" t="str">
        <f t="shared" ca="1" si="47"/>
        <v/>
      </c>
    </row>
    <row r="331" spans="1:21" x14ac:dyDescent="0.25">
      <c r="A331" s="102"/>
      <c r="B331" s="53"/>
      <c r="C331" s="25"/>
      <c r="D331" s="26"/>
      <c r="E331" s="53"/>
      <c r="F331" s="25"/>
      <c r="G331" s="26"/>
      <c r="H331" s="53"/>
      <c r="I331" s="25"/>
      <c r="J331" s="26"/>
      <c r="K331" s="114"/>
      <c r="L331" s="55"/>
      <c r="T331" s="52" t="str">
        <f t="shared" ca="1" si="46"/>
        <v/>
      </c>
      <c r="U331" s="97" t="str">
        <f t="shared" ca="1" si="47"/>
        <v/>
      </c>
    </row>
    <row r="332" spans="1:21" x14ac:dyDescent="0.25">
      <c r="A332" s="102"/>
      <c r="B332" s="53"/>
      <c r="C332" s="25"/>
      <c r="D332" s="26"/>
      <c r="E332" s="53"/>
      <c r="F332" s="25"/>
      <c r="G332" s="26"/>
      <c r="H332" s="53"/>
      <c r="I332" s="25"/>
      <c r="J332" s="26"/>
      <c r="K332" s="114"/>
      <c r="L332" s="55"/>
      <c r="T332" s="52" t="str">
        <f t="shared" ca="1" si="46"/>
        <v/>
      </c>
      <c r="U332" s="97" t="str">
        <f t="shared" ca="1" si="47"/>
        <v/>
      </c>
    </row>
    <row r="333" spans="1:21" x14ac:dyDescent="0.25">
      <c r="A333" s="102"/>
      <c r="B333" s="53"/>
      <c r="C333" s="25"/>
      <c r="D333" s="26"/>
      <c r="E333" s="53"/>
      <c r="F333" s="25"/>
      <c r="G333" s="26"/>
      <c r="H333" s="53"/>
      <c r="I333" s="25"/>
      <c r="J333" s="26"/>
      <c r="K333" s="114"/>
      <c r="L333" s="55"/>
      <c r="T333" s="52" t="str">
        <f t="shared" ca="1" si="46"/>
        <v/>
      </c>
      <c r="U333" s="97" t="str">
        <f t="shared" ca="1" si="47"/>
        <v/>
      </c>
    </row>
    <row r="334" spans="1:21" x14ac:dyDescent="0.25">
      <c r="A334" s="102"/>
      <c r="B334" s="53"/>
      <c r="C334" s="25"/>
      <c r="D334" s="26"/>
      <c r="E334" s="53"/>
      <c r="F334" s="25"/>
      <c r="G334" s="26"/>
      <c r="H334" s="53"/>
      <c r="I334" s="25"/>
      <c r="J334" s="26"/>
      <c r="K334" s="114"/>
      <c r="L334" s="55"/>
      <c r="T334" s="52" t="str">
        <f t="shared" ca="1" si="46"/>
        <v/>
      </c>
      <c r="U334" s="97" t="str">
        <f t="shared" ca="1" si="47"/>
        <v/>
      </c>
    </row>
    <row r="335" spans="1:21" x14ac:dyDescent="0.25">
      <c r="A335" s="102"/>
      <c r="B335" s="53"/>
      <c r="C335" s="25"/>
      <c r="D335" s="26"/>
      <c r="E335" s="53"/>
      <c r="F335" s="25"/>
      <c r="G335" s="26"/>
      <c r="H335" s="53"/>
      <c r="I335" s="25"/>
      <c r="J335" s="26"/>
      <c r="K335" s="114"/>
      <c r="L335" s="55"/>
      <c r="T335" s="52" t="str">
        <f t="shared" ca="1" si="46"/>
        <v/>
      </c>
      <c r="U335" s="97" t="str">
        <f t="shared" ca="1" si="47"/>
        <v/>
      </c>
    </row>
    <row r="336" spans="1:21" x14ac:dyDescent="0.25">
      <c r="A336" s="102"/>
      <c r="B336" s="53"/>
      <c r="C336" s="25"/>
      <c r="D336" s="26"/>
      <c r="E336" s="53"/>
      <c r="F336" s="25"/>
      <c r="G336" s="26"/>
      <c r="H336" s="53"/>
      <c r="I336" s="25"/>
      <c r="J336" s="26"/>
      <c r="K336" s="114"/>
      <c r="L336" s="55"/>
      <c r="T336" s="52" t="str">
        <f t="shared" ca="1" si="46"/>
        <v/>
      </c>
      <c r="U336" s="97" t="str">
        <f t="shared" ca="1" si="47"/>
        <v/>
      </c>
    </row>
    <row r="337" spans="1:21" x14ac:dyDescent="0.25">
      <c r="A337" s="102"/>
      <c r="B337" s="53"/>
      <c r="C337" s="25"/>
      <c r="D337" s="26"/>
      <c r="E337" s="53"/>
      <c r="F337" s="25"/>
      <c r="G337" s="26"/>
      <c r="H337" s="53"/>
      <c r="I337" s="25"/>
      <c r="J337" s="26"/>
      <c r="K337" s="114"/>
      <c r="L337" s="55"/>
      <c r="T337" s="52" t="str">
        <f t="shared" ca="1" si="46"/>
        <v/>
      </c>
      <c r="U337" s="97" t="str">
        <f t="shared" ca="1" si="47"/>
        <v/>
      </c>
    </row>
    <row r="338" spans="1:21" x14ac:dyDescent="0.25">
      <c r="A338" s="102"/>
      <c r="B338" s="53"/>
      <c r="C338" s="25"/>
      <c r="D338" s="26"/>
      <c r="E338" s="53"/>
      <c r="F338" s="25"/>
      <c r="G338" s="26"/>
      <c r="H338" s="53"/>
      <c r="I338" s="25"/>
      <c r="J338" s="26"/>
      <c r="K338" s="114"/>
      <c r="L338" s="55"/>
      <c r="T338" s="52" t="str">
        <f t="shared" ca="1" si="46"/>
        <v/>
      </c>
      <c r="U338" s="97" t="str">
        <f t="shared" ca="1" si="47"/>
        <v/>
      </c>
    </row>
    <row r="339" spans="1:21" x14ac:dyDescent="0.25">
      <c r="A339" s="102"/>
      <c r="B339" s="53"/>
      <c r="C339" s="25"/>
      <c r="D339" s="26"/>
      <c r="E339" s="53"/>
      <c r="F339" s="25"/>
      <c r="G339" s="26"/>
      <c r="H339" s="53"/>
      <c r="I339" s="25"/>
      <c r="J339" s="26"/>
      <c r="K339" s="114"/>
      <c r="L339" s="55"/>
      <c r="T339" s="52" t="str">
        <f t="shared" ca="1" si="46"/>
        <v/>
      </c>
      <c r="U339" s="97" t="str">
        <f t="shared" ca="1" si="47"/>
        <v/>
      </c>
    </row>
    <row r="340" spans="1:21" x14ac:dyDescent="0.25">
      <c r="A340" s="102"/>
      <c r="B340" s="53"/>
      <c r="C340" s="25"/>
      <c r="D340" s="26"/>
      <c r="E340" s="53"/>
      <c r="F340" s="25"/>
      <c r="G340" s="26"/>
      <c r="H340" s="53"/>
      <c r="I340" s="25"/>
      <c r="J340" s="26"/>
      <c r="K340" s="114"/>
      <c r="L340" s="55"/>
      <c r="T340" s="52" t="str">
        <f t="shared" ca="1" si="46"/>
        <v/>
      </c>
      <c r="U340" s="97" t="str">
        <f t="shared" ca="1" si="47"/>
        <v/>
      </c>
    </row>
    <row r="341" spans="1:21" x14ac:dyDescent="0.25">
      <c r="A341" s="102"/>
      <c r="B341" s="53"/>
      <c r="C341" s="25"/>
      <c r="D341" s="26"/>
      <c r="E341" s="53"/>
      <c r="F341" s="25"/>
      <c r="G341" s="26"/>
      <c r="H341" s="53"/>
      <c r="I341" s="25"/>
      <c r="J341" s="26"/>
      <c r="K341" s="114"/>
      <c r="L341" s="55"/>
      <c r="T341" s="52" t="str">
        <f t="shared" ca="1" si="46"/>
        <v/>
      </c>
      <c r="U341" s="97" t="str">
        <f t="shared" ca="1" si="47"/>
        <v/>
      </c>
    </row>
    <row r="342" spans="1:21" x14ac:dyDescent="0.25">
      <c r="A342" s="102"/>
      <c r="B342" s="53"/>
      <c r="C342" s="25"/>
      <c r="D342" s="26"/>
      <c r="E342" s="53"/>
      <c r="F342" s="25"/>
      <c r="G342" s="26"/>
      <c r="H342" s="53"/>
      <c r="I342" s="25"/>
      <c r="J342" s="26"/>
      <c r="K342" s="114"/>
      <c r="L342" s="55"/>
      <c r="T342" s="52" t="str">
        <f t="shared" ca="1" si="46"/>
        <v/>
      </c>
      <c r="U342" s="97" t="str">
        <f t="shared" ca="1" si="47"/>
        <v/>
      </c>
    </row>
    <row r="343" spans="1:21" x14ac:dyDescent="0.25">
      <c r="A343" s="102"/>
      <c r="B343" s="53"/>
      <c r="C343" s="25"/>
      <c r="D343" s="26"/>
      <c r="E343" s="53"/>
      <c r="F343" s="25"/>
      <c r="G343" s="26"/>
      <c r="H343" s="53"/>
      <c r="I343" s="25"/>
      <c r="J343" s="26"/>
      <c r="K343" s="114"/>
      <c r="L343" s="55"/>
      <c r="T343" s="52" t="str">
        <f t="shared" ca="1" si="46"/>
        <v/>
      </c>
      <c r="U343" s="97" t="str">
        <f t="shared" ca="1" si="47"/>
        <v/>
      </c>
    </row>
    <row r="344" spans="1:21" x14ac:dyDescent="0.25">
      <c r="A344" s="102"/>
      <c r="B344" s="53"/>
      <c r="C344" s="25"/>
      <c r="D344" s="26"/>
      <c r="E344" s="53"/>
      <c r="F344" s="25"/>
      <c r="G344" s="26"/>
      <c r="H344" s="53"/>
      <c r="I344" s="25"/>
      <c r="J344" s="26"/>
      <c r="K344" s="114"/>
      <c r="L344" s="55"/>
      <c r="T344" s="52" t="str">
        <f t="shared" ca="1" si="46"/>
        <v/>
      </c>
      <c r="U344" s="97" t="str">
        <f t="shared" ca="1" si="47"/>
        <v/>
      </c>
    </row>
    <row r="345" spans="1:21" x14ac:dyDescent="0.25">
      <c r="A345" s="102"/>
      <c r="B345" s="53"/>
      <c r="C345" s="25"/>
      <c r="D345" s="26"/>
      <c r="E345" s="53"/>
      <c r="F345" s="25"/>
      <c r="G345" s="26"/>
      <c r="H345" s="53"/>
      <c r="I345" s="25"/>
      <c r="J345" s="26"/>
      <c r="K345" s="114"/>
      <c r="L345" s="55"/>
      <c r="T345" s="52" t="str">
        <f t="shared" ca="1" si="46"/>
        <v/>
      </c>
      <c r="U345" s="97" t="str">
        <f t="shared" ca="1" si="47"/>
        <v/>
      </c>
    </row>
    <row r="346" spans="1:21" x14ac:dyDescent="0.25">
      <c r="A346" s="102"/>
      <c r="B346" s="53"/>
      <c r="C346" s="25"/>
      <c r="D346" s="26"/>
      <c r="E346" s="53"/>
      <c r="F346" s="25"/>
      <c r="G346" s="26"/>
      <c r="H346" s="53"/>
      <c r="I346" s="25"/>
      <c r="J346" s="26"/>
      <c r="K346" s="114"/>
      <c r="L346" s="55"/>
      <c r="T346" s="52" t="str">
        <f t="shared" ca="1" si="46"/>
        <v/>
      </c>
      <c r="U346" s="97" t="str">
        <f t="shared" ca="1" si="47"/>
        <v/>
      </c>
    </row>
    <row r="347" spans="1:21" x14ac:dyDescent="0.25">
      <c r="A347" s="102"/>
      <c r="B347" s="53"/>
      <c r="C347" s="25"/>
      <c r="D347" s="26"/>
      <c r="E347" s="53"/>
      <c r="F347" s="25"/>
      <c r="G347" s="26"/>
      <c r="H347" s="53"/>
      <c r="I347" s="25"/>
      <c r="J347" s="26"/>
      <c r="K347" s="114"/>
      <c r="L347" s="55"/>
      <c r="T347" s="52" t="str">
        <f t="shared" ca="1" si="46"/>
        <v/>
      </c>
      <c r="U347" s="97" t="str">
        <f t="shared" ca="1" si="47"/>
        <v/>
      </c>
    </row>
    <row r="348" spans="1:21" x14ac:dyDescent="0.25">
      <c r="A348" s="102"/>
      <c r="B348" s="53"/>
      <c r="C348" s="25"/>
      <c r="D348" s="26"/>
      <c r="E348" s="53"/>
      <c r="F348" s="25"/>
      <c r="G348" s="26"/>
      <c r="H348" s="53"/>
      <c r="I348" s="25"/>
      <c r="J348" s="26"/>
      <c r="K348" s="114"/>
      <c r="L348" s="55"/>
      <c r="T348" s="52" t="str">
        <f t="shared" ca="1" si="46"/>
        <v/>
      </c>
      <c r="U348" s="97" t="str">
        <f t="shared" ca="1" si="47"/>
        <v/>
      </c>
    </row>
    <row r="349" spans="1:21" x14ac:dyDescent="0.25">
      <c r="A349" s="102"/>
      <c r="B349" s="53"/>
      <c r="C349" s="25"/>
      <c r="D349" s="26"/>
      <c r="E349" s="53"/>
      <c r="F349" s="25"/>
      <c r="G349" s="26"/>
      <c r="H349" s="53"/>
      <c r="I349" s="25"/>
      <c r="J349" s="26"/>
      <c r="K349" s="114"/>
      <c r="L349" s="55"/>
      <c r="T349" s="52" t="str">
        <f t="shared" ca="1" si="46"/>
        <v/>
      </c>
      <c r="U349" s="97" t="str">
        <f t="shared" ca="1" si="47"/>
        <v/>
      </c>
    </row>
    <row r="350" spans="1:21" x14ac:dyDescent="0.25">
      <c r="A350" s="102"/>
      <c r="B350" s="53"/>
      <c r="C350" s="25"/>
      <c r="D350" s="26"/>
      <c r="E350" s="53"/>
      <c r="F350" s="25"/>
      <c r="G350" s="26"/>
      <c r="H350" s="53"/>
      <c r="I350" s="25"/>
      <c r="J350" s="26"/>
      <c r="K350" s="114"/>
      <c r="L350" s="55"/>
      <c r="T350" s="52" t="str">
        <f t="shared" ca="1" si="46"/>
        <v/>
      </c>
      <c r="U350" s="97" t="str">
        <f t="shared" ca="1" si="47"/>
        <v/>
      </c>
    </row>
    <row r="351" spans="1:21" x14ac:dyDescent="0.25">
      <c r="A351" s="102"/>
      <c r="B351" s="53"/>
      <c r="C351" s="25"/>
      <c r="D351" s="26"/>
      <c r="E351" s="53"/>
      <c r="F351" s="25"/>
      <c r="G351" s="26"/>
      <c r="H351" s="53"/>
      <c r="I351" s="25"/>
      <c r="J351" s="26"/>
      <c r="K351" s="114"/>
      <c r="L351" s="55"/>
      <c r="T351" s="52" t="str">
        <f t="shared" ca="1" si="46"/>
        <v/>
      </c>
      <c r="U351" s="97" t="str">
        <f t="shared" ca="1" si="47"/>
        <v/>
      </c>
    </row>
    <row r="352" spans="1:21" x14ac:dyDescent="0.25">
      <c r="A352" s="102"/>
      <c r="B352" s="53"/>
      <c r="C352" s="25"/>
      <c r="D352" s="26"/>
      <c r="E352" s="53"/>
      <c r="F352" s="25"/>
      <c r="G352" s="26"/>
      <c r="H352" s="53"/>
      <c r="I352" s="25"/>
      <c r="J352" s="26"/>
      <c r="K352" s="114"/>
      <c r="L352" s="55"/>
      <c r="T352" s="52" t="str">
        <f t="shared" ca="1" si="46"/>
        <v/>
      </c>
      <c r="U352" s="97" t="str">
        <f t="shared" ca="1" si="47"/>
        <v/>
      </c>
    </row>
    <row r="353" spans="1:21" x14ac:dyDescent="0.25">
      <c r="A353" s="102"/>
      <c r="B353" s="53"/>
      <c r="C353" s="25"/>
      <c r="D353" s="26"/>
      <c r="E353" s="53"/>
      <c r="F353" s="25"/>
      <c r="G353" s="26"/>
      <c r="H353" s="53"/>
      <c r="I353" s="25"/>
      <c r="J353" s="26"/>
      <c r="K353" s="114"/>
      <c r="L353" s="55"/>
      <c r="T353" s="52" t="str">
        <f t="shared" ca="1" si="46"/>
        <v/>
      </c>
      <c r="U353" s="97" t="str">
        <f t="shared" ca="1" si="47"/>
        <v/>
      </c>
    </row>
    <row r="354" spans="1:21" x14ac:dyDescent="0.25">
      <c r="A354" s="102"/>
      <c r="B354" s="53"/>
      <c r="C354" s="25"/>
      <c r="D354" s="26"/>
      <c r="E354" s="53"/>
      <c r="F354" s="25"/>
      <c r="G354" s="26"/>
      <c r="H354" s="53"/>
      <c r="I354" s="25"/>
      <c r="J354" s="26"/>
      <c r="K354" s="114"/>
      <c r="L354" s="55"/>
      <c r="T354" s="52" t="str">
        <f t="shared" ca="1" si="46"/>
        <v/>
      </c>
      <c r="U354" s="97" t="str">
        <f t="shared" ca="1" si="47"/>
        <v/>
      </c>
    </row>
    <row r="355" spans="1:21" x14ac:dyDescent="0.25">
      <c r="A355" s="102"/>
      <c r="B355" s="53"/>
      <c r="C355" s="25"/>
      <c r="D355" s="26"/>
      <c r="E355" s="53"/>
      <c r="F355" s="25"/>
      <c r="G355" s="26"/>
      <c r="H355" s="53"/>
      <c r="I355" s="25"/>
      <c r="J355" s="26"/>
      <c r="K355" s="114"/>
      <c r="L355" s="55"/>
      <c r="T355" s="52" t="str">
        <f t="shared" ca="1" si="46"/>
        <v/>
      </c>
      <c r="U355" s="97" t="str">
        <f t="shared" ca="1" si="47"/>
        <v/>
      </c>
    </row>
    <row r="356" spans="1:21" x14ac:dyDescent="0.25">
      <c r="A356" s="102"/>
      <c r="B356" s="53"/>
      <c r="C356" s="25"/>
      <c r="D356" s="26"/>
      <c r="E356" s="53"/>
      <c r="F356" s="25"/>
      <c r="G356" s="26"/>
      <c r="H356" s="53"/>
      <c r="I356" s="25"/>
      <c r="J356" s="26"/>
      <c r="K356" s="114"/>
      <c r="L356" s="55"/>
      <c r="T356" s="52" t="str">
        <f t="shared" ca="1" si="46"/>
        <v/>
      </c>
      <c r="U356" s="97" t="str">
        <f t="shared" ca="1" si="47"/>
        <v/>
      </c>
    </row>
    <row r="357" spans="1:21" x14ac:dyDescent="0.25">
      <c r="A357" s="102"/>
      <c r="B357" s="53"/>
      <c r="C357" s="25"/>
      <c r="D357" s="26"/>
      <c r="E357" s="53"/>
      <c r="F357" s="25"/>
      <c r="G357" s="26"/>
      <c r="H357" s="53"/>
      <c r="I357" s="25"/>
      <c r="J357" s="26"/>
      <c r="K357" s="114"/>
      <c r="L357" s="55"/>
      <c r="T357" s="52" t="str">
        <f t="shared" ca="1" si="46"/>
        <v/>
      </c>
      <c r="U357" s="97" t="str">
        <f t="shared" ca="1" si="47"/>
        <v/>
      </c>
    </row>
    <row r="358" spans="1:21" x14ac:dyDescent="0.25">
      <c r="A358" s="102"/>
      <c r="B358" s="53"/>
      <c r="C358" s="25"/>
      <c r="D358" s="26"/>
      <c r="E358" s="53"/>
      <c r="F358" s="25"/>
      <c r="G358" s="26"/>
      <c r="H358" s="53"/>
      <c r="I358" s="25"/>
      <c r="J358" s="26"/>
      <c r="K358" s="114"/>
      <c r="L358" s="55"/>
      <c r="T358" s="52" t="str">
        <f t="shared" ca="1" si="46"/>
        <v/>
      </c>
      <c r="U358" s="97" t="str">
        <f t="shared" ca="1" si="47"/>
        <v/>
      </c>
    </row>
    <row r="359" spans="1:21" x14ac:dyDescent="0.25">
      <c r="A359" s="102"/>
      <c r="B359" s="53"/>
      <c r="C359" s="25"/>
      <c r="D359" s="26"/>
      <c r="E359" s="53"/>
      <c r="F359" s="25"/>
      <c r="G359" s="26"/>
      <c r="H359" s="53"/>
      <c r="I359" s="25"/>
      <c r="J359" s="26"/>
      <c r="K359" s="114"/>
      <c r="L359" s="55"/>
      <c r="T359" s="52" t="str">
        <f t="shared" ca="1" si="46"/>
        <v/>
      </c>
      <c r="U359" s="97" t="str">
        <f t="shared" ca="1" si="47"/>
        <v/>
      </c>
    </row>
    <row r="360" spans="1:21" x14ac:dyDescent="0.25">
      <c r="A360" s="102"/>
      <c r="B360" s="53"/>
      <c r="C360" s="25"/>
      <c r="D360" s="26"/>
      <c r="E360" s="53"/>
      <c r="F360" s="25"/>
      <c r="G360" s="26"/>
      <c r="H360" s="53"/>
      <c r="I360" s="25"/>
      <c r="J360" s="26"/>
      <c r="K360" s="114"/>
      <c r="L360" s="55"/>
      <c r="T360" s="52" t="str">
        <f t="shared" ca="1" si="46"/>
        <v/>
      </c>
      <c r="U360" s="97" t="str">
        <f t="shared" ca="1" si="47"/>
        <v/>
      </c>
    </row>
    <row r="361" spans="1:21" x14ac:dyDescent="0.25">
      <c r="A361" s="102"/>
      <c r="B361" s="53"/>
      <c r="C361" s="25"/>
      <c r="D361" s="26"/>
      <c r="E361" s="53"/>
      <c r="F361" s="25"/>
      <c r="G361" s="26"/>
      <c r="H361" s="53"/>
      <c r="I361" s="25"/>
      <c r="J361" s="26"/>
      <c r="K361" s="114"/>
      <c r="L361" s="55"/>
      <c r="T361" s="52" t="str">
        <f t="shared" ca="1" si="46"/>
        <v/>
      </c>
      <c r="U361" s="97" t="str">
        <f t="shared" ca="1" si="47"/>
        <v/>
      </c>
    </row>
    <row r="362" spans="1:21" x14ac:dyDescent="0.25">
      <c r="A362" s="102"/>
      <c r="B362" s="53"/>
      <c r="C362" s="25"/>
      <c r="D362" s="26"/>
      <c r="E362" s="53"/>
      <c r="F362" s="25"/>
      <c r="G362" s="26"/>
      <c r="H362" s="53"/>
      <c r="I362" s="25"/>
      <c r="J362" s="26"/>
      <c r="K362" s="114"/>
      <c r="L362" s="55"/>
      <c r="T362" s="52" t="str">
        <f t="shared" ca="1" si="46"/>
        <v/>
      </c>
      <c r="U362" s="97" t="str">
        <f t="shared" ca="1" si="47"/>
        <v/>
      </c>
    </row>
    <row r="363" spans="1:21" x14ac:dyDescent="0.25">
      <c r="A363" s="102"/>
      <c r="B363" s="53"/>
      <c r="C363" s="25"/>
      <c r="D363" s="26"/>
      <c r="E363" s="53"/>
      <c r="F363" s="25"/>
      <c r="G363" s="26"/>
      <c r="H363" s="53"/>
      <c r="I363" s="25"/>
      <c r="J363" s="26"/>
      <c r="K363" s="114"/>
      <c r="L363" s="55"/>
      <c r="T363" s="52" t="str">
        <f t="shared" ca="1" si="46"/>
        <v/>
      </c>
      <c r="U363" s="97" t="str">
        <f t="shared" ca="1" si="47"/>
        <v/>
      </c>
    </row>
    <row r="364" spans="1:21" x14ac:dyDescent="0.25">
      <c r="A364" s="102"/>
      <c r="B364" s="53"/>
      <c r="C364" s="25"/>
      <c r="D364" s="26"/>
      <c r="E364" s="53"/>
      <c r="F364" s="25"/>
      <c r="G364" s="26"/>
      <c r="H364" s="53"/>
      <c r="I364" s="25"/>
      <c r="J364" s="26"/>
      <c r="K364" s="114"/>
      <c r="L364" s="55"/>
      <c r="T364" s="52" t="str">
        <f t="shared" ca="1" si="46"/>
        <v/>
      </c>
      <c r="U364" s="97" t="str">
        <f t="shared" ca="1" si="47"/>
        <v/>
      </c>
    </row>
    <row r="365" spans="1:21" x14ac:dyDescent="0.25">
      <c r="A365" s="102"/>
      <c r="B365" s="53"/>
      <c r="C365" s="25"/>
      <c r="D365" s="26"/>
      <c r="E365" s="53"/>
      <c r="F365" s="25"/>
      <c r="G365" s="26"/>
      <c r="H365" s="53"/>
      <c r="I365" s="25"/>
      <c r="J365" s="26"/>
      <c r="K365" s="114"/>
      <c r="L365" s="55"/>
      <c r="T365" s="52" t="str">
        <f t="shared" ca="1" si="46"/>
        <v/>
      </c>
      <c r="U365" s="97" t="str">
        <f t="shared" ca="1" si="47"/>
        <v/>
      </c>
    </row>
    <row r="366" spans="1:21" x14ac:dyDescent="0.25">
      <c r="A366" s="102"/>
      <c r="B366" s="53"/>
      <c r="C366" s="25"/>
      <c r="D366" s="26"/>
      <c r="E366" s="53"/>
      <c r="F366" s="25"/>
      <c r="G366" s="26"/>
      <c r="H366" s="53"/>
      <c r="I366" s="25"/>
      <c r="J366" s="26"/>
      <c r="K366" s="114"/>
      <c r="L366" s="55"/>
      <c r="T366" s="52" t="str">
        <f t="shared" ca="1" si="46"/>
        <v/>
      </c>
      <c r="U366" s="97" t="str">
        <f t="shared" ca="1" si="47"/>
        <v/>
      </c>
    </row>
    <row r="367" spans="1:21" x14ac:dyDescent="0.25">
      <c r="A367" s="102"/>
      <c r="B367" s="53"/>
      <c r="C367" s="25"/>
      <c r="D367" s="26"/>
      <c r="E367" s="53"/>
      <c r="F367" s="25"/>
      <c r="G367" s="26"/>
      <c r="H367" s="53"/>
      <c r="I367" s="25"/>
      <c r="J367" s="26"/>
      <c r="K367" s="114"/>
      <c r="L367" s="55"/>
      <c r="T367" s="52" t="str">
        <f t="shared" ca="1" si="46"/>
        <v/>
      </c>
      <c r="U367" s="97" t="str">
        <f t="shared" ca="1" si="47"/>
        <v/>
      </c>
    </row>
    <row r="368" spans="1:21" x14ac:dyDescent="0.25">
      <c r="A368" s="102"/>
      <c r="B368" s="53"/>
      <c r="C368" s="25"/>
      <c r="D368" s="26"/>
      <c r="E368" s="53"/>
      <c r="F368" s="25"/>
      <c r="G368" s="26"/>
      <c r="H368" s="53"/>
      <c r="I368" s="25"/>
      <c r="J368" s="26"/>
      <c r="K368" s="114"/>
      <c r="L368" s="55"/>
      <c r="T368" s="52" t="str">
        <f t="shared" ca="1" si="46"/>
        <v/>
      </c>
      <c r="U368" s="97" t="str">
        <f t="shared" ca="1" si="47"/>
        <v/>
      </c>
    </row>
    <row r="369" spans="1:21" x14ac:dyDescent="0.25">
      <c r="A369" s="102"/>
      <c r="B369" s="53"/>
      <c r="C369" s="25"/>
      <c r="D369" s="26"/>
      <c r="E369" s="53"/>
      <c r="F369" s="25"/>
      <c r="G369" s="26"/>
      <c r="H369" s="53"/>
      <c r="I369" s="25"/>
      <c r="J369" s="26"/>
      <c r="K369" s="114"/>
      <c r="L369" s="55"/>
      <c r="T369" s="52" t="str">
        <f t="shared" ca="1" si="46"/>
        <v/>
      </c>
      <c r="U369" s="97" t="str">
        <f t="shared" ca="1" si="47"/>
        <v/>
      </c>
    </row>
    <row r="370" spans="1:21" x14ac:dyDescent="0.25">
      <c r="A370" s="102"/>
      <c r="B370" s="53"/>
      <c r="C370" s="25"/>
      <c r="D370" s="26"/>
      <c r="E370" s="53"/>
      <c r="F370" s="25"/>
      <c r="G370" s="26"/>
      <c r="H370" s="53"/>
      <c r="I370" s="25"/>
      <c r="J370" s="26"/>
      <c r="K370" s="114"/>
      <c r="L370" s="55"/>
      <c r="T370" s="52" t="str">
        <f t="shared" ca="1" si="46"/>
        <v/>
      </c>
      <c r="U370" s="97" t="str">
        <f t="shared" ca="1" si="47"/>
        <v/>
      </c>
    </row>
    <row r="371" spans="1:21" x14ac:dyDescent="0.25">
      <c r="A371" s="102"/>
      <c r="B371" s="53"/>
      <c r="C371" s="25"/>
      <c r="D371" s="26"/>
      <c r="E371" s="53"/>
      <c r="F371" s="25"/>
      <c r="G371" s="26"/>
      <c r="H371" s="53"/>
      <c r="I371" s="25"/>
      <c r="J371" s="26"/>
      <c r="K371" s="114"/>
      <c r="L371" s="55"/>
      <c r="T371" s="52" t="str">
        <f t="shared" ca="1" si="46"/>
        <v/>
      </c>
      <c r="U371" s="97" t="str">
        <f t="shared" ca="1" si="47"/>
        <v/>
      </c>
    </row>
    <row r="372" spans="1:21" x14ac:dyDescent="0.25">
      <c r="A372" s="102"/>
      <c r="B372" s="53"/>
      <c r="C372" s="25"/>
      <c r="D372" s="26"/>
      <c r="E372" s="53"/>
      <c r="F372" s="25"/>
      <c r="G372" s="26"/>
      <c r="H372" s="53"/>
      <c r="I372" s="25"/>
      <c r="J372" s="26"/>
      <c r="K372" s="114"/>
      <c r="L372" s="55"/>
      <c r="T372" s="52" t="str">
        <f t="shared" ca="1" si="46"/>
        <v/>
      </c>
      <c r="U372" s="97" t="str">
        <f t="shared" ca="1" si="47"/>
        <v/>
      </c>
    </row>
    <row r="373" spans="1:21" x14ac:dyDescent="0.25">
      <c r="A373" s="102"/>
      <c r="B373" s="53"/>
      <c r="C373" s="25"/>
      <c r="D373" s="26"/>
      <c r="E373" s="53"/>
      <c r="F373" s="25"/>
      <c r="G373" s="26"/>
      <c r="H373" s="53"/>
      <c r="I373" s="25"/>
      <c r="J373" s="26"/>
      <c r="K373" s="114"/>
      <c r="L373" s="55"/>
      <c r="T373" s="52" t="str">
        <f t="shared" ca="1" si="46"/>
        <v/>
      </c>
      <c r="U373" s="97" t="str">
        <f t="shared" ca="1" si="47"/>
        <v/>
      </c>
    </row>
    <row r="374" spans="1:21" x14ac:dyDescent="0.25">
      <c r="A374" s="102"/>
      <c r="B374" s="53"/>
      <c r="C374" s="25"/>
      <c r="D374" s="26"/>
      <c r="E374" s="53"/>
      <c r="F374" s="25"/>
      <c r="G374" s="26"/>
      <c r="H374" s="53"/>
      <c r="I374" s="25"/>
      <c r="J374" s="26"/>
      <c r="K374" s="114"/>
      <c r="L374" s="55"/>
      <c r="T374" s="52" t="str">
        <f t="shared" ca="1" si="46"/>
        <v/>
      </c>
      <c r="U374" s="97" t="str">
        <f t="shared" ca="1" si="47"/>
        <v/>
      </c>
    </row>
    <row r="375" spans="1:21" x14ac:dyDescent="0.25">
      <c r="A375" s="102"/>
      <c r="B375" s="53"/>
      <c r="C375" s="25"/>
      <c r="D375" s="26"/>
      <c r="E375" s="53"/>
      <c r="F375" s="25"/>
      <c r="G375" s="26"/>
      <c r="H375" s="53"/>
      <c r="I375" s="25"/>
      <c r="J375" s="26"/>
      <c r="K375" s="114"/>
      <c r="L375" s="55"/>
      <c r="T375" s="52" t="str">
        <f t="shared" ca="1" si="46"/>
        <v/>
      </c>
      <c r="U375" s="97" t="str">
        <f t="shared" ca="1" si="47"/>
        <v/>
      </c>
    </row>
    <row r="376" spans="1:21" x14ac:dyDescent="0.25">
      <c r="A376" s="102"/>
      <c r="B376" s="53"/>
      <c r="C376" s="25"/>
      <c r="D376" s="26"/>
      <c r="E376" s="53"/>
      <c r="F376" s="25"/>
      <c r="G376" s="26"/>
      <c r="H376" s="53"/>
      <c r="I376" s="25"/>
      <c r="J376" s="26"/>
      <c r="K376" s="114"/>
      <c r="L376" s="55"/>
      <c r="T376" s="52" t="str">
        <f t="shared" ca="1" si="46"/>
        <v/>
      </c>
      <c r="U376" s="97" t="str">
        <f t="shared" ca="1" si="47"/>
        <v/>
      </c>
    </row>
    <row r="377" spans="1:21" x14ac:dyDescent="0.25">
      <c r="A377" s="102"/>
      <c r="B377" s="53"/>
      <c r="C377" s="25"/>
      <c r="D377" s="26"/>
      <c r="E377" s="53"/>
      <c r="F377" s="25"/>
      <c r="G377" s="26"/>
      <c r="H377" s="53"/>
      <c r="I377" s="25"/>
      <c r="J377" s="26"/>
      <c r="K377" s="114"/>
      <c r="L377" s="55"/>
      <c r="T377" s="52" t="str">
        <f t="shared" ca="1" si="46"/>
        <v/>
      </c>
      <c r="U377" s="97" t="str">
        <f t="shared" ca="1" si="47"/>
        <v/>
      </c>
    </row>
    <row r="378" spans="1:21" x14ac:dyDescent="0.25">
      <c r="A378" s="102"/>
      <c r="B378" s="53"/>
      <c r="C378" s="25"/>
      <c r="D378" s="26"/>
      <c r="E378" s="53"/>
      <c r="F378" s="25"/>
      <c r="G378" s="26"/>
      <c r="H378" s="53"/>
      <c r="I378" s="25"/>
      <c r="J378" s="26"/>
      <c r="K378" s="114"/>
      <c r="L378" s="55"/>
      <c r="T378" s="52" t="str">
        <f t="shared" ca="1" si="46"/>
        <v/>
      </c>
      <c r="U378" s="97" t="str">
        <f t="shared" ca="1" si="47"/>
        <v/>
      </c>
    </row>
    <row r="379" spans="1:21" x14ac:dyDescent="0.25">
      <c r="A379" s="102"/>
      <c r="B379" s="53"/>
      <c r="C379" s="25"/>
      <c r="D379" s="26"/>
      <c r="E379" s="53"/>
      <c r="F379" s="25"/>
      <c r="G379" s="26"/>
      <c r="H379" s="53"/>
      <c r="I379" s="25"/>
      <c r="J379" s="26"/>
      <c r="K379" s="114"/>
      <c r="L379" s="55"/>
      <c r="T379" s="52" t="str">
        <f t="shared" ca="1" si="46"/>
        <v/>
      </c>
      <c r="U379" s="97" t="str">
        <f t="shared" ca="1" si="47"/>
        <v/>
      </c>
    </row>
    <row r="380" spans="1:21" x14ac:dyDescent="0.25">
      <c r="T380" s="52" t="str">
        <f t="shared" ca="1" si="46"/>
        <v/>
      </c>
      <c r="U380" s="97" t="str">
        <f t="shared" ca="1" si="47"/>
        <v/>
      </c>
    </row>
    <row r="381" spans="1:21" x14ac:dyDescent="0.25">
      <c r="T381" s="52" t="str">
        <f t="shared" ca="1" si="46"/>
        <v/>
      </c>
      <c r="U381" s="97" t="str">
        <f t="shared" ca="1" si="47"/>
        <v/>
      </c>
    </row>
    <row r="382" spans="1:21" x14ac:dyDescent="0.25">
      <c r="T382" s="52" t="str">
        <f t="shared" ca="1" si="46"/>
        <v/>
      </c>
      <c r="U382" s="97" t="str">
        <f t="shared" ca="1" si="47"/>
        <v/>
      </c>
    </row>
    <row r="383" spans="1:21" x14ac:dyDescent="0.25">
      <c r="T383" s="52" t="str">
        <f t="shared" ca="1" si="46"/>
        <v/>
      </c>
      <c r="U383" s="97" t="str">
        <f t="shared" ca="1" si="47"/>
        <v/>
      </c>
    </row>
    <row r="384" spans="1:21" x14ac:dyDescent="0.25">
      <c r="T384" s="52" t="str">
        <f t="shared" ca="1" si="46"/>
        <v/>
      </c>
      <c r="U384" s="97" t="str">
        <f t="shared" ca="1" si="47"/>
        <v/>
      </c>
    </row>
    <row r="385" spans="20:21" x14ac:dyDescent="0.25">
      <c r="T385" s="52" t="str">
        <f t="shared" ca="1" si="46"/>
        <v/>
      </c>
      <c r="U385" s="97" t="str">
        <f t="shared" ca="1" si="47"/>
        <v/>
      </c>
    </row>
    <row r="386" spans="20:21" x14ac:dyDescent="0.25">
      <c r="T386" s="52" t="str">
        <f t="shared" ca="1" si="46"/>
        <v/>
      </c>
      <c r="U386" s="97" t="str">
        <f t="shared" ca="1" si="47"/>
        <v/>
      </c>
    </row>
    <row r="387" spans="20:21" x14ac:dyDescent="0.25">
      <c r="T387" s="52" t="str">
        <f t="shared" ref="T387:T450" ca="1" si="48">IF(COUNTIF(P:P,N387)*COUNTIF(R:R,N387),N387,"")</f>
        <v/>
      </c>
      <c r="U387" s="97" t="str">
        <f t="shared" ca="1" si="47"/>
        <v/>
      </c>
    </row>
    <row r="388" spans="20:21" x14ac:dyDescent="0.25">
      <c r="T388" s="52" t="str">
        <f t="shared" ca="1" si="48"/>
        <v/>
      </c>
      <c r="U388" s="97" t="str">
        <f t="shared" ref="U388:U451" ca="1" si="49">IF(T388&gt;=$A$14,T388,"")</f>
        <v/>
      </c>
    </row>
    <row r="389" spans="20:21" x14ac:dyDescent="0.25">
      <c r="T389" s="52" t="str">
        <f t="shared" ca="1" si="48"/>
        <v/>
      </c>
      <c r="U389" s="97" t="str">
        <f t="shared" ca="1" si="49"/>
        <v/>
      </c>
    </row>
    <row r="390" spans="20:21" x14ac:dyDescent="0.25">
      <c r="T390" s="52" t="str">
        <f t="shared" ca="1" si="48"/>
        <v/>
      </c>
      <c r="U390" s="97" t="str">
        <f t="shared" ca="1" si="49"/>
        <v/>
      </c>
    </row>
    <row r="391" spans="20:21" x14ac:dyDescent="0.25">
      <c r="T391" s="52" t="str">
        <f t="shared" ca="1" si="48"/>
        <v/>
      </c>
      <c r="U391" s="97" t="str">
        <f t="shared" ca="1" si="49"/>
        <v/>
      </c>
    </row>
    <row r="392" spans="20:21" x14ac:dyDescent="0.25">
      <c r="T392" s="52" t="str">
        <f t="shared" ca="1" si="48"/>
        <v/>
      </c>
      <c r="U392" s="97" t="str">
        <f t="shared" ca="1" si="49"/>
        <v/>
      </c>
    </row>
    <row r="393" spans="20:21" x14ac:dyDescent="0.25">
      <c r="T393" s="52" t="str">
        <f t="shared" ca="1" si="48"/>
        <v/>
      </c>
      <c r="U393" s="97" t="str">
        <f t="shared" ca="1" si="49"/>
        <v/>
      </c>
    </row>
    <row r="394" spans="20:21" x14ac:dyDescent="0.25">
      <c r="T394" s="52" t="str">
        <f t="shared" ca="1" si="48"/>
        <v/>
      </c>
      <c r="U394" s="97" t="str">
        <f t="shared" ca="1" si="49"/>
        <v/>
      </c>
    </row>
    <row r="395" spans="20:21" x14ac:dyDescent="0.25">
      <c r="T395" s="52" t="str">
        <f t="shared" ca="1" si="48"/>
        <v/>
      </c>
      <c r="U395" s="97" t="str">
        <f t="shared" ca="1" si="49"/>
        <v/>
      </c>
    </row>
    <row r="396" spans="20:21" x14ac:dyDescent="0.25">
      <c r="T396" s="52" t="str">
        <f t="shared" ca="1" si="48"/>
        <v/>
      </c>
      <c r="U396" s="97" t="str">
        <f t="shared" ca="1" si="49"/>
        <v/>
      </c>
    </row>
    <row r="397" spans="20:21" x14ac:dyDescent="0.25">
      <c r="T397" s="52" t="str">
        <f t="shared" ca="1" si="48"/>
        <v/>
      </c>
      <c r="U397" s="97" t="str">
        <f t="shared" ca="1" si="49"/>
        <v/>
      </c>
    </row>
    <row r="398" spans="20:21" x14ac:dyDescent="0.25">
      <c r="T398" s="52" t="str">
        <f t="shared" ca="1" si="48"/>
        <v/>
      </c>
      <c r="U398" s="97" t="str">
        <f t="shared" ca="1" si="49"/>
        <v/>
      </c>
    </row>
    <row r="399" spans="20:21" x14ac:dyDescent="0.25">
      <c r="T399" s="52" t="str">
        <f t="shared" ca="1" si="48"/>
        <v/>
      </c>
      <c r="U399" s="97" t="str">
        <f t="shared" ca="1" si="49"/>
        <v/>
      </c>
    </row>
    <row r="400" spans="20:21" x14ac:dyDescent="0.25">
      <c r="T400" s="52" t="str">
        <f t="shared" ca="1" si="48"/>
        <v/>
      </c>
      <c r="U400" s="97" t="str">
        <f t="shared" ca="1" si="49"/>
        <v/>
      </c>
    </row>
    <row r="401" spans="20:21" x14ac:dyDescent="0.25">
      <c r="T401" s="52" t="str">
        <f t="shared" ca="1" si="48"/>
        <v/>
      </c>
      <c r="U401" s="97" t="str">
        <f t="shared" ca="1" si="49"/>
        <v/>
      </c>
    </row>
    <row r="402" spans="20:21" x14ac:dyDescent="0.25">
      <c r="T402" s="52" t="str">
        <f t="shared" ca="1" si="48"/>
        <v/>
      </c>
      <c r="U402" s="97" t="str">
        <f t="shared" ca="1" si="49"/>
        <v/>
      </c>
    </row>
    <row r="403" spans="20:21" x14ac:dyDescent="0.25">
      <c r="T403" s="52" t="str">
        <f t="shared" ca="1" si="48"/>
        <v/>
      </c>
      <c r="U403" s="97" t="str">
        <f t="shared" ca="1" si="49"/>
        <v/>
      </c>
    </row>
    <row r="404" spans="20:21" x14ac:dyDescent="0.25">
      <c r="T404" s="52" t="str">
        <f t="shared" ca="1" si="48"/>
        <v/>
      </c>
      <c r="U404" s="97" t="str">
        <f t="shared" ca="1" si="49"/>
        <v/>
      </c>
    </row>
    <row r="405" spans="20:21" x14ac:dyDescent="0.25">
      <c r="T405" s="52" t="str">
        <f t="shared" ca="1" si="48"/>
        <v/>
      </c>
      <c r="U405" s="97" t="str">
        <f t="shared" ca="1" si="49"/>
        <v/>
      </c>
    </row>
    <row r="406" spans="20:21" x14ac:dyDescent="0.25">
      <c r="T406" s="52" t="str">
        <f t="shared" ca="1" si="48"/>
        <v/>
      </c>
      <c r="U406" s="97" t="str">
        <f t="shared" ca="1" si="49"/>
        <v/>
      </c>
    </row>
    <row r="407" spans="20:21" x14ac:dyDescent="0.25">
      <c r="T407" s="52" t="str">
        <f t="shared" ca="1" si="48"/>
        <v/>
      </c>
      <c r="U407" s="97" t="str">
        <f t="shared" ca="1" si="49"/>
        <v/>
      </c>
    </row>
    <row r="408" spans="20:21" x14ac:dyDescent="0.25">
      <c r="T408" s="52" t="str">
        <f t="shared" ca="1" si="48"/>
        <v/>
      </c>
      <c r="U408" s="97" t="str">
        <f t="shared" ca="1" si="49"/>
        <v/>
      </c>
    </row>
    <row r="409" spans="20:21" x14ac:dyDescent="0.25">
      <c r="T409" s="52" t="str">
        <f t="shared" ca="1" si="48"/>
        <v/>
      </c>
      <c r="U409" s="97" t="str">
        <f t="shared" ca="1" si="49"/>
        <v/>
      </c>
    </row>
    <row r="410" spans="20:21" x14ac:dyDescent="0.25">
      <c r="T410" s="52" t="str">
        <f t="shared" ca="1" si="48"/>
        <v/>
      </c>
      <c r="U410" s="97" t="str">
        <f t="shared" ca="1" si="49"/>
        <v/>
      </c>
    </row>
    <row r="411" spans="20:21" x14ac:dyDescent="0.25">
      <c r="T411" s="52" t="str">
        <f t="shared" ca="1" si="48"/>
        <v/>
      </c>
      <c r="U411" s="97" t="str">
        <f t="shared" ca="1" si="49"/>
        <v/>
      </c>
    </row>
    <row r="412" spans="20:21" x14ac:dyDescent="0.25">
      <c r="T412" s="52" t="str">
        <f t="shared" ca="1" si="48"/>
        <v/>
      </c>
      <c r="U412" s="97" t="str">
        <f t="shared" ca="1" si="49"/>
        <v/>
      </c>
    </row>
    <row r="413" spans="20:21" x14ac:dyDescent="0.25">
      <c r="T413" s="52" t="str">
        <f t="shared" ca="1" si="48"/>
        <v/>
      </c>
      <c r="U413" s="97" t="str">
        <f t="shared" ca="1" si="49"/>
        <v/>
      </c>
    </row>
    <row r="414" spans="20:21" x14ac:dyDescent="0.25">
      <c r="T414" s="52" t="str">
        <f t="shared" ca="1" si="48"/>
        <v/>
      </c>
      <c r="U414" s="97" t="str">
        <f t="shared" ca="1" si="49"/>
        <v/>
      </c>
    </row>
    <row r="415" spans="20:21" x14ac:dyDescent="0.25">
      <c r="T415" s="52" t="str">
        <f t="shared" ca="1" si="48"/>
        <v/>
      </c>
      <c r="U415" s="97" t="str">
        <f t="shared" ca="1" si="49"/>
        <v/>
      </c>
    </row>
    <row r="416" spans="20:21" x14ac:dyDescent="0.25">
      <c r="T416" s="52" t="str">
        <f t="shared" ca="1" si="48"/>
        <v/>
      </c>
      <c r="U416" s="97" t="str">
        <f t="shared" ca="1" si="49"/>
        <v/>
      </c>
    </row>
    <row r="417" spans="20:21" x14ac:dyDescent="0.25">
      <c r="T417" s="52" t="str">
        <f t="shared" ca="1" si="48"/>
        <v/>
      </c>
      <c r="U417" s="97" t="str">
        <f t="shared" ca="1" si="49"/>
        <v/>
      </c>
    </row>
    <row r="418" spans="20:21" x14ac:dyDescent="0.25">
      <c r="T418" s="52" t="str">
        <f t="shared" ca="1" si="48"/>
        <v/>
      </c>
      <c r="U418" s="97" t="str">
        <f t="shared" ca="1" si="49"/>
        <v/>
      </c>
    </row>
    <row r="419" spans="20:21" x14ac:dyDescent="0.25">
      <c r="T419" s="52" t="str">
        <f t="shared" ca="1" si="48"/>
        <v/>
      </c>
      <c r="U419" s="97" t="str">
        <f t="shared" ca="1" si="49"/>
        <v/>
      </c>
    </row>
    <row r="420" spans="20:21" x14ac:dyDescent="0.25">
      <c r="T420" s="52" t="str">
        <f t="shared" ca="1" si="48"/>
        <v/>
      </c>
      <c r="U420" s="97" t="str">
        <f t="shared" ca="1" si="49"/>
        <v/>
      </c>
    </row>
    <row r="421" spans="20:21" x14ac:dyDescent="0.25">
      <c r="T421" s="52" t="str">
        <f t="shared" ca="1" si="48"/>
        <v/>
      </c>
      <c r="U421" s="97" t="str">
        <f t="shared" ca="1" si="49"/>
        <v/>
      </c>
    </row>
    <row r="422" spans="20:21" x14ac:dyDescent="0.25">
      <c r="T422" s="52" t="str">
        <f t="shared" ca="1" si="48"/>
        <v/>
      </c>
      <c r="U422" s="97" t="str">
        <f t="shared" ca="1" si="49"/>
        <v/>
      </c>
    </row>
    <row r="423" spans="20:21" x14ac:dyDescent="0.25">
      <c r="T423" s="52" t="str">
        <f t="shared" ca="1" si="48"/>
        <v/>
      </c>
      <c r="U423" s="97" t="str">
        <f t="shared" ca="1" si="49"/>
        <v/>
      </c>
    </row>
    <row r="424" spans="20:21" x14ac:dyDescent="0.25">
      <c r="T424" s="52" t="str">
        <f t="shared" ca="1" si="48"/>
        <v/>
      </c>
      <c r="U424" s="97" t="str">
        <f t="shared" ca="1" si="49"/>
        <v/>
      </c>
    </row>
    <row r="425" spans="20:21" x14ac:dyDescent="0.25">
      <c r="T425" s="52" t="str">
        <f t="shared" ca="1" si="48"/>
        <v/>
      </c>
      <c r="U425" s="97" t="str">
        <f t="shared" ca="1" si="49"/>
        <v/>
      </c>
    </row>
    <row r="426" spans="20:21" x14ac:dyDescent="0.25">
      <c r="T426" s="52" t="str">
        <f t="shared" ca="1" si="48"/>
        <v/>
      </c>
      <c r="U426" s="97" t="str">
        <f t="shared" ca="1" si="49"/>
        <v/>
      </c>
    </row>
    <row r="427" spans="20:21" x14ac:dyDescent="0.25">
      <c r="T427" s="52" t="str">
        <f t="shared" ca="1" si="48"/>
        <v/>
      </c>
      <c r="U427" s="97" t="str">
        <f t="shared" ca="1" si="49"/>
        <v/>
      </c>
    </row>
    <row r="428" spans="20:21" x14ac:dyDescent="0.25">
      <c r="T428" s="52" t="str">
        <f t="shared" ca="1" si="48"/>
        <v/>
      </c>
      <c r="U428" s="97" t="str">
        <f t="shared" ca="1" si="49"/>
        <v/>
      </c>
    </row>
    <row r="429" spans="20:21" x14ac:dyDescent="0.25">
      <c r="T429" s="52" t="str">
        <f t="shared" ca="1" si="48"/>
        <v/>
      </c>
      <c r="U429" s="97" t="str">
        <f t="shared" ca="1" si="49"/>
        <v/>
      </c>
    </row>
    <row r="430" spans="20:21" x14ac:dyDescent="0.25">
      <c r="T430" s="52" t="str">
        <f t="shared" ca="1" si="48"/>
        <v/>
      </c>
      <c r="U430" s="97" t="str">
        <f t="shared" ca="1" si="49"/>
        <v/>
      </c>
    </row>
    <row r="431" spans="20:21" x14ac:dyDescent="0.25">
      <c r="T431" s="52" t="str">
        <f t="shared" ca="1" si="48"/>
        <v/>
      </c>
      <c r="U431" s="97" t="str">
        <f t="shared" ca="1" si="49"/>
        <v/>
      </c>
    </row>
    <row r="432" spans="20:21" x14ac:dyDescent="0.25">
      <c r="T432" s="52" t="str">
        <f t="shared" ca="1" si="48"/>
        <v/>
      </c>
      <c r="U432" s="97" t="str">
        <f t="shared" ca="1" si="49"/>
        <v/>
      </c>
    </row>
    <row r="433" spans="20:21" x14ac:dyDescent="0.25">
      <c r="T433" s="52" t="str">
        <f t="shared" ca="1" si="48"/>
        <v/>
      </c>
      <c r="U433" s="97" t="str">
        <f t="shared" ca="1" si="49"/>
        <v/>
      </c>
    </row>
    <row r="434" spans="20:21" x14ac:dyDescent="0.25">
      <c r="T434" s="52" t="str">
        <f t="shared" ca="1" si="48"/>
        <v/>
      </c>
      <c r="U434" s="97" t="str">
        <f t="shared" ca="1" si="49"/>
        <v/>
      </c>
    </row>
    <row r="435" spans="20:21" x14ac:dyDescent="0.25">
      <c r="T435" s="52" t="str">
        <f t="shared" ca="1" si="48"/>
        <v/>
      </c>
      <c r="U435" s="97" t="str">
        <f t="shared" ca="1" si="49"/>
        <v/>
      </c>
    </row>
    <row r="436" spans="20:21" x14ac:dyDescent="0.25">
      <c r="T436" s="52" t="str">
        <f t="shared" ca="1" si="48"/>
        <v/>
      </c>
      <c r="U436" s="97" t="str">
        <f t="shared" ca="1" si="49"/>
        <v/>
      </c>
    </row>
    <row r="437" spans="20:21" x14ac:dyDescent="0.25">
      <c r="T437" s="52" t="str">
        <f t="shared" ca="1" si="48"/>
        <v/>
      </c>
      <c r="U437" s="97" t="str">
        <f t="shared" ca="1" si="49"/>
        <v/>
      </c>
    </row>
    <row r="438" spans="20:21" x14ac:dyDescent="0.25">
      <c r="T438" s="52" t="str">
        <f t="shared" ca="1" si="48"/>
        <v/>
      </c>
      <c r="U438" s="97" t="str">
        <f t="shared" ca="1" si="49"/>
        <v/>
      </c>
    </row>
    <row r="439" spans="20:21" x14ac:dyDescent="0.25">
      <c r="T439" s="52" t="str">
        <f t="shared" ca="1" si="48"/>
        <v/>
      </c>
      <c r="U439" s="97" t="str">
        <f t="shared" ca="1" si="49"/>
        <v/>
      </c>
    </row>
    <row r="440" spans="20:21" x14ac:dyDescent="0.25">
      <c r="T440" s="52" t="str">
        <f t="shared" ca="1" si="48"/>
        <v/>
      </c>
      <c r="U440" s="97" t="str">
        <f t="shared" ca="1" si="49"/>
        <v/>
      </c>
    </row>
    <row r="441" spans="20:21" x14ac:dyDescent="0.25">
      <c r="T441" s="52" t="str">
        <f t="shared" ca="1" si="48"/>
        <v/>
      </c>
      <c r="U441" s="97" t="str">
        <f t="shared" ca="1" si="49"/>
        <v/>
      </c>
    </row>
    <row r="442" spans="20:21" x14ac:dyDescent="0.25">
      <c r="T442" s="52" t="str">
        <f t="shared" ca="1" si="48"/>
        <v/>
      </c>
      <c r="U442" s="97" t="str">
        <f t="shared" ca="1" si="49"/>
        <v/>
      </c>
    </row>
    <row r="443" spans="20:21" x14ac:dyDescent="0.25">
      <c r="T443" s="52" t="str">
        <f t="shared" ca="1" si="48"/>
        <v/>
      </c>
      <c r="U443" s="97" t="str">
        <f t="shared" ca="1" si="49"/>
        <v/>
      </c>
    </row>
    <row r="444" spans="20:21" x14ac:dyDescent="0.25">
      <c r="T444" s="52" t="str">
        <f t="shared" ca="1" si="48"/>
        <v/>
      </c>
      <c r="U444" s="97" t="str">
        <f t="shared" ca="1" si="49"/>
        <v/>
      </c>
    </row>
    <row r="445" spans="20:21" x14ac:dyDescent="0.25">
      <c r="T445" s="52" t="str">
        <f t="shared" ca="1" si="48"/>
        <v/>
      </c>
      <c r="U445" s="97" t="str">
        <f t="shared" ca="1" si="49"/>
        <v/>
      </c>
    </row>
    <row r="446" spans="20:21" x14ac:dyDescent="0.25">
      <c r="T446" s="52" t="str">
        <f t="shared" ca="1" si="48"/>
        <v/>
      </c>
      <c r="U446" s="97" t="str">
        <f t="shared" ca="1" si="49"/>
        <v/>
      </c>
    </row>
    <row r="447" spans="20:21" x14ac:dyDescent="0.25">
      <c r="T447" s="52" t="str">
        <f t="shared" ca="1" si="48"/>
        <v/>
      </c>
      <c r="U447" s="97" t="str">
        <f t="shared" ca="1" si="49"/>
        <v/>
      </c>
    </row>
    <row r="448" spans="20:21" x14ac:dyDescent="0.25">
      <c r="T448" s="52" t="str">
        <f t="shared" ca="1" si="48"/>
        <v/>
      </c>
      <c r="U448" s="97" t="str">
        <f t="shared" ca="1" si="49"/>
        <v/>
      </c>
    </row>
    <row r="449" spans="20:21" x14ac:dyDescent="0.25">
      <c r="T449" s="52" t="str">
        <f t="shared" ca="1" si="48"/>
        <v/>
      </c>
      <c r="U449" s="97" t="str">
        <f t="shared" ca="1" si="49"/>
        <v/>
      </c>
    </row>
    <row r="450" spans="20:21" x14ac:dyDescent="0.25">
      <c r="T450" s="52" t="str">
        <f t="shared" ca="1" si="48"/>
        <v/>
      </c>
      <c r="U450" s="97" t="str">
        <f t="shared" ca="1" si="49"/>
        <v/>
      </c>
    </row>
    <row r="451" spans="20:21" x14ac:dyDescent="0.25">
      <c r="T451" s="52" t="str">
        <f t="shared" ref="T451:T514" ca="1" si="50">IF(COUNTIF(P:P,N451)*COUNTIF(R:R,N451),N451,"")</f>
        <v/>
      </c>
      <c r="U451" s="97" t="str">
        <f t="shared" ca="1" si="49"/>
        <v/>
      </c>
    </row>
    <row r="452" spans="20:21" x14ac:dyDescent="0.25">
      <c r="T452" s="52" t="str">
        <f t="shared" ca="1" si="50"/>
        <v/>
      </c>
      <c r="U452" s="97" t="str">
        <f t="shared" ref="U452:U515" ca="1" si="51">IF(T452&gt;=$A$14,T452,"")</f>
        <v/>
      </c>
    </row>
    <row r="453" spans="20:21" x14ac:dyDescent="0.25">
      <c r="T453" s="52" t="str">
        <f t="shared" ca="1" si="50"/>
        <v/>
      </c>
      <c r="U453" s="97" t="str">
        <f t="shared" ca="1" si="51"/>
        <v/>
      </c>
    </row>
    <row r="454" spans="20:21" x14ac:dyDescent="0.25">
      <c r="T454" s="52" t="str">
        <f t="shared" ca="1" si="50"/>
        <v/>
      </c>
      <c r="U454" s="97" t="str">
        <f t="shared" ca="1" si="51"/>
        <v/>
      </c>
    </row>
    <row r="455" spans="20:21" x14ac:dyDescent="0.25">
      <c r="T455" s="52" t="str">
        <f t="shared" ca="1" si="50"/>
        <v/>
      </c>
      <c r="U455" s="97" t="str">
        <f t="shared" ca="1" si="51"/>
        <v/>
      </c>
    </row>
    <row r="456" spans="20:21" x14ac:dyDescent="0.25">
      <c r="T456" s="52" t="str">
        <f t="shared" ca="1" si="50"/>
        <v/>
      </c>
      <c r="U456" s="97" t="str">
        <f t="shared" ca="1" si="51"/>
        <v/>
      </c>
    </row>
    <row r="457" spans="20:21" x14ac:dyDescent="0.25">
      <c r="T457" s="52" t="str">
        <f t="shared" ca="1" si="50"/>
        <v/>
      </c>
      <c r="U457" s="97" t="str">
        <f t="shared" ca="1" si="51"/>
        <v/>
      </c>
    </row>
    <row r="458" spans="20:21" x14ac:dyDescent="0.25">
      <c r="T458" s="52" t="str">
        <f t="shared" ca="1" si="50"/>
        <v/>
      </c>
      <c r="U458" s="97" t="str">
        <f t="shared" ca="1" si="51"/>
        <v/>
      </c>
    </row>
    <row r="459" spans="20:21" x14ac:dyDescent="0.25">
      <c r="T459" s="52" t="str">
        <f t="shared" ca="1" si="50"/>
        <v/>
      </c>
      <c r="U459" s="97" t="str">
        <f t="shared" ca="1" si="51"/>
        <v/>
      </c>
    </row>
    <row r="460" spans="20:21" x14ac:dyDescent="0.25">
      <c r="T460" s="52" t="str">
        <f t="shared" ca="1" si="50"/>
        <v/>
      </c>
      <c r="U460" s="97" t="str">
        <f t="shared" ca="1" si="51"/>
        <v/>
      </c>
    </row>
    <row r="461" spans="20:21" x14ac:dyDescent="0.25">
      <c r="T461" s="52" t="str">
        <f t="shared" ca="1" si="50"/>
        <v/>
      </c>
      <c r="U461" s="97" t="str">
        <f t="shared" ca="1" si="51"/>
        <v/>
      </c>
    </row>
    <row r="462" spans="20:21" x14ac:dyDescent="0.25">
      <c r="T462" s="52" t="str">
        <f t="shared" ca="1" si="50"/>
        <v/>
      </c>
      <c r="U462" s="97" t="str">
        <f t="shared" ca="1" si="51"/>
        <v/>
      </c>
    </row>
    <row r="463" spans="20:21" x14ac:dyDescent="0.25">
      <c r="T463" s="52" t="str">
        <f t="shared" ca="1" si="50"/>
        <v/>
      </c>
      <c r="U463" s="97" t="str">
        <f t="shared" ca="1" si="51"/>
        <v/>
      </c>
    </row>
    <row r="464" spans="20:21" x14ac:dyDescent="0.25">
      <c r="T464" s="52" t="str">
        <f t="shared" ca="1" si="50"/>
        <v/>
      </c>
      <c r="U464" s="97" t="str">
        <f t="shared" ca="1" si="51"/>
        <v/>
      </c>
    </row>
    <row r="465" spans="20:21" x14ac:dyDescent="0.25">
      <c r="T465" s="52" t="str">
        <f t="shared" ca="1" si="50"/>
        <v/>
      </c>
      <c r="U465" s="97" t="str">
        <f t="shared" ca="1" si="51"/>
        <v/>
      </c>
    </row>
    <row r="466" spans="20:21" x14ac:dyDescent="0.25">
      <c r="T466" s="52" t="str">
        <f t="shared" ca="1" si="50"/>
        <v/>
      </c>
      <c r="U466" s="97" t="str">
        <f t="shared" ca="1" si="51"/>
        <v/>
      </c>
    </row>
    <row r="467" spans="20:21" x14ac:dyDescent="0.25">
      <c r="T467" s="52" t="str">
        <f t="shared" ca="1" si="50"/>
        <v/>
      </c>
      <c r="U467" s="97" t="str">
        <f t="shared" ca="1" si="51"/>
        <v/>
      </c>
    </row>
    <row r="468" spans="20:21" x14ac:dyDescent="0.25">
      <c r="T468" s="52" t="str">
        <f t="shared" ca="1" si="50"/>
        <v/>
      </c>
      <c r="U468" s="97" t="str">
        <f t="shared" ca="1" si="51"/>
        <v/>
      </c>
    </row>
    <row r="469" spans="20:21" x14ac:dyDescent="0.25">
      <c r="T469" s="52" t="str">
        <f t="shared" ca="1" si="50"/>
        <v/>
      </c>
      <c r="U469" s="97" t="str">
        <f t="shared" ca="1" si="51"/>
        <v/>
      </c>
    </row>
    <row r="470" spans="20:21" x14ac:dyDescent="0.25">
      <c r="T470" s="52" t="str">
        <f t="shared" ca="1" si="50"/>
        <v/>
      </c>
      <c r="U470" s="97" t="str">
        <f t="shared" ca="1" si="51"/>
        <v/>
      </c>
    </row>
    <row r="471" spans="20:21" x14ac:dyDescent="0.25">
      <c r="T471" s="52" t="str">
        <f t="shared" ca="1" si="50"/>
        <v/>
      </c>
      <c r="U471" s="97" t="str">
        <f t="shared" ca="1" si="51"/>
        <v/>
      </c>
    </row>
    <row r="472" spans="20:21" x14ac:dyDescent="0.25">
      <c r="T472" s="52" t="str">
        <f t="shared" ca="1" si="50"/>
        <v/>
      </c>
      <c r="U472" s="97" t="str">
        <f t="shared" ca="1" si="51"/>
        <v/>
      </c>
    </row>
    <row r="473" spans="20:21" x14ac:dyDescent="0.25">
      <c r="T473" s="52" t="str">
        <f t="shared" ca="1" si="50"/>
        <v/>
      </c>
      <c r="U473" s="97" t="str">
        <f t="shared" ca="1" si="51"/>
        <v/>
      </c>
    </row>
    <row r="474" spans="20:21" x14ac:dyDescent="0.25">
      <c r="T474" s="52" t="str">
        <f t="shared" ca="1" si="50"/>
        <v/>
      </c>
      <c r="U474" s="97" t="str">
        <f t="shared" ca="1" si="51"/>
        <v/>
      </c>
    </row>
    <row r="475" spans="20:21" x14ac:dyDescent="0.25">
      <c r="T475" s="52" t="str">
        <f t="shared" ca="1" si="50"/>
        <v/>
      </c>
      <c r="U475" s="97" t="str">
        <f t="shared" ca="1" si="51"/>
        <v/>
      </c>
    </row>
    <row r="476" spans="20:21" x14ac:dyDescent="0.25">
      <c r="T476" s="52" t="str">
        <f t="shared" ca="1" si="50"/>
        <v/>
      </c>
      <c r="U476" s="97" t="str">
        <f t="shared" ca="1" si="51"/>
        <v/>
      </c>
    </row>
    <row r="477" spans="20:21" x14ac:dyDescent="0.25">
      <c r="T477" s="52" t="str">
        <f t="shared" ca="1" si="50"/>
        <v/>
      </c>
      <c r="U477" s="97" t="str">
        <f t="shared" ca="1" si="51"/>
        <v/>
      </c>
    </row>
    <row r="478" spans="20:21" x14ac:dyDescent="0.25">
      <c r="T478" s="52" t="str">
        <f t="shared" ca="1" si="50"/>
        <v/>
      </c>
      <c r="U478" s="97" t="str">
        <f t="shared" ca="1" si="51"/>
        <v/>
      </c>
    </row>
    <row r="479" spans="20:21" x14ac:dyDescent="0.25">
      <c r="T479" s="52" t="str">
        <f t="shared" ca="1" si="50"/>
        <v/>
      </c>
      <c r="U479" s="97" t="str">
        <f t="shared" ca="1" si="51"/>
        <v/>
      </c>
    </row>
    <row r="480" spans="20:21" x14ac:dyDescent="0.25">
      <c r="T480" s="52" t="str">
        <f t="shared" ca="1" si="50"/>
        <v/>
      </c>
      <c r="U480" s="97" t="str">
        <f t="shared" ca="1" si="51"/>
        <v/>
      </c>
    </row>
    <row r="481" spans="20:21" x14ac:dyDescent="0.25">
      <c r="T481" s="52" t="str">
        <f t="shared" ca="1" si="50"/>
        <v/>
      </c>
      <c r="U481" s="97" t="str">
        <f t="shared" ca="1" si="51"/>
        <v/>
      </c>
    </row>
    <row r="482" spans="20:21" x14ac:dyDescent="0.25">
      <c r="T482" s="52" t="str">
        <f t="shared" ca="1" si="50"/>
        <v/>
      </c>
      <c r="U482" s="97" t="str">
        <f t="shared" ca="1" si="51"/>
        <v/>
      </c>
    </row>
    <row r="483" spans="20:21" x14ac:dyDescent="0.25">
      <c r="T483" s="52" t="str">
        <f t="shared" ca="1" si="50"/>
        <v/>
      </c>
      <c r="U483" s="97" t="str">
        <f t="shared" ca="1" si="51"/>
        <v/>
      </c>
    </row>
    <row r="484" spans="20:21" x14ac:dyDescent="0.25">
      <c r="T484" s="52" t="str">
        <f t="shared" ca="1" si="50"/>
        <v/>
      </c>
      <c r="U484" s="97" t="str">
        <f t="shared" ca="1" si="51"/>
        <v/>
      </c>
    </row>
    <row r="485" spans="20:21" x14ac:dyDescent="0.25">
      <c r="T485" s="52" t="str">
        <f t="shared" ca="1" si="50"/>
        <v/>
      </c>
      <c r="U485" s="97" t="str">
        <f t="shared" ca="1" si="51"/>
        <v/>
      </c>
    </row>
    <row r="486" spans="20:21" x14ac:dyDescent="0.25">
      <c r="T486" s="52" t="str">
        <f t="shared" ca="1" si="50"/>
        <v/>
      </c>
      <c r="U486" s="97" t="str">
        <f t="shared" ca="1" si="51"/>
        <v/>
      </c>
    </row>
    <row r="487" spans="20:21" x14ac:dyDescent="0.25">
      <c r="T487" s="52" t="str">
        <f t="shared" ca="1" si="50"/>
        <v/>
      </c>
      <c r="U487" s="97" t="str">
        <f t="shared" ca="1" si="51"/>
        <v/>
      </c>
    </row>
    <row r="488" spans="20:21" x14ac:dyDescent="0.25">
      <c r="T488" s="52" t="str">
        <f t="shared" ca="1" si="50"/>
        <v/>
      </c>
      <c r="U488" s="97" t="str">
        <f t="shared" ca="1" si="51"/>
        <v/>
      </c>
    </row>
    <row r="489" spans="20:21" x14ac:dyDescent="0.25">
      <c r="T489" s="52" t="str">
        <f t="shared" ca="1" si="50"/>
        <v/>
      </c>
      <c r="U489" s="97" t="str">
        <f t="shared" ca="1" si="51"/>
        <v/>
      </c>
    </row>
    <row r="490" spans="20:21" x14ac:dyDescent="0.25">
      <c r="T490" s="52" t="str">
        <f t="shared" ca="1" si="50"/>
        <v/>
      </c>
      <c r="U490" s="97" t="str">
        <f t="shared" ca="1" si="51"/>
        <v/>
      </c>
    </row>
    <row r="491" spans="20:21" x14ac:dyDescent="0.25">
      <c r="T491" s="52" t="str">
        <f t="shared" ca="1" si="50"/>
        <v/>
      </c>
      <c r="U491" s="97" t="str">
        <f t="shared" ca="1" si="51"/>
        <v/>
      </c>
    </row>
    <row r="492" spans="20:21" x14ac:dyDescent="0.25">
      <c r="T492" s="52" t="str">
        <f t="shared" ca="1" si="50"/>
        <v/>
      </c>
      <c r="U492" s="97" t="str">
        <f t="shared" ca="1" si="51"/>
        <v/>
      </c>
    </row>
    <row r="493" spans="20:21" x14ac:dyDescent="0.25">
      <c r="T493" s="52" t="str">
        <f t="shared" ca="1" si="50"/>
        <v/>
      </c>
      <c r="U493" s="97" t="str">
        <f t="shared" ca="1" si="51"/>
        <v/>
      </c>
    </row>
    <row r="494" spans="20:21" x14ac:dyDescent="0.25">
      <c r="T494" s="52" t="str">
        <f t="shared" ca="1" si="50"/>
        <v/>
      </c>
      <c r="U494" s="97" t="str">
        <f t="shared" ca="1" si="51"/>
        <v/>
      </c>
    </row>
    <row r="495" spans="20:21" x14ac:dyDescent="0.25">
      <c r="T495" s="52" t="str">
        <f t="shared" ca="1" si="50"/>
        <v/>
      </c>
      <c r="U495" s="97" t="str">
        <f t="shared" ca="1" si="51"/>
        <v/>
      </c>
    </row>
    <row r="496" spans="20:21" x14ac:dyDescent="0.25">
      <c r="T496" s="52" t="str">
        <f t="shared" ca="1" si="50"/>
        <v/>
      </c>
      <c r="U496" s="97" t="str">
        <f t="shared" ca="1" si="51"/>
        <v/>
      </c>
    </row>
    <row r="497" spans="20:21" x14ac:dyDescent="0.25">
      <c r="T497" s="52" t="str">
        <f t="shared" ca="1" si="50"/>
        <v/>
      </c>
      <c r="U497" s="97" t="str">
        <f t="shared" ca="1" si="51"/>
        <v/>
      </c>
    </row>
    <row r="498" spans="20:21" x14ac:dyDescent="0.25">
      <c r="T498" s="52" t="str">
        <f t="shared" ca="1" si="50"/>
        <v/>
      </c>
      <c r="U498" s="97" t="str">
        <f t="shared" ca="1" si="51"/>
        <v/>
      </c>
    </row>
    <row r="499" spans="20:21" x14ac:dyDescent="0.25">
      <c r="T499" s="52" t="str">
        <f t="shared" ca="1" si="50"/>
        <v/>
      </c>
      <c r="U499" s="97" t="str">
        <f t="shared" ca="1" si="51"/>
        <v/>
      </c>
    </row>
    <row r="500" spans="20:21" x14ac:dyDescent="0.25">
      <c r="T500" s="52" t="str">
        <f t="shared" ca="1" si="50"/>
        <v/>
      </c>
      <c r="U500" s="97" t="str">
        <f t="shared" ca="1" si="51"/>
        <v/>
      </c>
    </row>
    <row r="501" spans="20:21" x14ac:dyDescent="0.25">
      <c r="T501" s="52" t="str">
        <f t="shared" ca="1" si="50"/>
        <v/>
      </c>
      <c r="U501" s="97" t="str">
        <f t="shared" ca="1" si="51"/>
        <v/>
      </c>
    </row>
    <row r="502" spans="20:21" x14ac:dyDescent="0.25">
      <c r="T502" s="52" t="str">
        <f t="shared" ca="1" si="50"/>
        <v/>
      </c>
      <c r="U502" s="97" t="str">
        <f t="shared" ca="1" si="51"/>
        <v/>
      </c>
    </row>
    <row r="503" spans="20:21" x14ac:dyDescent="0.25">
      <c r="T503" s="52" t="str">
        <f t="shared" ca="1" si="50"/>
        <v/>
      </c>
      <c r="U503" s="97" t="str">
        <f t="shared" ca="1" si="51"/>
        <v/>
      </c>
    </row>
    <row r="504" spans="20:21" x14ac:dyDescent="0.25">
      <c r="T504" s="52" t="str">
        <f t="shared" ca="1" si="50"/>
        <v/>
      </c>
      <c r="U504" s="97" t="str">
        <f t="shared" ca="1" si="51"/>
        <v/>
      </c>
    </row>
    <row r="505" spans="20:21" x14ac:dyDescent="0.25">
      <c r="T505" s="52" t="str">
        <f t="shared" ca="1" si="50"/>
        <v/>
      </c>
      <c r="U505" s="97" t="str">
        <f t="shared" ca="1" si="51"/>
        <v/>
      </c>
    </row>
    <row r="506" spans="20:21" x14ac:dyDescent="0.25">
      <c r="T506" s="52" t="str">
        <f t="shared" ca="1" si="50"/>
        <v/>
      </c>
      <c r="U506" s="97" t="str">
        <f t="shared" ca="1" si="51"/>
        <v/>
      </c>
    </row>
    <row r="507" spans="20:21" x14ac:dyDescent="0.25">
      <c r="T507" s="52" t="str">
        <f t="shared" ca="1" si="50"/>
        <v/>
      </c>
      <c r="U507" s="97" t="str">
        <f t="shared" ca="1" si="51"/>
        <v/>
      </c>
    </row>
    <row r="508" spans="20:21" x14ac:dyDescent="0.25">
      <c r="T508" s="52" t="str">
        <f t="shared" ca="1" si="50"/>
        <v/>
      </c>
      <c r="U508" s="97" t="str">
        <f t="shared" ca="1" si="51"/>
        <v/>
      </c>
    </row>
    <row r="509" spans="20:21" x14ac:dyDescent="0.25">
      <c r="T509" s="52" t="str">
        <f t="shared" ca="1" si="50"/>
        <v/>
      </c>
      <c r="U509" s="97" t="str">
        <f t="shared" ca="1" si="51"/>
        <v/>
      </c>
    </row>
    <row r="510" spans="20:21" x14ac:dyDescent="0.25">
      <c r="T510" s="52" t="str">
        <f t="shared" ca="1" si="50"/>
        <v/>
      </c>
      <c r="U510" s="97" t="str">
        <f t="shared" ca="1" si="51"/>
        <v/>
      </c>
    </row>
    <row r="511" spans="20:21" x14ac:dyDescent="0.25">
      <c r="T511" s="52" t="str">
        <f t="shared" ca="1" si="50"/>
        <v/>
      </c>
      <c r="U511" s="97" t="str">
        <f t="shared" ca="1" si="51"/>
        <v/>
      </c>
    </row>
    <row r="512" spans="20:21" x14ac:dyDescent="0.25">
      <c r="T512" s="52" t="str">
        <f t="shared" ca="1" si="50"/>
        <v/>
      </c>
      <c r="U512" s="97" t="str">
        <f t="shared" ca="1" si="51"/>
        <v/>
      </c>
    </row>
    <row r="513" spans="20:21" x14ac:dyDescent="0.25">
      <c r="T513" s="52" t="str">
        <f t="shared" ca="1" si="50"/>
        <v/>
      </c>
      <c r="U513" s="97" t="str">
        <f t="shared" ca="1" si="51"/>
        <v/>
      </c>
    </row>
    <row r="514" spans="20:21" x14ac:dyDescent="0.25">
      <c r="T514" s="52" t="str">
        <f t="shared" ca="1" si="50"/>
        <v/>
      </c>
      <c r="U514" s="97" t="str">
        <f t="shared" ca="1" si="51"/>
        <v/>
      </c>
    </row>
    <row r="515" spans="20:21" x14ac:dyDescent="0.25">
      <c r="T515" s="52" t="str">
        <f t="shared" ref="T515:T578" ca="1" si="52">IF(COUNTIF(P:P,N515)*COUNTIF(R:R,N515),N515,"")</f>
        <v/>
      </c>
      <c r="U515" s="97" t="str">
        <f t="shared" ca="1" si="51"/>
        <v/>
      </c>
    </row>
    <row r="516" spans="20:21" x14ac:dyDescent="0.25">
      <c r="T516" s="52" t="str">
        <f t="shared" ca="1" si="52"/>
        <v/>
      </c>
      <c r="U516" s="97" t="str">
        <f t="shared" ref="U516:U579" ca="1" si="53">IF(T516&gt;=$A$14,T516,"")</f>
        <v/>
      </c>
    </row>
    <row r="517" spans="20:21" x14ac:dyDescent="0.25">
      <c r="T517" s="52" t="str">
        <f t="shared" ca="1" si="52"/>
        <v/>
      </c>
      <c r="U517" s="97" t="str">
        <f t="shared" ca="1" si="53"/>
        <v/>
      </c>
    </row>
    <row r="518" spans="20:21" x14ac:dyDescent="0.25">
      <c r="T518" s="52" t="str">
        <f t="shared" ca="1" si="52"/>
        <v/>
      </c>
      <c r="U518" s="97" t="str">
        <f t="shared" ca="1" si="53"/>
        <v/>
      </c>
    </row>
    <row r="519" spans="20:21" x14ac:dyDescent="0.25">
      <c r="T519" s="52" t="str">
        <f t="shared" ca="1" si="52"/>
        <v/>
      </c>
      <c r="U519" s="97" t="str">
        <f t="shared" ca="1" si="53"/>
        <v/>
      </c>
    </row>
    <row r="520" spans="20:21" x14ac:dyDescent="0.25">
      <c r="T520" s="52" t="str">
        <f t="shared" ca="1" si="52"/>
        <v/>
      </c>
      <c r="U520" s="97" t="str">
        <f t="shared" ca="1" si="53"/>
        <v/>
      </c>
    </row>
    <row r="521" spans="20:21" x14ac:dyDescent="0.25">
      <c r="T521" s="52" t="str">
        <f t="shared" ca="1" si="52"/>
        <v/>
      </c>
      <c r="U521" s="97" t="str">
        <f t="shared" ca="1" si="53"/>
        <v/>
      </c>
    </row>
    <row r="522" spans="20:21" x14ac:dyDescent="0.25">
      <c r="T522" s="52" t="str">
        <f t="shared" ca="1" si="52"/>
        <v/>
      </c>
      <c r="U522" s="97" t="str">
        <f t="shared" ca="1" si="53"/>
        <v/>
      </c>
    </row>
    <row r="523" spans="20:21" x14ac:dyDescent="0.25">
      <c r="T523" s="52" t="str">
        <f t="shared" ca="1" si="52"/>
        <v/>
      </c>
      <c r="U523" s="97" t="str">
        <f t="shared" ca="1" si="53"/>
        <v/>
      </c>
    </row>
    <row r="524" spans="20:21" x14ac:dyDescent="0.25">
      <c r="T524" s="52" t="str">
        <f t="shared" ca="1" si="52"/>
        <v/>
      </c>
      <c r="U524" s="97" t="str">
        <f t="shared" ca="1" si="53"/>
        <v/>
      </c>
    </row>
    <row r="525" spans="20:21" x14ac:dyDescent="0.25">
      <c r="T525" s="52" t="str">
        <f t="shared" ca="1" si="52"/>
        <v/>
      </c>
      <c r="U525" s="97" t="str">
        <f t="shared" ca="1" si="53"/>
        <v/>
      </c>
    </row>
    <row r="526" spans="20:21" x14ac:dyDescent="0.25">
      <c r="T526" s="52" t="str">
        <f t="shared" ca="1" si="52"/>
        <v/>
      </c>
      <c r="U526" s="97" t="str">
        <f t="shared" ca="1" si="53"/>
        <v/>
      </c>
    </row>
    <row r="527" spans="20:21" x14ac:dyDescent="0.25">
      <c r="T527" s="52" t="str">
        <f t="shared" ca="1" si="52"/>
        <v/>
      </c>
      <c r="U527" s="97" t="str">
        <f t="shared" ca="1" si="53"/>
        <v/>
      </c>
    </row>
    <row r="528" spans="20:21" x14ac:dyDescent="0.25">
      <c r="T528" s="52" t="str">
        <f t="shared" ca="1" si="52"/>
        <v/>
      </c>
      <c r="U528" s="97" t="str">
        <f t="shared" ca="1" si="53"/>
        <v/>
      </c>
    </row>
    <row r="529" spans="20:21" x14ac:dyDescent="0.25">
      <c r="T529" s="52" t="str">
        <f t="shared" ca="1" si="52"/>
        <v/>
      </c>
      <c r="U529" s="97" t="str">
        <f t="shared" ca="1" si="53"/>
        <v/>
      </c>
    </row>
    <row r="530" spans="20:21" x14ac:dyDescent="0.25">
      <c r="T530" s="52" t="str">
        <f t="shared" ca="1" si="52"/>
        <v/>
      </c>
      <c r="U530" s="97" t="str">
        <f t="shared" ca="1" si="53"/>
        <v/>
      </c>
    </row>
    <row r="531" spans="20:21" x14ac:dyDescent="0.25">
      <c r="T531" s="52" t="str">
        <f t="shared" ca="1" si="52"/>
        <v/>
      </c>
      <c r="U531" s="97" t="str">
        <f t="shared" ca="1" si="53"/>
        <v/>
      </c>
    </row>
    <row r="532" spans="20:21" x14ac:dyDescent="0.25">
      <c r="T532" s="52" t="str">
        <f t="shared" ca="1" si="52"/>
        <v/>
      </c>
      <c r="U532" s="97" t="str">
        <f t="shared" ca="1" si="53"/>
        <v/>
      </c>
    </row>
    <row r="533" spans="20:21" x14ac:dyDescent="0.25">
      <c r="T533" s="52" t="str">
        <f t="shared" ca="1" si="52"/>
        <v/>
      </c>
      <c r="U533" s="97" t="str">
        <f t="shared" ca="1" si="53"/>
        <v/>
      </c>
    </row>
    <row r="534" spans="20:21" x14ac:dyDescent="0.25">
      <c r="T534" s="52" t="str">
        <f t="shared" ca="1" si="52"/>
        <v/>
      </c>
      <c r="U534" s="97" t="str">
        <f t="shared" ca="1" si="53"/>
        <v/>
      </c>
    </row>
    <row r="535" spans="20:21" x14ac:dyDescent="0.25">
      <c r="T535" s="52" t="str">
        <f t="shared" ca="1" si="52"/>
        <v/>
      </c>
      <c r="U535" s="97" t="str">
        <f t="shared" ca="1" si="53"/>
        <v/>
      </c>
    </row>
    <row r="536" spans="20:21" x14ac:dyDescent="0.25">
      <c r="T536" s="52" t="str">
        <f t="shared" ca="1" si="52"/>
        <v/>
      </c>
      <c r="U536" s="97" t="str">
        <f t="shared" ca="1" si="53"/>
        <v/>
      </c>
    </row>
    <row r="537" spans="20:21" x14ac:dyDescent="0.25">
      <c r="T537" s="52" t="str">
        <f t="shared" ca="1" si="52"/>
        <v/>
      </c>
      <c r="U537" s="97" t="str">
        <f t="shared" ca="1" si="53"/>
        <v/>
      </c>
    </row>
    <row r="538" spans="20:21" x14ac:dyDescent="0.25">
      <c r="T538" s="52" t="str">
        <f t="shared" ca="1" si="52"/>
        <v/>
      </c>
      <c r="U538" s="97" t="str">
        <f t="shared" ca="1" si="53"/>
        <v/>
      </c>
    </row>
    <row r="539" spans="20:21" x14ac:dyDescent="0.25">
      <c r="T539" s="52" t="str">
        <f t="shared" ca="1" si="52"/>
        <v/>
      </c>
      <c r="U539" s="97" t="str">
        <f t="shared" ca="1" si="53"/>
        <v/>
      </c>
    </row>
    <row r="540" spans="20:21" x14ac:dyDescent="0.25">
      <c r="T540" s="52" t="str">
        <f t="shared" ca="1" si="52"/>
        <v/>
      </c>
      <c r="U540" s="97" t="str">
        <f t="shared" ca="1" si="53"/>
        <v/>
      </c>
    </row>
    <row r="541" spans="20:21" x14ac:dyDescent="0.25">
      <c r="T541" s="52" t="str">
        <f t="shared" ca="1" si="52"/>
        <v/>
      </c>
      <c r="U541" s="97" t="str">
        <f t="shared" ca="1" si="53"/>
        <v/>
      </c>
    </row>
    <row r="542" spans="20:21" x14ac:dyDescent="0.25">
      <c r="T542" s="52" t="str">
        <f t="shared" ca="1" si="52"/>
        <v/>
      </c>
      <c r="U542" s="97" t="str">
        <f t="shared" ca="1" si="53"/>
        <v/>
      </c>
    </row>
    <row r="543" spans="20:21" x14ac:dyDescent="0.25">
      <c r="T543" s="52" t="str">
        <f t="shared" ca="1" si="52"/>
        <v/>
      </c>
      <c r="U543" s="97" t="str">
        <f t="shared" ca="1" si="53"/>
        <v/>
      </c>
    </row>
    <row r="544" spans="20:21" x14ac:dyDescent="0.25">
      <c r="T544" s="52" t="str">
        <f t="shared" ca="1" si="52"/>
        <v/>
      </c>
      <c r="U544" s="97" t="str">
        <f t="shared" ca="1" si="53"/>
        <v/>
      </c>
    </row>
    <row r="545" spans="20:21" x14ac:dyDescent="0.25">
      <c r="T545" s="52" t="str">
        <f t="shared" ca="1" si="52"/>
        <v/>
      </c>
      <c r="U545" s="97" t="str">
        <f t="shared" ca="1" si="53"/>
        <v/>
      </c>
    </row>
    <row r="546" spans="20:21" x14ac:dyDescent="0.25">
      <c r="T546" s="52" t="str">
        <f t="shared" ca="1" si="52"/>
        <v/>
      </c>
      <c r="U546" s="97" t="str">
        <f t="shared" ca="1" si="53"/>
        <v/>
      </c>
    </row>
    <row r="547" spans="20:21" x14ac:dyDescent="0.25">
      <c r="T547" s="52" t="str">
        <f t="shared" ca="1" si="52"/>
        <v/>
      </c>
      <c r="U547" s="97" t="str">
        <f t="shared" ca="1" si="53"/>
        <v/>
      </c>
    </row>
    <row r="548" spans="20:21" x14ac:dyDescent="0.25">
      <c r="T548" s="52" t="str">
        <f t="shared" ca="1" si="52"/>
        <v/>
      </c>
      <c r="U548" s="97" t="str">
        <f t="shared" ca="1" si="53"/>
        <v/>
      </c>
    </row>
    <row r="549" spans="20:21" x14ac:dyDescent="0.25">
      <c r="T549" s="52" t="str">
        <f t="shared" ca="1" si="52"/>
        <v/>
      </c>
      <c r="U549" s="97" t="str">
        <f t="shared" ca="1" si="53"/>
        <v/>
      </c>
    </row>
    <row r="550" spans="20:21" x14ac:dyDescent="0.25">
      <c r="T550" s="52" t="str">
        <f t="shared" ca="1" si="52"/>
        <v/>
      </c>
      <c r="U550" s="97" t="str">
        <f t="shared" ca="1" si="53"/>
        <v/>
      </c>
    </row>
    <row r="551" spans="20:21" x14ac:dyDescent="0.25">
      <c r="T551" s="52" t="str">
        <f t="shared" ca="1" si="52"/>
        <v/>
      </c>
      <c r="U551" s="97" t="str">
        <f t="shared" ca="1" si="53"/>
        <v/>
      </c>
    </row>
    <row r="552" spans="20:21" x14ac:dyDescent="0.25">
      <c r="T552" s="52" t="str">
        <f t="shared" ca="1" si="52"/>
        <v/>
      </c>
      <c r="U552" s="97" t="str">
        <f t="shared" ca="1" si="53"/>
        <v/>
      </c>
    </row>
    <row r="553" spans="20:21" x14ac:dyDescent="0.25">
      <c r="T553" s="52" t="str">
        <f t="shared" ca="1" si="52"/>
        <v/>
      </c>
      <c r="U553" s="97" t="str">
        <f t="shared" ca="1" si="53"/>
        <v/>
      </c>
    </row>
    <row r="554" spans="20:21" x14ac:dyDescent="0.25">
      <c r="T554" s="52" t="str">
        <f t="shared" ca="1" si="52"/>
        <v/>
      </c>
      <c r="U554" s="97" t="str">
        <f t="shared" ca="1" si="53"/>
        <v/>
      </c>
    </row>
    <row r="555" spans="20:21" x14ac:dyDescent="0.25">
      <c r="T555" s="52" t="str">
        <f t="shared" ca="1" si="52"/>
        <v/>
      </c>
      <c r="U555" s="97" t="str">
        <f t="shared" ca="1" si="53"/>
        <v/>
      </c>
    </row>
    <row r="556" spans="20:21" x14ac:dyDescent="0.25">
      <c r="T556" s="52" t="str">
        <f t="shared" ca="1" si="52"/>
        <v/>
      </c>
      <c r="U556" s="97" t="str">
        <f t="shared" ca="1" si="53"/>
        <v/>
      </c>
    </row>
    <row r="557" spans="20:21" x14ac:dyDescent="0.25">
      <c r="T557" s="52" t="str">
        <f t="shared" ca="1" si="52"/>
        <v/>
      </c>
      <c r="U557" s="97" t="str">
        <f t="shared" ca="1" si="53"/>
        <v/>
      </c>
    </row>
    <row r="558" spans="20:21" x14ac:dyDescent="0.25">
      <c r="T558" s="52" t="str">
        <f t="shared" ca="1" si="52"/>
        <v/>
      </c>
      <c r="U558" s="97" t="str">
        <f t="shared" ca="1" si="53"/>
        <v/>
      </c>
    </row>
    <row r="559" spans="20:21" x14ac:dyDescent="0.25">
      <c r="T559" s="52" t="str">
        <f t="shared" ca="1" si="52"/>
        <v/>
      </c>
      <c r="U559" s="97" t="str">
        <f t="shared" ca="1" si="53"/>
        <v/>
      </c>
    </row>
    <row r="560" spans="20:21" x14ac:dyDescent="0.25">
      <c r="T560" s="52" t="str">
        <f t="shared" ca="1" si="52"/>
        <v/>
      </c>
      <c r="U560" s="97" t="str">
        <f t="shared" ca="1" si="53"/>
        <v/>
      </c>
    </row>
    <row r="561" spans="20:21" x14ac:dyDescent="0.25">
      <c r="T561" s="52" t="str">
        <f t="shared" ca="1" si="52"/>
        <v/>
      </c>
      <c r="U561" s="97" t="str">
        <f t="shared" ca="1" si="53"/>
        <v/>
      </c>
    </row>
    <row r="562" spans="20:21" x14ac:dyDescent="0.25">
      <c r="T562" s="52" t="str">
        <f t="shared" ca="1" si="52"/>
        <v/>
      </c>
      <c r="U562" s="97" t="str">
        <f t="shared" ca="1" si="53"/>
        <v/>
      </c>
    </row>
    <row r="563" spans="20:21" x14ac:dyDescent="0.25">
      <c r="T563" s="52" t="str">
        <f t="shared" ca="1" si="52"/>
        <v/>
      </c>
      <c r="U563" s="97" t="str">
        <f t="shared" ca="1" si="53"/>
        <v/>
      </c>
    </row>
    <row r="564" spans="20:21" x14ac:dyDescent="0.25">
      <c r="T564" s="52" t="str">
        <f t="shared" ca="1" si="52"/>
        <v/>
      </c>
      <c r="U564" s="97" t="str">
        <f t="shared" ca="1" si="53"/>
        <v/>
      </c>
    </row>
    <row r="565" spans="20:21" x14ac:dyDescent="0.25">
      <c r="T565" s="52" t="str">
        <f t="shared" ca="1" si="52"/>
        <v/>
      </c>
      <c r="U565" s="97" t="str">
        <f t="shared" ca="1" si="53"/>
        <v/>
      </c>
    </row>
    <row r="566" spans="20:21" x14ac:dyDescent="0.25">
      <c r="T566" s="52" t="str">
        <f t="shared" ca="1" si="52"/>
        <v/>
      </c>
      <c r="U566" s="97" t="str">
        <f t="shared" ca="1" si="53"/>
        <v/>
      </c>
    </row>
    <row r="567" spans="20:21" x14ac:dyDescent="0.25">
      <c r="T567" s="52" t="str">
        <f t="shared" ca="1" si="52"/>
        <v/>
      </c>
      <c r="U567" s="97" t="str">
        <f t="shared" ca="1" si="53"/>
        <v/>
      </c>
    </row>
    <row r="568" spans="20:21" x14ac:dyDescent="0.25">
      <c r="T568" s="52" t="str">
        <f t="shared" ca="1" si="52"/>
        <v/>
      </c>
      <c r="U568" s="97" t="str">
        <f t="shared" ca="1" si="53"/>
        <v/>
      </c>
    </row>
    <row r="569" spans="20:21" x14ac:dyDescent="0.25">
      <c r="T569" s="52" t="str">
        <f t="shared" ca="1" si="52"/>
        <v/>
      </c>
      <c r="U569" s="97" t="str">
        <f t="shared" ca="1" si="53"/>
        <v/>
      </c>
    </row>
    <row r="570" spans="20:21" x14ac:dyDescent="0.25">
      <c r="T570" s="52" t="str">
        <f t="shared" ca="1" si="52"/>
        <v/>
      </c>
      <c r="U570" s="97" t="str">
        <f t="shared" ca="1" si="53"/>
        <v/>
      </c>
    </row>
    <row r="571" spans="20:21" x14ac:dyDescent="0.25">
      <c r="T571" s="52" t="str">
        <f t="shared" ca="1" si="52"/>
        <v/>
      </c>
      <c r="U571" s="97" t="str">
        <f t="shared" ca="1" si="53"/>
        <v/>
      </c>
    </row>
    <row r="572" spans="20:21" x14ac:dyDescent="0.25">
      <c r="T572" s="52" t="str">
        <f t="shared" ca="1" si="52"/>
        <v/>
      </c>
      <c r="U572" s="97" t="str">
        <f t="shared" ca="1" si="53"/>
        <v/>
      </c>
    </row>
    <row r="573" spans="20:21" x14ac:dyDescent="0.25">
      <c r="T573" s="52" t="str">
        <f t="shared" ca="1" si="52"/>
        <v/>
      </c>
      <c r="U573" s="97" t="str">
        <f t="shared" ca="1" si="53"/>
        <v/>
      </c>
    </row>
    <row r="574" spans="20:21" x14ac:dyDescent="0.25">
      <c r="T574" s="52" t="str">
        <f t="shared" ca="1" si="52"/>
        <v/>
      </c>
      <c r="U574" s="97" t="str">
        <f t="shared" ca="1" si="53"/>
        <v/>
      </c>
    </row>
    <row r="575" spans="20:21" x14ac:dyDescent="0.25">
      <c r="T575" s="52" t="str">
        <f t="shared" ca="1" si="52"/>
        <v/>
      </c>
      <c r="U575" s="97" t="str">
        <f t="shared" ca="1" si="53"/>
        <v/>
      </c>
    </row>
    <row r="576" spans="20:21" x14ac:dyDescent="0.25">
      <c r="T576" s="52" t="str">
        <f t="shared" ca="1" si="52"/>
        <v/>
      </c>
      <c r="U576" s="97" t="str">
        <f t="shared" ca="1" si="53"/>
        <v/>
      </c>
    </row>
    <row r="577" spans="20:21" x14ac:dyDescent="0.25">
      <c r="T577" s="52" t="str">
        <f t="shared" ca="1" si="52"/>
        <v/>
      </c>
      <c r="U577" s="97" t="str">
        <f t="shared" ca="1" si="53"/>
        <v/>
      </c>
    </row>
    <row r="578" spans="20:21" x14ac:dyDescent="0.25">
      <c r="T578" s="52" t="str">
        <f t="shared" ca="1" si="52"/>
        <v/>
      </c>
      <c r="U578" s="97" t="str">
        <f t="shared" ca="1" si="53"/>
        <v/>
      </c>
    </row>
    <row r="579" spans="20:21" x14ac:dyDescent="0.25">
      <c r="T579" s="52" t="str">
        <f t="shared" ref="T579:T642" ca="1" si="54">IF(COUNTIF(P:P,N579)*COUNTIF(R:R,N579),N579,"")</f>
        <v/>
      </c>
      <c r="U579" s="97" t="str">
        <f t="shared" ca="1" si="53"/>
        <v/>
      </c>
    </row>
    <row r="580" spans="20:21" x14ac:dyDescent="0.25">
      <c r="T580" s="52" t="str">
        <f t="shared" ca="1" si="54"/>
        <v/>
      </c>
      <c r="U580" s="97" t="str">
        <f t="shared" ref="U580:U643" ca="1" si="55">IF(T580&gt;=$A$14,T580,"")</f>
        <v/>
      </c>
    </row>
    <row r="581" spans="20:21" x14ac:dyDescent="0.25">
      <c r="T581" s="52" t="str">
        <f t="shared" ca="1" si="54"/>
        <v/>
      </c>
      <c r="U581" s="97" t="str">
        <f t="shared" ca="1" si="55"/>
        <v/>
      </c>
    </row>
    <row r="582" spans="20:21" x14ac:dyDescent="0.25">
      <c r="T582" s="52" t="str">
        <f t="shared" ca="1" si="54"/>
        <v/>
      </c>
      <c r="U582" s="97" t="str">
        <f t="shared" ca="1" si="55"/>
        <v/>
      </c>
    </row>
    <row r="583" spans="20:21" x14ac:dyDescent="0.25">
      <c r="T583" s="52" t="str">
        <f t="shared" ca="1" si="54"/>
        <v/>
      </c>
      <c r="U583" s="97" t="str">
        <f t="shared" ca="1" si="55"/>
        <v/>
      </c>
    </row>
    <row r="584" spans="20:21" x14ac:dyDescent="0.25">
      <c r="T584" s="52" t="str">
        <f t="shared" ca="1" si="54"/>
        <v/>
      </c>
      <c r="U584" s="97" t="str">
        <f t="shared" ca="1" si="55"/>
        <v/>
      </c>
    </row>
    <row r="585" spans="20:21" x14ac:dyDescent="0.25">
      <c r="T585" s="52" t="str">
        <f t="shared" ca="1" si="54"/>
        <v/>
      </c>
      <c r="U585" s="97" t="str">
        <f t="shared" ca="1" si="55"/>
        <v/>
      </c>
    </row>
    <row r="586" spans="20:21" x14ac:dyDescent="0.25">
      <c r="T586" s="52" t="str">
        <f t="shared" ca="1" si="54"/>
        <v/>
      </c>
      <c r="U586" s="97" t="str">
        <f t="shared" ca="1" si="55"/>
        <v/>
      </c>
    </row>
    <row r="587" spans="20:21" x14ac:dyDescent="0.25">
      <c r="T587" s="52" t="str">
        <f t="shared" ca="1" si="54"/>
        <v/>
      </c>
      <c r="U587" s="97" t="str">
        <f t="shared" ca="1" si="55"/>
        <v/>
      </c>
    </row>
    <row r="588" spans="20:21" x14ac:dyDescent="0.25">
      <c r="T588" s="52" t="str">
        <f t="shared" ca="1" si="54"/>
        <v/>
      </c>
      <c r="U588" s="97" t="str">
        <f t="shared" ca="1" si="55"/>
        <v/>
      </c>
    </row>
    <row r="589" spans="20:21" x14ac:dyDescent="0.25">
      <c r="T589" s="52" t="str">
        <f t="shared" ca="1" si="54"/>
        <v/>
      </c>
      <c r="U589" s="97" t="str">
        <f t="shared" ca="1" si="55"/>
        <v/>
      </c>
    </row>
    <row r="590" spans="20:21" x14ac:dyDescent="0.25">
      <c r="T590" s="52" t="str">
        <f t="shared" ca="1" si="54"/>
        <v/>
      </c>
      <c r="U590" s="97" t="str">
        <f t="shared" ca="1" si="55"/>
        <v/>
      </c>
    </row>
    <row r="591" spans="20:21" x14ac:dyDescent="0.25">
      <c r="T591" s="52" t="str">
        <f t="shared" ca="1" si="54"/>
        <v/>
      </c>
      <c r="U591" s="97" t="str">
        <f t="shared" ca="1" si="55"/>
        <v/>
      </c>
    </row>
    <row r="592" spans="20:21" x14ac:dyDescent="0.25">
      <c r="T592" s="52" t="str">
        <f t="shared" ca="1" si="54"/>
        <v/>
      </c>
      <c r="U592" s="97" t="str">
        <f t="shared" ca="1" si="55"/>
        <v/>
      </c>
    </row>
    <row r="593" spans="20:21" x14ac:dyDescent="0.25">
      <c r="T593" s="52" t="str">
        <f t="shared" ca="1" si="54"/>
        <v/>
      </c>
      <c r="U593" s="97" t="str">
        <f t="shared" ca="1" si="55"/>
        <v/>
      </c>
    </row>
    <row r="594" spans="20:21" x14ac:dyDescent="0.25">
      <c r="T594" s="52" t="str">
        <f t="shared" ca="1" si="54"/>
        <v/>
      </c>
      <c r="U594" s="97" t="str">
        <f t="shared" ca="1" si="55"/>
        <v/>
      </c>
    </row>
    <row r="595" spans="20:21" x14ac:dyDescent="0.25">
      <c r="T595" s="52" t="str">
        <f t="shared" ca="1" si="54"/>
        <v/>
      </c>
      <c r="U595" s="97" t="str">
        <f t="shared" ca="1" si="55"/>
        <v/>
      </c>
    </row>
    <row r="596" spans="20:21" x14ac:dyDescent="0.25">
      <c r="T596" s="52" t="str">
        <f t="shared" ca="1" si="54"/>
        <v/>
      </c>
      <c r="U596" s="97" t="str">
        <f t="shared" ca="1" si="55"/>
        <v/>
      </c>
    </row>
    <row r="597" spans="20:21" x14ac:dyDescent="0.25">
      <c r="T597" s="52" t="str">
        <f t="shared" ca="1" si="54"/>
        <v/>
      </c>
      <c r="U597" s="97" t="str">
        <f t="shared" ca="1" si="55"/>
        <v/>
      </c>
    </row>
    <row r="598" spans="20:21" x14ac:dyDescent="0.25">
      <c r="T598" s="52" t="str">
        <f t="shared" ca="1" si="54"/>
        <v/>
      </c>
      <c r="U598" s="97" t="str">
        <f t="shared" ca="1" si="55"/>
        <v/>
      </c>
    </row>
    <row r="599" spans="20:21" x14ac:dyDescent="0.25">
      <c r="T599" s="52" t="str">
        <f t="shared" ca="1" si="54"/>
        <v/>
      </c>
      <c r="U599" s="97" t="str">
        <f t="shared" ca="1" si="55"/>
        <v/>
      </c>
    </row>
    <row r="600" spans="20:21" x14ac:dyDescent="0.25">
      <c r="T600" s="52" t="str">
        <f t="shared" ca="1" si="54"/>
        <v/>
      </c>
      <c r="U600" s="97" t="str">
        <f t="shared" ca="1" si="55"/>
        <v/>
      </c>
    </row>
    <row r="601" spans="20:21" x14ac:dyDescent="0.25">
      <c r="T601" s="52" t="str">
        <f t="shared" ca="1" si="54"/>
        <v/>
      </c>
      <c r="U601" s="97" t="str">
        <f t="shared" ca="1" si="55"/>
        <v/>
      </c>
    </row>
    <row r="602" spans="20:21" x14ac:dyDescent="0.25">
      <c r="T602" s="52" t="str">
        <f t="shared" ca="1" si="54"/>
        <v/>
      </c>
      <c r="U602" s="97" t="str">
        <f t="shared" ca="1" si="55"/>
        <v/>
      </c>
    </row>
    <row r="603" spans="20:21" x14ac:dyDescent="0.25">
      <c r="T603" s="52" t="str">
        <f t="shared" ca="1" si="54"/>
        <v/>
      </c>
      <c r="U603" s="97" t="str">
        <f t="shared" ca="1" si="55"/>
        <v/>
      </c>
    </row>
    <row r="604" spans="20:21" x14ac:dyDescent="0.25">
      <c r="T604" s="52" t="str">
        <f t="shared" ca="1" si="54"/>
        <v/>
      </c>
      <c r="U604" s="97" t="str">
        <f t="shared" ca="1" si="55"/>
        <v/>
      </c>
    </row>
    <row r="605" spans="20:21" x14ac:dyDescent="0.25">
      <c r="T605" s="52" t="str">
        <f t="shared" ca="1" si="54"/>
        <v/>
      </c>
      <c r="U605" s="97" t="str">
        <f t="shared" ca="1" si="55"/>
        <v/>
      </c>
    </row>
    <row r="606" spans="20:21" x14ac:dyDescent="0.25">
      <c r="T606" s="52" t="str">
        <f t="shared" ca="1" si="54"/>
        <v/>
      </c>
      <c r="U606" s="97" t="str">
        <f t="shared" ca="1" si="55"/>
        <v/>
      </c>
    </row>
    <row r="607" spans="20:21" x14ac:dyDescent="0.25">
      <c r="T607" s="52" t="str">
        <f t="shared" ca="1" si="54"/>
        <v/>
      </c>
      <c r="U607" s="97" t="str">
        <f t="shared" ca="1" si="55"/>
        <v/>
      </c>
    </row>
    <row r="608" spans="20:21" x14ac:dyDescent="0.25">
      <c r="T608" s="52" t="str">
        <f t="shared" ca="1" si="54"/>
        <v/>
      </c>
      <c r="U608" s="97" t="str">
        <f t="shared" ca="1" si="55"/>
        <v/>
      </c>
    </row>
    <row r="609" spans="20:21" x14ac:dyDescent="0.25">
      <c r="T609" s="52" t="str">
        <f t="shared" ca="1" si="54"/>
        <v/>
      </c>
      <c r="U609" s="97" t="str">
        <f t="shared" ca="1" si="55"/>
        <v/>
      </c>
    </row>
    <row r="610" spans="20:21" x14ac:dyDescent="0.25">
      <c r="T610" s="52" t="str">
        <f t="shared" ca="1" si="54"/>
        <v/>
      </c>
      <c r="U610" s="97" t="str">
        <f t="shared" ca="1" si="55"/>
        <v/>
      </c>
    </row>
    <row r="611" spans="20:21" x14ac:dyDescent="0.25">
      <c r="T611" s="52" t="str">
        <f t="shared" ca="1" si="54"/>
        <v/>
      </c>
      <c r="U611" s="97" t="str">
        <f t="shared" ca="1" si="55"/>
        <v/>
      </c>
    </row>
    <row r="612" spans="20:21" x14ac:dyDescent="0.25">
      <c r="T612" s="52" t="str">
        <f t="shared" ca="1" si="54"/>
        <v/>
      </c>
      <c r="U612" s="97" t="str">
        <f t="shared" ca="1" si="55"/>
        <v/>
      </c>
    </row>
    <row r="613" spans="20:21" x14ac:dyDescent="0.25">
      <c r="T613" s="52" t="str">
        <f t="shared" ca="1" si="54"/>
        <v/>
      </c>
      <c r="U613" s="97" t="str">
        <f t="shared" ca="1" si="55"/>
        <v/>
      </c>
    </row>
    <row r="614" spans="20:21" x14ac:dyDescent="0.25">
      <c r="T614" s="52" t="str">
        <f t="shared" ca="1" si="54"/>
        <v/>
      </c>
      <c r="U614" s="97" t="str">
        <f t="shared" ca="1" si="55"/>
        <v/>
      </c>
    </row>
    <row r="615" spans="20:21" x14ac:dyDescent="0.25">
      <c r="T615" s="52" t="str">
        <f t="shared" ca="1" si="54"/>
        <v/>
      </c>
      <c r="U615" s="97" t="str">
        <f t="shared" ca="1" si="55"/>
        <v/>
      </c>
    </row>
    <row r="616" spans="20:21" x14ac:dyDescent="0.25">
      <c r="T616" s="52" t="str">
        <f t="shared" ca="1" si="54"/>
        <v/>
      </c>
      <c r="U616" s="97" t="str">
        <f t="shared" ca="1" si="55"/>
        <v/>
      </c>
    </row>
    <row r="617" spans="20:21" x14ac:dyDescent="0.25">
      <c r="T617" s="52" t="str">
        <f t="shared" ca="1" si="54"/>
        <v/>
      </c>
      <c r="U617" s="97" t="str">
        <f t="shared" ca="1" si="55"/>
        <v/>
      </c>
    </row>
    <row r="618" spans="20:21" x14ac:dyDescent="0.25">
      <c r="T618" s="52" t="str">
        <f t="shared" ca="1" si="54"/>
        <v/>
      </c>
      <c r="U618" s="97" t="str">
        <f t="shared" ca="1" si="55"/>
        <v/>
      </c>
    </row>
    <row r="619" spans="20:21" x14ac:dyDescent="0.25">
      <c r="T619" s="52" t="str">
        <f t="shared" ca="1" si="54"/>
        <v/>
      </c>
      <c r="U619" s="97" t="str">
        <f t="shared" ca="1" si="55"/>
        <v/>
      </c>
    </row>
    <row r="620" spans="20:21" x14ac:dyDescent="0.25">
      <c r="T620" s="52" t="str">
        <f t="shared" ca="1" si="54"/>
        <v/>
      </c>
      <c r="U620" s="97" t="str">
        <f t="shared" ca="1" si="55"/>
        <v/>
      </c>
    </row>
    <row r="621" spans="20:21" x14ac:dyDescent="0.25">
      <c r="T621" s="52" t="str">
        <f t="shared" ca="1" si="54"/>
        <v/>
      </c>
      <c r="U621" s="97" t="str">
        <f t="shared" ca="1" si="55"/>
        <v/>
      </c>
    </row>
    <row r="622" spans="20:21" x14ac:dyDescent="0.25">
      <c r="T622" s="52" t="str">
        <f t="shared" ca="1" si="54"/>
        <v/>
      </c>
      <c r="U622" s="97" t="str">
        <f t="shared" ca="1" si="55"/>
        <v/>
      </c>
    </row>
    <row r="623" spans="20:21" x14ac:dyDescent="0.25">
      <c r="T623" s="52" t="str">
        <f t="shared" ca="1" si="54"/>
        <v/>
      </c>
      <c r="U623" s="97" t="str">
        <f t="shared" ca="1" si="55"/>
        <v/>
      </c>
    </row>
    <row r="624" spans="20:21" x14ac:dyDescent="0.25">
      <c r="T624" s="52" t="str">
        <f t="shared" ca="1" si="54"/>
        <v/>
      </c>
      <c r="U624" s="97" t="str">
        <f t="shared" ca="1" si="55"/>
        <v/>
      </c>
    </row>
    <row r="625" spans="20:21" x14ac:dyDescent="0.25">
      <c r="T625" s="52" t="str">
        <f t="shared" ca="1" si="54"/>
        <v/>
      </c>
      <c r="U625" s="97" t="str">
        <f t="shared" ca="1" si="55"/>
        <v/>
      </c>
    </row>
    <row r="626" spans="20:21" x14ac:dyDescent="0.25">
      <c r="T626" s="52" t="str">
        <f t="shared" ca="1" si="54"/>
        <v/>
      </c>
      <c r="U626" s="97" t="str">
        <f t="shared" ca="1" si="55"/>
        <v/>
      </c>
    </row>
    <row r="627" spans="20:21" x14ac:dyDescent="0.25">
      <c r="T627" s="52" t="str">
        <f t="shared" ca="1" si="54"/>
        <v/>
      </c>
      <c r="U627" s="97" t="str">
        <f t="shared" ca="1" si="55"/>
        <v/>
      </c>
    </row>
    <row r="628" spans="20:21" x14ac:dyDescent="0.25">
      <c r="T628" s="52" t="str">
        <f t="shared" ca="1" si="54"/>
        <v/>
      </c>
      <c r="U628" s="97" t="str">
        <f t="shared" ca="1" si="55"/>
        <v/>
      </c>
    </row>
    <row r="629" spans="20:21" x14ac:dyDescent="0.25">
      <c r="T629" s="52" t="str">
        <f t="shared" ca="1" si="54"/>
        <v/>
      </c>
      <c r="U629" s="97" t="str">
        <f t="shared" ca="1" si="55"/>
        <v/>
      </c>
    </row>
    <row r="630" spans="20:21" x14ac:dyDescent="0.25">
      <c r="T630" s="52" t="str">
        <f t="shared" ca="1" si="54"/>
        <v/>
      </c>
      <c r="U630" s="97" t="str">
        <f t="shared" ca="1" si="55"/>
        <v/>
      </c>
    </row>
    <row r="631" spans="20:21" x14ac:dyDescent="0.25">
      <c r="T631" s="52" t="str">
        <f t="shared" ca="1" si="54"/>
        <v/>
      </c>
      <c r="U631" s="97" t="str">
        <f t="shared" ca="1" si="55"/>
        <v/>
      </c>
    </row>
    <row r="632" spans="20:21" x14ac:dyDescent="0.25">
      <c r="T632" s="52" t="str">
        <f t="shared" ca="1" si="54"/>
        <v/>
      </c>
      <c r="U632" s="97" t="str">
        <f t="shared" ca="1" si="55"/>
        <v/>
      </c>
    </row>
    <row r="633" spans="20:21" x14ac:dyDescent="0.25">
      <c r="T633" s="52" t="str">
        <f t="shared" ca="1" si="54"/>
        <v/>
      </c>
      <c r="U633" s="97" t="str">
        <f t="shared" ca="1" si="55"/>
        <v/>
      </c>
    </row>
    <row r="634" spans="20:21" x14ac:dyDescent="0.25">
      <c r="T634" s="52" t="str">
        <f t="shared" ca="1" si="54"/>
        <v/>
      </c>
      <c r="U634" s="97" t="str">
        <f t="shared" ca="1" si="55"/>
        <v/>
      </c>
    </row>
    <row r="635" spans="20:21" x14ac:dyDescent="0.25">
      <c r="T635" s="52" t="str">
        <f t="shared" ca="1" si="54"/>
        <v/>
      </c>
      <c r="U635" s="97" t="str">
        <f t="shared" ca="1" si="55"/>
        <v/>
      </c>
    </row>
    <row r="636" spans="20:21" x14ac:dyDescent="0.25">
      <c r="T636" s="52" t="str">
        <f t="shared" ca="1" si="54"/>
        <v/>
      </c>
      <c r="U636" s="97" t="str">
        <f t="shared" ca="1" si="55"/>
        <v/>
      </c>
    </row>
    <row r="637" spans="20:21" x14ac:dyDescent="0.25">
      <c r="T637" s="52" t="str">
        <f t="shared" ca="1" si="54"/>
        <v/>
      </c>
      <c r="U637" s="97" t="str">
        <f t="shared" ca="1" si="55"/>
        <v/>
      </c>
    </row>
    <row r="638" spans="20:21" x14ac:dyDescent="0.25">
      <c r="T638" s="52" t="str">
        <f t="shared" ca="1" si="54"/>
        <v/>
      </c>
      <c r="U638" s="97" t="str">
        <f t="shared" ca="1" si="55"/>
        <v/>
      </c>
    </row>
    <row r="639" spans="20:21" x14ac:dyDescent="0.25">
      <c r="T639" s="52" t="str">
        <f t="shared" ca="1" si="54"/>
        <v/>
      </c>
      <c r="U639" s="97" t="str">
        <f t="shared" ca="1" si="55"/>
        <v/>
      </c>
    </row>
    <row r="640" spans="20:21" x14ac:dyDescent="0.25">
      <c r="T640" s="52" t="str">
        <f t="shared" ca="1" si="54"/>
        <v/>
      </c>
      <c r="U640" s="97" t="str">
        <f t="shared" ca="1" si="55"/>
        <v/>
      </c>
    </row>
    <row r="641" spans="20:21" x14ac:dyDescent="0.25">
      <c r="T641" s="52" t="str">
        <f t="shared" ca="1" si="54"/>
        <v/>
      </c>
      <c r="U641" s="97" t="str">
        <f t="shared" ca="1" si="55"/>
        <v/>
      </c>
    </row>
    <row r="642" spans="20:21" x14ac:dyDescent="0.25">
      <c r="T642" s="52" t="str">
        <f t="shared" ca="1" si="54"/>
        <v/>
      </c>
      <c r="U642" s="97" t="str">
        <f t="shared" ca="1" si="55"/>
        <v/>
      </c>
    </row>
    <row r="643" spans="20:21" x14ac:dyDescent="0.25">
      <c r="T643" s="52" t="str">
        <f t="shared" ref="T643:T706" ca="1" si="56">IF(COUNTIF(P:P,N643)*COUNTIF(R:R,N643),N643,"")</f>
        <v/>
      </c>
      <c r="U643" s="97" t="str">
        <f t="shared" ca="1" si="55"/>
        <v/>
      </c>
    </row>
    <row r="644" spans="20:21" x14ac:dyDescent="0.25">
      <c r="T644" s="52" t="str">
        <f t="shared" ca="1" si="56"/>
        <v/>
      </c>
      <c r="U644" s="97" t="str">
        <f t="shared" ref="U644:U707" ca="1" si="57">IF(T644&gt;=$A$14,T644,"")</f>
        <v/>
      </c>
    </row>
    <row r="645" spans="20:21" x14ac:dyDescent="0.25">
      <c r="T645" s="52" t="str">
        <f t="shared" ca="1" si="56"/>
        <v/>
      </c>
      <c r="U645" s="97" t="str">
        <f t="shared" ca="1" si="57"/>
        <v/>
      </c>
    </row>
    <row r="646" spans="20:21" x14ac:dyDescent="0.25">
      <c r="T646" s="52" t="str">
        <f t="shared" ca="1" si="56"/>
        <v/>
      </c>
      <c r="U646" s="97" t="str">
        <f t="shared" ca="1" si="57"/>
        <v/>
      </c>
    </row>
    <row r="647" spans="20:21" x14ac:dyDescent="0.25">
      <c r="T647" s="52" t="str">
        <f t="shared" ca="1" si="56"/>
        <v/>
      </c>
      <c r="U647" s="97" t="str">
        <f t="shared" ca="1" si="57"/>
        <v/>
      </c>
    </row>
    <row r="648" spans="20:21" x14ac:dyDescent="0.25">
      <c r="T648" s="52" t="str">
        <f t="shared" ca="1" si="56"/>
        <v/>
      </c>
      <c r="U648" s="97" t="str">
        <f t="shared" ca="1" si="57"/>
        <v/>
      </c>
    </row>
    <row r="649" spans="20:21" x14ac:dyDescent="0.25">
      <c r="T649" s="52" t="str">
        <f t="shared" ca="1" si="56"/>
        <v/>
      </c>
      <c r="U649" s="97" t="str">
        <f t="shared" ca="1" si="57"/>
        <v/>
      </c>
    </row>
    <row r="650" spans="20:21" x14ac:dyDescent="0.25">
      <c r="T650" s="52" t="str">
        <f t="shared" ca="1" si="56"/>
        <v/>
      </c>
      <c r="U650" s="97" t="str">
        <f t="shared" ca="1" si="57"/>
        <v/>
      </c>
    </row>
    <row r="651" spans="20:21" x14ac:dyDescent="0.25">
      <c r="T651" s="52" t="str">
        <f t="shared" ca="1" si="56"/>
        <v/>
      </c>
      <c r="U651" s="97" t="str">
        <f t="shared" ca="1" si="57"/>
        <v/>
      </c>
    </row>
    <row r="652" spans="20:21" x14ac:dyDescent="0.25">
      <c r="T652" s="52" t="str">
        <f t="shared" ca="1" si="56"/>
        <v/>
      </c>
      <c r="U652" s="97" t="str">
        <f t="shared" ca="1" si="57"/>
        <v/>
      </c>
    </row>
    <row r="653" spans="20:21" x14ac:dyDescent="0.25">
      <c r="T653" s="52" t="str">
        <f t="shared" ca="1" si="56"/>
        <v/>
      </c>
      <c r="U653" s="97" t="str">
        <f t="shared" ca="1" si="57"/>
        <v/>
      </c>
    </row>
    <row r="654" spans="20:21" x14ac:dyDescent="0.25">
      <c r="T654" s="52" t="str">
        <f t="shared" ca="1" si="56"/>
        <v/>
      </c>
      <c r="U654" s="97" t="str">
        <f t="shared" ca="1" si="57"/>
        <v/>
      </c>
    </row>
    <row r="655" spans="20:21" x14ac:dyDescent="0.25">
      <c r="T655" s="52" t="str">
        <f t="shared" ca="1" si="56"/>
        <v/>
      </c>
      <c r="U655" s="97" t="str">
        <f t="shared" ca="1" si="57"/>
        <v/>
      </c>
    </row>
    <row r="656" spans="20:21" x14ac:dyDescent="0.25">
      <c r="T656" s="52" t="str">
        <f t="shared" ca="1" si="56"/>
        <v/>
      </c>
      <c r="U656" s="97" t="str">
        <f t="shared" ca="1" si="57"/>
        <v/>
      </c>
    </row>
    <row r="657" spans="20:21" x14ac:dyDescent="0.25">
      <c r="T657" s="52" t="str">
        <f t="shared" ca="1" si="56"/>
        <v/>
      </c>
      <c r="U657" s="97" t="str">
        <f t="shared" ca="1" si="57"/>
        <v/>
      </c>
    </row>
    <row r="658" spans="20:21" x14ac:dyDescent="0.25">
      <c r="T658" s="52" t="str">
        <f t="shared" ca="1" si="56"/>
        <v/>
      </c>
      <c r="U658" s="97" t="str">
        <f t="shared" ca="1" si="57"/>
        <v/>
      </c>
    </row>
    <row r="659" spans="20:21" x14ac:dyDescent="0.25">
      <c r="T659" s="52" t="str">
        <f t="shared" ca="1" si="56"/>
        <v/>
      </c>
      <c r="U659" s="97" t="str">
        <f t="shared" ca="1" si="57"/>
        <v/>
      </c>
    </row>
    <row r="660" spans="20:21" x14ac:dyDescent="0.25">
      <c r="T660" s="52" t="str">
        <f t="shared" ca="1" si="56"/>
        <v/>
      </c>
      <c r="U660" s="97" t="str">
        <f t="shared" ca="1" si="57"/>
        <v/>
      </c>
    </row>
    <row r="661" spans="20:21" x14ac:dyDescent="0.25">
      <c r="T661" s="52" t="str">
        <f t="shared" ca="1" si="56"/>
        <v/>
      </c>
      <c r="U661" s="97" t="str">
        <f t="shared" ca="1" si="57"/>
        <v/>
      </c>
    </row>
    <row r="662" spans="20:21" x14ac:dyDescent="0.25">
      <c r="T662" s="52" t="str">
        <f t="shared" ca="1" si="56"/>
        <v/>
      </c>
      <c r="U662" s="97" t="str">
        <f t="shared" ca="1" si="57"/>
        <v/>
      </c>
    </row>
    <row r="663" spans="20:21" x14ac:dyDescent="0.25">
      <c r="T663" s="52" t="str">
        <f t="shared" ca="1" si="56"/>
        <v/>
      </c>
      <c r="U663" s="97" t="str">
        <f t="shared" ca="1" si="57"/>
        <v/>
      </c>
    </row>
    <row r="664" spans="20:21" x14ac:dyDescent="0.25">
      <c r="T664" s="52" t="str">
        <f t="shared" ca="1" si="56"/>
        <v/>
      </c>
      <c r="U664" s="97" t="str">
        <f t="shared" ca="1" si="57"/>
        <v/>
      </c>
    </row>
    <row r="665" spans="20:21" x14ac:dyDescent="0.25">
      <c r="T665" s="52" t="str">
        <f t="shared" ca="1" si="56"/>
        <v/>
      </c>
      <c r="U665" s="97" t="str">
        <f t="shared" ca="1" si="57"/>
        <v/>
      </c>
    </row>
    <row r="666" spans="20:21" x14ac:dyDescent="0.25">
      <c r="T666" s="52" t="str">
        <f t="shared" ca="1" si="56"/>
        <v/>
      </c>
      <c r="U666" s="97" t="str">
        <f t="shared" ca="1" si="57"/>
        <v/>
      </c>
    </row>
    <row r="667" spans="20:21" x14ac:dyDescent="0.25">
      <c r="T667" s="52" t="str">
        <f t="shared" ca="1" si="56"/>
        <v/>
      </c>
      <c r="U667" s="97" t="str">
        <f t="shared" ca="1" si="57"/>
        <v/>
      </c>
    </row>
    <row r="668" spans="20:21" x14ac:dyDescent="0.25">
      <c r="T668" s="52" t="str">
        <f t="shared" ca="1" si="56"/>
        <v/>
      </c>
      <c r="U668" s="97" t="str">
        <f t="shared" ca="1" si="57"/>
        <v/>
      </c>
    </row>
    <row r="669" spans="20:21" x14ac:dyDescent="0.25">
      <c r="T669" s="52" t="str">
        <f t="shared" ca="1" si="56"/>
        <v/>
      </c>
      <c r="U669" s="97" t="str">
        <f t="shared" ca="1" si="57"/>
        <v/>
      </c>
    </row>
    <row r="670" spans="20:21" x14ac:dyDescent="0.25">
      <c r="T670" s="52" t="str">
        <f t="shared" ca="1" si="56"/>
        <v/>
      </c>
      <c r="U670" s="97" t="str">
        <f t="shared" ca="1" si="57"/>
        <v/>
      </c>
    </row>
    <row r="671" spans="20:21" x14ac:dyDescent="0.25">
      <c r="T671" s="52" t="str">
        <f t="shared" ca="1" si="56"/>
        <v/>
      </c>
      <c r="U671" s="97" t="str">
        <f t="shared" ca="1" si="57"/>
        <v/>
      </c>
    </row>
    <row r="672" spans="20:21" x14ac:dyDescent="0.25">
      <c r="T672" s="52" t="str">
        <f t="shared" ca="1" si="56"/>
        <v/>
      </c>
      <c r="U672" s="97" t="str">
        <f t="shared" ca="1" si="57"/>
        <v/>
      </c>
    </row>
    <row r="673" spans="20:21" x14ac:dyDescent="0.25">
      <c r="T673" s="52" t="str">
        <f t="shared" ca="1" si="56"/>
        <v/>
      </c>
      <c r="U673" s="97" t="str">
        <f t="shared" ca="1" si="57"/>
        <v/>
      </c>
    </row>
    <row r="674" spans="20:21" x14ac:dyDescent="0.25">
      <c r="T674" s="52" t="str">
        <f t="shared" ca="1" si="56"/>
        <v/>
      </c>
      <c r="U674" s="97" t="str">
        <f t="shared" ca="1" si="57"/>
        <v/>
      </c>
    </row>
    <row r="675" spans="20:21" x14ac:dyDescent="0.25">
      <c r="T675" s="52" t="str">
        <f t="shared" ca="1" si="56"/>
        <v/>
      </c>
      <c r="U675" s="97" t="str">
        <f t="shared" ca="1" si="57"/>
        <v/>
      </c>
    </row>
    <row r="676" spans="20:21" x14ac:dyDescent="0.25">
      <c r="T676" s="52" t="str">
        <f t="shared" ca="1" si="56"/>
        <v/>
      </c>
      <c r="U676" s="97" t="str">
        <f t="shared" ca="1" si="57"/>
        <v/>
      </c>
    </row>
    <row r="677" spans="20:21" x14ac:dyDescent="0.25">
      <c r="T677" s="52" t="str">
        <f t="shared" ca="1" si="56"/>
        <v/>
      </c>
      <c r="U677" s="97" t="str">
        <f t="shared" ca="1" si="57"/>
        <v/>
      </c>
    </row>
    <row r="678" spans="20:21" x14ac:dyDescent="0.25">
      <c r="T678" s="52" t="str">
        <f t="shared" ca="1" si="56"/>
        <v/>
      </c>
      <c r="U678" s="97" t="str">
        <f t="shared" ca="1" si="57"/>
        <v/>
      </c>
    </row>
    <row r="679" spans="20:21" x14ac:dyDescent="0.25">
      <c r="T679" s="52" t="str">
        <f t="shared" ca="1" si="56"/>
        <v/>
      </c>
      <c r="U679" s="97" t="str">
        <f t="shared" ca="1" si="57"/>
        <v/>
      </c>
    </row>
    <row r="680" spans="20:21" x14ac:dyDescent="0.25">
      <c r="T680" s="52" t="str">
        <f t="shared" ca="1" si="56"/>
        <v/>
      </c>
      <c r="U680" s="97" t="str">
        <f t="shared" ca="1" si="57"/>
        <v/>
      </c>
    </row>
    <row r="681" spans="20:21" x14ac:dyDescent="0.25">
      <c r="T681" s="52" t="str">
        <f t="shared" ca="1" si="56"/>
        <v/>
      </c>
      <c r="U681" s="97" t="str">
        <f t="shared" ca="1" si="57"/>
        <v/>
      </c>
    </row>
    <row r="682" spans="20:21" x14ac:dyDescent="0.25">
      <c r="T682" s="52" t="str">
        <f t="shared" ca="1" si="56"/>
        <v/>
      </c>
      <c r="U682" s="97" t="str">
        <f t="shared" ca="1" si="57"/>
        <v/>
      </c>
    </row>
    <row r="683" spans="20:21" x14ac:dyDescent="0.25">
      <c r="T683" s="52" t="str">
        <f t="shared" ca="1" si="56"/>
        <v/>
      </c>
      <c r="U683" s="97" t="str">
        <f t="shared" ca="1" si="57"/>
        <v/>
      </c>
    </row>
    <row r="684" spans="20:21" x14ac:dyDescent="0.25">
      <c r="T684" s="52" t="str">
        <f t="shared" ca="1" si="56"/>
        <v/>
      </c>
      <c r="U684" s="97" t="str">
        <f t="shared" ca="1" si="57"/>
        <v/>
      </c>
    </row>
    <row r="685" spans="20:21" x14ac:dyDescent="0.25">
      <c r="T685" s="52" t="str">
        <f t="shared" ca="1" si="56"/>
        <v/>
      </c>
      <c r="U685" s="97" t="str">
        <f t="shared" ca="1" si="57"/>
        <v/>
      </c>
    </row>
    <row r="686" spans="20:21" x14ac:dyDescent="0.25">
      <c r="T686" s="52" t="str">
        <f t="shared" ca="1" si="56"/>
        <v/>
      </c>
      <c r="U686" s="97" t="str">
        <f t="shared" ca="1" si="57"/>
        <v/>
      </c>
    </row>
    <row r="687" spans="20:21" x14ac:dyDescent="0.25">
      <c r="T687" s="52" t="str">
        <f t="shared" ca="1" si="56"/>
        <v/>
      </c>
      <c r="U687" s="97" t="str">
        <f t="shared" ca="1" si="57"/>
        <v/>
      </c>
    </row>
    <row r="688" spans="20:21" x14ac:dyDescent="0.25">
      <c r="T688" s="52" t="str">
        <f t="shared" ca="1" si="56"/>
        <v/>
      </c>
      <c r="U688" s="97" t="str">
        <f t="shared" ca="1" si="57"/>
        <v/>
      </c>
    </row>
    <row r="689" spans="20:21" x14ac:dyDescent="0.25">
      <c r="T689" s="52" t="str">
        <f t="shared" ca="1" si="56"/>
        <v/>
      </c>
      <c r="U689" s="97" t="str">
        <f t="shared" ca="1" si="57"/>
        <v/>
      </c>
    </row>
    <row r="690" spans="20:21" x14ac:dyDescent="0.25">
      <c r="T690" s="52" t="str">
        <f t="shared" ca="1" si="56"/>
        <v/>
      </c>
      <c r="U690" s="97" t="str">
        <f t="shared" ca="1" si="57"/>
        <v/>
      </c>
    </row>
    <row r="691" spans="20:21" x14ac:dyDescent="0.25">
      <c r="T691" s="52" t="str">
        <f t="shared" ca="1" si="56"/>
        <v/>
      </c>
      <c r="U691" s="97" t="str">
        <f t="shared" ca="1" si="57"/>
        <v/>
      </c>
    </row>
    <row r="692" spans="20:21" x14ac:dyDescent="0.25">
      <c r="T692" s="52" t="str">
        <f t="shared" ca="1" si="56"/>
        <v/>
      </c>
      <c r="U692" s="97" t="str">
        <f t="shared" ca="1" si="57"/>
        <v/>
      </c>
    </row>
    <row r="693" spans="20:21" x14ac:dyDescent="0.25">
      <c r="T693" s="52" t="str">
        <f t="shared" ca="1" si="56"/>
        <v/>
      </c>
      <c r="U693" s="97" t="str">
        <f t="shared" ca="1" si="57"/>
        <v/>
      </c>
    </row>
    <row r="694" spans="20:21" x14ac:dyDescent="0.25">
      <c r="T694" s="52" t="str">
        <f t="shared" ca="1" si="56"/>
        <v/>
      </c>
      <c r="U694" s="97" t="str">
        <f t="shared" ca="1" si="57"/>
        <v/>
      </c>
    </row>
    <row r="695" spans="20:21" x14ac:dyDescent="0.25">
      <c r="T695" s="52" t="str">
        <f t="shared" ca="1" si="56"/>
        <v/>
      </c>
      <c r="U695" s="97" t="str">
        <f t="shared" ca="1" si="57"/>
        <v/>
      </c>
    </row>
    <row r="696" spans="20:21" x14ac:dyDescent="0.25">
      <c r="T696" s="52" t="str">
        <f t="shared" ca="1" si="56"/>
        <v/>
      </c>
      <c r="U696" s="97" t="str">
        <f t="shared" ca="1" si="57"/>
        <v/>
      </c>
    </row>
    <row r="697" spans="20:21" x14ac:dyDescent="0.25">
      <c r="T697" s="52" t="str">
        <f t="shared" ca="1" si="56"/>
        <v/>
      </c>
      <c r="U697" s="97" t="str">
        <f t="shared" ca="1" si="57"/>
        <v/>
      </c>
    </row>
    <row r="698" spans="20:21" x14ac:dyDescent="0.25">
      <c r="T698" s="52" t="str">
        <f t="shared" ca="1" si="56"/>
        <v/>
      </c>
      <c r="U698" s="97" t="str">
        <f t="shared" ca="1" si="57"/>
        <v/>
      </c>
    </row>
    <row r="699" spans="20:21" x14ac:dyDescent="0.25">
      <c r="T699" s="52" t="str">
        <f t="shared" ca="1" si="56"/>
        <v/>
      </c>
      <c r="U699" s="97" t="str">
        <f t="shared" ca="1" si="57"/>
        <v/>
      </c>
    </row>
    <row r="700" spans="20:21" x14ac:dyDescent="0.25">
      <c r="T700" s="52" t="str">
        <f t="shared" ca="1" si="56"/>
        <v/>
      </c>
      <c r="U700" s="97" t="str">
        <f t="shared" ca="1" si="57"/>
        <v/>
      </c>
    </row>
    <row r="701" spans="20:21" x14ac:dyDescent="0.25">
      <c r="T701" s="52" t="str">
        <f t="shared" ca="1" si="56"/>
        <v/>
      </c>
      <c r="U701" s="97" t="str">
        <f t="shared" ca="1" si="57"/>
        <v/>
      </c>
    </row>
    <row r="702" spans="20:21" x14ac:dyDescent="0.25">
      <c r="T702" s="52" t="str">
        <f t="shared" ca="1" si="56"/>
        <v/>
      </c>
      <c r="U702" s="97" t="str">
        <f t="shared" ca="1" si="57"/>
        <v/>
      </c>
    </row>
    <row r="703" spans="20:21" x14ac:dyDescent="0.25">
      <c r="T703" s="52" t="str">
        <f t="shared" ca="1" si="56"/>
        <v/>
      </c>
      <c r="U703" s="97" t="str">
        <f t="shared" ca="1" si="57"/>
        <v/>
      </c>
    </row>
    <row r="704" spans="20:21" x14ac:dyDescent="0.25">
      <c r="T704" s="52" t="str">
        <f t="shared" ca="1" si="56"/>
        <v/>
      </c>
      <c r="U704" s="97" t="str">
        <f t="shared" ca="1" si="57"/>
        <v/>
      </c>
    </row>
    <row r="705" spans="20:21" x14ac:dyDescent="0.25">
      <c r="T705" s="52" t="str">
        <f t="shared" ca="1" si="56"/>
        <v/>
      </c>
      <c r="U705" s="97" t="str">
        <f t="shared" ca="1" si="57"/>
        <v/>
      </c>
    </row>
    <row r="706" spans="20:21" x14ac:dyDescent="0.25">
      <c r="T706" s="52" t="str">
        <f t="shared" ca="1" si="56"/>
        <v/>
      </c>
      <c r="U706" s="97" t="str">
        <f t="shared" ca="1" si="57"/>
        <v/>
      </c>
    </row>
    <row r="707" spans="20:21" x14ac:dyDescent="0.25">
      <c r="T707" s="52" t="str">
        <f t="shared" ref="T707:T770" ca="1" si="58">IF(COUNTIF(P:P,N707)*COUNTIF(R:R,N707),N707,"")</f>
        <v/>
      </c>
      <c r="U707" s="97" t="str">
        <f t="shared" ca="1" si="57"/>
        <v/>
      </c>
    </row>
    <row r="708" spans="20:21" x14ac:dyDescent="0.25">
      <c r="T708" s="52" t="str">
        <f t="shared" ca="1" si="58"/>
        <v/>
      </c>
      <c r="U708" s="97" t="str">
        <f t="shared" ref="U708:U771" ca="1" si="59">IF(T708&gt;=$A$14,T708,"")</f>
        <v/>
      </c>
    </row>
    <row r="709" spans="20:21" x14ac:dyDescent="0.25">
      <c r="T709" s="52" t="str">
        <f t="shared" ca="1" si="58"/>
        <v/>
      </c>
      <c r="U709" s="97" t="str">
        <f t="shared" ca="1" si="59"/>
        <v/>
      </c>
    </row>
    <row r="710" spans="20:21" x14ac:dyDescent="0.25">
      <c r="T710" s="52" t="str">
        <f t="shared" ca="1" si="58"/>
        <v/>
      </c>
      <c r="U710" s="97" t="str">
        <f t="shared" ca="1" si="59"/>
        <v/>
      </c>
    </row>
    <row r="711" spans="20:21" x14ac:dyDescent="0.25">
      <c r="T711" s="52" t="str">
        <f t="shared" ca="1" si="58"/>
        <v/>
      </c>
      <c r="U711" s="97" t="str">
        <f t="shared" ca="1" si="59"/>
        <v/>
      </c>
    </row>
    <row r="712" spans="20:21" x14ac:dyDescent="0.25">
      <c r="T712" s="52" t="str">
        <f t="shared" ca="1" si="58"/>
        <v/>
      </c>
      <c r="U712" s="97" t="str">
        <f t="shared" ca="1" si="59"/>
        <v/>
      </c>
    </row>
    <row r="713" spans="20:21" x14ac:dyDescent="0.25">
      <c r="T713" s="52" t="str">
        <f t="shared" ca="1" si="58"/>
        <v/>
      </c>
      <c r="U713" s="97" t="str">
        <f t="shared" ca="1" si="59"/>
        <v/>
      </c>
    </row>
    <row r="714" spans="20:21" x14ac:dyDescent="0.25">
      <c r="T714" s="52" t="str">
        <f t="shared" ca="1" si="58"/>
        <v/>
      </c>
      <c r="U714" s="97" t="str">
        <f t="shared" ca="1" si="59"/>
        <v/>
      </c>
    </row>
    <row r="715" spans="20:21" x14ac:dyDescent="0.25">
      <c r="T715" s="52" t="str">
        <f t="shared" ca="1" si="58"/>
        <v/>
      </c>
      <c r="U715" s="97" t="str">
        <f t="shared" ca="1" si="59"/>
        <v/>
      </c>
    </row>
    <row r="716" spans="20:21" x14ac:dyDescent="0.25">
      <c r="T716" s="52" t="str">
        <f t="shared" ca="1" si="58"/>
        <v/>
      </c>
      <c r="U716" s="97" t="str">
        <f t="shared" ca="1" si="59"/>
        <v/>
      </c>
    </row>
    <row r="717" spans="20:21" x14ac:dyDescent="0.25">
      <c r="T717" s="52" t="str">
        <f t="shared" ca="1" si="58"/>
        <v/>
      </c>
      <c r="U717" s="97" t="str">
        <f t="shared" ca="1" si="59"/>
        <v/>
      </c>
    </row>
    <row r="718" spans="20:21" x14ac:dyDescent="0.25">
      <c r="T718" s="52" t="str">
        <f t="shared" ca="1" si="58"/>
        <v/>
      </c>
      <c r="U718" s="97" t="str">
        <f t="shared" ca="1" si="59"/>
        <v/>
      </c>
    </row>
    <row r="719" spans="20:21" x14ac:dyDescent="0.25">
      <c r="T719" s="52" t="str">
        <f t="shared" ca="1" si="58"/>
        <v/>
      </c>
      <c r="U719" s="97" t="str">
        <f t="shared" ca="1" si="59"/>
        <v/>
      </c>
    </row>
    <row r="720" spans="20:21" x14ac:dyDescent="0.25">
      <c r="T720" s="52" t="str">
        <f t="shared" ca="1" si="58"/>
        <v/>
      </c>
      <c r="U720" s="97" t="str">
        <f t="shared" ca="1" si="59"/>
        <v/>
      </c>
    </row>
    <row r="721" spans="20:21" x14ac:dyDescent="0.25">
      <c r="T721" s="52" t="str">
        <f t="shared" ca="1" si="58"/>
        <v/>
      </c>
      <c r="U721" s="97" t="str">
        <f t="shared" ca="1" si="59"/>
        <v/>
      </c>
    </row>
    <row r="722" spans="20:21" x14ac:dyDescent="0.25">
      <c r="T722" s="52" t="str">
        <f t="shared" ca="1" si="58"/>
        <v/>
      </c>
      <c r="U722" s="97" t="str">
        <f t="shared" ca="1" si="59"/>
        <v/>
      </c>
    </row>
    <row r="723" spans="20:21" x14ac:dyDescent="0.25">
      <c r="T723" s="52" t="str">
        <f t="shared" ca="1" si="58"/>
        <v/>
      </c>
      <c r="U723" s="97" t="str">
        <f t="shared" ca="1" si="59"/>
        <v/>
      </c>
    </row>
    <row r="724" spans="20:21" x14ac:dyDescent="0.25">
      <c r="T724" s="52" t="str">
        <f t="shared" ca="1" si="58"/>
        <v/>
      </c>
      <c r="U724" s="97" t="str">
        <f t="shared" ca="1" si="59"/>
        <v/>
      </c>
    </row>
    <row r="725" spans="20:21" x14ac:dyDescent="0.25">
      <c r="T725" s="52" t="str">
        <f t="shared" ca="1" si="58"/>
        <v/>
      </c>
      <c r="U725" s="97" t="str">
        <f t="shared" ca="1" si="59"/>
        <v/>
      </c>
    </row>
    <row r="726" spans="20:21" x14ac:dyDescent="0.25">
      <c r="T726" s="52" t="str">
        <f t="shared" ca="1" si="58"/>
        <v/>
      </c>
      <c r="U726" s="97" t="str">
        <f t="shared" ca="1" si="59"/>
        <v/>
      </c>
    </row>
    <row r="727" spans="20:21" x14ac:dyDescent="0.25">
      <c r="T727" s="52" t="str">
        <f t="shared" ca="1" si="58"/>
        <v/>
      </c>
      <c r="U727" s="97" t="str">
        <f t="shared" ca="1" si="59"/>
        <v/>
      </c>
    </row>
    <row r="728" spans="20:21" x14ac:dyDescent="0.25">
      <c r="T728" s="52" t="str">
        <f t="shared" ca="1" si="58"/>
        <v/>
      </c>
      <c r="U728" s="97" t="str">
        <f t="shared" ca="1" si="59"/>
        <v/>
      </c>
    </row>
    <row r="729" spans="20:21" x14ac:dyDescent="0.25">
      <c r="T729" s="52" t="str">
        <f t="shared" ca="1" si="58"/>
        <v/>
      </c>
      <c r="U729" s="97" t="str">
        <f t="shared" ca="1" si="59"/>
        <v/>
      </c>
    </row>
    <row r="730" spans="20:21" x14ac:dyDescent="0.25">
      <c r="T730" s="52" t="str">
        <f t="shared" ca="1" si="58"/>
        <v/>
      </c>
      <c r="U730" s="97" t="str">
        <f t="shared" ca="1" si="59"/>
        <v/>
      </c>
    </row>
    <row r="731" spans="20:21" x14ac:dyDescent="0.25">
      <c r="T731" s="52" t="str">
        <f t="shared" ca="1" si="58"/>
        <v/>
      </c>
      <c r="U731" s="97" t="str">
        <f t="shared" ca="1" si="59"/>
        <v/>
      </c>
    </row>
    <row r="732" spans="20:21" x14ac:dyDescent="0.25">
      <c r="T732" s="52" t="str">
        <f t="shared" ca="1" si="58"/>
        <v/>
      </c>
      <c r="U732" s="97" t="str">
        <f t="shared" ca="1" si="59"/>
        <v/>
      </c>
    </row>
    <row r="733" spans="20:21" x14ac:dyDescent="0.25">
      <c r="T733" s="52" t="str">
        <f t="shared" ca="1" si="58"/>
        <v/>
      </c>
      <c r="U733" s="97" t="str">
        <f t="shared" ca="1" si="59"/>
        <v/>
      </c>
    </row>
    <row r="734" spans="20:21" x14ac:dyDescent="0.25">
      <c r="T734" s="52" t="str">
        <f t="shared" ca="1" si="58"/>
        <v/>
      </c>
      <c r="U734" s="97" t="str">
        <f t="shared" ca="1" si="59"/>
        <v/>
      </c>
    </row>
    <row r="735" spans="20:21" x14ac:dyDescent="0.25">
      <c r="T735" s="52" t="str">
        <f t="shared" ca="1" si="58"/>
        <v/>
      </c>
      <c r="U735" s="97" t="str">
        <f t="shared" ca="1" si="59"/>
        <v/>
      </c>
    </row>
    <row r="736" spans="20:21" x14ac:dyDescent="0.25">
      <c r="T736" s="52" t="str">
        <f t="shared" ca="1" si="58"/>
        <v/>
      </c>
      <c r="U736" s="97" t="str">
        <f t="shared" ca="1" si="59"/>
        <v/>
      </c>
    </row>
    <row r="737" spans="20:21" x14ac:dyDescent="0.25">
      <c r="T737" s="52" t="str">
        <f t="shared" ca="1" si="58"/>
        <v/>
      </c>
      <c r="U737" s="97" t="str">
        <f t="shared" ca="1" si="59"/>
        <v/>
      </c>
    </row>
    <row r="738" spans="20:21" x14ac:dyDescent="0.25">
      <c r="T738" s="52" t="str">
        <f t="shared" ca="1" si="58"/>
        <v/>
      </c>
      <c r="U738" s="97" t="str">
        <f t="shared" ca="1" si="59"/>
        <v/>
      </c>
    </row>
    <row r="739" spans="20:21" x14ac:dyDescent="0.25">
      <c r="T739" s="52" t="str">
        <f t="shared" ca="1" si="58"/>
        <v/>
      </c>
      <c r="U739" s="97" t="str">
        <f t="shared" ca="1" si="59"/>
        <v/>
      </c>
    </row>
    <row r="740" spans="20:21" x14ac:dyDescent="0.25">
      <c r="T740" s="52" t="str">
        <f t="shared" ca="1" si="58"/>
        <v/>
      </c>
      <c r="U740" s="97" t="str">
        <f t="shared" ca="1" si="59"/>
        <v/>
      </c>
    </row>
    <row r="741" spans="20:21" x14ac:dyDescent="0.25">
      <c r="T741" s="52" t="str">
        <f t="shared" ca="1" si="58"/>
        <v/>
      </c>
      <c r="U741" s="97" t="str">
        <f t="shared" ca="1" si="59"/>
        <v/>
      </c>
    </row>
    <row r="742" spans="20:21" x14ac:dyDescent="0.25">
      <c r="T742" s="52" t="str">
        <f t="shared" ca="1" si="58"/>
        <v/>
      </c>
      <c r="U742" s="97" t="str">
        <f t="shared" ca="1" si="59"/>
        <v/>
      </c>
    </row>
    <row r="743" spans="20:21" x14ac:dyDescent="0.25">
      <c r="T743" s="52" t="str">
        <f t="shared" ca="1" si="58"/>
        <v/>
      </c>
      <c r="U743" s="97" t="str">
        <f t="shared" ca="1" si="59"/>
        <v/>
      </c>
    </row>
    <row r="744" spans="20:21" x14ac:dyDescent="0.25">
      <c r="T744" s="52" t="str">
        <f t="shared" ca="1" si="58"/>
        <v/>
      </c>
      <c r="U744" s="97" t="str">
        <f t="shared" ca="1" si="59"/>
        <v/>
      </c>
    </row>
    <row r="745" spans="20:21" x14ac:dyDescent="0.25">
      <c r="T745" s="52" t="str">
        <f t="shared" ca="1" si="58"/>
        <v/>
      </c>
      <c r="U745" s="97" t="str">
        <f t="shared" ca="1" si="59"/>
        <v/>
      </c>
    </row>
    <row r="746" spans="20:21" x14ac:dyDescent="0.25">
      <c r="T746" s="52" t="str">
        <f t="shared" ca="1" si="58"/>
        <v/>
      </c>
      <c r="U746" s="97" t="str">
        <f t="shared" ca="1" si="59"/>
        <v/>
      </c>
    </row>
    <row r="747" spans="20:21" x14ac:dyDescent="0.25">
      <c r="T747" s="52" t="str">
        <f t="shared" ca="1" si="58"/>
        <v/>
      </c>
      <c r="U747" s="97" t="str">
        <f t="shared" ca="1" si="59"/>
        <v/>
      </c>
    </row>
    <row r="748" spans="20:21" x14ac:dyDescent="0.25">
      <c r="T748" s="52" t="str">
        <f t="shared" ca="1" si="58"/>
        <v/>
      </c>
      <c r="U748" s="97" t="str">
        <f t="shared" ca="1" si="59"/>
        <v/>
      </c>
    </row>
    <row r="749" spans="20:21" x14ac:dyDescent="0.25">
      <c r="T749" s="52" t="str">
        <f t="shared" ca="1" si="58"/>
        <v/>
      </c>
      <c r="U749" s="97" t="str">
        <f t="shared" ca="1" si="59"/>
        <v/>
      </c>
    </row>
    <row r="750" spans="20:21" x14ac:dyDescent="0.25">
      <c r="T750" s="52" t="str">
        <f t="shared" ca="1" si="58"/>
        <v/>
      </c>
      <c r="U750" s="97" t="str">
        <f t="shared" ca="1" si="59"/>
        <v/>
      </c>
    </row>
    <row r="751" spans="20:21" x14ac:dyDescent="0.25">
      <c r="T751" s="52" t="str">
        <f t="shared" ca="1" si="58"/>
        <v/>
      </c>
      <c r="U751" s="97" t="str">
        <f t="shared" ca="1" si="59"/>
        <v/>
      </c>
    </row>
    <row r="752" spans="20:21" x14ac:dyDescent="0.25">
      <c r="T752" s="52" t="str">
        <f t="shared" ca="1" si="58"/>
        <v/>
      </c>
      <c r="U752" s="97" t="str">
        <f t="shared" ca="1" si="59"/>
        <v/>
      </c>
    </row>
    <row r="753" spans="20:21" x14ac:dyDescent="0.25">
      <c r="T753" s="52" t="str">
        <f t="shared" ca="1" si="58"/>
        <v/>
      </c>
      <c r="U753" s="97" t="str">
        <f t="shared" ca="1" si="59"/>
        <v/>
      </c>
    </row>
    <row r="754" spans="20:21" x14ac:dyDescent="0.25">
      <c r="T754" s="52" t="str">
        <f t="shared" ca="1" si="58"/>
        <v/>
      </c>
      <c r="U754" s="97" t="str">
        <f t="shared" ca="1" si="59"/>
        <v/>
      </c>
    </row>
    <row r="755" spans="20:21" x14ac:dyDescent="0.25">
      <c r="T755" s="52" t="str">
        <f t="shared" ca="1" si="58"/>
        <v/>
      </c>
      <c r="U755" s="97" t="str">
        <f t="shared" ca="1" si="59"/>
        <v/>
      </c>
    </row>
    <row r="756" spans="20:21" x14ac:dyDescent="0.25">
      <c r="T756" s="52" t="str">
        <f t="shared" ca="1" si="58"/>
        <v/>
      </c>
      <c r="U756" s="97" t="str">
        <f t="shared" ca="1" si="59"/>
        <v/>
      </c>
    </row>
    <row r="757" spans="20:21" x14ac:dyDescent="0.25">
      <c r="T757" s="52" t="str">
        <f t="shared" ca="1" si="58"/>
        <v/>
      </c>
      <c r="U757" s="97" t="str">
        <f t="shared" ca="1" si="59"/>
        <v/>
      </c>
    </row>
    <row r="758" spans="20:21" x14ac:dyDescent="0.25">
      <c r="T758" s="52" t="str">
        <f t="shared" ca="1" si="58"/>
        <v/>
      </c>
      <c r="U758" s="97" t="str">
        <f t="shared" ca="1" si="59"/>
        <v/>
      </c>
    </row>
    <row r="759" spans="20:21" x14ac:dyDescent="0.25">
      <c r="T759" s="52" t="str">
        <f t="shared" ca="1" si="58"/>
        <v/>
      </c>
      <c r="U759" s="97" t="str">
        <f t="shared" ca="1" si="59"/>
        <v/>
      </c>
    </row>
    <row r="760" spans="20:21" x14ac:dyDescent="0.25">
      <c r="T760" s="52" t="str">
        <f t="shared" ca="1" si="58"/>
        <v/>
      </c>
      <c r="U760" s="97" t="str">
        <f t="shared" ca="1" si="59"/>
        <v/>
      </c>
    </row>
    <row r="761" spans="20:21" x14ac:dyDescent="0.25">
      <c r="T761" s="52" t="str">
        <f t="shared" ca="1" si="58"/>
        <v/>
      </c>
      <c r="U761" s="97" t="str">
        <f t="shared" ca="1" si="59"/>
        <v/>
      </c>
    </row>
    <row r="762" spans="20:21" x14ac:dyDescent="0.25">
      <c r="T762" s="52" t="str">
        <f t="shared" ca="1" si="58"/>
        <v/>
      </c>
      <c r="U762" s="97" t="str">
        <f t="shared" ca="1" si="59"/>
        <v/>
      </c>
    </row>
    <row r="763" spans="20:21" x14ac:dyDescent="0.25">
      <c r="T763" s="52" t="str">
        <f t="shared" ca="1" si="58"/>
        <v/>
      </c>
      <c r="U763" s="97" t="str">
        <f t="shared" ca="1" si="59"/>
        <v/>
      </c>
    </row>
    <row r="764" spans="20:21" x14ac:dyDescent="0.25">
      <c r="T764" s="52" t="str">
        <f t="shared" ca="1" si="58"/>
        <v/>
      </c>
      <c r="U764" s="97" t="str">
        <f t="shared" ca="1" si="59"/>
        <v/>
      </c>
    </row>
    <row r="765" spans="20:21" x14ac:dyDescent="0.25">
      <c r="T765" s="52" t="str">
        <f t="shared" ca="1" si="58"/>
        <v/>
      </c>
      <c r="U765" s="97" t="str">
        <f t="shared" ca="1" si="59"/>
        <v/>
      </c>
    </row>
    <row r="766" spans="20:21" x14ac:dyDescent="0.25">
      <c r="T766" s="52" t="str">
        <f t="shared" ca="1" si="58"/>
        <v/>
      </c>
      <c r="U766" s="97" t="str">
        <f t="shared" ca="1" si="59"/>
        <v/>
      </c>
    </row>
    <row r="767" spans="20:21" x14ac:dyDescent="0.25">
      <c r="T767" s="52" t="str">
        <f t="shared" ca="1" si="58"/>
        <v/>
      </c>
      <c r="U767" s="97" t="str">
        <f t="shared" ca="1" si="59"/>
        <v/>
      </c>
    </row>
    <row r="768" spans="20:21" x14ac:dyDescent="0.25">
      <c r="T768" s="52" t="str">
        <f t="shared" ca="1" si="58"/>
        <v/>
      </c>
      <c r="U768" s="97" t="str">
        <f t="shared" ca="1" si="59"/>
        <v/>
      </c>
    </row>
    <row r="769" spans="20:21" x14ac:dyDescent="0.25">
      <c r="T769" s="52" t="str">
        <f t="shared" ca="1" si="58"/>
        <v/>
      </c>
      <c r="U769" s="97" t="str">
        <f t="shared" ca="1" si="59"/>
        <v/>
      </c>
    </row>
    <row r="770" spans="20:21" x14ac:dyDescent="0.25">
      <c r="T770" s="52" t="str">
        <f t="shared" ca="1" si="58"/>
        <v/>
      </c>
      <c r="U770" s="97" t="str">
        <f t="shared" ca="1" si="59"/>
        <v/>
      </c>
    </row>
    <row r="771" spans="20:21" x14ac:dyDescent="0.25">
      <c r="T771" s="52" t="str">
        <f t="shared" ref="T771:T834" ca="1" si="60">IF(COUNTIF(P:P,N771)*COUNTIF(R:R,N771),N771,"")</f>
        <v/>
      </c>
      <c r="U771" s="97" t="str">
        <f t="shared" ca="1" si="59"/>
        <v/>
      </c>
    </row>
    <row r="772" spans="20:21" x14ac:dyDescent="0.25">
      <c r="T772" s="52" t="str">
        <f t="shared" ca="1" si="60"/>
        <v/>
      </c>
      <c r="U772" s="97" t="str">
        <f t="shared" ref="U772:U835" ca="1" si="61">IF(T772&gt;=$A$14,T772,"")</f>
        <v/>
      </c>
    </row>
    <row r="773" spans="20:21" x14ac:dyDescent="0.25">
      <c r="T773" s="52" t="str">
        <f t="shared" ca="1" si="60"/>
        <v/>
      </c>
      <c r="U773" s="97" t="str">
        <f t="shared" ca="1" si="61"/>
        <v/>
      </c>
    </row>
    <row r="774" spans="20:21" x14ac:dyDescent="0.25">
      <c r="T774" s="52" t="str">
        <f t="shared" ca="1" si="60"/>
        <v/>
      </c>
      <c r="U774" s="97" t="str">
        <f t="shared" ca="1" si="61"/>
        <v/>
      </c>
    </row>
    <row r="775" spans="20:21" x14ac:dyDescent="0.25">
      <c r="T775" s="52" t="str">
        <f t="shared" ca="1" si="60"/>
        <v/>
      </c>
      <c r="U775" s="97" t="str">
        <f t="shared" ca="1" si="61"/>
        <v/>
      </c>
    </row>
    <row r="776" spans="20:21" x14ac:dyDescent="0.25">
      <c r="T776" s="52" t="str">
        <f t="shared" ca="1" si="60"/>
        <v/>
      </c>
      <c r="U776" s="97" t="str">
        <f t="shared" ca="1" si="61"/>
        <v/>
      </c>
    </row>
    <row r="777" spans="20:21" x14ac:dyDescent="0.25">
      <c r="T777" s="52" t="str">
        <f t="shared" ca="1" si="60"/>
        <v/>
      </c>
      <c r="U777" s="97" t="str">
        <f t="shared" ca="1" si="61"/>
        <v/>
      </c>
    </row>
    <row r="778" spans="20:21" x14ac:dyDescent="0.25">
      <c r="T778" s="52" t="str">
        <f t="shared" ca="1" si="60"/>
        <v/>
      </c>
      <c r="U778" s="97" t="str">
        <f t="shared" ca="1" si="61"/>
        <v/>
      </c>
    </row>
    <row r="779" spans="20:21" x14ac:dyDescent="0.25">
      <c r="T779" s="52" t="str">
        <f t="shared" ca="1" si="60"/>
        <v/>
      </c>
      <c r="U779" s="97" t="str">
        <f t="shared" ca="1" si="61"/>
        <v/>
      </c>
    </row>
    <row r="780" spans="20:21" x14ac:dyDescent="0.25">
      <c r="T780" s="52" t="str">
        <f t="shared" ca="1" si="60"/>
        <v/>
      </c>
      <c r="U780" s="97" t="str">
        <f t="shared" ca="1" si="61"/>
        <v/>
      </c>
    </row>
    <row r="781" spans="20:21" x14ac:dyDescent="0.25">
      <c r="T781" s="52" t="str">
        <f t="shared" ca="1" si="60"/>
        <v/>
      </c>
      <c r="U781" s="97" t="str">
        <f t="shared" ca="1" si="61"/>
        <v/>
      </c>
    </row>
    <row r="782" spans="20:21" x14ac:dyDescent="0.25">
      <c r="T782" s="52" t="str">
        <f t="shared" ca="1" si="60"/>
        <v/>
      </c>
      <c r="U782" s="97" t="str">
        <f t="shared" ca="1" si="61"/>
        <v/>
      </c>
    </row>
    <row r="783" spans="20:21" x14ac:dyDescent="0.25">
      <c r="T783" s="52" t="str">
        <f t="shared" ca="1" si="60"/>
        <v/>
      </c>
      <c r="U783" s="97" t="str">
        <f t="shared" ca="1" si="61"/>
        <v/>
      </c>
    </row>
    <row r="784" spans="20:21" x14ac:dyDescent="0.25">
      <c r="T784" s="52" t="str">
        <f t="shared" ca="1" si="60"/>
        <v/>
      </c>
      <c r="U784" s="97" t="str">
        <f t="shared" ca="1" si="61"/>
        <v/>
      </c>
    </row>
    <row r="785" spans="20:21" x14ac:dyDescent="0.25">
      <c r="T785" s="52" t="str">
        <f t="shared" ca="1" si="60"/>
        <v/>
      </c>
      <c r="U785" s="97" t="str">
        <f t="shared" ca="1" si="61"/>
        <v/>
      </c>
    </row>
    <row r="786" spans="20:21" x14ac:dyDescent="0.25">
      <c r="T786" s="52" t="str">
        <f t="shared" ca="1" si="60"/>
        <v/>
      </c>
      <c r="U786" s="97" t="str">
        <f t="shared" ca="1" si="61"/>
        <v/>
      </c>
    </row>
    <row r="787" spans="20:21" x14ac:dyDescent="0.25">
      <c r="T787" s="52" t="str">
        <f t="shared" ca="1" si="60"/>
        <v/>
      </c>
      <c r="U787" s="97" t="str">
        <f t="shared" ca="1" si="61"/>
        <v/>
      </c>
    </row>
    <row r="788" spans="20:21" x14ac:dyDescent="0.25">
      <c r="T788" s="52" t="str">
        <f t="shared" ca="1" si="60"/>
        <v/>
      </c>
      <c r="U788" s="97" t="str">
        <f t="shared" ca="1" si="61"/>
        <v/>
      </c>
    </row>
    <row r="789" spans="20:21" x14ac:dyDescent="0.25">
      <c r="T789" s="52" t="str">
        <f t="shared" ca="1" si="60"/>
        <v/>
      </c>
      <c r="U789" s="97" t="str">
        <f t="shared" ca="1" si="61"/>
        <v/>
      </c>
    </row>
    <row r="790" spans="20:21" x14ac:dyDescent="0.25">
      <c r="T790" s="52" t="str">
        <f t="shared" ca="1" si="60"/>
        <v/>
      </c>
      <c r="U790" s="97" t="str">
        <f t="shared" ca="1" si="61"/>
        <v/>
      </c>
    </row>
    <row r="791" spans="20:21" x14ac:dyDescent="0.25">
      <c r="T791" s="52" t="str">
        <f t="shared" ca="1" si="60"/>
        <v/>
      </c>
      <c r="U791" s="97" t="str">
        <f t="shared" ca="1" si="61"/>
        <v/>
      </c>
    </row>
    <row r="792" spans="20:21" x14ac:dyDescent="0.25">
      <c r="T792" s="52" t="str">
        <f t="shared" ca="1" si="60"/>
        <v/>
      </c>
      <c r="U792" s="97" t="str">
        <f t="shared" ca="1" si="61"/>
        <v/>
      </c>
    </row>
    <row r="793" spans="20:21" x14ac:dyDescent="0.25">
      <c r="T793" s="52" t="str">
        <f t="shared" ca="1" si="60"/>
        <v/>
      </c>
      <c r="U793" s="97" t="str">
        <f t="shared" ca="1" si="61"/>
        <v/>
      </c>
    </row>
    <row r="794" spans="20:21" x14ac:dyDescent="0.25">
      <c r="T794" s="52" t="str">
        <f t="shared" ca="1" si="60"/>
        <v/>
      </c>
      <c r="U794" s="97" t="str">
        <f t="shared" ca="1" si="61"/>
        <v/>
      </c>
    </row>
    <row r="795" spans="20:21" x14ac:dyDescent="0.25">
      <c r="T795" s="52" t="str">
        <f t="shared" ca="1" si="60"/>
        <v/>
      </c>
      <c r="U795" s="97" t="str">
        <f t="shared" ca="1" si="61"/>
        <v/>
      </c>
    </row>
    <row r="796" spans="20:21" x14ac:dyDescent="0.25">
      <c r="T796" s="52" t="str">
        <f t="shared" ca="1" si="60"/>
        <v/>
      </c>
      <c r="U796" s="97" t="str">
        <f t="shared" ca="1" si="61"/>
        <v/>
      </c>
    </row>
    <row r="797" spans="20:21" x14ac:dyDescent="0.25">
      <c r="T797" s="52" t="str">
        <f t="shared" ca="1" si="60"/>
        <v/>
      </c>
      <c r="U797" s="97" t="str">
        <f t="shared" ca="1" si="61"/>
        <v/>
      </c>
    </row>
    <row r="798" spans="20:21" x14ac:dyDescent="0.25">
      <c r="T798" s="52" t="str">
        <f t="shared" ca="1" si="60"/>
        <v/>
      </c>
      <c r="U798" s="97" t="str">
        <f t="shared" ca="1" si="61"/>
        <v/>
      </c>
    </row>
    <row r="799" spans="20:21" x14ac:dyDescent="0.25">
      <c r="T799" s="52" t="str">
        <f t="shared" ca="1" si="60"/>
        <v/>
      </c>
      <c r="U799" s="97" t="str">
        <f t="shared" ca="1" si="61"/>
        <v/>
      </c>
    </row>
    <row r="800" spans="20:21" x14ac:dyDescent="0.25">
      <c r="T800" s="52" t="str">
        <f t="shared" ca="1" si="60"/>
        <v/>
      </c>
      <c r="U800" s="97" t="str">
        <f t="shared" ca="1" si="61"/>
        <v/>
      </c>
    </row>
    <row r="801" spans="20:21" x14ac:dyDescent="0.25">
      <c r="T801" s="52" t="str">
        <f t="shared" ca="1" si="60"/>
        <v/>
      </c>
      <c r="U801" s="97" t="str">
        <f t="shared" ca="1" si="61"/>
        <v/>
      </c>
    </row>
    <row r="802" spans="20:21" x14ac:dyDescent="0.25">
      <c r="T802" s="52" t="str">
        <f t="shared" ca="1" si="60"/>
        <v/>
      </c>
      <c r="U802" s="97" t="str">
        <f t="shared" ca="1" si="61"/>
        <v/>
      </c>
    </row>
    <row r="803" spans="20:21" x14ac:dyDescent="0.25">
      <c r="T803" s="52" t="str">
        <f t="shared" ca="1" si="60"/>
        <v/>
      </c>
      <c r="U803" s="97" t="str">
        <f t="shared" ca="1" si="61"/>
        <v/>
      </c>
    </row>
    <row r="804" spans="20:21" x14ac:dyDescent="0.25">
      <c r="T804" s="52" t="str">
        <f t="shared" ca="1" si="60"/>
        <v/>
      </c>
      <c r="U804" s="97" t="str">
        <f t="shared" ca="1" si="61"/>
        <v/>
      </c>
    </row>
    <row r="805" spans="20:21" x14ac:dyDescent="0.25">
      <c r="T805" s="52" t="str">
        <f t="shared" ca="1" si="60"/>
        <v/>
      </c>
      <c r="U805" s="97" t="str">
        <f t="shared" ca="1" si="61"/>
        <v/>
      </c>
    </row>
    <row r="806" spans="20:21" x14ac:dyDescent="0.25">
      <c r="T806" s="52" t="str">
        <f t="shared" ca="1" si="60"/>
        <v/>
      </c>
      <c r="U806" s="97" t="str">
        <f t="shared" ca="1" si="61"/>
        <v/>
      </c>
    </row>
    <row r="807" spans="20:21" x14ac:dyDescent="0.25">
      <c r="T807" s="52" t="str">
        <f t="shared" ca="1" si="60"/>
        <v/>
      </c>
      <c r="U807" s="97" t="str">
        <f t="shared" ca="1" si="61"/>
        <v/>
      </c>
    </row>
    <row r="808" spans="20:21" x14ac:dyDescent="0.25">
      <c r="T808" s="52" t="str">
        <f t="shared" ca="1" si="60"/>
        <v/>
      </c>
      <c r="U808" s="97" t="str">
        <f t="shared" ca="1" si="61"/>
        <v/>
      </c>
    </row>
    <row r="809" spans="20:21" x14ac:dyDescent="0.25">
      <c r="T809" s="52" t="str">
        <f t="shared" ca="1" si="60"/>
        <v/>
      </c>
      <c r="U809" s="97" t="str">
        <f t="shared" ca="1" si="61"/>
        <v/>
      </c>
    </row>
    <row r="810" spans="20:21" x14ac:dyDescent="0.25">
      <c r="T810" s="52" t="str">
        <f t="shared" ca="1" si="60"/>
        <v/>
      </c>
      <c r="U810" s="97" t="str">
        <f t="shared" ca="1" si="61"/>
        <v/>
      </c>
    </row>
    <row r="811" spans="20:21" x14ac:dyDescent="0.25">
      <c r="T811" s="52" t="str">
        <f t="shared" ca="1" si="60"/>
        <v/>
      </c>
      <c r="U811" s="97" t="str">
        <f t="shared" ca="1" si="61"/>
        <v/>
      </c>
    </row>
    <row r="812" spans="20:21" x14ac:dyDescent="0.25">
      <c r="T812" s="52" t="str">
        <f t="shared" ca="1" si="60"/>
        <v/>
      </c>
      <c r="U812" s="97" t="str">
        <f t="shared" ca="1" si="61"/>
        <v/>
      </c>
    </row>
    <row r="813" spans="20:21" x14ac:dyDescent="0.25">
      <c r="T813" s="52" t="str">
        <f t="shared" ca="1" si="60"/>
        <v/>
      </c>
      <c r="U813" s="97" t="str">
        <f t="shared" ca="1" si="61"/>
        <v/>
      </c>
    </row>
    <row r="814" spans="20:21" x14ac:dyDescent="0.25">
      <c r="T814" s="52" t="str">
        <f t="shared" ca="1" si="60"/>
        <v/>
      </c>
      <c r="U814" s="97" t="str">
        <f t="shared" ca="1" si="61"/>
        <v/>
      </c>
    </row>
    <row r="815" spans="20:21" x14ac:dyDescent="0.25">
      <c r="T815" s="52" t="str">
        <f t="shared" ca="1" si="60"/>
        <v/>
      </c>
      <c r="U815" s="97" t="str">
        <f t="shared" ca="1" si="61"/>
        <v/>
      </c>
    </row>
    <row r="816" spans="20:21" x14ac:dyDescent="0.25">
      <c r="T816" s="52" t="str">
        <f t="shared" ca="1" si="60"/>
        <v/>
      </c>
      <c r="U816" s="97" t="str">
        <f t="shared" ca="1" si="61"/>
        <v/>
      </c>
    </row>
    <row r="817" spans="20:21" x14ac:dyDescent="0.25">
      <c r="T817" s="52" t="str">
        <f t="shared" ca="1" si="60"/>
        <v/>
      </c>
      <c r="U817" s="97" t="str">
        <f t="shared" ca="1" si="61"/>
        <v/>
      </c>
    </row>
    <row r="818" spans="20:21" x14ac:dyDescent="0.25">
      <c r="T818" s="52" t="str">
        <f t="shared" ca="1" si="60"/>
        <v/>
      </c>
      <c r="U818" s="97" t="str">
        <f t="shared" ca="1" si="61"/>
        <v/>
      </c>
    </row>
    <row r="819" spans="20:21" x14ac:dyDescent="0.25">
      <c r="T819" s="52" t="str">
        <f t="shared" ca="1" si="60"/>
        <v/>
      </c>
      <c r="U819" s="97" t="str">
        <f t="shared" ca="1" si="61"/>
        <v/>
      </c>
    </row>
    <row r="820" spans="20:21" x14ac:dyDescent="0.25">
      <c r="T820" s="52" t="str">
        <f t="shared" ca="1" si="60"/>
        <v/>
      </c>
      <c r="U820" s="97" t="str">
        <f t="shared" ca="1" si="61"/>
        <v/>
      </c>
    </row>
    <row r="821" spans="20:21" x14ac:dyDescent="0.25">
      <c r="T821" s="52" t="str">
        <f t="shared" ca="1" si="60"/>
        <v/>
      </c>
      <c r="U821" s="97" t="str">
        <f t="shared" ca="1" si="61"/>
        <v/>
      </c>
    </row>
    <row r="822" spans="20:21" x14ac:dyDescent="0.25">
      <c r="T822" s="52" t="str">
        <f t="shared" ca="1" si="60"/>
        <v/>
      </c>
      <c r="U822" s="97" t="str">
        <f t="shared" ca="1" si="61"/>
        <v/>
      </c>
    </row>
    <row r="823" spans="20:21" x14ac:dyDescent="0.25">
      <c r="T823" s="52" t="str">
        <f t="shared" ca="1" si="60"/>
        <v/>
      </c>
      <c r="U823" s="97" t="str">
        <f t="shared" ca="1" si="61"/>
        <v/>
      </c>
    </row>
    <row r="824" spans="20:21" x14ac:dyDescent="0.25">
      <c r="T824" s="52" t="str">
        <f t="shared" ca="1" si="60"/>
        <v/>
      </c>
      <c r="U824" s="97" t="str">
        <f t="shared" ca="1" si="61"/>
        <v/>
      </c>
    </row>
    <row r="825" spans="20:21" x14ac:dyDescent="0.25">
      <c r="T825" s="52" t="str">
        <f t="shared" ca="1" si="60"/>
        <v/>
      </c>
      <c r="U825" s="97" t="str">
        <f t="shared" ca="1" si="61"/>
        <v/>
      </c>
    </row>
    <row r="826" spans="20:21" x14ac:dyDescent="0.25">
      <c r="T826" s="52" t="str">
        <f t="shared" ca="1" si="60"/>
        <v/>
      </c>
      <c r="U826" s="97" t="str">
        <f t="shared" ca="1" si="61"/>
        <v/>
      </c>
    </row>
    <row r="827" spans="20:21" x14ac:dyDescent="0.25">
      <c r="T827" s="52" t="str">
        <f t="shared" ca="1" si="60"/>
        <v/>
      </c>
      <c r="U827" s="97" t="str">
        <f t="shared" ca="1" si="61"/>
        <v/>
      </c>
    </row>
    <row r="828" spans="20:21" x14ac:dyDescent="0.25">
      <c r="T828" s="52" t="str">
        <f t="shared" ca="1" si="60"/>
        <v/>
      </c>
      <c r="U828" s="97" t="str">
        <f t="shared" ca="1" si="61"/>
        <v/>
      </c>
    </row>
    <row r="829" spans="20:21" x14ac:dyDescent="0.25">
      <c r="T829" s="52" t="str">
        <f t="shared" ca="1" si="60"/>
        <v/>
      </c>
      <c r="U829" s="97" t="str">
        <f t="shared" ca="1" si="61"/>
        <v/>
      </c>
    </row>
    <row r="830" spans="20:21" x14ac:dyDescent="0.25">
      <c r="T830" s="52" t="str">
        <f t="shared" ca="1" si="60"/>
        <v/>
      </c>
      <c r="U830" s="97" t="str">
        <f t="shared" ca="1" si="61"/>
        <v/>
      </c>
    </row>
    <row r="831" spans="20:21" x14ac:dyDescent="0.25">
      <c r="T831" s="52" t="str">
        <f t="shared" ca="1" si="60"/>
        <v/>
      </c>
      <c r="U831" s="97" t="str">
        <f t="shared" ca="1" si="61"/>
        <v/>
      </c>
    </row>
    <row r="832" spans="20:21" x14ac:dyDescent="0.25">
      <c r="T832" s="52" t="str">
        <f t="shared" ca="1" si="60"/>
        <v/>
      </c>
      <c r="U832" s="97" t="str">
        <f t="shared" ca="1" si="61"/>
        <v/>
      </c>
    </row>
    <row r="833" spans="20:21" x14ac:dyDescent="0.25">
      <c r="T833" s="52" t="str">
        <f t="shared" ca="1" si="60"/>
        <v/>
      </c>
      <c r="U833" s="97" t="str">
        <f t="shared" ca="1" si="61"/>
        <v/>
      </c>
    </row>
    <row r="834" spans="20:21" x14ac:dyDescent="0.25">
      <c r="T834" s="52" t="str">
        <f t="shared" ca="1" si="60"/>
        <v/>
      </c>
      <c r="U834" s="97" t="str">
        <f t="shared" ca="1" si="61"/>
        <v/>
      </c>
    </row>
    <row r="835" spans="20:21" x14ac:dyDescent="0.25">
      <c r="T835" s="52" t="str">
        <f t="shared" ref="T835:T898" ca="1" si="62">IF(COUNTIF(P:P,N835)*COUNTIF(R:R,N835),N835,"")</f>
        <v/>
      </c>
      <c r="U835" s="97" t="str">
        <f t="shared" ca="1" si="61"/>
        <v/>
      </c>
    </row>
    <row r="836" spans="20:21" x14ac:dyDescent="0.25">
      <c r="T836" s="52" t="str">
        <f t="shared" ca="1" si="62"/>
        <v/>
      </c>
      <c r="U836" s="97" t="str">
        <f t="shared" ref="U836:U899" ca="1" si="63">IF(T836&gt;=$A$14,T836,"")</f>
        <v/>
      </c>
    </row>
    <row r="837" spans="20:21" x14ac:dyDescent="0.25">
      <c r="T837" s="52" t="str">
        <f t="shared" ca="1" si="62"/>
        <v/>
      </c>
      <c r="U837" s="97" t="str">
        <f t="shared" ca="1" si="63"/>
        <v/>
      </c>
    </row>
    <row r="838" spans="20:21" x14ac:dyDescent="0.25">
      <c r="T838" s="52" t="str">
        <f t="shared" ca="1" si="62"/>
        <v/>
      </c>
      <c r="U838" s="97" t="str">
        <f t="shared" ca="1" si="63"/>
        <v/>
      </c>
    </row>
    <row r="839" spans="20:21" x14ac:dyDescent="0.25">
      <c r="T839" s="52" t="str">
        <f t="shared" ca="1" si="62"/>
        <v/>
      </c>
      <c r="U839" s="97" t="str">
        <f t="shared" ca="1" si="63"/>
        <v/>
      </c>
    </row>
    <row r="840" spans="20:21" x14ac:dyDescent="0.25">
      <c r="T840" s="52" t="str">
        <f t="shared" ca="1" si="62"/>
        <v/>
      </c>
      <c r="U840" s="97" t="str">
        <f t="shared" ca="1" si="63"/>
        <v/>
      </c>
    </row>
    <row r="841" spans="20:21" x14ac:dyDescent="0.25">
      <c r="T841" s="52" t="str">
        <f t="shared" ca="1" si="62"/>
        <v/>
      </c>
      <c r="U841" s="97" t="str">
        <f t="shared" ca="1" si="63"/>
        <v/>
      </c>
    </row>
    <row r="842" spans="20:21" x14ac:dyDescent="0.25">
      <c r="T842" s="52" t="str">
        <f t="shared" ca="1" si="62"/>
        <v/>
      </c>
      <c r="U842" s="97" t="str">
        <f t="shared" ca="1" si="63"/>
        <v/>
      </c>
    </row>
    <row r="843" spans="20:21" x14ac:dyDescent="0.25">
      <c r="T843" s="52" t="str">
        <f t="shared" ca="1" si="62"/>
        <v/>
      </c>
      <c r="U843" s="97" t="str">
        <f t="shared" ca="1" si="63"/>
        <v/>
      </c>
    </row>
    <row r="844" spans="20:21" x14ac:dyDescent="0.25">
      <c r="T844" s="52" t="str">
        <f t="shared" ca="1" si="62"/>
        <v/>
      </c>
      <c r="U844" s="97" t="str">
        <f t="shared" ca="1" si="63"/>
        <v/>
      </c>
    </row>
    <row r="845" spans="20:21" x14ac:dyDescent="0.25">
      <c r="T845" s="52" t="str">
        <f t="shared" ca="1" si="62"/>
        <v/>
      </c>
      <c r="U845" s="97" t="str">
        <f t="shared" ca="1" si="63"/>
        <v/>
      </c>
    </row>
    <row r="846" spans="20:21" x14ac:dyDescent="0.25">
      <c r="T846" s="52" t="str">
        <f t="shared" ca="1" si="62"/>
        <v/>
      </c>
      <c r="U846" s="97" t="str">
        <f t="shared" ca="1" si="63"/>
        <v/>
      </c>
    </row>
    <row r="847" spans="20:21" x14ac:dyDescent="0.25">
      <c r="T847" s="52" t="str">
        <f t="shared" ca="1" si="62"/>
        <v/>
      </c>
      <c r="U847" s="97" t="str">
        <f t="shared" ca="1" si="63"/>
        <v/>
      </c>
    </row>
    <row r="848" spans="20:21" x14ac:dyDescent="0.25">
      <c r="T848" s="52" t="str">
        <f t="shared" ca="1" si="62"/>
        <v/>
      </c>
      <c r="U848" s="97" t="str">
        <f t="shared" ca="1" si="63"/>
        <v/>
      </c>
    </row>
    <row r="849" spans="20:21" x14ac:dyDescent="0.25">
      <c r="T849" s="52" t="str">
        <f t="shared" ca="1" si="62"/>
        <v/>
      </c>
      <c r="U849" s="97" t="str">
        <f t="shared" ca="1" si="63"/>
        <v/>
      </c>
    </row>
    <row r="850" spans="20:21" x14ac:dyDescent="0.25">
      <c r="T850" s="52" t="str">
        <f t="shared" ca="1" si="62"/>
        <v/>
      </c>
      <c r="U850" s="97" t="str">
        <f t="shared" ca="1" si="63"/>
        <v/>
      </c>
    </row>
    <row r="851" spans="20:21" x14ac:dyDescent="0.25">
      <c r="T851" s="52" t="str">
        <f t="shared" ca="1" si="62"/>
        <v/>
      </c>
      <c r="U851" s="97" t="str">
        <f t="shared" ca="1" si="63"/>
        <v/>
      </c>
    </row>
    <row r="852" spans="20:21" x14ac:dyDescent="0.25">
      <c r="T852" s="52" t="str">
        <f t="shared" ca="1" si="62"/>
        <v/>
      </c>
      <c r="U852" s="97" t="str">
        <f t="shared" ca="1" si="63"/>
        <v/>
      </c>
    </row>
    <row r="853" spans="20:21" x14ac:dyDescent="0.25">
      <c r="T853" s="52" t="str">
        <f t="shared" ca="1" si="62"/>
        <v/>
      </c>
      <c r="U853" s="97" t="str">
        <f t="shared" ca="1" si="63"/>
        <v/>
      </c>
    </row>
    <row r="854" spans="20:21" x14ac:dyDescent="0.25">
      <c r="T854" s="52" t="str">
        <f t="shared" ca="1" si="62"/>
        <v/>
      </c>
      <c r="U854" s="97" t="str">
        <f t="shared" ca="1" si="63"/>
        <v/>
      </c>
    </row>
    <row r="855" spans="20:21" x14ac:dyDescent="0.25">
      <c r="T855" s="52" t="str">
        <f t="shared" ca="1" si="62"/>
        <v/>
      </c>
      <c r="U855" s="97" t="str">
        <f t="shared" ca="1" si="63"/>
        <v/>
      </c>
    </row>
    <row r="856" spans="20:21" x14ac:dyDescent="0.25">
      <c r="T856" s="52" t="str">
        <f t="shared" ca="1" si="62"/>
        <v/>
      </c>
      <c r="U856" s="97" t="str">
        <f t="shared" ca="1" si="63"/>
        <v/>
      </c>
    </row>
    <row r="857" spans="20:21" x14ac:dyDescent="0.25">
      <c r="T857" s="52" t="str">
        <f t="shared" ca="1" si="62"/>
        <v/>
      </c>
      <c r="U857" s="97" t="str">
        <f t="shared" ca="1" si="63"/>
        <v/>
      </c>
    </row>
    <row r="858" spans="20:21" x14ac:dyDescent="0.25">
      <c r="T858" s="52" t="str">
        <f t="shared" ca="1" si="62"/>
        <v/>
      </c>
      <c r="U858" s="97" t="str">
        <f t="shared" ca="1" si="63"/>
        <v/>
      </c>
    </row>
    <row r="859" spans="20:21" x14ac:dyDescent="0.25">
      <c r="T859" s="52" t="str">
        <f t="shared" ca="1" si="62"/>
        <v/>
      </c>
      <c r="U859" s="97" t="str">
        <f t="shared" ca="1" si="63"/>
        <v/>
      </c>
    </row>
    <row r="860" spans="20:21" x14ac:dyDescent="0.25">
      <c r="T860" s="52" t="str">
        <f t="shared" ca="1" si="62"/>
        <v/>
      </c>
      <c r="U860" s="97" t="str">
        <f t="shared" ca="1" si="63"/>
        <v/>
      </c>
    </row>
    <row r="861" spans="20:21" x14ac:dyDescent="0.25">
      <c r="T861" s="52" t="str">
        <f t="shared" ca="1" si="62"/>
        <v/>
      </c>
      <c r="U861" s="97" t="str">
        <f t="shared" ca="1" si="63"/>
        <v/>
      </c>
    </row>
    <row r="862" spans="20:21" x14ac:dyDescent="0.25">
      <c r="T862" s="52" t="str">
        <f t="shared" ca="1" si="62"/>
        <v/>
      </c>
      <c r="U862" s="97" t="str">
        <f t="shared" ca="1" si="63"/>
        <v/>
      </c>
    </row>
    <row r="863" spans="20:21" x14ac:dyDescent="0.25">
      <c r="T863" s="52" t="str">
        <f t="shared" ca="1" si="62"/>
        <v/>
      </c>
      <c r="U863" s="97" t="str">
        <f t="shared" ca="1" si="63"/>
        <v/>
      </c>
    </row>
    <row r="864" spans="20:21" x14ac:dyDescent="0.25">
      <c r="T864" s="52" t="str">
        <f t="shared" ca="1" si="62"/>
        <v/>
      </c>
      <c r="U864" s="97" t="str">
        <f t="shared" ca="1" si="63"/>
        <v/>
      </c>
    </row>
    <row r="865" spans="20:21" x14ac:dyDescent="0.25">
      <c r="T865" s="52" t="str">
        <f t="shared" ca="1" si="62"/>
        <v/>
      </c>
      <c r="U865" s="97" t="str">
        <f t="shared" ca="1" si="63"/>
        <v/>
      </c>
    </row>
    <row r="866" spans="20:21" x14ac:dyDescent="0.25">
      <c r="T866" s="52" t="str">
        <f t="shared" ca="1" si="62"/>
        <v/>
      </c>
      <c r="U866" s="97" t="str">
        <f t="shared" ca="1" si="63"/>
        <v/>
      </c>
    </row>
    <row r="867" spans="20:21" x14ac:dyDescent="0.25">
      <c r="T867" s="52" t="str">
        <f t="shared" ca="1" si="62"/>
        <v/>
      </c>
      <c r="U867" s="97" t="str">
        <f t="shared" ca="1" si="63"/>
        <v/>
      </c>
    </row>
    <row r="868" spans="20:21" x14ac:dyDescent="0.25">
      <c r="T868" s="52" t="str">
        <f t="shared" ca="1" si="62"/>
        <v/>
      </c>
      <c r="U868" s="97" t="str">
        <f t="shared" ca="1" si="63"/>
        <v/>
      </c>
    </row>
    <row r="869" spans="20:21" x14ac:dyDescent="0.25">
      <c r="T869" s="52" t="str">
        <f t="shared" ca="1" si="62"/>
        <v/>
      </c>
      <c r="U869" s="97" t="str">
        <f t="shared" ca="1" si="63"/>
        <v/>
      </c>
    </row>
    <row r="870" spans="20:21" x14ac:dyDescent="0.25">
      <c r="T870" s="52" t="str">
        <f t="shared" ca="1" si="62"/>
        <v/>
      </c>
      <c r="U870" s="97" t="str">
        <f t="shared" ca="1" si="63"/>
        <v/>
      </c>
    </row>
    <row r="871" spans="20:21" x14ac:dyDescent="0.25">
      <c r="T871" s="52" t="str">
        <f t="shared" ca="1" si="62"/>
        <v/>
      </c>
      <c r="U871" s="97" t="str">
        <f t="shared" ca="1" si="63"/>
        <v/>
      </c>
    </row>
    <row r="872" spans="20:21" x14ac:dyDescent="0.25">
      <c r="T872" s="52" t="str">
        <f t="shared" ca="1" si="62"/>
        <v/>
      </c>
      <c r="U872" s="97" t="str">
        <f t="shared" ca="1" si="63"/>
        <v/>
      </c>
    </row>
    <row r="873" spans="20:21" x14ac:dyDescent="0.25">
      <c r="T873" s="52" t="str">
        <f t="shared" ca="1" si="62"/>
        <v/>
      </c>
      <c r="U873" s="97" t="str">
        <f t="shared" ca="1" si="63"/>
        <v/>
      </c>
    </row>
    <row r="874" spans="20:21" x14ac:dyDescent="0.25">
      <c r="T874" s="52" t="str">
        <f t="shared" ca="1" si="62"/>
        <v/>
      </c>
      <c r="U874" s="97" t="str">
        <f t="shared" ca="1" si="63"/>
        <v/>
      </c>
    </row>
    <row r="875" spans="20:21" x14ac:dyDescent="0.25">
      <c r="T875" s="52" t="str">
        <f t="shared" ca="1" si="62"/>
        <v/>
      </c>
      <c r="U875" s="97" t="str">
        <f t="shared" ca="1" si="63"/>
        <v/>
      </c>
    </row>
    <row r="876" spans="20:21" x14ac:dyDescent="0.25">
      <c r="T876" s="52" t="str">
        <f t="shared" ca="1" si="62"/>
        <v/>
      </c>
      <c r="U876" s="97" t="str">
        <f t="shared" ca="1" si="63"/>
        <v/>
      </c>
    </row>
    <row r="877" spans="20:21" x14ac:dyDescent="0.25">
      <c r="T877" s="52" t="str">
        <f t="shared" ca="1" si="62"/>
        <v/>
      </c>
      <c r="U877" s="97" t="str">
        <f t="shared" ca="1" si="63"/>
        <v/>
      </c>
    </row>
    <row r="878" spans="20:21" x14ac:dyDescent="0.25">
      <c r="T878" s="52" t="str">
        <f t="shared" ca="1" si="62"/>
        <v/>
      </c>
      <c r="U878" s="97" t="str">
        <f t="shared" ca="1" si="63"/>
        <v/>
      </c>
    </row>
    <row r="879" spans="20:21" x14ac:dyDescent="0.25">
      <c r="T879" s="52" t="str">
        <f t="shared" ca="1" si="62"/>
        <v/>
      </c>
      <c r="U879" s="97" t="str">
        <f t="shared" ca="1" si="63"/>
        <v/>
      </c>
    </row>
    <row r="880" spans="20:21" x14ac:dyDescent="0.25">
      <c r="T880" s="52" t="str">
        <f t="shared" ca="1" si="62"/>
        <v/>
      </c>
      <c r="U880" s="97" t="str">
        <f t="shared" ca="1" si="63"/>
        <v/>
      </c>
    </row>
    <row r="881" spans="20:21" x14ac:dyDescent="0.25">
      <c r="T881" s="52" t="str">
        <f t="shared" ca="1" si="62"/>
        <v/>
      </c>
      <c r="U881" s="97" t="str">
        <f t="shared" ca="1" si="63"/>
        <v/>
      </c>
    </row>
    <row r="882" spans="20:21" x14ac:dyDescent="0.25">
      <c r="T882" s="52" t="str">
        <f t="shared" ca="1" si="62"/>
        <v/>
      </c>
      <c r="U882" s="97" t="str">
        <f t="shared" ca="1" si="63"/>
        <v/>
      </c>
    </row>
    <row r="883" spans="20:21" x14ac:dyDescent="0.25">
      <c r="T883" s="52" t="str">
        <f t="shared" ca="1" si="62"/>
        <v/>
      </c>
      <c r="U883" s="97" t="str">
        <f t="shared" ca="1" si="63"/>
        <v/>
      </c>
    </row>
    <row r="884" spans="20:21" x14ac:dyDescent="0.25">
      <c r="T884" s="52" t="str">
        <f t="shared" ca="1" si="62"/>
        <v/>
      </c>
      <c r="U884" s="97" t="str">
        <f t="shared" ca="1" si="63"/>
        <v/>
      </c>
    </row>
    <row r="885" spans="20:21" x14ac:dyDescent="0.25">
      <c r="T885" s="52" t="str">
        <f t="shared" ca="1" si="62"/>
        <v/>
      </c>
      <c r="U885" s="97" t="str">
        <f t="shared" ca="1" si="63"/>
        <v/>
      </c>
    </row>
    <row r="886" spans="20:21" x14ac:dyDescent="0.25">
      <c r="T886" s="52" t="str">
        <f t="shared" ca="1" si="62"/>
        <v/>
      </c>
      <c r="U886" s="97" t="str">
        <f t="shared" ca="1" si="63"/>
        <v/>
      </c>
    </row>
    <row r="887" spans="20:21" x14ac:dyDescent="0.25">
      <c r="T887" s="52" t="str">
        <f t="shared" ca="1" si="62"/>
        <v/>
      </c>
      <c r="U887" s="97" t="str">
        <f t="shared" ca="1" si="63"/>
        <v/>
      </c>
    </row>
    <row r="888" spans="20:21" x14ac:dyDescent="0.25">
      <c r="T888" s="52" t="str">
        <f t="shared" ca="1" si="62"/>
        <v/>
      </c>
      <c r="U888" s="97" t="str">
        <f t="shared" ca="1" si="63"/>
        <v/>
      </c>
    </row>
    <row r="889" spans="20:21" x14ac:dyDescent="0.25">
      <c r="T889" s="52" t="str">
        <f t="shared" ca="1" si="62"/>
        <v/>
      </c>
      <c r="U889" s="97" t="str">
        <f t="shared" ca="1" si="63"/>
        <v/>
      </c>
    </row>
    <row r="890" spans="20:21" x14ac:dyDescent="0.25">
      <c r="T890" s="52" t="str">
        <f t="shared" ca="1" si="62"/>
        <v/>
      </c>
      <c r="U890" s="97" t="str">
        <f t="shared" ca="1" si="63"/>
        <v/>
      </c>
    </row>
    <row r="891" spans="20:21" x14ac:dyDescent="0.25">
      <c r="T891" s="52" t="str">
        <f t="shared" ca="1" si="62"/>
        <v/>
      </c>
      <c r="U891" s="97" t="str">
        <f t="shared" ca="1" si="63"/>
        <v/>
      </c>
    </row>
    <row r="892" spans="20:21" x14ac:dyDescent="0.25">
      <c r="T892" s="52" t="str">
        <f t="shared" ca="1" si="62"/>
        <v/>
      </c>
      <c r="U892" s="97" t="str">
        <f t="shared" ca="1" si="63"/>
        <v/>
      </c>
    </row>
    <row r="893" spans="20:21" x14ac:dyDescent="0.25">
      <c r="T893" s="52" t="str">
        <f t="shared" ca="1" si="62"/>
        <v/>
      </c>
      <c r="U893" s="97" t="str">
        <f t="shared" ca="1" si="63"/>
        <v/>
      </c>
    </row>
    <row r="894" spans="20:21" x14ac:dyDescent="0.25">
      <c r="T894" s="52" t="str">
        <f t="shared" ca="1" si="62"/>
        <v/>
      </c>
      <c r="U894" s="97" t="str">
        <f t="shared" ca="1" si="63"/>
        <v/>
      </c>
    </row>
    <row r="895" spans="20:21" x14ac:dyDescent="0.25">
      <c r="T895" s="52" t="str">
        <f t="shared" ca="1" si="62"/>
        <v/>
      </c>
      <c r="U895" s="97" t="str">
        <f t="shared" ca="1" si="63"/>
        <v/>
      </c>
    </row>
    <row r="896" spans="20:21" x14ac:dyDescent="0.25">
      <c r="T896" s="52" t="str">
        <f t="shared" ca="1" si="62"/>
        <v/>
      </c>
      <c r="U896" s="97" t="str">
        <f t="shared" ca="1" si="63"/>
        <v/>
      </c>
    </row>
    <row r="897" spans="20:21" x14ac:dyDescent="0.25">
      <c r="T897" s="52" t="str">
        <f t="shared" ca="1" si="62"/>
        <v/>
      </c>
      <c r="U897" s="97" t="str">
        <f t="shared" ca="1" si="63"/>
        <v/>
      </c>
    </row>
    <row r="898" spans="20:21" x14ac:dyDescent="0.25">
      <c r="T898" s="52" t="str">
        <f t="shared" ca="1" si="62"/>
        <v/>
      </c>
      <c r="U898" s="97" t="str">
        <f t="shared" ca="1" si="63"/>
        <v/>
      </c>
    </row>
    <row r="899" spans="20:21" x14ac:dyDescent="0.25">
      <c r="T899" s="52" t="str">
        <f t="shared" ref="T899:T962" ca="1" si="64">IF(COUNTIF(P:P,N899)*COUNTIF(R:R,N899),N899,"")</f>
        <v/>
      </c>
      <c r="U899" s="97" t="str">
        <f t="shared" ca="1" si="63"/>
        <v/>
      </c>
    </row>
    <row r="900" spans="20:21" x14ac:dyDescent="0.25">
      <c r="T900" s="52" t="str">
        <f t="shared" ca="1" si="64"/>
        <v/>
      </c>
      <c r="U900" s="97" t="str">
        <f t="shared" ref="U900:U963" ca="1" si="65">IF(T900&gt;=$A$14,T900,"")</f>
        <v/>
      </c>
    </row>
    <row r="901" spans="20:21" x14ac:dyDescent="0.25">
      <c r="T901" s="52" t="str">
        <f t="shared" ca="1" si="64"/>
        <v/>
      </c>
      <c r="U901" s="97" t="str">
        <f t="shared" ca="1" si="65"/>
        <v/>
      </c>
    </row>
    <row r="902" spans="20:21" x14ac:dyDescent="0.25">
      <c r="T902" s="52" t="str">
        <f t="shared" ca="1" si="64"/>
        <v/>
      </c>
      <c r="U902" s="97" t="str">
        <f t="shared" ca="1" si="65"/>
        <v/>
      </c>
    </row>
    <row r="903" spans="20:21" x14ac:dyDescent="0.25">
      <c r="T903" s="52" t="str">
        <f t="shared" ca="1" si="64"/>
        <v/>
      </c>
      <c r="U903" s="97" t="str">
        <f t="shared" ca="1" si="65"/>
        <v/>
      </c>
    </row>
    <row r="904" spans="20:21" x14ac:dyDescent="0.25">
      <c r="T904" s="52" t="str">
        <f t="shared" ca="1" si="64"/>
        <v/>
      </c>
      <c r="U904" s="97" t="str">
        <f t="shared" ca="1" si="65"/>
        <v/>
      </c>
    </row>
    <row r="905" spans="20:21" x14ac:dyDescent="0.25">
      <c r="T905" s="52" t="str">
        <f t="shared" ca="1" si="64"/>
        <v/>
      </c>
      <c r="U905" s="97" t="str">
        <f t="shared" ca="1" si="65"/>
        <v/>
      </c>
    </row>
    <row r="906" spans="20:21" x14ac:dyDescent="0.25">
      <c r="T906" s="52" t="str">
        <f t="shared" ca="1" si="64"/>
        <v/>
      </c>
      <c r="U906" s="97" t="str">
        <f t="shared" ca="1" si="65"/>
        <v/>
      </c>
    </row>
    <row r="907" spans="20:21" x14ac:dyDescent="0.25">
      <c r="T907" s="52" t="str">
        <f t="shared" ca="1" si="64"/>
        <v/>
      </c>
      <c r="U907" s="97" t="str">
        <f t="shared" ca="1" si="65"/>
        <v/>
      </c>
    </row>
    <row r="908" spans="20:21" x14ac:dyDescent="0.25">
      <c r="T908" s="52" t="str">
        <f t="shared" ca="1" si="64"/>
        <v/>
      </c>
      <c r="U908" s="97" t="str">
        <f t="shared" ca="1" si="65"/>
        <v/>
      </c>
    </row>
    <row r="909" spans="20:21" x14ac:dyDescent="0.25">
      <c r="T909" s="52" t="str">
        <f t="shared" ca="1" si="64"/>
        <v/>
      </c>
      <c r="U909" s="97" t="str">
        <f t="shared" ca="1" si="65"/>
        <v/>
      </c>
    </row>
    <row r="910" spans="20:21" x14ac:dyDescent="0.25">
      <c r="T910" s="52" t="str">
        <f t="shared" ca="1" si="64"/>
        <v/>
      </c>
      <c r="U910" s="97" t="str">
        <f t="shared" ca="1" si="65"/>
        <v/>
      </c>
    </row>
    <row r="911" spans="20:21" x14ac:dyDescent="0.25">
      <c r="T911" s="52" t="str">
        <f t="shared" ca="1" si="64"/>
        <v/>
      </c>
      <c r="U911" s="97" t="str">
        <f t="shared" ca="1" si="65"/>
        <v/>
      </c>
    </row>
    <row r="912" spans="20:21" x14ac:dyDescent="0.25">
      <c r="T912" s="52" t="str">
        <f t="shared" ca="1" si="64"/>
        <v/>
      </c>
      <c r="U912" s="97" t="str">
        <f t="shared" ca="1" si="65"/>
        <v/>
      </c>
    </row>
    <row r="913" spans="20:21" x14ac:dyDescent="0.25">
      <c r="T913" s="52" t="str">
        <f t="shared" ca="1" si="64"/>
        <v/>
      </c>
      <c r="U913" s="97" t="str">
        <f t="shared" ca="1" si="65"/>
        <v/>
      </c>
    </row>
    <row r="914" spans="20:21" x14ac:dyDescent="0.25">
      <c r="T914" s="52" t="str">
        <f t="shared" ca="1" si="64"/>
        <v/>
      </c>
      <c r="U914" s="97" t="str">
        <f t="shared" ca="1" si="65"/>
        <v/>
      </c>
    </row>
    <row r="915" spans="20:21" x14ac:dyDescent="0.25">
      <c r="T915" s="52" t="str">
        <f t="shared" ca="1" si="64"/>
        <v/>
      </c>
      <c r="U915" s="97" t="str">
        <f t="shared" ca="1" si="65"/>
        <v/>
      </c>
    </row>
    <row r="916" spans="20:21" x14ac:dyDescent="0.25">
      <c r="T916" s="52" t="str">
        <f t="shared" ca="1" si="64"/>
        <v/>
      </c>
      <c r="U916" s="97" t="str">
        <f t="shared" ca="1" si="65"/>
        <v/>
      </c>
    </row>
    <row r="917" spans="20:21" x14ac:dyDescent="0.25">
      <c r="T917" s="52" t="str">
        <f t="shared" ca="1" si="64"/>
        <v/>
      </c>
      <c r="U917" s="97" t="str">
        <f t="shared" ca="1" si="65"/>
        <v/>
      </c>
    </row>
    <row r="918" spans="20:21" x14ac:dyDescent="0.25">
      <c r="T918" s="52" t="str">
        <f t="shared" ca="1" si="64"/>
        <v/>
      </c>
      <c r="U918" s="97" t="str">
        <f t="shared" ca="1" si="65"/>
        <v/>
      </c>
    </row>
    <row r="919" spans="20:21" x14ac:dyDescent="0.25">
      <c r="T919" s="52" t="str">
        <f t="shared" ca="1" si="64"/>
        <v/>
      </c>
      <c r="U919" s="97" t="str">
        <f t="shared" ca="1" si="65"/>
        <v/>
      </c>
    </row>
    <row r="920" spans="20:21" x14ac:dyDescent="0.25">
      <c r="T920" s="52" t="str">
        <f t="shared" ca="1" si="64"/>
        <v/>
      </c>
      <c r="U920" s="97" t="str">
        <f t="shared" ca="1" si="65"/>
        <v/>
      </c>
    </row>
    <row r="921" spans="20:21" x14ac:dyDescent="0.25">
      <c r="T921" s="52" t="str">
        <f t="shared" ca="1" si="64"/>
        <v/>
      </c>
      <c r="U921" s="97" t="str">
        <f t="shared" ca="1" si="65"/>
        <v/>
      </c>
    </row>
    <row r="922" spans="20:21" x14ac:dyDescent="0.25">
      <c r="T922" s="52" t="str">
        <f t="shared" ca="1" si="64"/>
        <v/>
      </c>
      <c r="U922" s="97" t="str">
        <f t="shared" ca="1" si="65"/>
        <v/>
      </c>
    </row>
    <row r="923" spans="20:21" x14ac:dyDescent="0.25">
      <c r="T923" s="52" t="str">
        <f t="shared" ca="1" si="64"/>
        <v/>
      </c>
      <c r="U923" s="97" t="str">
        <f t="shared" ca="1" si="65"/>
        <v/>
      </c>
    </row>
    <row r="924" spans="20:21" x14ac:dyDescent="0.25">
      <c r="T924" s="52" t="str">
        <f t="shared" ca="1" si="64"/>
        <v/>
      </c>
      <c r="U924" s="97" t="str">
        <f t="shared" ca="1" si="65"/>
        <v/>
      </c>
    </row>
    <row r="925" spans="20:21" x14ac:dyDescent="0.25">
      <c r="T925" s="52" t="str">
        <f t="shared" ca="1" si="64"/>
        <v/>
      </c>
      <c r="U925" s="97" t="str">
        <f t="shared" ca="1" si="65"/>
        <v/>
      </c>
    </row>
    <row r="926" spans="20:21" x14ac:dyDescent="0.25">
      <c r="T926" s="52" t="str">
        <f t="shared" ca="1" si="64"/>
        <v/>
      </c>
      <c r="U926" s="97" t="str">
        <f t="shared" ca="1" si="65"/>
        <v/>
      </c>
    </row>
    <row r="927" spans="20:21" x14ac:dyDescent="0.25">
      <c r="T927" s="52" t="str">
        <f t="shared" ca="1" si="64"/>
        <v/>
      </c>
      <c r="U927" s="97" t="str">
        <f t="shared" ca="1" si="65"/>
        <v/>
      </c>
    </row>
    <row r="928" spans="20:21" x14ac:dyDescent="0.25">
      <c r="T928" s="52" t="str">
        <f t="shared" ca="1" si="64"/>
        <v/>
      </c>
      <c r="U928" s="97" t="str">
        <f t="shared" ca="1" si="65"/>
        <v/>
      </c>
    </row>
    <row r="929" spans="20:21" x14ac:dyDescent="0.25">
      <c r="T929" s="52" t="str">
        <f t="shared" ca="1" si="64"/>
        <v/>
      </c>
      <c r="U929" s="97" t="str">
        <f t="shared" ca="1" si="65"/>
        <v/>
      </c>
    </row>
    <row r="930" spans="20:21" x14ac:dyDescent="0.25">
      <c r="T930" s="52" t="str">
        <f t="shared" ca="1" si="64"/>
        <v/>
      </c>
      <c r="U930" s="97" t="str">
        <f t="shared" ca="1" si="65"/>
        <v/>
      </c>
    </row>
    <row r="931" spans="20:21" x14ac:dyDescent="0.25">
      <c r="T931" s="52" t="str">
        <f t="shared" ca="1" si="64"/>
        <v/>
      </c>
      <c r="U931" s="97" t="str">
        <f t="shared" ca="1" si="65"/>
        <v/>
      </c>
    </row>
    <row r="932" spans="20:21" x14ac:dyDescent="0.25">
      <c r="T932" s="52" t="str">
        <f t="shared" ca="1" si="64"/>
        <v/>
      </c>
      <c r="U932" s="97" t="str">
        <f t="shared" ca="1" si="65"/>
        <v/>
      </c>
    </row>
    <row r="933" spans="20:21" x14ac:dyDescent="0.25">
      <c r="T933" s="52" t="str">
        <f t="shared" ca="1" si="64"/>
        <v/>
      </c>
      <c r="U933" s="97" t="str">
        <f t="shared" ca="1" si="65"/>
        <v/>
      </c>
    </row>
    <row r="934" spans="20:21" x14ac:dyDescent="0.25">
      <c r="T934" s="52" t="str">
        <f t="shared" ca="1" si="64"/>
        <v/>
      </c>
      <c r="U934" s="97" t="str">
        <f t="shared" ca="1" si="65"/>
        <v/>
      </c>
    </row>
    <row r="935" spans="20:21" x14ac:dyDescent="0.25">
      <c r="T935" s="52" t="str">
        <f t="shared" ca="1" si="64"/>
        <v/>
      </c>
      <c r="U935" s="97" t="str">
        <f t="shared" ca="1" si="65"/>
        <v/>
      </c>
    </row>
    <row r="936" spans="20:21" x14ac:dyDescent="0.25">
      <c r="T936" s="52" t="str">
        <f t="shared" ca="1" si="64"/>
        <v/>
      </c>
      <c r="U936" s="97" t="str">
        <f t="shared" ca="1" si="65"/>
        <v/>
      </c>
    </row>
    <row r="937" spans="20:21" x14ac:dyDescent="0.25">
      <c r="T937" s="52" t="str">
        <f t="shared" ca="1" si="64"/>
        <v/>
      </c>
      <c r="U937" s="97" t="str">
        <f t="shared" ca="1" si="65"/>
        <v/>
      </c>
    </row>
    <row r="938" spans="20:21" x14ac:dyDescent="0.25">
      <c r="T938" s="52" t="str">
        <f t="shared" ca="1" si="64"/>
        <v/>
      </c>
      <c r="U938" s="97" t="str">
        <f t="shared" ca="1" si="65"/>
        <v/>
      </c>
    </row>
    <row r="939" spans="20:21" x14ac:dyDescent="0.25">
      <c r="T939" s="52" t="str">
        <f t="shared" ca="1" si="64"/>
        <v/>
      </c>
      <c r="U939" s="97" t="str">
        <f t="shared" ca="1" si="65"/>
        <v/>
      </c>
    </row>
    <row r="940" spans="20:21" x14ac:dyDescent="0.25">
      <c r="T940" s="52" t="str">
        <f t="shared" ca="1" si="64"/>
        <v/>
      </c>
      <c r="U940" s="97" t="str">
        <f t="shared" ca="1" si="65"/>
        <v/>
      </c>
    </row>
    <row r="941" spans="20:21" x14ac:dyDescent="0.25">
      <c r="T941" s="52" t="str">
        <f t="shared" ca="1" si="64"/>
        <v/>
      </c>
      <c r="U941" s="97" t="str">
        <f t="shared" ca="1" si="65"/>
        <v/>
      </c>
    </row>
    <row r="942" spans="20:21" x14ac:dyDescent="0.25">
      <c r="T942" s="52" t="str">
        <f t="shared" ca="1" si="64"/>
        <v/>
      </c>
      <c r="U942" s="97" t="str">
        <f t="shared" ca="1" si="65"/>
        <v/>
      </c>
    </row>
    <row r="943" spans="20:21" x14ac:dyDescent="0.25">
      <c r="T943" s="52" t="str">
        <f t="shared" ca="1" si="64"/>
        <v/>
      </c>
      <c r="U943" s="97" t="str">
        <f t="shared" ca="1" si="65"/>
        <v/>
      </c>
    </row>
    <row r="944" spans="20:21" x14ac:dyDescent="0.25">
      <c r="T944" s="52" t="str">
        <f t="shared" ca="1" si="64"/>
        <v/>
      </c>
      <c r="U944" s="97" t="str">
        <f t="shared" ca="1" si="65"/>
        <v/>
      </c>
    </row>
    <row r="945" spans="20:21" x14ac:dyDescent="0.25">
      <c r="T945" s="52" t="str">
        <f t="shared" ca="1" si="64"/>
        <v/>
      </c>
      <c r="U945" s="97" t="str">
        <f t="shared" ca="1" si="65"/>
        <v/>
      </c>
    </row>
    <row r="946" spans="20:21" x14ac:dyDescent="0.25">
      <c r="T946" s="52" t="str">
        <f t="shared" ca="1" si="64"/>
        <v/>
      </c>
      <c r="U946" s="97" t="str">
        <f t="shared" ca="1" si="65"/>
        <v/>
      </c>
    </row>
    <row r="947" spans="20:21" x14ac:dyDescent="0.25">
      <c r="T947" s="52" t="str">
        <f t="shared" ca="1" si="64"/>
        <v/>
      </c>
      <c r="U947" s="97" t="str">
        <f t="shared" ca="1" si="65"/>
        <v/>
      </c>
    </row>
    <row r="948" spans="20:21" x14ac:dyDescent="0.25">
      <c r="T948" s="52" t="str">
        <f t="shared" ca="1" si="64"/>
        <v/>
      </c>
      <c r="U948" s="97" t="str">
        <f t="shared" ca="1" si="65"/>
        <v/>
      </c>
    </row>
    <row r="949" spans="20:21" x14ac:dyDescent="0.25">
      <c r="T949" s="52" t="str">
        <f t="shared" ca="1" si="64"/>
        <v/>
      </c>
      <c r="U949" s="97" t="str">
        <f t="shared" ca="1" si="65"/>
        <v/>
      </c>
    </row>
    <row r="950" spans="20:21" x14ac:dyDescent="0.25">
      <c r="T950" s="52" t="str">
        <f t="shared" ca="1" si="64"/>
        <v/>
      </c>
      <c r="U950" s="97" t="str">
        <f t="shared" ca="1" si="65"/>
        <v/>
      </c>
    </row>
    <row r="951" spans="20:21" x14ac:dyDescent="0.25">
      <c r="T951" s="52" t="str">
        <f t="shared" ca="1" si="64"/>
        <v/>
      </c>
      <c r="U951" s="97" t="str">
        <f t="shared" ca="1" si="65"/>
        <v/>
      </c>
    </row>
    <row r="952" spans="20:21" x14ac:dyDescent="0.25">
      <c r="T952" s="52" t="str">
        <f t="shared" ca="1" si="64"/>
        <v/>
      </c>
      <c r="U952" s="97" t="str">
        <f t="shared" ca="1" si="65"/>
        <v/>
      </c>
    </row>
    <row r="953" spans="20:21" x14ac:dyDescent="0.25">
      <c r="T953" s="52" t="str">
        <f t="shared" ca="1" si="64"/>
        <v/>
      </c>
      <c r="U953" s="97" t="str">
        <f t="shared" ca="1" si="65"/>
        <v/>
      </c>
    </row>
    <row r="954" spans="20:21" x14ac:dyDescent="0.25">
      <c r="T954" s="52" t="str">
        <f t="shared" ca="1" si="64"/>
        <v/>
      </c>
      <c r="U954" s="97" t="str">
        <f t="shared" ca="1" si="65"/>
        <v/>
      </c>
    </row>
    <row r="955" spans="20:21" x14ac:dyDescent="0.25">
      <c r="T955" s="52" t="str">
        <f t="shared" ca="1" si="64"/>
        <v/>
      </c>
      <c r="U955" s="97" t="str">
        <f t="shared" ca="1" si="65"/>
        <v/>
      </c>
    </row>
    <row r="956" spans="20:21" x14ac:dyDescent="0.25">
      <c r="T956" s="52" t="str">
        <f t="shared" ca="1" si="64"/>
        <v/>
      </c>
      <c r="U956" s="97" t="str">
        <f t="shared" ca="1" si="65"/>
        <v/>
      </c>
    </row>
    <row r="957" spans="20:21" x14ac:dyDescent="0.25">
      <c r="T957" s="52" t="str">
        <f t="shared" ca="1" si="64"/>
        <v/>
      </c>
      <c r="U957" s="97" t="str">
        <f t="shared" ca="1" si="65"/>
        <v/>
      </c>
    </row>
    <row r="958" spans="20:21" x14ac:dyDescent="0.25">
      <c r="T958" s="52" t="str">
        <f t="shared" ca="1" si="64"/>
        <v/>
      </c>
      <c r="U958" s="97" t="str">
        <f t="shared" ca="1" si="65"/>
        <v/>
      </c>
    </row>
    <row r="959" spans="20:21" x14ac:dyDescent="0.25">
      <c r="T959" s="52" t="str">
        <f t="shared" ca="1" si="64"/>
        <v/>
      </c>
      <c r="U959" s="97" t="str">
        <f t="shared" ca="1" si="65"/>
        <v/>
      </c>
    </row>
    <row r="960" spans="20:21" x14ac:dyDescent="0.25">
      <c r="T960" s="52" t="str">
        <f t="shared" ca="1" si="64"/>
        <v/>
      </c>
      <c r="U960" s="97" t="str">
        <f t="shared" ca="1" si="65"/>
        <v/>
      </c>
    </row>
    <row r="961" spans="20:21" x14ac:dyDescent="0.25">
      <c r="T961" s="52" t="str">
        <f t="shared" ca="1" si="64"/>
        <v/>
      </c>
      <c r="U961" s="97" t="str">
        <f t="shared" ca="1" si="65"/>
        <v/>
      </c>
    </row>
    <row r="962" spans="20:21" x14ac:dyDescent="0.25">
      <c r="T962" s="52" t="str">
        <f t="shared" ca="1" si="64"/>
        <v/>
      </c>
      <c r="U962" s="97" t="str">
        <f t="shared" ca="1" si="65"/>
        <v/>
      </c>
    </row>
    <row r="963" spans="20:21" x14ac:dyDescent="0.25">
      <c r="T963" s="52" t="str">
        <f t="shared" ref="T963:T1026" ca="1" si="66">IF(COUNTIF(P:P,N963)*COUNTIF(R:R,N963),N963,"")</f>
        <v/>
      </c>
      <c r="U963" s="97" t="str">
        <f t="shared" ca="1" si="65"/>
        <v/>
      </c>
    </row>
    <row r="964" spans="20:21" x14ac:dyDescent="0.25">
      <c r="T964" s="52" t="str">
        <f t="shared" ca="1" si="66"/>
        <v/>
      </c>
      <c r="U964" s="97" t="str">
        <f t="shared" ref="U964:U1027" ca="1" si="67">IF(T964&gt;=$A$14,T964,"")</f>
        <v/>
      </c>
    </row>
    <row r="965" spans="20:21" x14ac:dyDescent="0.25">
      <c r="T965" s="52" t="str">
        <f t="shared" ca="1" si="66"/>
        <v/>
      </c>
      <c r="U965" s="97" t="str">
        <f t="shared" ca="1" si="67"/>
        <v/>
      </c>
    </row>
    <row r="966" spans="20:21" x14ac:dyDescent="0.25">
      <c r="T966" s="52" t="str">
        <f t="shared" ca="1" si="66"/>
        <v/>
      </c>
      <c r="U966" s="97" t="str">
        <f t="shared" ca="1" si="67"/>
        <v/>
      </c>
    </row>
    <row r="967" spans="20:21" x14ac:dyDescent="0.25">
      <c r="T967" s="52" t="str">
        <f t="shared" ca="1" si="66"/>
        <v/>
      </c>
      <c r="U967" s="97" t="str">
        <f t="shared" ca="1" si="67"/>
        <v/>
      </c>
    </row>
    <row r="968" spans="20:21" x14ac:dyDescent="0.25">
      <c r="T968" s="52" t="str">
        <f t="shared" ca="1" si="66"/>
        <v/>
      </c>
      <c r="U968" s="97" t="str">
        <f t="shared" ca="1" si="67"/>
        <v/>
      </c>
    </row>
    <row r="969" spans="20:21" x14ac:dyDescent="0.25">
      <c r="T969" s="52" t="str">
        <f t="shared" ca="1" si="66"/>
        <v/>
      </c>
      <c r="U969" s="97" t="str">
        <f t="shared" ca="1" si="67"/>
        <v/>
      </c>
    </row>
    <row r="970" spans="20:21" x14ac:dyDescent="0.25">
      <c r="T970" s="52" t="str">
        <f t="shared" ca="1" si="66"/>
        <v/>
      </c>
      <c r="U970" s="97" t="str">
        <f t="shared" ca="1" si="67"/>
        <v/>
      </c>
    </row>
    <row r="971" spans="20:21" x14ac:dyDescent="0.25">
      <c r="T971" s="52" t="str">
        <f t="shared" ca="1" si="66"/>
        <v/>
      </c>
      <c r="U971" s="97" t="str">
        <f t="shared" ca="1" si="67"/>
        <v/>
      </c>
    </row>
    <row r="972" spans="20:21" x14ac:dyDescent="0.25">
      <c r="T972" s="52" t="str">
        <f t="shared" ca="1" si="66"/>
        <v/>
      </c>
      <c r="U972" s="97" t="str">
        <f t="shared" ca="1" si="67"/>
        <v/>
      </c>
    </row>
    <row r="973" spans="20:21" x14ac:dyDescent="0.25">
      <c r="T973" s="52" t="str">
        <f t="shared" ca="1" si="66"/>
        <v/>
      </c>
      <c r="U973" s="97" t="str">
        <f t="shared" ca="1" si="67"/>
        <v/>
      </c>
    </row>
    <row r="974" spans="20:21" x14ac:dyDescent="0.25">
      <c r="T974" s="52" t="str">
        <f t="shared" ca="1" si="66"/>
        <v/>
      </c>
      <c r="U974" s="97" t="str">
        <f t="shared" ca="1" si="67"/>
        <v/>
      </c>
    </row>
    <row r="975" spans="20:21" x14ac:dyDescent="0.25">
      <c r="T975" s="52" t="str">
        <f t="shared" ca="1" si="66"/>
        <v/>
      </c>
      <c r="U975" s="97" t="str">
        <f t="shared" ca="1" si="67"/>
        <v/>
      </c>
    </row>
    <row r="976" spans="20:21" x14ac:dyDescent="0.25">
      <c r="T976" s="52" t="str">
        <f t="shared" ca="1" si="66"/>
        <v/>
      </c>
      <c r="U976" s="97" t="str">
        <f t="shared" ca="1" si="67"/>
        <v/>
      </c>
    </row>
    <row r="977" spans="20:21" x14ac:dyDescent="0.25">
      <c r="T977" s="52" t="str">
        <f t="shared" ca="1" si="66"/>
        <v/>
      </c>
      <c r="U977" s="97" t="str">
        <f t="shared" ca="1" si="67"/>
        <v/>
      </c>
    </row>
    <row r="978" spans="20:21" x14ac:dyDescent="0.25">
      <c r="T978" s="52" t="str">
        <f t="shared" ca="1" si="66"/>
        <v/>
      </c>
      <c r="U978" s="97" t="str">
        <f t="shared" ca="1" si="67"/>
        <v/>
      </c>
    </row>
    <row r="979" spans="20:21" x14ac:dyDescent="0.25">
      <c r="T979" s="52" t="str">
        <f t="shared" ca="1" si="66"/>
        <v/>
      </c>
      <c r="U979" s="97" t="str">
        <f t="shared" ca="1" si="67"/>
        <v/>
      </c>
    </row>
    <row r="980" spans="20:21" x14ac:dyDescent="0.25">
      <c r="T980" s="52" t="str">
        <f t="shared" ca="1" si="66"/>
        <v/>
      </c>
      <c r="U980" s="97" t="str">
        <f t="shared" ca="1" si="67"/>
        <v/>
      </c>
    </row>
    <row r="981" spans="20:21" x14ac:dyDescent="0.25">
      <c r="T981" s="52" t="str">
        <f t="shared" ca="1" si="66"/>
        <v/>
      </c>
      <c r="U981" s="97" t="str">
        <f t="shared" ca="1" si="67"/>
        <v/>
      </c>
    </row>
    <row r="982" spans="20:21" x14ac:dyDescent="0.25">
      <c r="T982" s="52" t="str">
        <f t="shared" ca="1" si="66"/>
        <v/>
      </c>
      <c r="U982" s="97" t="str">
        <f t="shared" ca="1" si="67"/>
        <v/>
      </c>
    </row>
    <row r="983" spans="20:21" x14ac:dyDescent="0.25">
      <c r="T983" s="52" t="str">
        <f t="shared" ca="1" si="66"/>
        <v/>
      </c>
      <c r="U983" s="97" t="str">
        <f t="shared" ca="1" si="67"/>
        <v/>
      </c>
    </row>
    <row r="984" spans="20:21" x14ac:dyDescent="0.25">
      <c r="T984" s="52" t="str">
        <f t="shared" ca="1" si="66"/>
        <v/>
      </c>
      <c r="U984" s="97" t="str">
        <f t="shared" ca="1" si="67"/>
        <v/>
      </c>
    </row>
    <row r="985" spans="20:21" x14ac:dyDescent="0.25">
      <c r="T985" s="52" t="str">
        <f t="shared" ca="1" si="66"/>
        <v/>
      </c>
      <c r="U985" s="97" t="str">
        <f t="shared" ca="1" si="67"/>
        <v/>
      </c>
    </row>
    <row r="986" spans="20:21" x14ac:dyDescent="0.25">
      <c r="T986" s="52" t="str">
        <f t="shared" ca="1" si="66"/>
        <v/>
      </c>
      <c r="U986" s="97" t="str">
        <f t="shared" ca="1" si="67"/>
        <v/>
      </c>
    </row>
    <row r="987" spans="20:21" x14ac:dyDescent="0.25">
      <c r="T987" s="52" t="str">
        <f t="shared" ca="1" si="66"/>
        <v/>
      </c>
      <c r="U987" s="97" t="str">
        <f t="shared" ca="1" si="67"/>
        <v/>
      </c>
    </row>
    <row r="988" spans="20:21" x14ac:dyDescent="0.25">
      <c r="T988" s="52" t="str">
        <f t="shared" ca="1" si="66"/>
        <v/>
      </c>
      <c r="U988" s="97" t="str">
        <f t="shared" ca="1" si="67"/>
        <v/>
      </c>
    </row>
    <row r="989" spans="20:21" x14ac:dyDescent="0.25">
      <c r="T989" s="52" t="str">
        <f t="shared" ca="1" si="66"/>
        <v/>
      </c>
      <c r="U989" s="97" t="str">
        <f t="shared" ca="1" si="67"/>
        <v/>
      </c>
    </row>
    <row r="990" spans="20:21" x14ac:dyDescent="0.25">
      <c r="T990" s="52" t="str">
        <f t="shared" ca="1" si="66"/>
        <v/>
      </c>
      <c r="U990" s="97" t="str">
        <f t="shared" ca="1" si="67"/>
        <v/>
      </c>
    </row>
    <row r="991" spans="20:21" x14ac:dyDescent="0.25">
      <c r="T991" s="52" t="str">
        <f t="shared" ca="1" si="66"/>
        <v/>
      </c>
      <c r="U991" s="97" t="str">
        <f t="shared" ca="1" si="67"/>
        <v/>
      </c>
    </row>
    <row r="992" spans="20:21" x14ac:dyDescent="0.25">
      <c r="T992" s="52" t="str">
        <f t="shared" ca="1" si="66"/>
        <v/>
      </c>
      <c r="U992" s="97" t="str">
        <f t="shared" ca="1" si="67"/>
        <v/>
      </c>
    </row>
    <row r="993" spans="20:21" x14ac:dyDescent="0.25">
      <c r="T993" s="52" t="str">
        <f t="shared" ca="1" si="66"/>
        <v/>
      </c>
      <c r="U993" s="97" t="str">
        <f t="shared" ca="1" si="67"/>
        <v/>
      </c>
    </row>
    <row r="994" spans="20:21" x14ac:dyDescent="0.25">
      <c r="T994" s="52" t="str">
        <f t="shared" ca="1" si="66"/>
        <v/>
      </c>
      <c r="U994" s="97" t="str">
        <f t="shared" ca="1" si="67"/>
        <v/>
      </c>
    </row>
    <row r="995" spans="20:21" x14ac:dyDescent="0.25">
      <c r="T995" s="52" t="str">
        <f t="shared" ca="1" si="66"/>
        <v/>
      </c>
      <c r="U995" s="97" t="str">
        <f t="shared" ca="1" si="67"/>
        <v/>
      </c>
    </row>
    <row r="996" spans="20:21" x14ac:dyDescent="0.25">
      <c r="T996" s="52" t="str">
        <f t="shared" ca="1" si="66"/>
        <v/>
      </c>
      <c r="U996" s="97" t="str">
        <f t="shared" ca="1" si="67"/>
        <v/>
      </c>
    </row>
    <row r="997" spans="20:21" x14ac:dyDescent="0.25">
      <c r="T997" s="52" t="str">
        <f t="shared" ca="1" si="66"/>
        <v/>
      </c>
      <c r="U997" s="97" t="str">
        <f t="shared" ca="1" si="67"/>
        <v/>
      </c>
    </row>
    <row r="998" spans="20:21" x14ac:dyDescent="0.25">
      <c r="T998" s="52" t="str">
        <f t="shared" ca="1" si="66"/>
        <v/>
      </c>
      <c r="U998" s="97" t="str">
        <f t="shared" ca="1" si="67"/>
        <v/>
      </c>
    </row>
    <row r="999" spans="20:21" x14ac:dyDescent="0.25">
      <c r="T999" s="52" t="str">
        <f t="shared" ca="1" si="66"/>
        <v/>
      </c>
      <c r="U999" s="97" t="str">
        <f t="shared" ca="1" si="67"/>
        <v/>
      </c>
    </row>
    <row r="1000" spans="20:21" x14ac:dyDescent="0.25">
      <c r="T1000" s="52" t="str">
        <f t="shared" ca="1" si="66"/>
        <v/>
      </c>
      <c r="U1000" s="97" t="str">
        <f t="shared" ca="1" si="67"/>
        <v/>
      </c>
    </row>
    <row r="1001" spans="20:21" x14ac:dyDescent="0.25">
      <c r="T1001" s="52" t="str">
        <f t="shared" ca="1" si="66"/>
        <v/>
      </c>
      <c r="U1001" s="97" t="str">
        <f t="shared" ca="1" si="67"/>
        <v/>
      </c>
    </row>
    <row r="1002" spans="20:21" x14ac:dyDescent="0.25">
      <c r="T1002" s="52" t="str">
        <f t="shared" ca="1" si="66"/>
        <v/>
      </c>
      <c r="U1002" s="97" t="str">
        <f t="shared" ca="1" si="67"/>
        <v/>
      </c>
    </row>
    <row r="1003" spans="20:21" x14ac:dyDescent="0.25">
      <c r="T1003" s="52" t="str">
        <f t="shared" ca="1" si="66"/>
        <v/>
      </c>
      <c r="U1003" s="97" t="str">
        <f t="shared" ca="1" si="67"/>
        <v/>
      </c>
    </row>
    <row r="1004" spans="20:21" x14ac:dyDescent="0.25">
      <c r="T1004" s="52" t="str">
        <f t="shared" ca="1" si="66"/>
        <v/>
      </c>
      <c r="U1004" s="97" t="str">
        <f t="shared" ca="1" si="67"/>
        <v/>
      </c>
    </row>
    <row r="1005" spans="20:21" x14ac:dyDescent="0.25">
      <c r="T1005" s="52" t="str">
        <f t="shared" ca="1" si="66"/>
        <v/>
      </c>
      <c r="U1005" s="97" t="str">
        <f t="shared" ca="1" si="67"/>
        <v/>
      </c>
    </row>
    <row r="1006" spans="20:21" x14ac:dyDescent="0.25">
      <c r="T1006" s="52" t="str">
        <f t="shared" ca="1" si="66"/>
        <v/>
      </c>
      <c r="U1006" s="97" t="str">
        <f t="shared" ca="1" si="67"/>
        <v/>
      </c>
    </row>
    <row r="1007" spans="20:21" x14ac:dyDescent="0.25">
      <c r="T1007" s="52" t="str">
        <f t="shared" ca="1" si="66"/>
        <v/>
      </c>
      <c r="U1007" s="97" t="str">
        <f t="shared" ca="1" si="67"/>
        <v/>
      </c>
    </row>
    <row r="1008" spans="20:21" x14ac:dyDescent="0.25">
      <c r="T1008" s="52" t="str">
        <f t="shared" ca="1" si="66"/>
        <v/>
      </c>
      <c r="U1008" s="97" t="str">
        <f t="shared" ca="1" si="67"/>
        <v/>
      </c>
    </row>
    <row r="1009" spans="20:21" x14ac:dyDescent="0.25">
      <c r="T1009" s="52" t="str">
        <f t="shared" ca="1" si="66"/>
        <v/>
      </c>
      <c r="U1009" s="97" t="str">
        <f t="shared" ca="1" si="67"/>
        <v/>
      </c>
    </row>
    <row r="1010" spans="20:21" x14ac:dyDescent="0.25">
      <c r="T1010" s="52" t="str">
        <f t="shared" ca="1" si="66"/>
        <v/>
      </c>
      <c r="U1010" s="97" t="str">
        <f t="shared" ca="1" si="67"/>
        <v/>
      </c>
    </row>
    <row r="1011" spans="20:21" x14ac:dyDescent="0.25">
      <c r="T1011" s="52" t="str">
        <f t="shared" ca="1" si="66"/>
        <v/>
      </c>
      <c r="U1011" s="97" t="str">
        <f t="shared" ca="1" si="67"/>
        <v/>
      </c>
    </row>
    <row r="1012" spans="20:21" x14ac:dyDescent="0.25">
      <c r="T1012" s="52" t="str">
        <f t="shared" ca="1" si="66"/>
        <v/>
      </c>
      <c r="U1012" s="97" t="str">
        <f t="shared" ca="1" si="67"/>
        <v/>
      </c>
    </row>
    <row r="1013" spans="20:21" x14ac:dyDescent="0.25">
      <c r="T1013" s="52" t="str">
        <f t="shared" ca="1" si="66"/>
        <v/>
      </c>
      <c r="U1013" s="97" t="str">
        <f t="shared" ca="1" si="67"/>
        <v/>
      </c>
    </row>
    <row r="1014" spans="20:21" x14ac:dyDescent="0.25">
      <c r="T1014" s="52" t="str">
        <f t="shared" ca="1" si="66"/>
        <v/>
      </c>
      <c r="U1014" s="97" t="str">
        <f t="shared" ca="1" si="67"/>
        <v/>
      </c>
    </row>
    <row r="1015" spans="20:21" x14ac:dyDescent="0.25">
      <c r="T1015" s="52" t="str">
        <f t="shared" ca="1" si="66"/>
        <v/>
      </c>
      <c r="U1015" s="97" t="str">
        <f t="shared" ca="1" si="67"/>
        <v/>
      </c>
    </row>
    <row r="1016" spans="20:21" x14ac:dyDescent="0.25">
      <c r="T1016" s="52" t="str">
        <f t="shared" ca="1" si="66"/>
        <v/>
      </c>
      <c r="U1016" s="97" t="str">
        <f t="shared" ca="1" si="67"/>
        <v/>
      </c>
    </row>
    <row r="1017" spans="20:21" x14ac:dyDescent="0.25">
      <c r="T1017" s="52" t="str">
        <f t="shared" ca="1" si="66"/>
        <v/>
      </c>
      <c r="U1017" s="97" t="str">
        <f t="shared" ca="1" si="67"/>
        <v/>
      </c>
    </row>
    <row r="1018" spans="20:21" x14ac:dyDescent="0.25">
      <c r="T1018" s="52" t="str">
        <f t="shared" ca="1" si="66"/>
        <v/>
      </c>
      <c r="U1018" s="97" t="str">
        <f t="shared" ca="1" si="67"/>
        <v/>
      </c>
    </row>
    <row r="1019" spans="20:21" x14ac:dyDescent="0.25">
      <c r="T1019" s="52" t="str">
        <f t="shared" ca="1" si="66"/>
        <v/>
      </c>
      <c r="U1019" s="97" t="str">
        <f t="shared" ca="1" si="67"/>
        <v/>
      </c>
    </row>
    <row r="1020" spans="20:21" x14ac:dyDescent="0.25">
      <c r="T1020" s="52" t="str">
        <f t="shared" ca="1" si="66"/>
        <v/>
      </c>
      <c r="U1020" s="97" t="str">
        <f t="shared" ca="1" si="67"/>
        <v/>
      </c>
    </row>
    <row r="1021" spans="20:21" x14ac:dyDescent="0.25">
      <c r="T1021" s="52" t="str">
        <f t="shared" ca="1" si="66"/>
        <v/>
      </c>
      <c r="U1021" s="97" t="str">
        <f t="shared" ca="1" si="67"/>
        <v/>
      </c>
    </row>
    <row r="1022" spans="20:21" x14ac:dyDescent="0.25">
      <c r="T1022" s="52" t="str">
        <f t="shared" ca="1" si="66"/>
        <v/>
      </c>
      <c r="U1022" s="97" t="str">
        <f t="shared" ca="1" si="67"/>
        <v/>
      </c>
    </row>
    <row r="1023" spans="20:21" x14ac:dyDescent="0.25">
      <c r="T1023" s="52" t="str">
        <f t="shared" ca="1" si="66"/>
        <v/>
      </c>
      <c r="U1023" s="97" t="str">
        <f t="shared" ca="1" si="67"/>
        <v/>
      </c>
    </row>
    <row r="1024" spans="20:21" x14ac:dyDescent="0.25">
      <c r="T1024" s="52" t="str">
        <f t="shared" ca="1" si="66"/>
        <v/>
      </c>
      <c r="U1024" s="97" t="str">
        <f t="shared" ca="1" si="67"/>
        <v/>
      </c>
    </row>
    <row r="1025" spans="20:21" x14ac:dyDescent="0.25">
      <c r="T1025" s="52" t="str">
        <f t="shared" ca="1" si="66"/>
        <v/>
      </c>
      <c r="U1025" s="97" t="str">
        <f t="shared" ca="1" si="67"/>
        <v/>
      </c>
    </row>
    <row r="1026" spans="20:21" x14ac:dyDescent="0.25">
      <c r="T1026" s="52" t="str">
        <f t="shared" ca="1" si="66"/>
        <v/>
      </c>
      <c r="U1026" s="97" t="str">
        <f t="shared" ca="1" si="67"/>
        <v/>
      </c>
    </row>
    <row r="1027" spans="20:21" x14ac:dyDescent="0.25">
      <c r="T1027" s="52" t="str">
        <f t="shared" ref="T1027:T1075" ca="1" si="68">IF(COUNTIF(P:P,N1027)*COUNTIF(R:R,N1027),N1027,"")</f>
        <v/>
      </c>
      <c r="U1027" s="97" t="str">
        <f t="shared" ca="1" si="67"/>
        <v/>
      </c>
    </row>
    <row r="1028" spans="20:21" x14ac:dyDescent="0.25">
      <c r="T1028" s="52" t="str">
        <f t="shared" ca="1" si="68"/>
        <v/>
      </c>
      <c r="U1028" s="97" t="str">
        <f t="shared" ref="U1028:U1075" ca="1" si="69">IF(T1028&gt;=$A$14,T1028,"")</f>
        <v/>
      </c>
    </row>
    <row r="1029" spans="20:21" x14ac:dyDescent="0.25">
      <c r="T1029" s="52" t="str">
        <f t="shared" ca="1" si="68"/>
        <v/>
      </c>
      <c r="U1029" s="97" t="str">
        <f t="shared" ca="1" si="69"/>
        <v/>
      </c>
    </row>
    <row r="1030" spans="20:21" x14ac:dyDescent="0.25">
      <c r="T1030" s="52" t="str">
        <f t="shared" ca="1" si="68"/>
        <v/>
      </c>
      <c r="U1030" s="97" t="str">
        <f t="shared" ca="1" si="69"/>
        <v/>
      </c>
    </row>
    <row r="1031" spans="20:21" x14ac:dyDescent="0.25">
      <c r="T1031" s="52" t="str">
        <f t="shared" ca="1" si="68"/>
        <v/>
      </c>
      <c r="U1031" s="97" t="str">
        <f t="shared" ca="1" si="69"/>
        <v/>
      </c>
    </row>
    <row r="1032" spans="20:21" x14ac:dyDescent="0.25">
      <c r="T1032" s="52" t="str">
        <f t="shared" ca="1" si="68"/>
        <v/>
      </c>
      <c r="U1032" s="97" t="str">
        <f t="shared" ca="1" si="69"/>
        <v/>
      </c>
    </row>
    <row r="1033" spans="20:21" x14ac:dyDescent="0.25">
      <c r="T1033" s="52" t="str">
        <f t="shared" ca="1" si="68"/>
        <v/>
      </c>
      <c r="U1033" s="97" t="str">
        <f t="shared" ca="1" si="69"/>
        <v/>
      </c>
    </row>
    <row r="1034" spans="20:21" x14ac:dyDescent="0.25">
      <c r="T1034" s="52" t="str">
        <f t="shared" ca="1" si="68"/>
        <v/>
      </c>
      <c r="U1034" s="97" t="str">
        <f t="shared" ca="1" si="69"/>
        <v/>
      </c>
    </row>
    <row r="1035" spans="20:21" x14ac:dyDescent="0.25">
      <c r="T1035" s="52" t="str">
        <f t="shared" ca="1" si="68"/>
        <v/>
      </c>
      <c r="U1035" s="97" t="str">
        <f t="shared" ca="1" si="69"/>
        <v/>
      </c>
    </row>
    <row r="1036" spans="20:21" x14ac:dyDescent="0.25">
      <c r="T1036" s="52" t="str">
        <f t="shared" ca="1" si="68"/>
        <v/>
      </c>
      <c r="U1036" s="97" t="str">
        <f t="shared" ca="1" si="69"/>
        <v/>
      </c>
    </row>
    <row r="1037" spans="20:21" x14ac:dyDescent="0.25">
      <c r="T1037" s="52" t="str">
        <f t="shared" ca="1" si="68"/>
        <v/>
      </c>
      <c r="U1037" s="97" t="str">
        <f t="shared" ca="1" si="69"/>
        <v/>
      </c>
    </row>
    <row r="1038" spans="20:21" x14ac:dyDescent="0.25">
      <c r="T1038" s="52" t="str">
        <f t="shared" ca="1" si="68"/>
        <v/>
      </c>
      <c r="U1038" s="97" t="str">
        <f t="shared" ca="1" si="69"/>
        <v/>
      </c>
    </row>
    <row r="1039" spans="20:21" x14ac:dyDescent="0.25">
      <c r="T1039" s="52" t="str">
        <f t="shared" ca="1" si="68"/>
        <v/>
      </c>
      <c r="U1039" s="97" t="str">
        <f t="shared" ca="1" si="69"/>
        <v/>
      </c>
    </row>
    <row r="1040" spans="20:21" x14ac:dyDescent="0.25">
      <c r="T1040" s="52" t="str">
        <f t="shared" ca="1" si="68"/>
        <v/>
      </c>
      <c r="U1040" s="97" t="str">
        <f t="shared" ca="1" si="69"/>
        <v/>
      </c>
    </row>
    <row r="1041" spans="20:21" x14ac:dyDescent="0.25">
      <c r="T1041" s="52" t="str">
        <f t="shared" ca="1" si="68"/>
        <v/>
      </c>
      <c r="U1041" s="97" t="str">
        <f t="shared" ca="1" si="69"/>
        <v/>
      </c>
    </row>
    <row r="1042" spans="20:21" x14ac:dyDescent="0.25">
      <c r="T1042" s="52" t="str">
        <f t="shared" ca="1" si="68"/>
        <v/>
      </c>
      <c r="U1042" s="97" t="str">
        <f t="shared" ca="1" si="69"/>
        <v/>
      </c>
    </row>
    <row r="1043" spans="20:21" x14ac:dyDescent="0.25">
      <c r="T1043" s="52" t="str">
        <f t="shared" ca="1" si="68"/>
        <v/>
      </c>
      <c r="U1043" s="97" t="str">
        <f t="shared" ca="1" si="69"/>
        <v/>
      </c>
    </row>
    <row r="1044" spans="20:21" x14ac:dyDescent="0.25">
      <c r="T1044" s="52" t="str">
        <f t="shared" ca="1" si="68"/>
        <v/>
      </c>
      <c r="U1044" s="97" t="str">
        <f t="shared" ca="1" si="69"/>
        <v/>
      </c>
    </row>
    <row r="1045" spans="20:21" x14ac:dyDescent="0.25">
      <c r="T1045" s="52" t="str">
        <f t="shared" ca="1" si="68"/>
        <v/>
      </c>
      <c r="U1045" s="97" t="str">
        <f t="shared" ca="1" si="69"/>
        <v/>
      </c>
    </row>
    <row r="1046" spans="20:21" x14ac:dyDescent="0.25">
      <c r="T1046" s="52" t="str">
        <f t="shared" ca="1" si="68"/>
        <v/>
      </c>
      <c r="U1046" s="97" t="str">
        <f t="shared" ca="1" si="69"/>
        <v/>
      </c>
    </row>
    <row r="1047" spans="20:21" x14ac:dyDescent="0.25">
      <c r="T1047" s="52" t="str">
        <f t="shared" ca="1" si="68"/>
        <v/>
      </c>
      <c r="U1047" s="97" t="str">
        <f t="shared" ca="1" si="69"/>
        <v/>
      </c>
    </row>
    <row r="1048" spans="20:21" x14ac:dyDescent="0.25">
      <c r="T1048" s="52" t="str">
        <f t="shared" ca="1" si="68"/>
        <v/>
      </c>
      <c r="U1048" s="97" t="str">
        <f t="shared" ca="1" si="69"/>
        <v/>
      </c>
    </row>
    <row r="1049" spans="20:21" x14ac:dyDescent="0.25">
      <c r="T1049" s="52" t="str">
        <f t="shared" ca="1" si="68"/>
        <v/>
      </c>
      <c r="U1049" s="97" t="str">
        <f t="shared" ca="1" si="69"/>
        <v/>
      </c>
    </row>
    <row r="1050" spans="20:21" x14ac:dyDescent="0.25">
      <c r="T1050" s="52" t="str">
        <f t="shared" ca="1" si="68"/>
        <v/>
      </c>
      <c r="U1050" s="97" t="str">
        <f t="shared" ca="1" si="69"/>
        <v/>
      </c>
    </row>
    <row r="1051" spans="20:21" x14ac:dyDescent="0.25">
      <c r="T1051" s="52" t="str">
        <f t="shared" ca="1" si="68"/>
        <v/>
      </c>
      <c r="U1051" s="97" t="str">
        <f t="shared" ca="1" si="69"/>
        <v/>
      </c>
    </row>
    <row r="1052" spans="20:21" x14ac:dyDescent="0.25">
      <c r="T1052" s="52" t="str">
        <f t="shared" ca="1" si="68"/>
        <v/>
      </c>
      <c r="U1052" s="97" t="str">
        <f t="shared" ca="1" si="69"/>
        <v/>
      </c>
    </row>
    <row r="1053" spans="20:21" x14ac:dyDescent="0.25">
      <c r="T1053" s="52" t="str">
        <f t="shared" ca="1" si="68"/>
        <v/>
      </c>
      <c r="U1053" s="97" t="str">
        <f t="shared" ca="1" si="69"/>
        <v/>
      </c>
    </row>
    <row r="1054" spans="20:21" x14ac:dyDescent="0.25">
      <c r="T1054" s="52" t="str">
        <f t="shared" ca="1" si="68"/>
        <v/>
      </c>
      <c r="U1054" s="97" t="str">
        <f t="shared" ca="1" si="69"/>
        <v/>
      </c>
    </row>
    <row r="1055" spans="20:21" x14ac:dyDescent="0.25">
      <c r="T1055" s="52" t="str">
        <f t="shared" ca="1" si="68"/>
        <v/>
      </c>
      <c r="U1055" s="97" t="str">
        <f t="shared" ca="1" si="69"/>
        <v/>
      </c>
    </row>
    <row r="1056" spans="20:21" x14ac:dyDescent="0.25">
      <c r="T1056" s="52" t="str">
        <f t="shared" ca="1" si="68"/>
        <v/>
      </c>
      <c r="U1056" s="97" t="str">
        <f t="shared" ca="1" si="69"/>
        <v/>
      </c>
    </row>
    <row r="1057" spans="20:21" x14ac:dyDescent="0.25">
      <c r="T1057" s="52" t="str">
        <f t="shared" ca="1" si="68"/>
        <v/>
      </c>
      <c r="U1057" s="97" t="str">
        <f t="shared" ca="1" si="69"/>
        <v/>
      </c>
    </row>
    <row r="1058" spans="20:21" x14ac:dyDescent="0.25">
      <c r="T1058" s="52" t="str">
        <f t="shared" ca="1" si="68"/>
        <v/>
      </c>
      <c r="U1058" s="97" t="str">
        <f t="shared" ca="1" si="69"/>
        <v/>
      </c>
    </row>
    <row r="1059" spans="20:21" x14ac:dyDescent="0.25">
      <c r="T1059" s="52" t="str">
        <f t="shared" ca="1" si="68"/>
        <v/>
      </c>
      <c r="U1059" s="97" t="str">
        <f t="shared" ca="1" si="69"/>
        <v/>
      </c>
    </row>
    <row r="1060" spans="20:21" x14ac:dyDescent="0.25">
      <c r="T1060" s="52" t="str">
        <f t="shared" ca="1" si="68"/>
        <v/>
      </c>
      <c r="U1060" s="97" t="str">
        <f t="shared" ca="1" si="69"/>
        <v/>
      </c>
    </row>
    <row r="1061" spans="20:21" x14ac:dyDescent="0.25">
      <c r="T1061" s="52" t="str">
        <f t="shared" ca="1" si="68"/>
        <v/>
      </c>
      <c r="U1061" s="97" t="str">
        <f t="shared" ca="1" si="69"/>
        <v/>
      </c>
    </row>
    <row r="1062" spans="20:21" x14ac:dyDescent="0.25">
      <c r="T1062" s="52" t="str">
        <f t="shared" ca="1" si="68"/>
        <v/>
      </c>
      <c r="U1062" s="97" t="str">
        <f t="shared" ca="1" si="69"/>
        <v/>
      </c>
    </row>
    <row r="1063" spans="20:21" x14ac:dyDescent="0.25">
      <c r="T1063" s="52" t="str">
        <f t="shared" ca="1" si="68"/>
        <v/>
      </c>
      <c r="U1063" s="97" t="str">
        <f t="shared" ca="1" si="69"/>
        <v/>
      </c>
    </row>
    <row r="1064" spans="20:21" x14ac:dyDescent="0.25">
      <c r="T1064" s="52" t="str">
        <f t="shared" ca="1" si="68"/>
        <v/>
      </c>
      <c r="U1064" s="97" t="str">
        <f t="shared" ca="1" si="69"/>
        <v/>
      </c>
    </row>
    <row r="1065" spans="20:21" x14ac:dyDescent="0.25">
      <c r="T1065" s="52" t="str">
        <f t="shared" ca="1" si="68"/>
        <v/>
      </c>
      <c r="U1065" s="97" t="str">
        <f t="shared" ca="1" si="69"/>
        <v/>
      </c>
    </row>
    <row r="1066" spans="20:21" x14ac:dyDescent="0.25">
      <c r="T1066" s="52" t="str">
        <f t="shared" ca="1" si="68"/>
        <v/>
      </c>
      <c r="U1066" s="97" t="str">
        <f t="shared" ca="1" si="69"/>
        <v/>
      </c>
    </row>
    <row r="1067" spans="20:21" x14ac:dyDescent="0.25">
      <c r="T1067" s="52" t="str">
        <f t="shared" ca="1" si="68"/>
        <v/>
      </c>
      <c r="U1067" s="97" t="str">
        <f t="shared" ca="1" si="69"/>
        <v/>
      </c>
    </row>
    <row r="1068" spans="20:21" x14ac:dyDescent="0.25">
      <c r="T1068" s="52" t="str">
        <f t="shared" ca="1" si="68"/>
        <v/>
      </c>
      <c r="U1068" s="97" t="str">
        <f t="shared" ca="1" si="69"/>
        <v/>
      </c>
    </row>
    <row r="1069" spans="20:21" x14ac:dyDescent="0.25">
      <c r="T1069" s="52" t="str">
        <f t="shared" ca="1" si="68"/>
        <v/>
      </c>
      <c r="U1069" s="97" t="str">
        <f t="shared" ca="1" si="69"/>
        <v/>
      </c>
    </row>
    <row r="1070" spans="20:21" x14ac:dyDescent="0.25">
      <c r="T1070" s="52" t="str">
        <f t="shared" ca="1" si="68"/>
        <v/>
      </c>
      <c r="U1070" s="97" t="str">
        <f t="shared" ca="1" si="69"/>
        <v/>
      </c>
    </row>
    <row r="1071" spans="20:21" x14ac:dyDescent="0.25">
      <c r="T1071" s="52" t="str">
        <f t="shared" ca="1" si="68"/>
        <v/>
      </c>
      <c r="U1071" s="97" t="str">
        <f t="shared" ca="1" si="69"/>
        <v/>
      </c>
    </row>
    <row r="1072" spans="20:21" x14ac:dyDescent="0.25">
      <c r="T1072" s="52" t="str">
        <f t="shared" ca="1" si="68"/>
        <v/>
      </c>
      <c r="U1072" s="97" t="str">
        <f t="shared" ca="1" si="69"/>
        <v/>
      </c>
    </row>
    <row r="1073" spans="20:21" x14ac:dyDescent="0.25">
      <c r="T1073" s="52" t="str">
        <f t="shared" ca="1" si="68"/>
        <v/>
      </c>
      <c r="U1073" s="97" t="str">
        <f t="shared" ca="1" si="69"/>
        <v/>
      </c>
    </row>
    <row r="1074" spans="20:21" x14ac:dyDescent="0.25">
      <c r="T1074" s="52" t="str">
        <f t="shared" ca="1" si="68"/>
        <v/>
      </c>
      <c r="U1074" s="97" t="str">
        <f t="shared" ca="1" si="69"/>
        <v/>
      </c>
    </row>
    <row r="1075" spans="20:21" x14ac:dyDescent="0.25">
      <c r="T1075" s="52" t="str">
        <f t="shared" ca="1" si="68"/>
        <v/>
      </c>
      <c r="U1075" s="97" t="str">
        <f t="shared" ca="1" si="69"/>
        <v/>
      </c>
    </row>
  </sheetData>
  <mergeCells count="3">
    <mergeCell ref="B12:D12"/>
    <mergeCell ref="E12:G12"/>
    <mergeCell ref="H12:J12"/>
  </mergeCells>
  <conditionalFormatting sqref="L13:L379">
    <cfRule type="cellIs" dxfId="6" priority="1" operator="lessThan">
      <formula>0</formula>
    </cfRule>
  </conditionalFormatting>
  <hyperlinks>
    <hyperlink ref="C4" r:id="rId1" xr:uid="{BA2FEB2E-A080-48FB-B69E-AFF71A5B2D3C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2D6C-3058-4A68-A342-65829BA907A4}">
  <dimension ref="A1:AB1075"/>
  <sheetViews>
    <sheetView zoomScaleNormal="100" workbookViewId="0">
      <selection activeCell="L8" sqref="L8"/>
    </sheetView>
  </sheetViews>
  <sheetFormatPr defaultColWidth="8.85546875" defaultRowHeight="15" x14ac:dyDescent="0.25"/>
  <cols>
    <col min="1" max="1" width="18.140625" style="52" bestFit="1" customWidth="1"/>
    <col min="2" max="2" width="14.85546875" style="39" bestFit="1" customWidth="1"/>
    <col min="3" max="3" width="16.7109375" style="39" bestFit="1" customWidth="1"/>
    <col min="4" max="4" width="16.85546875" style="39" customWidth="1"/>
    <col min="5" max="5" width="16.42578125" style="39" bestFit="1" customWidth="1"/>
    <col min="6" max="6" width="10" style="39" bestFit="1" customWidth="1"/>
    <col min="7" max="8" width="14.85546875" style="39" bestFit="1" customWidth="1"/>
    <col min="9" max="9" width="10" style="39" bestFit="1" customWidth="1"/>
    <col min="10" max="10" width="11.5703125" style="39" bestFit="1" customWidth="1"/>
    <col min="11" max="11" width="14.85546875" style="115" bestFit="1" customWidth="1"/>
    <col min="12" max="12" width="13.5703125" style="39" bestFit="1" customWidth="1"/>
    <col min="14" max="14" width="12.85546875" style="52" bestFit="1" customWidth="1"/>
    <col min="15" max="15" width="7.42578125" style="39" bestFit="1" customWidth="1"/>
    <col min="16" max="16" width="13.140625" style="52" bestFit="1" customWidth="1"/>
    <col min="17" max="17" width="10" style="39" bestFit="1" customWidth="1"/>
    <col min="18" max="18" width="17.85546875" style="52" bestFit="1" customWidth="1"/>
    <col min="19" max="19" width="8.7109375" style="39" bestFit="1" customWidth="1"/>
    <col min="20" max="20" width="10.7109375" style="39" bestFit="1" customWidth="1"/>
    <col min="21" max="21" width="8.7109375" style="39" customWidth="1"/>
    <col min="22" max="22" width="18.140625" style="52" bestFit="1" customWidth="1"/>
    <col min="23" max="23" width="18.140625" style="97" bestFit="1" customWidth="1"/>
    <col min="24" max="24" width="18.140625" style="52" bestFit="1" customWidth="1"/>
    <col min="25" max="26" width="8.85546875" style="97"/>
    <col min="27" max="16384" width="8.85546875" style="39"/>
  </cols>
  <sheetData>
    <row r="1" spans="1:28" s="97" customFormat="1" ht="15.75" thickBot="1" x14ac:dyDescent="0.3">
      <c r="A1" s="1"/>
      <c r="B1" s="1"/>
      <c r="C1" s="1"/>
      <c r="D1" s="25" t="s">
        <v>92</v>
      </c>
      <c r="E1" s="1"/>
      <c r="F1" s="39"/>
      <c r="G1" s="52"/>
      <c r="H1" s="1"/>
      <c r="I1" s="38"/>
      <c r="J1" s="1"/>
      <c r="K1" s="112" t="s">
        <v>150</v>
      </c>
      <c r="L1" s="39" cm="1">
        <f t="array" aca="1" ref="L1" ca="1">LOOKUP(2,1/(U:U&lt;&gt;""),U:U)</f>
        <v>254.77209999999999</v>
      </c>
      <c r="M1" t="s">
        <v>153</v>
      </c>
      <c r="N1" s="38"/>
      <c r="O1" s="1"/>
      <c r="P1" s="38"/>
      <c r="Q1" s="1"/>
      <c r="R1" s="38"/>
      <c r="S1" s="1"/>
      <c r="T1" s="1"/>
      <c r="U1" s="1"/>
      <c r="V1" s="52"/>
      <c r="X1" s="52" cm="1">
        <f t="array" aca="1" ref="X1" ca="1">LOOKUP(2,1/(V:V&lt;&gt;""),V:V)</f>
        <v>46190</v>
      </c>
      <c r="AA1" s="39"/>
      <c r="AB1" s="39"/>
    </row>
    <row r="2" spans="1:28" s="97" customFormat="1" ht="15.75" thickBot="1" x14ac:dyDescent="0.3">
      <c r="A2" s="24"/>
      <c r="B2" s="28" t="s">
        <v>0</v>
      </c>
      <c r="C2" s="32" t="s">
        <v>1</v>
      </c>
      <c r="D2" s="49" t="s">
        <v>1</v>
      </c>
      <c r="E2" s="1"/>
      <c r="F2" s="39"/>
      <c r="G2" s="110" t="s">
        <v>72</v>
      </c>
      <c r="H2" s="1"/>
      <c r="I2" s="73"/>
      <c r="J2" s="39"/>
      <c r="K2" s="112" t="s">
        <v>151</v>
      </c>
      <c r="L2" s="39" cm="1">
        <f t="array" aca="1" ref="L2" ca="1">LOOKUP(2,1/(S:S&lt;&gt;""),S:S)</f>
        <v>251.36</v>
      </c>
      <c r="M2">
        <f>MATCH($B$4,Dividends!$A$4:$T$4,0)</f>
        <v>7</v>
      </c>
      <c r="N2" s="61" t="s">
        <v>0</v>
      </c>
      <c r="O2" s="1"/>
      <c r="P2" s="62" t="s">
        <v>1</v>
      </c>
      <c r="Q2" s="2"/>
      <c r="R2" s="63" t="s">
        <v>1</v>
      </c>
      <c r="S2" s="1"/>
      <c r="T2" s="1"/>
      <c r="U2" s="1"/>
      <c r="V2" s="52"/>
      <c r="X2" s="52" cm="1">
        <f t="array" aca="1" ref="X2" ca="1">_xlfn._xlws.SORT(_xlfn.UNIQUE(_xlfn._xlws.FILTER(W:W, ISNUMBER(W:W))))</f>
        <v>46190</v>
      </c>
      <c r="AA2" s="39"/>
      <c r="AB2" s="39"/>
    </row>
    <row r="3" spans="1:28" s="97" customFormat="1" ht="15.75" thickBot="1" x14ac:dyDescent="0.3">
      <c r="A3" s="14" t="s">
        <v>19</v>
      </c>
      <c r="B3" s="43" t="s">
        <v>23</v>
      </c>
      <c r="C3" s="50" t="s">
        <v>147</v>
      </c>
      <c r="D3" s="44" t="s">
        <v>131</v>
      </c>
      <c r="E3" s="1"/>
      <c r="F3" s="39"/>
      <c r="G3" s="24" t="s">
        <v>149</v>
      </c>
      <c r="H3" s="1"/>
      <c r="I3" s="38"/>
      <c r="J3" s="39"/>
      <c r="K3" s="112" t="s">
        <v>152</v>
      </c>
      <c r="L3" s="52" cm="1">
        <f t="array" aca="1" ref="L3" ca="1">LOOKUP(2,1/(T:T&lt;&gt;""),T:T)</f>
        <v>46190</v>
      </c>
      <c r="M3"/>
      <c r="N3" s="37" cm="1">
        <f t="array" aca="1" ref="N3:O131" ca="1">_xll.BDH($B$4, "PX_LAST, ", TODAY()-190, TODAY()-1)</f>
        <v>46001</v>
      </c>
      <c r="O3" s="1">
        <f ca="1"/>
        <v>89.177000000000007</v>
      </c>
      <c r="P3" s="37" cm="1">
        <f t="array" aca="1" ref="P3:Q136" ca="1">_xll.BDH($C$4, "PX_LAST, ", TODAY()-190, TODAY()-1)</f>
        <v>46001</v>
      </c>
      <c r="Q3" s="34">
        <f ca="1"/>
        <v>99.326999999999998</v>
      </c>
      <c r="R3" s="37" cm="1">
        <f t="array" aca="1" ref="R3:S131" ca="1">_xll.BDH($D$4, "PX_LAST, ", TODAY()-190, TODAY()-1)</f>
        <v>46001</v>
      </c>
      <c r="S3" s="1">
        <f ca="1"/>
        <v>253.602</v>
      </c>
      <c r="T3" s="38" cm="1">
        <f t="array" aca="1" ref="T3:U131" ca="1">_xll.BDH($D$1, "PX_LAST, ", TODAY()-190, TODAY()-1)</f>
        <v>46001</v>
      </c>
      <c r="U3" s="1">
        <f ca="1"/>
        <v>246.89660000000001</v>
      </c>
      <c r="V3" s="52">
        <f ca="1">IF(COUNTIF(P:P,N3)*COUNTIF(R:R,N3)*COUNTIF(T:T,N3),N3,"")</f>
        <v>46001</v>
      </c>
      <c r="W3" s="97" t="str">
        <f ca="1">IF(V3&gt;=$A$14,V3,"")</f>
        <v/>
      </c>
      <c r="X3" s="52"/>
      <c r="AA3" s="39"/>
      <c r="AB3" s="39"/>
    </row>
    <row r="4" spans="1:28" s="97" customFormat="1" ht="32.25" customHeight="1" thickBot="1" x14ac:dyDescent="0.3">
      <c r="A4" s="14" t="s">
        <v>20</v>
      </c>
      <c r="B4" s="45" t="s">
        <v>25</v>
      </c>
      <c r="C4" s="120" t="s">
        <v>148</v>
      </c>
      <c r="D4" s="30" t="s">
        <v>90</v>
      </c>
      <c r="E4" s="1"/>
      <c r="F4" s="39"/>
      <c r="G4" s="134">
        <f>B5/B14</f>
        <v>271444.08251900109</v>
      </c>
      <c r="H4" s="1"/>
      <c r="I4" s="38"/>
      <c r="J4" s="39"/>
      <c r="K4" s="112"/>
      <c r="L4" s="39"/>
      <c r="M4"/>
      <c r="N4" s="52">
        <f ca="1"/>
        <v>46002</v>
      </c>
      <c r="O4" s="39">
        <f ca="1"/>
        <v>89.292500000000004</v>
      </c>
      <c r="P4" s="52">
        <f ca="1"/>
        <v>46002</v>
      </c>
      <c r="Q4" s="39">
        <f ca="1"/>
        <v>99.385999999999996</v>
      </c>
      <c r="R4" s="52">
        <f ca="1"/>
        <v>46002</v>
      </c>
      <c r="S4" s="39">
        <f ca="1"/>
        <v>247.48400000000001</v>
      </c>
      <c r="T4" s="52">
        <f ca="1"/>
        <v>46002</v>
      </c>
      <c r="U4" s="39">
        <f ca="1"/>
        <v>247.6378</v>
      </c>
      <c r="V4" s="52">
        <f t="shared" ref="V4:V67" ca="1" si="0">IF(COUNTIF(P:P,N4)*COUNTIF(R:R,N4)*COUNTIF(T:T,N4),N4,"")</f>
        <v>46002</v>
      </c>
      <c r="W4" s="97" t="str">
        <f t="shared" ref="W4:W67" ca="1" si="1">IF(V4&gt;=$A$14,V4,"")</f>
        <v/>
      </c>
      <c r="X4" s="52"/>
      <c r="AA4" s="39"/>
      <c r="AB4" s="39"/>
    </row>
    <row r="5" spans="1:28" s="97" customFormat="1" x14ac:dyDescent="0.25">
      <c r="A5" s="14" t="s">
        <v>2</v>
      </c>
      <c r="B5" s="46">
        <f>25*10^6</f>
        <v>25000000</v>
      </c>
      <c r="C5" s="7">
        <f>17.4*10^6</f>
        <v>17400000</v>
      </c>
      <c r="D5" s="107">
        <f>15*10^6</f>
        <v>15000000</v>
      </c>
      <c r="E5" s="1"/>
      <c r="F5" s="39"/>
      <c r="G5" s="39"/>
      <c r="H5" s="39"/>
      <c r="I5" s="1"/>
      <c r="J5" s="1"/>
      <c r="K5" s="112"/>
      <c r="L5" s="39"/>
      <c r="M5"/>
      <c r="N5" s="52">
        <f ca="1"/>
        <v>46003</v>
      </c>
      <c r="O5" s="39">
        <f ca="1"/>
        <v>89.196299999999994</v>
      </c>
      <c r="P5" s="52">
        <f ca="1"/>
        <v>46003</v>
      </c>
      <c r="Q5" s="39">
        <f ca="1"/>
        <v>99.364000000000004</v>
      </c>
      <c r="R5" s="52">
        <f ca="1"/>
        <v>46003</v>
      </c>
      <c r="S5" s="39">
        <f ca="1"/>
        <v>251.251</v>
      </c>
      <c r="T5" s="52">
        <f ca="1"/>
        <v>46003</v>
      </c>
      <c r="U5" s="39">
        <f ca="1"/>
        <v>247.29140000000001</v>
      </c>
      <c r="V5" s="52">
        <f t="shared" ca="1" si="0"/>
        <v>46003</v>
      </c>
      <c r="W5" s="97" t="str">
        <f t="shared" ca="1" si="1"/>
        <v/>
      </c>
      <c r="X5" s="52"/>
      <c r="AA5" s="39"/>
      <c r="AB5" s="39"/>
    </row>
    <row r="6" spans="1:28" s="97" customFormat="1" x14ac:dyDescent="0.25">
      <c r="A6" s="14" t="s">
        <v>3</v>
      </c>
      <c r="B6" s="48">
        <v>0</v>
      </c>
      <c r="C6" s="51">
        <v>2.9000000000000001E-2</v>
      </c>
      <c r="D6" s="10">
        <v>0.05</v>
      </c>
      <c r="E6" s="1"/>
      <c r="F6" s="39"/>
      <c r="G6" s="1"/>
      <c r="H6" s="1"/>
      <c r="I6" s="133"/>
      <c r="J6" s="1"/>
      <c r="K6" s="112"/>
      <c r="L6" s="39"/>
      <c r="M6"/>
      <c r="N6" s="52">
        <f ca="1"/>
        <v>46006</v>
      </c>
      <c r="O6" s="39">
        <f ca="1"/>
        <v>89.282899999999998</v>
      </c>
      <c r="P6" s="52">
        <f ca="1"/>
        <v>46006</v>
      </c>
      <c r="Q6" s="39">
        <f ca="1"/>
        <v>99.382000000000005</v>
      </c>
      <c r="R6" s="52">
        <f ca="1"/>
        <v>46006</v>
      </c>
      <c r="S6" s="39">
        <f ca="1"/>
        <v>248.71100000000001</v>
      </c>
      <c r="T6" s="52">
        <f ca="1"/>
        <v>46006</v>
      </c>
      <c r="U6" s="39">
        <f ca="1"/>
        <v>247.6292</v>
      </c>
      <c r="V6" s="52">
        <f t="shared" ca="1" si="0"/>
        <v>46006</v>
      </c>
      <c r="W6" s="97" t="str">
        <f t="shared" ca="1" si="1"/>
        <v/>
      </c>
      <c r="X6" s="52"/>
      <c r="AA6" s="39"/>
      <c r="AB6" s="39"/>
    </row>
    <row r="7" spans="1:28" s="97" customFormat="1" x14ac:dyDescent="0.25">
      <c r="A7" s="14" t="s">
        <v>4</v>
      </c>
      <c r="B7" s="48">
        <v>1.9300000000000001E-2</v>
      </c>
      <c r="C7" s="51">
        <v>2.4170000000000001E-2</v>
      </c>
      <c r="D7" s="10">
        <v>0</v>
      </c>
      <c r="E7" s="1"/>
      <c r="F7" s="39"/>
      <c r="G7" s="1"/>
      <c r="H7" s="1"/>
      <c r="I7" s="1"/>
      <c r="J7" s="1"/>
      <c r="K7" s="112"/>
      <c r="L7" s="1"/>
      <c r="M7"/>
      <c r="N7" s="52">
        <f ca="1"/>
        <v>46007</v>
      </c>
      <c r="O7" s="39">
        <f ca="1"/>
        <v>89.331000000000003</v>
      </c>
      <c r="P7" s="52">
        <f ca="1"/>
        <v>46007</v>
      </c>
      <c r="Q7" s="39">
        <f ca="1"/>
        <v>99.421000000000006</v>
      </c>
      <c r="R7" s="52">
        <f ca="1"/>
        <v>46007</v>
      </c>
      <c r="S7" s="39">
        <f ca="1"/>
        <v>250.40600000000001</v>
      </c>
      <c r="T7" s="52">
        <f ca="1"/>
        <v>46007</v>
      </c>
      <c r="U7" s="39">
        <f ca="1"/>
        <v>247.4761</v>
      </c>
      <c r="V7" s="52">
        <f t="shared" ca="1" si="0"/>
        <v>46007</v>
      </c>
      <c r="W7" s="97" t="str">
        <f t="shared" ca="1" si="1"/>
        <v/>
      </c>
      <c r="X7" s="52"/>
      <c r="AA7" s="39"/>
      <c r="AB7" s="39"/>
    </row>
    <row r="8" spans="1:28" s="97" customFormat="1" x14ac:dyDescent="0.25">
      <c r="A8" s="14" t="s">
        <v>5</v>
      </c>
      <c r="B8" s="4" t="s">
        <v>13</v>
      </c>
      <c r="C8" s="1" t="s">
        <v>13</v>
      </c>
      <c r="D8" s="5">
        <v>4.72</v>
      </c>
      <c r="E8" s="1"/>
      <c r="F8" s="39"/>
      <c r="G8" s="1"/>
      <c r="H8" s="1"/>
      <c r="I8" s="1"/>
      <c r="J8" s="1"/>
      <c r="K8" s="112"/>
      <c r="L8" s="1"/>
      <c r="M8"/>
      <c r="N8" s="52">
        <f ca="1"/>
        <v>46008</v>
      </c>
      <c r="O8" s="39">
        <f ca="1"/>
        <v>89.408000000000001</v>
      </c>
      <c r="P8" s="52">
        <f ca="1"/>
        <v>46008</v>
      </c>
      <c r="Q8" s="39">
        <f ca="1"/>
        <v>99.4</v>
      </c>
      <c r="R8" s="52">
        <f ca="1"/>
        <v>46008</v>
      </c>
      <c r="S8" s="39">
        <f ca="1"/>
        <v>251.99100000000001</v>
      </c>
      <c r="T8" s="52">
        <f ca="1"/>
        <v>46008</v>
      </c>
      <c r="U8" s="39">
        <f ca="1"/>
        <v>247.34719999999999</v>
      </c>
      <c r="V8" s="52">
        <f t="shared" ca="1" si="0"/>
        <v>46008</v>
      </c>
      <c r="W8" s="97" t="str">
        <f t="shared" ca="1" si="1"/>
        <v/>
      </c>
      <c r="X8" s="52"/>
      <c r="AA8" s="39"/>
      <c r="AB8" s="39"/>
    </row>
    <row r="9" spans="1:28" s="97" customFormat="1" x14ac:dyDescent="0.25">
      <c r="A9" s="14" t="s">
        <v>6</v>
      </c>
      <c r="B9" s="4" t="s">
        <v>13</v>
      </c>
      <c r="C9" s="1" t="s">
        <v>13</v>
      </c>
      <c r="D9" s="5"/>
      <c r="E9" s="1"/>
      <c r="F9" s="39"/>
      <c r="G9" s="1"/>
      <c r="H9" s="1"/>
      <c r="I9" s="1"/>
      <c r="J9" s="1"/>
      <c r="K9" s="112"/>
      <c r="L9" s="1"/>
      <c r="M9"/>
      <c r="N9" s="52">
        <f ca="1"/>
        <v>46009</v>
      </c>
      <c r="O9" s="39">
        <f ca="1"/>
        <v>89.619699999999995</v>
      </c>
      <c r="P9" s="52">
        <f ca="1"/>
        <v>46009</v>
      </c>
      <c r="Q9" s="39">
        <f ca="1"/>
        <v>99.424000000000007</v>
      </c>
      <c r="R9" s="52">
        <f ca="1"/>
        <v>46009</v>
      </c>
      <c r="S9" s="39">
        <f ca="1"/>
        <v>245.59399999999999</v>
      </c>
      <c r="T9" s="52">
        <f ca="1"/>
        <v>46009</v>
      </c>
      <c r="U9" s="39">
        <f ca="1"/>
        <v>248.1044</v>
      </c>
      <c r="V9" s="52">
        <f t="shared" ca="1" si="0"/>
        <v>46009</v>
      </c>
      <c r="W9" s="97" t="str">
        <f t="shared" ca="1" si="1"/>
        <v/>
      </c>
      <c r="X9" s="52"/>
      <c r="AA9" s="39"/>
      <c r="AB9" s="39"/>
    </row>
    <row r="10" spans="1:28" s="97" customFormat="1" ht="15.75" thickBot="1" x14ac:dyDescent="0.3">
      <c r="A10" s="15" t="s">
        <v>15</v>
      </c>
      <c r="B10" s="11" cm="1">
        <f t="array" ref="B10">_xll.BDP(B4,"px_last")</f>
        <v>90.98</v>
      </c>
      <c r="C10" s="20" cm="1">
        <f t="array" ref="C10">_xll.BDP(C4,"px_last")</f>
        <v>98.677999999999997</v>
      </c>
      <c r="D10" s="21" cm="1">
        <f t="array" ref="D10">_xll.BDP(D4,"px_last")</f>
        <v>250.32230000000001</v>
      </c>
      <c r="E10" s="1"/>
      <c r="F10" s="1"/>
      <c r="G10" s="1"/>
      <c r="H10" s="1"/>
      <c r="I10" s="1"/>
      <c r="J10" s="1"/>
      <c r="K10" s="112"/>
      <c r="L10" s="1"/>
      <c r="M10"/>
      <c r="N10" s="52">
        <f ca="1"/>
        <v>46010</v>
      </c>
      <c r="O10" s="39">
        <f ca="1"/>
        <v>89.533100000000005</v>
      </c>
      <c r="P10" s="52">
        <f ca="1"/>
        <v>46010</v>
      </c>
      <c r="Q10" s="39">
        <f ca="1"/>
        <v>99.335999999999999</v>
      </c>
      <c r="R10" s="52">
        <f ca="1"/>
        <v>46010</v>
      </c>
      <c r="S10" s="39">
        <f ca="1"/>
        <v>245.69</v>
      </c>
      <c r="T10" s="52">
        <f ca="1"/>
        <v>46010</v>
      </c>
      <c r="U10" s="39">
        <f ca="1"/>
        <v>248.1113</v>
      </c>
      <c r="V10" s="52">
        <f t="shared" ca="1" si="0"/>
        <v>46010</v>
      </c>
      <c r="W10" s="97" t="str">
        <f t="shared" ca="1" si="1"/>
        <v/>
      </c>
      <c r="X10" s="52"/>
      <c r="AA10" s="39"/>
      <c r="AB10" s="39"/>
    </row>
    <row r="11" spans="1:28" s="97" customFormat="1" ht="15.75" thickBot="1" x14ac:dyDescent="0.3">
      <c r="A11" s="39" t="s">
        <v>82</v>
      </c>
      <c r="B11" s="39"/>
      <c r="C11" s="1"/>
      <c r="D11" s="34">
        <f ca="1">L1*(1-D8*(D10-L2)*10^-4+(INT(NOW())-INT(L3))/360*D6)</f>
        <v>254.93227096174513</v>
      </c>
      <c r="E11" s="1"/>
      <c r="F11" s="1"/>
      <c r="G11" s="1"/>
      <c r="H11" s="1"/>
      <c r="I11" s="1"/>
      <c r="J11" s="1"/>
      <c r="K11" s="112"/>
      <c r="L11" s="1"/>
      <c r="M11"/>
      <c r="N11" s="52">
        <f ca="1"/>
        <v>46013</v>
      </c>
      <c r="O11" s="39">
        <f ca="1"/>
        <v>89.494600000000005</v>
      </c>
      <c r="P11" s="52">
        <f ca="1"/>
        <v>46013</v>
      </c>
      <c r="Q11" s="39">
        <f ca="1"/>
        <v>99.352000000000004</v>
      </c>
      <c r="R11" s="52">
        <f ca="1"/>
        <v>46013</v>
      </c>
      <c r="S11" s="39">
        <f ca="1"/>
        <v>244.00800000000001</v>
      </c>
      <c r="T11" s="52">
        <f ca="1"/>
        <v>46013</v>
      </c>
      <c r="U11" s="39">
        <f ca="1"/>
        <v>248.3845</v>
      </c>
      <c r="V11" s="52">
        <f t="shared" ca="1" si="0"/>
        <v>46013</v>
      </c>
      <c r="W11" s="97" t="str">
        <f t="shared" ca="1" si="1"/>
        <v/>
      </c>
      <c r="X11" s="52"/>
      <c r="AA11" s="39"/>
      <c r="AB11" s="39"/>
    </row>
    <row r="12" spans="1:28" s="97" customFormat="1" ht="15.75" thickBot="1" x14ac:dyDescent="0.3">
      <c r="A12" s="27" t="s">
        <v>12</v>
      </c>
      <c r="B12" s="138" t="s">
        <v>0</v>
      </c>
      <c r="C12" s="139"/>
      <c r="D12" s="139"/>
      <c r="E12" s="135" t="s">
        <v>1</v>
      </c>
      <c r="F12" s="136"/>
      <c r="G12" s="137"/>
      <c r="H12" s="140" t="s">
        <v>1</v>
      </c>
      <c r="I12" s="141"/>
      <c r="J12" s="142"/>
      <c r="K12" s="113" t="str">
        <f>$B$3&amp;" Dvd"</f>
        <v>IHYG Dvd</v>
      </c>
      <c r="L12" s="27" t="s">
        <v>7</v>
      </c>
      <c r="M12"/>
      <c r="N12" s="52">
        <f ca="1"/>
        <v>46014</v>
      </c>
      <c r="O12" s="39">
        <f ca="1"/>
        <v>89.561999999999998</v>
      </c>
      <c r="P12" s="52">
        <f ca="1"/>
        <v>46014</v>
      </c>
      <c r="Q12" s="39">
        <f ca="1"/>
        <v>99.394000000000005</v>
      </c>
      <c r="R12" s="52">
        <f ca="1"/>
        <v>46014</v>
      </c>
      <c r="S12" s="39">
        <f ca="1"/>
        <v>244.649</v>
      </c>
      <c r="T12" s="52">
        <f ca="1"/>
        <v>46014</v>
      </c>
      <c r="U12" s="39">
        <f ca="1"/>
        <v>248.27979999999999</v>
      </c>
      <c r="V12" s="52">
        <f t="shared" ca="1" si="0"/>
        <v>46014</v>
      </c>
      <c r="W12" s="97" t="str">
        <f t="shared" ca="1" si="1"/>
        <v/>
      </c>
      <c r="X12" s="52"/>
      <c r="AA12" s="39"/>
      <c r="AB12" s="39"/>
    </row>
    <row r="13" spans="1:28" s="97" customFormat="1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1" t="s">
        <v>8</v>
      </c>
      <c r="I13" s="20" t="s">
        <v>11</v>
      </c>
      <c r="J13" s="21" t="s">
        <v>10</v>
      </c>
      <c r="K13" s="111"/>
      <c r="L13" s="60"/>
      <c r="M13"/>
      <c r="N13" s="52">
        <f ca="1"/>
        <v>46015</v>
      </c>
      <c r="O13" s="39">
        <f ca="1"/>
        <v>89.821899999999999</v>
      </c>
      <c r="P13" s="52">
        <f ca="1"/>
        <v>46015</v>
      </c>
      <c r="Q13" s="39">
        <f ca="1"/>
        <v>99.394000000000005</v>
      </c>
      <c r="R13" s="52">
        <f ca="1"/>
        <v>46015</v>
      </c>
      <c r="S13" s="39">
        <f ca="1"/>
        <v>244.44200000000001</v>
      </c>
      <c r="T13" s="52">
        <f ca="1"/>
        <v>46015</v>
      </c>
      <c r="U13" s="39">
        <f ca="1"/>
        <v>248.3295</v>
      </c>
      <c r="V13" s="52">
        <f t="shared" ca="1" si="0"/>
        <v>46015</v>
      </c>
      <c r="W13" s="97" t="str">
        <f t="shared" ca="1" si="1"/>
        <v/>
      </c>
      <c r="X13" s="52"/>
      <c r="AA13" s="39"/>
      <c r="AB13" s="39"/>
    </row>
    <row r="14" spans="1:28" x14ac:dyDescent="0.25">
      <c r="A14" s="102">
        <v>46190</v>
      </c>
      <c r="B14" s="53">
        <v>92.1</v>
      </c>
      <c r="C14" s="34"/>
      <c r="D14" s="35"/>
      <c r="E14" s="53">
        <v>98.724999999999994</v>
      </c>
      <c r="F14" s="1"/>
      <c r="G14" s="5"/>
      <c r="H14" s="53">
        <f ca="1">H15/(1-D8*(J14-I14)*10^-4)</f>
        <v>254.52678097984887</v>
      </c>
      <c r="I14" s="1">
        <v>251.75</v>
      </c>
      <c r="J14" s="5">
        <v>249.708</v>
      </c>
      <c r="K14" s="114"/>
      <c r="L14" s="55">
        <v>0</v>
      </c>
      <c r="N14" s="52">
        <f ca="1"/>
        <v>46020</v>
      </c>
      <c r="O14" s="39">
        <f ca="1"/>
        <v>89.523499999999999</v>
      </c>
      <c r="P14" s="52">
        <f ca="1"/>
        <v>46016</v>
      </c>
      <c r="Q14" s="39">
        <f ca="1"/>
        <v>99.394000000000005</v>
      </c>
      <c r="R14" s="52">
        <f ca="1"/>
        <v>46020</v>
      </c>
      <c r="S14" s="39">
        <f ca="1"/>
        <v>245.09</v>
      </c>
      <c r="T14" s="52">
        <f ca="1"/>
        <v>46020</v>
      </c>
      <c r="U14" s="39">
        <f ca="1"/>
        <v>248.321</v>
      </c>
      <c r="V14" s="52">
        <f t="shared" ca="1" si="0"/>
        <v>46020</v>
      </c>
      <c r="W14" s="97" t="str">
        <f t="shared" ca="1" si="1"/>
        <v/>
      </c>
    </row>
    <row r="15" spans="1:28" x14ac:dyDescent="0.25">
      <c r="A15" s="102">
        <f ca="1">IF(AND(ISBLANK(X2), A14 = $X$1),NOW(),IF(ISBLANK(X2),"",X2))</f>
        <v>46190</v>
      </c>
      <c r="B15" s="53">
        <f t="shared" ref="B15:B78" ca="1" si="2">IF(COUNTIF(N:N,A15)=1,VLOOKUP(A15,N:O,2), IF(COUNTIF(N:N,A15)=0,$B$10,""))</f>
        <v>90.975399999999993</v>
      </c>
      <c r="C15" s="25">
        <f ca="1">IF(ISERROR(B15-2),"",(B15/$B$14-1)*$B$5)</f>
        <v>-305266.01520086959</v>
      </c>
      <c r="D15" s="26">
        <f ca="1">IF(ISERROR(B15-2),"",-1*(INT(A15)-INT($A$14))/360*$B$7*$B$5)</f>
        <v>0</v>
      </c>
      <c r="E15" s="53">
        <f t="shared" ref="E15:E78" ca="1" si="3">IF(COUNTIF(N:N,A15)=1,VLOOKUP(A15,P:Q,2), IF(COUNTIF(N:N,A15)=0,$C$10,""))</f>
        <v>98.709000000000003</v>
      </c>
      <c r="F15" s="25">
        <f ca="1">IF(ISERROR(B15-2),"",(E15-$E$14)/100*$C$5)</f>
        <v>-2783.999999998457</v>
      </c>
      <c r="G15" s="26">
        <f ca="1">IF(ISERROR(B15-2),"",(INT(A15)-INT($A$14))/360*$C$6*$C$5-(INT(A15)-INT($A$14))/360*$C$7*$C$5*$E$14/100)</f>
        <v>0</v>
      </c>
      <c r="H15" s="53">
        <f ca="1">IF(COUNTIF(N:N,A15)=1,VLOOKUP(A15,T:U,2), IF(COUNTIF(N:N,A15)=0,$D$11,""))</f>
        <v>254.77209999999999</v>
      </c>
      <c r="I15" s="25">
        <f ca="1">IF(ISERROR(B15-2),"",(H15/$H$14-1)*$D$5)</f>
        <v>14457.360000000863</v>
      </c>
      <c r="J15" s="26"/>
      <c r="K15" s="114" t="str">
        <f ca="1">IF($A15="","",IF(COUNTIFS(INDEX(Dividends!$A:$T,0,$M$2),"&gt;"&amp;INT($A14),INDEX(Dividends!$A:$T,0,$M$2),"&lt;="&amp;INT($A15))=0,"",$G$4*SUMIFS(INDEX(Dividends!$A:$T,0,$M$2+1),INDEX(Dividends!$A:$T,0,$M$2),"&gt;"&amp;INT($A14),INDEX(Dividends!$A:$T,0,$M$2),"&lt;="&amp;INT($A15))))</f>
        <v/>
      </c>
      <c r="L15" s="55">
        <f ca="1">IF(ISERROR(B15-2),"",C15+D15-F15-G15+I15+J15+SUM($K$14:K15))</f>
        <v>-288024.6552008703</v>
      </c>
      <c r="N15" s="52">
        <f ca="1"/>
        <v>46021</v>
      </c>
      <c r="O15" s="39">
        <f ca="1"/>
        <v>89.773700000000005</v>
      </c>
      <c r="P15" s="52">
        <f ca="1"/>
        <v>46020</v>
      </c>
      <c r="Q15" s="39">
        <f ca="1"/>
        <v>99.488</v>
      </c>
      <c r="R15" s="52">
        <f ca="1"/>
        <v>46021</v>
      </c>
      <c r="S15" s="39">
        <f ca="1"/>
        <v>244.19900000000001</v>
      </c>
      <c r="T15" s="52">
        <f ca="1"/>
        <v>46021</v>
      </c>
      <c r="U15" s="39">
        <f ca="1"/>
        <v>248.6404</v>
      </c>
      <c r="V15" s="52">
        <f t="shared" ca="1" si="0"/>
        <v>46021</v>
      </c>
      <c r="W15" s="97" t="str">
        <f t="shared" ca="1" si="1"/>
        <v/>
      </c>
    </row>
    <row r="16" spans="1:28" x14ac:dyDescent="0.25">
      <c r="A16" s="102">
        <f t="shared" ref="A16:A79" ca="1" si="4">IF(AND(ISBLANK(X3), A15 = $X$1),NOW(),IF(ISBLANK(X3),"",X3))</f>
        <v>46191.470796180554</v>
      </c>
      <c r="B16" s="53">
        <f t="shared" ca="1" si="2"/>
        <v>90.98</v>
      </c>
      <c r="C16" s="25">
        <f t="shared" ref="C16:C79" ca="1" si="5">IF(ISERROR(B16-2),"",(B16/$B$14-1)*$B$5)</f>
        <v>-304017.37242127804</v>
      </c>
      <c r="D16" s="26">
        <f t="shared" ref="D16:D79" ca="1" si="6">IF(ISERROR(B16-2),"",-1*(INT(A16)-INT($A$14))/360*$B$7*$B$5)</f>
        <v>-1340.2777777777778</v>
      </c>
      <c r="E16" s="53">
        <f t="shared" ca="1" si="3"/>
        <v>98.677999999999997</v>
      </c>
      <c r="F16" s="25">
        <f t="shared" ref="F16:F79" ca="1" si="7">IF(ISERROR(B16-2),"",(E16-$E$14)/100*$C$5)</f>
        <v>-8177.9999999994852</v>
      </c>
      <c r="G16" s="26">
        <f t="shared" ref="G16:G79" ca="1" si="8">IF(ISERROR(B16-2),"",(INT(A16)-INT($A$14))/360*$C$6*$C$5-(INT(A16)-INT($A$14))/360*$C$7*$C$5*$E$14/100)</f>
        <v>248.34476250000012</v>
      </c>
      <c r="H16" s="53">
        <f t="shared" ref="H16:H79" ca="1" si="9">IF(COUNTIF(N:N,A16)=1,VLOOKUP(A16,T:U,2), IF(COUNTIF(N:N,A16)=0,$D$11,""))</f>
        <v>254.93227096174513</v>
      </c>
      <c r="I16" s="25">
        <f t="shared" ref="I16:I79" ca="1" si="10">IF(ISERROR(B16-2),"",(H16/$H$14-1)*$D$5)</f>
        <v>23896.698433966136</v>
      </c>
      <c r="J16" s="26"/>
      <c r="K16" s="114">
        <f ca="1">IF($A16="","",IF(COUNTIFS(INDEX(Dividends!$A:$T,0,$M$2),"&gt;"&amp;INT($A15),INDEX(Dividends!$A:$T,0,$M$2),"&lt;="&amp;INT($A16))=0,"",$G$4*SUMIFS(INDEX(Dividends!$A:$T,0,$M$2+1),INDEX(Dividends!$A:$T,0,$M$2),"&gt;"&amp;INT($A15),INDEX(Dividends!$A:$T,0,$M$2),"&lt;="&amp;INT($A16))))</f>
        <v>316123.77850162872</v>
      </c>
      <c r="L16" s="55">
        <f ca="1">IF(ISERROR(B16-2),"",C16+D16-F16-G16+I16+J16+SUM($K$14:K16))</f>
        <v>42592.481974038528</v>
      </c>
      <c r="N16" s="52">
        <f ca="1"/>
        <v>46022</v>
      </c>
      <c r="O16" s="39">
        <f ca="1"/>
        <v>89.975800000000007</v>
      </c>
      <c r="P16" s="52">
        <f ca="1"/>
        <v>46021</v>
      </c>
      <c r="Q16" s="39">
        <f ca="1"/>
        <v>99.450999999999993</v>
      </c>
      <c r="R16" s="52">
        <f ca="1"/>
        <v>46022</v>
      </c>
      <c r="S16" s="39">
        <f ca="1"/>
        <v>244.239</v>
      </c>
      <c r="T16" s="52">
        <f ca="1"/>
        <v>46022</v>
      </c>
      <c r="U16" s="39">
        <f ca="1"/>
        <v>248.5951</v>
      </c>
      <c r="V16" s="52">
        <f t="shared" ca="1" si="0"/>
        <v>46022</v>
      </c>
      <c r="W16" s="97" t="str">
        <f t="shared" ca="1" si="1"/>
        <v/>
      </c>
    </row>
    <row r="17" spans="1:23" x14ac:dyDescent="0.25">
      <c r="A17" s="102" t="str">
        <f t="shared" ca="1" si="4"/>
        <v/>
      </c>
      <c r="B17" s="53" t="str">
        <f t="shared" ca="1" si="2"/>
        <v/>
      </c>
      <c r="C17" s="25" t="str">
        <f t="shared" ca="1" si="5"/>
        <v/>
      </c>
      <c r="D17" s="26" t="str">
        <f t="shared" ca="1" si="6"/>
        <v/>
      </c>
      <c r="E17" s="53" t="str">
        <f t="shared" ca="1" si="3"/>
        <v/>
      </c>
      <c r="F17" s="25" t="str">
        <f t="shared" ca="1" si="7"/>
        <v/>
      </c>
      <c r="G17" s="26" t="str">
        <f t="shared" ca="1" si="8"/>
        <v/>
      </c>
      <c r="H17" s="53" t="str">
        <f t="shared" ca="1" si="9"/>
        <v/>
      </c>
      <c r="I17" s="25" t="str">
        <f t="shared" ca="1" si="10"/>
        <v/>
      </c>
      <c r="J17" s="26"/>
      <c r="K17" s="114" t="str">
        <f ca="1">IF($A17="","",IF(COUNTIFS(INDEX(Dividends!$A:$T,0,$M$2),"&gt;"&amp;INT($A16),INDEX(Dividends!$A:$T,0,$M$2),"&lt;="&amp;INT($A17))=0,"",$G$4*SUMIFS(INDEX(Dividends!$A:$T,0,$M$2+1),INDEX(Dividends!$A:$T,0,$M$2),"&gt;"&amp;INT($A16),INDEX(Dividends!$A:$T,0,$M$2),"&lt;="&amp;INT($A17))))</f>
        <v/>
      </c>
      <c r="L17" s="55" t="str">
        <f ca="1">IF(ISERROR(B17-2),"",C17+D17-F17-G17+I17+J17+SUM($K$14:K17))</f>
        <v/>
      </c>
      <c r="N17" s="52">
        <f ca="1"/>
        <v>46024</v>
      </c>
      <c r="O17" s="39">
        <f ca="1"/>
        <v>89.638999999999996</v>
      </c>
      <c r="P17" s="52">
        <f ca="1"/>
        <v>46022</v>
      </c>
      <c r="Q17" s="39">
        <f ca="1"/>
        <v>99.450999999999993</v>
      </c>
      <c r="R17" s="52">
        <f ca="1"/>
        <v>46024</v>
      </c>
      <c r="S17" s="39">
        <f ca="1"/>
        <v>243.732</v>
      </c>
      <c r="T17" s="52">
        <f ca="1"/>
        <v>46024</v>
      </c>
      <c r="U17" s="39">
        <f ca="1"/>
        <v>248.6541</v>
      </c>
      <c r="V17" s="52">
        <f t="shared" ca="1" si="0"/>
        <v>46024</v>
      </c>
      <c r="W17" s="97" t="str">
        <f t="shared" ca="1" si="1"/>
        <v/>
      </c>
    </row>
    <row r="18" spans="1:23" x14ac:dyDescent="0.25">
      <c r="A18" s="102" t="str">
        <f t="shared" ca="1" si="4"/>
        <v/>
      </c>
      <c r="B18" s="53" t="str">
        <f t="shared" ca="1" si="2"/>
        <v/>
      </c>
      <c r="C18" s="25" t="str">
        <f t="shared" ca="1" si="5"/>
        <v/>
      </c>
      <c r="D18" s="26" t="str">
        <f t="shared" ca="1" si="6"/>
        <v/>
      </c>
      <c r="E18" s="53" t="str">
        <f t="shared" ca="1" si="3"/>
        <v/>
      </c>
      <c r="F18" s="25" t="str">
        <f t="shared" ca="1" si="7"/>
        <v/>
      </c>
      <c r="G18" s="26" t="str">
        <f t="shared" ca="1" si="8"/>
        <v/>
      </c>
      <c r="H18" s="53" t="str">
        <f t="shared" ca="1" si="9"/>
        <v/>
      </c>
      <c r="I18" s="25" t="str">
        <f t="shared" ca="1" si="10"/>
        <v/>
      </c>
      <c r="J18" s="26"/>
      <c r="K18" s="114" t="str">
        <f ca="1">IF($A18="","",IF(COUNTIFS(INDEX(Dividends!$A:$T,0,$M$2),"&gt;"&amp;INT($A17),INDEX(Dividends!$A:$T,0,$M$2),"&lt;="&amp;INT($A18))=0,"",$G$4*SUMIFS(INDEX(Dividends!$A:$T,0,$M$2+1),INDEX(Dividends!$A:$T,0,$M$2),"&gt;"&amp;INT($A17),INDEX(Dividends!$A:$T,0,$M$2),"&lt;="&amp;INT($A18))))</f>
        <v/>
      </c>
      <c r="L18" s="55" t="str">
        <f ca="1">IF(ISERROR(B18-2),"",C18+D18-F18-G18+I18+J18+SUM($K$14:K18))</f>
        <v/>
      </c>
      <c r="N18" s="52">
        <f ca="1"/>
        <v>46027</v>
      </c>
      <c r="O18" s="39">
        <f ca="1"/>
        <v>89.889200000000002</v>
      </c>
      <c r="P18" s="52">
        <f ca="1"/>
        <v>46023</v>
      </c>
      <c r="Q18" s="39">
        <f ca="1"/>
        <v>99.450999999999993</v>
      </c>
      <c r="R18" s="52">
        <f ca="1"/>
        <v>46027</v>
      </c>
      <c r="S18" s="39">
        <f ca="1"/>
        <v>242.14599999999999</v>
      </c>
      <c r="T18" s="52">
        <f ca="1"/>
        <v>46027</v>
      </c>
      <c r="U18" s="39">
        <f ca="1"/>
        <v>248.83519999999999</v>
      </c>
      <c r="V18" s="52">
        <f t="shared" ca="1" si="0"/>
        <v>46027</v>
      </c>
      <c r="W18" s="97" t="str">
        <f t="shared" ca="1" si="1"/>
        <v/>
      </c>
    </row>
    <row r="19" spans="1:23" x14ac:dyDescent="0.25">
      <c r="A19" s="102" t="str">
        <f t="shared" ca="1" si="4"/>
        <v/>
      </c>
      <c r="B19" s="53" t="str">
        <f t="shared" ca="1" si="2"/>
        <v/>
      </c>
      <c r="C19" s="25" t="str">
        <f t="shared" ca="1" si="5"/>
        <v/>
      </c>
      <c r="D19" s="26" t="str">
        <f t="shared" ca="1" si="6"/>
        <v/>
      </c>
      <c r="E19" s="53" t="str">
        <f t="shared" ca="1" si="3"/>
        <v/>
      </c>
      <c r="F19" s="25" t="str">
        <f t="shared" ca="1" si="7"/>
        <v/>
      </c>
      <c r="G19" s="26" t="str">
        <f t="shared" ca="1" si="8"/>
        <v/>
      </c>
      <c r="H19" s="53" t="str">
        <f t="shared" ca="1" si="9"/>
        <v/>
      </c>
      <c r="I19" s="25" t="str">
        <f t="shared" ca="1" si="10"/>
        <v/>
      </c>
      <c r="J19" s="26"/>
      <c r="K19" s="114" t="str">
        <f ca="1">IF($A19="","",IF(COUNTIFS(INDEX(Dividends!$A:$T,0,$M$2),"&gt;"&amp;INT($A18),INDEX(Dividends!$A:$T,0,$M$2),"&lt;="&amp;INT($A19))=0,"",$G$4*SUMIFS(INDEX(Dividends!$A:$T,0,$M$2+1),INDEX(Dividends!$A:$T,0,$M$2),"&gt;"&amp;INT($A18),INDEX(Dividends!$A:$T,0,$M$2),"&lt;="&amp;INT($A19))))</f>
        <v/>
      </c>
      <c r="L19" s="55" t="str">
        <f ca="1">IF(ISERROR(B19-2),"",C19+D19-F19-G19+I19+J19+SUM($K$14:K19))</f>
        <v/>
      </c>
      <c r="N19" s="52">
        <f ca="1"/>
        <v>46028</v>
      </c>
      <c r="O19" s="39">
        <f ca="1"/>
        <v>89.927700000000002</v>
      </c>
      <c r="P19" s="52">
        <f ca="1"/>
        <v>46024</v>
      </c>
      <c r="Q19" s="39">
        <f ca="1"/>
        <v>99.381</v>
      </c>
      <c r="R19" s="52">
        <f ca="1"/>
        <v>46028</v>
      </c>
      <c r="S19" s="39">
        <f ca="1"/>
        <v>242.20400000000001</v>
      </c>
      <c r="T19" s="52">
        <f ca="1"/>
        <v>46028</v>
      </c>
      <c r="U19" s="39">
        <f ca="1"/>
        <v>248.91249999999999</v>
      </c>
      <c r="V19" s="52">
        <f t="shared" ca="1" si="0"/>
        <v>46028</v>
      </c>
      <c r="W19" s="97" t="str">
        <f t="shared" ca="1" si="1"/>
        <v/>
      </c>
    </row>
    <row r="20" spans="1:23" x14ac:dyDescent="0.25">
      <c r="A20" s="102" t="str">
        <f t="shared" ca="1" si="4"/>
        <v/>
      </c>
      <c r="B20" s="53" t="str">
        <f t="shared" ca="1" si="2"/>
        <v/>
      </c>
      <c r="C20" s="25" t="str">
        <f t="shared" ca="1" si="5"/>
        <v/>
      </c>
      <c r="D20" s="26" t="str">
        <f t="shared" ca="1" si="6"/>
        <v/>
      </c>
      <c r="E20" s="53" t="str">
        <f t="shared" ca="1" si="3"/>
        <v/>
      </c>
      <c r="F20" s="25" t="str">
        <f t="shared" ca="1" si="7"/>
        <v/>
      </c>
      <c r="G20" s="26" t="str">
        <f t="shared" ca="1" si="8"/>
        <v/>
      </c>
      <c r="H20" s="53" t="str">
        <f t="shared" ca="1" si="9"/>
        <v/>
      </c>
      <c r="I20" s="25" t="str">
        <f t="shared" ca="1" si="10"/>
        <v/>
      </c>
      <c r="J20" s="26"/>
      <c r="K20" s="114" t="str">
        <f ca="1">IF($A20="","",IF(COUNTIFS(INDEX(Dividends!$A:$T,0,$M$2),"&gt;"&amp;INT($A19),INDEX(Dividends!$A:$T,0,$M$2),"&lt;="&amp;INT($A20))=0,"",$G$4*SUMIFS(INDEX(Dividends!$A:$T,0,$M$2+1),INDEX(Dividends!$A:$T,0,$M$2),"&gt;"&amp;INT($A19),INDEX(Dividends!$A:$T,0,$M$2),"&lt;="&amp;INT($A20))))</f>
        <v/>
      </c>
      <c r="L20" s="55" t="str">
        <f ca="1">IF(ISERROR(B20-2),"",C20+D20-F20-G20+I20+J20+SUM($K$14:K20))</f>
        <v/>
      </c>
      <c r="N20" s="52">
        <f ca="1"/>
        <v>46029</v>
      </c>
      <c r="O20" s="39">
        <f ca="1"/>
        <v>90.052800000000005</v>
      </c>
      <c r="P20" s="52">
        <f ca="1"/>
        <v>46027</v>
      </c>
      <c r="Q20" s="39">
        <f ca="1"/>
        <v>99.435000000000002</v>
      </c>
      <c r="R20" s="52">
        <f ca="1"/>
        <v>46029</v>
      </c>
      <c r="S20" s="39">
        <f ca="1"/>
        <v>242.517</v>
      </c>
      <c r="T20" s="52">
        <f ca="1"/>
        <v>46029</v>
      </c>
      <c r="U20" s="39">
        <f ca="1"/>
        <v>248.8612</v>
      </c>
      <c r="V20" s="52">
        <f t="shared" ca="1" si="0"/>
        <v>46029</v>
      </c>
      <c r="W20" s="97" t="str">
        <f t="shared" ca="1" si="1"/>
        <v/>
      </c>
    </row>
    <row r="21" spans="1:23" x14ac:dyDescent="0.25">
      <c r="A21" s="102" t="str">
        <f t="shared" ca="1" si="4"/>
        <v/>
      </c>
      <c r="B21" s="53" t="str">
        <f t="shared" ca="1" si="2"/>
        <v/>
      </c>
      <c r="C21" s="25" t="str">
        <f t="shared" ca="1" si="5"/>
        <v/>
      </c>
      <c r="D21" s="26" t="str">
        <f t="shared" ca="1" si="6"/>
        <v/>
      </c>
      <c r="E21" s="53" t="str">
        <f t="shared" ca="1" si="3"/>
        <v/>
      </c>
      <c r="F21" s="25" t="str">
        <f t="shared" ca="1" si="7"/>
        <v/>
      </c>
      <c r="G21" s="26" t="str">
        <f t="shared" ca="1" si="8"/>
        <v/>
      </c>
      <c r="H21" s="53" t="str">
        <f t="shared" ca="1" si="9"/>
        <v/>
      </c>
      <c r="I21" s="25" t="str">
        <f t="shared" ca="1" si="10"/>
        <v/>
      </c>
      <c r="J21" s="26"/>
      <c r="K21" s="114" t="str">
        <f ca="1">IF($A21="","",IF(COUNTIFS(INDEX(Dividends!$A:$T,0,$M$2),"&gt;"&amp;INT($A20),INDEX(Dividends!$A:$T,0,$M$2),"&lt;="&amp;INT($A21))=0,"",$G$4*SUMIFS(INDEX(Dividends!$A:$T,0,$M$2+1),INDEX(Dividends!$A:$T,0,$M$2),"&gt;"&amp;INT($A20),INDEX(Dividends!$A:$T,0,$M$2),"&lt;="&amp;INT($A21))))</f>
        <v/>
      </c>
      <c r="L21" s="55" t="str">
        <f ca="1">IF(ISERROR(B21-2),"",C21+D21-F21-G21+I21+J21+SUM($K$14:K21))</f>
        <v/>
      </c>
      <c r="N21" s="52">
        <f ca="1"/>
        <v>46030</v>
      </c>
      <c r="O21" s="39">
        <f ca="1"/>
        <v>90.052800000000005</v>
      </c>
      <c r="P21" s="52">
        <f ca="1"/>
        <v>46028</v>
      </c>
      <c r="Q21" s="39">
        <f ca="1"/>
        <v>99.522999999999996</v>
      </c>
      <c r="R21" s="52">
        <f ca="1"/>
        <v>46030</v>
      </c>
      <c r="S21" s="39">
        <f ca="1"/>
        <v>242.678</v>
      </c>
      <c r="T21" s="52">
        <f ca="1"/>
        <v>46030</v>
      </c>
      <c r="U21" s="39">
        <f ca="1"/>
        <v>248.84979999999999</v>
      </c>
      <c r="V21" s="52">
        <f t="shared" ca="1" si="0"/>
        <v>46030</v>
      </c>
      <c r="W21" s="97" t="str">
        <f t="shared" ca="1" si="1"/>
        <v/>
      </c>
    </row>
    <row r="22" spans="1:23" x14ac:dyDescent="0.25">
      <c r="A22" s="102" t="str">
        <f t="shared" ca="1" si="4"/>
        <v/>
      </c>
      <c r="B22" s="53" t="str">
        <f t="shared" ca="1" si="2"/>
        <v/>
      </c>
      <c r="C22" s="25" t="str">
        <f t="shared" ca="1" si="5"/>
        <v/>
      </c>
      <c r="D22" s="26" t="str">
        <f t="shared" ca="1" si="6"/>
        <v/>
      </c>
      <c r="E22" s="53" t="str">
        <f t="shared" ca="1" si="3"/>
        <v/>
      </c>
      <c r="F22" s="25" t="str">
        <f t="shared" ca="1" si="7"/>
        <v/>
      </c>
      <c r="G22" s="26" t="str">
        <f t="shared" ca="1" si="8"/>
        <v/>
      </c>
      <c r="H22" s="53" t="str">
        <f t="shared" ca="1" si="9"/>
        <v/>
      </c>
      <c r="I22" s="25" t="str">
        <f t="shared" ca="1" si="10"/>
        <v/>
      </c>
      <c r="J22" s="26"/>
      <c r="K22" s="114" t="str">
        <f ca="1">IF($A22="","",IF(COUNTIFS(INDEX(Dividends!$A:$T,0,$M$2),"&gt;"&amp;INT($A21),INDEX(Dividends!$A:$T,0,$M$2),"&lt;="&amp;INT($A22))=0,"",$G$4*SUMIFS(INDEX(Dividends!$A:$T,0,$M$2+1),INDEX(Dividends!$A:$T,0,$M$2),"&gt;"&amp;INT($A21),INDEX(Dividends!$A:$T,0,$M$2),"&lt;="&amp;INT($A22))))</f>
        <v/>
      </c>
      <c r="L22" s="55" t="str">
        <f ca="1">IF(ISERROR(B22-2),"",C22+D22-F22-G22+I22+J22+SUM($K$14:K22))</f>
        <v/>
      </c>
      <c r="N22" s="52">
        <f ca="1"/>
        <v>46031</v>
      </c>
      <c r="O22" s="39">
        <f ca="1"/>
        <v>90.091300000000004</v>
      </c>
      <c r="P22" s="52">
        <f ca="1"/>
        <v>46029</v>
      </c>
      <c r="Q22" s="39">
        <f ca="1"/>
        <v>99.581999999999994</v>
      </c>
      <c r="R22" s="52">
        <f ca="1"/>
        <v>46031</v>
      </c>
      <c r="S22" s="39">
        <f ca="1"/>
        <v>240.93600000000001</v>
      </c>
      <c r="T22" s="52">
        <f ca="1"/>
        <v>46031</v>
      </c>
      <c r="U22" s="39">
        <f ca="1"/>
        <v>249.13050000000001</v>
      </c>
      <c r="V22" s="52">
        <f t="shared" ca="1" si="0"/>
        <v>46031</v>
      </c>
      <c r="W22" s="97" t="str">
        <f t="shared" ca="1" si="1"/>
        <v/>
      </c>
    </row>
    <row r="23" spans="1:23" x14ac:dyDescent="0.25">
      <c r="A23" s="102" t="str">
        <f t="shared" ca="1" si="4"/>
        <v/>
      </c>
      <c r="B23" s="53" t="str">
        <f t="shared" ca="1" si="2"/>
        <v/>
      </c>
      <c r="C23" s="25" t="str">
        <f t="shared" ca="1" si="5"/>
        <v/>
      </c>
      <c r="D23" s="26" t="str">
        <f t="shared" ca="1" si="6"/>
        <v/>
      </c>
      <c r="E23" s="53" t="str">
        <f t="shared" ca="1" si="3"/>
        <v/>
      </c>
      <c r="F23" s="25" t="str">
        <f t="shared" ca="1" si="7"/>
        <v/>
      </c>
      <c r="G23" s="26" t="str">
        <f t="shared" ca="1" si="8"/>
        <v/>
      </c>
      <c r="H23" s="53" t="str">
        <f t="shared" ca="1" si="9"/>
        <v/>
      </c>
      <c r="I23" s="25" t="str">
        <f t="shared" ca="1" si="10"/>
        <v/>
      </c>
      <c r="J23" s="26"/>
      <c r="K23" s="114" t="str">
        <f ca="1">IF($A23="","",IF(COUNTIFS(INDEX(Dividends!$A:$T,0,$M$2),"&gt;"&amp;INT($A22),INDEX(Dividends!$A:$T,0,$M$2),"&lt;="&amp;INT($A23))=0,"",$G$4*SUMIFS(INDEX(Dividends!$A:$T,0,$M$2+1),INDEX(Dividends!$A:$T,0,$M$2),"&gt;"&amp;INT($A22),INDEX(Dividends!$A:$T,0,$M$2),"&lt;="&amp;INT($A23))))</f>
        <v/>
      </c>
      <c r="L23" s="55" t="str">
        <f ca="1">IF(ISERROR(B23-2),"",C23+D23-F23-G23+I23+J23+SUM($K$14:K23))</f>
        <v/>
      </c>
      <c r="N23" s="52">
        <f ca="1"/>
        <v>46034</v>
      </c>
      <c r="O23" s="39">
        <f ca="1"/>
        <v>90.0625</v>
      </c>
      <c r="P23" s="52">
        <f ca="1"/>
        <v>46030</v>
      </c>
      <c r="Q23" s="39">
        <f ca="1"/>
        <v>99.555999999999997</v>
      </c>
      <c r="R23" s="52">
        <f ca="1"/>
        <v>46034</v>
      </c>
      <c r="S23" s="39">
        <f ca="1"/>
        <v>240.25800000000001</v>
      </c>
      <c r="T23" s="52">
        <f ca="1"/>
        <v>46034</v>
      </c>
      <c r="U23" s="39">
        <f ca="1"/>
        <v>249.25470000000001</v>
      </c>
      <c r="V23" s="52">
        <f t="shared" ca="1" si="0"/>
        <v>46034</v>
      </c>
      <c r="W23" s="97" t="str">
        <f t="shared" ca="1" si="1"/>
        <v/>
      </c>
    </row>
    <row r="24" spans="1:23" x14ac:dyDescent="0.25">
      <c r="A24" s="102" t="str">
        <f t="shared" ca="1" si="4"/>
        <v/>
      </c>
      <c r="B24" s="53" t="str">
        <f t="shared" ca="1" si="2"/>
        <v/>
      </c>
      <c r="C24" s="25" t="str">
        <f t="shared" ca="1" si="5"/>
        <v/>
      </c>
      <c r="D24" s="26" t="str">
        <f t="shared" ca="1" si="6"/>
        <v/>
      </c>
      <c r="E24" s="53" t="str">
        <f t="shared" ca="1" si="3"/>
        <v/>
      </c>
      <c r="F24" s="25" t="str">
        <f t="shared" ca="1" si="7"/>
        <v/>
      </c>
      <c r="G24" s="26" t="str">
        <f t="shared" ca="1" si="8"/>
        <v/>
      </c>
      <c r="H24" s="53" t="str">
        <f t="shared" ca="1" si="9"/>
        <v/>
      </c>
      <c r="I24" s="25" t="str">
        <f t="shared" ca="1" si="10"/>
        <v/>
      </c>
      <c r="J24" s="26"/>
      <c r="K24" s="114" t="str">
        <f ca="1">IF($A24="","",IF(COUNTIFS(INDEX(Dividends!$A:$T,0,$M$2),"&gt;"&amp;INT($A23),INDEX(Dividends!$A:$T,0,$M$2),"&lt;="&amp;INT($A24))=0,"",$G$4*SUMIFS(INDEX(Dividends!$A:$T,0,$M$2+1),INDEX(Dividends!$A:$T,0,$M$2),"&gt;"&amp;INT($A23),INDEX(Dividends!$A:$T,0,$M$2),"&lt;="&amp;INT($A24))))</f>
        <v/>
      </c>
      <c r="L24" s="55" t="str">
        <f ca="1">IF(ISERROR(B24-2),"",C24+D24-F24-G24+I24+J24+SUM($K$14:K24))</f>
        <v/>
      </c>
      <c r="N24" s="52">
        <f ca="1"/>
        <v>46035</v>
      </c>
      <c r="O24" s="39">
        <f ca="1"/>
        <v>90.033600000000007</v>
      </c>
      <c r="P24" s="52">
        <f ca="1"/>
        <v>46031</v>
      </c>
      <c r="Q24" s="39">
        <f ca="1"/>
        <v>99.527000000000001</v>
      </c>
      <c r="R24" s="52">
        <f ca="1"/>
        <v>46035</v>
      </c>
      <c r="S24" s="39">
        <f ca="1"/>
        <v>240.88900000000001</v>
      </c>
      <c r="T24" s="52">
        <f ca="1"/>
        <v>46035</v>
      </c>
      <c r="U24" s="39">
        <f ca="1"/>
        <v>249.17660000000001</v>
      </c>
      <c r="V24" s="52">
        <f t="shared" ca="1" si="0"/>
        <v>46035</v>
      </c>
      <c r="W24" s="97" t="str">
        <f t="shared" ca="1" si="1"/>
        <v/>
      </c>
    </row>
    <row r="25" spans="1:23" x14ac:dyDescent="0.25">
      <c r="A25" s="102" t="str">
        <f t="shared" ca="1" si="4"/>
        <v/>
      </c>
      <c r="B25" s="53" t="str">
        <f t="shared" ca="1" si="2"/>
        <v/>
      </c>
      <c r="C25" s="25" t="str">
        <f t="shared" ca="1" si="5"/>
        <v/>
      </c>
      <c r="D25" s="26" t="str">
        <f t="shared" ca="1" si="6"/>
        <v/>
      </c>
      <c r="E25" s="53" t="str">
        <f t="shared" ca="1" si="3"/>
        <v/>
      </c>
      <c r="F25" s="25" t="str">
        <f t="shared" ca="1" si="7"/>
        <v/>
      </c>
      <c r="G25" s="26" t="str">
        <f t="shared" ca="1" si="8"/>
        <v/>
      </c>
      <c r="H25" s="53" t="str">
        <f t="shared" ca="1" si="9"/>
        <v/>
      </c>
      <c r="I25" s="25" t="str">
        <f t="shared" ca="1" si="10"/>
        <v/>
      </c>
      <c r="J25" s="26"/>
      <c r="K25" s="114" t="str">
        <f ca="1">IF($A25="","",IF(COUNTIFS(INDEX(Dividends!$A:$T,0,$M$2),"&gt;"&amp;INT($A24),INDEX(Dividends!$A:$T,0,$M$2),"&lt;="&amp;INT($A25))=0,"",$G$4*SUMIFS(INDEX(Dividends!$A:$T,0,$M$2+1),INDEX(Dividends!$A:$T,0,$M$2),"&gt;"&amp;INT($A24),INDEX(Dividends!$A:$T,0,$M$2),"&lt;="&amp;INT($A25))))</f>
        <v/>
      </c>
      <c r="L25" s="55" t="str">
        <f ca="1">IF(ISERROR(B25-2),"",C25+D25-F25-G25+I25+J25+SUM($K$14:K25))</f>
        <v/>
      </c>
      <c r="N25" s="52">
        <f ca="1"/>
        <v>46036</v>
      </c>
      <c r="O25" s="39">
        <f ca="1"/>
        <v>89.947000000000003</v>
      </c>
      <c r="P25" s="52">
        <f ca="1"/>
        <v>46034</v>
      </c>
      <c r="Q25" s="39">
        <f ca="1"/>
        <v>99.575999999999993</v>
      </c>
      <c r="R25" s="52">
        <f ca="1"/>
        <v>46036</v>
      </c>
      <c r="S25" s="39">
        <f ca="1"/>
        <v>244.88200000000001</v>
      </c>
      <c r="T25" s="52">
        <f ca="1"/>
        <v>46036</v>
      </c>
      <c r="U25" s="39">
        <f ca="1"/>
        <v>248.81209999999999</v>
      </c>
      <c r="V25" s="52">
        <f t="shared" ca="1" si="0"/>
        <v>46036</v>
      </c>
      <c r="W25" s="97" t="str">
        <f t="shared" ca="1" si="1"/>
        <v/>
      </c>
    </row>
    <row r="26" spans="1:23" x14ac:dyDescent="0.25">
      <c r="A26" s="102" t="str">
        <f t="shared" ca="1" si="4"/>
        <v/>
      </c>
      <c r="B26" s="53" t="str">
        <f t="shared" ca="1" si="2"/>
        <v/>
      </c>
      <c r="C26" s="25" t="str">
        <f t="shared" ca="1" si="5"/>
        <v/>
      </c>
      <c r="D26" s="26" t="str">
        <f t="shared" ca="1" si="6"/>
        <v/>
      </c>
      <c r="E26" s="53" t="str">
        <f t="shared" ca="1" si="3"/>
        <v/>
      </c>
      <c r="F26" s="25" t="str">
        <f t="shared" ca="1" si="7"/>
        <v/>
      </c>
      <c r="G26" s="26" t="str">
        <f t="shared" ca="1" si="8"/>
        <v/>
      </c>
      <c r="H26" s="53" t="str">
        <f t="shared" ca="1" si="9"/>
        <v/>
      </c>
      <c r="I26" s="25" t="str">
        <f t="shared" ca="1" si="10"/>
        <v/>
      </c>
      <c r="J26" s="26"/>
      <c r="K26" s="114" t="str">
        <f ca="1">IF($A26="","",IF(COUNTIFS(INDEX(Dividends!$A:$T,0,$M$2),"&gt;"&amp;INT($A25),INDEX(Dividends!$A:$T,0,$M$2),"&lt;="&amp;INT($A26))=0,"",$G$4*SUMIFS(INDEX(Dividends!$A:$T,0,$M$2+1),INDEX(Dividends!$A:$T,0,$M$2),"&gt;"&amp;INT($A25),INDEX(Dividends!$A:$T,0,$M$2),"&lt;="&amp;INT($A26))))</f>
        <v/>
      </c>
      <c r="L26" s="55" t="str">
        <f ca="1">IF(ISERROR(B26-2),"",C26+D26-F26-G26+I26+J26+SUM($K$14:K26))</f>
        <v/>
      </c>
      <c r="N26" s="52">
        <f ca="1"/>
        <v>46037</v>
      </c>
      <c r="O26" s="39">
        <f ca="1"/>
        <v>89.947000000000003</v>
      </c>
      <c r="P26" s="52">
        <f ca="1"/>
        <v>46035</v>
      </c>
      <c r="Q26" s="39">
        <f ca="1"/>
        <v>99.585999999999999</v>
      </c>
      <c r="R26" s="52">
        <f ca="1"/>
        <v>46037</v>
      </c>
      <c r="S26" s="39">
        <f ca="1"/>
        <v>241.666</v>
      </c>
      <c r="T26" s="52">
        <f ca="1"/>
        <v>46037</v>
      </c>
      <c r="U26" s="39">
        <f ca="1"/>
        <v>249.15880000000001</v>
      </c>
      <c r="V26" s="52">
        <f t="shared" ca="1" si="0"/>
        <v>46037</v>
      </c>
      <c r="W26" s="97" t="str">
        <f t="shared" ca="1" si="1"/>
        <v/>
      </c>
    </row>
    <row r="27" spans="1:23" x14ac:dyDescent="0.25">
      <c r="A27" s="102" t="str">
        <f t="shared" ca="1" si="4"/>
        <v/>
      </c>
      <c r="B27" s="53" t="str">
        <f t="shared" ca="1" si="2"/>
        <v/>
      </c>
      <c r="C27" s="25" t="str">
        <f t="shared" ca="1" si="5"/>
        <v/>
      </c>
      <c r="D27" s="26" t="str">
        <f t="shared" ca="1" si="6"/>
        <v/>
      </c>
      <c r="E27" s="53" t="str">
        <f t="shared" ca="1" si="3"/>
        <v/>
      </c>
      <c r="F27" s="25" t="str">
        <f t="shared" ca="1" si="7"/>
        <v/>
      </c>
      <c r="G27" s="26" t="str">
        <f t="shared" ca="1" si="8"/>
        <v/>
      </c>
      <c r="H27" s="53" t="str">
        <f t="shared" ca="1" si="9"/>
        <v/>
      </c>
      <c r="I27" s="25" t="str">
        <f t="shared" ca="1" si="10"/>
        <v/>
      </c>
      <c r="J27" s="26"/>
      <c r="K27" s="114" t="str">
        <f ca="1">IF($A27="","",IF(COUNTIFS(INDEX(Dividends!$A:$T,0,$M$2),"&gt;"&amp;INT($A26),INDEX(Dividends!$A:$T,0,$M$2),"&lt;="&amp;INT($A27))=0,"",$G$4*SUMIFS(INDEX(Dividends!$A:$T,0,$M$2+1),INDEX(Dividends!$A:$T,0,$M$2),"&gt;"&amp;INT($A26),INDEX(Dividends!$A:$T,0,$M$2),"&lt;="&amp;INT($A27))))</f>
        <v/>
      </c>
      <c r="L27" s="55" t="str">
        <f ca="1">IF(ISERROR(B27-2),"",C27+D27-F27-G27+I27+J27+SUM($K$14:K27))</f>
        <v/>
      </c>
      <c r="N27" s="52">
        <f ca="1"/>
        <v>46038</v>
      </c>
      <c r="O27" s="39">
        <f ca="1"/>
        <v>89.831500000000005</v>
      </c>
      <c r="P27" s="52">
        <f ca="1"/>
        <v>46036</v>
      </c>
      <c r="Q27" s="39">
        <f ca="1"/>
        <v>99.665999999999997</v>
      </c>
      <c r="R27" s="52">
        <f ca="1"/>
        <v>46038</v>
      </c>
      <c r="S27" s="39">
        <f ca="1"/>
        <v>243.13399999999999</v>
      </c>
      <c r="T27" s="52">
        <f ca="1"/>
        <v>46038</v>
      </c>
      <c r="U27" s="39">
        <f ca="1"/>
        <v>249.01169999999999</v>
      </c>
      <c r="V27" s="52">
        <f t="shared" ca="1" si="0"/>
        <v>46038</v>
      </c>
      <c r="W27" s="97" t="str">
        <f t="shared" ca="1" si="1"/>
        <v/>
      </c>
    </row>
    <row r="28" spans="1:23" x14ac:dyDescent="0.25">
      <c r="A28" s="102" t="str">
        <f t="shared" ca="1" si="4"/>
        <v/>
      </c>
      <c r="B28" s="53" t="str">
        <f t="shared" ca="1" si="2"/>
        <v/>
      </c>
      <c r="C28" s="25" t="str">
        <f t="shared" ca="1" si="5"/>
        <v/>
      </c>
      <c r="D28" s="26" t="str">
        <f t="shared" ca="1" si="6"/>
        <v/>
      </c>
      <c r="E28" s="53" t="str">
        <f t="shared" ca="1" si="3"/>
        <v/>
      </c>
      <c r="F28" s="25" t="str">
        <f t="shared" ca="1" si="7"/>
        <v/>
      </c>
      <c r="G28" s="26" t="str">
        <f t="shared" ca="1" si="8"/>
        <v/>
      </c>
      <c r="H28" s="53" t="str">
        <f t="shared" ca="1" si="9"/>
        <v/>
      </c>
      <c r="I28" s="25" t="str">
        <f t="shared" ca="1" si="10"/>
        <v/>
      </c>
      <c r="J28" s="26"/>
      <c r="K28" s="114" t="str">
        <f ca="1">IF($A28="","",IF(COUNTIFS(INDEX(Dividends!$A:$T,0,$M$2),"&gt;"&amp;INT($A27),INDEX(Dividends!$A:$T,0,$M$2),"&lt;="&amp;INT($A28))=0,"",$G$4*SUMIFS(INDEX(Dividends!$A:$T,0,$M$2+1),INDEX(Dividends!$A:$T,0,$M$2),"&gt;"&amp;INT($A27),INDEX(Dividends!$A:$T,0,$M$2),"&lt;="&amp;INT($A28))))</f>
        <v/>
      </c>
      <c r="L28" s="55" t="str">
        <f ca="1">IF(ISERROR(B28-2),"",C28+D28-F28-G28+I28+J28+SUM($K$14:K28))</f>
        <v/>
      </c>
      <c r="N28" s="52">
        <f ca="1"/>
        <v>46041</v>
      </c>
      <c r="O28" s="39">
        <f ca="1"/>
        <v>89.715999999999994</v>
      </c>
      <c r="P28" s="52">
        <f ca="1"/>
        <v>46037</v>
      </c>
      <c r="Q28" s="39">
        <f ca="1"/>
        <v>99.602000000000004</v>
      </c>
      <c r="R28" s="52">
        <f ca="1"/>
        <v>46041</v>
      </c>
      <c r="S28" s="39">
        <f ca="1"/>
        <v>250.24199999999999</v>
      </c>
      <c r="T28" s="52">
        <f ca="1"/>
        <v>46041</v>
      </c>
      <c r="U28" s="39">
        <f ca="1"/>
        <v>248.35810000000001</v>
      </c>
      <c r="V28" s="52">
        <f t="shared" ca="1" si="0"/>
        <v>46041</v>
      </c>
      <c r="W28" s="97" t="str">
        <f t="shared" ca="1" si="1"/>
        <v/>
      </c>
    </row>
    <row r="29" spans="1:23" x14ac:dyDescent="0.25">
      <c r="A29" s="102" t="str">
        <f t="shared" ca="1" si="4"/>
        <v/>
      </c>
      <c r="B29" s="53" t="str">
        <f t="shared" ca="1" si="2"/>
        <v/>
      </c>
      <c r="C29" s="25" t="str">
        <f t="shared" ca="1" si="5"/>
        <v/>
      </c>
      <c r="D29" s="26" t="str">
        <f t="shared" ca="1" si="6"/>
        <v/>
      </c>
      <c r="E29" s="53" t="str">
        <f t="shared" ca="1" si="3"/>
        <v/>
      </c>
      <c r="F29" s="25" t="str">
        <f t="shared" ca="1" si="7"/>
        <v/>
      </c>
      <c r="G29" s="26" t="str">
        <f t="shared" ca="1" si="8"/>
        <v/>
      </c>
      <c r="H29" s="53" t="str">
        <f t="shared" ca="1" si="9"/>
        <v/>
      </c>
      <c r="I29" s="25" t="str">
        <f t="shared" ca="1" si="10"/>
        <v/>
      </c>
      <c r="J29" s="26"/>
      <c r="K29" s="114" t="str">
        <f ca="1">IF($A29="","",IF(COUNTIFS(INDEX(Dividends!$A:$T,0,$M$2),"&gt;"&amp;INT($A28),INDEX(Dividends!$A:$T,0,$M$2),"&lt;="&amp;INT($A29))=0,"",$G$4*SUMIFS(INDEX(Dividends!$A:$T,0,$M$2+1),INDEX(Dividends!$A:$T,0,$M$2),"&gt;"&amp;INT($A28),INDEX(Dividends!$A:$T,0,$M$2),"&lt;="&amp;INT($A29))))</f>
        <v/>
      </c>
      <c r="L29" s="55" t="str">
        <f ca="1">IF(ISERROR(B29-2),"",C29+D29-F29-G29+I29+J29+SUM($K$14:K29))</f>
        <v/>
      </c>
      <c r="N29" s="52">
        <f ca="1"/>
        <v>46042</v>
      </c>
      <c r="O29" s="39">
        <f ca="1"/>
        <v>89.7256</v>
      </c>
      <c r="P29" s="52">
        <f ca="1"/>
        <v>46038</v>
      </c>
      <c r="Q29" s="39">
        <f ca="1"/>
        <v>99.552000000000007</v>
      </c>
      <c r="R29" s="52">
        <f ca="1"/>
        <v>46042</v>
      </c>
      <c r="S29" s="39">
        <f ca="1"/>
        <v>252.017</v>
      </c>
      <c r="T29" s="52">
        <f ca="1"/>
        <v>46042</v>
      </c>
      <c r="U29" s="39">
        <f ca="1"/>
        <v>248.08500000000001</v>
      </c>
      <c r="V29" s="52">
        <f t="shared" ca="1" si="0"/>
        <v>46042</v>
      </c>
      <c r="W29" s="97" t="str">
        <f t="shared" ca="1" si="1"/>
        <v/>
      </c>
    </row>
    <row r="30" spans="1:23" x14ac:dyDescent="0.25">
      <c r="A30" s="102" t="str">
        <f t="shared" ca="1" si="4"/>
        <v/>
      </c>
      <c r="B30" s="53" t="str">
        <f t="shared" ca="1" si="2"/>
        <v/>
      </c>
      <c r="C30" s="25" t="str">
        <f t="shared" ca="1" si="5"/>
        <v/>
      </c>
      <c r="D30" s="26" t="str">
        <f t="shared" ca="1" si="6"/>
        <v/>
      </c>
      <c r="E30" s="53" t="str">
        <f t="shared" ca="1" si="3"/>
        <v/>
      </c>
      <c r="F30" s="25" t="str">
        <f t="shared" ca="1" si="7"/>
        <v/>
      </c>
      <c r="G30" s="26" t="str">
        <f t="shared" ca="1" si="8"/>
        <v/>
      </c>
      <c r="H30" s="53" t="str">
        <f t="shared" ca="1" si="9"/>
        <v/>
      </c>
      <c r="I30" s="25" t="str">
        <f t="shared" ca="1" si="10"/>
        <v/>
      </c>
      <c r="J30" s="26"/>
      <c r="K30" s="114" t="str">
        <f ca="1">IF($A30="","",IF(COUNTIFS(INDEX(Dividends!$A:$T,0,$M$2),"&gt;"&amp;INT($A29),INDEX(Dividends!$A:$T,0,$M$2),"&lt;="&amp;INT($A30))=0,"",$G$4*SUMIFS(INDEX(Dividends!$A:$T,0,$M$2+1),INDEX(Dividends!$A:$T,0,$M$2),"&gt;"&amp;INT($A29),INDEX(Dividends!$A:$T,0,$M$2),"&lt;="&amp;INT($A30))))</f>
        <v/>
      </c>
      <c r="L30" s="55" t="str">
        <f ca="1">IF(ISERROR(B30-2),"",C30+D30-F30-G30+I30+J30+SUM($K$14:K30))</f>
        <v/>
      </c>
      <c r="N30" s="52">
        <f ca="1"/>
        <v>46043</v>
      </c>
      <c r="O30" s="39">
        <f ca="1"/>
        <v>89.908500000000004</v>
      </c>
      <c r="P30" s="52">
        <f ca="1"/>
        <v>46041</v>
      </c>
      <c r="Q30" s="39">
        <f ca="1"/>
        <v>99.635000000000005</v>
      </c>
      <c r="R30" s="52">
        <f ca="1"/>
        <v>46043</v>
      </c>
      <c r="S30" s="39">
        <f ca="1"/>
        <v>248.50399999999999</v>
      </c>
      <c r="T30" s="52">
        <f ca="1"/>
        <v>46043</v>
      </c>
      <c r="U30" s="39">
        <f ca="1"/>
        <v>248.64510000000001</v>
      </c>
      <c r="V30" s="52">
        <f t="shared" ca="1" si="0"/>
        <v>46043</v>
      </c>
      <c r="W30" s="97" t="str">
        <f t="shared" ca="1" si="1"/>
        <v/>
      </c>
    </row>
    <row r="31" spans="1:23" x14ac:dyDescent="0.25">
      <c r="A31" s="102" t="str">
        <f t="shared" ca="1" si="4"/>
        <v/>
      </c>
      <c r="B31" s="53" t="str">
        <f t="shared" ca="1" si="2"/>
        <v/>
      </c>
      <c r="C31" s="25" t="str">
        <f t="shared" ca="1" si="5"/>
        <v/>
      </c>
      <c r="D31" s="26" t="str">
        <f t="shared" ca="1" si="6"/>
        <v/>
      </c>
      <c r="E31" s="53" t="str">
        <f t="shared" ca="1" si="3"/>
        <v/>
      </c>
      <c r="F31" s="25" t="str">
        <f t="shared" ca="1" si="7"/>
        <v/>
      </c>
      <c r="G31" s="26" t="str">
        <f t="shared" ca="1" si="8"/>
        <v/>
      </c>
      <c r="H31" s="53" t="str">
        <f t="shared" ca="1" si="9"/>
        <v/>
      </c>
      <c r="I31" s="25" t="str">
        <f t="shared" ca="1" si="10"/>
        <v/>
      </c>
      <c r="J31" s="26"/>
      <c r="K31" s="114" t="str">
        <f ca="1">IF($A31="","",IF(COUNTIFS(INDEX(Dividends!$A:$T,0,$M$2),"&gt;"&amp;INT($A30),INDEX(Dividends!$A:$T,0,$M$2),"&lt;="&amp;INT($A31))=0,"",$G$4*SUMIFS(INDEX(Dividends!$A:$T,0,$M$2+1),INDEX(Dividends!$A:$T,0,$M$2),"&gt;"&amp;INT($A30),INDEX(Dividends!$A:$T,0,$M$2),"&lt;="&amp;INT($A31))))</f>
        <v/>
      </c>
      <c r="L31" s="55" t="str">
        <f ca="1">IF(ISERROR(B31-2),"",C31+D31-F31-G31+I31+J31+SUM($K$14:K31))</f>
        <v/>
      </c>
      <c r="N31" s="52">
        <f ca="1"/>
        <v>46044</v>
      </c>
      <c r="O31" s="39">
        <f ca="1"/>
        <v>89.966200000000001</v>
      </c>
      <c r="P31" s="52">
        <f ca="1"/>
        <v>46042</v>
      </c>
      <c r="Q31" s="39">
        <f ca="1"/>
        <v>99.649000000000001</v>
      </c>
      <c r="R31" s="52">
        <f ca="1"/>
        <v>46044</v>
      </c>
      <c r="S31" s="39">
        <f ca="1"/>
        <v>240.483</v>
      </c>
      <c r="T31" s="52">
        <f ca="1"/>
        <v>46044</v>
      </c>
      <c r="U31" s="39">
        <f ca="1"/>
        <v>249.4425</v>
      </c>
      <c r="V31" s="52">
        <f t="shared" ca="1" si="0"/>
        <v>46044</v>
      </c>
      <c r="W31" s="97" t="str">
        <f t="shared" ca="1" si="1"/>
        <v/>
      </c>
    </row>
    <row r="32" spans="1:23" x14ac:dyDescent="0.25">
      <c r="A32" s="102" t="str">
        <f t="shared" ca="1" si="4"/>
        <v/>
      </c>
      <c r="B32" s="53" t="str">
        <f t="shared" ca="1" si="2"/>
        <v/>
      </c>
      <c r="C32" s="25" t="str">
        <f t="shared" ca="1" si="5"/>
        <v/>
      </c>
      <c r="D32" s="26" t="str">
        <f t="shared" ca="1" si="6"/>
        <v/>
      </c>
      <c r="E32" s="53" t="str">
        <f t="shared" ca="1" si="3"/>
        <v/>
      </c>
      <c r="F32" s="25" t="str">
        <f t="shared" ca="1" si="7"/>
        <v/>
      </c>
      <c r="G32" s="26" t="str">
        <f t="shared" ca="1" si="8"/>
        <v/>
      </c>
      <c r="H32" s="53" t="str">
        <f t="shared" ca="1" si="9"/>
        <v/>
      </c>
      <c r="I32" s="25" t="str">
        <f t="shared" ca="1" si="10"/>
        <v/>
      </c>
      <c r="J32" s="26"/>
      <c r="K32" s="114" t="str">
        <f ca="1">IF($A32="","",IF(COUNTIFS(INDEX(Dividends!$A:$T,0,$M$2),"&gt;"&amp;INT($A31),INDEX(Dividends!$A:$T,0,$M$2),"&lt;="&amp;INT($A32))=0,"",$G$4*SUMIFS(INDEX(Dividends!$A:$T,0,$M$2+1),INDEX(Dividends!$A:$T,0,$M$2),"&gt;"&amp;INT($A31),INDEX(Dividends!$A:$T,0,$M$2),"&lt;="&amp;INT($A32))))</f>
        <v/>
      </c>
      <c r="L32" s="55" t="str">
        <f ca="1">IF(ISERROR(B32-2),"",C32+D32-F32-G32+I32+J32+SUM($K$14:K32))</f>
        <v/>
      </c>
      <c r="N32" s="52">
        <f ca="1"/>
        <v>46045</v>
      </c>
      <c r="O32" s="39">
        <f ca="1"/>
        <v>90.072100000000006</v>
      </c>
      <c r="P32" s="52">
        <f ca="1"/>
        <v>46043</v>
      </c>
      <c r="Q32" s="39">
        <f ca="1"/>
        <v>99.588999999999999</v>
      </c>
      <c r="R32" s="52">
        <f ca="1"/>
        <v>46045</v>
      </c>
      <c r="S32" s="39">
        <f ca="1"/>
        <v>242.67099999999999</v>
      </c>
      <c r="T32" s="52">
        <f ca="1"/>
        <v>46045</v>
      </c>
      <c r="U32" s="39">
        <f ca="1"/>
        <v>249.2397</v>
      </c>
      <c r="V32" s="52">
        <f t="shared" ca="1" si="0"/>
        <v>46045</v>
      </c>
      <c r="W32" s="97" t="str">
        <f t="shared" ca="1" si="1"/>
        <v/>
      </c>
    </row>
    <row r="33" spans="1:23" x14ac:dyDescent="0.25">
      <c r="A33" s="102" t="str">
        <f t="shared" ca="1" si="4"/>
        <v/>
      </c>
      <c r="B33" s="53" t="str">
        <f t="shared" ca="1" si="2"/>
        <v/>
      </c>
      <c r="C33" s="25" t="str">
        <f t="shared" ca="1" si="5"/>
        <v/>
      </c>
      <c r="D33" s="26" t="str">
        <f t="shared" ca="1" si="6"/>
        <v/>
      </c>
      <c r="E33" s="53" t="str">
        <f t="shared" ca="1" si="3"/>
        <v/>
      </c>
      <c r="F33" s="25" t="str">
        <f t="shared" ca="1" si="7"/>
        <v/>
      </c>
      <c r="G33" s="26" t="str">
        <f t="shared" ca="1" si="8"/>
        <v/>
      </c>
      <c r="H33" s="53" t="str">
        <f t="shared" ca="1" si="9"/>
        <v/>
      </c>
      <c r="I33" s="25" t="str">
        <f t="shared" ca="1" si="10"/>
        <v/>
      </c>
      <c r="J33" s="26"/>
      <c r="K33" s="114" t="str">
        <f ca="1">IF($A33="","",IF(COUNTIFS(INDEX(Dividends!$A:$T,0,$M$2),"&gt;"&amp;INT($A32),INDEX(Dividends!$A:$T,0,$M$2),"&lt;="&amp;INT($A33))=0,"",$G$4*SUMIFS(INDEX(Dividends!$A:$T,0,$M$2+1),INDEX(Dividends!$A:$T,0,$M$2),"&gt;"&amp;INT($A32),INDEX(Dividends!$A:$T,0,$M$2),"&lt;="&amp;INT($A33))))</f>
        <v/>
      </c>
      <c r="L33" s="55" t="str">
        <f ca="1">IF(ISERROR(B33-2),"",C33+D33-F33-G33+I33+J33+SUM($K$14:K33))</f>
        <v/>
      </c>
      <c r="N33" s="52">
        <f ca="1"/>
        <v>46048</v>
      </c>
      <c r="O33" s="39">
        <f ca="1"/>
        <v>90.110600000000005</v>
      </c>
      <c r="P33" s="52">
        <f ca="1"/>
        <v>46044</v>
      </c>
      <c r="Q33" s="39">
        <f ca="1"/>
        <v>99.519000000000005</v>
      </c>
      <c r="R33" s="52">
        <f ca="1"/>
        <v>46048</v>
      </c>
      <c r="S33" s="39">
        <f ca="1"/>
        <v>242.38300000000001</v>
      </c>
      <c r="T33" s="52">
        <f ca="1"/>
        <v>46048</v>
      </c>
      <c r="U33" s="39">
        <f ca="1"/>
        <v>249.3184</v>
      </c>
      <c r="V33" s="52">
        <f t="shared" ca="1" si="0"/>
        <v>46048</v>
      </c>
      <c r="W33" s="97" t="str">
        <f t="shared" ca="1" si="1"/>
        <v/>
      </c>
    </row>
    <row r="34" spans="1:23" x14ac:dyDescent="0.25">
      <c r="A34" s="102" t="str">
        <f t="shared" ca="1" si="4"/>
        <v/>
      </c>
      <c r="B34" s="53" t="str">
        <f t="shared" ca="1" si="2"/>
        <v/>
      </c>
      <c r="C34" s="25" t="str">
        <f t="shared" ca="1" si="5"/>
        <v/>
      </c>
      <c r="D34" s="26" t="str">
        <f t="shared" ca="1" si="6"/>
        <v/>
      </c>
      <c r="E34" s="53" t="str">
        <f t="shared" ca="1" si="3"/>
        <v/>
      </c>
      <c r="F34" s="25" t="str">
        <f t="shared" ca="1" si="7"/>
        <v/>
      </c>
      <c r="G34" s="26" t="str">
        <f t="shared" ca="1" si="8"/>
        <v/>
      </c>
      <c r="H34" s="53" t="str">
        <f t="shared" ca="1" si="9"/>
        <v/>
      </c>
      <c r="I34" s="25" t="str">
        <f t="shared" ca="1" si="10"/>
        <v/>
      </c>
      <c r="J34" s="26"/>
      <c r="K34" s="114" t="str">
        <f ca="1">IF($A34="","",IF(COUNTIFS(INDEX(Dividends!$A:$T,0,$M$2),"&gt;"&amp;INT($A33),INDEX(Dividends!$A:$T,0,$M$2),"&lt;="&amp;INT($A34))=0,"",$G$4*SUMIFS(INDEX(Dividends!$A:$T,0,$M$2+1),INDEX(Dividends!$A:$T,0,$M$2),"&gt;"&amp;INT($A33),INDEX(Dividends!$A:$T,0,$M$2),"&lt;="&amp;INT($A34))))</f>
        <v/>
      </c>
      <c r="L34" s="55" t="str">
        <f ca="1">IF(ISERROR(B34-2),"",C34+D34-F34-G34+I34+J34+SUM($K$14:K34))</f>
        <v/>
      </c>
      <c r="N34" s="52">
        <f ca="1"/>
        <v>46049</v>
      </c>
      <c r="O34" s="39">
        <f ca="1"/>
        <v>90.216399999999993</v>
      </c>
      <c r="P34" s="52">
        <f ca="1"/>
        <v>46045</v>
      </c>
      <c r="Q34" s="39">
        <f ca="1"/>
        <v>99.462000000000003</v>
      </c>
      <c r="R34" s="52">
        <f ca="1"/>
        <v>46049</v>
      </c>
      <c r="S34" s="39">
        <f ca="1"/>
        <v>241.536</v>
      </c>
      <c r="T34" s="52">
        <f ca="1"/>
        <v>46049</v>
      </c>
      <c r="U34" s="39">
        <f ca="1"/>
        <v>249.45769999999999</v>
      </c>
      <c r="V34" s="52">
        <f t="shared" ca="1" si="0"/>
        <v>46049</v>
      </c>
      <c r="W34" s="97" t="str">
        <f t="shared" ca="1" si="1"/>
        <v/>
      </c>
    </row>
    <row r="35" spans="1:23" x14ac:dyDescent="0.25">
      <c r="A35" s="102" t="str">
        <f t="shared" ca="1" si="4"/>
        <v/>
      </c>
      <c r="B35" s="53" t="str">
        <f t="shared" ca="1" si="2"/>
        <v/>
      </c>
      <c r="C35" s="25" t="str">
        <f t="shared" ca="1" si="5"/>
        <v/>
      </c>
      <c r="D35" s="26" t="str">
        <f t="shared" ca="1" si="6"/>
        <v/>
      </c>
      <c r="E35" s="53" t="str">
        <f t="shared" ca="1" si="3"/>
        <v/>
      </c>
      <c r="F35" s="25" t="str">
        <f t="shared" ca="1" si="7"/>
        <v/>
      </c>
      <c r="G35" s="26" t="str">
        <f t="shared" ca="1" si="8"/>
        <v/>
      </c>
      <c r="H35" s="53" t="str">
        <f t="shared" ca="1" si="9"/>
        <v/>
      </c>
      <c r="I35" s="25" t="str">
        <f t="shared" ca="1" si="10"/>
        <v/>
      </c>
      <c r="J35" s="26"/>
      <c r="K35" s="114" t="str">
        <f ca="1">IF($A35="","",IF(COUNTIFS(INDEX(Dividends!$A:$T,0,$M$2),"&gt;"&amp;INT($A34),INDEX(Dividends!$A:$T,0,$M$2),"&lt;="&amp;INT($A35))=0,"",$G$4*SUMIFS(INDEX(Dividends!$A:$T,0,$M$2+1),INDEX(Dividends!$A:$T,0,$M$2),"&gt;"&amp;INT($A34),INDEX(Dividends!$A:$T,0,$M$2),"&lt;="&amp;INT($A35))))</f>
        <v/>
      </c>
      <c r="L35" s="55" t="str">
        <f ca="1">IF(ISERROR(B35-2),"",C35+D35-F35-G35+I35+J35+SUM($K$14:K35))</f>
        <v/>
      </c>
      <c r="N35" s="52">
        <f ca="1"/>
        <v>46050</v>
      </c>
      <c r="O35" s="39">
        <f ca="1"/>
        <v>90.168300000000002</v>
      </c>
      <c r="P35" s="52">
        <f ca="1"/>
        <v>46048</v>
      </c>
      <c r="Q35" s="39">
        <f ca="1"/>
        <v>99.555999999999997</v>
      </c>
      <c r="R35" s="52">
        <f ca="1"/>
        <v>46050</v>
      </c>
      <c r="S35" s="39">
        <f ca="1"/>
        <v>245.107</v>
      </c>
      <c r="T35" s="52">
        <f ca="1"/>
        <v>46050</v>
      </c>
      <c r="U35" s="39">
        <f ca="1"/>
        <v>249.07820000000001</v>
      </c>
      <c r="V35" s="52">
        <f t="shared" ca="1" si="0"/>
        <v>46050</v>
      </c>
      <c r="W35" s="97" t="str">
        <f t="shared" ca="1" si="1"/>
        <v/>
      </c>
    </row>
    <row r="36" spans="1:23" x14ac:dyDescent="0.25">
      <c r="A36" s="102" t="str">
        <f t="shared" ca="1" si="4"/>
        <v/>
      </c>
      <c r="B36" s="53" t="str">
        <f t="shared" ca="1" si="2"/>
        <v/>
      </c>
      <c r="C36" s="25" t="str">
        <f t="shared" ca="1" si="5"/>
        <v/>
      </c>
      <c r="D36" s="26" t="str">
        <f t="shared" ca="1" si="6"/>
        <v/>
      </c>
      <c r="E36" s="53" t="str">
        <f t="shared" ca="1" si="3"/>
        <v/>
      </c>
      <c r="F36" s="25" t="str">
        <f t="shared" ca="1" si="7"/>
        <v/>
      </c>
      <c r="G36" s="26" t="str">
        <f t="shared" ca="1" si="8"/>
        <v/>
      </c>
      <c r="H36" s="53" t="str">
        <f t="shared" ca="1" si="9"/>
        <v/>
      </c>
      <c r="I36" s="25" t="str">
        <f t="shared" ca="1" si="10"/>
        <v/>
      </c>
      <c r="J36" s="26"/>
      <c r="K36" s="114" t="str">
        <f ca="1">IF($A36="","",IF(COUNTIFS(INDEX(Dividends!$A:$T,0,$M$2),"&gt;"&amp;INT($A35),INDEX(Dividends!$A:$T,0,$M$2),"&lt;="&amp;INT($A36))=0,"",$G$4*SUMIFS(INDEX(Dividends!$A:$T,0,$M$2+1),INDEX(Dividends!$A:$T,0,$M$2),"&gt;"&amp;INT($A35),INDEX(Dividends!$A:$T,0,$M$2),"&lt;="&amp;INT($A36))))</f>
        <v/>
      </c>
      <c r="L36" s="55" t="str">
        <f ca="1">IF(ISERROR(B36-2),"",C36+D36-F36-G36+I36+J36+SUM($K$14:K36))</f>
        <v/>
      </c>
      <c r="N36" s="52">
        <f ca="1"/>
        <v>46051</v>
      </c>
      <c r="O36" s="39">
        <f ca="1"/>
        <v>89.889200000000002</v>
      </c>
      <c r="P36" s="52">
        <f ca="1"/>
        <v>46049</v>
      </c>
      <c r="Q36" s="39">
        <f ca="1"/>
        <v>99.567999999999998</v>
      </c>
      <c r="R36" s="52">
        <f ca="1"/>
        <v>46051</v>
      </c>
      <c r="S36" s="39">
        <f ca="1"/>
        <v>247.57400000000001</v>
      </c>
      <c r="T36" s="52">
        <f ca="1"/>
        <v>46051</v>
      </c>
      <c r="U36" s="39">
        <f ca="1"/>
        <v>248.7859</v>
      </c>
      <c r="V36" s="52">
        <f t="shared" ca="1" si="0"/>
        <v>46051</v>
      </c>
      <c r="W36" s="97" t="str">
        <f t="shared" ca="1" si="1"/>
        <v/>
      </c>
    </row>
    <row r="37" spans="1:23" x14ac:dyDescent="0.25">
      <c r="A37" s="102" t="str">
        <f t="shared" ca="1" si="4"/>
        <v/>
      </c>
      <c r="B37" s="53" t="str">
        <f t="shared" ca="1" si="2"/>
        <v/>
      </c>
      <c r="C37" s="25" t="str">
        <f t="shared" ca="1" si="5"/>
        <v/>
      </c>
      <c r="D37" s="26" t="str">
        <f t="shared" ca="1" si="6"/>
        <v/>
      </c>
      <c r="E37" s="53" t="str">
        <f t="shared" ca="1" si="3"/>
        <v/>
      </c>
      <c r="F37" s="25" t="str">
        <f t="shared" ca="1" si="7"/>
        <v/>
      </c>
      <c r="G37" s="26" t="str">
        <f t="shared" ca="1" si="8"/>
        <v/>
      </c>
      <c r="H37" s="53" t="str">
        <f t="shared" ca="1" si="9"/>
        <v/>
      </c>
      <c r="I37" s="25" t="str">
        <f t="shared" ca="1" si="10"/>
        <v/>
      </c>
      <c r="J37" s="26"/>
      <c r="K37" s="114" t="str">
        <f ca="1">IF($A37="","",IF(COUNTIFS(INDEX(Dividends!$A:$T,0,$M$2),"&gt;"&amp;INT($A36),INDEX(Dividends!$A:$T,0,$M$2),"&lt;="&amp;INT($A37))=0,"",$G$4*SUMIFS(INDEX(Dividends!$A:$T,0,$M$2+1),INDEX(Dividends!$A:$T,0,$M$2),"&gt;"&amp;INT($A36),INDEX(Dividends!$A:$T,0,$M$2),"&lt;="&amp;INT($A37))))</f>
        <v/>
      </c>
      <c r="L37" s="55" t="str">
        <f ca="1">IF(ISERROR(B37-2),"",C37+D37-F37-G37+I37+J37+SUM($K$14:K37))</f>
        <v/>
      </c>
      <c r="N37" s="52">
        <f ca="1"/>
        <v>46052</v>
      </c>
      <c r="O37" s="39">
        <f ca="1"/>
        <v>90.110600000000005</v>
      </c>
      <c r="P37" s="52">
        <f ca="1"/>
        <v>46050</v>
      </c>
      <c r="Q37" s="39">
        <f ca="1"/>
        <v>99.643000000000001</v>
      </c>
      <c r="R37" s="52">
        <f ca="1"/>
        <v>46052</v>
      </c>
      <c r="S37" s="39">
        <f ca="1"/>
        <v>247.31899999999999</v>
      </c>
      <c r="T37" s="52">
        <f ca="1"/>
        <v>46052</v>
      </c>
      <c r="U37" s="39">
        <f ca="1"/>
        <v>248.92789999999999</v>
      </c>
      <c r="V37" s="52">
        <f t="shared" ca="1" si="0"/>
        <v>46052</v>
      </c>
      <c r="W37" s="97" t="str">
        <f t="shared" ca="1" si="1"/>
        <v/>
      </c>
    </row>
    <row r="38" spans="1:23" x14ac:dyDescent="0.25">
      <c r="A38" s="102" t="str">
        <f t="shared" ca="1" si="4"/>
        <v/>
      </c>
      <c r="B38" s="53" t="str">
        <f t="shared" ca="1" si="2"/>
        <v/>
      </c>
      <c r="C38" s="25" t="str">
        <f t="shared" ca="1" si="5"/>
        <v/>
      </c>
      <c r="D38" s="26" t="str">
        <f t="shared" ca="1" si="6"/>
        <v/>
      </c>
      <c r="E38" s="53" t="str">
        <f t="shared" ca="1" si="3"/>
        <v/>
      </c>
      <c r="F38" s="25" t="str">
        <f t="shared" ca="1" si="7"/>
        <v/>
      </c>
      <c r="G38" s="26" t="str">
        <f t="shared" ca="1" si="8"/>
        <v/>
      </c>
      <c r="H38" s="53" t="str">
        <f t="shared" ca="1" si="9"/>
        <v/>
      </c>
      <c r="I38" s="25" t="str">
        <f t="shared" ca="1" si="10"/>
        <v/>
      </c>
      <c r="J38" s="26"/>
      <c r="K38" s="114" t="str">
        <f ca="1">IF($A38="","",IF(COUNTIFS(INDEX(Dividends!$A:$T,0,$M$2),"&gt;"&amp;INT($A37),INDEX(Dividends!$A:$T,0,$M$2),"&lt;="&amp;INT($A38))=0,"",$G$4*SUMIFS(INDEX(Dividends!$A:$T,0,$M$2+1),INDEX(Dividends!$A:$T,0,$M$2),"&gt;"&amp;INT($A37),INDEX(Dividends!$A:$T,0,$M$2),"&lt;="&amp;INT($A38))))</f>
        <v/>
      </c>
      <c r="L38" s="55" t="str">
        <f ca="1">IF(ISERROR(B38-2),"",C38+D38-F38-G38+I38+J38+SUM($K$14:K38))</f>
        <v/>
      </c>
      <c r="N38" s="52">
        <f ca="1"/>
        <v>46055</v>
      </c>
      <c r="O38" s="39">
        <f ca="1"/>
        <v>90.081699999999998</v>
      </c>
      <c r="P38" s="52">
        <f ca="1"/>
        <v>46051</v>
      </c>
      <c r="Q38" s="39">
        <f ca="1"/>
        <v>99.701999999999998</v>
      </c>
      <c r="R38" s="52">
        <f ca="1"/>
        <v>46055</v>
      </c>
      <c r="S38" s="39">
        <f ca="1"/>
        <v>242.94800000000001</v>
      </c>
      <c r="T38" s="52">
        <f ca="1"/>
        <v>46055</v>
      </c>
      <c r="U38" s="39">
        <f ca="1"/>
        <v>249.41380000000001</v>
      </c>
      <c r="V38" s="52">
        <f t="shared" ca="1" si="0"/>
        <v>46055</v>
      </c>
      <c r="W38" s="97" t="str">
        <f t="shared" ca="1" si="1"/>
        <v/>
      </c>
    </row>
    <row r="39" spans="1:23" x14ac:dyDescent="0.25">
      <c r="A39" s="102" t="str">
        <f t="shared" ca="1" si="4"/>
        <v/>
      </c>
      <c r="B39" s="53" t="str">
        <f t="shared" ca="1" si="2"/>
        <v/>
      </c>
      <c r="C39" s="25" t="str">
        <f t="shared" ca="1" si="5"/>
        <v/>
      </c>
      <c r="D39" s="26" t="str">
        <f t="shared" ca="1" si="6"/>
        <v/>
      </c>
      <c r="E39" s="53" t="str">
        <f t="shared" ca="1" si="3"/>
        <v/>
      </c>
      <c r="F39" s="25" t="str">
        <f t="shared" ca="1" si="7"/>
        <v/>
      </c>
      <c r="G39" s="26" t="str">
        <f t="shared" ca="1" si="8"/>
        <v/>
      </c>
      <c r="H39" s="53" t="str">
        <f t="shared" ca="1" si="9"/>
        <v/>
      </c>
      <c r="I39" s="25" t="str">
        <f t="shared" ca="1" si="10"/>
        <v/>
      </c>
      <c r="J39" s="26"/>
      <c r="K39" s="114" t="str">
        <f ca="1">IF($A39="","",IF(COUNTIFS(INDEX(Dividends!$A:$T,0,$M$2),"&gt;"&amp;INT($A38),INDEX(Dividends!$A:$T,0,$M$2),"&lt;="&amp;INT($A39))=0,"",$G$4*SUMIFS(INDEX(Dividends!$A:$T,0,$M$2+1),INDEX(Dividends!$A:$T,0,$M$2),"&gt;"&amp;INT($A38),INDEX(Dividends!$A:$T,0,$M$2),"&lt;="&amp;INT($A39))))</f>
        <v/>
      </c>
      <c r="L39" s="55" t="str">
        <f ca="1">IF(ISERROR(B39-2),"",C39+D39-F39-G39+I39+J39+SUM($K$14:K39))</f>
        <v/>
      </c>
      <c r="N39" s="52">
        <f ca="1"/>
        <v>46056</v>
      </c>
      <c r="O39" s="39">
        <f ca="1"/>
        <v>90.129800000000003</v>
      </c>
      <c r="P39" s="52">
        <f ca="1"/>
        <v>46052</v>
      </c>
      <c r="Q39" s="39">
        <f ca="1"/>
        <v>99.691000000000003</v>
      </c>
      <c r="R39" s="52">
        <f ca="1"/>
        <v>46056</v>
      </c>
      <c r="S39" s="39">
        <f ca="1"/>
        <v>244.75399999999999</v>
      </c>
      <c r="T39" s="52">
        <f ca="1"/>
        <v>46056</v>
      </c>
      <c r="U39" s="39">
        <f ca="1"/>
        <v>249.29150000000001</v>
      </c>
      <c r="V39" s="52">
        <f t="shared" ca="1" si="0"/>
        <v>46056</v>
      </c>
      <c r="W39" s="97" t="str">
        <f t="shared" ca="1" si="1"/>
        <v/>
      </c>
    </row>
    <row r="40" spans="1:23" x14ac:dyDescent="0.25">
      <c r="A40" s="102" t="str">
        <f t="shared" ca="1" si="4"/>
        <v/>
      </c>
      <c r="B40" s="53" t="str">
        <f t="shared" ca="1" si="2"/>
        <v/>
      </c>
      <c r="C40" s="25" t="str">
        <f t="shared" ca="1" si="5"/>
        <v/>
      </c>
      <c r="D40" s="26" t="str">
        <f t="shared" ca="1" si="6"/>
        <v/>
      </c>
      <c r="E40" s="53" t="str">
        <f t="shared" ca="1" si="3"/>
        <v/>
      </c>
      <c r="F40" s="25" t="str">
        <f t="shared" ca="1" si="7"/>
        <v/>
      </c>
      <c r="G40" s="26" t="str">
        <f t="shared" ca="1" si="8"/>
        <v/>
      </c>
      <c r="H40" s="53" t="str">
        <f t="shared" ca="1" si="9"/>
        <v/>
      </c>
      <c r="I40" s="25" t="str">
        <f t="shared" ca="1" si="10"/>
        <v/>
      </c>
      <c r="J40" s="26"/>
      <c r="K40" s="114" t="str">
        <f ca="1">IF($A40="","",IF(COUNTIFS(INDEX(Dividends!$A:$T,0,$M$2),"&gt;"&amp;INT($A39),INDEX(Dividends!$A:$T,0,$M$2),"&lt;="&amp;INT($A40))=0,"",$G$4*SUMIFS(INDEX(Dividends!$A:$T,0,$M$2+1),INDEX(Dividends!$A:$T,0,$M$2),"&gt;"&amp;INT($A39),INDEX(Dividends!$A:$T,0,$M$2),"&lt;="&amp;INT($A40))))</f>
        <v/>
      </c>
      <c r="L40" s="55" t="str">
        <f ca="1">IF(ISERROR(B40-2),"",C40+D40-F40-G40+I40+J40+SUM($K$14:K40))</f>
        <v/>
      </c>
      <c r="N40" s="52">
        <f ca="1"/>
        <v>46057</v>
      </c>
      <c r="O40" s="39">
        <f ca="1"/>
        <v>90.0625</v>
      </c>
      <c r="P40" s="52">
        <f ca="1"/>
        <v>46055</v>
      </c>
      <c r="Q40" s="39">
        <f ca="1"/>
        <v>99.602000000000004</v>
      </c>
      <c r="R40" s="52">
        <f ca="1"/>
        <v>46057</v>
      </c>
      <c r="S40" s="39">
        <f ca="1"/>
        <v>246.44200000000001</v>
      </c>
      <c r="T40" s="52">
        <f ca="1"/>
        <v>46057</v>
      </c>
      <c r="U40" s="39">
        <f ca="1"/>
        <v>249.12110000000001</v>
      </c>
      <c r="V40" s="52">
        <f t="shared" ca="1" si="0"/>
        <v>46057</v>
      </c>
      <c r="W40" s="97" t="str">
        <f t="shared" ca="1" si="1"/>
        <v/>
      </c>
    </row>
    <row r="41" spans="1:23" x14ac:dyDescent="0.25">
      <c r="A41" s="102" t="str">
        <f t="shared" ca="1" si="4"/>
        <v/>
      </c>
      <c r="B41" s="53" t="str">
        <f t="shared" ca="1" si="2"/>
        <v/>
      </c>
      <c r="C41" s="25" t="str">
        <f t="shared" ca="1" si="5"/>
        <v/>
      </c>
      <c r="D41" s="26" t="str">
        <f t="shared" ca="1" si="6"/>
        <v/>
      </c>
      <c r="E41" s="53" t="str">
        <f t="shared" ca="1" si="3"/>
        <v/>
      </c>
      <c r="F41" s="25" t="str">
        <f t="shared" ca="1" si="7"/>
        <v/>
      </c>
      <c r="G41" s="26" t="str">
        <f t="shared" ca="1" si="8"/>
        <v/>
      </c>
      <c r="H41" s="53" t="str">
        <f t="shared" ca="1" si="9"/>
        <v/>
      </c>
      <c r="I41" s="25" t="str">
        <f t="shared" ca="1" si="10"/>
        <v/>
      </c>
      <c r="J41" s="26"/>
      <c r="K41" s="114" t="str">
        <f ca="1">IF($A41="","",IF(COUNTIFS(INDEX(Dividends!$A:$T,0,$M$2),"&gt;"&amp;INT($A40),INDEX(Dividends!$A:$T,0,$M$2),"&lt;="&amp;INT($A41))=0,"",$G$4*SUMIFS(INDEX(Dividends!$A:$T,0,$M$2+1),INDEX(Dividends!$A:$T,0,$M$2),"&gt;"&amp;INT($A40),INDEX(Dividends!$A:$T,0,$M$2),"&lt;="&amp;INT($A41))))</f>
        <v/>
      </c>
      <c r="L41" s="55" t="str">
        <f ca="1">IF(ISERROR(B41-2),"",C41+D41-F41-G41+I41+J41+SUM($K$14:K41))</f>
        <v/>
      </c>
      <c r="N41" s="52">
        <f ca="1"/>
        <v>46058</v>
      </c>
      <c r="O41" s="39">
        <f ca="1"/>
        <v>90.033600000000007</v>
      </c>
      <c r="P41" s="52">
        <f ca="1"/>
        <v>46056</v>
      </c>
      <c r="Q41" s="39">
        <f ca="1"/>
        <v>99.578000000000003</v>
      </c>
      <c r="R41" s="52">
        <f ca="1"/>
        <v>46058</v>
      </c>
      <c r="S41" s="39">
        <f ca="1"/>
        <v>247.72399999999999</v>
      </c>
      <c r="T41" s="52">
        <f ca="1"/>
        <v>46058</v>
      </c>
      <c r="U41" s="39">
        <f ca="1"/>
        <v>248.86420000000001</v>
      </c>
      <c r="V41" s="52">
        <f t="shared" ca="1" si="0"/>
        <v>46058</v>
      </c>
      <c r="W41" s="97" t="str">
        <f t="shared" ca="1" si="1"/>
        <v/>
      </c>
    </row>
    <row r="42" spans="1:23" x14ac:dyDescent="0.25">
      <c r="A42" s="102" t="str">
        <f t="shared" ca="1" si="4"/>
        <v/>
      </c>
      <c r="B42" s="53" t="str">
        <f t="shared" ca="1" si="2"/>
        <v/>
      </c>
      <c r="C42" s="25" t="str">
        <f t="shared" ca="1" si="5"/>
        <v/>
      </c>
      <c r="D42" s="26" t="str">
        <f t="shared" ca="1" si="6"/>
        <v/>
      </c>
      <c r="E42" s="53" t="str">
        <f t="shared" ca="1" si="3"/>
        <v/>
      </c>
      <c r="F42" s="25" t="str">
        <f t="shared" ca="1" si="7"/>
        <v/>
      </c>
      <c r="G42" s="26" t="str">
        <f t="shared" ca="1" si="8"/>
        <v/>
      </c>
      <c r="H42" s="53" t="str">
        <f t="shared" ca="1" si="9"/>
        <v/>
      </c>
      <c r="I42" s="25" t="str">
        <f t="shared" ca="1" si="10"/>
        <v/>
      </c>
      <c r="J42" s="26"/>
      <c r="K42" s="114" t="str">
        <f ca="1">IF($A42="","",IF(COUNTIFS(INDEX(Dividends!$A:$T,0,$M$2),"&gt;"&amp;INT($A41),INDEX(Dividends!$A:$T,0,$M$2),"&lt;="&amp;INT($A42))=0,"",$G$4*SUMIFS(INDEX(Dividends!$A:$T,0,$M$2+1),INDEX(Dividends!$A:$T,0,$M$2),"&gt;"&amp;INT($A41),INDEX(Dividends!$A:$T,0,$M$2),"&lt;="&amp;INT($A42))))</f>
        <v/>
      </c>
      <c r="L42" s="55" t="str">
        <f ca="1">IF(ISERROR(B42-2),"",C42+D42-F42-G42+I42+J42+SUM($K$14:K42))</f>
        <v/>
      </c>
      <c r="N42" s="52">
        <f ca="1"/>
        <v>46059</v>
      </c>
      <c r="O42" s="39">
        <f ca="1"/>
        <v>90.177899999999994</v>
      </c>
      <c r="P42" s="52">
        <f ca="1"/>
        <v>46057</v>
      </c>
      <c r="Q42" s="39">
        <f ca="1"/>
        <v>99.664000000000001</v>
      </c>
      <c r="R42" s="52">
        <f ca="1"/>
        <v>46059</v>
      </c>
      <c r="S42" s="39">
        <f ca="1"/>
        <v>243.90799999999999</v>
      </c>
      <c r="T42" s="52">
        <f ca="1"/>
        <v>46059</v>
      </c>
      <c r="U42" s="39">
        <f ca="1"/>
        <v>249.4572</v>
      </c>
      <c r="V42" s="52">
        <f t="shared" ca="1" si="0"/>
        <v>46059</v>
      </c>
      <c r="W42" s="97" t="str">
        <f t="shared" ca="1" si="1"/>
        <v/>
      </c>
    </row>
    <row r="43" spans="1:23" x14ac:dyDescent="0.25">
      <c r="A43" s="102" t="str">
        <f t="shared" ca="1" si="4"/>
        <v/>
      </c>
      <c r="B43" s="53" t="str">
        <f t="shared" ca="1" si="2"/>
        <v/>
      </c>
      <c r="C43" s="25" t="str">
        <f t="shared" ca="1" si="5"/>
        <v/>
      </c>
      <c r="D43" s="26" t="str">
        <f t="shared" ca="1" si="6"/>
        <v/>
      </c>
      <c r="E43" s="53" t="str">
        <f t="shared" ca="1" si="3"/>
        <v/>
      </c>
      <c r="F43" s="25" t="str">
        <f t="shared" ca="1" si="7"/>
        <v/>
      </c>
      <c r="G43" s="26" t="str">
        <f t="shared" ca="1" si="8"/>
        <v/>
      </c>
      <c r="H43" s="53" t="str">
        <f t="shared" ca="1" si="9"/>
        <v/>
      </c>
      <c r="I43" s="25" t="str">
        <f t="shared" ca="1" si="10"/>
        <v/>
      </c>
      <c r="J43" s="26"/>
      <c r="K43" s="114" t="str">
        <f ca="1">IF($A43="","",IF(COUNTIFS(INDEX(Dividends!$A:$T,0,$M$2),"&gt;"&amp;INT($A42),INDEX(Dividends!$A:$T,0,$M$2),"&lt;="&amp;INT($A43))=0,"",$G$4*SUMIFS(INDEX(Dividends!$A:$T,0,$M$2+1),INDEX(Dividends!$A:$T,0,$M$2),"&gt;"&amp;INT($A42),INDEX(Dividends!$A:$T,0,$M$2),"&lt;="&amp;INT($A43))))</f>
        <v/>
      </c>
      <c r="L43" s="55" t="str">
        <f ca="1">IF(ISERROR(B43-2),"",C43+D43-F43-G43+I43+J43+SUM($K$14:K43))</f>
        <v/>
      </c>
      <c r="N43" s="52">
        <f ca="1"/>
        <v>46062</v>
      </c>
      <c r="O43" s="39">
        <f ca="1"/>
        <v>90.226100000000002</v>
      </c>
      <c r="P43" s="52">
        <f ca="1"/>
        <v>46058</v>
      </c>
      <c r="Q43" s="39">
        <f ca="1"/>
        <v>99.682000000000002</v>
      </c>
      <c r="R43" s="52">
        <f ca="1"/>
        <v>46062</v>
      </c>
      <c r="S43" s="39">
        <f ca="1"/>
        <v>240.52</v>
      </c>
      <c r="T43" s="52">
        <f ca="1"/>
        <v>46062</v>
      </c>
      <c r="U43" s="39">
        <f ca="1"/>
        <v>249.82130000000001</v>
      </c>
      <c r="V43" s="52">
        <f t="shared" ca="1" si="0"/>
        <v>46062</v>
      </c>
      <c r="W43" s="97" t="str">
        <f t="shared" ca="1" si="1"/>
        <v/>
      </c>
    </row>
    <row r="44" spans="1:23" x14ac:dyDescent="0.25">
      <c r="A44" s="102" t="str">
        <f t="shared" ca="1" si="4"/>
        <v/>
      </c>
      <c r="B44" s="53" t="str">
        <f t="shared" ca="1" si="2"/>
        <v/>
      </c>
      <c r="C44" s="25" t="str">
        <f t="shared" ca="1" si="5"/>
        <v/>
      </c>
      <c r="D44" s="26" t="str">
        <f t="shared" ca="1" si="6"/>
        <v/>
      </c>
      <c r="E44" s="53" t="str">
        <f t="shared" ca="1" si="3"/>
        <v/>
      </c>
      <c r="F44" s="25" t="str">
        <f t="shared" ca="1" si="7"/>
        <v/>
      </c>
      <c r="G44" s="26" t="str">
        <f t="shared" ca="1" si="8"/>
        <v/>
      </c>
      <c r="H44" s="53" t="str">
        <f t="shared" ca="1" si="9"/>
        <v/>
      </c>
      <c r="I44" s="25" t="str">
        <f t="shared" ca="1" si="10"/>
        <v/>
      </c>
      <c r="J44" s="26"/>
      <c r="K44" s="114" t="str">
        <f ca="1">IF($A44="","",IF(COUNTIFS(INDEX(Dividends!$A:$T,0,$M$2),"&gt;"&amp;INT($A43),INDEX(Dividends!$A:$T,0,$M$2),"&lt;="&amp;INT($A44))=0,"",$G$4*SUMIFS(INDEX(Dividends!$A:$T,0,$M$2+1),INDEX(Dividends!$A:$T,0,$M$2),"&gt;"&amp;INT($A43),INDEX(Dividends!$A:$T,0,$M$2),"&lt;="&amp;INT($A44))))</f>
        <v/>
      </c>
      <c r="L44" s="55" t="str">
        <f ca="1">IF(ISERROR(B44-2),"",C44+D44-F44-G44+I44+J44+SUM($K$14:K44))</f>
        <v/>
      </c>
      <c r="N44" s="52">
        <f ca="1"/>
        <v>46063</v>
      </c>
      <c r="O44" s="39">
        <f ca="1"/>
        <v>90.206800000000001</v>
      </c>
      <c r="P44" s="52">
        <f ca="1"/>
        <v>46059</v>
      </c>
      <c r="Q44" s="39">
        <f ca="1"/>
        <v>99.706999999999994</v>
      </c>
      <c r="R44" s="52">
        <f ca="1"/>
        <v>46063</v>
      </c>
      <c r="S44" s="39">
        <f ca="1"/>
        <v>241.834</v>
      </c>
      <c r="T44" s="52">
        <f ca="1"/>
        <v>46063</v>
      </c>
      <c r="U44" s="39">
        <f ca="1"/>
        <v>249.73419999999999</v>
      </c>
      <c r="V44" s="52">
        <f t="shared" ca="1" si="0"/>
        <v>46063</v>
      </c>
      <c r="W44" s="97" t="str">
        <f t="shared" ca="1" si="1"/>
        <v/>
      </c>
    </row>
    <row r="45" spans="1:23" x14ac:dyDescent="0.25">
      <c r="A45" s="102" t="str">
        <f t="shared" ca="1" si="4"/>
        <v/>
      </c>
      <c r="B45" s="53" t="str">
        <f t="shared" ca="1" si="2"/>
        <v/>
      </c>
      <c r="C45" s="25" t="str">
        <f t="shared" ca="1" si="5"/>
        <v/>
      </c>
      <c r="D45" s="26" t="str">
        <f t="shared" ca="1" si="6"/>
        <v/>
      </c>
      <c r="E45" s="53" t="str">
        <f t="shared" ca="1" si="3"/>
        <v/>
      </c>
      <c r="F45" s="25" t="str">
        <f t="shared" ca="1" si="7"/>
        <v/>
      </c>
      <c r="G45" s="26" t="str">
        <f t="shared" ca="1" si="8"/>
        <v/>
      </c>
      <c r="H45" s="53" t="str">
        <f t="shared" ca="1" si="9"/>
        <v/>
      </c>
      <c r="I45" s="25" t="str">
        <f t="shared" ca="1" si="10"/>
        <v/>
      </c>
      <c r="J45" s="26"/>
      <c r="K45" s="114" t="str">
        <f ca="1">IF($A45="","",IF(COUNTIFS(INDEX(Dividends!$A:$T,0,$M$2),"&gt;"&amp;INT($A44),INDEX(Dividends!$A:$T,0,$M$2),"&lt;="&amp;INT($A45))=0,"",$G$4*SUMIFS(INDEX(Dividends!$A:$T,0,$M$2+1),INDEX(Dividends!$A:$T,0,$M$2),"&gt;"&amp;INT($A44),INDEX(Dividends!$A:$T,0,$M$2),"&lt;="&amp;INT($A45))))</f>
        <v/>
      </c>
      <c r="L45" s="55" t="str">
        <f ca="1">IF(ISERROR(B45-2),"",C45+D45-F45-G45+I45+J45+SUM($K$14:K45))</f>
        <v/>
      </c>
      <c r="N45" s="52">
        <f ca="1"/>
        <v>46064</v>
      </c>
      <c r="O45" s="39">
        <f ca="1"/>
        <v>90.177899999999994</v>
      </c>
      <c r="P45" s="52">
        <f ca="1"/>
        <v>46062</v>
      </c>
      <c r="Q45" s="39">
        <f ca="1"/>
        <v>99.728999999999999</v>
      </c>
      <c r="R45" s="52">
        <f ca="1"/>
        <v>46064</v>
      </c>
      <c r="S45" s="39">
        <f ca="1"/>
        <v>243.429</v>
      </c>
      <c r="T45" s="52">
        <f ca="1"/>
        <v>46064</v>
      </c>
      <c r="U45" s="39">
        <f ca="1"/>
        <v>249.6275</v>
      </c>
      <c r="V45" s="52">
        <f t="shared" ca="1" si="0"/>
        <v>46064</v>
      </c>
      <c r="W45" s="97" t="str">
        <f t="shared" ca="1" si="1"/>
        <v/>
      </c>
    </row>
    <row r="46" spans="1:23" x14ac:dyDescent="0.25">
      <c r="A46" s="102" t="str">
        <f t="shared" ca="1" si="4"/>
        <v/>
      </c>
      <c r="B46" s="53" t="str">
        <f t="shared" ca="1" si="2"/>
        <v/>
      </c>
      <c r="C46" s="25" t="str">
        <f t="shared" ca="1" si="5"/>
        <v/>
      </c>
      <c r="D46" s="26" t="str">
        <f t="shared" ca="1" si="6"/>
        <v/>
      </c>
      <c r="E46" s="53" t="str">
        <f t="shared" ca="1" si="3"/>
        <v/>
      </c>
      <c r="F46" s="25" t="str">
        <f t="shared" ca="1" si="7"/>
        <v/>
      </c>
      <c r="G46" s="26" t="str">
        <f t="shared" ca="1" si="8"/>
        <v/>
      </c>
      <c r="H46" s="53" t="str">
        <f t="shared" ca="1" si="9"/>
        <v/>
      </c>
      <c r="I46" s="25" t="str">
        <f t="shared" ca="1" si="10"/>
        <v/>
      </c>
      <c r="J46" s="26"/>
      <c r="K46" s="114" t="str">
        <f ca="1">IF($A46="","",IF(COUNTIFS(INDEX(Dividends!$A:$T,0,$M$2),"&gt;"&amp;INT($A45),INDEX(Dividends!$A:$T,0,$M$2),"&lt;="&amp;INT($A46))=0,"",$G$4*SUMIFS(INDEX(Dividends!$A:$T,0,$M$2+1),INDEX(Dividends!$A:$T,0,$M$2),"&gt;"&amp;INT($A45),INDEX(Dividends!$A:$T,0,$M$2),"&lt;="&amp;INT($A46))))</f>
        <v/>
      </c>
      <c r="L46" s="55" t="str">
        <f ca="1">IF(ISERROR(B46-2),"",C46+D46-F46-G46+I46+J46+SUM($K$14:K46))</f>
        <v/>
      </c>
      <c r="N46" s="52">
        <f ca="1"/>
        <v>46065</v>
      </c>
      <c r="O46" s="39">
        <f ca="1"/>
        <v>90.081699999999998</v>
      </c>
      <c r="P46" s="52">
        <f ca="1"/>
        <v>46063</v>
      </c>
      <c r="Q46" s="39">
        <f ca="1"/>
        <v>99.778999999999996</v>
      </c>
      <c r="R46" s="52">
        <f ca="1"/>
        <v>46065</v>
      </c>
      <c r="S46" s="39">
        <f ca="1"/>
        <v>246.203</v>
      </c>
      <c r="T46" s="52">
        <f ca="1"/>
        <v>46065</v>
      </c>
      <c r="U46" s="39">
        <f ca="1"/>
        <v>249.3349</v>
      </c>
      <c r="V46" s="52">
        <f t="shared" ca="1" si="0"/>
        <v>46065</v>
      </c>
      <c r="W46" s="97" t="str">
        <f t="shared" ca="1" si="1"/>
        <v/>
      </c>
    </row>
    <row r="47" spans="1:23" x14ac:dyDescent="0.25">
      <c r="A47" s="102" t="str">
        <f t="shared" ca="1" si="4"/>
        <v/>
      </c>
      <c r="B47" s="53" t="str">
        <f t="shared" ca="1" si="2"/>
        <v/>
      </c>
      <c r="C47" s="25" t="str">
        <f t="shared" ca="1" si="5"/>
        <v/>
      </c>
      <c r="D47" s="26" t="str">
        <f t="shared" ca="1" si="6"/>
        <v/>
      </c>
      <c r="E47" s="53" t="str">
        <f t="shared" ca="1" si="3"/>
        <v/>
      </c>
      <c r="F47" s="25" t="str">
        <f t="shared" ca="1" si="7"/>
        <v/>
      </c>
      <c r="G47" s="26" t="str">
        <f t="shared" ca="1" si="8"/>
        <v/>
      </c>
      <c r="H47" s="53" t="str">
        <f t="shared" ca="1" si="9"/>
        <v/>
      </c>
      <c r="I47" s="25" t="str">
        <f t="shared" ca="1" si="10"/>
        <v/>
      </c>
      <c r="J47" s="26"/>
      <c r="K47" s="114" t="str">
        <f ca="1">IF($A47="","",IF(COUNTIFS(INDEX(Dividends!$A:$T,0,$M$2),"&gt;"&amp;INT($A46),INDEX(Dividends!$A:$T,0,$M$2),"&lt;="&amp;INT($A47))=0,"",$G$4*SUMIFS(INDEX(Dividends!$A:$T,0,$M$2+1),INDEX(Dividends!$A:$T,0,$M$2),"&gt;"&amp;INT($A46),INDEX(Dividends!$A:$T,0,$M$2),"&lt;="&amp;INT($A47))))</f>
        <v/>
      </c>
      <c r="L47" s="55" t="str">
        <f ca="1">IF(ISERROR(B47-2),"",C47+D47-F47-G47+I47+J47+SUM($K$14:K47))</f>
        <v/>
      </c>
      <c r="N47" s="52">
        <f ca="1"/>
        <v>46066</v>
      </c>
      <c r="O47" s="39">
        <f ca="1"/>
        <v>89.995099999999994</v>
      </c>
      <c r="P47" s="52">
        <f ca="1"/>
        <v>46064</v>
      </c>
      <c r="Q47" s="39">
        <f ca="1"/>
        <v>99.796000000000006</v>
      </c>
      <c r="R47" s="52">
        <f ca="1"/>
        <v>46066</v>
      </c>
      <c r="S47" s="39">
        <f ca="1"/>
        <v>247.685</v>
      </c>
      <c r="T47" s="52">
        <f ca="1"/>
        <v>46066</v>
      </c>
      <c r="U47" s="39">
        <f ca="1"/>
        <v>249.1874</v>
      </c>
      <c r="V47" s="52">
        <f t="shared" ca="1" si="0"/>
        <v>46066</v>
      </c>
      <c r="W47" s="97" t="str">
        <f t="shared" ca="1" si="1"/>
        <v/>
      </c>
    </row>
    <row r="48" spans="1:23" x14ac:dyDescent="0.25">
      <c r="A48" s="102" t="str">
        <f t="shared" ca="1" si="4"/>
        <v/>
      </c>
      <c r="B48" s="53" t="str">
        <f t="shared" ca="1" si="2"/>
        <v/>
      </c>
      <c r="C48" s="25" t="str">
        <f t="shared" ca="1" si="5"/>
        <v/>
      </c>
      <c r="D48" s="26" t="str">
        <f t="shared" ca="1" si="6"/>
        <v/>
      </c>
      <c r="E48" s="53" t="str">
        <f t="shared" ca="1" si="3"/>
        <v/>
      </c>
      <c r="F48" s="25" t="str">
        <f t="shared" ca="1" si="7"/>
        <v/>
      </c>
      <c r="G48" s="26" t="str">
        <f t="shared" ca="1" si="8"/>
        <v/>
      </c>
      <c r="H48" s="53" t="str">
        <f t="shared" ca="1" si="9"/>
        <v/>
      </c>
      <c r="I48" s="25" t="str">
        <f t="shared" ca="1" si="10"/>
        <v/>
      </c>
      <c r="J48" s="26"/>
      <c r="K48" s="114" t="str">
        <f ca="1">IF($A48="","",IF(COUNTIFS(INDEX(Dividends!$A:$T,0,$M$2),"&gt;"&amp;INT($A47),INDEX(Dividends!$A:$T,0,$M$2),"&lt;="&amp;INT($A48))=0,"",$G$4*SUMIFS(INDEX(Dividends!$A:$T,0,$M$2+1),INDEX(Dividends!$A:$T,0,$M$2),"&gt;"&amp;INT($A47),INDEX(Dividends!$A:$T,0,$M$2),"&lt;="&amp;INT($A48))))</f>
        <v/>
      </c>
      <c r="L48" s="55" t="str">
        <f ca="1">IF(ISERROR(B48-2),"",C48+D48-F48-G48+I48+J48+SUM($K$14:K48))</f>
        <v/>
      </c>
      <c r="N48" s="52">
        <f ca="1"/>
        <v>46069</v>
      </c>
      <c r="O48" s="39">
        <f ca="1"/>
        <v>90.024000000000001</v>
      </c>
      <c r="P48" s="52">
        <f ca="1"/>
        <v>46065</v>
      </c>
      <c r="Q48" s="39">
        <f ca="1"/>
        <v>99.825999999999993</v>
      </c>
      <c r="R48" s="52">
        <f ca="1"/>
        <v>46069</v>
      </c>
      <c r="S48" s="39">
        <f ca="1"/>
        <v>249.32300000000001</v>
      </c>
      <c r="T48" s="52">
        <f ca="1"/>
        <v>46069</v>
      </c>
      <c r="U48" s="39">
        <f ca="1"/>
        <v>249.0668</v>
      </c>
      <c r="V48" s="52">
        <f t="shared" ca="1" si="0"/>
        <v>46069</v>
      </c>
      <c r="W48" s="97" t="str">
        <f t="shared" ca="1" si="1"/>
        <v/>
      </c>
    </row>
    <row r="49" spans="1:23" x14ac:dyDescent="0.25">
      <c r="A49" s="102" t="str">
        <f t="shared" ca="1" si="4"/>
        <v/>
      </c>
      <c r="B49" s="53" t="str">
        <f t="shared" ca="1" si="2"/>
        <v/>
      </c>
      <c r="C49" s="25" t="str">
        <f t="shared" ca="1" si="5"/>
        <v/>
      </c>
      <c r="D49" s="26" t="str">
        <f t="shared" ca="1" si="6"/>
        <v/>
      </c>
      <c r="E49" s="53" t="str">
        <f t="shared" ca="1" si="3"/>
        <v/>
      </c>
      <c r="F49" s="25" t="str">
        <f t="shared" ca="1" si="7"/>
        <v/>
      </c>
      <c r="G49" s="26" t="str">
        <f t="shared" ca="1" si="8"/>
        <v/>
      </c>
      <c r="H49" s="53" t="str">
        <f t="shared" ca="1" si="9"/>
        <v/>
      </c>
      <c r="I49" s="25" t="str">
        <f t="shared" ca="1" si="10"/>
        <v/>
      </c>
      <c r="J49" s="26"/>
      <c r="K49" s="114" t="str">
        <f ca="1">IF($A49="","",IF(COUNTIFS(INDEX(Dividends!$A:$T,0,$M$2),"&gt;"&amp;INT($A48),INDEX(Dividends!$A:$T,0,$M$2),"&lt;="&amp;INT($A49))=0,"",$G$4*SUMIFS(INDEX(Dividends!$A:$T,0,$M$2+1),INDEX(Dividends!$A:$T,0,$M$2),"&gt;"&amp;INT($A48),INDEX(Dividends!$A:$T,0,$M$2),"&lt;="&amp;INT($A49))))</f>
        <v/>
      </c>
      <c r="L49" s="55" t="str">
        <f ca="1">IF(ISERROR(B49-2),"",C49+D49-F49-G49+I49+J49+SUM($K$14:K49))</f>
        <v/>
      </c>
      <c r="N49" s="52">
        <f ca="1"/>
        <v>46070</v>
      </c>
      <c r="O49" s="39">
        <f ca="1"/>
        <v>90.091300000000004</v>
      </c>
      <c r="P49" s="52">
        <f ca="1"/>
        <v>46066</v>
      </c>
      <c r="Q49" s="39">
        <f ca="1"/>
        <v>99.900999999999996</v>
      </c>
      <c r="R49" s="52">
        <f ca="1"/>
        <v>46070</v>
      </c>
      <c r="S49" s="39">
        <f ca="1"/>
        <v>250.65299999999999</v>
      </c>
      <c r="T49" s="52">
        <f ca="1"/>
        <v>46070</v>
      </c>
      <c r="U49" s="39">
        <f ca="1"/>
        <v>248.9178</v>
      </c>
      <c r="V49" s="52">
        <f t="shared" ca="1" si="0"/>
        <v>46070</v>
      </c>
      <c r="W49" s="97" t="str">
        <f t="shared" ca="1" si="1"/>
        <v/>
      </c>
    </row>
    <row r="50" spans="1:23" x14ac:dyDescent="0.25">
      <c r="A50" s="102" t="str">
        <f t="shared" ca="1" si="4"/>
        <v/>
      </c>
      <c r="B50" s="53" t="str">
        <f t="shared" ca="1" si="2"/>
        <v/>
      </c>
      <c r="C50" s="25" t="str">
        <f t="shared" ca="1" si="5"/>
        <v/>
      </c>
      <c r="D50" s="26" t="str">
        <f t="shared" ca="1" si="6"/>
        <v/>
      </c>
      <c r="E50" s="53" t="str">
        <f t="shared" ca="1" si="3"/>
        <v/>
      </c>
      <c r="F50" s="25" t="str">
        <f t="shared" ca="1" si="7"/>
        <v/>
      </c>
      <c r="G50" s="26" t="str">
        <f t="shared" ca="1" si="8"/>
        <v/>
      </c>
      <c r="H50" s="53" t="str">
        <f t="shared" ca="1" si="9"/>
        <v/>
      </c>
      <c r="I50" s="25" t="str">
        <f t="shared" ca="1" si="10"/>
        <v/>
      </c>
      <c r="J50" s="26"/>
      <c r="K50" s="114" t="str">
        <f ca="1">IF($A50="","",IF(COUNTIFS(INDEX(Dividends!$A:$T,0,$M$2),"&gt;"&amp;INT($A49),INDEX(Dividends!$A:$T,0,$M$2),"&lt;="&amp;INT($A50))=0,"",$G$4*SUMIFS(INDEX(Dividends!$A:$T,0,$M$2+1),INDEX(Dividends!$A:$T,0,$M$2),"&gt;"&amp;INT($A49),INDEX(Dividends!$A:$T,0,$M$2),"&lt;="&amp;INT($A50))))</f>
        <v/>
      </c>
      <c r="L50" s="55" t="str">
        <f ca="1">IF(ISERROR(B50-2),"",C50+D50-F50-G50+I50+J50+SUM($K$14:K50))</f>
        <v/>
      </c>
      <c r="N50" s="52">
        <f ca="1"/>
        <v>46071</v>
      </c>
      <c r="O50" s="39">
        <f ca="1"/>
        <v>90.216399999999993</v>
      </c>
      <c r="P50" s="52">
        <f ca="1"/>
        <v>46069</v>
      </c>
      <c r="Q50" s="39">
        <f ca="1"/>
        <v>99.887</v>
      </c>
      <c r="R50" s="52">
        <f ca="1"/>
        <v>46071</v>
      </c>
      <c r="S50" s="39">
        <f ca="1"/>
        <v>245.28100000000001</v>
      </c>
      <c r="T50" s="52">
        <f ca="1"/>
        <v>46071</v>
      </c>
      <c r="U50" s="39">
        <f ca="1"/>
        <v>249.54349999999999</v>
      </c>
      <c r="V50" s="52">
        <f t="shared" ca="1" si="0"/>
        <v>46071</v>
      </c>
      <c r="W50" s="97" t="str">
        <f t="shared" ca="1" si="1"/>
        <v/>
      </c>
    </row>
    <row r="51" spans="1:23" x14ac:dyDescent="0.25">
      <c r="A51" s="102" t="str">
        <f t="shared" ca="1" si="4"/>
        <v/>
      </c>
      <c r="B51" s="53" t="str">
        <f t="shared" ca="1" si="2"/>
        <v/>
      </c>
      <c r="C51" s="25" t="str">
        <f t="shared" ca="1" si="5"/>
        <v/>
      </c>
      <c r="D51" s="26" t="str">
        <f t="shared" ca="1" si="6"/>
        <v/>
      </c>
      <c r="E51" s="53" t="str">
        <f t="shared" ca="1" si="3"/>
        <v/>
      </c>
      <c r="F51" s="25" t="str">
        <f t="shared" ca="1" si="7"/>
        <v/>
      </c>
      <c r="G51" s="26" t="str">
        <f t="shared" ca="1" si="8"/>
        <v/>
      </c>
      <c r="H51" s="53" t="str">
        <f t="shared" ca="1" si="9"/>
        <v/>
      </c>
      <c r="I51" s="25" t="str">
        <f t="shared" ca="1" si="10"/>
        <v/>
      </c>
      <c r="J51" s="26"/>
      <c r="K51" s="114" t="str">
        <f ca="1">IF($A51="","",IF(COUNTIFS(INDEX(Dividends!$A:$T,0,$M$2),"&gt;"&amp;INT($A50),INDEX(Dividends!$A:$T,0,$M$2),"&lt;="&amp;INT($A51))=0,"",$G$4*SUMIFS(INDEX(Dividends!$A:$T,0,$M$2+1),INDEX(Dividends!$A:$T,0,$M$2),"&gt;"&amp;INT($A50),INDEX(Dividends!$A:$T,0,$M$2),"&lt;="&amp;INT($A51))))</f>
        <v/>
      </c>
      <c r="L51" s="55" t="str">
        <f ca="1">IF(ISERROR(B51-2),"",C51+D51-F51-G51+I51+J51+SUM($K$14:K51))</f>
        <v/>
      </c>
      <c r="N51" s="52">
        <f ca="1"/>
        <v>46072</v>
      </c>
      <c r="O51" s="39">
        <f ca="1"/>
        <v>90.139399999999995</v>
      </c>
      <c r="P51" s="52">
        <f ca="1"/>
        <v>46070</v>
      </c>
      <c r="Q51" s="39">
        <f ca="1"/>
        <v>99.915000000000006</v>
      </c>
      <c r="R51" s="52">
        <f ca="1"/>
        <v>46072</v>
      </c>
      <c r="S51" s="39">
        <f ca="1"/>
        <v>249.80099999999999</v>
      </c>
      <c r="T51" s="52">
        <f ca="1"/>
        <v>46072</v>
      </c>
      <c r="U51" s="39">
        <f ca="1"/>
        <v>249.05619999999999</v>
      </c>
      <c r="V51" s="52">
        <f t="shared" ca="1" si="0"/>
        <v>46072</v>
      </c>
      <c r="W51" s="97" t="str">
        <f t="shared" ca="1" si="1"/>
        <v/>
      </c>
    </row>
    <row r="52" spans="1:23" x14ac:dyDescent="0.25">
      <c r="A52" s="102" t="str">
        <f t="shared" ca="1" si="4"/>
        <v/>
      </c>
      <c r="B52" s="53" t="str">
        <f t="shared" ca="1" si="2"/>
        <v/>
      </c>
      <c r="C52" s="25" t="str">
        <f t="shared" ca="1" si="5"/>
        <v/>
      </c>
      <c r="D52" s="26" t="str">
        <f t="shared" ca="1" si="6"/>
        <v/>
      </c>
      <c r="E52" s="53" t="str">
        <f t="shared" ca="1" si="3"/>
        <v/>
      </c>
      <c r="F52" s="25" t="str">
        <f t="shared" ca="1" si="7"/>
        <v/>
      </c>
      <c r="G52" s="26" t="str">
        <f t="shared" ca="1" si="8"/>
        <v/>
      </c>
      <c r="H52" s="53" t="str">
        <f t="shared" ca="1" si="9"/>
        <v/>
      </c>
      <c r="I52" s="25" t="str">
        <f t="shared" ca="1" si="10"/>
        <v/>
      </c>
      <c r="J52" s="26"/>
      <c r="K52" s="114" t="str">
        <f ca="1">IF($A52="","",IF(COUNTIFS(INDEX(Dividends!$A:$T,0,$M$2),"&gt;"&amp;INT($A51),INDEX(Dividends!$A:$T,0,$M$2),"&lt;="&amp;INT($A52))=0,"",$G$4*SUMIFS(INDEX(Dividends!$A:$T,0,$M$2+1),INDEX(Dividends!$A:$T,0,$M$2),"&gt;"&amp;INT($A51),INDEX(Dividends!$A:$T,0,$M$2),"&lt;="&amp;INT($A52))))</f>
        <v/>
      </c>
      <c r="L52" s="55" t="str">
        <f ca="1">IF(ISERROR(B52-2),"",C52+D52-F52-G52+I52+J52+SUM($K$14:K52))</f>
        <v/>
      </c>
      <c r="N52" s="52">
        <f ca="1"/>
        <v>46073</v>
      </c>
      <c r="O52" s="39">
        <f ca="1"/>
        <v>90.226100000000002</v>
      </c>
      <c r="P52" s="52">
        <f ca="1"/>
        <v>46071</v>
      </c>
      <c r="Q52" s="39">
        <f ca="1"/>
        <v>99.903999999999996</v>
      </c>
      <c r="R52" s="52">
        <f ca="1"/>
        <v>46073</v>
      </c>
      <c r="S52" s="39">
        <f ca="1"/>
        <v>247.39400000000001</v>
      </c>
      <c r="T52" s="52">
        <f ca="1"/>
        <v>46073</v>
      </c>
      <c r="U52" s="39">
        <f ca="1"/>
        <v>249.35589999999999</v>
      </c>
      <c r="V52" s="52">
        <f t="shared" ca="1" si="0"/>
        <v>46073</v>
      </c>
      <c r="W52" s="97" t="str">
        <f t="shared" ca="1" si="1"/>
        <v/>
      </c>
    </row>
    <row r="53" spans="1:23" x14ac:dyDescent="0.25">
      <c r="A53" s="102" t="str">
        <f t="shared" ca="1" si="4"/>
        <v/>
      </c>
      <c r="B53" s="53" t="str">
        <f t="shared" ca="1" si="2"/>
        <v/>
      </c>
      <c r="C53" s="25" t="str">
        <f t="shared" ca="1" si="5"/>
        <v/>
      </c>
      <c r="D53" s="26" t="str">
        <f t="shared" ca="1" si="6"/>
        <v/>
      </c>
      <c r="E53" s="53" t="str">
        <f t="shared" ca="1" si="3"/>
        <v/>
      </c>
      <c r="F53" s="25" t="str">
        <f t="shared" ca="1" si="7"/>
        <v/>
      </c>
      <c r="G53" s="26" t="str">
        <f t="shared" ca="1" si="8"/>
        <v/>
      </c>
      <c r="H53" s="53" t="str">
        <f t="shared" ca="1" si="9"/>
        <v/>
      </c>
      <c r="I53" s="25" t="str">
        <f t="shared" ca="1" si="10"/>
        <v/>
      </c>
      <c r="J53" s="26"/>
      <c r="K53" s="114" t="str">
        <f ca="1">IF($A53="","",IF(COUNTIFS(INDEX(Dividends!$A:$T,0,$M$2),"&gt;"&amp;INT($A52),INDEX(Dividends!$A:$T,0,$M$2),"&lt;="&amp;INT($A53))=0,"",$G$4*SUMIFS(INDEX(Dividends!$A:$T,0,$M$2+1),INDEX(Dividends!$A:$T,0,$M$2),"&gt;"&amp;INT($A52),INDEX(Dividends!$A:$T,0,$M$2),"&lt;="&amp;INT($A53))))</f>
        <v/>
      </c>
      <c r="L53" s="55" t="str">
        <f ca="1">IF(ISERROR(B53-2),"",C53+D53-F53-G53+I53+J53+SUM($K$14:K53))</f>
        <v/>
      </c>
      <c r="N53" s="52">
        <f ca="1"/>
        <v>46076</v>
      </c>
      <c r="O53" s="39">
        <f ca="1"/>
        <v>90.216399999999993</v>
      </c>
      <c r="P53" s="52">
        <f ca="1"/>
        <v>46072</v>
      </c>
      <c r="Q53" s="39">
        <f ca="1"/>
        <v>99.887</v>
      </c>
      <c r="R53" s="52">
        <f ca="1"/>
        <v>46076</v>
      </c>
      <c r="S53" s="39">
        <f ca="1"/>
        <v>249.6</v>
      </c>
      <c r="T53" s="52">
        <f ca="1"/>
        <v>46076</v>
      </c>
      <c r="U53" s="39">
        <f ca="1"/>
        <v>249.17140000000001</v>
      </c>
      <c r="V53" s="52">
        <f t="shared" ca="1" si="0"/>
        <v>46076</v>
      </c>
      <c r="W53" s="97" t="str">
        <f t="shared" ca="1" si="1"/>
        <v/>
      </c>
    </row>
    <row r="54" spans="1:23" x14ac:dyDescent="0.25">
      <c r="A54" s="102" t="str">
        <f t="shared" ca="1" si="4"/>
        <v/>
      </c>
      <c r="B54" s="53" t="str">
        <f t="shared" ca="1" si="2"/>
        <v/>
      </c>
      <c r="C54" s="25" t="str">
        <f t="shared" ca="1" si="5"/>
        <v/>
      </c>
      <c r="D54" s="26" t="str">
        <f t="shared" ca="1" si="6"/>
        <v/>
      </c>
      <c r="E54" s="53" t="str">
        <f t="shared" ca="1" si="3"/>
        <v/>
      </c>
      <c r="F54" s="25" t="str">
        <f t="shared" ca="1" si="7"/>
        <v/>
      </c>
      <c r="G54" s="26" t="str">
        <f t="shared" ca="1" si="8"/>
        <v/>
      </c>
      <c r="H54" s="53" t="str">
        <f t="shared" ca="1" si="9"/>
        <v/>
      </c>
      <c r="I54" s="25" t="str">
        <f t="shared" ca="1" si="10"/>
        <v/>
      </c>
      <c r="J54" s="26"/>
      <c r="K54" s="114" t="str">
        <f ca="1">IF($A54="","",IF(COUNTIFS(INDEX(Dividends!$A:$T,0,$M$2),"&gt;"&amp;INT($A53),INDEX(Dividends!$A:$T,0,$M$2),"&lt;="&amp;INT($A54))=0,"",$G$4*SUMIFS(INDEX(Dividends!$A:$T,0,$M$2+1),INDEX(Dividends!$A:$T,0,$M$2),"&gt;"&amp;INT($A53),INDEX(Dividends!$A:$T,0,$M$2),"&lt;="&amp;INT($A54))))</f>
        <v/>
      </c>
      <c r="L54" s="55" t="str">
        <f ca="1">IF(ISERROR(B54-2),"",C54+D54-F54-G54+I54+J54+SUM($K$14:K54))</f>
        <v/>
      </c>
      <c r="N54" s="52">
        <f ca="1"/>
        <v>46077</v>
      </c>
      <c r="O54" s="39">
        <f ca="1"/>
        <v>90.177899999999994</v>
      </c>
      <c r="P54" s="52">
        <f ca="1"/>
        <v>46073</v>
      </c>
      <c r="Q54" s="39">
        <f ca="1"/>
        <v>99.876000000000005</v>
      </c>
      <c r="R54" s="52">
        <f ca="1"/>
        <v>46077</v>
      </c>
      <c r="S54" s="39">
        <f ca="1"/>
        <v>251.95099999999999</v>
      </c>
      <c r="T54" s="52">
        <f ca="1"/>
        <v>46077</v>
      </c>
      <c r="U54" s="39">
        <f ca="1"/>
        <v>248.90289999999999</v>
      </c>
      <c r="V54" s="52">
        <f t="shared" ca="1" si="0"/>
        <v>46077</v>
      </c>
      <c r="W54" s="97" t="str">
        <f t="shared" ca="1" si="1"/>
        <v/>
      </c>
    </row>
    <row r="55" spans="1:23" x14ac:dyDescent="0.25">
      <c r="A55" s="102" t="str">
        <f t="shared" ca="1" si="4"/>
        <v/>
      </c>
      <c r="B55" s="53" t="str">
        <f t="shared" ca="1" si="2"/>
        <v/>
      </c>
      <c r="C55" s="25" t="str">
        <f t="shared" ca="1" si="5"/>
        <v/>
      </c>
      <c r="D55" s="26" t="str">
        <f t="shared" ca="1" si="6"/>
        <v/>
      </c>
      <c r="E55" s="53" t="str">
        <f t="shared" ca="1" si="3"/>
        <v/>
      </c>
      <c r="F55" s="25" t="str">
        <f t="shared" ca="1" si="7"/>
        <v/>
      </c>
      <c r="G55" s="26" t="str">
        <f t="shared" ca="1" si="8"/>
        <v/>
      </c>
      <c r="H55" s="53" t="str">
        <f t="shared" ca="1" si="9"/>
        <v/>
      </c>
      <c r="I55" s="25" t="str">
        <f t="shared" ca="1" si="10"/>
        <v/>
      </c>
      <c r="J55" s="26"/>
      <c r="K55" s="114" t="str">
        <f ca="1">IF($A55="","",IF(COUNTIFS(INDEX(Dividends!$A:$T,0,$M$2),"&gt;"&amp;INT($A54),INDEX(Dividends!$A:$T,0,$M$2),"&lt;="&amp;INT($A55))=0,"",$G$4*SUMIFS(INDEX(Dividends!$A:$T,0,$M$2+1),INDEX(Dividends!$A:$T,0,$M$2),"&gt;"&amp;INT($A54),INDEX(Dividends!$A:$T,0,$M$2),"&lt;="&amp;INT($A55))))</f>
        <v/>
      </c>
      <c r="L55" s="55" t="str">
        <f ca="1">IF(ISERROR(B55-2),"",C55+D55-F55-G55+I55+J55+SUM($K$14:K55))</f>
        <v/>
      </c>
      <c r="N55" s="52">
        <f ca="1"/>
        <v>46078</v>
      </c>
      <c r="O55" s="39">
        <f ca="1"/>
        <v>90.235699999999994</v>
      </c>
      <c r="P55" s="52">
        <f ca="1"/>
        <v>46076</v>
      </c>
      <c r="Q55" s="39">
        <f ca="1"/>
        <v>99.950999999999993</v>
      </c>
      <c r="R55" s="52">
        <f ca="1"/>
        <v>46078</v>
      </c>
      <c r="S55" s="39">
        <f ca="1"/>
        <v>250.364</v>
      </c>
      <c r="T55" s="52">
        <f ca="1"/>
        <v>46078</v>
      </c>
      <c r="U55" s="39">
        <f ca="1"/>
        <v>249.0966</v>
      </c>
      <c r="V55" s="52">
        <f t="shared" ca="1" si="0"/>
        <v>46078</v>
      </c>
      <c r="W55" s="97" t="str">
        <f t="shared" ca="1" si="1"/>
        <v/>
      </c>
    </row>
    <row r="56" spans="1:23" x14ac:dyDescent="0.25">
      <c r="A56" s="102" t="str">
        <f t="shared" ca="1" si="4"/>
        <v/>
      </c>
      <c r="B56" s="53" t="str">
        <f t="shared" ca="1" si="2"/>
        <v/>
      </c>
      <c r="C56" s="25" t="str">
        <f t="shared" ca="1" si="5"/>
        <v/>
      </c>
      <c r="D56" s="26" t="str">
        <f t="shared" ca="1" si="6"/>
        <v/>
      </c>
      <c r="E56" s="53" t="str">
        <f t="shared" ca="1" si="3"/>
        <v/>
      </c>
      <c r="F56" s="25" t="str">
        <f t="shared" ca="1" si="7"/>
        <v/>
      </c>
      <c r="G56" s="26" t="str">
        <f t="shared" ca="1" si="8"/>
        <v/>
      </c>
      <c r="H56" s="53" t="str">
        <f t="shared" ca="1" si="9"/>
        <v/>
      </c>
      <c r="I56" s="25" t="str">
        <f t="shared" ca="1" si="10"/>
        <v/>
      </c>
      <c r="J56" s="26"/>
      <c r="K56" s="114" t="str">
        <f ca="1">IF($A56="","",IF(COUNTIFS(INDEX(Dividends!$A:$T,0,$M$2),"&gt;"&amp;INT($A55),INDEX(Dividends!$A:$T,0,$M$2),"&lt;="&amp;INT($A56))=0,"",$G$4*SUMIFS(INDEX(Dividends!$A:$T,0,$M$2+1),INDEX(Dividends!$A:$T,0,$M$2),"&gt;"&amp;INT($A55),INDEX(Dividends!$A:$T,0,$M$2),"&lt;="&amp;INT($A56))))</f>
        <v/>
      </c>
      <c r="L56" s="55" t="str">
        <f ca="1">IF(ISERROR(B56-2),"",C56+D56-F56-G56+I56+J56+SUM($K$14:K56))</f>
        <v/>
      </c>
      <c r="N56" s="52">
        <f ca="1"/>
        <v>46079</v>
      </c>
      <c r="O56" s="39">
        <f ca="1"/>
        <v>90.235699999999994</v>
      </c>
      <c r="P56" s="52">
        <f ca="1"/>
        <v>46077</v>
      </c>
      <c r="Q56" s="39">
        <f ca="1"/>
        <v>99.933999999999997</v>
      </c>
      <c r="R56" s="52">
        <f ca="1"/>
        <v>46079</v>
      </c>
      <c r="S56" s="39">
        <f ca="1"/>
        <v>255.23400000000001</v>
      </c>
      <c r="T56" s="52">
        <f ca="1"/>
        <v>46079</v>
      </c>
      <c r="U56" s="39">
        <f ca="1"/>
        <v>248.75470000000001</v>
      </c>
      <c r="V56" s="52">
        <f t="shared" ca="1" si="0"/>
        <v>46079</v>
      </c>
      <c r="W56" s="97" t="str">
        <f t="shared" ca="1" si="1"/>
        <v/>
      </c>
    </row>
    <row r="57" spans="1:23" x14ac:dyDescent="0.25">
      <c r="A57" s="102" t="str">
        <f t="shared" ca="1" si="4"/>
        <v/>
      </c>
      <c r="B57" s="53" t="str">
        <f t="shared" ca="1" si="2"/>
        <v/>
      </c>
      <c r="C57" s="25" t="str">
        <f t="shared" ca="1" si="5"/>
        <v/>
      </c>
      <c r="D57" s="26" t="str">
        <f t="shared" ca="1" si="6"/>
        <v/>
      </c>
      <c r="E57" s="53" t="str">
        <f t="shared" ca="1" si="3"/>
        <v/>
      </c>
      <c r="F57" s="25" t="str">
        <f t="shared" ca="1" si="7"/>
        <v/>
      </c>
      <c r="G57" s="26" t="str">
        <f t="shared" ca="1" si="8"/>
        <v/>
      </c>
      <c r="H57" s="53" t="str">
        <f t="shared" ca="1" si="9"/>
        <v/>
      </c>
      <c r="I57" s="25" t="str">
        <f t="shared" ca="1" si="10"/>
        <v/>
      </c>
      <c r="J57" s="26"/>
      <c r="K57" s="114" t="str">
        <f ca="1">IF($A57="","",IF(COUNTIFS(INDEX(Dividends!$A:$T,0,$M$2),"&gt;"&amp;INT($A56),INDEX(Dividends!$A:$T,0,$M$2),"&lt;="&amp;INT($A57))=0,"",$G$4*SUMIFS(INDEX(Dividends!$A:$T,0,$M$2+1),INDEX(Dividends!$A:$T,0,$M$2),"&gt;"&amp;INT($A56),INDEX(Dividends!$A:$T,0,$M$2),"&lt;="&amp;INT($A57))))</f>
        <v/>
      </c>
      <c r="L57" s="55" t="str">
        <f ca="1">IF(ISERROR(B57-2),"",C57+D57-F57-G57+I57+J57+SUM($K$14:K57))</f>
        <v/>
      </c>
      <c r="N57" s="52">
        <f ca="1"/>
        <v>46080</v>
      </c>
      <c r="O57" s="39">
        <f ca="1"/>
        <v>90.091300000000004</v>
      </c>
      <c r="P57" s="52">
        <f ca="1"/>
        <v>46078</v>
      </c>
      <c r="Q57" s="39">
        <f ca="1"/>
        <v>99.938000000000002</v>
      </c>
      <c r="R57" s="52">
        <f ca="1"/>
        <v>46080</v>
      </c>
      <c r="S57" s="39">
        <f ca="1"/>
        <v>260.47699999999998</v>
      </c>
      <c r="T57" s="52">
        <f ca="1"/>
        <v>46080</v>
      </c>
      <c r="U57" s="39">
        <f ca="1"/>
        <v>248.09289999999999</v>
      </c>
      <c r="V57" s="52">
        <f t="shared" ca="1" si="0"/>
        <v>46080</v>
      </c>
      <c r="W57" s="97" t="str">
        <f t="shared" ca="1" si="1"/>
        <v/>
      </c>
    </row>
    <row r="58" spans="1:23" x14ac:dyDescent="0.25">
      <c r="A58" s="102" t="str">
        <f t="shared" ca="1" si="4"/>
        <v/>
      </c>
      <c r="B58" s="53" t="str">
        <f t="shared" ca="1" si="2"/>
        <v/>
      </c>
      <c r="C58" s="25" t="str">
        <f t="shared" ca="1" si="5"/>
        <v/>
      </c>
      <c r="D58" s="26" t="str">
        <f t="shared" ca="1" si="6"/>
        <v/>
      </c>
      <c r="E58" s="53" t="str">
        <f t="shared" ca="1" si="3"/>
        <v/>
      </c>
      <c r="F58" s="25" t="str">
        <f t="shared" ca="1" si="7"/>
        <v/>
      </c>
      <c r="G58" s="26" t="str">
        <f t="shared" ca="1" si="8"/>
        <v/>
      </c>
      <c r="H58" s="53" t="str">
        <f t="shared" ca="1" si="9"/>
        <v/>
      </c>
      <c r="I58" s="25" t="str">
        <f t="shared" ca="1" si="10"/>
        <v/>
      </c>
      <c r="J58" s="26"/>
      <c r="K58" s="114" t="str">
        <f ca="1">IF($A58="","",IF(COUNTIFS(INDEX(Dividends!$A:$T,0,$M$2),"&gt;"&amp;INT($A57),INDEX(Dividends!$A:$T,0,$M$2),"&lt;="&amp;INT($A58))=0,"",$G$4*SUMIFS(INDEX(Dividends!$A:$T,0,$M$2+1),INDEX(Dividends!$A:$T,0,$M$2),"&gt;"&amp;INT($A57),INDEX(Dividends!$A:$T,0,$M$2),"&lt;="&amp;INT($A58))))</f>
        <v/>
      </c>
      <c r="L58" s="55" t="str">
        <f ca="1">IF(ISERROR(B58-2),"",C58+D58-F58-G58+I58+J58+SUM($K$14:K58))</f>
        <v/>
      </c>
      <c r="N58" s="52">
        <f ca="1"/>
        <v>46083</v>
      </c>
      <c r="O58" s="39">
        <f ca="1"/>
        <v>89.744900000000001</v>
      </c>
      <c r="P58" s="52">
        <f ca="1"/>
        <v>46079</v>
      </c>
      <c r="Q58" s="39">
        <f ca="1"/>
        <v>99.960999999999999</v>
      </c>
      <c r="R58" s="52">
        <f ca="1"/>
        <v>46083</v>
      </c>
      <c r="S58" s="39">
        <f ca="1"/>
        <v>263.697</v>
      </c>
      <c r="T58" s="52">
        <f ca="1"/>
        <v>46083</v>
      </c>
      <c r="U58" s="39">
        <f ca="1"/>
        <v>247.5763</v>
      </c>
      <c r="V58" s="52">
        <f t="shared" ca="1" si="0"/>
        <v>46083</v>
      </c>
      <c r="W58" s="97" t="str">
        <f t="shared" ca="1" si="1"/>
        <v/>
      </c>
    </row>
    <row r="59" spans="1:23" x14ac:dyDescent="0.25">
      <c r="A59" s="102" t="str">
        <f t="shared" ca="1" si="4"/>
        <v/>
      </c>
      <c r="B59" s="53" t="str">
        <f t="shared" ca="1" si="2"/>
        <v/>
      </c>
      <c r="C59" s="25" t="str">
        <f t="shared" ca="1" si="5"/>
        <v/>
      </c>
      <c r="D59" s="26" t="str">
        <f t="shared" ca="1" si="6"/>
        <v/>
      </c>
      <c r="E59" s="53" t="str">
        <f t="shared" ca="1" si="3"/>
        <v/>
      </c>
      <c r="F59" s="25" t="str">
        <f t="shared" ca="1" si="7"/>
        <v/>
      </c>
      <c r="G59" s="26" t="str">
        <f t="shared" ca="1" si="8"/>
        <v/>
      </c>
      <c r="H59" s="53" t="str">
        <f t="shared" ca="1" si="9"/>
        <v/>
      </c>
      <c r="I59" s="25" t="str">
        <f t="shared" ca="1" si="10"/>
        <v/>
      </c>
      <c r="J59" s="26"/>
      <c r="K59" s="114" t="str">
        <f ca="1">IF($A59="","",IF(COUNTIFS(INDEX(Dividends!$A:$T,0,$M$2),"&gt;"&amp;INT($A58),INDEX(Dividends!$A:$T,0,$M$2),"&lt;="&amp;INT($A59))=0,"",$G$4*SUMIFS(INDEX(Dividends!$A:$T,0,$M$2+1),INDEX(Dividends!$A:$T,0,$M$2),"&gt;"&amp;INT($A58),INDEX(Dividends!$A:$T,0,$M$2),"&lt;="&amp;INT($A59))))</f>
        <v/>
      </c>
      <c r="L59" s="55" t="str">
        <f ca="1">IF(ISERROR(B59-2),"",C59+D59-F59-G59+I59+J59+SUM($K$14:K59))</f>
        <v/>
      </c>
      <c r="N59" s="52">
        <f ca="1"/>
        <v>46084</v>
      </c>
      <c r="O59" s="39">
        <f ca="1"/>
        <v>89.2637</v>
      </c>
      <c r="P59" s="52">
        <f ca="1"/>
        <v>46080</v>
      </c>
      <c r="Q59" s="39">
        <f ca="1"/>
        <v>100.10899999999999</v>
      </c>
      <c r="R59" s="52">
        <f ca="1"/>
        <v>46084</v>
      </c>
      <c r="S59" s="39">
        <f ca="1"/>
        <v>274.05799999999999</v>
      </c>
      <c r="T59" s="52">
        <f ca="1"/>
        <v>46084</v>
      </c>
      <c r="U59" s="39">
        <f ca="1"/>
        <v>246.2878</v>
      </c>
      <c r="V59" s="52">
        <f t="shared" ca="1" si="0"/>
        <v>46084</v>
      </c>
      <c r="W59" s="97" t="str">
        <f t="shared" ca="1" si="1"/>
        <v/>
      </c>
    </row>
    <row r="60" spans="1:23" x14ac:dyDescent="0.25">
      <c r="A60" s="102" t="str">
        <f t="shared" ca="1" si="4"/>
        <v/>
      </c>
      <c r="B60" s="53" t="str">
        <f t="shared" ca="1" si="2"/>
        <v/>
      </c>
      <c r="C60" s="25" t="str">
        <f t="shared" ca="1" si="5"/>
        <v/>
      </c>
      <c r="D60" s="26" t="str">
        <f t="shared" ca="1" si="6"/>
        <v/>
      </c>
      <c r="E60" s="53" t="str">
        <f t="shared" ca="1" si="3"/>
        <v/>
      </c>
      <c r="F60" s="25" t="str">
        <f t="shared" ca="1" si="7"/>
        <v/>
      </c>
      <c r="G60" s="26" t="str">
        <f t="shared" ca="1" si="8"/>
        <v/>
      </c>
      <c r="H60" s="53" t="str">
        <f t="shared" ca="1" si="9"/>
        <v/>
      </c>
      <c r="I60" s="25" t="str">
        <f t="shared" ca="1" si="10"/>
        <v/>
      </c>
      <c r="J60" s="26"/>
      <c r="K60" s="114" t="str">
        <f ca="1">IF($A60="","",IF(COUNTIFS(INDEX(Dividends!$A:$T,0,$M$2),"&gt;"&amp;INT($A59),INDEX(Dividends!$A:$T,0,$M$2),"&lt;="&amp;INT($A60))=0,"",$G$4*SUMIFS(INDEX(Dividends!$A:$T,0,$M$2+1),INDEX(Dividends!$A:$T,0,$M$2),"&gt;"&amp;INT($A59),INDEX(Dividends!$A:$T,0,$M$2),"&lt;="&amp;INT($A60))))</f>
        <v/>
      </c>
      <c r="L60" s="55" t="str">
        <f ca="1">IF(ISERROR(B60-2),"",C60+D60-F60-G60+I60+J60+SUM($K$14:K60))</f>
        <v/>
      </c>
      <c r="N60" s="52">
        <f ca="1"/>
        <v>46085</v>
      </c>
      <c r="O60" s="39">
        <f ca="1"/>
        <v>89.802599999999998</v>
      </c>
      <c r="P60" s="52">
        <f ca="1"/>
        <v>46083</v>
      </c>
      <c r="Q60" s="39">
        <f ca="1"/>
        <v>99.838999999999999</v>
      </c>
      <c r="R60" s="52">
        <f ca="1"/>
        <v>46085</v>
      </c>
      <c r="S60" s="39">
        <f ca="1"/>
        <v>264.47800000000001</v>
      </c>
      <c r="T60" s="52">
        <f ca="1"/>
        <v>46085</v>
      </c>
      <c r="U60" s="39">
        <f ca="1"/>
        <v>247.53190000000001</v>
      </c>
      <c r="V60" s="52">
        <f t="shared" ca="1" si="0"/>
        <v>46085</v>
      </c>
      <c r="W60" s="97" t="str">
        <f t="shared" ca="1" si="1"/>
        <v/>
      </c>
    </row>
    <row r="61" spans="1:23" x14ac:dyDescent="0.25">
      <c r="A61" s="102" t="str">
        <f t="shared" ca="1" si="4"/>
        <v/>
      </c>
      <c r="B61" s="53" t="str">
        <f t="shared" ca="1" si="2"/>
        <v/>
      </c>
      <c r="C61" s="25" t="str">
        <f t="shared" ca="1" si="5"/>
        <v/>
      </c>
      <c r="D61" s="26" t="str">
        <f t="shared" ca="1" si="6"/>
        <v/>
      </c>
      <c r="E61" s="53" t="str">
        <f t="shared" ca="1" si="3"/>
        <v/>
      </c>
      <c r="F61" s="25" t="str">
        <f t="shared" ca="1" si="7"/>
        <v/>
      </c>
      <c r="G61" s="26" t="str">
        <f t="shared" ca="1" si="8"/>
        <v/>
      </c>
      <c r="H61" s="53" t="str">
        <f t="shared" ca="1" si="9"/>
        <v/>
      </c>
      <c r="I61" s="25" t="str">
        <f t="shared" ca="1" si="10"/>
        <v/>
      </c>
      <c r="J61" s="26"/>
      <c r="K61" s="114" t="str">
        <f ca="1">IF($A61="","",IF(COUNTIFS(INDEX(Dividends!$A:$T,0,$M$2),"&gt;"&amp;INT($A60),INDEX(Dividends!$A:$T,0,$M$2),"&lt;="&amp;INT($A61))=0,"",$G$4*SUMIFS(INDEX(Dividends!$A:$T,0,$M$2+1),INDEX(Dividends!$A:$T,0,$M$2),"&gt;"&amp;INT($A60),INDEX(Dividends!$A:$T,0,$M$2),"&lt;="&amp;INT($A61))))</f>
        <v/>
      </c>
      <c r="L61" s="55" t="str">
        <f ca="1">IF(ISERROR(B61-2),"",C61+D61-F61-G61+I61+J61+SUM($K$14:K61))</f>
        <v/>
      </c>
      <c r="N61" s="52">
        <f ca="1"/>
        <v>46086</v>
      </c>
      <c r="O61" s="39">
        <f ca="1"/>
        <v>89.533100000000005</v>
      </c>
      <c r="P61" s="52">
        <f ca="1"/>
        <v>46084</v>
      </c>
      <c r="Q61" s="39">
        <f ca="1"/>
        <v>99.667000000000002</v>
      </c>
      <c r="R61" s="52">
        <f ca="1"/>
        <v>46086</v>
      </c>
      <c r="S61" s="39">
        <f ca="1"/>
        <v>273.99700000000001</v>
      </c>
      <c r="T61" s="52">
        <f ca="1"/>
        <v>46086</v>
      </c>
      <c r="U61" s="39">
        <f ca="1"/>
        <v>246.4889</v>
      </c>
      <c r="V61" s="52">
        <f t="shared" ca="1" si="0"/>
        <v>46086</v>
      </c>
      <c r="W61" s="97" t="str">
        <f t="shared" ca="1" si="1"/>
        <v/>
      </c>
    </row>
    <row r="62" spans="1:23" x14ac:dyDescent="0.25">
      <c r="A62" s="102" t="str">
        <f t="shared" ca="1" si="4"/>
        <v/>
      </c>
      <c r="B62" s="53" t="str">
        <f t="shared" ca="1" si="2"/>
        <v/>
      </c>
      <c r="C62" s="25" t="str">
        <f t="shared" ca="1" si="5"/>
        <v/>
      </c>
      <c r="D62" s="26" t="str">
        <f t="shared" ca="1" si="6"/>
        <v/>
      </c>
      <c r="E62" s="53" t="str">
        <f t="shared" ca="1" si="3"/>
        <v/>
      </c>
      <c r="F62" s="25" t="str">
        <f t="shared" ca="1" si="7"/>
        <v/>
      </c>
      <c r="G62" s="26" t="str">
        <f t="shared" ca="1" si="8"/>
        <v/>
      </c>
      <c r="H62" s="53" t="str">
        <f t="shared" ca="1" si="9"/>
        <v/>
      </c>
      <c r="I62" s="25" t="str">
        <f t="shared" ca="1" si="10"/>
        <v/>
      </c>
      <c r="J62" s="26"/>
      <c r="K62" s="114" t="str">
        <f ca="1">IF($A62="","",IF(COUNTIFS(INDEX(Dividends!$A:$T,0,$M$2),"&gt;"&amp;INT($A61),INDEX(Dividends!$A:$T,0,$M$2),"&lt;="&amp;INT($A62))=0,"",$G$4*SUMIFS(INDEX(Dividends!$A:$T,0,$M$2+1),INDEX(Dividends!$A:$T,0,$M$2),"&gt;"&amp;INT($A61),INDEX(Dividends!$A:$T,0,$M$2),"&lt;="&amp;INT($A62))))</f>
        <v/>
      </c>
      <c r="L62" s="55" t="str">
        <f ca="1">IF(ISERROR(B62-2),"",C62+D62-F62-G62+I62+J62+SUM($K$14:K62))</f>
        <v/>
      </c>
      <c r="N62" s="52">
        <f ca="1"/>
        <v>46087</v>
      </c>
      <c r="O62" s="39">
        <f ca="1"/>
        <v>89.042299999999997</v>
      </c>
      <c r="P62" s="52">
        <f ca="1"/>
        <v>46085</v>
      </c>
      <c r="Q62" s="39">
        <f ca="1"/>
        <v>99.712999999999994</v>
      </c>
      <c r="R62" s="52">
        <f ca="1"/>
        <v>46087</v>
      </c>
      <c r="S62" s="39">
        <f ca="1"/>
        <v>288.99400000000003</v>
      </c>
      <c r="T62" s="52">
        <f ca="1"/>
        <v>46087</v>
      </c>
      <c r="U62" s="39">
        <f ca="1"/>
        <v>244.8614</v>
      </c>
      <c r="V62" s="52">
        <f t="shared" ca="1" si="0"/>
        <v>46087</v>
      </c>
      <c r="W62" s="97" t="str">
        <f t="shared" ca="1" si="1"/>
        <v/>
      </c>
    </row>
    <row r="63" spans="1:23" x14ac:dyDescent="0.25">
      <c r="A63" s="102" t="str">
        <f t="shared" ca="1" si="4"/>
        <v/>
      </c>
      <c r="B63" s="53" t="str">
        <f t="shared" ca="1" si="2"/>
        <v/>
      </c>
      <c r="C63" s="25" t="str">
        <f t="shared" ca="1" si="5"/>
        <v/>
      </c>
      <c r="D63" s="26" t="str">
        <f t="shared" ca="1" si="6"/>
        <v/>
      </c>
      <c r="E63" s="53" t="str">
        <f t="shared" ca="1" si="3"/>
        <v/>
      </c>
      <c r="F63" s="25" t="str">
        <f t="shared" ca="1" si="7"/>
        <v/>
      </c>
      <c r="G63" s="26" t="str">
        <f t="shared" ca="1" si="8"/>
        <v/>
      </c>
      <c r="H63" s="53" t="str">
        <f t="shared" ca="1" si="9"/>
        <v/>
      </c>
      <c r="I63" s="25" t="str">
        <f t="shared" ca="1" si="10"/>
        <v/>
      </c>
      <c r="J63" s="26"/>
      <c r="K63" s="114" t="str">
        <f ca="1">IF($A63="","",IF(COUNTIFS(INDEX(Dividends!$A:$T,0,$M$2),"&gt;"&amp;INT($A62),INDEX(Dividends!$A:$T,0,$M$2),"&lt;="&amp;INT($A63))=0,"",$G$4*SUMIFS(INDEX(Dividends!$A:$T,0,$M$2+1),INDEX(Dividends!$A:$T,0,$M$2),"&gt;"&amp;INT($A62),INDEX(Dividends!$A:$T,0,$M$2),"&lt;="&amp;INT($A63))))</f>
        <v/>
      </c>
      <c r="L63" s="55" t="str">
        <f ca="1">IF(ISERROR(B63-2),"",C63+D63-F63-G63+I63+J63+SUM($K$14:K63))</f>
        <v/>
      </c>
      <c r="N63" s="52">
        <f ca="1"/>
        <v>46090</v>
      </c>
      <c r="O63" s="39">
        <f ca="1"/>
        <v>88.888300000000001</v>
      </c>
      <c r="P63" s="52">
        <f ca="1"/>
        <v>46086</v>
      </c>
      <c r="Q63" s="39">
        <f ca="1"/>
        <v>99.381</v>
      </c>
      <c r="R63" s="52">
        <f ca="1"/>
        <v>46090</v>
      </c>
      <c r="S63" s="39">
        <f ca="1"/>
        <v>291.28300000000002</v>
      </c>
      <c r="T63" s="52">
        <f ca="1"/>
        <v>46090</v>
      </c>
      <c r="U63" s="39">
        <f ca="1"/>
        <v>244.64580000000001</v>
      </c>
      <c r="V63" s="52">
        <f t="shared" ca="1" si="0"/>
        <v>46090</v>
      </c>
      <c r="W63" s="97" t="str">
        <f t="shared" ca="1" si="1"/>
        <v/>
      </c>
    </row>
    <row r="64" spans="1:23" x14ac:dyDescent="0.25">
      <c r="A64" s="102" t="str">
        <f t="shared" ca="1" si="4"/>
        <v/>
      </c>
      <c r="B64" s="53" t="str">
        <f t="shared" ca="1" si="2"/>
        <v/>
      </c>
      <c r="C64" s="25" t="str">
        <f t="shared" ca="1" si="5"/>
        <v/>
      </c>
      <c r="D64" s="26" t="str">
        <f t="shared" ca="1" si="6"/>
        <v/>
      </c>
      <c r="E64" s="53" t="str">
        <f t="shared" ca="1" si="3"/>
        <v/>
      </c>
      <c r="F64" s="25" t="str">
        <f t="shared" ca="1" si="7"/>
        <v/>
      </c>
      <c r="G64" s="26" t="str">
        <f t="shared" ca="1" si="8"/>
        <v/>
      </c>
      <c r="H64" s="53" t="str">
        <f t="shared" ca="1" si="9"/>
        <v/>
      </c>
      <c r="I64" s="25" t="str">
        <f t="shared" ca="1" si="10"/>
        <v/>
      </c>
      <c r="J64" s="26"/>
      <c r="K64" s="114" t="str">
        <f ca="1">IF($A64="","",IF(COUNTIFS(INDEX(Dividends!$A:$T,0,$M$2),"&gt;"&amp;INT($A63),INDEX(Dividends!$A:$T,0,$M$2),"&lt;="&amp;INT($A64))=0,"",$G$4*SUMIFS(INDEX(Dividends!$A:$T,0,$M$2+1),INDEX(Dividends!$A:$T,0,$M$2),"&gt;"&amp;INT($A63),INDEX(Dividends!$A:$T,0,$M$2),"&lt;="&amp;INT($A64))))</f>
        <v/>
      </c>
      <c r="L64" s="55" t="str">
        <f ca="1">IF(ISERROR(B64-2),"",C64+D64-F64-G64+I64+J64+SUM($K$14:K64))</f>
        <v/>
      </c>
      <c r="N64" s="52">
        <f ca="1"/>
        <v>46091</v>
      </c>
      <c r="O64" s="39">
        <f ca="1"/>
        <v>89.379099999999994</v>
      </c>
      <c r="P64" s="52">
        <f ca="1"/>
        <v>46087</v>
      </c>
      <c r="Q64" s="39">
        <f ca="1"/>
        <v>99.206000000000003</v>
      </c>
      <c r="R64" s="52">
        <f ca="1"/>
        <v>46091</v>
      </c>
      <c r="S64" s="39">
        <f ca="1"/>
        <v>273.73200000000003</v>
      </c>
      <c r="T64" s="52">
        <f ca="1"/>
        <v>46091</v>
      </c>
      <c r="U64" s="39">
        <f ca="1"/>
        <v>246.5496</v>
      </c>
      <c r="V64" s="52">
        <f t="shared" ca="1" si="0"/>
        <v>46091</v>
      </c>
      <c r="W64" s="97" t="str">
        <f t="shared" ca="1" si="1"/>
        <v/>
      </c>
    </row>
    <row r="65" spans="1:23" x14ac:dyDescent="0.25">
      <c r="A65" s="102" t="str">
        <f t="shared" ca="1" si="4"/>
        <v/>
      </c>
      <c r="B65" s="53" t="str">
        <f t="shared" ca="1" si="2"/>
        <v/>
      </c>
      <c r="C65" s="25" t="str">
        <f t="shared" ca="1" si="5"/>
        <v/>
      </c>
      <c r="D65" s="26" t="str">
        <f t="shared" ca="1" si="6"/>
        <v/>
      </c>
      <c r="E65" s="53" t="str">
        <f t="shared" ca="1" si="3"/>
        <v/>
      </c>
      <c r="F65" s="25" t="str">
        <f t="shared" ca="1" si="7"/>
        <v/>
      </c>
      <c r="G65" s="26" t="str">
        <f t="shared" ca="1" si="8"/>
        <v/>
      </c>
      <c r="H65" s="53" t="str">
        <f t="shared" ca="1" si="9"/>
        <v/>
      </c>
      <c r="I65" s="25" t="str">
        <f t="shared" ca="1" si="10"/>
        <v/>
      </c>
      <c r="J65" s="26"/>
      <c r="K65" s="114" t="str">
        <f ca="1">IF($A65="","",IF(COUNTIFS(INDEX(Dividends!$A:$T,0,$M$2),"&gt;"&amp;INT($A64),INDEX(Dividends!$A:$T,0,$M$2),"&lt;="&amp;INT($A65))=0,"",$G$4*SUMIFS(INDEX(Dividends!$A:$T,0,$M$2+1),INDEX(Dividends!$A:$T,0,$M$2),"&gt;"&amp;INT($A64),INDEX(Dividends!$A:$T,0,$M$2),"&lt;="&amp;INT($A65))))</f>
        <v/>
      </c>
      <c r="L65" s="55" t="str">
        <f ca="1">IF(ISERROR(B65-2),"",C65+D65-F65-G65+I65+J65+SUM($K$14:K65))</f>
        <v/>
      </c>
      <c r="N65" s="52">
        <f ca="1"/>
        <v>46092</v>
      </c>
      <c r="O65" s="39">
        <f ca="1"/>
        <v>88.974900000000005</v>
      </c>
      <c r="P65" s="52">
        <f ca="1"/>
        <v>46090</v>
      </c>
      <c r="Q65" s="39">
        <f ca="1"/>
        <v>99.2</v>
      </c>
      <c r="R65" s="52">
        <f ca="1"/>
        <v>46092</v>
      </c>
      <c r="S65" s="39">
        <f ca="1"/>
        <v>286.94400000000002</v>
      </c>
      <c r="T65" s="52">
        <f ca="1"/>
        <v>46092</v>
      </c>
      <c r="U65" s="39">
        <f ca="1"/>
        <v>245.137</v>
      </c>
      <c r="V65" s="52">
        <f t="shared" ca="1" si="0"/>
        <v>46092</v>
      </c>
      <c r="W65" s="97" t="str">
        <f t="shared" ca="1" si="1"/>
        <v/>
      </c>
    </row>
    <row r="66" spans="1:23" x14ac:dyDescent="0.25">
      <c r="A66" s="102" t="str">
        <f t="shared" ca="1" si="4"/>
        <v/>
      </c>
      <c r="B66" s="53" t="str">
        <f t="shared" ca="1" si="2"/>
        <v/>
      </c>
      <c r="C66" s="25" t="str">
        <f t="shared" ca="1" si="5"/>
        <v/>
      </c>
      <c r="D66" s="26" t="str">
        <f t="shared" ca="1" si="6"/>
        <v/>
      </c>
      <c r="E66" s="53" t="str">
        <f t="shared" ca="1" si="3"/>
        <v/>
      </c>
      <c r="F66" s="25" t="str">
        <f t="shared" ca="1" si="7"/>
        <v/>
      </c>
      <c r="G66" s="26" t="str">
        <f t="shared" ca="1" si="8"/>
        <v/>
      </c>
      <c r="H66" s="53" t="str">
        <f t="shared" ca="1" si="9"/>
        <v/>
      </c>
      <c r="I66" s="25" t="str">
        <f t="shared" ca="1" si="10"/>
        <v/>
      </c>
      <c r="J66" s="26"/>
      <c r="K66" s="114" t="str">
        <f ca="1">IF($A66="","",IF(COUNTIFS(INDEX(Dividends!$A:$T,0,$M$2),"&gt;"&amp;INT($A65),INDEX(Dividends!$A:$T,0,$M$2),"&lt;="&amp;INT($A66))=0,"",$G$4*SUMIFS(INDEX(Dividends!$A:$T,0,$M$2+1),INDEX(Dividends!$A:$T,0,$M$2),"&gt;"&amp;INT($A65),INDEX(Dividends!$A:$T,0,$M$2),"&lt;="&amp;INT($A66))))</f>
        <v/>
      </c>
      <c r="L66" s="55" t="str">
        <f ca="1">IF(ISERROR(B66-2),"",C66+D66-F66-G66+I66+J66+SUM($K$14:K66))</f>
        <v/>
      </c>
      <c r="N66" s="52">
        <f ca="1"/>
        <v>46093</v>
      </c>
      <c r="O66" s="39">
        <f ca="1"/>
        <v>88.715100000000007</v>
      </c>
      <c r="P66" s="52">
        <f ca="1"/>
        <v>46091</v>
      </c>
      <c r="Q66" s="39">
        <f ca="1"/>
        <v>99.367000000000004</v>
      </c>
      <c r="R66" s="52">
        <f ca="1"/>
        <v>46093</v>
      </c>
      <c r="S66" s="39">
        <f ca="1"/>
        <v>296.94900000000001</v>
      </c>
      <c r="T66" s="52">
        <f ca="1"/>
        <v>46093</v>
      </c>
      <c r="U66" s="39">
        <f ca="1"/>
        <v>244.11789999999999</v>
      </c>
      <c r="V66" s="52">
        <f t="shared" ca="1" si="0"/>
        <v>46093</v>
      </c>
      <c r="W66" s="97" t="str">
        <f t="shared" ca="1" si="1"/>
        <v/>
      </c>
    </row>
    <row r="67" spans="1:23" x14ac:dyDescent="0.25">
      <c r="A67" s="102" t="str">
        <f t="shared" ca="1" si="4"/>
        <v/>
      </c>
      <c r="B67" s="53" t="str">
        <f t="shared" ca="1" si="2"/>
        <v/>
      </c>
      <c r="C67" s="25" t="str">
        <f t="shared" ca="1" si="5"/>
        <v/>
      </c>
      <c r="D67" s="26" t="str">
        <f t="shared" ca="1" si="6"/>
        <v/>
      </c>
      <c r="E67" s="53" t="str">
        <f t="shared" ca="1" si="3"/>
        <v/>
      </c>
      <c r="F67" s="25" t="str">
        <f t="shared" ca="1" si="7"/>
        <v/>
      </c>
      <c r="G67" s="26" t="str">
        <f t="shared" ca="1" si="8"/>
        <v/>
      </c>
      <c r="H67" s="53" t="str">
        <f t="shared" ca="1" si="9"/>
        <v/>
      </c>
      <c r="I67" s="25" t="str">
        <f t="shared" ca="1" si="10"/>
        <v/>
      </c>
      <c r="J67" s="26"/>
      <c r="K67" s="114" t="str">
        <f ca="1">IF($A67="","",IF(COUNTIFS(INDEX(Dividends!$A:$T,0,$M$2),"&gt;"&amp;INT($A66),INDEX(Dividends!$A:$T,0,$M$2),"&lt;="&amp;INT($A67))=0,"",$G$4*SUMIFS(INDEX(Dividends!$A:$T,0,$M$2+1),INDEX(Dividends!$A:$T,0,$M$2),"&gt;"&amp;INT($A66),INDEX(Dividends!$A:$T,0,$M$2),"&lt;="&amp;INT($A67))))</f>
        <v/>
      </c>
      <c r="L67" s="55" t="str">
        <f ca="1">IF(ISERROR(B67-2),"",C67+D67-F67-G67+I67+J67+SUM($K$14:K67))</f>
        <v/>
      </c>
      <c r="N67" s="52">
        <f ca="1"/>
        <v>46094</v>
      </c>
      <c r="O67" s="39">
        <f ca="1"/>
        <v>88.358999999999995</v>
      </c>
      <c r="P67" s="52">
        <f ca="1"/>
        <v>46092</v>
      </c>
      <c r="Q67" s="39">
        <f ca="1"/>
        <v>99.016000000000005</v>
      </c>
      <c r="R67" s="52">
        <f ca="1"/>
        <v>46094</v>
      </c>
      <c r="S67" s="39">
        <f ca="1"/>
        <v>306.91699999999997</v>
      </c>
      <c r="T67" s="52">
        <f ca="1"/>
        <v>46094</v>
      </c>
      <c r="U67" s="39">
        <f ca="1"/>
        <v>243.1234</v>
      </c>
      <c r="V67" s="52">
        <f t="shared" ca="1" si="0"/>
        <v>46094</v>
      </c>
      <c r="W67" s="97" t="str">
        <f t="shared" ca="1" si="1"/>
        <v/>
      </c>
    </row>
    <row r="68" spans="1:23" x14ac:dyDescent="0.25">
      <c r="A68" s="102" t="str">
        <f t="shared" ca="1" si="4"/>
        <v/>
      </c>
      <c r="B68" s="53" t="str">
        <f t="shared" ca="1" si="2"/>
        <v/>
      </c>
      <c r="C68" s="25" t="str">
        <f t="shared" ca="1" si="5"/>
        <v/>
      </c>
      <c r="D68" s="26" t="str">
        <f t="shared" ca="1" si="6"/>
        <v/>
      </c>
      <c r="E68" s="53" t="str">
        <f t="shared" ca="1" si="3"/>
        <v/>
      </c>
      <c r="F68" s="25" t="str">
        <f t="shared" ca="1" si="7"/>
        <v/>
      </c>
      <c r="G68" s="26" t="str">
        <f t="shared" ca="1" si="8"/>
        <v/>
      </c>
      <c r="H68" s="53" t="str">
        <f t="shared" ca="1" si="9"/>
        <v/>
      </c>
      <c r="I68" s="25" t="str">
        <f t="shared" ca="1" si="10"/>
        <v/>
      </c>
      <c r="J68" s="26"/>
      <c r="K68" s="114" t="str">
        <f ca="1">IF($A68="","",IF(COUNTIFS(INDEX(Dividends!$A:$T,0,$M$2),"&gt;"&amp;INT($A67),INDEX(Dividends!$A:$T,0,$M$2),"&lt;="&amp;INT($A68))=0,"",$G$4*SUMIFS(INDEX(Dividends!$A:$T,0,$M$2+1),INDEX(Dividends!$A:$T,0,$M$2),"&gt;"&amp;INT($A67),INDEX(Dividends!$A:$T,0,$M$2),"&lt;="&amp;INT($A68))))</f>
        <v/>
      </c>
      <c r="L68" s="55" t="str">
        <f ca="1">IF(ISERROR(B68-2),"",C68+D68-F68-G68+I68+J68+SUM($K$14:K68))</f>
        <v/>
      </c>
      <c r="N68" s="52">
        <f ca="1"/>
        <v>46097</v>
      </c>
      <c r="O68" s="39">
        <f ca="1"/>
        <v>88.368600000000001</v>
      </c>
      <c r="P68" s="52">
        <f ca="1"/>
        <v>46093</v>
      </c>
      <c r="Q68" s="39">
        <f ca="1"/>
        <v>98.923000000000002</v>
      </c>
      <c r="R68" s="52">
        <f ca="1"/>
        <v>46097</v>
      </c>
      <c r="S68" s="39">
        <f ca="1"/>
        <v>303.91500000000002</v>
      </c>
      <c r="T68" s="52">
        <f ca="1"/>
        <v>46097</v>
      </c>
      <c r="U68" s="39">
        <f ca="1"/>
        <v>243.46899999999999</v>
      </c>
      <c r="V68" s="52">
        <f t="shared" ref="V68:V131" ca="1" si="11">IF(COUNTIF(P:P,N68)*COUNTIF(R:R,N68)*COUNTIF(T:T,N68),N68,"")</f>
        <v>46097</v>
      </c>
      <c r="W68" s="97" t="str">
        <f t="shared" ref="W68:W131" ca="1" si="12">IF(V68&gt;=$A$14,V68,"")</f>
        <v/>
      </c>
    </row>
    <row r="69" spans="1:23" x14ac:dyDescent="0.25">
      <c r="A69" s="102" t="str">
        <f t="shared" ca="1" si="4"/>
        <v/>
      </c>
      <c r="B69" s="53" t="str">
        <f t="shared" ca="1" si="2"/>
        <v/>
      </c>
      <c r="C69" s="25" t="str">
        <f t="shared" ca="1" si="5"/>
        <v/>
      </c>
      <c r="D69" s="26" t="str">
        <f t="shared" ca="1" si="6"/>
        <v/>
      </c>
      <c r="E69" s="53" t="str">
        <f t="shared" ca="1" si="3"/>
        <v/>
      </c>
      <c r="F69" s="25" t="str">
        <f t="shared" ca="1" si="7"/>
        <v/>
      </c>
      <c r="G69" s="26" t="str">
        <f t="shared" ca="1" si="8"/>
        <v/>
      </c>
      <c r="H69" s="53" t="str">
        <f t="shared" ca="1" si="9"/>
        <v/>
      </c>
      <c r="I69" s="25" t="str">
        <f t="shared" ca="1" si="10"/>
        <v/>
      </c>
      <c r="J69" s="26"/>
      <c r="K69" s="114" t="str">
        <f ca="1">IF($A69="","",IF(COUNTIFS(INDEX(Dividends!$A:$T,0,$M$2),"&gt;"&amp;INT($A68),INDEX(Dividends!$A:$T,0,$M$2),"&lt;="&amp;INT($A69))=0,"",$G$4*SUMIFS(INDEX(Dividends!$A:$T,0,$M$2+1),INDEX(Dividends!$A:$T,0,$M$2),"&gt;"&amp;INT($A68),INDEX(Dividends!$A:$T,0,$M$2),"&lt;="&amp;INT($A69))))</f>
        <v/>
      </c>
      <c r="L69" s="55" t="str">
        <f ca="1">IF(ISERROR(B69-2),"",C69+D69-F69-G69+I69+J69+SUM($K$14:K69))</f>
        <v/>
      </c>
      <c r="N69" s="52">
        <f ca="1"/>
        <v>46098</v>
      </c>
      <c r="O69" s="39">
        <f ca="1"/>
        <v>88.849800000000002</v>
      </c>
      <c r="P69" s="52">
        <f ca="1"/>
        <v>46094</v>
      </c>
      <c r="Q69" s="39">
        <f ca="1"/>
        <v>98.852000000000004</v>
      </c>
      <c r="R69" s="52">
        <f ca="1"/>
        <v>46098</v>
      </c>
      <c r="S69" s="39">
        <f ca="1"/>
        <v>294.67</v>
      </c>
      <c r="T69" s="52">
        <f ca="1"/>
        <v>46098</v>
      </c>
      <c r="U69" s="39">
        <f ca="1"/>
        <v>244.42140000000001</v>
      </c>
      <c r="V69" s="52">
        <f t="shared" ca="1" si="11"/>
        <v>46098</v>
      </c>
      <c r="W69" s="97" t="str">
        <f t="shared" ca="1" si="12"/>
        <v/>
      </c>
    </row>
    <row r="70" spans="1:23" x14ac:dyDescent="0.25">
      <c r="A70" s="102" t="str">
        <f t="shared" ca="1" si="4"/>
        <v/>
      </c>
      <c r="B70" s="53" t="str">
        <f t="shared" ca="1" si="2"/>
        <v/>
      </c>
      <c r="C70" s="25" t="str">
        <f t="shared" ca="1" si="5"/>
        <v/>
      </c>
      <c r="D70" s="26" t="str">
        <f t="shared" ca="1" si="6"/>
        <v/>
      </c>
      <c r="E70" s="53" t="str">
        <f t="shared" ca="1" si="3"/>
        <v/>
      </c>
      <c r="F70" s="25" t="str">
        <f t="shared" ca="1" si="7"/>
        <v/>
      </c>
      <c r="G70" s="26" t="str">
        <f t="shared" ca="1" si="8"/>
        <v/>
      </c>
      <c r="H70" s="53" t="str">
        <f t="shared" ca="1" si="9"/>
        <v/>
      </c>
      <c r="I70" s="25" t="str">
        <f t="shared" ca="1" si="10"/>
        <v/>
      </c>
      <c r="J70" s="26"/>
      <c r="K70" s="114" t="str">
        <f ca="1">IF($A70="","",IF(COUNTIFS(INDEX(Dividends!$A:$T,0,$M$2),"&gt;"&amp;INT($A69),INDEX(Dividends!$A:$T,0,$M$2),"&lt;="&amp;INT($A70))=0,"",$G$4*SUMIFS(INDEX(Dividends!$A:$T,0,$M$2+1),INDEX(Dividends!$A:$T,0,$M$2),"&gt;"&amp;INT($A69),INDEX(Dividends!$A:$T,0,$M$2),"&lt;="&amp;INT($A70))))</f>
        <v/>
      </c>
      <c r="L70" s="55" t="str">
        <f ca="1">IF(ISERROR(B70-2),"",C70+D70-F70-G70+I70+J70+SUM($K$14:K70))</f>
        <v/>
      </c>
      <c r="N70" s="52">
        <f ca="1"/>
        <v>46099</v>
      </c>
      <c r="O70" s="39">
        <f ca="1"/>
        <v>88.753600000000006</v>
      </c>
      <c r="P70" s="52">
        <f ca="1"/>
        <v>46097</v>
      </c>
      <c r="Q70" s="39">
        <f ca="1"/>
        <v>98.965999999999994</v>
      </c>
      <c r="R70" s="52">
        <f ca="1"/>
        <v>46099</v>
      </c>
      <c r="S70" s="39">
        <f ca="1"/>
        <v>298.87400000000002</v>
      </c>
      <c r="T70" s="52">
        <f ca="1"/>
        <v>46099</v>
      </c>
      <c r="U70" s="39">
        <f ca="1"/>
        <v>244.00810000000001</v>
      </c>
      <c r="V70" s="52">
        <f t="shared" ca="1" si="11"/>
        <v>46099</v>
      </c>
      <c r="W70" s="97" t="str">
        <f t="shared" ca="1" si="12"/>
        <v/>
      </c>
    </row>
    <row r="71" spans="1:23" x14ac:dyDescent="0.25">
      <c r="A71" s="102" t="str">
        <f t="shared" ca="1" si="4"/>
        <v/>
      </c>
      <c r="B71" s="53" t="str">
        <f t="shared" ca="1" si="2"/>
        <v/>
      </c>
      <c r="C71" s="25" t="str">
        <f t="shared" ca="1" si="5"/>
        <v/>
      </c>
      <c r="D71" s="26" t="str">
        <f t="shared" ca="1" si="6"/>
        <v/>
      </c>
      <c r="E71" s="53" t="str">
        <f t="shared" ca="1" si="3"/>
        <v/>
      </c>
      <c r="F71" s="25" t="str">
        <f t="shared" ca="1" si="7"/>
        <v/>
      </c>
      <c r="G71" s="26" t="str">
        <f t="shared" ca="1" si="8"/>
        <v/>
      </c>
      <c r="H71" s="53" t="str">
        <f t="shared" ca="1" si="9"/>
        <v/>
      </c>
      <c r="I71" s="25" t="str">
        <f t="shared" ca="1" si="10"/>
        <v/>
      </c>
      <c r="J71" s="26"/>
      <c r="K71" s="114" t="str">
        <f ca="1">IF($A71="","",IF(COUNTIFS(INDEX(Dividends!$A:$T,0,$M$2),"&gt;"&amp;INT($A70),INDEX(Dividends!$A:$T,0,$M$2),"&lt;="&amp;INT($A71))=0,"",$G$4*SUMIFS(INDEX(Dividends!$A:$T,0,$M$2+1),INDEX(Dividends!$A:$T,0,$M$2),"&gt;"&amp;INT($A70),INDEX(Dividends!$A:$T,0,$M$2),"&lt;="&amp;INT($A71))))</f>
        <v/>
      </c>
      <c r="L71" s="55" t="str">
        <f ca="1">IF(ISERROR(B71-2),"",C71+D71-F71-G71+I71+J71+SUM($K$14:K71))</f>
        <v/>
      </c>
      <c r="N71" s="52">
        <f ca="1"/>
        <v>46100</v>
      </c>
      <c r="O71" s="39">
        <f ca="1"/>
        <v>88.299700000000001</v>
      </c>
      <c r="P71" s="52">
        <f ca="1"/>
        <v>46098</v>
      </c>
      <c r="Q71" s="39">
        <f ca="1"/>
        <v>99.040999999999997</v>
      </c>
      <c r="R71" s="52">
        <f ca="1"/>
        <v>46100</v>
      </c>
      <c r="S71" s="39">
        <f ca="1"/>
        <v>310.92399999999998</v>
      </c>
      <c r="T71" s="52">
        <f ca="1"/>
        <v>46100</v>
      </c>
      <c r="U71" s="39">
        <f ca="1"/>
        <v>242.7533</v>
      </c>
      <c r="V71" s="52">
        <f t="shared" ca="1" si="11"/>
        <v>46100</v>
      </c>
      <c r="W71" s="97" t="str">
        <f t="shared" ca="1" si="12"/>
        <v/>
      </c>
    </row>
    <row r="72" spans="1:23" x14ac:dyDescent="0.25">
      <c r="A72" s="102" t="str">
        <f t="shared" ca="1" si="4"/>
        <v/>
      </c>
      <c r="B72" s="53" t="str">
        <f t="shared" ca="1" si="2"/>
        <v/>
      </c>
      <c r="C72" s="25" t="str">
        <f t="shared" ca="1" si="5"/>
        <v/>
      </c>
      <c r="D72" s="26" t="str">
        <f t="shared" ca="1" si="6"/>
        <v/>
      </c>
      <c r="E72" s="53" t="str">
        <f t="shared" ca="1" si="3"/>
        <v/>
      </c>
      <c r="F72" s="25" t="str">
        <f t="shared" ca="1" si="7"/>
        <v/>
      </c>
      <c r="G72" s="26" t="str">
        <f t="shared" ca="1" si="8"/>
        <v/>
      </c>
      <c r="H72" s="53" t="str">
        <f t="shared" ca="1" si="9"/>
        <v/>
      </c>
      <c r="I72" s="25" t="str">
        <f t="shared" ca="1" si="10"/>
        <v/>
      </c>
      <c r="J72" s="26"/>
      <c r="K72" s="114" t="str">
        <f ca="1">IF($A72="","",IF(COUNTIFS(INDEX(Dividends!$A:$T,0,$M$2),"&gt;"&amp;INT($A71),INDEX(Dividends!$A:$T,0,$M$2),"&lt;="&amp;INT($A72))=0,"",$G$4*SUMIFS(INDEX(Dividends!$A:$T,0,$M$2+1),INDEX(Dividends!$A:$T,0,$M$2),"&gt;"&amp;INT($A71),INDEX(Dividends!$A:$T,0,$M$2),"&lt;="&amp;INT($A72))))</f>
        <v/>
      </c>
      <c r="L72" s="55" t="str">
        <f ca="1">IF(ISERROR(B72-2),"",C72+D72-F72-G72+I72+J72+SUM($K$14:K72))</f>
        <v/>
      </c>
      <c r="N72" s="52">
        <f ca="1"/>
        <v>46101</v>
      </c>
      <c r="O72" s="39">
        <f ca="1"/>
        <v>87.944199999999995</v>
      </c>
      <c r="P72" s="52">
        <f ca="1"/>
        <v>46099</v>
      </c>
      <c r="Q72" s="39">
        <f ca="1"/>
        <v>98.878</v>
      </c>
      <c r="R72" s="52">
        <f ca="1"/>
        <v>46101</v>
      </c>
      <c r="S72" s="39">
        <f ca="1"/>
        <v>349.96800000000002</v>
      </c>
      <c r="T72" s="52">
        <f ca="1"/>
        <v>46101</v>
      </c>
      <c r="U72" s="39">
        <f ca="1"/>
        <v>241.26779999999999</v>
      </c>
      <c r="V72" s="52">
        <f t="shared" ca="1" si="11"/>
        <v>46101</v>
      </c>
      <c r="W72" s="97" t="str">
        <f t="shared" ca="1" si="12"/>
        <v/>
      </c>
    </row>
    <row r="73" spans="1:23" x14ac:dyDescent="0.25">
      <c r="A73" s="102" t="str">
        <f t="shared" ca="1" si="4"/>
        <v/>
      </c>
      <c r="B73" s="53" t="str">
        <f t="shared" ca="1" si="2"/>
        <v/>
      </c>
      <c r="C73" s="25" t="str">
        <f t="shared" ca="1" si="5"/>
        <v/>
      </c>
      <c r="D73" s="26" t="str">
        <f t="shared" ca="1" si="6"/>
        <v/>
      </c>
      <c r="E73" s="53" t="str">
        <f t="shared" ca="1" si="3"/>
        <v/>
      </c>
      <c r="F73" s="25" t="str">
        <f t="shared" ca="1" si="7"/>
        <v/>
      </c>
      <c r="G73" s="26" t="str">
        <f t="shared" ca="1" si="8"/>
        <v/>
      </c>
      <c r="H73" s="53" t="str">
        <f t="shared" ca="1" si="9"/>
        <v/>
      </c>
      <c r="I73" s="25" t="str">
        <f t="shared" ca="1" si="10"/>
        <v/>
      </c>
      <c r="J73" s="26"/>
      <c r="K73" s="114" t="str">
        <f ca="1">IF($A73="","",IF(COUNTIFS(INDEX(Dividends!$A:$T,0,$M$2),"&gt;"&amp;INT($A72),INDEX(Dividends!$A:$T,0,$M$2),"&lt;="&amp;INT($A73))=0,"",$G$4*SUMIFS(INDEX(Dividends!$A:$T,0,$M$2+1),INDEX(Dividends!$A:$T,0,$M$2),"&gt;"&amp;INT($A72),INDEX(Dividends!$A:$T,0,$M$2),"&lt;="&amp;INT($A73))))</f>
        <v/>
      </c>
      <c r="L73" s="55" t="str">
        <f ca="1">IF(ISERROR(B73-2),"",C73+D73-F73-G73+I73+J73+SUM($K$14:K73))</f>
        <v/>
      </c>
      <c r="N73" s="52">
        <f ca="1"/>
        <v>46104</v>
      </c>
      <c r="O73" s="39">
        <f ca="1"/>
        <v>88.122</v>
      </c>
      <c r="P73" s="52">
        <f ca="1"/>
        <v>46100</v>
      </c>
      <c r="Q73" s="39">
        <f ca="1"/>
        <v>98.542000000000002</v>
      </c>
      <c r="R73" s="52">
        <f ca="1"/>
        <v>46104</v>
      </c>
      <c r="S73" s="39">
        <f ca="1"/>
        <v>341.77300000000002</v>
      </c>
      <c r="T73" s="52">
        <f ca="1"/>
        <v>46104</v>
      </c>
      <c r="U73" s="39">
        <f ca="1"/>
        <v>242.08969999999999</v>
      </c>
      <c r="V73" s="52">
        <f t="shared" ca="1" si="11"/>
        <v>46104</v>
      </c>
      <c r="W73" s="97" t="str">
        <f t="shared" ca="1" si="12"/>
        <v/>
      </c>
    </row>
    <row r="74" spans="1:23" x14ac:dyDescent="0.25">
      <c r="A74" s="102" t="str">
        <f t="shared" ca="1" si="4"/>
        <v/>
      </c>
      <c r="B74" s="53" t="str">
        <f t="shared" ca="1" si="2"/>
        <v/>
      </c>
      <c r="C74" s="25" t="str">
        <f t="shared" ca="1" si="5"/>
        <v/>
      </c>
      <c r="D74" s="26" t="str">
        <f t="shared" ca="1" si="6"/>
        <v/>
      </c>
      <c r="E74" s="53" t="str">
        <f t="shared" ca="1" si="3"/>
        <v/>
      </c>
      <c r="F74" s="25" t="str">
        <f t="shared" ca="1" si="7"/>
        <v/>
      </c>
      <c r="G74" s="26" t="str">
        <f t="shared" ca="1" si="8"/>
        <v/>
      </c>
      <c r="H74" s="53" t="str">
        <f t="shared" ca="1" si="9"/>
        <v/>
      </c>
      <c r="I74" s="25" t="str">
        <f t="shared" ca="1" si="10"/>
        <v/>
      </c>
      <c r="J74" s="26"/>
      <c r="K74" s="114" t="str">
        <f ca="1">IF($A74="","",IF(COUNTIFS(INDEX(Dividends!$A:$T,0,$M$2),"&gt;"&amp;INT($A73),INDEX(Dividends!$A:$T,0,$M$2),"&lt;="&amp;INT($A74))=0,"",$G$4*SUMIFS(INDEX(Dividends!$A:$T,0,$M$2+1),INDEX(Dividends!$A:$T,0,$M$2),"&gt;"&amp;INT($A73),INDEX(Dividends!$A:$T,0,$M$2),"&lt;="&amp;INT($A74))))</f>
        <v/>
      </c>
      <c r="L74" s="55" t="str">
        <f ca="1">IF(ISERROR(B74-2),"",C74+D74-F74-G74+I74+J74+SUM($K$14:K74))</f>
        <v/>
      </c>
      <c r="N74" s="52">
        <f ca="1"/>
        <v>46105</v>
      </c>
      <c r="O74" s="39">
        <f ca="1"/>
        <v>88.131799999999998</v>
      </c>
      <c r="P74" s="52">
        <f ca="1"/>
        <v>46101</v>
      </c>
      <c r="Q74" s="39">
        <f ca="1"/>
        <v>98.305999999999997</v>
      </c>
      <c r="R74" s="52">
        <f ca="1"/>
        <v>46105</v>
      </c>
      <c r="S74" s="39">
        <f ca="1"/>
        <v>342.03300000000002</v>
      </c>
      <c r="T74" s="52">
        <f ca="1"/>
        <v>46105</v>
      </c>
      <c r="U74" s="39">
        <f ca="1"/>
        <v>242.32900000000001</v>
      </c>
      <c r="V74" s="52">
        <f t="shared" ca="1" si="11"/>
        <v>46105</v>
      </c>
      <c r="W74" s="97" t="str">
        <f t="shared" ca="1" si="12"/>
        <v/>
      </c>
    </row>
    <row r="75" spans="1:23" x14ac:dyDescent="0.25">
      <c r="A75" s="102" t="str">
        <f t="shared" ca="1" si="4"/>
        <v/>
      </c>
      <c r="B75" s="53" t="str">
        <f t="shared" ca="1" si="2"/>
        <v/>
      </c>
      <c r="C75" s="25" t="str">
        <f t="shared" ca="1" si="5"/>
        <v/>
      </c>
      <c r="D75" s="26" t="str">
        <f t="shared" ca="1" si="6"/>
        <v/>
      </c>
      <c r="E75" s="53" t="str">
        <f t="shared" ca="1" si="3"/>
        <v/>
      </c>
      <c r="F75" s="25" t="str">
        <f t="shared" ca="1" si="7"/>
        <v/>
      </c>
      <c r="G75" s="26" t="str">
        <f t="shared" ca="1" si="8"/>
        <v/>
      </c>
      <c r="H75" s="53" t="str">
        <f t="shared" ca="1" si="9"/>
        <v/>
      </c>
      <c r="I75" s="25" t="str">
        <f t="shared" ca="1" si="10"/>
        <v/>
      </c>
      <c r="J75" s="26"/>
      <c r="K75" s="114" t="str">
        <f ca="1">IF($A75="","",IF(COUNTIFS(INDEX(Dividends!$A:$T,0,$M$2),"&gt;"&amp;INT($A74),INDEX(Dividends!$A:$T,0,$M$2),"&lt;="&amp;INT($A75))=0,"",$G$4*SUMIFS(INDEX(Dividends!$A:$T,0,$M$2+1),INDEX(Dividends!$A:$T,0,$M$2),"&gt;"&amp;INT($A74),INDEX(Dividends!$A:$T,0,$M$2),"&lt;="&amp;INT($A75))))</f>
        <v/>
      </c>
      <c r="L75" s="55" t="str">
        <f ca="1">IF(ISERROR(B75-2),"",C75+D75-F75-G75+I75+J75+SUM($K$14:K75))</f>
        <v/>
      </c>
      <c r="N75" s="52">
        <f ca="1"/>
        <v>46106</v>
      </c>
      <c r="O75" s="39">
        <f ca="1"/>
        <v>88.437899999999999</v>
      </c>
      <c r="P75" s="52">
        <f ca="1"/>
        <v>46104</v>
      </c>
      <c r="Q75" s="39">
        <f ca="1"/>
        <v>98.543999999999997</v>
      </c>
      <c r="R75" s="52">
        <f ca="1"/>
        <v>46106</v>
      </c>
      <c r="S75" s="39">
        <f ca="1"/>
        <v>330.851</v>
      </c>
      <c r="T75" s="52">
        <f ca="1"/>
        <v>46106</v>
      </c>
      <c r="U75" s="39">
        <f ca="1"/>
        <v>243.4736</v>
      </c>
      <c r="V75" s="52">
        <f t="shared" ca="1" si="11"/>
        <v>46106</v>
      </c>
      <c r="W75" s="97" t="str">
        <f t="shared" ca="1" si="12"/>
        <v/>
      </c>
    </row>
    <row r="76" spans="1:23" x14ac:dyDescent="0.25">
      <c r="A76" s="102" t="str">
        <f t="shared" ca="1" si="4"/>
        <v/>
      </c>
      <c r="B76" s="53" t="str">
        <f t="shared" ca="1" si="2"/>
        <v/>
      </c>
      <c r="C76" s="25" t="str">
        <f t="shared" ca="1" si="5"/>
        <v/>
      </c>
      <c r="D76" s="26" t="str">
        <f t="shared" ca="1" si="6"/>
        <v/>
      </c>
      <c r="E76" s="53" t="str">
        <f t="shared" ca="1" si="3"/>
        <v/>
      </c>
      <c r="F76" s="25" t="str">
        <f t="shared" ca="1" si="7"/>
        <v/>
      </c>
      <c r="G76" s="26" t="str">
        <f t="shared" ca="1" si="8"/>
        <v/>
      </c>
      <c r="H76" s="53" t="str">
        <f t="shared" ca="1" si="9"/>
        <v/>
      </c>
      <c r="I76" s="25" t="str">
        <f t="shared" ca="1" si="10"/>
        <v/>
      </c>
      <c r="J76" s="26"/>
      <c r="K76" s="114" t="str">
        <f ca="1">IF($A76="","",IF(COUNTIFS(INDEX(Dividends!$A:$T,0,$M$2),"&gt;"&amp;INT($A75),INDEX(Dividends!$A:$T,0,$M$2),"&lt;="&amp;INT($A76))=0,"",$G$4*SUMIFS(INDEX(Dividends!$A:$T,0,$M$2+1),INDEX(Dividends!$A:$T,0,$M$2),"&gt;"&amp;INT($A75),INDEX(Dividends!$A:$T,0,$M$2),"&lt;="&amp;INT($A76))))</f>
        <v/>
      </c>
      <c r="L76" s="55" t="str">
        <f ca="1">IF(ISERROR(B76-2),"",C76+D76-F76-G76+I76+J76+SUM($K$14:K76))</f>
        <v/>
      </c>
      <c r="N76" s="52">
        <f ca="1"/>
        <v>46107</v>
      </c>
      <c r="O76" s="39">
        <f ca="1"/>
        <v>87.993600000000001</v>
      </c>
      <c r="P76" s="52">
        <f ca="1"/>
        <v>46105</v>
      </c>
      <c r="Q76" s="39">
        <f ca="1"/>
        <v>98.325000000000003</v>
      </c>
      <c r="R76" s="52">
        <f ca="1"/>
        <v>46107</v>
      </c>
      <c r="S76" s="39">
        <f ca="1"/>
        <v>351.12799999999999</v>
      </c>
      <c r="T76" s="52">
        <f ca="1"/>
        <v>46107</v>
      </c>
      <c r="U76" s="39">
        <f ca="1"/>
        <v>241.38650000000001</v>
      </c>
      <c r="V76" s="52">
        <f t="shared" ca="1" si="11"/>
        <v>46107</v>
      </c>
      <c r="W76" s="97" t="str">
        <f t="shared" ca="1" si="12"/>
        <v/>
      </c>
    </row>
    <row r="77" spans="1:23" x14ac:dyDescent="0.25">
      <c r="A77" s="102" t="str">
        <f t="shared" ca="1" si="4"/>
        <v/>
      </c>
      <c r="B77" s="53" t="str">
        <f t="shared" ca="1" si="2"/>
        <v/>
      </c>
      <c r="C77" s="25" t="str">
        <f t="shared" ca="1" si="5"/>
        <v/>
      </c>
      <c r="D77" s="26" t="str">
        <f t="shared" ca="1" si="6"/>
        <v/>
      </c>
      <c r="E77" s="53" t="str">
        <f t="shared" ca="1" si="3"/>
        <v/>
      </c>
      <c r="F77" s="25" t="str">
        <f t="shared" ca="1" si="7"/>
        <v/>
      </c>
      <c r="G77" s="26" t="str">
        <f t="shared" ca="1" si="8"/>
        <v/>
      </c>
      <c r="H77" s="53" t="str">
        <f t="shared" ca="1" si="9"/>
        <v/>
      </c>
      <c r="I77" s="25" t="str">
        <f t="shared" ca="1" si="10"/>
        <v/>
      </c>
      <c r="J77" s="26"/>
      <c r="K77" s="114" t="str">
        <f ca="1">IF($A77="","",IF(COUNTIFS(INDEX(Dividends!$A:$T,0,$M$2),"&gt;"&amp;INT($A76),INDEX(Dividends!$A:$T,0,$M$2),"&lt;="&amp;INT($A77))=0,"",$G$4*SUMIFS(INDEX(Dividends!$A:$T,0,$M$2+1),INDEX(Dividends!$A:$T,0,$M$2),"&gt;"&amp;INT($A76),INDEX(Dividends!$A:$T,0,$M$2),"&lt;="&amp;INT($A77))))</f>
        <v/>
      </c>
      <c r="L77" s="55" t="str">
        <f ca="1">IF(ISERROR(B77-2),"",C77+D77-F77-G77+I77+J77+SUM($K$14:K77))</f>
        <v/>
      </c>
      <c r="N77" s="52">
        <f ca="1"/>
        <v>46108</v>
      </c>
      <c r="O77" s="39">
        <f ca="1"/>
        <v>87.746799999999993</v>
      </c>
      <c r="P77" s="52">
        <f ca="1"/>
        <v>46106</v>
      </c>
      <c r="Q77" s="39">
        <f ca="1"/>
        <v>98.527000000000001</v>
      </c>
      <c r="R77" s="52">
        <f ca="1"/>
        <v>46108</v>
      </c>
      <c r="S77" s="39">
        <f ca="1"/>
        <v>361.84800000000001</v>
      </c>
      <c r="T77" s="52">
        <f ca="1"/>
        <v>46108</v>
      </c>
      <c r="U77" s="39">
        <f ca="1"/>
        <v>240.04679999999999</v>
      </c>
      <c r="V77" s="52">
        <f t="shared" ca="1" si="11"/>
        <v>46108</v>
      </c>
      <c r="W77" s="97" t="str">
        <f t="shared" ca="1" si="12"/>
        <v/>
      </c>
    </row>
    <row r="78" spans="1:23" x14ac:dyDescent="0.25">
      <c r="A78" s="102" t="str">
        <f t="shared" ca="1" si="4"/>
        <v/>
      </c>
      <c r="B78" s="53" t="str">
        <f t="shared" ca="1" si="2"/>
        <v/>
      </c>
      <c r="C78" s="25" t="str">
        <f t="shared" ca="1" si="5"/>
        <v/>
      </c>
      <c r="D78" s="26" t="str">
        <f t="shared" ca="1" si="6"/>
        <v/>
      </c>
      <c r="E78" s="53" t="str">
        <f t="shared" ca="1" si="3"/>
        <v/>
      </c>
      <c r="F78" s="25" t="str">
        <f t="shared" ca="1" si="7"/>
        <v/>
      </c>
      <c r="G78" s="26" t="str">
        <f t="shared" ca="1" si="8"/>
        <v/>
      </c>
      <c r="H78" s="53" t="str">
        <f t="shared" ca="1" si="9"/>
        <v/>
      </c>
      <c r="I78" s="25" t="str">
        <f t="shared" ca="1" si="10"/>
        <v/>
      </c>
      <c r="J78" s="26"/>
      <c r="K78" s="114" t="str">
        <f ca="1">IF($A78="","",IF(COUNTIFS(INDEX(Dividends!$A:$T,0,$M$2),"&gt;"&amp;INT($A77),INDEX(Dividends!$A:$T,0,$M$2),"&lt;="&amp;INT($A78))=0,"",$G$4*SUMIFS(INDEX(Dividends!$A:$T,0,$M$2+1),INDEX(Dividends!$A:$T,0,$M$2),"&gt;"&amp;INT($A77),INDEX(Dividends!$A:$T,0,$M$2),"&lt;="&amp;INT($A78))))</f>
        <v/>
      </c>
      <c r="L78" s="55" t="str">
        <f ca="1">IF(ISERROR(B78-2),"",C78+D78-F78-G78+I78+J78+SUM($K$14:K78))</f>
        <v/>
      </c>
      <c r="N78" s="52">
        <f ca="1"/>
        <v>46111</v>
      </c>
      <c r="O78" s="39">
        <f ca="1"/>
        <v>87.805999999999997</v>
      </c>
      <c r="P78" s="52">
        <f ca="1"/>
        <v>46107</v>
      </c>
      <c r="Q78" s="39">
        <f ca="1"/>
        <v>98.212999999999994</v>
      </c>
      <c r="R78" s="52">
        <f ca="1"/>
        <v>46111</v>
      </c>
      <c r="S78" s="39">
        <f ca="1"/>
        <v>361.5</v>
      </c>
      <c r="T78" s="52">
        <f ca="1"/>
        <v>46111</v>
      </c>
      <c r="U78" s="39">
        <f ca="1"/>
        <v>240.15790000000001</v>
      </c>
      <c r="V78" s="52">
        <f t="shared" ca="1" si="11"/>
        <v>46111</v>
      </c>
      <c r="W78" s="97" t="str">
        <f t="shared" ca="1" si="12"/>
        <v/>
      </c>
    </row>
    <row r="79" spans="1:23" x14ac:dyDescent="0.25">
      <c r="A79" s="102" t="str">
        <f t="shared" ca="1" si="4"/>
        <v/>
      </c>
      <c r="B79" s="53" t="str">
        <f t="shared" ref="B79:B142" ca="1" si="13">IF(COUNTIF(N:N,A79)=1,VLOOKUP(A79,N:O,2), IF(COUNTIF(N:N,A79)=0,$B$10,""))</f>
        <v/>
      </c>
      <c r="C79" s="25" t="str">
        <f t="shared" ca="1" si="5"/>
        <v/>
      </c>
      <c r="D79" s="26" t="str">
        <f t="shared" ca="1" si="6"/>
        <v/>
      </c>
      <c r="E79" s="53" t="str">
        <f t="shared" ref="E79:E142" ca="1" si="14">IF(COUNTIF(N:N,A79)=1,VLOOKUP(A79,P:Q,2), IF(COUNTIF(N:N,A79)=0,$C$10,""))</f>
        <v/>
      </c>
      <c r="F79" s="25" t="str">
        <f t="shared" ca="1" si="7"/>
        <v/>
      </c>
      <c r="G79" s="26" t="str">
        <f t="shared" ca="1" si="8"/>
        <v/>
      </c>
      <c r="H79" s="53" t="str">
        <f t="shared" ca="1" si="9"/>
        <v/>
      </c>
      <c r="I79" s="25" t="str">
        <f t="shared" ca="1" si="10"/>
        <v/>
      </c>
      <c r="J79" s="26"/>
      <c r="K79" s="114" t="str">
        <f ca="1">IF($A79="","",IF(COUNTIFS(INDEX(Dividends!$A:$T,0,$M$2),"&gt;"&amp;INT($A78),INDEX(Dividends!$A:$T,0,$M$2),"&lt;="&amp;INT($A79))=0,"",$G$4*SUMIFS(INDEX(Dividends!$A:$T,0,$M$2+1),INDEX(Dividends!$A:$T,0,$M$2),"&gt;"&amp;INT($A78),INDEX(Dividends!$A:$T,0,$M$2),"&lt;="&amp;INT($A79))))</f>
        <v/>
      </c>
      <c r="L79" s="55" t="str">
        <f ca="1">IF(ISERROR(B79-2),"",C79+D79-F79-G79+I79+J79+SUM($K$14:K79))</f>
        <v/>
      </c>
      <c r="N79" s="52">
        <f ca="1"/>
        <v>46112</v>
      </c>
      <c r="O79" s="39">
        <f ca="1"/>
        <v>87.924499999999995</v>
      </c>
      <c r="P79" s="52">
        <f ca="1"/>
        <v>46108</v>
      </c>
      <c r="Q79" s="39">
        <f ca="1"/>
        <v>98.286000000000001</v>
      </c>
      <c r="R79" s="52">
        <f ca="1"/>
        <v>46112</v>
      </c>
      <c r="S79" s="39">
        <f ca="1"/>
        <v>353.01900000000001</v>
      </c>
      <c r="T79" s="52">
        <f ca="1"/>
        <v>46112</v>
      </c>
      <c r="U79" s="39">
        <f ca="1"/>
        <v>241.21780000000001</v>
      </c>
      <c r="V79" s="52">
        <f t="shared" ca="1" si="11"/>
        <v>46112</v>
      </c>
      <c r="W79" s="97" t="str">
        <f t="shared" ca="1" si="12"/>
        <v/>
      </c>
    </row>
    <row r="80" spans="1:23" x14ac:dyDescent="0.25">
      <c r="A80" s="102" t="str">
        <f t="shared" ref="A80:A143" ca="1" si="15">IF(AND(ISBLANK(X67), A79 = $X$1),NOW(),IF(ISBLANK(X67),"",X67))</f>
        <v/>
      </c>
      <c r="B80" s="53" t="str">
        <f t="shared" ca="1" si="13"/>
        <v/>
      </c>
      <c r="C80" s="25" t="str">
        <f t="shared" ref="C80:C143" ca="1" si="16">IF(ISERROR(B80-2),"",(B80/$B$14-1)*$B$5)</f>
        <v/>
      </c>
      <c r="D80" s="26" t="str">
        <f t="shared" ref="D80:D143" ca="1" si="17">IF(ISERROR(B80-2),"",-1*(INT(A80)-INT($A$14))/360*$B$7*$B$5)</f>
        <v/>
      </c>
      <c r="E80" s="53" t="str">
        <f t="shared" ca="1" si="14"/>
        <v/>
      </c>
      <c r="F80" s="25" t="str">
        <f t="shared" ref="F80:F143" ca="1" si="18">IF(ISERROR(B80-2),"",(E80-$E$14)/100*$C$5)</f>
        <v/>
      </c>
      <c r="G80" s="26" t="str">
        <f t="shared" ref="G80:G143" ca="1" si="19">IF(ISERROR(B80-2),"",(INT(A80)-INT($A$14))/360*$C$6*$C$5-(INT(A80)-INT($A$14))/360*$C$7*$C$5*$E$14/100)</f>
        <v/>
      </c>
      <c r="H80" s="53" t="str">
        <f t="shared" ref="H80:H143" ca="1" si="20">IF(COUNTIF(N:N,A80)=1,VLOOKUP(A80,T:U,2), IF(COUNTIF(N:N,A80)=0,$D$11,""))</f>
        <v/>
      </c>
      <c r="I80" s="25" t="str">
        <f t="shared" ref="I80:I143" ca="1" si="21">IF(ISERROR(B80-2),"",(H80/$H$14-1)*$D$5)</f>
        <v/>
      </c>
      <c r="J80" s="26"/>
      <c r="K80" s="114" t="str">
        <f ca="1">IF($A80="","",IF(COUNTIFS(INDEX(Dividends!$A:$T,0,$M$2),"&gt;"&amp;INT($A79),INDEX(Dividends!$A:$T,0,$M$2),"&lt;="&amp;INT($A80))=0,"",$G$4*SUMIFS(INDEX(Dividends!$A:$T,0,$M$2+1),INDEX(Dividends!$A:$T,0,$M$2),"&gt;"&amp;INT($A79),INDEX(Dividends!$A:$T,0,$M$2),"&lt;="&amp;INT($A80))))</f>
        <v/>
      </c>
      <c r="L80" s="55" t="str">
        <f ca="1">IF(ISERROR(B80-2),"",C80+D80-F80-G80+I80+J80+SUM($K$14:K80))</f>
        <v/>
      </c>
      <c r="N80" s="52">
        <f ca="1"/>
        <v>46113</v>
      </c>
      <c r="O80" s="39">
        <f ca="1"/>
        <v>88.724299999999999</v>
      </c>
      <c r="P80" s="52">
        <f ca="1"/>
        <v>46111</v>
      </c>
      <c r="Q80" s="39">
        <f ca="1"/>
        <v>98.445999999999998</v>
      </c>
      <c r="R80" s="52">
        <f ca="1"/>
        <v>46113</v>
      </c>
      <c r="S80" s="39">
        <f ca="1"/>
        <v>327.18900000000002</v>
      </c>
      <c r="T80" s="52">
        <f ca="1"/>
        <v>46113</v>
      </c>
      <c r="U80" s="39">
        <f ca="1"/>
        <v>244.02869999999999</v>
      </c>
      <c r="V80" s="52">
        <f t="shared" ca="1" si="11"/>
        <v>46113</v>
      </c>
      <c r="W80" s="97" t="str">
        <f t="shared" ca="1" si="12"/>
        <v/>
      </c>
    </row>
    <row r="81" spans="1:23" x14ac:dyDescent="0.25">
      <c r="A81" s="102" t="str">
        <f t="shared" ca="1" si="15"/>
        <v/>
      </c>
      <c r="B81" s="53" t="str">
        <f t="shared" ca="1" si="13"/>
        <v/>
      </c>
      <c r="C81" s="25" t="str">
        <f t="shared" ca="1" si="16"/>
        <v/>
      </c>
      <c r="D81" s="26" t="str">
        <f t="shared" ca="1" si="17"/>
        <v/>
      </c>
      <c r="E81" s="53" t="str">
        <f t="shared" ca="1" si="14"/>
        <v/>
      </c>
      <c r="F81" s="25" t="str">
        <f t="shared" ca="1" si="18"/>
        <v/>
      </c>
      <c r="G81" s="26" t="str">
        <f t="shared" ca="1" si="19"/>
        <v/>
      </c>
      <c r="H81" s="53" t="str">
        <f t="shared" ca="1" si="20"/>
        <v/>
      </c>
      <c r="I81" s="25" t="str">
        <f t="shared" ca="1" si="21"/>
        <v/>
      </c>
      <c r="J81" s="26"/>
      <c r="K81" s="114" t="str">
        <f ca="1">IF($A81="","",IF(COUNTIFS(INDEX(Dividends!$A:$T,0,$M$2),"&gt;"&amp;INT($A80),INDEX(Dividends!$A:$T,0,$M$2),"&lt;="&amp;INT($A81))=0,"",$G$4*SUMIFS(INDEX(Dividends!$A:$T,0,$M$2+1),INDEX(Dividends!$A:$T,0,$M$2),"&gt;"&amp;INT($A80),INDEX(Dividends!$A:$T,0,$M$2),"&lt;="&amp;INT($A81))))</f>
        <v/>
      </c>
      <c r="L81" s="55" t="str">
        <f ca="1">IF(ISERROR(B81-2),"",C81+D81-F81-G81+I81+J81+SUM($K$14:K81))</f>
        <v/>
      </c>
      <c r="N81" s="52">
        <f ca="1"/>
        <v>46114</v>
      </c>
      <c r="O81" s="39">
        <f ca="1"/>
        <v>88.882199999999997</v>
      </c>
      <c r="P81" s="52">
        <f ca="1"/>
        <v>46112</v>
      </c>
      <c r="Q81" s="39">
        <f ca="1"/>
        <v>98.484999999999999</v>
      </c>
      <c r="R81" s="52">
        <f ca="1"/>
        <v>46114</v>
      </c>
      <c r="S81" s="39">
        <f ca="1"/>
        <v>325.447</v>
      </c>
      <c r="T81" s="52">
        <f ca="1"/>
        <v>46114</v>
      </c>
      <c r="U81" s="39">
        <f ca="1"/>
        <v>244.23920000000001</v>
      </c>
      <c r="V81" s="52">
        <f t="shared" ca="1" si="11"/>
        <v>46114</v>
      </c>
      <c r="W81" s="97" t="str">
        <f t="shared" ca="1" si="12"/>
        <v/>
      </c>
    </row>
    <row r="82" spans="1:23" x14ac:dyDescent="0.25">
      <c r="A82" s="102" t="str">
        <f t="shared" ca="1" si="15"/>
        <v/>
      </c>
      <c r="B82" s="53" t="str">
        <f t="shared" ca="1" si="13"/>
        <v/>
      </c>
      <c r="C82" s="25" t="str">
        <f t="shared" ca="1" si="16"/>
        <v/>
      </c>
      <c r="D82" s="26" t="str">
        <f t="shared" ca="1" si="17"/>
        <v/>
      </c>
      <c r="E82" s="53" t="str">
        <f t="shared" ca="1" si="14"/>
        <v/>
      </c>
      <c r="F82" s="25" t="str">
        <f t="shared" ca="1" si="18"/>
        <v/>
      </c>
      <c r="G82" s="26" t="str">
        <f t="shared" ca="1" si="19"/>
        <v/>
      </c>
      <c r="H82" s="53" t="str">
        <f t="shared" ca="1" si="20"/>
        <v/>
      </c>
      <c r="I82" s="25" t="str">
        <f t="shared" ca="1" si="21"/>
        <v/>
      </c>
      <c r="J82" s="26"/>
      <c r="K82" s="114" t="str">
        <f ca="1">IF($A82="","",IF(COUNTIFS(INDEX(Dividends!$A:$T,0,$M$2),"&gt;"&amp;INT($A81),INDEX(Dividends!$A:$T,0,$M$2),"&lt;="&amp;INT($A82))=0,"",$G$4*SUMIFS(INDEX(Dividends!$A:$T,0,$M$2+1),INDEX(Dividends!$A:$T,0,$M$2),"&gt;"&amp;INT($A81),INDEX(Dividends!$A:$T,0,$M$2),"&lt;="&amp;INT($A82))))</f>
        <v/>
      </c>
      <c r="L82" s="55" t="str">
        <f ca="1">IF(ISERROR(B82-2),"",C82+D82-F82-G82+I82+J82+SUM($K$14:K82))</f>
        <v/>
      </c>
      <c r="N82" s="52">
        <f ca="1"/>
        <v>46119</v>
      </c>
      <c r="O82" s="39">
        <f ca="1"/>
        <v>88.358900000000006</v>
      </c>
      <c r="P82" s="52">
        <f ca="1"/>
        <v>46113</v>
      </c>
      <c r="Q82" s="39">
        <f ca="1"/>
        <v>98.543999999999997</v>
      </c>
      <c r="R82" s="52">
        <f ca="1"/>
        <v>46119</v>
      </c>
      <c r="S82" s="39">
        <f ca="1"/>
        <v>335.255</v>
      </c>
      <c r="T82" s="52">
        <f ca="1"/>
        <v>46119</v>
      </c>
      <c r="U82" s="39">
        <f ca="1"/>
        <v>243.34200000000001</v>
      </c>
      <c r="V82" s="52">
        <f t="shared" ca="1" si="11"/>
        <v>46119</v>
      </c>
      <c r="W82" s="97" t="str">
        <f t="shared" ca="1" si="12"/>
        <v/>
      </c>
    </row>
    <row r="83" spans="1:23" x14ac:dyDescent="0.25">
      <c r="A83" s="102" t="str">
        <f t="shared" ca="1" si="15"/>
        <v/>
      </c>
      <c r="B83" s="53" t="str">
        <f t="shared" ca="1" si="13"/>
        <v/>
      </c>
      <c r="C83" s="25" t="str">
        <f t="shared" ca="1" si="16"/>
        <v/>
      </c>
      <c r="D83" s="26" t="str">
        <f t="shared" ca="1" si="17"/>
        <v/>
      </c>
      <c r="E83" s="53" t="str">
        <f t="shared" ca="1" si="14"/>
        <v/>
      </c>
      <c r="F83" s="25" t="str">
        <f t="shared" ca="1" si="18"/>
        <v/>
      </c>
      <c r="G83" s="26" t="str">
        <f t="shared" ca="1" si="19"/>
        <v/>
      </c>
      <c r="H83" s="53" t="str">
        <f t="shared" ca="1" si="20"/>
        <v/>
      </c>
      <c r="I83" s="25" t="str">
        <f t="shared" ca="1" si="21"/>
        <v/>
      </c>
      <c r="J83" s="26"/>
      <c r="K83" s="114" t="str">
        <f ca="1">IF($A83="","",IF(COUNTIFS(INDEX(Dividends!$A:$T,0,$M$2),"&gt;"&amp;INT($A82),INDEX(Dividends!$A:$T,0,$M$2),"&lt;="&amp;INT($A83))=0,"",$G$4*SUMIFS(INDEX(Dividends!$A:$T,0,$M$2+1),INDEX(Dividends!$A:$T,0,$M$2),"&gt;"&amp;INT($A82),INDEX(Dividends!$A:$T,0,$M$2),"&lt;="&amp;INT($A83))))</f>
        <v/>
      </c>
      <c r="L83" s="55" t="str">
        <f ca="1">IF(ISERROR(B83-2),"",C83+D83-F83-G83+I83+J83+SUM($K$14:K83))</f>
        <v/>
      </c>
      <c r="N83" s="52">
        <f ca="1"/>
        <v>46120</v>
      </c>
      <c r="O83" s="39">
        <f ca="1"/>
        <v>89.642499999999998</v>
      </c>
      <c r="P83" s="52">
        <f ca="1"/>
        <v>46114</v>
      </c>
      <c r="Q83" s="39">
        <f ca="1"/>
        <v>98.518000000000001</v>
      </c>
      <c r="R83" s="52">
        <f ca="1"/>
        <v>46120</v>
      </c>
      <c r="S83" s="39">
        <f ca="1"/>
        <v>297.39699999999999</v>
      </c>
      <c r="T83" s="52">
        <f ca="1"/>
        <v>46120</v>
      </c>
      <c r="U83" s="39">
        <f ca="1"/>
        <v>247.41990000000001</v>
      </c>
      <c r="V83" s="52">
        <f t="shared" ca="1" si="11"/>
        <v>46120</v>
      </c>
      <c r="W83" s="97" t="str">
        <f t="shared" ca="1" si="12"/>
        <v/>
      </c>
    </row>
    <row r="84" spans="1:23" x14ac:dyDescent="0.25">
      <c r="A84" s="102" t="str">
        <f t="shared" ca="1" si="15"/>
        <v/>
      </c>
      <c r="B84" s="53" t="str">
        <f t="shared" ca="1" si="13"/>
        <v/>
      </c>
      <c r="C84" s="25" t="str">
        <f t="shared" ca="1" si="16"/>
        <v/>
      </c>
      <c r="D84" s="26" t="str">
        <f t="shared" ca="1" si="17"/>
        <v/>
      </c>
      <c r="E84" s="53" t="str">
        <f t="shared" ca="1" si="14"/>
        <v/>
      </c>
      <c r="F84" s="25" t="str">
        <f t="shared" ca="1" si="18"/>
        <v/>
      </c>
      <c r="G84" s="26" t="str">
        <f t="shared" ca="1" si="19"/>
        <v/>
      </c>
      <c r="H84" s="53" t="str">
        <f t="shared" ca="1" si="20"/>
        <v/>
      </c>
      <c r="I84" s="25" t="str">
        <f t="shared" ca="1" si="21"/>
        <v/>
      </c>
      <c r="J84" s="26"/>
      <c r="K84" s="114" t="str">
        <f ca="1">IF($A84="","",IF(COUNTIFS(INDEX(Dividends!$A:$T,0,$M$2),"&gt;"&amp;INT($A83),INDEX(Dividends!$A:$T,0,$M$2),"&lt;="&amp;INT($A84))=0,"",$G$4*SUMIFS(INDEX(Dividends!$A:$T,0,$M$2+1),INDEX(Dividends!$A:$T,0,$M$2),"&gt;"&amp;INT($A83),INDEX(Dividends!$A:$T,0,$M$2),"&lt;="&amp;INT($A84))))</f>
        <v/>
      </c>
      <c r="L84" s="55" t="str">
        <f ca="1">IF(ISERROR(B84-2),"",C84+D84-F84-G84+I84+J84+SUM($K$14:K84))</f>
        <v/>
      </c>
      <c r="N84" s="52">
        <f ca="1"/>
        <v>46121</v>
      </c>
      <c r="O84" s="39">
        <f ca="1"/>
        <v>89.563500000000005</v>
      </c>
      <c r="P84" s="52">
        <f ca="1"/>
        <v>46115</v>
      </c>
      <c r="Q84" s="39">
        <f ca="1"/>
        <v>98.518000000000001</v>
      </c>
      <c r="R84" s="52">
        <f ca="1"/>
        <v>46121</v>
      </c>
      <c r="S84" s="39">
        <f ca="1"/>
        <v>290.79300000000001</v>
      </c>
      <c r="T84" s="52">
        <f ca="1"/>
        <v>46121</v>
      </c>
      <c r="U84" s="39">
        <f ca="1"/>
        <v>248.24930000000001</v>
      </c>
      <c r="V84" s="52">
        <f t="shared" ca="1" si="11"/>
        <v>46121</v>
      </c>
      <c r="W84" s="97" t="str">
        <f t="shared" ca="1" si="12"/>
        <v/>
      </c>
    </row>
    <row r="85" spans="1:23" x14ac:dyDescent="0.25">
      <c r="A85" s="102" t="str">
        <f t="shared" ca="1" si="15"/>
        <v/>
      </c>
      <c r="B85" s="53" t="str">
        <f t="shared" ca="1" si="13"/>
        <v/>
      </c>
      <c r="C85" s="25" t="str">
        <f t="shared" ca="1" si="16"/>
        <v/>
      </c>
      <c r="D85" s="26" t="str">
        <f t="shared" ca="1" si="17"/>
        <v/>
      </c>
      <c r="E85" s="53" t="str">
        <f t="shared" ca="1" si="14"/>
        <v/>
      </c>
      <c r="F85" s="25" t="str">
        <f t="shared" ca="1" si="18"/>
        <v/>
      </c>
      <c r="G85" s="26" t="str">
        <f t="shared" ca="1" si="19"/>
        <v/>
      </c>
      <c r="H85" s="53" t="str">
        <f t="shared" ca="1" si="20"/>
        <v/>
      </c>
      <c r="I85" s="25" t="str">
        <f t="shared" ca="1" si="21"/>
        <v/>
      </c>
      <c r="J85" s="26"/>
      <c r="K85" s="114" t="str">
        <f ca="1">IF($A85="","",IF(COUNTIFS(INDEX(Dividends!$A:$T,0,$M$2),"&gt;"&amp;INT($A84),INDEX(Dividends!$A:$T,0,$M$2),"&lt;="&amp;INT($A85))=0,"",$G$4*SUMIFS(INDEX(Dividends!$A:$T,0,$M$2+1),INDEX(Dividends!$A:$T,0,$M$2),"&gt;"&amp;INT($A84),INDEX(Dividends!$A:$T,0,$M$2),"&lt;="&amp;INT($A85))))</f>
        <v/>
      </c>
      <c r="L85" s="55" t="str">
        <f ca="1">IF(ISERROR(B85-2),"",C85+D85-F85-G85+I85+J85+SUM($K$14:K85))</f>
        <v/>
      </c>
      <c r="N85" s="52">
        <f ca="1"/>
        <v>46122</v>
      </c>
      <c r="O85" s="39">
        <f ca="1"/>
        <v>89.444999999999993</v>
      </c>
      <c r="P85" s="52">
        <f ca="1"/>
        <v>46119</v>
      </c>
      <c r="Q85" s="39">
        <f ca="1"/>
        <v>98.233000000000004</v>
      </c>
      <c r="R85" s="52">
        <f ca="1"/>
        <v>46122</v>
      </c>
      <c r="S85" s="39">
        <f ca="1"/>
        <v>294.03300000000002</v>
      </c>
      <c r="T85" s="52">
        <f ca="1"/>
        <v>46122</v>
      </c>
      <c r="U85" s="39">
        <f ca="1"/>
        <v>248.2782</v>
      </c>
      <c r="V85" s="52">
        <f t="shared" ca="1" si="11"/>
        <v>46122</v>
      </c>
      <c r="W85" s="97" t="str">
        <f t="shared" ca="1" si="12"/>
        <v/>
      </c>
    </row>
    <row r="86" spans="1:23" x14ac:dyDescent="0.25">
      <c r="A86" s="102" t="str">
        <f t="shared" ca="1" si="15"/>
        <v/>
      </c>
      <c r="B86" s="53" t="str">
        <f t="shared" ca="1" si="13"/>
        <v/>
      </c>
      <c r="C86" s="25" t="str">
        <f t="shared" ca="1" si="16"/>
        <v/>
      </c>
      <c r="D86" s="26" t="str">
        <f t="shared" ca="1" si="17"/>
        <v/>
      </c>
      <c r="E86" s="53" t="str">
        <f t="shared" ca="1" si="14"/>
        <v/>
      </c>
      <c r="F86" s="25" t="str">
        <f t="shared" ca="1" si="18"/>
        <v/>
      </c>
      <c r="G86" s="26" t="str">
        <f t="shared" ca="1" si="19"/>
        <v/>
      </c>
      <c r="H86" s="53" t="str">
        <f t="shared" ca="1" si="20"/>
        <v/>
      </c>
      <c r="I86" s="25" t="str">
        <f t="shared" ca="1" si="21"/>
        <v/>
      </c>
      <c r="J86" s="26"/>
      <c r="K86" s="114" t="str">
        <f ca="1">IF($A86="","",IF(COUNTIFS(INDEX(Dividends!$A:$T,0,$M$2),"&gt;"&amp;INT($A85),INDEX(Dividends!$A:$T,0,$M$2),"&lt;="&amp;INT($A86))=0,"",$G$4*SUMIFS(INDEX(Dividends!$A:$T,0,$M$2+1),INDEX(Dividends!$A:$T,0,$M$2),"&gt;"&amp;INT($A85),INDEX(Dividends!$A:$T,0,$M$2),"&lt;="&amp;INT($A86))))</f>
        <v/>
      </c>
      <c r="L86" s="55" t="str">
        <f ca="1">IF(ISERROR(B86-2),"",C86+D86-F86-G86+I86+J86+SUM($K$14:K86))</f>
        <v/>
      </c>
      <c r="N86" s="52">
        <f ca="1"/>
        <v>46125</v>
      </c>
      <c r="O86" s="39">
        <f ca="1"/>
        <v>89.336399999999998</v>
      </c>
      <c r="P86" s="52">
        <f ca="1"/>
        <v>46120</v>
      </c>
      <c r="Q86" s="39">
        <f ca="1"/>
        <v>98.820999999999998</v>
      </c>
      <c r="R86" s="52">
        <f ca="1"/>
        <v>46125</v>
      </c>
      <c r="S86" s="39">
        <f ca="1"/>
        <v>295.34500000000003</v>
      </c>
      <c r="T86" s="52">
        <f ca="1"/>
        <v>46125</v>
      </c>
      <c r="U86" s="39">
        <f ca="1"/>
        <v>248.03890000000001</v>
      </c>
      <c r="V86" s="52">
        <f t="shared" ca="1" si="11"/>
        <v>46125</v>
      </c>
      <c r="W86" s="97" t="str">
        <f t="shared" ca="1" si="12"/>
        <v/>
      </c>
    </row>
    <row r="87" spans="1:23" x14ac:dyDescent="0.25">
      <c r="A87" s="102" t="str">
        <f t="shared" ca="1" si="15"/>
        <v/>
      </c>
      <c r="B87" s="53" t="str">
        <f t="shared" ca="1" si="13"/>
        <v/>
      </c>
      <c r="C87" s="25" t="str">
        <f t="shared" ca="1" si="16"/>
        <v/>
      </c>
      <c r="D87" s="26" t="str">
        <f t="shared" ca="1" si="17"/>
        <v/>
      </c>
      <c r="E87" s="53" t="str">
        <f t="shared" ca="1" si="14"/>
        <v/>
      </c>
      <c r="F87" s="25" t="str">
        <f t="shared" ca="1" si="18"/>
        <v/>
      </c>
      <c r="G87" s="26" t="str">
        <f t="shared" ca="1" si="19"/>
        <v/>
      </c>
      <c r="H87" s="53" t="str">
        <f t="shared" ca="1" si="20"/>
        <v/>
      </c>
      <c r="I87" s="25" t="str">
        <f t="shared" ca="1" si="21"/>
        <v/>
      </c>
      <c r="J87" s="26"/>
      <c r="K87" s="114" t="str">
        <f ca="1">IF($A87="","",IF(COUNTIFS(INDEX(Dividends!$A:$T,0,$M$2),"&gt;"&amp;INT($A86),INDEX(Dividends!$A:$T,0,$M$2),"&lt;="&amp;INT($A87))=0,"",$G$4*SUMIFS(INDEX(Dividends!$A:$T,0,$M$2+1),INDEX(Dividends!$A:$T,0,$M$2),"&gt;"&amp;INT($A86),INDEX(Dividends!$A:$T,0,$M$2),"&lt;="&amp;INT($A87))))</f>
        <v/>
      </c>
      <c r="L87" s="55" t="str">
        <f ca="1">IF(ISERROR(B87-2),"",C87+D87-F87-G87+I87+J87+SUM($K$14:K87))</f>
        <v/>
      </c>
      <c r="N87" s="52">
        <f ca="1"/>
        <v>46126</v>
      </c>
      <c r="O87" s="39">
        <f ca="1"/>
        <v>89.622799999999998</v>
      </c>
      <c r="P87" s="52">
        <f ca="1"/>
        <v>46121</v>
      </c>
      <c r="Q87" s="39">
        <f ca="1"/>
        <v>98.731999999999999</v>
      </c>
      <c r="R87" s="52">
        <f ca="1"/>
        <v>46126</v>
      </c>
      <c r="S87" s="39">
        <f ca="1"/>
        <v>281.303</v>
      </c>
      <c r="T87" s="52">
        <f ca="1"/>
        <v>46126</v>
      </c>
      <c r="U87" s="39">
        <f ca="1"/>
        <v>249.5992</v>
      </c>
      <c r="V87" s="52">
        <f t="shared" ca="1" si="11"/>
        <v>46126</v>
      </c>
      <c r="W87" s="97" t="str">
        <f t="shared" ca="1" si="12"/>
        <v/>
      </c>
    </row>
    <row r="88" spans="1:23" x14ac:dyDescent="0.25">
      <c r="A88" s="102" t="str">
        <f t="shared" ca="1" si="15"/>
        <v/>
      </c>
      <c r="B88" s="53" t="str">
        <f t="shared" ca="1" si="13"/>
        <v/>
      </c>
      <c r="C88" s="25" t="str">
        <f t="shared" ca="1" si="16"/>
        <v/>
      </c>
      <c r="D88" s="26" t="str">
        <f t="shared" ca="1" si="17"/>
        <v/>
      </c>
      <c r="E88" s="53" t="str">
        <f t="shared" ca="1" si="14"/>
        <v/>
      </c>
      <c r="F88" s="25" t="str">
        <f t="shared" ca="1" si="18"/>
        <v/>
      </c>
      <c r="G88" s="26" t="str">
        <f t="shared" ca="1" si="19"/>
        <v/>
      </c>
      <c r="H88" s="53" t="str">
        <f t="shared" ca="1" si="20"/>
        <v/>
      </c>
      <c r="I88" s="25" t="str">
        <f t="shared" ca="1" si="21"/>
        <v/>
      </c>
      <c r="J88" s="26"/>
      <c r="K88" s="114" t="str">
        <f ca="1">IF($A88="","",IF(COUNTIFS(INDEX(Dividends!$A:$T,0,$M$2),"&gt;"&amp;INT($A87),INDEX(Dividends!$A:$T,0,$M$2),"&lt;="&amp;INT($A88))=0,"",$G$4*SUMIFS(INDEX(Dividends!$A:$T,0,$M$2+1),INDEX(Dividends!$A:$T,0,$M$2),"&gt;"&amp;INT($A87),INDEX(Dividends!$A:$T,0,$M$2),"&lt;="&amp;INT($A88))))</f>
        <v/>
      </c>
      <c r="L88" s="55" t="str">
        <f ca="1">IF(ISERROR(B88-2),"",C88+D88-F88-G88+I88+J88+SUM($K$14:K88))</f>
        <v/>
      </c>
      <c r="N88" s="52">
        <f ca="1"/>
        <v>46127</v>
      </c>
      <c r="O88" s="39">
        <f ca="1"/>
        <v>89.701700000000002</v>
      </c>
      <c r="P88" s="52">
        <f ca="1"/>
        <v>46122</v>
      </c>
      <c r="Q88" s="39">
        <f ca="1"/>
        <v>98.510999999999996</v>
      </c>
      <c r="R88" s="52">
        <f ca="1"/>
        <v>46127</v>
      </c>
      <c r="S88" s="39">
        <f ca="1"/>
        <v>283.45699999999999</v>
      </c>
      <c r="T88" s="52">
        <f ca="1"/>
        <v>46127</v>
      </c>
      <c r="U88" s="39">
        <f ca="1"/>
        <v>249.53909999999999</v>
      </c>
      <c r="V88" s="52">
        <f t="shared" ca="1" si="11"/>
        <v>46127</v>
      </c>
      <c r="W88" s="97" t="str">
        <f t="shared" ca="1" si="12"/>
        <v/>
      </c>
    </row>
    <row r="89" spans="1:23" x14ac:dyDescent="0.25">
      <c r="A89" s="102" t="str">
        <f t="shared" ca="1" si="15"/>
        <v/>
      </c>
      <c r="B89" s="53" t="str">
        <f t="shared" ca="1" si="13"/>
        <v/>
      </c>
      <c r="C89" s="25" t="str">
        <f t="shared" ca="1" si="16"/>
        <v/>
      </c>
      <c r="D89" s="26" t="str">
        <f t="shared" ca="1" si="17"/>
        <v/>
      </c>
      <c r="E89" s="53" t="str">
        <f t="shared" ca="1" si="14"/>
        <v/>
      </c>
      <c r="F89" s="25" t="str">
        <f t="shared" ca="1" si="18"/>
        <v/>
      </c>
      <c r="G89" s="26" t="str">
        <f t="shared" ca="1" si="19"/>
        <v/>
      </c>
      <c r="H89" s="53" t="str">
        <f t="shared" ca="1" si="20"/>
        <v/>
      </c>
      <c r="I89" s="25" t="str">
        <f t="shared" ca="1" si="21"/>
        <v/>
      </c>
      <c r="J89" s="26"/>
      <c r="K89" s="114" t="str">
        <f ca="1">IF($A89="","",IF(COUNTIFS(INDEX(Dividends!$A:$T,0,$M$2),"&gt;"&amp;INT($A88),INDEX(Dividends!$A:$T,0,$M$2),"&lt;="&amp;INT($A89))=0,"",$G$4*SUMIFS(INDEX(Dividends!$A:$T,0,$M$2+1),INDEX(Dividends!$A:$T,0,$M$2),"&gt;"&amp;INT($A88),INDEX(Dividends!$A:$T,0,$M$2),"&lt;="&amp;INT($A89))))</f>
        <v/>
      </c>
      <c r="L89" s="55" t="str">
        <f ca="1">IF(ISERROR(B89-2),"",C89+D89-F89-G89+I89+J89+SUM($K$14:K89))</f>
        <v/>
      </c>
      <c r="N89" s="52">
        <f ca="1"/>
        <v>46128</v>
      </c>
      <c r="O89" s="39">
        <f ca="1"/>
        <v>89.751099999999994</v>
      </c>
      <c r="P89" s="52">
        <f ca="1"/>
        <v>46125</v>
      </c>
      <c r="Q89" s="39">
        <f ca="1"/>
        <v>98.393000000000001</v>
      </c>
      <c r="R89" s="52">
        <f ca="1"/>
        <v>46128</v>
      </c>
      <c r="S89" s="39">
        <f ca="1"/>
        <v>287.08800000000002</v>
      </c>
      <c r="T89" s="52">
        <f ca="1"/>
        <v>46128</v>
      </c>
      <c r="U89" s="39">
        <f ca="1"/>
        <v>249.1765</v>
      </c>
      <c r="V89" s="52">
        <f t="shared" ca="1" si="11"/>
        <v>46128</v>
      </c>
      <c r="W89" s="97" t="str">
        <f t="shared" ca="1" si="12"/>
        <v/>
      </c>
    </row>
    <row r="90" spans="1:23" x14ac:dyDescent="0.25">
      <c r="A90" s="102" t="str">
        <f t="shared" ca="1" si="15"/>
        <v/>
      </c>
      <c r="B90" s="53" t="str">
        <f t="shared" ca="1" si="13"/>
        <v/>
      </c>
      <c r="C90" s="25" t="str">
        <f t="shared" ca="1" si="16"/>
        <v/>
      </c>
      <c r="D90" s="26" t="str">
        <f t="shared" ca="1" si="17"/>
        <v/>
      </c>
      <c r="E90" s="53" t="str">
        <f t="shared" ca="1" si="14"/>
        <v/>
      </c>
      <c r="F90" s="25" t="str">
        <f t="shared" ca="1" si="18"/>
        <v/>
      </c>
      <c r="G90" s="26" t="str">
        <f t="shared" ca="1" si="19"/>
        <v/>
      </c>
      <c r="H90" s="53" t="str">
        <f t="shared" ca="1" si="20"/>
        <v/>
      </c>
      <c r="I90" s="25" t="str">
        <f t="shared" ca="1" si="21"/>
        <v/>
      </c>
      <c r="J90" s="26"/>
      <c r="K90" s="114" t="str">
        <f ca="1">IF($A90="","",IF(COUNTIFS(INDEX(Dividends!$A:$T,0,$M$2),"&gt;"&amp;INT($A89),INDEX(Dividends!$A:$T,0,$M$2),"&lt;="&amp;INT($A90))=0,"",$G$4*SUMIFS(INDEX(Dividends!$A:$T,0,$M$2+1),INDEX(Dividends!$A:$T,0,$M$2),"&gt;"&amp;INT($A89),INDEX(Dividends!$A:$T,0,$M$2),"&lt;="&amp;INT($A90))))</f>
        <v/>
      </c>
      <c r="L90" s="55" t="str">
        <f ca="1">IF(ISERROR(B90-2),"",C90+D90-F90-G90+I90+J90+SUM($K$14:K90))</f>
        <v/>
      </c>
      <c r="N90" s="52">
        <f ca="1"/>
        <v>46129</v>
      </c>
      <c r="O90" s="39">
        <f ca="1"/>
        <v>90.185599999999994</v>
      </c>
      <c r="P90" s="52">
        <f ca="1"/>
        <v>46126</v>
      </c>
      <c r="Q90" s="39">
        <f ca="1"/>
        <v>98.668999999999997</v>
      </c>
      <c r="R90" s="52">
        <f ca="1"/>
        <v>46129</v>
      </c>
      <c r="S90" s="39">
        <f ca="1"/>
        <v>275.86700000000002</v>
      </c>
      <c r="T90" s="52">
        <f ca="1"/>
        <v>46129</v>
      </c>
      <c r="U90" s="39">
        <f ca="1"/>
        <v>250.45760000000001</v>
      </c>
      <c r="V90" s="52">
        <f t="shared" ca="1" si="11"/>
        <v>46129</v>
      </c>
      <c r="W90" s="97" t="str">
        <f t="shared" ca="1" si="12"/>
        <v/>
      </c>
    </row>
    <row r="91" spans="1:23" x14ac:dyDescent="0.25">
      <c r="A91" s="102" t="str">
        <f t="shared" ca="1" si="15"/>
        <v/>
      </c>
      <c r="B91" s="53" t="str">
        <f t="shared" ca="1" si="13"/>
        <v/>
      </c>
      <c r="C91" s="25" t="str">
        <f t="shared" ca="1" si="16"/>
        <v/>
      </c>
      <c r="D91" s="26" t="str">
        <f t="shared" ca="1" si="17"/>
        <v/>
      </c>
      <c r="E91" s="53" t="str">
        <f t="shared" ca="1" si="14"/>
        <v/>
      </c>
      <c r="F91" s="25" t="str">
        <f t="shared" ca="1" si="18"/>
        <v/>
      </c>
      <c r="G91" s="26" t="str">
        <f t="shared" ca="1" si="19"/>
        <v/>
      </c>
      <c r="H91" s="53" t="str">
        <f t="shared" ca="1" si="20"/>
        <v/>
      </c>
      <c r="I91" s="25" t="str">
        <f t="shared" ca="1" si="21"/>
        <v/>
      </c>
      <c r="J91" s="26"/>
      <c r="K91" s="114" t="str">
        <f ca="1">IF($A91="","",IF(COUNTIFS(INDEX(Dividends!$A:$T,0,$M$2),"&gt;"&amp;INT($A90),INDEX(Dividends!$A:$T,0,$M$2),"&lt;="&amp;INT($A91))=0,"",$G$4*SUMIFS(INDEX(Dividends!$A:$T,0,$M$2+1),INDEX(Dividends!$A:$T,0,$M$2),"&gt;"&amp;INT($A90),INDEX(Dividends!$A:$T,0,$M$2),"&lt;="&amp;INT($A91))))</f>
        <v/>
      </c>
      <c r="L91" s="55" t="str">
        <f ca="1">IF(ISERROR(B91-2),"",C91+D91-F91-G91+I91+J91+SUM($K$14:K91))</f>
        <v/>
      </c>
      <c r="N91" s="52">
        <f ca="1"/>
        <v>46132</v>
      </c>
      <c r="O91" s="39">
        <f ca="1"/>
        <v>89.958500000000001</v>
      </c>
      <c r="P91" s="52">
        <f ca="1"/>
        <v>46127</v>
      </c>
      <c r="Q91" s="39">
        <f ca="1"/>
        <v>98.649000000000001</v>
      </c>
      <c r="R91" s="52">
        <f ca="1"/>
        <v>46132</v>
      </c>
      <c r="S91" s="39">
        <f ca="1"/>
        <v>279.73</v>
      </c>
      <c r="T91" s="52">
        <f ca="1"/>
        <v>46132</v>
      </c>
      <c r="U91" s="39">
        <f ca="1"/>
        <v>250.11789999999999</v>
      </c>
      <c r="V91" s="52">
        <f t="shared" ca="1" si="11"/>
        <v>46132</v>
      </c>
      <c r="W91" s="97" t="str">
        <f t="shared" ca="1" si="12"/>
        <v/>
      </c>
    </row>
    <row r="92" spans="1:23" x14ac:dyDescent="0.25">
      <c r="A92" s="102" t="str">
        <f t="shared" ca="1" si="15"/>
        <v/>
      </c>
      <c r="B92" s="53" t="str">
        <f t="shared" ca="1" si="13"/>
        <v/>
      </c>
      <c r="C92" s="25" t="str">
        <f t="shared" ca="1" si="16"/>
        <v/>
      </c>
      <c r="D92" s="26" t="str">
        <f t="shared" ca="1" si="17"/>
        <v/>
      </c>
      <c r="E92" s="53" t="str">
        <f t="shared" ca="1" si="14"/>
        <v/>
      </c>
      <c r="F92" s="25" t="str">
        <f t="shared" ca="1" si="18"/>
        <v/>
      </c>
      <c r="G92" s="26" t="str">
        <f t="shared" ca="1" si="19"/>
        <v/>
      </c>
      <c r="H92" s="53" t="str">
        <f t="shared" ca="1" si="20"/>
        <v/>
      </c>
      <c r="I92" s="25" t="str">
        <f t="shared" ca="1" si="21"/>
        <v/>
      </c>
      <c r="J92" s="26"/>
      <c r="K92" s="114" t="str">
        <f ca="1">IF($A92="","",IF(COUNTIFS(INDEX(Dividends!$A:$T,0,$M$2),"&gt;"&amp;INT($A91),INDEX(Dividends!$A:$T,0,$M$2),"&lt;="&amp;INT($A92))=0,"",$G$4*SUMIFS(INDEX(Dividends!$A:$T,0,$M$2+1),INDEX(Dividends!$A:$T,0,$M$2),"&gt;"&amp;INT($A91),INDEX(Dividends!$A:$T,0,$M$2),"&lt;="&amp;INT($A92))))</f>
        <v/>
      </c>
      <c r="L92" s="55" t="str">
        <f ca="1">IF(ISERROR(B92-2),"",C92+D92-F92-G92+I92+J92+SUM($K$14:K92))</f>
        <v/>
      </c>
      <c r="N92" s="52">
        <f ca="1"/>
        <v>46133</v>
      </c>
      <c r="O92" s="39">
        <f ca="1"/>
        <v>89.8202</v>
      </c>
      <c r="P92" s="52">
        <f ca="1"/>
        <v>46128</v>
      </c>
      <c r="Q92" s="39">
        <f ca="1"/>
        <v>98.721000000000004</v>
      </c>
      <c r="R92" s="52">
        <f ca="1"/>
        <v>46133</v>
      </c>
      <c r="S92" s="39">
        <f ca="1"/>
        <v>285.02300000000002</v>
      </c>
      <c r="T92" s="52">
        <f ca="1"/>
        <v>46133</v>
      </c>
      <c r="U92" s="39">
        <f ca="1"/>
        <v>249.51689999999999</v>
      </c>
      <c r="V92" s="52">
        <f t="shared" ca="1" si="11"/>
        <v>46133</v>
      </c>
      <c r="W92" s="97" t="str">
        <f t="shared" ca="1" si="12"/>
        <v/>
      </c>
    </row>
    <row r="93" spans="1:23" x14ac:dyDescent="0.25">
      <c r="A93" s="102" t="str">
        <f t="shared" ca="1" si="15"/>
        <v/>
      </c>
      <c r="B93" s="53" t="str">
        <f t="shared" ca="1" si="13"/>
        <v/>
      </c>
      <c r="C93" s="25" t="str">
        <f t="shared" ca="1" si="16"/>
        <v/>
      </c>
      <c r="D93" s="26" t="str">
        <f t="shared" ca="1" si="17"/>
        <v/>
      </c>
      <c r="E93" s="53" t="str">
        <f t="shared" ca="1" si="14"/>
        <v/>
      </c>
      <c r="F93" s="25" t="str">
        <f t="shared" ca="1" si="18"/>
        <v/>
      </c>
      <c r="G93" s="26" t="str">
        <f t="shared" ca="1" si="19"/>
        <v/>
      </c>
      <c r="H93" s="53" t="str">
        <f t="shared" ca="1" si="20"/>
        <v/>
      </c>
      <c r="I93" s="25" t="str">
        <f t="shared" ca="1" si="21"/>
        <v/>
      </c>
      <c r="J93" s="26"/>
      <c r="K93" s="114" t="str">
        <f ca="1">IF($A93="","",IF(COUNTIFS(INDEX(Dividends!$A:$T,0,$M$2),"&gt;"&amp;INT($A92),INDEX(Dividends!$A:$T,0,$M$2),"&lt;="&amp;INT($A93))=0,"",$G$4*SUMIFS(INDEX(Dividends!$A:$T,0,$M$2+1),INDEX(Dividends!$A:$T,0,$M$2),"&gt;"&amp;INT($A92),INDEX(Dividends!$A:$T,0,$M$2),"&lt;="&amp;INT($A93))))</f>
        <v/>
      </c>
      <c r="L93" s="55" t="str">
        <f ca="1">IF(ISERROR(B93-2),"",C93+D93-F93-G93+I93+J93+SUM($K$14:K93))</f>
        <v/>
      </c>
      <c r="N93" s="52">
        <f ca="1"/>
        <v>46134</v>
      </c>
      <c r="O93" s="39">
        <f ca="1"/>
        <v>89.830100000000002</v>
      </c>
      <c r="P93" s="52">
        <f ca="1"/>
        <v>46129</v>
      </c>
      <c r="Q93" s="39">
        <f ca="1"/>
        <v>99.004999999999995</v>
      </c>
      <c r="R93" s="52">
        <f ca="1"/>
        <v>46134</v>
      </c>
      <c r="S93" s="39">
        <f ca="1"/>
        <v>285.94499999999999</v>
      </c>
      <c r="T93" s="52">
        <f ca="1"/>
        <v>46134</v>
      </c>
      <c r="U93" s="39">
        <f ca="1"/>
        <v>249.46960000000001</v>
      </c>
      <c r="V93" s="52">
        <f t="shared" ca="1" si="11"/>
        <v>46134</v>
      </c>
      <c r="W93" s="97" t="str">
        <f t="shared" ca="1" si="12"/>
        <v/>
      </c>
    </row>
    <row r="94" spans="1:23" x14ac:dyDescent="0.25">
      <c r="A94" s="102" t="str">
        <f t="shared" ca="1" si="15"/>
        <v/>
      </c>
      <c r="B94" s="53" t="str">
        <f t="shared" ca="1" si="13"/>
        <v/>
      </c>
      <c r="C94" s="25" t="str">
        <f t="shared" ca="1" si="16"/>
        <v/>
      </c>
      <c r="D94" s="26" t="str">
        <f t="shared" ca="1" si="17"/>
        <v/>
      </c>
      <c r="E94" s="53" t="str">
        <f t="shared" ca="1" si="14"/>
        <v/>
      </c>
      <c r="F94" s="25" t="str">
        <f t="shared" ca="1" si="18"/>
        <v/>
      </c>
      <c r="G94" s="26" t="str">
        <f t="shared" ca="1" si="19"/>
        <v/>
      </c>
      <c r="H94" s="53" t="str">
        <f t="shared" ca="1" si="20"/>
        <v/>
      </c>
      <c r="I94" s="25" t="str">
        <f t="shared" ca="1" si="21"/>
        <v/>
      </c>
      <c r="J94" s="26"/>
      <c r="K94" s="114" t="str">
        <f ca="1">IF($A94="","",IF(COUNTIFS(INDEX(Dividends!$A:$T,0,$M$2),"&gt;"&amp;INT($A93),INDEX(Dividends!$A:$T,0,$M$2),"&lt;="&amp;INT($A94))=0,"",$G$4*SUMIFS(INDEX(Dividends!$A:$T,0,$M$2+1),INDEX(Dividends!$A:$T,0,$M$2),"&gt;"&amp;INT($A93),INDEX(Dividends!$A:$T,0,$M$2),"&lt;="&amp;INT($A94))))</f>
        <v/>
      </c>
      <c r="L94" s="55" t="str">
        <f ca="1">IF(ISERROR(B94-2),"",C94+D94-F94-G94+I94+J94+SUM($K$14:K94))</f>
        <v/>
      </c>
      <c r="N94" s="52">
        <f ca="1"/>
        <v>46135</v>
      </c>
      <c r="O94" s="39">
        <f ca="1"/>
        <v>89.830100000000002</v>
      </c>
      <c r="P94" s="52">
        <f ca="1"/>
        <v>46132</v>
      </c>
      <c r="Q94" s="39">
        <f ca="1"/>
        <v>98.89</v>
      </c>
      <c r="R94" s="52">
        <f ca="1"/>
        <v>46135</v>
      </c>
      <c r="S94" s="39">
        <f ca="1"/>
        <v>288.49599999999998</v>
      </c>
      <c r="T94" s="52">
        <f ca="1"/>
        <v>46135</v>
      </c>
      <c r="U94" s="39">
        <f ca="1"/>
        <v>249.30770000000001</v>
      </c>
      <c r="V94" s="52">
        <f t="shared" ca="1" si="11"/>
        <v>46135</v>
      </c>
      <c r="W94" s="97" t="str">
        <f t="shared" ca="1" si="12"/>
        <v/>
      </c>
    </row>
    <row r="95" spans="1:23" x14ac:dyDescent="0.25">
      <c r="A95" s="102" t="str">
        <f t="shared" ca="1" si="15"/>
        <v/>
      </c>
      <c r="B95" s="53" t="str">
        <f t="shared" ca="1" si="13"/>
        <v/>
      </c>
      <c r="C95" s="25" t="str">
        <f t="shared" ca="1" si="16"/>
        <v/>
      </c>
      <c r="D95" s="26" t="str">
        <f t="shared" ca="1" si="17"/>
        <v/>
      </c>
      <c r="E95" s="53" t="str">
        <f t="shared" ca="1" si="14"/>
        <v/>
      </c>
      <c r="F95" s="25" t="str">
        <f t="shared" ca="1" si="18"/>
        <v/>
      </c>
      <c r="G95" s="26" t="str">
        <f t="shared" ca="1" si="19"/>
        <v/>
      </c>
      <c r="H95" s="53" t="str">
        <f t="shared" ca="1" si="20"/>
        <v/>
      </c>
      <c r="I95" s="25" t="str">
        <f t="shared" ca="1" si="21"/>
        <v/>
      </c>
      <c r="J95" s="26"/>
      <c r="K95" s="114" t="str">
        <f ca="1">IF($A95="","",IF(COUNTIFS(INDEX(Dividends!$A:$T,0,$M$2),"&gt;"&amp;INT($A94),INDEX(Dividends!$A:$T,0,$M$2),"&lt;="&amp;INT($A95))=0,"",$G$4*SUMIFS(INDEX(Dividends!$A:$T,0,$M$2+1),INDEX(Dividends!$A:$T,0,$M$2),"&gt;"&amp;INT($A94),INDEX(Dividends!$A:$T,0,$M$2),"&lt;="&amp;INT($A95))))</f>
        <v/>
      </c>
      <c r="L95" s="55" t="str">
        <f ca="1">IF(ISERROR(B95-2),"",C95+D95-F95-G95+I95+J95+SUM($K$14:K95))</f>
        <v/>
      </c>
      <c r="N95" s="52">
        <f ca="1"/>
        <v>46136</v>
      </c>
      <c r="O95" s="39">
        <f ca="1"/>
        <v>89.731399999999994</v>
      </c>
      <c r="P95" s="52">
        <f ca="1"/>
        <v>46133</v>
      </c>
      <c r="Q95" s="39">
        <f ca="1"/>
        <v>98.742000000000004</v>
      </c>
      <c r="R95" s="52">
        <f ca="1"/>
        <v>46136</v>
      </c>
      <c r="S95" s="39">
        <f ca="1"/>
        <v>287.25799999999998</v>
      </c>
      <c r="T95" s="52">
        <f ca="1"/>
        <v>46136</v>
      </c>
      <c r="U95" s="39">
        <f ca="1"/>
        <v>249.20050000000001</v>
      </c>
      <c r="V95" s="52">
        <f t="shared" ca="1" si="11"/>
        <v>46136</v>
      </c>
      <c r="W95" s="97" t="str">
        <f t="shared" ca="1" si="12"/>
        <v/>
      </c>
    </row>
    <row r="96" spans="1:23" x14ac:dyDescent="0.25">
      <c r="A96" s="102" t="str">
        <f t="shared" ca="1" si="15"/>
        <v/>
      </c>
      <c r="B96" s="53" t="str">
        <f t="shared" ca="1" si="13"/>
        <v/>
      </c>
      <c r="C96" s="25" t="str">
        <f t="shared" ca="1" si="16"/>
        <v/>
      </c>
      <c r="D96" s="26" t="str">
        <f t="shared" ca="1" si="17"/>
        <v/>
      </c>
      <c r="E96" s="53" t="str">
        <f t="shared" ca="1" si="14"/>
        <v/>
      </c>
      <c r="F96" s="25" t="str">
        <f t="shared" ca="1" si="18"/>
        <v/>
      </c>
      <c r="G96" s="26" t="str">
        <f t="shared" ca="1" si="19"/>
        <v/>
      </c>
      <c r="H96" s="53" t="str">
        <f t="shared" ca="1" si="20"/>
        <v/>
      </c>
      <c r="I96" s="25" t="str">
        <f t="shared" ca="1" si="21"/>
        <v/>
      </c>
      <c r="J96" s="26"/>
      <c r="K96" s="114" t="str">
        <f ca="1">IF($A96="","",IF(COUNTIFS(INDEX(Dividends!$A:$T,0,$M$2),"&gt;"&amp;INT($A95),INDEX(Dividends!$A:$T,0,$M$2),"&lt;="&amp;INT($A96))=0,"",$G$4*SUMIFS(INDEX(Dividends!$A:$T,0,$M$2+1),INDEX(Dividends!$A:$T,0,$M$2),"&gt;"&amp;INT($A95),INDEX(Dividends!$A:$T,0,$M$2),"&lt;="&amp;INT($A96))))</f>
        <v/>
      </c>
      <c r="L96" s="55" t="str">
        <f ca="1">IF(ISERROR(B96-2),"",C96+D96-F96-G96+I96+J96+SUM($K$14:K96))</f>
        <v/>
      </c>
      <c r="N96" s="52">
        <f ca="1"/>
        <v>46139</v>
      </c>
      <c r="O96" s="39">
        <f ca="1"/>
        <v>89.8005</v>
      </c>
      <c r="P96" s="52">
        <f ca="1"/>
        <v>46134</v>
      </c>
      <c r="Q96" s="39">
        <f ca="1"/>
        <v>98.656999999999996</v>
      </c>
      <c r="R96" s="52">
        <f ca="1"/>
        <v>46139</v>
      </c>
      <c r="S96" s="39">
        <f ca="1"/>
        <v>288.53300000000002</v>
      </c>
      <c r="T96" s="52">
        <f ca="1"/>
        <v>46139</v>
      </c>
      <c r="U96" s="39">
        <f ca="1"/>
        <v>249.10599999999999</v>
      </c>
      <c r="V96" s="52">
        <f t="shared" ca="1" si="11"/>
        <v>46139</v>
      </c>
      <c r="W96" s="97" t="str">
        <f t="shared" ca="1" si="12"/>
        <v/>
      </c>
    </row>
    <row r="97" spans="1:23" x14ac:dyDescent="0.25">
      <c r="A97" s="102" t="str">
        <f t="shared" ca="1" si="15"/>
        <v/>
      </c>
      <c r="B97" s="53" t="str">
        <f t="shared" ca="1" si="13"/>
        <v/>
      </c>
      <c r="C97" s="25" t="str">
        <f t="shared" ca="1" si="16"/>
        <v/>
      </c>
      <c r="D97" s="26" t="str">
        <f t="shared" ca="1" si="17"/>
        <v/>
      </c>
      <c r="E97" s="53" t="str">
        <f t="shared" ca="1" si="14"/>
        <v/>
      </c>
      <c r="F97" s="25" t="str">
        <f t="shared" ca="1" si="18"/>
        <v/>
      </c>
      <c r="G97" s="26" t="str">
        <f t="shared" ca="1" si="19"/>
        <v/>
      </c>
      <c r="H97" s="53" t="str">
        <f t="shared" ca="1" si="20"/>
        <v/>
      </c>
      <c r="I97" s="25" t="str">
        <f t="shared" ca="1" si="21"/>
        <v/>
      </c>
      <c r="J97" s="26"/>
      <c r="K97" s="114" t="str">
        <f ca="1">IF($A97="","",IF(COUNTIFS(INDEX(Dividends!$A:$T,0,$M$2),"&gt;"&amp;INT($A96),INDEX(Dividends!$A:$T,0,$M$2),"&lt;="&amp;INT($A97))=0,"",$G$4*SUMIFS(INDEX(Dividends!$A:$T,0,$M$2+1),INDEX(Dividends!$A:$T,0,$M$2),"&gt;"&amp;INT($A96),INDEX(Dividends!$A:$T,0,$M$2),"&lt;="&amp;INT($A97))))</f>
        <v/>
      </c>
      <c r="L97" s="55" t="str">
        <f ca="1">IF(ISERROR(B97-2),"",C97+D97-F97-G97+I97+J97+SUM($K$14:K97))</f>
        <v/>
      </c>
      <c r="N97" s="52">
        <f ca="1"/>
        <v>46140</v>
      </c>
      <c r="O97" s="39">
        <f ca="1"/>
        <v>89.632599999999996</v>
      </c>
      <c r="P97" s="52">
        <f ca="1"/>
        <v>46135</v>
      </c>
      <c r="Q97" s="39">
        <f ca="1"/>
        <v>98.635000000000005</v>
      </c>
      <c r="R97" s="52">
        <f ca="1"/>
        <v>46140</v>
      </c>
      <c r="S97" s="39">
        <f ca="1"/>
        <v>292.154</v>
      </c>
      <c r="T97" s="52">
        <f ca="1"/>
        <v>46140</v>
      </c>
      <c r="U97" s="39">
        <f ca="1"/>
        <v>248.827</v>
      </c>
      <c r="V97" s="52">
        <f t="shared" ca="1" si="11"/>
        <v>46140</v>
      </c>
      <c r="W97" s="97" t="str">
        <f t="shared" ca="1" si="12"/>
        <v/>
      </c>
    </row>
    <row r="98" spans="1:23" x14ac:dyDescent="0.25">
      <c r="A98" s="102" t="str">
        <f t="shared" ca="1" si="15"/>
        <v/>
      </c>
      <c r="B98" s="53" t="str">
        <f t="shared" ca="1" si="13"/>
        <v/>
      </c>
      <c r="C98" s="25" t="str">
        <f t="shared" ca="1" si="16"/>
        <v/>
      </c>
      <c r="D98" s="26" t="str">
        <f t="shared" ca="1" si="17"/>
        <v/>
      </c>
      <c r="E98" s="53" t="str">
        <f t="shared" ca="1" si="14"/>
        <v/>
      </c>
      <c r="F98" s="25" t="str">
        <f t="shared" ca="1" si="18"/>
        <v/>
      </c>
      <c r="G98" s="26" t="str">
        <f t="shared" ca="1" si="19"/>
        <v/>
      </c>
      <c r="H98" s="53" t="str">
        <f t="shared" ca="1" si="20"/>
        <v/>
      </c>
      <c r="I98" s="25" t="str">
        <f t="shared" ca="1" si="21"/>
        <v/>
      </c>
      <c r="J98" s="26"/>
      <c r="K98" s="114" t="str">
        <f ca="1">IF($A98="","",IF(COUNTIFS(INDEX(Dividends!$A:$T,0,$M$2),"&gt;"&amp;INT($A97),INDEX(Dividends!$A:$T,0,$M$2),"&lt;="&amp;INT($A98))=0,"",$G$4*SUMIFS(INDEX(Dividends!$A:$T,0,$M$2+1),INDEX(Dividends!$A:$T,0,$M$2),"&gt;"&amp;INT($A97),INDEX(Dividends!$A:$T,0,$M$2),"&lt;="&amp;INT($A98))))</f>
        <v/>
      </c>
      <c r="L98" s="55" t="str">
        <f ca="1">IF(ISERROR(B98-2),"",C98+D98-F98-G98+I98+J98+SUM($K$14:K98))</f>
        <v/>
      </c>
      <c r="N98" s="52">
        <f ca="1"/>
        <v>46141</v>
      </c>
      <c r="O98" s="39">
        <f ca="1"/>
        <v>89.528999999999996</v>
      </c>
      <c r="P98" s="52">
        <f ca="1"/>
        <v>46136</v>
      </c>
      <c r="Q98" s="39">
        <f ca="1"/>
        <v>98.691999999999993</v>
      </c>
      <c r="R98" s="52">
        <f ca="1"/>
        <v>46141</v>
      </c>
      <c r="S98" s="39">
        <f ca="1"/>
        <v>297.69</v>
      </c>
      <c r="T98" s="52">
        <f ca="1"/>
        <v>46141</v>
      </c>
      <c r="U98" s="39">
        <f ca="1"/>
        <v>248.28469999999999</v>
      </c>
      <c r="V98" s="52">
        <f t="shared" ca="1" si="11"/>
        <v>46141</v>
      </c>
      <c r="W98" s="97" t="str">
        <f t="shared" ca="1" si="12"/>
        <v/>
      </c>
    </row>
    <row r="99" spans="1:23" x14ac:dyDescent="0.25">
      <c r="A99" s="102" t="str">
        <f t="shared" ca="1" si="15"/>
        <v/>
      </c>
      <c r="B99" s="53" t="str">
        <f t="shared" ca="1" si="13"/>
        <v/>
      </c>
      <c r="C99" s="25" t="str">
        <f t="shared" ca="1" si="16"/>
        <v/>
      </c>
      <c r="D99" s="26" t="str">
        <f t="shared" ca="1" si="17"/>
        <v/>
      </c>
      <c r="E99" s="53" t="str">
        <f t="shared" ca="1" si="14"/>
        <v/>
      </c>
      <c r="F99" s="25" t="str">
        <f t="shared" ca="1" si="18"/>
        <v/>
      </c>
      <c r="G99" s="26" t="str">
        <f t="shared" ca="1" si="19"/>
        <v/>
      </c>
      <c r="H99" s="53" t="str">
        <f t="shared" ca="1" si="20"/>
        <v/>
      </c>
      <c r="I99" s="25" t="str">
        <f t="shared" ca="1" si="21"/>
        <v/>
      </c>
      <c r="J99" s="26"/>
      <c r="K99" s="114" t="str">
        <f ca="1">IF($A99="","",IF(COUNTIFS(INDEX(Dividends!$A:$T,0,$M$2),"&gt;"&amp;INT($A98),INDEX(Dividends!$A:$T,0,$M$2),"&lt;="&amp;INT($A99))=0,"",$G$4*SUMIFS(INDEX(Dividends!$A:$T,0,$M$2+1),INDEX(Dividends!$A:$T,0,$M$2),"&gt;"&amp;INT($A98),INDEX(Dividends!$A:$T,0,$M$2),"&lt;="&amp;INT($A99))))</f>
        <v/>
      </c>
      <c r="L99" s="55" t="str">
        <f ca="1">IF(ISERROR(B99-2),"",C99+D99-F99-G99+I99+J99+SUM($K$14:K99))</f>
        <v/>
      </c>
      <c r="N99" s="52">
        <f ca="1"/>
        <v>46142</v>
      </c>
      <c r="O99" s="39">
        <f ca="1"/>
        <v>89.770899999999997</v>
      </c>
      <c r="P99" s="52">
        <f ca="1"/>
        <v>46139</v>
      </c>
      <c r="Q99" s="39">
        <f ca="1"/>
        <v>98.608000000000004</v>
      </c>
      <c r="R99" s="52">
        <f ca="1"/>
        <v>46142</v>
      </c>
      <c r="S99" s="39">
        <f ca="1"/>
        <v>292.53100000000001</v>
      </c>
      <c r="T99" s="52">
        <f ca="1"/>
        <v>46142</v>
      </c>
      <c r="U99" s="39">
        <f ca="1"/>
        <v>248.685</v>
      </c>
      <c r="V99" s="52">
        <f t="shared" ca="1" si="11"/>
        <v>46142</v>
      </c>
      <c r="W99" s="97" t="str">
        <f t="shared" ca="1" si="12"/>
        <v/>
      </c>
    </row>
    <row r="100" spans="1:23" x14ac:dyDescent="0.25">
      <c r="A100" s="102" t="str">
        <f t="shared" ca="1" si="15"/>
        <v/>
      </c>
      <c r="B100" s="53" t="str">
        <f t="shared" ca="1" si="13"/>
        <v/>
      </c>
      <c r="C100" s="25" t="str">
        <f t="shared" ca="1" si="16"/>
        <v/>
      </c>
      <c r="D100" s="26" t="str">
        <f t="shared" ca="1" si="17"/>
        <v/>
      </c>
      <c r="E100" s="53" t="str">
        <f t="shared" ca="1" si="14"/>
        <v/>
      </c>
      <c r="F100" s="25" t="str">
        <f t="shared" ca="1" si="18"/>
        <v/>
      </c>
      <c r="G100" s="26" t="str">
        <f t="shared" ca="1" si="19"/>
        <v/>
      </c>
      <c r="H100" s="53" t="str">
        <f t="shared" ca="1" si="20"/>
        <v/>
      </c>
      <c r="I100" s="25" t="str">
        <f t="shared" ca="1" si="21"/>
        <v/>
      </c>
      <c r="J100" s="26"/>
      <c r="K100" s="114" t="str">
        <f ca="1">IF($A100="","",IF(COUNTIFS(INDEX(Dividends!$A:$T,0,$M$2),"&gt;"&amp;INT($A99),INDEX(Dividends!$A:$T,0,$M$2),"&lt;="&amp;INT($A100))=0,"",$G$4*SUMIFS(INDEX(Dividends!$A:$T,0,$M$2+1),INDEX(Dividends!$A:$T,0,$M$2),"&gt;"&amp;INT($A99),INDEX(Dividends!$A:$T,0,$M$2),"&lt;="&amp;INT($A100))))</f>
        <v/>
      </c>
      <c r="L100" s="55" t="str">
        <f ca="1">IF(ISERROR(B100-2),"",C100+D100-F100-G100+I100+J100+SUM($K$14:K100))</f>
        <v/>
      </c>
      <c r="N100" s="52">
        <f ca="1"/>
        <v>46143</v>
      </c>
      <c r="O100" s="39">
        <f ca="1"/>
        <v>89.909099999999995</v>
      </c>
      <c r="P100" s="52">
        <f ca="1"/>
        <v>46140</v>
      </c>
      <c r="Q100" s="39">
        <f ca="1"/>
        <v>98.418999999999997</v>
      </c>
      <c r="R100" s="52">
        <f ca="1"/>
        <v>46143</v>
      </c>
      <c r="S100" s="39">
        <f ca="1"/>
        <v>284.60300000000001</v>
      </c>
      <c r="T100" s="52">
        <f ca="1"/>
        <v>46143</v>
      </c>
      <c r="U100" s="39">
        <f ca="1"/>
        <v>249.75620000000001</v>
      </c>
      <c r="V100" s="52">
        <f t="shared" ca="1" si="11"/>
        <v>46143</v>
      </c>
      <c r="W100" s="97" t="str">
        <f t="shared" ca="1" si="12"/>
        <v/>
      </c>
    </row>
    <row r="101" spans="1:23" x14ac:dyDescent="0.25">
      <c r="A101" s="102" t="str">
        <f t="shared" ca="1" si="15"/>
        <v/>
      </c>
      <c r="B101" s="53" t="str">
        <f t="shared" ca="1" si="13"/>
        <v/>
      </c>
      <c r="C101" s="25" t="str">
        <f t="shared" ca="1" si="16"/>
        <v/>
      </c>
      <c r="D101" s="26" t="str">
        <f t="shared" ca="1" si="17"/>
        <v/>
      </c>
      <c r="E101" s="53" t="str">
        <f t="shared" ca="1" si="14"/>
        <v/>
      </c>
      <c r="F101" s="25" t="str">
        <f t="shared" ca="1" si="18"/>
        <v/>
      </c>
      <c r="G101" s="26" t="str">
        <f t="shared" ca="1" si="19"/>
        <v/>
      </c>
      <c r="H101" s="53" t="str">
        <f t="shared" ca="1" si="20"/>
        <v/>
      </c>
      <c r="I101" s="25" t="str">
        <f t="shared" ca="1" si="21"/>
        <v/>
      </c>
      <c r="J101" s="26"/>
      <c r="K101" s="114" t="str">
        <f ca="1">IF($A101="","",IF(COUNTIFS(INDEX(Dividends!$A:$T,0,$M$2),"&gt;"&amp;INT($A100),INDEX(Dividends!$A:$T,0,$M$2),"&lt;="&amp;INT($A101))=0,"",$G$4*SUMIFS(INDEX(Dividends!$A:$T,0,$M$2+1),INDEX(Dividends!$A:$T,0,$M$2),"&gt;"&amp;INT($A100),INDEX(Dividends!$A:$T,0,$M$2),"&lt;="&amp;INT($A101))))</f>
        <v/>
      </c>
      <c r="L101" s="55" t="str">
        <f ca="1">IF(ISERROR(B101-2),"",C101+D101-F101-G101+I101+J101+SUM($K$14:K101))</f>
        <v/>
      </c>
      <c r="N101" s="52">
        <f ca="1"/>
        <v>46147</v>
      </c>
      <c r="O101" s="39">
        <f ca="1"/>
        <v>89.790599999999998</v>
      </c>
      <c r="P101" s="52">
        <f ca="1"/>
        <v>46141</v>
      </c>
      <c r="Q101" s="39">
        <f ca="1"/>
        <v>98.194999999999993</v>
      </c>
      <c r="R101" s="52">
        <f ca="1"/>
        <v>46147</v>
      </c>
      <c r="S101" s="39">
        <f ca="1"/>
        <v>287.411</v>
      </c>
      <c r="T101" s="52">
        <f ca="1"/>
        <v>46147</v>
      </c>
      <c r="U101" s="39">
        <f ca="1"/>
        <v>249.4753</v>
      </c>
      <c r="V101" s="52">
        <f t="shared" ca="1" si="11"/>
        <v>46147</v>
      </c>
      <c r="W101" s="97" t="str">
        <f t="shared" ca="1" si="12"/>
        <v/>
      </c>
    </row>
    <row r="102" spans="1:23" x14ac:dyDescent="0.25">
      <c r="A102" s="102" t="str">
        <f t="shared" ca="1" si="15"/>
        <v/>
      </c>
      <c r="B102" s="53" t="str">
        <f t="shared" ca="1" si="13"/>
        <v/>
      </c>
      <c r="C102" s="25" t="str">
        <f t="shared" ca="1" si="16"/>
        <v/>
      </c>
      <c r="D102" s="26" t="str">
        <f t="shared" ca="1" si="17"/>
        <v/>
      </c>
      <c r="E102" s="53" t="str">
        <f t="shared" ca="1" si="14"/>
        <v/>
      </c>
      <c r="F102" s="25" t="str">
        <f t="shared" ca="1" si="18"/>
        <v/>
      </c>
      <c r="G102" s="26" t="str">
        <f t="shared" ca="1" si="19"/>
        <v/>
      </c>
      <c r="H102" s="53" t="str">
        <f t="shared" ca="1" si="20"/>
        <v/>
      </c>
      <c r="I102" s="25" t="str">
        <f t="shared" ca="1" si="21"/>
        <v/>
      </c>
      <c r="J102" s="26"/>
      <c r="K102" s="114" t="str">
        <f ca="1">IF($A102="","",IF(COUNTIFS(INDEX(Dividends!$A:$T,0,$M$2),"&gt;"&amp;INT($A101),INDEX(Dividends!$A:$T,0,$M$2),"&lt;="&amp;INT($A102))=0,"",$G$4*SUMIFS(INDEX(Dividends!$A:$T,0,$M$2+1),INDEX(Dividends!$A:$T,0,$M$2),"&gt;"&amp;INT($A101),INDEX(Dividends!$A:$T,0,$M$2),"&lt;="&amp;INT($A102))))</f>
        <v/>
      </c>
      <c r="L102" s="55" t="str">
        <f ca="1">IF(ISERROR(B102-2),"",C102+D102-F102-G102+I102+J102+SUM($K$14:K102))</f>
        <v/>
      </c>
      <c r="N102" s="52">
        <f ca="1"/>
        <v>46148</v>
      </c>
      <c r="O102" s="39">
        <f ca="1"/>
        <v>90.165800000000004</v>
      </c>
      <c r="P102" s="52">
        <f ca="1"/>
        <v>46142</v>
      </c>
      <c r="Q102" s="39">
        <f ca="1"/>
        <v>98.462999999999994</v>
      </c>
      <c r="R102" s="52">
        <f ca="1"/>
        <v>46148</v>
      </c>
      <c r="S102" s="39">
        <f ca="1"/>
        <v>275.23200000000003</v>
      </c>
      <c r="T102" s="52">
        <f ca="1"/>
        <v>46148</v>
      </c>
      <c r="U102" s="39">
        <f ca="1"/>
        <v>250.94749999999999</v>
      </c>
      <c r="V102" s="52">
        <f t="shared" ca="1" si="11"/>
        <v>46148</v>
      </c>
      <c r="W102" s="97" t="str">
        <f t="shared" ca="1" si="12"/>
        <v/>
      </c>
    </row>
    <row r="103" spans="1:23" x14ac:dyDescent="0.25">
      <c r="A103" s="102" t="str">
        <f t="shared" ca="1" si="15"/>
        <v/>
      </c>
      <c r="B103" s="53" t="str">
        <f t="shared" ca="1" si="13"/>
        <v/>
      </c>
      <c r="C103" s="25" t="str">
        <f t="shared" ca="1" si="16"/>
        <v/>
      </c>
      <c r="D103" s="26" t="str">
        <f t="shared" ca="1" si="17"/>
        <v/>
      </c>
      <c r="E103" s="53" t="str">
        <f t="shared" ca="1" si="14"/>
        <v/>
      </c>
      <c r="F103" s="25" t="str">
        <f t="shared" ca="1" si="18"/>
        <v/>
      </c>
      <c r="G103" s="26" t="str">
        <f t="shared" ca="1" si="19"/>
        <v/>
      </c>
      <c r="H103" s="53" t="str">
        <f t="shared" ca="1" si="20"/>
        <v/>
      </c>
      <c r="I103" s="25" t="str">
        <f t="shared" ca="1" si="21"/>
        <v/>
      </c>
      <c r="J103" s="26"/>
      <c r="K103" s="114" t="str">
        <f ca="1">IF($A103="","",IF(COUNTIFS(INDEX(Dividends!$A:$T,0,$M$2),"&gt;"&amp;INT($A102),INDEX(Dividends!$A:$T,0,$M$2),"&lt;="&amp;INT($A103))=0,"",$G$4*SUMIFS(INDEX(Dividends!$A:$T,0,$M$2+1),INDEX(Dividends!$A:$T,0,$M$2),"&gt;"&amp;INT($A102),INDEX(Dividends!$A:$T,0,$M$2),"&lt;="&amp;INT($A103))))</f>
        <v/>
      </c>
      <c r="L103" s="55" t="str">
        <f ca="1">IF(ISERROR(B103-2),"",C103+D103-F103-G103+I103+J103+SUM($K$14:K103))</f>
        <v/>
      </c>
      <c r="N103" s="52">
        <f ca="1"/>
        <v>46149</v>
      </c>
      <c r="O103" s="39">
        <f ca="1"/>
        <v>90.116399999999999</v>
      </c>
      <c r="P103" s="52">
        <f ca="1"/>
        <v>46143</v>
      </c>
      <c r="Q103" s="39">
        <f ca="1"/>
        <v>98.462999999999994</v>
      </c>
      <c r="R103" s="52">
        <f ca="1"/>
        <v>46149</v>
      </c>
      <c r="S103" s="39">
        <f ca="1"/>
        <v>278.976</v>
      </c>
      <c r="T103" s="52">
        <f ca="1"/>
        <v>46149</v>
      </c>
      <c r="U103" s="39">
        <f ca="1"/>
        <v>250.63929999999999</v>
      </c>
      <c r="V103" s="52">
        <f t="shared" ca="1" si="11"/>
        <v>46149</v>
      </c>
      <c r="W103" s="97" t="str">
        <f t="shared" ca="1" si="12"/>
        <v/>
      </c>
    </row>
    <row r="104" spans="1:23" x14ac:dyDescent="0.25">
      <c r="A104" s="102" t="str">
        <f t="shared" ca="1" si="15"/>
        <v/>
      </c>
      <c r="B104" s="53" t="str">
        <f t="shared" ca="1" si="13"/>
        <v/>
      </c>
      <c r="C104" s="25" t="str">
        <f t="shared" ca="1" si="16"/>
        <v/>
      </c>
      <c r="D104" s="26" t="str">
        <f t="shared" ca="1" si="17"/>
        <v/>
      </c>
      <c r="E104" s="53" t="str">
        <f t="shared" ca="1" si="14"/>
        <v/>
      </c>
      <c r="F104" s="25" t="str">
        <f t="shared" ca="1" si="18"/>
        <v/>
      </c>
      <c r="G104" s="26" t="str">
        <f t="shared" ca="1" si="19"/>
        <v/>
      </c>
      <c r="H104" s="53" t="str">
        <f t="shared" ca="1" si="20"/>
        <v/>
      </c>
      <c r="I104" s="25" t="str">
        <f t="shared" ca="1" si="21"/>
        <v/>
      </c>
      <c r="J104" s="26"/>
      <c r="K104" s="114" t="str">
        <f ca="1">IF($A104="","",IF(COUNTIFS(INDEX(Dividends!$A:$T,0,$M$2),"&gt;"&amp;INT($A103),INDEX(Dividends!$A:$T,0,$M$2),"&lt;="&amp;INT($A104))=0,"",$G$4*SUMIFS(INDEX(Dividends!$A:$T,0,$M$2+1),INDEX(Dividends!$A:$T,0,$M$2),"&gt;"&amp;INT($A103),INDEX(Dividends!$A:$T,0,$M$2),"&lt;="&amp;INT($A104))))</f>
        <v/>
      </c>
      <c r="L104" s="55" t="str">
        <f ca="1">IF(ISERROR(B104-2),"",C104+D104-F104-G104+I104+J104+SUM($K$14:K104))</f>
        <v/>
      </c>
      <c r="N104" s="52">
        <f ca="1"/>
        <v>46150</v>
      </c>
      <c r="O104" s="39">
        <f ca="1"/>
        <v>90.185599999999994</v>
      </c>
      <c r="P104" s="52">
        <f ca="1"/>
        <v>46146</v>
      </c>
      <c r="Q104" s="39">
        <f ca="1"/>
        <v>98.251999999999995</v>
      </c>
      <c r="R104" s="52">
        <f ca="1"/>
        <v>46150</v>
      </c>
      <c r="S104" s="39">
        <f ca="1"/>
        <v>277.91800000000001</v>
      </c>
      <c r="T104" s="52">
        <f ca="1"/>
        <v>46150</v>
      </c>
      <c r="U104" s="39">
        <f ca="1"/>
        <v>250.6848</v>
      </c>
      <c r="V104" s="52">
        <f t="shared" ca="1" si="11"/>
        <v>46150</v>
      </c>
      <c r="W104" s="97" t="str">
        <f t="shared" ca="1" si="12"/>
        <v/>
      </c>
    </row>
    <row r="105" spans="1:23" x14ac:dyDescent="0.25">
      <c r="A105" s="102" t="str">
        <f t="shared" ca="1" si="15"/>
        <v/>
      </c>
      <c r="B105" s="53" t="str">
        <f t="shared" ca="1" si="13"/>
        <v/>
      </c>
      <c r="C105" s="25" t="str">
        <f t="shared" ca="1" si="16"/>
        <v/>
      </c>
      <c r="D105" s="26" t="str">
        <f t="shared" ca="1" si="17"/>
        <v/>
      </c>
      <c r="E105" s="53" t="str">
        <f t="shared" ca="1" si="14"/>
        <v/>
      </c>
      <c r="F105" s="25" t="str">
        <f t="shared" ca="1" si="18"/>
        <v/>
      </c>
      <c r="G105" s="26" t="str">
        <f t="shared" ca="1" si="19"/>
        <v/>
      </c>
      <c r="H105" s="53" t="str">
        <f t="shared" ca="1" si="20"/>
        <v/>
      </c>
      <c r="I105" s="25" t="str">
        <f t="shared" ca="1" si="21"/>
        <v/>
      </c>
      <c r="J105" s="26"/>
      <c r="K105" s="114" t="str">
        <f ca="1">IF($A105="","",IF(COUNTIFS(INDEX(Dividends!$A:$T,0,$M$2),"&gt;"&amp;INT($A104),INDEX(Dividends!$A:$T,0,$M$2),"&lt;="&amp;INT($A105))=0,"",$G$4*SUMIFS(INDEX(Dividends!$A:$T,0,$M$2+1),INDEX(Dividends!$A:$T,0,$M$2),"&gt;"&amp;INT($A104),INDEX(Dividends!$A:$T,0,$M$2),"&lt;="&amp;INT($A105))))</f>
        <v/>
      </c>
      <c r="L105" s="55" t="str">
        <f ca="1">IF(ISERROR(B105-2),"",C105+D105-F105-G105+I105+J105+SUM($K$14:K105))</f>
        <v/>
      </c>
      <c r="N105" s="52">
        <f ca="1"/>
        <v>46153</v>
      </c>
      <c r="O105" s="39">
        <f ca="1"/>
        <v>90.318799999999996</v>
      </c>
      <c r="P105" s="52">
        <f ca="1"/>
        <v>46147</v>
      </c>
      <c r="Q105" s="39">
        <f ca="1"/>
        <v>98.394000000000005</v>
      </c>
      <c r="R105" s="52">
        <f ca="1"/>
        <v>46153</v>
      </c>
      <c r="S105" s="39">
        <f ca="1"/>
        <v>276.47399999999999</v>
      </c>
      <c r="T105" s="52">
        <f ca="1"/>
        <v>46153</v>
      </c>
      <c r="U105" s="39">
        <f ca="1"/>
        <v>250.97389999999999</v>
      </c>
      <c r="V105" s="52">
        <f t="shared" ca="1" si="11"/>
        <v>46153</v>
      </c>
      <c r="W105" s="97" t="str">
        <f t="shared" ca="1" si="12"/>
        <v/>
      </c>
    </row>
    <row r="106" spans="1:23" x14ac:dyDescent="0.25">
      <c r="A106" s="102" t="str">
        <f t="shared" ca="1" si="15"/>
        <v/>
      </c>
      <c r="B106" s="53" t="str">
        <f t="shared" ca="1" si="13"/>
        <v/>
      </c>
      <c r="C106" s="25" t="str">
        <f t="shared" ca="1" si="16"/>
        <v/>
      </c>
      <c r="D106" s="26" t="str">
        <f t="shared" ca="1" si="17"/>
        <v/>
      </c>
      <c r="E106" s="53" t="str">
        <f t="shared" ca="1" si="14"/>
        <v/>
      </c>
      <c r="F106" s="25" t="str">
        <f t="shared" ca="1" si="18"/>
        <v/>
      </c>
      <c r="G106" s="26" t="str">
        <f t="shared" ca="1" si="19"/>
        <v/>
      </c>
      <c r="H106" s="53" t="str">
        <f t="shared" ca="1" si="20"/>
        <v/>
      </c>
      <c r="I106" s="25" t="str">
        <f t="shared" ca="1" si="21"/>
        <v/>
      </c>
      <c r="J106" s="26"/>
      <c r="K106" s="114" t="str">
        <f ca="1">IF($A106="","",IF(COUNTIFS(INDEX(Dividends!$A:$T,0,$M$2),"&gt;"&amp;INT($A105),INDEX(Dividends!$A:$T,0,$M$2),"&lt;="&amp;INT($A106))=0,"",$G$4*SUMIFS(INDEX(Dividends!$A:$T,0,$M$2+1),INDEX(Dividends!$A:$T,0,$M$2),"&gt;"&amp;INT($A105),INDEX(Dividends!$A:$T,0,$M$2),"&lt;="&amp;INT($A106))))</f>
        <v/>
      </c>
      <c r="L106" s="55" t="str">
        <f ca="1">IF(ISERROR(B106-2),"",C106+D106-F106-G106+I106+J106+SUM($K$14:K106))</f>
        <v/>
      </c>
      <c r="N106" s="52">
        <f ca="1"/>
        <v>46154</v>
      </c>
      <c r="O106" s="39">
        <f ca="1"/>
        <v>90.155900000000003</v>
      </c>
      <c r="P106" s="52">
        <f ca="1"/>
        <v>46148</v>
      </c>
      <c r="Q106" s="39">
        <f ca="1"/>
        <v>98.664000000000001</v>
      </c>
      <c r="R106" s="52">
        <f ca="1"/>
        <v>46154</v>
      </c>
      <c r="S106" s="39">
        <f ca="1"/>
        <v>284.12599999999998</v>
      </c>
      <c r="T106" s="52">
        <f ca="1"/>
        <v>46154</v>
      </c>
      <c r="U106" s="39">
        <f ca="1"/>
        <v>250.0761</v>
      </c>
      <c r="V106" s="52">
        <f t="shared" ca="1" si="11"/>
        <v>46154</v>
      </c>
      <c r="W106" s="97" t="str">
        <f t="shared" ca="1" si="12"/>
        <v/>
      </c>
    </row>
    <row r="107" spans="1:23" x14ac:dyDescent="0.25">
      <c r="A107" s="102" t="str">
        <f t="shared" ca="1" si="15"/>
        <v/>
      </c>
      <c r="B107" s="53" t="str">
        <f t="shared" ca="1" si="13"/>
        <v/>
      </c>
      <c r="C107" s="25" t="str">
        <f t="shared" ca="1" si="16"/>
        <v/>
      </c>
      <c r="D107" s="26" t="str">
        <f t="shared" ca="1" si="17"/>
        <v/>
      </c>
      <c r="E107" s="53" t="str">
        <f t="shared" ca="1" si="14"/>
        <v/>
      </c>
      <c r="F107" s="25" t="str">
        <f t="shared" ca="1" si="18"/>
        <v/>
      </c>
      <c r="G107" s="26" t="str">
        <f t="shared" ca="1" si="19"/>
        <v/>
      </c>
      <c r="H107" s="53" t="str">
        <f t="shared" ca="1" si="20"/>
        <v/>
      </c>
      <c r="I107" s="25" t="str">
        <f t="shared" ca="1" si="21"/>
        <v/>
      </c>
      <c r="J107" s="26"/>
      <c r="K107" s="114" t="str">
        <f ca="1">IF($A107="","",IF(COUNTIFS(INDEX(Dividends!$A:$T,0,$M$2),"&gt;"&amp;INT($A106),INDEX(Dividends!$A:$T,0,$M$2),"&lt;="&amp;INT($A107))=0,"",$G$4*SUMIFS(INDEX(Dividends!$A:$T,0,$M$2+1),INDEX(Dividends!$A:$T,0,$M$2),"&gt;"&amp;INT($A106),INDEX(Dividends!$A:$T,0,$M$2),"&lt;="&amp;INT($A107))))</f>
        <v/>
      </c>
      <c r="L107" s="55" t="str">
        <f ca="1">IF(ISERROR(B107-2),"",C107+D107-F107-G107+I107+J107+SUM($K$14:K107))</f>
        <v/>
      </c>
      <c r="N107" s="52">
        <f ca="1"/>
        <v>46155</v>
      </c>
      <c r="O107" s="39">
        <f ca="1"/>
        <v>90.126300000000001</v>
      </c>
      <c r="P107" s="52">
        <f ca="1"/>
        <v>46149</v>
      </c>
      <c r="Q107" s="39">
        <f ca="1"/>
        <v>98.643000000000001</v>
      </c>
      <c r="R107" s="52">
        <f ca="1"/>
        <v>46155</v>
      </c>
      <c r="S107" s="39">
        <f ca="1"/>
        <v>278.68400000000003</v>
      </c>
      <c r="T107" s="52">
        <f ca="1"/>
        <v>46155</v>
      </c>
      <c r="U107" s="39">
        <f ca="1"/>
        <v>250.61799999999999</v>
      </c>
      <c r="V107" s="52">
        <f t="shared" ca="1" si="11"/>
        <v>46155</v>
      </c>
      <c r="W107" s="97" t="str">
        <f t="shared" ca="1" si="12"/>
        <v/>
      </c>
    </row>
    <row r="108" spans="1:23" x14ac:dyDescent="0.25">
      <c r="A108" s="102" t="str">
        <f t="shared" ca="1" si="15"/>
        <v/>
      </c>
      <c r="B108" s="53" t="str">
        <f t="shared" ca="1" si="13"/>
        <v/>
      </c>
      <c r="C108" s="25" t="str">
        <f t="shared" ca="1" si="16"/>
        <v/>
      </c>
      <c r="D108" s="26" t="str">
        <f t="shared" ca="1" si="17"/>
        <v/>
      </c>
      <c r="E108" s="53" t="str">
        <f t="shared" ca="1" si="14"/>
        <v/>
      </c>
      <c r="F108" s="25" t="str">
        <f t="shared" ca="1" si="18"/>
        <v/>
      </c>
      <c r="G108" s="26" t="str">
        <f t="shared" ca="1" si="19"/>
        <v/>
      </c>
      <c r="H108" s="53" t="str">
        <f t="shared" ca="1" si="20"/>
        <v/>
      </c>
      <c r="I108" s="25" t="str">
        <f t="shared" ca="1" si="21"/>
        <v/>
      </c>
      <c r="J108" s="26"/>
      <c r="K108" s="114" t="str">
        <f ca="1">IF($A108="","",IF(COUNTIFS(INDEX(Dividends!$A:$T,0,$M$2),"&gt;"&amp;INT($A107),INDEX(Dividends!$A:$T,0,$M$2),"&lt;="&amp;INT($A108))=0,"",$G$4*SUMIFS(INDEX(Dividends!$A:$T,0,$M$2+1),INDEX(Dividends!$A:$T,0,$M$2),"&gt;"&amp;INT($A107),INDEX(Dividends!$A:$T,0,$M$2),"&lt;="&amp;INT($A108))))</f>
        <v/>
      </c>
      <c r="L108" s="55" t="str">
        <f ca="1">IF(ISERROR(B108-2),"",C108+D108-F108-G108+I108+J108+SUM($K$14:K108))</f>
        <v/>
      </c>
      <c r="N108" s="52">
        <f ca="1"/>
        <v>46156</v>
      </c>
      <c r="O108" s="39">
        <f ca="1"/>
        <v>90.304000000000002</v>
      </c>
      <c r="P108" s="52">
        <f ca="1"/>
        <v>46150</v>
      </c>
      <c r="Q108" s="39">
        <f ca="1"/>
        <v>98.605999999999995</v>
      </c>
      <c r="R108" s="52">
        <f ca="1"/>
        <v>46156</v>
      </c>
      <c r="S108" s="39">
        <f ca="1"/>
        <v>273.61</v>
      </c>
      <c r="T108" s="52">
        <f ca="1"/>
        <v>46156</v>
      </c>
      <c r="U108" s="39">
        <f ca="1"/>
        <v>251.22890000000001</v>
      </c>
      <c r="V108" s="52">
        <f t="shared" ca="1" si="11"/>
        <v>46156</v>
      </c>
      <c r="W108" s="97" t="str">
        <f t="shared" ca="1" si="12"/>
        <v/>
      </c>
    </row>
    <row r="109" spans="1:23" x14ac:dyDescent="0.25">
      <c r="A109" s="102" t="str">
        <f t="shared" ca="1" si="15"/>
        <v/>
      </c>
      <c r="B109" s="53" t="str">
        <f t="shared" ca="1" si="13"/>
        <v/>
      </c>
      <c r="C109" s="25" t="str">
        <f t="shared" ca="1" si="16"/>
        <v/>
      </c>
      <c r="D109" s="26" t="str">
        <f t="shared" ca="1" si="17"/>
        <v/>
      </c>
      <c r="E109" s="53" t="str">
        <f t="shared" ca="1" si="14"/>
        <v/>
      </c>
      <c r="F109" s="25" t="str">
        <f t="shared" ca="1" si="18"/>
        <v/>
      </c>
      <c r="G109" s="26" t="str">
        <f t="shared" ca="1" si="19"/>
        <v/>
      </c>
      <c r="H109" s="53" t="str">
        <f t="shared" ca="1" si="20"/>
        <v/>
      </c>
      <c r="I109" s="25" t="str">
        <f t="shared" ca="1" si="21"/>
        <v/>
      </c>
      <c r="J109" s="26"/>
      <c r="K109" s="114" t="str">
        <f ca="1">IF($A109="","",IF(COUNTIFS(INDEX(Dividends!$A:$T,0,$M$2),"&gt;"&amp;INT($A108),INDEX(Dividends!$A:$T,0,$M$2),"&lt;="&amp;INT($A109))=0,"",$G$4*SUMIFS(INDEX(Dividends!$A:$T,0,$M$2+1),INDEX(Dividends!$A:$T,0,$M$2),"&gt;"&amp;INT($A108),INDEX(Dividends!$A:$T,0,$M$2),"&lt;="&amp;INT($A109))))</f>
        <v/>
      </c>
      <c r="L109" s="55" t="str">
        <f ca="1">IF(ISERROR(B109-2),"",C109+D109-F109-G109+I109+J109+SUM($K$14:K109))</f>
        <v/>
      </c>
      <c r="N109" s="52">
        <f ca="1"/>
        <v>46157</v>
      </c>
      <c r="O109" s="39">
        <f ca="1"/>
        <v>90.096699999999998</v>
      </c>
      <c r="P109" s="52">
        <f ca="1"/>
        <v>46153</v>
      </c>
      <c r="Q109" s="39">
        <f ca="1"/>
        <v>98.486000000000004</v>
      </c>
      <c r="R109" s="52">
        <f ca="1"/>
        <v>46157</v>
      </c>
      <c r="S109" s="39">
        <f ca="1"/>
        <v>282.07</v>
      </c>
      <c r="T109" s="52">
        <f ca="1"/>
        <v>46157</v>
      </c>
      <c r="U109" s="39">
        <f ca="1"/>
        <v>250.38300000000001</v>
      </c>
      <c r="V109" s="52">
        <f t="shared" ca="1" si="11"/>
        <v>46157</v>
      </c>
      <c r="W109" s="97" t="str">
        <f t="shared" ca="1" si="12"/>
        <v/>
      </c>
    </row>
    <row r="110" spans="1:23" x14ac:dyDescent="0.25">
      <c r="A110" s="102" t="str">
        <f t="shared" ca="1" si="15"/>
        <v/>
      </c>
      <c r="B110" s="53" t="str">
        <f t="shared" ca="1" si="13"/>
        <v/>
      </c>
      <c r="C110" s="25" t="str">
        <f t="shared" ca="1" si="16"/>
        <v/>
      </c>
      <c r="D110" s="26" t="str">
        <f t="shared" ca="1" si="17"/>
        <v/>
      </c>
      <c r="E110" s="53" t="str">
        <f t="shared" ca="1" si="14"/>
        <v/>
      </c>
      <c r="F110" s="25" t="str">
        <f t="shared" ca="1" si="18"/>
        <v/>
      </c>
      <c r="G110" s="26" t="str">
        <f t="shared" ca="1" si="19"/>
        <v/>
      </c>
      <c r="H110" s="53" t="str">
        <f t="shared" ca="1" si="20"/>
        <v/>
      </c>
      <c r="I110" s="25" t="str">
        <f t="shared" ca="1" si="21"/>
        <v/>
      </c>
      <c r="J110" s="26"/>
      <c r="K110" s="114" t="str">
        <f ca="1">IF($A110="","",IF(COUNTIFS(INDEX(Dividends!$A:$T,0,$M$2),"&gt;"&amp;INT($A109),INDEX(Dividends!$A:$T,0,$M$2),"&lt;="&amp;INT($A110))=0,"",$G$4*SUMIFS(INDEX(Dividends!$A:$T,0,$M$2+1),INDEX(Dividends!$A:$T,0,$M$2),"&gt;"&amp;INT($A109),INDEX(Dividends!$A:$T,0,$M$2),"&lt;="&amp;INT($A110))))</f>
        <v/>
      </c>
      <c r="L110" s="55" t="str">
        <f ca="1">IF(ISERROR(B110-2),"",C110+D110-F110-G110+I110+J110+SUM($K$14:K110))</f>
        <v/>
      </c>
      <c r="N110" s="52">
        <f ca="1"/>
        <v>46160</v>
      </c>
      <c r="O110" s="39">
        <f ca="1"/>
        <v>89.988100000000003</v>
      </c>
      <c r="P110" s="52">
        <f ca="1"/>
        <v>46154</v>
      </c>
      <c r="Q110" s="39">
        <f ca="1"/>
        <v>98.311999999999998</v>
      </c>
      <c r="R110" s="52">
        <f ca="1"/>
        <v>46160</v>
      </c>
      <c r="S110" s="39">
        <f ca="1"/>
        <v>280.35000000000002</v>
      </c>
      <c r="T110" s="52">
        <f ca="1"/>
        <v>46160</v>
      </c>
      <c r="U110" s="39">
        <f ca="1"/>
        <v>250.5284</v>
      </c>
      <c r="V110" s="52">
        <f t="shared" ca="1" si="11"/>
        <v>46160</v>
      </c>
      <c r="W110" s="97" t="str">
        <f t="shared" ca="1" si="12"/>
        <v/>
      </c>
    </row>
    <row r="111" spans="1:23" x14ac:dyDescent="0.25">
      <c r="A111" s="102" t="str">
        <f t="shared" ca="1" si="15"/>
        <v/>
      </c>
      <c r="B111" s="53" t="str">
        <f t="shared" ca="1" si="13"/>
        <v/>
      </c>
      <c r="C111" s="25" t="str">
        <f t="shared" ca="1" si="16"/>
        <v/>
      </c>
      <c r="D111" s="26" t="str">
        <f t="shared" ca="1" si="17"/>
        <v/>
      </c>
      <c r="E111" s="53" t="str">
        <f t="shared" ca="1" si="14"/>
        <v/>
      </c>
      <c r="F111" s="25" t="str">
        <f t="shared" ca="1" si="18"/>
        <v/>
      </c>
      <c r="G111" s="26" t="str">
        <f t="shared" ca="1" si="19"/>
        <v/>
      </c>
      <c r="H111" s="53" t="str">
        <f t="shared" ca="1" si="20"/>
        <v/>
      </c>
      <c r="I111" s="25" t="str">
        <f t="shared" ca="1" si="21"/>
        <v/>
      </c>
      <c r="J111" s="26"/>
      <c r="K111" s="114" t="str">
        <f ca="1">IF($A111="","",IF(COUNTIFS(INDEX(Dividends!$A:$T,0,$M$2),"&gt;"&amp;INT($A110),INDEX(Dividends!$A:$T,0,$M$2),"&lt;="&amp;INT($A111))=0,"",$G$4*SUMIFS(INDEX(Dividends!$A:$T,0,$M$2+1),INDEX(Dividends!$A:$T,0,$M$2),"&gt;"&amp;INT($A110),INDEX(Dividends!$A:$T,0,$M$2),"&lt;="&amp;INT($A111))))</f>
        <v/>
      </c>
      <c r="L111" s="55" t="str">
        <f ca="1">IF(ISERROR(B111-2),"",C111+D111-F111-G111+I111+J111+SUM($K$14:K111))</f>
        <v/>
      </c>
      <c r="N111" s="52">
        <f ca="1"/>
        <v>46161</v>
      </c>
      <c r="O111" s="39">
        <f ca="1"/>
        <v>89.751099999999994</v>
      </c>
      <c r="P111" s="52">
        <f ca="1"/>
        <v>46155</v>
      </c>
      <c r="Q111" s="39">
        <f ca="1"/>
        <v>98.313000000000002</v>
      </c>
      <c r="R111" s="52">
        <f ca="1"/>
        <v>46161</v>
      </c>
      <c r="S111" s="39">
        <f ca="1"/>
        <v>285.892</v>
      </c>
      <c r="T111" s="52">
        <f ca="1"/>
        <v>46161</v>
      </c>
      <c r="U111" s="39">
        <f ca="1"/>
        <v>249.98050000000001</v>
      </c>
      <c r="V111" s="52">
        <f t="shared" ca="1" si="11"/>
        <v>46161</v>
      </c>
      <c r="W111" s="97" t="str">
        <f t="shared" ca="1" si="12"/>
        <v/>
      </c>
    </row>
    <row r="112" spans="1:23" x14ac:dyDescent="0.25">
      <c r="A112" s="102" t="str">
        <f t="shared" ca="1" si="15"/>
        <v/>
      </c>
      <c r="B112" s="53" t="str">
        <f t="shared" ca="1" si="13"/>
        <v/>
      </c>
      <c r="C112" s="25" t="str">
        <f t="shared" ca="1" si="16"/>
        <v/>
      </c>
      <c r="D112" s="26" t="str">
        <f t="shared" ca="1" si="17"/>
        <v/>
      </c>
      <c r="E112" s="53" t="str">
        <f t="shared" ca="1" si="14"/>
        <v/>
      </c>
      <c r="F112" s="25" t="str">
        <f t="shared" ca="1" si="18"/>
        <v/>
      </c>
      <c r="G112" s="26" t="str">
        <f t="shared" ca="1" si="19"/>
        <v/>
      </c>
      <c r="H112" s="53" t="str">
        <f t="shared" ca="1" si="20"/>
        <v/>
      </c>
      <c r="I112" s="25" t="str">
        <f t="shared" ca="1" si="21"/>
        <v/>
      </c>
      <c r="J112" s="26"/>
      <c r="K112" s="114" t="str">
        <f ca="1">IF($A112="","",IF(COUNTIFS(INDEX(Dividends!$A:$T,0,$M$2),"&gt;"&amp;INT($A111),INDEX(Dividends!$A:$T,0,$M$2),"&lt;="&amp;INT($A112))=0,"",$G$4*SUMIFS(INDEX(Dividends!$A:$T,0,$M$2+1),INDEX(Dividends!$A:$T,0,$M$2),"&gt;"&amp;INT($A111),INDEX(Dividends!$A:$T,0,$M$2),"&lt;="&amp;INT($A112))))</f>
        <v/>
      </c>
      <c r="L112" s="55" t="str">
        <f ca="1">IF(ISERROR(B112-2),"",C112+D112-F112-G112+I112+J112+SUM($K$14:K112))</f>
        <v/>
      </c>
      <c r="N112" s="52">
        <f ca="1"/>
        <v>46162</v>
      </c>
      <c r="O112" s="39">
        <f ca="1"/>
        <v>90.136200000000002</v>
      </c>
      <c r="P112" s="52">
        <f ca="1"/>
        <v>46156</v>
      </c>
      <c r="Q112" s="39">
        <f ca="1"/>
        <v>98.471000000000004</v>
      </c>
      <c r="R112" s="52">
        <f ca="1"/>
        <v>46162</v>
      </c>
      <c r="S112" s="39">
        <f ca="1"/>
        <v>276.52</v>
      </c>
      <c r="T112" s="52">
        <f ca="1"/>
        <v>46162</v>
      </c>
      <c r="U112" s="39">
        <f ca="1"/>
        <v>251.0129</v>
      </c>
      <c r="V112" s="52">
        <f t="shared" ca="1" si="11"/>
        <v>46162</v>
      </c>
      <c r="W112" s="97" t="str">
        <f t="shared" ca="1" si="12"/>
        <v/>
      </c>
    </row>
    <row r="113" spans="1:23" x14ac:dyDescent="0.25">
      <c r="A113" s="102" t="str">
        <f t="shared" ca="1" si="15"/>
        <v/>
      </c>
      <c r="B113" s="53" t="str">
        <f t="shared" ca="1" si="13"/>
        <v/>
      </c>
      <c r="C113" s="25" t="str">
        <f t="shared" ca="1" si="16"/>
        <v/>
      </c>
      <c r="D113" s="26" t="str">
        <f t="shared" ca="1" si="17"/>
        <v/>
      </c>
      <c r="E113" s="53" t="str">
        <f t="shared" ca="1" si="14"/>
        <v/>
      </c>
      <c r="F113" s="25" t="str">
        <f t="shared" ca="1" si="18"/>
        <v/>
      </c>
      <c r="G113" s="26" t="str">
        <f t="shared" ca="1" si="19"/>
        <v/>
      </c>
      <c r="H113" s="53" t="str">
        <f t="shared" ca="1" si="20"/>
        <v/>
      </c>
      <c r="I113" s="25" t="str">
        <f t="shared" ca="1" si="21"/>
        <v/>
      </c>
      <c r="J113" s="26"/>
      <c r="K113" s="114" t="str">
        <f ca="1">IF($A113="","",IF(COUNTIFS(INDEX(Dividends!$A:$T,0,$M$2),"&gt;"&amp;INT($A112),INDEX(Dividends!$A:$T,0,$M$2),"&lt;="&amp;INT($A113))=0,"",$G$4*SUMIFS(INDEX(Dividends!$A:$T,0,$M$2+1),INDEX(Dividends!$A:$T,0,$M$2),"&gt;"&amp;INT($A112),INDEX(Dividends!$A:$T,0,$M$2),"&lt;="&amp;INT($A113))))</f>
        <v/>
      </c>
      <c r="L113" s="55" t="str">
        <f ca="1">IF(ISERROR(B113-2),"",C113+D113-F113-G113+I113+J113+SUM($K$14:K113))</f>
        <v/>
      </c>
      <c r="N113" s="52">
        <f ca="1"/>
        <v>46163</v>
      </c>
      <c r="O113" s="39">
        <f ca="1"/>
        <v>90.047300000000007</v>
      </c>
      <c r="P113" s="52">
        <f ca="1"/>
        <v>46157</v>
      </c>
      <c r="Q113" s="39">
        <f ca="1"/>
        <v>98.212999999999994</v>
      </c>
      <c r="R113" s="52">
        <f ca="1"/>
        <v>46163</v>
      </c>
      <c r="S113" s="39">
        <f ca="1"/>
        <v>279.66300000000001</v>
      </c>
      <c r="T113" s="52">
        <f ca="1"/>
        <v>46163</v>
      </c>
      <c r="U113" s="39">
        <f ca="1"/>
        <v>250.6669</v>
      </c>
      <c r="V113" s="52">
        <f t="shared" ca="1" si="11"/>
        <v>46163</v>
      </c>
      <c r="W113" s="97" t="str">
        <f t="shared" ca="1" si="12"/>
        <v/>
      </c>
    </row>
    <row r="114" spans="1:23" x14ac:dyDescent="0.25">
      <c r="A114" s="102" t="str">
        <f t="shared" ca="1" si="15"/>
        <v/>
      </c>
      <c r="B114" s="53" t="str">
        <f t="shared" ca="1" si="13"/>
        <v/>
      </c>
      <c r="C114" s="25" t="str">
        <f t="shared" ca="1" si="16"/>
        <v/>
      </c>
      <c r="D114" s="26" t="str">
        <f t="shared" ca="1" si="17"/>
        <v/>
      </c>
      <c r="E114" s="53" t="str">
        <f t="shared" ca="1" si="14"/>
        <v/>
      </c>
      <c r="F114" s="25" t="str">
        <f t="shared" ca="1" si="18"/>
        <v/>
      </c>
      <c r="G114" s="26" t="str">
        <f t="shared" ca="1" si="19"/>
        <v/>
      </c>
      <c r="H114" s="53" t="str">
        <f t="shared" ca="1" si="20"/>
        <v/>
      </c>
      <c r="I114" s="25" t="str">
        <f t="shared" ca="1" si="21"/>
        <v/>
      </c>
      <c r="J114" s="26"/>
      <c r="K114" s="114" t="str">
        <f ca="1">IF($A114="","",IF(COUNTIFS(INDEX(Dividends!$A:$T,0,$M$2),"&gt;"&amp;INT($A113),INDEX(Dividends!$A:$T,0,$M$2),"&lt;="&amp;INT($A114))=0,"",$G$4*SUMIFS(INDEX(Dividends!$A:$T,0,$M$2+1),INDEX(Dividends!$A:$T,0,$M$2),"&gt;"&amp;INT($A113),INDEX(Dividends!$A:$T,0,$M$2),"&lt;="&amp;INT($A114))))</f>
        <v/>
      </c>
      <c r="L114" s="55" t="str">
        <f ca="1">IF(ISERROR(B114-2),"",C114+D114-F114-G114+I114+J114+SUM($K$14:K114))</f>
        <v/>
      </c>
      <c r="N114" s="52">
        <f ca="1"/>
        <v>46164</v>
      </c>
      <c r="O114" s="39">
        <f ca="1"/>
        <v>90.215199999999996</v>
      </c>
      <c r="P114" s="52">
        <f ca="1"/>
        <v>46160</v>
      </c>
      <c r="Q114" s="39">
        <f ca="1"/>
        <v>98.289000000000001</v>
      </c>
      <c r="R114" s="52">
        <f ca="1"/>
        <v>46164</v>
      </c>
      <c r="S114" s="39">
        <f ca="1"/>
        <v>273.38799999999998</v>
      </c>
      <c r="T114" s="52">
        <f ca="1"/>
        <v>46164</v>
      </c>
      <c r="U114" s="39">
        <f ca="1"/>
        <v>251.4649</v>
      </c>
      <c r="V114" s="52">
        <f t="shared" ca="1" si="11"/>
        <v>46164</v>
      </c>
      <c r="W114" s="97" t="str">
        <f t="shared" ca="1" si="12"/>
        <v/>
      </c>
    </row>
    <row r="115" spans="1:23" x14ac:dyDescent="0.25">
      <c r="A115" s="102" t="str">
        <f t="shared" ca="1" si="15"/>
        <v/>
      </c>
      <c r="B115" s="53" t="str">
        <f t="shared" ca="1" si="13"/>
        <v/>
      </c>
      <c r="C115" s="25" t="str">
        <f t="shared" ca="1" si="16"/>
        <v/>
      </c>
      <c r="D115" s="26" t="str">
        <f t="shared" ca="1" si="17"/>
        <v/>
      </c>
      <c r="E115" s="53" t="str">
        <f t="shared" ca="1" si="14"/>
        <v/>
      </c>
      <c r="F115" s="25" t="str">
        <f t="shared" ca="1" si="18"/>
        <v/>
      </c>
      <c r="G115" s="26" t="str">
        <f t="shared" ca="1" si="19"/>
        <v/>
      </c>
      <c r="H115" s="53" t="str">
        <f t="shared" ca="1" si="20"/>
        <v/>
      </c>
      <c r="I115" s="25" t="str">
        <f t="shared" ca="1" si="21"/>
        <v/>
      </c>
      <c r="J115" s="26"/>
      <c r="K115" s="114" t="str">
        <f ca="1">IF($A115="","",IF(COUNTIFS(INDEX(Dividends!$A:$T,0,$M$2),"&gt;"&amp;INT($A114),INDEX(Dividends!$A:$T,0,$M$2),"&lt;="&amp;INT($A115))=0,"",$G$4*SUMIFS(INDEX(Dividends!$A:$T,0,$M$2+1),INDEX(Dividends!$A:$T,0,$M$2),"&gt;"&amp;INT($A114),INDEX(Dividends!$A:$T,0,$M$2),"&lt;="&amp;INT($A115))))</f>
        <v/>
      </c>
      <c r="L115" s="55" t="str">
        <f ca="1">IF(ISERROR(B115-2),"",C115+D115-F115-G115+I115+J115+SUM($K$14:K115))</f>
        <v/>
      </c>
      <c r="N115" s="52">
        <f ca="1"/>
        <v>46168</v>
      </c>
      <c r="O115" s="39">
        <f ca="1"/>
        <v>90.323800000000006</v>
      </c>
      <c r="P115" s="52">
        <f ca="1"/>
        <v>46161</v>
      </c>
      <c r="Q115" s="39">
        <f ca="1"/>
        <v>98.143000000000001</v>
      </c>
      <c r="R115" s="52">
        <f ca="1"/>
        <v>46168</v>
      </c>
      <c r="S115" s="39">
        <f ca="1"/>
        <v>269.02600000000001</v>
      </c>
      <c r="T115" s="52">
        <f ca="1"/>
        <v>46168</v>
      </c>
      <c r="U115" s="39">
        <f ca="1"/>
        <v>252.1686</v>
      </c>
      <c r="V115" s="52">
        <f t="shared" ca="1" si="11"/>
        <v>46168</v>
      </c>
      <c r="W115" s="97" t="str">
        <f t="shared" ca="1" si="12"/>
        <v/>
      </c>
    </row>
    <row r="116" spans="1:23" x14ac:dyDescent="0.25">
      <c r="A116" s="102" t="str">
        <f t="shared" ca="1" si="15"/>
        <v/>
      </c>
      <c r="B116" s="53" t="str">
        <f t="shared" ca="1" si="13"/>
        <v/>
      </c>
      <c r="C116" s="25" t="str">
        <f t="shared" ca="1" si="16"/>
        <v/>
      </c>
      <c r="D116" s="26" t="str">
        <f t="shared" ca="1" si="17"/>
        <v/>
      </c>
      <c r="E116" s="53" t="str">
        <f t="shared" ca="1" si="14"/>
        <v/>
      </c>
      <c r="F116" s="25" t="str">
        <f t="shared" ca="1" si="18"/>
        <v/>
      </c>
      <c r="G116" s="26" t="str">
        <f t="shared" ca="1" si="19"/>
        <v/>
      </c>
      <c r="H116" s="53" t="str">
        <f t="shared" ca="1" si="20"/>
        <v/>
      </c>
      <c r="I116" s="25" t="str">
        <f t="shared" ca="1" si="21"/>
        <v/>
      </c>
      <c r="J116" s="26"/>
      <c r="K116" s="114" t="str">
        <f ca="1">IF($A116="","",IF(COUNTIFS(INDEX(Dividends!$A:$T,0,$M$2),"&gt;"&amp;INT($A115),INDEX(Dividends!$A:$T,0,$M$2),"&lt;="&amp;INT($A116))=0,"",$G$4*SUMIFS(INDEX(Dividends!$A:$T,0,$M$2+1),INDEX(Dividends!$A:$T,0,$M$2),"&gt;"&amp;INT($A115),INDEX(Dividends!$A:$T,0,$M$2),"&lt;="&amp;INT($A116))))</f>
        <v/>
      </c>
      <c r="L116" s="55" t="str">
        <f ca="1">IF(ISERROR(B116-2),"",C116+D116-F116-G116+I116+J116+SUM($K$14:K116))</f>
        <v/>
      </c>
      <c r="N116" s="52">
        <f ca="1"/>
        <v>46169</v>
      </c>
      <c r="O116" s="39">
        <f ca="1"/>
        <v>90.373199999999997</v>
      </c>
      <c r="P116" s="52">
        <f ca="1"/>
        <v>46162</v>
      </c>
      <c r="Q116" s="39">
        <f ca="1"/>
        <v>98.418999999999997</v>
      </c>
      <c r="R116" s="52">
        <f ca="1"/>
        <v>46169</v>
      </c>
      <c r="S116" s="39">
        <f ca="1"/>
        <v>267.50200000000001</v>
      </c>
      <c r="T116" s="52">
        <f ca="1"/>
        <v>46169</v>
      </c>
      <c r="U116" s="39">
        <f ca="1"/>
        <v>252.41059999999999</v>
      </c>
      <c r="V116" s="52">
        <f t="shared" ca="1" si="11"/>
        <v>46169</v>
      </c>
      <c r="W116" s="97" t="str">
        <f t="shared" ca="1" si="12"/>
        <v/>
      </c>
    </row>
    <row r="117" spans="1:23" x14ac:dyDescent="0.25">
      <c r="A117" s="102" t="str">
        <f t="shared" ca="1" si="15"/>
        <v/>
      </c>
      <c r="B117" s="53" t="str">
        <f t="shared" ca="1" si="13"/>
        <v/>
      </c>
      <c r="C117" s="25" t="str">
        <f t="shared" ca="1" si="16"/>
        <v/>
      </c>
      <c r="D117" s="26" t="str">
        <f t="shared" ca="1" si="17"/>
        <v/>
      </c>
      <c r="E117" s="53" t="str">
        <f t="shared" ca="1" si="14"/>
        <v/>
      </c>
      <c r="F117" s="25" t="str">
        <f t="shared" ca="1" si="18"/>
        <v/>
      </c>
      <c r="G117" s="26" t="str">
        <f t="shared" ca="1" si="19"/>
        <v/>
      </c>
      <c r="H117" s="53" t="str">
        <f t="shared" ca="1" si="20"/>
        <v/>
      </c>
      <c r="I117" s="25" t="str">
        <f t="shared" ca="1" si="21"/>
        <v/>
      </c>
      <c r="J117" s="26"/>
      <c r="K117" s="114" t="str">
        <f ca="1">IF($A117="","",IF(COUNTIFS(INDEX(Dividends!$A:$T,0,$M$2),"&gt;"&amp;INT($A116),INDEX(Dividends!$A:$T,0,$M$2),"&lt;="&amp;INT($A117))=0,"",$G$4*SUMIFS(INDEX(Dividends!$A:$T,0,$M$2+1),INDEX(Dividends!$A:$T,0,$M$2),"&gt;"&amp;INT($A116),INDEX(Dividends!$A:$T,0,$M$2),"&lt;="&amp;INT($A117))))</f>
        <v/>
      </c>
      <c r="L117" s="55" t="str">
        <f ca="1">IF(ISERROR(B117-2),"",C117+D117-F117-G117+I117+J117+SUM($K$14:K117))</f>
        <v/>
      </c>
      <c r="N117" s="52">
        <f ca="1"/>
        <v>46170</v>
      </c>
      <c r="O117" s="39">
        <f ca="1"/>
        <v>90.501499999999993</v>
      </c>
      <c r="P117" s="52">
        <f ca="1"/>
        <v>46163</v>
      </c>
      <c r="Q117" s="39">
        <f ca="1"/>
        <v>98.355000000000004</v>
      </c>
      <c r="R117" s="52">
        <f ca="1"/>
        <v>46170</v>
      </c>
      <c r="S117" s="39">
        <f ca="1"/>
        <v>263.03699999999998</v>
      </c>
      <c r="T117" s="52">
        <f ca="1"/>
        <v>46170</v>
      </c>
      <c r="U117" s="39">
        <f ca="1"/>
        <v>252.9316</v>
      </c>
      <c r="V117" s="52">
        <f t="shared" ca="1" si="11"/>
        <v>46170</v>
      </c>
      <c r="W117" s="97" t="str">
        <f t="shared" ca="1" si="12"/>
        <v/>
      </c>
    </row>
    <row r="118" spans="1:23" x14ac:dyDescent="0.25">
      <c r="A118" s="102" t="str">
        <f t="shared" ca="1" si="15"/>
        <v/>
      </c>
      <c r="B118" s="53" t="str">
        <f t="shared" ca="1" si="13"/>
        <v/>
      </c>
      <c r="C118" s="25" t="str">
        <f t="shared" ca="1" si="16"/>
        <v/>
      </c>
      <c r="D118" s="26" t="str">
        <f t="shared" ca="1" si="17"/>
        <v/>
      </c>
      <c r="E118" s="53" t="str">
        <f t="shared" ca="1" si="14"/>
        <v/>
      </c>
      <c r="F118" s="25" t="str">
        <f t="shared" ca="1" si="18"/>
        <v/>
      </c>
      <c r="G118" s="26" t="str">
        <f t="shared" ca="1" si="19"/>
        <v/>
      </c>
      <c r="H118" s="53" t="str">
        <f t="shared" ca="1" si="20"/>
        <v/>
      </c>
      <c r="I118" s="25" t="str">
        <f t="shared" ca="1" si="21"/>
        <v/>
      </c>
      <c r="J118" s="26"/>
      <c r="K118" s="114" t="str">
        <f ca="1">IF($A118="","",IF(COUNTIFS(INDEX(Dividends!$A:$T,0,$M$2),"&gt;"&amp;INT($A117),INDEX(Dividends!$A:$T,0,$M$2),"&lt;="&amp;INT($A118))=0,"",$G$4*SUMIFS(INDEX(Dividends!$A:$T,0,$M$2+1),INDEX(Dividends!$A:$T,0,$M$2),"&gt;"&amp;INT($A117),INDEX(Dividends!$A:$T,0,$M$2),"&lt;="&amp;INT($A118))))</f>
        <v/>
      </c>
      <c r="L118" s="55" t="str">
        <f ca="1">IF(ISERROR(B118-2),"",C118+D118-F118-G118+I118+J118+SUM($K$14:K118))</f>
        <v/>
      </c>
      <c r="N118" s="52">
        <f ca="1"/>
        <v>46171</v>
      </c>
      <c r="O118" s="39">
        <f ca="1"/>
        <v>90.7483</v>
      </c>
      <c r="P118" s="52">
        <f ca="1"/>
        <v>46164</v>
      </c>
      <c r="Q118" s="39">
        <f ca="1"/>
        <v>98.483000000000004</v>
      </c>
      <c r="R118" s="52">
        <f ca="1"/>
        <v>46171</v>
      </c>
      <c r="S118" s="39">
        <f ca="1"/>
        <v>258.964</v>
      </c>
      <c r="T118" s="52">
        <f ca="1"/>
        <v>46171</v>
      </c>
      <c r="U118" s="39">
        <f ca="1"/>
        <v>253.4469</v>
      </c>
      <c r="V118" s="52">
        <f t="shared" ca="1" si="11"/>
        <v>46171</v>
      </c>
      <c r="W118" s="97" t="str">
        <f t="shared" ca="1" si="12"/>
        <v/>
      </c>
    </row>
    <row r="119" spans="1:23" x14ac:dyDescent="0.25">
      <c r="A119" s="102" t="str">
        <f t="shared" ca="1" si="15"/>
        <v/>
      </c>
      <c r="B119" s="53" t="str">
        <f t="shared" ca="1" si="13"/>
        <v/>
      </c>
      <c r="C119" s="25" t="str">
        <f t="shared" ca="1" si="16"/>
        <v/>
      </c>
      <c r="D119" s="26" t="str">
        <f t="shared" ca="1" si="17"/>
        <v/>
      </c>
      <c r="E119" s="53" t="str">
        <f t="shared" ca="1" si="14"/>
        <v/>
      </c>
      <c r="F119" s="25" t="str">
        <f t="shared" ca="1" si="18"/>
        <v/>
      </c>
      <c r="G119" s="26" t="str">
        <f t="shared" ca="1" si="19"/>
        <v/>
      </c>
      <c r="H119" s="53" t="str">
        <f t="shared" ca="1" si="20"/>
        <v/>
      </c>
      <c r="I119" s="25" t="str">
        <f t="shared" ca="1" si="21"/>
        <v/>
      </c>
      <c r="J119" s="26"/>
      <c r="K119" s="114" t="str">
        <f ca="1">IF($A119="","",IF(COUNTIFS(INDEX(Dividends!$A:$T,0,$M$2),"&gt;"&amp;INT($A118),INDEX(Dividends!$A:$T,0,$M$2),"&lt;="&amp;INT($A119))=0,"",$G$4*SUMIFS(INDEX(Dividends!$A:$T,0,$M$2+1),INDEX(Dividends!$A:$T,0,$M$2),"&gt;"&amp;INT($A118),INDEX(Dividends!$A:$T,0,$M$2),"&lt;="&amp;INT($A119))))</f>
        <v/>
      </c>
      <c r="L119" s="55" t="str">
        <f ca="1">IF(ISERROR(B119-2),"",C119+D119-F119-G119+I119+J119+SUM($K$14:K119))</f>
        <v/>
      </c>
      <c r="N119" s="52">
        <f ca="1"/>
        <v>46174</v>
      </c>
      <c r="O119" s="39">
        <f ca="1"/>
        <v>90.442300000000003</v>
      </c>
      <c r="P119" s="52">
        <f ca="1"/>
        <v>46167</v>
      </c>
      <c r="Q119" s="39">
        <f ca="1"/>
        <v>98.774000000000001</v>
      </c>
      <c r="R119" s="52">
        <f ca="1"/>
        <v>46174</v>
      </c>
      <c r="S119" s="39">
        <f ca="1"/>
        <v>262.60300000000001</v>
      </c>
      <c r="T119" s="52">
        <f ca="1"/>
        <v>46174</v>
      </c>
      <c r="U119" s="39">
        <f ca="1"/>
        <v>253.10400000000001</v>
      </c>
      <c r="V119" s="52">
        <f t="shared" ca="1" si="11"/>
        <v>46174</v>
      </c>
      <c r="W119" s="97" t="str">
        <f t="shared" ca="1" si="12"/>
        <v/>
      </c>
    </row>
    <row r="120" spans="1:23" x14ac:dyDescent="0.25">
      <c r="A120" s="102" t="str">
        <f t="shared" ca="1" si="15"/>
        <v/>
      </c>
      <c r="B120" s="53" t="str">
        <f t="shared" ca="1" si="13"/>
        <v/>
      </c>
      <c r="C120" s="25" t="str">
        <f t="shared" ca="1" si="16"/>
        <v/>
      </c>
      <c r="D120" s="26" t="str">
        <f t="shared" ca="1" si="17"/>
        <v/>
      </c>
      <c r="E120" s="53" t="str">
        <f t="shared" ca="1" si="14"/>
        <v/>
      </c>
      <c r="F120" s="25" t="str">
        <f t="shared" ca="1" si="18"/>
        <v/>
      </c>
      <c r="G120" s="26" t="str">
        <f t="shared" ca="1" si="19"/>
        <v/>
      </c>
      <c r="H120" s="53" t="str">
        <f t="shared" ca="1" si="20"/>
        <v/>
      </c>
      <c r="I120" s="25" t="str">
        <f t="shared" ca="1" si="21"/>
        <v/>
      </c>
      <c r="J120" s="26"/>
      <c r="K120" s="114" t="str">
        <f ca="1">IF($A120="","",IF(COUNTIFS(INDEX(Dividends!$A:$T,0,$M$2),"&gt;"&amp;INT($A119),INDEX(Dividends!$A:$T,0,$M$2),"&lt;="&amp;INT($A120))=0,"",$G$4*SUMIFS(INDEX(Dividends!$A:$T,0,$M$2+1),INDEX(Dividends!$A:$T,0,$M$2),"&gt;"&amp;INT($A119),INDEX(Dividends!$A:$T,0,$M$2),"&lt;="&amp;INT($A120))))</f>
        <v/>
      </c>
      <c r="L120" s="55" t="str">
        <f ca="1">IF(ISERROR(B120-2),"",C120+D120-F120-G120+I120+J120+SUM($K$14:K120))</f>
        <v/>
      </c>
      <c r="N120" s="52">
        <f ca="1"/>
        <v>46175</v>
      </c>
      <c r="O120" s="39">
        <f ca="1"/>
        <v>90.7286</v>
      </c>
      <c r="P120" s="52">
        <f ca="1"/>
        <v>46168</v>
      </c>
      <c r="Q120" s="39">
        <f ca="1"/>
        <v>98.635000000000005</v>
      </c>
      <c r="R120" s="52">
        <f ca="1"/>
        <v>46175</v>
      </c>
      <c r="S120" s="39">
        <f ca="1"/>
        <v>258.23399999999998</v>
      </c>
      <c r="T120" s="52">
        <f ca="1"/>
        <v>46175</v>
      </c>
      <c r="U120" s="39">
        <f ca="1"/>
        <v>253.5762</v>
      </c>
      <c r="V120" s="52">
        <f t="shared" ca="1" si="11"/>
        <v>46175</v>
      </c>
      <c r="W120" s="97" t="str">
        <f t="shared" ca="1" si="12"/>
        <v/>
      </c>
    </row>
    <row r="121" spans="1:23" x14ac:dyDescent="0.25">
      <c r="A121" s="102" t="str">
        <f t="shared" ca="1" si="15"/>
        <v/>
      </c>
      <c r="B121" s="53" t="str">
        <f t="shared" ca="1" si="13"/>
        <v/>
      </c>
      <c r="C121" s="25" t="str">
        <f t="shared" ca="1" si="16"/>
        <v/>
      </c>
      <c r="D121" s="26" t="str">
        <f t="shared" ca="1" si="17"/>
        <v/>
      </c>
      <c r="E121" s="53" t="str">
        <f t="shared" ca="1" si="14"/>
        <v/>
      </c>
      <c r="F121" s="25" t="str">
        <f t="shared" ca="1" si="18"/>
        <v/>
      </c>
      <c r="G121" s="26" t="str">
        <f t="shared" ca="1" si="19"/>
        <v/>
      </c>
      <c r="H121" s="53" t="str">
        <f t="shared" ca="1" si="20"/>
        <v/>
      </c>
      <c r="I121" s="25" t="str">
        <f t="shared" ca="1" si="21"/>
        <v/>
      </c>
      <c r="J121" s="26"/>
      <c r="K121" s="114" t="str">
        <f ca="1">IF($A121="","",IF(COUNTIFS(INDEX(Dividends!$A:$T,0,$M$2),"&gt;"&amp;INT($A120),INDEX(Dividends!$A:$T,0,$M$2),"&lt;="&amp;INT($A121))=0,"",$G$4*SUMIFS(INDEX(Dividends!$A:$T,0,$M$2+1),INDEX(Dividends!$A:$T,0,$M$2),"&gt;"&amp;INT($A120),INDEX(Dividends!$A:$T,0,$M$2),"&lt;="&amp;INT($A121))))</f>
        <v/>
      </c>
      <c r="L121" s="55" t="str">
        <f ca="1">IF(ISERROR(B121-2),"",C121+D121-F121-G121+I121+J121+SUM($K$14:K121))</f>
        <v/>
      </c>
      <c r="N121" s="52">
        <f ca="1"/>
        <v>46176</v>
      </c>
      <c r="O121" s="39">
        <f ca="1"/>
        <v>90.540999999999997</v>
      </c>
      <c r="P121" s="52">
        <f ca="1"/>
        <v>46169</v>
      </c>
      <c r="Q121" s="39">
        <f ca="1"/>
        <v>98.644000000000005</v>
      </c>
      <c r="R121" s="52">
        <f ca="1"/>
        <v>46176</v>
      </c>
      <c r="S121" s="39">
        <f ca="1"/>
        <v>263.00799999999998</v>
      </c>
      <c r="T121" s="52">
        <f ca="1"/>
        <v>46176</v>
      </c>
      <c r="U121" s="39">
        <f ca="1"/>
        <v>253.11359999999999</v>
      </c>
      <c r="V121" s="52">
        <f t="shared" ca="1" si="11"/>
        <v>46176</v>
      </c>
      <c r="W121" s="97" t="str">
        <f t="shared" ca="1" si="12"/>
        <v/>
      </c>
    </row>
    <row r="122" spans="1:23" x14ac:dyDescent="0.25">
      <c r="A122" s="102" t="str">
        <f t="shared" ca="1" si="15"/>
        <v/>
      </c>
      <c r="B122" s="53" t="str">
        <f t="shared" ca="1" si="13"/>
        <v/>
      </c>
      <c r="C122" s="25" t="str">
        <f t="shared" ca="1" si="16"/>
        <v/>
      </c>
      <c r="D122" s="26" t="str">
        <f t="shared" ca="1" si="17"/>
        <v/>
      </c>
      <c r="E122" s="53" t="str">
        <f t="shared" ca="1" si="14"/>
        <v/>
      </c>
      <c r="F122" s="25" t="str">
        <f t="shared" ca="1" si="18"/>
        <v/>
      </c>
      <c r="G122" s="26" t="str">
        <f t="shared" ca="1" si="19"/>
        <v/>
      </c>
      <c r="H122" s="53" t="str">
        <f t="shared" ca="1" si="20"/>
        <v/>
      </c>
      <c r="I122" s="25" t="str">
        <f t="shared" ca="1" si="21"/>
        <v/>
      </c>
      <c r="J122" s="26"/>
      <c r="K122" s="114" t="str">
        <f ca="1">IF($A122="","",IF(COUNTIFS(INDEX(Dividends!$A:$T,0,$M$2),"&gt;"&amp;INT($A121),INDEX(Dividends!$A:$T,0,$M$2),"&lt;="&amp;INT($A122))=0,"",$G$4*SUMIFS(INDEX(Dividends!$A:$T,0,$M$2+1),INDEX(Dividends!$A:$T,0,$M$2),"&gt;"&amp;INT($A121),INDEX(Dividends!$A:$T,0,$M$2),"&lt;="&amp;INT($A122))))</f>
        <v/>
      </c>
      <c r="L122" s="55" t="str">
        <f ca="1">IF(ISERROR(B122-2),"",C122+D122-F122-G122+I122+J122+SUM($K$14:K122))</f>
        <v/>
      </c>
      <c r="N122" s="52">
        <f ca="1"/>
        <v>46177</v>
      </c>
      <c r="O122" s="39">
        <f ca="1"/>
        <v>90.600200000000001</v>
      </c>
      <c r="P122" s="52">
        <f ca="1"/>
        <v>46170</v>
      </c>
      <c r="Q122" s="39">
        <f ca="1"/>
        <v>98.718000000000004</v>
      </c>
      <c r="R122" s="52">
        <f ca="1"/>
        <v>46177</v>
      </c>
      <c r="S122" s="39">
        <f ca="1"/>
        <v>260.78100000000001</v>
      </c>
      <c r="T122" s="52">
        <f ca="1"/>
        <v>46177</v>
      </c>
      <c r="U122" s="39">
        <f ca="1"/>
        <v>253.3374</v>
      </c>
      <c r="V122" s="52">
        <f t="shared" ca="1" si="11"/>
        <v>46177</v>
      </c>
      <c r="W122" s="97" t="str">
        <f t="shared" ca="1" si="12"/>
        <v/>
      </c>
    </row>
    <row r="123" spans="1:23" x14ac:dyDescent="0.25">
      <c r="A123" s="102" t="str">
        <f t="shared" ca="1" si="15"/>
        <v/>
      </c>
      <c r="B123" s="53" t="str">
        <f t="shared" ca="1" si="13"/>
        <v/>
      </c>
      <c r="C123" s="25" t="str">
        <f t="shared" ca="1" si="16"/>
        <v/>
      </c>
      <c r="D123" s="26" t="str">
        <f t="shared" ca="1" si="17"/>
        <v/>
      </c>
      <c r="E123" s="53" t="str">
        <f t="shared" ca="1" si="14"/>
        <v/>
      </c>
      <c r="F123" s="25" t="str">
        <f t="shared" ca="1" si="18"/>
        <v/>
      </c>
      <c r="G123" s="26" t="str">
        <f t="shared" ca="1" si="19"/>
        <v/>
      </c>
      <c r="H123" s="53" t="str">
        <f t="shared" ca="1" si="20"/>
        <v/>
      </c>
      <c r="I123" s="25" t="str">
        <f t="shared" ca="1" si="21"/>
        <v/>
      </c>
      <c r="J123" s="26"/>
      <c r="K123" s="114" t="str">
        <f ca="1">IF($A123="","",IF(COUNTIFS(INDEX(Dividends!$A:$T,0,$M$2),"&gt;"&amp;INT($A122),INDEX(Dividends!$A:$T,0,$M$2),"&lt;="&amp;INT($A123))=0,"",$G$4*SUMIFS(INDEX(Dividends!$A:$T,0,$M$2+1),INDEX(Dividends!$A:$T,0,$M$2),"&gt;"&amp;INT($A122),INDEX(Dividends!$A:$T,0,$M$2),"&lt;="&amp;INT($A123))))</f>
        <v/>
      </c>
      <c r="L123" s="55" t="str">
        <f ca="1">IF(ISERROR(B123-2),"",C123+D123-F123-G123+I123+J123+SUM($K$14:K123))</f>
        <v/>
      </c>
      <c r="N123" s="52">
        <f ca="1"/>
        <v>46178</v>
      </c>
      <c r="O123" s="39">
        <f ca="1"/>
        <v>90.521299999999997</v>
      </c>
      <c r="P123" s="52">
        <f ca="1"/>
        <v>46171</v>
      </c>
      <c r="Q123" s="39">
        <f ca="1"/>
        <v>98.801000000000002</v>
      </c>
      <c r="R123" s="52">
        <f ca="1"/>
        <v>46178</v>
      </c>
      <c r="S123" s="39">
        <f ca="1"/>
        <v>263.12099999999998</v>
      </c>
      <c r="T123" s="52">
        <f ca="1"/>
        <v>46178</v>
      </c>
      <c r="U123" s="39">
        <f ca="1"/>
        <v>253.05930000000001</v>
      </c>
      <c r="V123" s="52">
        <f t="shared" ca="1" si="11"/>
        <v>46178</v>
      </c>
      <c r="W123" s="97" t="str">
        <f t="shared" ca="1" si="12"/>
        <v/>
      </c>
    </row>
    <row r="124" spans="1:23" x14ac:dyDescent="0.25">
      <c r="A124" s="102" t="str">
        <f t="shared" ca="1" si="15"/>
        <v/>
      </c>
      <c r="B124" s="53" t="str">
        <f t="shared" ca="1" si="13"/>
        <v/>
      </c>
      <c r="C124" s="25" t="str">
        <f t="shared" ca="1" si="16"/>
        <v/>
      </c>
      <c r="D124" s="26" t="str">
        <f t="shared" ca="1" si="17"/>
        <v/>
      </c>
      <c r="E124" s="53" t="str">
        <f t="shared" ca="1" si="14"/>
        <v/>
      </c>
      <c r="F124" s="25" t="str">
        <f t="shared" ca="1" si="18"/>
        <v/>
      </c>
      <c r="G124" s="26" t="str">
        <f t="shared" ca="1" si="19"/>
        <v/>
      </c>
      <c r="H124" s="53" t="str">
        <f t="shared" ca="1" si="20"/>
        <v/>
      </c>
      <c r="I124" s="25" t="str">
        <f t="shared" ca="1" si="21"/>
        <v/>
      </c>
      <c r="J124" s="26"/>
      <c r="K124" s="114" t="str">
        <f ca="1">IF($A124="","",IF(COUNTIFS(INDEX(Dividends!$A:$T,0,$M$2),"&gt;"&amp;INT($A123),INDEX(Dividends!$A:$T,0,$M$2),"&lt;="&amp;INT($A124))=0,"",$G$4*SUMIFS(INDEX(Dividends!$A:$T,0,$M$2+1),INDEX(Dividends!$A:$T,0,$M$2),"&gt;"&amp;INT($A123),INDEX(Dividends!$A:$T,0,$M$2),"&lt;="&amp;INT($A124))))</f>
        <v/>
      </c>
      <c r="L124" s="55" t="str">
        <f ca="1">IF(ISERROR(B124-2),"",C124+D124-F124-G124+I124+J124+SUM($K$14:K124))</f>
        <v/>
      </c>
      <c r="N124" s="52">
        <f ca="1"/>
        <v>46181</v>
      </c>
      <c r="O124" s="39">
        <f ca="1"/>
        <v>90.462000000000003</v>
      </c>
      <c r="P124" s="52">
        <f ca="1"/>
        <v>46174</v>
      </c>
      <c r="Q124" s="39">
        <f ca="1"/>
        <v>98.554000000000002</v>
      </c>
      <c r="R124" s="52">
        <f ca="1"/>
        <v>46181</v>
      </c>
      <c r="S124" s="39">
        <f ca="1"/>
        <v>264.17899999999997</v>
      </c>
      <c r="T124" s="52">
        <f ca="1"/>
        <v>46181</v>
      </c>
      <c r="U124" s="39">
        <f ca="1"/>
        <v>253.00890000000001</v>
      </c>
      <c r="V124" s="52">
        <f t="shared" ca="1" si="11"/>
        <v>46181</v>
      </c>
      <c r="W124" s="97" t="str">
        <f t="shared" ca="1" si="12"/>
        <v/>
      </c>
    </row>
    <row r="125" spans="1:23" x14ac:dyDescent="0.25">
      <c r="A125" s="102" t="str">
        <f t="shared" ca="1" si="15"/>
        <v/>
      </c>
      <c r="B125" s="53" t="str">
        <f t="shared" ca="1" si="13"/>
        <v/>
      </c>
      <c r="C125" s="25" t="str">
        <f t="shared" ca="1" si="16"/>
        <v/>
      </c>
      <c r="D125" s="26" t="str">
        <f t="shared" ca="1" si="17"/>
        <v/>
      </c>
      <c r="E125" s="53" t="str">
        <f t="shared" ca="1" si="14"/>
        <v/>
      </c>
      <c r="F125" s="25" t="str">
        <f t="shared" ca="1" si="18"/>
        <v/>
      </c>
      <c r="G125" s="26" t="str">
        <f t="shared" ca="1" si="19"/>
        <v/>
      </c>
      <c r="H125" s="53" t="str">
        <f t="shared" ca="1" si="20"/>
        <v/>
      </c>
      <c r="I125" s="25" t="str">
        <f t="shared" ca="1" si="21"/>
        <v/>
      </c>
      <c r="J125" s="26"/>
      <c r="K125" s="114" t="str">
        <f ca="1">IF($A125="","",IF(COUNTIFS(INDEX(Dividends!$A:$T,0,$M$2),"&gt;"&amp;INT($A124),INDEX(Dividends!$A:$T,0,$M$2),"&lt;="&amp;INT($A125))=0,"",$G$4*SUMIFS(INDEX(Dividends!$A:$T,0,$M$2+1),INDEX(Dividends!$A:$T,0,$M$2),"&gt;"&amp;INT($A124),INDEX(Dividends!$A:$T,0,$M$2),"&lt;="&amp;INT($A125))))</f>
        <v/>
      </c>
      <c r="L125" s="55" t="str">
        <f ca="1">IF(ISERROR(B125-2),"",C125+D125-F125-G125+I125+J125+SUM($K$14:K125))</f>
        <v/>
      </c>
      <c r="N125" s="52">
        <f ca="1"/>
        <v>46182</v>
      </c>
      <c r="O125" s="39">
        <f ca="1"/>
        <v>90.353399999999993</v>
      </c>
      <c r="P125" s="52">
        <f ca="1"/>
        <v>46175</v>
      </c>
      <c r="Q125" s="39">
        <f ca="1"/>
        <v>98.594999999999999</v>
      </c>
      <c r="R125" s="52">
        <f ca="1"/>
        <v>46182</v>
      </c>
      <c r="S125" s="39">
        <f ca="1"/>
        <v>264.78399999999999</v>
      </c>
      <c r="T125" s="52">
        <f ca="1"/>
        <v>46182</v>
      </c>
      <c r="U125" s="39">
        <f ca="1"/>
        <v>253.04320000000001</v>
      </c>
      <c r="V125" s="52">
        <f t="shared" ca="1" si="11"/>
        <v>46182</v>
      </c>
      <c r="W125" s="97" t="str">
        <f t="shared" ca="1" si="12"/>
        <v/>
      </c>
    </row>
    <row r="126" spans="1:23" x14ac:dyDescent="0.25">
      <c r="A126" s="102" t="str">
        <f t="shared" ca="1" si="15"/>
        <v/>
      </c>
      <c r="B126" s="53" t="str">
        <f t="shared" ca="1" si="13"/>
        <v/>
      </c>
      <c r="C126" s="25" t="str">
        <f t="shared" ca="1" si="16"/>
        <v/>
      </c>
      <c r="D126" s="26" t="str">
        <f t="shared" ca="1" si="17"/>
        <v/>
      </c>
      <c r="E126" s="53" t="str">
        <f t="shared" ca="1" si="14"/>
        <v/>
      </c>
      <c r="F126" s="25" t="str">
        <f t="shared" ca="1" si="18"/>
        <v/>
      </c>
      <c r="G126" s="26" t="str">
        <f t="shared" ca="1" si="19"/>
        <v/>
      </c>
      <c r="H126" s="53" t="str">
        <f t="shared" ca="1" si="20"/>
        <v/>
      </c>
      <c r="I126" s="25" t="str">
        <f t="shared" ca="1" si="21"/>
        <v/>
      </c>
      <c r="J126" s="26"/>
      <c r="K126" s="114" t="str">
        <f ca="1">IF($A126="","",IF(COUNTIFS(INDEX(Dividends!$A:$T,0,$M$2),"&gt;"&amp;INT($A125),INDEX(Dividends!$A:$T,0,$M$2),"&lt;="&amp;INT($A126))=0,"",$G$4*SUMIFS(INDEX(Dividends!$A:$T,0,$M$2+1),INDEX(Dividends!$A:$T,0,$M$2),"&gt;"&amp;INT($A125),INDEX(Dividends!$A:$T,0,$M$2),"&lt;="&amp;INT($A126))))</f>
        <v/>
      </c>
      <c r="L126" s="55" t="str">
        <f ca="1">IF(ISERROR(B126-2),"",C126+D126-F126-G126+I126+J126+SUM($K$14:K126))</f>
        <v/>
      </c>
      <c r="N126" s="52">
        <f ca="1"/>
        <v>46183</v>
      </c>
      <c r="O126" s="39">
        <f ca="1"/>
        <v>90.462000000000003</v>
      </c>
      <c r="P126" s="52">
        <f ca="1"/>
        <v>46176</v>
      </c>
      <c r="Q126" s="39">
        <f ca="1"/>
        <v>98.450999999999993</v>
      </c>
      <c r="R126" s="52">
        <f ca="1"/>
        <v>46183</v>
      </c>
      <c r="S126" s="39">
        <f ca="1"/>
        <v>266.137</v>
      </c>
      <c r="T126" s="52">
        <f ca="1"/>
        <v>46183</v>
      </c>
      <c r="U126" s="39">
        <f ca="1"/>
        <v>252.767</v>
      </c>
      <c r="V126" s="52">
        <f t="shared" ca="1" si="11"/>
        <v>46183</v>
      </c>
      <c r="W126" s="97" t="str">
        <f t="shared" ca="1" si="12"/>
        <v/>
      </c>
    </row>
    <row r="127" spans="1:23" x14ac:dyDescent="0.25">
      <c r="A127" s="102" t="str">
        <f t="shared" ca="1" si="15"/>
        <v/>
      </c>
      <c r="B127" s="53" t="str">
        <f t="shared" ca="1" si="13"/>
        <v/>
      </c>
      <c r="C127" s="25" t="str">
        <f t="shared" ca="1" si="16"/>
        <v/>
      </c>
      <c r="D127" s="26" t="str">
        <f t="shared" ca="1" si="17"/>
        <v/>
      </c>
      <c r="E127" s="53" t="str">
        <f t="shared" ca="1" si="14"/>
        <v/>
      </c>
      <c r="F127" s="25" t="str">
        <f t="shared" ca="1" si="18"/>
        <v/>
      </c>
      <c r="G127" s="26" t="str">
        <f t="shared" ca="1" si="19"/>
        <v/>
      </c>
      <c r="H127" s="53" t="str">
        <f t="shared" ca="1" si="20"/>
        <v/>
      </c>
      <c r="I127" s="25" t="str">
        <f t="shared" ca="1" si="21"/>
        <v/>
      </c>
      <c r="J127" s="26"/>
      <c r="K127" s="114" t="str">
        <f ca="1">IF($A127="","",IF(COUNTIFS(INDEX(Dividends!$A:$T,0,$M$2),"&gt;"&amp;INT($A126),INDEX(Dividends!$A:$T,0,$M$2),"&lt;="&amp;INT($A127))=0,"",$G$4*SUMIFS(INDEX(Dividends!$A:$T,0,$M$2+1),INDEX(Dividends!$A:$T,0,$M$2),"&gt;"&amp;INT($A126),INDEX(Dividends!$A:$T,0,$M$2),"&lt;="&amp;INT($A127))))</f>
        <v/>
      </c>
      <c r="L127" s="55" t="str">
        <f ca="1">IF(ISERROR(B127-2),"",C127+D127-F127-G127+I127+J127+SUM($K$14:K127))</f>
        <v/>
      </c>
      <c r="N127" s="52">
        <f ca="1"/>
        <v>46184</v>
      </c>
      <c r="O127" s="39">
        <f ca="1"/>
        <v>90.481800000000007</v>
      </c>
      <c r="P127" s="52">
        <f ca="1"/>
        <v>46177</v>
      </c>
      <c r="Q127" s="39">
        <f ca="1"/>
        <v>98.495000000000005</v>
      </c>
      <c r="R127" s="52">
        <f ca="1"/>
        <v>46184</v>
      </c>
      <c r="S127" s="39">
        <f ca="1"/>
        <v>263.45299999999997</v>
      </c>
      <c r="T127" s="52">
        <f ca="1"/>
        <v>46184</v>
      </c>
      <c r="U127" s="39">
        <f ca="1"/>
        <v>253.1474</v>
      </c>
      <c r="V127" s="52">
        <f t="shared" ca="1" si="11"/>
        <v>46184</v>
      </c>
      <c r="W127" s="97" t="str">
        <f t="shared" ca="1" si="12"/>
        <v/>
      </c>
    </row>
    <row r="128" spans="1:23" x14ac:dyDescent="0.25">
      <c r="A128" s="102" t="str">
        <f t="shared" ca="1" si="15"/>
        <v/>
      </c>
      <c r="B128" s="53" t="str">
        <f t="shared" ca="1" si="13"/>
        <v/>
      </c>
      <c r="C128" s="25" t="str">
        <f t="shared" ca="1" si="16"/>
        <v/>
      </c>
      <c r="D128" s="26" t="str">
        <f t="shared" ca="1" si="17"/>
        <v/>
      </c>
      <c r="E128" s="53" t="str">
        <f t="shared" ca="1" si="14"/>
        <v/>
      </c>
      <c r="F128" s="25" t="str">
        <f t="shared" ca="1" si="18"/>
        <v/>
      </c>
      <c r="G128" s="26" t="str">
        <f t="shared" ca="1" si="19"/>
        <v/>
      </c>
      <c r="H128" s="53" t="str">
        <f t="shared" ca="1" si="20"/>
        <v/>
      </c>
      <c r="I128" s="25" t="str">
        <f t="shared" ca="1" si="21"/>
        <v/>
      </c>
      <c r="J128" s="26"/>
      <c r="K128" s="114" t="str">
        <f ca="1">IF($A128="","",IF(COUNTIFS(INDEX(Dividends!$A:$T,0,$M$2),"&gt;"&amp;INT($A127),INDEX(Dividends!$A:$T,0,$M$2),"&lt;="&amp;INT($A128))=0,"",$G$4*SUMIFS(INDEX(Dividends!$A:$T,0,$M$2+1),INDEX(Dividends!$A:$T,0,$M$2),"&gt;"&amp;INT($A127),INDEX(Dividends!$A:$T,0,$M$2),"&lt;="&amp;INT($A128))))</f>
        <v/>
      </c>
      <c r="L128" s="55" t="str">
        <f ca="1">IF(ISERROR(B128-2),"",C128+D128-F128-G128+I128+J128+SUM($K$14:K128))</f>
        <v/>
      </c>
      <c r="N128" s="52">
        <f ca="1"/>
        <v>46185</v>
      </c>
      <c r="O128" s="39">
        <f ca="1"/>
        <v>90.718699999999998</v>
      </c>
      <c r="P128" s="52">
        <f ca="1"/>
        <v>46178</v>
      </c>
      <c r="Q128" s="39">
        <f ca="1"/>
        <v>98.412999999999997</v>
      </c>
      <c r="R128" s="52">
        <f ca="1"/>
        <v>46185</v>
      </c>
      <c r="S128" s="39">
        <f ca="1"/>
        <v>253.41399999999999</v>
      </c>
      <c r="T128" s="52">
        <f ca="1"/>
        <v>46185</v>
      </c>
      <c r="U128" s="39">
        <f ca="1"/>
        <v>254.38560000000001</v>
      </c>
      <c r="V128" s="52">
        <f t="shared" ca="1" si="11"/>
        <v>46185</v>
      </c>
      <c r="W128" s="97" t="str">
        <f t="shared" ca="1" si="12"/>
        <v/>
      </c>
    </row>
    <row r="129" spans="1:23" x14ac:dyDescent="0.25">
      <c r="A129" s="102" t="str">
        <f t="shared" ca="1" si="15"/>
        <v/>
      </c>
      <c r="B129" s="53" t="str">
        <f t="shared" ca="1" si="13"/>
        <v/>
      </c>
      <c r="C129" s="25" t="str">
        <f t="shared" ca="1" si="16"/>
        <v/>
      </c>
      <c r="D129" s="26" t="str">
        <f t="shared" ca="1" si="17"/>
        <v/>
      </c>
      <c r="E129" s="53" t="str">
        <f t="shared" ca="1" si="14"/>
        <v/>
      </c>
      <c r="F129" s="25" t="str">
        <f t="shared" ca="1" si="18"/>
        <v/>
      </c>
      <c r="G129" s="26" t="str">
        <f t="shared" ca="1" si="19"/>
        <v/>
      </c>
      <c r="H129" s="53" t="str">
        <f t="shared" ca="1" si="20"/>
        <v/>
      </c>
      <c r="I129" s="25" t="str">
        <f t="shared" ca="1" si="21"/>
        <v/>
      </c>
      <c r="J129" s="26"/>
      <c r="K129" s="114" t="str">
        <f ca="1">IF($A129="","",IF(COUNTIFS(INDEX(Dividends!$A:$T,0,$M$2),"&gt;"&amp;INT($A128),INDEX(Dividends!$A:$T,0,$M$2),"&lt;="&amp;INT($A129))=0,"",$G$4*SUMIFS(INDEX(Dividends!$A:$T,0,$M$2+1),INDEX(Dividends!$A:$T,0,$M$2),"&gt;"&amp;INT($A128),INDEX(Dividends!$A:$T,0,$M$2),"&lt;="&amp;INT($A129))))</f>
        <v/>
      </c>
      <c r="L129" s="55" t="str">
        <f ca="1">IF(ISERROR(B129-2),"",C129+D129-F129-G129+I129+J129+SUM($K$14:K129))</f>
        <v/>
      </c>
      <c r="N129" s="52">
        <f ca="1"/>
        <v>46188</v>
      </c>
      <c r="O129" s="39">
        <f ca="1"/>
        <v>91.074200000000005</v>
      </c>
      <c r="P129" s="52">
        <f ca="1"/>
        <v>46181</v>
      </c>
      <c r="Q129" s="39">
        <f ca="1"/>
        <v>98.361999999999995</v>
      </c>
      <c r="R129" s="52">
        <f ca="1"/>
        <v>46188</v>
      </c>
      <c r="S129" s="39">
        <f ca="1"/>
        <v>247.93899999999999</v>
      </c>
      <c r="T129" s="52">
        <f ca="1"/>
        <v>46188</v>
      </c>
      <c r="U129" s="39">
        <f ca="1"/>
        <v>255.0607</v>
      </c>
      <c r="V129" s="52">
        <f t="shared" ca="1" si="11"/>
        <v>46188</v>
      </c>
      <c r="W129" s="97" t="str">
        <f t="shared" ca="1" si="12"/>
        <v/>
      </c>
    </row>
    <row r="130" spans="1:23" x14ac:dyDescent="0.25">
      <c r="A130" s="102" t="str">
        <f t="shared" ca="1" si="15"/>
        <v/>
      </c>
      <c r="B130" s="53" t="str">
        <f t="shared" ca="1" si="13"/>
        <v/>
      </c>
      <c r="C130" s="25" t="str">
        <f t="shared" ca="1" si="16"/>
        <v/>
      </c>
      <c r="D130" s="26" t="str">
        <f t="shared" ca="1" si="17"/>
        <v/>
      </c>
      <c r="E130" s="53" t="str">
        <f t="shared" ca="1" si="14"/>
        <v/>
      </c>
      <c r="F130" s="25" t="str">
        <f t="shared" ca="1" si="18"/>
        <v/>
      </c>
      <c r="G130" s="26" t="str">
        <f t="shared" ca="1" si="19"/>
        <v/>
      </c>
      <c r="H130" s="53" t="str">
        <f t="shared" ca="1" si="20"/>
        <v/>
      </c>
      <c r="I130" s="25" t="str">
        <f t="shared" ca="1" si="21"/>
        <v/>
      </c>
      <c r="J130" s="26"/>
      <c r="K130" s="114" t="str">
        <f ca="1">IF($A130="","",IF(COUNTIFS(INDEX(Dividends!$A:$T,0,$M$2),"&gt;"&amp;INT($A129),INDEX(Dividends!$A:$T,0,$M$2),"&lt;="&amp;INT($A130))=0,"",$G$4*SUMIFS(INDEX(Dividends!$A:$T,0,$M$2+1),INDEX(Dividends!$A:$T,0,$M$2),"&gt;"&amp;INT($A129),INDEX(Dividends!$A:$T,0,$M$2),"&lt;="&amp;INT($A130))))</f>
        <v/>
      </c>
      <c r="L130" s="55" t="str">
        <f ca="1">IF(ISERROR(B130-2),"",C130+D130-F130-G130+I130+J130+SUM($K$14:K130))</f>
        <v/>
      </c>
      <c r="N130" s="52">
        <f ca="1"/>
        <v>46189</v>
      </c>
      <c r="O130" s="39">
        <f ca="1"/>
        <v>90.955699999999993</v>
      </c>
      <c r="P130" s="52">
        <f ca="1"/>
        <v>46182</v>
      </c>
      <c r="Q130" s="39">
        <f ca="1"/>
        <v>98.462000000000003</v>
      </c>
      <c r="R130" s="52">
        <f ca="1"/>
        <v>46189</v>
      </c>
      <c r="S130" s="39">
        <f ca="1"/>
        <v>249.708</v>
      </c>
      <c r="T130" s="52">
        <f ca="1"/>
        <v>46189</v>
      </c>
      <c r="U130" s="39">
        <f ca="1"/>
        <v>254.93340000000001</v>
      </c>
      <c r="V130" s="52">
        <f t="shared" ca="1" si="11"/>
        <v>46189</v>
      </c>
      <c r="W130" s="97" t="str">
        <f t="shared" ca="1" si="12"/>
        <v/>
      </c>
    </row>
    <row r="131" spans="1:23" x14ac:dyDescent="0.25">
      <c r="A131" s="102" t="str">
        <f t="shared" ca="1" si="15"/>
        <v/>
      </c>
      <c r="B131" s="53" t="str">
        <f t="shared" ca="1" si="13"/>
        <v/>
      </c>
      <c r="C131" s="25" t="str">
        <f t="shared" ca="1" si="16"/>
        <v/>
      </c>
      <c r="D131" s="26" t="str">
        <f t="shared" ca="1" si="17"/>
        <v/>
      </c>
      <c r="E131" s="53" t="str">
        <f t="shared" ca="1" si="14"/>
        <v/>
      </c>
      <c r="F131" s="25" t="str">
        <f t="shared" ca="1" si="18"/>
        <v/>
      </c>
      <c r="G131" s="26" t="str">
        <f t="shared" ca="1" si="19"/>
        <v/>
      </c>
      <c r="H131" s="53" t="str">
        <f t="shared" ca="1" si="20"/>
        <v/>
      </c>
      <c r="I131" s="25" t="str">
        <f t="shared" ca="1" si="21"/>
        <v/>
      </c>
      <c r="J131" s="26"/>
      <c r="K131" s="114" t="str">
        <f ca="1">IF($A131="","",IF(COUNTIFS(INDEX(Dividends!$A:$T,0,$M$2),"&gt;"&amp;INT($A130),INDEX(Dividends!$A:$T,0,$M$2),"&lt;="&amp;INT($A131))=0,"",$G$4*SUMIFS(INDEX(Dividends!$A:$T,0,$M$2+1),INDEX(Dividends!$A:$T,0,$M$2),"&gt;"&amp;INT($A130),INDEX(Dividends!$A:$T,0,$M$2),"&lt;="&amp;INT($A131))))</f>
        <v/>
      </c>
      <c r="L131" s="55" t="str">
        <f ca="1">IF(ISERROR(B131-2),"",C131+D131-F131-G131+I131+J131+SUM($K$14:K131))</f>
        <v/>
      </c>
      <c r="N131" s="52">
        <f ca="1"/>
        <v>46190</v>
      </c>
      <c r="O131" s="39">
        <f ca="1"/>
        <v>90.975399999999993</v>
      </c>
      <c r="P131" s="52">
        <f ca="1"/>
        <v>46183</v>
      </c>
      <c r="Q131" s="39">
        <f ca="1"/>
        <v>98.334999999999994</v>
      </c>
      <c r="R131" s="52">
        <f ca="1"/>
        <v>46190</v>
      </c>
      <c r="S131" s="39">
        <f ca="1"/>
        <v>251.36</v>
      </c>
      <c r="T131" s="52">
        <f ca="1"/>
        <v>46190</v>
      </c>
      <c r="U131" s="39">
        <f ca="1"/>
        <v>254.77209999999999</v>
      </c>
      <c r="V131" s="52">
        <f t="shared" ca="1" si="11"/>
        <v>46190</v>
      </c>
      <c r="W131" s="97">
        <f t="shared" ca="1" si="12"/>
        <v>46190</v>
      </c>
    </row>
    <row r="132" spans="1:23" x14ac:dyDescent="0.25">
      <c r="A132" s="102" t="str">
        <f t="shared" ca="1" si="15"/>
        <v/>
      </c>
      <c r="B132" s="53" t="str">
        <f t="shared" ca="1" si="13"/>
        <v/>
      </c>
      <c r="C132" s="25" t="str">
        <f t="shared" ca="1" si="16"/>
        <v/>
      </c>
      <c r="D132" s="26" t="str">
        <f t="shared" ca="1" si="17"/>
        <v/>
      </c>
      <c r="E132" s="53" t="str">
        <f t="shared" ca="1" si="14"/>
        <v/>
      </c>
      <c r="F132" s="25" t="str">
        <f t="shared" ca="1" si="18"/>
        <v/>
      </c>
      <c r="G132" s="26" t="str">
        <f t="shared" ca="1" si="19"/>
        <v/>
      </c>
      <c r="H132" s="53" t="str">
        <f t="shared" ca="1" si="20"/>
        <v/>
      </c>
      <c r="I132" s="25" t="str">
        <f t="shared" ca="1" si="21"/>
        <v/>
      </c>
      <c r="J132" s="26"/>
      <c r="K132" s="114" t="str">
        <f ca="1">IF($A132="","",IF(COUNTIFS(INDEX(Dividends!$A:$T,0,$M$2),"&gt;"&amp;INT($A131),INDEX(Dividends!$A:$T,0,$M$2),"&lt;="&amp;INT($A132))=0,"",$G$4*SUMIFS(INDEX(Dividends!$A:$T,0,$M$2+1),INDEX(Dividends!$A:$T,0,$M$2),"&gt;"&amp;INT($A131),INDEX(Dividends!$A:$T,0,$M$2),"&lt;="&amp;INT($A132))))</f>
        <v/>
      </c>
      <c r="L132" s="55" t="str">
        <f ca="1">IF(ISERROR(B132-2),"",C132+D132-F132-G132+I132+J132+SUM($K$14:K132))</f>
        <v/>
      </c>
      <c r="P132" s="52">
        <f ca="1"/>
        <v>46184</v>
      </c>
      <c r="Q132" s="39">
        <f ca="1"/>
        <v>98.450999999999993</v>
      </c>
      <c r="V132" s="52" t="str">
        <f t="shared" ref="V132:V195" ca="1" si="22">IF(COUNTIF(P:P,N132)*COUNTIF(R:R,N132)*COUNTIF(T:T,N132),N132,"")</f>
        <v/>
      </c>
      <c r="W132" s="97" t="str">
        <f t="shared" ref="W132:W195" ca="1" si="23">IF(V132&gt;=$A$14,V132,"")</f>
        <v/>
      </c>
    </row>
    <row r="133" spans="1:23" x14ac:dyDescent="0.25">
      <c r="A133" s="102" t="str">
        <f t="shared" ca="1" si="15"/>
        <v/>
      </c>
      <c r="B133" s="53" t="str">
        <f t="shared" ca="1" si="13"/>
        <v/>
      </c>
      <c r="C133" s="25" t="str">
        <f t="shared" ca="1" si="16"/>
        <v/>
      </c>
      <c r="D133" s="26" t="str">
        <f t="shared" ca="1" si="17"/>
        <v/>
      </c>
      <c r="E133" s="53" t="str">
        <f t="shared" ca="1" si="14"/>
        <v/>
      </c>
      <c r="F133" s="25" t="str">
        <f t="shared" ca="1" si="18"/>
        <v/>
      </c>
      <c r="G133" s="26" t="str">
        <f t="shared" ca="1" si="19"/>
        <v/>
      </c>
      <c r="H133" s="53" t="str">
        <f t="shared" ca="1" si="20"/>
        <v/>
      </c>
      <c r="I133" s="25" t="str">
        <f t="shared" ca="1" si="21"/>
        <v/>
      </c>
      <c r="J133" s="26"/>
      <c r="K133" s="114" t="str">
        <f ca="1">IF($A133="","",IF(COUNTIFS(INDEX(Dividends!$A:$T,0,$M$2),"&gt;"&amp;INT($A132),INDEX(Dividends!$A:$T,0,$M$2),"&lt;="&amp;INT($A133))=0,"",$G$4*SUMIFS(INDEX(Dividends!$A:$T,0,$M$2+1),INDEX(Dividends!$A:$T,0,$M$2),"&gt;"&amp;INT($A132),INDEX(Dividends!$A:$T,0,$M$2),"&lt;="&amp;INT($A133))))</f>
        <v/>
      </c>
      <c r="L133" s="55" t="str">
        <f ca="1">IF(ISERROR(B133-2),"",C133+D133-F133-G133+I133+J133+SUM($K$14:K133))</f>
        <v/>
      </c>
      <c r="P133" s="52">
        <f ca="1"/>
        <v>46185</v>
      </c>
      <c r="Q133" s="39">
        <f ca="1"/>
        <v>98.596999999999994</v>
      </c>
      <c r="V133" s="52" t="str">
        <f t="shared" ca="1" si="22"/>
        <v/>
      </c>
      <c r="W133" s="97" t="str">
        <f t="shared" ca="1" si="23"/>
        <v/>
      </c>
    </row>
    <row r="134" spans="1:23" x14ac:dyDescent="0.25">
      <c r="A134" s="102" t="str">
        <f t="shared" ca="1" si="15"/>
        <v/>
      </c>
      <c r="B134" s="53" t="str">
        <f t="shared" ca="1" si="13"/>
        <v/>
      </c>
      <c r="C134" s="25" t="str">
        <f t="shared" ca="1" si="16"/>
        <v/>
      </c>
      <c r="D134" s="26" t="str">
        <f t="shared" ca="1" si="17"/>
        <v/>
      </c>
      <c r="E134" s="53" t="str">
        <f t="shared" ca="1" si="14"/>
        <v/>
      </c>
      <c r="F134" s="25" t="str">
        <f t="shared" ca="1" si="18"/>
        <v/>
      </c>
      <c r="G134" s="26" t="str">
        <f t="shared" ca="1" si="19"/>
        <v/>
      </c>
      <c r="H134" s="53" t="str">
        <f t="shared" ca="1" si="20"/>
        <v/>
      </c>
      <c r="I134" s="25" t="str">
        <f t="shared" ca="1" si="21"/>
        <v/>
      </c>
      <c r="J134" s="26"/>
      <c r="K134" s="114" t="str">
        <f ca="1">IF($A134="","",IF(COUNTIFS(INDEX(Dividends!$A:$T,0,$M$2),"&gt;"&amp;INT($A133),INDEX(Dividends!$A:$T,0,$M$2),"&lt;="&amp;INT($A134))=0,"",$G$4*SUMIFS(INDEX(Dividends!$A:$T,0,$M$2+1),INDEX(Dividends!$A:$T,0,$M$2),"&gt;"&amp;INT($A133),INDEX(Dividends!$A:$T,0,$M$2),"&lt;="&amp;INT($A134))))</f>
        <v/>
      </c>
      <c r="L134" s="55" t="str">
        <f ca="1">IF(ISERROR(B134-2),"",C134+D134-F134-G134+I134+J134+SUM($K$14:K134))</f>
        <v/>
      </c>
      <c r="P134" s="52">
        <f ca="1"/>
        <v>46188</v>
      </c>
      <c r="Q134" s="39">
        <f ca="1"/>
        <v>98.725999999999999</v>
      </c>
      <c r="V134" s="52" t="str">
        <f t="shared" ca="1" si="22"/>
        <v/>
      </c>
      <c r="W134" s="97" t="str">
        <f t="shared" ca="1" si="23"/>
        <v/>
      </c>
    </row>
    <row r="135" spans="1:23" x14ac:dyDescent="0.25">
      <c r="A135" s="102" t="str">
        <f t="shared" ca="1" si="15"/>
        <v/>
      </c>
      <c r="B135" s="53" t="str">
        <f t="shared" ca="1" si="13"/>
        <v/>
      </c>
      <c r="C135" s="25" t="str">
        <f t="shared" ca="1" si="16"/>
        <v/>
      </c>
      <c r="D135" s="26" t="str">
        <f t="shared" ca="1" si="17"/>
        <v/>
      </c>
      <c r="E135" s="53" t="str">
        <f t="shared" ca="1" si="14"/>
        <v/>
      </c>
      <c r="F135" s="25" t="str">
        <f t="shared" ca="1" si="18"/>
        <v/>
      </c>
      <c r="G135" s="26" t="str">
        <f t="shared" ca="1" si="19"/>
        <v/>
      </c>
      <c r="H135" s="53" t="str">
        <f t="shared" ca="1" si="20"/>
        <v/>
      </c>
      <c r="I135" s="25" t="str">
        <f t="shared" ca="1" si="21"/>
        <v/>
      </c>
      <c r="J135" s="26"/>
      <c r="K135" s="114" t="str">
        <f ca="1">IF($A135="","",IF(COUNTIFS(INDEX(Dividends!$A:$T,0,$M$2),"&gt;"&amp;INT($A134),INDEX(Dividends!$A:$T,0,$M$2),"&lt;="&amp;INT($A135))=0,"",$G$4*SUMIFS(INDEX(Dividends!$A:$T,0,$M$2+1),INDEX(Dividends!$A:$T,0,$M$2),"&gt;"&amp;INT($A134),INDEX(Dividends!$A:$T,0,$M$2),"&lt;="&amp;INT($A135))))</f>
        <v/>
      </c>
      <c r="L135" s="55" t="str">
        <f ca="1">IF(ISERROR(B135-2),"",C135+D135-F135-G135+I135+J135+SUM($K$14:K135))</f>
        <v/>
      </c>
      <c r="P135" s="52">
        <f ca="1"/>
        <v>46189</v>
      </c>
      <c r="Q135" s="39">
        <f ca="1"/>
        <v>98.753</v>
      </c>
      <c r="V135" s="52" t="str">
        <f t="shared" ca="1" si="22"/>
        <v/>
      </c>
      <c r="W135" s="97" t="str">
        <f t="shared" ca="1" si="23"/>
        <v/>
      </c>
    </row>
    <row r="136" spans="1:23" x14ac:dyDescent="0.25">
      <c r="A136" s="102" t="str">
        <f t="shared" ca="1" si="15"/>
        <v/>
      </c>
      <c r="B136" s="53" t="str">
        <f t="shared" ca="1" si="13"/>
        <v/>
      </c>
      <c r="C136" s="25" t="str">
        <f t="shared" ca="1" si="16"/>
        <v/>
      </c>
      <c r="D136" s="26" t="str">
        <f t="shared" ca="1" si="17"/>
        <v/>
      </c>
      <c r="E136" s="53" t="str">
        <f t="shared" ca="1" si="14"/>
        <v/>
      </c>
      <c r="F136" s="25" t="str">
        <f t="shared" ca="1" si="18"/>
        <v/>
      </c>
      <c r="G136" s="26" t="str">
        <f t="shared" ca="1" si="19"/>
        <v/>
      </c>
      <c r="H136" s="53" t="str">
        <f t="shared" ca="1" si="20"/>
        <v/>
      </c>
      <c r="I136" s="25" t="str">
        <f t="shared" ca="1" si="21"/>
        <v/>
      </c>
      <c r="J136" s="26"/>
      <c r="K136" s="114" t="str">
        <f ca="1">IF($A136="","",IF(COUNTIFS(INDEX(Dividends!$A:$T,0,$M$2),"&gt;"&amp;INT($A135),INDEX(Dividends!$A:$T,0,$M$2),"&lt;="&amp;INT($A136))=0,"",$G$4*SUMIFS(INDEX(Dividends!$A:$T,0,$M$2+1),INDEX(Dividends!$A:$T,0,$M$2),"&gt;"&amp;INT($A135),INDEX(Dividends!$A:$T,0,$M$2),"&lt;="&amp;INT($A136))))</f>
        <v/>
      </c>
      <c r="L136" s="55" t="str">
        <f ca="1">IF(ISERROR(B136-2),"",C136+D136-F136-G136+I136+J136+SUM($K$14:K136))</f>
        <v/>
      </c>
      <c r="P136" s="52">
        <f ca="1"/>
        <v>46190</v>
      </c>
      <c r="Q136" s="39">
        <f ca="1"/>
        <v>98.709000000000003</v>
      </c>
      <c r="V136" s="52" t="str">
        <f t="shared" ca="1" si="22"/>
        <v/>
      </c>
      <c r="W136" s="97" t="str">
        <f t="shared" ca="1" si="23"/>
        <v/>
      </c>
    </row>
    <row r="137" spans="1:23" x14ac:dyDescent="0.25">
      <c r="A137" s="102" t="str">
        <f t="shared" ca="1" si="15"/>
        <v/>
      </c>
      <c r="B137" s="53" t="str">
        <f t="shared" ca="1" si="13"/>
        <v/>
      </c>
      <c r="C137" s="25" t="str">
        <f t="shared" ca="1" si="16"/>
        <v/>
      </c>
      <c r="D137" s="26" t="str">
        <f t="shared" ca="1" si="17"/>
        <v/>
      </c>
      <c r="E137" s="53" t="str">
        <f t="shared" ca="1" si="14"/>
        <v/>
      </c>
      <c r="F137" s="25" t="str">
        <f t="shared" ca="1" si="18"/>
        <v/>
      </c>
      <c r="G137" s="26" t="str">
        <f t="shared" ca="1" si="19"/>
        <v/>
      </c>
      <c r="H137" s="53" t="str">
        <f t="shared" ca="1" si="20"/>
        <v/>
      </c>
      <c r="I137" s="25" t="str">
        <f t="shared" ca="1" si="21"/>
        <v/>
      </c>
      <c r="J137" s="26"/>
      <c r="K137" s="114" t="str">
        <f ca="1">IF($A137="","",IF(COUNTIFS(INDEX(Dividends!$A:$T,0,$M$2),"&gt;"&amp;INT($A136),INDEX(Dividends!$A:$T,0,$M$2),"&lt;="&amp;INT($A137))=0,"",$G$4*SUMIFS(INDEX(Dividends!$A:$T,0,$M$2+1),INDEX(Dividends!$A:$T,0,$M$2),"&gt;"&amp;INT($A136),INDEX(Dividends!$A:$T,0,$M$2),"&lt;="&amp;INT($A137))))</f>
        <v/>
      </c>
      <c r="L137" s="55" t="str">
        <f ca="1">IF(ISERROR(B137-2),"",C137+D137-F137-G137+I137+J137+SUM($K$14:K137))</f>
        <v/>
      </c>
      <c r="V137" s="52" t="str">
        <f t="shared" ca="1" si="22"/>
        <v/>
      </c>
      <c r="W137" s="97" t="str">
        <f t="shared" ca="1" si="23"/>
        <v/>
      </c>
    </row>
    <row r="138" spans="1:23" x14ac:dyDescent="0.25">
      <c r="A138" s="102" t="str">
        <f t="shared" ca="1" si="15"/>
        <v/>
      </c>
      <c r="B138" s="53" t="str">
        <f t="shared" ca="1" si="13"/>
        <v/>
      </c>
      <c r="C138" s="25" t="str">
        <f t="shared" ca="1" si="16"/>
        <v/>
      </c>
      <c r="D138" s="26" t="str">
        <f t="shared" ca="1" si="17"/>
        <v/>
      </c>
      <c r="E138" s="53" t="str">
        <f t="shared" ca="1" si="14"/>
        <v/>
      </c>
      <c r="F138" s="25" t="str">
        <f t="shared" ca="1" si="18"/>
        <v/>
      </c>
      <c r="G138" s="26" t="str">
        <f t="shared" ca="1" si="19"/>
        <v/>
      </c>
      <c r="H138" s="53" t="str">
        <f t="shared" ca="1" si="20"/>
        <v/>
      </c>
      <c r="I138" s="25" t="str">
        <f t="shared" ca="1" si="21"/>
        <v/>
      </c>
      <c r="J138" s="26"/>
      <c r="K138" s="114" t="str">
        <f ca="1">IF($A138="","",IF(COUNTIFS(INDEX(Dividends!$A:$T,0,$M$2),"&gt;"&amp;INT($A137),INDEX(Dividends!$A:$T,0,$M$2),"&lt;="&amp;INT($A138))=0,"",$G$4*SUMIFS(INDEX(Dividends!$A:$T,0,$M$2+1),INDEX(Dividends!$A:$T,0,$M$2),"&gt;"&amp;INT($A137),INDEX(Dividends!$A:$T,0,$M$2),"&lt;="&amp;INT($A138))))</f>
        <v/>
      </c>
      <c r="L138" s="55" t="str">
        <f ca="1">IF(ISERROR(B138-2),"",C138+D138-F138-G138+I138+J138+SUM($K$14:K138))</f>
        <v/>
      </c>
      <c r="V138" s="52" t="str">
        <f t="shared" ca="1" si="22"/>
        <v/>
      </c>
      <c r="W138" s="97" t="str">
        <f t="shared" ca="1" si="23"/>
        <v/>
      </c>
    </row>
    <row r="139" spans="1:23" x14ac:dyDescent="0.25">
      <c r="A139" s="102" t="str">
        <f t="shared" ca="1" si="15"/>
        <v/>
      </c>
      <c r="B139" s="53" t="str">
        <f t="shared" ca="1" si="13"/>
        <v/>
      </c>
      <c r="C139" s="25" t="str">
        <f t="shared" ca="1" si="16"/>
        <v/>
      </c>
      <c r="D139" s="26" t="str">
        <f t="shared" ca="1" si="17"/>
        <v/>
      </c>
      <c r="E139" s="53" t="str">
        <f t="shared" ca="1" si="14"/>
        <v/>
      </c>
      <c r="F139" s="25" t="str">
        <f t="shared" ca="1" si="18"/>
        <v/>
      </c>
      <c r="G139" s="26" t="str">
        <f t="shared" ca="1" si="19"/>
        <v/>
      </c>
      <c r="H139" s="53" t="str">
        <f t="shared" ca="1" si="20"/>
        <v/>
      </c>
      <c r="I139" s="25" t="str">
        <f t="shared" ca="1" si="21"/>
        <v/>
      </c>
      <c r="J139" s="26"/>
      <c r="K139" s="114" t="str">
        <f ca="1">IF($A139="","",IF(COUNTIFS(INDEX(Dividends!$A:$T,0,$M$2),"&gt;"&amp;INT($A138),INDEX(Dividends!$A:$T,0,$M$2),"&lt;="&amp;INT($A139))=0,"",$G$4*SUMIFS(INDEX(Dividends!$A:$T,0,$M$2+1),INDEX(Dividends!$A:$T,0,$M$2),"&gt;"&amp;INT($A138),INDEX(Dividends!$A:$T,0,$M$2),"&lt;="&amp;INT($A139))))</f>
        <v/>
      </c>
      <c r="L139" s="55" t="str">
        <f ca="1">IF(ISERROR(B139-2),"",C139+D139-F139-G139+I139+J139+SUM($K$14:K139))</f>
        <v/>
      </c>
      <c r="V139" s="52" t="str">
        <f t="shared" ca="1" si="22"/>
        <v/>
      </c>
      <c r="W139" s="97" t="str">
        <f t="shared" ca="1" si="23"/>
        <v/>
      </c>
    </row>
    <row r="140" spans="1:23" x14ac:dyDescent="0.25">
      <c r="A140" s="102" t="str">
        <f t="shared" ca="1" si="15"/>
        <v/>
      </c>
      <c r="B140" s="53" t="str">
        <f t="shared" ca="1" si="13"/>
        <v/>
      </c>
      <c r="C140" s="25" t="str">
        <f t="shared" ca="1" si="16"/>
        <v/>
      </c>
      <c r="D140" s="26" t="str">
        <f t="shared" ca="1" si="17"/>
        <v/>
      </c>
      <c r="E140" s="53" t="str">
        <f t="shared" ca="1" si="14"/>
        <v/>
      </c>
      <c r="F140" s="25" t="str">
        <f t="shared" ca="1" si="18"/>
        <v/>
      </c>
      <c r="G140" s="26" t="str">
        <f t="shared" ca="1" si="19"/>
        <v/>
      </c>
      <c r="H140" s="53" t="str">
        <f t="shared" ca="1" si="20"/>
        <v/>
      </c>
      <c r="I140" s="25" t="str">
        <f t="shared" ca="1" si="21"/>
        <v/>
      </c>
      <c r="J140" s="26"/>
      <c r="K140" s="114" t="str">
        <f ca="1">IF($A140="","",IF(COUNTIFS(INDEX(Dividends!$A:$T,0,$M$2),"&gt;"&amp;INT($A139),INDEX(Dividends!$A:$T,0,$M$2),"&lt;="&amp;INT($A140))=0,"",$G$4*SUMIFS(INDEX(Dividends!$A:$T,0,$M$2+1),INDEX(Dividends!$A:$T,0,$M$2),"&gt;"&amp;INT($A139),INDEX(Dividends!$A:$T,0,$M$2),"&lt;="&amp;INT($A140))))</f>
        <v/>
      </c>
      <c r="L140" s="55" t="str">
        <f ca="1">IF(ISERROR(B140-2),"",C140+D140-F140-G140+I140+J140+SUM($K$14:K140))</f>
        <v/>
      </c>
      <c r="V140" s="52" t="str">
        <f t="shared" ca="1" si="22"/>
        <v/>
      </c>
      <c r="W140" s="97" t="str">
        <f t="shared" ca="1" si="23"/>
        <v/>
      </c>
    </row>
    <row r="141" spans="1:23" x14ac:dyDescent="0.25">
      <c r="A141" s="102" t="str">
        <f t="shared" ca="1" si="15"/>
        <v/>
      </c>
      <c r="B141" s="53" t="str">
        <f t="shared" ca="1" si="13"/>
        <v/>
      </c>
      <c r="C141" s="25" t="str">
        <f t="shared" ca="1" si="16"/>
        <v/>
      </c>
      <c r="D141" s="26" t="str">
        <f t="shared" ca="1" si="17"/>
        <v/>
      </c>
      <c r="E141" s="53" t="str">
        <f t="shared" ca="1" si="14"/>
        <v/>
      </c>
      <c r="F141" s="25" t="str">
        <f t="shared" ca="1" si="18"/>
        <v/>
      </c>
      <c r="G141" s="26" t="str">
        <f t="shared" ca="1" si="19"/>
        <v/>
      </c>
      <c r="H141" s="53" t="str">
        <f t="shared" ca="1" si="20"/>
        <v/>
      </c>
      <c r="I141" s="25" t="str">
        <f t="shared" ca="1" si="21"/>
        <v/>
      </c>
      <c r="J141" s="26"/>
      <c r="K141" s="114" t="str">
        <f ca="1">IF($A141="","",IF(COUNTIFS(INDEX(Dividends!$A:$T,0,$M$2),"&gt;"&amp;INT($A140),INDEX(Dividends!$A:$T,0,$M$2),"&lt;="&amp;INT($A141))=0,"",$G$4*SUMIFS(INDEX(Dividends!$A:$T,0,$M$2+1),INDEX(Dividends!$A:$T,0,$M$2),"&gt;"&amp;INT($A140),INDEX(Dividends!$A:$T,0,$M$2),"&lt;="&amp;INT($A141))))</f>
        <v/>
      </c>
      <c r="L141" s="55" t="str">
        <f ca="1">IF(ISERROR(B141-2),"",C141+D141-F141-G141+I141+J141+SUM($K$14:K141))</f>
        <v/>
      </c>
      <c r="V141" s="52" t="str">
        <f t="shared" ca="1" si="22"/>
        <v/>
      </c>
      <c r="W141" s="97" t="str">
        <f t="shared" ca="1" si="23"/>
        <v/>
      </c>
    </row>
    <row r="142" spans="1:23" x14ac:dyDescent="0.25">
      <c r="A142" s="102" t="str">
        <f t="shared" ca="1" si="15"/>
        <v/>
      </c>
      <c r="B142" s="53" t="str">
        <f t="shared" ca="1" si="13"/>
        <v/>
      </c>
      <c r="C142" s="25" t="str">
        <f t="shared" ca="1" si="16"/>
        <v/>
      </c>
      <c r="D142" s="26" t="str">
        <f t="shared" ca="1" si="17"/>
        <v/>
      </c>
      <c r="E142" s="53" t="str">
        <f t="shared" ca="1" si="14"/>
        <v/>
      </c>
      <c r="F142" s="25" t="str">
        <f t="shared" ca="1" si="18"/>
        <v/>
      </c>
      <c r="G142" s="26" t="str">
        <f t="shared" ca="1" si="19"/>
        <v/>
      </c>
      <c r="H142" s="53" t="str">
        <f t="shared" ca="1" si="20"/>
        <v/>
      </c>
      <c r="I142" s="25" t="str">
        <f t="shared" ca="1" si="21"/>
        <v/>
      </c>
      <c r="J142" s="26"/>
      <c r="K142" s="114" t="str">
        <f ca="1">IF($A142="","",IF(COUNTIFS(INDEX(Dividends!$A:$T,0,$M$2),"&gt;"&amp;INT($A141),INDEX(Dividends!$A:$T,0,$M$2),"&lt;="&amp;INT($A142))=0,"",$G$4*SUMIFS(INDEX(Dividends!$A:$T,0,$M$2+1),INDEX(Dividends!$A:$T,0,$M$2),"&gt;"&amp;INT($A141),INDEX(Dividends!$A:$T,0,$M$2),"&lt;="&amp;INT($A142))))</f>
        <v/>
      </c>
      <c r="L142" s="55" t="str">
        <f ca="1">IF(ISERROR(B142-2),"",C142+D142-F142-G142+I142+J142+SUM($K$14:K142))</f>
        <v/>
      </c>
      <c r="V142" s="52" t="str">
        <f t="shared" ca="1" si="22"/>
        <v/>
      </c>
      <c r="W142" s="97" t="str">
        <f t="shared" ca="1" si="23"/>
        <v/>
      </c>
    </row>
    <row r="143" spans="1:23" x14ac:dyDescent="0.25">
      <c r="A143" s="102" t="str">
        <f t="shared" ca="1" si="15"/>
        <v/>
      </c>
      <c r="B143" s="53" t="str">
        <f t="shared" ref="B143:B206" ca="1" si="24">IF(COUNTIF(N:N,A143)=1,VLOOKUP(A143,N:O,2), IF(COUNTIF(N:N,A143)=0,$B$10,""))</f>
        <v/>
      </c>
      <c r="C143" s="25" t="str">
        <f t="shared" ca="1" si="16"/>
        <v/>
      </c>
      <c r="D143" s="26" t="str">
        <f t="shared" ca="1" si="17"/>
        <v/>
      </c>
      <c r="E143" s="53" t="str">
        <f t="shared" ref="E143:E206" ca="1" si="25">IF(COUNTIF(N:N,A143)=1,VLOOKUP(A143,P:Q,2), IF(COUNTIF(N:N,A143)=0,$C$10,""))</f>
        <v/>
      </c>
      <c r="F143" s="25" t="str">
        <f t="shared" ca="1" si="18"/>
        <v/>
      </c>
      <c r="G143" s="26" t="str">
        <f t="shared" ca="1" si="19"/>
        <v/>
      </c>
      <c r="H143" s="53" t="str">
        <f t="shared" ca="1" si="20"/>
        <v/>
      </c>
      <c r="I143" s="25" t="str">
        <f t="shared" ca="1" si="21"/>
        <v/>
      </c>
      <c r="J143" s="26"/>
      <c r="K143" s="114" t="str">
        <f ca="1">IF($A143="","",IF(COUNTIFS(INDEX(Dividends!$A:$T,0,$M$2),"&gt;"&amp;INT($A142),INDEX(Dividends!$A:$T,0,$M$2),"&lt;="&amp;INT($A143))=0,"",$G$4*SUMIFS(INDEX(Dividends!$A:$T,0,$M$2+1),INDEX(Dividends!$A:$T,0,$M$2),"&gt;"&amp;INT($A142),INDEX(Dividends!$A:$T,0,$M$2),"&lt;="&amp;INT($A143))))</f>
        <v/>
      </c>
      <c r="L143" s="55" t="str">
        <f ca="1">IF(ISERROR(B143-2),"",C143+D143-F143-G143+I143+J143+SUM($K$14:K143))</f>
        <v/>
      </c>
      <c r="V143" s="52" t="str">
        <f t="shared" ca="1" si="22"/>
        <v/>
      </c>
      <c r="W143" s="97" t="str">
        <f t="shared" ca="1" si="23"/>
        <v/>
      </c>
    </row>
    <row r="144" spans="1:23" x14ac:dyDescent="0.25">
      <c r="A144" s="102" t="str">
        <f t="shared" ref="A144:A207" ca="1" si="26">IF(AND(ISBLANK(X131), A143 = $X$1),NOW(),IF(ISBLANK(X131),"",X131))</f>
        <v/>
      </c>
      <c r="B144" s="53" t="str">
        <f t="shared" ca="1" si="24"/>
        <v/>
      </c>
      <c r="C144" s="25" t="str">
        <f t="shared" ref="C144:C207" ca="1" si="27">IF(ISERROR(B144-2),"",(B144/$B$14-1)*$B$5)</f>
        <v/>
      </c>
      <c r="D144" s="26" t="str">
        <f t="shared" ref="D144:D207" ca="1" si="28">IF(ISERROR(B144-2),"",-1*(INT(A144)-INT($A$14))/360*$B$7*$B$5)</f>
        <v/>
      </c>
      <c r="E144" s="53" t="str">
        <f t="shared" ca="1" si="25"/>
        <v/>
      </c>
      <c r="F144" s="25" t="str">
        <f t="shared" ref="F144:F207" ca="1" si="29">IF(ISERROR(B144-2),"",(E144-$E$14)/100*$C$5)</f>
        <v/>
      </c>
      <c r="G144" s="26" t="str">
        <f t="shared" ref="G144:G207" ca="1" si="30">IF(ISERROR(B144-2),"",(INT(A144)-INT($A$14))/360*$C$6*$C$5-(INT(A144)-INT($A$14))/360*$C$7*$C$5*$E$14/100)</f>
        <v/>
      </c>
      <c r="H144" s="53" t="str">
        <f t="shared" ref="H144:H207" ca="1" si="31">IF(COUNTIF(N:N,A144)=1,VLOOKUP(A144,T:U,2), IF(COUNTIF(N:N,A144)=0,$D$11,""))</f>
        <v/>
      </c>
      <c r="I144" s="25" t="str">
        <f t="shared" ref="I144:I207" ca="1" si="32">IF(ISERROR(B144-2),"",(H144/$H$14-1)*$D$5)</f>
        <v/>
      </c>
      <c r="J144" s="26"/>
      <c r="K144" s="114" t="str">
        <f ca="1">IF($A144="","",IF(COUNTIFS(INDEX(Dividends!$A:$T,0,$M$2),"&gt;"&amp;INT($A143),INDEX(Dividends!$A:$T,0,$M$2),"&lt;="&amp;INT($A144))=0,"",$G$4*SUMIFS(INDEX(Dividends!$A:$T,0,$M$2+1),INDEX(Dividends!$A:$T,0,$M$2),"&gt;"&amp;INT($A143),INDEX(Dividends!$A:$T,0,$M$2),"&lt;="&amp;INT($A144))))</f>
        <v/>
      </c>
      <c r="L144" s="55" t="str">
        <f ca="1">IF(ISERROR(B144-2),"",C144+D144-F144-G144+I144+J144+SUM($K$14:K144))</f>
        <v/>
      </c>
      <c r="V144" s="52" t="str">
        <f t="shared" ca="1" si="22"/>
        <v/>
      </c>
      <c r="W144" s="97" t="str">
        <f t="shared" ca="1" si="23"/>
        <v/>
      </c>
    </row>
    <row r="145" spans="1:23" x14ac:dyDescent="0.25">
      <c r="A145" s="102" t="str">
        <f t="shared" ca="1" si="26"/>
        <v/>
      </c>
      <c r="B145" s="53" t="str">
        <f t="shared" ca="1" si="24"/>
        <v/>
      </c>
      <c r="C145" s="25" t="str">
        <f t="shared" ca="1" si="27"/>
        <v/>
      </c>
      <c r="D145" s="26" t="str">
        <f t="shared" ca="1" si="28"/>
        <v/>
      </c>
      <c r="E145" s="53" t="str">
        <f t="shared" ca="1" si="25"/>
        <v/>
      </c>
      <c r="F145" s="25" t="str">
        <f t="shared" ca="1" si="29"/>
        <v/>
      </c>
      <c r="G145" s="26" t="str">
        <f t="shared" ca="1" si="30"/>
        <v/>
      </c>
      <c r="H145" s="53" t="str">
        <f t="shared" ca="1" si="31"/>
        <v/>
      </c>
      <c r="I145" s="25" t="str">
        <f t="shared" ca="1" si="32"/>
        <v/>
      </c>
      <c r="J145" s="26"/>
      <c r="K145" s="114" t="str">
        <f ca="1">IF($A145="","",IF(COUNTIFS(INDEX(Dividends!$A:$T,0,$M$2),"&gt;"&amp;INT($A144),INDEX(Dividends!$A:$T,0,$M$2),"&lt;="&amp;INT($A145))=0,"",$G$4*SUMIFS(INDEX(Dividends!$A:$T,0,$M$2+1),INDEX(Dividends!$A:$T,0,$M$2),"&gt;"&amp;INT($A144),INDEX(Dividends!$A:$T,0,$M$2),"&lt;="&amp;INT($A145))))</f>
        <v/>
      </c>
      <c r="L145" s="55" t="str">
        <f ca="1">IF(ISERROR(B145-2),"",C145+D145-F145-G145+I145+J145+SUM($K$14:K145))</f>
        <v/>
      </c>
      <c r="V145" s="52" t="str">
        <f t="shared" ca="1" si="22"/>
        <v/>
      </c>
      <c r="W145" s="97" t="str">
        <f t="shared" ca="1" si="23"/>
        <v/>
      </c>
    </row>
    <row r="146" spans="1:23" x14ac:dyDescent="0.25">
      <c r="A146" s="102" t="str">
        <f t="shared" ca="1" si="26"/>
        <v/>
      </c>
      <c r="B146" s="53" t="str">
        <f t="shared" ca="1" si="24"/>
        <v/>
      </c>
      <c r="C146" s="25" t="str">
        <f t="shared" ca="1" si="27"/>
        <v/>
      </c>
      <c r="D146" s="26" t="str">
        <f t="shared" ca="1" si="28"/>
        <v/>
      </c>
      <c r="E146" s="53" t="str">
        <f t="shared" ca="1" si="25"/>
        <v/>
      </c>
      <c r="F146" s="25" t="str">
        <f t="shared" ca="1" si="29"/>
        <v/>
      </c>
      <c r="G146" s="26" t="str">
        <f t="shared" ca="1" si="30"/>
        <v/>
      </c>
      <c r="H146" s="53" t="str">
        <f t="shared" ca="1" si="31"/>
        <v/>
      </c>
      <c r="I146" s="25" t="str">
        <f t="shared" ca="1" si="32"/>
        <v/>
      </c>
      <c r="J146" s="26"/>
      <c r="K146" s="114" t="str">
        <f ca="1">IF($A146="","",IF(COUNTIFS(INDEX(Dividends!$A:$T,0,$M$2),"&gt;"&amp;INT($A145),INDEX(Dividends!$A:$T,0,$M$2),"&lt;="&amp;INT($A146))=0,"",$G$4*SUMIFS(INDEX(Dividends!$A:$T,0,$M$2+1),INDEX(Dividends!$A:$T,0,$M$2),"&gt;"&amp;INT($A145),INDEX(Dividends!$A:$T,0,$M$2),"&lt;="&amp;INT($A146))))</f>
        <v/>
      </c>
      <c r="L146" s="55" t="str">
        <f ca="1">IF(ISERROR(B146-2),"",C146+D146-F146-G146+I146+J146+SUM($K$14:K146))</f>
        <v/>
      </c>
      <c r="V146" s="52" t="str">
        <f t="shared" ca="1" si="22"/>
        <v/>
      </c>
      <c r="W146" s="97" t="str">
        <f t="shared" ca="1" si="23"/>
        <v/>
      </c>
    </row>
    <row r="147" spans="1:23" x14ac:dyDescent="0.25">
      <c r="A147" s="102" t="str">
        <f t="shared" ca="1" si="26"/>
        <v/>
      </c>
      <c r="B147" s="53" t="str">
        <f t="shared" ca="1" si="24"/>
        <v/>
      </c>
      <c r="C147" s="25" t="str">
        <f t="shared" ca="1" si="27"/>
        <v/>
      </c>
      <c r="D147" s="26" t="str">
        <f t="shared" ca="1" si="28"/>
        <v/>
      </c>
      <c r="E147" s="53" t="str">
        <f t="shared" ca="1" si="25"/>
        <v/>
      </c>
      <c r="F147" s="25" t="str">
        <f t="shared" ca="1" si="29"/>
        <v/>
      </c>
      <c r="G147" s="26" t="str">
        <f t="shared" ca="1" si="30"/>
        <v/>
      </c>
      <c r="H147" s="53" t="str">
        <f t="shared" ca="1" si="31"/>
        <v/>
      </c>
      <c r="I147" s="25" t="str">
        <f t="shared" ca="1" si="32"/>
        <v/>
      </c>
      <c r="J147" s="26"/>
      <c r="K147" s="114" t="str">
        <f ca="1">IF($A147="","",IF(COUNTIFS(INDEX(Dividends!$A:$T,0,$M$2),"&gt;"&amp;INT($A146),INDEX(Dividends!$A:$T,0,$M$2),"&lt;="&amp;INT($A147))=0,"",$G$4*SUMIFS(INDEX(Dividends!$A:$T,0,$M$2+1),INDEX(Dividends!$A:$T,0,$M$2),"&gt;"&amp;INT($A146),INDEX(Dividends!$A:$T,0,$M$2),"&lt;="&amp;INT($A147))))</f>
        <v/>
      </c>
      <c r="L147" s="55" t="str">
        <f ca="1">IF(ISERROR(B147-2),"",C147+D147-F147-G147+I147+J147+SUM($K$14:K147))</f>
        <v/>
      </c>
      <c r="V147" s="52" t="str">
        <f t="shared" ca="1" si="22"/>
        <v/>
      </c>
      <c r="W147" s="97" t="str">
        <f t="shared" ca="1" si="23"/>
        <v/>
      </c>
    </row>
    <row r="148" spans="1:23" x14ac:dyDescent="0.25">
      <c r="A148" s="102" t="str">
        <f t="shared" ca="1" si="26"/>
        <v/>
      </c>
      <c r="B148" s="53" t="str">
        <f t="shared" ca="1" si="24"/>
        <v/>
      </c>
      <c r="C148" s="25" t="str">
        <f t="shared" ca="1" si="27"/>
        <v/>
      </c>
      <c r="D148" s="26" t="str">
        <f t="shared" ca="1" si="28"/>
        <v/>
      </c>
      <c r="E148" s="53" t="str">
        <f t="shared" ca="1" si="25"/>
        <v/>
      </c>
      <c r="F148" s="25" t="str">
        <f t="shared" ca="1" si="29"/>
        <v/>
      </c>
      <c r="G148" s="26" t="str">
        <f t="shared" ca="1" si="30"/>
        <v/>
      </c>
      <c r="H148" s="53" t="str">
        <f t="shared" ca="1" si="31"/>
        <v/>
      </c>
      <c r="I148" s="25" t="str">
        <f t="shared" ca="1" si="32"/>
        <v/>
      </c>
      <c r="J148" s="26"/>
      <c r="K148" s="114" t="str">
        <f ca="1">IF($A148="","",IF(COUNTIFS(INDEX(Dividends!$A:$T,0,$M$2),"&gt;"&amp;INT($A147),INDEX(Dividends!$A:$T,0,$M$2),"&lt;="&amp;INT($A148))=0,"",$G$4*SUMIFS(INDEX(Dividends!$A:$T,0,$M$2+1),INDEX(Dividends!$A:$T,0,$M$2),"&gt;"&amp;INT($A147),INDEX(Dividends!$A:$T,0,$M$2),"&lt;="&amp;INT($A148))))</f>
        <v/>
      </c>
      <c r="L148" s="55" t="str">
        <f ca="1">IF(ISERROR(B148-2),"",C148+D148-F148-G148+I148+J148+SUM($K$14:K148))</f>
        <v/>
      </c>
      <c r="V148" s="52" t="str">
        <f t="shared" ca="1" si="22"/>
        <v/>
      </c>
      <c r="W148" s="97" t="str">
        <f t="shared" ca="1" si="23"/>
        <v/>
      </c>
    </row>
    <row r="149" spans="1:23" x14ac:dyDescent="0.25">
      <c r="A149" s="102" t="str">
        <f t="shared" ca="1" si="26"/>
        <v/>
      </c>
      <c r="B149" s="53" t="str">
        <f t="shared" ca="1" si="24"/>
        <v/>
      </c>
      <c r="C149" s="25" t="str">
        <f t="shared" ca="1" si="27"/>
        <v/>
      </c>
      <c r="D149" s="26" t="str">
        <f t="shared" ca="1" si="28"/>
        <v/>
      </c>
      <c r="E149" s="53" t="str">
        <f t="shared" ca="1" si="25"/>
        <v/>
      </c>
      <c r="F149" s="25" t="str">
        <f t="shared" ca="1" si="29"/>
        <v/>
      </c>
      <c r="G149" s="26" t="str">
        <f t="shared" ca="1" si="30"/>
        <v/>
      </c>
      <c r="H149" s="53" t="str">
        <f t="shared" ca="1" si="31"/>
        <v/>
      </c>
      <c r="I149" s="25" t="str">
        <f t="shared" ca="1" si="32"/>
        <v/>
      </c>
      <c r="J149" s="26"/>
      <c r="K149" s="114" t="str">
        <f ca="1">IF($A149="","",IF(COUNTIFS(INDEX(Dividends!$A:$T,0,$M$2),"&gt;"&amp;INT($A148),INDEX(Dividends!$A:$T,0,$M$2),"&lt;="&amp;INT($A149))=0,"",$G$4*SUMIFS(INDEX(Dividends!$A:$T,0,$M$2+1),INDEX(Dividends!$A:$T,0,$M$2),"&gt;"&amp;INT($A148),INDEX(Dividends!$A:$T,0,$M$2),"&lt;="&amp;INT($A149))))</f>
        <v/>
      </c>
      <c r="L149" s="55" t="str">
        <f ca="1">IF(ISERROR(B149-2),"",C149+D149-F149-G149+I149+J149+SUM($K$14:K149))</f>
        <v/>
      </c>
      <c r="V149" s="52" t="str">
        <f t="shared" ca="1" si="22"/>
        <v/>
      </c>
      <c r="W149" s="97" t="str">
        <f t="shared" ca="1" si="23"/>
        <v/>
      </c>
    </row>
    <row r="150" spans="1:23" x14ac:dyDescent="0.25">
      <c r="A150" s="102" t="str">
        <f t="shared" ca="1" si="26"/>
        <v/>
      </c>
      <c r="B150" s="53" t="str">
        <f t="shared" ca="1" si="24"/>
        <v/>
      </c>
      <c r="C150" s="25" t="str">
        <f t="shared" ca="1" si="27"/>
        <v/>
      </c>
      <c r="D150" s="26" t="str">
        <f t="shared" ca="1" si="28"/>
        <v/>
      </c>
      <c r="E150" s="53" t="str">
        <f t="shared" ca="1" si="25"/>
        <v/>
      </c>
      <c r="F150" s="25" t="str">
        <f t="shared" ca="1" si="29"/>
        <v/>
      </c>
      <c r="G150" s="26" t="str">
        <f t="shared" ca="1" si="30"/>
        <v/>
      </c>
      <c r="H150" s="53" t="str">
        <f t="shared" ca="1" si="31"/>
        <v/>
      </c>
      <c r="I150" s="25" t="str">
        <f t="shared" ca="1" si="32"/>
        <v/>
      </c>
      <c r="J150" s="26"/>
      <c r="K150" s="114" t="str">
        <f ca="1">IF($A150="","",IF(COUNTIFS(INDEX(Dividends!$A:$T,0,$M$2),"&gt;"&amp;INT($A149),INDEX(Dividends!$A:$T,0,$M$2),"&lt;="&amp;INT($A150))=0,"",$G$4*SUMIFS(INDEX(Dividends!$A:$T,0,$M$2+1),INDEX(Dividends!$A:$T,0,$M$2),"&gt;"&amp;INT($A149),INDEX(Dividends!$A:$T,0,$M$2),"&lt;="&amp;INT($A150))))</f>
        <v/>
      </c>
      <c r="L150" s="55" t="str">
        <f ca="1">IF(ISERROR(B150-2),"",C150+D150-F150-G150+I150+J150+SUM($K$14:K150))</f>
        <v/>
      </c>
      <c r="V150" s="52" t="str">
        <f t="shared" ca="1" si="22"/>
        <v/>
      </c>
      <c r="W150" s="97" t="str">
        <f t="shared" ca="1" si="23"/>
        <v/>
      </c>
    </row>
    <row r="151" spans="1:23" x14ac:dyDescent="0.25">
      <c r="A151" s="102" t="str">
        <f t="shared" ca="1" si="26"/>
        <v/>
      </c>
      <c r="B151" s="53" t="str">
        <f t="shared" ca="1" si="24"/>
        <v/>
      </c>
      <c r="C151" s="25" t="str">
        <f t="shared" ca="1" si="27"/>
        <v/>
      </c>
      <c r="D151" s="26" t="str">
        <f t="shared" ca="1" si="28"/>
        <v/>
      </c>
      <c r="E151" s="53" t="str">
        <f t="shared" ca="1" si="25"/>
        <v/>
      </c>
      <c r="F151" s="25" t="str">
        <f t="shared" ca="1" si="29"/>
        <v/>
      </c>
      <c r="G151" s="26" t="str">
        <f t="shared" ca="1" si="30"/>
        <v/>
      </c>
      <c r="H151" s="53" t="str">
        <f t="shared" ca="1" si="31"/>
        <v/>
      </c>
      <c r="I151" s="25" t="str">
        <f t="shared" ca="1" si="32"/>
        <v/>
      </c>
      <c r="J151" s="26"/>
      <c r="K151" s="114" t="str">
        <f ca="1">IF($A151="","",IF(COUNTIFS(INDEX(Dividends!$A:$T,0,$M$2),"&gt;"&amp;INT($A150),INDEX(Dividends!$A:$T,0,$M$2),"&lt;="&amp;INT($A151))=0,"",$G$4*SUMIFS(INDEX(Dividends!$A:$T,0,$M$2+1),INDEX(Dividends!$A:$T,0,$M$2),"&gt;"&amp;INT($A150),INDEX(Dividends!$A:$T,0,$M$2),"&lt;="&amp;INT($A151))))</f>
        <v/>
      </c>
      <c r="L151" s="55" t="str">
        <f ca="1">IF(ISERROR(B151-2),"",C151+D151-F151-G151+I151+J151+SUM($K$14:K151))</f>
        <v/>
      </c>
      <c r="V151" s="52" t="str">
        <f t="shared" ca="1" si="22"/>
        <v/>
      </c>
      <c r="W151" s="97" t="str">
        <f t="shared" ca="1" si="23"/>
        <v/>
      </c>
    </row>
    <row r="152" spans="1:23" x14ac:dyDescent="0.25">
      <c r="A152" s="102" t="str">
        <f t="shared" ca="1" si="26"/>
        <v/>
      </c>
      <c r="B152" s="53" t="str">
        <f t="shared" ca="1" si="24"/>
        <v/>
      </c>
      <c r="C152" s="25" t="str">
        <f t="shared" ca="1" si="27"/>
        <v/>
      </c>
      <c r="D152" s="26" t="str">
        <f t="shared" ca="1" si="28"/>
        <v/>
      </c>
      <c r="E152" s="53" t="str">
        <f t="shared" ca="1" si="25"/>
        <v/>
      </c>
      <c r="F152" s="25" t="str">
        <f t="shared" ca="1" si="29"/>
        <v/>
      </c>
      <c r="G152" s="26" t="str">
        <f t="shared" ca="1" si="30"/>
        <v/>
      </c>
      <c r="H152" s="53" t="str">
        <f t="shared" ca="1" si="31"/>
        <v/>
      </c>
      <c r="I152" s="25" t="str">
        <f t="shared" ca="1" si="32"/>
        <v/>
      </c>
      <c r="J152" s="26"/>
      <c r="K152" s="114" t="str">
        <f ca="1">IF($A152="","",IF(COUNTIFS(INDEX(Dividends!$A:$T,0,$M$2),"&gt;"&amp;INT($A151),INDEX(Dividends!$A:$T,0,$M$2),"&lt;="&amp;INT($A152))=0,"",$G$4*SUMIFS(INDEX(Dividends!$A:$T,0,$M$2+1),INDEX(Dividends!$A:$T,0,$M$2),"&gt;"&amp;INT($A151),INDEX(Dividends!$A:$T,0,$M$2),"&lt;="&amp;INT($A152))))</f>
        <v/>
      </c>
      <c r="L152" s="55" t="str">
        <f ca="1">IF(ISERROR(B152-2),"",C152+D152-F152-G152+I152+J152+SUM($K$14:K152))</f>
        <v/>
      </c>
      <c r="V152" s="52" t="str">
        <f t="shared" ca="1" si="22"/>
        <v/>
      </c>
      <c r="W152" s="97" t="str">
        <f t="shared" ca="1" si="23"/>
        <v/>
      </c>
    </row>
    <row r="153" spans="1:23" x14ac:dyDescent="0.25">
      <c r="A153" s="102" t="str">
        <f t="shared" ca="1" si="26"/>
        <v/>
      </c>
      <c r="B153" s="53" t="str">
        <f t="shared" ca="1" si="24"/>
        <v/>
      </c>
      <c r="C153" s="25" t="str">
        <f t="shared" ca="1" si="27"/>
        <v/>
      </c>
      <c r="D153" s="26" t="str">
        <f t="shared" ca="1" si="28"/>
        <v/>
      </c>
      <c r="E153" s="53" t="str">
        <f t="shared" ca="1" si="25"/>
        <v/>
      </c>
      <c r="F153" s="25" t="str">
        <f t="shared" ca="1" si="29"/>
        <v/>
      </c>
      <c r="G153" s="26" t="str">
        <f t="shared" ca="1" si="30"/>
        <v/>
      </c>
      <c r="H153" s="53" t="str">
        <f t="shared" ca="1" si="31"/>
        <v/>
      </c>
      <c r="I153" s="25" t="str">
        <f t="shared" ca="1" si="32"/>
        <v/>
      </c>
      <c r="J153" s="26"/>
      <c r="K153" s="114" t="str">
        <f ca="1">IF($A153="","",IF(COUNTIFS(INDEX(Dividends!$A:$T,0,$M$2),"&gt;"&amp;INT($A152),INDEX(Dividends!$A:$T,0,$M$2),"&lt;="&amp;INT($A153))=0,"",$G$4*SUMIFS(INDEX(Dividends!$A:$T,0,$M$2+1),INDEX(Dividends!$A:$T,0,$M$2),"&gt;"&amp;INT($A152),INDEX(Dividends!$A:$T,0,$M$2),"&lt;="&amp;INT($A153))))</f>
        <v/>
      </c>
      <c r="L153" s="55" t="str">
        <f ca="1">IF(ISERROR(B153-2),"",C153+D153-F153-G153+I153+J153+SUM($K$14:K153))</f>
        <v/>
      </c>
      <c r="V153" s="52" t="str">
        <f t="shared" ca="1" si="22"/>
        <v/>
      </c>
      <c r="W153" s="97" t="str">
        <f t="shared" ca="1" si="23"/>
        <v/>
      </c>
    </row>
    <row r="154" spans="1:23" x14ac:dyDescent="0.25">
      <c r="A154" s="102" t="str">
        <f t="shared" ca="1" si="26"/>
        <v/>
      </c>
      <c r="B154" s="53" t="str">
        <f t="shared" ca="1" si="24"/>
        <v/>
      </c>
      <c r="C154" s="25" t="str">
        <f t="shared" ca="1" si="27"/>
        <v/>
      </c>
      <c r="D154" s="26" t="str">
        <f t="shared" ca="1" si="28"/>
        <v/>
      </c>
      <c r="E154" s="53" t="str">
        <f t="shared" ca="1" si="25"/>
        <v/>
      </c>
      <c r="F154" s="25" t="str">
        <f t="shared" ca="1" si="29"/>
        <v/>
      </c>
      <c r="G154" s="26" t="str">
        <f t="shared" ca="1" si="30"/>
        <v/>
      </c>
      <c r="H154" s="53" t="str">
        <f t="shared" ca="1" si="31"/>
        <v/>
      </c>
      <c r="I154" s="25" t="str">
        <f t="shared" ca="1" si="32"/>
        <v/>
      </c>
      <c r="J154" s="26"/>
      <c r="K154" s="114" t="str">
        <f ca="1">IF($A154="","",IF(COUNTIFS(INDEX(Dividends!$A:$T,0,$M$2),"&gt;"&amp;INT($A153),INDEX(Dividends!$A:$T,0,$M$2),"&lt;="&amp;INT($A154))=0,"",$G$4*SUMIFS(INDEX(Dividends!$A:$T,0,$M$2+1),INDEX(Dividends!$A:$T,0,$M$2),"&gt;"&amp;INT($A153),INDEX(Dividends!$A:$T,0,$M$2),"&lt;="&amp;INT($A154))))</f>
        <v/>
      </c>
      <c r="L154" s="55" t="str">
        <f ca="1">IF(ISERROR(B154-2),"",C154+D154-F154-G154+I154+J154+SUM($K$14:K154))</f>
        <v/>
      </c>
      <c r="V154" s="52" t="str">
        <f t="shared" ca="1" si="22"/>
        <v/>
      </c>
      <c r="W154" s="97" t="str">
        <f t="shared" ca="1" si="23"/>
        <v/>
      </c>
    </row>
    <row r="155" spans="1:23" x14ac:dyDescent="0.25">
      <c r="A155" s="102" t="str">
        <f t="shared" ca="1" si="26"/>
        <v/>
      </c>
      <c r="B155" s="53" t="str">
        <f t="shared" ca="1" si="24"/>
        <v/>
      </c>
      <c r="C155" s="25" t="str">
        <f t="shared" ca="1" si="27"/>
        <v/>
      </c>
      <c r="D155" s="26" t="str">
        <f t="shared" ca="1" si="28"/>
        <v/>
      </c>
      <c r="E155" s="53" t="str">
        <f t="shared" ca="1" si="25"/>
        <v/>
      </c>
      <c r="F155" s="25" t="str">
        <f t="shared" ca="1" si="29"/>
        <v/>
      </c>
      <c r="G155" s="26" t="str">
        <f t="shared" ca="1" si="30"/>
        <v/>
      </c>
      <c r="H155" s="53" t="str">
        <f t="shared" ca="1" si="31"/>
        <v/>
      </c>
      <c r="I155" s="25" t="str">
        <f t="shared" ca="1" si="32"/>
        <v/>
      </c>
      <c r="J155" s="26"/>
      <c r="K155" s="114" t="str">
        <f ca="1">IF($A155="","",IF(COUNTIFS(INDEX(Dividends!$A:$T,0,$M$2),"&gt;"&amp;INT($A154),INDEX(Dividends!$A:$T,0,$M$2),"&lt;="&amp;INT($A155))=0,"",$G$4*SUMIFS(INDEX(Dividends!$A:$T,0,$M$2+1),INDEX(Dividends!$A:$T,0,$M$2),"&gt;"&amp;INT($A154),INDEX(Dividends!$A:$T,0,$M$2),"&lt;="&amp;INT($A155))))</f>
        <v/>
      </c>
      <c r="L155" s="55" t="str">
        <f ca="1">IF(ISERROR(B155-2),"",C155+D155-F155-G155+I155+J155+SUM($K$14:K155))</f>
        <v/>
      </c>
      <c r="V155" s="52" t="str">
        <f t="shared" ca="1" si="22"/>
        <v/>
      </c>
      <c r="W155" s="97" t="str">
        <f t="shared" ca="1" si="23"/>
        <v/>
      </c>
    </row>
    <row r="156" spans="1:23" x14ac:dyDescent="0.25">
      <c r="A156" s="102" t="str">
        <f t="shared" ca="1" si="26"/>
        <v/>
      </c>
      <c r="B156" s="53" t="str">
        <f t="shared" ca="1" si="24"/>
        <v/>
      </c>
      <c r="C156" s="25" t="str">
        <f t="shared" ca="1" si="27"/>
        <v/>
      </c>
      <c r="D156" s="26" t="str">
        <f t="shared" ca="1" si="28"/>
        <v/>
      </c>
      <c r="E156" s="53" t="str">
        <f t="shared" ca="1" si="25"/>
        <v/>
      </c>
      <c r="F156" s="25" t="str">
        <f t="shared" ca="1" si="29"/>
        <v/>
      </c>
      <c r="G156" s="26" t="str">
        <f t="shared" ca="1" si="30"/>
        <v/>
      </c>
      <c r="H156" s="53" t="str">
        <f t="shared" ca="1" si="31"/>
        <v/>
      </c>
      <c r="I156" s="25" t="str">
        <f t="shared" ca="1" si="32"/>
        <v/>
      </c>
      <c r="J156" s="26"/>
      <c r="K156" s="114" t="str">
        <f ca="1">IF($A156="","",IF(COUNTIFS(INDEX(Dividends!$A:$T,0,$M$2),"&gt;"&amp;INT($A155),INDEX(Dividends!$A:$T,0,$M$2),"&lt;="&amp;INT($A156))=0,"",$G$4*SUMIFS(INDEX(Dividends!$A:$T,0,$M$2+1),INDEX(Dividends!$A:$T,0,$M$2),"&gt;"&amp;INT($A155),INDEX(Dividends!$A:$T,0,$M$2),"&lt;="&amp;INT($A156))))</f>
        <v/>
      </c>
      <c r="L156" s="55" t="str">
        <f ca="1">IF(ISERROR(B156-2),"",C156+D156-F156-G156+I156+J156+SUM($K$14:K156))</f>
        <v/>
      </c>
      <c r="V156" s="52" t="str">
        <f t="shared" ca="1" si="22"/>
        <v/>
      </c>
      <c r="W156" s="97" t="str">
        <f t="shared" ca="1" si="23"/>
        <v/>
      </c>
    </row>
    <row r="157" spans="1:23" x14ac:dyDescent="0.25">
      <c r="A157" s="102" t="str">
        <f t="shared" ca="1" si="26"/>
        <v/>
      </c>
      <c r="B157" s="53" t="str">
        <f t="shared" ca="1" si="24"/>
        <v/>
      </c>
      <c r="C157" s="25" t="str">
        <f t="shared" ca="1" si="27"/>
        <v/>
      </c>
      <c r="D157" s="26" t="str">
        <f t="shared" ca="1" si="28"/>
        <v/>
      </c>
      <c r="E157" s="53" t="str">
        <f t="shared" ca="1" si="25"/>
        <v/>
      </c>
      <c r="F157" s="25" t="str">
        <f t="shared" ca="1" si="29"/>
        <v/>
      </c>
      <c r="G157" s="26" t="str">
        <f t="shared" ca="1" si="30"/>
        <v/>
      </c>
      <c r="H157" s="53" t="str">
        <f t="shared" ca="1" si="31"/>
        <v/>
      </c>
      <c r="I157" s="25" t="str">
        <f t="shared" ca="1" si="32"/>
        <v/>
      </c>
      <c r="J157" s="26"/>
      <c r="K157" s="114" t="str">
        <f ca="1">IF($A157="","",IF(COUNTIFS(INDEX(Dividends!$A:$T,0,$M$2),"&gt;"&amp;INT($A156),INDEX(Dividends!$A:$T,0,$M$2),"&lt;="&amp;INT($A157))=0,"",$G$4*SUMIFS(INDEX(Dividends!$A:$T,0,$M$2+1),INDEX(Dividends!$A:$T,0,$M$2),"&gt;"&amp;INT($A156),INDEX(Dividends!$A:$T,0,$M$2),"&lt;="&amp;INT($A157))))</f>
        <v/>
      </c>
      <c r="L157" s="55" t="str">
        <f ca="1">IF(ISERROR(B157-2),"",C157+D157-F157-G157+I157+J157+SUM($K$14:K157))</f>
        <v/>
      </c>
      <c r="V157" s="52" t="str">
        <f t="shared" ca="1" si="22"/>
        <v/>
      </c>
      <c r="W157" s="97" t="str">
        <f t="shared" ca="1" si="23"/>
        <v/>
      </c>
    </row>
    <row r="158" spans="1:23" x14ac:dyDescent="0.25">
      <c r="A158" s="102" t="str">
        <f t="shared" ca="1" si="26"/>
        <v/>
      </c>
      <c r="B158" s="53" t="str">
        <f t="shared" ca="1" si="24"/>
        <v/>
      </c>
      <c r="C158" s="25" t="str">
        <f t="shared" ca="1" si="27"/>
        <v/>
      </c>
      <c r="D158" s="26" t="str">
        <f t="shared" ca="1" si="28"/>
        <v/>
      </c>
      <c r="E158" s="53" t="str">
        <f t="shared" ca="1" si="25"/>
        <v/>
      </c>
      <c r="F158" s="25" t="str">
        <f t="shared" ca="1" si="29"/>
        <v/>
      </c>
      <c r="G158" s="26" t="str">
        <f t="shared" ca="1" si="30"/>
        <v/>
      </c>
      <c r="H158" s="53" t="str">
        <f t="shared" ca="1" si="31"/>
        <v/>
      </c>
      <c r="I158" s="25" t="str">
        <f t="shared" ca="1" si="32"/>
        <v/>
      </c>
      <c r="J158" s="26"/>
      <c r="K158" s="114" t="str">
        <f ca="1">IF($A158="","",IF(COUNTIFS(INDEX(Dividends!$A:$T,0,$M$2),"&gt;"&amp;INT($A157),INDEX(Dividends!$A:$T,0,$M$2),"&lt;="&amp;INT($A158))=0,"",$G$4*SUMIFS(INDEX(Dividends!$A:$T,0,$M$2+1),INDEX(Dividends!$A:$T,0,$M$2),"&gt;"&amp;INT($A157),INDEX(Dividends!$A:$T,0,$M$2),"&lt;="&amp;INT($A158))))</f>
        <v/>
      </c>
      <c r="L158" s="55" t="str">
        <f ca="1">IF(ISERROR(B158-2),"",C158+D158-F158-G158+I158+J158+SUM($K$14:K158))</f>
        <v/>
      </c>
      <c r="V158" s="52" t="str">
        <f t="shared" ca="1" si="22"/>
        <v/>
      </c>
      <c r="W158" s="97" t="str">
        <f t="shared" ca="1" si="23"/>
        <v/>
      </c>
    </row>
    <row r="159" spans="1:23" x14ac:dyDescent="0.25">
      <c r="A159" s="102" t="str">
        <f t="shared" ca="1" si="26"/>
        <v/>
      </c>
      <c r="B159" s="53" t="str">
        <f t="shared" ca="1" si="24"/>
        <v/>
      </c>
      <c r="C159" s="25" t="str">
        <f t="shared" ca="1" si="27"/>
        <v/>
      </c>
      <c r="D159" s="26" t="str">
        <f t="shared" ca="1" si="28"/>
        <v/>
      </c>
      <c r="E159" s="53" t="str">
        <f t="shared" ca="1" si="25"/>
        <v/>
      </c>
      <c r="F159" s="25" t="str">
        <f t="shared" ca="1" si="29"/>
        <v/>
      </c>
      <c r="G159" s="26" t="str">
        <f t="shared" ca="1" si="30"/>
        <v/>
      </c>
      <c r="H159" s="53" t="str">
        <f t="shared" ca="1" si="31"/>
        <v/>
      </c>
      <c r="I159" s="25" t="str">
        <f t="shared" ca="1" si="32"/>
        <v/>
      </c>
      <c r="J159" s="26"/>
      <c r="K159" s="114" t="str">
        <f ca="1">IF($A159="","",IF(COUNTIFS(INDEX(Dividends!$A:$T,0,$M$2),"&gt;"&amp;INT($A158),INDEX(Dividends!$A:$T,0,$M$2),"&lt;="&amp;INT($A159))=0,"",$G$4*SUMIFS(INDEX(Dividends!$A:$T,0,$M$2+1),INDEX(Dividends!$A:$T,0,$M$2),"&gt;"&amp;INT($A158),INDEX(Dividends!$A:$T,0,$M$2),"&lt;="&amp;INT($A159))))</f>
        <v/>
      </c>
      <c r="L159" s="55" t="str">
        <f ca="1">IF(ISERROR(B159-2),"",C159+D159-F159-G159+I159+J159+SUM($K$14:K159))</f>
        <v/>
      </c>
      <c r="V159" s="52" t="str">
        <f t="shared" ca="1" si="22"/>
        <v/>
      </c>
      <c r="W159" s="97" t="str">
        <f t="shared" ca="1" si="23"/>
        <v/>
      </c>
    </row>
    <row r="160" spans="1:23" x14ac:dyDescent="0.25">
      <c r="A160" s="102" t="str">
        <f t="shared" ca="1" si="26"/>
        <v/>
      </c>
      <c r="B160" s="53" t="str">
        <f t="shared" ca="1" si="24"/>
        <v/>
      </c>
      <c r="C160" s="25" t="str">
        <f t="shared" ca="1" si="27"/>
        <v/>
      </c>
      <c r="D160" s="26" t="str">
        <f t="shared" ca="1" si="28"/>
        <v/>
      </c>
      <c r="E160" s="53" t="str">
        <f t="shared" ca="1" si="25"/>
        <v/>
      </c>
      <c r="F160" s="25" t="str">
        <f t="shared" ca="1" si="29"/>
        <v/>
      </c>
      <c r="G160" s="26" t="str">
        <f t="shared" ca="1" si="30"/>
        <v/>
      </c>
      <c r="H160" s="53" t="str">
        <f t="shared" ca="1" si="31"/>
        <v/>
      </c>
      <c r="I160" s="25" t="str">
        <f t="shared" ca="1" si="32"/>
        <v/>
      </c>
      <c r="J160" s="26"/>
      <c r="K160" s="114" t="str">
        <f ca="1">IF($A160="","",IF(COUNTIFS(INDEX(Dividends!$A:$T,0,$M$2),"&gt;"&amp;INT($A159),INDEX(Dividends!$A:$T,0,$M$2),"&lt;="&amp;INT($A160))=0,"",$G$4*SUMIFS(INDEX(Dividends!$A:$T,0,$M$2+1),INDEX(Dividends!$A:$T,0,$M$2),"&gt;"&amp;INT($A159),INDEX(Dividends!$A:$T,0,$M$2),"&lt;="&amp;INT($A160))))</f>
        <v/>
      </c>
      <c r="L160" s="55" t="str">
        <f ca="1">IF(ISERROR(B160-2),"",C160+D160-F160-G160+I160+J160+SUM($K$14:K160))</f>
        <v/>
      </c>
      <c r="V160" s="52" t="str">
        <f t="shared" ca="1" si="22"/>
        <v/>
      </c>
      <c r="W160" s="97" t="str">
        <f t="shared" ca="1" si="23"/>
        <v/>
      </c>
    </row>
    <row r="161" spans="1:23" x14ac:dyDescent="0.25">
      <c r="A161" s="102" t="str">
        <f t="shared" ca="1" si="26"/>
        <v/>
      </c>
      <c r="B161" s="53" t="str">
        <f t="shared" ca="1" si="24"/>
        <v/>
      </c>
      <c r="C161" s="25" t="str">
        <f t="shared" ca="1" si="27"/>
        <v/>
      </c>
      <c r="D161" s="26" t="str">
        <f t="shared" ca="1" si="28"/>
        <v/>
      </c>
      <c r="E161" s="53" t="str">
        <f t="shared" ca="1" si="25"/>
        <v/>
      </c>
      <c r="F161" s="25" t="str">
        <f t="shared" ca="1" si="29"/>
        <v/>
      </c>
      <c r="G161" s="26" t="str">
        <f t="shared" ca="1" si="30"/>
        <v/>
      </c>
      <c r="H161" s="53" t="str">
        <f t="shared" ca="1" si="31"/>
        <v/>
      </c>
      <c r="I161" s="25" t="str">
        <f t="shared" ca="1" si="32"/>
        <v/>
      </c>
      <c r="J161" s="26"/>
      <c r="K161" s="114" t="str">
        <f ca="1">IF($A161="","",IF(COUNTIFS(INDEX(Dividends!$A:$T,0,$M$2),"&gt;"&amp;INT($A160),INDEX(Dividends!$A:$T,0,$M$2),"&lt;="&amp;INT($A161))=0,"",$G$4*SUMIFS(INDEX(Dividends!$A:$T,0,$M$2+1),INDEX(Dividends!$A:$T,0,$M$2),"&gt;"&amp;INT($A160),INDEX(Dividends!$A:$T,0,$M$2),"&lt;="&amp;INT($A161))))</f>
        <v/>
      </c>
      <c r="L161" s="55" t="str">
        <f ca="1">IF(ISERROR(B161-2),"",C161+D161-F161-G161+I161+J161+SUM($K$14:K161))</f>
        <v/>
      </c>
      <c r="V161" s="52" t="str">
        <f t="shared" ca="1" si="22"/>
        <v/>
      </c>
      <c r="W161" s="97" t="str">
        <f t="shared" ca="1" si="23"/>
        <v/>
      </c>
    </row>
    <row r="162" spans="1:23" x14ac:dyDescent="0.25">
      <c r="A162" s="102" t="str">
        <f t="shared" ca="1" si="26"/>
        <v/>
      </c>
      <c r="B162" s="53" t="str">
        <f t="shared" ca="1" si="24"/>
        <v/>
      </c>
      <c r="C162" s="25" t="str">
        <f t="shared" ca="1" si="27"/>
        <v/>
      </c>
      <c r="D162" s="26" t="str">
        <f t="shared" ca="1" si="28"/>
        <v/>
      </c>
      <c r="E162" s="53" t="str">
        <f t="shared" ca="1" si="25"/>
        <v/>
      </c>
      <c r="F162" s="25" t="str">
        <f t="shared" ca="1" si="29"/>
        <v/>
      </c>
      <c r="G162" s="26" t="str">
        <f t="shared" ca="1" si="30"/>
        <v/>
      </c>
      <c r="H162" s="53" t="str">
        <f t="shared" ca="1" si="31"/>
        <v/>
      </c>
      <c r="I162" s="25" t="str">
        <f t="shared" ca="1" si="32"/>
        <v/>
      </c>
      <c r="J162" s="26"/>
      <c r="K162" s="114" t="str">
        <f ca="1">IF($A162="","",IF(COUNTIFS(INDEX(Dividends!$A:$T,0,$M$2),"&gt;"&amp;INT($A161),INDEX(Dividends!$A:$T,0,$M$2),"&lt;="&amp;INT($A162))=0,"",$G$4*SUMIFS(INDEX(Dividends!$A:$T,0,$M$2+1),INDEX(Dividends!$A:$T,0,$M$2),"&gt;"&amp;INT($A161),INDEX(Dividends!$A:$T,0,$M$2),"&lt;="&amp;INT($A162))))</f>
        <v/>
      </c>
      <c r="L162" s="55" t="str">
        <f ca="1">IF(ISERROR(B162-2),"",C162+D162-F162-G162+I162+J162+SUM($K$14:K162))</f>
        <v/>
      </c>
      <c r="V162" s="52" t="str">
        <f t="shared" ca="1" si="22"/>
        <v/>
      </c>
      <c r="W162" s="97" t="str">
        <f t="shared" ca="1" si="23"/>
        <v/>
      </c>
    </row>
    <row r="163" spans="1:23" x14ac:dyDescent="0.25">
      <c r="A163" s="102" t="str">
        <f t="shared" ca="1" si="26"/>
        <v/>
      </c>
      <c r="B163" s="53" t="str">
        <f t="shared" ca="1" si="24"/>
        <v/>
      </c>
      <c r="C163" s="25" t="str">
        <f t="shared" ca="1" si="27"/>
        <v/>
      </c>
      <c r="D163" s="26" t="str">
        <f t="shared" ca="1" si="28"/>
        <v/>
      </c>
      <c r="E163" s="53" t="str">
        <f t="shared" ca="1" si="25"/>
        <v/>
      </c>
      <c r="F163" s="25" t="str">
        <f t="shared" ca="1" si="29"/>
        <v/>
      </c>
      <c r="G163" s="26" t="str">
        <f t="shared" ca="1" si="30"/>
        <v/>
      </c>
      <c r="H163" s="53" t="str">
        <f t="shared" ca="1" si="31"/>
        <v/>
      </c>
      <c r="I163" s="25" t="str">
        <f t="shared" ca="1" si="32"/>
        <v/>
      </c>
      <c r="J163" s="26"/>
      <c r="K163" s="114" t="str">
        <f ca="1">IF($A163="","",IF(COUNTIFS(INDEX(Dividends!$A:$T,0,$M$2),"&gt;"&amp;INT($A162),INDEX(Dividends!$A:$T,0,$M$2),"&lt;="&amp;INT($A163))=0,"",$G$4*SUMIFS(INDEX(Dividends!$A:$T,0,$M$2+1),INDEX(Dividends!$A:$T,0,$M$2),"&gt;"&amp;INT($A162),INDEX(Dividends!$A:$T,0,$M$2),"&lt;="&amp;INT($A163))))</f>
        <v/>
      </c>
      <c r="L163" s="55" t="str">
        <f ca="1">IF(ISERROR(B163-2),"",C163+D163-F163-G163+I163+J163+SUM($K$14:K163))</f>
        <v/>
      </c>
      <c r="V163" s="52" t="str">
        <f t="shared" ca="1" si="22"/>
        <v/>
      </c>
      <c r="W163" s="97" t="str">
        <f t="shared" ca="1" si="23"/>
        <v/>
      </c>
    </row>
    <row r="164" spans="1:23" x14ac:dyDescent="0.25">
      <c r="A164" s="102" t="str">
        <f t="shared" ca="1" si="26"/>
        <v/>
      </c>
      <c r="B164" s="53" t="str">
        <f t="shared" ca="1" si="24"/>
        <v/>
      </c>
      <c r="C164" s="25" t="str">
        <f t="shared" ca="1" si="27"/>
        <v/>
      </c>
      <c r="D164" s="26" t="str">
        <f t="shared" ca="1" si="28"/>
        <v/>
      </c>
      <c r="E164" s="53" t="str">
        <f t="shared" ca="1" si="25"/>
        <v/>
      </c>
      <c r="F164" s="25" t="str">
        <f t="shared" ca="1" si="29"/>
        <v/>
      </c>
      <c r="G164" s="26" t="str">
        <f t="shared" ca="1" si="30"/>
        <v/>
      </c>
      <c r="H164" s="53" t="str">
        <f t="shared" ca="1" si="31"/>
        <v/>
      </c>
      <c r="I164" s="25" t="str">
        <f t="shared" ca="1" si="32"/>
        <v/>
      </c>
      <c r="J164" s="26"/>
      <c r="K164" s="114" t="str">
        <f ca="1">IF($A164="","",IF(COUNTIFS(INDEX(Dividends!$A:$T,0,$M$2),"&gt;"&amp;INT($A163),INDEX(Dividends!$A:$T,0,$M$2),"&lt;="&amp;INT($A164))=0,"",$G$4*SUMIFS(INDEX(Dividends!$A:$T,0,$M$2+1),INDEX(Dividends!$A:$T,0,$M$2),"&gt;"&amp;INT($A163),INDEX(Dividends!$A:$T,0,$M$2),"&lt;="&amp;INT($A164))))</f>
        <v/>
      </c>
      <c r="L164" s="55" t="str">
        <f ca="1">IF(ISERROR(B164-2),"",C164+D164-F164-G164+I164+J164+SUM($K$14:K164))</f>
        <v/>
      </c>
      <c r="V164" s="52" t="str">
        <f t="shared" ca="1" si="22"/>
        <v/>
      </c>
      <c r="W164" s="97" t="str">
        <f t="shared" ca="1" si="23"/>
        <v/>
      </c>
    </row>
    <row r="165" spans="1:23" x14ac:dyDescent="0.25">
      <c r="A165" s="102" t="str">
        <f t="shared" ca="1" si="26"/>
        <v/>
      </c>
      <c r="B165" s="53" t="str">
        <f t="shared" ca="1" si="24"/>
        <v/>
      </c>
      <c r="C165" s="25" t="str">
        <f t="shared" ca="1" si="27"/>
        <v/>
      </c>
      <c r="D165" s="26" t="str">
        <f t="shared" ca="1" si="28"/>
        <v/>
      </c>
      <c r="E165" s="53" t="str">
        <f t="shared" ca="1" si="25"/>
        <v/>
      </c>
      <c r="F165" s="25" t="str">
        <f t="shared" ca="1" si="29"/>
        <v/>
      </c>
      <c r="G165" s="26" t="str">
        <f t="shared" ca="1" si="30"/>
        <v/>
      </c>
      <c r="H165" s="53" t="str">
        <f t="shared" ca="1" si="31"/>
        <v/>
      </c>
      <c r="I165" s="25" t="str">
        <f t="shared" ca="1" si="32"/>
        <v/>
      </c>
      <c r="J165" s="26"/>
      <c r="K165" s="114" t="str">
        <f ca="1">IF($A165="","",IF(COUNTIFS(INDEX(Dividends!$A:$T,0,$M$2),"&gt;"&amp;INT($A164),INDEX(Dividends!$A:$T,0,$M$2),"&lt;="&amp;INT($A165))=0,"",$G$4*SUMIFS(INDEX(Dividends!$A:$T,0,$M$2+1),INDEX(Dividends!$A:$T,0,$M$2),"&gt;"&amp;INT($A164),INDEX(Dividends!$A:$T,0,$M$2),"&lt;="&amp;INT($A165))))</f>
        <v/>
      </c>
      <c r="L165" s="55" t="str">
        <f ca="1">IF(ISERROR(B165-2),"",C165+D165-F165-G165+I165+J165+SUM($K$14:K165))</f>
        <v/>
      </c>
      <c r="V165" s="52" t="str">
        <f t="shared" ca="1" si="22"/>
        <v/>
      </c>
      <c r="W165" s="97" t="str">
        <f t="shared" ca="1" si="23"/>
        <v/>
      </c>
    </row>
    <row r="166" spans="1:23" x14ac:dyDescent="0.25">
      <c r="A166" s="102" t="str">
        <f t="shared" ca="1" si="26"/>
        <v/>
      </c>
      <c r="B166" s="53" t="str">
        <f t="shared" ca="1" si="24"/>
        <v/>
      </c>
      <c r="C166" s="25" t="str">
        <f t="shared" ca="1" si="27"/>
        <v/>
      </c>
      <c r="D166" s="26" t="str">
        <f t="shared" ca="1" si="28"/>
        <v/>
      </c>
      <c r="E166" s="53" t="str">
        <f t="shared" ca="1" si="25"/>
        <v/>
      </c>
      <c r="F166" s="25" t="str">
        <f t="shared" ca="1" si="29"/>
        <v/>
      </c>
      <c r="G166" s="26" t="str">
        <f t="shared" ca="1" si="30"/>
        <v/>
      </c>
      <c r="H166" s="53" t="str">
        <f t="shared" ca="1" si="31"/>
        <v/>
      </c>
      <c r="I166" s="25" t="str">
        <f t="shared" ca="1" si="32"/>
        <v/>
      </c>
      <c r="J166" s="26"/>
      <c r="K166" s="114" t="str">
        <f ca="1">IF($A166="","",IF(COUNTIFS(INDEX(Dividends!$A:$T,0,$M$2),"&gt;"&amp;INT($A165),INDEX(Dividends!$A:$T,0,$M$2),"&lt;="&amp;INT($A166))=0,"",$G$4*SUMIFS(INDEX(Dividends!$A:$T,0,$M$2+1),INDEX(Dividends!$A:$T,0,$M$2),"&gt;"&amp;INT($A165),INDEX(Dividends!$A:$T,0,$M$2),"&lt;="&amp;INT($A166))))</f>
        <v/>
      </c>
      <c r="L166" s="55" t="str">
        <f ca="1">IF(ISERROR(B166-2),"",C166+D166-F166-G166+I166+J166+SUM($K$14:K166))</f>
        <v/>
      </c>
      <c r="V166" s="52" t="str">
        <f t="shared" ca="1" si="22"/>
        <v/>
      </c>
      <c r="W166" s="97" t="str">
        <f t="shared" ca="1" si="23"/>
        <v/>
      </c>
    </row>
    <row r="167" spans="1:23" x14ac:dyDescent="0.25">
      <c r="A167" s="102" t="str">
        <f t="shared" ca="1" si="26"/>
        <v/>
      </c>
      <c r="B167" s="53" t="str">
        <f t="shared" ca="1" si="24"/>
        <v/>
      </c>
      <c r="C167" s="25" t="str">
        <f t="shared" ca="1" si="27"/>
        <v/>
      </c>
      <c r="D167" s="26" t="str">
        <f t="shared" ca="1" si="28"/>
        <v/>
      </c>
      <c r="E167" s="53" t="str">
        <f t="shared" ca="1" si="25"/>
        <v/>
      </c>
      <c r="F167" s="25" t="str">
        <f t="shared" ca="1" si="29"/>
        <v/>
      </c>
      <c r="G167" s="26" t="str">
        <f t="shared" ca="1" si="30"/>
        <v/>
      </c>
      <c r="H167" s="53" t="str">
        <f t="shared" ca="1" si="31"/>
        <v/>
      </c>
      <c r="I167" s="25" t="str">
        <f t="shared" ca="1" si="32"/>
        <v/>
      </c>
      <c r="J167" s="26"/>
      <c r="K167" s="114" t="str">
        <f ca="1">IF($A167="","",IF(COUNTIFS(INDEX(Dividends!$A:$T,0,$M$2),"&gt;"&amp;INT($A166),INDEX(Dividends!$A:$T,0,$M$2),"&lt;="&amp;INT($A167))=0,"",$G$4*SUMIFS(INDEX(Dividends!$A:$T,0,$M$2+1),INDEX(Dividends!$A:$T,0,$M$2),"&gt;"&amp;INT($A166),INDEX(Dividends!$A:$T,0,$M$2),"&lt;="&amp;INT($A167))))</f>
        <v/>
      </c>
      <c r="L167" s="55" t="str">
        <f ca="1">IF(ISERROR(B167-2),"",C167+D167-F167-G167+I167+J167+SUM($K$14:K167))</f>
        <v/>
      </c>
      <c r="V167" s="52" t="str">
        <f t="shared" ca="1" si="22"/>
        <v/>
      </c>
      <c r="W167" s="97" t="str">
        <f t="shared" ca="1" si="23"/>
        <v/>
      </c>
    </row>
    <row r="168" spans="1:23" x14ac:dyDescent="0.25">
      <c r="A168" s="102" t="str">
        <f t="shared" ca="1" si="26"/>
        <v/>
      </c>
      <c r="B168" s="53" t="str">
        <f t="shared" ca="1" si="24"/>
        <v/>
      </c>
      <c r="C168" s="25" t="str">
        <f t="shared" ca="1" si="27"/>
        <v/>
      </c>
      <c r="D168" s="26" t="str">
        <f t="shared" ca="1" si="28"/>
        <v/>
      </c>
      <c r="E168" s="53" t="str">
        <f t="shared" ca="1" si="25"/>
        <v/>
      </c>
      <c r="F168" s="25" t="str">
        <f t="shared" ca="1" si="29"/>
        <v/>
      </c>
      <c r="G168" s="26" t="str">
        <f t="shared" ca="1" si="30"/>
        <v/>
      </c>
      <c r="H168" s="53" t="str">
        <f t="shared" ca="1" si="31"/>
        <v/>
      </c>
      <c r="I168" s="25" t="str">
        <f t="shared" ca="1" si="32"/>
        <v/>
      </c>
      <c r="J168" s="26"/>
      <c r="K168" s="114" t="str">
        <f ca="1">IF($A168="","",IF(COUNTIFS(INDEX(Dividends!$A:$T,0,$M$2),"&gt;"&amp;INT($A167),INDEX(Dividends!$A:$T,0,$M$2),"&lt;="&amp;INT($A168))=0,"",$G$4*SUMIFS(INDEX(Dividends!$A:$T,0,$M$2+1),INDEX(Dividends!$A:$T,0,$M$2),"&gt;"&amp;INT($A167),INDEX(Dividends!$A:$T,0,$M$2),"&lt;="&amp;INT($A168))))</f>
        <v/>
      </c>
      <c r="L168" s="55" t="str">
        <f ca="1">IF(ISERROR(B168-2),"",C168+D168-F168-G168+I168+J168+SUM($K$14:K168))</f>
        <v/>
      </c>
      <c r="V168" s="52" t="str">
        <f t="shared" ca="1" si="22"/>
        <v/>
      </c>
      <c r="W168" s="97" t="str">
        <f t="shared" ca="1" si="23"/>
        <v/>
      </c>
    </row>
    <row r="169" spans="1:23" x14ac:dyDescent="0.25">
      <c r="A169" s="102" t="str">
        <f t="shared" ca="1" si="26"/>
        <v/>
      </c>
      <c r="B169" s="53" t="str">
        <f t="shared" ca="1" si="24"/>
        <v/>
      </c>
      <c r="C169" s="25" t="str">
        <f t="shared" ca="1" si="27"/>
        <v/>
      </c>
      <c r="D169" s="26" t="str">
        <f t="shared" ca="1" si="28"/>
        <v/>
      </c>
      <c r="E169" s="53" t="str">
        <f t="shared" ca="1" si="25"/>
        <v/>
      </c>
      <c r="F169" s="25" t="str">
        <f t="shared" ca="1" si="29"/>
        <v/>
      </c>
      <c r="G169" s="26" t="str">
        <f t="shared" ca="1" si="30"/>
        <v/>
      </c>
      <c r="H169" s="53" t="str">
        <f t="shared" ca="1" si="31"/>
        <v/>
      </c>
      <c r="I169" s="25" t="str">
        <f t="shared" ca="1" si="32"/>
        <v/>
      </c>
      <c r="J169" s="26"/>
      <c r="K169" s="114" t="str">
        <f ca="1">IF($A169="","",IF(COUNTIFS(INDEX(Dividends!$A:$T,0,$M$2),"&gt;"&amp;INT($A168),INDEX(Dividends!$A:$T,0,$M$2),"&lt;="&amp;INT($A169))=0,"",$G$4*SUMIFS(INDEX(Dividends!$A:$T,0,$M$2+1),INDEX(Dividends!$A:$T,0,$M$2),"&gt;"&amp;INT($A168),INDEX(Dividends!$A:$T,0,$M$2),"&lt;="&amp;INT($A169))))</f>
        <v/>
      </c>
      <c r="L169" s="55" t="str">
        <f ca="1">IF(ISERROR(B169-2),"",C169+D169-F169-G169+I169+J169+SUM($K$14:K169))</f>
        <v/>
      </c>
      <c r="V169" s="52" t="str">
        <f t="shared" ca="1" si="22"/>
        <v/>
      </c>
      <c r="W169" s="97" t="str">
        <f t="shared" ca="1" si="23"/>
        <v/>
      </c>
    </row>
    <row r="170" spans="1:23" x14ac:dyDescent="0.25">
      <c r="A170" s="102" t="str">
        <f t="shared" ca="1" si="26"/>
        <v/>
      </c>
      <c r="B170" s="53" t="str">
        <f t="shared" ca="1" si="24"/>
        <v/>
      </c>
      <c r="C170" s="25" t="str">
        <f t="shared" ca="1" si="27"/>
        <v/>
      </c>
      <c r="D170" s="26" t="str">
        <f t="shared" ca="1" si="28"/>
        <v/>
      </c>
      <c r="E170" s="53" t="str">
        <f t="shared" ca="1" si="25"/>
        <v/>
      </c>
      <c r="F170" s="25" t="str">
        <f t="shared" ca="1" si="29"/>
        <v/>
      </c>
      <c r="G170" s="26" t="str">
        <f t="shared" ca="1" si="30"/>
        <v/>
      </c>
      <c r="H170" s="53" t="str">
        <f t="shared" ca="1" si="31"/>
        <v/>
      </c>
      <c r="I170" s="25" t="str">
        <f t="shared" ca="1" si="32"/>
        <v/>
      </c>
      <c r="J170" s="26"/>
      <c r="K170" s="114" t="str">
        <f ca="1">IF($A170="","",IF(COUNTIFS(INDEX(Dividends!$A:$T,0,$M$2),"&gt;"&amp;INT($A169),INDEX(Dividends!$A:$T,0,$M$2),"&lt;="&amp;INT($A170))=0,"",$G$4*SUMIFS(INDEX(Dividends!$A:$T,0,$M$2+1),INDEX(Dividends!$A:$T,0,$M$2),"&gt;"&amp;INT($A169),INDEX(Dividends!$A:$T,0,$M$2),"&lt;="&amp;INT($A170))))</f>
        <v/>
      </c>
      <c r="L170" s="55" t="str">
        <f ca="1">IF(ISERROR(B170-2),"",C170+D170-F170-G170+I170+J170+SUM($K$14:K170))</f>
        <v/>
      </c>
      <c r="V170" s="52" t="str">
        <f t="shared" ca="1" si="22"/>
        <v/>
      </c>
      <c r="W170" s="97" t="str">
        <f t="shared" ca="1" si="23"/>
        <v/>
      </c>
    </row>
    <row r="171" spans="1:23" x14ac:dyDescent="0.25">
      <c r="A171" s="102" t="str">
        <f t="shared" ca="1" si="26"/>
        <v/>
      </c>
      <c r="B171" s="53" t="str">
        <f t="shared" ca="1" si="24"/>
        <v/>
      </c>
      <c r="C171" s="25" t="str">
        <f t="shared" ca="1" si="27"/>
        <v/>
      </c>
      <c r="D171" s="26" t="str">
        <f t="shared" ca="1" si="28"/>
        <v/>
      </c>
      <c r="E171" s="53" t="str">
        <f t="shared" ca="1" si="25"/>
        <v/>
      </c>
      <c r="F171" s="25" t="str">
        <f t="shared" ca="1" si="29"/>
        <v/>
      </c>
      <c r="G171" s="26" t="str">
        <f t="shared" ca="1" si="30"/>
        <v/>
      </c>
      <c r="H171" s="53" t="str">
        <f t="shared" ca="1" si="31"/>
        <v/>
      </c>
      <c r="I171" s="25" t="str">
        <f t="shared" ca="1" si="32"/>
        <v/>
      </c>
      <c r="J171" s="26"/>
      <c r="K171" s="114" t="str">
        <f ca="1">IF($A171="","",IF(COUNTIFS(INDEX(Dividends!$A:$T,0,$M$2),"&gt;"&amp;INT($A170),INDEX(Dividends!$A:$T,0,$M$2),"&lt;="&amp;INT($A171))=0,"",$G$4*SUMIFS(INDEX(Dividends!$A:$T,0,$M$2+1),INDEX(Dividends!$A:$T,0,$M$2),"&gt;"&amp;INT($A170),INDEX(Dividends!$A:$T,0,$M$2),"&lt;="&amp;INT($A171))))</f>
        <v/>
      </c>
      <c r="L171" s="55" t="str">
        <f ca="1">IF(ISERROR(B171-2),"",C171+D171-F171-G171+I171+J171+SUM($K$14:K171))</f>
        <v/>
      </c>
      <c r="V171" s="52" t="str">
        <f t="shared" ca="1" si="22"/>
        <v/>
      </c>
      <c r="W171" s="97" t="str">
        <f t="shared" ca="1" si="23"/>
        <v/>
      </c>
    </row>
    <row r="172" spans="1:23" x14ac:dyDescent="0.25">
      <c r="A172" s="102" t="str">
        <f t="shared" ca="1" si="26"/>
        <v/>
      </c>
      <c r="B172" s="53" t="str">
        <f t="shared" ca="1" si="24"/>
        <v/>
      </c>
      <c r="C172" s="25" t="str">
        <f t="shared" ca="1" si="27"/>
        <v/>
      </c>
      <c r="D172" s="26" t="str">
        <f t="shared" ca="1" si="28"/>
        <v/>
      </c>
      <c r="E172" s="53" t="str">
        <f t="shared" ca="1" si="25"/>
        <v/>
      </c>
      <c r="F172" s="25" t="str">
        <f t="shared" ca="1" si="29"/>
        <v/>
      </c>
      <c r="G172" s="26" t="str">
        <f t="shared" ca="1" si="30"/>
        <v/>
      </c>
      <c r="H172" s="53" t="str">
        <f t="shared" ca="1" si="31"/>
        <v/>
      </c>
      <c r="I172" s="25" t="str">
        <f t="shared" ca="1" si="32"/>
        <v/>
      </c>
      <c r="J172" s="26"/>
      <c r="K172" s="114" t="str">
        <f ca="1">IF($A172="","",IF(COUNTIFS(INDEX(Dividends!$A:$T,0,$M$2),"&gt;"&amp;INT($A171),INDEX(Dividends!$A:$T,0,$M$2),"&lt;="&amp;INT($A172))=0,"",$G$4*SUMIFS(INDEX(Dividends!$A:$T,0,$M$2+1),INDEX(Dividends!$A:$T,0,$M$2),"&gt;"&amp;INT($A171),INDEX(Dividends!$A:$T,0,$M$2),"&lt;="&amp;INT($A172))))</f>
        <v/>
      </c>
      <c r="L172" s="55" t="str">
        <f ca="1">IF(ISERROR(B172-2),"",C172+D172-F172-G172+I172+J172+SUM($K$14:K172))</f>
        <v/>
      </c>
      <c r="V172" s="52" t="str">
        <f t="shared" ca="1" si="22"/>
        <v/>
      </c>
      <c r="W172" s="97" t="str">
        <f t="shared" ca="1" si="23"/>
        <v/>
      </c>
    </row>
    <row r="173" spans="1:23" x14ac:dyDescent="0.25">
      <c r="A173" s="102" t="str">
        <f t="shared" ca="1" si="26"/>
        <v/>
      </c>
      <c r="B173" s="53" t="str">
        <f t="shared" ca="1" si="24"/>
        <v/>
      </c>
      <c r="C173" s="25" t="str">
        <f t="shared" ca="1" si="27"/>
        <v/>
      </c>
      <c r="D173" s="26" t="str">
        <f t="shared" ca="1" si="28"/>
        <v/>
      </c>
      <c r="E173" s="53" t="str">
        <f t="shared" ca="1" si="25"/>
        <v/>
      </c>
      <c r="F173" s="25" t="str">
        <f t="shared" ca="1" si="29"/>
        <v/>
      </c>
      <c r="G173" s="26" t="str">
        <f t="shared" ca="1" si="30"/>
        <v/>
      </c>
      <c r="H173" s="53" t="str">
        <f t="shared" ca="1" si="31"/>
        <v/>
      </c>
      <c r="I173" s="25" t="str">
        <f t="shared" ca="1" si="32"/>
        <v/>
      </c>
      <c r="J173" s="26"/>
      <c r="K173" s="114" t="str">
        <f ca="1">IF($A173="","",IF(COUNTIFS(INDEX(Dividends!$A:$T,0,$M$2),"&gt;"&amp;INT($A172),INDEX(Dividends!$A:$T,0,$M$2),"&lt;="&amp;INT($A173))=0,"",$G$4*SUMIFS(INDEX(Dividends!$A:$T,0,$M$2+1),INDEX(Dividends!$A:$T,0,$M$2),"&gt;"&amp;INT($A172),INDEX(Dividends!$A:$T,0,$M$2),"&lt;="&amp;INT($A173))))</f>
        <v/>
      </c>
      <c r="L173" s="55" t="str">
        <f ca="1">IF(ISERROR(B173-2),"",C173+D173-F173-G173+I173+J173+SUM($K$14:K173))</f>
        <v/>
      </c>
      <c r="V173" s="52" t="str">
        <f t="shared" ca="1" si="22"/>
        <v/>
      </c>
      <c r="W173" s="97" t="str">
        <f t="shared" ca="1" si="23"/>
        <v/>
      </c>
    </row>
    <row r="174" spans="1:23" x14ac:dyDescent="0.25">
      <c r="A174" s="102" t="str">
        <f t="shared" ca="1" si="26"/>
        <v/>
      </c>
      <c r="B174" s="53" t="str">
        <f t="shared" ca="1" si="24"/>
        <v/>
      </c>
      <c r="C174" s="25" t="str">
        <f t="shared" ca="1" si="27"/>
        <v/>
      </c>
      <c r="D174" s="26" t="str">
        <f t="shared" ca="1" si="28"/>
        <v/>
      </c>
      <c r="E174" s="53" t="str">
        <f t="shared" ca="1" si="25"/>
        <v/>
      </c>
      <c r="F174" s="25" t="str">
        <f t="shared" ca="1" si="29"/>
        <v/>
      </c>
      <c r="G174" s="26" t="str">
        <f t="shared" ca="1" si="30"/>
        <v/>
      </c>
      <c r="H174" s="53" t="str">
        <f t="shared" ca="1" si="31"/>
        <v/>
      </c>
      <c r="I174" s="25" t="str">
        <f t="shared" ca="1" si="32"/>
        <v/>
      </c>
      <c r="J174" s="26"/>
      <c r="K174" s="114" t="str">
        <f ca="1">IF($A174="","",IF(COUNTIFS(INDEX(Dividends!$A:$T,0,$M$2),"&gt;"&amp;INT($A173),INDEX(Dividends!$A:$T,0,$M$2),"&lt;="&amp;INT($A174))=0,"",$G$4*SUMIFS(INDEX(Dividends!$A:$T,0,$M$2+1),INDEX(Dividends!$A:$T,0,$M$2),"&gt;"&amp;INT($A173),INDEX(Dividends!$A:$T,0,$M$2),"&lt;="&amp;INT($A174))))</f>
        <v/>
      </c>
      <c r="L174" s="55" t="str">
        <f ca="1">IF(ISERROR(B174-2),"",C174+D174-F174-G174+I174+J174+SUM($K$14:K174))</f>
        <v/>
      </c>
      <c r="V174" s="52" t="str">
        <f t="shared" ca="1" si="22"/>
        <v/>
      </c>
      <c r="W174" s="97" t="str">
        <f t="shared" ca="1" si="23"/>
        <v/>
      </c>
    </row>
    <row r="175" spans="1:23" x14ac:dyDescent="0.25">
      <c r="A175" s="102" t="str">
        <f t="shared" ca="1" si="26"/>
        <v/>
      </c>
      <c r="B175" s="53" t="str">
        <f t="shared" ca="1" si="24"/>
        <v/>
      </c>
      <c r="C175" s="25" t="str">
        <f t="shared" ca="1" si="27"/>
        <v/>
      </c>
      <c r="D175" s="26" t="str">
        <f t="shared" ca="1" si="28"/>
        <v/>
      </c>
      <c r="E175" s="53" t="str">
        <f t="shared" ca="1" si="25"/>
        <v/>
      </c>
      <c r="F175" s="25" t="str">
        <f t="shared" ca="1" si="29"/>
        <v/>
      </c>
      <c r="G175" s="26" t="str">
        <f t="shared" ca="1" si="30"/>
        <v/>
      </c>
      <c r="H175" s="53" t="str">
        <f t="shared" ca="1" si="31"/>
        <v/>
      </c>
      <c r="I175" s="25" t="str">
        <f t="shared" ca="1" si="32"/>
        <v/>
      </c>
      <c r="J175" s="26"/>
      <c r="K175" s="114" t="str">
        <f ca="1">IF($A175="","",IF(COUNTIFS(INDEX(Dividends!$A:$T,0,$M$2),"&gt;"&amp;INT($A174),INDEX(Dividends!$A:$T,0,$M$2),"&lt;="&amp;INT($A175))=0,"",$G$4*SUMIFS(INDEX(Dividends!$A:$T,0,$M$2+1),INDEX(Dividends!$A:$T,0,$M$2),"&gt;"&amp;INT($A174),INDEX(Dividends!$A:$T,0,$M$2),"&lt;="&amp;INT($A175))))</f>
        <v/>
      </c>
      <c r="L175" s="55" t="str">
        <f ca="1">IF(ISERROR(B175-2),"",C175+D175-F175-G175+I175+J175+SUM($K$14:K175))</f>
        <v/>
      </c>
      <c r="V175" s="52" t="str">
        <f t="shared" ca="1" si="22"/>
        <v/>
      </c>
      <c r="W175" s="97" t="str">
        <f t="shared" ca="1" si="23"/>
        <v/>
      </c>
    </row>
    <row r="176" spans="1:23" x14ac:dyDescent="0.25">
      <c r="A176" s="102" t="str">
        <f t="shared" ca="1" si="26"/>
        <v/>
      </c>
      <c r="B176" s="53" t="str">
        <f t="shared" ca="1" si="24"/>
        <v/>
      </c>
      <c r="C176" s="25" t="str">
        <f t="shared" ca="1" si="27"/>
        <v/>
      </c>
      <c r="D176" s="26" t="str">
        <f t="shared" ca="1" si="28"/>
        <v/>
      </c>
      <c r="E176" s="53" t="str">
        <f t="shared" ca="1" si="25"/>
        <v/>
      </c>
      <c r="F176" s="25" t="str">
        <f t="shared" ca="1" si="29"/>
        <v/>
      </c>
      <c r="G176" s="26" t="str">
        <f t="shared" ca="1" si="30"/>
        <v/>
      </c>
      <c r="H176" s="53" t="str">
        <f t="shared" ca="1" si="31"/>
        <v/>
      </c>
      <c r="I176" s="25" t="str">
        <f t="shared" ca="1" si="32"/>
        <v/>
      </c>
      <c r="J176" s="26"/>
      <c r="K176" s="114" t="str">
        <f ca="1">IF($A176="","",IF(COUNTIFS(INDEX(Dividends!$A:$T,0,$M$2),"&gt;"&amp;INT($A175),INDEX(Dividends!$A:$T,0,$M$2),"&lt;="&amp;INT($A176))=0,"",$G$4*SUMIFS(INDEX(Dividends!$A:$T,0,$M$2+1),INDEX(Dividends!$A:$T,0,$M$2),"&gt;"&amp;INT($A175),INDEX(Dividends!$A:$T,0,$M$2),"&lt;="&amp;INT($A176))))</f>
        <v/>
      </c>
      <c r="L176" s="55" t="str">
        <f ca="1">IF(ISERROR(B176-2),"",C176+D176-F176-G176+I176+J176+SUM($K$14:K176))</f>
        <v/>
      </c>
      <c r="V176" s="52" t="str">
        <f t="shared" ca="1" si="22"/>
        <v/>
      </c>
      <c r="W176" s="97" t="str">
        <f t="shared" ca="1" si="23"/>
        <v/>
      </c>
    </row>
    <row r="177" spans="1:23" x14ac:dyDescent="0.25">
      <c r="A177" s="102" t="str">
        <f t="shared" ca="1" si="26"/>
        <v/>
      </c>
      <c r="B177" s="53" t="str">
        <f t="shared" ca="1" si="24"/>
        <v/>
      </c>
      <c r="C177" s="25" t="str">
        <f t="shared" ca="1" si="27"/>
        <v/>
      </c>
      <c r="D177" s="26" t="str">
        <f t="shared" ca="1" si="28"/>
        <v/>
      </c>
      <c r="E177" s="53" t="str">
        <f t="shared" ca="1" si="25"/>
        <v/>
      </c>
      <c r="F177" s="25" t="str">
        <f t="shared" ca="1" si="29"/>
        <v/>
      </c>
      <c r="G177" s="26" t="str">
        <f t="shared" ca="1" si="30"/>
        <v/>
      </c>
      <c r="H177" s="53" t="str">
        <f t="shared" ca="1" si="31"/>
        <v/>
      </c>
      <c r="I177" s="25" t="str">
        <f t="shared" ca="1" si="32"/>
        <v/>
      </c>
      <c r="J177" s="26"/>
      <c r="K177" s="114" t="str">
        <f ca="1">IF($A177="","",IF(COUNTIFS(INDEX(Dividends!$A:$T,0,$M$2),"&gt;"&amp;INT($A176),INDEX(Dividends!$A:$T,0,$M$2),"&lt;="&amp;INT($A177))=0,"",$G$4*SUMIFS(INDEX(Dividends!$A:$T,0,$M$2+1),INDEX(Dividends!$A:$T,0,$M$2),"&gt;"&amp;INT($A176),INDEX(Dividends!$A:$T,0,$M$2),"&lt;="&amp;INT($A177))))</f>
        <v/>
      </c>
      <c r="L177" s="55" t="str">
        <f ca="1">IF(ISERROR(B177-2),"",C177+D177-F177-G177+I177+J177+SUM($K$14:K177))</f>
        <v/>
      </c>
      <c r="V177" s="52" t="str">
        <f t="shared" ca="1" si="22"/>
        <v/>
      </c>
      <c r="W177" s="97" t="str">
        <f t="shared" ca="1" si="23"/>
        <v/>
      </c>
    </row>
    <row r="178" spans="1:23" x14ac:dyDescent="0.25">
      <c r="A178" s="102" t="str">
        <f t="shared" ca="1" si="26"/>
        <v/>
      </c>
      <c r="B178" s="53" t="str">
        <f t="shared" ca="1" si="24"/>
        <v/>
      </c>
      <c r="C178" s="25" t="str">
        <f t="shared" ca="1" si="27"/>
        <v/>
      </c>
      <c r="D178" s="26" t="str">
        <f t="shared" ca="1" si="28"/>
        <v/>
      </c>
      <c r="E178" s="53" t="str">
        <f t="shared" ca="1" si="25"/>
        <v/>
      </c>
      <c r="F178" s="25" t="str">
        <f t="shared" ca="1" si="29"/>
        <v/>
      </c>
      <c r="G178" s="26" t="str">
        <f t="shared" ca="1" si="30"/>
        <v/>
      </c>
      <c r="H178" s="53" t="str">
        <f t="shared" ca="1" si="31"/>
        <v/>
      </c>
      <c r="I178" s="25" t="str">
        <f t="shared" ca="1" si="32"/>
        <v/>
      </c>
      <c r="J178" s="26"/>
      <c r="K178" s="114" t="str">
        <f ca="1">IF($A178="","",IF(COUNTIFS(INDEX(Dividends!$A:$T,0,$M$2),"&gt;"&amp;INT($A177),INDEX(Dividends!$A:$T,0,$M$2),"&lt;="&amp;INT($A178))=0,"",$G$4*SUMIFS(INDEX(Dividends!$A:$T,0,$M$2+1),INDEX(Dividends!$A:$T,0,$M$2),"&gt;"&amp;INT($A177),INDEX(Dividends!$A:$T,0,$M$2),"&lt;="&amp;INT($A178))))</f>
        <v/>
      </c>
      <c r="L178" s="55" t="str">
        <f ca="1">IF(ISERROR(B178-2),"",C178+D178-F178-G178+I178+J178+SUM($K$14:K178))</f>
        <v/>
      </c>
      <c r="V178" s="52" t="str">
        <f t="shared" ca="1" si="22"/>
        <v/>
      </c>
      <c r="W178" s="97" t="str">
        <f t="shared" ca="1" si="23"/>
        <v/>
      </c>
    </row>
    <row r="179" spans="1:23" x14ac:dyDescent="0.25">
      <c r="A179" s="102" t="str">
        <f t="shared" ca="1" si="26"/>
        <v/>
      </c>
      <c r="B179" s="53" t="str">
        <f t="shared" ca="1" si="24"/>
        <v/>
      </c>
      <c r="C179" s="25" t="str">
        <f t="shared" ca="1" si="27"/>
        <v/>
      </c>
      <c r="D179" s="26" t="str">
        <f t="shared" ca="1" si="28"/>
        <v/>
      </c>
      <c r="E179" s="53" t="str">
        <f t="shared" ca="1" si="25"/>
        <v/>
      </c>
      <c r="F179" s="25" t="str">
        <f t="shared" ca="1" si="29"/>
        <v/>
      </c>
      <c r="G179" s="26" t="str">
        <f t="shared" ca="1" si="30"/>
        <v/>
      </c>
      <c r="H179" s="53" t="str">
        <f t="shared" ca="1" si="31"/>
        <v/>
      </c>
      <c r="I179" s="25" t="str">
        <f t="shared" ca="1" si="32"/>
        <v/>
      </c>
      <c r="J179" s="26"/>
      <c r="K179" s="114" t="str">
        <f ca="1">IF($A179="","",IF(COUNTIFS(INDEX(Dividends!$A:$T,0,$M$2),"&gt;"&amp;INT($A178),INDEX(Dividends!$A:$T,0,$M$2),"&lt;="&amp;INT($A179))=0,"",$G$4*SUMIFS(INDEX(Dividends!$A:$T,0,$M$2+1),INDEX(Dividends!$A:$T,0,$M$2),"&gt;"&amp;INT($A178),INDEX(Dividends!$A:$T,0,$M$2),"&lt;="&amp;INT($A179))))</f>
        <v/>
      </c>
      <c r="L179" s="55" t="str">
        <f ca="1">IF(ISERROR(B179-2),"",C179+D179-F179-G179+I179+J179+SUM($K$14:K179))</f>
        <v/>
      </c>
      <c r="V179" s="52" t="str">
        <f t="shared" ca="1" si="22"/>
        <v/>
      </c>
      <c r="W179" s="97" t="str">
        <f t="shared" ca="1" si="23"/>
        <v/>
      </c>
    </row>
    <row r="180" spans="1:23" x14ac:dyDescent="0.25">
      <c r="A180" s="102" t="str">
        <f t="shared" ca="1" si="26"/>
        <v/>
      </c>
      <c r="B180" s="53" t="str">
        <f t="shared" ca="1" si="24"/>
        <v/>
      </c>
      <c r="C180" s="25" t="str">
        <f t="shared" ca="1" si="27"/>
        <v/>
      </c>
      <c r="D180" s="26" t="str">
        <f t="shared" ca="1" si="28"/>
        <v/>
      </c>
      <c r="E180" s="53" t="str">
        <f t="shared" ca="1" si="25"/>
        <v/>
      </c>
      <c r="F180" s="25" t="str">
        <f t="shared" ca="1" si="29"/>
        <v/>
      </c>
      <c r="G180" s="26" t="str">
        <f t="shared" ca="1" si="30"/>
        <v/>
      </c>
      <c r="H180" s="53" t="str">
        <f t="shared" ca="1" si="31"/>
        <v/>
      </c>
      <c r="I180" s="25" t="str">
        <f t="shared" ca="1" si="32"/>
        <v/>
      </c>
      <c r="J180" s="26"/>
      <c r="K180" s="114" t="str">
        <f ca="1">IF($A180="","",IF(COUNTIFS(INDEX(Dividends!$A:$T,0,$M$2),"&gt;"&amp;INT($A179),INDEX(Dividends!$A:$T,0,$M$2),"&lt;="&amp;INT($A180))=0,"",$G$4*SUMIFS(INDEX(Dividends!$A:$T,0,$M$2+1),INDEX(Dividends!$A:$T,0,$M$2),"&gt;"&amp;INT($A179),INDEX(Dividends!$A:$T,0,$M$2),"&lt;="&amp;INT($A180))))</f>
        <v/>
      </c>
      <c r="L180" s="55" t="str">
        <f ca="1">IF(ISERROR(B180-2),"",C180+D180-F180-G180+I180+J180+SUM($K$14:K180))</f>
        <v/>
      </c>
      <c r="V180" s="52" t="str">
        <f t="shared" ca="1" si="22"/>
        <v/>
      </c>
      <c r="W180" s="97" t="str">
        <f t="shared" ca="1" si="23"/>
        <v/>
      </c>
    </row>
    <row r="181" spans="1:23" x14ac:dyDescent="0.25">
      <c r="A181" s="102" t="str">
        <f t="shared" ca="1" si="26"/>
        <v/>
      </c>
      <c r="B181" s="53" t="str">
        <f t="shared" ca="1" si="24"/>
        <v/>
      </c>
      <c r="C181" s="25" t="str">
        <f t="shared" ca="1" si="27"/>
        <v/>
      </c>
      <c r="D181" s="26" t="str">
        <f t="shared" ca="1" si="28"/>
        <v/>
      </c>
      <c r="E181" s="53" t="str">
        <f t="shared" ca="1" si="25"/>
        <v/>
      </c>
      <c r="F181" s="25" t="str">
        <f t="shared" ca="1" si="29"/>
        <v/>
      </c>
      <c r="G181" s="26" t="str">
        <f t="shared" ca="1" si="30"/>
        <v/>
      </c>
      <c r="H181" s="53" t="str">
        <f t="shared" ca="1" si="31"/>
        <v/>
      </c>
      <c r="I181" s="25" t="str">
        <f t="shared" ca="1" si="32"/>
        <v/>
      </c>
      <c r="J181" s="26"/>
      <c r="K181" s="114" t="str">
        <f ca="1">IF($A181="","",IF(COUNTIFS(INDEX(Dividends!$A:$T,0,$M$2),"&gt;"&amp;INT($A180),INDEX(Dividends!$A:$T,0,$M$2),"&lt;="&amp;INT($A181))=0,"",$G$4*SUMIFS(INDEX(Dividends!$A:$T,0,$M$2+1),INDEX(Dividends!$A:$T,0,$M$2),"&gt;"&amp;INT($A180),INDEX(Dividends!$A:$T,0,$M$2),"&lt;="&amp;INT($A181))))</f>
        <v/>
      </c>
      <c r="L181" s="55" t="str">
        <f ca="1">IF(ISERROR(B181-2),"",C181+D181-F181-G181+I181+J181+SUM($K$14:K181))</f>
        <v/>
      </c>
      <c r="V181" s="52" t="str">
        <f t="shared" ca="1" si="22"/>
        <v/>
      </c>
      <c r="W181" s="97" t="str">
        <f t="shared" ca="1" si="23"/>
        <v/>
      </c>
    </row>
    <row r="182" spans="1:23" x14ac:dyDescent="0.25">
      <c r="A182" s="102" t="str">
        <f t="shared" ca="1" si="26"/>
        <v/>
      </c>
      <c r="B182" s="53" t="str">
        <f t="shared" ca="1" si="24"/>
        <v/>
      </c>
      <c r="C182" s="25" t="str">
        <f t="shared" ca="1" si="27"/>
        <v/>
      </c>
      <c r="D182" s="26" t="str">
        <f t="shared" ca="1" si="28"/>
        <v/>
      </c>
      <c r="E182" s="53" t="str">
        <f t="shared" ca="1" si="25"/>
        <v/>
      </c>
      <c r="F182" s="25" t="str">
        <f t="shared" ca="1" si="29"/>
        <v/>
      </c>
      <c r="G182" s="26" t="str">
        <f t="shared" ca="1" si="30"/>
        <v/>
      </c>
      <c r="H182" s="53" t="str">
        <f t="shared" ca="1" si="31"/>
        <v/>
      </c>
      <c r="I182" s="25" t="str">
        <f t="shared" ca="1" si="32"/>
        <v/>
      </c>
      <c r="J182" s="26"/>
      <c r="K182" s="114" t="str">
        <f ca="1">IF($A182="","",IF(COUNTIFS(INDEX(Dividends!$A:$T,0,$M$2),"&gt;"&amp;INT($A181),INDEX(Dividends!$A:$T,0,$M$2),"&lt;="&amp;INT($A182))=0,"",$G$4*SUMIFS(INDEX(Dividends!$A:$T,0,$M$2+1),INDEX(Dividends!$A:$T,0,$M$2),"&gt;"&amp;INT($A181),INDEX(Dividends!$A:$T,0,$M$2),"&lt;="&amp;INT($A182))))</f>
        <v/>
      </c>
      <c r="L182" s="55" t="str">
        <f ca="1">IF(ISERROR(B182-2),"",C182+D182-F182-G182+I182+J182+SUM($K$14:K182))</f>
        <v/>
      </c>
      <c r="V182" s="52" t="str">
        <f t="shared" ca="1" si="22"/>
        <v/>
      </c>
      <c r="W182" s="97" t="str">
        <f t="shared" ca="1" si="23"/>
        <v/>
      </c>
    </row>
    <row r="183" spans="1:23" x14ac:dyDescent="0.25">
      <c r="A183" s="102" t="str">
        <f t="shared" ca="1" si="26"/>
        <v/>
      </c>
      <c r="B183" s="53" t="str">
        <f t="shared" ca="1" si="24"/>
        <v/>
      </c>
      <c r="C183" s="25" t="str">
        <f t="shared" ca="1" si="27"/>
        <v/>
      </c>
      <c r="D183" s="26" t="str">
        <f t="shared" ca="1" si="28"/>
        <v/>
      </c>
      <c r="E183" s="53" t="str">
        <f t="shared" ca="1" si="25"/>
        <v/>
      </c>
      <c r="F183" s="25" t="str">
        <f t="shared" ca="1" si="29"/>
        <v/>
      </c>
      <c r="G183" s="26" t="str">
        <f t="shared" ca="1" si="30"/>
        <v/>
      </c>
      <c r="H183" s="53" t="str">
        <f t="shared" ca="1" si="31"/>
        <v/>
      </c>
      <c r="I183" s="25" t="str">
        <f t="shared" ca="1" si="32"/>
        <v/>
      </c>
      <c r="J183" s="26"/>
      <c r="K183" s="114" t="str">
        <f ca="1">IF($A183="","",IF(COUNTIFS(INDEX(Dividends!$A:$T,0,$M$2),"&gt;"&amp;INT($A182),INDEX(Dividends!$A:$T,0,$M$2),"&lt;="&amp;INT($A183))=0,"",$G$4*SUMIFS(INDEX(Dividends!$A:$T,0,$M$2+1),INDEX(Dividends!$A:$T,0,$M$2),"&gt;"&amp;INT($A182),INDEX(Dividends!$A:$T,0,$M$2),"&lt;="&amp;INT($A183))))</f>
        <v/>
      </c>
      <c r="L183" s="55" t="str">
        <f ca="1">IF(ISERROR(B183-2),"",C183+D183-F183-G183+I183+J183+SUM($K$14:K183))</f>
        <v/>
      </c>
      <c r="V183" s="52" t="str">
        <f t="shared" ca="1" si="22"/>
        <v/>
      </c>
      <c r="W183" s="97" t="str">
        <f t="shared" ca="1" si="23"/>
        <v/>
      </c>
    </row>
    <row r="184" spans="1:23" x14ac:dyDescent="0.25">
      <c r="A184" s="102" t="str">
        <f t="shared" ca="1" si="26"/>
        <v/>
      </c>
      <c r="B184" s="53" t="str">
        <f t="shared" ca="1" si="24"/>
        <v/>
      </c>
      <c r="C184" s="25" t="str">
        <f t="shared" ca="1" si="27"/>
        <v/>
      </c>
      <c r="D184" s="26" t="str">
        <f t="shared" ca="1" si="28"/>
        <v/>
      </c>
      <c r="E184" s="53" t="str">
        <f t="shared" ca="1" si="25"/>
        <v/>
      </c>
      <c r="F184" s="25" t="str">
        <f t="shared" ca="1" si="29"/>
        <v/>
      </c>
      <c r="G184" s="26" t="str">
        <f t="shared" ca="1" si="30"/>
        <v/>
      </c>
      <c r="H184" s="53" t="str">
        <f t="shared" ca="1" si="31"/>
        <v/>
      </c>
      <c r="I184" s="25" t="str">
        <f t="shared" ca="1" si="32"/>
        <v/>
      </c>
      <c r="J184" s="26"/>
      <c r="K184" s="114" t="str">
        <f ca="1">IF($A184="","",IF(COUNTIFS(INDEX(Dividends!$A:$T,0,$M$2),"&gt;"&amp;INT($A183),INDEX(Dividends!$A:$T,0,$M$2),"&lt;="&amp;INT($A184))=0,"",$G$4*SUMIFS(INDEX(Dividends!$A:$T,0,$M$2+1),INDEX(Dividends!$A:$T,0,$M$2),"&gt;"&amp;INT($A183),INDEX(Dividends!$A:$T,0,$M$2),"&lt;="&amp;INT($A184))))</f>
        <v/>
      </c>
      <c r="L184" s="55" t="str">
        <f ca="1">IF(ISERROR(B184-2),"",C184+D184-F184-G184+I184+J184+SUM($K$14:K184))</f>
        <v/>
      </c>
      <c r="V184" s="52" t="str">
        <f t="shared" ca="1" si="22"/>
        <v/>
      </c>
      <c r="W184" s="97" t="str">
        <f t="shared" ca="1" si="23"/>
        <v/>
      </c>
    </row>
    <row r="185" spans="1:23" x14ac:dyDescent="0.25">
      <c r="A185" s="102" t="str">
        <f t="shared" ca="1" si="26"/>
        <v/>
      </c>
      <c r="B185" s="53" t="str">
        <f t="shared" ca="1" si="24"/>
        <v/>
      </c>
      <c r="C185" s="25" t="str">
        <f t="shared" ca="1" si="27"/>
        <v/>
      </c>
      <c r="D185" s="26" t="str">
        <f t="shared" ca="1" si="28"/>
        <v/>
      </c>
      <c r="E185" s="53" t="str">
        <f t="shared" ca="1" si="25"/>
        <v/>
      </c>
      <c r="F185" s="25" t="str">
        <f t="shared" ca="1" si="29"/>
        <v/>
      </c>
      <c r="G185" s="26" t="str">
        <f t="shared" ca="1" si="30"/>
        <v/>
      </c>
      <c r="H185" s="53" t="str">
        <f t="shared" ca="1" si="31"/>
        <v/>
      </c>
      <c r="I185" s="25" t="str">
        <f t="shared" ca="1" si="32"/>
        <v/>
      </c>
      <c r="J185" s="26"/>
      <c r="K185" s="114" t="str">
        <f ca="1">IF($A185="","",IF(COUNTIFS(INDEX(Dividends!$A:$T,0,$M$2),"&gt;"&amp;INT($A184),INDEX(Dividends!$A:$T,0,$M$2),"&lt;="&amp;INT($A185))=0,"",$G$4*SUMIFS(INDEX(Dividends!$A:$T,0,$M$2+1),INDEX(Dividends!$A:$T,0,$M$2),"&gt;"&amp;INT($A184),INDEX(Dividends!$A:$T,0,$M$2),"&lt;="&amp;INT($A185))))</f>
        <v/>
      </c>
      <c r="L185" s="55" t="str">
        <f ca="1">IF(ISERROR(B185-2),"",C185+D185-F185-G185+I185+J185+SUM($K$14:K185))</f>
        <v/>
      </c>
      <c r="V185" s="52" t="str">
        <f t="shared" ca="1" si="22"/>
        <v/>
      </c>
      <c r="W185" s="97" t="str">
        <f t="shared" ca="1" si="23"/>
        <v/>
      </c>
    </row>
    <row r="186" spans="1:23" x14ac:dyDescent="0.25">
      <c r="A186" s="102" t="str">
        <f t="shared" ca="1" si="26"/>
        <v/>
      </c>
      <c r="B186" s="53" t="str">
        <f t="shared" ca="1" si="24"/>
        <v/>
      </c>
      <c r="C186" s="25" t="str">
        <f t="shared" ca="1" si="27"/>
        <v/>
      </c>
      <c r="D186" s="26" t="str">
        <f t="shared" ca="1" si="28"/>
        <v/>
      </c>
      <c r="E186" s="53" t="str">
        <f t="shared" ca="1" si="25"/>
        <v/>
      </c>
      <c r="F186" s="25" t="str">
        <f t="shared" ca="1" si="29"/>
        <v/>
      </c>
      <c r="G186" s="26" t="str">
        <f t="shared" ca="1" si="30"/>
        <v/>
      </c>
      <c r="H186" s="53" t="str">
        <f t="shared" ca="1" si="31"/>
        <v/>
      </c>
      <c r="I186" s="25" t="str">
        <f t="shared" ca="1" si="32"/>
        <v/>
      </c>
      <c r="J186" s="26"/>
      <c r="K186" s="114" t="str">
        <f ca="1">IF($A186="","",IF(COUNTIFS(INDEX(Dividends!$A:$T,0,$M$2),"&gt;"&amp;INT($A185),INDEX(Dividends!$A:$T,0,$M$2),"&lt;="&amp;INT($A186))=0,"",$G$4*SUMIFS(INDEX(Dividends!$A:$T,0,$M$2+1),INDEX(Dividends!$A:$T,0,$M$2),"&gt;"&amp;INT($A185),INDEX(Dividends!$A:$T,0,$M$2),"&lt;="&amp;INT($A186))))</f>
        <v/>
      </c>
      <c r="L186" s="55" t="str">
        <f ca="1">IF(ISERROR(B186-2),"",C186+D186-F186-G186+I186+J186+SUM($K$14:K186))</f>
        <v/>
      </c>
      <c r="V186" s="52" t="str">
        <f t="shared" ca="1" si="22"/>
        <v/>
      </c>
      <c r="W186" s="97" t="str">
        <f t="shared" ca="1" si="23"/>
        <v/>
      </c>
    </row>
    <row r="187" spans="1:23" x14ac:dyDescent="0.25">
      <c r="A187" s="102" t="str">
        <f t="shared" ca="1" si="26"/>
        <v/>
      </c>
      <c r="B187" s="53" t="str">
        <f t="shared" ca="1" si="24"/>
        <v/>
      </c>
      <c r="C187" s="25" t="str">
        <f t="shared" ca="1" si="27"/>
        <v/>
      </c>
      <c r="D187" s="26" t="str">
        <f t="shared" ca="1" si="28"/>
        <v/>
      </c>
      <c r="E187" s="53" t="str">
        <f t="shared" ca="1" si="25"/>
        <v/>
      </c>
      <c r="F187" s="25" t="str">
        <f t="shared" ca="1" si="29"/>
        <v/>
      </c>
      <c r="G187" s="26" t="str">
        <f t="shared" ca="1" si="30"/>
        <v/>
      </c>
      <c r="H187" s="53" t="str">
        <f t="shared" ca="1" si="31"/>
        <v/>
      </c>
      <c r="I187" s="25" t="str">
        <f t="shared" ca="1" si="32"/>
        <v/>
      </c>
      <c r="J187" s="26"/>
      <c r="K187" s="114" t="str">
        <f ca="1">IF($A187="","",IF(COUNTIFS(INDEX(Dividends!$A:$T,0,$M$2),"&gt;"&amp;INT($A186),INDEX(Dividends!$A:$T,0,$M$2),"&lt;="&amp;INT($A187))=0,"",$G$4*SUMIFS(INDEX(Dividends!$A:$T,0,$M$2+1),INDEX(Dividends!$A:$T,0,$M$2),"&gt;"&amp;INT($A186),INDEX(Dividends!$A:$T,0,$M$2),"&lt;="&amp;INT($A187))))</f>
        <v/>
      </c>
      <c r="L187" s="55" t="str">
        <f ca="1">IF(ISERROR(B187-2),"",C187+D187-F187-G187+I187+J187+SUM($K$14:K187))</f>
        <v/>
      </c>
      <c r="V187" s="52" t="str">
        <f t="shared" ca="1" si="22"/>
        <v/>
      </c>
      <c r="W187" s="97" t="str">
        <f t="shared" ca="1" si="23"/>
        <v/>
      </c>
    </row>
    <row r="188" spans="1:23" x14ac:dyDescent="0.25">
      <c r="A188" s="102" t="str">
        <f t="shared" ca="1" si="26"/>
        <v/>
      </c>
      <c r="B188" s="53" t="str">
        <f t="shared" ca="1" si="24"/>
        <v/>
      </c>
      <c r="C188" s="25" t="str">
        <f t="shared" ca="1" si="27"/>
        <v/>
      </c>
      <c r="D188" s="26" t="str">
        <f t="shared" ca="1" si="28"/>
        <v/>
      </c>
      <c r="E188" s="53" t="str">
        <f t="shared" ca="1" si="25"/>
        <v/>
      </c>
      <c r="F188" s="25" t="str">
        <f t="shared" ca="1" si="29"/>
        <v/>
      </c>
      <c r="G188" s="26" t="str">
        <f t="shared" ca="1" si="30"/>
        <v/>
      </c>
      <c r="H188" s="53" t="str">
        <f t="shared" ca="1" si="31"/>
        <v/>
      </c>
      <c r="I188" s="25" t="str">
        <f t="shared" ca="1" si="32"/>
        <v/>
      </c>
      <c r="J188" s="26"/>
      <c r="K188" s="114" t="str">
        <f ca="1">IF($A188="","",IF(COUNTIFS(INDEX(Dividends!$A:$T,0,$M$2),"&gt;"&amp;INT($A187),INDEX(Dividends!$A:$T,0,$M$2),"&lt;="&amp;INT($A188))=0,"",$G$4*SUMIFS(INDEX(Dividends!$A:$T,0,$M$2+1),INDEX(Dividends!$A:$T,0,$M$2),"&gt;"&amp;INT($A187),INDEX(Dividends!$A:$T,0,$M$2),"&lt;="&amp;INT($A188))))</f>
        <v/>
      </c>
      <c r="L188" s="55" t="str">
        <f ca="1">IF(ISERROR(B188-2),"",C188+D188-F188-G188+I188+J188+SUM($K$14:K188))</f>
        <v/>
      </c>
      <c r="V188" s="52" t="str">
        <f t="shared" ca="1" si="22"/>
        <v/>
      </c>
      <c r="W188" s="97" t="str">
        <f t="shared" ca="1" si="23"/>
        <v/>
      </c>
    </row>
    <row r="189" spans="1:23" x14ac:dyDescent="0.25">
      <c r="A189" s="102" t="str">
        <f t="shared" ca="1" si="26"/>
        <v/>
      </c>
      <c r="B189" s="53" t="str">
        <f t="shared" ca="1" si="24"/>
        <v/>
      </c>
      <c r="C189" s="25" t="str">
        <f t="shared" ca="1" si="27"/>
        <v/>
      </c>
      <c r="D189" s="26" t="str">
        <f t="shared" ca="1" si="28"/>
        <v/>
      </c>
      <c r="E189" s="53" t="str">
        <f t="shared" ca="1" si="25"/>
        <v/>
      </c>
      <c r="F189" s="25" t="str">
        <f t="shared" ca="1" si="29"/>
        <v/>
      </c>
      <c r="G189" s="26" t="str">
        <f t="shared" ca="1" si="30"/>
        <v/>
      </c>
      <c r="H189" s="53" t="str">
        <f t="shared" ca="1" si="31"/>
        <v/>
      </c>
      <c r="I189" s="25" t="str">
        <f t="shared" ca="1" si="32"/>
        <v/>
      </c>
      <c r="J189" s="26"/>
      <c r="K189" s="114" t="str">
        <f ca="1">IF($A189="","",IF(COUNTIFS(INDEX(Dividends!$A:$T,0,$M$2),"&gt;"&amp;INT($A188),INDEX(Dividends!$A:$T,0,$M$2),"&lt;="&amp;INT($A189))=0,"",$G$4*SUMIFS(INDEX(Dividends!$A:$T,0,$M$2+1),INDEX(Dividends!$A:$T,0,$M$2),"&gt;"&amp;INT($A188),INDEX(Dividends!$A:$T,0,$M$2),"&lt;="&amp;INT($A189))))</f>
        <v/>
      </c>
      <c r="L189" s="55" t="str">
        <f ca="1">IF(ISERROR(B189-2),"",C189+D189-F189-G189+I189+J189+SUM($K$14:K189))</f>
        <v/>
      </c>
      <c r="V189" s="52" t="str">
        <f t="shared" ca="1" si="22"/>
        <v/>
      </c>
      <c r="W189" s="97" t="str">
        <f t="shared" ca="1" si="23"/>
        <v/>
      </c>
    </row>
    <row r="190" spans="1:23" x14ac:dyDescent="0.25">
      <c r="A190" s="102" t="str">
        <f t="shared" ca="1" si="26"/>
        <v/>
      </c>
      <c r="B190" s="53" t="str">
        <f t="shared" ca="1" si="24"/>
        <v/>
      </c>
      <c r="C190" s="25" t="str">
        <f t="shared" ca="1" si="27"/>
        <v/>
      </c>
      <c r="D190" s="26" t="str">
        <f t="shared" ca="1" si="28"/>
        <v/>
      </c>
      <c r="E190" s="53" t="str">
        <f t="shared" ca="1" si="25"/>
        <v/>
      </c>
      <c r="F190" s="25" t="str">
        <f t="shared" ca="1" si="29"/>
        <v/>
      </c>
      <c r="G190" s="26" t="str">
        <f t="shared" ca="1" si="30"/>
        <v/>
      </c>
      <c r="H190" s="53" t="str">
        <f t="shared" ca="1" si="31"/>
        <v/>
      </c>
      <c r="I190" s="25" t="str">
        <f t="shared" ca="1" si="32"/>
        <v/>
      </c>
      <c r="J190" s="26"/>
      <c r="K190" s="114" t="str">
        <f ca="1">IF($A190="","",IF(COUNTIFS(INDEX(Dividends!$A:$T,0,$M$2),"&gt;"&amp;INT($A189),INDEX(Dividends!$A:$T,0,$M$2),"&lt;="&amp;INT($A190))=0,"",$G$4*SUMIFS(INDEX(Dividends!$A:$T,0,$M$2+1),INDEX(Dividends!$A:$T,0,$M$2),"&gt;"&amp;INT($A189),INDEX(Dividends!$A:$T,0,$M$2),"&lt;="&amp;INT($A190))))</f>
        <v/>
      </c>
      <c r="L190" s="55" t="str">
        <f ca="1">IF(ISERROR(B190-2),"",C190+D190-F190-G190+I190+J190+SUM($K$14:K190))</f>
        <v/>
      </c>
      <c r="V190" s="52" t="str">
        <f t="shared" ca="1" si="22"/>
        <v/>
      </c>
      <c r="W190" s="97" t="str">
        <f t="shared" ca="1" si="23"/>
        <v/>
      </c>
    </row>
    <row r="191" spans="1:23" x14ac:dyDescent="0.25">
      <c r="A191" s="102" t="str">
        <f t="shared" ca="1" si="26"/>
        <v/>
      </c>
      <c r="B191" s="53" t="str">
        <f t="shared" ca="1" si="24"/>
        <v/>
      </c>
      <c r="C191" s="25" t="str">
        <f t="shared" ca="1" si="27"/>
        <v/>
      </c>
      <c r="D191" s="26" t="str">
        <f t="shared" ca="1" si="28"/>
        <v/>
      </c>
      <c r="E191" s="53" t="str">
        <f t="shared" ca="1" si="25"/>
        <v/>
      </c>
      <c r="F191" s="25" t="str">
        <f t="shared" ca="1" si="29"/>
        <v/>
      </c>
      <c r="G191" s="26" t="str">
        <f t="shared" ca="1" si="30"/>
        <v/>
      </c>
      <c r="H191" s="53" t="str">
        <f t="shared" ca="1" si="31"/>
        <v/>
      </c>
      <c r="I191" s="25" t="str">
        <f t="shared" ca="1" si="32"/>
        <v/>
      </c>
      <c r="J191" s="26"/>
      <c r="K191" s="114" t="str">
        <f ca="1">IF($A191="","",IF(COUNTIFS(INDEX(Dividends!$A:$T,0,$M$2),"&gt;"&amp;INT($A190),INDEX(Dividends!$A:$T,0,$M$2),"&lt;="&amp;INT($A191))=0,"",$G$4*SUMIFS(INDEX(Dividends!$A:$T,0,$M$2+1),INDEX(Dividends!$A:$T,0,$M$2),"&gt;"&amp;INT($A190),INDEX(Dividends!$A:$T,0,$M$2),"&lt;="&amp;INT($A191))))</f>
        <v/>
      </c>
      <c r="L191" s="55" t="str">
        <f ca="1">IF(ISERROR(B191-2),"",C191+D191-F191-G191+I191+J191+SUM($K$14:K191))</f>
        <v/>
      </c>
      <c r="V191" s="52" t="str">
        <f t="shared" ca="1" si="22"/>
        <v/>
      </c>
      <c r="W191" s="97" t="str">
        <f t="shared" ca="1" si="23"/>
        <v/>
      </c>
    </row>
    <row r="192" spans="1:23" x14ac:dyDescent="0.25">
      <c r="A192" s="102" t="str">
        <f t="shared" ca="1" si="26"/>
        <v/>
      </c>
      <c r="B192" s="53" t="str">
        <f t="shared" ca="1" si="24"/>
        <v/>
      </c>
      <c r="C192" s="25" t="str">
        <f t="shared" ca="1" si="27"/>
        <v/>
      </c>
      <c r="D192" s="26" t="str">
        <f t="shared" ca="1" si="28"/>
        <v/>
      </c>
      <c r="E192" s="53" t="str">
        <f t="shared" ca="1" si="25"/>
        <v/>
      </c>
      <c r="F192" s="25" t="str">
        <f t="shared" ca="1" si="29"/>
        <v/>
      </c>
      <c r="G192" s="26" t="str">
        <f t="shared" ca="1" si="30"/>
        <v/>
      </c>
      <c r="H192" s="53" t="str">
        <f t="shared" ca="1" si="31"/>
        <v/>
      </c>
      <c r="I192" s="25" t="str">
        <f t="shared" ca="1" si="32"/>
        <v/>
      </c>
      <c r="J192" s="26"/>
      <c r="K192" s="114" t="str">
        <f ca="1">IF($A192="","",IF(COUNTIFS(INDEX(Dividends!$A:$T,0,$M$2),"&gt;"&amp;INT($A191),INDEX(Dividends!$A:$T,0,$M$2),"&lt;="&amp;INT($A192))=0,"",$G$4*SUMIFS(INDEX(Dividends!$A:$T,0,$M$2+1),INDEX(Dividends!$A:$T,0,$M$2),"&gt;"&amp;INT($A191),INDEX(Dividends!$A:$T,0,$M$2),"&lt;="&amp;INT($A192))))</f>
        <v/>
      </c>
      <c r="L192" s="55" t="str">
        <f ca="1">IF(ISERROR(B192-2),"",C192+D192-F192-G192+I192+J192+SUM($K$14:K192))</f>
        <v/>
      </c>
      <c r="V192" s="52" t="str">
        <f t="shared" ca="1" si="22"/>
        <v/>
      </c>
      <c r="W192" s="97" t="str">
        <f t="shared" ca="1" si="23"/>
        <v/>
      </c>
    </row>
    <row r="193" spans="1:23" x14ac:dyDescent="0.25">
      <c r="A193" s="102" t="str">
        <f t="shared" ca="1" si="26"/>
        <v/>
      </c>
      <c r="B193" s="53" t="str">
        <f t="shared" ca="1" si="24"/>
        <v/>
      </c>
      <c r="C193" s="25" t="str">
        <f t="shared" ca="1" si="27"/>
        <v/>
      </c>
      <c r="D193" s="26" t="str">
        <f t="shared" ca="1" si="28"/>
        <v/>
      </c>
      <c r="E193" s="53" t="str">
        <f t="shared" ca="1" si="25"/>
        <v/>
      </c>
      <c r="F193" s="25" t="str">
        <f t="shared" ca="1" si="29"/>
        <v/>
      </c>
      <c r="G193" s="26" t="str">
        <f t="shared" ca="1" si="30"/>
        <v/>
      </c>
      <c r="H193" s="53" t="str">
        <f t="shared" ca="1" si="31"/>
        <v/>
      </c>
      <c r="I193" s="25" t="str">
        <f t="shared" ca="1" si="32"/>
        <v/>
      </c>
      <c r="J193" s="26"/>
      <c r="K193" s="114" t="str">
        <f ca="1">IF($A193="","",IF(COUNTIFS(INDEX(Dividends!$A:$T,0,$M$2),"&gt;"&amp;INT($A192),INDEX(Dividends!$A:$T,0,$M$2),"&lt;="&amp;INT($A193))=0,"",$G$4*SUMIFS(INDEX(Dividends!$A:$T,0,$M$2+1),INDEX(Dividends!$A:$T,0,$M$2),"&gt;"&amp;INT($A192),INDEX(Dividends!$A:$T,0,$M$2),"&lt;="&amp;INT($A193))))</f>
        <v/>
      </c>
      <c r="L193" s="55" t="str">
        <f ca="1">IF(ISERROR(B193-2),"",C193+D193-F193-G193+I193+J193+SUM($K$14:K193))</f>
        <v/>
      </c>
      <c r="V193" s="52" t="str">
        <f t="shared" ca="1" si="22"/>
        <v/>
      </c>
      <c r="W193" s="97" t="str">
        <f t="shared" ca="1" si="23"/>
        <v/>
      </c>
    </row>
    <row r="194" spans="1:23" x14ac:dyDescent="0.25">
      <c r="A194" s="102" t="str">
        <f t="shared" ca="1" si="26"/>
        <v/>
      </c>
      <c r="B194" s="53" t="str">
        <f t="shared" ca="1" si="24"/>
        <v/>
      </c>
      <c r="C194" s="25" t="str">
        <f t="shared" ca="1" si="27"/>
        <v/>
      </c>
      <c r="D194" s="26" t="str">
        <f t="shared" ca="1" si="28"/>
        <v/>
      </c>
      <c r="E194" s="53" t="str">
        <f t="shared" ca="1" si="25"/>
        <v/>
      </c>
      <c r="F194" s="25" t="str">
        <f t="shared" ca="1" si="29"/>
        <v/>
      </c>
      <c r="G194" s="26" t="str">
        <f t="shared" ca="1" si="30"/>
        <v/>
      </c>
      <c r="H194" s="53" t="str">
        <f t="shared" ca="1" si="31"/>
        <v/>
      </c>
      <c r="I194" s="25" t="str">
        <f t="shared" ca="1" si="32"/>
        <v/>
      </c>
      <c r="J194" s="26"/>
      <c r="K194" s="114" t="str">
        <f ca="1">IF($A194="","",IF(COUNTIFS(INDEX(Dividends!$A:$T,0,$M$2),"&gt;"&amp;INT($A193),INDEX(Dividends!$A:$T,0,$M$2),"&lt;="&amp;INT($A194))=0,"",$G$4*SUMIFS(INDEX(Dividends!$A:$T,0,$M$2+1),INDEX(Dividends!$A:$T,0,$M$2),"&gt;"&amp;INT($A193),INDEX(Dividends!$A:$T,0,$M$2),"&lt;="&amp;INT($A194))))</f>
        <v/>
      </c>
      <c r="L194" s="55" t="str">
        <f ca="1">IF(ISERROR(B194-2),"",C194+D194-F194-G194+I194+J194+SUM($K$14:K194))</f>
        <v/>
      </c>
      <c r="V194" s="52" t="str">
        <f t="shared" ca="1" si="22"/>
        <v/>
      </c>
      <c r="W194" s="97" t="str">
        <f t="shared" ca="1" si="23"/>
        <v/>
      </c>
    </row>
    <row r="195" spans="1:23" x14ac:dyDescent="0.25">
      <c r="A195" s="102" t="str">
        <f t="shared" ca="1" si="26"/>
        <v/>
      </c>
      <c r="B195" s="53" t="str">
        <f t="shared" ca="1" si="24"/>
        <v/>
      </c>
      <c r="C195" s="25" t="str">
        <f t="shared" ca="1" si="27"/>
        <v/>
      </c>
      <c r="D195" s="26" t="str">
        <f t="shared" ca="1" si="28"/>
        <v/>
      </c>
      <c r="E195" s="53" t="str">
        <f t="shared" ca="1" si="25"/>
        <v/>
      </c>
      <c r="F195" s="25" t="str">
        <f t="shared" ca="1" si="29"/>
        <v/>
      </c>
      <c r="G195" s="26" t="str">
        <f t="shared" ca="1" si="30"/>
        <v/>
      </c>
      <c r="H195" s="53" t="str">
        <f t="shared" ca="1" si="31"/>
        <v/>
      </c>
      <c r="I195" s="25" t="str">
        <f t="shared" ca="1" si="32"/>
        <v/>
      </c>
      <c r="J195" s="26"/>
      <c r="K195" s="114" t="str">
        <f ca="1">IF($A195="","",IF(COUNTIFS(INDEX(Dividends!$A:$T,0,$M$2),"&gt;"&amp;INT($A194),INDEX(Dividends!$A:$T,0,$M$2),"&lt;="&amp;INT($A195))=0,"",$G$4*SUMIFS(INDEX(Dividends!$A:$T,0,$M$2+1),INDEX(Dividends!$A:$T,0,$M$2),"&gt;"&amp;INT($A194),INDEX(Dividends!$A:$T,0,$M$2),"&lt;="&amp;INT($A195))))</f>
        <v/>
      </c>
      <c r="L195" s="55" t="str">
        <f ca="1">IF(ISERROR(B195-2),"",C195+D195-F195-G195+I195+J195+SUM($K$14:K195))</f>
        <v/>
      </c>
      <c r="V195" s="52" t="str">
        <f t="shared" ca="1" si="22"/>
        <v/>
      </c>
      <c r="W195" s="97" t="str">
        <f t="shared" ca="1" si="23"/>
        <v/>
      </c>
    </row>
    <row r="196" spans="1:23" x14ac:dyDescent="0.25">
      <c r="A196" s="102" t="str">
        <f t="shared" ca="1" si="26"/>
        <v/>
      </c>
      <c r="B196" s="53" t="str">
        <f t="shared" ca="1" si="24"/>
        <v/>
      </c>
      <c r="C196" s="25" t="str">
        <f t="shared" ca="1" si="27"/>
        <v/>
      </c>
      <c r="D196" s="26" t="str">
        <f t="shared" ca="1" si="28"/>
        <v/>
      </c>
      <c r="E196" s="53" t="str">
        <f t="shared" ca="1" si="25"/>
        <v/>
      </c>
      <c r="F196" s="25" t="str">
        <f t="shared" ca="1" si="29"/>
        <v/>
      </c>
      <c r="G196" s="26" t="str">
        <f t="shared" ca="1" si="30"/>
        <v/>
      </c>
      <c r="H196" s="53" t="str">
        <f t="shared" ca="1" si="31"/>
        <v/>
      </c>
      <c r="I196" s="25" t="str">
        <f t="shared" ca="1" si="32"/>
        <v/>
      </c>
      <c r="J196" s="26"/>
      <c r="K196" s="114" t="str">
        <f ca="1">IF($A196="","",IF(COUNTIFS(INDEX(Dividends!$A:$T,0,$M$2),"&gt;"&amp;INT($A195),INDEX(Dividends!$A:$T,0,$M$2),"&lt;="&amp;INT($A196))=0,"",$G$4*SUMIFS(INDEX(Dividends!$A:$T,0,$M$2+1),INDEX(Dividends!$A:$T,0,$M$2),"&gt;"&amp;INT($A195),INDEX(Dividends!$A:$T,0,$M$2),"&lt;="&amp;INT($A196))))</f>
        <v/>
      </c>
      <c r="L196" s="55" t="str">
        <f ca="1">IF(ISERROR(B196-2),"",C196+D196-F196-G196+I196+J196+SUM($K$14:K196))</f>
        <v/>
      </c>
      <c r="V196" s="52" t="str">
        <f t="shared" ref="V196:V259" ca="1" si="33">IF(COUNTIF(P:P,N196)*COUNTIF(R:R,N196)*COUNTIF(T:T,N196),N196,"")</f>
        <v/>
      </c>
      <c r="W196" s="97" t="str">
        <f t="shared" ref="W196:W259" ca="1" si="34">IF(V196&gt;=$A$14,V196,"")</f>
        <v/>
      </c>
    </row>
    <row r="197" spans="1:23" x14ac:dyDescent="0.25">
      <c r="A197" s="102" t="str">
        <f t="shared" ca="1" si="26"/>
        <v/>
      </c>
      <c r="B197" s="53" t="str">
        <f t="shared" ca="1" si="24"/>
        <v/>
      </c>
      <c r="C197" s="25" t="str">
        <f t="shared" ca="1" si="27"/>
        <v/>
      </c>
      <c r="D197" s="26" t="str">
        <f t="shared" ca="1" si="28"/>
        <v/>
      </c>
      <c r="E197" s="53" t="str">
        <f t="shared" ca="1" si="25"/>
        <v/>
      </c>
      <c r="F197" s="25" t="str">
        <f t="shared" ca="1" si="29"/>
        <v/>
      </c>
      <c r="G197" s="26" t="str">
        <f t="shared" ca="1" si="30"/>
        <v/>
      </c>
      <c r="H197" s="53" t="str">
        <f t="shared" ca="1" si="31"/>
        <v/>
      </c>
      <c r="I197" s="25" t="str">
        <f t="shared" ca="1" si="32"/>
        <v/>
      </c>
      <c r="J197" s="26"/>
      <c r="K197" s="114" t="str">
        <f ca="1">IF($A197="","",IF(COUNTIFS(INDEX(Dividends!$A:$T,0,$M$2),"&gt;"&amp;INT($A196),INDEX(Dividends!$A:$T,0,$M$2),"&lt;="&amp;INT($A197))=0,"",$G$4*SUMIFS(INDEX(Dividends!$A:$T,0,$M$2+1),INDEX(Dividends!$A:$T,0,$M$2),"&gt;"&amp;INT($A196),INDEX(Dividends!$A:$T,0,$M$2),"&lt;="&amp;INT($A197))))</f>
        <v/>
      </c>
      <c r="L197" s="55" t="str">
        <f ca="1">IF(ISERROR(B197-2),"",C197+D197-F197-G197+I197+J197+SUM($K$14:K197))</f>
        <v/>
      </c>
      <c r="V197" s="52" t="str">
        <f t="shared" ca="1" si="33"/>
        <v/>
      </c>
      <c r="W197" s="97" t="str">
        <f t="shared" ca="1" si="34"/>
        <v/>
      </c>
    </row>
    <row r="198" spans="1:23" x14ac:dyDescent="0.25">
      <c r="A198" s="102" t="str">
        <f t="shared" ca="1" si="26"/>
        <v/>
      </c>
      <c r="B198" s="53" t="str">
        <f t="shared" ca="1" si="24"/>
        <v/>
      </c>
      <c r="C198" s="25" t="str">
        <f t="shared" ca="1" si="27"/>
        <v/>
      </c>
      <c r="D198" s="26" t="str">
        <f t="shared" ca="1" si="28"/>
        <v/>
      </c>
      <c r="E198" s="53" t="str">
        <f t="shared" ca="1" si="25"/>
        <v/>
      </c>
      <c r="F198" s="25" t="str">
        <f t="shared" ca="1" si="29"/>
        <v/>
      </c>
      <c r="G198" s="26" t="str">
        <f t="shared" ca="1" si="30"/>
        <v/>
      </c>
      <c r="H198" s="53" t="str">
        <f t="shared" ca="1" si="31"/>
        <v/>
      </c>
      <c r="I198" s="25" t="str">
        <f t="shared" ca="1" si="32"/>
        <v/>
      </c>
      <c r="J198" s="26"/>
      <c r="K198" s="114" t="str">
        <f ca="1">IF($A198="","",IF(COUNTIFS(INDEX(Dividends!$A:$T,0,$M$2),"&gt;"&amp;INT($A197),INDEX(Dividends!$A:$T,0,$M$2),"&lt;="&amp;INT($A198))=0,"",$G$4*SUMIFS(INDEX(Dividends!$A:$T,0,$M$2+1),INDEX(Dividends!$A:$T,0,$M$2),"&gt;"&amp;INT($A197),INDEX(Dividends!$A:$T,0,$M$2),"&lt;="&amp;INT($A198))))</f>
        <v/>
      </c>
      <c r="L198" s="55" t="str">
        <f ca="1">IF(ISERROR(B198-2),"",C198+D198-F198-G198+I198+J198+SUM($K$14:K198))</f>
        <v/>
      </c>
      <c r="V198" s="52" t="str">
        <f t="shared" ca="1" si="33"/>
        <v/>
      </c>
      <c r="W198" s="97" t="str">
        <f t="shared" ca="1" si="34"/>
        <v/>
      </c>
    </row>
    <row r="199" spans="1:23" x14ac:dyDescent="0.25">
      <c r="A199" s="102" t="str">
        <f t="shared" ca="1" si="26"/>
        <v/>
      </c>
      <c r="B199" s="53" t="str">
        <f t="shared" ca="1" si="24"/>
        <v/>
      </c>
      <c r="C199" s="25" t="str">
        <f t="shared" ca="1" si="27"/>
        <v/>
      </c>
      <c r="D199" s="26" t="str">
        <f t="shared" ca="1" si="28"/>
        <v/>
      </c>
      <c r="E199" s="53" t="str">
        <f t="shared" ca="1" si="25"/>
        <v/>
      </c>
      <c r="F199" s="25" t="str">
        <f t="shared" ca="1" si="29"/>
        <v/>
      </c>
      <c r="G199" s="26" t="str">
        <f t="shared" ca="1" si="30"/>
        <v/>
      </c>
      <c r="H199" s="53" t="str">
        <f t="shared" ca="1" si="31"/>
        <v/>
      </c>
      <c r="I199" s="25" t="str">
        <f t="shared" ca="1" si="32"/>
        <v/>
      </c>
      <c r="J199" s="26"/>
      <c r="K199" s="114" t="str">
        <f ca="1">IF($A199="","",IF(COUNTIFS(INDEX(Dividends!$A:$T,0,$M$2),"&gt;"&amp;INT($A198),INDEX(Dividends!$A:$T,0,$M$2),"&lt;="&amp;INT($A199))=0,"",$G$4*SUMIFS(INDEX(Dividends!$A:$T,0,$M$2+1),INDEX(Dividends!$A:$T,0,$M$2),"&gt;"&amp;INT($A198),INDEX(Dividends!$A:$T,0,$M$2),"&lt;="&amp;INT($A199))))</f>
        <v/>
      </c>
      <c r="L199" s="55" t="str">
        <f ca="1">IF(ISERROR(B199-2),"",C199+D199-F199-G199+I199+J199+SUM($K$14:K199))</f>
        <v/>
      </c>
      <c r="V199" s="52" t="str">
        <f t="shared" ca="1" si="33"/>
        <v/>
      </c>
      <c r="W199" s="97" t="str">
        <f t="shared" ca="1" si="34"/>
        <v/>
      </c>
    </row>
    <row r="200" spans="1:23" x14ac:dyDescent="0.25">
      <c r="A200" s="102" t="str">
        <f t="shared" ca="1" si="26"/>
        <v/>
      </c>
      <c r="B200" s="53" t="str">
        <f t="shared" ca="1" si="24"/>
        <v/>
      </c>
      <c r="C200" s="25" t="str">
        <f t="shared" ca="1" si="27"/>
        <v/>
      </c>
      <c r="D200" s="26" t="str">
        <f t="shared" ca="1" si="28"/>
        <v/>
      </c>
      <c r="E200" s="53" t="str">
        <f t="shared" ca="1" si="25"/>
        <v/>
      </c>
      <c r="F200" s="25" t="str">
        <f t="shared" ca="1" si="29"/>
        <v/>
      </c>
      <c r="G200" s="26" t="str">
        <f t="shared" ca="1" si="30"/>
        <v/>
      </c>
      <c r="H200" s="53" t="str">
        <f t="shared" ca="1" si="31"/>
        <v/>
      </c>
      <c r="I200" s="25" t="str">
        <f t="shared" ca="1" si="32"/>
        <v/>
      </c>
      <c r="J200" s="26"/>
      <c r="K200" s="114" t="str">
        <f ca="1">IF($A200="","",IF(COUNTIFS(INDEX(Dividends!$A:$T,0,$M$2),"&gt;"&amp;INT($A199),INDEX(Dividends!$A:$T,0,$M$2),"&lt;="&amp;INT($A200))=0,"",$G$4*SUMIFS(INDEX(Dividends!$A:$T,0,$M$2+1),INDEX(Dividends!$A:$T,0,$M$2),"&gt;"&amp;INT($A199),INDEX(Dividends!$A:$T,0,$M$2),"&lt;="&amp;INT($A200))))</f>
        <v/>
      </c>
      <c r="L200" s="55" t="str">
        <f ca="1">IF(ISERROR(B200-2),"",C200+D200-F200-G200+I200+J200+SUM($K$14:K200))</f>
        <v/>
      </c>
      <c r="V200" s="52" t="str">
        <f t="shared" ca="1" si="33"/>
        <v/>
      </c>
      <c r="W200" s="97" t="str">
        <f t="shared" ca="1" si="34"/>
        <v/>
      </c>
    </row>
    <row r="201" spans="1:23" x14ac:dyDescent="0.25">
      <c r="A201" s="102" t="str">
        <f t="shared" ca="1" si="26"/>
        <v/>
      </c>
      <c r="B201" s="53" t="str">
        <f t="shared" ca="1" si="24"/>
        <v/>
      </c>
      <c r="C201" s="25" t="str">
        <f t="shared" ca="1" si="27"/>
        <v/>
      </c>
      <c r="D201" s="26" t="str">
        <f t="shared" ca="1" si="28"/>
        <v/>
      </c>
      <c r="E201" s="53" t="str">
        <f t="shared" ca="1" si="25"/>
        <v/>
      </c>
      <c r="F201" s="25" t="str">
        <f t="shared" ca="1" si="29"/>
        <v/>
      </c>
      <c r="G201" s="26" t="str">
        <f t="shared" ca="1" si="30"/>
        <v/>
      </c>
      <c r="H201" s="53" t="str">
        <f t="shared" ca="1" si="31"/>
        <v/>
      </c>
      <c r="I201" s="25" t="str">
        <f t="shared" ca="1" si="32"/>
        <v/>
      </c>
      <c r="J201" s="26"/>
      <c r="K201" s="114"/>
      <c r="L201" s="55" t="str">
        <f ca="1">IF(ISERROR(B201-2),"",C201+D201-F201-G201+I201+J201+SUM($K$14:K201))</f>
        <v/>
      </c>
      <c r="V201" s="52" t="str">
        <f t="shared" ca="1" si="33"/>
        <v/>
      </c>
      <c r="W201" s="97" t="str">
        <f t="shared" ca="1" si="34"/>
        <v/>
      </c>
    </row>
    <row r="202" spans="1:23" x14ac:dyDescent="0.25">
      <c r="A202" s="102" t="str">
        <f t="shared" ca="1" si="26"/>
        <v/>
      </c>
      <c r="B202" s="53" t="str">
        <f t="shared" ca="1" si="24"/>
        <v/>
      </c>
      <c r="C202" s="25" t="str">
        <f t="shared" ca="1" si="27"/>
        <v/>
      </c>
      <c r="D202" s="26" t="str">
        <f t="shared" ca="1" si="28"/>
        <v/>
      </c>
      <c r="E202" s="53" t="str">
        <f t="shared" ca="1" si="25"/>
        <v/>
      </c>
      <c r="F202" s="25" t="str">
        <f t="shared" ca="1" si="29"/>
        <v/>
      </c>
      <c r="G202" s="26" t="str">
        <f t="shared" ca="1" si="30"/>
        <v/>
      </c>
      <c r="H202" s="53" t="str">
        <f t="shared" ca="1" si="31"/>
        <v/>
      </c>
      <c r="I202" s="25" t="str">
        <f t="shared" ca="1" si="32"/>
        <v/>
      </c>
      <c r="J202" s="26"/>
      <c r="K202" s="114"/>
      <c r="L202" s="55" t="str">
        <f ca="1">IF(ISERROR(B202-2),"",C202+D202-F202-G202+I202+J202+SUM($K$14:K202))</f>
        <v/>
      </c>
      <c r="V202" s="52" t="str">
        <f t="shared" ca="1" si="33"/>
        <v/>
      </c>
      <c r="W202" s="97" t="str">
        <f t="shared" ca="1" si="34"/>
        <v/>
      </c>
    </row>
    <row r="203" spans="1:23" x14ac:dyDescent="0.25">
      <c r="A203" s="102" t="str">
        <f t="shared" ca="1" si="26"/>
        <v/>
      </c>
      <c r="B203" s="53" t="str">
        <f t="shared" ca="1" si="24"/>
        <v/>
      </c>
      <c r="C203" s="25" t="str">
        <f t="shared" ca="1" si="27"/>
        <v/>
      </c>
      <c r="D203" s="26" t="str">
        <f t="shared" ca="1" si="28"/>
        <v/>
      </c>
      <c r="E203" s="53" t="str">
        <f t="shared" ca="1" si="25"/>
        <v/>
      </c>
      <c r="F203" s="25" t="str">
        <f t="shared" ca="1" si="29"/>
        <v/>
      </c>
      <c r="G203" s="26" t="str">
        <f t="shared" ca="1" si="30"/>
        <v/>
      </c>
      <c r="H203" s="53" t="str">
        <f t="shared" ca="1" si="31"/>
        <v/>
      </c>
      <c r="I203" s="25" t="str">
        <f t="shared" ca="1" si="32"/>
        <v/>
      </c>
      <c r="J203" s="26"/>
      <c r="K203" s="114"/>
      <c r="L203" s="55" t="str">
        <f ca="1">IF(ISERROR(B203-2),"",C203+D203-F203-G203+I203+J203+SUM($K$14:K203))</f>
        <v/>
      </c>
      <c r="V203" s="52" t="str">
        <f t="shared" ca="1" si="33"/>
        <v/>
      </c>
      <c r="W203" s="97" t="str">
        <f t="shared" ca="1" si="34"/>
        <v/>
      </c>
    </row>
    <row r="204" spans="1:23" x14ac:dyDescent="0.25">
      <c r="A204" s="102" t="str">
        <f t="shared" ca="1" si="26"/>
        <v/>
      </c>
      <c r="B204" s="53" t="str">
        <f t="shared" ca="1" si="24"/>
        <v/>
      </c>
      <c r="C204" s="25" t="str">
        <f t="shared" ca="1" si="27"/>
        <v/>
      </c>
      <c r="D204" s="26" t="str">
        <f t="shared" ca="1" si="28"/>
        <v/>
      </c>
      <c r="E204" s="53" t="str">
        <f t="shared" ca="1" si="25"/>
        <v/>
      </c>
      <c r="F204" s="25" t="str">
        <f t="shared" ca="1" si="29"/>
        <v/>
      </c>
      <c r="G204" s="26" t="str">
        <f t="shared" ca="1" si="30"/>
        <v/>
      </c>
      <c r="H204" s="53" t="str">
        <f t="shared" ca="1" si="31"/>
        <v/>
      </c>
      <c r="I204" s="25" t="str">
        <f t="shared" ca="1" si="32"/>
        <v/>
      </c>
      <c r="J204" s="26"/>
      <c r="K204" s="114"/>
      <c r="L204" s="55" t="str">
        <f ca="1">IF(ISERROR(B204-2),"",C204+D204-F204-G204+I204+J204+SUM($K$14:K204))</f>
        <v/>
      </c>
      <c r="V204" s="52" t="str">
        <f t="shared" ca="1" si="33"/>
        <v/>
      </c>
      <c r="W204" s="97" t="str">
        <f t="shared" ca="1" si="34"/>
        <v/>
      </c>
    </row>
    <row r="205" spans="1:23" x14ac:dyDescent="0.25">
      <c r="A205" s="102" t="str">
        <f t="shared" ca="1" si="26"/>
        <v/>
      </c>
      <c r="B205" s="53" t="str">
        <f t="shared" ca="1" si="24"/>
        <v/>
      </c>
      <c r="C205" s="25" t="str">
        <f t="shared" ca="1" si="27"/>
        <v/>
      </c>
      <c r="D205" s="26" t="str">
        <f t="shared" ca="1" si="28"/>
        <v/>
      </c>
      <c r="E205" s="53" t="str">
        <f t="shared" ca="1" si="25"/>
        <v/>
      </c>
      <c r="F205" s="25" t="str">
        <f t="shared" ca="1" si="29"/>
        <v/>
      </c>
      <c r="G205" s="26" t="str">
        <f t="shared" ca="1" si="30"/>
        <v/>
      </c>
      <c r="H205" s="53" t="str">
        <f t="shared" ca="1" si="31"/>
        <v/>
      </c>
      <c r="I205" s="25" t="str">
        <f t="shared" ca="1" si="32"/>
        <v/>
      </c>
      <c r="J205" s="26"/>
      <c r="K205" s="114"/>
      <c r="L205" s="55" t="str">
        <f ca="1">IF(ISERROR(B205-2),"",C205+D205-F205-G205+I205+J205+SUM($K$14:K205))</f>
        <v/>
      </c>
      <c r="V205" s="52" t="str">
        <f t="shared" ca="1" si="33"/>
        <v/>
      </c>
      <c r="W205" s="97" t="str">
        <f t="shared" ca="1" si="34"/>
        <v/>
      </c>
    </row>
    <row r="206" spans="1:23" x14ac:dyDescent="0.25">
      <c r="A206" s="102" t="str">
        <f t="shared" ca="1" si="26"/>
        <v/>
      </c>
      <c r="B206" s="53" t="str">
        <f t="shared" ca="1" si="24"/>
        <v/>
      </c>
      <c r="C206" s="25" t="str">
        <f t="shared" ca="1" si="27"/>
        <v/>
      </c>
      <c r="D206" s="26" t="str">
        <f t="shared" ca="1" si="28"/>
        <v/>
      </c>
      <c r="E206" s="53" t="str">
        <f t="shared" ca="1" si="25"/>
        <v/>
      </c>
      <c r="F206" s="25" t="str">
        <f t="shared" ca="1" si="29"/>
        <v/>
      </c>
      <c r="G206" s="26" t="str">
        <f t="shared" ca="1" si="30"/>
        <v/>
      </c>
      <c r="H206" s="53" t="str">
        <f t="shared" ca="1" si="31"/>
        <v/>
      </c>
      <c r="I206" s="25" t="str">
        <f t="shared" ca="1" si="32"/>
        <v/>
      </c>
      <c r="J206" s="26"/>
      <c r="K206" s="114"/>
      <c r="L206" s="55" t="str">
        <f ca="1">IF(ISERROR(B206-2),"",C206+D206-F206-G206+I206+J206+SUM($K$14:K206))</f>
        <v/>
      </c>
      <c r="V206" s="52" t="str">
        <f t="shared" ca="1" si="33"/>
        <v/>
      </c>
      <c r="W206" s="97" t="str">
        <f t="shared" ca="1" si="34"/>
        <v/>
      </c>
    </row>
    <row r="207" spans="1:23" x14ac:dyDescent="0.25">
      <c r="A207" s="102" t="str">
        <f t="shared" ca="1" si="26"/>
        <v/>
      </c>
      <c r="B207" s="53" t="str">
        <f t="shared" ref="B207:B252" ca="1" si="35">IF(COUNTIF(N:N,A207)=1,VLOOKUP(A207,N:O,2), IF(COUNTIF(N:N,A207)=0,$B$10,""))</f>
        <v/>
      </c>
      <c r="C207" s="25" t="str">
        <f t="shared" ca="1" si="27"/>
        <v/>
      </c>
      <c r="D207" s="26" t="str">
        <f t="shared" ca="1" si="28"/>
        <v/>
      </c>
      <c r="E207" s="53" t="str">
        <f t="shared" ref="E207:E252" ca="1" si="36">IF(COUNTIF(N:N,A207)=1,VLOOKUP(A207,P:Q,2), IF(COUNTIF(N:N,A207)=0,$C$10,""))</f>
        <v/>
      </c>
      <c r="F207" s="25" t="str">
        <f t="shared" ca="1" si="29"/>
        <v/>
      </c>
      <c r="G207" s="26" t="str">
        <f t="shared" ca="1" si="30"/>
        <v/>
      </c>
      <c r="H207" s="53" t="str">
        <f t="shared" ca="1" si="31"/>
        <v/>
      </c>
      <c r="I207" s="25" t="str">
        <f t="shared" ca="1" si="32"/>
        <v/>
      </c>
      <c r="J207" s="26"/>
      <c r="K207" s="114"/>
      <c r="L207" s="55" t="str">
        <f ca="1">IF(ISERROR(B207-2),"",C207+D207-F207-G207+I207+J207+SUM($K$14:K207))</f>
        <v/>
      </c>
      <c r="V207" s="52" t="str">
        <f t="shared" ca="1" si="33"/>
        <v/>
      </c>
      <c r="W207" s="97" t="str">
        <f t="shared" ca="1" si="34"/>
        <v/>
      </c>
    </row>
    <row r="208" spans="1:23" x14ac:dyDescent="0.25">
      <c r="A208" s="102" t="str">
        <f t="shared" ref="A208:A252" ca="1" si="37">IF(AND(ISBLANK(X195), A207 = $X$1),NOW(),IF(ISBLANK(X195),"",X195))</f>
        <v/>
      </c>
      <c r="B208" s="53" t="str">
        <f t="shared" ca="1" si="35"/>
        <v/>
      </c>
      <c r="C208" s="25" t="str">
        <f t="shared" ref="C208:C252" ca="1" si="38">IF(ISERROR(B208-2),"",(B208/$B$14-1)*$B$5)</f>
        <v/>
      </c>
      <c r="D208" s="26" t="str">
        <f t="shared" ref="D208:D252" ca="1" si="39">IF(ISERROR(B208-2),"",-1*(INT(A208)-INT($A$14))/360*$B$7*$B$5)</f>
        <v/>
      </c>
      <c r="E208" s="53" t="str">
        <f t="shared" ca="1" si="36"/>
        <v/>
      </c>
      <c r="F208" s="25" t="str">
        <f t="shared" ref="F208:F252" ca="1" si="40">IF(ISERROR(B208-2),"",(E208-$E$14)/100*$C$5)</f>
        <v/>
      </c>
      <c r="G208" s="26" t="str">
        <f t="shared" ref="G208:G252" ca="1" si="41">IF(ISERROR(B208-2),"",(INT(A208)-INT($A$14))/360*$C$6*$C$5-(INT(A208)-INT($A$14))/360*$C$7*$C$5*$E$14/100)</f>
        <v/>
      </c>
      <c r="H208" s="53" t="str">
        <f t="shared" ref="H208:H252" ca="1" si="42">IF(COUNTIF(N:N,A208)=1,VLOOKUP(A208,T:U,2), IF(COUNTIF(N:N,A208)=0,$D$11,""))</f>
        <v/>
      </c>
      <c r="I208" s="25" t="str">
        <f t="shared" ref="I208:I252" ca="1" si="43">IF(ISERROR(B208-2),"",(H208/$H$14-1)*$D$5)</f>
        <v/>
      </c>
      <c r="J208" s="26"/>
      <c r="K208" s="114"/>
      <c r="L208" s="55" t="str">
        <f ca="1">IF(ISERROR(B208-2),"",C208+D208-F208-G208+I208+J208+SUM($K$14:K208))</f>
        <v/>
      </c>
      <c r="V208" s="52" t="str">
        <f t="shared" ca="1" si="33"/>
        <v/>
      </c>
      <c r="W208" s="97" t="str">
        <f t="shared" ca="1" si="34"/>
        <v/>
      </c>
    </row>
    <row r="209" spans="1:23" x14ac:dyDescent="0.25">
      <c r="A209" s="102" t="str">
        <f t="shared" ca="1" si="37"/>
        <v/>
      </c>
      <c r="B209" s="53" t="str">
        <f t="shared" ca="1" si="35"/>
        <v/>
      </c>
      <c r="C209" s="25" t="str">
        <f t="shared" ca="1" si="38"/>
        <v/>
      </c>
      <c r="D209" s="26" t="str">
        <f t="shared" ca="1" si="39"/>
        <v/>
      </c>
      <c r="E209" s="53" t="str">
        <f t="shared" ca="1" si="36"/>
        <v/>
      </c>
      <c r="F209" s="25" t="str">
        <f t="shared" ca="1" si="40"/>
        <v/>
      </c>
      <c r="G209" s="26" t="str">
        <f t="shared" ca="1" si="41"/>
        <v/>
      </c>
      <c r="H209" s="53" t="str">
        <f t="shared" ca="1" si="42"/>
        <v/>
      </c>
      <c r="I209" s="25" t="str">
        <f t="shared" ca="1" si="43"/>
        <v/>
      </c>
      <c r="J209" s="26"/>
      <c r="K209" s="114"/>
      <c r="L209" s="55" t="str">
        <f ca="1">IF(ISERROR(B209-2),"",C209+D209-F209-G209+I209+J209+SUM($K$14:K209))</f>
        <v/>
      </c>
      <c r="V209" s="52" t="str">
        <f t="shared" ca="1" si="33"/>
        <v/>
      </c>
      <c r="W209" s="97" t="str">
        <f t="shared" ca="1" si="34"/>
        <v/>
      </c>
    </row>
    <row r="210" spans="1:23" x14ac:dyDescent="0.25">
      <c r="A210" s="102" t="str">
        <f t="shared" ca="1" si="37"/>
        <v/>
      </c>
      <c r="B210" s="53" t="str">
        <f t="shared" ca="1" si="35"/>
        <v/>
      </c>
      <c r="C210" s="25" t="str">
        <f t="shared" ca="1" si="38"/>
        <v/>
      </c>
      <c r="D210" s="26" t="str">
        <f t="shared" ca="1" si="39"/>
        <v/>
      </c>
      <c r="E210" s="53" t="str">
        <f t="shared" ca="1" si="36"/>
        <v/>
      </c>
      <c r="F210" s="25" t="str">
        <f t="shared" ca="1" si="40"/>
        <v/>
      </c>
      <c r="G210" s="26" t="str">
        <f t="shared" ca="1" si="41"/>
        <v/>
      </c>
      <c r="H210" s="53" t="str">
        <f t="shared" ca="1" si="42"/>
        <v/>
      </c>
      <c r="I210" s="25" t="str">
        <f t="shared" ca="1" si="43"/>
        <v/>
      </c>
      <c r="J210" s="26"/>
      <c r="K210" s="114"/>
      <c r="L210" s="55" t="str">
        <f ca="1">IF(ISERROR(B210-2),"",C210+D210-F210-G210+I210+J210+SUM($K$14:K210))</f>
        <v/>
      </c>
      <c r="V210" s="52" t="str">
        <f t="shared" ca="1" si="33"/>
        <v/>
      </c>
      <c r="W210" s="97" t="str">
        <f t="shared" ca="1" si="34"/>
        <v/>
      </c>
    </row>
    <row r="211" spans="1:23" x14ac:dyDescent="0.25">
      <c r="A211" s="102" t="str">
        <f t="shared" ca="1" si="37"/>
        <v/>
      </c>
      <c r="B211" s="53" t="str">
        <f t="shared" ca="1" si="35"/>
        <v/>
      </c>
      <c r="C211" s="25" t="str">
        <f t="shared" ca="1" si="38"/>
        <v/>
      </c>
      <c r="D211" s="26" t="str">
        <f t="shared" ca="1" si="39"/>
        <v/>
      </c>
      <c r="E211" s="53" t="str">
        <f t="shared" ca="1" si="36"/>
        <v/>
      </c>
      <c r="F211" s="25" t="str">
        <f t="shared" ca="1" si="40"/>
        <v/>
      </c>
      <c r="G211" s="26" t="str">
        <f t="shared" ca="1" si="41"/>
        <v/>
      </c>
      <c r="H211" s="53" t="str">
        <f t="shared" ca="1" si="42"/>
        <v/>
      </c>
      <c r="I211" s="25" t="str">
        <f t="shared" ca="1" si="43"/>
        <v/>
      </c>
      <c r="J211" s="26"/>
      <c r="K211" s="114"/>
      <c r="L211" s="55" t="str">
        <f ca="1">IF(ISERROR(B211-2),"",C211+D211-F211-G211+I211+J211+SUM($K$14:K211))</f>
        <v/>
      </c>
      <c r="V211" s="52" t="str">
        <f t="shared" ca="1" si="33"/>
        <v/>
      </c>
      <c r="W211" s="97" t="str">
        <f t="shared" ca="1" si="34"/>
        <v/>
      </c>
    </row>
    <row r="212" spans="1:23" x14ac:dyDescent="0.25">
      <c r="A212" s="102" t="str">
        <f t="shared" ca="1" si="37"/>
        <v/>
      </c>
      <c r="B212" s="53" t="str">
        <f t="shared" ca="1" si="35"/>
        <v/>
      </c>
      <c r="C212" s="25" t="str">
        <f t="shared" ca="1" si="38"/>
        <v/>
      </c>
      <c r="D212" s="26" t="str">
        <f t="shared" ca="1" si="39"/>
        <v/>
      </c>
      <c r="E212" s="53" t="str">
        <f t="shared" ca="1" si="36"/>
        <v/>
      </c>
      <c r="F212" s="25" t="str">
        <f t="shared" ca="1" si="40"/>
        <v/>
      </c>
      <c r="G212" s="26" t="str">
        <f t="shared" ca="1" si="41"/>
        <v/>
      </c>
      <c r="H212" s="53" t="str">
        <f t="shared" ca="1" si="42"/>
        <v/>
      </c>
      <c r="I212" s="25" t="str">
        <f t="shared" ca="1" si="43"/>
        <v/>
      </c>
      <c r="J212" s="26"/>
      <c r="K212" s="114"/>
      <c r="L212" s="55" t="str">
        <f ca="1">IF(ISERROR(B212-2),"",C212+D212-F212-G212+I212+J212+SUM($K$14:K212))</f>
        <v/>
      </c>
      <c r="V212" s="52" t="str">
        <f t="shared" ca="1" si="33"/>
        <v/>
      </c>
      <c r="W212" s="97" t="str">
        <f t="shared" ca="1" si="34"/>
        <v/>
      </c>
    </row>
    <row r="213" spans="1:23" x14ac:dyDescent="0.25">
      <c r="A213" s="102" t="str">
        <f t="shared" ca="1" si="37"/>
        <v/>
      </c>
      <c r="B213" s="53" t="str">
        <f t="shared" ca="1" si="35"/>
        <v/>
      </c>
      <c r="C213" s="25" t="str">
        <f t="shared" ca="1" si="38"/>
        <v/>
      </c>
      <c r="D213" s="26" t="str">
        <f t="shared" ca="1" si="39"/>
        <v/>
      </c>
      <c r="E213" s="53" t="str">
        <f t="shared" ca="1" si="36"/>
        <v/>
      </c>
      <c r="F213" s="25" t="str">
        <f t="shared" ca="1" si="40"/>
        <v/>
      </c>
      <c r="G213" s="26" t="str">
        <f t="shared" ca="1" si="41"/>
        <v/>
      </c>
      <c r="H213" s="53" t="str">
        <f t="shared" ca="1" si="42"/>
        <v/>
      </c>
      <c r="I213" s="25" t="str">
        <f t="shared" ca="1" si="43"/>
        <v/>
      </c>
      <c r="J213" s="26"/>
      <c r="K213" s="114"/>
      <c r="L213" s="55" t="str">
        <f ca="1">IF(ISERROR(B213-2),"",C213+D213-F213-G213+I213+J213+SUM($K$14:K213))</f>
        <v/>
      </c>
      <c r="V213" s="52" t="str">
        <f t="shared" ca="1" si="33"/>
        <v/>
      </c>
      <c r="W213" s="97" t="str">
        <f t="shared" ca="1" si="34"/>
        <v/>
      </c>
    </row>
    <row r="214" spans="1:23" x14ac:dyDescent="0.25">
      <c r="A214" s="102" t="str">
        <f t="shared" ca="1" si="37"/>
        <v/>
      </c>
      <c r="B214" s="53" t="str">
        <f t="shared" ca="1" si="35"/>
        <v/>
      </c>
      <c r="C214" s="25" t="str">
        <f t="shared" ca="1" si="38"/>
        <v/>
      </c>
      <c r="D214" s="26" t="str">
        <f t="shared" ca="1" si="39"/>
        <v/>
      </c>
      <c r="E214" s="53" t="str">
        <f t="shared" ca="1" si="36"/>
        <v/>
      </c>
      <c r="F214" s="25" t="str">
        <f t="shared" ca="1" si="40"/>
        <v/>
      </c>
      <c r="G214" s="26" t="str">
        <f t="shared" ca="1" si="41"/>
        <v/>
      </c>
      <c r="H214" s="53" t="str">
        <f t="shared" ca="1" si="42"/>
        <v/>
      </c>
      <c r="I214" s="25" t="str">
        <f t="shared" ca="1" si="43"/>
        <v/>
      </c>
      <c r="J214" s="26"/>
      <c r="K214" s="114"/>
      <c r="L214" s="55" t="str">
        <f ca="1">IF(ISERROR(B214-2),"",C214+D214-F214-G214+I214+J214+SUM($K$14:K214))</f>
        <v/>
      </c>
      <c r="V214" s="52" t="str">
        <f t="shared" ca="1" si="33"/>
        <v/>
      </c>
      <c r="W214" s="97" t="str">
        <f t="shared" ca="1" si="34"/>
        <v/>
      </c>
    </row>
    <row r="215" spans="1:23" x14ac:dyDescent="0.25">
      <c r="A215" s="102" t="str">
        <f t="shared" ca="1" si="37"/>
        <v/>
      </c>
      <c r="B215" s="53" t="str">
        <f t="shared" ca="1" si="35"/>
        <v/>
      </c>
      <c r="C215" s="25" t="str">
        <f t="shared" ca="1" si="38"/>
        <v/>
      </c>
      <c r="D215" s="26" t="str">
        <f t="shared" ca="1" si="39"/>
        <v/>
      </c>
      <c r="E215" s="53" t="str">
        <f t="shared" ca="1" si="36"/>
        <v/>
      </c>
      <c r="F215" s="25" t="str">
        <f t="shared" ca="1" si="40"/>
        <v/>
      </c>
      <c r="G215" s="26" t="str">
        <f t="shared" ca="1" si="41"/>
        <v/>
      </c>
      <c r="H215" s="53" t="str">
        <f t="shared" ca="1" si="42"/>
        <v/>
      </c>
      <c r="I215" s="25" t="str">
        <f t="shared" ca="1" si="43"/>
        <v/>
      </c>
      <c r="J215" s="26"/>
      <c r="K215" s="114"/>
      <c r="L215" s="55" t="str">
        <f ca="1">IF(ISERROR(B215-2),"",C215+D215-F215-G215+I215+J215+SUM($K$14:K215))</f>
        <v/>
      </c>
      <c r="V215" s="52" t="str">
        <f t="shared" ca="1" si="33"/>
        <v/>
      </c>
      <c r="W215" s="97" t="str">
        <f t="shared" ca="1" si="34"/>
        <v/>
      </c>
    </row>
    <row r="216" spans="1:23" x14ac:dyDescent="0.25">
      <c r="A216" s="102" t="str">
        <f t="shared" ca="1" si="37"/>
        <v/>
      </c>
      <c r="B216" s="53" t="str">
        <f t="shared" ca="1" si="35"/>
        <v/>
      </c>
      <c r="C216" s="25" t="str">
        <f t="shared" ca="1" si="38"/>
        <v/>
      </c>
      <c r="D216" s="26" t="str">
        <f t="shared" ca="1" si="39"/>
        <v/>
      </c>
      <c r="E216" s="53" t="str">
        <f t="shared" ca="1" si="36"/>
        <v/>
      </c>
      <c r="F216" s="25" t="str">
        <f t="shared" ca="1" si="40"/>
        <v/>
      </c>
      <c r="G216" s="26" t="str">
        <f t="shared" ca="1" si="41"/>
        <v/>
      </c>
      <c r="H216" s="53" t="str">
        <f t="shared" ca="1" si="42"/>
        <v/>
      </c>
      <c r="I216" s="25" t="str">
        <f t="shared" ca="1" si="43"/>
        <v/>
      </c>
      <c r="J216" s="26"/>
      <c r="K216" s="114"/>
      <c r="L216" s="55" t="str">
        <f ca="1">IF(ISERROR(B216-2),"",C216+D216-F216-G216+I216+J216+SUM($K$14:K216))</f>
        <v/>
      </c>
      <c r="V216" s="52" t="str">
        <f t="shared" ca="1" si="33"/>
        <v/>
      </c>
      <c r="W216" s="97" t="str">
        <f t="shared" ca="1" si="34"/>
        <v/>
      </c>
    </row>
    <row r="217" spans="1:23" x14ac:dyDescent="0.25">
      <c r="A217" s="102" t="str">
        <f t="shared" ca="1" si="37"/>
        <v/>
      </c>
      <c r="B217" s="53" t="str">
        <f t="shared" ca="1" si="35"/>
        <v/>
      </c>
      <c r="C217" s="25" t="str">
        <f t="shared" ca="1" si="38"/>
        <v/>
      </c>
      <c r="D217" s="26" t="str">
        <f t="shared" ca="1" si="39"/>
        <v/>
      </c>
      <c r="E217" s="53" t="str">
        <f t="shared" ca="1" si="36"/>
        <v/>
      </c>
      <c r="F217" s="25" t="str">
        <f t="shared" ca="1" si="40"/>
        <v/>
      </c>
      <c r="G217" s="26" t="str">
        <f t="shared" ca="1" si="41"/>
        <v/>
      </c>
      <c r="H217" s="53" t="str">
        <f t="shared" ca="1" si="42"/>
        <v/>
      </c>
      <c r="I217" s="25" t="str">
        <f t="shared" ca="1" si="43"/>
        <v/>
      </c>
      <c r="J217" s="26"/>
      <c r="K217" s="114"/>
      <c r="L217" s="55" t="str">
        <f ca="1">IF(ISERROR(B217-2),"",C217+D217-F217-G217+I217+J217+SUM($K$14:K217))</f>
        <v/>
      </c>
      <c r="V217" s="52" t="str">
        <f t="shared" ca="1" si="33"/>
        <v/>
      </c>
      <c r="W217" s="97" t="str">
        <f t="shared" ca="1" si="34"/>
        <v/>
      </c>
    </row>
    <row r="218" spans="1:23" x14ac:dyDescent="0.25">
      <c r="A218" s="102" t="str">
        <f t="shared" ca="1" si="37"/>
        <v/>
      </c>
      <c r="B218" s="53" t="str">
        <f t="shared" ca="1" si="35"/>
        <v/>
      </c>
      <c r="C218" s="25" t="str">
        <f t="shared" ca="1" si="38"/>
        <v/>
      </c>
      <c r="D218" s="26" t="str">
        <f t="shared" ca="1" si="39"/>
        <v/>
      </c>
      <c r="E218" s="53" t="str">
        <f t="shared" ca="1" si="36"/>
        <v/>
      </c>
      <c r="F218" s="25" t="str">
        <f t="shared" ca="1" si="40"/>
        <v/>
      </c>
      <c r="G218" s="26" t="str">
        <f t="shared" ca="1" si="41"/>
        <v/>
      </c>
      <c r="H218" s="53" t="str">
        <f t="shared" ca="1" si="42"/>
        <v/>
      </c>
      <c r="I218" s="25" t="str">
        <f t="shared" ca="1" si="43"/>
        <v/>
      </c>
      <c r="J218" s="26"/>
      <c r="K218" s="114"/>
      <c r="L218" s="55" t="str">
        <f ca="1">IF(ISERROR(B218-2),"",C218+D218-F218-G218+I218+J218+SUM($K$14:K218))</f>
        <v/>
      </c>
      <c r="V218" s="52" t="str">
        <f t="shared" ca="1" si="33"/>
        <v/>
      </c>
      <c r="W218" s="97" t="str">
        <f t="shared" ca="1" si="34"/>
        <v/>
      </c>
    </row>
    <row r="219" spans="1:23" x14ac:dyDescent="0.25">
      <c r="A219" s="102" t="str">
        <f t="shared" ca="1" si="37"/>
        <v/>
      </c>
      <c r="B219" s="53" t="str">
        <f t="shared" ca="1" si="35"/>
        <v/>
      </c>
      <c r="C219" s="25" t="str">
        <f t="shared" ca="1" si="38"/>
        <v/>
      </c>
      <c r="D219" s="26" t="str">
        <f t="shared" ca="1" si="39"/>
        <v/>
      </c>
      <c r="E219" s="53" t="str">
        <f t="shared" ca="1" si="36"/>
        <v/>
      </c>
      <c r="F219" s="25" t="str">
        <f t="shared" ca="1" si="40"/>
        <v/>
      </c>
      <c r="G219" s="26" t="str">
        <f t="shared" ca="1" si="41"/>
        <v/>
      </c>
      <c r="H219" s="53" t="str">
        <f t="shared" ca="1" si="42"/>
        <v/>
      </c>
      <c r="I219" s="25" t="str">
        <f t="shared" ca="1" si="43"/>
        <v/>
      </c>
      <c r="J219" s="26"/>
      <c r="K219" s="114"/>
      <c r="L219" s="55" t="str">
        <f ca="1">IF(ISERROR(B219-2),"",C219+D219-F219-G219+I219+J219+SUM($K$14:K219))</f>
        <v/>
      </c>
      <c r="V219" s="52" t="str">
        <f t="shared" ca="1" si="33"/>
        <v/>
      </c>
      <c r="W219" s="97" t="str">
        <f t="shared" ca="1" si="34"/>
        <v/>
      </c>
    </row>
    <row r="220" spans="1:23" x14ac:dyDescent="0.25">
      <c r="A220" s="102" t="str">
        <f t="shared" ca="1" si="37"/>
        <v/>
      </c>
      <c r="B220" s="53" t="str">
        <f t="shared" ca="1" si="35"/>
        <v/>
      </c>
      <c r="C220" s="25" t="str">
        <f t="shared" ca="1" si="38"/>
        <v/>
      </c>
      <c r="D220" s="26" t="str">
        <f t="shared" ca="1" si="39"/>
        <v/>
      </c>
      <c r="E220" s="53" t="str">
        <f t="shared" ca="1" si="36"/>
        <v/>
      </c>
      <c r="F220" s="25" t="str">
        <f t="shared" ca="1" si="40"/>
        <v/>
      </c>
      <c r="G220" s="26" t="str">
        <f t="shared" ca="1" si="41"/>
        <v/>
      </c>
      <c r="H220" s="53" t="str">
        <f t="shared" ca="1" si="42"/>
        <v/>
      </c>
      <c r="I220" s="25" t="str">
        <f t="shared" ca="1" si="43"/>
        <v/>
      </c>
      <c r="J220" s="26"/>
      <c r="K220" s="114"/>
      <c r="L220" s="55" t="str">
        <f ca="1">IF(ISERROR(B220-2),"",C220+D220-F220-G220+I220+J220+SUM($K$14:K220))</f>
        <v/>
      </c>
      <c r="V220" s="52" t="str">
        <f t="shared" ca="1" si="33"/>
        <v/>
      </c>
      <c r="W220" s="97" t="str">
        <f t="shared" ca="1" si="34"/>
        <v/>
      </c>
    </row>
    <row r="221" spans="1:23" x14ac:dyDescent="0.25">
      <c r="A221" s="102" t="str">
        <f t="shared" ca="1" si="37"/>
        <v/>
      </c>
      <c r="B221" s="53" t="str">
        <f t="shared" ca="1" si="35"/>
        <v/>
      </c>
      <c r="C221" s="25" t="str">
        <f t="shared" ca="1" si="38"/>
        <v/>
      </c>
      <c r="D221" s="26" t="str">
        <f t="shared" ca="1" si="39"/>
        <v/>
      </c>
      <c r="E221" s="53" t="str">
        <f t="shared" ca="1" si="36"/>
        <v/>
      </c>
      <c r="F221" s="25" t="str">
        <f t="shared" ca="1" si="40"/>
        <v/>
      </c>
      <c r="G221" s="26" t="str">
        <f t="shared" ca="1" si="41"/>
        <v/>
      </c>
      <c r="H221" s="53" t="str">
        <f t="shared" ca="1" si="42"/>
        <v/>
      </c>
      <c r="I221" s="25" t="str">
        <f t="shared" ca="1" si="43"/>
        <v/>
      </c>
      <c r="J221" s="26"/>
      <c r="K221" s="114"/>
      <c r="L221" s="55" t="str">
        <f ca="1">IF(ISERROR(B221-2),"",C221+D221-F221-G221+I221+J221+SUM($K$14:K221))</f>
        <v/>
      </c>
      <c r="V221" s="52" t="str">
        <f t="shared" ca="1" si="33"/>
        <v/>
      </c>
      <c r="W221" s="97" t="str">
        <f t="shared" ca="1" si="34"/>
        <v/>
      </c>
    </row>
    <row r="222" spans="1:23" x14ac:dyDescent="0.25">
      <c r="A222" s="102" t="str">
        <f t="shared" ca="1" si="37"/>
        <v/>
      </c>
      <c r="B222" s="53" t="str">
        <f t="shared" ca="1" si="35"/>
        <v/>
      </c>
      <c r="C222" s="25" t="str">
        <f t="shared" ca="1" si="38"/>
        <v/>
      </c>
      <c r="D222" s="26" t="str">
        <f t="shared" ca="1" si="39"/>
        <v/>
      </c>
      <c r="E222" s="53" t="str">
        <f t="shared" ca="1" si="36"/>
        <v/>
      </c>
      <c r="F222" s="25" t="str">
        <f t="shared" ca="1" si="40"/>
        <v/>
      </c>
      <c r="G222" s="26" t="str">
        <f t="shared" ca="1" si="41"/>
        <v/>
      </c>
      <c r="H222" s="53" t="str">
        <f t="shared" ca="1" si="42"/>
        <v/>
      </c>
      <c r="I222" s="25" t="str">
        <f t="shared" ca="1" si="43"/>
        <v/>
      </c>
      <c r="J222" s="26"/>
      <c r="K222" s="114"/>
      <c r="L222" s="55" t="str">
        <f ca="1">IF(ISERROR(B222-2),"",C222+D222-F222-G222+I222+J222+SUM($K$14:K222))</f>
        <v/>
      </c>
      <c r="V222" s="52" t="str">
        <f t="shared" ca="1" si="33"/>
        <v/>
      </c>
      <c r="W222" s="97" t="str">
        <f t="shared" ca="1" si="34"/>
        <v/>
      </c>
    </row>
    <row r="223" spans="1:23" x14ac:dyDescent="0.25">
      <c r="A223" s="102" t="str">
        <f t="shared" ca="1" si="37"/>
        <v/>
      </c>
      <c r="B223" s="53" t="str">
        <f t="shared" ca="1" si="35"/>
        <v/>
      </c>
      <c r="C223" s="25" t="str">
        <f t="shared" ca="1" si="38"/>
        <v/>
      </c>
      <c r="D223" s="26" t="str">
        <f t="shared" ca="1" si="39"/>
        <v/>
      </c>
      <c r="E223" s="53" t="str">
        <f t="shared" ca="1" si="36"/>
        <v/>
      </c>
      <c r="F223" s="25" t="str">
        <f t="shared" ca="1" si="40"/>
        <v/>
      </c>
      <c r="G223" s="26" t="str">
        <f t="shared" ca="1" si="41"/>
        <v/>
      </c>
      <c r="H223" s="53" t="str">
        <f t="shared" ca="1" si="42"/>
        <v/>
      </c>
      <c r="I223" s="25" t="str">
        <f t="shared" ca="1" si="43"/>
        <v/>
      </c>
      <c r="J223" s="26"/>
      <c r="K223" s="114"/>
      <c r="L223" s="55" t="str">
        <f ca="1">IF(ISERROR(B223-2),"",C223+D223-F223-G223+I223+J223+SUM($K$14:K223))</f>
        <v/>
      </c>
      <c r="V223" s="52" t="str">
        <f t="shared" ca="1" si="33"/>
        <v/>
      </c>
      <c r="W223" s="97" t="str">
        <f t="shared" ca="1" si="34"/>
        <v/>
      </c>
    </row>
    <row r="224" spans="1:23" x14ac:dyDescent="0.25">
      <c r="A224" s="102" t="str">
        <f t="shared" ca="1" si="37"/>
        <v/>
      </c>
      <c r="B224" s="53" t="str">
        <f t="shared" ca="1" si="35"/>
        <v/>
      </c>
      <c r="C224" s="25" t="str">
        <f t="shared" ca="1" si="38"/>
        <v/>
      </c>
      <c r="D224" s="26" t="str">
        <f t="shared" ca="1" si="39"/>
        <v/>
      </c>
      <c r="E224" s="53" t="str">
        <f t="shared" ca="1" si="36"/>
        <v/>
      </c>
      <c r="F224" s="25" t="str">
        <f t="shared" ca="1" si="40"/>
        <v/>
      </c>
      <c r="G224" s="26" t="str">
        <f t="shared" ca="1" si="41"/>
        <v/>
      </c>
      <c r="H224" s="53" t="str">
        <f t="shared" ca="1" si="42"/>
        <v/>
      </c>
      <c r="I224" s="25" t="str">
        <f t="shared" ca="1" si="43"/>
        <v/>
      </c>
      <c r="J224" s="26"/>
      <c r="K224" s="114"/>
      <c r="L224" s="55" t="str">
        <f ca="1">IF(ISERROR(B224-2),"",C224+D224-F224-G224+I224+J224+SUM($K$14:K224))</f>
        <v/>
      </c>
      <c r="V224" s="52" t="str">
        <f t="shared" ca="1" si="33"/>
        <v/>
      </c>
      <c r="W224" s="97" t="str">
        <f t="shared" ca="1" si="34"/>
        <v/>
      </c>
    </row>
    <row r="225" spans="1:23" x14ac:dyDescent="0.25">
      <c r="A225" s="102" t="str">
        <f t="shared" ca="1" si="37"/>
        <v/>
      </c>
      <c r="B225" s="53" t="str">
        <f t="shared" ca="1" si="35"/>
        <v/>
      </c>
      <c r="C225" s="25" t="str">
        <f t="shared" ca="1" si="38"/>
        <v/>
      </c>
      <c r="D225" s="26" t="str">
        <f t="shared" ca="1" si="39"/>
        <v/>
      </c>
      <c r="E225" s="53" t="str">
        <f t="shared" ca="1" si="36"/>
        <v/>
      </c>
      <c r="F225" s="25" t="str">
        <f t="shared" ca="1" si="40"/>
        <v/>
      </c>
      <c r="G225" s="26" t="str">
        <f t="shared" ca="1" si="41"/>
        <v/>
      </c>
      <c r="H225" s="53" t="str">
        <f t="shared" ca="1" si="42"/>
        <v/>
      </c>
      <c r="I225" s="25" t="str">
        <f t="shared" ca="1" si="43"/>
        <v/>
      </c>
      <c r="J225" s="26"/>
      <c r="K225" s="114"/>
      <c r="L225" s="55" t="str">
        <f ca="1">IF(ISERROR(B225-2),"",C225+D225-F225-G225+I225+J225+SUM($K$14:K225))</f>
        <v/>
      </c>
      <c r="V225" s="52" t="str">
        <f t="shared" ca="1" si="33"/>
        <v/>
      </c>
      <c r="W225" s="97" t="str">
        <f t="shared" ca="1" si="34"/>
        <v/>
      </c>
    </row>
    <row r="226" spans="1:23" x14ac:dyDescent="0.25">
      <c r="A226" s="102" t="str">
        <f t="shared" ca="1" si="37"/>
        <v/>
      </c>
      <c r="B226" s="53" t="str">
        <f t="shared" ca="1" si="35"/>
        <v/>
      </c>
      <c r="C226" s="25" t="str">
        <f t="shared" ca="1" si="38"/>
        <v/>
      </c>
      <c r="D226" s="26" t="str">
        <f t="shared" ca="1" si="39"/>
        <v/>
      </c>
      <c r="E226" s="53" t="str">
        <f t="shared" ca="1" si="36"/>
        <v/>
      </c>
      <c r="F226" s="25" t="str">
        <f t="shared" ca="1" si="40"/>
        <v/>
      </c>
      <c r="G226" s="26" t="str">
        <f t="shared" ca="1" si="41"/>
        <v/>
      </c>
      <c r="H226" s="53" t="str">
        <f t="shared" ca="1" si="42"/>
        <v/>
      </c>
      <c r="I226" s="25" t="str">
        <f t="shared" ca="1" si="43"/>
        <v/>
      </c>
      <c r="J226" s="26"/>
      <c r="K226" s="114"/>
      <c r="L226" s="55" t="str">
        <f ca="1">IF(ISERROR(B226-2),"",C226+D226-F226-G226+I226+J226+SUM($K$14:K226))</f>
        <v/>
      </c>
      <c r="V226" s="52" t="str">
        <f t="shared" ca="1" si="33"/>
        <v/>
      </c>
      <c r="W226" s="97" t="str">
        <f t="shared" ca="1" si="34"/>
        <v/>
      </c>
    </row>
    <row r="227" spans="1:23" x14ac:dyDescent="0.25">
      <c r="A227" s="102" t="str">
        <f t="shared" ca="1" si="37"/>
        <v/>
      </c>
      <c r="B227" s="53" t="str">
        <f t="shared" ca="1" si="35"/>
        <v/>
      </c>
      <c r="C227" s="25" t="str">
        <f t="shared" ca="1" si="38"/>
        <v/>
      </c>
      <c r="D227" s="26" t="str">
        <f t="shared" ca="1" si="39"/>
        <v/>
      </c>
      <c r="E227" s="53" t="str">
        <f t="shared" ca="1" si="36"/>
        <v/>
      </c>
      <c r="F227" s="25" t="str">
        <f t="shared" ca="1" si="40"/>
        <v/>
      </c>
      <c r="G227" s="26" t="str">
        <f t="shared" ca="1" si="41"/>
        <v/>
      </c>
      <c r="H227" s="53" t="str">
        <f t="shared" ca="1" si="42"/>
        <v/>
      </c>
      <c r="I227" s="25" t="str">
        <f t="shared" ca="1" si="43"/>
        <v/>
      </c>
      <c r="J227" s="26"/>
      <c r="K227" s="114"/>
      <c r="L227" s="55" t="str">
        <f ca="1">IF(ISERROR(B227-2),"",C227+D227-F227-G227+I227+J227+SUM($K$14:K227))</f>
        <v/>
      </c>
      <c r="V227" s="52" t="str">
        <f t="shared" ca="1" si="33"/>
        <v/>
      </c>
      <c r="W227" s="97" t="str">
        <f t="shared" ca="1" si="34"/>
        <v/>
      </c>
    </row>
    <row r="228" spans="1:23" x14ac:dyDescent="0.25">
      <c r="A228" s="102" t="str">
        <f t="shared" ca="1" si="37"/>
        <v/>
      </c>
      <c r="B228" s="53" t="str">
        <f t="shared" ca="1" si="35"/>
        <v/>
      </c>
      <c r="C228" s="25" t="str">
        <f t="shared" ca="1" si="38"/>
        <v/>
      </c>
      <c r="D228" s="26" t="str">
        <f t="shared" ca="1" si="39"/>
        <v/>
      </c>
      <c r="E228" s="53" t="str">
        <f t="shared" ca="1" si="36"/>
        <v/>
      </c>
      <c r="F228" s="25" t="str">
        <f t="shared" ca="1" si="40"/>
        <v/>
      </c>
      <c r="G228" s="26" t="str">
        <f t="shared" ca="1" si="41"/>
        <v/>
      </c>
      <c r="H228" s="53" t="str">
        <f t="shared" ca="1" si="42"/>
        <v/>
      </c>
      <c r="I228" s="25" t="str">
        <f t="shared" ca="1" si="43"/>
        <v/>
      </c>
      <c r="J228" s="26"/>
      <c r="K228" s="114"/>
      <c r="L228" s="55" t="str">
        <f ca="1">IF(ISERROR(B228-2),"",C228+D228-F228-G228+I228+J228+SUM($K$14:K228))</f>
        <v/>
      </c>
      <c r="V228" s="52" t="str">
        <f t="shared" ca="1" si="33"/>
        <v/>
      </c>
      <c r="W228" s="97" t="str">
        <f t="shared" ca="1" si="34"/>
        <v/>
      </c>
    </row>
    <row r="229" spans="1:23" x14ac:dyDescent="0.25">
      <c r="A229" s="102" t="str">
        <f t="shared" ca="1" si="37"/>
        <v/>
      </c>
      <c r="B229" s="53" t="str">
        <f t="shared" ca="1" si="35"/>
        <v/>
      </c>
      <c r="C229" s="25" t="str">
        <f t="shared" ca="1" si="38"/>
        <v/>
      </c>
      <c r="D229" s="26" t="str">
        <f t="shared" ca="1" si="39"/>
        <v/>
      </c>
      <c r="E229" s="53" t="str">
        <f t="shared" ca="1" si="36"/>
        <v/>
      </c>
      <c r="F229" s="25" t="str">
        <f t="shared" ca="1" si="40"/>
        <v/>
      </c>
      <c r="G229" s="26" t="str">
        <f t="shared" ca="1" si="41"/>
        <v/>
      </c>
      <c r="H229" s="53" t="str">
        <f t="shared" ca="1" si="42"/>
        <v/>
      </c>
      <c r="I229" s="25" t="str">
        <f t="shared" ca="1" si="43"/>
        <v/>
      </c>
      <c r="J229" s="26"/>
      <c r="K229" s="114"/>
      <c r="L229" s="55" t="str">
        <f ca="1">IF(ISERROR(B229-2),"",C229+D229-F229-G229+I229+J229+SUM($K$14:K229))</f>
        <v/>
      </c>
      <c r="V229" s="52" t="str">
        <f t="shared" ca="1" si="33"/>
        <v/>
      </c>
      <c r="W229" s="97" t="str">
        <f t="shared" ca="1" si="34"/>
        <v/>
      </c>
    </row>
    <row r="230" spans="1:23" x14ac:dyDescent="0.25">
      <c r="A230" s="102" t="str">
        <f t="shared" ca="1" si="37"/>
        <v/>
      </c>
      <c r="B230" s="53" t="str">
        <f t="shared" ca="1" si="35"/>
        <v/>
      </c>
      <c r="C230" s="25" t="str">
        <f t="shared" ca="1" si="38"/>
        <v/>
      </c>
      <c r="D230" s="26" t="str">
        <f t="shared" ca="1" si="39"/>
        <v/>
      </c>
      <c r="E230" s="53" t="str">
        <f t="shared" ca="1" si="36"/>
        <v/>
      </c>
      <c r="F230" s="25" t="str">
        <f t="shared" ca="1" si="40"/>
        <v/>
      </c>
      <c r="G230" s="26" t="str">
        <f t="shared" ca="1" si="41"/>
        <v/>
      </c>
      <c r="H230" s="53" t="str">
        <f t="shared" ca="1" si="42"/>
        <v/>
      </c>
      <c r="I230" s="25" t="str">
        <f t="shared" ca="1" si="43"/>
        <v/>
      </c>
      <c r="J230" s="26"/>
      <c r="K230" s="114"/>
      <c r="L230" s="55" t="str">
        <f ca="1">IF(ISERROR(B230-2),"",C230+D230-F230-G230+I230+J230+SUM($K$14:K230))</f>
        <v/>
      </c>
      <c r="V230" s="52" t="str">
        <f t="shared" ca="1" si="33"/>
        <v/>
      </c>
      <c r="W230" s="97" t="str">
        <f t="shared" ca="1" si="34"/>
        <v/>
      </c>
    </row>
    <row r="231" spans="1:23" x14ac:dyDescent="0.25">
      <c r="A231" s="102" t="str">
        <f t="shared" ca="1" si="37"/>
        <v/>
      </c>
      <c r="B231" s="53" t="str">
        <f t="shared" ca="1" si="35"/>
        <v/>
      </c>
      <c r="C231" s="25" t="str">
        <f t="shared" ca="1" si="38"/>
        <v/>
      </c>
      <c r="D231" s="26" t="str">
        <f t="shared" ca="1" si="39"/>
        <v/>
      </c>
      <c r="E231" s="53" t="str">
        <f t="shared" ca="1" si="36"/>
        <v/>
      </c>
      <c r="F231" s="25" t="str">
        <f t="shared" ca="1" si="40"/>
        <v/>
      </c>
      <c r="G231" s="26" t="str">
        <f t="shared" ca="1" si="41"/>
        <v/>
      </c>
      <c r="H231" s="53" t="str">
        <f t="shared" ca="1" si="42"/>
        <v/>
      </c>
      <c r="I231" s="25" t="str">
        <f t="shared" ca="1" si="43"/>
        <v/>
      </c>
      <c r="J231" s="26"/>
      <c r="K231" s="114"/>
      <c r="L231" s="55" t="str">
        <f ca="1">IF(ISERROR(B231-2),"",C231+D231-F231-G231+I231+J231+SUM($K$14:K231))</f>
        <v/>
      </c>
      <c r="V231" s="52" t="str">
        <f t="shared" ca="1" si="33"/>
        <v/>
      </c>
      <c r="W231" s="97" t="str">
        <f t="shared" ca="1" si="34"/>
        <v/>
      </c>
    </row>
    <row r="232" spans="1:23" x14ac:dyDescent="0.25">
      <c r="A232" s="102" t="str">
        <f t="shared" ca="1" si="37"/>
        <v/>
      </c>
      <c r="B232" s="53" t="str">
        <f t="shared" ca="1" si="35"/>
        <v/>
      </c>
      <c r="C232" s="25" t="str">
        <f t="shared" ca="1" si="38"/>
        <v/>
      </c>
      <c r="D232" s="26" t="str">
        <f t="shared" ca="1" si="39"/>
        <v/>
      </c>
      <c r="E232" s="53" t="str">
        <f t="shared" ca="1" si="36"/>
        <v/>
      </c>
      <c r="F232" s="25" t="str">
        <f t="shared" ca="1" si="40"/>
        <v/>
      </c>
      <c r="G232" s="26" t="str">
        <f t="shared" ca="1" si="41"/>
        <v/>
      </c>
      <c r="H232" s="53" t="str">
        <f t="shared" ca="1" si="42"/>
        <v/>
      </c>
      <c r="I232" s="25" t="str">
        <f t="shared" ca="1" si="43"/>
        <v/>
      </c>
      <c r="J232" s="26"/>
      <c r="K232" s="114"/>
      <c r="L232" s="55" t="str">
        <f ca="1">IF(ISERROR(B232-2),"",C232+D232-F232-G232+I232+J232+SUM($K$14:K232))</f>
        <v/>
      </c>
      <c r="V232" s="52" t="str">
        <f t="shared" ca="1" si="33"/>
        <v/>
      </c>
      <c r="W232" s="97" t="str">
        <f t="shared" ca="1" si="34"/>
        <v/>
      </c>
    </row>
    <row r="233" spans="1:23" x14ac:dyDescent="0.25">
      <c r="A233" s="102" t="str">
        <f t="shared" ca="1" si="37"/>
        <v/>
      </c>
      <c r="B233" s="53" t="str">
        <f t="shared" ca="1" si="35"/>
        <v/>
      </c>
      <c r="C233" s="25" t="str">
        <f t="shared" ca="1" si="38"/>
        <v/>
      </c>
      <c r="D233" s="26" t="str">
        <f t="shared" ca="1" si="39"/>
        <v/>
      </c>
      <c r="E233" s="53" t="str">
        <f t="shared" ca="1" si="36"/>
        <v/>
      </c>
      <c r="F233" s="25" t="str">
        <f t="shared" ca="1" si="40"/>
        <v/>
      </c>
      <c r="G233" s="26" t="str">
        <f t="shared" ca="1" si="41"/>
        <v/>
      </c>
      <c r="H233" s="53" t="str">
        <f t="shared" ca="1" si="42"/>
        <v/>
      </c>
      <c r="I233" s="25" t="str">
        <f t="shared" ca="1" si="43"/>
        <v/>
      </c>
      <c r="J233" s="26"/>
      <c r="K233" s="114"/>
      <c r="L233" s="55" t="str">
        <f ca="1">IF(ISERROR(B233-2),"",C233+D233-F233-G233+I233+J233+SUM($K$14:K233))</f>
        <v/>
      </c>
      <c r="V233" s="52" t="str">
        <f t="shared" ca="1" si="33"/>
        <v/>
      </c>
      <c r="W233" s="97" t="str">
        <f t="shared" ca="1" si="34"/>
        <v/>
      </c>
    </row>
    <row r="234" spans="1:23" x14ac:dyDescent="0.25">
      <c r="A234" s="102" t="str">
        <f t="shared" ca="1" si="37"/>
        <v/>
      </c>
      <c r="B234" s="53" t="str">
        <f t="shared" ca="1" si="35"/>
        <v/>
      </c>
      <c r="C234" s="25" t="str">
        <f t="shared" ca="1" si="38"/>
        <v/>
      </c>
      <c r="D234" s="26" t="str">
        <f t="shared" ca="1" si="39"/>
        <v/>
      </c>
      <c r="E234" s="53" t="str">
        <f t="shared" ca="1" si="36"/>
        <v/>
      </c>
      <c r="F234" s="25" t="str">
        <f t="shared" ca="1" si="40"/>
        <v/>
      </c>
      <c r="G234" s="26" t="str">
        <f t="shared" ca="1" si="41"/>
        <v/>
      </c>
      <c r="H234" s="53" t="str">
        <f t="shared" ca="1" si="42"/>
        <v/>
      </c>
      <c r="I234" s="25" t="str">
        <f t="shared" ca="1" si="43"/>
        <v/>
      </c>
      <c r="J234" s="26"/>
      <c r="K234" s="114"/>
      <c r="L234" s="55" t="str">
        <f ca="1">IF(ISERROR(B234-2),"",C234+D234-F234-G234+I234+J234+SUM($K$14:K234))</f>
        <v/>
      </c>
      <c r="V234" s="52" t="str">
        <f t="shared" ca="1" si="33"/>
        <v/>
      </c>
      <c r="W234" s="97" t="str">
        <f t="shared" ca="1" si="34"/>
        <v/>
      </c>
    </row>
    <row r="235" spans="1:23" x14ac:dyDescent="0.25">
      <c r="A235" s="102" t="str">
        <f t="shared" ca="1" si="37"/>
        <v/>
      </c>
      <c r="B235" s="53" t="str">
        <f t="shared" ca="1" si="35"/>
        <v/>
      </c>
      <c r="C235" s="25" t="str">
        <f t="shared" ca="1" si="38"/>
        <v/>
      </c>
      <c r="D235" s="26" t="str">
        <f t="shared" ca="1" si="39"/>
        <v/>
      </c>
      <c r="E235" s="53" t="str">
        <f t="shared" ca="1" si="36"/>
        <v/>
      </c>
      <c r="F235" s="25" t="str">
        <f t="shared" ca="1" si="40"/>
        <v/>
      </c>
      <c r="G235" s="26" t="str">
        <f t="shared" ca="1" si="41"/>
        <v/>
      </c>
      <c r="H235" s="53" t="str">
        <f t="shared" ca="1" si="42"/>
        <v/>
      </c>
      <c r="I235" s="25" t="str">
        <f t="shared" ca="1" si="43"/>
        <v/>
      </c>
      <c r="J235" s="26"/>
      <c r="K235" s="114"/>
      <c r="L235" s="55" t="str">
        <f ca="1">IF(ISERROR(B235-2),"",C235+D235-F235-G235+I235+J235+SUM($K$14:K235))</f>
        <v/>
      </c>
      <c r="V235" s="52" t="str">
        <f t="shared" ca="1" si="33"/>
        <v/>
      </c>
      <c r="W235" s="97" t="str">
        <f t="shared" ca="1" si="34"/>
        <v/>
      </c>
    </row>
    <row r="236" spans="1:23" x14ac:dyDescent="0.25">
      <c r="A236" s="102" t="str">
        <f t="shared" ca="1" si="37"/>
        <v/>
      </c>
      <c r="B236" s="53" t="str">
        <f t="shared" ca="1" si="35"/>
        <v/>
      </c>
      <c r="C236" s="25" t="str">
        <f t="shared" ca="1" si="38"/>
        <v/>
      </c>
      <c r="D236" s="26" t="str">
        <f t="shared" ca="1" si="39"/>
        <v/>
      </c>
      <c r="E236" s="53" t="str">
        <f t="shared" ca="1" si="36"/>
        <v/>
      </c>
      <c r="F236" s="25" t="str">
        <f t="shared" ca="1" si="40"/>
        <v/>
      </c>
      <c r="G236" s="26" t="str">
        <f t="shared" ca="1" si="41"/>
        <v/>
      </c>
      <c r="H236" s="53" t="str">
        <f t="shared" ca="1" si="42"/>
        <v/>
      </c>
      <c r="I236" s="25" t="str">
        <f t="shared" ca="1" si="43"/>
        <v/>
      </c>
      <c r="J236" s="26"/>
      <c r="K236" s="114"/>
      <c r="L236" s="55" t="str">
        <f ca="1">IF(ISERROR(B236-2),"",C236+D236-F236-G236+I236+J236+SUM($K$14:K236))</f>
        <v/>
      </c>
      <c r="V236" s="52" t="str">
        <f t="shared" ca="1" si="33"/>
        <v/>
      </c>
      <c r="W236" s="97" t="str">
        <f t="shared" ca="1" si="34"/>
        <v/>
      </c>
    </row>
    <row r="237" spans="1:23" x14ac:dyDescent="0.25">
      <c r="A237" s="102" t="str">
        <f t="shared" ca="1" si="37"/>
        <v/>
      </c>
      <c r="B237" s="53" t="str">
        <f t="shared" ca="1" si="35"/>
        <v/>
      </c>
      <c r="C237" s="25" t="str">
        <f t="shared" ca="1" si="38"/>
        <v/>
      </c>
      <c r="D237" s="26" t="str">
        <f t="shared" ca="1" si="39"/>
        <v/>
      </c>
      <c r="E237" s="53" t="str">
        <f t="shared" ca="1" si="36"/>
        <v/>
      </c>
      <c r="F237" s="25" t="str">
        <f t="shared" ca="1" si="40"/>
        <v/>
      </c>
      <c r="G237" s="26" t="str">
        <f t="shared" ca="1" si="41"/>
        <v/>
      </c>
      <c r="H237" s="53" t="str">
        <f t="shared" ca="1" si="42"/>
        <v/>
      </c>
      <c r="I237" s="25" t="str">
        <f t="shared" ca="1" si="43"/>
        <v/>
      </c>
      <c r="J237" s="26"/>
      <c r="K237" s="114"/>
      <c r="L237" s="55" t="str">
        <f ca="1">IF(ISERROR(B237-2),"",C237+D237-F237-G237+I237+J237+SUM($K$14:K237))</f>
        <v/>
      </c>
      <c r="V237" s="52" t="str">
        <f t="shared" ca="1" si="33"/>
        <v/>
      </c>
      <c r="W237" s="97" t="str">
        <f t="shared" ca="1" si="34"/>
        <v/>
      </c>
    </row>
    <row r="238" spans="1:23" x14ac:dyDescent="0.25">
      <c r="A238" s="102" t="str">
        <f t="shared" ca="1" si="37"/>
        <v/>
      </c>
      <c r="B238" s="53" t="str">
        <f t="shared" ca="1" si="35"/>
        <v/>
      </c>
      <c r="C238" s="25" t="str">
        <f t="shared" ca="1" si="38"/>
        <v/>
      </c>
      <c r="D238" s="26" t="str">
        <f t="shared" ca="1" si="39"/>
        <v/>
      </c>
      <c r="E238" s="53" t="str">
        <f t="shared" ca="1" si="36"/>
        <v/>
      </c>
      <c r="F238" s="25" t="str">
        <f t="shared" ca="1" si="40"/>
        <v/>
      </c>
      <c r="G238" s="26" t="str">
        <f t="shared" ca="1" si="41"/>
        <v/>
      </c>
      <c r="H238" s="53" t="str">
        <f t="shared" ca="1" si="42"/>
        <v/>
      </c>
      <c r="I238" s="25" t="str">
        <f t="shared" ca="1" si="43"/>
        <v/>
      </c>
      <c r="J238" s="26"/>
      <c r="K238" s="114"/>
      <c r="L238" s="55" t="str">
        <f ca="1">IF(ISERROR(B238-2),"",C238+D238-F238-G238+I238+J238+SUM($K$14:K238))</f>
        <v/>
      </c>
      <c r="V238" s="52" t="str">
        <f t="shared" ca="1" si="33"/>
        <v/>
      </c>
      <c r="W238" s="97" t="str">
        <f t="shared" ca="1" si="34"/>
        <v/>
      </c>
    </row>
    <row r="239" spans="1:23" x14ac:dyDescent="0.25">
      <c r="A239" s="102" t="str">
        <f t="shared" ca="1" si="37"/>
        <v/>
      </c>
      <c r="B239" s="53" t="str">
        <f t="shared" ca="1" si="35"/>
        <v/>
      </c>
      <c r="C239" s="25" t="str">
        <f t="shared" ca="1" si="38"/>
        <v/>
      </c>
      <c r="D239" s="26" t="str">
        <f t="shared" ca="1" si="39"/>
        <v/>
      </c>
      <c r="E239" s="53" t="str">
        <f t="shared" ca="1" si="36"/>
        <v/>
      </c>
      <c r="F239" s="25" t="str">
        <f t="shared" ca="1" si="40"/>
        <v/>
      </c>
      <c r="G239" s="26" t="str">
        <f t="shared" ca="1" si="41"/>
        <v/>
      </c>
      <c r="H239" s="53" t="str">
        <f t="shared" ca="1" si="42"/>
        <v/>
      </c>
      <c r="I239" s="25" t="str">
        <f t="shared" ca="1" si="43"/>
        <v/>
      </c>
      <c r="J239" s="26"/>
      <c r="K239" s="114"/>
      <c r="L239" s="55" t="str">
        <f ca="1">IF(ISERROR(B239-2),"",C239+D239-F239-G239+I239+J239+SUM($K$14:K239))</f>
        <v/>
      </c>
      <c r="V239" s="52" t="str">
        <f t="shared" ca="1" si="33"/>
        <v/>
      </c>
      <c r="W239" s="97" t="str">
        <f t="shared" ca="1" si="34"/>
        <v/>
      </c>
    </row>
    <row r="240" spans="1:23" x14ac:dyDescent="0.25">
      <c r="A240" s="102" t="str">
        <f t="shared" ca="1" si="37"/>
        <v/>
      </c>
      <c r="B240" s="53" t="str">
        <f t="shared" ca="1" si="35"/>
        <v/>
      </c>
      <c r="C240" s="25" t="str">
        <f t="shared" ca="1" si="38"/>
        <v/>
      </c>
      <c r="D240" s="26" t="str">
        <f t="shared" ca="1" si="39"/>
        <v/>
      </c>
      <c r="E240" s="53" t="str">
        <f t="shared" ca="1" si="36"/>
        <v/>
      </c>
      <c r="F240" s="25" t="str">
        <f t="shared" ca="1" si="40"/>
        <v/>
      </c>
      <c r="G240" s="26" t="str">
        <f t="shared" ca="1" si="41"/>
        <v/>
      </c>
      <c r="H240" s="53" t="str">
        <f t="shared" ca="1" si="42"/>
        <v/>
      </c>
      <c r="I240" s="25" t="str">
        <f t="shared" ca="1" si="43"/>
        <v/>
      </c>
      <c r="J240" s="26"/>
      <c r="K240" s="114"/>
      <c r="L240" s="55" t="str">
        <f ca="1">IF(ISERROR(B240-2),"",C240+D240-F240-G240+I240+J240+SUM($K$14:K240))</f>
        <v/>
      </c>
      <c r="V240" s="52" t="str">
        <f t="shared" ca="1" si="33"/>
        <v/>
      </c>
      <c r="W240" s="97" t="str">
        <f t="shared" ca="1" si="34"/>
        <v/>
      </c>
    </row>
    <row r="241" spans="1:23" x14ac:dyDescent="0.25">
      <c r="A241" s="102" t="str">
        <f t="shared" ca="1" si="37"/>
        <v/>
      </c>
      <c r="B241" s="53" t="str">
        <f t="shared" ca="1" si="35"/>
        <v/>
      </c>
      <c r="C241" s="25" t="str">
        <f t="shared" ca="1" si="38"/>
        <v/>
      </c>
      <c r="D241" s="26" t="str">
        <f t="shared" ca="1" si="39"/>
        <v/>
      </c>
      <c r="E241" s="53" t="str">
        <f t="shared" ca="1" si="36"/>
        <v/>
      </c>
      <c r="F241" s="25" t="str">
        <f t="shared" ca="1" si="40"/>
        <v/>
      </c>
      <c r="G241" s="26" t="str">
        <f t="shared" ca="1" si="41"/>
        <v/>
      </c>
      <c r="H241" s="53" t="str">
        <f t="shared" ca="1" si="42"/>
        <v/>
      </c>
      <c r="I241" s="25" t="str">
        <f t="shared" ca="1" si="43"/>
        <v/>
      </c>
      <c r="J241" s="26"/>
      <c r="K241" s="114"/>
      <c r="L241" s="55" t="str">
        <f ca="1">IF(ISERROR(B241-2),"",C241+D241-F241-G241+I241+J241+SUM($K$14:K241))</f>
        <v/>
      </c>
      <c r="V241" s="52" t="str">
        <f t="shared" ca="1" si="33"/>
        <v/>
      </c>
      <c r="W241" s="97" t="str">
        <f t="shared" ca="1" si="34"/>
        <v/>
      </c>
    </row>
    <row r="242" spans="1:23" x14ac:dyDescent="0.25">
      <c r="A242" s="102" t="str">
        <f t="shared" ca="1" si="37"/>
        <v/>
      </c>
      <c r="B242" s="53" t="str">
        <f t="shared" ca="1" si="35"/>
        <v/>
      </c>
      <c r="C242" s="25" t="str">
        <f t="shared" ca="1" si="38"/>
        <v/>
      </c>
      <c r="D242" s="26" t="str">
        <f t="shared" ca="1" si="39"/>
        <v/>
      </c>
      <c r="E242" s="53" t="str">
        <f t="shared" ca="1" si="36"/>
        <v/>
      </c>
      <c r="F242" s="25" t="str">
        <f t="shared" ca="1" si="40"/>
        <v/>
      </c>
      <c r="G242" s="26" t="str">
        <f t="shared" ca="1" si="41"/>
        <v/>
      </c>
      <c r="H242" s="53" t="str">
        <f t="shared" ca="1" si="42"/>
        <v/>
      </c>
      <c r="I242" s="25" t="str">
        <f t="shared" ca="1" si="43"/>
        <v/>
      </c>
      <c r="J242" s="26"/>
      <c r="K242" s="114"/>
      <c r="L242" s="55" t="str">
        <f ca="1">IF(ISERROR(B242-2),"",C242+D242-F242-G242+I242+J242+SUM($K$14:K242))</f>
        <v/>
      </c>
      <c r="V242" s="52" t="str">
        <f t="shared" ca="1" si="33"/>
        <v/>
      </c>
      <c r="W242" s="97" t="str">
        <f t="shared" ca="1" si="34"/>
        <v/>
      </c>
    </row>
    <row r="243" spans="1:23" x14ac:dyDescent="0.25">
      <c r="A243" s="102" t="str">
        <f t="shared" ca="1" si="37"/>
        <v/>
      </c>
      <c r="B243" s="53" t="str">
        <f t="shared" ca="1" si="35"/>
        <v/>
      </c>
      <c r="C243" s="25" t="str">
        <f t="shared" ca="1" si="38"/>
        <v/>
      </c>
      <c r="D243" s="26" t="str">
        <f t="shared" ca="1" si="39"/>
        <v/>
      </c>
      <c r="E243" s="53" t="str">
        <f t="shared" ca="1" si="36"/>
        <v/>
      </c>
      <c r="F243" s="25" t="str">
        <f t="shared" ca="1" si="40"/>
        <v/>
      </c>
      <c r="G243" s="26" t="str">
        <f t="shared" ca="1" si="41"/>
        <v/>
      </c>
      <c r="H243" s="53" t="str">
        <f t="shared" ca="1" si="42"/>
        <v/>
      </c>
      <c r="I243" s="25" t="str">
        <f t="shared" ca="1" si="43"/>
        <v/>
      </c>
      <c r="J243" s="26"/>
      <c r="K243" s="114"/>
      <c r="L243" s="55" t="str">
        <f ca="1">IF(ISERROR(B243-2),"",C243+D243-F243-G243+I243+J243+SUM($K$14:K243))</f>
        <v/>
      </c>
      <c r="V243" s="52" t="str">
        <f t="shared" ca="1" si="33"/>
        <v/>
      </c>
      <c r="W243" s="97" t="str">
        <f t="shared" ca="1" si="34"/>
        <v/>
      </c>
    </row>
    <row r="244" spans="1:23" x14ac:dyDescent="0.25">
      <c r="A244" s="102" t="str">
        <f t="shared" ca="1" si="37"/>
        <v/>
      </c>
      <c r="B244" s="53" t="str">
        <f t="shared" ca="1" si="35"/>
        <v/>
      </c>
      <c r="C244" s="25" t="str">
        <f t="shared" ca="1" si="38"/>
        <v/>
      </c>
      <c r="D244" s="26" t="str">
        <f t="shared" ca="1" si="39"/>
        <v/>
      </c>
      <c r="E244" s="53" t="str">
        <f t="shared" ca="1" si="36"/>
        <v/>
      </c>
      <c r="F244" s="25" t="str">
        <f t="shared" ca="1" si="40"/>
        <v/>
      </c>
      <c r="G244" s="26" t="str">
        <f t="shared" ca="1" si="41"/>
        <v/>
      </c>
      <c r="H244" s="53" t="str">
        <f t="shared" ca="1" si="42"/>
        <v/>
      </c>
      <c r="I244" s="25" t="str">
        <f t="shared" ca="1" si="43"/>
        <v/>
      </c>
      <c r="J244" s="26"/>
      <c r="K244" s="114"/>
      <c r="L244" s="55" t="str">
        <f ca="1">IF(ISERROR(B244-2),"",C244+D244-F244-G244+I244+J244+SUM($K$14:K244))</f>
        <v/>
      </c>
      <c r="V244" s="52" t="str">
        <f t="shared" ca="1" si="33"/>
        <v/>
      </c>
      <c r="W244" s="97" t="str">
        <f t="shared" ca="1" si="34"/>
        <v/>
      </c>
    </row>
    <row r="245" spans="1:23" x14ac:dyDescent="0.25">
      <c r="A245" s="102" t="str">
        <f t="shared" ca="1" si="37"/>
        <v/>
      </c>
      <c r="B245" s="53" t="str">
        <f t="shared" ca="1" si="35"/>
        <v/>
      </c>
      <c r="C245" s="25" t="str">
        <f t="shared" ca="1" si="38"/>
        <v/>
      </c>
      <c r="D245" s="26" t="str">
        <f t="shared" ca="1" si="39"/>
        <v/>
      </c>
      <c r="E245" s="53" t="str">
        <f t="shared" ca="1" si="36"/>
        <v/>
      </c>
      <c r="F245" s="25" t="str">
        <f t="shared" ca="1" si="40"/>
        <v/>
      </c>
      <c r="G245" s="26" t="str">
        <f t="shared" ca="1" si="41"/>
        <v/>
      </c>
      <c r="H245" s="53" t="str">
        <f t="shared" ca="1" si="42"/>
        <v/>
      </c>
      <c r="I245" s="25" t="str">
        <f t="shared" ca="1" si="43"/>
        <v/>
      </c>
      <c r="J245" s="26"/>
      <c r="K245" s="114"/>
      <c r="L245" s="55" t="str">
        <f ca="1">IF(ISERROR(B245-2),"",C245+D245-F245-G245+I245+J245+SUM($K$14:K245))</f>
        <v/>
      </c>
      <c r="V245" s="52" t="str">
        <f t="shared" ca="1" si="33"/>
        <v/>
      </c>
      <c r="W245" s="97" t="str">
        <f t="shared" ca="1" si="34"/>
        <v/>
      </c>
    </row>
    <row r="246" spans="1:23" x14ac:dyDescent="0.25">
      <c r="A246" s="102" t="str">
        <f t="shared" ca="1" si="37"/>
        <v/>
      </c>
      <c r="B246" s="53" t="str">
        <f t="shared" ca="1" si="35"/>
        <v/>
      </c>
      <c r="C246" s="25" t="str">
        <f t="shared" ca="1" si="38"/>
        <v/>
      </c>
      <c r="D246" s="26" t="str">
        <f t="shared" ca="1" si="39"/>
        <v/>
      </c>
      <c r="E246" s="53" t="str">
        <f t="shared" ca="1" si="36"/>
        <v/>
      </c>
      <c r="F246" s="25" t="str">
        <f t="shared" ca="1" si="40"/>
        <v/>
      </c>
      <c r="G246" s="26" t="str">
        <f t="shared" ca="1" si="41"/>
        <v/>
      </c>
      <c r="H246" s="53" t="str">
        <f t="shared" ca="1" si="42"/>
        <v/>
      </c>
      <c r="I246" s="25" t="str">
        <f t="shared" ca="1" si="43"/>
        <v/>
      </c>
      <c r="J246" s="26"/>
      <c r="K246" s="114"/>
      <c r="L246" s="55" t="str">
        <f ca="1">IF(ISERROR(B246-2),"",C246+D246-F246-G246+I246+J246+SUM($K$14:K246))</f>
        <v/>
      </c>
      <c r="V246" s="52" t="str">
        <f t="shared" ca="1" si="33"/>
        <v/>
      </c>
      <c r="W246" s="97" t="str">
        <f t="shared" ca="1" si="34"/>
        <v/>
      </c>
    </row>
    <row r="247" spans="1:23" x14ac:dyDescent="0.25">
      <c r="A247" s="102" t="str">
        <f t="shared" ca="1" si="37"/>
        <v/>
      </c>
      <c r="B247" s="53" t="str">
        <f t="shared" ca="1" si="35"/>
        <v/>
      </c>
      <c r="C247" s="25" t="str">
        <f t="shared" ca="1" si="38"/>
        <v/>
      </c>
      <c r="D247" s="26" t="str">
        <f t="shared" ca="1" si="39"/>
        <v/>
      </c>
      <c r="E247" s="53" t="str">
        <f t="shared" ca="1" si="36"/>
        <v/>
      </c>
      <c r="F247" s="25" t="str">
        <f t="shared" ca="1" si="40"/>
        <v/>
      </c>
      <c r="G247" s="26" t="str">
        <f t="shared" ca="1" si="41"/>
        <v/>
      </c>
      <c r="H247" s="53" t="str">
        <f t="shared" ca="1" si="42"/>
        <v/>
      </c>
      <c r="I247" s="25" t="str">
        <f t="shared" ca="1" si="43"/>
        <v/>
      </c>
      <c r="J247" s="26"/>
      <c r="K247" s="114"/>
      <c r="L247" s="55" t="str">
        <f ca="1">IF(ISERROR(B247-2),"",C247+D247-F247-G247+I247+J247+SUM($K$14:K247))</f>
        <v/>
      </c>
      <c r="V247" s="52" t="str">
        <f t="shared" ca="1" si="33"/>
        <v/>
      </c>
      <c r="W247" s="97" t="str">
        <f t="shared" ca="1" si="34"/>
        <v/>
      </c>
    </row>
    <row r="248" spans="1:23" x14ac:dyDescent="0.25">
      <c r="A248" s="102" t="str">
        <f t="shared" ca="1" si="37"/>
        <v/>
      </c>
      <c r="B248" s="53" t="str">
        <f t="shared" ca="1" si="35"/>
        <v/>
      </c>
      <c r="C248" s="25" t="str">
        <f t="shared" ca="1" si="38"/>
        <v/>
      </c>
      <c r="D248" s="26" t="str">
        <f t="shared" ca="1" si="39"/>
        <v/>
      </c>
      <c r="E248" s="53" t="str">
        <f t="shared" ca="1" si="36"/>
        <v/>
      </c>
      <c r="F248" s="25" t="str">
        <f t="shared" ca="1" si="40"/>
        <v/>
      </c>
      <c r="G248" s="26" t="str">
        <f t="shared" ca="1" si="41"/>
        <v/>
      </c>
      <c r="H248" s="53" t="str">
        <f t="shared" ca="1" si="42"/>
        <v/>
      </c>
      <c r="I248" s="25" t="str">
        <f t="shared" ca="1" si="43"/>
        <v/>
      </c>
      <c r="J248" s="26"/>
      <c r="K248" s="114"/>
      <c r="L248" s="55" t="str">
        <f ca="1">IF(ISERROR(B248-2),"",C248+D248-F248-G248+I248+J248+SUM($K$14:K248))</f>
        <v/>
      </c>
      <c r="V248" s="52" t="str">
        <f t="shared" ca="1" si="33"/>
        <v/>
      </c>
      <c r="W248" s="97" t="str">
        <f t="shared" ca="1" si="34"/>
        <v/>
      </c>
    </row>
    <row r="249" spans="1:23" x14ac:dyDescent="0.25">
      <c r="A249" s="102" t="str">
        <f t="shared" ca="1" si="37"/>
        <v/>
      </c>
      <c r="B249" s="53" t="str">
        <f t="shared" ca="1" si="35"/>
        <v/>
      </c>
      <c r="C249" s="25" t="str">
        <f t="shared" ca="1" si="38"/>
        <v/>
      </c>
      <c r="D249" s="26" t="str">
        <f t="shared" ca="1" si="39"/>
        <v/>
      </c>
      <c r="E249" s="53" t="str">
        <f t="shared" ca="1" si="36"/>
        <v/>
      </c>
      <c r="F249" s="25" t="str">
        <f t="shared" ca="1" si="40"/>
        <v/>
      </c>
      <c r="G249" s="26" t="str">
        <f t="shared" ca="1" si="41"/>
        <v/>
      </c>
      <c r="H249" s="53" t="str">
        <f t="shared" ca="1" si="42"/>
        <v/>
      </c>
      <c r="I249" s="25" t="str">
        <f t="shared" ca="1" si="43"/>
        <v/>
      </c>
      <c r="J249" s="26"/>
      <c r="K249" s="114"/>
      <c r="L249" s="55" t="str">
        <f ca="1">IF(ISERROR(B249-2),"",C249+D249-F249-G249+I249+J249+SUM($K$14:K249))</f>
        <v/>
      </c>
      <c r="V249" s="52" t="str">
        <f t="shared" ca="1" si="33"/>
        <v/>
      </c>
      <c r="W249" s="97" t="str">
        <f t="shared" ca="1" si="34"/>
        <v/>
      </c>
    </row>
    <row r="250" spans="1:23" x14ac:dyDescent="0.25">
      <c r="A250" s="102" t="str">
        <f t="shared" ca="1" si="37"/>
        <v/>
      </c>
      <c r="B250" s="53" t="str">
        <f t="shared" ca="1" si="35"/>
        <v/>
      </c>
      <c r="C250" s="25" t="str">
        <f t="shared" ca="1" si="38"/>
        <v/>
      </c>
      <c r="D250" s="26" t="str">
        <f t="shared" ca="1" si="39"/>
        <v/>
      </c>
      <c r="E250" s="53" t="str">
        <f t="shared" ca="1" si="36"/>
        <v/>
      </c>
      <c r="F250" s="25" t="str">
        <f t="shared" ca="1" si="40"/>
        <v/>
      </c>
      <c r="G250" s="26" t="str">
        <f t="shared" ca="1" si="41"/>
        <v/>
      </c>
      <c r="H250" s="53" t="str">
        <f t="shared" ca="1" si="42"/>
        <v/>
      </c>
      <c r="I250" s="25" t="str">
        <f t="shared" ca="1" si="43"/>
        <v/>
      </c>
      <c r="J250" s="26"/>
      <c r="K250" s="114"/>
      <c r="L250" s="55" t="str">
        <f ca="1">IF(ISERROR(B250-2),"",C250+D250-F250-G250+I250+J250+SUM($K$14:K250))</f>
        <v/>
      </c>
      <c r="V250" s="52" t="str">
        <f t="shared" ca="1" si="33"/>
        <v/>
      </c>
      <c r="W250" s="97" t="str">
        <f t="shared" ca="1" si="34"/>
        <v/>
      </c>
    </row>
    <row r="251" spans="1:23" x14ac:dyDescent="0.25">
      <c r="A251" s="102" t="str">
        <f t="shared" ca="1" si="37"/>
        <v/>
      </c>
      <c r="B251" s="53" t="str">
        <f t="shared" ca="1" si="35"/>
        <v/>
      </c>
      <c r="C251" s="25" t="str">
        <f t="shared" ca="1" si="38"/>
        <v/>
      </c>
      <c r="D251" s="26" t="str">
        <f t="shared" ca="1" si="39"/>
        <v/>
      </c>
      <c r="E251" s="53" t="str">
        <f t="shared" ca="1" si="36"/>
        <v/>
      </c>
      <c r="F251" s="25" t="str">
        <f t="shared" ca="1" si="40"/>
        <v/>
      </c>
      <c r="G251" s="26" t="str">
        <f t="shared" ca="1" si="41"/>
        <v/>
      </c>
      <c r="H251" s="53" t="str">
        <f t="shared" ca="1" si="42"/>
        <v/>
      </c>
      <c r="I251" s="25" t="str">
        <f t="shared" ca="1" si="43"/>
        <v/>
      </c>
      <c r="J251" s="26"/>
      <c r="K251" s="114"/>
      <c r="L251" s="55" t="str">
        <f ca="1">IF(ISERROR(B251-2),"",C251+D251-F251-G251+I251+J251+SUM($K$14:K251))</f>
        <v/>
      </c>
      <c r="V251" s="52" t="str">
        <f t="shared" ca="1" si="33"/>
        <v/>
      </c>
      <c r="W251" s="97" t="str">
        <f t="shared" ca="1" si="34"/>
        <v/>
      </c>
    </row>
    <row r="252" spans="1:23" x14ac:dyDescent="0.25">
      <c r="A252" s="102" t="str">
        <f t="shared" ca="1" si="37"/>
        <v/>
      </c>
      <c r="B252" s="53" t="str">
        <f t="shared" ca="1" si="35"/>
        <v/>
      </c>
      <c r="C252" s="25" t="str">
        <f t="shared" ca="1" si="38"/>
        <v/>
      </c>
      <c r="D252" s="26" t="str">
        <f t="shared" ca="1" si="39"/>
        <v/>
      </c>
      <c r="E252" s="53" t="str">
        <f t="shared" ca="1" si="36"/>
        <v/>
      </c>
      <c r="F252" s="25" t="str">
        <f t="shared" ca="1" si="40"/>
        <v/>
      </c>
      <c r="G252" s="26" t="str">
        <f t="shared" ca="1" si="41"/>
        <v/>
      </c>
      <c r="H252" s="53" t="str">
        <f t="shared" ca="1" si="42"/>
        <v/>
      </c>
      <c r="I252" s="25" t="str">
        <f t="shared" ca="1" si="43"/>
        <v/>
      </c>
      <c r="J252" s="26"/>
      <c r="K252" s="114"/>
      <c r="L252" s="55" t="str">
        <f ca="1">IF(ISERROR(B252-2),"",C252+D252-F252-G252+I252+J252+SUM($K$14:K252))</f>
        <v/>
      </c>
      <c r="V252" s="52" t="str">
        <f t="shared" ca="1" si="33"/>
        <v/>
      </c>
      <c r="W252" s="97" t="str">
        <f t="shared" ca="1" si="34"/>
        <v/>
      </c>
    </row>
    <row r="253" spans="1:23" x14ac:dyDescent="0.25">
      <c r="A253" s="102"/>
      <c r="B253" s="53"/>
      <c r="C253" s="25"/>
      <c r="D253" s="26"/>
      <c r="E253" s="53"/>
      <c r="F253" s="25"/>
      <c r="G253" s="26"/>
      <c r="H253" s="53"/>
      <c r="I253" s="25"/>
      <c r="J253" s="26"/>
      <c r="K253" s="114"/>
      <c r="L253" s="55"/>
      <c r="V253" s="52" t="str">
        <f t="shared" ca="1" si="33"/>
        <v/>
      </c>
      <c r="W253" s="97" t="str">
        <f t="shared" ca="1" si="34"/>
        <v/>
      </c>
    </row>
    <row r="254" spans="1:23" x14ac:dyDescent="0.25">
      <c r="A254" s="102"/>
      <c r="B254" s="53"/>
      <c r="C254" s="25"/>
      <c r="D254" s="26"/>
      <c r="E254" s="53"/>
      <c r="F254" s="25"/>
      <c r="G254" s="26"/>
      <c r="H254" s="53"/>
      <c r="I254" s="25"/>
      <c r="J254" s="26"/>
      <c r="K254" s="114"/>
      <c r="L254" s="55"/>
      <c r="V254" s="52" t="str">
        <f t="shared" ca="1" si="33"/>
        <v/>
      </c>
      <c r="W254" s="97" t="str">
        <f t="shared" ca="1" si="34"/>
        <v/>
      </c>
    </row>
    <row r="255" spans="1:23" x14ac:dyDescent="0.25">
      <c r="A255" s="102"/>
      <c r="B255" s="53"/>
      <c r="C255" s="25"/>
      <c r="D255" s="26"/>
      <c r="E255" s="53"/>
      <c r="F255" s="25"/>
      <c r="G255" s="26"/>
      <c r="H255" s="53"/>
      <c r="I255" s="25"/>
      <c r="J255" s="26"/>
      <c r="K255" s="114"/>
      <c r="L255" s="55"/>
      <c r="V255" s="52" t="str">
        <f t="shared" ca="1" si="33"/>
        <v/>
      </c>
      <c r="W255" s="97" t="str">
        <f t="shared" ca="1" si="34"/>
        <v/>
      </c>
    </row>
    <row r="256" spans="1:23" x14ac:dyDescent="0.25">
      <c r="A256" s="102"/>
      <c r="B256" s="53"/>
      <c r="C256" s="25"/>
      <c r="D256" s="26"/>
      <c r="E256" s="53"/>
      <c r="F256" s="25"/>
      <c r="G256" s="26"/>
      <c r="H256" s="53"/>
      <c r="I256" s="25"/>
      <c r="J256" s="26"/>
      <c r="K256" s="114"/>
      <c r="L256" s="55"/>
      <c r="V256" s="52" t="str">
        <f t="shared" ca="1" si="33"/>
        <v/>
      </c>
      <c r="W256" s="97" t="str">
        <f t="shared" ca="1" si="34"/>
        <v/>
      </c>
    </row>
    <row r="257" spans="1:23" x14ac:dyDescent="0.25">
      <c r="A257" s="102"/>
      <c r="B257" s="53"/>
      <c r="C257" s="25"/>
      <c r="D257" s="26"/>
      <c r="E257" s="53"/>
      <c r="F257" s="25"/>
      <c r="G257" s="26"/>
      <c r="H257" s="53"/>
      <c r="I257" s="25"/>
      <c r="J257" s="26"/>
      <c r="K257" s="114"/>
      <c r="L257" s="55"/>
      <c r="V257" s="52" t="str">
        <f t="shared" ca="1" si="33"/>
        <v/>
      </c>
      <c r="W257" s="97" t="str">
        <f t="shared" ca="1" si="34"/>
        <v/>
      </c>
    </row>
    <row r="258" spans="1:23" x14ac:dyDescent="0.25">
      <c r="A258" s="102"/>
      <c r="B258" s="53"/>
      <c r="C258" s="25"/>
      <c r="D258" s="26"/>
      <c r="E258" s="53"/>
      <c r="F258" s="25"/>
      <c r="G258" s="26"/>
      <c r="H258" s="53"/>
      <c r="I258" s="25"/>
      <c r="J258" s="26"/>
      <c r="K258" s="114"/>
      <c r="L258" s="55"/>
      <c r="V258" s="52" t="str">
        <f t="shared" ca="1" si="33"/>
        <v/>
      </c>
      <c r="W258" s="97" t="str">
        <f t="shared" ca="1" si="34"/>
        <v/>
      </c>
    </row>
    <row r="259" spans="1:23" x14ac:dyDescent="0.25">
      <c r="A259" s="102"/>
      <c r="B259" s="53"/>
      <c r="C259" s="25"/>
      <c r="D259" s="26"/>
      <c r="E259" s="53"/>
      <c r="F259" s="25"/>
      <c r="G259" s="26"/>
      <c r="H259" s="53"/>
      <c r="I259" s="25"/>
      <c r="J259" s="26"/>
      <c r="K259" s="114"/>
      <c r="L259" s="55"/>
      <c r="V259" s="52" t="str">
        <f t="shared" ca="1" si="33"/>
        <v/>
      </c>
      <c r="W259" s="97" t="str">
        <f t="shared" ca="1" si="34"/>
        <v/>
      </c>
    </row>
    <row r="260" spans="1:23" x14ac:dyDescent="0.25">
      <c r="A260" s="102"/>
      <c r="B260" s="53"/>
      <c r="C260" s="25"/>
      <c r="D260" s="26"/>
      <c r="E260" s="53"/>
      <c r="F260" s="25"/>
      <c r="G260" s="26"/>
      <c r="H260" s="53"/>
      <c r="I260" s="25"/>
      <c r="J260" s="26"/>
      <c r="K260" s="114"/>
      <c r="L260" s="55"/>
      <c r="V260" s="52" t="str">
        <f t="shared" ref="V260:V323" ca="1" si="44">IF(COUNTIF(P:P,N260)*COUNTIF(R:R,N260)*COUNTIF(T:T,N260),N260,"")</f>
        <v/>
      </c>
      <c r="W260" s="97" t="str">
        <f t="shared" ref="W260:W323" ca="1" si="45">IF(V260&gt;=$A$14,V260,"")</f>
        <v/>
      </c>
    </row>
    <row r="261" spans="1:23" x14ac:dyDescent="0.25">
      <c r="A261" s="102"/>
      <c r="B261" s="53"/>
      <c r="C261" s="25"/>
      <c r="D261" s="26"/>
      <c r="E261" s="53"/>
      <c r="F261" s="25"/>
      <c r="G261" s="26"/>
      <c r="H261" s="53"/>
      <c r="I261" s="25"/>
      <c r="J261" s="26"/>
      <c r="K261" s="114"/>
      <c r="L261" s="55"/>
      <c r="V261" s="52" t="str">
        <f t="shared" ca="1" si="44"/>
        <v/>
      </c>
      <c r="W261" s="97" t="str">
        <f t="shared" ca="1" si="45"/>
        <v/>
      </c>
    </row>
    <row r="262" spans="1:23" x14ac:dyDescent="0.25">
      <c r="A262" s="102"/>
      <c r="B262" s="53"/>
      <c r="C262" s="25"/>
      <c r="D262" s="26"/>
      <c r="E262" s="53"/>
      <c r="F262" s="25"/>
      <c r="G262" s="26"/>
      <c r="H262" s="53"/>
      <c r="I262" s="25"/>
      <c r="J262" s="26"/>
      <c r="K262" s="114"/>
      <c r="L262" s="55"/>
      <c r="V262" s="52" t="str">
        <f t="shared" ca="1" si="44"/>
        <v/>
      </c>
      <c r="W262" s="97" t="str">
        <f t="shared" ca="1" si="45"/>
        <v/>
      </c>
    </row>
    <row r="263" spans="1:23" x14ac:dyDescent="0.25">
      <c r="A263" s="102"/>
      <c r="B263" s="53"/>
      <c r="C263" s="25"/>
      <c r="D263" s="26"/>
      <c r="E263" s="53"/>
      <c r="F263" s="25"/>
      <c r="G263" s="26"/>
      <c r="H263" s="53"/>
      <c r="I263" s="25"/>
      <c r="J263" s="26"/>
      <c r="K263" s="114"/>
      <c r="L263" s="55"/>
      <c r="V263" s="52" t="str">
        <f t="shared" ca="1" si="44"/>
        <v/>
      </c>
      <c r="W263" s="97" t="str">
        <f t="shared" ca="1" si="45"/>
        <v/>
      </c>
    </row>
    <row r="264" spans="1:23" x14ac:dyDescent="0.25">
      <c r="A264" s="102"/>
      <c r="B264" s="53"/>
      <c r="C264" s="25"/>
      <c r="D264" s="26"/>
      <c r="E264" s="53"/>
      <c r="F264" s="25"/>
      <c r="G264" s="26"/>
      <c r="H264" s="53"/>
      <c r="I264" s="25"/>
      <c r="J264" s="26"/>
      <c r="K264" s="114"/>
      <c r="L264" s="55"/>
      <c r="V264" s="52" t="str">
        <f t="shared" ca="1" si="44"/>
        <v/>
      </c>
      <c r="W264" s="97" t="str">
        <f t="shared" ca="1" si="45"/>
        <v/>
      </c>
    </row>
    <row r="265" spans="1:23" x14ac:dyDescent="0.25">
      <c r="A265" s="102"/>
      <c r="B265" s="53"/>
      <c r="C265" s="25"/>
      <c r="D265" s="26"/>
      <c r="E265" s="53"/>
      <c r="F265" s="25"/>
      <c r="G265" s="26"/>
      <c r="H265" s="53"/>
      <c r="I265" s="25"/>
      <c r="J265" s="26"/>
      <c r="K265" s="114"/>
      <c r="L265" s="55"/>
      <c r="V265" s="52" t="str">
        <f t="shared" ca="1" si="44"/>
        <v/>
      </c>
      <c r="W265" s="97" t="str">
        <f t="shared" ca="1" si="45"/>
        <v/>
      </c>
    </row>
    <row r="266" spans="1:23" x14ac:dyDescent="0.25">
      <c r="A266" s="102"/>
      <c r="B266" s="53"/>
      <c r="C266" s="25"/>
      <c r="D266" s="26"/>
      <c r="E266" s="53"/>
      <c r="F266" s="25"/>
      <c r="G266" s="26"/>
      <c r="H266" s="53"/>
      <c r="I266" s="25"/>
      <c r="J266" s="26"/>
      <c r="K266" s="114"/>
      <c r="L266" s="55"/>
      <c r="V266" s="52" t="str">
        <f t="shared" ca="1" si="44"/>
        <v/>
      </c>
      <c r="W266" s="97" t="str">
        <f t="shared" ca="1" si="45"/>
        <v/>
      </c>
    </row>
    <row r="267" spans="1:23" x14ac:dyDescent="0.25">
      <c r="A267" s="102"/>
      <c r="B267" s="53"/>
      <c r="C267" s="25"/>
      <c r="D267" s="26"/>
      <c r="E267" s="53"/>
      <c r="F267" s="25"/>
      <c r="G267" s="26"/>
      <c r="H267" s="53"/>
      <c r="I267" s="25"/>
      <c r="J267" s="26"/>
      <c r="K267" s="114"/>
      <c r="L267" s="55"/>
      <c r="V267" s="52" t="str">
        <f t="shared" ca="1" si="44"/>
        <v/>
      </c>
      <c r="W267" s="97" t="str">
        <f t="shared" ca="1" si="45"/>
        <v/>
      </c>
    </row>
    <row r="268" spans="1:23" x14ac:dyDescent="0.25">
      <c r="A268" s="102"/>
      <c r="B268" s="53"/>
      <c r="C268" s="25"/>
      <c r="D268" s="26"/>
      <c r="E268" s="53"/>
      <c r="F268" s="25"/>
      <c r="G268" s="26"/>
      <c r="H268" s="53"/>
      <c r="I268" s="25"/>
      <c r="J268" s="26"/>
      <c r="K268" s="114"/>
      <c r="L268" s="55"/>
      <c r="V268" s="52" t="str">
        <f t="shared" ca="1" si="44"/>
        <v/>
      </c>
      <c r="W268" s="97" t="str">
        <f t="shared" ca="1" si="45"/>
        <v/>
      </c>
    </row>
    <row r="269" spans="1:23" x14ac:dyDescent="0.25">
      <c r="A269" s="102"/>
      <c r="B269" s="53"/>
      <c r="C269" s="25"/>
      <c r="D269" s="26"/>
      <c r="E269" s="53"/>
      <c r="F269" s="25"/>
      <c r="G269" s="26"/>
      <c r="H269" s="53"/>
      <c r="I269" s="25"/>
      <c r="J269" s="26"/>
      <c r="K269" s="114"/>
      <c r="L269" s="55"/>
      <c r="V269" s="52" t="str">
        <f t="shared" ca="1" si="44"/>
        <v/>
      </c>
      <c r="W269" s="97" t="str">
        <f t="shared" ca="1" si="45"/>
        <v/>
      </c>
    </row>
    <row r="270" spans="1:23" x14ac:dyDescent="0.25">
      <c r="A270" s="102"/>
      <c r="B270" s="53"/>
      <c r="C270" s="25"/>
      <c r="D270" s="26"/>
      <c r="E270" s="53"/>
      <c r="F270" s="25"/>
      <c r="G270" s="26"/>
      <c r="H270" s="53"/>
      <c r="I270" s="25"/>
      <c r="J270" s="26"/>
      <c r="K270" s="114"/>
      <c r="L270" s="55"/>
      <c r="V270" s="52" t="str">
        <f t="shared" ca="1" si="44"/>
        <v/>
      </c>
      <c r="W270" s="97" t="str">
        <f t="shared" ca="1" si="45"/>
        <v/>
      </c>
    </row>
    <row r="271" spans="1:23" x14ac:dyDescent="0.25">
      <c r="A271" s="102"/>
      <c r="B271" s="53"/>
      <c r="C271" s="25"/>
      <c r="D271" s="26"/>
      <c r="E271" s="53"/>
      <c r="F271" s="25"/>
      <c r="G271" s="26"/>
      <c r="H271" s="53"/>
      <c r="I271" s="25"/>
      <c r="J271" s="26"/>
      <c r="K271" s="114"/>
      <c r="L271" s="55"/>
      <c r="V271" s="52" t="str">
        <f t="shared" ca="1" si="44"/>
        <v/>
      </c>
      <c r="W271" s="97" t="str">
        <f t="shared" ca="1" si="45"/>
        <v/>
      </c>
    </row>
    <row r="272" spans="1:23" x14ac:dyDescent="0.25">
      <c r="A272" s="102"/>
      <c r="B272" s="53"/>
      <c r="C272" s="25"/>
      <c r="D272" s="26"/>
      <c r="E272" s="53"/>
      <c r="F272" s="25"/>
      <c r="G272" s="26"/>
      <c r="H272" s="53"/>
      <c r="I272" s="25"/>
      <c r="J272" s="26"/>
      <c r="K272" s="114"/>
      <c r="L272" s="55"/>
      <c r="V272" s="52" t="str">
        <f t="shared" ca="1" si="44"/>
        <v/>
      </c>
      <c r="W272" s="97" t="str">
        <f t="shared" ca="1" si="45"/>
        <v/>
      </c>
    </row>
    <row r="273" spans="1:23" x14ac:dyDescent="0.25">
      <c r="A273" s="102"/>
      <c r="B273" s="53"/>
      <c r="C273" s="25"/>
      <c r="D273" s="26"/>
      <c r="E273" s="53"/>
      <c r="F273" s="25"/>
      <c r="G273" s="26"/>
      <c r="H273" s="53"/>
      <c r="I273" s="25"/>
      <c r="J273" s="26"/>
      <c r="K273" s="114"/>
      <c r="L273" s="55"/>
      <c r="V273" s="52" t="str">
        <f t="shared" ca="1" si="44"/>
        <v/>
      </c>
      <c r="W273" s="97" t="str">
        <f t="shared" ca="1" si="45"/>
        <v/>
      </c>
    </row>
    <row r="274" spans="1:23" x14ac:dyDescent="0.25">
      <c r="A274" s="102"/>
      <c r="B274" s="53"/>
      <c r="C274" s="25"/>
      <c r="D274" s="26"/>
      <c r="E274" s="53"/>
      <c r="F274" s="25"/>
      <c r="G274" s="26"/>
      <c r="H274" s="53"/>
      <c r="I274" s="25"/>
      <c r="J274" s="26"/>
      <c r="K274" s="114"/>
      <c r="L274" s="55"/>
      <c r="V274" s="52" t="str">
        <f t="shared" ca="1" si="44"/>
        <v/>
      </c>
      <c r="W274" s="97" t="str">
        <f t="shared" ca="1" si="45"/>
        <v/>
      </c>
    </row>
    <row r="275" spans="1:23" x14ac:dyDescent="0.25">
      <c r="A275" s="102"/>
      <c r="B275" s="53"/>
      <c r="C275" s="25"/>
      <c r="D275" s="26"/>
      <c r="E275" s="53"/>
      <c r="F275" s="25"/>
      <c r="G275" s="26"/>
      <c r="H275" s="53"/>
      <c r="I275" s="25"/>
      <c r="J275" s="26"/>
      <c r="K275" s="114"/>
      <c r="L275" s="55"/>
      <c r="V275" s="52" t="str">
        <f t="shared" ca="1" si="44"/>
        <v/>
      </c>
      <c r="W275" s="97" t="str">
        <f t="shared" ca="1" si="45"/>
        <v/>
      </c>
    </row>
    <row r="276" spans="1:23" x14ac:dyDescent="0.25">
      <c r="A276" s="102"/>
      <c r="B276" s="53"/>
      <c r="C276" s="25"/>
      <c r="D276" s="26"/>
      <c r="E276" s="53"/>
      <c r="F276" s="25"/>
      <c r="G276" s="26"/>
      <c r="H276" s="53"/>
      <c r="I276" s="25"/>
      <c r="J276" s="26"/>
      <c r="K276" s="114"/>
      <c r="L276" s="55"/>
      <c r="V276" s="52" t="str">
        <f t="shared" ca="1" si="44"/>
        <v/>
      </c>
      <c r="W276" s="97" t="str">
        <f t="shared" ca="1" si="45"/>
        <v/>
      </c>
    </row>
    <row r="277" spans="1:23" x14ac:dyDescent="0.25">
      <c r="A277" s="102"/>
      <c r="B277" s="53"/>
      <c r="C277" s="25"/>
      <c r="D277" s="26"/>
      <c r="E277" s="53"/>
      <c r="F277" s="25"/>
      <c r="G277" s="26"/>
      <c r="H277" s="53"/>
      <c r="I277" s="25"/>
      <c r="J277" s="26"/>
      <c r="K277" s="114"/>
      <c r="L277" s="55"/>
      <c r="V277" s="52" t="str">
        <f t="shared" ca="1" si="44"/>
        <v/>
      </c>
      <c r="W277" s="97" t="str">
        <f t="shared" ca="1" si="45"/>
        <v/>
      </c>
    </row>
    <row r="278" spans="1:23" x14ac:dyDescent="0.25">
      <c r="A278" s="102"/>
      <c r="B278" s="53"/>
      <c r="C278" s="25"/>
      <c r="D278" s="26"/>
      <c r="E278" s="53"/>
      <c r="F278" s="25"/>
      <c r="G278" s="26"/>
      <c r="H278" s="53"/>
      <c r="I278" s="25"/>
      <c r="J278" s="26"/>
      <c r="K278" s="114"/>
      <c r="L278" s="55"/>
      <c r="V278" s="52" t="str">
        <f t="shared" ca="1" si="44"/>
        <v/>
      </c>
      <c r="W278" s="97" t="str">
        <f t="shared" ca="1" si="45"/>
        <v/>
      </c>
    </row>
    <row r="279" spans="1:23" x14ac:dyDescent="0.25">
      <c r="A279" s="102"/>
      <c r="B279" s="53"/>
      <c r="C279" s="25"/>
      <c r="D279" s="26"/>
      <c r="E279" s="53"/>
      <c r="F279" s="25"/>
      <c r="G279" s="26"/>
      <c r="H279" s="53"/>
      <c r="I279" s="25"/>
      <c r="J279" s="26"/>
      <c r="K279" s="114"/>
      <c r="L279" s="55"/>
      <c r="V279" s="52" t="str">
        <f t="shared" ca="1" si="44"/>
        <v/>
      </c>
      <c r="W279" s="97" t="str">
        <f t="shared" ca="1" si="45"/>
        <v/>
      </c>
    </row>
    <row r="280" spans="1:23" x14ac:dyDescent="0.25">
      <c r="A280" s="102"/>
      <c r="B280" s="53"/>
      <c r="C280" s="25"/>
      <c r="D280" s="26"/>
      <c r="E280" s="53"/>
      <c r="F280" s="25"/>
      <c r="G280" s="26"/>
      <c r="H280" s="53"/>
      <c r="I280" s="25"/>
      <c r="J280" s="26"/>
      <c r="K280" s="114"/>
      <c r="L280" s="55"/>
      <c r="V280" s="52" t="str">
        <f t="shared" ca="1" si="44"/>
        <v/>
      </c>
      <c r="W280" s="97" t="str">
        <f t="shared" ca="1" si="45"/>
        <v/>
      </c>
    </row>
    <row r="281" spans="1:23" x14ac:dyDescent="0.25">
      <c r="A281" s="102"/>
      <c r="B281" s="53"/>
      <c r="C281" s="25"/>
      <c r="D281" s="26"/>
      <c r="E281" s="53"/>
      <c r="F281" s="25"/>
      <c r="G281" s="26"/>
      <c r="H281" s="53"/>
      <c r="I281" s="25"/>
      <c r="J281" s="26"/>
      <c r="K281" s="114"/>
      <c r="L281" s="55"/>
      <c r="V281" s="52" t="str">
        <f t="shared" ca="1" si="44"/>
        <v/>
      </c>
      <c r="W281" s="97" t="str">
        <f t="shared" ca="1" si="45"/>
        <v/>
      </c>
    </row>
    <row r="282" spans="1:23" x14ac:dyDescent="0.25">
      <c r="A282" s="102"/>
      <c r="B282" s="53"/>
      <c r="C282" s="25"/>
      <c r="D282" s="26"/>
      <c r="E282" s="53"/>
      <c r="F282" s="25"/>
      <c r="G282" s="26"/>
      <c r="H282" s="53"/>
      <c r="I282" s="25"/>
      <c r="J282" s="26"/>
      <c r="K282" s="114"/>
      <c r="L282" s="55"/>
      <c r="V282" s="52" t="str">
        <f t="shared" ca="1" si="44"/>
        <v/>
      </c>
      <c r="W282" s="97" t="str">
        <f t="shared" ca="1" si="45"/>
        <v/>
      </c>
    </row>
    <row r="283" spans="1:23" x14ac:dyDescent="0.25">
      <c r="A283" s="102"/>
      <c r="B283" s="53"/>
      <c r="C283" s="25"/>
      <c r="D283" s="26"/>
      <c r="E283" s="53"/>
      <c r="F283" s="25"/>
      <c r="G283" s="26"/>
      <c r="H283" s="53"/>
      <c r="I283" s="25"/>
      <c r="J283" s="26"/>
      <c r="K283" s="114"/>
      <c r="L283" s="55"/>
      <c r="V283" s="52" t="str">
        <f t="shared" ca="1" si="44"/>
        <v/>
      </c>
      <c r="W283" s="97" t="str">
        <f t="shared" ca="1" si="45"/>
        <v/>
      </c>
    </row>
    <row r="284" spans="1:23" x14ac:dyDescent="0.25">
      <c r="A284" s="102"/>
      <c r="B284" s="53"/>
      <c r="C284" s="25"/>
      <c r="D284" s="26"/>
      <c r="E284" s="53"/>
      <c r="F284" s="25"/>
      <c r="G284" s="26"/>
      <c r="H284" s="53"/>
      <c r="I284" s="25"/>
      <c r="J284" s="26"/>
      <c r="K284" s="114"/>
      <c r="L284" s="55"/>
      <c r="V284" s="52" t="str">
        <f t="shared" ca="1" si="44"/>
        <v/>
      </c>
      <c r="W284" s="97" t="str">
        <f t="shared" ca="1" si="45"/>
        <v/>
      </c>
    </row>
    <row r="285" spans="1:23" x14ac:dyDescent="0.25">
      <c r="A285" s="102"/>
      <c r="B285" s="53"/>
      <c r="C285" s="25"/>
      <c r="D285" s="26"/>
      <c r="E285" s="53"/>
      <c r="F285" s="25"/>
      <c r="G285" s="26"/>
      <c r="H285" s="53"/>
      <c r="I285" s="25"/>
      <c r="J285" s="26"/>
      <c r="K285" s="114"/>
      <c r="L285" s="55"/>
      <c r="V285" s="52" t="str">
        <f t="shared" ca="1" si="44"/>
        <v/>
      </c>
      <c r="W285" s="97" t="str">
        <f t="shared" ca="1" si="45"/>
        <v/>
      </c>
    </row>
    <row r="286" spans="1:23" x14ac:dyDescent="0.25">
      <c r="A286" s="102"/>
      <c r="B286" s="53"/>
      <c r="C286" s="25"/>
      <c r="D286" s="26"/>
      <c r="E286" s="53"/>
      <c r="F286" s="25"/>
      <c r="G286" s="26"/>
      <c r="H286" s="53"/>
      <c r="I286" s="25"/>
      <c r="J286" s="26"/>
      <c r="K286" s="114"/>
      <c r="L286" s="55"/>
      <c r="V286" s="52" t="str">
        <f t="shared" ca="1" si="44"/>
        <v/>
      </c>
      <c r="W286" s="97" t="str">
        <f t="shared" ca="1" si="45"/>
        <v/>
      </c>
    </row>
    <row r="287" spans="1:23" x14ac:dyDescent="0.25">
      <c r="A287" s="102"/>
      <c r="B287" s="53"/>
      <c r="C287" s="25"/>
      <c r="D287" s="26"/>
      <c r="E287" s="53"/>
      <c r="F287" s="25"/>
      <c r="G287" s="26"/>
      <c r="H287" s="53"/>
      <c r="I287" s="25"/>
      <c r="J287" s="26"/>
      <c r="K287" s="114"/>
      <c r="L287" s="55"/>
      <c r="V287" s="52" t="str">
        <f t="shared" ca="1" si="44"/>
        <v/>
      </c>
      <c r="W287" s="97" t="str">
        <f t="shared" ca="1" si="45"/>
        <v/>
      </c>
    </row>
    <row r="288" spans="1:23" x14ac:dyDescent="0.25">
      <c r="A288" s="102"/>
      <c r="B288" s="53"/>
      <c r="C288" s="25"/>
      <c r="D288" s="26"/>
      <c r="E288" s="53"/>
      <c r="F288" s="25"/>
      <c r="G288" s="26"/>
      <c r="H288" s="53"/>
      <c r="I288" s="25"/>
      <c r="J288" s="26"/>
      <c r="K288" s="114"/>
      <c r="L288" s="55"/>
      <c r="V288" s="52" t="str">
        <f t="shared" ca="1" si="44"/>
        <v/>
      </c>
      <c r="W288" s="97" t="str">
        <f t="shared" ca="1" si="45"/>
        <v/>
      </c>
    </row>
    <row r="289" spans="1:23" x14ac:dyDescent="0.25">
      <c r="A289" s="102"/>
      <c r="B289" s="53"/>
      <c r="C289" s="25"/>
      <c r="D289" s="26"/>
      <c r="E289" s="53"/>
      <c r="F289" s="25"/>
      <c r="G289" s="26"/>
      <c r="H289" s="53"/>
      <c r="I289" s="25"/>
      <c r="J289" s="26"/>
      <c r="K289" s="114"/>
      <c r="L289" s="55"/>
      <c r="V289" s="52" t="str">
        <f t="shared" ca="1" si="44"/>
        <v/>
      </c>
      <c r="W289" s="97" t="str">
        <f t="shared" ca="1" si="45"/>
        <v/>
      </c>
    </row>
    <row r="290" spans="1:23" x14ac:dyDescent="0.25">
      <c r="A290" s="102"/>
      <c r="B290" s="53"/>
      <c r="C290" s="25"/>
      <c r="D290" s="26"/>
      <c r="E290" s="53"/>
      <c r="F290" s="25"/>
      <c r="G290" s="26"/>
      <c r="H290" s="53"/>
      <c r="I290" s="25"/>
      <c r="J290" s="26"/>
      <c r="K290" s="114"/>
      <c r="L290" s="55"/>
      <c r="V290" s="52" t="str">
        <f t="shared" ca="1" si="44"/>
        <v/>
      </c>
      <c r="W290" s="97" t="str">
        <f t="shared" ca="1" si="45"/>
        <v/>
      </c>
    </row>
    <row r="291" spans="1:23" x14ac:dyDescent="0.25">
      <c r="A291" s="102"/>
      <c r="B291" s="53"/>
      <c r="C291" s="25"/>
      <c r="D291" s="26"/>
      <c r="E291" s="53"/>
      <c r="F291" s="25"/>
      <c r="G291" s="26"/>
      <c r="H291" s="53"/>
      <c r="I291" s="25"/>
      <c r="J291" s="26"/>
      <c r="K291" s="114"/>
      <c r="L291" s="55"/>
      <c r="V291" s="52" t="str">
        <f t="shared" ca="1" si="44"/>
        <v/>
      </c>
      <c r="W291" s="97" t="str">
        <f t="shared" ca="1" si="45"/>
        <v/>
      </c>
    </row>
    <row r="292" spans="1:23" x14ac:dyDescent="0.25">
      <c r="A292" s="102"/>
      <c r="B292" s="53"/>
      <c r="C292" s="25"/>
      <c r="D292" s="26"/>
      <c r="E292" s="53"/>
      <c r="F292" s="25"/>
      <c r="G292" s="26"/>
      <c r="H292" s="53"/>
      <c r="I292" s="25"/>
      <c r="J292" s="26"/>
      <c r="K292" s="114"/>
      <c r="L292" s="55"/>
      <c r="V292" s="52" t="str">
        <f t="shared" ca="1" si="44"/>
        <v/>
      </c>
      <c r="W292" s="97" t="str">
        <f t="shared" ca="1" si="45"/>
        <v/>
      </c>
    </row>
    <row r="293" spans="1:23" x14ac:dyDescent="0.25">
      <c r="A293" s="102"/>
      <c r="B293" s="53"/>
      <c r="C293" s="25"/>
      <c r="D293" s="26"/>
      <c r="E293" s="53"/>
      <c r="F293" s="25"/>
      <c r="G293" s="26"/>
      <c r="H293" s="53"/>
      <c r="I293" s="25"/>
      <c r="J293" s="26"/>
      <c r="K293" s="114"/>
      <c r="L293" s="55"/>
      <c r="V293" s="52" t="str">
        <f t="shared" ca="1" si="44"/>
        <v/>
      </c>
      <c r="W293" s="97" t="str">
        <f t="shared" ca="1" si="45"/>
        <v/>
      </c>
    </row>
    <row r="294" spans="1:23" x14ac:dyDescent="0.25">
      <c r="A294" s="102"/>
      <c r="B294" s="53"/>
      <c r="C294" s="25"/>
      <c r="D294" s="26"/>
      <c r="E294" s="53"/>
      <c r="F294" s="25"/>
      <c r="G294" s="26"/>
      <c r="H294" s="53"/>
      <c r="I294" s="25"/>
      <c r="J294" s="26"/>
      <c r="K294" s="114"/>
      <c r="L294" s="55"/>
      <c r="V294" s="52" t="str">
        <f t="shared" ca="1" si="44"/>
        <v/>
      </c>
      <c r="W294" s="97" t="str">
        <f t="shared" ca="1" si="45"/>
        <v/>
      </c>
    </row>
    <row r="295" spans="1:23" x14ac:dyDescent="0.25">
      <c r="A295" s="102"/>
      <c r="B295" s="53"/>
      <c r="C295" s="25"/>
      <c r="D295" s="26"/>
      <c r="E295" s="53"/>
      <c r="F295" s="25"/>
      <c r="G295" s="26"/>
      <c r="H295" s="53"/>
      <c r="I295" s="25"/>
      <c r="J295" s="26"/>
      <c r="K295" s="114"/>
      <c r="L295" s="55"/>
      <c r="V295" s="52" t="str">
        <f t="shared" ca="1" si="44"/>
        <v/>
      </c>
      <c r="W295" s="97" t="str">
        <f t="shared" ca="1" si="45"/>
        <v/>
      </c>
    </row>
    <row r="296" spans="1:23" x14ac:dyDescent="0.25">
      <c r="A296" s="102"/>
      <c r="B296" s="53"/>
      <c r="C296" s="25"/>
      <c r="D296" s="26"/>
      <c r="E296" s="53"/>
      <c r="F296" s="25"/>
      <c r="G296" s="26"/>
      <c r="H296" s="53"/>
      <c r="I296" s="25"/>
      <c r="J296" s="26"/>
      <c r="K296" s="114"/>
      <c r="L296" s="55"/>
      <c r="V296" s="52" t="str">
        <f t="shared" ca="1" si="44"/>
        <v/>
      </c>
      <c r="W296" s="97" t="str">
        <f t="shared" ca="1" si="45"/>
        <v/>
      </c>
    </row>
    <row r="297" spans="1:23" x14ac:dyDescent="0.25">
      <c r="A297" s="102"/>
      <c r="B297" s="53"/>
      <c r="C297" s="25"/>
      <c r="D297" s="26"/>
      <c r="E297" s="53"/>
      <c r="F297" s="25"/>
      <c r="G297" s="26"/>
      <c r="H297" s="53"/>
      <c r="I297" s="25"/>
      <c r="J297" s="26"/>
      <c r="K297" s="114"/>
      <c r="L297" s="55"/>
      <c r="V297" s="52" t="str">
        <f t="shared" ca="1" si="44"/>
        <v/>
      </c>
      <c r="W297" s="97" t="str">
        <f t="shared" ca="1" si="45"/>
        <v/>
      </c>
    </row>
    <row r="298" spans="1:23" x14ac:dyDescent="0.25">
      <c r="A298" s="102"/>
      <c r="B298" s="53"/>
      <c r="C298" s="25"/>
      <c r="D298" s="26"/>
      <c r="E298" s="53"/>
      <c r="F298" s="25"/>
      <c r="G298" s="26"/>
      <c r="H298" s="53"/>
      <c r="I298" s="25"/>
      <c r="J298" s="26"/>
      <c r="K298" s="114"/>
      <c r="L298" s="55"/>
      <c r="V298" s="52" t="str">
        <f t="shared" ca="1" si="44"/>
        <v/>
      </c>
      <c r="W298" s="97" t="str">
        <f t="shared" ca="1" si="45"/>
        <v/>
      </c>
    </row>
    <row r="299" spans="1:23" x14ac:dyDescent="0.25">
      <c r="A299" s="102"/>
      <c r="B299" s="53"/>
      <c r="C299" s="25"/>
      <c r="D299" s="26"/>
      <c r="E299" s="53"/>
      <c r="F299" s="25"/>
      <c r="G299" s="26"/>
      <c r="H299" s="53"/>
      <c r="I299" s="25"/>
      <c r="J299" s="26"/>
      <c r="K299" s="114"/>
      <c r="L299" s="55"/>
      <c r="V299" s="52" t="str">
        <f t="shared" ca="1" si="44"/>
        <v/>
      </c>
      <c r="W299" s="97" t="str">
        <f t="shared" ca="1" si="45"/>
        <v/>
      </c>
    </row>
    <row r="300" spans="1:23" x14ac:dyDescent="0.25">
      <c r="A300" s="102"/>
      <c r="B300" s="53"/>
      <c r="C300" s="25"/>
      <c r="D300" s="26"/>
      <c r="E300" s="53"/>
      <c r="F300" s="25"/>
      <c r="G300" s="26"/>
      <c r="H300" s="53"/>
      <c r="I300" s="25"/>
      <c r="J300" s="26"/>
      <c r="K300" s="114"/>
      <c r="L300" s="55"/>
      <c r="V300" s="52" t="str">
        <f t="shared" ca="1" si="44"/>
        <v/>
      </c>
      <c r="W300" s="97" t="str">
        <f t="shared" ca="1" si="45"/>
        <v/>
      </c>
    </row>
    <row r="301" spans="1:23" x14ac:dyDescent="0.25">
      <c r="A301" s="102"/>
      <c r="B301" s="53"/>
      <c r="C301" s="25"/>
      <c r="D301" s="26"/>
      <c r="E301" s="53"/>
      <c r="F301" s="25"/>
      <c r="G301" s="26"/>
      <c r="H301" s="53"/>
      <c r="I301" s="25"/>
      <c r="J301" s="26"/>
      <c r="K301" s="114"/>
      <c r="L301" s="55"/>
      <c r="V301" s="52" t="str">
        <f t="shared" ca="1" si="44"/>
        <v/>
      </c>
      <c r="W301" s="97" t="str">
        <f t="shared" ca="1" si="45"/>
        <v/>
      </c>
    </row>
    <row r="302" spans="1:23" x14ac:dyDescent="0.25">
      <c r="A302" s="102"/>
      <c r="B302" s="53"/>
      <c r="C302" s="25"/>
      <c r="D302" s="26"/>
      <c r="E302" s="53"/>
      <c r="F302" s="25"/>
      <c r="G302" s="26"/>
      <c r="H302" s="53"/>
      <c r="I302" s="25"/>
      <c r="J302" s="26"/>
      <c r="K302" s="114"/>
      <c r="L302" s="55"/>
      <c r="V302" s="52" t="str">
        <f t="shared" ca="1" si="44"/>
        <v/>
      </c>
      <c r="W302" s="97" t="str">
        <f t="shared" ca="1" si="45"/>
        <v/>
      </c>
    </row>
    <row r="303" spans="1:23" x14ac:dyDescent="0.25">
      <c r="A303" s="102"/>
      <c r="B303" s="53"/>
      <c r="C303" s="25"/>
      <c r="D303" s="26"/>
      <c r="E303" s="53"/>
      <c r="F303" s="25"/>
      <c r="G303" s="26"/>
      <c r="H303" s="53"/>
      <c r="I303" s="25"/>
      <c r="J303" s="26"/>
      <c r="K303" s="114"/>
      <c r="L303" s="55"/>
      <c r="V303" s="52" t="str">
        <f t="shared" ca="1" si="44"/>
        <v/>
      </c>
      <c r="W303" s="97" t="str">
        <f t="shared" ca="1" si="45"/>
        <v/>
      </c>
    </row>
    <row r="304" spans="1:23" x14ac:dyDescent="0.25">
      <c r="A304" s="102"/>
      <c r="B304" s="53"/>
      <c r="C304" s="25"/>
      <c r="D304" s="26"/>
      <c r="E304" s="53"/>
      <c r="F304" s="25"/>
      <c r="G304" s="26"/>
      <c r="H304" s="53"/>
      <c r="I304" s="25"/>
      <c r="J304" s="26"/>
      <c r="K304" s="114"/>
      <c r="L304" s="55"/>
      <c r="V304" s="52" t="str">
        <f t="shared" ca="1" si="44"/>
        <v/>
      </c>
      <c r="W304" s="97" t="str">
        <f t="shared" ca="1" si="45"/>
        <v/>
      </c>
    </row>
    <row r="305" spans="1:23" x14ac:dyDescent="0.25">
      <c r="A305" s="102"/>
      <c r="B305" s="53"/>
      <c r="C305" s="25"/>
      <c r="D305" s="26"/>
      <c r="E305" s="53"/>
      <c r="F305" s="25"/>
      <c r="G305" s="26"/>
      <c r="H305" s="53"/>
      <c r="I305" s="25"/>
      <c r="J305" s="26"/>
      <c r="K305" s="114"/>
      <c r="L305" s="55"/>
      <c r="V305" s="52" t="str">
        <f t="shared" ca="1" si="44"/>
        <v/>
      </c>
      <c r="W305" s="97" t="str">
        <f t="shared" ca="1" si="45"/>
        <v/>
      </c>
    </row>
    <row r="306" spans="1:23" x14ac:dyDescent="0.25">
      <c r="A306" s="102"/>
      <c r="B306" s="53"/>
      <c r="C306" s="25"/>
      <c r="D306" s="26"/>
      <c r="E306" s="53"/>
      <c r="F306" s="25"/>
      <c r="G306" s="26"/>
      <c r="H306" s="53"/>
      <c r="I306" s="25"/>
      <c r="J306" s="26"/>
      <c r="K306" s="114"/>
      <c r="L306" s="55"/>
      <c r="V306" s="52" t="str">
        <f t="shared" ca="1" si="44"/>
        <v/>
      </c>
      <c r="W306" s="97" t="str">
        <f t="shared" ca="1" si="45"/>
        <v/>
      </c>
    </row>
    <row r="307" spans="1:23" x14ac:dyDescent="0.25">
      <c r="A307" s="102"/>
      <c r="B307" s="53"/>
      <c r="C307" s="25"/>
      <c r="D307" s="26"/>
      <c r="E307" s="53"/>
      <c r="F307" s="25"/>
      <c r="G307" s="26"/>
      <c r="H307" s="53"/>
      <c r="I307" s="25"/>
      <c r="J307" s="26"/>
      <c r="K307" s="114"/>
      <c r="L307" s="55"/>
      <c r="V307" s="52" t="str">
        <f t="shared" ca="1" si="44"/>
        <v/>
      </c>
      <c r="W307" s="97" t="str">
        <f t="shared" ca="1" si="45"/>
        <v/>
      </c>
    </row>
    <row r="308" spans="1:23" x14ac:dyDescent="0.25">
      <c r="A308" s="102"/>
      <c r="B308" s="53"/>
      <c r="C308" s="25"/>
      <c r="D308" s="26"/>
      <c r="E308" s="53"/>
      <c r="F308" s="25"/>
      <c r="G308" s="26"/>
      <c r="H308" s="53"/>
      <c r="I308" s="25"/>
      <c r="J308" s="26"/>
      <c r="K308" s="114"/>
      <c r="L308" s="55"/>
      <c r="V308" s="52" t="str">
        <f t="shared" ca="1" si="44"/>
        <v/>
      </c>
      <c r="W308" s="97" t="str">
        <f t="shared" ca="1" si="45"/>
        <v/>
      </c>
    </row>
    <row r="309" spans="1:23" x14ac:dyDescent="0.25">
      <c r="A309" s="102"/>
      <c r="B309" s="53"/>
      <c r="C309" s="25"/>
      <c r="D309" s="26"/>
      <c r="E309" s="53"/>
      <c r="F309" s="25"/>
      <c r="G309" s="26"/>
      <c r="H309" s="53"/>
      <c r="I309" s="25"/>
      <c r="J309" s="26"/>
      <c r="K309" s="114"/>
      <c r="L309" s="55"/>
      <c r="V309" s="52" t="str">
        <f t="shared" ca="1" si="44"/>
        <v/>
      </c>
      <c r="W309" s="97" t="str">
        <f t="shared" ca="1" si="45"/>
        <v/>
      </c>
    </row>
    <row r="310" spans="1:23" x14ac:dyDescent="0.25">
      <c r="A310" s="102"/>
      <c r="B310" s="53"/>
      <c r="C310" s="25"/>
      <c r="D310" s="26"/>
      <c r="E310" s="53"/>
      <c r="F310" s="25"/>
      <c r="G310" s="26"/>
      <c r="H310" s="53"/>
      <c r="I310" s="25"/>
      <c r="J310" s="26"/>
      <c r="K310" s="114"/>
      <c r="L310" s="55"/>
      <c r="V310" s="52" t="str">
        <f t="shared" ca="1" si="44"/>
        <v/>
      </c>
      <c r="W310" s="97" t="str">
        <f t="shared" ca="1" si="45"/>
        <v/>
      </c>
    </row>
    <row r="311" spans="1:23" x14ac:dyDescent="0.25">
      <c r="A311" s="102"/>
      <c r="B311" s="53"/>
      <c r="C311" s="25"/>
      <c r="D311" s="26"/>
      <c r="E311" s="53"/>
      <c r="F311" s="25"/>
      <c r="G311" s="26"/>
      <c r="H311" s="53"/>
      <c r="I311" s="25"/>
      <c r="J311" s="26"/>
      <c r="K311" s="114"/>
      <c r="L311" s="55"/>
      <c r="V311" s="52" t="str">
        <f t="shared" ca="1" si="44"/>
        <v/>
      </c>
      <c r="W311" s="97" t="str">
        <f t="shared" ca="1" si="45"/>
        <v/>
      </c>
    </row>
    <row r="312" spans="1:23" x14ac:dyDescent="0.25">
      <c r="A312" s="102"/>
      <c r="B312" s="53"/>
      <c r="C312" s="25"/>
      <c r="D312" s="26"/>
      <c r="E312" s="53"/>
      <c r="F312" s="25"/>
      <c r="G312" s="26"/>
      <c r="H312" s="53"/>
      <c r="I312" s="25"/>
      <c r="J312" s="26"/>
      <c r="K312" s="114"/>
      <c r="L312" s="55"/>
      <c r="V312" s="52" t="str">
        <f t="shared" ca="1" si="44"/>
        <v/>
      </c>
      <c r="W312" s="97" t="str">
        <f t="shared" ca="1" si="45"/>
        <v/>
      </c>
    </row>
    <row r="313" spans="1:23" x14ac:dyDescent="0.25">
      <c r="A313" s="102"/>
      <c r="B313" s="53"/>
      <c r="C313" s="25"/>
      <c r="D313" s="26"/>
      <c r="E313" s="53"/>
      <c r="F313" s="25"/>
      <c r="G313" s="26"/>
      <c r="H313" s="53"/>
      <c r="I313" s="25"/>
      <c r="J313" s="26"/>
      <c r="K313" s="114"/>
      <c r="L313" s="55"/>
      <c r="V313" s="52" t="str">
        <f t="shared" ca="1" si="44"/>
        <v/>
      </c>
      <c r="W313" s="97" t="str">
        <f t="shared" ca="1" si="45"/>
        <v/>
      </c>
    </row>
    <row r="314" spans="1:23" x14ac:dyDescent="0.25">
      <c r="A314" s="102"/>
      <c r="B314" s="53"/>
      <c r="C314" s="25"/>
      <c r="D314" s="26"/>
      <c r="E314" s="53"/>
      <c r="F314" s="25"/>
      <c r="G314" s="26"/>
      <c r="H314" s="53"/>
      <c r="I314" s="25"/>
      <c r="J314" s="26"/>
      <c r="K314" s="114"/>
      <c r="L314" s="55"/>
      <c r="V314" s="52" t="str">
        <f t="shared" ca="1" si="44"/>
        <v/>
      </c>
      <c r="W314" s="97" t="str">
        <f t="shared" ca="1" si="45"/>
        <v/>
      </c>
    </row>
    <row r="315" spans="1:23" x14ac:dyDescent="0.25">
      <c r="A315" s="102"/>
      <c r="B315" s="53"/>
      <c r="C315" s="25"/>
      <c r="D315" s="26"/>
      <c r="E315" s="53"/>
      <c r="F315" s="25"/>
      <c r="G315" s="26"/>
      <c r="H315" s="53"/>
      <c r="I315" s="25"/>
      <c r="J315" s="26"/>
      <c r="K315" s="114"/>
      <c r="L315" s="55"/>
      <c r="V315" s="52" t="str">
        <f t="shared" ca="1" si="44"/>
        <v/>
      </c>
      <c r="W315" s="97" t="str">
        <f t="shared" ca="1" si="45"/>
        <v/>
      </c>
    </row>
    <row r="316" spans="1:23" x14ac:dyDescent="0.25">
      <c r="A316" s="102"/>
      <c r="B316" s="53"/>
      <c r="C316" s="25"/>
      <c r="D316" s="26"/>
      <c r="E316" s="53"/>
      <c r="F316" s="25"/>
      <c r="G316" s="26"/>
      <c r="H316" s="53"/>
      <c r="I316" s="25"/>
      <c r="J316" s="26"/>
      <c r="K316" s="114"/>
      <c r="L316" s="55"/>
      <c r="V316" s="52" t="str">
        <f t="shared" ca="1" si="44"/>
        <v/>
      </c>
      <c r="W316" s="97" t="str">
        <f t="shared" ca="1" si="45"/>
        <v/>
      </c>
    </row>
    <row r="317" spans="1:23" x14ac:dyDescent="0.25">
      <c r="A317" s="102"/>
      <c r="B317" s="53"/>
      <c r="C317" s="25"/>
      <c r="D317" s="26"/>
      <c r="E317" s="53"/>
      <c r="F317" s="25"/>
      <c r="G317" s="26"/>
      <c r="H317" s="53"/>
      <c r="I317" s="25"/>
      <c r="J317" s="26"/>
      <c r="K317" s="114"/>
      <c r="L317" s="55"/>
      <c r="V317" s="52" t="str">
        <f t="shared" ca="1" si="44"/>
        <v/>
      </c>
      <c r="W317" s="97" t="str">
        <f t="shared" ca="1" si="45"/>
        <v/>
      </c>
    </row>
    <row r="318" spans="1:23" x14ac:dyDescent="0.25">
      <c r="A318" s="102"/>
      <c r="B318" s="53"/>
      <c r="C318" s="25"/>
      <c r="D318" s="26"/>
      <c r="E318" s="53"/>
      <c r="F318" s="25"/>
      <c r="G318" s="26"/>
      <c r="H318" s="53"/>
      <c r="I318" s="25"/>
      <c r="J318" s="26"/>
      <c r="K318" s="114"/>
      <c r="L318" s="55"/>
      <c r="V318" s="52" t="str">
        <f t="shared" ca="1" si="44"/>
        <v/>
      </c>
      <c r="W318" s="97" t="str">
        <f t="shared" ca="1" si="45"/>
        <v/>
      </c>
    </row>
    <row r="319" spans="1:23" x14ac:dyDescent="0.25">
      <c r="A319" s="102"/>
      <c r="B319" s="53"/>
      <c r="C319" s="25"/>
      <c r="D319" s="26"/>
      <c r="E319" s="53"/>
      <c r="F319" s="25"/>
      <c r="G319" s="26"/>
      <c r="H319" s="53"/>
      <c r="I319" s="25"/>
      <c r="J319" s="26"/>
      <c r="K319" s="114"/>
      <c r="L319" s="55"/>
      <c r="V319" s="52" t="str">
        <f t="shared" ca="1" si="44"/>
        <v/>
      </c>
      <c r="W319" s="97" t="str">
        <f t="shared" ca="1" si="45"/>
        <v/>
      </c>
    </row>
    <row r="320" spans="1:23" x14ac:dyDescent="0.25">
      <c r="A320" s="102"/>
      <c r="B320" s="53"/>
      <c r="C320" s="25"/>
      <c r="D320" s="26"/>
      <c r="E320" s="53"/>
      <c r="F320" s="25"/>
      <c r="G320" s="26"/>
      <c r="H320" s="53"/>
      <c r="I320" s="25"/>
      <c r="J320" s="26"/>
      <c r="K320" s="114"/>
      <c r="L320" s="55"/>
      <c r="V320" s="52" t="str">
        <f t="shared" ca="1" si="44"/>
        <v/>
      </c>
      <c r="W320" s="97" t="str">
        <f t="shared" ca="1" si="45"/>
        <v/>
      </c>
    </row>
    <row r="321" spans="1:23" x14ac:dyDescent="0.25">
      <c r="A321" s="102"/>
      <c r="B321" s="53"/>
      <c r="C321" s="25"/>
      <c r="D321" s="26"/>
      <c r="E321" s="53"/>
      <c r="F321" s="25"/>
      <c r="G321" s="26"/>
      <c r="H321" s="53"/>
      <c r="I321" s="25"/>
      <c r="J321" s="26"/>
      <c r="K321" s="114"/>
      <c r="L321" s="55"/>
      <c r="V321" s="52" t="str">
        <f t="shared" ca="1" si="44"/>
        <v/>
      </c>
      <c r="W321" s="97" t="str">
        <f t="shared" ca="1" si="45"/>
        <v/>
      </c>
    </row>
    <row r="322" spans="1:23" x14ac:dyDescent="0.25">
      <c r="A322" s="102"/>
      <c r="B322" s="53"/>
      <c r="C322" s="25"/>
      <c r="D322" s="26"/>
      <c r="E322" s="53"/>
      <c r="F322" s="25"/>
      <c r="G322" s="26"/>
      <c r="H322" s="53"/>
      <c r="I322" s="25"/>
      <c r="J322" s="26"/>
      <c r="K322" s="114"/>
      <c r="L322" s="55"/>
      <c r="V322" s="52" t="str">
        <f t="shared" ca="1" si="44"/>
        <v/>
      </c>
      <c r="W322" s="97" t="str">
        <f t="shared" ca="1" si="45"/>
        <v/>
      </c>
    </row>
    <row r="323" spans="1:23" x14ac:dyDescent="0.25">
      <c r="A323" s="102"/>
      <c r="B323" s="53"/>
      <c r="C323" s="25"/>
      <c r="D323" s="26"/>
      <c r="E323" s="53"/>
      <c r="F323" s="25"/>
      <c r="G323" s="26"/>
      <c r="H323" s="53"/>
      <c r="I323" s="25"/>
      <c r="J323" s="26"/>
      <c r="K323" s="114"/>
      <c r="L323" s="55"/>
      <c r="V323" s="52" t="str">
        <f t="shared" ca="1" si="44"/>
        <v/>
      </c>
      <c r="W323" s="97" t="str">
        <f t="shared" ca="1" si="45"/>
        <v/>
      </c>
    </row>
    <row r="324" spans="1:23" x14ac:dyDescent="0.25">
      <c r="A324" s="102"/>
      <c r="B324" s="53"/>
      <c r="C324" s="25"/>
      <c r="D324" s="26"/>
      <c r="E324" s="53"/>
      <c r="F324" s="25"/>
      <c r="G324" s="26"/>
      <c r="H324" s="53"/>
      <c r="I324" s="25"/>
      <c r="J324" s="26"/>
      <c r="K324" s="114"/>
      <c r="L324" s="55"/>
      <c r="V324" s="52" t="str">
        <f t="shared" ref="V324:V387" ca="1" si="46">IF(COUNTIF(P:P,N324)*COUNTIF(R:R,N324)*COUNTIF(T:T,N324),N324,"")</f>
        <v/>
      </c>
      <c r="W324" s="97" t="str">
        <f t="shared" ref="W324:W387" ca="1" si="47">IF(V324&gt;=$A$14,V324,"")</f>
        <v/>
      </c>
    </row>
    <row r="325" spans="1:23" x14ac:dyDescent="0.25">
      <c r="A325" s="102"/>
      <c r="B325" s="53"/>
      <c r="C325" s="25"/>
      <c r="D325" s="26"/>
      <c r="E325" s="53"/>
      <c r="F325" s="25"/>
      <c r="G325" s="26"/>
      <c r="H325" s="53"/>
      <c r="I325" s="25"/>
      <c r="J325" s="26"/>
      <c r="K325" s="114"/>
      <c r="L325" s="55"/>
      <c r="V325" s="52" t="str">
        <f t="shared" ca="1" si="46"/>
        <v/>
      </c>
      <c r="W325" s="97" t="str">
        <f t="shared" ca="1" si="47"/>
        <v/>
      </c>
    </row>
    <row r="326" spans="1:23" x14ac:dyDescent="0.25">
      <c r="A326" s="102"/>
      <c r="B326" s="53"/>
      <c r="C326" s="25"/>
      <c r="D326" s="26"/>
      <c r="E326" s="53"/>
      <c r="F326" s="25"/>
      <c r="G326" s="26"/>
      <c r="H326" s="53"/>
      <c r="I326" s="25"/>
      <c r="J326" s="26"/>
      <c r="K326" s="114"/>
      <c r="L326" s="55"/>
      <c r="V326" s="52" t="str">
        <f t="shared" ca="1" si="46"/>
        <v/>
      </c>
      <c r="W326" s="97" t="str">
        <f t="shared" ca="1" si="47"/>
        <v/>
      </c>
    </row>
    <row r="327" spans="1:23" x14ac:dyDescent="0.25">
      <c r="A327" s="102"/>
      <c r="B327" s="53"/>
      <c r="C327" s="25"/>
      <c r="D327" s="26"/>
      <c r="E327" s="53"/>
      <c r="F327" s="25"/>
      <c r="G327" s="26"/>
      <c r="H327" s="53"/>
      <c r="I327" s="25"/>
      <c r="J327" s="26"/>
      <c r="K327" s="114"/>
      <c r="L327" s="55"/>
      <c r="V327" s="52" t="str">
        <f t="shared" ca="1" si="46"/>
        <v/>
      </c>
      <c r="W327" s="97" t="str">
        <f t="shared" ca="1" si="47"/>
        <v/>
      </c>
    </row>
    <row r="328" spans="1:23" x14ac:dyDescent="0.25">
      <c r="A328" s="102"/>
      <c r="B328" s="53"/>
      <c r="C328" s="25"/>
      <c r="D328" s="26"/>
      <c r="E328" s="53"/>
      <c r="F328" s="25"/>
      <c r="G328" s="26"/>
      <c r="H328" s="53"/>
      <c r="I328" s="25"/>
      <c r="J328" s="26"/>
      <c r="K328" s="114"/>
      <c r="L328" s="55"/>
      <c r="V328" s="52" t="str">
        <f t="shared" ca="1" si="46"/>
        <v/>
      </c>
      <c r="W328" s="97" t="str">
        <f t="shared" ca="1" si="47"/>
        <v/>
      </c>
    </row>
    <row r="329" spans="1:23" x14ac:dyDescent="0.25">
      <c r="A329" s="102"/>
      <c r="B329" s="53"/>
      <c r="C329" s="25"/>
      <c r="D329" s="26"/>
      <c r="E329" s="53"/>
      <c r="F329" s="25"/>
      <c r="G329" s="26"/>
      <c r="H329" s="53"/>
      <c r="I329" s="25"/>
      <c r="J329" s="26"/>
      <c r="K329" s="114"/>
      <c r="L329" s="55"/>
      <c r="V329" s="52" t="str">
        <f t="shared" ca="1" si="46"/>
        <v/>
      </c>
      <c r="W329" s="97" t="str">
        <f t="shared" ca="1" si="47"/>
        <v/>
      </c>
    </row>
    <row r="330" spans="1:23" x14ac:dyDescent="0.25">
      <c r="A330" s="102"/>
      <c r="B330" s="53"/>
      <c r="C330" s="25"/>
      <c r="D330" s="26"/>
      <c r="E330" s="53"/>
      <c r="F330" s="25"/>
      <c r="G330" s="26"/>
      <c r="H330" s="53"/>
      <c r="I330" s="25"/>
      <c r="J330" s="26"/>
      <c r="K330" s="114"/>
      <c r="L330" s="55"/>
      <c r="V330" s="52" t="str">
        <f t="shared" ca="1" si="46"/>
        <v/>
      </c>
      <c r="W330" s="97" t="str">
        <f t="shared" ca="1" si="47"/>
        <v/>
      </c>
    </row>
    <row r="331" spans="1:23" x14ac:dyDescent="0.25">
      <c r="A331" s="102"/>
      <c r="B331" s="53"/>
      <c r="C331" s="25"/>
      <c r="D331" s="26"/>
      <c r="E331" s="53"/>
      <c r="F331" s="25"/>
      <c r="G331" s="26"/>
      <c r="H331" s="53"/>
      <c r="I331" s="25"/>
      <c r="J331" s="26"/>
      <c r="K331" s="114"/>
      <c r="L331" s="55"/>
      <c r="V331" s="52" t="str">
        <f t="shared" ca="1" si="46"/>
        <v/>
      </c>
      <c r="W331" s="97" t="str">
        <f t="shared" ca="1" si="47"/>
        <v/>
      </c>
    </row>
    <row r="332" spans="1:23" x14ac:dyDescent="0.25">
      <c r="A332" s="102"/>
      <c r="B332" s="53"/>
      <c r="C332" s="25"/>
      <c r="D332" s="26"/>
      <c r="E332" s="53"/>
      <c r="F332" s="25"/>
      <c r="G332" s="26"/>
      <c r="H332" s="53"/>
      <c r="I332" s="25"/>
      <c r="J332" s="26"/>
      <c r="K332" s="114"/>
      <c r="L332" s="55"/>
      <c r="V332" s="52" t="str">
        <f t="shared" ca="1" si="46"/>
        <v/>
      </c>
      <c r="W332" s="97" t="str">
        <f t="shared" ca="1" si="47"/>
        <v/>
      </c>
    </row>
    <row r="333" spans="1:23" x14ac:dyDescent="0.25">
      <c r="A333" s="102"/>
      <c r="B333" s="53"/>
      <c r="C333" s="25"/>
      <c r="D333" s="26"/>
      <c r="E333" s="53"/>
      <c r="F333" s="25"/>
      <c r="G333" s="26"/>
      <c r="H333" s="53"/>
      <c r="I333" s="25"/>
      <c r="J333" s="26"/>
      <c r="K333" s="114"/>
      <c r="L333" s="55"/>
      <c r="V333" s="52" t="str">
        <f t="shared" ca="1" si="46"/>
        <v/>
      </c>
      <c r="W333" s="97" t="str">
        <f t="shared" ca="1" si="47"/>
        <v/>
      </c>
    </row>
    <row r="334" spans="1:23" x14ac:dyDescent="0.25">
      <c r="A334" s="102"/>
      <c r="B334" s="53"/>
      <c r="C334" s="25"/>
      <c r="D334" s="26"/>
      <c r="E334" s="53"/>
      <c r="F334" s="25"/>
      <c r="G334" s="26"/>
      <c r="H334" s="53"/>
      <c r="I334" s="25"/>
      <c r="J334" s="26"/>
      <c r="K334" s="114"/>
      <c r="L334" s="55"/>
      <c r="V334" s="52" t="str">
        <f t="shared" ca="1" si="46"/>
        <v/>
      </c>
      <c r="W334" s="97" t="str">
        <f t="shared" ca="1" si="47"/>
        <v/>
      </c>
    </row>
    <row r="335" spans="1:23" x14ac:dyDescent="0.25">
      <c r="A335" s="102"/>
      <c r="B335" s="53"/>
      <c r="C335" s="25"/>
      <c r="D335" s="26"/>
      <c r="E335" s="53"/>
      <c r="F335" s="25"/>
      <c r="G335" s="26"/>
      <c r="H335" s="53"/>
      <c r="I335" s="25"/>
      <c r="J335" s="26"/>
      <c r="K335" s="114"/>
      <c r="L335" s="55"/>
      <c r="V335" s="52" t="str">
        <f t="shared" ca="1" si="46"/>
        <v/>
      </c>
      <c r="W335" s="97" t="str">
        <f t="shared" ca="1" si="47"/>
        <v/>
      </c>
    </row>
    <row r="336" spans="1:23" x14ac:dyDescent="0.25">
      <c r="A336" s="102"/>
      <c r="B336" s="53"/>
      <c r="C336" s="25"/>
      <c r="D336" s="26"/>
      <c r="E336" s="53"/>
      <c r="F336" s="25"/>
      <c r="G336" s="26"/>
      <c r="H336" s="53"/>
      <c r="I336" s="25"/>
      <c r="J336" s="26"/>
      <c r="K336" s="114"/>
      <c r="L336" s="55"/>
      <c r="V336" s="52" t="str">
        <f t="shared" ca="1" si="46"/>
        <v/>
      </c>
      <c r="W336" s="97" t="str">
        <f t="shared" ca="1" si="47"/>
        <v/>
      </c>
    </row>
    <row r="337" spans="1:23" x14ac:dyDescent="0.25">
      <c r="A337" s="102"/>
      <c r="B337" s="53"/>
      <c r="C337" s="25"/>
      <c r="D337" s="26"/>
      <c r="E337" s="53"/>
      <c r="F337" s="25"/>
      <c r="G337" s="26"/>
      <c r="H337" s="53"/>
      <c r="I337" s="25"/>
      <c r="J337" s="26"/>
      <c r="K337" s="114"/>
      <c r="L337" s="55"/>
      <c r="V337" s="52" t="str">
        <f t="shared" ca="1" si="46"/>
        <v/>
      </c>
      <c r="W337" s="97" t="str">
        <f t="shared" ca="1" si="47"/>
        <v/>
      </c>
    </row>
    <row r="338" spans="1:23" x14ac:dyDescent="0.25">
      <c r="A338" s="102"/>
      <c r="B338" s="53"/>
      <c r="C338" s="25"/>
      <c r="D338" s="26"/>
      <c r="E338" s="53"/>
      <c r="F338" s="25"/>
      <c r="G338" s="26"/>
      <c r="H338" s="53"/>
      <c r="I338" s="25"/>
      <c r="J338" s="26"/>
      <c r="K338" s="114"/>
      <c r="L338" s="55"/>
      <c r="V338" s="52" t="str">
        <f t="shared" ca="1" si="46"/>
        <v/>
      </c>
      <c r="W338" s="97" t="str">
        <f t="shared" ca="1" si="47"/>
        <v/>
      </c>
    </row>
    <row r="339" spans="1:23" x14ac:dyDescent="0.25">
      <c r="A339" s="102"/>
      <c r="B339" s="53"/>
      <c r="C339" s="25"/>
      <c r="D339" s="26"/>
      <c r="E339" s="53"/>
      <c r="F339" s="25"/>
      <c r="G339" s="26"/>
      <c r="H339" s="53"/>
      <c r="I339" s="25"/>
      <c r="J339" s="26"/>
      <c r="K339" s="114"/>
      <c r="L339" s="55"/>
      <c r="V339" s="52" t="str">
        <f t="shared" ca="1" si="46"/>
        <v/>
      </c>
      <c r="W339" s="97" t="str">
        <f t="shared" ca="1" si="47"/>
        <v/>
      </c>
    </row>
    <row r="340" spans="1:23" x14ac:dyDescent="0.25">
      <c r="A340" s="102"/>
      <c r="B340" s="53"/>
      <c r="C340" s="25"/>
      <c r="D340" s="26"/>
      <c r="E340" s="53"/>
      <c r="F340" s="25"/>
      <c r="G340" s="26"/>
      <c r="H340" s="53"/>
      <c r="I340" s="25"/>
      <c r="J340" s="26"/>
      <c r="K340" s="114"/>
      <c r="L340" s="55"/>
      <c r="V340" s="52" t="str">
        <f t="shared" ca="1" si="46"/>
        <v/>
      </c>
      <c r="W340" s="97" t="str">
        <f t="shared" ca="1" si="47"/>
        <v/>
      </c>
    </row>
    <row r="341" spans="1:23" x14ac:dyDescent="0.25">
      <c r="A341" s="102"/>
      <c r="B341" s="53"/>
      <c r="C341" s="25"/>
      <c r="D341" s="26"/>
      <c r="E341" s="53"/>
      <c r="F341" s="25"/>
      <c r="G341" s="26"/>
      <c r="H341" s="53"/>
      <c r="I341" s="25"/>
      <c r="J341" s="26"/>
      <c r="K341" s="114"/>
      <c r="L341" s="55"/>
      <c r="V341" s="52" t="str">
        <f t="shared" ca="1" si="46"/>
        <v/>
      </c>
      <c r="W341" s="97" t="str">
        <f t="shared" ca="1" si="47"/>
        <v/>
      </c>
    </row>
    <row r="342" spans="1:23" x14ac:dyDescent="0.25">
      <c r="A342" s="102"/>
      <c r="B342" s="53"/>
      <c r="C342" s="25"/>
      <c r="D342" s="26"/>
      <c r="E342" s="53"/>
      <c r="F342" s="25"/>
      <c r="G342" s="26"/>
      <c r="H342" s="53"/>
      <c r="I342" s="25"/>
      <c r="J342" s="26"/>
      <c r="K342" s="114"/>
      <c r="L342" s="55"/>
      <c r="V342" s="52" t="str">
        <f t="shared" ca="1" si="46"/>
        <v/>
      </c>
      <c r="W342" s="97" t="str">
        <f t="shared" ca="1" si="47"/>
        <v/>
      </c>
    </row>
    <row r="343" spans="1:23" x14ac:dyDescent="0.25">
      <c r="A343" s="102"/>
      <c r="B343" s="53"/>
      <c r="C343" s="25"/>
      <c r="D343" s="26"/>
      <c r="E343" s="53"/>
      <c r="F343" s="25"/>
      <c r="G343" s="26"/>
      <c r="H343" s="53"/>
      <c r="I343" s="25"/>
      <c r="J343" s="26"/>
      <c r="K343" s="114"/>
      <c r="L343" s="55"/>
      <c r="V343" s="52" t="str">
        <f t="shared" ca="1" si="46"/>
        <v/>
      </c>
      <c r="W343" s="97" t="str">
        <f t="shared" ca="1" si="47"/>
        <v/>
      </c>
    </row>
    <row r="344" spans="1:23" x14ac:dyDescent="0.25">
      <c r="A344" s="102"/>
      <c r="B344" s="53"/>
      <c r="C344" s="25"/>
      <c r="D344" s="26"/>
      <c r="E344" s="53"/>
      <c r="F344" s="25"/>
      <c r="G344" s="26"/>
      <c r="H344" s="53"/>
      <c r="I344" s="25"/>
      <c r="J344" s="26"/>
      <c r="K344" s="114"/>
      <c r="L344" s="55"/>
      <c r="V344" s="52" t="str">
        <f t="shared" ca="1" si="46"/>
        <v/>
      </c>
      <c r="W344" s="97" t="str">
        <f t="shared" ca="1" si="47"/>
        <v/>
      </c>
    </row>
    <row r="345" spans="1:23" x14ac:dyDescent="0.25">
      <c r="A345" s="102"/>
      <c r="B345" s="53"/>
      <c r="C345" s="25"/>
      <c r="D345" s="26"/>
      <c r="E345" s="53"/>
      <c r="F345" s="25"/>
      <c r="G345" s="26"/>
      <c r="H345" s="53"/>
      <c r="I345" s="25"/>
      <c r="J345" s="26"/>
      <c r="K345" s="114"/>
      <c r="L345" s="55"/>
      <c r="V345" s="52" t="str">
        <f t="shared" ca="1" si="46"/>
        <v/>
      </c>
      <c r="W345" s="97" t="str">
        <f t="shared" ca="1" si="47"/>
        <v/>
      </c>
    </row>
    <row r="346" spans="1:23" x14ac:dyDescent="0.25">
      <c r="A346" s="102"/>
      <c r="B346" s="53"/>
      <c r="C346" s="25"/>
      <c r="D346" s="26"/>
      <c r="E346" s="53"/>
      <c r="F346" s="25"/>
      <c r="G346" s="26"/>
      <c r="H346" s="53"/>
      <c r="I346" s="25"/>
      <c r="J346" s="26"/>
      <c r="K346" s="114"/>
      <c r="L346" s="55"/>
      <c r="V346" s="52" t="str">
        <f t="shared" ca="1" si="46"/>
        <v/>
      </c>
      <c r="W346" s="97" t="str">
        <f t="shared" ca="1" si="47"/>
        <v/>
      </c>
    </row>
    <row r="347" spans="1:23" x14ac:dyDescent="0.25">
      <c r="A347" s="102"/>
      <c r="B347" s="53"/>
      <c r="C347" s="25"/>
      <c r="D347" s="26"/>
      <c r="E347" s="53"/>
      <c r="F347" s="25"/>
      <c r="G347" s="26"/>
      <c r="H347" s="53"/>
      <c r="I347" s="25"/>
      <c r="J347" s="26"/>
      <c r="K347" s="114"/>
      <c r="L347" s="55"/>
      <c r="V347" s="52" t="str">
        <f t="shared" ca="1" si="46"/>
        <v/>
      </c>
      <c r="W347" s="97" t="str">
        <f t="shared" ca="1" si="47"/>
        <v/>
      </c>
    </row>
    <row r="348" spans="1:23" x14ac:dyDescent="0.25">
      <c r="A348" s="102"/>
      <c r="B348" s="53"/>
      <c r="C348" s="25"/>
      <c r="D348" s="26"/>
      <c r="E348" s="53"/>
      <c r="F348" s="25"/>
      <c r="G348" s="26"/>
      <c r="H348" s="53"/>
      <c r="I348" s="25"/>
      <c r="J348" s="26"/>
      <c r="K348" s="114"/>
      <c r="L348" s="55"/>
      <c r="V348" s="52" t="str">
        <f t="shared" ca="1" si="46"/>
        <v/>
      </c>
      <c r="W348" s="97" t="str">
        <f t="shared" ca="1" si="47"/>
        <v/>
      </c>
    </row>
    <row r="349" spans="1:23" x14ac:dyDescent="0.25">
      <c r="A349" s="102"/>
      <c r="B349" s="53"/>
      <c r="C349" s="25"/>
      <c r="D349" s="26"/>
      <c r="E349" s="53"/>
      <c r="F349" s="25"/>
      <c r="G349" s="26"/>
      <c r="H349" s="53"/>
      <c r="I349" s="25"/>
      <c r="J349" s="26"/>
      <c r="K349" s="114"/>
      <c r="L349" s="55"/>
      <c r="V349" s="52" t="str">
        <f t="shared" ca="1" si="46"/>
        <v/>
      </c>
      <c r="W349" s="97" t="str">
        <f t="shared" ca="1" si="47"/>
        <v/>
      </c>
    </row>
    <row r="350" spans="1:23" x14ac:dyDescent="0.25">
      <c r="A350" s="102"/>
      <c r="B350" s="53"/>
      <c r="C350" s="25"/>
      <c r="D350" s="26"/>
      <c r="E350" s="53"/>
      <c r="F350" s="25"/>
      <c r="G350" s="26"/>
      <c r="H350" s="53"/>
      <c r="I350" s="25"/>
      <c r="J350" s="26"/>
      <c r="K350" s="114"/>
      <c r="L350" s="55"/>
      <c r="V350" s="52" t="str">
        <f t="shared" ca="1" si="46"/>
        <v/>
      </c>
      <c r="W350" s="97" t="str">
        <f t="shared" ca="1" si="47"/>
        <v/>
      </c>
    </row>
    <row r="351" spans="1:23" x14ac:dyDescent="0.25">
      <c r="A351" s="102"/>
      <c r="B351" s="53"/>
      <c r="C351" s="25"/>
      <c r="D351" s="26"/>
      <c r="E351" s="53"/>
      <c r="F351" s="25"/>
      <c r="G351" s="26"/>
      <c r="H351" s="53"/>
      <c r="I351" s="25"/>
      <c r="J351" s="26"/>
      <c r="K351" s="114"/>
      <c r="L351" s="55"/>
      <c r="V351" s="52" t="str">
        <f t="shared" ca="1" si="46"/>
        <v/>
      </c>
      <c r="W351" s="97" t="str">
        <f t="shared" ca="1" si="47"/>
        <v/>
      </c>
    </row>
    <row r="352" spans="1:23" x14ac:dyDescent="0.25">
      <c r="A352" s="102"/>
      <c r="B352" s="53"/>
      <c r="C352" s="25"/>
      <c r="D352" s="26"/>
      <c r="E352" s="53"/>
      <c r="F352" s="25"/>
      <c r="G352" s="26"/>
      <c r="H352" s="53"/>
      <c r="I352" s="25"/>
      <c r="J352" s="26"/>
      <c r="K352" s="114"/>
      <c r="L352" s="55"/>
      <c r="V352" s="52" t="str">
        <f t="shared" ca="1" si="46"/>
        <v/>
      </c>
      <c r="W352" s="97" t="str">
        <f t="shared" ca="1" si="47"/>
        <v/>
      </c>
    </row>
    <row r="353" spans="1:23" x14ac:dyDescent="0.25">
      <c r="A353" s="102"/>
      <c r="B353" s="53"/>
      <c r="C353" s="25"/>
      <c r="D353" s="26"/>
      <c r="E353" s="53"/>
      <c r="F353" s="25"/>
      <c r="G353" s="26"/>
      <c r="H353" s="53"/>
      <c r="I353" s="25"/>
      <c r="J353" s="26"/>
      <c r="K353" s="114"/>
      <c r="L353" s="55"/>
      <c r="V353" s="52" t="str">
        <f t="shared" ca="1" si="46"/>
        <v/>
      </c>
      <c r="W353" s="97" t="str">
        <f t="shared" ca="1" si="47"/>
        <v/>
      </c>
    </row>
    <row r="354" spans="1:23" x14ac:dyDescent="0.25">
      <c r="A354" s="102"/>
      <c r="B354" s="53"/>
      <c r="C354" s="25"/>
      <c r="D354" s="26"/>
      <c r="E354" s="53"/>
      <c r="F354" s="25"/>
      <c r="G354" s="26"/>
      <c r="H354" s="53"/>
      <c r="I354" s="25"/>
      <c r="J354" s="26"/>
      <c r="K354" s="114"/>
      <c r="L354" s="55"/>
      <c r="V354" s="52" t="str">
        <f t="shared" ca="1" si="46"/>
        <v/>
      </c>
      <c r="W354" s="97" t="str">
        <f t="shared" ca="1" si="47"/>
        <v/>
      </c>
    </row>
    <row r="355" spans="1:23" x14ac:dyDescent="0.25">
      <c r="A355" s="102"/>
      <c r="B355" s="53"/>
      <c r="C355" s="25"/>
      <c r="D355" s="26"/>
      <c r="E355" s="53"/>
      <c r="F355" s="25"/>
      <c r="G355" s="26"/>
      <c r="H355" s="53"/>
      <c r="I355" s="25"/>
      <c r="J355" s="26"/>
      <c r="K355" s="114"/>
      <c r="L355" s="55"/>
      <c r="V355" s="52" t="str">
        <f t="shared" ca="1" si="46"/>
        <v/>
      </c>
      <c r="W355" s="97" t="str">
        <f t="shared" ca="1" si="47"/>
        <v/>
      </c>
    </row>
    <row r="356" spans="1:23" x14ac:dyDescent="0.25">
      <c r="A356" s="102"/>
      <c r="B356" s="53"/>
      <c r="C356" s="25"/>
      <c r="D356" s="26"/>
      <c r="E356" s="53"/>
      <c r="F356" s="25"/>
      <c r="G356" s="26"/>
      <c r="H356" s="53"/>
      <c r="I356" s="25"/>
      <c r="J356" s="26"/>
      <c r="K356" s="114"/>
      <c r="L356" s="55"/>
      <c r="V356" s="52" t="str">
        <f t="shared" ca="1" si="46"/>
        <v/>
      </c>
      <c r="W356" s="97" t="str">
        <f t="shared" ca="1" si="47"/>
        <v/>
      </c>
    </row>
    <row r="357" spans="1:23" x14ac:dyDescent="0.25">
      <c r="A357" s="102"/>
      <c r="B357" s="53"/>
      <c r="C357" s="25"/>
      <c r="D357" s="26"/>
      <c r="E357" s="53"/>
      <c r="F357" s="25"/>
      <c r="G357" s="26"/>
      <c r="H357" s="53"/>
      <c r="I357" s="25"/>
      <c r="J357" s="26"/>
      <c r="K357" s="114"/>
      <c r="L357" s="55"/>
      <c r="V357" s="52" t="str">
        <f t="shared" ca="1" si="46"/>
        <v/>
      </c>
      <c r="W357" s="97" t="str">
        <f t="shared" ca="1" si="47"/>
        <v/>
      </c>
    </row>
    <row r="358" spans="1:23" x14ac:dyDescent="0.25">
      <c r="A358" s="102"/>
      <c r="B358" s="53"/>
      <c r="C358" s="25"/>
      <c r="D358" s="26"/>
      <c r="E358" s="53"/>
      <c r="F358" s="25"/>
      <c r="G358" s="26"/>
      <c r="H358" s="53"/>
      <c r="I358" s="25"/>
      <c r="J358" s="26"/>
      <c r="K358" s="114"/>
      <c r="L358" s="55"/>
      <c r="V358" s="52" t="str">
        <f t="shared" ca="1" si="46"/>
        <v/>
      </c>
      <c r="W358" s="97" t="str">
        <f t="shared" ca="1" si="47"/>
        <v/>
      </c>
    </row>
    <row r="359" spans="1:23" x14ac:dyDescent="0.25">
      <c r="A359" s="102"/>
      <c r="B359" s="53"/>
      <c r="C359" s="25"/>
      <c r="D359" s="26"/>
      <c r="E359" s="53"/>
      <c r="F359" s="25"/>
      <c r="G359" s="26"/>
      <c r="H359" s="53"/>
      <c r="I359" s="25"/>
      <c r="J359" s="26"/>
      <c r="K359" s="114"/>
      <c r="L359" s="55"/>
      <c r="V359" s="52" t="str">
        <f t="shared" ca="1" si="46"/>
        <v/>
      </c>
      <c r="W359" s="97" t="str">
        <f t="shared" ca="1" si="47"/>
        <v/>
      </c>
    </row>
    <row r="360" spans="1:23" x14ac:dyDescent="0.25">
      <c r="A360" s="102"/>
      <c r="B360" s="53"/>
      <c r="C360" s="25"/>
      <c r="D360" s="26"/>
      <c r="E360" s="53"/>
      <c r="F360" s="25"/>
      <c r="G360" s="26"/>
      <c r="H360" s="53"/>
      <c r="I360" s="25"/>
      <c r="J360" s="26"/>
      <c r="K360" s="114"/>
      <c r="L360" s="55"/>
      <c r="V360" s="52" t="str">
        <f t="shared" ca="1" si="46"/>
        <v/>
      </c>
      <c r="W360" s="97" t="str">
        <f t="shared" ca="1" si="47"/>
        <v/>
      </c>
    </row>
    <row r="361" spans="1:23" x14ac:dyDescent="0.25">
      <c r="A361" s="102"/>
      <c r="B361" s="53"/>
      <c r="C361" s="25"/>
      <c r="D361" s="26"/>
      <c r="E361" s="53"/>
      <c r="F361" s="25"/>
      <c r="G361" s="26"/>
      <c r="H361" s="53"/>
      <c r="I361" s="25"/>
      <c r="J361" s="26"/>
      <c r="K361" s="114"/>
      <c r="L361" s="55"/>
      <c r="V361" s="52" t="str">
        <f t="shared" ca="1" si="46"/>
        <v/>
      </c>
      <c r="W361" s="97" t="str">
        <f t="shared" ca="1" si="47"/>
        <v/>
      </c>
    </row>
    <row r="362" spans="1:23" x14ac:dyDescent="0.25">
      <c r="A362" s="102"/>
      <c r="B362" s="53"/>
      <c r="C362" s="25"/>
      <c r="D362" s="26"/>
      <c r="E362" s="53"/>
      <c r="F362" s="25"/>
      <c r="G362" s="26"/>
      <c r="H362" s="53"/>
      <c r="I362" s="25"/>
      <c r="J362" s="26"/>
      <c r="K362" s="114"/>
      <c r="L362" s="55"/>
      <c r="V362" s="52" t="str">
        <f t="shared" ca="1" si="46"/>
        <v/>
      </c>
      <c r="W362" s="97" t="str">
        <f t="shared" ca="1" si="47"/>
        <v/>
      </c>
    </row>
    <row r="363" spans="1:23" x14ac:dyDescent="0.25">
      <c r="A363" s="102"/>
      <c r="B363" s="53"/>
      <c r="C363" s="25"/>
      <c r="D363" s="26"/>
      <c r="E363" s="53"/>
      <c r="F363" s="25"/>
      <c r="G363" s="26"/>
      <c r="H363" s="53"/>
      <c r="I363" s="25"/>
      <c r="J363" s="26"/>
      <c r="K363" s="114"/>
      <c r="L363" s="55"/>
      <c r="V363" s="52" t="str">
        <f t="shared" ca="1" si="46"/>
        <v/>
      </c>
      <c r="W363" s="97" t="str">
        <f t="shared" ca="1" si="47"/>
        <v/>
      </c>
    </row>
    <row r="364" spans="1:23" x14ac:dyDescent="0.25">
      <c r="A364" s="102"/>
      <c r="B364" s="53"/>
      <c r="C364" s="25"/>
      <c r="D364" s="26"/>
      <c r="E364" s="53"/>
      <c r="F364" s="25"/>
      <c r="G364" s="26"/>
      <c r="H364" s="53"/>
      <c r="I364" s="25"/>
      <c r="J364" s="26"/>
      <c r="K364" s="114"/>
      <c r="L364" s="55"/>
      <c r="V364" s="52" t="str">
        <f t="shared" ca="1" si="46"/>
        <v/>
      </c>
      <c r="W364" s="97" t="str">
        <f t="shared" ca="1" si="47"/>
        <v/>
      </c>
    </row>
    <row r="365" spans="1:23" x14ac:dyDescent="0.25">
      <c r="A365" s="102"/>
      <c r="B365" s="53"/>
      <c r="C365" s="25"/>
      <c r="D365" s="26"/>
      <c r="E365" s="53"/>
      <c r="F365" s="25"/>
      <c r="G365" s="26"/>
      <c r="H365" s="53"/>
      <c r="I365" s="25"/>
      <c r="J365" s="26"/>
      <c r="K365" s="114"/>
      <c r="L365" s="55"/>
      <c r="V365" s="52" t="str">
        <f t="shared" ca="1" si="46"/>
        <v/>
      </c>
      <c r="W365" s="97" t="str">
        <f t="shared" ca="1" si="47"/>
        <v/>
      </c>
    </row>
    <row r="366" spans="1:23" x14ac:dyDescent="0.25">
      <c r="A366" s="102"/>
      <c r="B366" s="53"/>
      <c r="C366" s="25"/>
      <c r="D366" s="26"/>
      <c r="E366" s="53"/>
      <c r="F366" s="25"/>
      <c r="G366" s="26"/>
      <c r="H366" s="53"/>
      <c r="I366" s="25"/>
      <c r="J366" s="26"/>
      <c r="K366" s="114"/>
      <c r="L366" s="55"/>
      <c r="V366" s="52" t="str">
        <f t="shared" ca="1" si="46"/>
        <v/>
      </c>
      <c r="W366" s="97" t="str">
        <f t="shared" ca="1" si="47"/>
        <v/>
      </c>
    </row>
    <row r="367" spans="1:23" x14ac:dyDescent="0.25">
      <c r="A367" s="102"/>
      <c r="B367" s="53"/>
      <c r="C367" s="25"/>
      <c r="D367" s="26"/>
      <c r="E367" s="53"/>
      <c r="F367" s="25"/>
      <c r="G367" s="26"/>
      <c r="H367" s="53"/>
      <c r="I367" s="25"/>
      <c r="J367" s="26"/>
      <c r="K367" s="114"/>
      <c r="L367" s="55"/>
      <c r="V367" s="52" t="str">
        <f t="shared" ca="1" si="46"/>
        <v/>
      </c>
      <c r="W367" s="97" t="str">
        <f t="shared" ca="1" si="47"/>
        <v/>
      </c>
    </row>
    <row r="368" spans="1:23" x14ac:dyDescent="0.25">
      <c r="A368" s="102"/>
      <c r="B368" s="53"/>
      <c r="C368" s="25"/>
      <c r="D368" s="26"/>
      <c r="E368" s="53"/>
      <c r="F368" s="25"/>
      <c r="G368" s="26"/>
      <c r="H368" s="53"/>
      <c r="I368" s="25"/>
      <c r="J368" s="26"/>
      <c r="K368" s="114"/>
      <c r="L368" s="55"/>
      <c r="V368" s="52" t="str">
        <f t="shared" ca="1" si="46"/>
        <v/>
      </c>
      <c r="W368" s="97" t="str">
        <f t="shared" ca="1" si="47"/>
        <v/>
      </c>
    </row>
    <row r="369" spans="1:23" x14ac:dyDescent="0.25">
      <c r="A369" s="102"/>
      <c r="B369" s="53"/>
      <c r="C369" s="25"/>
      <c r="D369" s="26"/>
      <c r="E369" s="53"/>
      <c r="F369" s="25"/>
      <c r="G369" s="26"/>
      <c r="H369" s="53"/>
      <c r="I369" s="25"/>
      <c r="J369" s="26"/>
      <c r="K369" s="114"/>
      <c r="L369" s="55"/>
      <c r="V369" s="52" t="str">
        <f t="shared" ca="1" si="46"/>
        <v/>
      </c>
      <c r="W369" s="97" t="str">
        <f t="shared" ca="1" si="47"/>
        <v/>
      </c>
    </row>
    <row r="370" spans="1:23" x14ac:dyDescent="0.25">
      <c r="A370" s="102"/>
      <c r="B370" s="53"/>
      <c r="C370" s="25"/>
      <c r="D370" s="26"/>
      <c r="E370" s="53"/>
      <c r="F370" s="25"/>
      <c r="G370" s="26"/>
      <c r="H370" s="53"/>
      <c r="I370" s="25"/>
      <c r="J370" s="26"/>
      <c r="K370" s="114"/>
      <c r="L370" s="55"/>
      <c r="V370" s="52" t="str">
        <f t="shared" ca="1" si="46"/>
        <v/>
      </c>
      <c r="W370" s="97" t="str">
        <f t="shared" ca="1" si="47"/>
        <v/>
      </c>
    </row>
    <row r="371" spans="1:23" x14ac:dyDescent="0.25">
      <c r="A371" s="102"/>
      <c r="B371" s="53"/>
      <c r="C371" s="25"/>
      <c r="D371" s="26"/>
      <c r="E371" s="53"/>
      <c r="F371" s="25"/>
      <c r="G371" s="26"/>
      <c r="H371" s="53"/>
      <c r="I371" s="25"/>
      <c r="J371" s="26"/>
      <c r="K371" s="114"/>
      <c r="L371" s="55"/>
      <c r="V371" s="52" t="str">
        <f t="shared" ca="1" si="46"/>
        <v/>
      </c>
      <c r="W371" s="97" t="str">
        <f t="shared" ca="1" si="47"/>
        <v/>
      </c>
    </row>
    <row r="372" spans="1:23" x14ac:dyDescent="0.25">
      <c r="A372" s="102"/>
      <c r="B372" s="53"/>
      <c r="C372" s="25"/>
      <c r="D372" s="26"/>
      <c r="E372" s="53"/>
      <c r="F372" s="25"/>
      <c r="G372" s="26"/>
      <c r="H372" s="53"/>
      <c r="I372" s="25"/>
      <c r="J372" s="26"/>
      <c r="K372" s="114"/>
      <c r="L372" s="55"/>
      <c r="V372" s="52" t="str">
        <f t="shared" ca="1" si="46"/>
        <v/>
      </c>
      <c r="W372" s="97" t="str">
        <f t="shared" ca="1" si="47"/>
        <v/>
      </c>
    </row>
    <row r="373" spans="1:23" x14ac:dyDescent="0.25">
      <c r="A373" s="102"/>
      <c r="B373" s="53"/>
      <c r="C373" s="25"/>
      <c r="D373" s="26"/>
      <c r="E373" s="53"/>
      <c r="F373" s="25"/>
      <c r="G373" s="26"/>
      <c r="H373" s="53"/>
      <c r="I373" s="25"/>
      <c r="J373" s="26"/>
      <c r="K373" s="114"/>
      <c r="L373" s="55"/>
      <c r="V373" s="52" t="str">
        <f t="shared" ca="1" si="46"/>
        <v/>
      </c>
      <c r="W373" s="97" t="str">
        <f t="shared" ca="1" si="47"/>
        <v/>
      </c>
    </row>
    <row r="374" spans="1:23" x14ac:dyDescent="0.25">
      <c r="A374" s="102"/>
      <c r="B374" s="53"/>
      <c r="C374" s="25"/>
      <c r="D374" s="26"/>
      <c r="E374" s="53"/>
      <c r="F374" s="25"/>
      <c r="G374" s="26"/>
      <c r="H374" s="53"/>
      <c r="I374" s="25"/>
      <c r="J374" s="26"/>
      <c r="K374" s="114"/>
      <c r="L374" s="55"/>
      <c r="V374" s="52" t="str">
        <f t="shared" ca="1" si="46"/>
        <v/>
      </c>
      <c r="W374" s="97" t="str">
        <f t="shared" ca="1" si="47"/>
        <v/>
      </c>
    </row>
    <row r="375" spans="1:23" x14ac:dyDescent="0.25">
      <c r="A375" s="102"/>
      <c r="B375" s="53"/>
      <c r="C375" s="25"/>
      <c r="D375" s="26"/>
      <c r="E375" s="53"/>
      <c r="F375" s="25"/>
      <c r="G375" s="26"/>
      <c r="H375" s="53"/>
      <c r="I375" s="25"/>
      <c r="J375" s="26"/>
      <c r="K375" s="114"/>
      <c r="L375" s="55"/>
      <c r="V375" s="52" t="str">
        <f t="shared" ca="1" si="46"/>
        <v/>
      </c>
      <c r="W375" s="97" t="str">
        <f t="shared" ca="1" si="47"/>
        <v/>
      </c>
    </row>
    <row r="376" spans="1:23" x14ac:dyDescent="0.25">
      <c r="A376" s="102"/>
      <c r="B376" s="53"/>
      <c r="C376" s="25"/>
      <c r="D376" s="26"/>
      <c r="E376" s="53"/>
      <c r="F376" s="25"/>
      <c r="G376" s="26"/>
      <c r="H376" s="53"/>
      <c r="I376" s="25"/>
      <c r="J376" s="26"/>
      <c r="K376" s="114"/>
      <c r="L376" s="55"/>
      <c r="V376" s="52" t="str">
        <f t="shared" ca="1" si="46"/>
        <v/>
      </c>
      <c r="W376" s="97" t="str">
        <f t="shared" ca="1" si="47"/>
        <v/>
      </c>
    </row>
    <row r="377" spans="1:23" x14ac:dyDescent="0.25">
      <c r="A377" s="102"/>
      <c r="B377" s="53"/>
      <c r="C377" s="25"/>
      <c r="D377" s="26"/>
      <c r="E377" s="53"/>
      <c r="F377" s="25"/>
      <c r="G377" s="26"/>
      <c r="H377" s="53"/>
      <c r="I377" s="25"/>
      <c r="J377" s="26"/>
      <c r="K377" s="114"/>
      <c r="L377" s="55"/>
      <c r="V377" s="52" t="str">
        <f t="shared" ca="1" si="46"/>
        <v/>
      </c>
      <c r="W377" s="97" t="str">
        <f t="shared" ca="1" si="47"/>
        <v/>
      </c>
    </row>
    <row r="378" spans="1:23" x14ac:dyDescent="0.25">
      <c r="A378" s="102"/>
      <c r="B378" s="53"/>
      <c r="C378" s="25"/>
      <c r="D378" s="26"/>
      <c r="E378" s="53"/>
      <c r="F378" s="25"/>
      <c r="G378" s="26"/>
      <c r="H378" s="53"/>
      <c r="I378" s="25"/>
      <c r="J378" s="26"/>
      <c r="K378" s="114"/>
      <c r="L378" s="55"/>
      <c r="V378" s="52" t="str">
        <f t="shared" ca="1" si="46"/>
        <v/>
      </c>
      <c r="W378" s="97" t="str">
        <f t="shared" ca="1" si="47"/>
        <v/>
      </c>
    </row>
    <row r="379" spans="1:23" x14ac:dyDescent="0.25">
      <c r="A379" s="102"/>
      <c r="B379" s="53"/>
      <c r="C379" s="25"/>
      <c r="D379" s="26"/>
      <c r="E379" s="53"/>
      <c r="F379" s="25"/>
      <c r="G379" s="26"/>
      <c r="H379" s="53"/>
      <c r="I379" s="25"/>
      <c r="J379" s="26"/>
      <c r="K379" s="114"/>
      <c r="L379" s="55"/>
      <c r="V379" s="52" t="str">
        <f t="shared" ca="1" si="46"/>
        <v/>
      </c>
      <c r="W379" s="97" t="str">
        <f t="shared" ca="1" si="47"/>
        <v/>
      </c>
    </row>
    <row r="380" spans="1:23" x14ac:dyDescent="0.25">
      <c r="V380" s="52" t="str">
        <f t="shared" ca="1" si="46"/>
        <v/>
      </c>
      <c r="W380" s="97" t="str">
        <f t="shared" ca="1" si="47"/>
        <v/>
      </c>
    </row>
    <row r="381" spans="1:23" x14ac:dyDescent="0.25">
      <c r="V381" s="52" t="str">
        <f t="shared" ca="1" si="46"/>
        <v/>
      </c>
      <c r="W381" s="97" t="str">
        <f t="shared" ca="1" si="47"/>
        <v/>
      </c>
    </row>
    <row r="382" spans="1:23" x14ac:dyDescent="0.25">
      <c r="V382" s="52" t="str">
        <f t="shared" ca="1" si="46"/>
        <v/>
      </c>
      <c r="W382" s="97" t="str">
        <f t="shared" ca="1" si="47"/>
        <v/>
      </c>
    </row>
    <row r="383" spans="1:23" x14ac:dyDescent="0.25">
      <c r="V383" s="52" t="str">
        <f t="shared" ca="1" si="46"/>
        <v/>
      </c>
      <c r="W383" s="97" t="str">
        <f t="shared" ca="1" si="47"/>
        <v/>
      </c>
    </row>
    <row r="384" spans="1:23" x14ac:dyDescent="0.25">
      <c r="V384" s="52" t="str">
        <f t="shared" ca="1" si="46"/>
        <v/>
      </c>
      <c r="W384" s="97" t="str">
        <f t="shared" ca="1" si="47"/>
        <v/>
      </c>
    </row>
    <row r="385" spans="22:23" x14ac:dyDescent="0.25">
      <c r="V385" s="52" t="str">
        <f t="shared" ca="1" si="46"/>
        <v/>
      </c>
      <c r="W385" s="97" t="str">
        <f t="shared" ca="1" si="47"/>
        <v/>
      </c>
    </row>
    <row r="386" spans="22:23" x14ac:dyDescent="0.25">
      <c r="V386" s="52" t="str">
        <f t="shared" ca="1" si="46"/>
        <v/>
      </c>
      <c r="W386" s="97" t="str">
        <f t="shared" ca="1" si="47"/>
        <v/>
      </c>
    </row>
    <row r="387" spans="22:23" x14ac:dyDescent="0.25">
      <c r="V387" s="52" t="str">
        <f t="shared" ca="1" si="46"/>
        <v/>
      </c>
      <c r="W387" s="97" t="str">
        <f t="shared" ca="1" si="47"/>
        <v/>
      </c>
    </row>
    <row r="388" spans="22:23" x14ac:dyDescent="0.25">
      <c r="V388" s="52" t="str">
        <f t="shared" ref="V388:V451" ca="1" si="48">IF(COUNTIF(P:P,N388)*COUNTIF(R:R,N388)*COUNTIF(T:T,N388),N388,"")</f>
        <v/>
      </c>
      <c r="W388" s="97" t="str">
        <f t="shared" ref="W388:W451" ca="1" si="49">IF(V388&gt;=$A$14,V388,"")</f>
        <v/>
      </c>
    </row>
    <row r="389" spans="22:23" x14ac:dyDescent="0.25">
      <c r="V389" s="52" t="str">
        <f t="shared" ca="1" si="48"/>
        <v/>
      </c>
      <c r="W389" s="97" t="str">
        <f t="shared" ca="1" si="49"/>
        <v/>
      </c>
    </row>
    <row r="390" spans="22:23" x14ac:dyDescent="0.25">
      <c r="V390" s="52" t="str">
        <f t="shared" ca="1" si="48"/>
        <v/>
      </c>
      <c r="W390" s="97" t="str">
        <f t="shared" ca="1" si="49"/>
        <v/>
      </c>
    </row>
    <row r="391" spans="22:23" x14ac:dyDescent="0.25">
      <c r="V391" s="52" t="str">
        <f t="shared" ca="1" si="48"/>
        <v/>
      </c>
      <c r="W391" s="97" t="str">
        <f t="shared" ca="1" si="49"/>
        <v/>
      </c>
    </row>
    <row r="392" spans="22:23" x14ac:dyDescent="0.25">
      <c r="V392" s="52" t="str">
        <f t="shared" ca="1" si="48"/>
        <v/>
      </c>
      <c r="W392" s="97" t="str">
        <f t="shared" ca="1" si="49"/>
        <v/>
      </c>
    </row>
    <row r="393" spans="22:23" x14ac:dyDescent="0.25">
      <c r="V393" s="52" t="str">
        <f t="shared" ca="1" si="48"/>
        <v/>
      </c>
      <c r="W393" s="97" t="str">
        <f t="shared" ca="1" si="49"/>
        <v/>
      </c>
    </row>
    <row r="394" spans="22:23" x14ac:dyDescent="0.25">
      <c r="V394" s="52" t="str">
        <f t="shared" ca="1" si="48"/>
        <v/>
      </c>
      <c r="W394" s="97" t="str">
        <f t="shared" ca="1" si="49"/>
        <v/>
      </c>
    </row>
    <row r="395" spans="22:23" x14ac:dyDescent="0.25">
      <c r="V395" s="52" t="str">
        <f t="shared" ca="1" si="48"/>
        <v/>
      </c>
      <c r="W395" s="97" t="str">
        <f t="shared" ca="1" si="49"/>
        <v/>
      </c>
    </row>
    <row r="396" spans="22:23" x14ac:dyDescent="0.25">
      <c r="V396" s="52" t="str">
        <f t="shared" ca="1" si="48"/>
        <v/>
      </c>
      <c r="W396" s="97" t="str">
        <f t="shared" ca="1" si="49"/>
        <v/>
      </c>
    </row>
    <row r="397" spans="22:23" x14ac:dyDescent="0.25">
      <c r="V397" s="52" t="str">
        <f t="shared" ca="1" si="48"/>
        <v/>
      </c>
      <c r="W397" s="97" t="str">
        <f t="shared" ca="1" si="49"/>
        <v/>
      </c>
    </row>
    <row r="398" spans="22:23" x14ac:dyDescent="0.25">
      <c r="V398" s="52" t="str">
        <f t="shared" ca="1" si="48"/>
        <v/>
      </c>
      <c r="W398" s="97" t="str">
        <f t="shared" ca="1" si="49"/>
        <v/>
      </c>
    </row>
    <row r="399" spans="22:23" x14ac:dyDescent="0.25">
      <c r="V399" s="52" t="str">
        <f t="shared" ca="1" si="48"/>
        <v/>
      </c>
      <c r="W399" s="97" t="str">
        <f t="shared" ca="1" si="49"/>
        <v/>
      </c>
    </row>
    <row r="400" spans="22:23" x14ac:dyDescent="0.25">
      <c r="V400" s="52" t="str">
        <f t="shared" ca="1" si="48"/>
        <v/>
      </c>
      <c r="W400" s="97" t="str">
        <f t="shared" ca="1" si="49"/>
        <v/>
      </c>
    </row>
    <row r="401" spans="22:23" x14ac:dyDescent="0.25">
      <c r="V401" s="52" t="str">
        <f t="shared" ca="1" si="48"/>
        <v/>
      </c>
      <c r="W401" s="97" t="str">
        <f t="shared" ca="1" si="49"/>
        <v/>
      </c>
    </row>
    <row r="402" spans="22:23" x14ac:dyDescent="0.25">
      <c r="V402" s="52" t="str">
        <f t="shared" ca="1" si="48"/>
        <v/>
      </c>
      <c r="W402" s="97" t="str">
        <f t="shared" ca="1" si="49"/>
        <v/>
      </c>
    </row>
    <row r="403" spans="22:23" x14ac:dyDescent="0.25">
      <c r="V403" s="52" t="str">
        <f t="shared" ca="1" si="48"/>
        <v/>
      </c>
      <c r="W403" s="97" t="str">
        <f t="shared" ca="1" si="49"/>
        <v/>
      </c>
    </row>
    <row r="404" spans="22:23" x14ac:dyDescent="0.25">
      <c r="V404" s="52" t="str">
        <f t="shared" ca="1" si="48"/>
        <v/>
      </c>
      <c r="W404" s="97" t="str">
        <f t="shared" ca="1" si="49"/>
        <v/>
      </c>
    </row>
    <row r="405" spans="22:23" x14ac:dyDescent="0.25">
      <c r="V405" s="52" t="str">
        <f t="shared" ca="1" si="48"/>
        <v/>
      </c>
      <c r="W405" s="97" t="str">
        <f t="shared" ca="1" si="49"/>
        <v/>
      </c>
    </row>
    <row r="406" spans="22:23" x14ac:dyDescent="0.25">
      <c r="V406" s="52" t="str">
        <f t="shared" ca="1" si="48"/>
        <v/>
      </c>
      <c r="W406" s="97" t="str">
        <f t="shared" ca="1" si="49"/>
        <v/>
      </c>
    </row>
    <row r="407" spans="22:23" x14ac:dyDescent="0.25">
      <c r="V407" s="52" t="str">
        <f t="shared" ca="1" si="48"/>
        <v/>
      </c>
      <c r="W407" s="97" t="str">
        <f t="shared" ca="1" si="49"/>
        <v/>
      </c>
    </row>
    <row r="408" spans="22:23" x14ac:dyDescent="0.25">
      <c r="V408" s="52" t="str">
        <f t="shared" ca="1" si="48"/>
        <v/>
      </c>
      <c r="W408" s="97" t="str">
        <f t="shared" ca="1" si="49"/>
        <v/>
      </c>
    </row>
    <row r="409" spans="22:23" x14ac:dyDescent="0.25">
      <c r="V409" s="52" t="str">
        <f t="shared" ca="1" si="48"/>
        <v/>
      </c>
      <c r="W409" s="97" t="str">
        <f t="shared" ca="1" si="49"/>
        <v/>
      </c>
    </row>
    <row r="410" spans="22:23" x14ac:dyDescent="0.25">
      <c r="V410" s="52" t="str">
        <f t="shared" ca="1" si="48"/>
        <v/>
      </c>
      <c r="W410" s="97" t="str">
        <f t="shared" ca="1" si="49"/>
        <v/>
      </c>
    </row>
    <row r="411" spans="22:23" x14ac:dyDescent="0.25">
      <c r="V411" s="52" t="str">
        <f t="shared" ca="1" si="48"/>
        <v/>
      </c>
      <c r="W411" s="97" t="str">
        <f t="shared" ca="1" si="49"/>
        <v/>
      </c>
    </row>
    <row r="412" spans="22:23" x14ac:dyDescent="0.25">
      <c r="V412" s="52" t="str">
        <f t="shared" ca="1" si="48"/>
        <v/>
      </c>
      <c r="W412" s="97" t="str">
        <f t="shared" ca="1" si="49"/>
        <v/>
      </c>
    </row>
    <row r="413" spans="22:23" x14ac:dyDescent="0.25">
      <c r="V413" s="52" t="str">
        <f t="shared" ca="1" si="48"/>
        <v/>
      </c>
      <c r="W413" s="97" t="str">
        <f t="shared" ca="1" si="49"/>
        <v/>
      </c>
    </row>
    <row r="414" spans="22:23" x14ac:dyDescent="0.25">
      <c r="V414" s="52" t="str">
        <f t="shared" ca="1" si="48"/>
        <v/>
      </c>
      <c r="W414" s="97" t="str">
        <f t="shared" ca="1" si="49"/>
        <v/>
      </c>
    </row>
    <row r="415" spans="22:23" x14ac:dyDescent="0.25">
      <c r="V415" s="52" t="str">
        <f t="shared" ca="1" si="48"/>
        <v/>
      </c>
      <c r="W415" s="97" t="str">
        <f t="shared" ca="1" si="49"/>
        <v/>
      </c>
    </row>
    <row r="416" spans="22:23" x14ac:dyDescent="0.25">
      <c r="V416" s="52" t="str">
        <f t="shared" ca="1" si="48"/>
        <v/>
      </c>
      <c r="W416" s="97" t="str">
        <f t="shared" ca="1" si="49"/>
        <v/>
      </c>
    </row>
    <row r="417" spans="22:23" x14ac:dyDescent="0.25">
      <c r="V417" s="52" t="str">
        <f t="shared" ca="1" si="48"/>
        <v/>
      </c>
      <c r="W417" s="97" t="str">
        <f t="shared" ca="1" si="49"/>
        <v/>
      </c>
    </row>
    <row r="418" spans="22:23" x14ac:dyDescent="0.25">
      <c r="V418" s="52" t="str">
        <f t="shared" ca="1" si="48"/>
        <v/>
      </c>
      <c r="W418" s="97" t="str">
        <f t="shared" ca="1" si="49"/>
        <v/>
      </c>
    </row>
    <row r="419" spans="22:23" x14ac:dyDescent="0.25">
      <c r="V419" s="52" t="str">
        <f t="shared" ca="1" si="48"/>
        <v/>
      </c>
      <c r="W419" s="97" t="str">
        <f t="shared" ca="1" si="49"/>
        <v/>
      </c>
    </row>
    <row r="420" spans="22:23" x14ac:dyDescent="0.25">
      <c r="V420" s="52" t="str">
        <f t="shared" ca="1" si="48"/>
        <v/>
      </c>
      <c r="W420" s="97" t="str">
        <f t="shared" ca="1" si="49"/>
        <v/>
      </c>
    </row>
    <row r="421" spans="22:23" x14ac:dyDescent="0.25">
      <c r="V421" s="52" t="str">
        <f t="shared" ca="1" si="48"/>
        <v/>
      </c>
      <c r="W421" s="97" t="str">
        <f t="shared" ca="1" si="49"/>
        <v/>
      </c>
    </row>
    <row r="422" spans="22:23" x14ac:dyDescent="0.25">
      <c r="V422" s="52" t="str">
        <f t="shared" ca="1" si="48"/>
        <v/>
      </c>
      <c r="W422" s="97" t="str">
        <f t="shared" ca="1" si="49"/>
        <v/>
      </c>
    </row>
    <row r="423" spans="22:23" x14ac:dyDescent="0.25">
      <c r="V423" s="52" t="str">
        <f t="shared" ca="1" si="48"/>
        <v/>
      </c>
      <c r="W423" s="97" t="str">
        <f t="shared" ca="1" si="49"/>
        <v/>
      </c>
    </row>
    <row r="424" spans="22:23" x14ac:dyDescent="0.25">
      <c r="V424" s="52" t="str">
        <f t="shared" ca="1" si="48"/>
        <v/>
      </c>
      <c r="W424" s="97" t="str">
        <f t="shared" ca="1" si="49"/>
        <v/>
      </c>
    </row>
    <row r="425" spans="22:23" x14ac:dyDescent="0.25">
      <c r="V425" s="52" t="str">
        <f t="shared" ca="1" si="48"/>
        <v/>
      </c>
      <c r="W425" s="97" t="str">
        <f t="shared" ca="1" si="49"/>
        <v/>
      </c>
    </row>
    <row r="426" spans="22:23" x14ac:dyDescent="0.25">
      <c r="V426" s="52" t="str">
        <f t="shared" ca="1" si="48"/>
        <v/>
      </c>
      <c r="W426" s="97" t="str">
        <f t="shared" ca="1" si="49"/>
        <v/>
      </c>
    </row>
    <row r="427" spans="22:23" x14ac:dyDescent="0.25">
      <c r="V427" s="52" t="str">
        <f t="shared" ca="1" si="48"/>
        <v/>
      </c>
      <c r="W427" s="97" t="str">
        <f t="shared" ca="1" si="49"/>
        <v/>
      </c>
    </row>
    <row r="428" spans="22:23" x14ac:dyDescent="0.25">
      <c r="V428" s="52" t="str">
        <f t="shared" ca="1" si="48"/>
        <v/>
      </c>
      <c r="W428" s="97" t="str">
        <f t="shared" ca="1" si="49"/>
        <v/>
      </c>
    </row>
    <row r="429" spans="22:23" x14ac:dyDescent="0.25">
      <c r="V429" s="52" t="str">
        <f t="shared" ca="1" si="48"/>
        <v/>
      </c>
      <c r="W429" s="97" t="str">
        <f t="shared" ca="1" si="49"/>
        <v/>
      </c>
    </row>
    <row r="430" spans="22:23" x14ac:dyDescent="0.25">
      <c r="V430" s="52" t="str">
        <f t="shared" ca="1" si="48"/>
        <v/>
      </c>
      <c r="W430" s="97" t="str">
        <f t="shared" ca="1" si="49"/>
        <v/>
      </c>
    </row>
    <row r="431" spans="22:23" x14ac:dyDescent="0.25">
      <c r="V431" s="52" t="str">
        <f t="shared" ca="1" si="48"/>
        <v/>
      </c>
      <c r="W431" s="97" t="str">
        <f t="shared" ca="1" si="49"/>
        <v/>
      </c>
    </row>
    <row r="432" spans="22:23" x14ac:dyDescent="0.25">
      <c r="V432" s="52" t="str">
        <f t="shared" ca="1" si="48"/>
        <v/>
      </c>
      <c r="W432" s="97" t="str">
        <f t="shared" ca="1" si="49"/>
        <v/>
      </c>
    </row>
    <row r="433" spans="22:23" x14ac:dyDescent="0.25">
      <c r="V433" s="52" t="str">
        <f t="shared" ca="1" si="48"/>
        <v/>
      </c>
      <c r="W433" s="97" t="str">
        <f t="shared" ca="1" si="49"/>
        <v/>
      </c>
    </row>
    <row r="434" spans="22:23" x14ac:dyDescent="0.25">
      <c r="V434" s="52" t="str">
        <f t="shared" ca="1" si="48"/>
        <v/>
      </c>
      <c r="W434" s="97" t="str">
        <f t="shared" ca="1" si="49"/>
        <v/>
      </c>
    </row>
    <row r="435" spans="22:23" x14ac:dyDescent="0.25">
      <c r="V435" s="52" t="str">
        <f t="shared" ca="1" si="48"/>
        <v/>
      </c>
      <c r="W435" s="97" t="str">
        <f t="shared" ca="1" si="49"/>
        <v/>
      </c>
    </row>
    <row r="436" spans="22:23" x14ac:dyDescent="0.25">
      <c r="V436" s="52" t="str">
        <f t="shared" ca="1" si="48"/>
        <v/>
      </c>
      <c r="W436" s="97" t="str">
        <f t="shared" ca="1" si="49"/>
        <v/>
      </c>
    </row>
    <row r="437" spans="22:23" x14ac:dyDescent="0.25">
      <c r="V437" s="52" t="str">
        <f t="shared" ca="1" si="48"/>
        <v/>
      </c>
      <c r="W437" s="97" t="str">
        <f t="shared" ca="1" si="49"/>
        <v/>
      </c>
    </row>
    <row r="438" spans="22:23" x14ac:dyDescent="0.25">
      <c r="V438" s="52" t="str">
        <f t="shared" ca="1" si="48"/>
        <v/>
      </c>
      <c r="W438" s="97" t="str">
        <f t="shared" ca="1" si="49"/>
        <v/>
      </c>
    </row>
    <row r="439" spans="22:23" x14ac:dyDescent="0.25">
      <c r="V439" s="52" t="str">
        <f t="shared" ca="1" si="48"/>
        <v/>
      </c>
      <c r="W439" s="97" t="str">
        <f t="shared" ca="1" si="49"/>
        <v/>
      </c>
    </row>
    <row r="440" spans="22:23" x14ac:dyDescent="0.25">
      <c r="V440" s="52" t="str">
        <f t="shared" ca="1" si="48"/>
        <v/>
      </c>
      <c r="W440" s="97" t="str">
        <f t="shared" ca="1" si="49"/>
        <v/>
      </c>
    </row>
    <row r="441" spans="22:23" x14ac:dyDescent="0.25">
      <c r="V441" s="52" t="str">
        <f t="shared" ca="1" si="48"/>
        <v/>
      </c>
      <c r="W441" s="97" t="str">
        <f t="shared" ca="1" si="49"/>
        <v/>
      </c>
    </row>
    <row r="442" spans="22:23" x14ac:dyDescent="0.25">
      <c r="V442" s="52" t="str">
        <f t="shared" ca="1" si="48"/>
        <v/>
      </c>
      <c r="W442" s="97" t="str">
        <f t="shared" ca="1" si="49"/>
        <v/>
      </c>
    </row>
    <row r="443" spans="22:23" x14ac:dyDescent="0.25">
      <c r="V443" s="52" t="str">
        <f t="shared" ca="1" si="48"/>
        <v/>
      </c>
      <c r="W443" s="97" t="str">
        <f t="shared" ca="1" si="49"/>
        <v/>
      </c>
    </row>
    <row r="444" spans="22:23" x14ac:dyDescent="0.25">
      <c r="V444" s="52" t="str">
        <f t="shared" ca="1" si="48"/>
        <v/>
      </c>
      <c r="W444" s="97" t="str">
        <f t="shared" ca="1" si="49"/>
        <v/>
      </c>
    </row>
    <row r="445" spans="22:23" x14ac:dyDescent="0.25">
      <c r="V445" s="52" t="str">
        <f t="shared" ca="1" si="48"/>
        <v/>
      </c>
      <c r="W445" s="97" t="str">
        <f t="shared" ca="1" si="49"/>
        <v/>
      </c>
    </row>
    <row r="446" spans="22:23" x14ac:dyDescent="0.25">
      <c r="V446" s="52" t="str">
        <f t="shared" ca="1" si="48"/>
        <v/>
      </c>
      <c r="W446" s="97" t="str">
        <f t="shared" ca="1" si="49"/>
        <v/>
      </c>
    </row>
    <row r="447" spans="22:23" x14ac:dyDescent="0.25">
      <c r="V447" s="52" t="str">
        <f t="shared" ca="1" si="48"/>
        <v/>
      </c>
      <c r="W447" s="97" t="str">
        <f t="shared" ca="1" si="49"/>
        <v/>
      </c>
    </row>
    <row r="448" spans="22:23" x14ac:dyDescent="0.25">
      <c r="V448" s="52" t="str">
        <f t="shared" ca="1" si="48"/>
        <v/>
      </c>
      <c r="W448" s="97" t="str">
        <f t="shared" ca="1" si="49"/>
        <v/>
      </c>
    </row>
    <row r="449" spans="22:23" x14ac:dyDescent="0.25">
      <c r="V449" s="52" t="str">
        <f t="shared" ca="1" si="48"/>
        <v/>
      </c>
      <c r="W449" s="97" t="str">
        <f t="shared" ca="1" si="49"/>
        <v/>
      </c>
    </row>
    <row r="450" spans="22:23" x14ac:dyDescent="0.25">
      <c r="V450" s="52" t="str">
        <f t="shared" ca="1" si="48"/>
        <v/>
      </c>
      <c r="W450" s="97" t="str">
        <f t="shared" ca="1" si="49"/>
        <v/>
      </c>
    </row>
    <row r="451" spans="22:23" x14ac:dyDescent="0.25">
      <c r="V451" s="52" t="str">
        <f t="shared" ca="1" si="48"/>
        <v/>
      </c>
      <c r="W451" s="97" t="str">
        <f t="shared" ca="1" si="49"/>
        <v/>
      </c>
    </row>
    <row r="452" spans="22:23" x14ac:dyDescent="0.25">
      <c r="V452" s="52" t="str">
        <f t="shared" ref="V452:V515" ca="1" si="50">IF(COUNTIF(P:P,N452)*COUNTIF(R:R,N452)*COUNTIF(T:T,N452),N452,"")</f>
        <v/>
      </c>
      <c r="W452" s="97" t="str">
        <f t="shared" ref="W452:W515" ca="1" si="51">IF(V452&gt;=$A$14,V452,"")</f>
        <v/>
      </c>
    </row>
    <row r="453" spans="22:23" x14ac:dyDescent="0.25">
      <c r="V453" s="52" t="str">
        <f t="shared" ca="1" si="50"/>
        <v/>
      </c>
      <c r="W453" s="97" t="str">
        <f t="shared" ca="1" si="51"/>
        <v/>
      </c>
    </row>
    <row r="454" spans="22:23" x14ac:dyDescent="0.25">
      <c r="V454" s="52" t="str">
        <f t="shared" ca="1" si="50"/>
        <v/>
      </c>
      <c r="W454" s="97" t="str">
        <f t="shared" ca="1" si="51"/>
        <v/>
      </c>
    </row>
    <row r="455" spans="22:23" x14ac:dyDescent="0.25">
      <c r="V455" s="52" t="str">
        <f t="shared" ca="1" si="50"/>
        <v/>
      </c>
      <c r="W455" s="97" t="str">
        <f t="shared" ca="1" si="51"/>
        <v/>
      </c>
    </row>
    <row r="456" spans="22:23" x14ac:dyDescent="0.25">
      <c r="V456" s="52" t="str">
        <f t="shared" ca="1" si="50"/>
        <v/>
      </c>
      <c r="W456" s="97" t="str">
        <f t="shared" ca="1" si="51"/>
        <v/>
      </c>
    </row>
    <row r="457" spans="22:23" x14ac:dyDescent="0.25">
      <c r="V457" s="52" t="str">
        <f t="shared" ca="1" si="50"/>
        <v/>
      </c>
      <c r="W457" s="97" t="str">
        <f t="shared" ca="1" si="51"/>
        <v/>
      </c>
    </row>
    <row r="458" spans="22:23" x14ac:dyDescent="0.25">
      <c r="V458" s="52" t="str">
        <f t="shared" ca="1" si="50"/>
        <v/>
      </c>
      <c r="W458" s="97" t="str">
        <f t="shared" ca="1" si="51"/>
        <v/>
      </c>
    </row>
    <row r="459" spans="22:23" x14ac:dyDescent="0.25">
      <c r="V459" s="52" t="str">
        <f t="shared" ca="1" si="50"/>
        <v/>
      </c>
      <c r="W459" s="97" t="str">
        <f t="shared" ca="1" si="51"/>
        <v/>
      </c>
    </row>
    <row r="460" spans="22:23" x14ac:dyDescent="0.25">
      <c r="V460" s="52" t="str">
        <f t="shared" ca="1" si="50"/>
        <v/>
      </c>
      <c r="W460" s="97" t="str">
        <f t="shared" ca="1" si="51"/>
        <v/>
      </c>
    </row>
    <row r="461" spans="22:23" x14ac:dyDescent="0.25">
      <c r="V461" s="52" t="str">
        <f t="shared" ca="1" si="50"/>
        <v/>
      </c>
      <c r="W461" s="97" t="str">
        <f t="shared" ca="1" si="51"/>
        <v/>
      </c>
    </row>
    <row r="462" spans="22:23" x14ac:dyDescent="0.25">
      <c r="V462" s="52" t="str">
        <f t="shared" ca="1" si="50"/>
        <v/>
      </c>
      <c r="W462" s="97" t="str">
        <f t="shared" ca="1" si="51"/>
        <v/>
      </c>
    </row>
    <row r="463" spans="22:23" x14ac:dyDescent="0.25">
      <c r="V463" s="52" t="str">
        <f t="shared" ca="1" si="50"/>
        <v/>
      </c>
      <c r="W463" s="97" t="str">
        <f t="shared" ca="1" si="51"/>
        <v/>
      </c>
    </row>
    <row r="464" spans="22:23" x14ac:dyDescent="0.25">
      <c r="V464" s="52" t="str">
        <f t="shared" ca="1" si="50"/>
        <v/>
      </c>
      <c r="W464" s="97" t="str">
        <f t="shared" ca="1" si="51"/>
        <v/>
      </c>
    </row>
    <row r="465" spans="22:23" x14ac:dyDescent="0.25">
      <c r="V465" s="52" t="str">
        <f t="shared" ca="1" si="50"/>
        <v/>
      </c>
      <c r="W465" s="97" t="str">
        <f t="shared" ca="1" si="51"/>
        <v/>
      </c>
    </row>
    <row r="466" spans="22:23" x14ac:dyDescent="0.25">
      <c r="V466" s="52" t="str">
        <f t="shared" ca="1" si="50"/>
        <v/>
      </c>
      <c r="W466" s="97" t="str">
        <f t="shared" ca="1" si="51"/>
        <v/>
      </c>
    </row>
    <row r="467" spans="22:23" x14ac:dyDescent="0.25">
      <c r="V467" s="52" t="str">
        <f t="shared" ca="1" si="50"/>
        <v/>
      </c>
      <c r="W467" s="97" t="str">
        <f t="shared" ca="1" si="51"/>
        <v/>
      </c>
    </row>
    <row r="468" spans="22:23" x14ac:dyDescent="0.25">
      <c r="V468" s="52" t="str">
        <f t="shared" ca="1" si="50"/>
        <v/>
      </c>
      <c r="W468" s="97" t="str">
        <f t="shared" ca="1" si="51"/>
        <v/>
      </c>
    </row>
    <row r="469" spans="22:23" x14ac:dyDescent="0.25">
      <c r="V469" s="52" t="str">
        <f t="shared" ca="1" si="50"/>
        <v/>
      </c>
      <c r="W469" s="97" t="str">
        <f t="shared" ca="1" si="51"/>
        <v/>
      </c>
    </row>
    <row r="470" spans="22:23" x14ac:dyDescent="0.25">
      <c r="V470" s="52" t="str">
        <f t="shared" ca="1" si="50"/>
        <v/>
      </c>
      <c r="W470" s="97" t="str">
        <f t="shared" ca="1" si="51"/>
        <v/>
      </c>
    </row>
    <row r="471" spans="22:23" x14ac:dyDescent="0.25">
      <c r="V471" s="52" t="str">
        <f t="shared" ca="1" si="50"/>
        <v/>
      </c>
      <c r="W471" s="97" t="str">
        <f t="shared" ca="1" si="51"/>
        <v/>
      </c>
    </row>
    <row r="472" spans="22:23" x14ac:dyDescent="0.25">
      <c r="V472" s="52" t="str">
        <f t="shared" ca="1" si="50"/>
        <v/>
      </c>
      <c r="W472" s="97" t="str">
        <f t="shared" ca="1" si="51"/>
        <v/>
      </c>
    </row>
    <row r="473" spans="22:23" x14ac:dyDescent="0.25">
      <c r="V473" s="52" t="str">
        <f t="shared" ca="1" si="50"/>
        <v/>
      </c>
      <c r="W473" s="97" t="str">
        <f t="shared" ca="1" si="51"/>
        <v/>
      </c>
    </row>
    <row r="474" spans="22:23" x14ac:dyDescent="0.25">
      <c r="V474" s="52" t="str">
        <f t="shared" ca="1" si="50"/>
        <v/>
      </c>
      <c r="W474" s="97" t="str">
        <f t="shared" ca="1" si="51"/>
        <v/>
      </c>
    </row>
    <row r="475" spans="22:23" x14ac:dyDescent="0.25">
      <c r="V475" s="52" t="str">
        <f t="shared" ca="1" si="50"/>
        <v/>
      </c>
      <c r="W475" s="97" t="str">
        <f t="shared" ca="1" si="51"/>
        <v/>
      </c>
    </row>
    <row r="476" spans="22:23" x14ac:dyDescent="0.25">
      <c r="V476" s="52" t="str">
        <f t="shared" ca="1" si="50"/>
        <v/>
      </c>
      <c r="W476" s="97" t="str">
        <f t="shared" ca="1" si="51"/>
        <v/>
      </c>
    </row>
    <row r="477" spans="22:23" x14ac:dyDescent="0.25">
      <c r="V477" s="52" t="str">
        <f t="shared" ca="1" si="50"/>
        <v/>
      </c>
      <c r="W477" s="97" t="str">
        <f t="shared" ca="1" si="51"/>
        <v/>
      </c>
    </row>
    <row r="478" spans="22:23" x14ac:dyDescent="0.25">
      <c r="V478" s="52" t="str">
        <f t="shared" ca="1" si="50"/>
        <v/>
      </c>
      <c r="W478" s="97" t="str">
        <f t="shared" ca="1" si="51"/>
        <v/>
      </c>
    </row>
    <row r="479" spans="22:23" x14ac:dyDescent="0.25">
      <c r="V479" s="52" t="str">
        <f t="shared" ca="1" si="50"/>
        <v/>
      </c>
      <c r="W479" s="97" t="str">
        <f t="shared" ca="1" si="51"/>
        <v/>
      </c>
    </row>
    <row r="480" spans="22:23" x14ac:dyDescent="0.25">
      <c r="V480" s="52" t="str">
        <f t="shared" ca="1" si="50"/>
        <v/>
      </c>
      <c r="W480" s="97" t="str">
        <f t="shared" ca="1" si="51"/>
        <v/>
      </c>
    </row>
    <row r="481" spans="22:23" x14ac:dyDescent="0.25">
      <c r="V481" s="52" t="str">
        <f t="shared" ca="1" si="50"/>
        <v/>
      </c>
      <c r="W481" s="97" t="str">
        <f t="shared" ca="1" si="51"/>
        <v/>
      </c>
    </row>
    <row r="482" spans="22:23" x14ac:dyDescent="0.25">
      <c r="V482" s="52" t="str">
        <f t="shared" ca="1" si="50"/>
        <v/>
      </c>
      <c r="W482" s="97" t="str">
        <f t="shared" ca="1" si="51"/>
        <v/>
      </c>
    </row>
    <row r="483" spans="22:23" x14ac:dyDescent="0.25">
      <c r="V483" s="52" t="str">
        <f t="shared" ca="1" si="50"/>
        <v/>
      </c>
      <c r="W483" s="97" t="str">
        <f t="shared" ca="1" si="51"/>
        <v/>
      </c>
    </row>
    <row r="484" spans="22:23" x14ac:dyDescent="0.25">
      <c r="V484" s="52" t="str">
        <f t="shared" ca="1" si="50"/>
        <v/>
      </c>
      <c r="W484" s="97" t="str">
        <f t="shared" ca="1" si="51"/>
        <v/>
      </c>
    </row>
    <row r="485" spans="22:23" x14ac:dyDescent="0.25">
      <c r="V485" s="52" t="str">
        <f t="shared" ca="1" si="50"/>
        <v/>
      </c>
      <c r="W485" s="97" t="str">
        <f t="shared" ca="1" si="51"/>
        <v/>
      </c>
    </row>
    <row r="486" spans="22:23" x14ac:dyDescent="0.25">
      <c r="V486" s="52" t="str">
        <f t="shared" ca="1" si="50"/>
        <v/>
      </c>
      <c r="W486" s="97" t="str">
        <f t="shared" ca="1" si="51"/>
        <v/>
      </c>
    </row>
    <row r="487" spans="22:23" x14ac:dyDescent="0.25">
      <c r="V487" s="52" t="str">
        <f t="shared" ca="1" si="50"/>
        <v/>
      </c>
      <c r="W487" s="97" t="str">
        <f t="shared" ca="1" si="51"/>
        <v/>
      </c>
    </row>
    <row r="488" spans="22:23" x14ac:dyDescent="0.25">
      <c r="V488" s="52" t="str">
        <f t="shared" ca="1" si="50"/>
        <v/>
      </c>
      <c r="W488" s="97" t="str">
        <f t="shared" ca="1" si="51"/>
        <v/>
      </c>
    </row>
    <row r="489" spans="22:23" x14ac:dyDescent="0.25">
      <c r="V489" s="52" t="str">
        <f t="shared" ca="1" si="50"/>
        <v/>
      </c>
      <c r="W489" s="97" t="str">
        <f t="shared" ca="1" si="51"/>
        <v/>
      </c>
    </row>
    <row r="490" spans="22:23" x14ac:dyDescent="0.25">
      <c r="V490" s="52" t="str">
        <f t="shared" ca="1" si="50"/>
        <v/>
      </c>
      <c r="W490" s="97" t="str">
        <f t="shared" ca="1" si="51"/>
        <v/>
      </c>
    </row>
    <row r="491" spans="22:23" x14ac:dyDescent="0.25">
      <c r="V491" s="52" t="str">
        <f t="shared" ca="1" si="50"/>
        <v/>
      </c>
      <c r="W491" s="97" t="str">
        <f t="shared" ca="1" si="51"/>
        <v/>
      </c>
    </row>
    <row r="492" spans="22:23" x14ac:dyDescent="0.25">
      <c r="V492" s="52" t="str">
        <f t="shared" ca="1" si="50"/>
        <v/>
      </c>
      <c r="W492" s="97" t="str">
        <f t="shared" ca="1" si="51"/>
        <v/>
      </c>
    </row>
    <row r="493" spans="22:23" x14ac:dyDescent="0.25">
      <c r="V493" s="52" t="str">
        <f t="shared" ca="1" si="50"/>
        <v/>
      </c>
      <c r="W493" s="97" t="str">
        <f t="shared" ca="1" si="51"/>
        <v/>
      </c>
    </row>
    <row r="494" spans="22:23" x14ac:dyDescent="0.25">
      <c r="V494" s="52" t="str">
        <f t="shared" ca="1" si="50"/>
        <v/>
      </c>
      <c r="W494" s="97" t="str">
        <f t="shared" ca="1" si="51"/>
        <v/>
      </c>
    </row>
    <row r="495" spans="22:23" x14ac:dyDescent="0.25">
      <c r="V495" s="52" t="str">
        <f t="shared" ca="1" si="50"/>
        <v/>
      </c>
      <c r="W495" s="97" t="str">
        <f t="shared" ca="1" si="51"/>
        <v/>
      </c>
    </row>
    <row r="496" spans="22:23" x14ac:dyDescent="0.25">
      <c r="V496" s="52" t="str">
        <f t="shared" ca="1" si="50"/>
        <v/>
      </c>
      <c r="W496" s="97" t="str">
        <f t="shared" ca="1" si="51"/>
        <v/>
      </c>
    </row>
    <row r="497" spans="22:23" x14ac:dyDescent="0.25">
      <c r="V497" s="52" t="str">
        <f t="shared" ca="1" si="50"/>
        <v/>
      </c>
      <c r="W497" s="97" t="str">
        <f t="shared" ca="1" si="51"/>
        <v/>
      </c>
    </row>
    <row r="498" spans="22:23" x14ac:dyDescent="0.25">
      <c r="V498" s="52" t="str">
        <f t="shared" ca="1" si="50"/>
        <v/>
      </c>
      <c r="W498" s="97" t="str">
        <f t="shared" ca="1" si="51"/>
        <v/>
      </c>
    </row>
    <row r="499" spans="22:23" x14ac:dyDescent="0.25">
      <c r="V499" s="52" t="str">
        <f t="shared" ca="1" si="50"/>
        <v/>
      </c>
      <c r="W499" s="97" t="str">
        <f t="shared" ca="1" si="51"/>
        <v/>
      </c>
    </row>
    <row r="500" spans="22:23" x14ac:dyDescent="0.25">
      <c r="V500" s="52" t="str">
        <f t="shared" ca="1" si="50"/>
        <v/>
      </c>
      <c r="W500" s="97" t="str">
        <f t="shared" ca="1" si="51"/>
        <v/>
      </c>
    </row>
    <row r="501" spans="22:23" x14ac:dyDescent="0.25">
      <c r="V501" s="52" t="str">
        <f t="shared" ca="1" si="50"/>
        <v/>
      </c>
      <c r="W501" s="97" t="str">
        <f t="shared" ca="1" si="51"/>
        <v/>
      </c>
    </row>
    <row r="502" spans="22:23" x14ac:dyDescent="0.25">
      <c r="V502" s="52" t="str">
        <f t="shared" ca="1" si="50"/>
        <v/>
      </c>
      <c r="W502" s="97" t="str">
        <f t="shared" ca="1" si="51"/>
        <v/>
      </c>
    </row>
    <row r="503" spans="22:23" x14ac:dyDescent="0.25">
      <c r="V503" s="52" t="str">
        <f t="shared" ca="1" si="50"/>
        <v/>
      </c>
      <c r="W503" s="97" t="str">
        <f t="shared" ca="1" si="51"/>
        <v/>
      </c>
    </row>
    <row r="504" spans="22:23" x14ac:dyDescent="0.25">
      <c r="V504" s="52" t="str">
        <f t="shared" ca="1" si="50"/>
        <v/>
      </c>
      <c r="W504" s="97" t="str">
        <f t="shared" ca="1" si="51"/>
        <v/>
      </c>
    </row>
    <row r="505" spans="22:23" x14ac:dyDescent="0.25">
      <c r="V505" s="52" t="str">
        <f t="shared" ca="1" si="50"/>
        <v/>
      </c>
      <c r="W505" s="97" t="str">
        <f t="shared" ca="1" si="51"/>
        <v/>
      </c>
    </row>
    <row r="506" spans="22:23" x14ac:dyDescent="0.25">
      <c r="V506" s="52" t="str">
        <f t="shared" ca="1" si="50"/>
        <v/>
      </c>
      <c r="W506" s="97" t="str">
        <f t="shared" ca="1" si="51"/>
        <v/>
      </c>
    </row>
    <row r="507" spans="22:23" x14ac:dyDescent="0.25">
      <c r="V507" s="52" t="str">
        <f t="shared" ca="1" si="50"/>
        <v/>
      </c>
      <c r="W507" s="97" t="str">
        <f t="shared" ca="1" si="51"/>
        <v/>
      </c>
    </row>
    <row r="508" spans="22:23" x14ac:dyDescent="0.25">
      <c r="V508" s="52" t="str">
        <f t="shared" ca="1" si="50"/>
        <v/>
      </c>
      <c r="W508" s="97" t="str">
        <f t="shared" ca="1" si="51"/>
        <v/>
      </c>
    </row>
    <row r="509" spans="22:23" x14ac:dyDescent="0.25">
      <c r="V509" s="52" t="str">
        <f t="shared" ca="1" si="50"/>
        <v/>
      </c>
      <c r="W509" s="97" t="str">
        <f t="shared" ca="1" si="51"/>
        <v/>
      </c>
    </row>
    <row r="510" spans="22:23" x14ac:dyDescent="0.25">
      <c r="V510" s="52" t="str">
        <f t="shared" ca="1" si="50"/>
        <v/>
      </c>
      <c r="W510" s="97" t="str">
        <f t="shared" ca="1" si="51"/>
        <v/>
      </c>
    </row>
    <row r="511" spans="22:23" x14ac:dyDescent="0.25">
      <c r="V511" s="52" t="str">
        <f t="shared" ca="1" si="50"/>
        <v/>
      </c>
      <c r="W511" s="97" t="str">
        <f t="shared" ca="1" si="51"/>
        <v/>
      </c>
    </row>
    <row r="512" spans="22:23" x14ac:dyDescent="0.25">
      <c r="V512" s="52" t="str">
        <f t="shared" ca="1" si="50"/>
        <v/>
      </c>
      <c r="W512" s="97" t="str">
        <f t="shared" ca="1" si="51"/>
        <v/>
      </c>
    </row>
    <row r="513" spans="22:23" x14ac:dyDescent="0.25">
      <c r="V513" s="52" t="str">
        <f t="shared" ca="1" si="50"/>
        <v/>
      </c>
      <c r="W513" s="97" t="str">
        <f t="shared" ca="1" si="51"/>
        <v/>
      </c>
    </row>
    <row r="514" spans="22:23" x14ac:dyDescent="0.25">
      <c r="V514" s="52" t="str">
        <f t="shared" ca="1" si="50"/>
        <v/>
      </c>
      <c r="W514" s="97" t="str">
        <f t="shared" ca="1" si="51"/>
        <v/>
      </c>
    </row>
    <row r="515" spans="22:23" x14ac:dyDescent="0.25">
      <c r="V515" s="52" t="str">
        <f t="shared" ca="1" si="50"/>
        <v/>
      </c>
      <c r="W515" s="97" t="str">
        <f t="shared" ca="1" si="51"/>
        <v/>
      </c>
    </row>
    <row r="516" spans="22:23" x14ac:dyDescent="0.25">
      <c r="V516" s="52" t="str">
        <f t="shared" ref="V516:V579" ca="1" si="52">IF(COUNTIF(P:P,N516)*COUNTIF(R:R,N516)*COUNTIF(T:T,N516),N516,"")</f>
        <v/>
      </c>
      <c r="W516" s="97" t="str">
        <f t="shared" ref="W516:W579" ca="1" si="53">IF(V516&gt;=$A$14,V516,"")</f>
        <v/>
      </c>
    </row>
    <row r="517" spans="22:23" x14ac:dyDescent="0.25">
      <c r="V517" s="52" t="str">
        <f t="shared" ca="1" si="52"/>
        <v/>
      </c>
      <c r="W517" s="97" t="str">
        <f t="shared" ca="1" si="53"/>
        <v/>
      </c>
    </row>
    <row r="518" spans="22:23" x14ac:dyDescent="0.25">
      <c r="V518" s="52" t="str">
        <f t="shared" ca="1" si="52"/>
        <v/>
      </c>
      <c r="W518" s="97" t="str">
        <f t="shared" ca="1" si="53"/>
        <v/>
      </c>
    </row>
    <row r="519" spans="22:23" x14ac:dyDescent="0.25">
      <c r="V519" s="52" t="str">
        <f t="shared" ca="1" si="52"/>
        <v/>
      </c>
      <c r="W519" s="97" t="str">
        <f t="shared" ca="1" si="53"/>
        <v/>
      </c>
    </row>
    <row r="520" spans="22:23" x14ac:dyDescent="0.25">
      <c r="V520" s="52" t="str">
        <f t="shared" ca="1" si="52"/>
        <v/>
      </c>
      <c r="W520" s="97" t="str">
        <f t="shared" ca="1" si="53"/>
        <v/>
      </c>
    </row>
    <row r="521" spans="22:23" x14ac:dyDescent="0.25">
      <c r="V521" s="52" t="str">
        <f t="shared" ca="1" si="52"/>
        <v/>
      </c>
      <c r="W521" s="97" t="str">
        <f t="shared" ca="1" si="53"/>
        <v/>
      </c>
    </row>
    <row r="522" spans="22:23" x14ac:dyDescent="0.25">
      <c r="V522" s="52" t="str">
        <f t="shared" ca="1" si="52"/>
        <v/>
      </c>
      <c r="W522" s="97" t="str">
        <f t="shared" ca="1" si="53"/>
        <v/>
      </c>
    </row>
    <row r="523" spans="22:23" x14ac:dyDescent="0.25">
      <c r="V523" s="52" t="str">
        <f t="shared" ca="1" si="52"/>
        <v/>
      </c>
      <c r="W523" s="97" t="str">
        <f t="shared" ca="1" si="53"/>
        <v/>
      </c>
    </row>
    <row r="524" spans="22:23" x14ac:dyDescent="0.25">
      <c r="V524" s="52" t="str">
        <f t="shared" ca="1" si="52"/>
        <v/>
      </c>
      <c r="W524" s="97" t="str">
        <f t="shared" ca="1" si="53"/>
        <v/>
      </c>
    </row>
    <row r="525" spans="22:23" x14ac:dyDescent="0.25">
      <c r="V525" s="52" t="str">
        <f t="shared" ca="1" si="52"/>
        <v/>
      </c>
      <c r="W525" s="97" t="str">
        <f t="shared" ca="1" si="53"/>
        <v/>
      </c>
    </row>
    <row r="526" spans="22:23" x14ac:dyDescent="0.25">
      <c r="V526" s="52" t="str">
        <f t="shared" ca="1" si="52"/>
        <v/>
      </c>
      <c r="W526" s="97" t="str">
        <f t="shared" ca="1" si="53"/>
        <v/>
      </c>
    </row>
    <row r="527" spans="22:23" x14ac:dyDescent="0.25">
      <c r="V527" s="52" t="str">
        <f t="shared" ca="1" si="52"/>
        <v/>
      </c>
      <c r="W527" s="97" t="str">
        <f t="shared" ca="1" si="53"/>
        <v/>
      </c>
    </row>
    <row r="528" spans="22:23" x14ac:dyDescent="0.25">
      <c r="V528" s="52" t="str">
        <f t="shared" ca="1" si="52"/>
        <v/>
      </c>
      <c r="W528" s="97" t="str">
        <f t="shared" ca="1" si="53"/>
        <v/>
      </c>
    </row>
    <row r="529" spans="22:23" x14ac:dyDescent="0.25">
      <c r="V529" s="52" t="str">
        <f t="shared" ca="1" si="52"/>
        <v/>
      </c>
      <c r="W529" s="97" t="str">
        <f t="shared" ca="1" si="53"/>
        <v/>
      </c>
    </row>
    <row r="530" spans="22:23" x14ac:dyDescent="0.25">
      <c r="V530" s="52" t="str">
        <f t="shared" ca="1" si="52"/>
        <v/>
      </c>
      <c r="W530" s="97" t="str">
        <f t="shared" ca="1" si="53"/>
        <v/>
      </c>
    </row>
    <row r="531" spans="22:23" x14ac:dyDescent="0.25">
      <c r="V531" s="52" t="str">
        <f t="shared" ca="1" si="52"/>
        <v/>
      </c>
      <c r="W531" s="97" t="str">
        <f t="shared" ca="1" si="53"/>
        <v/>
      </c>
    </row>
    <row r="532" spans="22:23" x14ac:dyDescent="0.25">
      <c r="V532" s="52" t="str">
        <f t="shared" ca="1" si="52"/>
        <v/>
      </c>
      <c r="W532" s="97" t="str">
        <f t="shared" ca="1" si="53"/>
        <v/>
      </c>
    </row>
    <row r="533" spans="22:23" x14ac:dyDescent="0.25">
      <c r="V533" s="52" t="str">
        <f t="shared" ca="1" si="52"/>
        <v/>
      </c>
      <c r="W533" s="97" t="str">
        <f t="shared" ca="1" si="53"/>
        <v/>
      </c>
    </row>
    <row r="534" spans="22:23" x14ac:dyDescent="0.25">
      <c r="V534" s="52" t="str">
        <f t="shared" ca="1" si="52"/>
        <v/>
      </c>
      <c r="W534" s="97" t="str">
        <f t="shared" ca="1" si="53"/>
        <v/>
      </c>
    </row>
    <row r="535" spans="22:23" x14ac:dyDescent="0.25">
      <c r="V535" s="52" t="str">
        <f t="shared" ca="1" si="52"/>
        <v/>
      </c>
      <c r="W535" s="97" t="str">
        <f t="shared" ca="1" si="53"/>
        <v/>
      </c>
    </row>
    <row r="536" spans="22:23" x14ac:dyDescent="0.25">
      <c r="V536" s="52" t="str">
        <f t="shared" ca="1" si="52"/>
        <v/>
      </c>
      <c r="W536" s="97" t="str">
        <f t="shared" ca="1" si="53"/>
        <v/>
      </c>
    </row>
    <row r="537" spans="22:23" x14ac:dyDescent="0.25">
      <c r="V537" s="52" t="str">
        <f t="shared" ca="1" si="52"/>
        <v/>
      </c>
      <c r="W537" s="97" t="str">
        <f t="shared" ca="1" si="53"/>
        <v/>
      </c>
    </row>
    <row r="538" spans="22:23" x14ac:dyDescent="0.25">
      <c r="V538" s="52" t="str">
        <f t="shared" ca="1" si="52"/>
        <v/>
      </c>
      <c r="W538" s="97" t="str">
        <f t="shared" ca="1" si="53"/>
        <v/>
      </c>
    </row>
    <row r="539" spans="22:23" x14ac:dyDescent="0.25">
      <c r="V539" s="52" t="str">
        <f t="shared" ca="1" si="52"/>
        <v/>
      </c>
      <c r="W539" s="97" t="str">
        <f t="shared" ca="1" si="53"/>
        <v/>
      </c>
    </row>
    <row r="540" spans="22:23" x14ac:dyDescent="0.25">
      <c r="V540" s="52" t="str">
        <f t="shared" ca="1" si="52"/>
        <v/>
      </c>
      <c r="W540" s="97" t="str">
        <f t="shared" ca="1" si="53"/>
        <v/>
      </c>
    </row>
    <row r="541" spans="22:23" x14ac:dyDescent="0.25">
      <c r="V541" s="52" t="str">
        <f t="shared" ca="1" si="52"/>
        <v/>
      </c>
      <c r="W541" s="97" t="str">
        <f t="shared" ca="1" si="53"/>
        <v/>
      </c>
    </row>
    <row r="542" spans="22:23" x14ac:dyDescent="0.25">
      <c r="V542" s="52" t="str">
        <f t="shared" ca="1" si="52"/>
        <v/>
      </c>
      <c r="W542" s="97" t="str">
        <f t="shared" ca="1" si="53"/>
        <v/>
      </c>
    </row>
    <row r="543" spans="22:23" x14ac:dyDescent="0.25">
      <c r="V543" s="52" t="str">
        <f t="shared" ca="1" si="52"/>
        <v/>
      </c>
      <c r="W543" s="97" t="str">
        <f t="shared" ca="1" si="53"/>
        <v/>
      </c>
    </row>
    <row r="544" spans="22:23" x14ac:dyDescent="0.25">
      <c r="V544" s="52" t="str">
        <f t="shared" ca="1" si="52"/>
        <v/>
      </c>
      <c r="W544" s="97" t="str">
        <f t="shared" ca="1" si="53"/>
        <v/>
      </c>
    </row>
    <row r="545" spans="22:23" x14ac:dyDescent="0.25">
      <c r="V545" s="52" t="str">
        <f t="shared" ca="1" si="52"/>
        <v/>
      </c>
      <c r="W545" s="97" t="str">
        <f t="shared" ca="1" si="53"/>
        <v/>
      </c>
    </row>
    <row r="546" spans="22:23" x14ac:dyDescent="0.25">
      <c r="V546" s="52" t="str">
        <f t="shared" ca="1" si="52"/>
        <v/>
      </c>
      <c r="W546" s="97" t="str">
        <f t="shared" ca="1" si="53"/>
        <v/>
      </c>
    </row>
    <row r="547" spans="22:23" x14ac:dyDescent="0.25">
      <c r="V547" s="52" t="str">
        <f t="shared" ca="1" si="52"/>
        <v/>
      </c>
      <c r="W547" s="97" t="str">
        <f t="shared" ca="1" si="53"/>
        <v/>
      </c>
    </row>
    <row r="548" spans="22:23" x14ac:dyDescent="0.25">
      <c r="V548" s="52" t="str">
        <f t="shared" ca="1" si="52"/>
        <v/>
      </c>
      <c r="W548" s="97" t="str">
        <f t="shared" ca="1" si="53"/>
        <v/>
      </c>
    </row>
    <row r="549" spans="22:23" x14ac:dyDescent="0.25">
      <c r="V549" s="52" t="str">
        <f t="shared" ca="1" si="52"/>
        <v/>
      </c>
      <c r="W549" s="97" t="str">
        <f t="shared" ca="1" si="53"/>
        <v/>
      </c>
    </row>
    <row r="550" spans="22:23" x14ac:dyDescent="0.25">
      <c r="V550" s="52" t="str">
        <f t="shared" ca="1" si="52"/>
        <v/>
      </c>
      <c r="W550" s="97" t="str">
        <f t="shared" ca="1" si="53"/>
        <v/>
      </c>
    </row>
    <row r="551" spans="22:23" x14ac:dyDescent="0.25">
      <c r="V551" s="52" t="str">
        <f t="shared" ca="1" si="52"/>
        <v/>
      </c>
      <c r="W551" s="97" t="str">
        <f t="shared" ca="1" si="53"/>
        <v/>
      </c>
    </row>
    <row r="552" spans="22:23" x14ac:dyDescent="0.25">
      <c r="V552" s="52" t="str">
        <f t="shared" ca="1" si="52"/>
        <v/>
      </c>
      <c r="W552" s="97" t="str">
        <f t="shared" ca="1" si="53"/>
        <v/>
      </c>
    </row>
    <row r="553" spans="22:23" x14ac:dyDescent="0.25">
      <c r="V553" s="52" t="str">
        <f t="shared" ca="1" si="52"/>
        <v/>
      </c>
      <c r="W553" s="97" t="str">
        <f t="shared" ca="1" si="53"/>
        <v/>
      </c>
    </row>
    <row r="554" spans="22:23" x14ac:dyDescent="0.25">
      <c r="V554" s="52" t="str">
        <f t="shared" ca="1" si="52"/>
        <v/>
      </c>
      <c r="W554" s="97" t="str">
        <f t="shared" ca="1" si="53"/>
        <v/>
      </c>
    </row>
    <row r="555" spans="22:23" x14ac:dyDescent="0.25">
      <c r="V555" s="52" t="str">
        <f t="shared" ca="1" si="52"/>
        <v/>
      </c>
      <c r="W555" s="97" t="str">
        <f t="shared" ca="1" si="53"/>
        <v/>
      </c>
    </row>
    <row r="556" spans="22:23" x14ac:dyDescent="0.25">
      <c r="V556" s="52" t="str">
        <f t="shared" ca="1" si="52"/>
        <v/>
      </c>
      <c r="W556" s="97" t="str">
        <f t="shared" ca="1" si="53"/>
        <v/>
      </c>
    </row>
    <row r="557" spans="22:23" x14ac:dyDescent="0.25">
      <c r="V557" s="52" t="str">
        <f t="shared" ca="1" si="52"/>
        <v/>
      </c>
      <c r="W557" s="97" t="str">
        <f t="shared" ca="1" si="53"/>
        <v/>
      </c>
    </row>
    <row r="558" spans="22:23" x14ac:dyDescent="0.25">
      <c r="V558" s="52" t="str">
        <f t="shared" ca="1" si="52"/>
        <v/>
      </c>
      <c r="W558" s="97" t="str">
        <f t="shared" ca="1" si="53"/>
        <v/>
      </c>
    </row>
    <row r="559" spans="22:23" x14ac:dyDescent="0.25">
      <c r="V559" s="52" t="str">
        <f t="shared" ca="1" si="52"/>
        <v/>
      </c>
      <c r="W559" s="97" t="str">
        <f t="shared" ca="1" si="53"/>
        <v/>
      </c>
    </row>
    <row r="560" spans="22:23" x14ac:dyDescent="0.25">
      <c r="V560" s="52" t="str">
        <f t="shared" ca="1" si="52"/>
        <v/>
      </c>
      <c r="W560" s="97" t="str">
        <f t="shared" ca="1" si="53"/>
        <v/>
      </c>
    </row>
    <row r="561" spans="22:23" x14ac:dyDescent="0.25">
      <c r="V561" s="52" t="str">
        <f t="shared" ca="1" si="52"/>
        <v/>
      </c>
      <c r="W561" s="97" t="str">
        <f t="shared" ca="1" si="53"/>
        <v/>
      </c>
    </row>
    <row r="562" spans="22:23" x14ac:dyDescent="0.25">
      <c r="V562" s="52" t="str">
        <f t="shared" ca="1" si="52"/>
        <v/>
      </c>
      <c r="W562" s="97" t="str">
        <f t="shared" ca="1" si="53"/>
        <v/>
      </c>
    </row>
    <row r="563" spans="22:23" x14ac:dyDescent="0.25">
      <c r="V563" s="52" t="str">
        <f t="shared" ca="1" si="52"/>
        <v/>
      </c>
      <c r="W563" s="97" t="str">
        <f t="shared" ca="1" si="53"/>
        <v/>
      </c>
    </row>
    <row r="564" spans="22:23" x14ac:dyDescent="0.25">
      <c r="V564" s="52" t="str">
        <f t="shared" ca="1" si="52"/>
        <v/>
      </c>
      <c r="W564" s="97" t="str">
        <f t="shared" ca="1" si="53"/>
        <v/>
      </c>
    </row>
    <row r="565" spans="22:23" x14ac:dyDescent="0.25">
      <c r="V565" s="52" t="str">
        <f t="shared" ca="1" si="52"/>
        <v/>
      </c>
      <c r="W565" s="97" t="str">
        <f t="shared" ca="1" si="53"/>
        <v/>
      </c>
    </row>
    <row r="566" spans="22:23" x14ac:dyDescent="0.25">
      <c r="V566" s="52" t="str">
        <f t="shared" ca="1" si="52"/>
        <v/>
      </c>
      <c r="W566" s="97" t="str">
        <f t="shared" ca="1" si="53"/>
        <v/>
      </c>
    </row>
    <row r="567" spans="22:23" x14ac:dyDescent="0.25">
      <c r="V567" s="52" t="str">
        <f t="shared" ca="1" si="52"/>
        <v/>
      </c>
      <c r="W567" s="97" t="str">
        <f t="shared" ca="1" si="53"/>
        <v/>
      </c>
    </row>
    <row r="568" spans="22:23" x14ac:dyDescent="0.25">
      <c r="V568" s="52" t="str">
        <f t="shared" ca="1" si="52"/>
        <v/>
      </c>
      <c r="W568" s="97" t="str">
        <f t="shared" ca="1" si="53"/>
        <v/>
      </c>
    </row>
    <row r="569" spans="22:23" x14ac:dyDescent="0.25">
      <c r="V569" s="52" t="str">
        <f t="shared" ca="1" si="52"/>
        <v/>
      </c>
      <c r="W569" s="97" t="str">
        <f t="shared" ca="1" si="53"/>
        <v/>
      </c>
    </row>
    <row r="570" spans="22:23" x14ac:dyDescent="0.25">
      <c r="V570" s="52" t="str">
        <f t="shared" ca="1" si="52"/>
        <v/>
      </c>
      <c r="W570" s="97" t="str">
        <f t="shared" ca="1" si="53"/>
        <v/>
      </c>
    </row>
    <row r="571" spans="22:23" x14ac:dyDescent="0.25">
      <c r="V571" s="52" t="str">
        <f t="shared" ca="1" si="52"/>
        <v/>
      </c>
      <c r="W571" s="97" t="str">
        <f t="shared" ca="1" si="53"/>
        <v/>
      </c>
    </row>
    <row r="572" spans="22:23" x14ac:dyDescent="0.25">
      <c r="V572" s="52" t="str">
        <f t="shared" ca="1" si="52"/>
        <v/>
      </c>
      <c r="W572" s="97" t="str">
        <f t="shared" ca="1" si="53"/>
        <v/>
      </c>
    </row>
    <row r="573" spans="22:23" x14ac:dyDescent="0.25">
      <c r="V573" s="52" t="str">
        <f t="shared" ca="1" si="52"/>
        <v/>
      </c>
      <c r="W573" s="97" t="str">
        <f t="shared" ca="1" si="53"/>
        <v/>
      </c>
    </row>
    <row r="574" spans="22:23" x14ac:dyDescent="0.25">
      <c r="V574" s="52" t="str">
        <f t="shared" ca="1" si="52"/>
        <v/>
      </c>
      <c r="W574" s="97" t="str">
        <f t="shared" ca="1" si="53"/>
        <v/>
      </c>
    </row>
    <row r="575" spans="22:23" x14ac:dyDescent="0.25">
      <c r="V575" s="52" t="str">
        <f t="shared" ca="1" si="52"/>
        <v/>
      </c>
      <c r="W575" s="97" t="str">
        <f t="shared" ca="1" si="53"/>
        <v/>
      </c>
    </row>
    <row r="576" spans="22:23" x14ac:dyDescent="0.25">
      <c r="V576" s="52" t="str">
        <f t="shared" ca="1" si="52"/>
        <v/>
      </c>
      <c r="W576" s="97" t="str">
        <f t="shared" ca="1" si="53"/>
        <v/>
      </c>
    </row>
    <row r="577" spans="22:23" x14ac:dyDescent="0.25">
      <c r="V577" s="52" t="str">
        <f t="shared" ca="1" si="52"/>
        <v/>
      </c>
      <c r="W577" s="97" t="str">
        <f t="shared" ca="1" si="53"/>
        <v/>
      </c>
    </row>
    <row r="578" spans="22:23" x14ac:dyDescent="0.25">
      <c r="V578" s="52" t="str">
        <f t="shared" ca="1" si="52"/>
        <v/>
      </c>
      <c r="W578" s="97" t="str">
        <f t="shared" ca="1" si="53"/>
        <v/>
      </c>
    </row>
    <row r="579" spans="22:23" x14ac:dyDescent="0.25">
      <c r="V579" s="52" t="str">
        <f t="shared" ca="1" si="52"/>
        <v/>
      </c>
      <c r="W579" s="97" t="str">
        <f t="shared" ca="1" si="53"/>
        <v/>
      </c>
    </row>
    <row r="580" spans="22:23" x14ac:dyDescent="0.25">
      <c r="V580" s="52" t="str">
        <f t="shared" ref="V580:V643" ca="1" si="54">IF(COUNTIF(P:P,N580)*COUNTIF(R:R,N580)*COUNTIF(T:T,N580),N580,"")</f>
        <v/>
      </c>
      <c r="W580" s="97" t="str">
        <f t="shared" ref="W580:W643" ca="1" si="55">IF(V580&gt;=$A$14,V580,"")</f>
        <v/>
      </c>
    </row>
    <row r="581" spans="22:23" x14ac:dyDescent="0.25">
      <c r="V581" s="52" t="str">
        <f t="shared" ca="1" si="54"/>
        <v/>
      </c>
      <c r="W581" s="97" t="str">
        <f t="shared" ca="1" si="55"/>
        <v/>
      </c>
    </row>
    <row r="582" spans="22:23" x14ac:dyDescent="0.25">
      <c r="V582" s="52" t="str">
        <f t="shared" ca="1" si="54"/>
        <v/>
      </c>
      <c r="W582" s="97" t="str">
        <f t="shared" ca="1" si="55"/>
        <v/>
      </c>
    </row>
    <row r="583" spans="22:23" x14ac:dyDescent="0.25">
      <c r="V583" s="52" t="str">
        <f t="shared" ca="1" si="54"/>
        <v/>
      </c>
      <c r="W583" s="97" t="str">
        <f t="shared" ca="1" si="55"/>
        <v/>
      </c>
    </row>
    <row r="584" spans="22:23" x14ac:dyDescent="0.25">
      <c r="V584" s="52" t="str">
        <f t="shared" ca="1" si="54"/>
        <v/>
      </c>
      <c r="W584" s="97" t="str">
        <f t="shared" ca="1" si="55"/>
        <v/>
      </c>
    </row>
    <row r="585" spans="22:23" x14ac:dyDescent="0.25">
      <c r="V585" s="52" t="str">
        <f t="shared" ca="1" si="54"/>
        <v/>
      </c>
      <c r="W585" s="97" t="str">
        <f t="shared" ca="1" si="55"/>
        <v/>
      </c>
    </row>
    <row r="586" spans="22:23" x14ac:dyDescent="0.25">
      <c r="V586" s="52" t="str">
        <f t="shared" ca="1" si="54"/>
        <v/>
      </c>
      <c r="W586" s="97" t="str">
        <f t="shared" ca="1" si="55"/>
        <v/>
      </c>
    </row>
    <row r="587" spans="22:23" x14ac:dyDescent="0.25">
      <c r="V587" s="52" t="str">
        <f t="shared" ca="1" si="54"/>
        <v/>
      </c>
      <c r="W587" s="97" t="str">
        <f t="shared" ca="1" si="55"/>
        <v/>
      </c>
    </row>
    <row r="588" spans="22:23" x14ac:dyDescent="0.25">
      <c r="V588" s="52" t="str">
        <f t="shared" ca="1" si="54"/>
        <v/>
      </c>
      <c r="W588" s="97" t="str">
        <f t="shared" ca="1" si="55"/>
        <v/>
      </c>
    </row>
    <row r="589" spans="22:23" x14ac:dyDescent="0.25">
      <c r="V589" s="52" t="str">
        <f t="shared" ca="1" si="54"/>
        <v/>
      </c>
      <c r="W589" s="97" t="str">
        <f t="shared" ca="1" si="55"/>
        <v/>
      </c>
    </row>
    <row r="590" spans="22:23" x14ac:dyDescent="0.25">
      <c r="V590" s="52" t="str">
        <f t="shared" ca="1" si="54"/>
        <v/>
      </c>
      <c r="W590" s="97" t="str">
        <f t="shared" ca="1" si="55"/>
        <v/>
      </c>
    </row>
    <row r="591" spans="22:23" x14ac:dyDescent="0.25">
      <c r="V591" s="52" t="str">
        <f t="shared" ca="1" si="54"/>
        <v/>
      </c>
      <c r="W591" s="97" t="str">
        <f t="shared" ca="1" si="55"/>
        <v/>
      </c>
    </row>
    <row r="592" spans="22:23" x14ac:dyDescent="0.25">
      <c r="V592" s="52" t="str">
        <f t="shared" ca="1" si="54"/>
        <v/>
      </c>
      <c r="W592" s="97" t="str">
        <f t="shared" ca="1" si="55"/>
        <v/>
      </c>
    </row>
    <row r="593" spans="22:23" x14ac:dyDescent="0.25">
      <c r="V593" s="52" t="str">
        <f t="shared" ca="1" si="54"/>
        <v/>
      </c>
      <c r="W593" s="97" t="str">
        <f t="shared" ca="1" si="55"/>
        <v/>
      </c>
    </row>
    <row r="594" spans="22:23" x14ac:dyDescent="0.25">
      <c r="V594" s="52" t="str">
        <f t="shared" ca="1" si="54"/>
        <v/>
      </c>
      <c r="W594" s="97" t="str">
        <f t="shared" ca="1" si="55"/>
        <v/>
      </c>
    </row>
    <row r="595" spans="22:23" x14ac:dyDescent="0.25">
      <c r="V595" s="52" t="str">
        <f t="shared" ca="1" si="54"/>
        <v/>
      </c>
      <c r="W595" s="97" t="str">
        <f t="shared" ca="1" si="55"/>
        <v/>
      </c>
    </row>
    <row r="596" spans="22:23" x14ac:dyDescent="0.25">
      <c r="V596" s="52" t="str">
        <f t="shared" ca="1" si="54"/>
        <v/>
      </c>
      <c r="W596" s="97" t="str">
        <f t="shared" ca="1" si="55"/>
        <v/>
      </c>
    </row>
    <row r="597" spans="22:23" x14ac:dyDescent="0.25">
      <c r="V597" s="52" t="str">
        <f t="shared" ca="1" si="54"/>
        <v/>
      </c>
      <c r="W597" s="97" t="str">
        <f t="shared" ca="1" si="55"/>
        <v/>
      </c>
    </row>
    <row r="598" spans="22:23" x14ac:dyDescent="0.25">
      <c r="V598" s="52" t="str">
        <f t="shared" ca="1" si="54"/>
        <v/>
      </c>
      <c r="W598" s="97" t="str">
        <f t="shared" ca="1" si="55"/>
        <v/>
      </c>
    </row>
    <row r="599" spans="22:23" x14ac:dyDescent="0.25">
      <c r="V599" s="52" t="str">
        <f t="shared" ca="1" si="54"/>
        <v/>
      </c>
      <c r="W599" s="97" t="str">
        <f t="shared" ca="1" si="55"/>
        <v/>
      </c>
    </row>
    <row r="600" spans="22:23" x14ac:dyDescent="0.25">
      <c r="V600" s="52" t="str">
        <f t="shared" ca="1" si="54"/>
        <v/>
      </c>
      <c r="W600" s="97" t="str">
        <f t="shared" ca="1" si="55"/>
        <v/>
      </c>
    </row>
    <row r="601" spans="22:23" x14ac:dyDescent="0.25">
      <c r="V601" s="52" t="str">
        <f t="shared" ca="1" si="54"/>
        <v/>
      </c>
      <c r="W601" s="97" t="str">
        <f t="shared" ca="1" si="55"/>
        <v/>
      </c>
    </row>
    <row r="602" spans="22:23" x14ac:dyDescent="0.25">
      <c r="V602" s="52" t="str">
        <f t="shared" ca="1" si="54"/>
        <v/>
      </c>
      <c r="W602" s="97" t="str">
        <f t="shared" ca="1" si="55"/>
        <v/>
      </c>
    </row>
    <row r="603" spans="22:23" x14ac:dyDescent="0.25">
      <c r="V603" s="52" t="str">
        <f t="shared" ca="1" si="54"/>
        <v/>
      </c>
      <c r="W603" s="97" t="str">
        <f t="shared" ca="1" si="55"/>
        <v/>
      </c>
    </row>
    <row r="604" spans="22:23" x14ac:dyDescent="0.25">
      <c r="V604" s="52" t="str">
        <f t="shared" ca="1" si="54"/>
        <v/>
      </c>
      <c r="W604" s="97" t="str">
        <f t="shared" ca="1" si="55"/>
        <v/>
      </c>
    </row>
    <row r="605" spans="22:23" x14ac:dyDescent="0.25">
      <c r="V605" s="52" t="str">
        <f t="shared" ca="1" si="54"/>
        <v/>
      </c>
      <c r="W605" s="97" t="str">
        <f t="shared" ca="1" si="55"/>
        <v/>
      </c>
    </row>
    <row r="606" spans="22:23" x14ac:dyDescent="0.25">
      <c r="V606" s="52" t="str">
        <f t="shared" ca="1" si="54"/>
        <v/>
      </c>
      <c r="W606" s="97" t="str">
        <f t="shared" ca="1" si="55"/>
        <v/>
      </c>
    </row>
    <row r="607" spans="22:23" x14ac:dyDescent="0.25">
      <c r="V607" s="52" t="str">
        <f t="shared" ca="1" si="54"/>
        <v/>
      </c>
      <c r="W607" s="97" t="str">
        <f t="shared" ca="1" si="55"/>
        <v/>
      </c>
    </row>
    <row r="608" spans="22:23" x14ac:dyDescent="0.25">
      <c r="V608" s="52" t="str">
        <f t="shared" ca="1" si="54"/>
        <v/>
      </c>
      <c r="W608" s="97" t="str">
        <f t="shared" ca="1" si="55"/>
        <v/>
      </c>
    </row>
    <row r="609" spans="22:23" x14ac:dyDescent="0.25">
      <c r="V609" s="52" t="str">
        <f t="shared" ca="1" si="54"/>
        <v/>
      </c>
      <c r="W609" s="97" t="str">
        <f t="shared" ca="1" si="55"/>
        <v/>
      </c>
    </row>
    <row r="610" spans="22:23" x14ac:dyDescent="0.25">
      <c r="V610" s="52" t="str">
        <f t="shared" ca="1" si="54"/>
        <v/>
      </c>
      <c r="W610" s="97" t="str">
        <f t="shared" ca="1" si="55"/>
        <v/>
      </c>
    </row>
    <row r="611" spans="22:23" x14ac:dyDescent="0.25">
      <c r="V611" s="52" t="str">
        <f t="shared" ca="1" si="54"/>
        <v/>
      </c>
      <c r="W611" s="97" t="str">
        <f t="shared" ca="1" si="55"/>
        <v/>
      </c>
    </row>
    <row r="612" spans="22:23" x14ac:dyDescent="0.25">
      <c r="V612" s="52" t="str">
        <f t="shared" ca="1" si="54"/>
        <v/>
      </c>
      <c r="W612" s="97" t="str">
        <f t="shared" ca="1" si="55"/>
        <v/>
      </c>
    </row>
    <row r="613" spans="22:23" x14ac:dyDescent="0.25">
      <c r="V613" s="52" t="str">
        <f t="shared" ca="1" si="54"/>
        <v/>
      </c>
      <c r="W613" s="97" t="str">
        <f t="shared" ca="1" si="55"/>
        <v/>
      </c>
    </row>
    <row r="614" spans="22:23" x14ac:dyDescent="0.25">
      <c r="V614" s="52" t="str">
        <f t="shared" ca="1" si="54"/>
        <v/>
      </c>
      <c r="W614" s="97" t="str">
        <f t="shared" ca="1" si="55"/>
        <v/>
      </c>
    </row>
    <row r="615" spans="22:23" x14ac:dyDescent="0.25">
      <c r="V615" s="52" t="str">
        <f t="shared" ca="1" si="54"/>
        <v/>
      </c>
      <c r="W615" s="97" t="str">
        <f t="shared" ca="1" si="55"/>
        <v/>
      </c>
    </row>
    <row r="616" spans="22:23" x14ac:dyDescent="0.25">
      <c r="V616" s="52" t="str">
        <f t="shared" ca="1" si="54"/>
        <v/>
      </c>
      <c r="W616" s="97" t="str">
        <f t="shared" ca="1" si="55"/>
        <v/>
      </c>
    </row>
    <row r="617" spans="22:23" x14ac:dyDescent="0.25">
      <c r="V617" s="52" t="str">
        <f t="shared" ca="1" si="54"/>
        <v/>
      </c>
      <c r="W617" s="97" t="str">
        <f t="shared" ca="1" si="55"/>
        <v/>
      </c>
    </row>
    <row r="618" spans="22:23" x14ac:dyDescent="0.25">
      <c r="V618" s="52" t="str">
        <f t="shared" ca="1" si="54"/>
        <v/>
      </c>
      <c r="W618" s="97" t="str">
        <f t="shared" ca="1" si="55"/>
        <v/>
      </c>
    </row>
    <row r="619" spans="22:23" x14ac:dyDescent="0.25">
      <c r="V619" s="52" t="str">
        <f t="shared" ca="1" si="54"/>
        <v/>
      </c>
      <c r="W619" s="97" t="str">
        <f t="shared" ca="1" si="55"/>
        <v/>
      </c>
    </row>
    <row r="620" spans="22:23" x14ac:dyDescent="0.25">
      <c r="V620" s="52" t="str">
        <f t="shared" ca="1" si="54"/>
        <v/>
      </c>
      <c r="W620" s="97" t="str">
        <f t="shared" ca="1" si="55"/>
        <v/>
      </c>
    </row>
    <row r="621" spans="22:23" x14ac:dyDescent="0.25">
      <c r="V621" s="52" t="str">
        <f t="shared" ca="1" si="54"/>
        <v/>
      </c>
      <c r="W621" s="97" t="str">
        <f t="shared" ca="1" si="55"/>
        <v/>
      </c>
    </row>
    <row r="622" spans="22:23" x14ac:dyDescent="0.25">
      <c r="V622" s="52" t="str">
        <f t="shared" ca="1" si="54"/>
        <v/>
      </c>
      <c r="W622" s="97" t="str">
        <f t="shared" ca="1" si="55"/>
        <v/>
      </c>
    </row>
    <row r="623" spans="22:23" x14ac:dyDescent="0.25">
      <c r="V623" s="52" t="str">
        <f t="shared" ca="1" si="54"/>
        <v/>
      </c>
      <c r="W623" s="97" t="str">
        <f t="shared" ca="1" si="55"/>
        <v/>
      </c>
    </row>
    <row r="624" spans="22:23" x14ac:dyDescent="0.25">
      <c r="V624" s="52" t="str">
        <f t="shared" ca="1" si="54"/>
        <v/>
      </c>
      <c r="W624" s="97" t="str">
        <f t="shared" ca="1" si="55"/>
        <v/>
      </c>
    </row>
    <row r="625" spans="22:23" x14ac:dyDescent="0.25">
      <c r="V625" s="52" t="str">
        <f t="shared" ca="1" si="54"/>
        <v/>
      </c>
      <c r="W625" s="97" t="str">
        <f t="shared" ca="1" si="55"/>
        <v/>
      </c>
    </row>
    <row r="626" spans="22:23" x14ac:dyDescent="0.25">
      <c r="V626" s="52" t="str">
        <f t="shared" ca="1" si="54"/>
        <v/>
      </c>
      <c r="W626" s="97" t="str">
        <f t="shared" ca="1" si="55"/>
        <v/>
      </c>
    </row>
    <row r="627" spans="22:23" x14ac:dyDescent="0.25">
      <c r="V627" s="52" t="str">
        <f t="shared" ca="1" si="54"/>
        <v/>
      </c>
      <c r="W627" s="97" t="str">
        <f t="shared" ca="1" si="55"/>
        <v/>
      </c>
    </row>
    <row r="628" spans="22:23" x14ac:dyDescent="0.25">
      <c r="V628" s="52" t="str">
        <f t="shared" ca="1" si="54"/>
        <v/>
      </c>
      <c r="W628" s="97" t="str">
        <f t="shared" ca="1" si="55"/>
        <v/>
      </c>
    </row>
    <row r="629" spans="22:23" x14ac:dyDescent="0.25">
      <c r="V629" s="52" t="str">
        <f t="shared" ca="1" si="54"/>
        <v/>
      </c>
      <c r="W629" s="97" t="str">
        <f t="shared" ca="1" si="55"/>
        <v/>
      </c>
    </row>
    <row r="630" spans="22:23" x14ac:dyDescent="0.25">
      <c r="V630" s="52" t="str">
        <f t="shared" ca="1" si="54"/>
        <v/>
      </c>
      <c r="W630" s="97" t="str">
        <f t="shared" ca="1" si="55"/>
        <v/>
      </c>
    </row>
    <row r="631" spans="22:23" x14ac:dyDescent="0.25">
      <c r="V631" s="52" t="str">
        <f t="shared" ca="1" si="54"/>
        <v/>
      </c>
      <c r="W631" s="97" t="str">
        <f t="shared" ca="1" si="55"/>
        <v/>
      </c>
    </row>
    <row r="632" spans="22:23" x14ac:dyDescent="0.25">
      <c r="V632" s="52" t="str">
        <f t="shared" ca="1" si="54"/>
        <v/>
      </c>
      <c r="W632" s="97" t="str">
        <f t="shared" ca="1" si="55"/>
        <v/>
      </c>
    </row>
    <row r="633" spans="22:23" x14ac:dyDescent="0.25">
      <c r="V633" s="52" t="str">
        <f t="shared" ca="1" si="54"/>
        <v/>
      </c>
      <c r="W633" s="97" t="str">
        <f t="shared" ca="1" si="55"/>
        <v/>
      </c>
    </row>
    <row r="634" spans="22:23" x14ac:dyDescent="0.25">
      <c r="V634" s="52" t="str">
        <f t="shared" ca="1" si="54"/>
        <v/>
      </c>
      <c r="W634" s="97" t="str">
        <f t="shared" ca="1" si="55"/>
        <v/>
      </c>
    </row>
    <row r="635" spans="22:23" x14ac:dyDescent="0.25">
      <c r="V635" s="52" t="str">
        <f t="shared" ca="1" si="54"/>
        <v/>
      </c>
      <c r="W635" s="97" t="str">
        <f t="shared" ca="1" si="55"/>
        <v/>
      </c>
    </row>
    <row r="636" spans="22:23" x14ac:dyDescent="0.25">
      <c r="V636" s="52" t="str">
        <f t="shared" ca="1" si="54"/>
        <v/>
      </c>
      <c r="W636" s="97" t="str">
        <f t="shared" ca="1" si="55"/>
        <v/>
      </c>
    </row>
    <row r="637" spans="22:23" x14ac:dyDescent="0.25">
      <c r="V637" s="52" t="str">
        <f t="shared" ca="1" si="54"/>
        <v/>
      </c>
      <c r="W637" s="97" t="str">
        <f t="shared" ca="1" si="55"/>
        <v/>
      </c>
    </row>
    <row r="638" spans="22:23" x14ac:dyDescent="0.25">
      <c r="V638" s="52" t="str">
        <f t="shared" ca="1" si="54"/>
        <v/>
      </c>
      <c r="W638" s="97" t="str">
        <f t="shared" ca="1" si="55"/>
        <v/>
      </c>
    </row>
    <row r="639" spans="22:23" x14ac:dyDescent="0.25">
      <c r="V639" s="52" t="str">
        <f t="shared" ca="1" si="54"/>
        <v/>
      </c>
      <c r="W639" s="97" t="str">
        <f t="shared" ca="1" si="55"/>
        <v/>
      </c>
    </row>
    <row r="640" spans="22:23" x14ac:dyDescent="0.25">
      <c r="V640" s="52" t="str">
        <f t="shared" ca="1" si="54"/>
        <v/>
      </c>
      <c r="W640" s="97" t="str">
        <f t="shared" ca="1" si="55"/>
        <v/>
      </c>
    </row>
    <row r="641" spans="22:23" x14ac:dyDescent="0.25">
      <c r="V641" s="52" t="str">
        <f t="shared" ca="1" si="54"/>
        <v/>
      </c>
      <c r="W641" s="97" t="str">
        <f t="shared" ca="1" si="55"/>
        <v/>
      </c>
    </row>
    <row r="642" spans="22:23" x14ac:dyDescent="0.25">
      <c r="V642" s="52" t="str">
        <f t="shared" ca="1" si="54"/>
        <v/>
      </c>
      <c r="W642" s="97" t="str">
        <f t="shared" ca="1" si="55"/>
        <v/>
      </c>
    </row>
    <row r="643" spans="22:23" x14ac:dyDescent="0.25">
      <c r="V643" s="52" t="str">
        <f t="shared" ca="1" si="54"/>
        <v/>
      </c>
      <c r="W643" s="97" t="str">
        <f t="shared" ca="1" si="55"/>
        <v/>
      </c>
    </row>
    <row r="644" spans="22:23" x14ac:dyDescent="0.25">
      <c r="V644" s="52" t="str">
        <f t="shared" ref="V644:V707" ca="1" si="56">IF(COUNTIF(P:P,N644)*COUNTIF(R:R,N644)*COUNTIF(T:T,N644),N644,"")</f>
        <v/>
      </c>
      <c r="W644" s="97" t="str">
        <f t="shared" ref="W644:W707" ca="1" si="57">IF(V644&gt;=$A$14,V644,"")</f>
        <v/>
      </c>
    </row>
    <row r="645" spans="22:23" x14ac:dyDescent="0.25">
      <c r="V645" s="52" t="str">
        <f t="shared" ca="1" si="56"/>
        <v/>
      </c>
      <c r="W645" s="97" t="str">
        <f t="shared" ca="1" si="57"/>
        <v/>
      </c>
    </row>
    <row r="646" spans="22:23" x14ac:dyDescent="0.25">
      <c r="V646" s="52" t="str">
        <f t="shared" ca="1" si="56"/>
        <v/>
      </c>
      <c r="W646" s="97" t="str">
        <f t="shared" ca="1" si="57"/>
        <v/>
      </c>
    </row>
    <row r="647" spans="22:23" x14ac:dyDescent="0.25">
      <c r="V647" s="52" t="str">
        <f t="shared" ca="1" si="56"/>
        <v/>
      </c>
      <c r="W647" s="97" t="str">
        <f t="shared" ca="1" si="57"/>
        <v/>
      </c>
    </row>
    <row r="648" spans="22:23" x14ac:dyDescent="0.25">
      <c r="V648" s="52" t="str">
        <f t="shared" ca="1" si="56"/>
        <v/>
      </c>
      <c r="W648" s="97" t="str">
        <f t="shared" ca="1" si="57"/>
        <v/>
      </c>
    </row>
    <row r="649" spans="22:23" x14ac:dyDescent="0.25">
      <c r="V649" s="52" t="str">
        <f t="shared" ca="1" si="56"/>
        <v/>
      </c>
      <c r="W649" s="97" t="str">
        <f t="shared" ca="1" si="57"/>
        <v/>
      </c>
    </row>
    <row r="650" spans="22:23" x14ac:dyDescent="0.25">
      <c r="V650" s="52" t="str">
        <f t="shared" ca="1" si="56"/>
        <v/>
      </c>
      <c r="W650" s="97" t="str">
        <f t="shared" ca="1" si="57"/>
        <v/>
      </c>
    </row>
    <row r="651" spans="22:23" x14ac:dyDescent="0.25">
      <c r="V651" s="52" t="str">
        <f t="shared" ca="1" si="56"/>
        <v/>
      </c>
      <c r="W651" s="97" t="str">
        <f t="shared" ca="1" si="57"/>
        <v/>
      </c>
    </row>
    <row r="652" spans="22:23" x14ac:dyDescent="0.25">
      <c r="V652" s="52" t="str">
        <f t="shared" ca="1" si="56"/>
        <v/>
      </c>
      <c r="W652" s="97" t="str">
        <f t="shared" ca="1" si="57"/>
        <v/>
      </c>
    </row>
    <row r="653" spans="22:23" x14ac:dyDescent="0.25">
      <c r="V653" s="52" t="str">
        <f t="shared" ca="1" si="56"/>
        <v/>
      </c>
      <c r="W653" s="97" t="str">
        <f t="shared" ca="1" si="57"/>
        <v/>
      </c>
    </row>
    <row r="654" spans="22:23" x14ac:dyDescent="0.25">
      <c r="V654" s="52" t="str">
        <f t="shared" ca="1" si="56"/>
        <v/>
      </c>
      <c r="W654" s="97" t="str">
        <f t="shared" ca="1" si="57"/>
        <v/>
      </c>
    </row>
    <row r="655" spans="22:23" x14ac:dyDescent="0.25">
      <c r="V655" s="52" t="str">
        <f t="shared" ca="1" si="56"/>
        <v/>
      </c>
      <c r="W655" s="97" t="str">
        <f t="shared" ca="1" si="57"/>
        <v/>
      </c>
    </row>
    <row r="656" spans="22:23" x14ac:dyDescent="0.25">
      <c r="V656" s="52" t="str">
        <f t="shared" ca="1" si="56"/>
        <v/>
      </c>
      <c r="W656" s="97" t="str">
        <f t="shared" ca="1" si="57"/>
        <v/>
      </c>
    </row>
    <row r="657" spans="22:23" x14ac:dyDescent="0.25">
      <c r="V657" s="52" t="str">
        <f t="shared" ca="1" si="56"/>
        <v/>
      </c>
      <c r="W657" s="97" t="str">
        <f t="shared" ca="1" si="57"/>
        <v/>
      </c>
    </row>
    <row r="658" spans="22:23" x14ac:dyDescent="0.25">
      <c r="V658" s="52" t="str">
        <f t="shared" ca="1" si="56"/>
        <v/>
      </c>
      <c r="W658" s="97" t="str">
        <f t="shared" ca="1" si="57"/>
        <v/>
      </c>
    </row>
    <row r="659" spans="22:23" x14ac:dyDescent="0.25">
      <c r="V659" s="52" t="str">
        <f t="shared" ca="1" si="56"/>
        <v/>
      </c>
      <c r="W659" s="97" t="str">
        <f t="shared" ca="1" si="57"/>
        <v/>
      </c>
    </row>
    <row r="660" spans="22:23" x14ac:dyDescent="0.25">
      <c r="V660" s="52" t="str">
        <f t="shared" ca="1" si="56"/>
        <v/>
      </c>
      <c r="W660" s="97" t="str">
        <f t="shared" ca="1" si="57"/>
        <v/>
      </c>
    </row>
    <row r="661" spans="22:23" x14ac:dyDescent="0.25">
      <c r="V661" s="52" t="str">
        <f t="shared" ca="1" si="56"/>
        <v/>
      </c>
      <c r="W661" s="97" t="str">
        <f t="shared" ca="1" si="57"/>
        <v/>
      </c>
    </row>
    <row r="662" spans="22:23" x14ac:dyDescent="0.25">
      <c r="V662" s="52" t="str">
        <f t="shared" ca="1" si="56"/>
        <v/>
      </c>
      <c r="W662" s="97" t="str">
        <f t="shared" ca="1" si="57"/>
        <v/>
      </c>
    </row>
    <row r="663" spans="22:23" x14ac:dyDescent="0.25">
      <c r="V663" s="52" t="str">
        <f t="shared" ca="1" si="56"/>
        <v/>
      </c>
      <c r="W663" s="97" t="str">
        <f t="shared" ca="1" si="57"/>
        <v/>
      </c>
    </row>
    <row r="664" spans="22:23" x14ac:dyDescent="0.25">
      <c r="V664" s="52" t="str">
        <f t="shared" ca="1" si="56"/>
        <v/>
      </c>
      <c r="W664" s="97" t="str">
        <f t="shared" ca="1" si="57"/>
        <v/>
      </c>
    </row>
    <row r="665" spans="22:23" x14ac:dyDescent="0.25">
      <c r="V665" s="52" t="str">
        <f t="shared" ca="1" si="56"/>
        <v/>
      </c>
      <c r="W665" s="97" t="str">
        <f t="shared" ca="1" si="57"/>
        <v/>
      </c>
    </row>
    <row r="666" spans="22:23" x14ac:dyDescent="0.25">
      <c r="V666" s="52" t="str">
        <f t="shared" ca="1" si="56"/>
        <v/>
      </c>
      <c r="W666" s="97" t="str">
        <f t="shared" ca="1" si="57"/>
        <v/>
      </c>
    </row>
    <row r="667" spans="22:23" x14ac:dyDescent="0.25">
      <c r="V667" s="52" t="str">
        <f t="shared" ca="1" si="56"/>
        <v/>
      </c>
      <c r="W667" s="97" t="str">
        <f t="shared" ca="1" si="57"/>
        <v/>
      </c>
    </row>
    <row r="668" spans="22:23" x14ac:dyDescent="0.25">
      <c r="V668" s="52" t="str">
        <f t="shared" ca="1" si="56"/>
        <v/>
      </c>
      <c r="W668" s="97" t="str">
        <f t="shared" ca="1" si="57"/>
        <v/>
      </c>
    </row>
    <row r="669" spans="22:23" x14ac:dyDescent="0.25">
      <c r="V669" s="52" t="str">
        <f t="shared" ca="1" si="56"/>
        <v/>
      </c>
      <c r="W669" s="97" t="str">
        <f t="shared" ca="1" si="57"/>
        <v/>
      </c>
    </row>
    <row r="670" spans="22:23" x14ac:dyDescent="0.25">
      <c r="V670" s="52" t="str">
        <f t="shared" ca="1" si="56"/>
        <v/>
      </c>
      <c r="W670" s="97" t="str">
        <f t="shared" ca="1" si="57"/>
        <v/>
      </c>
    </row>
    <row r="671" spans="22:23" x14ac:dyDescent="0.25">
      <c r="V671" s="52" t="str">
        <f t="shared" ca="1" si="56"/>
        <v/>
      </c>
      <c r="W671" s="97" t="str">
        <f t="shared" ca="1" si="57"/>
        <v/>
      </c>
    </row>
    <row r="672" spans="22:23" x14ac:dyDescent="0.25">
      <c r="V672" s="52" t="str">
        <f t="shared" ca="1" si="56"/>
        <v/>
      </c>
      <c r="W672" s="97" t="str">
        <f t="shared" ca="1" si="57"/>
        <v/>
      </c>
    </row>
    <row r="673" spans="22:23" x14ac:dyDescent="0.25">
      <c r="V673" s="52" t="str">
        <f t="shared" ca="1" si="56"/>
        <v/>
      </c>
      <c r="W673" s="97" t="str">
        <f t="shared" ca="1" si="57"/>
        <v/>
      </c>
    </row>
    <row r="674" spans="22:23" x14ac:dyDescent="0.25">
      <c r="V674" s="52" t="str">
        <f t="shared" ca="1" si="56"/>
        <v/>
      </c>
      <c r="W674" s="97" t="str">
        <f t="shared" ca="1" si="57"/>
        <v/>
      </c>
    </row>
    <row r="675" spans="22:23" x14ac:dyDescent="0.25">
      <c r="V675" s="52" t="str">
        <f t="shared" ca="1" si="56"/>
        <v/>
      </c>
      <c r="W675" s="97" t="str">
        <f t="shared" ca="1" si="57"/>
        <v/>
      </c>
    </row>
    <row r="676" spans="22:23" x14ac:dyDescent="0.25">
      <c r="V676" s="52" t="str">
        <f t="shared" ca="1" si="56"/>
        <v/>
      </c>
      <c r="W676" s="97" t="str">
        <f t="shared" ca="1" si="57"/>
        <v/>
      </c>
    </row>
    <row r="677" spans="22:23" x14ac:dyDescent="0.25">
      <c r="V677" s="52" t="str">
        <f t="shared" ca="1" si="56"/>
        <v/>
      </c>
      <c r="W677" s="97" t="str">
        <f t="shared" ca="1" si="57"/>
        <v/>
      </c>
    </row>
    <row r="678" spans="22:23" x14ac:dyDescent="0.25">
      <c r="V678" s="52" t="str">
        <f t="shared" ca="1" si="56"/>
        <v/>
      </c>
      <c r="W678" s="97" t="str">
        <f t="shared" ca="1" si="57"/>
        <v/>
      </c>
    </row>
    <row r="679" spans="22:23" x14ac:dyDescent="0.25">
      <c r="V679" s="52" t="str">
        <f t="shared" ca="1" si="56"/>
        <v/>
      </c>
      <c r="W679" s="97" t="str">
        <f t="shared" ca="1" si="57"/>
        <v/>
      </c>
    </row>
    <row r="680" spans="22:23" x14ac:dyDescent="0.25">
      <c r="V680" s="52" t="str">
        <f t="shared" ca="1" si="56"/>
        <v/>
      </c>
      <c r="W680" s="97" t="str">
        <f t="shared" ca="1" si="57"/>
        <v/>
      </c>
    </row>
    <row r="681" spans="22:23" x14ac:dyDescent="0.25">
      <c r="V681" s="52" t="str">
        <f t="shared" ca="1" si="56"/>
        <v/>
      </c>
      <c r="W681" s="97" t="str">
        <f t="shared" ca="1" si="57"/>
        <v/>
      </c>
    </row>
    <row r="682" spans="22:23" x14ac:dyDescent="0.25">
      <c r="V682" s="52" t="str">
        <f t="shared" ca="1" si="56"/>
        <v/>
      </c>
      <c r="W682" s="97" t="str">
        <f t="shared" ca="1" si="57"/>
        <v/>
      </c>
    </row>
    <row r="683" spans="22:23" x14ac:dyDescent="0.25">
      <c r="V683" s="52" t="str">
        <f t="shared" ca="1" si="56"/>
        <v/>
      </c>
      <c r="W683" s="97" t="str">
        <f t="shared" ca="1" si="57"/>
        <v/>
      </c>
    </row>
    <row r="684" spans="22:23" x14ac:dyDescent="0.25">
      <c r="V684" s="52" t="str">
        <f t="shared" ca="1" si="56"/>
        <v/>
      </c>
      <c r="W684" s="97" t="str">
        <f t="shared" ca="1" si="57"/>
        <v/>
      </c>
    </row>
    <row r="685" spans="22:23" x14ac:dyDescent="0.25">
      <c r="V685" s="52" t="str">
        <f t="shared" ca="1" si="56"/>
        <v/>
      </c>
      <c r="W685" s="97" t="str">
        <f t="shared" ca="1" si="57"/>
        <v/>
      </c>
    </row>
    <row r="686" spans="22:23" x14ac:dyDescent="0.25">
      <c r="V686" s="52" t="str">
        <f t="shared" ca="1" si="56"/>
        <v/>
      </c>
      <c r="W686" s="97" t="str">
        <f t="shared" ca="1" si="57"/>
        <v/>
      </c>
    </row>
    <row r="687" spans="22:23" x14ac:dyDescent="0.25">
      <c r="V687" s="52" t="str">
        <f t="shared" ca="1" si="56"/>
        <v/>
      </c>
      <c r="W687" s="97" t="str">
        <f t="shared" ca="1" si="57"/>
        <v/>
      </c>
    </row>
    <row r="688" spans="22:23" x14ac:dyDescent="0.25">
      <c r="V688" s="52" t="str">
        <f t="shared" ca="1" si="56"/>
        <v/>
      </c>
      <c r="W688" s="97" t="str">
        <f t="shared" ca="1" si="57"/>
        <v/>
      </c>
    </row>
    <row r="689" spans="22:23" x14ac:dyDescent="0.25">
      <c r="V689" s="52" t="str">
        <f t="shared" ca="1" si="56"/>
        <v/>
      </c>
      <c r="W689" s="97" t="str">
        <f t="shared" ca="1" si="57"/>
        <v/>
      </c>
    </row>
    <row r="690" spans="22:23" x14ac:dyDescent="0.25">
      <c r="V690" s="52" t="str">
        <f t="shared" ca="1" si="56"/>
        <v/>
      </c>
      <c r="W690" s="97" t="str">
        <f t="shared" ca="1" si="57"/>
        <v/>
      </c>
    </row>
    <row r="691" spans="22:23" x14ac:dyDescent="0.25">
      <c r="V691" s="52" t="str">
        <f t="shared" ca="1" si="56"/>
        <v/>
      </c>
      <c r="W691" s="97" t="str">
        <f t="shared" ca="1" si="57"/>
        <v/>
      </c>
    </row>
    <row r="692" spans="22:23" x14ac:dyDescent="0.25">
      <c r="V692" s="52" t="str">
        <f t="shared" ca="1" si="56"/>
        <v/>
      </c>
      <c r="W692" s="97" t="str">
        <f t="shared" ca="1" si="57"/>
        <v/>
      </c>
    </row>
    <row r="693" spans="22:23" x14ac:dyDescent="0.25">
      <c r="V693" s="52" t="str">
        <f t="shared" ca="1" si="56"/>
        <v/>
      </c>
      <c r="W693" s="97" t="str">
        <f t="shared" ca="1" si="57"/>
        <v/>
      </c>
    </row>
    <row r="694" spans="22:23" x14ac:dyDescent="0.25">
      <c r="V694" s="52" t="str">
        <f t="shared" ca="1" si="56"/>
        <v/>
      </c>
      <c r="W694" s="97" t="str">
        <f t="shared" ca="1" si="57"/>
        <v/>
      </c>
    </row>
    <row r="695" spans="22:23" x14ac:dyDescent="0.25">
      <c r="V695" s="52" t="str">
        <f t="shared" ca="1" si="56"/>
        <v/>
      </c>
      <c r="W695" s="97" t="str">
        <f t="shared" ca="1" si="57"/>
        <v/>
      </c>
    </row>
    <row r="696" spans="22:23" x14ac:dyDescent="0.25">
      <c r="V696" s="52" t="str">
        <f t="shared" ca="1" si="56"/>
        <v/>
      </c>
      <c r="W696" s="97" t="str">
        <f t="shared" ca="1" si="57"/>
        <v/>
      </c>
    </row>
    <row r="697" spans="22:23" x14ac:dyDescent="0.25">
      <c r="V697" s="52" t="str">
        <f t="shared" ca="1" si="56"/>
        <v/>
      </c>
      <c r="W697" s="97" t="str">
        <f t="shared" ca="1" si="57"/>
        <v/>
      </c>
    </row>
    <row r="698" spans="22:23" x14ac:dyDescent="0.25">
      <c r="V698" s="52" t="str">
        <f t="shared" ca="1" si="56"/>
        <v/>
      </c>
      <c r="W698" s="97" t="str">
        <f t="shared" ca="1" si="57"/>
        <v/>
      </c>
    </row>
    <row r="699" spans="22:23" x14ac:dyDescent="0.25">
      <c r="V699" s="52" t="str">
        <f t="shared" ca="1" si="56"/>
        <v/>
      </c>
      <c r="W699" s="97" t="str">
        <f t="shared" ca="1" si="57"/>
        <v/>
      </c>
    </row>
    <row r="700" spans="22:23" x14ac:dyDescent="0.25">
      <c r="V700" s="52" t="str">
        <f t="shared" ca="1" si="56"/>
        <v/>
      </c>
      <c r="W700" s="97" t="str">
        <f t="shared" ca="1" si="57"/>
        <v/>
      </c>
    </row>
    <row r="701" spans="22:23" x14ac:dyDescent="0.25">
      <c r="V701" s="52" t="str">
        <f t="shared" ca="1" si="56"/>
        <v/>
      </c>
      <c r="W701" s="97" t="str">
        <f t="shared" ca="1" si="57"/>
        <v/>
      </c>
    </row>
    <row r="702" spans="22:23" x14ac:dyDescent="0.25">
      <c r="V702" s="52" t="str">
        <f t="shared" ca="1" si="56"/>
        <v/>
      </c>
      <c r="W702" s="97" t="str">
        <f t="shared" ca="1" si="57"/>
        <v/>
      </c>
    </row>
    <row r="703" spans="22:23" x14ac:dyDescent="0.25">
      <c r="V703" s="52" t="str">
        <f t="shared" ca="1" si="56"/>
        <v/>
      </c>
      <c r="W703" s="97" t="str">
        <f t="shared" ca="1" si="57"/>
        <v/>
      </c>
    </row>
    <row r="704" spans="22:23" x14ac:dyDescent="0.25">
      <c r="V704" s="52" t="str">
        <f t="shared" ca="1" si="56"/>
        <v/>
      </c>
      <c r="W704" s="97" t="str">
        <f t="shared" ca="1" si="57"/>
        <v/>
      </c>
    </row>
    <row r="705" spans="22:23" x14ac:dyDescent="0.25">
      <c r="V705" s="52" t="str">
        <f t="shared" ca="1" si="56"/>
        <v/>
      </c>
      <c r="W705" s="97" t="str">
        <f t="shared" ca="1" si="57"/>
        <v/>
      </c>
    </row>
    <row r="706" spans="22:23" x14ac:dyDescent="0.25">
      <c r="V706" s="52" t="str">
        <f t="shared" ca="1" si="56"/>
        <v/>
      </c>
      <c r="W706" s="97" t="str">
        <f t="shared" ca="1" si="57"/>
        <v/>
      </c>
    </row>
    <row r="707" spans="22:23" x14ac:dyDescent="0.25">
      <c r="V707" s="52" t="str">
        <f t="shared" ca="1" si="56"/>
        <v/>
      </c>
      <c r="W707" s="97" t="str">
        <f t="shared" ca="1" si="57"/>
        <v/>
      </c>
    </row>
    <row r="708" spans="22:23" x14ac:dyDescent="0.25">
      <c r="V708" s="52" t="str">
        <f t="shared" ref="V708:V771" ca="1" si="58">IF(COUNTIF(P:P,N708)*COUNTIF(R:R,N708)*COUNTIF(T:T,N708),N708,"")</f>
        <v/>
      </c>
      <c r="W708" s="97" t="str">
        <f t="shared" ref="W708:W771" ca="1" si="59">IF(V708&gt;=$A$14,V708,"")</f>
        <v/>
      </c>
    </row>
    <row r="709" spans="22:23" x14ac:dyDescent="0.25">
      <c r="V709" s="52" t="str">
        <f t="shared" ca="1" si="58"/>
        <v/>
      </c>
      <c r="W709" s="97" t="str">
        <f t="shared" ca="1" si="59"/>
        <v/>
      </c>
    </row>
    <row r="710" spans="22:23" x14ac:dyDescent="0.25">
      <c r="V710" s="52" t="str">
        <f t="shared" ca="1" si="58"/>
        <v/>
      </c>
      <c r="W710" s="97" t="str">
        <f t="shared" ca="1" si="59"/>
        <v/>
      </c>
    </row>
    <row r="711" spans="22:23" x14ac:dyDescent="0.25">
      <c r="V711" s="52" t="str">
        <f t="shared" ca="1" si="58"/>
        <v/>
      </c>
      <c r="W711" s="97" t="str">
        <f t="shared" ca="1" si="59"/>
        <v/>
      </c>
    </row>
    <row r="712" spans="22:23" x14ac:dyDescent="0.25">
      <c r="V712" s="52" t="str">
        <f t="shared" ca="1" si="58"/>
        <v/>
      </c>
      <c r="W712" s="97" t="str">
        <f t="shared" ca="1" si="59"/>
        <v/>
      </c>
    </row>
    <row r="713" spans="22:23" x14ac:dyDescent="0.25">
      <c r="V713" s="52" t="str">
        <f t="shared" ca="1" si="58"/>
        <v/>
      </c>
      <c r="W713" s="97" t="str">
        <f t="shared" ca="1" si="59"/>
        <v/>
      </c>
    </row>
    <row r="714" spans="22:23" x14ac:dyDescent="0.25">
      <c r="V714" s="52" t="str">
        <f t="shared" ca="1" si="58"/>
        <v/>
      </c>
      <c r="W714" s="97" t="str">
        <f t="shared" ca="1" si="59"/>
        <v/>
      </c>
    </row>
    <row r="715" spans="22:23" x14ac:dyDescent="0.25">
      <c r="V715" s="52" t="str">
        <f t="shared" ca="1" si="58"/>
        <v/>
      </c>
      <c r="W715" s="97" t="str">
        <f t="shared" ca="1" si="59"/>
        <v/>
      </c>
    </row>
    <row r="716" spans="22:23" x14ac:dyDescent="0.25">
      <c r="V716" s="52" t="str">
        <f t="shared" ca="1" si="58"/>
        <v/>
      </c>
      <c r="W716" s="97" t="str">
        <f t="shared" ca="1" si="59"/>
        <v/>
      </c>
    </row>
    <row r="717" spans="22:23" x14ac:dyDescent="0.25">
      <c r="V717" s="52" t="str">
        <f t="shared" ca="1" si="58"/>
        <v/>
      </c>
      <c r="W717" s="97" t="str">
        <f t="shared" ca="1" si="59"/>
        <v/>
      </c>
    </row>
    <row r="718" spans="22:23" x14ac:dyDescent="0.25">
      <c r="V718" s="52" t="str">
        <f t="shared" ca="1" si="58"/>
        <v/>
      </c>
      <c r="W718" s="97" t="str">
        <f t="shared" ca="1" si="59"/>
        <v/>
      </c>
    </row>
    <row r="719" spans="22:23" x14ac:dyDescent="0.25">
      <c r="V719" s="52" t="str">
        <f t="shared" ca="1" si="58"/>
        <v/>
      </c>
      <c r="W719" s="97" t="str">
        <f t="shared" ca="1" si="59"/>
        <v/>
      </c>
    </row>
    <row r="720" spans="22:23" x14ac:dyDescent="0.25">
      <c r="V720" s="52" t="str">
        <f t="shared" ca="1" si="58"/>
        <v/>
      </c>
      <c r="W720" s="97" t="str">
        <f t="shared" ca="1" si="59"/>
        <v/>
      </c>
    </row>
    <row r="721" spans="22:23" x14ac:dyDescent="0.25">
      <c r="V721" s="52" t="str">
        <f t="shared" ca="1" si="58"/>
        <v/>
      </c>
      <c r="W721" s="97" t="str">
        <f t="shared" ca="1" si="59"/>
        <v/>
      </c>
    </row>
    <row r="722" spans="22:23" x14ac:dyDescent="0.25">
      <c r="V722" s="52" t="str">
        <f t="shared" ca="1" si="58"/>
        <v/>
      </c>
      <c r="W722" s="97" t="str">
        <f t="shared" ca="1" si="59"/>
        <v/>
      </c>
    </row>
    <row r="723" spans="22:23" x14ac:dyDescent="0.25">
      <c r="V723" s="52" t="str">
        <f t="shared" ca="1" si="58"/>
        <v/>
      </c>
      <c r="W723" s="97" t="str">
        <f t="shared" ca="1" si="59"/>
        <v/>
      </c>
    </row>
    <row r="724" spans="22:23" x14ac:dyDescent="0.25">
      <c r="V724" s="52" t="str">
        <f t="shared" ca="1" si="58"/>
        <v/>
      </c>
      <c r="W724" s="97" t="str">
        <f t="shared" ca="1" si="59"/>
        <v/>
      </c>
    </row>
    <row r="725" spans="22:23" x14ac:dyDescent="0.25">
      <c r="V725" s="52" t="str">
        <f t="shared" ca="1" si="58"/>
        <v/>
      </c>
      <c r="W725" s="97" t="str">
        <f t="shared" ca="1" si="59"/>
        <v/>
      </c>
    </row>
    <row r="726" spans="22:23" x14ac:dyDescent="0.25">
      <c r="V726" s="52" t="str">
        <f t="shared" ca="1" si="58"/>
        <v/>
      </c>
      <c r="W726" s="97" t="str">
        <f t="shared" ca="1" si="59"/>
        <v/>
      </c>
    </row>
    <row r="727" spans="22:23" x14ac:dyDescent="0.25">
      <c r="V727" s="52" t="str">
        <f t="shared" ca="1" si="58"/>
        <v/>
      </c>
      <c r="W727" s="97" t="str">
        <f t="shared" ca="1" si="59"/>
        <v/>
      </c>
    </row>
    <row r="728" spans="22:23" x14ac:dyDescent="0.25">
      <c r="V728" s="52" t="str">
        <f t="shared" ca="1" si="58"/>
        <v/>
      </c>
      <c r="W728" s="97" t="str">
        <f t="shared" ca="1" si="59"/>
        <v/>
      </c>
    </row>
    <row r="729" spans="22:23" x14ac:dyDescent="0.25">
      <c r="V729" s="52" t="str">
        <f t="shared" ca="1" si="58"/>
        <v/>
      </c>
      <c r="W729" s="97" t="str">
        <f t="shared" ca="1" si="59"/>
        <v/>
      </c>
    </row>
    <row r="730" spans="22:23" x14ac:dyDescent="0.25">
      <c r="V730" s="52" t="str">
        <f t="shared" ca="1" si="58"/>
        <v/>
      </c>
      <c r="W730" s="97" t="str">
        <f t="shared" ca="1" si="59"/>
        <v/>
      </c>
    </row>
    <row r="731" spans="22:23" x14ac:dyDescent="0.25">
      <c r="V731" s="52" t="str">
        <f t="shared" ca="1" si="58"/>
        <v/>
      </c>
      <c r="W731" s="97" t="str">
        <f t="shared" ca="1" si="59"/>
        <v/>
      </c>
    </row>
    <row r="732" spans="22:23" x14ac:dyDescent="0.25">
      <c r="V732" s="52" t="str">
        <f t="shared" ca="1" si="58"/>
        <v/>
      </c>
      <c r="W732" s="97" t="str">
        <f t="shared" ca="1" si="59"/>
        <v/>
      </c>
    </row>
    <row r="733" spans="22:23" x14ac:dyDescent="0.25">
      <c r="V733" s="52" t="str">
        <f t="shared" ca="1" si="58"/>
        <v/>
      </c>
      <c r="W733" s="97" t="str">
        <f t="shared" ca="1" si="59"/>
        <v/>
      </c>
    </row>
    <row r="734" spans="22:23" x14ac:dyDescent="0.25">
      <c r="V734" s="52" t="str">
        <f t="shared" ca="1" si="58"/>
        <v/>
      </c>
      <c r="W734" s="97" t="str">
        <f t="shared" ca="1" si="59"/>
        <v/>
      </c>
    </row>
    <row r="735" spans="22:23" x14ac:dyDescent="0.25">
      <c r="V735" s="52" t="str">
        <f t="shared" ca="1" si="58"/>
        <v/>
      </c>
      <c r="W735" s="97" t="str">
        <f t="shared" ca="1" si="59"/>
        <v/>
      </c>
    </row>
    <row r="736" spans="22:23" x14ac:dyDescent="0.25">
      <c r="V736" s="52" t="str">
        <f t="shared" ca="1" si="58"/>
        <v/>
      </c>
      <c r="W736" s="97" t="str">
        <f t="shared" ca="1" si="59"/>
        <v/>
      </c>
    </row>
    <row r="737" spans="22:23" x14ac:dyDescent="0.25">
      <c r="V737" s="52" t="str">
        <f t="shared" ca="1" si="58"/>
        <v/>
      </c>
      <c r="W737" s="97" t="str">
        <f t="shared" ca="1" si="59"/>
        <v/>
      </c>
    </row>
    <row r="738" spans="22:23" x14ac:dyDescent="0.25">
      <c r="V738" s="52" t="str">
        <f t="shared" ca="1" si="58"/>
        <v/>
      </c>
      <c r="W738" s="97" t="str">
        <f t="shared" ca="1" si="59"/>
        <v/>
      </c>
    </row>
    <row r="739" spans="22:23" x14ac:dyDescent="0.25">
      <c r="V739" s="52" t="str">
        <f t="shared" ca="1" si="58"/>
        <v/>
      </c>
      <c r="W739" s="97" t="str">
        <f t="shared" ca="1" si="59"/>
        <v/>
      </c>
    </row>
    <row r="740" spans="22:23" x14ac:dyDescent="0.25">
      <c r="V740" s="52" t="str">
        <f t="shared" ca="1" si="58"/>
        <v/>
      </c>
      <c r="W740" s="97" t="str">
        <f t="shared" ca="1" si="59"/>
        <v/>
      </c>
    </row>
    <row r="741" spans="22:23" x14ac:dyDescent="0.25">
      <c r="V741" s="52" t="str">
        <f t="shared" ca="1" si="58"/>
        <v/>
      </c>
      <c r="W741" s="97" t="str">
        <f t="shared" ca="1" si="59"/>
        <v/>
      </c>
    </row>
    <row r="742" spans="22:23" x14ac:dyDescent="0.25">
      <c r="V742" s="52" t="str">
        <f t="shared" ca="1" si="58"/>
        <v/>
      </c>
      <c r="W742" s="97" t="str">
        <f t="shared" ca="1" si="59"/>
        <v/>
      </c>
    </row>
    <row r="743" spans="22:23" x14ac:dyDescent="0.25">
      <c r="V743" s="52" t="str">
        <f t="shared" ca="1" si="58"/>
        <v/>
      </c>
      <c r="W743" s="97" t="str">
        <f t="shared" ca="1" si="59"/>
        <v/>
      </c>
    </row>
    <row r="744" spans="22:23" x14ac:dyDescent="0.25">
      <c r="V744" s="52" t="str">
        <f t="shared" ca="1" si="58"/>
        <v/>
      </c>
      <c r="W744" s="97" t="str">
        <f t="shared" ca="1" si="59"/>
        <v/>
      </c>
    </row>
    <row r="745" spans="22:23" x14ac:dyDescent="0.25">
      <c r="V745" s="52" t="str">
        <f t="shared" ca="1" si="58"/>
        <v/>
      </c>
      <c r="W745" s="97" t="str">
        <f t="shared" ca="1" si="59"/>
        <v/>
      </c>
    </row>
    <row r="746" spans="22:23" x14ac:dyDescent="0.25">
      <c r="V746" s="52" t="str">
        <f t="shared" ca="1" si="58"/>
        <v/>
      </c>
      <c r="W746" s="97" t="str">
        <f t="shared" ca="1" si="59"/>
        <v/>
      </c>
    </row>
    <row r="747" spans="22:23" x14ac:dyDescent="0.25">
      <c r="V747" s="52" t="str">
        <f t="shared" ca="1" si="58"/>
        <v/>
      </c>
      <c r="W747" s="97" t="str">
        <f t="shared" ca="1" si="59"/>
        <v/>
      </c>
    </row>
    <row r="748" spans="22:23" x14ac:dyDescent="0.25">
      <c r="V748" s="52" t="str">
        <f t="shared" ca="1" si="58"/>
        <v/>
      </c>
      <c r="W748" s="97" t="str">
        <f t="shared" ca="1" si="59"/>
        <v/>
      </c>
    </row>
    <row r="749" spans="22:23" x14ac:dyDescent="0.25">
      <c r="V749" s="52" t="str">
        <f t="shared" ca="1" si="58"/>
        <v/>
      </c>
      <c r="W749" s="97" t="str">
        <f t="shared" ca="1" si="59"/>
        <v/>
      </c>
    </row>
    <row r="750" spans="22:23" x14ac:dyDescent="0.25">
      <c r="V750" s="52" t="str">
        <f t="shared" ca="1" si="58"/>
        <v/>
      </c>
      <c r="W750" s="97" t="str">
        <f t="shared" ca="1" si="59"/>
        <v/>
      </c>
    </row>
    <row r="751" spans="22:23" x14ac:dyDescent="0.25">
      <c r="V751" s="52" t="str">
        <f t="shared" ca="1" si="58"/>
        <v/>
      </c>
      <c r="W751" s="97" t="str">
        <f t="shared" ca="1" si="59"/>
        <v/>
      </c>
    </row>
    <row r="752" spans="22:23" x14ac:dyDescent="0.25">
      <c r="V752" s="52" t="str">
        <f t="shared" ca="1" si="58"/>
        <v/>
      </c>
      <c r="W752" s="97" t="str">
        <f t="shared" ca="1" si="59"/>
        <v/>
      </c>
    </row>
    <row r="753" spans="22:23" x14ac:dyDescent="0.25">
      <c r="V753" s="52" t="str">
        <f t="shared" ca="1" si="58"/>
        <v/>
      </c>
      <c r="W753" s="97" t="str">
        <f t="shared" ca="1" si="59"/>
        <v/>
      </c>
    </row>
    <row r="754" spans="22:23" x14ac:dyDescent="0.25">
      <c r="V754" s="52" t="str">
        <f t="shared" ca="1" si="58"/>
        <v/>
      </c>
      <c r="W754" s="97" t="str">
        <f t="shared" ca="1" si="59"/>
        <v/>
      </c>
    </row>
    <row r="755" spans="22:23" x14ac:dyDescent="0.25">
      <c r="V755" s="52" t="str">
        <f t="shared" ca="1" si="58"/>
        <v/>
      </c>
      <c r="W755" s="97" t="str">
        <f t="shared" ca="1" si="59"/>
        <v/>
      </c>
    </row>
    <row r="756" spans="22:23" x14ac:dyDescent="0.25">
      <c r="V756" s="52" t="str">
        <f t="shared" ca="1" si="58"/>
        <v/>
      </c>
      <c r="W756" s="97" t="str">
        <f t="shared" ca="1" si="59"/>
        <v/>
      </c>
    </row>
    <row r="757" spans="22:23" x14ac:dyDescent="0.25">
      <c r="V757" s="52" t="str">
        <f t="shared" ca="1" si="58"/>
        <v/>
      </c>
      <c r="W757" s="97" t="str">
        <f t="shared" ca="1" si="59"/>
        <v/>
      </c>
    </row>
    <row r="758" spans="22:23" x14ac:dyDescent="0.25">
      <c r="V758" s="52" t="str">
        <f t="shared" ca="1" si="58"/>
        <v/>
      </c>
      <c r="W758" s="97" t="str">
        <f t="shared" ca="1" si="59"/>
        <v/>
      </c>
    </row>
    <row r="759" spans="22:23" x14ac:dyDescent="0.25">
      <c r="V759" s="52" t="str">
        <f t="shared" ca="1" si="58"/>
        <v/>
      </c>
      <c r="W759" s="97" t="str">
        <f t="shared" ca="1" si="59"/>
        <v/>
      </c>
    </row>
    <row r="760" spans="22:23" x14ac:dyDescent="0.25">
      <c r="V760" s="52" t="str">
        <f t="shared" ca="1" si="58"/>
        <v/>
      </c>
      <c r="W760" s="97" t="str">
        <f t="shared" ca="1" si="59"/>
        <v/>
      </c>
    </row>
    <row r="761" spans="22:23" x14ac:dyDescent="0.25">
      <c r="V761" s="52" t="str">
        <f t="shared" ca="1" si="58"/>
        <v/>
      </c>
      <c r="W761" s="97" t="str">
        <f t="shared" ca="1" si="59"/>
        <v/>
      </c>
    </row>
    <row r="762" spans="22:23" x14ac:dyDescent="0.25">
      <c r="V762" s="52" t="str">
        <f t="shared" ca="1" si="58"/>
        <v/>
      </c>
      <c r="W762" s="97" t="str">
        <f t="shared" ca="1" si="59"/>
        <v/>
      </c>
    </row>
    <row r="763" spans="22:23" x14ac:dyDescent="0.25">
      <c r="V763" s="52" t="str">
        <f t="shared" ca="1" si="58"/>
        <v/>
      </c>
      <c r="W763" s="97" t="str">
        <f t="shared" ca="1" si="59"/>
        <v/>
      </c>
    </row>
    <row r="764" spans="22:23" x14ac:dyDescent="0.25">
      <c r="V764" s="52" t="str">
        <f t="shared" ca="1" si="58"/>
        <v/>
      </c>
      <c r="W764" s="97" t="str">
        <f t="shared" ca="1" si="59"/>
        <v/>
      </c>
    </row>
    <row r="765" spans="22:23" x14ac:dyDescent="0.25">
      <c r="V765" s="52" t="str">
        <f t="shared" ca="1" si="58"/>
        <v/>
      </c>
      <c r="W765" s="97" t="str">
        <f t="shared" ca="1" si="59"/>
        <v/>
      </c>
    </row>
    <row r="766" spans="22:23" x14ac:dyDescent="0.25">
      <c r="V766" s="52" t="str">
        <f t="shared" ca="1" si="58"/>
        <v/>
      </c>
      <c r="W766" s="97" t="str">
        <f t="shared" ca="1" si="59"/>
        <v/>
      </c>
    </row>
    <row r="767" spans="22:23" x14ac:dyDescent="0.25">
      <c r="V767" s="52" t="str">
        <f t="shared" ca="1" si="58"/>
        <v/>
      </c>
      <c r="W767" s="97" t="str">
        <f t="shared" ca="1" si="59"/>
        <v/>
      </c>
    </row>
    <row r="768" spans="22:23" x14ac:dyDescent="0.25">
      <c r="V768" s="52" t="str">
        <f t="shared" ca="1" si="58"/>
        <v/>
      </c>
      <c r="W768" s="97" t="str">
        <f t="shared" ca="1" si="59"/>
        <v/>
      </c>
    </row>
    <row r="769" spans="22:23" x14ac:dyDescent="0.25">
      <c r="V769" s="52" t="str">
        <f t="shared" ca="1" si="58"/>
        <v/>
      </c>
      <c r="W769" s="97" t="str">
        <f t="shared" ca="1" si="59"/>
        <v/>
      </c>
    </row>
    <row r="770" spans="22:23" x14ac:dyDescent="0.25">
      <c r="V770" s="52" t="str">
        <f t="shared" ca="1" si="58"/>
        <v/>
      </c>
      <c r="W770" s="97" t="str">
        <f t="shared" ca="1" si="59"/>
        <v/>
      </c>
    </row>
    <row r="771" spans="22:23" x14ac:dyDescent="0.25">
      <c r="V771" s="52" t="str">
        <f t="shared" ca="1" si="58"/>
        <v/>
      </c>
      <c r="W771" s="97" t="str">
        <f t="shared" ca="1" si="59"/>
        <v/>
      </c>
    </row>
    <row r="772" spans="22:23" x14ac:dyDescent="0.25">
      <c r="V772" s="52" t="str">
        <f t="shared" ref="V772:V835" ca="1" si="60">IF(COUNTIF(P:P,N772)*COUNTIF(R:R,N772)*COUNTIF(T:T,N772),N772,"")</f>
        <v/>
      </c>
      <c r="W772" s="97" t="str">
        <f t="shared" ref="W772:W835" ca="1" si="61">IF(V772&gt;=$A$14,V772,"")</f>
        <v/>
      </c>
    </row>
    <row r="773" spans="22:23" x14ac:dyDescent="0.25">
      <c r="V773" s="52" t="str">
        <f t="shared" ca="1" si="60"/>
        <v/>
      </c>
      <c r="W773" s="97" t="str">
        <f t="shared" ca="1" si="61"/>
        <v/>
      </c>
    </row>
    <row r="774" spans="22:23" x14ac:dyDescent="0.25">
      <c r="V774" s="52" t="str">
        <f t="shared" ca="1" si="60"/>
        <v/>
      </c>
      <c r="W774" s="97" t="str">
        <f t="shared" ca="1" si="61"/>
        <v/>
      </c>
    </row>
    <row r="775" spans="22:23" x14ac:dyDescent="0.25">
      <c r="V775" s="52" t="str">
        <f t="shared" ca="1" si="60"/>
        <v/>
      </c>
      <c r="W775" s="97" t="str">
        <f t="shared" ca="1" si="61"/>
        <v/>
      </c>
    </row>
    <row r="776" spans="22:23" x14ac:dyDescent="0.25">
      <c r="V776" s="52" t="str">
        <f t="shared" ca="1" si="60"/>
        <v/>
      </c>
      <c r="W776" s="97" t="str">
        <f t="shared" ca="1" si="61"/>
        <v/>
      </c>
    </row>
    <row r="777" spans="22:23" x14ac:dyDescent="0.25">
      <c r="V777" s="52" t="str">
        <f t="shared" ca="1" si="60"/>
        <v/>
      </c>
      <c r="W777" s="97" t="str">
        <f t="shared" ca="1" si="61"/>
        <v/>
      </c>
    </row>
    <row r="778" spans="22:23" x14ac:dyDescent="0.25">
      <c r="V778" s="52" t="str">
        <f t="shared" ca="1" si="60"/>
        <v/>
      </c>
      <c r="W778" s="97" t="str">
        <f t="shared" ca="1" si="61"/>
        <v/>
      </c>
    </row>
    <row r="779" spans="22:23" x14ac:dyDescent="0.25">
      <c r="V779" s="52" t="str">
        <f t="shared" ca="1" si="60"/>
        <v/>
      </c>
      <c r="W779" s="97" t="str">
        <f t="shared" ca="1" si="61"/>
        <v/>
      </c>
    </row>
    <row r="780" spans="22:23" x14ac:dyDescent="0.25">
      <c r="V780" s="52" t="str">
        <f t="shared" ca="1" si="60"/>
        <v/>
      </c>
      <c r="W780" s="97" t="str">
        <f t="shared" ca="1" si="61"/>
        <v/>
      </c>
    </row>
    <row r="781" spans="22:23" x14ac:dyDescent="0.25">
      <c r="V781" s="52" t="str">
        <f t="shared" ca="1" si="60"/>
        <v/>
      </c>
      <c r="W781" s="97" t="str">
        <f t="shared" ca="1" si="61"/>
        <v/>
      </c>
    </row>
    <row r="782" spans="22:23" x14ac:dyDescent="0.25">
      <c r="V782" s="52" t="str">
        <f t="shared" ca="1" si="60"/>
        <v/>
      </c>
      <c r="W782" s="97" t="str">
        <f t="shared" ca="1" si="61"/>
        <v/>
      </c>
    </row>
    <row r="783" spans="22:23" x14ac:dyDescent="0.25">
      <c r="V783" s="52" t="str">
        <f t="shared" ca="1" si="60"/>
        <v/>
      </c>
      <c r="W783" s="97" t="str">
        <f t="shared" ca="1" si="61"/>
        <v/>
      </c>
    </row>
    <row r="784" spans="22:23" x14ac:dyDescent="0.25">
      <c r="V784" s="52" t="str">
        <f t="shared" ca="1" si="60"/>
        <v/>
      </c>
      <c r="W784" s="97" t="str">
        <f t="shared" ca="1" si="61"/>
        <v/>
      </c>
    </row>
    <row r="785" spans="22:23" x14ac:dyDescent="0.25">
      <c r="V785" s="52" t="str">
        <f t="shared" ca="1" si="60"/>
        <v/>
      </c>
      <c r="W785" s="97" t="str">
        <f t="shared" ca="1" si="61"/>
        <v/>
      </c>
    </row>
    <row r="786" spans="22:23" x14ac:dyDescent="0.25">
      <c r="V786" s="52" t="str">
        <f t="shared" ca="1" si="60"/>
        <v/>
      </c>
      <c r="W786" s="97" t="str">
        <f t="shared" ca="1" si="61"/>
        <v/>
      </c>
    </row>
    <row r="787" spans="22:23" x14ac:dyDescent="0.25">
      <c r="V787" s="52" t="str">
        <f t="shared" ca="1" si="60"/>
        <v/>
      </c>
      <c r="W787" s="97" t="str">
        <f t="shared" ca="1" si="61"/>
        <v/>
      </c>
    </row>
    <row r="788" spans="22:23" x14ac:dyDescent="0.25">
      <c r="V788" s="52" t="str">
        <f t="shared" ca="1" si="60"/>
        <v/>
      </c>
      <c r="W788" s="97" t="str">
        <f t="shared" ca="1" si="61"/>
        <v/>
      </c>
    </row>
    <row r="789" spans="22:23" x14ac:dyDescent="0.25">
      <c r="V789" s="52" t="str">
        <f t="shared" ca="1" si="60"/>
        <v/>
      </c>
      <c r="W789" s="97" t="str">
        <f t="shared" ca="1" si="61"/>
        <v/>
      </c>
    </row>
    <row r="790" spans="22:23" x14ac:dyDescent="0.25">
      <c r="V790" s="52" t="str">
        <f t="shared" ca="1" si="60"/>
        <v/>
      </c>
      <c r="W790" s="97" t="str">
        <f t="shared" ca="1" si="61"/>
        <v/>
      </c>
    </row>
    <row r="791" spans="22:23" x14ac:dyDescent="0.25">
      <c r="V791" s="52" t="str">
        <f t="shared" ca="1" si="60"/>
        <v/>
      </c>
      <c r="W791" s="97" t="str">
        <f t="shared" ca="1" si="61"/>
        <v/>
      </c>
    </row>
    <row r="792" spans="22:23" x14ac:dyDescent="0.25">
      <c r="V792" s="52" t="str">
        <f t="shared" ca="1" si="60"/>
        <v/>
      </c>
      <c r="W792" s="97" t="str">
        <f t="shared" ca="1" si="61"/>
        <v/>
      </c>
    </row>
    <row r="793" spans="22:23" x14ac:dyDescent="0.25">
      <c r="V793" s="52" t="str">
        <f t="shared" ca="1" si="60"/>
        <v/>
      </c>
      <c r="W793" s="97" t="str">
        <f t="shared" ca="1" si="61"/>
        <v/>
      </c>
    </row>
    <row r="794" spans="22:23" x14ac:dyDescent="0.25">
      <c r="V794" s="52" t="str">
        <f t="shared" ca="1" si="60"/>
        <v/>
      </c>
      <c r="W794" s="97" t="str">
        <f t="shared" ca="1" si="61"/>
        <v/>
      </c>
    </row>
    <row r="795" spans="22:23" x14ac:dyDescent="0.25">
      <c r="V795" s="52" t="str">
        <f t="shared" ca="1" si="60"/>
        <v/>
      </c>
      <c r="W795" s="97" t="str">
        <f t="shared" ca="1" si="61"/>
        <v/>
      </c>
    </row>
    <row r="796" spans="22:23" x14ac:dyDescent="0.25">
      <c r="V796" s="52" t="str">
        <f t="shared" ca="1" si="60"/>
        <v/>
      </c>
      <c r="W796" s="97" t="str">
        <f t="shared" ca="1" si="61"/>
        <v/>
      </c>
    </row>
    <row r="797" spans="22:23" x14ac:dyDescent="0.25">
      <c r="V797" s="52" t="str">
        <f t="shared" ca="1" si="60"/>
        <v/>
      </c>
      <c r="W797" s="97" t="str">
        <f t="shared" ca="1" si="61"/>
        <v/>
      </c>
    </row>
    <row r="798" spans="22:23" x14ac:dyDescent="0.25">
      <c r="V798" s="52" t="str">
        <f t="shared" ca="1" si="60"/>
        <v/>
      </c>
      <c r="W798" s="97" t="str">
        <f t="shared" ca="1" si="61"/>
        <v/>
      </c>
    </row>
    <row r="799" spans="22:23" x14ac:dyDescent="0.25">
      <c r="V799" s="52" t="str">
        <f t="shared" ca="1" si="60"/>
        <v/>
      </c>
      <c r="W799" s="97" t="str">
        <f t="shared" ca="1" si="61"/>
        <v/>
      </c>
    </row>
    <row r="800" spans="22:23" x14ac:dyDescent="0.25">
      <c r="V800" s="52" t="str">
        <f t="shared" ca="1" si="60"/>
        <v/>
      </c>
      <c r="W800" s="97" t="str">
        <f t="shared" ca="1" si="61"/>
        <v/>
      </c>
    </row>
    <row r="801" spans="22:23" x14ac:dyDescent="0.25">
      <c r="V801" s="52" t="str">
        <f t="shared" ca="1" si="60"/>
        <v/>
      </c>
      <c r="W801" s="97" t="str">
        <f t="shared" ca="1" si="61"/>
        <v/>
      </c>
    </row>
    <row r="802" spans="22:23" x14ac:dyDescent="0.25">
      <c r="V802" s="52" t="str">
        <f t="shared" ca="1" si="60"/>
        <v/>
      </c>
      <c r="W802" s="97" t="str">
        <f t="shared" ca="1" si="61"/>
        <v/>
      </c>
    </row>
    <row r="803" spans="22:23" x14ac:dyDescent="0.25">
      <c r="V803" s="52" t="str">
        <f t="shared" ca="1" si="60"/>
        <v/>
      </c>
      <c r="W803" s="97" t="str">
        <f t="shared" ca="1" si="61"/>
        <v/>
      </c>
    </row>
    <row r="804" spans="22:23" x14ac:dyDescent="0.25">
      <c r="V804" s="52" t="str">
        <f t="shared" ca="1" si="60"/>
        <v/>
      </c>
      <c r="W804" s="97" t="str">
        <f t="shared" ca="1" si="61"/>
        <v/>
      </c>
    </row>
    <row r="805" spans="22:23" x14ac:dyDescent="0.25">
      <c r="V805" s="52" t="str">
        <f t="shared" ca="1" si="60"/>
        <v/>
      </c>
      <c r="W805" s="97" t="str">
        <f t="shared" ca="1" si="61"/>
        <v/>
      </c>
    </row>
    <row r="806" spans="22:23" x14ac:dyDescent="0.25">
      <c r="V806" s="52" t="str">
        <f t="shared" ca="1" si="60"/>
        <v/>
      </c>
      <c r="W806" s="97" t="str">
        <f t="shared" ca="1" si="61"/>
        <v/>
      </c>
    </row>
    <row r="807" spans="22:23" x14ac:dyDescent="0.25">
      <c r="V807" s="52" t="str">
        <f t="shared" ca="1" si="60"/>
        <v/>
      </c>
      <c r="W807" s="97" t="str">
        <f t="shared" ca="1" si="61"/>
        <v/>
      </c>
    </row>
    <row r="808" spans="22:23" x14ac:dyDescent="0.25">
      <c r="V808" s="52" t="str">
        <f t="shared" ca="1" si="60"/>
        <v/>
      </c>
      <c r="W808" s="97" t="str">
        <f t="shared" ca="1" si="61"/>
        <v/>
      </c>
    </row>
    <row r="809" spans="22:23" x14ac:dyDescent="0.25">
      <c r="V809" s="52" t="str">
        <f t="shared" ca="1" si="60"/>
        <v/>
      </c>
      <c r="W809" s="97" t="str">
        <f t="shared" ca="1" si="61"/>
        <v/>
      </c>
    </row>
    <row r="810" spans="22:23" x14ac:dyDescent="0.25">
      <c r="V810" s="52" t="str">
        <f t="shared" ca="1" si="60"/>
        <v/>
      </c>
      <c r="W810" s="97" t="str">
        <f t="shared" ca="1" si="61"/>
        <v/>
      </c>
    </row>
    <row r="811" spans="22:23" x14ac:dyDescent="0.25">
      <c r="V811" s="52" t="str">
        <f t="shared" ca="1" si="60"/>
        <v/>
      </c>
      <c r="W811" s="97" t="str">
        <f t="shared" ca="1" si="61"/>
        <v/>
      </c>
    </row>
    <row r="812" spans="22:23" x14ac:dyDescent="0.25">
      <c r="V812" s="52" t="str">
        <f t="shared" ca="1" si="60"/>
        <v/>
      </c>
      <c r="W812" s="97" t="str">
        <f t="shared" ca="1" si="61"/>
        <v/>
      </c>
    </row>
    <row r="813" spans="22:23" x14ac:dyDescent="0.25">
      <c r="V813" s="52" t="str">
        <f t="shared" ca="1" si="60"/>
        <v/>
      </c>
      <c r="W813" s="97" t="str">
        <f t="shared" ca="1" si="61"/>
        <v/>
      </c>
    </row>
    <row r="814" spans="22:23" x14ac:dyDescent="0.25">
      <c r="V814" s="52" t="str">
        <f t="shared" ca="1" si="60"/>
        <v/>
      </c>
      <c r="W814" s="97" t="str">
        <f t="shared" ca="1" si="61"/>
        <v/>
      </c>
    </row>
    <row r="815" spans="22:23" x14ac:dyDescent="0.25">
      <c r="V815" s="52" t="str">
        <f t="shared" ca="1" si="60"/>
        <v/>
      </c>
      <c r="W815" s="97" t="str">
        <f t="shared" ca="1" si="61"/>
        <v/>
      </c>
    </row>
    <row r="816" spans="22:23" x14ac:dyDescent="0.25">
      <c r="V816" s="52" t="str">
        <f t="shared" ca="1" si="60"/>
        <v/>
      </c>
      <c r="W816" s="97" t="str">
        <f t="shared" ca="1" si="61"/>
        <v/>
      </c>
    </row>
    <row r="817" spans="22:23" x14ac:dyDescent="0.25">
      <c r="V817" s="52" t="str">
        <f t="shared" ca="1" si="60"/>
        <v/>
      </c>
      <c r="W817" s="97" t="str">
        <f t="shared" ca="1" si="61"/>
        <v/>
      </c>
    </row>
    <row r="818" spans="22:23" x14ac:dyDescent="0.25">
      <c r="V818" s="52" t="str">
        <f t="shared" ca="1" si="60"/>
        <v/>
      </c>
      <c r="W818" s="97" t="str">
        <f t="shared" ca="1" si="61"/>
        <v/>
      </c>
    </row>
    <row r="819" spans="22:23" x14ac:dyDescent="0.25">
      <c r="V819" s="52" t="str">
        <f t="shared" ca="1" si="60"/>
        <v/>
      </c>
      <c r="W819" s="97" t="str">
        <f t="shared" ca="1" si="61"/>
        <v/>
      </c>
    </row>
    <row r="820" spans="22:23" x14ac:dyDescent="0.25">
      <c r="V820" s="52" t="str">
        <f t="shared" ca="1" si="60"/>
        <v/>
      </c>
      <c r="W820" s="97" t="str">
        <f t="shared" ca="1" si="61"/>
        <v/>
      </c>
    </row>
    <row r="821" spans="22:23" x14ac:dyDescent="0.25">
      <c r="V821" s="52" t="str">
        <f t="shared" ca="1" si="60"/>
        <v/>
      </c>
      <c r="W821" s="97" t="str">
        <f t="shared" ca="1" si="61"/>
        <v/>
      </c>
    </row>
    <row r="822" spans="22:23" x14ac:dyDescent="0.25">
      <c r="V822" s="52" t="str">
        <f t="shared" ca="1" si="60"/>
        <v/>
      </c>
      <c r="W822" s="97" t="str">
        <f t="shared" ca="1" si="61"/>
        <v/>
      </c>
    </row>
    <row r="823" spans="22:23" x14ac:dyDescent="0.25">
      <c r="V823" s="52" t="str">
        <f t="shared" ca="1" si="60"/>
        <v/>
      </c>
      <c r="W823" s="97" t="str">
        <f t="shared" ca="1" si="61"/>
        <v/>
      </c>
    </row>
    <row r="824" spans="22:23" x14ac:dyDescent="0.25">
      <c r="V824" s="52" t="str">
        <f t="shared" ca="1" si="60"/>
        <v/>
      </c>
      <c r="W824" s="97" t="str">
        <f t="shared" ca="1" si="61"/>
        <v/>
      </c>
    </row>
    <row r="825" spans="22:23" x14ac:dyDescent="0.25">
      <c r="V825" s="52" t="str">
        <f t="shared" ca="1" si="60"/>
        <v/>
      </c>
      <c r="W825" s="97" t="str">
        <f t="shared" ca="1" si="61"/>
        <v/>
      </c>
    </row>
    <row r="826" spans="22:23" x14ac:dyDescent="0.25">
      <c r="V826" s="52" t="str">
        <f t="shared" ca="1" si="60"/>
        <v/>
      </c>
      <c r="W826" s="97" t="str">
        <f t="shared" ca="1" si="61"/>
        <v/>
      </c>
    </row>
    <row r="827" spans="22:23" x14ac:dyDescent="0.25">
      <c r="V827" s="52" t="str">
        <f t="shared" ca="1" si="60"/>
        <v/>
      </c>
      <c r="W827" s="97" t="str">
        <f t="shared" ca="1" si="61"/>
        <v/>
      </c>
    </row>
    <row r="828" spans="22:23" x14ac:dyDescent="0.25">
      <c r="V828" s="52" t="str">
        <f t="shared" ca="1" si="60"/>
        <v/>
      </c>
      <c r="W828" s="97" t="str">
        <f t="shared" ca="1" si="61"/>
        <v/>
      </c>
    </row>
    <row r="829" spans="22:23" x14ac:dyDescent="0.25">
      <c r="V829" s="52" t="str">
        <f t="shared" ca="1" si="60"/>
        <v/>
      </c>
      <c r="W829" s="97" t="str">
        <f t="shared" ca="1" si="61"/>
        <v/>
      </c>
    </row>
    <row r="830" spans="22:23" x14ac:dyDescent="0.25">
      <c r="V830" s="52" t="str">
        <f t="shared" ca="1" si="60"/>
        <v/>
      </c>
      <c r="W830" s="97" t="str">
        <f t="shared" ca="1" si="61"/>
        <v/>
      </c>
    </row>
    <row r="831" spans="22:23" x14ac:dyDescent="0.25">
      <c r="V831" s="52" t="str">
        <f t="shared" ca="1" si="60"/>
        <v/>
      </c>
      <c r="W831" s="97" t="str">
        <f t="shared" ca="1" si="61"/>
        <v/>
      </c>
    </row>
    <row r="832" spans="22:23" x14ac:dyDescent="0.25">
      <c r="V832" s="52" t="str">
        <f t="shared" ca="1" si="60"/>
        <v/>
      </c>
      <c r="W832" s="97" t="str">
        <f t="shared" ca="1" si="61"/>
        <v/>
      </c>
    </row>
    <row r="833" spans="22:23" x14ac:dyDescent="0.25">
      <c r="V833" s="52" t="str">
        <f t="shared" ca="1" si="60"/>
        <v/>
      </c>
      <c r="W833" s="97" t="str">
        <f t="shared" ca="1" si="61"/>
        <v/>
      </c>
    </row>
    <row r="834" spans="22:23" x14ac:dyDescent="0.25">
      <c r="V834" s="52" t="str">
        <f t="shared" ca="1" si="60"/>
        <v/>
      </c>
      <c r="W834" s="97" t="str">
        <f t="shared" ca="1" si="61"/>
        <v/>
      </c>
    </row>
    <row r="835" spans="22:23" x14ac:dyDescent="0.25">
      <c r="V835" s="52" t="str">
        <f t="shared" ca="1" si="60"/>
        <v/>
      </c>
      <c r="W835" s="97" t="str">
        <f t="shared" ca="1" si="61"/>
        <v/>
      </c>
    </row>
    <row r="836" spans="22:23" x14ac:dyDescent="0.25">
      <c r="V836" s="52" t="str">
        <f t="shared" ref="V836:V899" ca="1" si="62">IF(COUNTIF(P:P,N836)*COUNTIF(R:R,N836)*COUNTIF(T:T,N836),N836,"")</f>
        <v/>
      </c>
      <c r="W836" s="97" t="str">
        <f t="shared" ref="W836:W899" ca="1" si="63">IF(V836&gt;=$A$14,V836,"")</f>
        <v/>
      </c>
    </row>
    <row r="837" spans="22:23" x14ac:dyDescent="0.25">
      <c r="V837" s="52" t="str">
        <f t="shared" ca="1" si="62"/>
        <v/>
      </c>
      <c r="W837" s="97" t="str">
        <f t="shared" ca="1" si="63"/>
        <v/>
      </c>
    </row>
    <row r="838" spans="22:23" x14ac:dyDescent="0.25">
      <c r="V838" s="52" t="str">
        <f t="shared" ca="1" si="62"/>
        <v/>
      </c>
      <c r="W838" s="97" t="str">
        <f t="shared" ca="1" si="63"/>
        <v/>
      </c>
    </row>
    <row r="839" spans="22:23" x14ac:dyDescent="0.25">
      <c r="V839" s="52" t="str">
        <f t="shared" ca="1" si="62"/>
        <v/>
      </c>
      <c r="W839" s="97" t="str">
        <f t="shared" ca="1" si="63"/>
        <v/>
      </c>
    </row>
    <row r="840" spans="22:23" x14ac:dyDescent="0.25">
      <c r="V840" s="52" t="str">
        <f t="shared" ca="1" si="62"/>
        <v/>
      </c>
      <c r="W840" s="97" t="str">
        <f t="shared" ca="1" si="63"/>
        <v/>
      </c>
    </row>
    <row r="841" spans="22:23" x14ac:dyDescent="0.25">
      <c r="V841" s="52" t="str">
        <f t="shared" ca="1" si="62"/>
        <v/>
      </c>
      <c r="W841" s="97" t="str">
        <f t="shared" ca="1" si="63"/>
        <v/>
      </c>
    </row>
    <row r="842" spans="22:23" x14ac:dyDescent="0.25">
      <c r="V842" s="52" t="str">
        <f t="shared" ca="1" si="62"/>
        <v/>
      </c>
      <c r="W842" s="97" t="str">
        <f t="shared" ca="1" si="63"/>
        <v/>
      </c>
    </row>
    <row r="843" spans="22:23" x14ac:dyDescent="0.25">
      <c r="V843" s="52" t="str">
        <f t="shared" ca="1" si="62"/>
        <v/>
      </c>
      <c r="W843" s="97" t="str">
        <f t="shared" ca="1" si="63"/>
        <v/>
      </c>
    </row>
    <row r="844" spans="22:23" x14ac:dyDescent="0.25">
      <c r="V844" s="52" t="str">
        <f t="shared" ca="1" si="62"/>
        <v/>
      </c>
      <c r="W844" s="97" t="str">
        <f t="shared" ca="1" si="63"/>
        <v/>
      </c>
    </row>
    <row r="845" spans="22:23" x14ac:dyDescent="0.25">
      <c r="V845" s="52" t="str">
        <f t="shared" ca="1" si="62"/>
        <v/>
      </c>
      <c r="W845" s="97" t="str">
        <f t="shared" ca="1" si="63"/>
        <v/>
      </c>
    </row>
    <row r="846" spans="22:23" x14ac:dyDescent="0.25">
      <c r="V846" s="52" t="str">
        <f t="shared" ca="1" si="62"/>
        <v/>
      </c>
      <c r="W846" s="97" t="str">
        <f t="shared" ca="1" si="63"/>
        <v/>
      </c>
    </row>
    <row r="847" spans="22:23" x14ac:dyDescent="0.25">
      <c r="V847" s="52" t="str">
        <f t="shared" ca="1" si="62"/>
        <v/>
      </c>
      <c r="W847" s="97" t="str">
        <f t="shared" ca="1" si="63"/>
        <v/>
      </c>
    </row>
    <row r="848" spans="22:23" x14ac:dyDescent="0.25">
      <c r="V848" s="52" t="str">
        <f t="shared" ca="1" si="62"/>
        <v/>
      </c>
      <c r="W848" s="97" t="str">
        <f t="shared" ca="1" si="63"/>
        <v/>
      </c>
    </row>
    <row r="849" spans="22:23" x14ac:dyDescent="0.25">
      <c r="V849" s="52" t="str">
        <f t="shared" ca="1" si="62"/>
        <v/>
      </c>
      <c r="W849" s="97" t="str">
        <f t="shared" ca="1" si="63"/>
        <v/>
      </c>
    </row>
    <row r="850" spans="22:23" x14ac:dyDescent="0.25">
      <c r="V850" s="52" t="str">
        <f t="shared" ca="1" si="62"/>
        <v/>
      </c>
      <c r="W850" s="97" t="str">
        <f t="shared" ca="1" si="63"/>
        <v/>
      </c>
    </row>
    <row r="851" spans="22:23" x14ac:dyDescent="0.25">
      <c r="V851" s="52" t="str">
        <f t="shared" ca="1" si="62"/>
        <v/>
      </c>
      <c r="W851" s="97" t="str">
        <f t="shared" ca="1" si="63"/>
        <v/>
      </c>
    </row>
    <row r="852" spans="22:23" x14ac:dyDescent="0.25">
      <c r="V852" s="52" t="str">
        <f t="shared" ca="1" si="62"/>
        <v/>
      </c>
      <c r="W852" s="97" t="str">
        <f t="shared" ca="1" si="63"/>
        <v/>
      </c>
    </row>
    <row r="853" spans="22:23" x14ac:dyDescent="0.25">
      <c r="V853" s="52" t="str">
        <f t="shared" ca="1" si="62"/>
        <v/>
      </c>
      <c r="W853" s="97" t="str">
        <f t="shared" ca="1" si="63"/>
        <v/>
      </c>
    </row>
    <row r="854" spans="22:23" x14ac:dyDescent="0.25">
      <c r="V854" s="52" t="str">
        <f t="shared" ca="1" si="62"/>
        <v/>
      </c>
      <c r="W854" s="97" t="str">
        <f t="shared" ca="1" si="63"/>
        <v/>
      </c>
    </row>
    <row r="855" spans="22:23" x14ac:dyDescent="0.25">
      <c r="V855" s="52" t="str">
        <f t="shared" ca="1" si="62"/>
        <v/>
      </c>
      <c r="W855" s="97" t="str">
        <f t="shared" ca="1" si="63"/>
        <v/>
      </c>
    </row>
    <row r="856" spans="22:23" x14ac:dyDescent="0.25">
      <c r="V856" s="52" t="str">
        <f t="shared" ca="1" si="62"/>
        <v/>
      </c>
      <c r="W856" s="97" t="str">
        <f t="shared" ca="1" si="63"/>
        <v/>
      </c>
    </row>
    <row r="857" spans="22:23" x14ac:dyDescent="0.25">
      <c r="V857" s="52" t="str">
        <f t="shared" ca="1" si="62"/>
        <v/>
      </c>
      <c r="W857" s="97" t="str">
        <f t="shared" ca="1" si="63"/>
        <v/>
      </c>
    </row>
    <row r="858" spans="22:23" x14ac:dyDescent="0.25">
      <c r="V858" s="52" t="str">
        <f t="shared" ca="1" si="62"/>
        <v/>
      </c>
      <c r="W858" s="97" t="str">
        <f t="shared" ca="1" si="63"/>
        <v/>
      </c>
    </row>
    <row r="859" spans="22:23" x14ac:dyDescent="0.25">
      <c r="V859" s="52" t="str">
        <f t="shared" ca="1" si="62"/>
        <v/>
      </c>
      <c r="W859" s="97" t="str">
        <f t="shared" ca="1" si="63"/>
        <v/>
      </c>
    </row>
    <row r="860" spans="22:23" x14ac:dyDescent="0.25">
      <c r="V860" s="52" t="str">
        <f t="shared" ca="1" si="62"/>
        <v/>
      </c>
      <c r="W860" s="97" t="str">
        <f t="shared" ca="1" si="63"/>
        <v/>
      </c>
    </row>
    <row r="861" spans="22:23" x14ac:dyDescent="0.25">
      <c r="V861" s="52" t="str">
        <f t="shared" ca="1" si="62"/>
        <v/>
      </c>
      <c r="W861" s="97" t="str">
        <f t="shared" ca="1" si="63"/>
        <v/>
      </c>
    </row>
    <row r="862" spans="22:23" x14ac:dyDescent="0.25">
      <c r="V862" s="52" t="str">
        <f t="shared" ca="1" si="62"/>
        <v/>
      </c>
      <c r="W862" s="97" t="str">
        <f t="shared" ca="1" si="63"/>
        <v/>
      </c>
    </row>
    <row r="863" spans="22:23" x14ac:dyDescent="0.25">
      <c r="V863" s="52" t="str">
        <f t="shared" ca="1" si="62"/>
        <v/>
      </c>
      <c r="W863" s="97" t="str">
        <f t="shared" ca="1" si="63"/>
        <v/>
      </c>
    </row>
    <row r="864" spans="22:23" x14ac:dyDescent="0.25">
      <c r="V864" s="52" t="str">
        <f t="shared" ca="1" si="62"/>
        <v/>
      </c>
      <c r="W864" s="97" t="str">
        <f t="shared" ca="1" si="63"/>
        <v/>
      </c>
    </row>
    <row r="865" spans="22:23" x14ac:dyDescent="0.25">
      <c r="V865" s="52" t="str">
        <f t="shared" ca="1" si="62"/>
        <v/>
      </c>
      <c r="W865" s="97" t="str">
        <f t="shared" ca="1" si="63"/>
        <v/>
      </c>
    </row>
    <row r="866" spans="22:23" x14ac:dyDescent="0.25">
      <c r="V866" s="52" t="str">
        <f t="shared" ca="1" si="62"/>
        <v/>
      </c>
      <c r="W866" s="97" t="str">
        <f t="shared" ca="1" si="63"/>
        <v/>
      </c>
    </row>
    <row r="867" spans="22:23" x14ac:dyDescent="0.25">
      <c r="V867" s="52" t="str">
        <f t="shared" ca="1" si="62"/>
        <v/>
      </c>
      <c r="W867" s="97" t="str">
        <f t="shared" ca="1" si="63"/>
        <v/>
      </c>
    </row>
    <row r="868" spans="22:23" x14ac:dyDescent="0.25">
      <c r="V868" s="52" t="str">
        <f t="shared" ca="1" si="62"/>
        <v/>
      </c>
      <c r="W868" s="97" t="str">
        <f t="shared" ca="1" si="63"/>
        <v/>
      </c>
    </row>
    <row r="869" spans="22:23" x14ac:dyDescent="0.25">
      <c r="V869" s="52" t="str">
        <f t="shared" ca="1" si="62"/>
        <v/>
      </c>
      <c r="W869" s="97" t="str">
        <f t="shared" ca="1" si="63"/>
        <v/>
      </c>
    </row>
    <row r="870" spans="22:23" x14ac:dyDescent="0.25">
      <c r="V870" s="52" t="str">
        <f t="shared" ca="1" si="62"/>
        <v/>
      </c>
      <c r="W870" s="97" t="str">
        <f t="shared" ca="1" si="63"/>
        <v/>
      </c>
    </row>
    <row r="871" spans="22:23" x14ac:dyDescent="0.25">
      <c r="V871" s="52" t="str">
        <f t="shared" ca="1" si="62"/>
        <v/>
      </c>
      <c r="W871" s="97" t="str">
        <f t="shared" ca="1" si="63"/>
        <v/>
      </c>
    </row>
    <row r="872" spans="22:23" x14ac:dyDescent="0.25">
      <c r="V872" s="52" t="str">
        <f t="shared" ca="1" si="62"/>
        <v/>
      </c>
      <c r="W872" s="97" t="str">
        <f t="shared" ca="1" si="63"/>
        <v/>
      </c>
    </row>
    <row r="873" spans="22:23" x14ac:dyDescent="0.25">
      <c r="V873" s="52" t="str">
        <f t="shared" ca="1" si="62"/>
        <v/>
      </c>
      <c r="W873" s="97" t="str">
        <f t="shared" ca="1" si="63"/>
        <v/>
      </c>
    </row>
    <row r="874" spans="22:23" x14ac:dyDescent="0.25">
      <c r="V874" s="52" t="str">
        <f t="shared" ca="1" si="62"/>
        <v/>
      </c>
      <c r="W874" s="97" t="str">
        <f t="shared" ca="1" si="63"/>
        <v/>
      </c>
    </row>
    <row r="875" spans="22:23" x14ac:dyDescent="0.25">
      <c r="V875" s="52" t="str">
        <f t="shared" ca="1" si="62"/>
        <v/>
      </c>
      <c r="W875" s="97" t="str">
        <f t="shared" ca="1" si="63"/>
        <v/>
      </c>
    </row>
    <row r="876" spans="22:23" x14ac:dyDescent="0.25">
      <c r="V876" s="52" t="str">
        <f t="shared" ca="1" si="62"/>
        <v/>
      </c>
      <c r="W876" s="97" t="str">
        <f t="shared" ca="1" si="63"/>
        <v/>
      </c>
    </row>
    <row r="877" spans="22:23" x14ac:dyDescent="0.25">
      <c r="V877" s="52" t="str">
        <f t="shared" ca="1" si="62"/>
        <v/>
      </c>
      <c r="W877" s="97" t="str">
        <f t="shared" ca="1" si="63"/>
        <v/>
      </c>
    </row>
    <row r="878" spans="22:23" x14ac:dyDescent="0.25">
      <c r="V878" s="52" t="str">
        <f t="shared" ca="1" si="62"/>
        <v/>
      </c>
      <c r="W878" s="97" t="str">
        <f t="shared" ca="1" si="63"/>
        <v/>
      </c>
    </row>
    <row r="879" spans="22:23" x14ac:dyDescent="0.25">
      <c r="V879" s="52" t="str">
        <f t="shared" ca="1" si="62"/>
        <v/>
      </c>
      <c r="W879" s="97" t="str">
        <f t="shared" ca="1" si="63"/>
        <v/>
      </c>
    </row>
    <row r="880" spans="22:23" x14ac:dyDescent="0.25">
      <c r="V880" s="52" t="str">
        <f t="shared" ca="1" si="62"/>
        <v/>
      </c>
      <c r="W880" s="97" t="str">
        <f t="shared" ca="1" si="63"/>
        <v/>
      </c>
    </row>
    <row r="881" spans="22:23" x14ac:dyDescent="0.25">
      <c r="V881" s="52" t="str">
        <f t="shared" ca="1" si="62"/>
        <v/>
      </c>
      <c r="W881" s="97" t="str">
        <f t="shared" ca="1" si="63"/>
        <v/>
      </c>
    </row>
    <row r="882" spans="22:23" x14ac:dyDescent="0.25">
      <c r="V882" s="52" t="str">
        <f t="shared" ca="1" si="62"/>
        <v/>
      </c>
      <c r="W882" s="97" t="str">
        <f t="shared" ca="1" si="63"/>
        <v/>
      </c>
    </row>
    <row r="883" spans="22:23" x14ac:dyDescent="0.25">
      <c r="V883" s="52" t="str">
        <f t="shared" ca="1" si="62"/>
        <v/>
      </c>
      <c r="W883" s="97" t="str">
        <f t="shared" ca="1" si="63"/>
        <v/>
      </c>
    </row>
    <row r="884" spans="22:23" x14ac:dyDescent="0.25">
      <c r="V884" s="52" t="str">
        <f t="shared" ca="1" si="62"/>
        <v/>
      </c>
      <c r="W884" s="97" t="str">
        <f t="shared" ca="1" si="63"/>
        <v/>
      </c>
    </row>
    <row r="885" spans="22:23" x14ac:dyDescent="0.25">
      <c r="V885" s="52" t="str">
        <f t="shared" ca="1" si="62"/>
        <v/>
      </c>
      <c r="W885" s="97" t="str">
        <f t="shared" ca="1" si="63"/>
        <v/>
      </c>
    </row>
    <row r="886" spans="22:23" x14ac:dyDescent="0.25">
      <c r="V886" s="52" t="str">
        <f t="shared" ca="1" si="62"/>
        <v/>
      </c>
      <c r="W886" s="97" t="str">
        <f t="shared" ca="1" si="63"/>
        <v/>
      </c>
    </row>
    <row r="887" spans="22:23" x14ac:dyDescent="0.25">
      <c r="V887" s="52" t="str">
        <f t="shared" ca="1" si="62"/>
        <v/>
      </c>
      <c r="W887" s="97" t="str">
        <f t="shared" ca="1" si="63"/>
        <v/>
      </c>
    </row>
    <row r="888" spans="22:23" x14ac:dyDescent="0.25">
      <c r="V888" s="52" t="str">
        <f t="shared" ca="1" si="62"/>
        <v/>
      </c>
      <c r="W888" s="97" t="str">
        <f t="shared" ca="1" si="63"/>
        <v/>
      </c>
    </row>
    <row r="889" spans="22:23" x14ac:dyDescent="0.25">
      <c r="V889" s="52" t="str">
        <f t="shared" ca="1" si="62"/>
        <v/>
      </c>
      <c r="W889" s="97" t="str">
        <f t="shared" ca="1" si="63"/>
        <v/>
      </c>
    </row>
    <row r="890" spans="22:23" x14ac:dyDescent="0.25">
      <c r="V890" s="52" t="str">
        <f t="shared" ca="1" si="62"/>
        <v/>
      </c>
      <c r="W890" s="97" t="str">
        <f t="shared" ca="1" si="63"/>
        <v/>
      </c>
    </row>
    <row r="891" spans="22:23" x14ac:dyDescent="0.25">
      <c r="V891" s="52" t="str">
        <f t="shared" ca="1" si="62"/>
        <v/>
      </c>
      <c r="W891" s="97" t="str">
        <f t="shared" ca="1" si="63"/>
        <v/>
      </c>
    </row>
    <row r="892" spans="22:23" x14ac:dyDescent="0.25">
      <c r="V892" s="52" t="str">
        <f t="shared" ca="1" si="62"/>
        <v/>
      </c>
      <c r="W892" s="97" t="str">
        <f t="shared" ca="1" si="63"/>
        <v/>
      </c>
    </row>
    <row r="893" spans="22:23" x14ac:dyDescent="0.25">
      <c r="V893" s="52" t="str">
        <f t="shared" ca="1" si="62"/>
        <v/>
      </c>
      <c r="W893" s="97" t="str">
        <f t="shared" ca="1" si="63"/>
        <v/>
      </c>
    </row>
    <row r="894" spans="22:23" x14ac:dyDescent="0.25">
      <c r="V894" s="52" t="str">
        <f t="shared" ca="1" si="62"/>
        <v/>
      </c>
      <c r="W894" s="97" t="str">
        <f t="shared" ca="1" si="63"/>
        <v/>
      </c>
    </row>
    <row r="895" spans="22:23" x14ac:dyDescent="0.25">
      <c r="V895" s="52" t="str">
        <f t="shared" ca="1" si="62"/>
        <v/>
      </c>
      <c r="W895" s="97" t="str">
        <f t="shared" ca="1" si="63"/>
        <v/>
      </c>
    </row>
    <row r="896" spans="22:23" x14ac:dyDescent="0.25">
      <c r="V896" s="52" t="str">
        <f t="shared" ca="1" si="62"/>
        <v/>
      </c>
      <c r="W896" s="97" t="str">
        <f t="shared" ca="1" si="63"/>
        <v/>
      </c>
    </row>
    <row r="897" spans="22:23" x14ac:dyDescent="0.25">
      <c r="V897" s="52" t="str">
        <f t="shared" ca="1" si="62"/>
        <v/>
      </c>
      <c r="W897" s="97" t="str">
        <f t="shared" ca="1" si="63"/>
        <v/>
      </c>
    </row>
    <row r="898" spans="22:23" x14ac:dyDescent="0.25">
      <c r="V898" s="52" t="str">
        <f t="shared" ca="1" si="62"/>
        <v/>
      </c>
      <c r="W898" s="97" t="str">
        <f t="shared" ca="1" si="63"/>
        <v/>
      </c>
    </row>
    <row r="899" spans="22:23" x14ac:dyDescent="0.25">
      <c r="V899" s="52" t="str">
        <f t="shared" ca="1" si="62"/>
        <v/>
      </c>
      <c r="W899" s="97" t="str">
        <f t="shared" ca="1" si="63"/>
        <v/>
      </c>
    </row>
    <row r="900" spans="22:23" x14ac:dyDescent="0.25">
      <c r="V900" s="52" t="str">
        <f t="shared" ref="V900:V963" ca="1" si="64">IF(COUNTIF(P:P,N900)*COUNTIF(R:R,N900)*COUNTIF(T:T,N900),N900,"")</f>
        <v/>
      </c>
      <c r="W900" s="97" t="str">
        <f t="shared" ref="W900:W963" ca="1" si="65">IF(V900&gt;=$A$14,V900,"")</f>
        <v/>
      </c>
    </row>
    <row r="901" spans="22:23" x14ac:dyDescent="0.25">
      <c r="V901" s="52" t="str">
        <f t="shared" ca="1" si="64"/>
        <v/>
      </c>
      <c r="W901" s="97" t="str">
        <f t="shared" ca="1" si="65"/>
        <v/>
      </c>
    </row>
    <row r="902" spans="22:23" x14ac:dyDescent="0.25">
      <c r="V902" s="52" t="str">
        <f t="shared" ca="1" si="64"/>
        <v/>
      </c>
      <c r="W902" s="97" t="str">
        <f t="shared" ca="1" si="65"/>
        <v/>
      </c>
    </row>
    <row r="903" spans="22:23" x14ac:dyDescent="0.25">
      <c r="V903" s="52" t="str">
        <f t="shared" ca="1" si="64"/>
        <v/>
      </c>
      <c r="W903" s="97" t="str">
        <f t="shared" ca="1" si="65"/>
        <v/>
      </c>
    </row>
    <row r="904" spans="22:23" x14ac:dyDescent="0.25">
      <c r="V904" s="52" t="str">
        <f t="shared" ca="1" si="64"/>
        <v/>
      </c>
      <c r="W904" s="97" t="str">
        <f t="shared" ca="1" si="65"/>
        <v/>
      </c>
    </row>
    <row r="905" spans="22:23" x14ac:dyDescent="0.25">
      <c r="V905" s="52" t="str">
        <f t="shared" ca="1" si="64"/>
        <v/>
      </c>
      <c r="W905" s="97" t="str">
        <f t="shared" ca="1" si="65"/>
        <v/>
      </c>
    </row>
    <row r="906" spans="22:23" x14ac:dyDescent="0.25">
      <c r="V906" s="52" t="str">
        <f t="shared" ca="1" si="64"/>
        <v/>
      </c>
      <c r="W906" s="97" t="str">
        <f t="shared" ca="1" si="65"/>
        <v/>
      </c>
    </row>
    <row r="907" spans="22:23" x14ac:dyDescent="0.25">
      <c r="V907" s="52" t="str">
        <f t="shared" ca="1" si="64"/>
        <v/>
      </c>
      <c r="W907" s="97" t="str">
        <f t="shared" ca="1" si="65"/>
        <v/>
      </c>
    </row>
    <row r="908" spans="22:23" x14ac:dyDescent="0.25">
      <c r="V908" s="52" t="str">
        <f t="shared" ca="1" si="64"/>
        <v/>
      </c>
      <c r="W908" s="97" t="str">
        <f t="shared" ca="1" si="65"/>
        <v/>
      </c>
    </row>
    <row r="909" spans="22:23" x14ac:dyDescent="0.25">
      <c r="V909" s="52" t="str">
        <f t="shared" ca="1" si="64"/>
        <v/>
      </c>
      <c r="W909" s="97" t="str">
        <f t="shared" ca="1" si="65"/>
        <v/>
      </c>
    </row>
    <row r="910" spans="22:23" x14ac:dyDescent="0.25">
      <c r="V910" s="52" t="str">
        <f t="shared" ca="1" si="64"/>
        <v/>
      </c>
      <c r="W910" s="97" t="str">
        <f t="shared" ca="1" si="65"/>
        <v/>
      </c>
    </row>
    <row r="911" spans="22:23" x14ac:dyDescent="0.25">
      <c r="V911" s="52" t="str">
        <f t="shared" ca="1" si="64"/>
        <v/>
      </c>
      <c r="W911" s="97" t="str">
        <f t="shared" ca="1" si="65"/>
        <v/>
      </c>
    </row>
    <row r="912" spans="22:23" x14ac:dyDescent="0.25">
      <c r="V912" s="52" t="str">
        <f t="shared" ca="1" si="64"/>
        <v/>
      </c>
      <c r="W912" s="97" t="str">
        <f t="shared" ca="1" si="65"/>
        <v/>
      </c>
    </row>
    <row r="913" spans="22:23" x14ac:dyDescent="0.25">
      <c r="V913" s="52" t="str">
        <f t="shared" ca="1" si="64"/>
        <v/>
      </c>
      <c r="W913" s="97" t="str">
        <f t="shared" ca="1" si="65"/>
        <v/>
      </c>
    </row>
    <row r="914" spans="22:23" x14ac:dyDescent="0.25">
      <c r="V914" s="52" t="str">
        <f t="shared" ca="1" si="64"/>
        <v/>
      </c>
      <c r="W914" s="97" t="str">
        <f t="shared" ca="1" si="65"/>
        <v/>
      </c>
    </row>
    <row r="915" spans="22:23" x14ac:dyDescent="0.25">
      <c r="V915" s="52" t="str">
        <f t="shared" ca="1" si="64"/>
        <v/>
      </c>
      <c r="W915" s="97" t="str">
        <f t="shared" ca="1" si="65"/>
        <v/>
      </c>
    </row>
    <row r="916" spans="22:23" x14ac:dyDescent="0.25">
      <c r="V916" s="52" t="str">
        <f t="shared" ca="1" si="64"/>
        <v/>
      </c>
      <c r="W916" s="97" t="str">
        <f t="shared" ca="1" si="65"/>
        <v/>
      </c>
    </row>
    <row r="917" spans="22:23" x14ac:dyDescent="0.25">
      <c r="V917" s="52" t="str">
        <f t="shared" ca="1" si="64"/>
        <v/>
      </c>
      <c r="W917" s="97" t="str">
        <f t="shared" ca="1" si="65"/>
        <v/>
      </c>
    </row>
    <row r="918" spans="22:23" x14ac:dyDescent="0.25">
      <c r="V918" s="52" t="str">
        <f t="shared" ca="1" si="64"/>
        <v/>
      </c>
      <c r="W918" s="97" t="str">
        <f t="shared" ca="1" si="65"/>
        <v/>
      </c>
    </row>
    <row r="919" spans="22:23" x14ac:dyDescent="0.25">
      <c r="V919" s="52" t="str">
        <f t="shared" ca="1" si="64"/>
        <v/>
      </c>
      <c r="W919" s="97" t="str">
        <f t="shared" ca="1" si="65"/>
        <v/>
      </c>
    </row>
    <row r="920" spans="22:23" x14ac:dyDescent="0.25">
      <c r="V920" s="52" t="str">
        <f t="shared" ca="1" si="64"/>
        <v/>
      </c>
      <c r="W920" s="97" t="str">
        <f t="shared" ca="1" si="65"/>
        <v/>
      </c>
    </row>
    <row r="921" spans="22:23" x14ac:dyDescent="0.25">
      <c r="V921" s="52" t="str">
        <f t="shared" ca="1" si="64"/>
        <v/>
      </c>
      <c r="W921" s="97" t="str">
        <f t="shared" ca="1" si="65"/>
        <v/>
      </c>
    </row>
    <row r="922" spans="22:23" x14ac:dyDescent="0.25">
      <c r="V922" s="52" t="str">
        <f t="shared" ca="1" si="64"/>
        <v/>
      </c>
      <c r="W922" s="97" t="str">
        <f t="shared" ca="1" si="65"/>
        <v/>
      </c>
    </row>
    <row r="923" spans="22:23" x14ac:dyDescent="0.25">
      <c r="V923" s="52" t="str">
        <f t="shared" ca="1" si="64"/>
        <v/>
      </c>
      <c r="W923" s="97" t="str">
        <f t="shared" ca="1" si="65"/>
        <v/>
      </c>
    </row>
    <row r="924" spans="22:23" x14ac:dyDescent="0.25">
      <c r="V924" s="52" t="str">
        <f t="shared" ca="1" si="64"/>
        <v/>
      </c>
      <c r="W924" s="97" t="str">
        <f t="shared" ca="1" si="65"/>
        <v/>
      </c>
    </row>
    <row r="925" spans="22:23" x14ac:dyDescent="0.25">
      <c r="V925" s="52" t="str">
        <f t="shared" ca="1" si="64"/>
        <v/>
      </c>
      <c r="W925" s="97" t="str">
        <f t="shared" ca="1" si="65"/>
        <v/>
      </c>
    </row>
    <row r="926" spans="22:23" x14ac:dyDescent="0.25">
      <c r="V926" s="52" t="str">
        <f t="shared" ca="1" si="64"/>
        <v/>
      </c>
      <c r="W926" s="97" t="str">
        <f t="shared" ca="1" si="65"/>
        <v/>
      </c>
    </row>
    <row r="927" spans="22:23" x14ac:dyDescent="0.25">
      <c r="V927" s="52" t="str">
        <f t="shared" ca="1" si="64"/>
        <v/>
      </c>
      <c r="W927" s="97" t="str">
        <f t="shared" ca="1" si="65"/>
        <v/>
      </c>
    </row>
    <row r="928" spans="22:23" x14ac:dyDescent="0.25">
      <c r="V928" s="52" t="str">
        <f t="shared" ca="1" si="64"/>
        <v/>
      </c>
      <c r="W928" s="97" t="str">
        <f t="shared" ca="1" si="65"/>
        <v/>
      </c>
    </row>
    <row r="929" spans="22:23" x14ac:dyDescent="0.25">
      <c r="V929" s="52" t="str">
        <f t="shared" ca="1" si="64"/>
        <v/>
      </c>
      <c r="W929" s="97" t="str">
        <f t="shared" ca="1" si="65"/>
        <v/>
      </c>
    </row>
    <row r="930" spans="22:23" x14ac:dyDescent="0.25">
      <c r="V930" s="52" t="str">
        <f t="shared" ca="1" si="64"/>
        <v/>
      </c>
      <c r="W930" s="97" t="str">
        <f t="shared" ca="1" si="65"/>
        <v/>
      </c>
    </row>
    <row r="931" spans="22:23" x14ac:dyDescent="0.25">
      <c r="V931" s="52" t="str">
        <f t="shared" ca="1" si="64"/>
        <v/>
      </c>
      <c r="W931" s="97" t="str">
        <f t="shared" ca="1" si="65"/>
        <v/>
      </c>
    </row>
    <row r="932" spans="22:23" x14ac:dyDescent="0.25">
      <c r="V932" s="52" t="str">
        <f t="shared" ca="1" si="64"/>
        <v/>
      </c>
      <c r="W932" s="97" t="str">
        <f t="shared" ca="1" si="65"/>
        <v/>
      </c>
    </row>
    <row r="933" spans="22:23" x14ac:dyDescent="0.25">
      <c r="V933" s="52" t="str">
        <f t="shared" ca="1" si="64"/>
        <v/>
      </c>
      <c r="W933" s="97" t="str">
        <f t="shared" ca="1" si="65"/>
        <v/>
      </c>
    </row>
    <row r="934" spans="22:23" x14ac:dyDescent="0.25">
      <c r="V934" s="52" t="str">
        <f t="shared" ca="1" si="64"/>
        <v/>
      </c>
      <c r="W934" s="97" t="str">
        <f t="shared" ca="1" si="65"/>
        <v/>
      </c>
    </row>
    <row r="935" spans="22:23" x14ac:dyDescent="0.25">
      <c r="V935" s="52" t="str">
        <f t="shared" ca="1" si="64"/>
        <v/>
      </c>
      <c r="W935" s="97" t="str">
        <f t="shared" ca="1" si="65"/>
        <v/>
      </c>
    </row>
    <row r="936" spans="22:23" x14ac:dyDescent="0.25">
      <c r="V936" s="52" t="str">
        <f t="shared" ca="1" si="64"/>
        <v/>
      </c>
      <c r="W936" s="97" t="str">
        <f t="shared" ca="1" si="65"/>
        <v/>
      </c>
    </row>
    <row r="937" spans="22:23" x14ac:dyDescent="0.25">
      <c r="V937" s="52" t="str">
        <f t="shared" ca="1" si="64"/>
        <v/>
      </c>
      <c r="W937" s="97" t="str">
        <f t="shared" ca="1" si="65"/>
        <v/>
      </c>
    </row>
    <row r="938" spans="22:23" x14ac:dyDescent="0.25">
      <c r="V938" s="52" t="str">
        <f t="shared" ca="1" si="64"/>
        <v/>
      </c>
      <c r="W938" s="97" t="str">
        <f t="shared" ca="1" si="65"/>
        <v/>
      </c>
    </row>
    <row r="939" spans="22:23" x14ac:dyDescent="0.25">
      <c r="V939" s="52" t="str">
        <f t="shared" ca="1" si="64"/>
        <v/>
      </c>
      <c r="W939" s="97" t="str">
        <f t="shared" ca="1" si="65"/>
        <v/>
      </c>
    </row>
    <row r="940" spans="22:23" x14ac:dyDescent="0.25">
      <c r="V940" s="52" t="str">
        <f t="shared" ca="1" si="64"/>
        <v/>
      </c>
      <c r="W940" s="97" t="str">
        <f t="shared" ca="1" si="65"/>
        <v/>
      </c>
    </row>
    <row r="941" spans="22:23" x14ac:dyDescent="0.25">
      <c r="V941" s="52" t="str">
        <f t="shared" ca="1" si="64"/>
        <v/>
      </c>
      <c r="W941" s="97" t="str">
        <f t="shared" ca="1" si="65"/>
        <v/>
      </c>
    </row>
    <row r="942" spans="22:23" x14ac:dyDescent="0.25">
      <c r="V942" s="52" t="str">
        <f t="shared" ca="1" si="64"/>
        <v/>
      </c>
      <c r="W942" s="97" t="str">
        <f t="shared" ca="1" si="65"/>
        <v/>
      </c>
    </row>
    <row r="943" spans="22:23" x14ac:dyDescent="0.25">
      <c r="V943" s="52" t="str">
        <f t="shared" ca="1" si="64"/>
        <v/>
      </c>
      <c r="W943" s="97" t="str">
        <f t="shared" ca="1" si="65"/>
        <v/>
      </c>
    </row>
    <row r="944" spans="22:23" x14ac:dyDescent="0.25">
      <c r="V944" s="52" t="str">
        <f t="shared" ca="1" si="64"/>
        <v/>
      </c>
      <c r="W944" s="97" t="str">
        <f t="shared" ca="1" si="65"/>
        <v/>
      </c>
    </row>
    <row r="945" spans="22:23" x14ac:dyDescent="0.25">
      <c r="V945" s="52" t="str">
        <f t="shared" ca="1" si="64"/>
        <v/>
      </c>
      <c r="W945" s="97" t="str">
        <f t="shared" ca="1" si="65"/>
        <v/>
      </c>
    </row>
    <row r="946" spans="22:23" x14ac:dyDescent="0.25">
      <c r="V946" s="52" t="str">
        <f t="shared" ca="1" si="64"/>
        <v/>
      </c>
      <c r="W946" s="97" t="str">
        <f t="shared" ca="1" si="65"/>
        <v/>
      </c>
    </row>
    <row r="947" spans="22:23" x14ac:dyDescent="0.25">
      <c r="V947" s="52" t="str">
        <f t="shared" ca="1" si="64"/>
        <v/>
      </c>
      <c r="W947" s="97" t="str">
        <f t="shared" ca="1" si="65"/>
        <v/>
      </c>
    </row>
    <row r="948" spans="22:23" x14ac:dyDescent="0.25">
      <c r="V948" s="52" t="str">
        <f t="shared" ca="1" si="64"/>
        <v/>
      </c>
      <c r="W948" s="97" t="str">
        <f t="shared" ca="1" si="65"/>
        <v/>
      </c>
    </row>
    <row r="949" spans="22:23" x14ac:dyDescent="0.25">
      <c r="V949" s="52" t="str">
        <f t="shared" ca="1" si="64"/>
        <v/>
      </c>
      <c r="W949" s="97" t="str">
        <f t="shared" ca="1" si="65"/>
        <v/>
      </c>
    </row>
    <row r="950" spans="22:23" x14ac:dyDescent="0.25">
      <c r="V950" s="52" t="str">
        <f t="shared" ca="1" si="64"/>
        <v/>
      </c>
      <c r="W950" s="97" t="str">
        <f t="shared" ca="1" si="65"/>
        <v/>
      </c>
    </row>
    <row r="951" spans="22:23" x14ac:dyDescent="0.25">
      <c r="V951" s="52" t="str">
        <f t="shared" ca="1" si="64"/>
        <v/>
      </c>
      <c r="W951" s="97" t="str">
        <f t="shared" ca="1" si="65"/>
        <v/>
      </c>
    </row>
    <row r="952" spans="22:23" x14ac:dyDescent="0.25">
      <c r="V952" s="52" t="str">
        <f t="shared" ca="1" si="64"/>
        <v/>
      </c>
      <c r="W952" s="97" t="str">
        <f t="shared" ca="1" si="65"/>
        <v/>
      </c>
    </row>
    <row r="953" spans="22:23" x14ac:dyDescent="0.25">
      <c r="V953" s="52" t="str">
        <f t="shared" ca="1" si="64"/>
        <v/>
      </c>
      <c r="W953" s="97" t="str">
        <f t="shared" ca="1" si="65"/>
        <v/>
      </c>
    </row>
    <row r="954" spans="22:23" x14ac:dyDescent="0.25">
      <c r="V954" s="52" t="str">
        <f t="shared" ca="1" si="64"/>
        <v/>
      </c>
      <c r="W954" s="97" t="str">
        <f t="shared" ca="1" si="65"/>
        <v/>
      </c>
    </row>
    <row r="955" spans="22:23" x14ac:dyDescent="0.25">
      <c r="V955" s="52" t="str">
        <f t="shared" ca="1" si="64"/>
        <v/>
      </c>
      <c r="W955" s="97" t="str">
        <f t="shared" ca="1" si="65"/>
        <v/>
      </c>
    </row>
    <row r="956" spans="22:23" x14ac:dyDescent="0.25">
      <c r="V956" s="52" t="str">
        <f t="shared" ca="1" si="64"/>
        <v/>
      </c>
      <c r="W956" s="97" t="str">
        <f t="shared" ca="1" si="65"/>
        <v/>
      </c>
    </row>
    <row r="957" spans="22:23" x14ac:dyDescent="0.25">
      <c r="V957" s="52" t="str">
        <f t="shared" ca="1" si="64"/>
        <v/>
      </c>
      <c r="W957" s="97" t="str">
        <f t="shared" ca="1" si="65"/>
        <v/>
      </c>
    </row>
    <row r="958" spans="22:23" x14ac:dyDescent="0.25">
      <c r="V958" s="52" t="str">
        <f t="shared" ca="1" si="64"/>
        <v/>
      </c>
      <c r="W958" s="97" t="str">
        <f t="shared" ca="1" si="65"/>
        <v/>
      </c>
    </row>
    <row r="959" spans="22:23" x14ac:dyDescent="0.25">
      <c r="V959" s="52" t="str">
        <f t="shared" ca="1" si="64"/>
        <v/>
      </c>
      <c r="W959" s="97" t="str">
        <f t="shared" ca="1" si="65"/>
        <v/>
      </c>
    </row>
    <row r="960" spans="22:23" x14ac:dyDescent="0.25">
      <c r="V960" s="52" t="str">
        <f t="shared" ca="1" si="64"/>
        <v/>
      </c>
      <c r="W960" s="97" t="str">
        <f t="shared" ca="1" si="65"/>
        <v/>
      </c>
    </row>
    <row r="961" spans="22:23" x14ac:dyDescent="0.25">
      <c r="V961" s="52" t="str">
        <f t="shared" ca="1" si="64"/>
        <v/>
      </c>
      <c r="W961" s="97" t="str">
        <f t="shared" ca="1" si="65"/>
        <v/>
      </c>
    </row>
    <row r="962" spans="22:23" x14ac:dyDescent="0.25">
      <c r="V962" s="52" t="str">
        <f t="shared" ca="1" si="64"/>
        <v/>
      </c>
      <c r="W962" s="97" t="str">
        <f t="shared" ca="1" si="65"/>
        <v/>
      </c>
    </row>
    <row r="963" spans="22:23" x14ac:dyDescent="0.25">
      <c r="V963" s="52" t="str">
        <f t="shared" ca="1" si="64"/>
        <v/>
      </c>
      <c r="W963" s="97" t="str">
        <f t="shared" ca="1" si="65"/>
        <v/>
      </c>
    </row>
    <row r="964" spans="22:23" x14ac:dyDescent="0.25">
      <c r="V964" s="52" t="str">
        <f t="shared" ref="V964:V1027" ca="1" si="66">IF(COUNTIF(P:P,N964)*COUNTIF(R:R,N964)*COUNTIF(T:T,N964),N964,"")</f>
        <v/>
      </c>
      <c r="W964" s="97" t="str">
        <f t="shared" ref="W964:W1027" ca="1" si="67">IF(V964&gt;=$A$14,V964,"")</f>
        <v/>
      </c>
    </row>
    <row r="965" spans="22:23" x14ac:dyDescent="0.25">
      <c r="V965" s="52" t="str">
        <f t="shared" ca="1" si="66"/>
        <v/>
      </c>
      <c r="W965" s="97" t="str">
        <f t="shared" ca="1" si="67"/>
        <v/>
      </c>
    </row>
    <row r="966" spans="22:23" x14ac:dyDescent="0.25">
      <c r="V966" s="52" t="str">
        <f t="shared" ca="1" si="66"/>
        <v/>
      </c>
      <c r="W966" s="97" t="str">
        <f t="shared" ca="1" si="67"/>
        <v/>
      </c>
    </row>
    <row r="967" spans="22:23" x14ac:dyDescent="0.25">
      <c r="V967" s="52" t="str">
        <f t="shared" ca="1" si="66"/>
        <v/>
      </c>
      <c r="W967" s="97" t="str">
        <f t="shared" ca="1" si="67"/>
        <v/>
      </c>
    </row>
    <row r="968" spans="22:23" x14ac:dyDescent="0.25">
      <c r="V968" s="52" t="str">
        <f t="shared" ca="1" si="66"/>
        <v/>
      </c>
      <c r="W968" s="97" t="str">
        <f t="shared" ca="1" si="67"/>
        <v/>
      </c>
    </row>
    <row r="969" spans="22:23" x14ac:dyDescent="0.25">
      <c r="V969" s="52" t="str">
        <f t="shared" ca="1" si="66"/>
        <v/>
      </c>
      <c r="W969" s="97" t="str">
        <f t="shared" ca="1" si="67"/>
        <v/>
      </c>
    </row>
    <row r="970" spans="22:23" x14ac:dyDescent="0.25">
      <c r="V970" s="52" t="str">
        <f t="shared" ca="1" si="66"/>
        <v/>
      </c>
      <c r="W970" s="97" t="str">
        <f t="shared" ca="1" si="67"/>
        <v/>
      </c>
    </row>
    <row r="971" spans="22:23" x14ac:dyDescent="0.25">
      <c r="V971" s="52" t="str">
        <f t="shared" ca="1" si="66"/>
        <v/>
      </c>
      <c r="W971" s="97" t="str">
        <f t="shared" ca="1" si="67"/>
        <v/>
      </c>
    </row>
    <row r="972" spans="22:23" x14ac:dyDescent="0.25">
      <c r="V972" s="52" t="str">
        <f t="shared" ca="1" si="66"/>
        <v/>
      </c>
      <c r="W972" s="97" t="str">
        <f t="shared" ca="1" si="67"/>
        <v/>
      </c>
    </row>
    <row r="973" spans="22:23" x14ac:dyDescent="0.25">
      <c r="V973" s="52" t="str">
        <f t="shared" ca="1" si="66"/>
        <v/>
      </c>
      <c r="W973" s="97" t="str">
        <f t="shared" ca="1" si="67"/>
        <v/>
      </c>
    </row>
    <row r="974" spans="22:23" x14ac:dyDescent="0.25">
      <c r="V974" s="52" t="str">
        <f t="shared" ca="1" si="66"/>
        <v/>
      </c>
      <c r="W974" s="97" t="str">
        <f t="shared" ca="1" si="67"/>
        <v/>
      </c>
    </row>
    <row r="975" spans="22:23" x14ac:dyDescent="0.25">
      <c r="V975" s="52" t="str">
        <f t="shared" ca="1" si="66"/>
        <v/>
      </c>
      <c r="W975" s="97" t="str">
        <f t="shared" ca="1" si="67"/>
        <v/>
      </c>
    </row>
    <row r="976" spans="22:23" x14ac:dyDescent="0.25">
      <c r="V976" s="52" t="str">
        <f t="shared" ca="1" si="66"/>
        <v/>
      </c>
      <c r="W976" s="97" t="str">
        <f t="shared" ca="1" si="67"/>
        <v/>
      </c>
    </row>
    <row r="977" spans="22:23" x14ac:dyDescent="0.25">
      <c r="V977" s="52" t="str">
        <f t="shared" ca="1" si="66"/>
        <v/>
      </c>
      <c r="W977" s="97" t="str">
        <f t="shared" ca="1" si="67"/>
        <v/>
      </c>
    </row>
    <row r="978" spans="22:23" x14ac:dyDescent="0.25">
      <c r="V978" s="52" t="str">
        <f t="shared" ca="1" si="66"/>
        <v/>
      </c>
      <c r="W978" s="97" t="str">
        <f t="shared" ca="1" si="67"/>
        <v/>
      </c>
    </row>
    <row r="979" spans="22:23" x14ac:dyDescent="0.25">
      <c r="V979" s="52" t="str">
        <f t="shared" ca="1" si="66"/>
        <v/>
      </c>
      <c r="W979" s="97" t="str">
        <f t="shared" ca="1" si="67"/>
        <v/>
      </c>
    </row>
    <row r="980" spans="22:23" x14ac:dyDescent="0.25">
      <c r="V980" s="52" t="str">
        <f t="shared" ca="1" si="66"/>
        <v/>
      </c>
      <c r="W980" s="97" t="str">
        <f t="shared" ca="1" si="67"/>
        <v/>
      </c>
    </row>
    <row r="981" spans="22:23" x14ac:dyDescent="0.25">
      <c r="V981" s="52" t="str">
        <f t="shared" ca="1" si="66"/>
        <v/>
      </c>
      <c r="W981" s="97" t="str">
        <f t="shared" ca="1" si="67"/>
        <v/>
      </c>
    </row>
    <row r="982" spans="22:23" x14ac:dyDescent="0.25">
      <c r="V982" s="52" t="str">
        <f t="shared" ca="1" si="66"/>
        <v/>
      </c>
      <c r="W982" s="97" t="str">
        <f t="shared" ca="1" si="67"/>
        <v/>
      </c>
    </row>
    <row r="983" spans="22:23" x14ac:dyDescent="0.25">
      <c r="V983" s="52" t="str">
        <f t="shared" ca="1" si="66"/>
        <v/>
      </c>
      <c r="W983" s="97" t="str">
        <f t="shared" ca="1" si="67"/>
        <v/>
      </c>
    </row>
    <row r="984" spans="22:23" x14ac:dyDescent="0.25">
      <c r="V984" s="52" t="str">
        <f t="shared" ca="1" si="66"/>
        <v/>
      </c>
      <c r="W984" s="97" t="str">
        <f t="shared" ca="1" si="67"/>
        <v/>
      </c>
    </row>
    <row r="985" spans="22:23" x14ac:dyDescent="0.25">
      <c r="V985" s="52" t="str">
        <f t="shared" ca="1" si="66"/>
        <v/>
      </c>
      <c r="W985" s="97" t="str">
        <f t="shared" ca="1" si="67"/>
        <v/>
      </c>
    </row>
    <row r="986" spans="22:23" x14ac:dyDescent="0.25">
      <c r="V986" s="52" t="str">
        <f t="shared" ca="1" si="66"/>
        <v/>
      </c>
      <c r="W986" s="97" t="str">
        <f t="shared" ca="1" si="67"/>
        <v/>
      </c>
    </row>
    <row r="987" spans="22:23" x14ac:dyDescent="0.25">
      <c r="V987" s="52" t="str">
        <f t="shared" ca="1" si="66"/>
        <v/>
      </c>
      <c r="W987" s="97" t="str">
        <f t="shared" ca="1" si="67"/>
        <v/>
      </c>
    </row>
    <row r="988" spans="22:23" x14ac:dyDescent="0.25">
      <c r="V988" s="52" t="str">
        <f t="shared" ca="1" si="66"/>
        <v/>
      </c>
      <c r="W988" s="97" t="str">
        <f t="shared" ca="1" si="67"/>
        <v/>
      </c>
    </row>
    <row r="989" spans="22:23" x14ac:dyDescent="0.25">
      <c r="V989" s="52" t="str">
        <f t="shared" ca="1" si="66"/>
        <v/>
      </c>
      <c r="W989" s="97" t="str">
        <f t="shared" ca="1" si="67"/>
        <v/>
      </c>
    </row>
    <row r="990" spans="22:23" x14ac:dyDescent="0.25">
      <c r="V990" s="52" t="str">
        <f t="shared" ca="1" si="66"/>
        <v/>
      </c>
      <c r="W990" s="97" t="str">
        <f t="shared" ca="1" si="67"/>
        <v/>
      </c>
    </row>
    <row r="991" spans="22:23" x14ac:dyDescent="0.25">
      <c r="V991" s="52" t="str">
        <f t="shared" ca="1" si="66"/>
        <v/>
      </c>
      <c r="W991" s="97" t="str">
        <f t="shared" ca="1" si="67"/>
        <v/>
      </c>
    </row>
    <row r="992" spans="22:23" x14ac:dyDescent="0.25">
      <c r="V992" s="52" t="str">
        <f t="shared" ca="1" si="66"/>
        <v/>
      </c>
      <c r="W992" s="97" t="str">
        <f t="shared" ca="1" si="67"/>
        <v/>
      </c>
    </row>
    <row r="993" spans="22:23" x14ac:dyDescent="0.25">
      <c r="V993" s="52" t="str">
        <f t="shared" ca="1" si="66"/>
        <v/>
      </c>
      <c r="W993" s="97" t="str">
        <f t="shared" ca="1" si="67"/>
        <v/>
      </c>
    </row>
    <row r="994" spans="22:23" x14ac:dyDescent="0.25">
      <c r="V994" s="52" t="str">
        <f t="shared" ca="1" si="66"/>
        <v/>
      </c>
      <c r="W994" s="97" t="str">
        <f t="shared" ca="1" si="67"/>
        <v/>
      </c>
    </row>
    <row r="995" spans="22:23" x14ac:dyDescent="0.25">
      <c r="V995" s="52" t="str">
        <f t="shared" ca="1" si="66"/>
        <v/>
      </c>
      <c r="W995" s="97" t="str">
        <f t="shared" ca="1" si="67"/>
        <v/>
      </c>
    </row>
    <row r="996" spans="22:23" x14ac:dyDescent="0.25">
      <c r="V996" s="52" t="str">
        <f t="shared" ca="1" si="66"/>
        <v/>
      </c>
      <c r="W996" s="97" t="str">
        <f t="shared" ca="1" si="67"/>
        <v/>
      </c>
    </row>
    <row r="997" spans="22:23" x14ac:dyDescent="0.25">
      <c r="V997" s="52" t="str">
        <f t="shared" ca="1" si="66"/>
        <v/>
      </c>
      <c r="W997" s="97" t="str">
        <f t="shared" ca="1" si="67"/>
        <v/>
      </c>
    </row>
    <row r="998" spans="22:23" x14ac:dyDescent="0.25">
      <c r="V998" s="52" t="str">
        <f t="shared" ca="1" si="66"/>
        <v/>
      </c>
      <c r="W998" s="97" t="str">
        <f t="shared" ca="1" si="67"/>
        <v/>
      </c>
    </row>
    <row r="999" spans="22:23" x14ac:dyDescent="0.25">
      <c r="V999" s="52" t="str">
        <f t="shared" ca="1" si="66"/>
        <v/>
      </c>
      <c r="W999" s="97" t="str">
        <f t="shared" ca="1" si="67"/>
        <v/>
      </c>
    </row>
    <row r="1000" spans="22:23" x14ac:dyDescent="0.25">
      <c r="V1000" s="52" t="str">
        <f t="shared" ca="1" si="66"/>
        <v/>
      </c>
      <c r="W1000" s="97" t="str">
        <f t="shared" ca="1" si="67"/>
        <v/>
      </c>
    </row>
    <row r="1001" spans="22:23" x14ac:dyDescent="0.25">
      <c r="V1001" s="52" t="str">
        <f t="shared" ca="1" si="66"/>
        <v/>
      </c>
      <c r="W1001" s="97" t="str">
        <f t="shared" ca="1" si="67"/>
        <v/>
      </c>
    </row>
    <row r="1002" spans="22:23" x14ac:dyDescent="0.25">
      <c r="V1002" s="52" t="str">
        <f t="shared" ca="1" si="66"/>
        <v/>
      </c>
      <c r="W1002" s="97" t="str">
        <f t="shared" ca="1" si="67"/>
        <v/>
      </c>
    </row>
    <row r="1003" spans="22:23" x14ac:dyDescent="0.25">
      <c r="V1003" s="52" t="str">
        <f t="shared" ca="1" si="66"/>
        <v/>
      </c>
      <c r="W1003" s="97" t="str">
        <f t="shared" ca="1" si="67"/>
        <v/>
      </c>
    </row>
    <row r="1004" spans="22:23" x14ac:dyDescent="0.25">
      <c r="V1004" s="52" t="str">
        <f t="shared" ca="1" si="66"/>
        <v/>
      </c>
      <c r="W1004" s="97" t="str">
        <f t="shared" ca="1" si="67"/>
        <v/>
      </c>
    </row>
    <row r="1005" spans="22:23" x14ac:dyDescent="0.25">
      <c r="V1005" s="52" t="str">
        <f t="shared" ca="1" si="66"/>
        <v/>
      </c>
      <c r="W1005" s="97" t="str">
        <f t="shared" ca="1" si="67"/>
        <v/>
      </c>
    </row>
    <row r="1006" spans="22:23" x14ac:dyDescent="0.25">
      <c r="V1006" s="52" t="str">
        <f t="shared" ca="1" si="66"/>
        <v/>
      </c>
      <c r="W1006" s="97" t="str">
        <f t="shared" ca="1" si="67"/>
        <v/>
      </c>
    </row>
    <row r="1007" spans="22:23" x14ac:dyDescent="0.25">
      <c r="V1007" s="52" t="str">
        <f t="shared" ca="1" si="66"/>
        <v/>
      </c>
      <c r="W1007" s="97" t="str">
        <f t="shared" ca="1" si="67"/>
        <v/>
      </c>
    </row>
    <row r="1008" spans="22:23" x14ac:dyDescent="0.25">
      <c r="V1008" s="52" t="str">
        <f t="shared" ca="1" si="66"/>
        <v/>
      </c>
      <c r="W1008" s="97" t="str">
        <f t="shared" ca="1" si="67"/>
        <v/>
      </c>
    </row>
    <row r="1009" spans="22:23" x14ac:dyDescent="0.25">
      <c r="V1009" s="52" t="str">
        <f t="shared" ca="1" si="66"/>
        <v/>
      </c>
      <c r="W1009" s="97" t="str">
        <f t="shared" ca="1" si="67"/>
        <v/>
      </c>
    </row>
    <row r="1010" spans="22:23" x14ac:dyDescent="0.25">
      <c r="V1010" s="52" t="str">
        <f t="shared" ca="1" si="66"/>
        <v/>
      </c>
      <c r="W1010" s="97" t="str">
        <f t="shared" ca="1" si="67"/>
        <v/>
      </c>
    </row>
    <row r="1011" spans="22:23" x14ac:dyDescent="0.25">
      <c r="V1011" s="52" t="str">
        <f t="shared" ca="1" si="66"/>
        <v/>
      </c>
      <c r="W1011" s="97" t="str">
        <f t="shared" ca="1" si="67"/>
        <v/>
      </c>
    </row>
    <row r="1012" spans="22:23" x14ac:dyDescent="0.25">
      <c r="V1012" s="52" t="str">
        <f t="shared" ca="1" si="66"/>
        <v/>
      </c>
      <c r="W1012" s="97" t="str">
        <f t="shared" ca="1" si="67"/>
        <v/>
      </c>
    </row>
    <row r="1013" spans="22:23" x14ac:dyDescent="0.25">
      <c r="V1013" s="52" t="str">
        <f t="shared" ca="1" si="66"/>
        <v/>
      </c>
      <c r="W1013" s="97" t="str">
        <f t="shared" ca="1" si="67"/>
        <v/>
      </c>
    </row>
    <row r="1014" spans="22:23" x14ac:dyDescent="0.25">
      <c r="V1014" s="52" t="str">
        <f t="shared" ca="1" si="66"/>
        <v/>
      </c>
      <c r="W1014" s="97" t="str">
        <f t="shared" ca="1" si="67"/>
        <v/>
      </c>
    </row>
    <row r="1015" spans="22:23" x14ac:dyDescent="0.25">
      <c r="V1015" s="52" t="str">
        <f t="shared" ca="1" si="66"/>
        <v/>
      </c>
      <c r="W1015" s="97" t="str">
        <f t="shared" ca="1" si="67"/>
        <v/>
      </c>
    </row>
    <row r="1016" spans="22:23" x14ac:dyDescent="0.25">
      <c r="V1016" s="52" t="str">
        <f t="shared" ca="1" si="66"/>
        <v/>
      </c>
      <c r="W1016" s="97" t="str">
        <f t="shared" ca="1" si="67"/>
        <v/>
      </c>
    </row>
    <row r="1017" spans="22:23" x14ac:dyDescent="0.25">
      <c r="V1017" s="52" t="str">
        <f t="shared" ca="1" si="66"/>
        <v/>
      </c>
      <c r="W1017" s="97" t="str">
        <f t="shared" ca="1" si="67"/>
        <v/>
      </c>
    </row>
    <row r="1018" spans="22:23" x14ac:dyDescent="0.25">
      <c r="V1018" s="52" t="str">
        <f t="shared" ca="1" si="66"/>
        <v/>
      </c>
      <c r="W1018" s="97" t="str">
        <f t="shared" ca="1" si="67"/>
        <v/>
      </c>
    </row>
    <row r="1019" spans="22:23" x14ac:dyDescent="0.25">
      <c r="V1019" s="52" t="str">
        <f t="shared" ca="1" si="66"/>
        <v/>
      </c>
      <c r="W1019" s="97" t="str">
        <f t="shared" ca="1" si="67"/>
        <v/>
      </c>
    </row>
    <row r="1020" spans="22:23" x14ac:dyDescent="0.25">
      <c r="V1020" s="52" t="str">
        <f t="shared" ca="1" si="66"/>
        <v/>
      </c>
      <c r="W1020" s="97" t="str">
        <f t="shared" ca="1" si="67"/>
        <v/>
      </c>
    </row>
    <row r="1021" spans="22:23" x14ac:dyDescent="0.25">
      <c r="V1021" s="52" t="str">
        <f t="shared" ca="1" si="66"/>
        <v/>
      </c>
      <c r="W1021" s="97" t="str">
        <f t="shared" ca="1" si="67"/>
        <v/>
      </c>
    </row>
    <row r="1022" spans="22:23" x14ac:dyDescent="0.25">
      <c r="V1022" s="52" t="str">
        <f t="shared" ca="1" si="66"/>
        <v/>
      </c>
      <c r="W1022" s="97" t="str">
        <f t="shared" ca="1" si="67"/>
        <v/>
      </c>
    </row>
    <row r="1023" spans="22:23" x14ac:dyDescent="0.25">
      <c r="V1023" s="52" t="str">
        <f t="shared" ca="1" si="66"/>
        <v/>
      </c>
      <c r="W1023" s="97" t="str">
        <f t="shared" ca="1" si="67"/>
        <v/>
      </c>
    </row>
    <row r="1024" spans="22:23" x14ac:dyDescent="0.25">
      <c r="V1024" s="52" t="str">
        <f t="shared" ca="1" si="66"/>
        <v/>
      </c>
      <c r="W1024" s="97" t="str">
        <f t="shared" ca="1" si="67"/>
        <v/>
      </c>
    </row>
    <row r="1025" spans="22:23" x14ac:dyDescent="0.25">
      <c r="V1025" s="52" t="str">
        <f t="shared" ca="1" si="66"/>
        <v/>
      </c>
      <c r="W1025" s="97" t="str">
        <f t="shared" ca="1" si="67"/>
        <v/>
      </c>
    </row>
    <row r="1026" spans="22:23" x14ac:dyDescent="0.25">
      <c r="V1026" s="52" t="str">
        <f t="shared" ca="1" si="66"/>
        <v/>
      </c>
      <c r="W1026" s="97" t="str">
        <f t="shared" ca="1" si="67"/>
        <v/>
      </c>
    </row>
    <row r="1027" spans="22:23" x14ac:dyDescent="0.25">
      <c r="V1027" s="52" t="str">
        <f t="shared" ca="1" si="66"/>
        <v/>
      </c>
      <c r="W1027" s="97" t="str">
        <f t="shared" ca="1" si="67"/>
        <v/>
      </c>
    </row>
    <row r="1028" spans="22:23" x14ac:dyDescent="0.25">
      <c r="V1028" s="52" t="str">
        <f t="shared" ref="V1028:V1075" ca="1" si="68">IF(COUNTIF(P:P,N1028)*COUNTIF(R:R,N1028)*COUNTIF(T:T,N1028),N1028,"")</f>
        <v/>
      </c>
      <c r="W1028" s="97" t="str">
        <f t="shared" ref="W1028:W1075" ca="1" si="69">IF(V1028&gt;=$A$14,V1028,"")</f>
        <v/>
      </c>
    </row>
    <row r="1029" spans="22:23" x14ac:dyDescent="0.25">
      <c r="V1029" s="52" t="str">
        <f t="shared" ca="1" si="68"/>
        <v/>
      </c>
      <c r="W1029" s="97" t="str">
        <f t="shared" ca="1" si="69"/>
        <v/>
      </c>
    </row>
    <row r="1030" spans="22:23" x14ac:dyDescent="0.25">
      <c r="V1030" s="52" t="str">
        <f t="shared" ca="1" si="68"/>
        <v/>
      </c>
      <c r="W1030" s="97" t="str">
        <f t="shared" ca="1" si="69"/>
        <v/>
      </c>
    </row>
    <row r="1031" spans="22:23" x14ac:dyDescent="0.25">
      <c r="V1031" s="52" t="str">
        <f t="shared" ca="1" si="68"/>
        <v/>
      </c>
      <c r="W1031" s="97" t="str">
        <f t="shared" ca="1" si="69"/>
        <v/>
      </c>
    </row>
    <row r="1032" spans="22:23" x14ac:dyDescent="0.25">
      <c r="V1032" s="52" t="str">
        <f t="shared" ca="1" si="68"/>
        <v/>
      </c>
      <c r="W1032" s="97" t="str">
        <f t="shared" ca="1" si="69"/>
        <v/>
      </c>
    </row>
    <row r="1033" spans="22:23" x14ac:dyDescent="0.25">
      <c r="V1033" s="52" t="str">
        <f t="shared" ca="1" si="68"/>
        <v/>
      </c>
      <c r="W1033" s="97" t="str">
        <f t="shared" ca="1" si="69"/>
        <v/>
      </c>
    </row>
    <row r="1034" spans="22:23" x14ac:dyDescent="0.25">
      <c r="V1034" s="52" t="str">
        <f t="shared" ca="1" si="68"/>
        <v/>
      </c>
      <c r="W1034" s="97" t="str">
        <f t="shared" ca="1" si="69"/>
        <v/>
      </c>
    </row>
    <row r="1035" spans="22:23" x14ac:dyDescent="0.25">
      <c r="V1035" s="52" t="str">
        <f t="shared" ca="1" si="68"/>
        <v/>
      </c>
      <c r="W1035" s="97" t="str">
        <f t="shared" ca="1" si="69"/>
        <v/>
      </c>
    </row>
    <row r="1036" spans="22:23" x14ac:dyDescent="0.25">
      <c r="V1036" s="52" t="str">
        <f t="shared" ca="1" si="68"/>
        <v/>
      </c>
      <c r="W1036" s="97" t="str">
        <f t="shared" ca="1" si="69"/>
        <v/>
      </c>
    </row>
    <row r="1037" spans="22:23" x14ac:dyDescent="0.25">
      <c r="V1037" s="52" t="str">
        <f t="shared" ca="1" si="68"/>
        <v/>
      </c>
      <c r="W1037" s="97" t="str">
        <f t="shared" ca="1" si="69"/>
        <v/>
      </c>
    </row>
    <row r="1038" spans="22:23" x14ac:dyDescent="0.25">
      <c r="V1038" s="52" t="str">
        <f t="shared" ca="1" si="68"/>
        <v/>
      </c>
      <c r="W1038" s="97" t="str">
        <f t="shared" ca="1" si="69"/>
        <v/>
      </c>
    </row>
    <row r="1039" spans="22:23" x14ac:dyDescent="0.25">
      <c r="V1039" s="52" t="str">
        <f t="shared" ca="1" si="68"/>
        <v/>
      </c>
      <c r="W1039" s="97" t="str">
        <f t="shared" ca="1" si="69"/>
        <v/>
      </c>
    </row>
    <row r="1040" spans="22:23" x14ac:dyDescent="0.25">
      <c r="V1040" s="52" t="str">
        <f t="shared" ca="1" si="68"/>
        <v/>
      </c>
      <c r="W1040" s="97" t="str">
        <f t="shared" ca="1" si="69"/>
        <v/>
      </c>
    </row>
    <row r="1041" spans="22:23" x14ac:dyDescent="0.25">
      <c r="V1041" s="52" t="str">
        <f t="shared" ca="1" si="68"/>
        <v/>
      </c>
      <c r="W1041" s="97" t="str">
        <f t="shared" ca="1" si="69"/>
        <v/>
      </c>
    </row>
    <row r="1042" spans="22:23" x14ac:dyDescent="0.25">
      <c r="V1042" s="52" t="str">
        <f t="shared" ca="1" si="68"/>
        <v/>
      </c>
      <c r="W1042" s="97" t="str">
        <f t="shared" ca="1" si="69"/>
        <v/>
      </c>
    </row>
    <row r="1043" spans="22:23" x14ac:dyDescent="0.25">
      <c r="V1043" s="52" t="str">
        <f t="shared" ca="1" si="68"/>
        <v/>
      </c>
      <c r="W1043" s="97" t="str">
        <f t="shared" ca="1" si="69"/>
        <v/>
      </c>
    </row>
    <row r="1044" spans="22:23" x14ac:dyDescent="0.25">
      <c r="V1044" s="52" t="str">
        <f t="shared" ca="1" si="68"/>
        <v/>
      </c>
      <c r="W1044" s="97" t="str">
        <f t="shared" ca="1" si="69"/>
        <v/>
      </c>
    </row>
    <row r="1045" spans="22:23" x14ac:dyDescent="0.25">
      <c r="V1045" s="52" t="str">
        <f t="shared" ca="1" si="68"/>
        <v/>
      </c>
      <c r="W1045" s="97" t="str">
        <f t="shared" ca="1" si="69"/>
        <v/>
      </c>
    </row>
    <row r="1046" spans="22:23" x14ac:dyDescent="0.25">
      <c r="V1046" s="52" t="str">
        <f t="shared" ca="1" si="68"/>
        <v/>
      </c>
      <c r="W1046" s="97" t="str">
        <f t="shared" ca="1" si="69"/>
        <v/>
      </c>
    </row>
    <row r="1047" spans="22:23" x14ac:dyDescent="0.25">
      <c r="V1047" s="52" t="str">
        <f t="shared" ca="1" si="68"/>
        <v/>
      </c>
      <c r="W1047" s="97" t="str">
        <f t="shared" ca="1" si="69"/>
        <v/>
      </c>
    </row>
    <row r="1048" spans="22:23" x14ac:dyDescent="0.25">
      <c r="V1048" s="52" t="str">
        <f t="shared" ca="1" si="68"/>
        <v/>
      </c>
      <c r="W1048" s="97" t="str">
        <f t="shared" ca="1" si="69"/>
        <v/>
      </c>
    </row>
    <row r="1049" spans="22:23" x14ac:dyDescent="0.25">
      <c r="V1049" s="52" t="str">
        <f t="shared" ca="1" si="68"/>
        <v/>
      </c>
      <c r="W1049" s="97" t="str">
        <f t="shared" ca="1" si="69"/>
        <v/>
      </c>
    </row>
    <row r="1050" spans="22:23" x14ac:dyDescent="0.25">
      <c r="V1050" s="52" t="str">
        <f t="shared" ca="1" si="68"/>
        <v/>
      </c>
      <c r="W1050" s="97" t="str">
        <f t="shared" ca="1" si="69"/>
        <v/>
      </c>
    </row>
    <row r="1051" spans="22:23" x14ac:dyDescent="0.25">
      <c r="V1051" s="52" t="str">
        <f t="shared" ca="1" si="68"/>
        <v/>
      </c>
      <c r="W1051" s="97" t="str">
        <f t="shared" ca="1" si="69"/>
        <v/>
      </c>
    </row>
    <row r="1052" spans="22:23" x14ac:dyDescent="0.25">
      <c r="V1052" s="52" t="str">
        <f t="shared" ca="1" si="68"/>
        <v/>
      </c>
      <c r="W1052" s="97" t="str">
        <f t="shared" ca="1" si="69"/>
        <v/>
      </c>
    </row>
    <row r="1053" spans="22:23" x14ac:dyDescent="0.25">
      <c r="V1053" s="52" t="str">
        <f t="shared" ca="1" si="68"/>
        <v/>
      </c>
      <c r="W1053" s="97" t="str">
        <f t="shared" ca="1" si="69"/>
        <v/>
      </c>
    </row>
    <row r="1054" spans="22:23" x14ac:dyDescent="0.25">
      <c r="V1054" s="52" t="str">
        <f t="shared" ca="1" si="68"/>
        <v/>
      </c>
      <c r="W1054" s="97" t="str">
        <f t="shared" ca="1" si="69"/>
        <v/>
      </c>
    </row>
    <row r="1055" spans="22:23" x14ac:dyDescent="0.25">
      <c r="V1055" s="52" t="str">
        <f t="shared" ca="1" si="68"/>
        <v/>
      </c>
      <c r="W1055" s="97" t="str">
        <f t="shared" ca="1" si="69"/>
        <v/>
      </c>
    </row>
    <row r="1056" spans="22:23" x14ac:dyDescent="0.25">
      <c r="V1056" s="52" t="str">
        <f t="shared" ca="1" si="68"/>
        <v/>
      </c>
      <c r="W1056" s="97" t="str">
        <f t="shared" ca="1" si="69"/>
        <v/>
      </c>
    </row>
    <row r="1057" spans="22:23" x14ac:dyDescent="0.25">
      <c r="V1057" s="52" t="str">
        <f t="shared" ca="1" si="68"/>
        <v/>
      </c>
      <c r="W1057" s="97" t="str">
        <f t="shared" ca="1" si="69"/>
        <v/>
      </c>
    </row>
    <row r="1058" spans="22:23" x14ac:dyDescent="0.25">
      <c r="V1058" s="52" t="str">
        <f t="shared" ca="1" si="68"/>
        <v/>
      </c>
      <c r="W1058" s="97" t="str">
        <f t="shared" ca="1" si="69"/>
        <v/>
      </c>
    </row>
    <row r="1059" spans="22:23" x14ac:dyDescent="0.25">
      <c r="V1059" s="52" t="str">
        <f t="shared" ca="1" si="68"/>
        <v/>
      </c>
      <c r="W1059" s="97" t="str">
        <f t="shared" ca="1" si="69"/>
        <v/>
      </c>
    </row>
    <row r="1060" spans="22:23" x14ac:dyDescent="0.25">
      <c r="V1060" s="52" t="str">
        <f t="shared" ca="1" si="68"/>
        <v/>
      </c>
      <c r="W1060" s="97" t="str">
        <f t="shared" ca="1" si="69"/>
        <v/>
      </c>
    </row>
    <row r="1061" spans="22:23" x14ac:dyDescent="0.25">
      <c r="V1061" s="52" t="str">
        <f t="shared" ca="1" si="68"/>
        <v/>
      </c>
      <c r="W1061" s="97" t="str">
        <f t="shared" ca="1" si="69"/>
        <v/>
      </c>
    </row>
    <row r="1062" spans="22:23" x14ac:dyDescent="0.25">
      <c r="V1062" s="52" t="str">
        <f t="shared" ca="1" si="68"/>
        <v/>
      </c>
      <c r="W1062" s="97" t="str">
        <f t="shared" ca="1" si="69"/>
        <v/>
      </c>
    </row>
    <row r="1063" spans="22:23" x14ac:dyDescent="0.25">
      <c r="V1063" s="52" t="str">
        <f t="shared" ca="1" si="68"/>
        <v/>
      </c>
      <c r="W1063" s="97" t="str">
        <f t="shared" ca="1" si="69"/>
        <v/>
      </c>
    </row>
    <row r="1064" spans="22:23" x14ac:dyDescent="0.25">
      <c r="V1064" s="52" t="str">
        <f t="shared" ca="1" si="68"/>
        <v/>
      </c>
      <c r="W1064" s="97" t="str">
        <f t="shared" ca="1" si="69"/>
        <v/>
      </c>
    </row>
    <row r="1065" spans="22:23" x14ac:dyDescent="0.25">
      <c r="V1065" s="52" t="str">
        <f t="shared" ca="1" si="68"/>
        <v/>
      </c>
      <c r="W1065" s="97" t="str">
        <f t="shared" ca="1" si="69"/>
        <v/>
      </c>
    </row>
    <row r="1066" spans="22:23" x14ac:dyDescent="0.25">
      <c r="V1066" s="52" t="str">
        <f t="shared" ca="1" si="68"/>
        <v/>
      </c>
      <c r="W1066" s="97" t="str">
        <f t="shared" ca="1" si="69"/>
        <v/>
      </c>
    </row>
    <row r="1067" spans="22:23" x14ac:dyDescent="0.25">
      <c r="V1067" s="52" t="str">
        <f t="shared" ca="1" si="68"/>
        <v/>
      </c>
      <c r="W1067" s="97" t="str">
        <f t="shared" ca="1" si="69"/>
        <v/>
      </c>
    </row>
    <row r="1068" spans="22:23" x14ac:dyDescent="0.25">
      <c r="V1068" s="52" t="str">
        <f t="shared" ca="1" si="68"/>
        <v/>
      </c>
      <c r="W1068" s="97" t="str">
        <f t="shared" ca="1" si="69"/>
        <v/>
      </c>
    </row>
    <row r="1069" spans="22:23" x14ac:dyDescent="0.25">
      <c r="V1069" s="52" t="str">
        <f t="shared" ca="1" si="68"/>
        <v/>
      </c>
      <c r="W1069" s="97" t="str">
        <f t="shared" ca="1" si="69"/>
        <v/>
      </c>
    </row>
    <row r="1070" spans="22:23" x14ac:dyDescent="0.25">
      <c r="V1070" s="52" t="str">
        <f t="shared" ca="1" si="68"/>
        <v/>
      </c>
      <c r="W1070" s="97" t="str">
        <f t="shared" ca="1" si="69"/>
        <v/>
      </c>
    </row>
    <row r="1071" spans="22:23" x14ac:dyDescent="0.25">
      <c r="V1071" s="52" t="str">
        <f t="shared" ca="1" si="68"/>
        <v/>
      </c>
      <c r="W1071" s="97" t="str">
        <f t="shared" ca="1" si="69"/>
        <v/>
      </c>
    </row>
    <row r="1072" spans="22:23" x14ac:dyDescent="0.25">
      <c r="V1072" s="52" t="str">
        <f t="shared" ca="1" si="68"/>
        <v/>
      </c>
      <c r="W1072" s="97" t="str">
        <f t="shared" ca="1" si="69"/>
        <v/>
      </c>
    </row>
    <row r="1073" spans="22:23" x14ac:dyDescent="0.25">
      <c r="V1073" s="52" t="str">
        <f t="shared" ca="1" si="68"/>
        <v/>
      </c>
      <c r="W1073" s="97" t="str">
        <f t="shared" ca="1" si="69"/>
        <v/>
      </c>
    </row>
    <row r="1074" spans="22:23" x14ac:dyDescent="0.25">
      <c r="V1074" s="52" t="str">
        <f t="shared" ca="1" si="68"/>
        <v/>
      </c>
      <c r="W1074" s="97" t="str">
        <f t="shared" ca="1" si="69"/>
        <v/>
      </c>
    </row>
    <row r="1075" spans="22:23" x14ac:dyDescent="0.25">
      <c r="V1075" s="52" t="str">
        <f t="shared" ca="1" si="68"/>
        <v/>
      </c>
      <c r="W1075" s="97" t="str">
        <f t="shared" ca="1" si="69"/>
        <v/>
      </c>
    </row>
  </sheetData>
  <mergeCells count="3">
    <mergeCell ref="B12:D12"/>
    <mergeCell ref="E12:G12"/>
    <mergeCell ref="H12:J12"/>
  </mergeCells>
  <conditionalFormatting sqref="L13:L379">
    <cfRule type="cellIs" dxfId="5" priority="1" operator="lessThan">
      <formula>0</formula>
    </cfRule>
  </conditionalFormatting>
  <hyperlinks>
    <hyperlink ref="C4" r:id="rId1" xr:uid="{7BC09BC3-ADC0-4520-82BD-6ADFC2C1346F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C5" sqref="C5"/>
    </sheetView>
  </sheetViews>
  <sheetFormatPr defaultColWidth="8.85546875" defaultRowHeight="15" x14ac:dyDescent="0.25"/>
  <cols>
    <col min="1" max="1" width="18.140625" style="3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95" bestFit="1" customWidth="1"/>
    <col min="17" max="20" width="8.85546875" style="95"/>
    <col min="21" max="16384" width="8.85546875" style="3"/>
  </cols>
  <sheetData>
    <row r="1" spans="1:16" ht="15.75" thickBot="1" x14ac:dyDescent="0.3">
      <c r="A1" s="1"/>
      <c r="B1" s="1"/>
      <c r="C1" s="1"/>
      <c r="D1" s="1"/>
      <c r="I1" s="1"/>
      <c r="J1" s="38"/>
      <c r="L1" s="1"/>
      <c r="M1" s="1"/>
      <c r="P1" s="95" t="str" cm="1">
        <f t="array" ref="P1">LOOKUP(2,1/(P:P&lt;&gt;""),P:P)</f>
        <v>#N/A Invalid Security</v>
      </c>
    </row>
    <row r="2" spans="1:16" ht="15.75" thickBot="1" x14ac:dyDescent="0.3">
      <c r="A2" s="24"/>
      <c r="B2" s="28" t="s">
        <v>0</v>
      </c>
      <c r="C2" s="23" t="s">
        <v>1</v>
      </c>
      <c r="E2" s="72"/>
      <c r="F2" s="73"/>
      <c r="J2" s="22" t="s">
        <v>0</v>
      </c>
      <c r="K2" s="1"/>
      <c r="L2" s="23" t="s">
        <v>1</v>
      </c>
      <c r="M2" s="2"/>
      <c r="P2" s="3" cm="1">
        <f t="array" ref="P2:P4">_xlfn.UNIQUE(O:O)</f>
        <v>0</v>
      </c>
    </row>
    <row r="3" spans="1:16" x14ac:dyDescent="0.25">
      <c r="A3" s="14" t="s">
        <v>19</v>
      </c>
      <c r="B3" s="1" t="s">
        <v>21</v>
      </c>
      <c r="C3" s="5" t="s">
        <v>22</v>
      </c>
      <c r="J3" s="71" t="str" cm="1">
        <f t="array" ref="J3">_xll.BDH(B4, "LAST_PRICE", "01/01/2025 15:00:00", "01/01/2035 16:00:00", "BarSize=60", "BarType=T", "RecurDaily=True", "TZ=London")</f>
        <v>#N/A Invalid Security</v>
      </c>
      <c r="K3" s="1"/>
      <c r="L3" s="71" t="str" cm="1">
        <f t="array" ref="L3">_xll.BDH(C4, "LAST_PRICE", "01/01/2025 15:00:00", "01/01/2035 16:00:00", "BarSize=60", "BarType=T", "RecurDaily=True", "TZ=London")</f>
        <v>#N/A Invalid Security</v>
      </c>
      <c r="M3" s="34"/>
      <c r="N3" s="95" t="str">
        <f>IF(COUNTIF(L:L,J3),J3,"")</f>
        <v>#N/A Invalid Security</v>
      </c>
      <c r="O3" s="95" t="str">
        <f>IF(N3&gt;$A$14,N3,"")</f>
        <v>#N/A Invalid Security</v>
      </c>
      <c r="P3" s="95" t="str">
        <v>#N/A Invalid Security</v>
      </c>
    </row>
    <row r="4" spans="1:16" ht="32.25" customHeight="1" x14ac:dyDescent="0.25">
      <c r="A4" s="14" t="s">
        <v>20</v>
      </c>
      <c r="B4" s="29" t="s">
        <v>13</v>
      </c>
      <c r="C4" s="30" t="s">
        <v>13</v>
      </c>
      <c r="I4" s="1"/>
      <c r="J4" s="75"/>
      <c r="K4" s="1"/>
      <c r="L4" s="75"/>
      <c r="M4" s="1"/>
      <c r="N4" s="95" t="str">
        <f t="shared" ref="N4:N67" si="0">IF(COUNTIF(L:L,J4),J4,"")</f>
        <v/>
      </c>
      <c r="O4" s="95" t="str">
        <f t="shared" ref="O4:O67" si="1">IF(N4&gt;$A$14,N4,"")</f>
        <v/>
      </c>
      <c r="P4" s="95" t="str">
        <v/>
      </c>
    </row>
    <row r="5" spans="1:16" x14ac:dyDescent="0.25">
      <c r="A5" s="14" t="s">
        <v>2</v>
      </c>
      <c r="B5" s="7">
        <f>20*10^6</f>
        <v>20000000</v>
      </c>
      <c r="C5" s="8">
        <f>28*10^6</f>
        <v>28000000</v>
      </c>
      <c r="I5" s="1"/>
      <c r="J5" s="75"/>
      <c r="K5" s="1"/>
      <c r="L5" s="75"/>
      <c r="M5" s="1"/>
      <c r="N5" s="95" t="str">
        <f t="shared" si="0"/>
        <v/>
      </c>
      <c r="O5" s="95" t="str">
        <f t="shared" si="1"/>
        <v/>
      </c>
    </row>
    <row r="6" spans="1:16" x14ac:dyDescent="0.25">
      <c r="A6" s="14" t="s">
        <v>3</v>
      </c>
      <c r="B6" s="9">
        <v>0.01</v>
      </c>
      <c r="C6" s="31">
        <v>0.01</v>
      </c>
      <c r="I6" s="1"/>
      <c r="J6" s="75"/>
      <c r="K6" s="1"/>
      <c r="L6" s="75"/>
      <c r="M6" s="1"/>
      <c r="N6" s="95" t="str">
        <f t="shared" si="0"/>
        <v/>
      </c>
      <c r="O6" s="95" t="str">
        <f t="shared" si="1"/>
        <v/>
      </c>
    </row>
    <row r="7" spans="1:16" x14ac:dyDescent="0.25">
      <c r="A7" s="14" t="s">
        <v>4</v>
      </c>
      <c r="B7" s="9">
        <v>0</v>
      </c>
      <c r="C7" s="31">
        <v>0</v>
      </c>
      <c r="I7" s="1"/>
      <c r="J7" s="75"/>
      <c r="K7" s="1"/>
      <c r="L7" s="75"/>
      <c r="M7" s="1"/>
      <c r="N7" s="95" t="str">
        <f t="shared" si="0"/>
        <v/>
      </c>
      <c r="O7" s="95" t="str">
        <f t="shared" si="1"/>
        <v/>
      </c>
    </row>
    <row r="8" spans="1:16" x14ac:dyDescent="0.25">
      <c r="A8" s="14" t="s">
        <v>5</v>
      </c>
      <c r="B8" s="1">
        <v>4.96</v>
      </c>
      <c r="C8" s="5">
        <v>5.03</v>
      </c>
      <c r="E8" s="1"/>
      <c r="F8" s="1"/>
      <c r="G8" s="1"/>
      <c r="H8" s="1"/>
      <c r="I8" s="1"/>
      <c r="J8" s="71"/>
      <c r="L8" s="71"/>
      <c r="N8" s="95" t="str">
        <f t="shared" si="0"/>
        <v/>
      </c>
      <c r="O8" s="95" t="str">
        <f t="shared" si="1"/>
        <v/>
      </c>
    </row>
    <row r="9" spans="1:16" x14ac:dyDescent="0.25">
      <c r="A9" s="14" t="s">
        <v>6</v>
      </c>
      <c r="B9" s="1" t="s">
        <v>13</v>
      </c>
      <c r="C9" s="5" t="s">
        <v>13</v>
      </c>
      <c r="E9" s="1"/>
      <c r="F9" s="1"/>
      <c r="G9" s="1"/>
      <c r="H9" s="1"/>
      <c r="I9" s="1"/>
      <c r="J9" s="71"/>
      <c r="L9" s="71"/>
      <c r="N9" s="95" t="str">
        <f t="shared" si="0"/>
        <v/>
      </c>
      <c r="O9" s="95" t="str">
        <f t="shared" si="1"/>
        <v/>
      </c>
    </row>
    <row r="10" spans="1:16" ht="15.75" thickBot="1" x14ac:dyDescent="0.3">
      <c r="A10" s="15" t="s">
        <v>15</v>
      </c>
      <c r="B10" s="20" t="str" cm="1">
        <f t="array" ref="B10">_xll.BDP(B4,"px_last")</f>
        <v>#N/A Invalid Security</v>
      </c>
      <c r="C10" s="21" t="str" cm="1">
        <f t="array" ref="C10">_xll.BDP(C4,"px_last")</f>
        <v>#N/A Invalid Security</v>
      </c>
      <c r="E10" s="1"/>
      <c r="F10" s="1"/>
      <c r="G10" s="1"/>
      <c r="H10" s="1"/>
      <c r="I10" s="1"/>
      <c r="J10" s="71"/>
      <c r="L10" s="71"/>
      <c r="N10" s="95" t="str">
        <f t="shared" si="0"/>
        <v/>
      </c>
      <c r="O10" s="95" t="str">
        <f t="shared" si="1"/>
        <v/>
      </c>
    </row>
    <row r="11" spans="1:16" ht="15.75" thickBot="1" x14ac:dyDescent="0.3">
      <c r="C11" s="1"/>
      <c r="D11" s="1"/>
      <c r="E11" s="1"/>
      <c r="F11" s="1"/>
      <c r="G11" s="1"/>
      <c r="H11" s="1"/>
      <c r="I11" s="1"/>
      <c r="J11" s="71"/>
      <c r="L11" s="71"/>
      <c r="N11" s="95" t="str">
        <f t="shared" si="0"/>
        <v/>
      </c>
      <c r="O11" s="95" t="str">
        <f t="shared" si="1"/>
        <v/>
      </c>
    </row>
    <row r="12" spans="1:16" ht="15.75" thickBot="1" x14ac:dyDescent="0.3">
      <c r="A12" s="27" t="s">
        <v>12</v>
      </c>
      <c r="B12" s="138" t="s">
        <v>0</v>
      </c>
      <c r="C12" s="139"/>
      <c r="D12" s="144"/>
      <c r="E12" s="140" t="s">
        <v>1</v>
      </c>
      <c r="F12" s="141"/>
      <c r="G12" s="142"/>
      <c r="H12" s="27" t="s">
        <v>7</v>
      </c>
      <c r="I12" s="1"/>
      <c r="J12" s="71"/>
      <c r="L12" s="71"/>
      <c r="N12" s="95" t="str">
        <f t="shared" si="0"/>
        <v/>
      </c>
      <c r="O12" s="95" t="str">
        <f t="shared" si="1"/>
        <v/>
      </c>
    </row>
    <row r="13" spans="1:16" ht="15.75" thickBot="1" x14ac:dyDescent="0.3">
      <c r="A13" s="15"/>
      <c r="B13" s="11" t="s">
        <v>14</v>
      </c>
      <c r="C13" s="20" t="s">
        <v>9</v>
      </c>
      <c r="D13" s="21" t="s">
        <v>10</v>
      </c>
      <c r="E13" s="11" t="s">
        <v>14</v>
      </c>
      <c r="F13" s="20" t="s">
        <v>9</v>
      </c>
      <c r="G13" s="21" t="s">
        <v>10</v>
      </c>
      <c r="H13" s="58"/>
      <c r="I13" s="1"/>
      <c r="J13" s="71"/>
      <c r="L13" s="71"/>
      <c r="N13" s="95" t="str">
        <f t="shared" si="0"/>
        <v/>
      </c>
      <c r="O13" s="95" t="str">
        <f t="shared" si="1"/>
        <v/>
      </c>
    </row>
    <row r="14" spans="1:16" x14ac:dyDescent="0.25">
      <c r="A14" s="101">
        <v>45925.625</v>
      </c>
      <c r="B14" s="99">
        <v>57.5</v>
      </c>
      <c r="C14" s="34"/>
      <c r="D14" s="35"/>
      <c r="E14" s="96">
        <v>40</v>
      </c>
      <c r="F14" s="1"/>
      <c r="G14" s="5"/>
      <c r="H14" s="55">
        <v>0</v>
      </c>
      <c r="I14" s="1"/>
      <c r="J14" s="71"/>
      <c r="L14" s="71"/>
      <c r="N14" s="95" t="str">
        <f t="shared" si="0"/>
        <v/>
      </c>
      <c r="O14" s="95" t="str">
        <f t="shared" si="1"/>
        <v/>
      </c>
    </row>
    <row r="15" spans="1:16" x14ac:dyDescent="0.25">
      <c r="A15" s="98" t="str">
        <f ca="1">IF(AND(ISBLANK(P4), A14 = $P$1),NOW(),IF(ISBLANK(P4),"",P4))</f>
        <v/>
      </c>
      <c r="B15" s="33" t="str">
        <f ca="1">IF(COUNTIF(J:J,A15)=1,VLOOKUP(A15,J:K,2), IF(COUNTIF(J:J,A15)=0,$B$10,""))</f>
        <v/>
      </c>
      <c r="C15" s="25" t="str">
        <f ca="1">IF(ISERROR(B15-2),"",-1*(B15-$B$14)*10^-4*$B$8*$B$5)</f>
        <v/>
      </c>
      <c r="D15" s="26" t="str">
        <f ca="1">IF(ISERROR(B15-2),"",$B$6*(INT(A15)-INT($A$14))/360*$B$5)</f>
        <v/>
      </c>
      <c r="E15" s="4" t="str">
        <f ca="1">IF(COUNTIF(L:L,A15)=1,VLOOKUP(A15,L:M,2), IF(COUNTIF(L:L,A15)=0,$C$10,""))</f>
        <v/>
      </c>
      <c r="F15" s="25" t="str">
        <f ca="1">IF(ISERROR(E15-2),"",-1*(E15-$E$14)*10^-4*$C$8*$C$5)</f>
        <v/>
      </c>
      <c r="G15" s="26" t="str">
        <f ca="1">IF(ISERROR(E15-2),"",$C$6*(INT(A15)-INT($A$14))/360*$C$5)</f>
        <v/>
      </c>
      <c r="H15" s="55" t="str">
        <f ca="1">IF(ISERROR(B15-2),"",C15+D15-F15-G15)</f>
        <v/>
      </c>
      <c r="I15" s="1"/>
      <c r="J15" s="71"/>
      <c r="L15" s="71"/>
      <c r="N15" s="95" t="str">
        <f t="shared" si="0"/>
        <v/>
      </c>
      <c r="O15" s="95" t="str">
        <f t="shared" si="1"/>
        <v/>
      </c>
    </row>
    <row r="16" spans="1:16" x14ac:dyDescent="0.25">
      <c r="A16" s="98" t="str">
        <f t="shared" ref="A16:A40" ca="1" si="2">IF(AND(ISBLANK(P5), A15 = $P$1),NOW(),IF(ISBLANK(P5),"",P5))</f>
        <v/>
      </c>
      <c r="B16" s="33" t="str">
        <f ca="1">IF(COUNTIF(J:J,A16)=1,VLOOKUP(A16,J:K,2), IF(COUNTIF(J:J,A16)=0,$B$10,""))</f>
        <v/>
      </c>
      <c r="C16" s="25" t="str">
        <f t="shared" ref="C16:C79" ca="1" si="3">IF(ISERROR(B16-2),"",-1*(B16-$B$14)*10^-4*$B$8*$B$5)</f>
        <v/>
      </c>
      <c r="D16" s="26" t="str">
        <f t="shared" ref="D16:D79" ca="1" si="4">IF(ISERROR(B16-2),"",$B$6*(INT(A16)-INT($A$14))/360*$B$5)</f>
        <v/>
      </c>
      <c r="E16" s="4" t="str">
        <f t="shared" ref="E16:E79" ca="1" si="5">IF(COUNTIF(L:L,A16)=1,VLOOKUP(A16,L:M,2), IF(COUNTIF(L:L,A16)=0,$C$10,""))</f>
        <v/>
      </c>
      <c r="F16" s="25" t="str">
        <f t="shared" ref="F16:F79" ca="1" si="6">IF(ISERROR(E16-2),"",-1*(E16-$E$14)*10^-4*$C$8*$C$5)</f>
        <v/>
      </c>
      <c r="G16" s="26" t="str">
        <f t="shared" ref="G16:G79" ca="1" si="7">IF(ISERROR(E16-2),"",$C$6*(INT(A16)-INT($A$14))/360*$C$5)</f>
        <v/>
      </c>
      <c r="H16" s="55" t="str">
        <f t="shared" ref="H16:H40" ca="1" si="8">IF(ISERROR(B16-2),"",C16+D16-F16-G16)</f>
        <v/>
      </c>
      <c r="I16" s="1"/>
      <c r="J16" s="71"/>
      <c r="L16" s="71"/>
      <c r="N16" s="95" t="str">
        <f t="shared" si="0"/>
        <v/>
      </c>
      <c r="O16" s="95" t="str">
        <f t="shared" si="1"/>
        <v/>
      </c>
    </row>
    <row r="17" spans="1:15" x14ac:dyDescent="0.25">
      <c r="A17" s="98" t="str">
        <f t="shared" ca="1" si="2"/>
        <v/>
      </c>
      <c r="B17" s="33" t="str">
        <f t="shared" ref="B17:B40" ca="1" si="9">IF(COUNTIF(J:J,A17)=1,VLOOKUP(A17,J:K,2), IF(COUNTIF(J:J,A17)=0,$B$10,""))</f>
        <v/>
      </c>
      <c r="C17" s="25" t="str">
        <f t="shared" ca="1" si="3"/>
        <v/>
      </c>
      <c r="D17" s="26" t="str">
        <f t="shared" ca="1" si="4"/>
        <v/>
      </c>
      <c r="E17" s="4" t="str">
        <f t="shared" ca="1" si="5"/>
        <v/>
      </c>
      <c r="F17" s="25" t="str">
        <f t="shared" ca="1" si="6"/>
        <v/>
      </c>
      <c r="G17" s="26" t="str">
        <f t="shared" ca="1" si="7"/>
        <v/>
      </c>
      <c r="H17" s="55" t="str">
        <f t="shared" ca="1" si="8"/>
        <v/>
      </c>
      <c r="I17" s="1"/>
      <c r="J17" s="71"/>
      <c r="L17" s="71"/>
      <c r="N17" s="95" t="str">
        <f t="shared" si="0"/>
        <v/>
      </c>
      <c r="O17" s="95" t="str">
        <f t="shared" si="1"/>
        <v/>
      </c>
    </row>
    <row r="18" spans="1:15" x14ac:dyDescent="0.25">
      <c r="A18" s="98" t="str">
        <f t="shared" ca="1" si="2"/>
        <v/>
      </c>
      <c r="B18" s="33" t="str">
        <f t="shared" ca="1" si="9"/>
        <v/>
      </c>
      <c r="C18" s="25" t="str">
        <f t="shared" ca="1" si="3"/>
        <v/>
      </c>
      <c r="D18" s="26" t="str">
        <f t="shared" ca="1" si="4"/>
        <v/>
      </c>
      <c r="E18" s="4" t="str">
        <f t="shared" ca="1" si="5"/>
        <v/>
      </c>
      <c r="F18" s="25" t="str">
        <f t="shared" ca="1" si="6"/>
        <v/>
      </c>
      <c r="G18" s="26" t="str">
        <f t="shared" ca="1" si="7"/>
        <v/>
      </c>
      <c r="H18" s="55" t="str">
        <f t="shared" ca="1" si="8"/>
        <v/>
      </c>
      <c r="I18" s="1"/>
      <c r="J18" s="71"/>
      <c r="L18" s="71"/>
      <c r="N18" s="95" t="str">
        <f t="shared" si="0"/>
        <v/>
      </c>
      <c r="O18" s="95" t="str">
        <f t="shared" si="1"/>
        <v/>
      </c>
    </row>
    <row r="19" spans="1:15" x14ac:dyDescent="0.25">
      <c r="A19" s="98" t="str">
        <f t="shared" ca="1" si="2"/>
        <v/>
      </c>
      <c r="B19" s="33" t="str">
        <f t="shared" ca="1" si="9"/>
        <v/>
      </c>
      <c r="C19" s="25" t="str">
        <f t="shared" ca="1" si="3"/>
        <v/>
      </c>
      <c r="D19" s="26" t="str">
        <f t="shared" ca="1" si="4"/>
        <v/>
      </c>
      <c r="E19" s="4" t="str">
        <f t="shared" ca="1" si="5"/>
        <v/>
      </c>
      <c r="F19" s="25" t="str">
        <f t="shared" ca="1" si="6"/>
        <v/>
      </c>
      <c r="G19" s="26" t="str">
        <f t="shared" ca="1" si="7"/>
        <v/>
      </c>
      <c r="H19" s="55" t="str">
        <f t="shared" ca="1" si="8"/>
        <v/>
      </c>
      <c r="I19" s="1"/>
      <c r="J19" s="71"/>
      <c r="L19" s="71"/>
      <c r="N19" s="95" t="str">
        <f t="shared" si="0"/>
        <v/>
      </c>
      <c r="O19" s="95" t="str">
        <f t="shared" si="1"/>
        <v/>
      </c>
    </row>
    <row r="20" spans="1:15" x14ac:dyDescent="0.25">
      <c r="A20" s="98" t="str">
        <f t="shared" ca="1" si="2"/>
        <v/>
      </c>
      <c r="B20" s="33" t="str">
        <f t="shared" ca="1" si="9"/>
        <v/>
      </c>
      <c r="C20" s="25" t="str">
        <f t="shared" ca="1" si="3"/>
        <v/>
      </c>
      <c r="D20" s="26" t="str">
        <f t="shared" ca="1" si="4"/>
        <v/>
      </c>
      <c r="E20" s="4" t="str">
        <f t="shared" ca="1" si="5"/>
        <v/>
      </c>
      <c r="F20" s="25" t="str">
        <f t="shared" ca="1" si="6"/>
        <v/>
      </c>
      <c r="G20" s="26" t="str">
        <f t="shared" ca="1" si="7"/>
        <v/>
      </c>
      <c r="H20" s="55" t="str">
        <f t="shared" ca="1" si="8"/>
        <v/>
      </c>
      <c r="I20" s="1"/>
      <c r="J20" s="71"/>
      <c r="L20" s="71"/>
      <c r="N20" s="95" t="str">
        <f t="shared" si="0"/>
        <v/>
      </c>
      <c r="O20" s="95" t="str">
        <f t="shared" si="1"/>
        <v/>
      </c>
    </row>
    <row r="21" spans="1:15" x14ac:dyDescent="0.25">
      <c r="A21" s="98" t="str">
        <f t="shared" ca="1" si="2"/>
        <v/>
      </c>
      <c r="B21" s="33" t="str">
        <f t="shared" ca="1" si="9"/>
        <v/>
      </c>
      <c r="C21" s="25" t="str">
        <f t="shared" ca="1" si="3"/>
        <v/>
      </c>
      <c r="D21" s="26" t="str">
        <f t="shared" ca="1" si="4"/>
        <v/>
      </c>
      <c r="E21" s="4" t="str">
        <f t="shared" ca="1" si="5"/>
        <v/>
      </c>
      <c r="F21" s="25" t="str">
        <f t="shared" ca="1" si="6"/>
        <v/>
      </c>
      <c r="G21" s="26" t="str">
        <f t="shared" ca="1" si="7"/>
        <v/>
      </c>
      <c r="H21" s="55" t="str">
        <f t="shared" ca="1" si="8"/>
        <v/>
      </c>
      <c r="I21" s="1"/>
      <c r="J21" s="71"/>
      <c r="L21" s="71"/>
      <c r="N21" s="95" t="str">
        <f t="shared" si="0"/>
        <v/>
      </c>
      <c r="O21" s="95" t="str">
        <f t="shared" si="1"/>
        <v/>
      </c>
    </row>
    <row r="22" spans="1:15" x14ac:dyDescent="0.25">
      <c r="A22" s="98" t="str">
        <f t="shared" ca="1" si="2"/>
        <v/>
      </c>
      <c r="B22" s="33" t="str">
        <f t="shared" ca="1" si="9"/>
        <v/>
      </c>
      <c r="C22" s="25" t="str">
        <f t="shared" ca="1" si="3"/>
        <v/>
      </c>
      <c r="D22" s="26" t="str">
        <f t="shared" ca="1" si="4"/>
        <v/>
      </c>
      <c r="E22" s="4" t="str">
        <f t="shared" ca="1" si="5"/>
        <v/>
      </c>
      <c r="F22" s="25" t="str">
        <f t="shared" ca="1" si="6"/>
        <v/>
      </c>
      <c r="G22" s="26" t="str">
        <f t="shared" ca="1" si="7"/>
        <v/>
      </c>
      <c r="H22" s="55" t="str">
        <f t="shared" ca="1" si="8"/>
        <v/>
      </c>
      <c r="I22" s="1"/>
      <c r="J22" s="71"/>
      <c r="L22" s="71"/>
      <c r="N22" s="95" t="str">
        <f t="shared" si="0"/>
        <v/>
      </c>
      <c r="O22" s="95" t="str">
        <f t="shared" si="1"/>
        <v/>
      </c>
    </row>
    <row r="23" spans="1:15" x14ac:dyDescent="0.25">
      <c r="A23" s="98" t="str">
        <f t="shared" ca="1" si="2"/>
        <v/>
      </c>
      <c r="B23" s="33" t="str">
        <f t="shared" ca="1" si="9"/>
        <v/>
      </c>
      <c r="C23" s="25" t="str">
        <f t="shared" ca="1" si="3"/>
        <v/>
      </c>
      <c r="D23" s="26" t="str">
        <f t="shared" ca="1" si="4"/>
        <v/>
      </c>
      <c r="E23" s="4" t="str">
        <f t="shared" ca="1" si="5"/>
        <v/>
      </c>
      <c r="F23" s="25" t="str">
        <f t="shared" ca="1" si="6"/>
        <v/>
      </c>
      <c r="G23" s="26" t="str">
        <f t="shared" ca="1" si="7"/>
        <v/>
      </c>
      <c r="H23" s="55" t="str">
        <f t="shared" ca="1" si="8"/>
        <v/>
      </c>
      <c r="I23" s="1"/>
      <c r="J23" s="71"/>
      <c r="L23" s="71"/>
      <c r="N23" s="95" t="str">
        <f t="shared" si="0"/>
        <v/>
      </c>
      <c r="O23" s="95" t="str">
        <f t="shared" si="1"/>
        <v/>
      </c>
    </row>
    <row r="24" spans="1:15" x14ac:dyDescent="0.25">
      <c r="A24" s="98" t="str">
        <f t="shared" ca="1" si="2"/>
        <v/>
      </c>
      <c r="B24" s="33" t="str">
        <f t="shared" ca="1" si="9"/>
        <v/>
      </c>
      <c r="C24" s="25" t="str">
        <f t="shared" ca="1" si="3"/>
        <v/>
      </c>
      <c r="D24" s="26" t="str">
        <f t="shared" ca="1" si="4"/>
        <v/>
      </c>
      <c r="E24" s="4" t="str">
        <f t="shared" ca="1" si="5"/>
        <v/>
      </c>
      <c r="F24" s="25" t="str">
        <f t="shared" ca="1" si="6"/>
        <v/>
      </c>
      <c r="G24" s="26" t="str">
        <f t="shared" ca="1" si="7"/>
        <v/>
      </c>
      <c r="H24" s="55" t="str">
        <f t="shared" ca="1" si="8"/>
        <v/>
      </c>
      <c r="I24" s="1"/>
      <c r="J24" s="71"/>
      <c r="L24" s="71"/>
      <c r="N24" s="95" t="str">
        <f t="shared" si="0"/>
        <v/>
      </c>
      <c r="O24" s="95" t="str">
        <f t="shared" si="1"/>
        <v/>
      </c>
    </row>
    <row r="25" spans="1:15" x14ac:dyDescent="0.25">
      <c r="A25" s="98" t="str">
        <f t="shared" ca="1" si="2"/>
        <v/>
      </c>
      <c r="B25" s="33" t="str">
        <f t="shared" ca="1" si="9"/>
        <v/>
      </c>
      <c r="C25" s="25" t="str">
        <f t="shared" ca="1" si="3"/>
        <v/>
      </c>
      <c r="D25" s="26" t="str">
        <f t="shared" ca="1" si="4"/>
        <v/>
      </c>
      <c r="E25" s="4" t="str">
        <f t="shared" ca="1" si="5"/>
        <v/>
      </c>
      <c r="F25" s="25" t="str">
        <f t="shared" ca="1" si="6"/>
        <v/>
      </c>
      <c r="G25" s="26" t="str">
        <f t="shared" ca="1" si="7"/>
        <v/>
      </c>
      <c r="H25" s="55" t="str">
        <f t="shared" ca="1" si="8"/>
        <v/>
      </c>
      <c r="I25" s="1"/>
      <c r="J25" s="71"/>
      <c r="L25" s="71"/>
      <c r="N25" s="95" t="str">
        <f t="shared" si="0"/>
        <v/>
      </c>
      <c r="O25" s="95" t="str">
        <f t="shared" si="1"/>
        <v/>
      </c>
    </row>
    <row r="26" spans="1:15" x14ac:dyDescent="0.25">
      <c r="A26" s="98" t="str">
        <f t="shared" ca="1" si="2"/>
        <v/>
      </c>
      <c r="B26" s="33" t="str">
        <f t="shared" ca="1" si="9"/>
        <v/>
      </c>
      <c r="C26" s="25" t="str">
        <f t="shared" ca="1" si="3"/>
        <v/>
      </c>
      <c r="D26" s="26" t="str">
        <f t="shared" ca="1" si="4"/>
        <v/>
      </c>
      <c r="E26" s="4" t="str">
        <f t="shared" ca="1" si="5"/>
        <v/>
      </c>
      <c r="F26" s="25" t="str">
        <f t="shared" ca="1" si="6"/>
        <v/>
      </c>
      <c r="G26" s="26" t="str">
        <f t="shared" ca="1" si="7"/>
        <v/>
      </c>
      <c r="H26" s="55" t="str">
        <f t="shared" ca="1" si="8"/>
        <v/>
      </c>
      <c r="I26" s="1"/>
      <c r="J26" s="71"/>
      <c r="L26" s="71"/>
      <c r="N26" s="95" t="str">
        <f t="shared" si="0"/>
        <v/>
      </c>
      <c r="O26" s="95" t="str">
        <f t="shared" si="1"/>
        <v/>
      </c>
    </row>
    <row r="27" spans="1:15" x14ac:dyDescent="0.25">
      <c r="A27" s="98" t="str">
        <f t="shared" ca="1" si="2"/>
        <v/>
      </c>
      <c r="B27" s="33" t="str">
        <f t="shared" ca="1" si="9"/>
        <v/>
      </c>
      <c r="C27" s="25" t="str">
        <f t="shared" ca="1" si="3"/>
        <v/>
      </c>
      <c r="D27" s="26" t="str">
        <f t="shared" ca="1" si="4"/>
        <v/>
      </c>
      <c r="E27" s="4" t="str">
        <f t="shared" ca="1" si="5"/>
        <v/>
      </c>
      <c r="F27" s="25" t="str">
        <f t="shared" ca="1" si="6"/>
        <v/>
      </c>
      <c r="G27" s="26" t="str">
        <f t="shared" ca="1" si="7"/>
        <v/>
      </c>
      <c r="H27" s="55" t="str">
        <f t="shared" ca="1" si="8"/>
        <v/>
      </c>
      <c r="I27" s="1"/>
      <c r="J27" s="71"/>
      <c r="L27" s="71"/>
      <c r="N27" s="95" t="str">
        <f t="shared" si="0"/>
        <v/>
      </c>
      <c r="O27" s="95" t="str">
        <f t="shared" si="1"/>
        <v/>
      </c>
    </row>
    <row r="28" spans="1:15" x14ac:dyDescent="0.25">
      <c r="A28" s="98" t="str">
        <f t="shared" ca="1" si="2"/>
        <v/>
      </c>
      <c r="B28" s="33" t="str">
        <f t="shared" ca="1" si="9"/>
        <v/>
      </c>
      <c r="C28" s="25" t="str">
        <f t="shared" ca="1" si="3"/>
        <v/>
      </c>
      <c r="D28" s="26" t="str">
        <f t="shared" ca="1" si="4"/>
        <v/>
      </c>
      <c r="E28" s="4" t="str">
        <f t="shared" ca="1" si="5"/>
        <v/>
      </c>
      <c r="F28" s="25" t="str">
        <f t="shared" ca="1" si="6"/>
        <v/>
      </c>
      <c r="G28" s="26" t="str">
        <f t="shared" ca="1" si="7"/>
        <v/>
      </c>
      <c r="H28" s="55" t="str">
        <f t="shared" ca="1" si="8"/>
        <v/>
      </c>
      <c r="I28" s="1"/>
      <c r="J28" s="71"/>
      <c r="L28" s="71"/>
      <c r="N28" s="95" t="str">
        <f t="shared" si="0"/>
        <v/>
      </c>
      <c r="O28" s="95" t="str">
        <f t="shared" si="1"/>
        <v/>
      </c>
    </row>
    <row r="29" spans="1:15" x14ac:dyDescent="0.25">
      <c r="A29" s="98" t="str">
        <f t="shared" ca="1" si="2"/>
        <v/>
      </c>
      <c r="B29" s="33" t="str">
        <f t="shared" ca="1" si="9"/>
        <v/>
      </c>
      <c r="C29" s="25" t="str">
        <f t="shared" ca="1" si="3"/>
        <v/>
      </c>
      <c r="D29" s="26" t="str">
        <f t="shared" ca="1" si="4"/>
        <v/>
      </c>
      <c r="E29" s="4" t="str">
        <f t="shared" ca="1" si="5"/>
        <v/>
      </c>
      <c r="F29" s="25" t="str">
        <f t="shared" ca="1" si="6"/>
        <v/>
      </c>
      <c r="G29" s="26" t="str">
        <f t="shared" ca="1" si="7"/>
        <v/>
      </c>
      <c r="H29" s="55" t="str">
        <f t="shared" ca="1" si="8"/>
        <v/>
      </c>
      <c r="I29" s="1"/>
      <c r="J29" s="71"/>
      <c r="L29" s="71"/>
      <c r="N29" s="95" t="str">
        <f t="shared" si="0"/>
        <v/>
      </c>
      <c r="O29" s="95" t="str">
        <f t="shared" si="1"/>
        <v/>
      </c>
    </row>
    <row r="30" spans="1:15" x14ac:dyDescent="0.25">
      <c r="A30" s="98" t="str">
        <f t="shared" ca="1" si="2"/>
        <v/>
      </c>
      <c r="B30" s="33" t="str">
        <f t="shared" ca="1" si="9"/>
        <v/>
      </c>
      <c r="C30" s="25" t="str">
        <f t="shared" ca="1" si="3"/>
        <v/>
      </c>
      <c r="D30" s="26" t="str">
        <f t="shared" ca="1" si="4"/>
        <v/>
      </c>
      <c r="E30" s="4" t="str">
        <f t="shared" ca="1" si="5"/>
        <v/>
      </c>
      <c r="F30" s="25" t="str">
        <f t="shared" ca="1" si="6"/>
        <v/>
      </c>
      <c r="G30" s="26" t="str">
        <f t="shared" ca="1" si="7"/>
        <v/>
      </c>
      <c r="H30" s="55" t="str">
        <f t="shared" ca="1" si="8"/>
        <v/>
      </c>
      <c r="I30" s="1"/>
      <c r="J30" s="71"/>
      <c r="L30" s="71"/>
      <c r="N30" s="95" t="str">
        <f t="shared" si="0"/>
        <v/>
      </c>
      <c r="O30" s="95" t="str">
        <f t="shared" si="1"/>
        <v/>
      </c>
    </row>
    <row r="31" spans="1:15" x14ac:dyDescent="0.25">
      <c r="A31" s="98" t="str">
        <f t="shared" ca="1" si="2"/>
        <v/>
      </c>
      <c r="B31" s="33" t="str">
        <f t="shared" ca="1" si="9"/>
        <v/>
      </c>
      <c r="C31" s="25" t="str">
        <f t="shared" ca="1" si="3"/>
        <v/>
      </c>
      <c r="D31" s="26" t="str">
        <f t="shared" ca="1" si="4"/>
        <v/>
      </c>
      <c r="E31" s="4" t="str">
        <f t="shared" ca="1" si="5"/>
        <v/>
      </c>
      <c r="F31" s="25" t="str">
        <f t="shared" ca="1" si="6"/>
        <v/>
      </c>
      <c r="G31" s="26" t="str">
        <f t="shared" ca="1" si="7"/>
        <v/>
      </c>
      <c r="H31" s="55" t="str">
        <f t="shared" ca="1" si="8"/>
        <v/>
      </c>
      <c r="I31" s="1"/>
      <c r="J31" s="71"/>
      <c r="L31" s="71"/>
      <c r="N31" s="95" t="str">
        <f t="shared" si="0"/>
        <v/>
      </c>
      <c r="O31" s="95" t="str">
        <f t="shared" si="1"/>
        <v/>
      </c>
    </row>
    <row r="32" spans="1:15" x14ac:dyDescent="0.25">
      <c r="A32" s="98" t="str">
        <f t="shared" ca="1" si="2"/>
        <v/>
      </c>
      <c r="B32" s="33" t="str">
        <f t="shared" ca="1" si="9"/>
        <v/>
      </c>
      <c r="C32" s="25" t="str">
        <f t="shared" ca="1" si="3"/>
        <v/>
      </c>
      <c r="D32" s="26" t="str">
        <f t="shared" ca="1" si="4"/>
        <v/>
      </c>
      <c r="E32" s="4" t="str">
        <f t="shared" ca="1" si="5"/>
        <v/>
      </c>
      <c r="F32" s="25" t="str">
        <f t="shared" ca="1" si="6"/>
        <v/>
      </c>
      <c r="G32" s="26" t="str">
        <f t="shared" ca="1" si="7"/>
        <v/>
      </c>
      <c r="H32" s="55" t="str">
        <f t="shared" ca="1" si="8"/>
        <v/>
      </c>
      <c r="I32" s="1"/>
      <c r="J32" s="71"/>
      <c r="L32" s="71"/>
      <c r="N32" s="95" t="str">
        <f t="shared" si="0"/>
        <v/>
      </c>
      <c r="O32" s="95" t="str">
        <f t="shared" si="1"/>
        <v/>
      </c>
    </row>
    <row r="33" spans="1:15" x14ac:dyDescent="0.25">
      <c r="A33" s="98" t="str">
        <f t="shared" ca="1" si="2"/>
        <v/>
      </c>
      <c r="B33" s="33" t="str">
        <f t="shared" ca="1" si="9"/>
        <v/>
      </c>
      <c r="C33" s="25" t="str">
        <f t="shared" ca="1" si="3"/>
        <v/>
      </c>
      <c r="D33" s="26" t="str">
        <f t="shared" ca="1" si="4"/>
        <v/>
      </c>
      <c r="E33" s="4" t="str">
        <f t="shared" ca="1" si="5"/>
        <v/>
      </c>
      <c r="F33" s="25" t="str">
        <f t="shared" ca="1" si="6"/>
        <v/>
      </c>
      <c r="G33" s="26" t="str">
        <f t="shared" ca="1" si="7"/>
        <v/>
      </c>
      <c r="H33" s="55" t="str">
        <f t="shared" ca="1" si="8"/>
        <v/>
      </c>
      <c r="I33" s="1"/>
      <c r="J33" s="71"/>
      <c r="L33" s="71"/>
      <c r="N33" s="95" t="str">
        <f t="shared" si="0"/>
        <v/>
      </c>
      <c r="O33" s="95" t="str">
        <f t="shared" si="1"/>
        <v/>
      </c>
    </row>
    <row r="34" spans="1:15" x14ac:dyDescent="0.25">
      <c r="A34" s="98" t="str">
        <f t="shared" ca="1" si="2"/>
        <v/>
      </c>
      <c r="B34" s="33" t="str">
        <f t="shared" ca="1" si="9"/>
        <v/>
      </c>
      <c r="C34" s="25" t="str">
        <f t="shared" ca="1" si="3"/>
        <v/>
      </c>
      <c r="D34" s="26" t="str">
        <f t="shared" ca="1" si="4"/>
        <v/>
      </c>
      <c r="E34" s="4" t="str">
        <f t="shared" ca="1" si="5"/>
        <v/>
      </c>
      <c r="F34" s="25" t="str">
        <f t="shared" ca="1" si="6"/>
        <v/>
      </c>
      <c r="G34" s="26" t="str">
        <f t="shared" ca="1" si="7"/>
        <v/>
      </c>
      <c r="H34" s="55" t="str">
        <f t="shared" ca="1" si="8"/>
        <v/>
      </c>
      <c r="I34" s="1"/>
      <c r="J34" s="71"/>
      <c r="L34" s="71"/>
      <c r="N34" s="95" t="str">
        <f t="shared" si="0"/>
        <v/>
      </c>
      <c r="O34" s="95" t="str">
        <f t="shared" si="1"/>
        <v/>
      </c>
    </row>
    <row r="35" spans="1:15" x14ac:dyDescent="0.25">
      <c r="A35" s="98" t="str">
        <f t="shared" ca="1" si="2"/>
        <v/>
      </c>
      <c r="B35" s="33" t="str">
        <f t="shared" ca="1" si="9"/>
        <v/>
      </c>
      <c r="C35" s="25" t="str">
        <f t="shared" ca="1" si="3"/>
        <v/>
      </c>
      <c r="D35" s="26" t="str">
        <f t="shared" ca="1" si="4"/>
        <v/>
      </c>
      <c r="E35" s="4" t="str">
        <f t="shared" ca="1" si="5"/>
        <v/>
      </c>
      <c r="F35" s="25" t="str">
        <f t="shared" ca="1" si="6"/>
        <v/>
      </c>
      <c r="G35" s="26" t="str">
        <f t="shared" ca="1" si="7"/>
        <v/>
      </c>
      <c r="H35" s="55" t="str">
        <f t="shared" ca="1" si="8"/>
        <v/>
      </c>
      <c r="I35" s="1"/>
      <c r="J35" s="71"/>
      <c r="L35" s="71"/>
      <c r="N35" s="95" t="str">
        <f t="shared" si="0"/>
        <v/>
      </c>
      <c r="O35" s="95" t="str">
        <f t="shared" si="1"/>
        <v/>
      </c>
    </row>
    <row r="36" spans="1:15" x14ac:dyDescent="0.25">
      <c r="A36" s="98" t="str">
        <f t="shared" ca="1" si="2"/>
        <v/>
      </c>
      <c r="B36" s="33" t="str">
        <f t="shared" ca="1" si="9"/>
        <v/>
      </c>
      <c r="C36" s="25" t="str">
        <f t="shared" ca="1" si="3"/>
        <v/>
      </c>
      <c r="D36" s="26" t="str">
        <f t="shared" ca="1" si="4"/>
        <v/>
      </c>
      <c r="E36" s="4" t="str">
        <f t="shared" ca="1" si="5"/>
        <v/>
      </c>
      <c r="F36" s="25" t="str">
        <f t="shared" ca="1" si="6"/>
        <v/>
      </c>
      <c r="G36" s="26" t="str">
        <f t="shared" ca="1" si="7"/>
        <v/>
      </c>
      <c r="H36" s="55" t="str">
        <f t="shared" ca="1" si="8"/>
        <v/>
      </c>
      <c r="I36" s="1"/>
      <c r="J36" s="71"/>
      <c r="L36" s="71"/>
      <c r="N36" s="95" t="str">
        <f t="shared" si="0"/>
        <v/>
      </c>
      <c r="O36" s="95" t="str">
        <f t="shared" si="1"/>
        <v/>
      </c>
    </row>
    <row r="37" spans="1:15" x14ac:dyDescent="0.25">
      <c r="A37" s="98" t="str">
        <f t="shared" ca="1" si="2"/>
        <v/>
      </c>
      <c r="B37" s="33" t="str">
        <f t="shared" ca="1" si="9"/>
        <v/>
      </c>
      <c r="C37" s="25" t="str">
        <f t="shared" ca="1" si="3"/>
        <v/>
      </c>
      <c r="D37" s="26" t="str">
        <f t="shared" ca="1" si="4"/>
        <v/>
      </c>
      <c r="E37" s="4" t="str">
        <f t="shared" ca="1" si="5"/>
        <v/>
      </c>
      <c r="F37" s="25" t="str">
        <f t="shared" ca="1" si="6"/>
        <v/>
      </c>
      <c r="G37" s="26" t="str">
        <f t="shared" ca="1" si="7"/>
        <v/>
      </c>
      <c r="H37" s="55" t="str">
        <f t="shared" ca="1" si="8"/>
        <v/>
      </c>
      <c r="I37" s="1"/>
      <c r="J37" s="71"/>
      <c r="L37" s="71"/>
      <c r="N37" s="95" t="str">
        <f t="shared" si="0"/>
        <v/>
      </c>
      <c r="O37" s="95" t="str">
        <f t="shared" si="1"/>
        <v/>
      </c>
    </row>
    <row r="38" spans="1:15" x14ac:dyDescent="0.25">
      <c r="A38" s="98" t="str">
        <f t="shared" ca="1" si="2"/>
        <v/>
      </c>
      <c r="B38" s="33" t="str">
        <f t="shared" ca="1" si="9"/>
        <v/>
      </c>
      <c r="C38" s="25" t="str">
        <f t="shared" ca="1" si="3"/>
        <v/>
      </c>
      <c r="D38" s="26" t="str">
        <f t="shared" ca="1" si="4"/>
        <v/>
      </c>
      <c r="E38" s="4" t="str">
        <f t="shared" ca="1" si="5"/>
        <v/>
      </c>
      <c r="F38" s="25" t="str">
        <f t="shared" ca="1" si="6"/>
        <v/>
      </c>
      <c r="G38" s="26" t="str">
        <f t="shared" ca="1" si="7"/>
        <v/>
      </c>
      <c r="H38" s="55" t="str">
        <f t="shared" ca="1" si="8"/>
        <v/>
      </c>
      <c r="I38" s="1"/>
      <c r="J38" s="71"/>
      <c r="L38" s="71"/>
      <c r="N38" s="95" t="str">
        <f t="shared" si="0"/>
        <v/>
      </c>
      <c r="O38" s="95" t="str">
        <f t="shared" si="1"/>
        <v/>
      </c>
    </row>
    <row r="39" spans="1:15" x14ac:dyDescent="0.25">
      <c r="A39" s="98" t="str">
        <f t="shared" ca="1" si="2"/>
        <v/>
      </c>
      <c r="B39" s="33" t="str">
        <f t="shared" ca="1" si="9"/>
        <v/>
      </c>
      <c r="C39" s="25" t="str">
        <f t="shared" ca="1" si="3"/>
        <v/>
      </c>
      <c r="D39" s="26" t="str">
        <f t="shared" ca="1" si="4"/>
        <v/>
      </c>
      <c r="E39" s="4" t="str">
        <f t="shared" ca="1" si="5"/>
        <v/>
      </c>
      <c r="F39" s="25" t="str">
        <f t="shared" ca="1" si="6"/>
        <v/>
      </c>
      <c r="G39" s="26" t="str">
        <f t="shared" ca="1" si="7"/>
        <v/>
      </c>
      <c r="H39" s="55" t="str">
        <f t="shared" ca="1" si="8"/>
        <v/>
      </c>
      <c r="I39" s="1"/>
      <c r="J39" s="71"/>
      <c r="L39" s="71"/>
      <c r="N39" s="95" t="str">
        <f t="shared" si="0"/>
        <v/>
      </c>
      <c r="O39" s="95" t="str">
        <f t="shared" si="1"/>
        <v/>
      </c>
    </row>
    <row r="40" spans="1:15" x14ac:dyDescent="0.25">
      <c r="A40" s="98" t="str">
        <f t="shared" ca="1" si="2"/>
        <v/>
      </c>
      <c r="B40" s="33" t="str">
        <f t="shared" ca="1" si="9"/>
        <v/>
      </c>
      <c r="C40" s="25" t="str">
        <f t="shared" ca="1" si="3"/>
        <v/>
      </c>
      <c r="D40" s="26" t="str">
        <f t="shared" ca="1" si="4"/>
        <v/>
      </c>
      <c r="E40" s="4" t="str">
        <f t="shared" ca="1" si="5"/>
        <v/>
      </c>
      <c r="F40" s="25" t="str">
        <f t="shared" ca="1" si="6"/>
        <v/>
      </c>
      <c r="G40" s="26" t="str">
        <f t="shared" ca="1" si="7"/>
        <v/>
      </c>
      <c r="H40" s="55" t="str">
        <f t="shared" ca="1" si="8"/>
        <v/>
      </c>
      <c r="I40" s="1"/>
      <c r="J40" s="71"/>
      <c r="L40" s="71"/>
      <c r="N40" s="95" t="str">
        <f t="shared" si="0"/>
        <v/>
      </c>
      <c r="O40" s="95" t="str">
        <f t="shared" si="1"/>
        <v/>
      </c>
    </row>
    <row r="41" spans="1:15" x14ac:dyDescent="0.25">
      <c r="A41" s="98" t="str">
        <f t="shared" ref="A41:A104" ca="1" si="10">IF(AND(ISBLANK(P30), A40 = $P$1),NOW(),IF(ISBLANK(P30),"",P30))</f>
        <v/>
      </c>
      <c r="B41" s="33" t="str">
        <f t="shared" ref="B41:B104" ca="1" si="11">IF(COUNTIF(J:J,A41)=1,VLOOKUP(A41,J:K,2), IF(COUNTIF(J:J,A41)=0,$B$10,""))</f>
        <v/>
      </c>
      <c r="C41" s="25" t="str">
        <f t="shared" ca="1" si="3"/>
        <v/>
      </c>
      <c r="D41" s="26" t="str">
        <f t="shared" ca="1" si="4"/>
        <v/>
      </c>
      <c r="E41" s="4" t="str">
        <f t="shared" ca="1" si="5"/>
        <v/>
      </c>
      <c r="F41" s="25" t="str">
        <f t="shared" ca="1" si="6"/>
        <v/>
      </c>
      <c r="G41" s="26" t="str">
        <f t="shared" ca="1" si="7"/>
        <v/>
      </c>
      <c r="H41" s="55" t="str">
        <f t="shared" ref="H41:H104" ca="1" si="12">IF(ISERROR(B41-2),"",C41+D41-F41-G41)</f>
        <v/>
      </c>
      <c r="I41" s="1"/>
      <c r="J41" s="71"/>
      <c r="L41" s="71"/>
      <c r="N41" s="95" t="str">
        <f t="shared" si="0"/>
        <v/>
      </c>
      <c r="O41" s="95" t="str">
        <f t="shared" si="1"/>
        <v/>
      </c>
    </row>
    <row r="42" spans="1:15" x14ac:dyDescent="0.25">
      <c r="A42" s="98" t="str">
        <f t="shared" ca="1" si="10"/>
        <v/>
      </c>
      <c r="B42" s="33" t="str">
        <f t="shared" ca="1" si="11"/>
        <v/>
      </c>
      <c r="C42" s="25" t="str">
        <f t="shared" ca="1" si="3"/>
        <v/>
      </c>
      <c r="D42" s="26" t="str">
        <f t="shared" ca="1" si="4"/>
        <v/>
      </c>
      <c r="E42" s="4" t="str">
        <f t="shared" ca="1" si="5"/>
        <v/>
      </c>
      <c r="F42" s="25" t="str">
        <f t="shared" ca="1" si="6"/>
        <v/>
      </c>
      <c r="G42" s="26" t="str">
        <f t="shared" ca="1" si="7"/>
        <v/>
      </c>
      <c r="H42" s="55" t="str">
        <f t="shared" ca="1" si="12"/>
        <v/>
      </c>
      <c r="I42" s="1"/>
      <c r="J42" s="71"/>
      <c r="L42" s="71"/>
      <c r="N42" s="95" t="str">
        <f t="shared" si="0"/>
        <v/>
      </c>
      <c r="O42" s="95" t="str">
        <f t="shared" si="1"/>
        <v/>
      </c>
    </row>
    <row r="43" spans="1:15" x14ac:dyDescent="0.25">
      <c r="A43" s="98" t="str">
        <f t="shared" ca="1" si="10"/>
        <v/>
      </c>
      <c r="B43" s="33" t="str">
        <f t="shared" ca="1" si="11"/>
        <v/>
      </c>
      <c r="C43" s="25" t="str">
        <f t="shared" ca="1" si="3"/>
        <v/>
      </c>
      <c r="D43" s="26" t="str">
        <f t="shared" ca="1" si="4"/>
        <v/>
      </c>
      <c r="E43" s="4" t="str">
        <f t="shared" ca="1" si="5"/>
        <v/>
      </c>
      <c r="F43" s="25" t="str">
        <f t="shared" ca="1" si="6"/>
        <v/>
      </c>
      <c r="G43" s="26" t="str">
        <f t="shared" ca="1" si="7"/>
        <v/>
      </c>
      <c r="H43" s="55" t="str">
        <f t="shared" ca="1" si="12"/>
        <v/>
      </c>
      <c r="I43" s="1"/>
      <c r="J43" s="71"/>
      <c r="L43" s="71"/>
      <c r="N43" s="95" t="str">
        <f t="shared" si="0"/>
        <v/>
      </c>
      <c r="O43" s="95" t="str">
        <f t="shared" si="1"/>
        <v/>
      </c>
    </row>
    <row r="44" spans="1:15" x14ac:dyDescent="0.25">
      <c r="A44" s="98" t="str">
        <f t="shared" ca="1" si="10"/>
        <v/>
      </c>
      <c r="B44" s="33" t="str">
        <f t="shared" ca="1" si="11"/>
        <v/>
      </c>
      <c r="C44" s="25" t="str">
        <f t="shared" ca="1" si="3"/>
        <v/>
      </c>
      <c r="D44" s="26" t="str">
        <f t="shared" ca="1" si="4"/>
        <v/>
      </c>
      <c r="E44" s="4" t="str">
        <f t="shared" ca="1" si="5"/>
        <v/>
      </c>
      <c r="F44" s="25" t="str">
        <f t="shared" ca="1" si="6"/>
        <v/>
      </c>
      <c r="G44" s="26" t="str">
        <f t="shared" ca="1" si="7"/>
        <v/>
      </c>
      <c r="H44" s="55" t="str">
        <f t="shared" ca="1" si="12"/>
        <v/>
      </c>
      <c r="I44" s="1"/>
      <c r="J44" s="71"/>
      <c r="L44" s="71"/>
      <c r="N44" s="95" t="str">
        <f t="shared" si="0"/>
        <v/>
      </c>
      <c r="O44" s="95" t="str">
        <f t="shared" si="1"/>
        <v/>
      </c>
    </row>
    <row r="45" spans="1:15" x14ac:dyDescent="0.25">
      <c r="A45" s="98" t="str">
        <f t="shared" ca="1" si="10"/>
        <v/>
      </c>
      <c r="B45" s="33" t="str">
        <f t="shared" ca="1" si="11"/>
        <v/>
      </c>
      <c r="C45" s="25" t="str">
        <f t="shared" ca="1" si="3"/>
        <v/>
      </c>
      <c r="D45" s="26" t="str">
        <f t="shared" ca="1" si="4"/>
        <v/>
      </c>
      <c r="E45" s="4" t="str">
        <f t="shared" ca="1" si="5"/>
        <v/>
      </c>
      <c r="F45" s="25" t="str">
        <f t="shared" ca="1" si="6"/>
        <v/>
      </c>
      <c r="G45" s="26" t="str">
        <f t="shared" ca="1" si="7"/>
        <v/>
      </c>
      <c r="H45" s="55" t="str">
        <f t="shared" ca="1" si="12"/>
        <v/>
      </c>
      <c r="I45" s="1"/>
      <c r="J45" s="71"/>
      <c r="L45" s="71"/>
      <c r="N45" s="95" t="str">
        <f t="shared" si="0"/>
        <v/>
      </c>
      <c r="O45" s="95" t="str">
        <f t="shared" si="1"/>
        <v/>
      </c>
    </row>
    <row r="46" spans="1:15" x14ac:dyDescent="0.25">
      <c r="A46" s="98" t="str">
        <f t="shared" ca="1" si="10"/>
        <v/>
      </c>
      <c r="B46" s="33" t="str">
        <f t="shared" ca="1" si="11"/>
        <v/>
      </c>
      <c r="C46" s="25" t="str">
        <f t="shared" ca="1" si="3"/>
        <v/>
      </c>
      <c r="D46" s="26" t="str">
        <f t="shared" ca="1" si="4"/>
        <v/>
      </c>
      <c r="E46" s="4" t="str">
        <f t="shared" ca="1" si="5"/>
        <v/>
      </c>
      <c r="F46" s="25" t="str">
        <f t="shared" ca="1" si="6"/>
        <v/>
      </c>
      <c r="G46" s="26" t="str">
        <f t="shared" ca="1" si="7"/>
        <v/>
      </c>
      <c r="H46" s="55" t="str">
        <f t="shared" ca="1" si="12"/>
        <v/>
      </c>
      <c r="I46" s="1"/>
      <c r="J46" s="71"/>
      <c r="L46" s="71"/>
      <c r="N46" s="95" t="str">
        <f t="shared" si="0"/>
        <v/>
      </c>
      <c r="O46" s="95" t="str">
        <f t="shared" si="1"/>
        <v/>
      </c>
    </row>
    <row r="47" spans="1:15" x14ac:dyDescent="0.25">
      <c r="A47" s="98" t="str">
        <f t="shared" ca="1" si="10"/>
        <v/>
      </c>
      <c r="B47" s="33" t="str">
        <f t="shared" ca="1" si="11"/>
        <v/>
      </c>
      <c r="C47" s="25" t="str">
        <f t="shared" ca="1" si="3"/>
        <v/>
      </c>
      <c r="D47" s="26" t="str">
        <f t="shared" ca="1" si="4"/>
        <v/>
      </c>
      <c r="E47" s="4" t="str">
        <f t="shared" ca="1" si="5"/>
        <v/>
      </c>
      <c r="F47" s="25" t="str">
        <f t="shared" ca="1" si="6"/>
        <v/>
      </c>
      <c r="G47" s="26" t="str">
        <f t="shared" ca="1" si="7"/>
        <v/>
      </c>
      <c r="H47" s="55" t="str">
        <f t="shared" ca="1" si="12"/>
        <v/>
      </c>
      <c r="I47" s="1"/>
      <c r="J47" s="71"/>
      <c r="L47" s="71"/>
      <c r="N47" s="95" t="str">
        <f t="shared" si="0"/>
        <v/>
      </c>
      <c r="O47" s="95" t="str">
        <f t="shared" si="1"/>
        <v/>
      </c>
    </row>
    <row r="48" spans="1:15" x14ac:dyDescent="0.25">
      <c r="A48" s="98" t="str">
        <f t="shared" ca="1" si="10"/>
        <v/>
      </c>
      <c r="B48" s="33" t="str">
        <f t="shared" ca="1" si="11"/>
        <v/>
      </c>
      <c r="C48" s="25" t="str">
        <f t="shared" ca="1" si="3"/>
        <v/>
      </c>
      <c r="D48" s="26" t="str">
        <f t="shared" ca="1" si="4"/>
        <v/>
      </c>
      <c r="E48" s="4" t="str">
        <f t="shared" ca="1" si="5"/>
        <v/>
      </c>
      <c r="F48" s="25" t="str">
        <f t="shared" ca="1" si="6"/>
        <v/>
      </c>
      <c r="G48" s="26" t="str">
        <f t="shared" ca="1" si="7"/>
        <v/>
      </c>
      <c r="H48" s="55" t="str">
        <f t="shared" ca="1" si="12"/>
        <v/>
      </c>
      <c r="I48" s="1"/>
      <c r="J48" s="71"/>
      <c r="L48" s="71"/>
      <c r="N48" s="95" t="str">
        <f t="shared" si="0"/>
        <v/>
      </c>
      <c r="O48" s="95" t="str">
        <f t="shared" si="1"/>
        <v/>
      </c>
    </row>
    <row r="49" spans="1:15" x14ac:dyDescent="0.25">
      <c r="A49" s="98" t="str">
        <f t="shared" ca="1" si="10"/>
        <v/>
      </c>
      <c r="B49" s="33" t="str">
        <f t="shared" ca="1" si="11"/>
        <v/>
      </c>
      <c r="C49" s="25" t="str">
        <f t="shared" ca="1" si="3"/>
        <v/>
      </c>
      <c r="D49" s="26" t="str">
        <f t="shared" ca="1" si="4"/>
        <v/>
      </c>
      <c r="E49" s="4" t="str">
        <f t="shared" ca="1" si="5"/>
        <v/>
      </c>
      <c r="F49" s="25" t="str">
        <f t="shared" ca="1" si="6"/>
        <v/>
      </c>
      <c r="G49" s="26" t="str">
        <f t="shared" ca="1" si="7"/>
        <v/>
      </c>
      <c r="H49" s="55" t="str">
        <f t="shared" ca="1" si="12"/>
        <v/>
      </c>
      <c r="I49" s="1"/>
      <c r="J49" s="71"/>
      <c r="L49" s="71"/>
      <c r="N49" s="95" t="str">
        <f t="shared" si="0"/>
        <v/>
      </c>
      <c r="O49" s="95" t="str">
        <f t="shared" si="1"/>
        <v/>
      </c>
    </row>
    <row r="50" spans="1:15" x14ac:dyDescent="0.25">
      <c r="A50" s="98" t="str">
        <f t="shared" ca="1" si="10"/>
        <v/>
      </c>
      <c r="B50" s="33" t="str">
        <f t="shared" ca="1" si="11"/>
        <v/>
      </c>
      <c r="C50" s="25" t="str">
        <f t="shared" ca="1" si="3"/>
        <v/>
      </c>
      <c r="D50" s="26" t="str">
        <f t="shared" ca="1" si="4"/>
        <v/>
      </c>
      <c r="E50" s="4" t="str">
        <f t="shared" ca="1" si="5"/>
        <v/>
      </c>
      <c r="F50" s="25" t="str">
        <f t="shared" ca="1" si="6"/>
        <v/>
      </c>
      <c r="G50" s="26" t="str">
        <f t="shared" ca="1" si="7"/>
        <v/>
      </c>
      <c r="H50" s="55" t="str">
        <f t="shared" ca="1" si="12"/>
        <v/>
      </c>
      <c r="I50" s="1"/>
      <c r="J50" s="71"/>
      <c r="L50" s="71"/>
      <c r="N50" s="95" t="str">
        <f t="shared" si="0"/>
        <v/>
      </c>
      <c r="O50" s="95" t="str">
        <f t="shared" si="1"/>
        <v/>
      </c>
    </row>
    <row r="51" spans="1:15" x14ac:dyDescent="0.25">
      <c r="A51" s="98" t="str">
        <f t="shared" ca="1" si="10"/>
        <v/>
      </c>
      <c r="B51" s="33" t="str">
        <f t="shared" ca="1" si="11"/>
        <v/>
      </c>
      <c r="C51" s="25" t="str">
        <f t="shared" ca="1" si="3"/>
        <v/>
      </c>
      <c r="D51" s="26" t="str">
        <f t="shared" ca="1" si="4"/>
        <v/>
      </c>
      <c r="E51" s="4" t="str">
        <f t="shared" ca="1" si="5"/>
        <v/>
      </c>
      <c r="F51" s="25" t="str">
        <f t="shared" ca="1" si="6"/>
        <v/>
      </c>
      <c r="G51" s="26" t="str">
        <f t="shared" ca="1" si="7"/>
        <v/>
      </c>
      <c r="H51" s="55" t="str">
        <f t="shared" ca="1" si="12"/>
        <v/>
      </c>
      <c r="I51" s="1"/>
      <c r="J51" s="71"/>
      <c r="L51" s="71"/>
      <c r="N51" s="95" t="str">
        <f t="shared" si="0"/>
        <v/>
      </c>
      <c r="O51" s="95" t="str">
        <f t="shared" si="1"/>
        <v/>
      </c>
    </row>
    <row r="52" spans="1:15" x14ac:dyDescent="0.25">
      <c r="A52" s="98" t="str">
        <f t="shared" ca="1" si="10"/>
        <v/>
      </c>
      <c r="B52" s="33" t="str">
        <f t="shared" ca="1" si="11"/>
        <v/>
      </c>
      <c r="C52" s="25" t="str">
        <f t="shared" ca="1" si="3"/>
        <v/>
      </c>
      <c r="D52" s="26" t="str">
        <f t="shared" ca="1" si="4"/>
        <v/>
      </c>
      <c r="E52" s="4" t="str">
        <f t="shared" ca="1" si="5"/>
        <v/>
      </c>
      <c r="F52" s="25" t="str">
        <f t="shared" ca="1" si="6"/>
        <v/>
      </c>
      <c r="G52" s="26" t="str">
        <f t="shared" ca="1" si="7"/>
        <v/>
      </c>
      <c r="H52" s="55" t="str">
        <f t="shared" ca="1" si="12"/>
        <v/>
      </c>
      <c r="I52" s="1"/>
      <c r="J52" s="71"/>
      <c r="L52" s="71"/>
      <c r="N52" s="95" t="str">
        <f t="shared" si="0"/>
        <v/>
      </c>
      <c r="O52" s="95" t="str">
        <f t="shared" si="1"/>
        <v/>
      </c>
    </row>
    <row r="53" spans="1:15" x14ac:dyDescent="0.25">
      <c r="A53" s="98" t="str">
        <f t="shared" ca="1" si="10"/>
        <v/>
      </c>
      <c r="B53" s="33" t="str">
        <f t="shared" ca="1" si="11"/>
        <v/>
      </c>
      <c r="C53" s="25" t="str">
        <f t="shared" ca="1" si="3"/>
        <v/>
      </c>
      <c r="D53" s="26" t="str">
        <f t="shared" ca="1" si="4"/>
        <v/>
      </c>
      <c r="E53" s="4" t="str">
        <f t="shared" ca="1" si="5"/>
        <v/>
      </c>
      <c r="F53" s="25" t="str">
        <f t="shared" ca="1" si="6"/>
        <v/>
      </c>
      <c r="G53" s="26" t="str">
        <f t="shared" ca="1" si="7"/>
        <v/>
      </c>
      <c r="H53" s="55" t="str">
        <f t="shared" ca="1" si="12"/>
        <v/>
      </c>
      <c r="I53" s="1"/>
      <c r="J53" s="71"/>
      <c r="L53" s="71"/>
      <c r="N53" s="95" t="str">
        <f t="shared" si="0"/>
        <v/>
      </c>
      <c r="O53" s="95" t="str">
        <f t="shared" si="1"/>
        <v/>
      </c>
    </row>
    <row r="54" spans="1:15" x14ac:dyDescent="0.25">
      <c r="A54" s="98" t="str">
        <f t="shared" ca="1" si="10"/>
        <v/>
      </c>
      <c r="B54" s="33" t="str">
        <f t="shared" ca="1" si="11"/>
        <v/>
      </c>
      <c r="C54" s="25" t="str">
        <f t="shared" ca="1" si="3"/>
        <v/>
      </c>
      <c r="D54" s="26" t="str">
        <f t="shared" ca="1" si="4"/>
        <v/>
      </c>
      <c r="E54" s="4" t="str">
        <f t="shared" ca="1" si="5"/>
        <v/>
      </c>
      <c r="F54" s="25" t="str">
        <f t="shared" ca="1" si="6"/>
        <v/>
      </c>
      <c r="G54" s="26" t="str">
        <f t="shared" ca="1" si="7"/>
        <v/>
      </c>
      <c r="H54" s="55" t="str">
        <f t="shared" ca="1" si="12"/>
        <v/>
      </c>
      <c r="J54" s="71"/>
      <c r="L54" s="71"/>
      <c r="N54" s="95" t="str">
        <f t="shared" si="0"/>
        <v/>
      </c>
      <c r="O54" s="95" t="str">
        <f t="shared" si="1"/>
        <v/>
      </c>
    </row>
    <row r="55" spans="1:15" x14ac:dyDescent="0.25">
      <c r="A55" s="98" t="str">
        <f t="shared" ca="1" si="10"/>
        <v/>
      </c>
      <c r="B55" s="33" t="str">
        <f t="shared" ca="1" si="11"/>
        <v/>
      </c>
      <c r="C55" s="25" t="str">
        <f t="shared" ca="1" si="3"/>
        <v/>
      </c>
      <c r="D55" s="26" t="str">
        <f t="shared" ca="1" si="4"/>
        <v/>
      </c>
      <c r="E55" s="4" t="str">
        <f t="shared" ca="1" si="5"/>
        <v/>
      </c>
      <c r="F55" s="25" t="str">
        <f t="shared" ca="1" si="6"/>
        <v/>
      </c>
      <c r="G55" s="26" t="str">
        <f t="shared" ca="1" si="7"/>
        <v/>
      </c>
      <c r="H55" s="55" t="str">
        <f t="shared" ca="1" si="12"/>
        <v/>
      </c>
      <c r="J55" s="71"/>
      <c r="L55" s="71"/>
      <c r="N55" s="95" t="str">
        <f t="shared" si="0"/>
        <v/>
      </c>
      <c r="O55" s="95" t="str">
        <f t="shared" si="1"/>
        <v/>
      </c>
    </row>
    <row r="56" spans="1:15" x14ac:dyDescent="0.25">
      <c r="A56" s="98" t="str">
        <f t="shared" ca="1" si="10"/>
        <v/>
      </c>
      <c r="B56" s="33" t="str">
        <f t="shared" ca="1" si="11"/>
        <v/>
      </c>
      <c r="C56" s="25" t="str">
        <f t="shared" ca="1" si="3"/>
        <v/>
      </c>
      <c r="D56" s="26" t="str">
        <f t="shared" ca="1" si="4"/>
        <v/>
      </c>
      <c r="E56" s="4" t="str">
        <f t="shared" ca="1" si="5"/>
        <v/>
      </c>
      <c r="F56" s="25" t="str">
        <f t="shared" ca="1" si="6"/>
        <v/>
      </c>
      <c r="G56" s="26" t="str">
        <f t="shared" ca="1" si="7"/>
        <v/>
      </c>
      <c r="H56" s="55" t="str">
        <f t="shared" ca="1" si="12"/>
        <v/>
      </c>
      <c r="J56" s="71"/>
      <c r="L56" s="71"/>
      <c r="N56" s="95" t="str">
        <f t="shared" si="0"/>
        <v/>
      </c>
      <c r="O56" s="95" t="str">
        <f t="shared" si="1"/>
        <v/>
      </c>
    </row>
    <row r="57" spans="1:15" x14ac:dyDescent="0.25">
      <c r="A57" s="98" t="str">
        <f t="shared" ca="1" si="10"/>
        <v/>
      </c>
      <c r="B57" s="33" t="str">
        <f t="shared" ca="1" si="11"/>
        <v/>
      </c>
      <c r="C57" s="25" t="str">
        <f t="shared" ca="1" si="3"/>
        <v/>
      </c>
      <c r="D57" s="26" t="str">
        <f t="shared" ca="1" si="4"/>
        <v/>
      </c>
      <c r="E57" s="4" t="str">
        <f t="shared" ca="1" si="5"/>
        <v/>
      </c>
      <c r="F57" s="25" t="str">
        <f t="shared" ca="1" si="6"/>
        <v/>
      </c>
      <c r="G57" s="26" t="str">
        <f t="shared" ca="1" si="7"/>
        <v/>
      </c>
      <c r="H57" s="55" t="str">
        <f t="shared" ca="1" si="12"/>
        <v/>
      </c>
      <c r="J57" s="71"/>
      <c r="L57" s="71"/>
      <c r="N57" s="95" t="str">
        <f t="shared" si="0"/>
        <v/>
      </c>
      <c r="O57" s="95" t="str">
        <f t="shared" si="1"/>
        <v/>
      </c>
    </row>
    <row r="58" spans="1:15" x14ac:dyDescent="0.25">
      <c r="A58" s="98" t="str">
        <f t="shared" ca="1" si="10"/>
        <v/>
      </c>
      <c r="B58" s="33" t="str">
        <f t="shared" ca="1" si="11"/>
        <v/>
      </c>
      <c r="C58" s="25" t="str">
        <f t="shared" ca="1" si="3"/>
        <v/>
      </c>
      <c r="D58" s="26" t="str">
        <f t="shared" ca="1" si="4"/>
        <v/>
      </c>
      <c r="E58" s="4" t="str">
        <f t="shared" ca="1" si="5"/>
        <v/>
      </c>
      <c r="F58" s="25" t="str">
        <f t="shared" ca="1" si="6"/>
        <v/>
      </c>
      <c r="G58" s="26" t="str">
        <f t="shared" ca="1" si="7"/>
        <v/>
      </c>
      <c r="H58" s="55" t="str">
        <f t="shared" ca="1" si="12"/>
        <v/>
      </c>
      <c r="J58" s="71"/>
      <c r="L58" s="71"/>
      <c r="N58" s="95" t="str">
        <f t="shared" si="0"/>
        <v/>
      </c>
      <c r="O58" s="95" t="str">
        <f t="shared" si="1"/>
        <v/>
      </c>
    </row>
    <row r="59" spans="1:15" x14ac:dyDescent="0.25">
      <c r="A59" s="98" t="str">
        <f t="shared" ca="1" si="10"/>
        <v/>
      </c>
      <c r="B59" s="33" t="str">
        <f t="shared" ca="1" si="11"/>
        <v/>
      </c>
      <c r="C59" s="25" t="str">
        <f t="shared" ca="1" si="3"/>
        <v/>
      </c>
      <c r="D59" s="26" t="str">
        <f t="shared" ca="1" si="4"/>
        <v/>
      </c>
      <c r="E59" s="4" t="str">
        <f t="shared" ca="1" si="5"/>
        <v/>
      </c>
      <c r="F59" s="25" t="str">
        <f t="shared" ca="1" si="6"/>
        <v/>
      </c>
      <c r="G59" s="26" t="str">
        <f t="shared" ca="1" si="7"/>
        <v/>
      </c>
      <c r="H59" s="55" t="str">
        <f t="shared" ca="1" si="12"/>
        <v/>
      </c>
      <c r="J59" s="71"/>
      <c r="L59" s="71"/>
      <c r="N59" s="95" t="str">
        <f t="shared" si="0"/>
        <v/>
      </c>
      <c r="O59" s="95" t="str">
        <f t="shared" si="1"/>
        <v/>
      </c>
    </row>
    <row r="60" spans="1:15" x14ac:dyDescent="0.25">
      <c r="A60" s="98" t="str">
        <f t="shared" ca="1" si="10"/>
        <v/>
      </c>
      <c r="B60" s="33" t="str">
        <f t="shared" ca="1" si="11"/>
        <v/>
      </c>
      <c r="C60" s="25" t="str">
        <f t="shared" ca="1" si="3"/>
        <v/>
      </c>
      <c r="D60" s="26" t="str">
        <f t="shared" ca="1" si="4"/>
        <v/>
      </c>
      <c r="E60" s="4" t="str">
        <f t="shared" ca="1" si="5"/>
        <v/>
      </c>
      <c r="F60" s="25" t="str">
        <f t="shared" ca="1" si="6"/>
        <v/>
      </c>
      <c r="G60" s="26" t="str">
        <f t="shared" ca="1" si="7"/>
        <v/>
      </c>
      <c r="H60" s="55" t="str">
        <f t="shared" ca="1" si="12"/>
        <v/>
      </c>
      <c r="J60" s="71"/>
      <c r="L60" s="71"/>
      <c r="N60" s="95" t="str">
        <f t="shared" si="0"/>
        <v/>
      </c>
      <c r="O60" s="95" t="str">
        <f t="shared" si="1"/>
        <v/>
      </c>
    </row>
    <row r="61" spans="1:15" x14ac:dyDescent="0.25">
      <c r="A61" s="98" t="str">
        <f t="shared" ca="1" si="10"/>
        <v/>
      </c>
      <c r="B61" s="33" t="str">
        <f t="shared" ca="1" si="11"/>
        <v/>
      </c>
      <c r="C61" s="25" t="str">
        <f t="shared" ca="1" si="3"/>
        <v/>
      </c>
      <c r="D61" s="26" t="str">
        <f t="shared" ca="1" si="4"/>
        <v/>
      </c>
      <c r="E61" s="4" t="str">
        <f t="shared" ca="1" si="5"/>
        <v/>
      </c>
      <c r="F61" s="25" t="str">
        <f t="shared" ca="1" si="6"/>
        <v/>
      </c>
      <c r="G61" s="26" t="str">
        <f t="shared" ca="1" si="7"/>
        <v/>
      </c>
      <c r="H61" s="55" t="str">
        <f t="shared" ca="1" si="12"/>
        <v/>
      </c>
      <c r="J61" s="71"/>
      <c r="L61" s="71"/>
      <c r="N61" s="95" t="str">
        <f t="shared" si="0"/>
        <v/>
      </c>
      <c r="O61" s="95" t="str">
        <f t="shared" si="1"/>
        <v/>
      </c>
    </row>
    <row r="62" spans="1:15" x14ac:dyDescent="0.25">
      <c r="A62" s="98" t="str">
        <f t="shared" ca="1" si="10"/>
        <v/>
      </c>
      <c r="B62" s="33" t="str">
        <f t="shared" ca="1" si="11"/>
        <v/>
      </c>
      <c r="C62" s="25" t="str">
        <f t="shared" ca="1" si="3"/>
        <v/>
      </c>
      <c r="D62" s="26" t="str">
        <f t="shared" ca="1" si="4"/>
        <v/>
      </c>
      <c r="E62" s="4" t="str">
        <f t="shared" ca="1" si="5"/>
        <v/>
      </c>
      <c r="F62" s="25" t="str">
        <f t="shared" ca="1" si="6"/>
        <v/>
      </c>
      <c r="G62" s="26" t="str">
        <f t="shared" ca="1" si="7"/>
        <v/>
      </c>
      <c r="H62" s="55" t="str">
        <f t="shared" ca="1" si="12"/>
        <v/>
      </c>
      <c r="J62" s="71"/>
      <c r="L62" s="71"/>
      <c r="N62" s="95" t="str">
        <f t="shared" si="0"/>
        <v/>
      </c>
      <c r="O62" s="95" t="str">
        <f t="shared" si="1"/>
        <v/>
      </c>
    </row>
    <row r="63" spans="1:15" x14ac:dyDescent="0.25">
      <c r="A63" s="98" t="str">
        <f t="shared" ca="1" si="10"/>
        <v/>
      </c>
      <c r="B63" s="33" t="str">
        <f t="shared" ca="1" si="11"/>
        <v/>
      </c>
      <c r="C63" s="25" t="str">
        <f t="shared" ca="1" si="3"/>
        <v/>
      </c>
      <c r="D63" s="26" t="str">
        <f t="shared" ca="1" si="4"/>
        <v/>
      </c>
      <c r="E63" s="4" t="str">
        <f t="shared" ca="1" si="5"/>
        <v/>
      </c>
      <c r="F63" s="25" t="str">
        <f t="shared" ca="1" si="6"/>
        <v/>
      </c>
      <c r="G63" s="26" t="str">
        <f t="shared" ca="1" si="7"/>
        <v/>
      </c>
      <c r="H63" s="55" t="str">
        <f t="shared" ca="1" si="12"/>
        <v/>
      </c>
      <c r="J63" s="71"/>
      <c r="L63" s="71"/>
      <c r="N63" s="95" t="str">
        <f t="shared" si="0"/>
        <v/>
      </c>
      <c r="O63" s="95" t="str">
        <f t="shared" si="1"/>
        <v/>
      </c>
    </row>
    <row r="64" spans="1:15" x14ac:dyDescent="0.25">
      <c r="A64" s="98" t="str">
        <f t="shared" ca="1" si="10"/>
        <v/>
      </c>
      <c r="B64" s="33" t="str">
        <f t="shared" ca="1" si="11"/>
        <v/>
      </c>
      <c r="C64" s="25" t="str">
        <f t="shared" ca="1" si="3"/>
        <v/>
      </c>
      <c r="D64" s="26" t="str">
        <f t="shared" ca="1" si="4"/>
        <v/>
      </c>
      <c r="E64" s="4" t="str">
        <f t="shared" ca="1" si="5"/>
        <v/>
      </c>
      <c r="F64" s="25" t="str">
        <f t="shared" ca="1" si="6"/>
        <v/>
      </c>
      <c r="G64" s="26" t="str">
        <f t="shared" ca="1" si="7"/>
        <v/>
      </c>
      <c r="H64" s="55" t="str">
        <f t="shared" ca="1" si="12"/>
        <v/>
      </c>
      <c r="J64" s="71"/>
      <c r="L64" s="71"/>
      <c r="N64" s="95" t="str">
        <f t="shared" si="0"/>
        <v/>
      </c>
      <c r="O64" s="95" t="str">
        <f t="shared" si="1"/>
        <v/>
      </c>
    </row>
    <row r="65" spans="1:15" x14ac:dyDescent="0.25">
      <c r="A65" s="98" t="str">
        <f t="shared" ca="1" si="10"/>
        <v/>
      </c>
      <c r="B65" s="33" t="str">
        <f t="shared" ca="1" si="11"/>
        <v/>
      </c>
      <c r="C65" s="25" t="str">
        <f t="shared" ca="1" si="3"/>
        <v/>
      </c>
      <c r="D65" s="26" t="str">
        <f t="shared" ca="1" si="4"/>
        <v/>
      </c>
      <c r="E65" s="4" t="str">
        <f t="shared" ca="1" si="5"/>
        <v/>
      </c>
      <c r="F65" s="25" t="str">
        <f t="shared" ca="1" si="6"/>
        <v/>
      </c>
      <c r="G65" s="26" t="str">
        <f t="shared" ca="1" si="7"/>
        <v/>
      </c>
      <c r="H65" s="55" t="str">
        <f t="shared" ca="1" si="12"/>
        <v/>
      </c>
      <c r="J65" s="71"/>
      <c r="L65" s="71"/>
      <c r="N65" s="95" t="str">
        <f t="shared" si="0"/>
        <v/>
      </c>
      <c r="O65" s="95" t="str">
        <f t="shared" si="1"/>
        <v/>
      </c>
    </row>
    <row r="66" spans="1:15" x14ac:dyDescent="0.25">
      <c r="A66" s="98" t="str">
        <f t="shared" ca="1" si="10"/>
        <v/>
      </c>
      <c r="B66" s="33" t="str">
        <f t="shared" ca="1" si="11"/>
        <v/>
      </c>
      <c r="C66" s="25" t="str">
        <f t="shared" ca="1" si="3"/>
        <v/>
      </c>
      <c r="D66" s="26" t="str">
        <f t="shared" ca="1" si="4"/>
        <v/>
      </c>
      <c r="E66" s="4" t="str">
        <f t="shared" ca="1" si="5"/>
        <v/>
      </c>
      <c r="F66" s="25" t="str">
        <f t="shared" ca="1" si="6"/>
        <v/>
      </c>
      <c r="G66" s="26" t="str">
        <f t="shared" ca="1" si="7"/>
        <v/>
      </c>
      <c r="H66" s="55" t="str">
        <f t="shared" ca="1" si="12"/>
        <v/>
      </c>
      <c r="J66" s="71"/>
      <c r="L66" s="71"/>
      <c r="N66" s="95" t="str">
        <f t="shared" si="0"/>
        <v/>
      </c>
      <c r="O66" s="95" t="str">
        <f t="shared" si="1"/>
        <v/>
      </c>
    </row>
    <row r="67" spans="1:15" x14ac:dyDescent="0.25">
      <c r="A67" s="98" t="str">
        <f t="shared" ca="1" si="10"/>
        <v/>
      </c>
      <c r="B67" s="33" t="str">
        <f t="shared" ca="1" si="11"/>
        <v/>
      </c>
      <c r="C67" s="25" t="str">
        <f t="shared" ca="1" si="3"/>
        <v/>
      </c>
      <c r="D67" s="26" t="str">
        <f t="shared" ca="1" si="4"/>
        <v/>
      </c>
      <c r="E67" s="4" t="str">
        <f t="shared" ca="1" si="5"/>
        <v/>
      </c>
      <c r="F67" s="25" t="str">
        <f t="shared" ca="1" si="6"/>
        <v/>
      </c>
      <c r="G67" s="26" t="str">
        <f t="shared" ca="1" si="7"/>
        <v/>
      </c>
      <c r="H67" s="55" t="str">
        <f t="shared" ca="1" si="12"/>
        <v/>
      </c>
      <c r="J67" s="71"/>
      <c r="L67" s="71"/>
      <c r="N67" s="95" t="str">
        <f t="shared" si="0"/>
        <v/>
      </c>
      <c r="O67" s="95" t="str">
        <f t="shared" si="1"/>
        <v/>
      </c>
    </row>
    <row r="68" spans="1:15" x14ac:dyDescent="0.25">
      <c r="A68" s="98" t="str">
        <f t="shared" ca="1" si="10"/>
        <v/>
      </c>
      <c r="B68" s="33" t="str">
        <f t="shared" ca="1" si="11"/>
        <v/>
      </c>
      <c r="C68" s="25" t="str">
        <f t="shared" ca="1" si="3"/>
        <v/>
      </c>
      <c r="D68" s="26" t="str">
        <f t="shared" ca="1" si="4"/>
        <v/>
      </c>
      <c r="E68" s="4" t="str">
        <f t="shared" ca="1" si="5"/>
        <v/>
      </c>
      <c r="F68" s="25" t="str">
        <f t="shared" ca="1" si="6"/>
        <v/>
      </c>
      <c r="G68" s="26" t="str">
        <f t="shared" ca="1" si="7"/>
        <v/>
      </c>
      <c r="H68" s="55" t="str">
        <f t="shared" ca="1" si="12"/>
        <v/>
      </c>
      <c r="J68" s="71"/>
      <c r="L68" s="71"/>
      <c r="N68" s="95" t="str">
        <f t="shared" ref="N68:N131" si="13">IF(COUNTIF(L:L,J68),J68,"")</f>
        <v/>
      </c>
      <c r="O68" s="95" t="str">
        <f t="shared" ref="O68:O131" si="14">IF(N68&gt;$A$14,N68,"")</f>
        <v/>
      </c>
    </row>
    <row r="69" spans="1:15" x14ac:dyDescent="0.25">
      <c r="A69" s="98" t="str">
        <f t="shared" ca="1" si="10"/>
        <v/>
      </c>
      <c r="B69" s="33" t="str">
        <f t="shared" ca="1" si="11"/>
        <v/>
      </c>
      <c r="C69" s="25" t="str">
        <f t="shared" ca="1" si="3"/>
        <v/>
      </c>
      <c r="D69" s="26" t="str">
        <f t="shared" ca="1" si="4"/>
        <v/>
      </c>
      <c r="E69" s="4" t="str">
        <f t="shared" ca="1" si="5"/>
        <v/>
      </c>
      <c r="F69" s="25" t="str">
        <f t="shared" ca="1" si="6"/>
        <v/>
      </c>
      <c r="G69" s="26" t="str">
        <f t="shared" ca="1" si="7"/>
        <v/>
      </c>
      <c r="H69" s="55" t="str">
        <f t="shared" ca="1" si="12"/>
        <v/>
      </c>
      <c r="J69" s="71"/>
      <c r="L69" s="71"/>
      <c r="N69" s="95" t="str">
        <f t="shared" si="13"/>
        <v/>
      </c>
      <c r="O69" s="95" t="str">
        <f t="shared" si="14"/>
        <v/>
      </c>
    </row>
    <row r="70" spans="1:15" x14ac:dyDescent="0.25">
      <c r="A70" s="98" t="str">
        <f t="shared" ca="1" si="10"/>
        <v/>
      </c>
      <c r="B70" s="33" t="str">
        <f t="shared" ca="1" si="11"/>
        <v/>
      </c>
      <c r="C70" s="25" t="str">
        <f t="shared" ca="1" si="3"/>
        <v/>
      </c>
      <c r="D70" s="26" t="str">
        <f t="shared" ca="1" si="4"/>
        <v/>
      </c>
      <c r="E70" s="4" t="str">
        <f t="shared" ca="1" si="5"/>
        <v/>
      </c>
      <c r="F70" s="25" t="str">
        <f t="shared" ca="1" si="6"/>
        <v/>
      </c>
      <c r="G70" s="26" t="str">
        <f t="shared" ca="1" si="7"/>
        <v/>
      </c>
      <c r="H70" s="55" t="str">
        <f t="shared" ca="1" si="12"/>
        <v/>
      </c>
      <c r="J70" s="71"/>
      <c r="L70" s="71"/>
      <c r="N70" s="95" t="str">
        <f t="shared" si="13"/>
        <v/>
      </c>
      <c r="O70" s="95" t="str">
        <f t="shared" si="14"/>
        <v/>
      </c>
    </row>
    <row r="71" spans="1:15" x14ac:dyDescent="0.25">
      <c r="A71" s="98" t="str">
        <f t="shared" ca="1" si="10"/>
        <v/>
      </c>
      <c r="B71" s="33" t="str">
        <f t="shared" ca="1" si="11"/>
        <v/>
      </c>
      <c r="C71" s="25" t="str">
        <f t="shared" ca="1" si="3"/>
        <v/>
      </c>
      <c r="D71" s="26" t="str">
        <f t="shared" ca="1" si="4"/>
        <v/>
      </c>
      <c r="E71" s="4" t="str">
        <f t="shared" ca="1" si="5"/>
        <v/>
      </c>
      <c r="F71" s="25" t="str">
        <f t="shared" ca="1" si="6"/>
        <v/>
      </c>
      <c r="G71" s="26" t="str">
        <f t="shared" ca="1" si="7"/>
        <v/>
      </c>
      <c r="H71" s="55" t="str">
        <f t="shared" ca="1" si="12"/>
        <v/>
      </c>
      <c r="J71" s="71"/>
      <c r="L71" s="71"/>
      <c r="N71" s="95" t="str">
        <f t="shared" si="13"/>
        <v/>
      </c>
      <c r="O71" s="95" t="str">
        <f t="shared" si="14"/>
        <v/>
      </c>
    </row>
    <row r="72" spans="1:15" x14ac:dyDescent="0.25">
      <c r="A72" s="98" t="str">
        <f t="shared" ca="1" si="10"/>
        <v/>
      </c>
      <c r="B72" s="33" t="str">
        <f t="shared" ca="1" si="11"/>
        <v/>
      </c>
      <c r="C72" s="25" t="str">
        <f t="shared" ca="1" si="3"/>
        <v/>
      </c>
      <c r="D72" s="26" t="str">
        <f t="shared" ca="1" si="4"/>
        <v/>
      </c>
      <c r="E72" s="4" t="str">
        <f t="shared" ca="1" si="5"/>
        <v/>
      </c>
      <c r="F72" s="25" t="str">
        <f t="shared" ca="1" si="6"/>
        <v/>
      </c>
      <c r="G72" s="26" t="str">
        <f t="shared" ca="1" si="7"/>
        <v/>
      </c>
      <c r="H72" s="55" t="str">
        <f t="shared" ca="1" si="12"/>
        <v/>
      </c>
      <c r="J72" s="71"/>
      <c r="L72" s="71"/>
      <c r="N72" s="95" t="str">
        <f t="shared" si="13"/>
        <v/>
      </c>
      <c r="O72" s="95" t="str">
        <f t="shared" si="14"/>
        <v/>
      </c>
    </row>
    <row r="73" spans="1:15" x14ac:dyDescent="0.25">
      <c r="A73" s="98" t="str">
        <f t="shared" ca="1" si="10"/>
        <v/>
      </c>
      <c r="B73" s="33" t="str">
        <f t="shared" ca="1" si="11"/>
        <v/>
      </c>
      <c r="C73" s="25" t="str">
        <f t="shared" ca="1" si="3"/>
        <v/>
      </c>
      <c r="D73" s="26" t="str">
        <f t="shared" ca="1" si="4"/>
        <v/>
      </c>
      <c r="E73" s="4" t="str">
        <f t="shared" ca="1" si="5"/>
        <v/>
      </c>
      <c r="F73" s="25" t="str">
        <f t="shared" ca="1" si="6"/>
        <v/>
      </c>
      <c r="G73" s="26" t="str">
        <f t="shared" ca="1" si="7"/>
        <v/>
      </c>
      <c r="H73" s="55" t="str">
        <f t="shared" ca="1" si="12"/>
        <v/>
      </c>
      <c r="J73" s="71"/>
      <c r="L73" s="71"/>
      <c r="N73" s="95" t="str">
        <f t="shared" si="13"/>
        <v/>
      </c>
      <c r="O73" s="95" t="str">
        <f t="shared" si="14"/>
        <v/>
      </c>
    </row>
    <row r="74" spans="1:15" x14ac:dyDescent="0.25">
      <c r="A74" s="98" t="str">
        <f t="shared" ca="1" si="10"/>
        <v/>
      </c>
      <c r="B74" s="33" t="str">
        <f t="shared" ca="1" si="11"/>
        <v/>
      </c>
      <c r="C74" s="25" t="str">
        <f t="shared" ca="1" si="3"/>
        <v/>
      </c>
      <c r="D74" s="26" t="str">
        <f t="shared" ca="1" si="4"/>
        <v/>
      </c>
      <c r="E74" s="4" t="str">
        <f t="shared" ca="1" si="5"/>
        <v/>
      </c>
      <c r="F74" s="25" t="str">
        <f t="shared" ca="1" si="6"/>
        <v/>
      </c>
      <c r="G74" s="26" t="str">
        <f t="shared" ca="1" si="7"/>
        <v/>
      </c>
      <c r="H74" s="55" t="str">
        <f t="shared" ca="1" si="12"/>
        <v/>
      </c>
      <c r="J74" s="71"/>
      <c r="L74" s="71"/>
      <c r="N74" s="95" t="str">
        <f t="shared" si="13"/>
        <v/>
      </c>
      <c r="O74" s="95" t="str">
        <f t="shared" si="14"/>
        <v/>
      </c>
    </row>
    <row r="75" spans="1:15" x14ac:dyDescent="0.25">
      <c r="A75" s="98" t="str">
        <f t="shared" ca="1" si="10"/>
        <v/>
      </c>
      <c r="B75" s="33" t="str">
        <f t="shared" ca="1" si="11"/>
        <v/>
      </c>
      <c r="C75" s="25" t="str">
        <f t="shared" ca="1" si="3"/>
        <v/>
      </c>
      <c r="D75" s="26" t="str">
        <f t="shared" ca="1" si="4"/>
        <v/>
      </c>
      <c r="E75" s="4" t="str">
        <f t="shared" ca="1" si="5"/>
        <v/>
      </c>
      <c r="F75" s="25" t="str">
        <f t="shared" ca="1" si="6"/>
        <v/>
      </c>
      <c r="G75" s="26" t="str">
        <f t="shared" ca="1" si="7"/>
        <v/>
      </c>
      <c r="H75" s="55" t="str">
        <f t="shared" ca="1" si="12"/>
        <v/>
      </c>
      <c r="J75" s="71"/>
      <c r="L75" s="71"/>
      <c r="N75" s="95" t="str">
        <f t="shared" si="13"/>
        <v/>
      </c>
      <c r="O75" s="95" t="str">
        <f t="shared" si="14"/>
        <v/>
      </c>
    </row>
    <row r="76" spans="1:15" x14ac:dyDescent="0.25">
      <c r="A76" s="98" t="str">
        <f t="shared" ca="1" si="10"/>
        <v/>
      </c>
      <c r="B76" s="33" t="str">
        <f t="shared" ca="1" si="11"/>
        <v/>
      </c>
      <c r="C76" s="25" t="str">
        <f t="shared" ca="1" si="3"/>
        <v/>
      </c>
      <c r="D76" s="26" t="str">
        <f t="shared" ca="1" si="4"/>
        <v/>
      </c>
      <c r="E76" s="4" t="str">
        <f t="shared" ca="1" si="5"/>
        <v/>
      </c>
      <c r="F76" s="25" t="str">
        <f t="shared" ca="1" si="6"/>
        <v/>
      </c>
      <c r="G76" s="26" t="str">
        <f t="shared" ca="1" si="7"/>
        <v/>
      </c>
      <c r="H76" s="55" t="str">
        <f t="shared" ca="1" si="12"/>
        <v/>
      </c>
      <c r="J76" s="71"/>
      <c r="L76" s="71"/>
      <c r="N76" s="95" t="str">
        <f t="shared" si="13"/>
        <v/>
      </c>
      <c r="O76" s="95" t="str">
        <f t="shared" si="14"/>
        <v/>
      </c>
    </row>
    <row r="77" spans="1:15" x14ac:dyDescent="0.25">
      <c r="A77" s="98" t="str">
        <f t="shared" ca="1" si="10"/>
        <v/>
      </c>
      <c r="B77" s="33" t="str">
        <f t="shared" ca="1" si="11"/>
        <v/>
      </c>
      <c r="C77" s="25" t="str">
        <f t="shared" ca="1" si="3"/>
        <v/>
      </c>
      <c r="D77" s="26" t="str">
        <f t="shared" ca="1" si="4"/>
        <v/>
      </c>
      <c r="E77" s="4" t="str">
        <f t="shared" ca="1" si="5"/>
        <v/>
      </c>
      <c r="F77" s="25" t="str">
        <f t="shared" ca="1" si="6"/>
        <v/>
      </c>
      <c r="G77" s="26" t="str">
        <f t="shared" ca="1" si="7"/>
        <v/>
      </c>
      <c r="H77" s="55" t="str">
        <f t="shared" ca="1" si="12"/>
        <v/>
      </c>
      <c r="J77" s="71"/>
      <c r="L77" s="71"/>
      <c r="N77" s="95" t="str">
        <f t="shared" si="13"/>
        <v/>
      </c>
      <c r="O77" s="95" t="str">
        <f t="shared" si="14"/>
        <v/>
      </c>
    </row>
    <row r="78" spans="1:15" x14ac:dyDescent="0.25">
      <c r="A78" s="98" t="str">
        <f t="shared" ca="1" si="10"/>
        <v/>
      </c>
      <c r="B78" s="33" t="str">
        <f t="shared" ca="1" si="11"/>
        <v/>
      </c>
      <c r="C78" s="25" t="str">
        <f t="shared" ca="1" si="3"/>
        <v/>
      </c>
      <c r="D78" s="26" t="str">
        <f t="shared" ca="1" si="4"/>
        <v/>
      </c>
      <c r="E78" s="4" t="str">
        <f t="shared" ca="1" si="5"/>
        <v/>
      </c>
      <c r="F78" s="25" t="str">
        <f t="shared" ca="1" si="6"/>
        <v/>
      </c>
      <c r="G78" s="26" t="str">
        <f t="shared" ca="1" si="7"/>
        <v/>
      </c>
      <c r="H78" s="55" t="str">
        <f t="shared" ca="1" si="12"/>
        <v/>
      </c>
      <c r="J78" s="71"/>
      <c r="L78" s="71"/>
      <c r="N78" s="95" t="str">
        <f t="shared" si="13"/>
        <v/>
      </c>
      <c r="O78" s="95" t="str">
        <f t="shared" si="14"/>
        <v/>
      </c>
    </row>
    <row r="79" spans="1:15" x14ac:dyDescent="0.25">
      <c r="A79" s="98" t="str">
        <f t="shared" ca="1" si="10"/>
        <v/>
      </c>
      <c r="B79" s="33" t="str">
        <f t="shared" ca="1" si="11"/>
        <v/>
      </c>
      <c r="C79" s="25" t="str">
        <f t="shared" ca="1" si="3"/>
        <v/>
      </c>
      <c r="D79" s="26" t="str">
        <f t="shared" ca="1" si="4"/>
        <v/>
      </c>
      <c r="E79" s="4" t="str">
        <f t="shared" ca="1" si="5"/>
        <v/>
      </c>
      <c r="F79" s="25" t="str">
        <f t="shared" ca="1" si="6"/>
        <v/>
      </c>
      <c r="G79" s="26" t="str">
        <f t="shared" ca="1" si="7"/>
        <v/>
      </c>
      <c r="H79" s="55" t="str">
        <f t="shared" ca="1" si="12"/>
        <v/>
      </c>
      <c r="J79" s="71"/>
      <c r="L79" s="71"/>
      <c r="N79" s="95" t="str">
        <f t="shared" si="13"/>
        <v/>
      </c>
      <c r="O79" s="95" t="str">
        <f t="shared" si="14"/>
        <v/>
      </c>
    </row>
    <row r="80" spans="1:15" x14ac:dyDescent="0.25">
      <c r="A80" s="98" t="str">
        <f t="shared" ca="1" si="10"/>
        <v/>
      </c>
      <c r="B80" s="33" t="str">
        <f t="shared" ca="1" si="11"/>
        <v/>
      </c>
      <c r="C80" s="25" t="str">
        <f t="shared" ref="C80:C142" ca="1" si="15">IF(ISERROR(B80-2),"",-1*(B80-$B$14)*10^-4*$B$8*$B$5)</f>
        <v/>
      </c>
      <c r="D80" s="26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25" t="str">
        <f t="shared" ref="F80:F142" ca="1" si="18">IF(ISERROR(E80-2),"",-1*(E80-$E$14)*10^-4*$C$8*$C$5)</f>
        <v/>
      </c>
      <c r="G80" s="26" t="str">
        <f t="shared" ref="G80:G142" ca="1" si="19">IF(ISERROR(E80-2),"",$C$6*(INT(A80)-INT($A$14))/360*$C$5)</f>
        <v/>
      </c>
      <c r="H80" s="55" t="str">
        <f t="shared" ca="1" si="12"/>
        <v/>
      </c>
      <c r="J80" s="71"/>
      <c r="L80" s="71"/>
      <c r="N80" s="95" t="str">
        <f t="shared" si="13"/>
        <v/>
      </c>
      <c r="O80" s="95" t="str">
        <f t="shared" si="14"/>
        <v/>
      </c>
    </row>
    <row r="81" spans="1:15" x14ac:dyDescent="0.25">
      <c r="A81" s="98" t="str">
        <f t="shared" ca="1" si="10"/>
        <v/>
      </c>
      <c r="B81" s="33" t="str">
        <f t="shared" ca="1" si="11"/>
        <v/>
      </c>
      <c r="C81" s="25" t="str">
        <f t="shared" ca="1" si="15"/>
        <v/>
      </c>
      <c r="D81" s="26" t="str">
        <f t="shared" ca="1" si="16"/>
        <v/>
      </c>
      <c r="E81" s="4" t="str">
        <f t="shared" ca="1" si="17"/>
        <v/>
      </c>
      <c r="F81" s="25" t="str">
        <f t="shared" ca="1" si="18"/>
        <v/>
      </c>
      <c r="G81" s="26" t="str">
        <f t="shared" ca="1" si="19"/>
        <v/>
      </c>
      <c r="H81" s="55" t="str">
        <f t="shared" ca="1" si="12"/>
        <v/>
      </c>
      <c r="J81" s="71"/>
      <c r="L81" s="71"/>
      <c r="N81" s="95" t="str">
        <f t="shared" si="13"/>
        <v/>
      </c>
      <c r="O81" s="95" t="str">
        <f t="shared" si="14"/>
        <v/>
      </c>
    </row>
    <row r="82" spans="1:15" x14ac:dyDescent="0.25">
      <c r="A82" s="98" t="str">
        <f t="shared" ca="1" si="10"/>
        <v/>
      </c>
      <c r="B82" s="33" t="str">
        <f t="shared" ca="1" si="11"/>
        <v/>
      </c>
      <c r="C82" s="25" t="str">
        <f t="shared" ca="1" si="15"/>
        <v/>
      </c>
      <c r="D82" s="26" t="str">
        <f t="shared" ca="1" si="16"/>
        <v/>
      </c>
      <c r="E82" s="4" t="str">
        <f t="shared" ca="1" si="17"/>
        <v/>
      </c>
      <c r="F82" s="25" t="str">
        <f t="shared" ca="1" si="18"/>
        <v/>
      </c>
      <c r="G82" s="26" t="str">
        <f t="shared" ca="1" si="19"/>
        <v/>
      </c>
      <c r="H82" s="55" t="str">
        <f t="shared" ca="1" si="12"/>
        <v/>
      </c>
      <c r="J82" s="71"/>
      <c r="L82" s="71"/>
      <c r="N82" s="95" t="str">
        <f t="shared" si="13"/>
        <v/>
      </c>
      <c r="O82" s="95" t="str">
        <f t="shared" si="14"/>
        <v/>
      </c>
    </row>
    <row r="83" spans="1:15" x14ac:dyDescent="0.25">
      <c r="A83" s="98" t="str">
        <f t="shared" ca="1" si="10"/>
        <v/>
      </c>
      <c r="B83" s="33" t="str">
        <f t="shared" ca="1" si="11"/>
        <v/>
      </c>
      <c r="C83" s="25" t="str">
        <f t="shared" ca="1" si="15"/>
        <v/>
      </c>
      <c r="D83" s="26" t="str">
        <f t="shared" ca="1" si="16"/>
        <v/>
      </c>
      <c r="E83" s="4" t="str">
        <f t="shared" ca="1" si="17"/>
        <v/>
      </c>
      <c r="F83" s="25" t="str">
        <f t="shared" ca="1" si="18"/>
        <v/>
      </c>
      <c r="G83" s="26" t="str">
        <f t="shared" ca="1" si="19"/>
        <v/>
      </c>
      <c r="H83" s="55" t="str">
        <f t="shared" ca="1" si="12"/>
        <v/>
      </c>
      <c r="J83" s="71"/>
      <c r="L83" s="71"/>
      <c r="N83" s="95" t="str">
        <f t="shared" si="13"/>
        <v/>
      </c>
      <c r="O83" s="95" t="str">
        <f t="shared" si="14"/>
        <v/>
      </c>
    </row>
    <row r="84" spans="1:15" x14ac:dyDescent="0.25">
      <c r="A84" s="98" t="str">
        <f t="shared" ca="1" si="10"/>
        <v/>
      </c>
      <c r="B84" s="33" t="str">
        <f t="shared" ca="1" si="11"/>
        <v/>
      </c>
      <c r="C84" s="25" t="str">
        <f t="shared" ca="1" si="15"/>
        <v/>
      </c>
      <c r="D84" s="26" t="str">
        <f t="shared" ca="1" si="16"/>
        <v/>
      </c>
      <c r="E84" s="4" t="str">
        <f t="shared" ca="1" si="17"/>
        <v/>
      </c>
      <c r="F84" s="25" t="str">
        <f t="shared" ca="1" si="18"/>
        <v/>
      </c>
      <c r="G84" s="26" t="str">
        <f t="shared" ca="1" si="19"/>
        <v/>
      </c>
      <c r="H84" s="55" t="str">
        <f t="shared" ca="1" si="12"/>
        <v/>
      </c>
      <c r="J84" s="71"/>
      <c r="L84" s="71"/>
      <c r="N84" s="95" t="str">
        <f t="shared" si="13"/>
        <v/>
      </c>
      <c r="O84" s="95" t="str">
        <f t="shared" si="14"/>
        <v/>
      </c>
    </row>
    <row r="85" spans="1:15" x14ac:dyDescent="0.25">
      <c r="A85" s="98" t="str">
        <f t="shared" ca="1" si="10"/>
        <v/>
      </c>
      <c r="B85" s="33" t="str">
        <f t="shared" ca="1" si="11"/>
        <v/>
      </c>
      <c r="C85" s="25" t="str">
        <f t="shared" ca="1" si="15"/>
        <v/>
      </c>
      <c r="D85" s="26" t="str">
        <f t="shared" ca="1" si="16"/>
        <v/>
      </c>
      <c r="E85" s="4" t="str">
        <f t="shared" ca="1" si="17"/>
        <v/>
      </c>
      <c r="F85" s="25" t="str">
        <f t="shared" ca="1" si="18"/>
        <v/>
      </c>
      <c r="G85" s="26" t="str">
        <f t="shared" ca="1" si="19"/>
        <v/>
      </c>
      <c r="H85" s="55" t="str">
        <f t="shared" ca="1" si="12"/>
        <v/>
      </c>
      <c r="J85" s="71"/>
      <c r="L85" s="71"/>
      <c r="N85" s="95" t="str">
        <f t="shared" si="13"/>
        <v/>
      </c>
      <c r="O85" s="95" t="str">
        <f t="shared" si="14"/>
        <v/>
      </c>
    </row>
    <row r="86" spans="1:15" x14ac:dyDescent="0.25">
      <c r="A86" s="98" t="str">
        <f t="shared" ca="1" si="10"/>
        <v/>
      </c>
      <c r="B86" s="33" t="str">
        <f t="shared" ca="1" si="11"/>
        <v/>
      </c>
      <c r="C86" s="25" t="str">
        <f t="shared" ca="1" si="15"/>
        <v/>
      </c>
      <c r="D86" s="26" t="str">
        <f t="shared" ca="1" si="16"/>
        <v/>
      </c>
      <c r="E86" s="4" t="str">
        <f t="shared" ca="1" si="17"/>
        <v/>
      </c>
      <c r="F86" s="25" t="str">
        <f t="shared" ca="1" si="18"/>
        <v/>
      </c>
      <c r="G86" s="26" t="str">
        <f t="shared" ca="1" si="19"/>
        <v/>
      </c>
      <c r="H86" s="55" t="str">
        <f t="shared" ca="1" si="12"/>
        <v/>
      </c>
      <c r="J86" s="71"/>
      <c r="L86" s="71"/>
      <c r="N86" s="95" t="str">
        <f t="shared" si="13"/>
        <v/>
      </c>
      <c r="O86" s="95" t="str">
        <f t="shared" si="14"/>
        <v/>
      </c>
    </row>
    <row r="87" spans="1:15" x14ac:dyDescent="0.25">
      <c r="A87" s="98" t="str">
        <f t="shared" ca="1" si="10"/>
        <v/>
      </c>
      <c r="B87" s="33" t="str">
        <f t="shared" ca="1" si="11"/>
        <v/>
      </c>
      <c r="C87" s="25" t="str">
        <f t="shared" ca="1" si="15"/>
        <v/>
      </c>
      <c r="D87" s="26" t="str">
        <f t="shared" ca="1" si="16"/>
        <v/>
      </c>
      <c r="E87" s="4" t="str">
        <f t="shared" ca="1" si="17"/>
        <v/>
      </c>
      <c r="F87" s="25" t="str">
        <f t="shared" ca="1" si="18"/>
        <v/>
      </c>
      <c r="G87" s="26" t="str">
        <f t="shared" ca="1" si="19"/>
        <v/>
      </c>
      <c r="H87" s="55" t="str">
        <f t="shared" ca="1" si="12"/>
        <v/>
      </c>
      <c r="J87" s="71"/>
      <c r="L87" s="71"/>
      <c r="N87" s="95" t="str">
        <f t="shared" si="13"/>
        <v/>
      </c>
      <c r="O87" s="95" t="str">
        <f t="shared" si="14"/>
        <v/>
      </c>
    </row>
    <row r="88" spans="1:15" x14ac:dyDescent="0.25">
      <c r="A88" s="98" t="str">
        <f t="shared" ca="1" si="10"/>
        <v/>
      </c>
      <c r="B88" s="33" t="str">
        <f t="shared" ca="1" si="11"/>
        <v/>
      </c>
      <c r="C88" s="25" t="str">
        <f t="shared" ca="1" si="15"/>
        <v/>
      </c>
      <c r="D88" s="26" t="str">
        <f t="shared" ca="1" si="16"/>
        <v/>
      </c>
      <c r="E88" s="4" t="str">
        <f t="shared" ca="1" si="17"/>
        <v/>
      </c>
      <c r="F88" s="25" t="str">
        <f t="shared" ca="1" si="18"/>
        <v/>
      </c>
      <c r="G88" s="26" t="str">
        <f t="shared" ca="1" si="19"/>
        <v/>
      </c>
      <c r="H88" s="55" t="str">
        <f t="shared" ca="1" si="12"/>
        <v/>
      </c>
      <c r="J88" s="71"/>
      <c r="L88" s="71"/>
      <c r="N88" s="95" t="str">
        <f t="shared" si="13"/>
        <v/>
      </c>
      <c r="O88" s="95" t="str">
        <f t="shared" si="14"/>
        <v/>
      </c>
    </row>
    <row r="89" spans="1:15" x14ac:dyDescent="0.25">
      <c r="A89" s="98" t="str">
        <f t="shared" ca="1" si="10"/>
        <v/>
      </c>
      <c r="B89" s="33" t="str">
        <f t="shared" ca="1" si="11"/>
        <v/>
      </c>
      <c r="C89" s="25" t="str">
        <f t="shared" ca="1" si="15"/>
        <v/>
      </c>
      <c r="D89" s="26" t="str">
        <f t="shared" ca="1" si="16"/>
        <v/>
      </c>
      <c r="E89" s="4" t="str">
        <f t="shared" ca="1" si="17"/>
        <v/>
      </c>
      <c r="F89" s="25" t="str">
        <f t="shared" ca="1" si="18"/>
        <v/>
      </c>
      <c r="G89" s="26" t="str">
        <f t="shared" ca="1" si="19"/>
        <v/>
      </c>
      <c r="H89" s="55" t="str">
        <f t="shared" ca="1" si="12"/>
        <v/>
      </c>
      <c r="J89" s="71"/>
      <c r="L89" s="71"/>
      <c r="N89" s="95" t="str">
        <f t="shared" si="13"/>
        <v/>
      </c>
      <c r="O89" s="95" t="str">
        <f t="shared" si="14"/>
        <v/>
      </c>
    </row>
    <row r="90" spans="1:15" x14ac:dyDescent="0.25">
      <c r="A90" s="98" t="str">
        <f t="shared" ca="1" si="10"/>
        <v/>
      </c>
      <c r="B90" s="33" t="str">
        <f t="shared" ca="1" si="11"/>
        <v/>
      </c>
      <c r="C90" s="25" t="str">
        <f t="shared" ca="1" si="15"/>
        <v/>
      </c>
      <c r="D90" s="26" t="str">
        <f t="shared" ca="1" si="16"/>
        <v/>
      </c>
      <c r="E90" s="4" t="str">
        <f t="shared" ca="1" si="17"/>
        <v/>
      </c>
      <c r="F90" s="25" t="str">
        <f t="shared" ca="1" si="18"/>
        <v/>
      </c>
      <c r="G90" s="26" t="str">
        <f t="shared" ca="1" si="19"/>
        <v/>
      </c>
      <c r="H90" s="55" t="str">
        <f t="shared" ca="1" si="12"/>
        <v/>
      </c>
      <c r="J90" s="71"/>
      <c r="L90" s="71"/>
      <c r="N90" s="95" t="str">
        <f t="shared" si="13"/>
        <v/>
      </c>
      <c r="O90" s="95" t="str">
        <f t="shared" si="14"/>
        <v/>
      </c>
    </row>
    <row r="91" spans="1:15" x14ac:dyDescent="0.25">
      <c r="A91" s="98" t="str">
        <f t="shared" ca="1" si="10"/>
        <v/>
      </c>
      <c r="B91" s="33" t="str">
        <f t="shared" ca="1" si="11"/>
        <v/>
      </c>
      <c r="C91" s="25" t="str">
        <f t="shared" ca="1" si="15"/>
        <v/>
      </c>
      <c r="D91" s="26" t="str">
        <f t="shared" ca="1" si="16"/>
        <v/>
      </c>
      <c r="E91" s="4" t="str">
        <f t="shared" ca="1" si="17"/>
        <v/>
      </c>
      <c r="F91" s="25" t="str">
        <f t="shared" ca="1" si="18"/>
        <v/>
      </c>
      <c r="G91" s="26" t="str">
        <f t="shared" ca="1" si="19"/>
        <v/>
      </c>
      <c r="H91" s="55" t="str">
        <f t="shared" ca="1" si="12"/>
        <v/>
      </c>
      <c r="J91" s="71"/>
      <c r="L91" s="71"/>
      <c r="N91" s="95" t="str">
        <f t="shared" si="13"/>
        <v/>
      </c>
      <c r="O91" s="95" t="str">
        <f t="shared" si="14"/>
        <v/>
      </c>
    </row>
    <row r="92" spans="1:15" x14ac:dyDescent="0.25">
      <c r="A92" s="98" t="str">
        <f t="shared" ca="1" si="10"/>
        <v/>
      </c>
      <c r="B92" s="33" t="str">
        <f t="shared" ca="1" si="11"/>
        <v/>
      </c>
      <c r="C92" s="25" t="str">
        <f t="shared" ca="1" si="15"/>
        <v/>
      </c>
      <c r="D92" s="26" t="str">
        <f t="shared" ca="1" si="16"/>
        <v/>
      </c>
      <c r="E92" s="4" t="str">
        <f t="shared" ca="1" si="17"/>
        <v/>
      </c>
      <c r="F92" s="25" t="str">
        <f t="shared" ca="1" si="18"/>
        <v/>
      </c>
      <c r="G92" s="26" t="str">
        <f t="shared" ca="1" si="19"/>
        <v/>
      </c>
      <c r="H92" s="55" t="str">
        <f t="shared" ca="1" si="12"/>
        <v/>
      </c>
      <c r="J92" s="71"/>
      <c r="L92" s="71"/>
      <c r="N92" s="95" t="str">
        <f t="shared" si="13"/>
        <v/>
      </c>
      <c r="O92" s="95" t="str">
        <f t="shared" si="14"/>
        <v/>
      </c>
    </row>
    <row r="93" spans="1:15" x14ac:dyDescent="0.25">
      <c r="A93" s="98" t="str">
        <f t="shared" ca="1" si="10"/>
        <v/>
      </c>
      <c r="B93" s="33" t="str">
        <f t="shared" ca="1" si="11"/>
        <v/>
      </c>
      <c r="C93" s="25" t="str">
        <f t="shared" ca="1" si="15"/>
        <v/>
      </c>
      <c r="D93" s="26" t="str">
        <f t="shared" ca="1" si="16"/>
        <v/>
      </c>
      <c r="E93" s="4" t="str">
        <f t="shared" ca="1" si="17"/>
        <v/>
      </c>
      <c r="F93" s="25" t="str">
        <f t="shared" ca="1" si="18"/>
        <v/>
      </c>
      <c r="G93" s="26" t="str">
        <f t="shared" ca="1" si="19"/>
        <v/>
      </c>
      <c r="H93" s="55" t="str">
        <f t="shared" ca="1" si="12"/>
        <v/>
      </c>
      <c r="J93" s="71"/>
      <c r="L93" s="71"/>
      <c r="N93" s="95" t="str">
        <f t="shared" si="13"/>
        <v/>
      </c>
      <c r="O93" s="95" t="str">
        <f t="shared" si="14"/>
        <v/>
      </c>
    </row>
    <row r="94" spans="1:15" x14ac:dyDescent="0.25">
      <c r="A94" s="98" t="str">
        <f t="shared" ca="1" si="10"/>
        <v/>
      </c>
      <c r="B94" s="33" t="str">
        <f t="shared" ca="1" si="11"/>
        <v/>
      </c>
      <c r="C94" s="25" t="str">
        <f t="shared" ca="1" si="15"/>
        <v/>
      </c>
      <c r="D94" s="26" t="str">
        <f t="shared" ca="1" si="16"/>
        <v/>
      </c>
      <c r="E94" s="4" t="str">
        <f t="shared" ca="1" si="17"/>
        <v/>
      </c>
      <c r="F94" s="25" t="str">
        <f t="shared" ca="1" si="18"/>
        <v/>
      </c>
      <c r="G94" s="26" t="str">
        <f t="shared" ca="1" si="19"/>
        <v/>
      </c>
      <c r="H94" s="55" t="str">
        <f t="shared" ca="1" si="12"/>
        <v/>
      </c>
      <c r="J94" s="71"/>
      <c r="L94" s="71"/>
      <c r="N94" s="95" t="str">
        <f t="shared" si="13"/>
        <v/>
      </c>
      <c r="O94" s="95" t="str">
        <f t="shared" si="14"/>
        <v/>
      </c>
    </row>
    <row r="95" spans="1:15" x14ac:dyDescent="0.25">
      <c r="A95" s="98" t="str">
        <f t="shared" ca="1" si="10"/>
        <v/>
      </c>
      <c r="B95" s="33" t="str">
        <f t="shared" ca="1" si="11"/>
        <v/>
      </c>
      <c r="C95" s="25" t="str">
        <f t="shared" ca="1" si="15"/>
        <v/>
      </c>
      <c r="D95" s="26" t="str">
        <f t="shared" ca="1" si="16"/>
        <v/>
      </c>
      <c r="E95" s="4" t="str">
        <f t="shared" ca="1" si="17"/>
        <v/>
      </c>
      <c r="F95" s="25" t="str">
        <f t="shared" ca="1" si="18"/>
        <v/>
      </c>
      <c r="G95" s="26" t="str">
        <f t="shared" ca="1" si="19"/>
        <v/>
      </c>
      <c r="H95" s="55" t="str">
        <f t="shared" ca="1" si="12"/>
        <v/>
      </c>
      <c r="J95" s="71"/>
      <c r="L95" s="71"/>
      <c r="N95" s="95" t="str">
        <f t="shared" si="13"/>
        <v/>
      </c>
      <c r="O95" s="95" t="str">
        <f t="shared" si="14"/>
        <v/>
      </c>
    </row>
    <row r="96" spans="1:15" x14ac:dyDescent="0.25">
      <c r="A96" s="98" t="str">
        <f t="shared" ca="1" si="10"/>
        <v/>
      </c>
      <c r="B96" s="33" t="str">
        <f t="shared" ca="1" si="11"/>
        <v/>
      </c>
      <c r="C96" s="25" t="str">
        <f t="shared" ca="1" si="15"/>
        <v/>
      </c>
      <c r="D96" s="26" t="str">
        <f t="shared" ca="1" si="16"/>
        <v/>
      </c>
      <c r="E96" s="4" t="str">
        <f t="shared" ca="1" si="17"/>
        <v/>
      </c>
      <c r="F96" s="25" t="str">
        <f t="shared" ca="1" si="18"/>
        <v/>
      </c>
      <c r="G96" s="26" t="str">
        <f t="shared" ca="1" si="19"/>
        <v/>
      </c>
      <c r="H96" s="55" t="str">
        <f t="shared" ca="1" si="12"/>
        <v/>
      </c>
      <c r="J96" s="71"/>
      <c r="L96" s="71"/>
      <c r="N96" s="95" t="str">
        <f t="shared" si="13"/>
        <v/>
      </c>
      <c r="O96" s="95" t="str">
        <f t="shared" si="14"/>
        <v/>
      </c>
    </row>
    <row r="97" spans="1:15" x14ac:dyDescent="0.25">
      <c r="A97" s="98" t="str">
        <f t="shared" ca="1" si="10"/>
        <v/>
      </c>
      <c r="B97" s="33" t="str">
        <f t="shared" ca="1" si="11"/>
        <v/>
      </c>
      <c r="C97" s="25" t="str">
        <f t="shared" ca="1" si="15"/>
        <v/>
      </c>
      <c r="D97" s="26" t="str">
        <f t="shared" ca="1" si="16"/>
        <v/>
      </c>
      <c r="E97" s="4" t="str">
        <f t="shared" ca="1" si="17"/>
        <v/>
      </c>
      <c r="F97" s="25" t="str">
        <f t="shared" ca="1" si="18"/>
        <v/>
      </c>
      <c r="G97" s="26" t="str">
        <f t="shared" ca="1" si="19"/>
        <v/>
      </c>
      <c r="H97" s="55" t="str">
        <f t="shared" ca="1" si="12"/>
        <v/>
      </c>
      <c r="J97" s="71"/>
      <c r="L97" s="71"/>
      <c r="N97" s="95" t="str">
        <f t="shared" si="13"/>
        <v/>
      </c>
      <c r="O97" s="95" t="str">
        <f t="shared" si="14"/>
        <v/>
      </c>
    </row>
    <row r="98" spans="1:15" x14ac:dyDescent="0.25">
      <c r="A98" s="98" t="str">
        <f t="shared" ca="1" si="10"/>
        <v/>
      </c>
      <c r="B98" s="33" t="str">
        <f t="shared" ca="1" si="11"/>
        <v/>
      </c>
      <c r="C98" s="25" t="str">
        <f t="shared" ca="1" si="15"/>
        <v/>
      </c>
      <c r="D98" s="26" t="str">
        <f t="shared" ca="1" si="16"/>
        <v/>
      </c>
      <c r="E98" s="4" t="str">
        <f t="shared" ca="1" si="17"/>
        <v/>
      </c>
      <c r="F98" s="25" t="str">
        <f t="shared" ca="1" si="18"/>
        <v/>
      </c>
      <c r="G98" s="26" t="str">
        <f t="shared" ca="1" si="19"/>
        <v/>
      </c>
      <c r="H98" s="55" t="str">
        <f t="shared" ca="1" si="12"/>
        <v/>
      </c>
      <c r="J98" s="71"/>
      <c r="L98" s="71"/>
      <c r="N98" s="95" t="str">
        <f t="shared" si="13"/>
        <v/>
      </c>
      <c r="O98" s="95" t="str">
        <f t="shared" si="14"/>
        <v/>
      </c>
    </row>
    <row r="99" spans="1:15" x14ac:dyDescent="0.25">
      <c r="A99" s="98" t="str">
        <f t="shared" ca="1" si="10"/>
        <v/>
      </c>
      <c r="B99" s="33" t="str">
        <f t="shared" ca="1" si="11"/>
        <v/>
      </c>
      <c r="C99" s="25" t="str">
        <f t="shared" ca="1" si="15"/>
        <v/>
      </c>
      <c r="D99" s="26" t="str">
        <f t="shared" ca="1" si="16"/>
        <v/>
      </c>
      <c r="E99" s="4" t="str">
        <f t="shared" ca="1" si="17"/>
        <v/>
      </c>
      <c r="F99" s="25" t="str">
        <f t="shared" ca="1" si="18"/>
        <v/>
      </c>
      <c r="G99" s="26" t="str">
        <f t="shared" ca="1" si="19"/>
        <v/>
      </c>
      <c r="H99" s="55" t="str">
        <f t="shared" ca="1" si="12"/>
        <v/>
      </c>
      <c r="J99" s="71"/>
      <c r="L99" s="71"/>
      <c r="N99" s="95" t="str">
        <f t="shared" si="13"/>
        <v/>
      </c>
      <c r="O99" s="95" t="str">
        <f t="shared" si="14"/>
        <v/>
      </c>
    </row>
    <row r="100" spans="1:15" x14ac:dyDescent="0.25">
      <c r="A100" s="98" t="str">
        <f t="shared" ca="1" si="10"/>
        <v/>
      </c>
      <c r="B100" s="33" t="str">
        <f t="shared" ca="1" si="11"/>
        <v/>
      </c>
      <c r="C100" s="25" t="str">
        <f t="shared" ca="1" si="15"/>
        <v/>
      </c>
      <c r="D100" s="26" t="str">
        <f t="shared" ca="1" si="16"/>
        <v/>
      </c>
      <c r="E100" s="4" t="str">
        <f t="shared" ca="1" si="17"/>
        <v/>
      </c>
      <c r="F100" s="25" t="str">
        <f t="shared" ca="1" si="18"/>
        <v/>
      </c>
      <c r="G100" s="26" t="str">
        <f t="shared" ca="1" si="19"/>
        <v/>
      </c>
      <c r="H100" s="55" t="str">
        <f t="shared" ca="1" si="12"/>
        <v/>
      </c>
      <c r="J100" s="71"/>
      <c r="L100" s="71"/>
      <c r="N100" s="95" t="str">
        <f t="shared" si="13"/>
        <v/>
      </c>
      <c r="O100" s="95" t="str">
        <f t="shared" si="14"/>
        <v/>
      </c>
    </row>
    <row r="101" spans="1:15" x14ac:dyDescent="0.25">
      <c r="A101" s="98" t="str">
        <f t="shared" ca="1" si="10"/>
        <v/>
      </c>
      <c r="B101" s="33" t="str">
        <f t="shared" ca="1" si="11"/>
        <v/>
      </c>
      <c r="C101" s="25" t="str">
        <f t="shared" ca="1" si="15"/>
        <v/>
      </c>
      <c r="D101" s="26" t="str">
        <f t="shared" ca="1" si="16"/>
        <v/>
      </c>
      <c r="E101" s="4" t="str">
        <f t="shared" ca="1" si="17"/>
        <v/>
      </c>
      <c r="F101" s="25" t="str">
        <f t="shared" ca="1" si="18"/>
        <v/>
      </c>
      <c r="G101" s="26" t="str">
        <f t="shared" ca="1" si="19"/>
        <v/>
      </c>
      <c r="H101" s="55" t="str">
        <f t="shared" ca="1" si="12"/>
        <v/>
      </c>
      <c r="J101" s="71"/>
      <c r="L101" s="71"/>
      <c r="N101" s="95" t="str">
        <f t="shared" si="13"/>
        <v/>
      </c>
      <c r="O101" s="95" t="str">
        <f t="shared" si="14"/>
        <v/>
      </c>
    </row>
    <row r="102" spans="1:15" x14ac:dyDescent="0.25">
      <c r="A102" s="98" t="str">
        <f t="shared" ca="1" si="10"/>
        <v/>
      </c>
      <c r="B102" s="33" t="str">
        <f t="shared" ca="1" si="11"/>
        <v/>
      </c>
      <c r="C102" s="25" t="str">
        <f t="shared" ca="1" si="15"/>
        <v/>
      </c>
      <c r="D102" s="26" t="str">
        <f t="shared" ca="1" si="16"/>
        <v/>
      </c>
      <c r="E102" s="4" t="str">
        <f t="shared" ca="1" si="17"/>
        <v/>
      </c>
      <c r="F102" s="25" t="str">
        <f t="shared" ca="1" si="18"/>
        <v/>
      </c>
      <c r="G102" s="26" t="str">
        <f t="shared" ca="1" si="19"/>
        <v/>
      </c>
      <c r="H102" s="55" t="str">
        <f t="shared" ca="1" si="12"/>
        <v/>
      </c>
      <c r="J102" s="71"/>
      <c r="L102" s="71"/>
      <c r="N102" s="95" t="str">
        <f t="shared" si="13"/>
        <v/>
      </c>
      <c r="O102" s="95" t="str">
        <f t="shared" si="14"/>
        <v/>
      </c>
    </row>
    <row r="103" spans="1:15" x14ac:dyDescent="0.25">
      <c r="A103" s="98" t="str">
        <f t="shared" ca="1" si="10"/>
        <v/>
      </c>
      <c r="B103" s="33" t="str">
        <f t="shared" ca="1" si="11"/>
        <v/>
      </c>
      <c r="C103" s="25" t="str">
        <f t="shared" ca="1" si="15"/>
        <v/>
      </c>
      <c r="D103" s="26" t="str">
        <f t="shared" ca="1" si="16"/>
        <v/>
      </c>
      <c r="E103" s="4" t="str">
        <f t="shared" ca="1" si="17"/>
        <v/>
      </c>
      <c r="F103" s="25" t="str">
        <f t="shared" ca="1" si="18"/>
        <v/>
      </c>
      <c r="G103" s="26" t="str">
        <f t="shared" ca="1" si="19"/>
        <v/>
      </c>
      <c r="H103" s="55" t="str">
        <f t="shared" ca="1" si="12"/>
        <v/>
      </c>
      <c r="J103" s="71"/>
      <c r="L103" s="71"/>
      <c r="N103" s="95" t="str">
        <f t="shared" si="13"/>
        <v/>
      </c>
      <c r="O103" s="95" t="str">
        <f t="shared" si="14"/>
        <v/>
      </c>
    </row>
    <row r="104" spans="1:15" x14ac:dyDescent="0.25">
      <c r="A104" s="98" t="str">
        <f t="shared" ca="1" si="10"/>
        <v/>
      </c>
      <c r="B104" s="33" t="str">
        <f t="shared" ca="1" si="11"/>
        <v/>
      </c>
      <c r="C104" s="25" t="str">
        <f t="shared" ca="1" si="15"/>
        <v/>
      </c>
      <c r="D104" s="26" t="str">
        <f t="shared" ca="1" si="16"/>
        <v/>
      </c>
      <c r="E104" s="4" t="str">
        <f t="shared" ca="1" si="17"/>
        <v/>
      </c>
      <c r="F104" s="25" t="str">
        <f t="shared" ca="1" si="18"/>
        <v/>
      </c>
      <c r="G104" s="26" t="str">
        <f t="shared" ca="1" si="19"/>
        <v/>
      </c>
      <c r="H104" s="55" t="str">
        <f t="shared" ca="1" si="12"/>
        <v/>
      </c>
      <c r="J104" s="71"/>
      <c r="L104" s="71"/>
      <c r="N104" s="95" t="str">
        <f t="shared" si="13"/>
        <v/>
      </c>
      <c r="O104" s="95" t="str">
        <f t="shared" si="14"/>
        <v/>
      </c>
    </row>
    <row r="105" spans="1:15" x14ac:dyDescent="0.25">
      <c r="A105" s="98" t="str">
        <f t="shared" ref="A105:A142" ca="1" si="20">IF(AND(ISBLANK(P94), A104 = $P$1),NOW(),IF(ISBLANK(P94),"",P94))</f>
        <v/>
      </c>
      <c r="B105" s="33" t="str">
        <f t="shared" ref="B105:B142" ca="1" si="21">IF(COUNTIF(J:J,A105)=1,VLOOKUP(A105,J:K,2), IF(COUNTIF(J:J,A105)=0,$B$10,""))</f>
        <v/>
      </c>
      <c r="C105" s="25" t="str">
        <f t="shared" ca="1" si="15"/>
        <v/>
      </c>
      <c r="D105" s="26" t="str">
        <f t="shared" ca="1" si="16"/>
        <v/>
      </c>
      <c r="E105" s="4" t="str">
        <f t="shared" ca="1" si="17"/>
        <v/>
      </c>
      <c r="F105" s="25" t="str">
        <f t="shared" ca="1" si="18"/>
        <v/>
      </c>
      <c r="G105" s="26" t="str">
        <f t="shared" ca="1" si="19"/>
        <v/>
      </c>
      <c r="H105" s="55" t="str">
        <f t="shared" ref="H105:H142" ca="1" si="22">IF(ISERROR(B105-2),"",C105+D105-F105-G105)</f>
        <v/>
      </c>
      <c r="J105" s="71"/>
      <c r="L105" s="71"/>
      <c r="N105" s="95" t="str">
        <f t="shared" si="13"/>
        <v/>
      </c>
      <c r="O105" s="95" t="str">
        <f t="shared" si="14"/>
        <v/>
      </c>
    </row>
    <row r="106" spans="1:15" x14ac:dyDescent="0.25">
      <c r="A106" s="98" t="str">
        <f t="shared" ca="1" si="20"/>
        <v/>
      </c>
      <c r="B106" s="33" t="str">
        <f t="shared" ca="1" si="21"/>
        <v/>
      </c>
      <c r="C106" s="25" t="str">
        <f t="shared" ca="1" si="15"/>
        <v/>
      </c>
      <c r="D106" s="26" t="str">
        <f t="shared" ca="1" si="16"/>
        <v/>
      </c>
      <c r="E106" s="4" t="str">
        <f t="shared" ca="1" si="17"/>
        <v/>
      </c>
      <c r="F106" s="25" t="str">
        <f t="shared" ca="1" si="18"/>
        <v/>
      </c>
      <c r="G106" s="26" t="str">
        <f t="shared" ca="1" si="19"/>
        <v/>
      </c>
      <c r="H106" s="55" t="str">
        <f t="shared" ca="1" si="22"/>
        <v/>
      </c>
      <c r="J106" s="71"/>
      <c r="L106" s="71"/>
      <c r="N106" s="95" t="str">
        <f t="shared" si="13"/>
        <v/>
      </c>
      <c r="O106" s="95" t="str">
        <f t="shared" si="14"/>
        <v/>
      </c>
    </row>
    <row r="107" spans="1:15" x14ac:dyDescent="0.25">
      <c r="A107" s="98" t="str">
        <f t="shared" ca="1" si="20"/>
        <v/>
      </c>
      <c r="B107" s="33" t="str">
        <f t="shared" ca="1" si="21"/>
        <v/>
      </c>
      <c r="C107" s="25" t="str">
        <f t="shared" ca="1" si="15"/>
        <v/>
      </c>
      <c r="D107" s="26" t="str">
        <f t="shared" ca="1" si="16"/>
        <v/>
      </c>
      <c r="E107" s="4" t="str">
        <f t="shared" ca="1" si="17"/>
        <v/>
      </c>
      <c r="F107" s="25" t="str">
        <f t="shared" ca="1" si="18"/>
        <v/>
      </c>
      <c r="G107" s="26" t="str">
        <f t="shared" ca="1" si="19"/>
        <v/>
      </c>
      <c r="H107" s="55" t="str">
        <f t="shared" ca="1" si="22"/>
        <v/>
      </c>
      <c r="J107" s="71"/>
      <c r="L107" s="71"/>
      <c r="N107" s="95" t="str">
        <f t="shared" si="13"/>
        <v/>
      </c>
      <c r="O107" s="95" t="str">
        <f t="shared" si="14"/>
        <v/>
      </c>
    </row>
    <row r="108" spans="1:15" x14ac:dyDescent="0.25">
      <c r="A108" s="98" t="str">
        <f t="shared" ca="1" si="20"/>
        <v/>
      </c>
      <c r="B108" s="33" t="str">
        <f t="shared" ca="1" si="21"/>
        <v/>
      </c>
      <c r="C108" s="25" t="str">
        <f t="shared" ca="1" si="15"/>
        <v/>
      </c>
      <c r="D108" s="26" t="str">
        <f t="shared" ca="1" si="16"/>
        <v/>
      </c>
      <c r="E108" s="4" t="str">
        <f t="shared" ca="1" si="17"/>
        <v/>
      </c>
      <c r="F108" s="25" t="str">
        <f t="shared" ca="1" si="18"/>
        <v/>
      </c>
      <c r="G108" s="26" t="str">
        <f t="shared" ca="1" si="19"/>
        <v/>
      </c>
      <c r="H108" s="55" t="str">
        <f t="shared" ca="1" si="22"/>
        <v/>
      </c>
      <c r="J108" s="71"/>
      <c r="L108" s="71"/>
      <c r="N108" s="95" t="str">
        <f t="shared" si="13"/>
        <v/>
      </c>
      <c r="O108" s="95" t="str">
        <f t="shared" si="14"/>
        <v/>
      </c>
    </row>
    <row r="109" spans="1:15" x14ac:dyDescent="0.25">
      <c r="A109" s="98" t="str">
        <f t="shared" ca="1" si="20"/>
        <v/>
      </c>
      <c r="B109" s="33" t="str">
        <f t="shared" ca="1" si="21"/>
        <v/>
      </c>
      <c r="C109" s="25" t="str">
        <f t="shared" ca="1" si="15"/>
        <v/>
      </c>
      <c r="D109" s="26" t="str">
        <f t="shared" ca="1" si="16"/>
        <v/>
      </c>
      <c r="E109" s="4" t="str">
        <f t="shared" ca="1" si="17"/>
        <v/>
      </c>
      <c r="F109" s="25" t="str">
        <f t="shared" ca="1" si="18"/>
        <v/>
      </c>
      <c r="G109" s="26" t="str">
        <f t="shared" ca="1" si="19"/>
        <v/>
      </c>
      <c r="H109" s="55" t="str">
        <f t="shared" ca="1" si="22"/>
        <v/>
      </c>
      <c r="J109" s="71"/>
      <c r="L109" s="71"/>
      <c r="N109" s="95" t="str">
        <f t="shared" si="13"/>
        <v/>
      </c>
      <c r="O109" s="95" t="str">
        <f t="shared" si="14"/>
        <v/>
      </c>
    </row>
    <row r="110" spans="1:15" x14ac:dyDescent="0.25">
      <c r="A110" s="98" t="str">
        <f t="shared" ca="1" si="20"/>
        <v/>
      </c>
      <c r="B110" s="33" t="str">
        <f t="shared" ca="1" si="21"/>
        <v/>
      </c>
      <c r="C110" s="25" t="str">
        <f t="shared" ca="1" si="15"/>
        <v/>
      </c>
      <c r="D110" s="26" t="str">
        <f t="shared" ca="1" si="16"/>
        <v/>
      </c>
      <c r="E110" s="4" t="str">
        <f t="shared" ca="1" si="17"/>
        <v/>
      </c>
      <c r="F110" s="25" t="str">
        <f t="shared" ca="1" si="18"/>
        <v/>
      </c>
      <c r="G110" s="26" t="str">
        <f t="shared" ca="1" si="19"/>
        <v/>
      </c>
      <c r="H110" s="55" t="str">
        <f t="shared" ca="1" si="22"/>
        <v/>
      </c>
      <c r="J110" s="71"/>
      <c r="L110" s="71"/>
      <c r="N110" s="95" t="str">
        <f t="shared" si="13"/>
        <v/>
      </c>
      <c r="O110" s="95" t="str">
        <f t="shared" si="14"/>
        <v/>
      </c>
    </row>
    <row r="111" spans="1:15" x14ac:dyDescent="0.25">
      <c r="A111" s="98" t="str">
        <f t="shared" ca="1" si="20"/>
        <v/>
      </c>
      <c r="B111" s="33" t="str">
        <f t="shared" ca="1" si="21"/>
        <v/>
      </c>
      <c r="C111" s="25" t="str">
        <f t="shared" ca="1" si="15"/>
        <v/>
      </c>
      <c r="D111" s="26" t="str">
        <f t="shared" ca="1" si="16"/>
        <v/>
      </c>
      <c r="E111" s="4" t="str">
        <f t="shared" ca="1" si="17"/>
        <v/>
      </c>
      <c r="F111" s="25" t="str">
        <f t="shared" ca="1" si="18"/>
        <v/>
      </c>
      <c r="G111" s="26" t="str">
        <f t="shared" ca="1" si="19"/>
        <v/>
      </c>
      <c r="H111" s="55" t="str">
        <f t="shared" ca="1" si="22"/>
        <v/>
      </c>
      <c r="J111" s="71"/>
      <c r="L111" s="71"/>
      <c r="N111" s="95" t="str">
        <f t="shared" si="13"/>
        <v/>
      </c>
      <c r="O111" s="95" t="str">
        <f t="shared" si="14"/>
        <v/>
      </c>
    </row>
    <row r="112" spans="1:15" x14ac:dyDescent="0.25">
      <c r="A112" s="98" t="str">
        <f t="shared" ca="1" si="20"/>
        <v/>
      </c>
      <c r="B112" s="33" t="str">
        <f t="shared" ca="1" si="21"/>
        <v/>
      </c>
      <c r="C112" s="25" t="str">
        <f t="shared" ca="1" si="15"/>
        <v/>
      </c>
      <c r="D112" s="26" t="str">
        <f t="shared" ca="1" si="16"/>
        <v/>
      </c>
      <c r="E112" s="4" t="str">
        <f t="shared" ca="1" si="17"/>
        <v/>
      </c>
      <c r="F112" s="25" t="str">
        <f t="shared" ca="1" si="18"/>
        <v/>
      </c>
      <c r="G112" s="26" t="str">
        <f t="shared" ca="1" si="19"/>
        <v/>
      </c>
      <c r="H112" s="55" t="str">
        <f t="shared" ca="1" si="22"/>
        <v/>
      </c>
      <c r="J112" s="71"/>
      <c r="L112" s="71"/>
      <c r="N112" s="95" t="str">
        <f t="shared" si="13"/>
        <v/>
      </c>
      <c r="O112" s="95" t="str">
        <f t="shared" si="14"/>
        <v/>
      </c>
    </row>
    <row r="113" spans="1:15" x14ac:dyDescent="0.25">
      <c r="A113" s="98" t="str">
        <f t="shared" ca="1" si="20"/>
        <v/>
      </c>
      <c r="B113" s="33" t="str">
        <f t="shared" ca="1" si="21"/>
        <v/>
      </c>
      <c r="C113" s="25" t="str">
        <f t="shared" ca="1" si="15"/>
        <v/>
      </c>
      <c r="D113" s="26" t="str">
        <f t="shared" ca="1" si="16"/>
        <v/>
      </c>
      <c r="E113" s="4" t="str">
        <f t="shared" ca="1" si="17"/>
        <v/>
      </c>
      <c r="F113" s="25" t="str">
        <f t="shared" ca="1" si="18"/>
        <v/>
      </c>
      <c r="G113" s="26" t="str">
        <f t="shared" ca="1" si="19"/>
        <v/>
      </c>
      <c r="H113" s="55" t="str">
        <f t="shared" ca="1" si="22"/>
        <v/>
      </c>
      <c r="J113" s="71"/>
      <c r="L113" s="71"/>
      <c r="N113" s="95" t="str">
        <f t="shared" si="13"/>
        <v/>
      </c>
      <c r="O113" s="95" t="str">
        <f t="shared" si="14"/>
        <v/>
      </c>
    </row>
    <row r="114" spans="1:15" x14ac:dyDescent="0.25">
      <c r="A114" s="98" t="str">
        <f t="shared" ca="1" si="20"/>
        <v/>
      </c>
      <c r="B114" s="33" t="str">
        <f t="shared" ca="1" si="21"/>
        <v/>
      </c>
      <c r="C114" s="25" t="str">
        <f t="shared" ca="1" si="15"/>
        <v/>
      </c>
      <c r="D114" s="26" t="str">
        <f t="shared" ca="1" si="16"/>
        <v/>
      </c>
      <c r="E114" s="4" t="str">
        <f t="shared" ca="1" si="17"/>
        <v/>
      </c>
      <c r="F114" s="25" t="str">
        <f t="shared" ca="1" si="18"/>
        <v/>
      </c>
      <c r="G114" s="26" t="str">
        <f t="shared" ca="1" si="19"/>
        <v/>
      </c>
      <c r="H114" s="55" t="str">
        <f t="shared" ca="1" si="22"/>
        <v/>
      </c>
      <c r="J114" s="71"/>
      <c r="L114" s="71"/>
      <c r="N114" s="95" t="str">
        <f t="shared" si="13"/>
        <v/>
      </c>
      <c r="O114" s="95" t="str">
        <f t="shared" si="14"/>
        <v/>
      </c>
    </row>
    <row r="115" spans="1:15" x14ac:dyDescent="0.25">
      <c r="A115" s="98" t="str">
        <f t="shared" ca="1" si="20"/>
        <v/>
      </c>
      <c r="B115" s="33" t="str">
        <f t="shared" ca="1" si="21"/>
        <v/>
      </c>
      <c r="C115" s="25" t="str">
        <f t="shared" ca="1" si="15"/>
        <v/>
      </c>
      <c r="D115" s="26" t="str">
        <f t="shared" ca="1" si="16"/>
        <v/>
      </c>
      <c r="E115" s="4" t="str">
        <f t="shared" ca="1" si="17"/>
        <v/>
      </c>
      <c r="F115" s="25" t="str">
        <f t="shared" ca="1" si="18"/>
        <v/>
      </c>
      <c r="G115" s="26" t="str">
        <f t="shared" ca="1" si="19"/>
        <v/>
      </c>
      <c r="H115" s="55" t="str">
        <f t="shared" ca="1" si="22"/>
        <v/>
      </c>
      <c r="J115" s="71"/>
      <c r="L115" s="71"/>
      <c r="N115" s="95" t="str">
        <f t="shared" si="13"/>
        <v/>
      </c>
      <c r="O115" s="95" t="str">
        <f t="shared" si="14"/>
        <v/>
      </c>
    </row>
    <row r="116" spans="1:15" x14ac:dyDescent="0.25">
      <c r="A116" s="98" t="str">
        <f t="shared" ca="1" si="20"/>
        <v/>
      </c>
      <c r="B116" s="33" t="str">
        <f t="shared" ca="1" si="21"/>
        <v/>
      </c>
      <c r="C116" s="25" t="str">
        <f t="shared" ca="1" si="15"/>
        <v/>
      </c>
      <c r="D116" s="26" t="str">
        <f t="shared" ca="1" si="16"/>
        <v/>
      </c>
      <c r="E116" s="4" t="str">
        <f t="shared" ca="1" si="17"/>
        <v/>
      </c>
      <c r="F116" s="25" t="str">
        <f t="shared" ca="1" si="18"/>
        <v/>
      </c>
      <c r="G116" s="26" t="str">
        <f t="shared" ca="1" si="19"/>
        <v/>
      </c>
      <c r="H116" s="55" t="str">
        <f t="shared" ca="1" si="22"/>
        <v/>
      </c>
      <c r="J116" s="71"/>
      <c r="L116" s="71"/>
      <c r="N116" s="95" t="str">
        <f t="shared" si="13"/>
        <v/>
      </c>
      <c r="O116" s="95" t="str">
        <f t="shared" si="14"/>
        <v/>
      </c>
    </row>
    <row r="117" spans="1:15" x14ac:dyDescent="0.25">
      <c r="A117" s="98" t="str">
        <f t="shared" ca="1" si="20"/>
        <v/>
      </c>
      <c r="B117" s="33" t="str">
        <f t="shared" ca="1" si="21"/>
        <v/>
      </c>
      <c r="C117" s="25" t="str">
        <f t="shared" ca="1" si="15"/>
        <v/>
      </c>
      <c r="D117" s="26" t="str">
        <f t="shared" ca="1" si="16"/>
        <v/>
      </c>
      <c r="E117" s="4" t="str">
        <f t="shared" ca="1" si="17"/>
        <v/>
      </c>
      <c r="F117" s="25" t="str">
        <f t="shared" ca="1" si="18"/>
        <v/>
      </c>
      <c r="G117" s="26" t="str">
        <f t="shared" ca="1" si="19"/>
        <v/>
      </c>
      <c r="H117" s="55" t="str">
        <f t="shared" ca="1" si="22"/>
        <v/>
      </c>
      <c r="J117" s="71"/>
      <c r="L117" s="71"/>
      <c r="N117" s="95" t="str">
        <f t="shared" si="13"/>
        <v/>
      </c>
      <c r="O117" s="95" t="str">
        <f t="shared" si="14"/>
        <v/>
      </c>
    </row>
    <row r="118" spans="1:15" x14ac:dyDescent="0.25">
      <c r="A118" s="98" t="str">
        <f t="shared" ca="1" si="20"/>
        <v/>
      </c>
      <c r="B118" s="33" t="str">
        <f t="shared" ca="1" si="21"/>
        <v/>
      </c>
      <c r="C118" s="25" t="str">
        <f t="shared" ca="1" si="15"/>
        <v/>
      </c>
      <c r="D118" s="26" t="str">
        <f t="shared" ca="1" si="16"/>
        <v/>
      </c>
      <c r="E118" s="4" t="str">
        <f t="shared" ca="1" si="17"/>
        <v/>
      </c>
      <c r="F118" s="25" t="str">
        <f t="shared" ca="1" si="18"/>
        <v/>
      </c>
      <c r="G118" s="26" t="str">
        <f t="shared" ca="1" si="19"/>
        <v/>
      </c>
      <c r="H118" s="55" t="str">
        <f t="shared" ca="1" si="22"/>
        <v/>
      </c>
      <c r="J118" s="71"/>
      <c r="L118" s="71"/>
      <c r="N118" s="95" t="str">
        <f t="shared" si="13"/>
        <v/>
      </c>
      <c r="O118" s="95" t="str">
        <f t="shared" si="14"/>
        <v/>
      </c>
    </row>
    <row r="119" spans="1:15" x14ac:dyDescent="0.25">
      <c r="A119" s="98" t="str">
        <f t="shared" ca="1" si="20"/>
        <v/>
      </c>
      <c r="B119" s="33" t="str">
        <f t="shared" ca="1" si="21"/>
        <v/>
      </c>
      <c r="C119" s="25" t="str">
        <f t="shared" ca="1" si="15"/>
        <v/>
      </c>
      <c r="D119" s="26" t="str">
        <f t="shared" ca="1" si="16"/>
        <v/>
      </c>
      <c r="E119" s="4" t="str">
        <f t="shared" ca="1" si="17"/>
        <v/>
      </c>
      <c r="F119" s="25" t="str">
        <f t="shared" ca="1" si="18"/>
        <v/>
      </c>
      <c r="G119" s="26" t="str">
        <f t="shared" ca="1" si="19"/>
        <v/>
      </c>
      <c r="H119" s="55" t="str">
        <f t="shared" ca="1" si="22"/>
        <v/>
      </c>
      <c r="J119" s="71"/>
      <c r="L119" s="71"/>
      <c r="N119" s="95" t="str">
        <f t="shared" si="13"/>
        <v/>
      </c>
      <c r="O119" s="95" t="str">
        <f t="shared" si="14"/>
        <v/>
      </c>
    </row>
    <row r="120" spans="1:15" x14ac:dyDescent="0.25">
      <c r="A120" s="98" t="str">
        <f t="shared" ca="1" si="20"/>
        <v/>
      </c>
      <c r="B120" s="33" t="str">
        <f t="shared" ca="1" si="21"/>
        <v/>
      </c>
      <c r="C120" s="25" t="str">
        <f t="shared" ca="1" si="15"/>
        <v/>
      </c>
      <c r="D120" s="26" t="str">
        <f t="shared" ca="1" si="16"/>
        <v/>
      </c>
      <c r="E120" s="4" t="str">
        <f t="shared" ca="1" si="17"/>
        <v/>
      </c>
      <c r="F120" s="25" t="str">
        <f t="shared" ca="1" si="18"/>
        <v/>
      </c>
      <c r="G120" s="26" t="str">
        <f t="shared" ca="1" si="19"/>
        <v/>
      </c>
      <c r="H120" s="55" t="str">
        <f t="shared" ca="1" si="22"/>
        <v/>
      </c>
      <c r="J120" s="71"/>
      <c r="L120" s="71"/>
      <c r="N120" s="95" t="str">
        <f t="shared" si="13"/>
        <v/>
      </c>
      <c r="O120" s="95" t="str">
        <f t="shared" si="14"/>
        <v/>
      </c>
    </row>
    <row r="121" spans="1:15" x14ac:dyDescent="0.25">
      <c r="A121" s="98" t="str">
        <f t="shared" ca="1" si="20"/>
        <v/>
      </c>
      <c r="B121" s="33" t="str">
        <f t="shared" ca="1" si="21"/>
        <v/>
      </c>
      <c r="C121" s="25" t="str">
        <f t="shared" ca="1" si="15"/>
        <v/>
      </c>
      <c r="D121" s="26" t="str">
        <f t="shared" ca="1" si="16"/>
        <v/>
      </c>
      <c r="E121" s="4" t="str">
        <f t="shared" ca="1" si="17"/>
        <v/>
      </c>
      <c r="F121" s="25" t="str">
        <f t="shared" ca="1" si="18"/>
        <v/>
      </c>
      <c r="G121" s="26" t="str">
        <f t="shared" ca="1" si="19"/>
        <v/>
      </c>
      <c r="H121" s="55" t="str">
        <f t="shared" ca="1" si="22"/>
        <v/>
      </c>
      <c r="J121" s="71"/>
      <c r="L121" s="71"/>
      <c r="N121" s="95" t="str">
        <f t="shared" si="13"/>
        <v/>
      </c>
      <c r="O121" s="95" t="str">
        <f t="shared" si="14"/>
        <v/>
      </c>
    </row>
    <row r="122" spans="1:15" x14ac:dyDescent="0.25">
      <c r="A122" s="98" t="str">
        <f t="shared" ca="1" si="20"/>
        <v/>
      </c>
      <c r="B122" s="33" t="str">
        <f t="shared" ca="1" si="21"/>
        <v/>
      </c>
      <c r="C122" s="25" t="str">
        <f t="shared" ca="1" si="15"/>
        <v/>
      </c>
      <c r="D122" s="26" t="str">
        <f t="shared" ca="1" si="16"/>
        <v/>
      </c>
      <c r="E122" s="4" t="str">
        <f t="shared" ca="1" si="17"/>
        <v/>
      </c>
      <c r="F122" s="25" t="str">
        <f t="shared" ca="1" si="18"/>
        <v/>
      </c>
      <c r="G122" s="26" t="str">
        <f t="shared" ca="1" si="19"/>
        <v/>
      </c>
      <c r="H122" s="55" t="str">
        <f t="shared" ca="1" si="22"/>
        <v/>
      </c>
      <c r="J122" s="71"/>
      <c r="L122" s="71"/>
      <c r="N122" s="95" t="str">
        <f t="shared" si="13"/>
        <v/>
      </c>
      <c r="O122" s="95" t="str">
        <f t="shared" si="14"/>
        <v/>
      </c>
    </row>
    <row r="123" spans="1:15" x14ac:dyDescent="0.25">
      <c r="A123" s="98" t="str">
        <f t="shared" ca="1" si="20"/>
        <v/>
      </c>
      <c r="B123" s="33" t="str">
        <f t="shared" ca="1" si="21"/>
        <v/>
      </c>
      <c r="C123" s="25" t="str">
        <f t="shared" ca="1" si="15"/>
        <v/>
      </c>
      <c r="D123" s="26" t="str">
        <f t="shared" ca="1" si="16"/>
        <v/>
      </c>
      <c r="E123" s="4" t="str">
        <f t="shared" ca="1" si="17"/>
        <v/>
      </c>
      <c r="F123" s="25" t="str">
        <f t="shared" ca="1" si="18"/>
        <v/>
      </c>
      <c r="G123" s="26" t="str">
        <f t="shared" ca="1" si="19"/>
        <v/>
      </c>
      <c r="H123" s="55" t="str">
        <f t="shared" ca="1" si="22"/>
        <v/>
      </c>
      <c r="J123" s="71"/>
      <c r="L123" s="71"/>
      <c r="N123" s="95" t="str">
        <f t="shared" si="13"/>
        <v/>
      </c>
      <c r="O123" s="95" t="str">
        <f t="shared" si="14"/>
        <v/>
      </c>
    </row>
    <row r="124" spans="1:15" x14ac:dyDescent="0.25">
      <c r="A124" s="98" t="str">
        <f t="shared" ca="1" si="20"/>
        <v/>
      </c>
      <c r="B124" s="33" t="str">
        <f t="shared" ca="1" si="21"/>
        <v/>
      </c>
      <c r="C124" s="25" t="str">
        <f t="shared" ca="1" si="15"/>
        <v/>
      </c>
      <c r="D124" s="26" t="str">
        <f t="shared" ca="1" si="16"/>
        <v/>
      </c>
      <c r="E124" s="4" t="str">
        <f t="shared" ca="1" si="17"/>
        <v/>
      </c>
      <c r="F124" s="25" t="str">
        <f t="shared" ca="1" si="18"/>
        <v/>
      </c>
      <c r="G124" s="26" t="str">
        <f t="shared" ca="1" si="19"/>
        <v/>
      </c>
      <c r="H124" s="55" t="str">
        <f t="shared" ca="1" si="22"/>
        <v/>
      </c>
      <c r="J124" s="71"/>
      <c r="L124" s="71"/>
      <c r="N124" s="95" t="str">
        <f t="shared" si="13"/>
        <v/>
      </c>
      <c r="O124" s="95" t="str">
        <f t="shared" si="14"/>
        <v/>
      </c>
    </row>
    <row r="125" spans="1:15" x14ac:dyDescent="0.25">
      <c r="A125" s="98" t="str">
        <f t="shared" ca="1" si="20"/>
        <v/>
      </c>
      <c r="B125" s="33" t="str">
        <f t="shared" ca="1" si="21"/>
        <v/>
      </c>
      <c r="C125" s="25" t="str">
        <f t="shared" ca="1" si="15"/>
        <v/>
      </c>
      <c r="D125" s="26" t="str">
        <f t="shared" ca="1" si="16"/>
        <v/>
      </c>
      <c r="E125" s="4" t="str">
        <f t="shared" ca="1" si="17"/>
        <v/>
      </c>
      <c r="F125" s="25" t="str">
        <f t="shared" ca="1" si="18"/>
        <v/>
      </c>
      <c r="G125" s="26" t="str">
        <f t="shared" ca="1" si="19"/>
        <v/>
      </c>
      <c r="H125" s="55" t="str">
        <f t="shared" ca="1" si="22"/>
        <v/>
      </c>
      <c r="J125" s="71"/>
      <c r="L125" s="71"/>
      <c r="N125" s="95" t="str">
        <f t="shared" si="13"/>
        <v/>
      </c>
      <c r="O125" s="95" t="str">
        <f t="shared" si="14"/>
        <v/>
      </c>
    </row>
    <row r="126" spans="1:15" x14ac:dyDescent="0.25">
      <c r="A126" s="98" t="str">
        <f t="shared" ca="1" si="20"/>
        <v/>
      </c>
      <c r="B126" s="33" t="str">
        <f t="shared" ca="1" si="21"/>
        <v/>
      </c>
      <c r="C126" s="25" t="str">
        <f t="shared" ca="1" si="15"/>
        <v/>
      </c>
      <c r="D126" s="26" t="str">
        <f t="shared" ca="1" si="16"/>
        <v/>
      </c>
      <c r="E126" s="4" t="str">
        <f t="shared" ca="1" si="17"/>
        <v/>
      </c>
      <c r="F126" s="25" t="str">
        <f t="shared" ca="1" si="18"/>
        <v/>
      </c>
      <c r="G126" s="26" t="str">
        <f t="shared" ca="1" si="19"/>
        <v/>
      </c>
      <c r="H126" s="55" t="str">
        <f t="shared" ca="1" si="22"/>
        <v/>
      </c>
      <c r="J126" s="71"/>
      <c r="L126" s="71"/>
      <c r="N126" s="95" t="str">
        <f t="shared" si="13"/>
        <v/>
      </c>
      <c r="O126" s="95" t="str">
        <f t="shared" si="14"/>
        <v/>
      </c>
    </row>
    <row r="127" spans="1:15" x14ac:dyDescent="0.25">
      <c r="A127" s="98" t="str">
        <f t="shared" ca="1" si="20"/>
        <v/>
      </c>
      <c r="B127" s="33" t="str">
        <f t="shared" ca="1" si="21"/>
        <v/>
      </c>
      <c r="C127" s="25" t="str">
        <f t="shared" ca="1" si="15"/>
        <v/>
      </c>
      <c r="D127" s="26" t="str">
        <f t="shared" ca="1" si="16"/>
        <v/>
      </c>
      <c r="E127" s="4" t="str">
        <f t="shared" ca="1" si="17"/>
        <v/>
      </c>
      <c r="F127" s="25" t="str">
        <f t="shared" ca="1" si="18"/>
        <v/>
      </c>
      <c r="G127" s="26" t="str">
        <f t="shared" ca="1" si="19"/>
        <v/>
      </c>
      <c r="H127" s="55" t="str">
        <f t="shared" ca="1" si="22"/>
        <v/>
      </c>
      <c r="J127" s="71"/>
      <c r="L127" s="71"/>
      <c r="N127" s="95" t="str">
        <f t="shared" si="13"/>
        <v/>
      </c>
      <c r="O127" s="95" t="str">
        <f t="shared" si="14"/>
        <v/>
      </c>
    </row>
    <row r="128" spans="1:15" x14ac:dyDescent="0.25">
      <c r="A128" s="98" t="str">
        <f t="shared" ca="1" si="20"/>
        <v/>
      </c>
      <c r="B128" s="33" t="str">
        <f t="shared" ca="1" si="21"/>
        <v/>
      </c>
      <c r="C128" s="25" t="str">
        <f t="shared" ca="1" si="15"/>
        <v/>
      </c>
      <c r="D128" s="26" t="str">
        <f t="shared" ca="1" si="16"/>
        <v/>
      </c>
      <c r="E128" s="4" t="str">
        <f t="shared" ca="1" si="17"/>
        <v/>
      </c>
      <c r="F128" s="25" t="str">
        <f t="shared" ca="1" si="18"/>
        <v/>
      </c>
      <c r="G128" s="26" t="str">
        <f t="shared" ca="1" si="19"/>
        <v/>
      </c>
      <c r="H128" s="55" t="str">
        <f t="shared" ca="1" si="22"/>
        <v/>
      </c>
      <c r="J128" s="71"/>
      <c r="L128" s="71"/>
      <c r="N128" s="95" t="str">
        <f t="shared" si="13"/>
        <v/>
      </c>
      <c r="O128" s="95" t="str">
        <f t="shared" si="14"/>
        <v/>
      </c>
    </row>
    <row r="129" spans="1:15" x14ac:dyDescent="0.25">
      <c r="A129" s="98" t="str">
        <f t="shared" ca="1" si="20"/>
        <v/>
      </c>
      <c r="B129" s="33" t="str">
        <f t="shared" ca="1" si="21"/>
        <v/>
      </c>
      <c r="C129" s="25" t="str">
        <f t="shared" ca="1" si="15"/>
        <v/>
      </c>
      <c r="D129" s="26" t="str">
        <f t="shared" ca="1" si="16"/>
        <v/>
      </c>
      <c r="E129" s="4" t="str">
        <f t="shared" ca="1" si="17"/>
        <v/>
      </c>
      <c r="F129" s="25" t="str">
        <f t="shared" ca="1" si="18"/>
        <v/>
      </c>
      <c r="G129" s="26" t="str">
        <f t="shared" ca="1" si="19"/>
        <v/>
      </c>
      <c r="H129" s="55" t="str">
        <f t="shared" ca="1" si="22"/>
        <v/>
      </c>
      <c r="J129" s="71"/>
      <c r="L129" s="71"/>
      <c r="N129" s="95" t="str">
        <f t="shared" si="13"/>
        <v/>
      </c>
      <c r="O129" s="95" t="str">
        <f t="shared" si="14"/>
        <v/>
      </c>
    </row>
    <row r="130" spans="1:15" x14ac:dyDescent="0.25">
      <c r="A130" s="98" t="str">
        <f t="shared" ca="1" si="20"/>
        <v/>
      </c>
      <c r="B130" s="33" t="str">
        <f t="shared" ca="1" si="21"/>
        <v/>
      </c>
      <c r="C130" s="25" t="str">
        <f t="shared" ca="1" si="15"/>
        <v/>
      </c>
      <c r="D130" s="26" t="str">
        <f t="shared" ca="1" si="16"/>
        <v/>
      </c>
      <c r="E130" s="4" t="str">
        <f t="shared" ca="1" si="17"/>
        <v/>
      </c>
      <c r="F130" s="25" t="str">
        <f t="shared" ca="1" si="18"/>
        <v/>
      </c>
      <c r="G130" s="26" t="str">
        <f t="shared" ca="1" si="19"/>
        <v/>
      </c>
      <c r="H130" s="55" t="str">
        <f t="shared" ca="1" si="22"/>
        <v/>
      </c>
      <c r="J130" s="71"/>
      <c r="L130" s="71"/>
      <c r="N130" s="95" t="str">
        <f t="shared" si="13"/>
        <v/>
      </c>
      <c r="O130" s="95" t="str">
        <f t="shared" si="14"/>
        <v/>
      </c>
    </row>
    <row r="131" spans="1:15" x14ac:dyDescent="0.25">
      <c r="A131" s="98" t="str">
        <f t="shared" ca="1" si="20"/>
        <v/>
      </c>
      <c r="B131" s="33" t="str">
        <f t="shared" ca="1" si="21"/>
        <v/>
      </c>
      <c r="C131" s="25" t="str">
        <f t="shared" ca="1" si="15"/>
        <v/>
      </c>
      <c r="D131" s="26" t="str">
        <f t="shared" ca="1" si="16"/>
        <v/>
      </c>
      <c r="E131" s="4" t="str">
        <f t="shared" ca="1" si="17"/>
        <v/>
      </c>
      <c r="F131" s="25" t="str">
        <f t="shared" ca="1" si="18"/>
        <v/>
      </c>
      <c r="G131" s="26" t="str">
        <f t="shared" ca="1" si="19"/>
        <v/>
      </c>
      <c r="H131" s="55" t="str">
        <f t="shared" ca="1" si="22"/>
        <v/>
      </c>
      <c r="J131" s="71"/>
      <c r="L131" s="71"/>
      <c r="N131" s="95" t="str">
        <f t="shared" si="13"/>
        <v/>
      </c>
      <c r="O131" s="95" t="str">
        <f t="shared" si="14"/>
        <v/>
      </c>
    </row>
    <row r="132" spans="1:15" x14ac:dyDescent="0.25">
      <c r="A132" s="98" t="str">
        <f t="shared" ca="1" si="20"/>
        <v/>
      </c>
      <c r="B132" s="33" t="str">
        <f t="shared" ca="1" si="21"/>
        <v/>
      </c>
      <c r="C132" s="25" t="str">
        <f t="shared" ca="1" si="15"/>
        <v/>
      </c>
      <c r="D132" s="26" t="str">
        <f t="shared" ca="1" si="16"/>
        <v/>
      </c>
      <c r="E132" s="4" t="str">
        <f t="shared" ca="1" si="17"/>
        <v/>
      </c>
      <c r="F132" s="25" t="str">
        <f t="shared" ca="1" si="18"/>
        <v/>
      </c>
      <c r="G132" s="26" t="str">
        <f t="shared" ca="1" si="19"/>
        <v/>
      </c>
      <c r="H132" s="55" t="str">
        <f t="shared" ca="1" si="22"/>
        <v/>
      </c>
      <c r="J132" s="71"/>
      <c r="L132" s="71"/>
      <c r="N132" s="95" t="str">
        <f t="shared" ref="N132:N143" si="23">IF(COUNTIF(L:L,J132),J132,"")</f>
        <v/>
      </c>
      <c r="O132" s="95" t="str">
        <f t="shared" ref="O132:O195" si="24">IF(N132&gt;$A$14,N132,"")</f>
        <v/>
      </c>
    </row>
    <row r="133" spans="1:15" x14ac:dyDescent="0.25">
      <c r="A133" s="98" t="str">
        <f t="shared" ca="1" si="20"/>
        <v/>
      </c>
      <c r="B133" s="33" t="str">
        <f t="shared" ca="1" si="21"/>
        <v/>
      </c>
      <c r="C133" s="25" t="str">
        <f t="shared" ca="1" si="15"/>
        <v/>
      </c>
      <c r="D133" s="26" t="str">
        <f t="shared" ca="1" si="16"/>
        <v/>
      </c>
      <c r="E133" s="4" t="str">
        <f t="shared" ca="1" si="17"/>
        <v/>
      </c>
      <c r="F133" s="25" t="str">
        <f t="shared" ca="1" si="18"/>
        <v/>
      </c>
      <c r="G133" s="26" t="str">
        <f t="shared" ca="1" si="19"/>
        <v/>
      </c>
      <c r="H133" s="55" t="str">
        <f t="shared" ca="1" si="22"/>
        <v/>
      </c>
      <c r="J133" s="71"/>
      <c r="L133" s="71"/>
      <c r="N133" s="95" t="str">
        <f t="shared" si="23"/>
        <v/>
      </c>
      <c r="O133" s="95" t="str">
        <f t="shared" si="24"/>
        <v/>
      </c>
    </row>
    <row r="134" spans="1:15" x14ac:dyDescent="0.25">
      <c r="A134" s="98" t="str">
        <f t="shared" ca="1" si="20"/>
        <v/>
      </c>
      <c r="B134" s="33" t="str">
        <f t="shared" ca="1" si="21"/>
        <v/>
      </c>
      <c r="C134" s="25" t="str">
        <f t="shared" ca="1" si="15"/>
        <v/>
      </c>
      <c r="D134" s="26" t="str">
        <f t="shared" ca="1" si="16"/>
        <v/>
      </c>
      <c r="E134" s="4" t="str">
        <f t="shared" ca="1" si="17"/>
        <v/>
      </c>
      <c r="F134" s="25" t="str">
        <f t="shared" ca="1" si="18"/>
        <v/>
      </c>
      <c r="G134" s="26" t="str">
        <f t="shared" ca="1" si="19"/>
        <v/>
      </c>
      <c r="H134" s="55" t="str">
        <f t="shared" ca="1" si="22"/>
        <v/>
      </c>
      <c r="J134" s="71"/>
      <c r="L134" s="71"/>
      <c r="N134" s="95" t="str">
        <f t="shared" si="23"/>
        <v/>
      </c>
      <c r="O134" s="95" t="str">
        <f t="shared" si="24"/>
        <v/>
      </c>
    </row>
    <row r="135" spans="1:15" x14ac:dyDescent="0.25">
      <c r="A135" s="98" t="str">
        <f t="shared" ca="1" si="20"/>
        <v/>
      </c>
      <c r="B135" s="33" t="str">
        <f t="shared" ca="1" si="21"/>
        <v/>
      </c>
      <c r="C135" s="25" t="str">
        <f t="shared" ca="1" si="15"/>
        <v/>
      </c>
      <c r="D135" s="26" t="str">
        <f t="shared" ca="1" si="16"/>
        <v/>
      </c>
      <c r="E135" s="4" t="str">
        <f t="shared" ca="1" si="17"/>
        <v/>
      </c>
      <c r="F135" s="25" t="str">
        <f t="shared" ca="1" si="18"/>
        <v/>
      </c>
      <c r="G135" s="26" t="str">
        <f t="shared" ca="1" si="19"/>
        <v/>
      </c>
      <c r="H135" s="55" t="str">
        <f t="shared" ca="1" si="22"/>
        <v/>
      </c>
      <c r="J135" s="71"/>
      <c r="L135" s="71"/>
      <c r="N135" s="95" t="str">
        <f t="shared" si="23"/>
        <v/>
      </c>
      <c r="O135" s="95" t="str">
        <f t="shared" si="24"/>
        <v/>
      </c>
    </row>
    <row r="136" spans="1:15" x14ac:dyDescent="0.25">
      <c r="A136" s="98" t="str">
        <f t="shared" ca="1" si="20"/>
        <v/>
      </c>
      <c r="B136" s="33" t="str">
        <f t="shared" ca="1" si="21"/>
        <v/>
      </c>
      <c r="C136" s="25" t="str">
        <f t="shared" ca="1" si="15"/>
        <v/>
      </c>
      <c r="D136" s="26" t="str">
        <f t="shared" ca="1" si="16"/>
        <v/>
      </c>
      <c r="E136" s="4" t="str">
        <f t="shared" ca="1" si="17"/>
        <v/>
      </c>
      <c r="F136" s="25" t="str">
        <f t="shared" ca="1" si="18"/>
        <v/>
      </c>
      <c r="G136" s="26" t="str">
        <f t="shared" ca="1" si="19"/>
        <v/>
      </c>
      <c r="H136" s="55" t="str">
        <f t="shared" ca="1" si="22"/>
        <v/>
      </c>
      <c r="J136" s="71"/>
      <c r="L136" s="71"/>
      <c r="N136" s="95" t="str">
        <f t="shared" si="23"/>
        <v/>
      </c>
      <c r="O136" s="95" t="str">
        <f t="shared" si="24"/>
        <v/>
      </c>
    </row>
    <row r="137" spans="1:15" x14ac:dyDescent="0.25">
      <c r="A137" s="98" t="str">
        <f t="shared" ca="1" si="20"/>
        <v/>
      </c>
      <c r="B137" s="33" t="str">
        <f t="shared" ca="1" si="21"/>
        <v/>
      </c>
      <c r="C137" s="25" t="str">
        <f t="shared" ca="1" si="15"/>
        <v/>
      </c>
      <c r="D137" s="26" t="str">
        <f t="shared" ca="1" si="16"/>
        <v/>
      </c>
      <c r="E137" s="4" t="str">
        <f t="shared" ca="1" si="17"/>
        <v/>
      </c>
      <c r="F137" s="25" t="str">
        <f t="shared" ca="1" si="18"/>
        <v/>
      </c>
      <c r="G137" s="26" t="str">
        <f t="shared" ca="1" si="19"/>
        <v/>
      </c>
      <c r="H137" s="55" t="str">
        <f t="shared" ca="1" si="22"/>
        <v/>
      </c>
      <c r="J137" s="71"/>
      <c r="L137" s="71"/>
      <c r="N137" s="95" t="str">
        <f t="shared" si="23"/>
        <v/>
      </c>
      <c r="O137" s="95" t="str">
        <f t="shared" si="24"/>
        <v/>
      </c>
    </row>
    <row r="138" spans="1:15" x14ac:dyDescent="0.25">
      <c r="A138" s="98" t="str">
        <f t="shared" ca="1" si="20"/>
        <v/>
      </c>
      <c r="B138" s="33" t="str">
        <f t="shared" ca="1" si="21"/>
        <v/>
      </c>
      <c r="C138" s="25" t="str">
        <f t="shared" ca="1" si="15"/>
        <v/>
      </c>
      <c r="D138" s="26" t="str">
        <f t="shared" ca="1" si="16"/>
        <v/>
      </c>
      <c r="E138" s="4" t="str">
        <f t="shared" ca="1" si="17"/>
        <v/>
      </c>
      <c r="F138" s="25" t="str">
        <f t="shared" ca="1" si="18"/>
        <v/>
      </c>
      <c r="G138" s="26" t="str">
        <f t="shared" ca="1" si="19"/>
        <v/>
      </c>
      <c r="H138" s="55" t="str">
        <f t="shared" ca="1" si="22"/>
        <v/>
      </c>
      <c r="J138" s="71"/>
      <c r="L138" s="71"/>
      <c r="N138" s="95" t="str">
        <f t="shared" si="23"/>
        <v/>
      </c>
      <c r="O138" s="95" t="str">
        <f t="shared" si="24"/>
        <v/>
      </c>
    </row>
    <row r="139" spans="1:15" x14ac:dyDescent="0.25">
      <c r="A139" s="98" t="str">
        <f t="shared" ca="1" si="20"/>
        <v/>
      </c>
      <c r="B139" s="33" t="str">
        <f t="shared" ca="1" si="21"/>
        <v/>
      </c>
      <c r="C139" s="25" t="str">
        <f t="shared" ca="1" si="15"/>
        <v/>
      </c>
      <c r="D139" s="26" t="str">
        <f t="shared" ca="1" si="16"/>
        <v/>
      </c>
      <c r="E139" s="4" t="str">
        <f t="shared" ca="1" si="17"/>
        <v/>
      </c>
      <c r="F139" s="25" t="str">
        <f t="shared" ca="1" si="18"/>
        <v/>
      </c>
      <c r="G139" s="26" t="str">
        <f t="shared" ca="1" si="19"/>
        <v/>
      </c>
      <c r="H139" s="55" t="str">
        <f t="shared" ca="1" si="22"/>
        <v/>
      </c>
      <c r="J139" s="71"/>
      <c r="L139" s="71"/>
      <c r="N139" s="95" t="str">
        <f t="shared" si="23"/>
        <v/>
      </c>
      <c r="O139" s="95" t="str">
        <f t="shared" si="24"/>
        <v/>
      </c>
    </row>
    <row r="140" spans="1:15" x14ac:dyDescent="0.25">
      <c r="A140" s="98" t="str">
        <f t="shared" ca="1" si="20"/>
        <v/>
      </c>
      <c r="B140" s="33" t="str">
        <f t="shared" ca="1" si="21"/>
        <v/>
      </c>
      <c r="C140" s="25" t="str">
        <f t="shared" ca="1" si="15"/>
        <v/>
      </c>
      <c r="D140" s="26" t="str">
        <f t="shared" ca="1" si="16"/>
        <v/>
      </c>
      <c r="E140" s="4" t="str">
        <f t="shared" ca="1" si="17"/>
        <v/>
      </c>
      <c r="F140" s="25" t="str">
        <f t="shared" ca="1" si="18"/>
        <v/>
      </c>
      <c r="G140" s="26" t="str">
        <f t="shared" ca="1" si="19"/>
        <v/>
      </c>
      <c r="H140" s="55" t="str">
        <f t="shared" ca="1" si="22"/>
        <v/>
      </c>
      <c r="J140" s="71"/>
      <c r="L140" s="71"/>
      <c r="N140" s="95" t="str">
        <f t="shared" si="23"/>
        <v/>
      </c>
      <c r="O140" s="95" t="str">
        <f t="shared" si="24"/>
        <v/>
      </c>
    </row>
    <row r="141" spans="1:15" x14ac:dyDescent="0.25">
      <c r="A141" s="98" t="str">
        <f t="shared" ca="1" si="20"/>
        <v/>
      </c>
      <c r="B141" s="33" t="str">
        <f t="shared" ca="1" si="21"/>
        <v/>
      </c>
      <c r="C141" s="25" t="str">
        <f t="shared" ca="1" si="15"/>
        <v/>
      </c>
      <c r="D141" s="26" t="str">
        <f t="shared" ca="1" si="16"/>
        <v/>
      </c>
      <c r="E141" s="4" t="str">
        <f t="shared" ca="1" si="17"/>
        <v/>
      </c>
      <c r="F141" s="25" t="str">
        <f t="shared" ca="1" si="18"/>
        <v/>
      </c>
      <c r="G141" s="26" t="str">
        <f t="shared" ca="1" si="19"/>
        <v/>
      </c>
      <c r="H141" s="55" t="str">
        <f t="shared" ca="1" si="22"/>
        <v/>
      </c>
      <c r="J141" s="71"/>
      <c r="L141" s="71"/>
      <c r="N141" s="95" t="str">
        <f t="shared" si="23"/>
        <v/>
      </c>
      <c r="O141" s="95" t="str">
        <f t="shared" si="24"/>
        <v/>
      </c>
    </row>
    <row r="142" spans="1:15" x14ac:dyDescent="0.25">
      <c r="A142" s="98" t="str">
        <f t="shared" ca="1" si="20"/>
        <v/>
      </c>
      <c r="B142" s="33" t="str">
        <f t="shared" ca="1" si="21"/>
        <v/>
      </c>
      <c r="C142" s="25" t="str">
        <f t="shared" ca="1" si="15"/>
        <v/>
      </c>
      <c r="D142" s="26" t="str">
        <f t="shared" ca="1" si="16"/>
        <v/>
      </c>
      <c r="E142" s="4" t="str">
        <f t="shared" ca="1" si="17"/>
        <v/>
      </c>
      <c r="F142" s="25" t="str">
        <f t="shared" ca="1" si="18"/>
        <v/>
      </c>
      <c r="G142" s="26" t="str">
        <f t="shared" ca="1" si="19"/>
        <v/>
      </c>
      <c r="H142" s="55" t="str">
        <f t="shared" ca="1" si="22"/>
        <v/>
      </c>
      <c r="J142" s="71"/>
      <c r="L142" s="71"/>
      <c r="N142" s="95" t="str">
        <f t="shared" si="23"/>
        <v/>
      </c>
      <c r="O142" s="95" t="str">
        <f t="shared" si="24"/>
        <v/>
      </c>
    </row>
    <row r="143" spans="1:15" x14ac:dyDescent="0.25">
      <c r="A143" s="98"/>
      <c r="B143" s="33"/>
      <c r="C143" s="25"/>
      <c r="D143" s="26"/>
      <c r="E143" s="4"/>
      <c r="F143" s="25"/>
      <c r="G143" s="26"/>
      <c r="H143" s="55"/>
      <c r="J143" s="71"/>
      <c r="L143" s="71"/>
      <c r="N143" s="95" t="str">
        <f t="shared" si="23"/>
        <v/>
      </c>
      <c r="O143" s="95" t="str">
        <f t="shared" si="24"/>
        <v/>
      </c>
    </row>
    <row r="144" spans="1:15" x14ac:dyDescent="0.25">
      <c r="A144" s="98"/>
      <c r="B144" s="33"/>
      <c r="C144" s="25"/>
      <c r="D144" s="26"/>
      <c r="E144" s="4"/>
      <c r="F144" s="25"/>
      <c r="G144" s="26"/>
      <c r="H144" s="55"/>
      <c r="J144" s="71"/>
      <c r="L144" s="71"/>
      <c r="N144" s="95" t="str">
        <f t="shared" ref="N144:N207" si="25">IF(COUNTIF(L:L,J144),J144,"")</f>
        <v/>
      </c>
      <c r="O144" s="95" t="str">
        <f t="shared" si="24"/>
        <v/>
      </c>
    </row>
    <row r="145" spans="1:15" x14ac:dyDescent="0.25">
      <c r="A145" s="98"/>
      <c r="B145" s="33"/>
      <c r="C145" s="25"/>
      <c r="D145" s="26"/>
      <c r="E145" s="4"/>
      <c r="F145" s="25"/>
      <c r="G145" s="26"/>
      <c r="H145" s="55"/>
      <c r="J145" s="71"/>
      <c r="L145" s="71"/>
      <c r="N145" s="95" t="str">
        <f t="shared" si="25"/>
        <v/>
      </c>
      <c r="O145" s="95" t="str">
        <f t="shared" si="24"/>
        <v/>
      </c>
    </row>
    <row r="146" spans="1:15" x14ac:dyDescent="0.25">
      <c r="A146" s="98"/>
      <c r="B146" s="33"/>
      <c r="C146" s="25"/>
      <c r="D146" s="26"/>
      <c r="E146" s="4"/>
      <c r="F146" s="25"/>
      <c r="G146" s="26"/>
      <c r="H146" s="55"/>
      <c r="J146" s="71"/>
      <c r="L146" s="71"/>
      <c r="N146" s="95" t="str">
        <f t="shared" si="25"/>
        <v/>
      </c>
      <c r="O146" s="95" t="str">
        <f t="shared" si="24"/>
        <v/>
      </c>
    </row>
    <row r="147" spans="1:15" x14ac:dyDescent="0.25">
      <c r="A147" s="98"/>
      <c r="B147" s="33"/>
      <c r="C147" s="25"/>
      <c r="D147" s="26"/>
      <c r="E147" s="4"/>
      <c r="F147" s="25"/>
      <c r="G147" s="26"/>
      <c r="H147" s="55"/>
      <c r="J147" s="71"/>
      <c r="L147" s="71"/>
      <c r="N147" s="95" t="str">
        <f t="shared" si="25"/>
        <v/>
      </c>
      <c r="O147" s="95" t="str">
        <f t="shared" si="24"/>
        <v/>
      </c>
    </row>
    <row r="148" spans="1:15" x14ac:dyDescent="0.25">
      <c r="A148" s="98"/>
      <c r="B148" s="33"/>
      <c r="C148" s="25"/>
      <c r="D148" s="26"/>
      <c r="E148" s="4"/>
      <c r="F148" s="25"/>
      <c r="G148" s="26"/>
      <c r="H148" s="55"/>
      <c r="J148" s="71"/>
      <c r="L148" s="71"/>
      <c r="N148" s="95" t="str">
        <f t="shared" si="25"/>
        <v/>
      </c>
      <c r="O148" s="95" t="str">
        <f t="shared" si="24"/>
        <v/>
      </c>
    </row>
    <row r="149" spans="1:15" x14ac:dyDescent="0.25">
      <c r="A149" s="98"/>
      <c r="B149" s="33"/>
      <c r="C149" s="25"/>
      <c r="D149" s="26"/>
      <c r="E149" s="4"/>
      <c r="F149" s="25"/>
      <c r="G149" s="26"/>
      <c r="H149" s="55"/>
      <c r="J149" s="71"/>
      <c r="L149" s="71"/>
      <c r="N149" s="95" t="str">
        <f t="shared" si="25"/>
        <v/>
      </c>
      <c r="O149" s="95" t="str">
        <f t="shared" si="24"/>
        <v/>
      </c>
    </row>
    <row r="150" spans="1:15" x14ac:dyDescent="0.25">
      <c r="A150" s="98"/>
      <c r="B150" s="33"/>
      <c r="C150" s="25"/>
      <c r="D150" s="26"/>
      <c r="E150" s="4"/>
      <c r="F150" s="25"/>
      <c r="G150" s="26"/>
      <c r="H150" s="55"/>
      <c r="J150" s="71"/>
      <c r="L150" s="71"/>
      <c r="N150" s="95" t="str">
        <f t="shared" si="25"/>
        <v/>
      </c>
      <c r="O150" s="95" t="str">
        <f t="shared" si="24"/>
        <v/>
      </c>
    </row>
    <row r="151" spans="1:15" x14ac:dyDescent="0.25">
      <c r="A151" s="98"/>
      <c r="B151" s="33"/>
      <c r="C151" s="25"/>
      <c r="D151" s="26"/>
      <c r="E151" s="4"/>
      <c r="F151" s="25"/>
      <c r="G151" s="26"/>
      <c r="H151" s="55"/>
      <c r="J151" s="71"/>
      <c r="L151" s="71"/>
      <c r="N151" s="95" t="str">
        <f t="shared" si="25"/>
        <v/>
      </c>
      <c r="O151" s="95" t="str">
        <f t="shared" si="24"/>
        <v/>
      </c>
    </row>
    <row r="152" spans="1:15" x14ac:dyDescent="0.25">
      <c r="A152" s="98"/>
      <c r="B152" s="33"/>
      <c r="C152" s="25"/>
      <c r="D152" s="26"/>
      <c r="E152" s="4"/>
      <c r="F152" s="25"/>
      <c r="G152" s="26"/>
      <c r="H152" s="55"/>
      <c r="J152" s="71"/>
      <c r="L152" s="71"/>
      <c r="N152" s="95" t="str">
        <f t="shared" si="25"/>
        <v/>
      </c>
      <c r="O152" s="95" t="str">
        <f t="shared" si="24"/>
        <v/>
      </c>
    </row>
    <row r="153" spans="1:15" x14ac:dyDescent="0.25">
      <c r="A153" s="98"/>
      <c r="B153" s="33"/>
      <c r="C153" s="25"/>
      <c r="D153" s="26"/>
      <c r="E153" s="4"/>
      <c r="F153" s="25"/>
      <c r="G153" s="26"/>
      <c r="H153" s="55"/>
      <c r="J153" s="71"/>
      <c r="L153" s="71"/>
      <c r="N153" s="95" t="str">
        <f t="shared" si="25"/>
        <v/>
      </c>
      <c r="O153" s="95" t="str">
        <f t="shared" si="24"/>
        <v/>
      </c>
    </row>
    <row r="154" spans="1:15" x14ac:dyDescent="0.25">
      <c r="A154" s="98"/>
      <c r="B154" s="33"/>
      <c r="C154" s="25"/>
      <c r="D154" s="26"/>
      <c r="E154" s="4"/>
      <c r="F154" s="25"/>
      <c r="G154" s="26"/>
      <c r="H154" s="55"/>
      <c r="J154" s="71"/>
      <c r="L154" s="71"/>
      <c r="N154" s="95" t="str">
        <f t="shared" si="25"/>
        <v/>
      </c>
      <c r="O154" s="95" t="str">
        <f t="shared" si="24"/>
        <v/>
      </c>
    </row>
    <row r="155" spans="1:15" x14ac:dyDescent="0.25">
      <c r="A155" s="98"/>
      <c r="B155" s="33"/>
      <c r="C155" s="25"/>
      <c r="D155" s="26"/>
      <c r="E155" s="4"/>
      <c r="F155" s="25"/>
      <c r="G155" s="26"/>
      <c r="H155" s="55"/>
      <c r="J155" s="71"/>
      <c r="L155" s="71"/>
      <c r="N155" s="95" t="str">
        <f t="shared" si="25"/>
        <v/>
      </c>
      <c r="O155" s="95" t="str">
        <f t="shared" si="24"/>
        <v/>
      </c>
    </row>
    <row r="156" spans="1:15" x14ac:dyDescent="0.25">
      <c r="A156" s="98"/>
      <c r="B156" s="33"/>
      <c r="C156" s="25"/>
      <c r="D156" s="26"/>
      <c r="E156" s="4"/>
      <c r="F156" s="25"/>
      <c r="G156" s="26"/>
      <c r="H156" s="55"/>
      <c r="N156" s="95" t="str">
        <f t="shared" si="25"/>
        <v/>
      </c>
      <c r="O156" s="95" t="str">
        <f t="shared" si="24"/>
        <v/>
      </c>
    </row>
    <row r="157" spans="1:15" x14ac:dyDescent="0.25">
      <c r="A157" s="98"/>
      <c r="B157" s="33"/>
      <c r="C157" s="25"/>
      <c r="D157" s="26"/>
      <c r="E157" s="4"/>
      <c r="F157" s="25"/>
      <c r="G157" s="26"/>
      <c r="H157" s="55"/>
      <c r="N157" s="95" t="str">
        <f t="shared" si="25"/>
        <v/>
      </c>
      <c r="O157" s="95" t="str">
        <f t="shared" si="24"/>
        <v/>
      </c>
    </row>
    <row r="158" spans="1:15" x14ac:dyDescent="0.25">
      <c r="A158" s="98"/>
      <c r="B158" s="33"/>
      <c r="C158" s="25"/>
      <c r="D158" s="26"/>
      <c r="E158" s="4"/>
      <c r="F158" s="25"/>
      <c r="G158" s="26"/>
      <c r="H158" s="55"/>
      <c r="N158" s="95" t="str">
        <f t="shared" si="25"/>
        <v/>
      </c>
      <c r="O158" s="95" t="str">
        <f t="shared" si="24"/>
        <v/>
      </c>
    </row>
    <row r="159" spans="1:15" x14ac:dyDescent="0.25">
      <c r="A159" s="98"/>
      <c r="B159" s="33"/>
      <c r="C159" s="25"/>
      <c r="D159" s="26"/>
      <c r="E159" s="4"/>
      <c r="F159" s="25"/>
      <c r="G159" s="26"/>
      <c r="H159" s="55"/>
      <c r="N159" s="95" t="str">
        <f t="shared" si="25"/>
        <v/>
      </c>
      <c r="O159" s="95" t="str">
        <f t="shared" si="24"/>
        <v/>
      </c>
    </row>
    <row r="160" spans="1:15" x14ac:dyDescent="0.25">
      <c r="A160" s="98"/>
      <c r="B160" s="33"/>
      <c r="C160" s="25"/>
      <c r="D160" s="26"/>
      <c r="E160" s="4"/>
      <c r="F160" s="25"/>
      <c r="G160" s="26"/>
      <c r="H160" s="55"/>
      <c r="N160" s="95" t="str">
        <f t="shared" si="25"/>
        <v/>
      </c>
      <c r="O160" s="95" t="str">
        <f t="shared" si="24"/>
        <v/>
      </c>
    </row>
    <row r="161" spans="1:15" x14ac:dyDescent="0.25">
      <c r="A161" s="98"/>
      <c r="B161" s="33"/>
      <c r="C161" s="25"/>
      <c r="D161" s="26"/>
      <c r="E161" s="4"/>
      <c r="F161" s="25"/>
      <c r="G161" s="26"/>
      <c r="H161" s="55"/>
      <c r="N161" s="95" t="str">
        <f t="shared" si="25"/>
        <v/>
      </c>
      <c r="O161" s="95" t="str">
        <f t="shared" si="24"/>
        <v/>
      </c>
    </row>
    <row r="162" spans="1:15" x14ac:dyDescent="0.25">
      <c r="A162" s="98"/>
      <c r="B162" s="33"/>
      <c r="C162" s="25"/>
      <c r="D162" s="26"/>
      <c r="E162" s="4"/>
      <c r="F162" s="25"/>
      <c r="G162" s="26"/>
      <c r="H162" s="55"/>
      <c r="N162" s="95" t="str">
        <f t="shared" si="25"/>
        <v/>
      </c>
      <c r="O162" s="95" t="str">
        <f t="shared" si="24"/>
        <v/>
      </c>
    </row>
    <row r="163" spans="1:15" x14ac:dyDescent="0.25">
      <c r="A163" s="98"/>
      <c r="B163" s="33"/>
      <c r="C163" s="25"/>
      <c r="D163" s="26"/>
      <c r="E163" s="4"/>
      <c r="F163" s="25"/>
      <c r="G163" s="26"/>
      <c r="H163" s="55"/>
      <c r="N163" s="95" t="str">
        <f t="shared" si="25"/>
        <v/>
      </c>
      <c r="O163" s="95" t="str">
        <f t="shared" si="24"/>
        <v/>
      </c>
    </row>
    <row r="164" spans="1:15" x14ac:dyDescent="0.25">
      <c r="A164" s="98"/>
      <c r="B164" s="33"/>
      <c r="C164" s="25"/>
      <c r="D164" s="26"/>
      <c r="E164" s="4"/>
      <c r="F164" s="25"/>
      <c r="G164" s="26"/>
      <c r="H164" s="55"/>
      <c r="N164" s="95" t="str">
        <f t="shared" si="25"/>
        <v/>
      </c>
      <c r="O164" s="95" t="str">
        <f t="shared" si="24"/>
        <v/>
      </c>
    </row>
    <row r="165" spans="1:15" x14ac:dyDescent="0.25">
      <c r="A165" s="98"/>
      <c r="B165" s="33"/>
      <c r="C165" s="25"/>
      <c r="D165" s="26"/>
      <c r="E165" s="4"/>
      <c r="F165" s="25"/>
      <c r="G165" s="26"/>
      <c r="H165" s="55"/>
      <c r="N165" s="95" t="str">
        <f t="shared" si="25"/>
        <v/>
      </c>
      <c r="O165" s="95" t="str">
        <f t="shared" si="24"/>
        <v/>
      </c>
    </row>
    <row r="166" spans="1:15" x14ac:dyDescent="0.25">
      <c r="A166" s="98"/>
      <c r="B166" s="33"/>
      <c r="C166" s="25"/>
      <c r="D166" s="26"/>
      <c r="E166" s="4"/>
      <c r="F166" s="25"/>
      <c r="G166" s="26"/>
      <c r="H166" s="55"/>
      <c r="N166" s="95" t="str">
        <f t="shared" si="25"/>
        <v/>
      </c>
      <c r="O166" s="95" t="str">
        <f t="shared" si="24"/>
        <v/>
      </c>
    </row>
    <row r="167" spans="1:15" x14ac:dyDescent="0.25">
      <c r="A167" s="98"/>
      <c r="B167" s="33"/>
      <c r="C167" s="25"/>
      <c r="D167" s="26"/>
      <c r="E167" s="4"/>
      <c r="F167" s="25"/>
      <c r="G167" s="26"/>
      <c r="H167" s="55"/>
      <c r="N167" s="95" t="str">
        <f t="shared" si="25"/>
        <v/>
      </c>
      <c r="O167" s="95" t="str">
        <f t="shared" si="24"/>
        <v/>
      </c>
    </row>
    <row r="168" spans="1:15" x14ac:dyDescent="0.25">
      <c r="A168" s="98"/>
      <c r="B168" s="33"/>
      <c r="C168" s="25"/>
      <c r="D168" s="26"/>
      <c r="E168" s="4"/>
      <c r="F168" s="25"/>
      <c r="G168" s="26"/>
      <c r="H168" s="55"/>
      <c r="N168" s="95" t="str">
        <f t="shared" si="25"/>
        <v/>
      </c>
      <c r="O168" s="95" t="str">
        <f t="shared" si="24"/>
        <v/>
      </c>
    </row>
    <row r="169" spans="1:15" x14ac:dyDescent="0.25">
      <c r="A169" s="98"/>
      <c r="B169" s="33"/>
      <c r="C169" s="25"/>
      <c r="D169" s="26"/>
      <c r="E169" s="4"/>
      <c r="F169" s="25"/>
      <c r="G169" s="26"/>
      <c r="H169" s="55"/>
      <c r="N169" s="95" t="str">
        <f t="shared" si="25"/>
        <v/>
      </c>
      <c r="O169" s="95" t="str">
        <f t="shared" si="24"/>
        <v/>
      </c>
    </row>
    <row r="170" spans="1:15" x14ac:dyDescent="0.25">
      <c r="A170" s="98"/>
      <c r="B170" s="33"/>
      <c r="C170" s="25"/>
      <c r="D170" s="26"/>
      <c r="E170" s="4"/>
      <c r="F170" s="25"/>
      <c r="G170" s="26"/>
      <c r="H170" s="55"/>
      <c r="N170" s="95" t="str">
        <f t="shared" si="25"/>
        <v/>
      </c>
      <c r="O170" s="95" t="str">
        <f t="shared" si="24"/>
        <v/>
      </c>
    </row>
    <row r="171" spans="1:15" x14ac:dyDescent="0.25">
      <c r="A171" s="98"/>
      <c r="B171" s="33"/>
      <c r="C171" s="25"/>
      <c r="D171" s="26"/>
      <c r="E171" s="4"/>
      <c r="F171" s="25"/>
      <c r="G171" s="26"/>
      <c r="H171" s="55"/>
      <c r="N171" s="95" t="str">
        <f t="shared" si="25"/>
        <v/>
      </c>
      <c r="O171" s="95" t="str">
        <f t="shared" si="24"/>
        <v/>
      </c>
    </row>
    <row r="172" spans="1:15" x14ac:dyDescent="0.25">
      <c r="A172" s="98"/>
      <c r="B172" s="33"/>
      <c r="C172" s="25"/>
      <c r="D172" s="26"/>
      <c r="E172" s="4"/>
      <c r="F172" s="25"/>
      <c r="G172" s="26"/>
      <c r="H172" s="55"/>
      <c r="N172" s="95" t="str">
        <f t="shared" si="25"/>
        <v/>
      </c>
      <c r="O172" s="95" t="str">
        <f t="shared" si="24"/>
        <v/>
      </c>
    </row>
    <row r="173" spans="1:15" x14ac:dyDescent="0.25">
      <c r="A173" s="98"/>
      <c r="B173" s="33"/>
      <c r="C173" s="25"/>
      <c r="D173" s="26"/>
      <c r="E173" s="4"/>
      <c r="F173" s="25"/>
      <c r="G173" s="26"/>
      <c r="H173" s="55"/>
      <c r="N173" s="95" t="str">
        <f t="shared" si="25"/>
        <v/>
      </c>
      <c r="O173" s="95" t="str">
        <f t="shared" si="24"/>
        <v/>
      </c>
    </row>
    <row r="174" spans="1:15" x14ac:dyDescent="0.25">
      <c r="A174" s="98"/>
      <c r="B174" s="33"/>
      <c r="C174" s="25"/>
      <c r="D174" s="26"/>
      <c r="E174" s="4"/>
      <c r="F174" s="25"/>
      <c r="G174" s="26"/>
      <c r="H174" s="55"/>
      <c r="N174" s="95" t="str">
        <f t="shared" si="25"/>
        <v/>
      </c>
      <c r="O174" s="95" t="str">
        <f t="shared" si="24"/>
        <v/>
      </c>
    </row>
    <row r="175" spans="1:15" x14ac:dyDescent="0.25">
      <c r="A175" s="98"/>
      <c r="B175" s="33"/>
      <c r="C175" s="25"/>
      <c r="D175" s="26"/>
      <c r="E175" s="4"/>
      <c r="F175" s="25"/>
      <c r="G175" s="26"/>
      <c r="H175" s="55"/>
      <c r="N175" s="95" t="str">
        <f t="shared" si="25"/>
        <v/>
      </c>
      <c r="O175" s="95" t="str">
        <f t="shared" si="24"/>
        <v/>
      </c>
    </row>
    <row r="176" spans="1:15" x14ac:dyDescent="0.25">
      <c r="A176" s="98"/>
      <c r="B176" s="33"/>
      <c r="C176" s="25"/>
      <c r="D176" s="26"/>
      <c r="E176" s="4"/>
      <c r="F176" s="25"/>
      <c r="G176" s="26"/>
      <c r="H176" s="55"/>
      <c r="N176" s="95" t="str">
        <f t="shared" si="25"/>
        <v/>
      </c>
      <c r="O176" s="95" t="str">
        <f t="shared" si="24"/>
        <v/>
      </c>
    </row>
    <row r="177" spans="1:15" x14ac:dyDescent="0.25">
      <c r="A177" s="98"/>
      <c r="B177" s="33"/>
      <c r="C177" s="25"/>
      <c r="D177" s="26"/>
      <c r="E177" s="4"/>
      <c r="F177" s="25"/>
      <c r="G177" s="26"/>
      <c r="H177" s="55"/>
      <c r="N177" s="95" t="str">
        <f t="shared" si="25"/>
        <v/>
      </c>
      <c r="O177" s="95" t="str">
        <f t="shared" si="24"/>
        <v/>
      </c>
    </row>
    <row r="178" spans="1:15" x14ac:dyDescent="0.25">
      <c r="A178" s="98"/>
      <c r="B178" s="33"/>
      <c r="C178" s="25"/>
      <c r="D178" s="26"/>
      <c r="E178" s="4"/>
      <c r="F178" s="25"/>
      <c r="G178" s="26"/>
      <c r="H178" s="55"/>
      <c r="N178" s="95" t="str">
        <f t="shared" si="25"/>
        <v/>
      </c>
      <c r="O178" s="95" t="str">
        <f t="shared" si="24"/>
        <v/>
      </c>
    </row>
    <row r="179" spans="1:15" x14ac:dyDescent="0.25">
      <c r="A179" s="98"/>
      <c r="B179" s="33"/>
      <c r="C179" s="25"/>
      <c r="D179" s="26"/>
      <c r="E179" s="4"/>
      <c r="F179" s="25"/>
      <c r="G179" s="26"/>
      <c r="H179" s="55"/>
      <c r="N179" s="95" t="str">
        <f t="shared" si="25"/>
        <v/>
      </c>
      <c r="O179" s="95" t="str">
        <f t="shared" si="24"/>
        <v/>
      </c>
    </row>
    <row r="180" spans="1:15" x14ac:dyDescent="0.25">
      <c r="A180" s="98"/>
      <c r="B180" s="33"/>
      <c r="C180" s="25"/>
      <c r="D180" s="26"/>
      <c r="E180" s="4"/>
      <c r="F180" s="25"/>
      <c r="G180" s="26"/>
      <c r="H180" s="55"/>
      <c r="N180" s="95" t="str">
        <f t="shared" si="25"/>
        <v/>
      </c>
      <c r="O180" s="95" t="str">
        <f t="shared" si="24"/>
        <v/>
      </c>
    </row>
    <row r="181" spans="1:15" x14ac:dyDescent="0.25">
      <c r="A181" s="98"/>
      <c r="B181" s="33"/>
      <c r="C181" s="25"/>
      <c r="D181" s="26"/>
      <c r="E181" s="4"/>
      <c r="F181" s="25"/>
      <c r="G181" s="26"/>
      <c r="H181" s="55"/>
      <c r="N181" s="95" t="str">
        <f t="shared" si="25"/>
        <v/>
      </c>
      <c r="O181" s="95" t="str">
        <f t="shared" si="24"/>
        <v/>
      </c>
    </row>
    <row r="182" spans="1:15" x14ac:dyDescent="0.25">
      <c r="A182" s="98"/>
      <c r="B182" s="33"/>
      <c r="C182" s="25"/>
      <c r="D182" s="26"/>
      <c r="E182" s="4"/>
      <c r="F182" s="25"/>
      <c r="G182" s="26"/>
      <c r="H182" s="55"/>
      <c r="N182" s="95" t="str">
        <f t="shared" si="25"/>
        <v/>
      </c>
      <c r="O182" s="95" t="str">
        <f t="shared" si="24"/>
        <v/>
      </c>
    </row>
    <row r="183" spans="1:15" x14ac:dyDescent="0.25">
      <c r="A183" s="98"/>
      <c r="B183" s="33"/>
      <c r="C183" s="25"/>
      <c r="D183" s="26"/>
      <c r="E183" s="4"/>
      <c r="F183" s="25"/>
      <c r="G183" s="26"/>
      <c r="H183" s="55"/>
      <c r="N183" s="95" t="str">
        <f t="shared" si="25"/>
        <v/>
      </c>
      <c r="O183" s="95" t="str">
        <f t="shared" si="24"/>
        <v/>
      </c>
    </row>
    <row r="184" spans="1:15" x14ac:dyDescent="0.25">
      <c r="A184" s="98"/>
      <c r="B184" s="33"/>
      <c r="C184" s="25"/>
      <c r="D184" s="26"/>
      <c r="E184" s="4"/>
      <c r="F184" s="25"/>
      <c r="G184" s="26"/>
      <c r="H184" s="55"/>
      <c r="N184" s="95" t="str">
        <f t="shared" si="25"/>
        <v/>
      </c>
      <c r="O184" s="95" t="str">
        <f t="shared" si="24"/>
        <v/>
      </c>
    </row>
    <row r="185" spans="1:15" x14ac:dyDescent="0.25">
      <c r="A185" s="98"/>
      <c r="B185" s="33"/>
      <c r="C185" s="25"/>
      <c r="D185" s="26"/>
      <c r="E185" s="4"/>
      <c r="F185" s="25"/>
      <c r="G185" s="26"/>
      <c r="H185" s="55"/>
      <c r="N185" s="95" t="str">
        <f t="shared" si="25"/>
        <v/>
      </c>
      <c r="O185" s="95" t="str">
        <f t="shared" si="24"/>
        <v/>
      </c>
    </row>
    <row r="186" spans="1:15" x14ac:dyDescent="0.25">
      <c r="A186" s="98"/>
      <c r="B186" s="33"/>
      <c r="C186" s="25"/>
      <c r="D186" s="26"/>
      <c r="E186" s="4"/>
      <c r="F186" s="25"/>
      <c r="G186" s="26"/>
      <c r="H186" s="55"/>
      <c r="N186" s="95" t="str">
        <f t="shared" si="25"/>
        <v/>
      </c>
      <c r="O186" s="95" t="str">
        <f t="shared" si="24"/>
        <v/>
      </c>
    </row>
    <row r="187" spans="1:15" x14ac:dyDescent="0.25">
      <c r="A187" s="98"/>
      <c r="B187" s="33"/>
      <c r="C187" s="25"/>
      <c r="D187" s="26"/>
      <c r="E187" s="4"/>
      <c r="F187" s="25"/>
      <c r="G187" s="26"/>
      <c r="H187" s="55"/>
      <c r="N187" s="95" t="str">
        <f t="shared" si="25"/>
        <v/>
      </c>
      <c r="O187" s="95" t="str">
        <f t="shared" si="24"/>
        <v/>
      </c>
    </row>
    <row r="188" spans="1:15" x14ac:dyDescent="0.25">
      <c r="A188" s="98"/>
      <c r="B188" s="33"/>
      <c r="C188" s="25"/>
      <c r="D188" s="26"/>
      <c r="E188" s="4"/>
      <c r="F188" s="25"/>
      <c r="G188" s="26"/>
      <c r="H188" s="55"/>
      <c r="N188" s="95" t="str">
        <f t="shared" si="25"/>
        <v/>
      </c>
      <c r="O188" s="95" t="str">
        <f t="shared" si="24"/>
        <v/>
      </c>
    </row>
    <row r="189" spans="1:15" x14ac:dyDescent="0.25">
      <c r="A189" s="98"/>
      <c r="B189" s="33"/>
      <c r="C189" s="25"/>
      <c r="D189" s="26"/>
      <c r="E189" s="4"/>
      <c r="F189" s="25"/>
      <c r="G189" s="26"/>
      <c r="H189" s="55"/>
      <c r="N189" s="95" t="str">
        <f t="shared" si="25"/>
        <v/>
      </c>
      <c r="O189" s="95" t="str">
        <f t="shared" si="24"/>
        <v/>
      </c>
    </row>
    <row r="190" spans="1:15" x14ac:dyDescent="0.25">
      <c r="A190" s="98"/>
      <c r="B190" s="33"/>
      <c r="C190" s="25"/>
      <c r="D190" s="26"/>
      <c r="E190" s="4"/>
      <c r="F190" s="25"/>
      <c r="G190" s="26"/>
      <c r="H190" s="55"/>
      <c r="N190" s="95" t="str">
        <f t="shared" si="25"/>
        <v/>
      </c>
      <c r="O190" s="95" t="str">
        <f t="shared" si="24"/>
        <v/>
      </c>
    </row>
    <row r="191" spans="1:15" x14ac:dyDescent="0.25">
      <c r="A191" s="98"/>
      <c r="B191" s="33"/>
      <c r="C191" s="25"/>
      <c r="D191" s="26"/>
      <c r="E191" s="4"/>
      <c r="F191" s="25"/>
      <c r="G191" s="26"/>
      <c r="H191" s="55"/>
      <c r="N191" s="95" t="str">
        <f t="shared" si="25"/>
        <v/>
      </c>
      <c r="O191" s="95" t="str">
        <f t="shared" si="24"/>
        <v/>
      </c>
    </row>
    <row r="192" spans="1:15" x14ac:dyDescent="0.25">
      <c r="A192" s="98"/>
      <c r="B192" s="33"/>
      <c r="C192" s="25"/>
      <c r="D192" s="26"/>
      <c r="E192" s="4"/>
      <c r="F192" s="25"/>
      <c r="G192" s="26"/>
      <c r="H192" s="55"/>
      <c r="N192" s="95" t="str">
        <f t="shared" si="25"/>
        <v/>
      </c>
      <c r="O192" s="95" t="str">
        <f t="shared" si="24"/>
        <v/>
      </c>
    </row>
    <row r="193" spans="1:15" x14ac:dyDescent="0.25">
      <c r="A193" s="98"/>
      <c r="B193" s="33"/>
      <c r="C193" s="25"/>
      <c r="D193" s="26"/>
      <c r="E193" s="4"/>
      <c r="F193" s="25"/>
      <c r="G193" s="26"/>
      <c r="H193" s="55"/>
      <c r="N193" s="95" t="str">
        <f t="shared" si="25"/>
        <v/>
      </c>
      <c r="O193" s="95" t="str">
        <f t="shared" si="24"/>
        <v/>
      </c>
    </row>
    <row r="194" spans="1:15" x14ac:dyDescent="0.25">
      <c r="A194" s="98"/>
      <c r="B194" s="33"/>
      <c r="C194" s="25"/>
      <c r="D194" s="26"/>
      <c r="E194" s="4"/>
      <c r="F194" s="25"/>
      <c r="G194" s="26"/>
      <c r="H194" s="55"/>
      <c r="N194" s="95" t="str">
        <f t="shared" si="25"/>
        <v/>
      </c>
      <c r="O194" s="95" t="str">
        <f t="shared" si="24"/>
        <v/>
      </c>
    </row>
    <row r="195" spans="1:15" x14ac:dyDescent="0.25">
      <c r="A195" s="98"/>
      <c r="B195" s="33"/>
      <c r="C195" s="25"/>
      <c r="D195" s="26"/>
      <c r="E195" s="4"/>
      <c r="F195" s="25"/>
      <c r="G195" s="26"/>
      <c r="H195" s="55"/>
      <c r="N195" s="95" t="str">
        <f t="shared" si="25"/>
        <v/>
      </c>
      <c r="O195" s="95" t="str">
        <f t="shared" si="24"/>
        <v/>
      </c>
    </row>
    <row r="196" spans="1:15" x14ac:dyDescent="0.25">
      <c r="A196" s="98"/>
      <c r="B196" s="33"/>
      <c r="C196" s="25"/>
      <c r="D196" s="26"/>
      <c r="E196" s="4"/>
      <c r="F196" s="25"/>
      <c r="G196" s="26"/>
      <c r="H196" s="55"/>
      <c r="N196" s="95" t="str">
        <f t="shared" si="25"/>
        <v/>
      </c>
      <c r="O196" s="95" t="str">
        <f t="shared" ref="O196:O259" si="26">IF(N196&gt;$A$14,N196,"")</f>
        <v/>
      </c>
    </row>
    <row r="197" spans="1:15" x14ac:dyDescent="0.25">
      <c r="A197" s="98"/>
      <c r="B197" s="33"/>
      <c r="C197" s="25"/>
      <c r="D197" s="26"/>
      <c r="E197" s="4"/>
      <c r="F197" s="25"/>
      <c r="G197" s="26"/>
      <c r="H197" s="55"/>
      <c r="N197" s="95" t="str">
        <f t="shared" si="25"/>
        <v/>
      </c>
      <c r="O197" s="95" t="str">
        <f t="shared" si="26"/>
        <v/>
      </c>
    </row>
    <row r="198" spans="1:15" x14ac:dyDescent="0.25">
      <c r="A198" s="98"/>
      <c r="B198" s="33"/>
      <c r="C198" s="25"/>
      <c r="D198" s="26"/>
      <c r="E198" s="4"/>
      <c r="F198" s="25"/>
      <c r="G198" s="26"/>
      <c r="H198" s="55"/>
      <c r="N198" s="95" t="str">
        <f t="shared" si="25"/>
        <v/>
      </c>
      <c r="O198" s="95" t="str">
        <f t="shared" si="26"/>
        <v/>
      </c>
    </row>
    <row r="199" spans="1:15" x14ac:dyDescent="0.25">
      <c r="A199" s="98"/>
      <c r="B199" s="33"/>
      <c r="C199" s="25"/>
      <c r="D199" s="26"/>
      <c r="E199" s="4"/>
      <c r="F199" s="25"/>
      <c r="G199" s="26"/>
      <c r="H199" s="55"/>
      <c r="N199" s="95" t="str">
        <f t="shared" si="25"/>
        <v/>
      </c>
      <c r="O199" s="95" t="str">
        <f t="shared" si="26"/>
        <v/>
      </c>
    </row>
    <row r="200" spans="1:15" x14ac:dyDescent="0.25">
      <c r="A200" s="98"/>
      <c r="B200" s="33"/>
      <c r="C200" s="25"/>
      <c r="D200" s="26"/>
      <c r="E200" s="4"/>
      <c r="F200" s="25"/>
      <c r="G200" s="26"/>
      <c r="H200" s="55"/>
      <c r="N200" s="95" t="str">
        <f t="shared" si="25"/>
        <v/>
      </c>
      <c r="O200" s="95" t="str">
        <f t="shared" si="26"/>
        <v/>
      </c>
    </row>
    <row r="201" spans="1:15" x14ac:dyDescent="0.25">
      <c r="A201" s="98"/>
      <c r="B201" s="33"/>
      <c r="C201" s="25"/>
      <c r="D201" s="26"/>
      <c r="E201" s="4"/>
      <c r="F201" s="25"/>
      <c r="G201" s="26"/>
      <c r="H201" s="55"/>
      <c r="N201" s="95" t="str">
        <f t="shared" si="25"/>
        <v/>
      </c>
      <c r="O201" s="95" t="str">
        <f t="shared" si="26"/>
        <v/>
      </c>
    </row>
    <row r="202" spans="1:15" x14ac:dyDescent="0.25">
      <c r="A202" s="98"/>
      <c r="B202" s="33"/>
      <c r="C202" s="25"/>
      <c r="D202" s="26"/>
      <c r="E202" s="4"/>
      <c r="F202" s="25"/>
      <c r="G202" s="26"/>
      <c r="H202" s="55"/>
      <c r="N202" s="95" t="str">
        <f t="shared" si="25"/>
        <v/>
      </c>
      <c r="O202" s="95" t="str">
        <f t="shared" si="26"/>
        <v/>
      </c>
    </row>
    <row r="203" spans="1:15" x14ac:dyDescent="0.25">
      <c r="A203" s="98"/>
      <c r="B203" s="33"/>
      <c r="C203" s="25"/>
      <c r="D203" s="26"/>
      <c r="E203" s="4"/>
      <c r="F203" s="25"/>
      <c r="G203" s="26"/>
      <c r="H203" s="55"/>
      <c r="N203" s="95" t="str">
        <f t="shared" si="25"/>
        <v/>
      </c>
      <c r="O203" s="95" t="str">
        <f t="shared" si="26"/>
        <v/>
      </c>
    </row>
    <row r="204" spans="1:15" x14ac:dyDescent="0.25">
      <c r="A204" s="98"/>
      <c r="B204" s="33"/>
      <c r="C204" s="25"/>
      <c r="D204" s="26"/>
      <c r="E204" s="4"/>
      <c r="F204" s="25"/>
      <c r="G204" s="26"/>
      <c r="H204" s="55"/>
      <c r="N204" s="95" t="str">
        <f t="shared" si="25"/>
        <v/>
      </c>
      <c r="O204" s="95" t="str">
        <f t="shared" si="26"/>
        <v/>
      </c>
    </row>
    <row r="205" spans="1:15" x14ac:dyDescent="0.25">
      <c r="A205" s="98"/>
      <c r="B205" s="33"/>
      <c r="C205" s="25"/>
      <c r="D205" s="26"/>
      <c r="E205" s="4"/>
      <c r="F205" s="25"/>
      <c r="G205" s="26"/>
      <c r="H205" s="55"/>
      <c r="N205" s="95" t="str">
        <f t="shared" si="25"/>
        <v/>
      </c>
      <c r="O205" s="95" t="str">
        <f t="shared" si="26"/>
        <v/>
      </c>
    </row>
    <row r="206" spans="1:15" x14ac:dyDescent="0.25">
      <c r="A206" s="98"/>
      <c r="B206" s="33"/>
      <c r="C206" s="25"/>
      <c r="D206" s="26"/>
      <c r="E206" s="4"/>
      <c r="F206" s="25"/>
      <c r="G206" s="26"/>
      <c r="H206" s="55"/>
      <c r="N206" s="95" t="str">
        <f t="shared" si="25"/>
        <v/>
      </c>
      <c r="O206" s="95" t="str">
        <f t="shared" si="26"/>
        <v/>
      </c>
    </row>
    <row r="207" spans="1:15" x14ac:dyDescent="0.25">
      <c r="A207" s="98"/>
      <c r="B207" s="33"/>
      <c r="C207" s="25"/>
      <c r="D207" s="26"/>
      <c r="E207" s="4"/>
      <c r="F207" s="25"/>
      <c r="G207" s="26"/>
      <c r="H207" s="55"/>
      <c r="N207" s="95" t="str">
        <f t="shared" si="25"/>
        <v/>
      </c>
      <c r="O207" s="95" t="str">
        <f t="shared" si="26"/>
        <v/>
      </c>
    </row>
    <row r="208" spans="1:15" x14ac:dyDescent="0.25">
      <c r="A208" s="98"/>
      <c r="B208" s="33"/>
      <c r="C208" s="25"/>
      <c r="D208" s="26"/>
      <c r="E208" s="4"/>
      <c r="F208" s="25"/>
      <c r="G208" s="26"/>
      <c r="H208" s="55"/>
      <c r="N208" s="95" t="str">
        <f t="shared" ref="N208:N271" si="27">IF(COUNTIF(L:L,J208),J208,"")</f>
        <v/>
      </c>
      <c r="O208" s="95" t="str">
        <f t="shared" si="26"/>
        <v/>
      </c>
    </row>
    <row r="209" spans="1:15" x14ac:dyDescent="0.25">
      <c r="A209" s="98"/>
      <c r="B209" s="33"/>
      <c r="C209" s="25"/>
      <c r="D209" s="26"/>
      <c r="E209" s="4"/>
      <c r="F209" s="25"/>
      <c r="G209" s="26"/>
      <c r="H209" s="55"/>
      <c r="N209" s="95" t="str">
        <f t="shared" si="27"/>
        <v/>
      </c>
      <c r="O209" s="95" t="str">
        <f t="shared" si="26"/>
        <v/>
      </c>
    </row>
    <row r="210" spans="1:15" x14ac:dyDescent="0.25">
      <c r="A210" s="98"/>
      <c r="B210" s="33"/>
      <c r="C210" s="25"/>
      <c r="D210" s="26"/>
      <c r="E210" s="4"/>
      <c r="F210" s="25"/>
      <c r="G210" s="26"/>
      <c r="H210" s="55"/>
      <c r="N210" s="95" t="str">
        <f t="shared" si="27"/>
        <v/>
      </c>
      <c r="O210" s="95" t="str">
        <f t="shared" si="26"/>
        <v/>
      </c>
    </row>
    <row r="211" spans="1:15" x14ac:dyDescent="0.25">
      <c r="A211" s="98"/>
      <c r="B211" s="33"/>
      <c r="C211" s="25"/>
      <c r="D211" s="26"/>
      <c r="E211" s="4"/>
      <c r="F211" s="25"/>
      <c r="G211" s="26"/>
      <c r="H211" s="55"/>
      <c r="N211" s="95" t="str">
        <f t="shared" si="27"/>
        <v/>
      </c>
      <c r="O211" s="95" t="str">
        <f t="shared" si="26"/>
        <v/>
      </c>
    </row>
    <row r="212" spans="1:15" x14ac:dyDescent="0.25">
      <c r="A212" s="98"/>
      <c r="B212" s="33"/>
      <c r="C212" s="25"/>
      <c r="D212" s="26"/>
      <c r="E212" s="4"/>
      <c r="F212" s="25"/>
      <c r="G212" s="26"/>
      <c r="H212" s="55"/>
      <c r="N212" s="95" t="str">
        <f t="shared" si="27"/>
        <v/>
      </c>
      <c r="O212" s="95" t="str">
        <f t="shared" si="26"/>
        <v/>
      </c>
    </row>
    <row r="213" spans="1:15" x14ac:dyDescent="0.25">
      <c r="A213" s="98"/>
      <c r="B213" s="33"/>
      <c r="C213" s="25"/>
      <c r="D213" s="26"/>
      <c r="E213" s="4"/>
      <c r="F213" s="25"/>
      <c r="G213" s="26"/>
      <c r="H213" s="55"/>
      <c r="N213" s="95" t="str">
        <f t="shared" si="27"/>
        <v/>
      </c>
      <c r="O213" s="95" t="str">
        <f t="shared" si="26"/>
        <v/>
      </c>
    </row>
    <row r="214" spans="1:15" x14ac:dyDescent="0.25">
      <c r="A214" s="98"/>
      <c r="B214" s="33"/>
      <c r="C214" s="25"/>
      <c r="D214" s="26"/>
      <c r="E214" s="4"/>
      <c r="F214" s="25"/>
      <c r="G214" s="26"/>
      <c r="H214" s="55"/>
      <c r="N214" s="95" t="str">
        <f t="shared" si="27"/>
        <v/>
      </c>
      <c r="O214" s="95" t="str">
        <f t="shared" si="26"/>
        <v/>
      </c>
    </row>
    <row r="215" spans="1:15" x14ac:dyDescent="0.25">
      <c r="A215" s="98"/>
      <c r="B215" s="33"/>
      <c r="C215" s="25"/>
      <c r="D215" s="26"/>
      <c r="E215" s="4"/>
      <c r="F215" s="25"/>
      <c r="G215" s="26"/>
      <c r="H215" s="55"/>
      <c r="N215" s="95" t="str">
        <f t="shared" si="27"/>
        <v/>
      </c>
      <c r="O215" s="95" t="str">
        <f t="shared" si="26"/>
        <v/>
      </c>
    </row>
    <row r="216" spans="1:15" x14ac:dyDescent="0.25">
      <c r="A216" s="98"/>
      <c r="B216" s="33"/>
      <c r="C216" s="25"/>
      <c r="D216" s="26"/>
      <c r="E216" s="4"/>
      <c r="F216" s="25"/>
      <c r="G216" s="26"/>
      <c r="H216" s="55"/>
      <c r="N216" s="95" t="str">
        <f t="shared" si="27"/>
        <v/>
      </c>
      <c r="O216" s="95" t="str">
        <f t="shared" si="26"/>
        <v/>
      </c>
    </row>
    <row r="217" spans="1:15" x14ac:dyDescent="0.25">
      <c r="A217" s="98"/>
      <c r="B217" s="33"/>
      <c r="C217" s="25"/>
      <c r="D217" s="26"/>
      <c r="E217" s="4"/>
      <c r="F217" s="25"/>
      <c r="G217" s="26"/>
      <c r="H217" s="55"/>
      <c r="N217" s="95" t="str">
        <f t="shared" si="27"/>
        <v/>
      </c>
      <c r="O217" s="95" t="str">
        <f t="shared" si="26"/>
        <v/>
      </c>
    </row>
    <row r="218" spans="1:15" x14ac:dyDescent="0.25">
      <c r="A218" s="98"/>
      <c r="B218" s="33"/>
      <c r="C218" s="25"/>
      <c r="D218" s="26"/>
      <c r="E218" s="4"/>
      <c r="F218" s="25"/>
      <c r="G218" s="26"/>
      <c r="H218" s="55"/>
      <c r="N218" s="95" t="str">
        <f t="shared" si="27"/>
        <v/>
      </c>
      <c r="O218" s="95" t="str">
        <f t="shared" si="26"/>
        <v/>
      </c>
    </row>
    <row r="219" spans="1:15" x14ac:dyDescent="0.25">
      <c r="A219" s="98"/>
      <c r="B219" s="33"/>
      <c r="C219" s="25"/>
      <c r="D219" s="26"/>
      <c r="E219" s="4"/>
      <c r="F219" s="25"/>
      <c r="G219" s="26"/>
      <c r="H219" s="55"/>
      <c r="N219" s="95" t="str">
        <f t="shared" si="27"/>
        <v/>
      </c>
      <c r="O219" s="95" t="str">
        <f t="shared" si="26"/>
        <v/>
      </c>
    </row>
    <row r="220" spans="1:15" x14ac:dyDescent="0.25">
      <c r="A220" s="98"/>
      <c r="B220" s="33"/>
      <c r="C220" s="25"/>
      <c r="D220" s="26"/>
      <c r="E220" s="4"/>
      <c r="F220" s="25"/>
      <c r="G220" s="26"/>
      <c r="H220" s="55"/>
      <c r="N220" s="95" t="str">
        <f t="shared" si="27"/>
        <v/>
      </c>
      <c r="O220" s="95" t="str">
        <f t="shared" si="26"/>
        <v/>
      </c>
    </row>
    <row r="221" spans="1:15" x14ac:dyDescent="0.25">
      <c r="A221" s="98"/>
      <c r="B221" s="33"/>
      <c r="C221" s="25"/>
      <c r="D221" s="26"/>
      <c r="E221" s="4"/>
      <c r="F221" s="25"/>
      <c r="G221" s="26"/>
      <c r="H221" s="55"/>
      <c r="N221" s="95" t="str">
        <f t="shared" si="27"/>
        <v/>
      </c>
      <c r="O221" s="95" t="str">
        <f t="shared" si="26"/>
        <v/>
      </c>
    </row>
    <row r="222" spans="1:15" x14ac:dyDescent="0.25">
      <c r="A222" s="98"/>
      <c r="B222" s="33"/>
      <c r="C222" s="25"/>
      <c r="D222" s="26"/>
      <c r="E222" s="4"/>
      <c r="F222" s="25"/>
      <c r="G222" s="26"/>
      <c r="H222" s="55"/>
      <c r="N222" s="95" t="str">
        <f t="shared" si="27"/>
        <v/>
      </c>
      <c r="O222" s="95" t="str">
        <f t="shared" si="26"/>
        <v/>
      </c>
    </row>
    <row r="223" spans="1:15" x14ac:dyDescent="0.25">
      <c r="A223" s="98"/>
      <c r="B223" s="33"/>
      <c r="C223" s="25"/>
      <c r="D223" s="26"/>
      <c r="E223" s="4"/>
      <c r="F223" s="25"/>
      <c r="G223" s="26"/>
      <c r="H223" s="55"/>
      <c r="N223" s="95" t="str">
        <f t="shared" si="27"/>
        <v/>
      </c>
      <c r="O223" s="95" t="str">
        <f t="shared" si="26"/>
        <v/>
      </c>
    </row>
    <row r="224" spans="1:15" x14ac:dyDescent="0.25">
      <c r="A224" s="98"/>
      <c r="B224" s="33"/>
      <c r="C224" s="25"/>
      <c r="D224" s="26"/>
      <c r="E224" s="4"/>
      <c r="F224" s="25"/>
      <c r="G224" s="26"/>
      <c r="H224" s="55"/>
      <c r="N224" s="95" t="str">
        <f t="shared" si="27"/>
        <v/>
      </c>
      <c r="O224" s="95" t="str">
        <f t="shared" si="26"/>
        <v/>
      </c>
    </row>
    <row r="225" spans="1:15" x14ac:dyDescent="0.25">
      <c r="A225" s="98"/>
      <c r="B225" s="33"/>
      <c r="C225" s="25"/>
      <c r="D225" s="26"/>
      <c r="E225" s="4"/>
      <c r="F225" s="25"/>
      <c r="G225" s="26"/>
      <c r="H225" s="55"/>
      <c r="N225" s="95" t="str">
        <f t="shared" si="27"/>
        <v/>
      </c>
      <c r="O225" s="95" t="str">
        <f t="shared" si="26"/>
        <v/>
      </c>
    </row>
    <row r="226" spans="1:15" x14ac:dyDescent="0.25">
      <c r="A226" s="98"/>
      <c r="B226" s="33"/>
      <c r="C226" s="25"/>
      <c r="D226" s="26"/>
      <c r="E226" s="4"/>
      <c r="F226" s="25"/>
      <c r="G226" s="26"/>
      <c r="H226" s="55"/>
      <c r="N226" s="95" t="str">
        <f t="shared" si="27"/>
        <v/>
      </c>
      <c r="O226" s="95" t="str">
        <f t="shared" si="26"/>
        <v/>
      </c>
    </row>
    <row r="227" spans="1:15" x14ac:dyDescent="0.25">
      <c r="A227" s="98"/>
      <c r="B227" s="33"/>
      <c r="C227" s="25"/>
      <c r="D227" s="26"/>
      <c r="E227" s="4"/>
      <c r="F227" s="25"/>
      <c r="G227" s="26"/>
      <c r="H227" s="55"/>
      <c r="N227" s="95" t="str">
        <f t="shared" si="27"/>
        <v/>
      </c>
      <c r="O227" s="95" t="str">
        <f t="shared" si="26"/>
        <v/>
      </c>
    </row>
    <row r="228" spans="1:15" x14ac:dyDescent="0.25">
      <c r="A228" s="98"/>
      <c r="B228" s="33"/>
      <c r="C228" s="25"/>
      <c r="D228" s="26"/>
      <c r="E228" s="4"/>
      <c r="F228" s="25"/>
      <c r="G228" s="26"/>
      <c r="H228" s="55"/>
      <c r="N228" s="95" t="str">
        <f t="shared" si="27"/>
        <v/>
      </c>
      <c r="O228" s="95" t="str">
        <f t="shared" si="26"/>
        <v/>
      </c>
    </row>
    <row r="229" spans="1:15" x14ac:dyDescent="0.25">
      <c r="A229" s="98"/>
      <c r="B229" s="33"/>
      <c r="C229" s="25"/>
      <c r="D229" s="26"/>
      <c r="E229" s="4"/>
      <c r="F229" s="25"/>
      <c r="G229" s="26"/>
      <c r="H229" s="55"/>
      <c r="N229" s="95" t="str">
        <f t="shared" si="27"/>
        <v/>
      </c>
      <c r="O229" s="95" t="str">
        <f t="shared" si="26"/>
        <v/>
      </c>
    </row>
    <row r="230" spans="1:15" x14ac:dyDescent="0.25">
      <c r="A230" s="98"/>
      <c r="B230" s="33"/>
      <c r="C230" s="25"/>
      <c r="D230" s="26"/>
      <c r="E230" s="4"/>
      <c r="F230" s="25"/>
      <c r="G230" s="26"/>
      <c r="H230" s="55"/>
      <c r="N230" s="95" t="str">
        <f t="shared" si="27"/>
        <v/>
      </c>
      <c r="O230" s="95" t="str">
        <f t="shared" si="26"/>
        <v/>
      </c>
    </row>
    <row r="231" spans="1:15" x14ac:dyDescent="0.25">
      <c r="A231" s="98"/>
      <c r="B231" s="33"/>
      <c r="C231" s="25"/>
      <c r="D231" s="26"/>
      <c r="E231" s="4"/>
      <c r="F231" s="25"/>
      <c r="G231" s="26"/>
      <c r="H231" s="55"/>
      <c r="N231" s="95" t="str">
        <f t="shared" si="27"/>
        <v/>
      </c>
      <c r="O231" s="95" t="str">
        <f t="shared" si="26"/>
        <v/>
      </c>
    </row>
    <row r="232" spans="1:15" x14ac:dyDescent="0.25">
      <c r="A232" s="98"/>
      <c r="B232" s="33"/>
      <c r="C232" s="25"/>
      <c r="D232" s="26"/>
      <c r="E232" s="4"/>
      <c r="F232" s="25"/>
      <c r="G232" s="26"/>
      <c r="H232" s="55"/>
      <c r="N232" s="95" t="str">
        <f t="shared" si="27"/>
        <v/>
      </c>
      <c r="O232" s="95" t="str">
        <f t="shared" si="26"/>
        <v/>
      </c>
    </row>
    <row r="233" spans="1:15" x14ac:dyDescent="0.25">
      <c r="A233" s="98"/>
      <c r="B233" s="33"/>
      <c r="C233" s="25"/>
      <c r="D233" s="26"/>
      <c r="E233" s="4"/>
      <c r="F233" s="25"/>
      <c r="G233" s="26"/>
      <c r="H233" s="55"/>
      <c r="N233" s="95" t="str">
        <f t="shared" si="27"/>
        <v/>
      </c>
      <c r="O233" s="95" t="str">
        <f t="shared" si="26"/>
        <v/>
      </c>
    </row>
    <row r="234" spans="1:15" x14ac:dyDescent="0.25">
      <c r="A234" s="98"/>
      <c r="B234" s="33"/>
      <c r="C234" s="25"/>
      <c r="D234" s="26"/>
      <c r="E234" s="4"/>
      <c r="F234" s="25"/>
      <c r="G234" s="26"/>
      <c r="H234" s="55"/>
      <c r="N234" s="95" t="str">
        <f t="shared" si="27"/>
        <v/>
      </c>
      <c r="O234" s="95" t="str">
        <f t="shared" si="26"/>
        <v/>
      </c>
    </row>
    <row r="235" spans="1:15" x14ac:dyDescent="0.25">
      <c r="A235" s="98"/>
      <c r="B235" s="33"/>
      <c r="C235" s="25"/>
      <c r="D235" s="26"/>
      <c r="E235" s="4"/>
      <c r="F235" s="25"/>
      <c r="G235" s="26"/>
      <c r="H235" s="55"/>
      <c r="N235" s="95" t="str">
        <f t="shared" si="27"/>
        <v/>
      </c>
      <c r="O235" s="95" t="str">
        <f t="shared" si="26"/>
        <v/>
      </c>
    </row>
    <row r="236" spans="1:15" x14ac:dyDescent="0.25">
      <c r="A236" s="98"/>
      <c r="B236" s="33"/>
      <c r="C236" s="25"/>
      <c r="D236" s="26"/>
      <c r="E236" s="4"/>
      <c r="F236" s="25"/>
      <c r="G236" s="26"/>
      <c r="H236" s="55"/>
      <c r="N236" s="95" t="str">
        <f t="shared" si="27"/>
        <v/>
      </c>
      <c r="O236" s="95" t="str">
        <f t="shared" si="26"/>
        <v/>
      </c>
    </row>
    <row r="237" spans="1:15" x14ac:dyDescent="0.25">
      <c r="A237" s="98"/>
      <c r="B237" s="33"/>
      <c r="C237" s="25"/>
      <c r="D237" s="26"/>
      <c r="E237" s="4"/>
      <c r="F237" s="25"/>
      <c r="G237" s="26"/>
      <c r="H237" s="55"/>
      <c r="N237" s="95" t="str">
        <f t="shared" si="27"/>
        <v/>
      </c>
      <c r="O237" s="95" t="str">
        <f t="shared" si="26"/>
        <v/>
      </c>
    </row>
    <row r="238" spans="1:15" x14ac:dyDescent="0.25">
      <c r="A238" s="98"/>
      <c r="B238" s="33"/>
      <c r="C238" s="25"/>
      <c r="D238" s="26"/>
      <c r="E238" s="4"/>
      <c r="F238" s="25"/>
      <c r="G238" s="26"/>
      <c r="H238" s="55"/>
      <c r="N238" s="95" t="str">
        <f t="shared" si="27"/>
        <v/>
      </c>
      <c r="O238" s="95" t="str">
        <f t="shared" si="26"/>
        <v/>
      </c>
    </row>
    <row r="239" spans="1:15" x14ac:dyDescent="0.25">
      <c r="A239" s="98"/>
      <c r="B239" s="33"/>
      <c r="C239" s="25"/>
      <c r="D239" s="26"/>
      <c r="E239" s="4"/>
      <c r="F239" s="25"/>
      <c r="G239" s="26"/>
      <c r="H239" s="55"/>
      <c r="N239" s="95" t="str">
        <f t="shared" si="27"/>
        <v/>
      </c>
      <c r="O239" s="95" t="str">
        <f t="shared" si="26"/>
        <v/>
      </c>
    </row>
    <row r="240" spans="1:15" x14ac:dyDescent="0.25">
      <c r="A240" s="98"/>
      <c r="B240" s="33"/>
      <c r="C240" s="25"/>
      <c r="D240" s="26"/>
      <c r="E240" s="4"/>
      <c r="F240" s="25"/>
      <c r="G240" s="26"/>
      <c r="H240" s="55"/>
      <c r="N240" s="95" t="str">
        <f t="shared" si="27"/>
        <v/>
      </c>
      <c r="O240" s="95" t="str">
        <f t="shared" si="26"/>
        <v/>
      </c>
    </row>
    <row r="241" spans="1:15" x14ac:dyDescent="0.25">
      <c r="A241" s="98"/>
      <c r="B241" s="33"/>
      <c r="C241" s="25"/>
      <c r="D241" s="26"/>
      <c r="E241" s="4"/>
      <c r="F241" s="25"/>
      <c r="G241" s="26"/>
      <c r="H241" s="55"/>
      <c r="N241" s="95" t="str">
        <f t="shared" si="27"/>
        <v/>
      </c>
      <c r="O241" s="95" t="str">
        <f t="shared" si="26"/>
        <v/>
      </c>
    </row>
    <row r="242" spans="1:15" x14ac:dyDescent="0.25">
      <c r="A242" s="98"/>
      <c r="B242" s="33"/>
      <c r="C242" s="25"/>
      <c r="D242" s="26"/>
      <c r="E242" s="4"/>
      <c r="F242" s="25"/>
      <c r="G242" s="26"/>
      <c r="H242" s="55"/>
      <c r="N242" s="95" t="str">
        <f t="shared" si="27"/>
        <v/>
      </c>
      <c r="O242" s="95" t="str">
        <f t="shared" si="26"/>
        <v/>
      </c>
    </row>
    <row r="243" spans="1:15" x14ac:dyDescent="0.25">
      <c r="A243" s="98"/>
      <c r="B243" s="33"/>
      <c r="C243" s="25"/>
      <c r="D243" s="26"/>
      <c r="E243" s="4"/>
      <c r="F243" s="25"/>
      <c r="G243" s="26"/>
      <c r="H243" s="55"/>
      <c r="N243" s="95" t="str">
        <f t="shared" si="27"/>
        <v/>
      </c>
      <c r="O243" s="95" t="str">
        <f t="shared" si="26"/>
        <v/>
      </c>
    </row>
    <row r="244" spans="1:15" x14ac:dyDescent="0.25">
      <c r="A244" s="98"/>
      <c r="B244" s="33"/>
      <c r="C244" s="25"/>
      <c r="D244" s="26"/>
      <c r="E244" s="4"/>
      <c r="F244" s="25"/>
      <c r="G244" s="26"/>
      <c r="H244" s="55"/>
      <c r="N244" s="95" t="str">
        <f t="shared" si="27"/>
        <v/>
      </c>
      <c r="O244" s="95" t="str">
        <f t="shared" si="26"/>
        <v/>
      </c>
    </row>
    <row r="245" spans="1:15" x14ac:dyDescent="0.25">
      <c r="A245" s="98"/>
      <c r="B245" s="33"/>
      <c r="C245" s="25"/>
      <c r="D245" s="26"/>
      <c r="E245" s="4"/>
      <c r="F245" s="25"/>
      <c r="G245" s="26"/>
      <c r="H245" s="55"/>
      <c r="N245" s="95" t="str">
        <f t="shared" si="27"/>
        <v/>
      </c>
      <c r="O245" s="95" t="str">
        <f t="shared" si="26"/>
        <v/>
      </c>
    </row>
    <row r="246" spans="1:15" x14ac:dyDescent="0.25">
      <c r="A246" s="98"/>
      <c r="B246" s="33"/>
      <c r="C246" s="25"/>
      <c r="D246" s="26"/>
      <c r="E246" s="4"/>
      <c r="F246" s="25"/>
      <c r="G246" s="26"/>
      <c r="H246" s="55"/>
      <c r="N246" s="95" t="str">
        <f t="shared" si="27"/>
        <v/>
      </c>
      <c r="O246" s="95" t="str">
        <f t="shared" si="26"/>
        <v/>
      </c>
    </row>
    <row r="247" spans="1:15" x14ac:dyDescent="0.25">
      <c r="A247" s="98"/>
      <c r="B247" s="33"/>
      <c r="C247" s="25"/>
      <c r="D247" s="26"/>
      <c r="E247" s="4"/>
      <c r="F247" s="25"/>
      <c r="G247" s="26"/>
      <c r="H247" s="55"/>
      <c r="N247" s="95" t="str">
        <f t="shared" si="27"/>
        <v/>
      </c>
      <c r="O247" s="95" t="str">
        <f t="shared" si="26"/>
        <v/>
      </c>
    </row>
    <row r="248" spans="1:15" x14ac:dyDescent="0.25">
      <c r="A248" s="98"/>
      <c r="B248" s="33"/>
      <c r="C248" s="25"/>
      <c r="D248" s="26"/>
      <c r="E248" s="4"/>
      <c r="F248" s="25"/>
      <c r="G248" s="26"/>
      <c r="H248" s="55"/>
      <c r="N248" s="95" t="str">
        <f t="shared" si="27"/>
        <v/>
      </c>
      <c r="O248" s="95" t="str">
        <f t="shared" si="26"/>
        <v/>
      </c>
    </row>
    <row r="249" spans="1:15" x14ac:dyDescent="0.25">
      <c r="A249" s="98"/>
      <c r="B249" s="33"/>
      <c r="C249" s="25"/>
      <c r="D249" s="26"/>
      <c r="E249" s="4"/>
      <c r="F249" s="25"/>
      <c r="G249" s="26"/>
      <c r="H249" s="55"/>
      <c r="N249" s="95" t="str">
        <f t="shared" si="27"/>
        <v/>
      </c>
      <c r="O249" s="95" t="str">
        <f t="shared" si="26"/>
        <v/>
      </c>
    </row>
    <row r="250" spans="1:15" x14ac:dyDescent="0.25">
      <c r="A250" s="98"/>
      <c r="B250" s="33"/>
      <c r="C250" s="25"/>
      <c r="D250" s="26"/>
      <c r="E250" s="4"/>
      <c r="F250" s="25"/>
      <c r="G250" s="26"/>
      <c r="H250" s="55"/>
      <c r="N250" s="95" t="str">
        <f t="shared" si="27"/>
        <v/>
      </c>
      <c r="O250" s="95" t="str">
        <f t="shared" si="26"/>
        <v/>
      </c>
    </row>
    <row r="251" spans="1:15" x14ac:dyDescent="0.25">
      <c r="A251" s="98"/>
      <c r="B251" s="33"/>
      <c r="C251" s="25"/>
      <c r="D251" s="26"/>
      <c r="E251" s="4"/>
      <c r="F251" s="25"/>
      <c r="G251" s="26"/>
      <c r="H251" s="55"/>
      <c r="N251" s="95" t="str">
        <f t="shared" si="27"/>
        <v/>
      </c>
      <c r="O251" s="95" t="str">
        <f t="shared" si="26"/>
        <v/>
      </c>
    </row>
    <row r="252" spans="1:15" x14ac:dyDescent="0.25">
      <c r="A252" s="98"/>
      <c r="B252" s="33"/>
      <c r="C252" s="25"/>
      <c r="D252" s="26"/>
      <c r="E252" s="4"/>
      <c r="F252" s="25"/>
      <c r="G252" s="26"/>
      <c r="H252" s="55"/>
      <c r="N252" s="95" t="str">
        <f t="shared" si="27"/>
        <v/>
      </c>
      <c r="O252" s="95" t="str">
        <f t="shared" si="26"/>
        <v/>
      </c>
    </row>
    <row r="253" spans="1:15" x14ac:dyDescent="0.25">
      <c r="A253" s="98"/>
      <c r="B253" s="33"/>
      <c r="C253" s="25"/>
      <c r="D253" s="26"/>
      <c r="E253" s="4"/>
      <c r="F253" s="25"/>
      <c r="G253" s="26"/>
      <c r="H253" s="55"/>
      <c r="N253" s="95" t="str">
        <f t="shared" si="27"/>
        <v/>
      </c>
      <c r="O253" s="95" t="str">
        <f t="shared" si="26"/>
        <v/>
      </c>
    </row>
    <row r="254" spans="1:15" x14ac:dyDescent="0.25">
      <c r="A254" s="98"/>
      <c r="B254" s="33"/>
      <c r="C254" s="25"/>
      <c r="D254" s="26"/>
      <c r="E254" s="4"/>
      <c r="F254" s="25"/>
      <c r="G254" s="26"/>
      <c r="H254" s="55"/>
      <c r="N254" s="95" t="str">
        <f t="shared" si="27"/>
        <v/>
      </c>
      <c r="O254" s="95" t="str">
        <f t="shared" si="26"/>
        <v/>
      </c>
    </row>
    <row r="255" spans="1:15" x14ac:dyDescent="0.25">
      <c r="A255" s="98"/>
      <c r="B255" s="33"/>
      <c r="C255" s="25"/>
      <c r="D255" s="26"/>
      <c r="E255" s="4"/>
      <c r="F255" s="25"/>
      <c r="G255" s="26"/>
      <c r="H255" s="55"/>
      <c r="N255" s="95" t="str">
        <f t="shared" si="27"/>
        <v/>
      </c>
      <c r="O255" s="95" t="str">
        <f t="shared" si="26"/>
        <v/>
      </c>
    </row>
    <row r="256" spans="1:15" x14ac:dyDescent="0.25">
      <c r="A256" s="98"/>
      <c r="B256" s="33"/>
      <c r="C256" s="25"/>
      <c r="D256" s="26"/>
      <c r="E256" s="4"/>
      <c r="F256" s="25"/>
      <c r="G256" s="26"/>
      <c r="H256" s="55"/>
      <c r="N256" s="95" t="str">
        <f t="shared" si="27"/>
        <v/>
      </c>
      <c r="O256" s="95" t="str">
        <f t="shared" si="26"/>
        <v/>
      </c>
    </row>
    <row r="257" spans="1:15" x14ac:dyDescent="0.25">
      <c r="A257" s="98"/>
      <c r="B257" s="33"/>
      <c r="C257" s="25"/>
      <c r="D257" s="26"/>
      <c r="E257" s="4"/>
      <c r="F257" s="25"/>
      <c r="G257" s="26"/>
      <c r="H257" s="55"/>
      <c r="N257" s="95" t="str">
        <f t="shared" si="27"/>
        <v/>
      </c>
      <c r="O257" s="95" t="str">
        <f t="shared" si="26"/>
        <v/>
      </c>
    </row>
    <row r="258" spans="1:15" x14ac:dyDescent="0.25">
      <c r="A258" s="98"/>
      <c r="B258" s="33"/>
      <c r="C258" s="25"/>
      <c r="D258" s="26"/>
      <c r="E258" s="4"/>
      <c r="F258" s="25"/>
      <c r="G258" s="26"/>
      <c r="H258" s="55"/>
      <c r="N258" s="95" t="str">
        <f t="shared" si="27"/>
        <v/>
      </c>
      <c r="O258" s="95" t="str">
        <f t="shared" si="26"/>
        <v/>
      </c>
    </row>
    <row r="259" spans="1:15" x14ac:dyDescent="0.25">
      <c r="A259" s="98"/>
      <c r="B259" s="33"/>
      <c r="C259" s="25"/>
      <c r="D259" s="26"/>
      <c r="E259" s="4"/>
      <c r="F259" s="25"/>
      <c r="G259" s="26"/>
      <c r="H259" s="55"/>
      <c r="N259" s="95" t="str">
        <f t="shared" si="27"/>
        <v/>
      </c>
      <c r="O259" s="95" t="str">
        <f t="shared" si="26"/>
        <v/>
      </c>
    </row>
    <row r="260" spans="1:15" x14ac:dyDescent="0.25">
      <c r="A260" s="98"/>
      <c r="B260" s="33"/>
      <c r="C260" s="25"/>
      <c r="D260" s="26"/>
      <c r="E260" s="4"/>
      <c r="F260" s="25"/>
      <c r="G260" s="26"/>
      <c r="H260" s="55"/>
      <c r="N260" s="95" t="str">
        <f t="shared" si="27"/>
        <v/>
      </c>
      <c r="O260" s="95" t="str">
        <f t="shared" ref="O260:O323" si="28">IF(N260&gt;$A$14,N260,"")</f>
        <v/>
      </c>
    </row>
    <row r="261" spans="1:15" x14ac:dyDescent="0.25">
      <c r="A261" s="98"/>
      <c r="B261" s="33"/>
      <c r="C261" s="25"/>
      <c r="D261" s="26"/>
      <c r="E261" s="4"/>
      <c r="F261" s="25"/>
      <c r="G261" s="26"/>
      <c r="H261" s="55"/>
      <c r="N261" s="95" t="str">
        <f t="shared" si="27"/>
        <v/>
      </c>
      <c r="O261" s="95" t="str">
        <f t="shared" si="28"/>
        <v/>
      </c>
    </row>
    <row r="262" spans="1:15" x14ac:dyDescent="0.25">
      <c r="A262" s="98"/>
      <c r="B262" s="33"/>
      <c r="C262" s="25"/>
      <c r="D262" s="26"/>
      <c r="E262" s="4"/>
      <c r="F262" s="25"/>
      <c r="G262" s="26"/>
      <c r="H262" s="55"/>
      <c r="N262" s="95" t="str">
        <f t="shared" si="27"/>
        <v/>
      </c>
      <c r="O262" s="95" t="str">
        <f t="shared" si="28"/>
        <v/>
      </c>
    </row>
    <row r="263" spans="1:15" x14ac:dyDescent="0.25">
      <c r="A263" s="98"/>
      <c r="B263" s="33"/>
      <c r="C263" s="25"/>
      <c r="D263" s="26"/>
      <c r="E263" s="4"/>
      <c r="F263" s="25"/>
      <c r="G263" s="26"/>
      <c r="H263" s="55"/>
      <c r="N263" s="95" t="str">
        <f t="shared" si="27"/>
        <v/>
      </c>
      <c r="O263" s="95" t="str">
        <f t="shared" si="28"/>
        <v/>
      </c>
    </row>
    <row r="264" spans="1:15" x14ac:dyDescent="0.25">
      <c r="A264" s="98"/>
      <c r="B264" s="33"/>
      <c r="C264" s="25"/>
      <c r="D264" s="26"/>
      <c r="E264" s="4"/>
      <c r="F264" s="25"/>
      <c r="G264" s="26"/>
      <c r="H264" s="55"/>
      <c r="N264" s="95" t="str">
        <f t="shared" si="27"/>
        <v/>
      </c>
      <c r="O264" s="95" t="str">
        <f t="shared" si="28"/>
        <v/>
      </c>
    </row>
    <row r="265" spans="1:15" x14ac:dyDescent="0.25">
      <c r="A265" s="98"/>
      <c r="B265" s="33"/>
      <c r="C265" s="25"/>
      <c r="D265" s="26"/>
      <c r="E265" s="4"/>
      <c r="F265" s="25"/>
      <c r="G265" s="26"/>
      <c r="H265" s="55"/>
      <c r="N265" s="95" t="str">
        <f t="shared" si="27"/>
        <v/>
      </c>
      <c r="O265" s="95" t="str">
        <f t="shared" si="28"/>
        <v/>
      </c>
    </row>
    <row r="266" spans="1:15" x14ac:dyDescent="0.25">
      <c r="A266" s="98"/>
      <c r="B266" s="33"/>
      <c r="C266" s="25"/>
      <c r="D266" s="26"/>
      <c r="E266" s="4"/>
      <c r="F266" s="25"/>
      <c r="G266" s="26"/>
      <c r="H266" s="55"/>
      <c r="N266" s="95" t="str">
        <f t="shared" si="27"/>
        <v/>
      </c>
      <c r="O266" s="95" t="str">
        <f t="shared" si="28"/>
        <v/>
      </c>
    </row>
    <row r="267" spans="1:15" x14ac:dyDescent="0.25">
      <c r="A267" s="98"/>
      <c r="B267" s="33"/>
      <c r="C267" s="25"/>
      <c r="D267" s="26"/>
      <c r="E267" s="4"/>
      <c r="F267" s="25"/>
      <c r="G267" s="26"/>
      <c r="H267" s="55"/>
      <c r="N267" s="95" t="str">
        <f t="shared" si="27"/>
        <v/>
      </c>
      <c r="O267" s="95" t="str">
        <f t="shared" si="28"/>
        <v/>
      </c>
    </row>
    <row r="268" spans="1:15" x14ac:dyDescent="0.25">
      <c r="A268" s="98"/>
      <c r="B268" s="33"/>
      <c r="C268" s="25"/>
      <c r="D268" s="26"/>
      <c r="E268" s="4"/>
      <c r="F268" s="25"/>
      <c r="G268" s="26"/>
      <c r="H268" s="55"/>
      <c r="N268" s="95" t="str">
        <f t="shared" si="27"/>
        <v/>
      </c>
      <c r="O268" s="95" t="str">
        <f t="shared" si="28"/>
        <v/>
      </c>
    </row>
    <row r="269" spans="1:15" x14ac:dyDescent="0.25">
      <c r="A269" s="98"/>
      <c r="B269" s="33"/>
      <c r="C269" s="25"/>
      <c r="D269" s="26"/>
      <c r="E269" s="4"/>
      <c r="F269" s="25"/>
      <c r="G269" s="26"/>
      <c r="H269" s="55"/>
      <c r="N269" s="95" t="str">
        <f t="shared" si="27"/>
        <v/>
      </c>
      <c r="O269" s="95" t="str">
        <f t="shared" si="28"/>
        <v/>
      </c>
    </row>
    <row r="270" spans="1:15" x14ac:dyDescent="0.25">
      <c r="A270" s="98"/>
      <c r="B270" s="33"/>
      <c r="C270" s="25"/>
      <c r="D270" s="26"/>
      <c r="E270" s="4"/>
      <c r="F270" s="25"/>
      <c r="G270" s="26"/>
      <c r="H270" s="55"/>
      <c r="N270" s="95" t="str">
        <f t="shared" si="27"/>
        <v/>
      </c>
      <c r="O270" s="95" t="str">
        <f t="shared" si="28"/>
        <v/>
      </c>
    </row>
    <row r="271" spans="1:15" x14ac:dyDescent="0.25">
      <c r="A271" s="98"/>
      <c r="B271" s="33"/>
      <c r="C271" s="25"/>
      <c r="D271" s="26"/>
      <c r="E271" s="4"/>
      <c r="F271" s="25"/>
      <c r="G271" s="26"/>
      <c r="H271" s="55"/>
      <c r="N271" s="95" t="str">
        <f t="shared" si="27"/>
        <v/>
      </c>
      <c r="O271" s="95" t="str">
        <f t="shared" si="28"/>
        <v/>
      </c>
    </row>
    <row r="272" spans="1:15" x14ac:dyDescent="0.25">
      <c r="A272" s="98"/>
      <c r="B272" s="33"/>
      <c r="C272" s="25"/>
      <c r="D272" s="26"/>
      <c r="E272" s="4"/>
      <c r="F272" s="25"/>
      <c r="G272" s="26"/>
      <c r="H272" s="55"/>
      <c r="N272" s="95" t="str">
        <f t="shared" ref="N272:N335" si="29">IF(COUNTIF(L:L,J272),J272,"")</f>
        <v/>
      </c>
      <c r="O272" s="95" t="str">
        <f t="shared" si="28"/>
        <v/>
      </c>
    </row>
    <row r="273" spans="1:15" x14ac:dyDescent="0.25">
      <c r="A273" s="98"/>
      <c r="B273" s="33"/>
      <c r="C273" s="25"/>
      <c r="D273" s="26"/>
      <c r="E273" s="4"/>
      <c r="F273" s="25"/>
      <c r="G273" s="26"/>
      <c r="H273" s="55"/>
      <c r="N273" s="95" t="str">
        <f t="shared" si="29"/>
        <v/>
      </c>
      <c r="O273" s="95" t="str">
        <f t="shared" si="28"/>
        <v/>
      </c>
    </row>
    <row r="274" spans="1:15" x14ac:dyDescent="0.25">
      <c r="A274" s="98"/>
      <c r="B274" s="33"/>
      <c r="C274" s="25"/>
      <c r="D274" s="26"/>
      <c r="E274" s="4"/>
      <c r="F274" s="25"/>
      <c r="G274" s="26"/>
      <c r="H274" s="55"/>
      <c r="N274" s="95" t="str">
        <f t="shared" si="29"/>
        <v/>
      </c>
      <c r="O274" s="95" t="str">
        <f t="shared" si="28"/>
        <v/>
      </c>
    </row>
    <row r="275" spans="1:15" x14ac:dyDescent="0.25">
      <c r="A275" s="98"/>
      <c r="B275" s="33"/>
      <c r="C275" s="25"/>
      <c r="D275" s="26"/>
      <c r="E275" s="4"/>
      <c r="F275" s="25"/>
      <c r="G275" s="26"/>
      <c r="H275" s="55"/>
      <c r="N275" s="95" t="str">
        <f t="shared" si="29"/>
        <v/>
      </c>
      <c r="O275" s="95" t="str">
        <f t="shared" si="28"/>
        <v/>
      </c>
    </row>
    <row r="276" spans="1:15" x14ac:dyDescent="0.25">
      <c r="A276" s="98"/>
      <c r="B276" s="33"/>
      <c r="C276" s="25"/>
      <c r="D276" s="26"/>
      <c r="E276" s="4"/>
      <c r="F276" s="25"/>
      <c r="G276" s="26"/>
      <c r="H276" s="55"/>
      <c r="N276" s="95" t="str">
        <f t="shared" si="29"/>
        <v/>
      </c>
      <c r="O276" s="95" t="str">
        <f t="shared" si="28"/>
        <v/>
      </c>
    </row>
    <row r="277" spans="1:15" x14ac:dyDescent="0.25">
      <c r="A277" s="98"/>
      <c r="B277" s="33"/>
      <c r="C277" s="25"/>
      <c r="D277" s="26"/>
      <c r="E277" s="4"/>
      <c r="F277" s="25"/>
      <c r="G277" s="26"/>
      <c r="H277" s="55"/>
      <c r="N277" s="95" t="str">
        <f t="shared" si="29"/>
        <v/>
      </c>
      <c r="O277" s="95" t="str">
        <f t="shared" si="28"/>
        <v/>
      </c>
    </row>
    <row r="278" spans="1:15" x14ac:dyDescent="0.25">
      <c r="A278" s="98"/>
      <c r="B278" s="33"/>
      <c r="C278" s="25"/>
      <c r="D278" s="26"/>
      <c r="E278" s="4"/>
      <c r="F278" s="25"/>
      <c r="G278" s="26"/>
      <c r="H278" s="55"/>
      <c r="N278" s="95" t="str">
        <f t="shared" si="29"/>
        <v/>
      </c>
      <c r="O278" s="95" t="str">
        <f t="shared" si="28"/>
        <v/>
      </c>
    </row>
    <row r="279" spans="1:15" x14ac:dyDescent="0.25">
      <c r="A279" s="98"/>
      <c r="B279" s="33"/>
      <c r="C279" s="25"/>
      <c r="D279" s="26"/>
      <c r="E279" s="4"/>
      <c r="F279" s="25"/>
      <c r="G279" s="26"/>
      <c r="H279" s="55"/>
      <c r="N279" s="95" t="str">
        <f t="shared" si="29"/>
        <v/>
      </c>
      <c r="O279" s="95" t="str">
        <f t="shared" si="28"/>
        <v/>
      </c>
    </row>
    <row r="280" spans="1:15" x14ac:dyDescent="0.25">
      <c r="A280" s="98"/>
      <c r="B280" s="33"/>
      <c r="C280" s="25"/>
      <c r="D280" s="26"/>
      <c r="E280" s="4"/>
      <c r="F280" s="25"/>
      <c r="G280" s="26"/>
      <c r="H280" s="55"/>
      <c r="N280" s="95" t="str">
        <f t="shared" si="29"/>
        <v/>
      </c>
      <c r="O280" s="95" t="str">
        <f t="shared" si="28"/>
        <v/>
      </c>
    </row>
    <row r="281" spans="1:15" x14ac:dyDescent="0.25">
      <c r="A281" s="98"/>
      <c r="B281" s="33"/>
      <c r="C281" s="25"/>
      <c r="D281" s="26"/>
      <c r="E281" s="4"/>
      <c r="F281" s="25"/>
      <c r="G281" s="26"/>
      <c r="H281" s="55"/>
      <c r="N281" s="95" t="str">
        <f t="shared" si="29"/>
        <v/>
      </c>
      <c r="O281" s="95" t="str">
        <f t="shared" si="28"/>
        <v/>
      </c>
    </row>
    <row r="282" spans="1:15" x14ac:dyDescent="0.25">
      <c r="A282" s="98"/>
      <c r="B282" s="33"/>
      <c r="C282" s="25"/>
      <c r="D282" s="26"/>
      <c r="E282" s="4"/>
      <c r="F282" s="25"/>
      <c r="G282" s="26"/>
      <c r="H282" s="55"/>
      <c r="N282" s="95" t="str">
        <f t="shared" si="29"/>
        <v/>
      </c>
      <c r="O282" s="95" t="str">
        <f t="shared" si="28"/>
        <v/>
      </c>
    </row>
    <row r="283" spans="1:15" x14ac:dyDescent="0.25">
      <c r="A283" s="98"/>
      <c r="B283" s="33"/>
      <c r="C283" s="25"/>
      <c r="D283" s="26"/>
      <c r="E283" s="4"/>
      <c r="F283" s="25"/>
      <c r="G283" s="26"/>
      <c r="H283" s="55"/>
      <c r="N283" s="95" t="str">
        <f t="shared" si="29"/>
        <v/>
      </c>
      <c r="O283" s="95" t="str">
        <f t="shared" si="28"/>
        <v/>
      </c>
    </row>
    <row r="284" spans="1:15" x14ac:dyDescent="0.25">
      <c r="A284" s="98"/>
      <c r="B284" s="33"/>
      <c r="C284" s="25"/>
      <c r="D284" s="26"/>
      <c r="E284" s="4"/>
      <c r="F284" s="25"/>
      <c r="G284" s="26"/>
      <c r="H284" s="55"/>
      <c r="N284" s="95" t="str">
        <f t="shared" si="29"/>
        <v/>
      </c>
      <c r="O284" s="95" t="str">
        <f t="shared" si="28"/>
        <v/>
      </c>
    </row>
    <row r="285" spans="1:15" x14ac:dyDescent="0.25">
      <c r="A285" s="98"/>
      <c r="B285" s="33"/>
      <c r="C285" s="25"/>
      <c r="D285" s="26"/>
      <c r="E285" s="4"/>
      <c r="F285" s="25"/>
      <c r="G285" s="26"/>
      <c r="H285" s="55"/>
      <c r="N285" s="95" t="str">
        <f t="shared" si="29"/>
        <v/>
      </c>
      <c r="O285" s="95" t="str">
        <f t="shared" si="28"/>
        <v/>
      </c>
    </row>
    <row r="286" spans="1:15" x14ac:dyDescent="0.25">
      <c r="A286" s="98"/>
      <c r="B286" s="33"/>
      <c r="C286" s="25"/>
      <c r="D286" s="26"/>
      <c r="E286" s="4"/>
      <c r="F286" s="25"/>
      <c r="G286" s="26"/>
      <c r="H286" s="55"/>
      <c r="N286" s="95" t="str">
        <f t="shared" si="29"/>
        <v/>
      </c>
      <c r="O286" s="95" t="str">
        <f t="shared" si="28"/>
        <v/>
      </c>
    </row>
    <row r="287" spans="1:15" x14ac:dyDescent="0.25">
      <c r="A287" s="98"/>
      <c r="B287" s="33"/>
      <c r="C287" s="25"/>
      <c r="D287" s="26"/>
      <c r="E287" s="4"/>
      <c r="F287" s="25"/>
      <c r="G287" s="26"/>
      <c r="H287" s="55"/>
      <c r="N287" s="95" t="str">
        <f t="shared" si="29"/>
        <v/>
      </c>
      <c r="O287" s="95" t="str">
        <f t="shared" si="28"/>
        <v/>
      </c>
    </row>
    <row r="288" spans="1:15" x14ac:dyDescent="0.25">
      <c r="A288" s="98"/>
      <c r="B288" s="33"/>
      <c r="C288" s="25"/>
      <c r="D288" s="26"/>
      <c r="E288" s="4"/>
      <c r="F288" s="25"/>
      <c r="G288" s="26"/>
      <c r="H288" s="55"/>
      <c r="N288" s="95" t="str">
        <f t="shared" si="29"/>
        <v/>
      </c>
      <c r="O288" s="95" t="str">
        <f t="shared" si="28"/>
        <v/>
      </c>
    </row>
    <row r="289" spans="1:15" x14ac:dyDescent="0.25">
      <c r="A289" s="98"/>
      <c r="B289" s="33"/>
      <c r="C289" s="25"/>
      <c r="D289" s="26"/>
      <c r="E289" s="4"/>
      <c r="F289" s="25"/>
      <c r="G289" s="26"/>
      <c r="H289" s="55"/>
      <c r="N289" s="95" t="str">
        <f t="shared" si="29"/>
        <v/>
      </c>
      <c r="O289" s="95" t="str">
        <f t="shared" si="28"/>
        <v/>
      </c>
    </row>
    <row r="290" spans="1:15" x14ac:dyDescent="0.25">
      <c r="A290" s="98"/>
      <c r="B290" s="33"/>
      <c r="C290" s="25"/>
      <c r="D290" s="26"/>
      <c r="E290" s="4"/>
      <c r="F290" s="25"/>
      <c r="G290" s="26"/>
      <c r="H290" s="55"/>
      <c r="N290" s="95" t="str">
        <f t="shared" si="29"/>
        <v/>
      </c>
      <c r="O290" s="95" t="str">
        <f t="shared" si="28"/>
        <v/>
      </c>
    </row>
    <row r="291" spans="1:15" x14ac:dyDescent="0.25">
      <c r="A291" s="98"/>
      <c r="B291" s="33"/>
      <c r="C291" s="25"/>
      <c r="D291" s="26"/>
      <c r="E291" s="4"/>
      <c r="F291" s="25"/>
      <c r="G291" s="26"/>
      <c r="H291" s="55"/>
      <c r="N291" s="95" t="str">
        <f t="shared" si="29"/>
        <v/>
      </c>
      <c r="O291" s="95" t="str">
        <f t="shared" si="28"/>
        <v/>
      </c>
    </row>
    <row r="292" spans="1:15" x14ac:dyDescent="0.25">
      <c r="A292" s="98"/>
      <c r="B292" s="33"/>
      <c r="C292" s="25"/>
      <c r="D292" s="26"/>
      <c r="E292" s="4"/>
      <c r="F292" s="25"/>
      <c r="G292" s="26"/>
      <c r="H292" s="55"/>
      <c r="N292" s="95" t="str">
        <f t="shared" si="29"/>
        <v/>
      </c>
      <c r="O292" s="95" t="str">
        <f t="shared" si="28"/>
        <v/>
      </c>
    </row>
    <row r="293" spans="1:15" x14ac:dyDescent="0.25">
      <c r="A293" s="98"/>
      <c r="B293" s="33"/>
      <c r="C293" s="25"/>
      <c r="D293" s="26"/>
      <c r="E293" s="4"/>
      <c r="F293" s="25"/>
      <c r="G293" s="26"/>
      <c r="H293" s="55"/>
      <c r="N293" s="95" t="str">
        <f t="shared" si="29"/>
        <v/>
      </c>
      <c r="O293" s="95" t="str">
        <f t="shared" si="28"/>
        <v/>
      </c>
    </row>
    <row r="294" spans="1:15" x14ac:dyDescent="0.25">
      <c r="A294" s="98"/>
      <c r="B294" s="33"/>
      <c r="C294" s="25"/>
      <c r="D294" s="26"/>
      <c r="E294" s="4"/>
      <c r="F294" s="25"/>
      <c r="G294" s="26"/>
      <c r="H294" s="55"/>
      <c r="N294" s="95" t="str">
        <f t="shared" si="29"/>
        <v/>
      </c>
      <c r="O294" s="95" t="str">
        <f t="shared" si="28"/>
        <v/>
      </c>
    </row>
    <row r="295" spans="1:15" x14ac:dyDescent="0.25">
      <c r="A295" s="98"/>
      <c r="B295" s="33"/>
      <c r="C295" s="25"/>
      <c r="D295" s="26"/>
      <c r="E295" s="4"/>
      <c r="F295" s="25"/>
      <c r="G295" s="26"/>
      <c r="H295" s="55"/>
      <c r="N295" s="95" t="str">
        <f t="shared" si="29"/>
        <v/>
      </c>
      <c r="O295" s="95" t="str">
        <f t="shared" si="28"/>
        <v/>
      </c>
    </row>
    <row r="296" spans="1:15" x14ac:dyDescent="0.25">
      <c r="A296" s="98"/>
      <c r="B296" s="33"/>
      <c r="C296" s="25"/>
      <c r="D296" s="26"/>
      <c r="E296" s="4"/>
      <c r="F296" s="25"/>
      <c r="G296" s="26"/>
      <c r="H296" s="55"/>
      <c r="N296" s="95" t="str">
        <f t="shared" si="29"/>
        <v/>
      </c>
      <c r="O296" s="95" t="str">
        <f t="shared" si="28"/>
        <v/>
      </c>
    </row>
    <row r="297" spans="1:15" x14ac:dyDescent="0.25">
      <c r="A297" s="98"/>
      <c r="B297" s="33"/>
      <c r="C297" s="25"/>
      <c r="D297" s="26"/>
      <c r="E297" s="4"/>
      <c r="F297" s="25"/>
      <c r="G297" s="26"/>
      <c r="H297" s="55"/>
      <c r="N297" s="95" t="str">
        <f t="shared" si="29"/>
        <v/>
      </c>
      <c r="O297" s="95" t="str">
        <f t="shared" si="28"/>
        <v/>
      </c>
    </row>
    <row r="298" spans="1:15" x14ac:dyDescent="0.25">
      <c r="A298" s="98"/>
      <c r="B298" s="33"/>
      <c r="C298" s="25"/>
      <c r="D298" s="26"/>
      <c r="E298" s="4"/>
      <c r="F298" s="25"/>
      <c r="G298" s="26"/>
      <c r="H298" s="55"/>
      <c r="N298" s="95" t="str">
        <f t="shared" si="29"/>
        <v/>
      </c>
      <c r="O298" s="95" t="str">
        <f t="shared" si="28"/>
        <v/>
      </c>
    </row>
    <row r="299" spans="1:15" x14ac:dyDescent="0.25">
      <c r="A299" s="98"/>
      <c r="B299" s="33"/>
      <c r="C299" s="25"/>
      <c r="D299" s="26"/>
      <c r="E299" s="4"/>
      <c r="F299" s="25"/>
      <c r="G299" s="26"/>
      <c r="H299" s="55"/>
      <c r="N299" s="95" t="str">
        <f t="shared" si="29"/>
        <v/>
      </c>
      <c r="O299" s="95" t="str">
        <f t="shared" si="28"/>
        <v/>
      </c>
    </row>
    <row r="300" spans="1:15" x14ac:dyDescent="0.25">
      <c r="A300" s="98"/>
      <c r="B300" s="33"/>
      <c r="C300" s="25"/>
      <c r="D300" s="26"/>
      <c r="E300" s="4"/>
      <c r="F300" s="25"/>
      <c r="G300" s="26"/>
      <c r="H300" s="55"/>
      <c r="N300" s="95" t="str">
        <f t="shared" si="29"/>
        <v/>
      </c>
      <c r="O300" s="95" t="str">
        <f t="shared" si="28"/>
        <v/>
      </c>
    </row>
    <row r="301" spans="1:15" x14ac:dyDescent="0.25">
      <c r="A301" s="98"/>
      <c r="B301" s="33"/>
      <c r="C301" s="25"/>
      <c r="D301" s="26"/>
      <c r="E301" s="4"/>
      <c r="F301" s="25"/>
      <c r="G301" s="26"/>
      <c r="H301" s="55"/>
      <c r="N301" s="95" t="str">
        <f t="shared" si="29"/>
        <v/>
      </c>
      <c r="O301" s="95" t="str">
        <f t="shared" si="28"/>
        <v/>
      </c>
    </row>
    <row r="302" spans="1:15" x14ac:dyDescent="0.25">
      <c r="A302" s="98"/>
      <c r="B302" s="33"/>
      <c r="C302" s="25"/>
      <c r="D302" s="26"/>
      <c r="E302" s="4"/>
      <c r="F302" s="25"/>
      <c r="G302" s="26"/>
      <c r="H302" s="55"/>
      <c r="N302" s="95" t="str">
        <f t="shared" si="29"/>
        <v/>
      </c>
      <c r="O302" s="95" t="str">
        <f t="shared" si="28"/>
        <v/>
      </c>
    </row>
    <row r="303" spans="1:15" x14ac:dyDescent="0.25">
      <c r="A303" s="98"/>
      <c r="B303" s="33"/>
      <c r="C303" s="25"/>
      <c r="D303" s="26"/>
      <c r="E303" s="4"/>
      <c r="F303" s="25"/>
      <c r="G303" s="26"/>
      <c r="H303" s="55"/>
      <c r="N303" s="95" t="str">
        <f t="shared" si="29"/>
        <v/>
      </c>
      <c r="O303" s="95" t="str">
        <f t="shared" si="28"/>
        <v/>
      </c>
    </row>
    <row r="304" spans="1:15" x14ac:dyDescent="0.25">
      <c r="A304" s="98"/>
      <c r="B304" s="33"/>
      <c r="C304" s="25"/>
      <c r="D304" s="26"/>
      <c r="E304" s="4"/>
      <c r="F304" s="25"/>
      <c r="G304" s="26"/>
      <c r="H304" s="55"/>
      <c r="N304" s="95" t="str">
        <f t="shared" si="29"/>
        <v/>
      </c>
      <c r="O304" s="95" t="str">
        <f t="shared" si="28"/>
        <v/>
      </c>
    </row>
    <row r="305" spans="1:15" x14ac:dyDescent="0.25">
      <c r="A305" s="98"/>
      <c r="B305" s="33"/>
      <c r="C305" s="25"/>
      <c r="D305" s="26"/>
      <c r="E305" s="4"/>
      <c r="F305" s="25"/>
      <c r="G305" s="26"/>
      <c r="H305" s="55"/>
      <c r="N305" s="95" t="str">
        <f t="shared" si="29"/>
        <v/>
      </c>
      <c r="O305" s="95" t="str">
        <f t="shared" si="28"/>
        <v/>
      </c>
    </row>
    <row r="306" spans="1:15" x14ac:dyDescent="0.25">
      <c r="A306" s="98"/>
      <c r="B306" s="33"/>
      <c r="C306" s="25"/>
      <c r="D306" s="26"/>
      <c r="E306" s="4"/>
      <c r="F306" s="25"/>
      <c r="G306" s="26"/>
      <c r="H306" s="55"/>
      <c r="N306" s="95" t="str">
        <f t="shared" si="29"/>
        <v/>
      </c>
      <c r="O306" s="95" t="str">
        <f t="shared" si="28"/>
        <v/>
      </c>
    </row>
    <row r="307" spans="1:15" x14ac:dyDescent="0.25">
      <c r="A307" s="98"/>
      <c r="B307" s="33"/>
      <c r="C307" s="25"/>
      <c r="D307" s="26"/>
      <c r="E307" s="4"/>
      <c r="F307" s="25"/>
      <c r="G307" s="26"/>
      <c r="H307" s="55"/>
      <c r="N307" s="95" t="str">
        <f t="shared" si="29"/>
        <v/>
      </c>
      <c r="O307" s="95" t="str">
        <f t="shared" si="28"/>
        <v/>
      </c>
    </row>
    <row r="308" spans="1:15" x14ac:dyDescent="0.25">
      <c r="A308" s="98"/>
      <c r="B308" s="33"/>
      <c r="C308" s="25"/>
      <c r="D308" s="26"/>
      <c r="E308" s="4"/>
      <c r="F308" s="25"/>
      <c r="G308" s="26"/>
      <c r="H308" s="55"/>
      <c r="N308" s="95" t="str">
        <f t="shared" si="29"/>
        <v/>
      </c>
      <c r="O308" s="95" t="str">
        <f t="shared" si="28"/>
        <v/>
      </c>
    </row>
    <row r="309" spans="1:15" x14ac:dyDescent="0.25">
      <c r="A309" s="98"/>
      <c r="B309" s="33"/>
      <c r="C309" s="25"/>
      <c r="D309" s="26"/>
      <c r="E309" s="4"/>
      <c r="F309" s="25"/>
      <c r="G309" s="26"/>
      <c r="H309" s="55"/>
      <c r="N309" s="95" t="str">
        <f t="shared" si="29"/>
        <v/>
      </c>
      <c r="O309" s="95" t="str">
        <f t="shared" si="28"/>
        <v/>
      </c>
    </row>
    <row r="310" spans="1:15" x14ac:dyDescent="0.25">
      <c r="A310" s="98"/>
      <c r="B310" s="33"/>
      <c r="C310" s="25"/>
      <c r="D310" s="26"/>
      <c r="E310" s="4"/>
      <c r="F310" s="25"/>
      <c r="G310" s="26"/>
      <c r="H310" s="55"/>
      <c r="N310" s="95" t="str">
        <f t="shared" si="29"/>
        <v/>
      </c>
      <c r="O310" s="95" t="str">
        <f t="shared" si="28"/>
        <v/>
      </c>
    </row>
    <row r="311" spans="1:15" x14ac:dyDescent="0.25">
      <c r="A311" s="98"/>
      <c r="B311" s="33"/>
      <c r="C311" s="25"/>
      <c r="D311" s="26"/>
      <c r="E311" s="4"/>
      <c r="F311" s="25"/>
      <c r="G311" s="26"/>
      <c r="H311" s="55"/>
      <c r="N311" s="95" t="str">
        <f t="shared" si="29"/>
        <v/>
      </c>
      <c r="O311" s="95" t="str">
        <f t="shared" si="28"/>
        <v/>
      </c>
    </row>
    <row r="312" spans="1:15" x14ac:dyDescent="0.25">
      <c r="A312" s="98"/>
      <c r="B312" s="33"/>
      <c r="C312" s="25"/>
      <c r="D312" s="26"/>
      <c r="E312" s="4"/>
      <c r="F312" s="25"/>
      <c r="G312" s="26"/>
      <c r="H312" s="55"/>
      <c r="N312" s="95" t="str">
        <f t="shared" si="29"/>
        <v/>
      </c>
      <c r="O312" s="95" t="str">
        <f t="shared" si="28"/>
        <v/>
      </c>
    </row>
    <row r="313" spans="1:15" x14ac:dyDescent="0.25">
      <c r="A313" s="98"/>
      <c r="B313" s="33"/>
      <c r="C313" s="25"/>
      <c r="D313" s="26"/>
      <c r="E313" s="4"/>
      <c r="F313" s="25"/>
      <c r="G313" s="26"/>
      <c r="H313" s="55"/>
      <c r="N313" s="95" t="str">
        <f t="shared" si="29"/>
        <v/>
      </c>
      <c r="O313" s="95" t="str">
        <f t="shared" si="28"/>
        <v/>
      </c>
    </row>
    <row r="314" spans="1:15" x14ac:dyDescent="0.25">
      <c r="A314" s="98"/>
      <c r="B314" s="33"/>
      <c r="C314" s="25"/>
      <c r="D314" s="26"/>
      <c r="E314" s="4"/>
      <c r="F314" s="25"/>
      <c r="G314" s="26"/>
      <c r="H314" s="55"/>
      <c r="N314" s="95" t="str">
        <f t="shared" si="29"/>
        <v/>
      </c>
      <c r="O314" s="95" t="str">
        <f t="shared" si="28"/>
        <v/>
      </c>
    </row>
    <row r="315" spans="1:15" x14ac:dyDescent="0.25">
      <c r="A315" s="98"/>
      <c r="B315" s="33"/>
      <c r="C315" s="25"/>
      <c r="D315" s="26"/>
      <c r="E315" s="4"/>
      <c r="F315" s="25"/>
      <c r="G315" s="26"/>
      <c r="H315" s="55"/>
      <c r="N315" s="95" t="str">
        <f t="shared" si="29"/>
        <v/>
      </c>
      <c r="O315" s="95" t="str">
        <f t="shared" si="28"/>
        <v/>
      </c>
    </row>
    <row r="316" spans="1:15" x14ac:dyDescent="0.25">
      <c r="A316" s="98"/>
      <c r="B316" s="33"/>
      <c r="C316" s="25"/>
      <c r="D316" s="26"/>
      <c r="E316" s="4"/>
      <c r="F316" s="25"/>
      <c r="G316" s="26"/>
      <c r="H316" s="55"/>
      <c r="N316" s="95" t="str">
        <f t="shared" si="29"/>
        <v/>
      </c>
      <c r="O316" s="95" t="str">
        <f t="shared" si="28"/>
        <v/>
      </c>
    </row>
    <row r="317" spans="1:15" x14ac:dyDescent="0.25">
      <c r="A317" s="98"/>
      <c r="B317" s="33"/>
      <c r="C317" s="25"/>
      <c r="D317" s="26"/>
      <c r="E317" s="4"/>
      <c r="F317" s="25"/>
      <c r="G317" s="26"/>
      <c r="H317" s="55"/>
      <c r="N317" s="95" t="str">
        <f t="shared" si="29"/>
        <v/>
      </c>
      <c r="O317" s="95" t="str">
        <f t="shared" si="28"/>
        <v/>
      </c>
    </row>
    <row r="318" spans="1:15" x14ac:dyDescent="0.25">
      <c r="A318" s="98"/>
      <c r="B318" s="33"/>
      <c r="C318" s="25"/>
      <c r="D318" s="26"/>
      <c r="E318" s="4"/>
      <c r="F318" s="25"/>
      <c r="G318" s="26"/>
      <c r="H318" s="55"/>
      <c r="N318" s="95" t="str">
        <f t="shared" si="29"/>
        <v/>
      </c>
      <c r="O318" s="95" t="str">
        <f t="shared" si="28"/>
        <v/>
      </c>
    </row>
    <row r="319" spans="1:15" x14ac:dyDescent="0.25">
      <c r="A319" s="98"/>
      <c r="B319" s="33"/>
      <c r="C319" s="25"/>
      <c r="D319" s="26"/>
      <c r="E319" s="4"/>
      <c r="F319" s="25"/>
      <c r="G319" s="26"/>
      <c r="H319" s="55"/>
      <c r="N319" s="95" t="str">
        <f t="shared" si="29"/>
        <v/>
      </c>
      <c r="O319" s="95" t="str">
        <f t="shared" si="28"/>
        <v/>
      </c>
    </row>
    <row r="320" spans="1:15" x14ac:dyDescent="0.25">
      <c r="A320" s="98"/>
      <c r="B320" s="33"/>
      <c r="C320" s="25"/>
      <c r="D320" s="26"/>
      <c r="E320" s="4"/>
      <c r="F320" s="25"/>
      <c r="G320" s="26"/>
      <c r="H320" s="55"/>
      <c r="N320" s="95" t="str">
        <f t="shared" si="29"/>
        <v/>
      </c>
      <c r="O320" s="95" t="str">
        <f t="shared" si="28"/>
        <v/>
      </c>
    </row>
    <row r="321" spans="1:15" x14ac:dyDescent="0.25">
      <c r="A321" s="98"/>
      <c r="B321" s="33"/>
      <c r="C321" s="25"/>
      <c r="D321" s="26"/>
      <c r="E321" s="4"/>
      <c r="F321" s="25"/>
      <c r="G321" s="26"/>
      <c r="H321" s="55"/>
      <c r="N321" s="95" t="str">
        <f t="shared" si="29"/>
        <v/>
      </c>
      <c r="O321" s="95" t="str">
        <f t="shared" si="28"/>
        <v/>
      </c>
    </row>
    <row r="322" spans="1:15" x14ac:dyDescent="0.25">
      <c r="A322" s="98"/>
      <c r="B322" s="33"/>
      <c r="C322" s="25"/>
      <c r="D322" s="26"/>
      <c r="E322" s="4"/>
      <c r="F322" s="25"/>
      <c r="G322" s="26"/>
      <c r="H322" s="55"/>
      <c r="N322" s="95" t="str">
        <f t="shared" si="29"/>
        <v/>
      </c>
      <c r="O322" s="95" t="str">
        <f t="shared" si="28"/>
        <v/>
      </c>
    </row>
    <row r="323" spans="1:15" x14ac:dyDescent="0.25">
      <c r="A323" s="98"/>
      <c r="B323" s="33"/>
      <c r="C323" s="25"/>
      <c r="D323" s="26"/>
      <c r="E323" s="4"/>
      <c r="F323" s="25"/>
      <c r="G323" s="26"/>
      <c r="H323" s="55"/>
      <c r="N323" s="95" t="str">
        <f t="shared" si="29"/>
        <v/>
      </c>
      <c r="O323" s="95" t="str">
        <f t="shared" si="28"/>
        <v/>
      </c>
    </row>
    <row r="324" spans="1:15" x14ac:dyDescent="0.25">
      <c r="A324" s="98"/>
      <c r="B324" s="33"/>
      <c r="C324" s="25"/>
      <c r="D324" s="26"/>
      <c r="E324" s="4"/>
      <c r="F324" s="25"/>
      <c r="G324" s="26"/>
      <c r="H324" s="55"/>
      <c r="N324" s="95" t="str">
        <f t="shared" si="29"/>
        <v/>
      </c>
      <c r="O324" s="95" t="str">
        <f t="shared" ref="O324:O387" si="30">IF(N324&gt;$A$14,N324,"")</f>
        <v/>
      </c>
    </row>
    <row r="325" spans="1:15" x14ac:dyDescent="0.25">
      <c r="A325" s="98"/>
      <c r="B325" s="33"/>
      <c r="C325" s="25"/>
      <c r="D325" s="26"/>
      <c r="E325" s="4"/>
      <c r="F325" s="25"/>
      <c r="G325" s="26"/>
      <c r="H325" s="55"/>
      <c r="N325" s="95" t="str">
        <f t="shared" si="29"/>
        <v/>
      </c>
      <c r="O325" s="95" t="str">
        <f t="shared" si="30"/>
        <v/>
      </c>
    </row>
    <row r="326" spans="1:15" x14ac:dyDescent="0.25">
      <c r="A326" s="98"/>
      <c r="B326" s="33"/>
      <c r="C326" s="25"/>
      <c r="D326" s="26"/>
      <c r="E326" s="4"/>
      <c r="F326" s="25"/>
      <c r="G326" s="26"/>
      <c r="H326" s="55"/>
      <c r="N326" s="95" t="str">
        <f t="shared" si="29"/>
        <v/>
      </c>
      <c r="O326" s="95" t="str">
        <f t="shared" si="30"/>
        <v/>
      </c>
    </row>
    <row r="327" spans="1:15" x14ac:dyDescent="0.25">
      <c r="A327" s="98"/>
      <c r="B327" s="33"/>
      <c r="C327" s="25"/>
      <c r="D327" s="26"/>
      <c r="E327" s="4"/>
      <c r="F327" s="25"/>
      <c r="G327" s="26"/>
      <c r="H327" s="55"/>
      <c r="N327" s="95" t="str">
        <f t="shared" si="29"/>
        <v/>
      </c>
      <c r="O327" s="95" t="str">
        <f t="shared" si="30"/>
        <v/>
      </c>
    </row>
    <row r="328" spans="1:15" x14ac:dyDescent="0.25">
      <c r="A328" s="98"/>
      <c r="B328" s="33"/>
      <c r="C328" s="25"/>
      <c r="D328" s="26"/>
      <c r="E328" s="4"/>
      <c r="F328" s="25"/>
      <c r="G328" s="26"/>
      <c r="H328" s="55"/>
      <c r="N328" s="95" t="str">
        <f t="shared" si="29"/>
        <v/>
      </c>
      <c r="O328" s="95" t="str">
        <f t="shared" si="30"/>
        <v/>
      </c>
    </row>
    <row r="329" spans="1:15" x14ac:dyDescent="0.25">
      <c r="A329" s="98"/>
      <c r="B329" s="33"/>
      <c r="C329" s="25"/>
      <c r="D329" s="26"/>
      <c r="E329" s="4"/>
      <c r="F329" s="25"/>
      <c r="G329" s="26"/>
      <c r="H329" s="55"/>
      <c r="N329" s="95" t="str">
        <f t="shared" si="29"/>
        <v/>
      </c>
      <c r="O329" s="95" t="str">
        <f t="shared" si="30"/>
        <v/>
      </c>
    </row>
    <row r="330" spans="1:15" x14ac:dyDescent="0.25">
      <c r="A330" s="98"/>
      <c r="B330" s="33"/>
      <c r="C330" s="25"/>
      <c r="D330" s="26"/>
      <c r="E330" s="4"/>
      <c r="F330" s="25"/>
      <c r="G330" s="26"/>
      <c r="H330" s="55"/>
      <c r="N330" s="95" t="str">
        <f t="shared" si="29"/>
        <v/>
      </c>
      <c r="O330" s="95" t="str">
        <f t="shared" si="30"/>
        <v/>
      </c>
    </row>
    <row r="331" spans="1:15" x14ac:dyDescent="0.25">
      <c r="A331" s="98"/>
      <c r="B331" s="33"/>
      <c r="C331" s="25"/>
      <c r="D331" s="26"/>
      <c r="E331" s="4"/>
      <c r="F331" s="25"/>
      <c r="G331" s="26"/>
      <c r="H331" s="55"/>
      <c r="N331" s="95" t="str">
        <f t="shared" si="29"/>
        <v/>
      </c>
      <c r="O331" s="95" t="str">
        <f t="shared" si="30"/>
        <v/>
      </c>
    </row>
    <row r="332" spans="1:15" x14ac:dyDescent="0.25">
      <c r="A332" s="98"/>
      <c r="B332" s="33"/>
      <c r="C332" s="25"/>
      <c r="D332" s="26"/>
      <c r="E332" s="4"/>
      <c r="F332" s="25"/>
      <c r="G332" s="26"/>
      <c r="H332" s="55"/>
      <c r="N332" s="95" t="str">
        <f t="shared" si="29"/>
        <v/>
      </c>
      <c r="O332" s="95" t="str">
        <f t="shared" si="30"/>
        <v/>
      </c>
    </row>
    <row r="333" spans="1:15" x14ac:dyDescent="0.25">
      <c r="A333" s="98"/>
      <c r="B333" s="33"/>
      <c r="C333" s="25"/>
      <c r="D333" s="26"/>
      <c r="E333" s="4"/>
      <c r="F333" s="25"/>
      <c r="G333" s="26"/>
      <c r="H333" s="55"/>
      <c r="N333" s="95" t="str">
        <f t="shared" si="29"/>
        <v/>
      </c>
      <c r="O333" s="95" t="str">
        <f t="shared" si="30"/>
        <v/>
      </c>
    </row>
    <row r="334" spans="1:15" x14ac:dyDescent="0.25">
      <c r="A334" s="98"/>
      <c r="B334" s="33"/>
      <c r="C334" s="25"/>
      <c r="D334" s="26"/>
      <c r="E334" s="4"/>
      <c r="F334" s="25"/>
      <c r="G334" s="26"/>
      <c r="H334" s="55"/>
      <c r="N334" s="95" t="str">
        <f t="shared" si="29"/>
        <v/>
      </c>
      <c r="O334" s="95" t="str">
        <f t="shared" si="30"/>
        <v/>
      </c>
    </row>
    <row r="335" spans="1:15" x14ac:dyDescent="0.25">
      <c r="A335" s="98"/>
      <c r="B335" s="33"/>
      <c r="C335" s="25"/>
      <c r="D335" s="26"/>
      <c r="E335" s="4"/>
      <c r="F335" s="25"/>
      <c r="G335" s="26"/>
      <c r="H335" s="55"/>
      <c r="N335" s="95" t="str">
        <f t="shared" si="29"/>
        <v/>
      </c>
      <c r="O335" s="95" t="str">
        <f t="shared" si="30"/>
        <v/>
      </c>
    </row>
    <row r="336" spans="1:15" x14ac:dyDescent="0.25">
      <c r="A336" s="98"/>
      <c r="B336" s="33"/>
      <c r="C336" s="25"/>
      <c r="D336" s="26"/>
      <c r="E336" s="4"/>
      <c r="F336" s="25"/>
      <c r="G336" s="26"/>
      <c r="H336" s="55"/>
      <c r="N336" s="95" t="str">
        <f t="shared" ref="N336:N399" si="31">IF(COUNTIF(L:L,J336),J336,"")</f>
        <v/>
      </c>
      <c r="O336" s="95" t="str">
        <f t="shared" si="30"/>
        <v/>
      </c>
    </row>
    <row r="337" spans="1:15" x14ac:dyDescent="0.25">
      <c r="A337" s="98"/>
      <c r="B337" s="33"/>
      <c r="C337" s="25"/>
      <c r="D337" s="26"/>
      <c r="E337" s="4"/>
      <c r="F337" s="25"/>
      <c r="G337" s="26"/>
      <c r="H337" s="55"/>
      <c r="N337" s="95" t="str">
        <f t="shared" si="31"/>
        <v/>
      </c>
      <c r="O337" s="95" t="str">
        <f t="shared" si="30"/>
        <v/>
      </c>
    </row>
    <row r="338" spans="1:15" x14ac:dyDescent="0.25">
      <c r="A338" s="98"/>
      <c r="B338" s="33"/>
      <c r="C338" s="25"/>
      <c r="D338" s="26"/>
      <c r="E338" s="4"/>
      <c r="F338" s="25"/>
      <c r="G338" s="26"/>
      <c r="H338" s="55"/>
      <c r="N338" s="95" t="str">
        <f t="shared" si="31"/>
        <v/>
      </c>
      <c r="O338" s="95" t="str">
        <f t="shared" si="30"/>
        <v/>
      </c>
    </row>
    <row r="339" spans="1:15" x14ac:dyDescent="0.25">
      <c r="A339" s="98"/>
      <c r="B339" s="33"/>
      <c r="C339" s="25"/>
      <c r="D339" s="26"/>
      <c r="E339" s="4"/>
      <c r="F339" s="25"/>
      <c r="G339" s="26"/>
      <c r="H339" s="55"/>
      <c r="N339" s="95" t="str">
        <f t="shared" si="31"/>
        <v/>
      </c>
      <c r="O339" s="95" t="str">
        <f t="shared" si="30"/>
        <v/>
      </c>
    </row>
    <row r="340" spans="1:15" x14ac:dyDescent="0.25">
      <c r="A340" s="98"/>
      <c r="B340" s="33"/>
      <c r="C340" s="25"/>
      <c r="D340" s="26"/>
      <c r="E340" s="4"/>
      <c r="F340" s="25"/>
      <c r="G340" s="26"/>
      <c r="H340" s="55"/>
      <c r="N340" s="95" t="str">
        <f t="shared" si="31"/>
        <v/>
      </c>
      <c r="O340" s="95" t="str">
        <f t="shared" si="30"/>
        <v/>
      </c>
    </row>
    <row r="341" spans="1:15" x14ac:dyDescent="0.25">
      <c r="A341" s="98"/>
      <c r="B341" s="33"/>
      <c r="C341" s="25"/>
      <c r="D341" s="26"/>
      <c r="E341" s="4"/>
      <c r="F341" s="25"/>
      <c r="G341" s="26"/>
      <c r="H341" s="55"/>
      <c r="N341" s="95" t="str">
        <f t="shared" si="31"/>
        <v/>
      </c>
      <c r="O341" s="95" t="str">
        <f t="shared" si="30"/>
        <v/>
      </c>
    </row>
    <row r="342" spans="1:15" x14ac:dyDescent="0.25">
      <c r="A342" s="98"/>
      <c r="B342" s="33"/>
      <c r="C342" s="25"/>
      <c r="D342" s="26"/>
      <c r="E342" s="4"/>
      <c r="F342" s="25"/>
      <c r="G342" s="26"/>
      <c r="H342" s="55"/>
      <c r="N342" s="95" t="str">
        <f t="shared" si="31"/>
        <v/>
      </c>
      <c r="O342" s="95" t="str">
        <f t="shared" si="30"/>
        <v/>
      </c>
    </row>
    <row r="343" spans="1:15" x14ac:dyDescent="0.25">
      <c r="A343" s="98"/>
      <c r="B343" s="33"/>
      <c r="C343" s="25"/>
      <c r="D343" s="26"/>
      <c r="E343" s="4"/>
      <c r="F343" s="25"/>
      <c r="G343" s="26"/>
      <c r="H343" s="55"/>
      <c r="N343" s="95" t="str">
        <f t="shared" si="31"/>
        <v/>
      </c>
      <c r="O343" s="95" t="str">
        <f t="shared" si="30"/>
        <v/>
      </c>
    </row>
    <row r="344" spans="1:15" x14ac:dyDescent="0.25">
      <c r="A344" s="98"/>
      <c r="B344" s="33"/>
      <c r="C344" s="25"/>
      <c r="D344" s="26"/>
      <c r="E344" s="4"/>
      <c r="F344" s="25"/>
      <c r="G344" s="26"/>
      <c r="H344" s="55"/>
      <c r="N344" s="95" t="str">
        <f t="shared" si="31"/>
        <v/>
      </c>
      <c r="O344" s="95" t="str">
        <f t="shared" si="30"/>
        <v/>
      </c>
    </row>
    <row r="345" spans="1:15" x14ac:dyDescent="0.25">
      <c r="A345" s="98"/>
      <c r="B345" s="33"/>
      <c r="C345" s="25"/>
      <c r="D345" s="26"/>
      <c r="E345" s="4"/>
      <c r="F345" s="25"/>
      <c r="G345" s="26"/>
      <c r="H345" s="55"/>
      <c r="N345" s="95" t="str">
        <f t="shared" si="31"/>
        <v/>
      </c>
      <c r="O345" s="95" t="str">
        <f t="shared" si="30"/>
        <v/>
      </c>
    </row>
    <row r="346" spans="1:15" x14ac:dyDescent="0.25">
      <c r="A346" s="98"/>
      <c r="B346" s="33"/>
      <c r="C346" s="25"/>
      <c r="D346" s="26"/>
      <c r="E346" s="4"/>
      <c r="F346" s="25"/>
      <c r="G346" s="26"/>
      <c r="H346" s="55"/>
      <c r="N346" s="95" t="str">
        <f t="shared" si="31"/>
        <v/>
      </c>
      <c r="O346" s="95" t="str">
        <f t="shared" si="30"/>
        <v/>
      </c>
    </row>
    <row r="347" spans="1:15" x14ac:dyDescent="0.25">
      <c r="A347" s="98"/>
      <c r="B347" s="33"/>
      <c r="C347" s="25"/>
      <c r="D347" s="26"/>
      <c r="E347" s="4"/>
      <c r="F347" s="25"/>
      <c r="G347" s="26"/>
      <c r="H347" s="55"/>
      <c r="N347" s="95" t="str">
        <f t="shared" si="31"/>
        <v/>
      </c>
      <c r="O347" s="95" t="str">
        <f t="shared" si="30"/>
        <v/>
      </c>
    </row>
    <row r="348" spans="1:15" x14ac:dyDescent="0.25">
      <c r="A348" s="98"/>
      <c r="B348" s="33"/>
      <c r="C348" s="25"/>
      <c r="D348" s="26"/>
      <c r="E348" s="4"/>
      <c r="F348" s="25"/>
      <c r="G348" s="26"/>
      <c r="H348" s="55"/>
      <c r="N348" s="95" t="str">
        <f t="shared" si="31"/>
        <v/>
      </c>
      <c r="O348" s="95" t="str">
        <f t="shared" si="30"/>
        <v/>
      </c>
    </row>
    <row r="349" spans="1:15" x14ac:dyDescent="0.25">
      <c r="A349" s="98"/>
      <c r="B349" s="33"/>
      <c r="C349" s="25"/>
      <c r="D349" s="26"/>
      <c r="E349" s="4"/>
      <c r="F349" s="25"/>
      <c r="G349" s="26"/>
      <c r="H349" s="55"/>
      <c r="N349" s="95" t="str">
        <f t="shared" si="31"/>
        <v/>
      </c>
      <c r="O349" s="95" t="str">
        <f t="shared" si="30"/>
        <v/>
      </c>
    </row>
    <row r="350" spans="1:15" x14ac:dyDescent="0.25">
      <c r="A350" s="98"/>
      <c r="B350" s="33"/>
      <c r="C350" s="25"/>
      <c r="D350" s="26"/>
      <c r="E350" s="4"/>
      <c r="F350" s="25"/>
      <c r="G350" s="26"/>
      <c r="H350" s="55"/>
      <c r="N350" s="95" t="str">
        <f t="shared" si="31"/>
        <v/>
      </c>
      <c r="O350" s="95" t="str">
        <f t="shared" si="30"/>
        <v/>
      </c>
    </row>
    <row r="351" spans="1:15" x14ac:dyDescent="0.25">
      <c r="A351" s="98"/>
      <c r="B351" s="33"/>
      <c r="C351" s="25"/>
      <c r="D351" s="26"/>
      <c r="E351" s="4"/>
      <c r="F351" s="25"/>
      <c r="G351" s="26"/>
      <c r="H351" s="55"/>
      <c r="N351" s="95" t="str">
        <f t="shared" si="31"/>
        <v/>
      </c>
      <c r="O351" s="95" t="str">
        <f t="shared" si="30"/>
        <v/>
      </c>
    </row>
    <row r="352" spans="1:15" x14ac:dyDescent="0.25">
      <c r="A352" s="98"/>
      <c r="B352" s="33"/>
      <c r="C352" s="25"/>
      <c r="D352" s="26"/>
      <c r="E352" s="4"/>
      <c r="F352" s="25"/>
      <c r="G352" s="26"/>
      <c r="H352" s="55"/>
      <c r="N352" s="95" t="str">
        <f t="shared" si="31"/>
        <v/>
      </c>
      <c r="O352" s="95" t="str">
        <f t="shared" si="30"/>
        <v/>
      </c>
    </row>
    <row r="353" spans="1:15" x14ac:dyDescent="0.25">
      <c r="A353" s="98"/>
      <c r="B353" s="33"/>
      <c r="C353" s="25"/>
      <c r="D353" s="26"/>
      <c r="E353" s="4"/>
      <c r="F353" s="25"/>
      <c r="G353" s="26"/>
      <c r="H353" s="55"/>
      <c r="N353" s="95" t="str">
        <f t="shared" si="31"/>
        <v/>
      </c>
      <c r="O353" s="95" t="str">
        <f t="shared" si="30"/>
        <v/>
      </c>
    </row>
    <row r="354" spans="1:15" x14ac:dyDescent="0.25">
      <c r="A354" s="98"/>
      <c r="B354" s="33"/>
      <c r="C354" s="25"/>
      <c r="D354" s="26"/>
      <c r="E354" s="4"/>
      <c r="F354" s="25"/>
      <c r="G354" s="26"/>
      <c r="H354" s="55"/>
      <c r="N354" s="95" t="str">
        <f t="shared" si="31"/>
        <v/>
      </c>
      <c r="O354" s="95" t="str">
        <f t="shared" si="30"/>
        <v/>
      </c>
    </row>
    <row r="355" spans="1:15" x14ac:dyDescent="0.25">
      <c r="A355" s="98"/>
      <c r="B355" s="33"/>
      <c r="C355" s="25"/>
      <c r="D355" s="26"/>
      <c r="E355" s="4"/>
      <c r="F355" s="25"/>
      <c r="G355" s="26"/>
      <c r="H355" s="55"/>
      <c r="N355" s="95" t="str">
        <f t="shared" si="31"/>
        <v/>
      </c>
      <c r="O355" s="95" t="str">
        <f t="shared" si="30"/>
        <v/>
      </c>
    </row>
    <row r="356" spans="1:15" x14ac:dyDescent="0.25">
      <c r="A356" s="98"/>
      <c r="B356" s="33"/>
      <c r="C356" s="25"/>
      <c r="D356" s="26"/>
      <c r="E356" s="4"/>
      <c r="F356" s="25"/>
      <c r="G356" s="26"/>
      <c r="H356" s="55"/>
      <c r="N356" s="95" t="str">
        <f t="shared" si="31"/>
        <v/>
      </c>
      <c r="O356" s="95" t="str">
        <f t="shared" si="30"/>
        <v/>
      </c>
    </row>
    <row r="357" spans="1:15" x14ac:dyDescent="0.25">
      <c r="A357" s="98"/>
      <c r="B357" s="33"/>
      <c r="C357" s="25"/>
      <c r="D357" s="26"/>
      <c r="E357" s="4"/>
      <c r="F357" s="25"/>
      <c r="G357" s="26"/>
      <c r="H357" s="55"/>
      <c r="N357" s="95" t="str">
        <f t="shared" si="31"/>
        <v/>
      </c>
      <c r="O357" s="95" t="str">
        <f t="shared" si="30"/>
        <v/>
      </c>
    </row>
    <row r="358" spans="1:15" x14ac:dyDescent="0.25">
      <c r="A358" s="98"/>
      <c r="B358" s="33"/>
      <c r="C358" s="25"/>
      <c r="D358" s="26"/>
      <c r="E358" s="4"/>
      <c r="F358" s="25"/>
      <c r="G358" s="26"/>
      <c r="H358" s="55"/>
      <c r="N358" s="95" t="str">
        <f t="shared" si="31"/>
        <v/>
      </c>
      <c r="O358" s="95" t="str">
        <f t="shared" si="30"/>
        <v/>
      </c>
    </row>
    <row r="359" spans="1:15" x14ac:dyDescent="0.25">
      <c r="A359" s="98"/>
      <c r="B359" s="33"/>
      <c r="C359" s="25"/>
      <c r="D359" s="26"/>
      <c r="E359" s="4"/>
      <c r="F359" s="25"/>
      <c r="G359" s="26"/>
      <c r="H359" s="55"/>
      <c r="N359" s="95" t="str">
        <f t="shared" si="31"/>
        <v/>
      </c>
      <c r="O359" s="95" t="str">
        <f t="shared" si="30"/>
        <v/>
      </c>
    </row>
    <row r="360" spans="1:15" x14ac:dyDescent="0.25">
      <c r="A360" s="98"/>
      <c r="B360" s="33"/>
      <c r="C360" s="25"/>
      <c r="D360" s="26"/>
      <c r="E360" s="4"/>
      <c r="F360" s="25"/>
      <c r="G360" s="26"/>
      <c r="H360" s="55"/>
      <c r="N360" s="95" t="str">
        <f t="shared" si="31"/>
        <v/>
      </c>
      <c r="O360" s="95" t="str">
        <f t="shared" si="30"/>
        <v/>
      </c>
    </row>
    <row r="361" spans="1:15" x14ac:dyDescent="0.25">
      <c r="A361" s="98"/>
      <c r="B361" s="33"/>
      <c r="C361" s="25"/>
      <c r="D361" s="26"/>
      <c r="E361" s="4"/>
      <c r="F361" s="25"/>
      <c r="G361" s="26"/>
      <c r="H361" s="55"/>
      <c r="N361" s="95" t="str">
        <f t="shared" si="31"/>
        <v/>
      </c>
      <c r="O361" s="95" t="str">
        <f t="shared" si="30"/>
        <v/>
      </c>
    </row>
    <row r="362" spans="1:15" x14ac:dyDescent="0.25">
      <c r="A362" s="98"/>
      <c r="B362" s="33"/>
      <c r="C362" s="25"/>
      <c r="D362" s="26"/>
      <c r="E362" s="4"/>
      <c r="F362" s="25"/>
      <c r="G362" s="26"/>
      <c r="H362" s="55"/>
      <c r="N362" s="95" t="str">
        <f t="shared" si="31"/>
        <v/>
      </c>
      <c r="O362" s="95" t="str">
        <f t="shared" si="30"/>
        <v/>
      </c>
    </row>
    <row r="363" spans="1:15" x14ac:dyDescent="0.25">
      <c r="A363" s="98"/>
      <c r="B363" s="33"/>
      <c r="C363" s="25"/>
      <c r="D363" s="26"/>
      <c r="E363" s="4"/>
      <c r="F363" s="25"/>
      <c r="G363" s="26"/>
      <c r="H363" s="55"/>
      <c r="N363" s="95" t="str">
        <f t="shared" si="31"/>
        <v/>
      </c>
      <c r="O363" s="95" t="str">
        <f t="shared" si="30"/>
        <v/>
      </c>
    </row>
    <row r="364" spans="1:15" x14ac:dyDescent="0.25">
      <c r="A364" s="98"/>
      <c r="B364" s="33"/>
      <c r="C364" s="25"/>
      <c r="D364" s="26"/>
      <c r="E364" s="4"/>
      <c r="F364" s="25"/>
      <c r="G364" s="26"/>
      <c r="H364" s="55"/>
      <c r="N364" s="95" t="str">
        <f t="shared" si="31"/>
        <v/>
      </c>
      <c r="O364" s="95" t="str">
        <f t="shared" si="30"/>
        <v/>
      </c>
    </row>
    <row r="365" spans="1:15" x14ac:dyDescent="0.25">
      <c r="A365" s="98"/>
      <c r="B365" s="33"/>
      <c r="C365" s="25"/>
      <c r="D365" s="26"/>
      <c r="E365" s="4"/>
      <c r="F365" s="25"/>
      <c r="G365" s="26"/>
      <c r="H365" s="55"/>
      <c r="N365" s="95" t="str">
        <f t="shared" si="31"/>
        <v/>
      </c>
      <c r="O365" s="95" t="str">
        <f t="shared" si="30"/>
        <v/>
      </c>
    </row>
    <row r="366" spans="1:15" x14ac:dyDescent="0.25">
      <c r="A366" s="98"/>
      <c r="B366" s="33"/>
      <c r="C366" s="25"/>
      <c r="D366" s="26"/>
      <c r="E366" s="4"/>
      <c r="F366" s="25"/>
      <c r="G366" s="26"/>
      <c r="H366" s="55"/>
      <c r="N366" s="95" t="str">
        <f t="shared" si="31"/>
        <v/>
      </c>
      <c r="O366" s="95" t="str">
        <f t="shared" si="30"/>
        <v/>
      </c>
    </row>
    <row r="367" spans="1:15" x14ac:dyDescent="0.25">
      <c r="A367" s="98"/>
      <c r="B367" s="33"/>
      <c r="C367" s="25"/>
      <c r="D367" s="26"/>
      <c r="E367" s="4"/>
      <c r="F367" s="25"/>
      <c r="G367" s="26"/>
      <c r="H367" s="55"/>
      <c r="N367" s="95" t="str">
        <f t="shared" si="31"/>
        <v/>
      </c>
      <c r="O367" s="95" t="str">
        <f t="shared" si="30"/>
        <v/>
      </c>
    </row>
    <row r="368" spans="1:15" x14ac:dyDescent="0.25">
      <c r="A368" s="98"/>
      <c r="B368" s="33"/>
      <c r="C368" s="25"/>
      <c r="D368" s="26"/>
      <c r="E368" s="4"/>
      <c r="F368" s="25"/>
      <c r="G368" s="26"/>
      <c r="H368" s="55"/>
      <c r="N368" s="95" t="str">
        <f t="shared" si="31"/>
        <v/>
      </c>
      <c r="O368" s="95" t="str">
        <f t="shared" si="30"/>
        <v/>
      </c>
    </row>
    <row r="369" spans="1:15" x14ac:dyDescent="0.25">
      <c r="A369" s="98"/>
      <c r="B369" s="33"/>
      <c r="C369" s="25"/>
      <c r="D369" s="26"/>
      <c r="E369" s="4"/>
      <c r="F369" s="25"/>
      <c r="G369" s="26"/>
      <c r="H369" s="55"/>
      <c r="N369" s="95" t="str">
        <f t="shared" si="31"/>
        <v/>
      </c>
      <c r="O369" s="95" t="str">
        <f t="shared" si="30"/>
        <v/>
      </c>
    </row>
    <row r="370" spans="1:15" x14ac:dyDescent="0.25">
      <c r="A370" s="98"/>
      <c r="B370" s="33"/>
      <c r="C370" s="25"/>
      <c r="D370" s="26"/>
      <c r="E370" s="4"/>
      <c r="F370" s="25"/>
      <c r="G370" s="26"/>
      <c r="H370" s="55"/>
      <c r="N370" s="95" t="str">
        <f t="shared" si="31"/>
        <v/>
      </c>
      <c r="O370" s="95" t="str">
        <f t="shared" si="30"/>
        <v/>
      </c>
    </row>
    <row r="371" spans="1:15" x14ac:dyDescent="0.25">
      <c r="A371" s="98"/>
      <c r="B371" s="33"/>
      <c r="C371" s="25"/>
      <c r="D371" s="26"/>
      <c r="E371" s="4"/>
      <c r="F371" s="25"/>
      <c r="G371" s="26"/>
      <c r="H371" s="55"/>
      <c r="N371" s="95" t="str">
        <f t="shared" si="31"/>
        <v/>
      </c>
      <c r="O371" s="95" t="str">
        <f t="shared" si="30"/>
        <v/>
      </c>
    </row>
    <row r="372" spans="1:15" x14ac:dyDescent="0.25">
      <c r="A372" s="98"/>
      <c r="B372" s="33"/>
      <c r="C372" s="25"/>
      <c r="D372" s="26"/>
      <c r="E372" s="4"/>
      <c r="F372" s="25"/>
      <c r="G372" s="26"/>
      <c r="H372" s="55"/>
      <c r="N372" s="95" t="str">
        <f t="shared" si="31"/>
        <v/>
      </c>
      <c r="O372" s="95" t="str">
        <f t="shared" si="30"/>
        <v/>
      </c>
    </row>
    <row r="373" spans="1:15" x14ac:dyDescent="0.25">
      <c r="A373" s="98"/>
      <c r="B373" s="33"/>
      <c r="C373" s="25"/>
      <c r="D373" s="26"/>
      <c r="E373" s="4"/>
      <c r="F373" s="25"/>
      <c r="G373" s="26"/>
      <c r="H373" s="55"/>
      <c r="N373" s="95" t="str">
        <f t="shared" si="31"/>
        <v/>
      </c>
      <c r="O373" s="95" t="str">
        <f t="shared" si="30"/>
        <v/>
      </c>
    </row>
    <row r="374" spans="1:15" x14ac:dyDescent="0.25">
      <c r="A374" s="98"/>
      <c r="B374" s="33"/>
      <c r="C374" s="25"/>
      <c r="D374" s="26"/>
      <c r="E374" s="4"/>
      <c r="F374" s="25"/>
      <c r="G374" s="26"/>
      <c r="H374" s="55"/>
      <c r="N374" s="95" t="str">
        <f t="shared" si="31"/>
        <v/>
      </c>
      <c r="O374" s="95" t="str">
        <f t="shared" si="30"/>
        <v/>
      </c>
    </row>
    <row r="375" spans="1:15" x14ac:dyDescent="0.25">
      <c r="A375" s="98"/>
      <c r="B375" s="33"/>
      <c r="C375" s="25"/>
      <c r="D375" s="26"/>
      <c r="E375" s="4"/>
      <c r="F375" s="25"/>
      <c r="G375" s="26"/>
      <c r="H375" s="55"/>
      <c r="N375" s="95" t="str">
        <f t="shared" si="31"/>
        <v/>
      </c>
      <c r="O375" s="95" t="str">
        <f t="shared" si="30"/>
        <v/>
      </c>
    </row>
    <row r="376" spans="1:15" x14ac:dyDescent="0.25">
      <c r="A376" s="98"/>
      <c r="B376" s="33"/>
      <c r="C376" s="25"/>
      <c r="D376" s="26"/>
      <c r="E376" s="4"/>
      <c r="F376" s="25"/>
      <c r="G376" s="26"/>
      <c r="H376" s="55"/>
      <c r="N376" s="95" t="str">
        <f t="shared" si="31"/>
        <v/>
      </c>
      <c r="O376" s="95" t="str">
        <f t="shared" si="30"/>
        <v/>
      </c>
    </row>
    <row r="377" spans="1:15" x14ac:dyDescent="0.25">
      <c r="A377" s="98"/>
      <c r="B377" s="33"/>
      <c r="C377" s="25"/>
      <c r="D377" s="26"/>
      <c r="E377" s="4"/>
      <c r="F377" s="25"/>
      <c r="G377" s="26"/>
      <c r="H377" s="55"/>
      <c r="N377" s="95" t="str">
        <f t="shared" si="31"/>
        <v/>
      </c>
      <c r="O377" s="95" t="str">
        <f t="shared" si="30"/>
        <v/>
      </c>
    </row>
    <row r="378" spans="1:15" x14ac:dyDescent="0.25">
      <c r="A378" s="98"/>
      <c r="B378" s="33"/>
      <c r="C378" s="25"/>
      <c r="D378" s="26"/>
      <c r="E378" s="4"/>
      <c r="F378" s="25"/>
      <c r="G378" s="26"/>
      <c r="H378" s="55"/>
      <c r="N378" s="95" t="str">
        <f t="shared" si="31"/>
        <v/>
      </c>
      <c r="O378" s="95" t="str">
        <f t="shared" si="30"/>
        <v/>
      </c>
    </row>
    <row r="379" spans="1:15" x14ac:dyDescent="0.25">
      <c r="A379" s="98"/>
      <c r="B379" s="33"/>
      <c r="C379" s="25"/>
      <c r="D379" s="26"/>
      <c r="E379" s="4"/>
      <c r="F379" s="25"/>
      <c r="G379" s="26"/>
      <c r="H379" s="55"/>
      <c r="N379" s="95" t="str">
        <f t="shared" si="31"/>
        <v/>
      </c>
      <c r="O379" s="95" t="str">
        <f t="shared" si="30"/>
        <v/>
      </c>
    </row>
    <row r="380" spans="1:15" x14ac:dyDescent="0.25">
      <c r="A380" s="98"/>
      <c r="B380" s="33"/>
      <c r="C380" s="25"/>
      <c r="D380" s="26"/>
      <c r="E380" s="4"/>
      <c r="F380" s="25"/>
      <c r="G380" s="26"/>
      <c r="H380" s="55"/>
      <c r="N380" s="95" t="str">
        <f t="shared" si="31"/>
        <v/>
      </c>
      <c r="O380" s="95" t="str">
        <f t="shared" si="30"/>
        <v/>
      </c>
    </row>
    <row r="381" spans="1:15" x14ac:dyDescent="0.25">
      <c r="A381" s="98"/>
      <c r="B381" s="33"/>
      <c r="C381" s="25"/>
      <c r="D381" s="26"/>
      <c r="E381" s="4"/>
      <c r="F381" s="25"/>
      <c r="G381" s="26"/>
      <c r="H381" s="55"/>
      <c r="N381" s="95" t="str">
        <f t="shared" si="31"/>
        <v/>
      </c>
      <c r="O381" s="95" t="str">
        <f t="shared" si="30"/>
        <v/>
      </c>
    </row>
    <row r="382" spans="1:15" x14ac:dyDescent="0.25">
      <c r="A382" s="98"/>
      <c r="B382" s="33"/>
      <c r="C382" s="25"/>
      <c r="D382" s="26"/>
      <c r="E382" s="4"/>
      <c r="F382" s="25"/>
      <c r="G382" s="26"/>
      <c r="H382" s="55"/>
      <c r="N382" s="95" t="str">
        <f t="shared" si="31"/>
        <v/>
      </c>
      <c r="O382" s="95" t="str">
        <f t="shared" si="30"/>
        <v/>
      </c>
    </row>
    <row r="383" spans="1:15" x14ac:dyDescent="0.25">
      <c r="A383" s="98"/>
      <c r="B383" s="33"/>
      <c r="C383" s="25"/>
      <c r="D383" s="26"/>
      <c r="E383" s="4"/>
      <c r="F383" s="25"/>
      <c r="G383" s="26"/>
      <c r="H383" s="55"/>
      <c r="N383" s="95" t="str">
        <f t="shared" si="31"/>
        <v/>
      </c>
      <c r="O383" s="95" t="str">
        <f t="shared" si="30"/>
        <v/>
      </c>
    </row>
    <row r="384" spans="1:15" x14ac:dyDescent="0.25">
      <c r="A384" s="98"/>
      <c r="B384" s="33"/>
      <c r="C384" s="25"/>
      <c r="D384" s="26"/>
      <c r="E384" s="4"/>
      <c r="F384" s="25"/>
      <c r="G384" s="26"/>
      <c r="H384" s="55"/>
      <c r="N384" s="95" t="str">
        <f t="shared" si="31"/>
        <v/>
      </c>
      <c r="O384" s="95" t="str">
        <f t="shared" si="30"/>
        <v/>
      </c>
    </row>
    <row r="385" spans="1:15" x14ac:dyDescent="0.25">
      <c r="A385" s="98"/>
      <c r="B385" s="33"/>
      <c r="C385" s="25"/>
      <c r="D385" s="26"/>
      <c r="E385" s="4"/>
      <c r="F385" s="25"/>
      <c r="G385" s="26"/>
      <c r="H385" s="55"/>
      <c r="N385" s="95" t="str">
        <f t="shared" si="31"/>
        <v/>
      </c>
      <c r="O385" s="95" t="str">
        <f t="shared" si="30"/>
        <v/>
      </c>
    </row>
    <row r="386" spans="1:15" x14ac:dyDescent="0.25">
      <c r="A386" s="98"/>
      <c r="B386" s="33"/>
      <c r="C386" s="25"/>
      <c r="D386" s="26"/>
      <c r="E386" s="4"/>
      <c r="F386" s="25"/>
      <c r="G386" s="26"/>
      <c r="H386" s="55"/>
      <c r="N386" s="95" t="str">
        <f t="shared" si="31"/>
        <v/>
      </c>
      <c r="O386" s="95" t="str">
        <f t="shared" si="30"/>
        <v/>
      </c>
    </row>
    <row r="387" spans="1:15" x14ac:dyDescent="0.25">
      <c r="A387" s="98"/>
      <c r="B387" s="33"/>
      <c r="C387" s="25"/>
      <c r="D387" s="26"/>
      <c r="E387" s="4"/>
      <c r="F387" s="25"/>
      <c r="G387" s="26"/>
      <c r="H387" s="55"/>
      <c r="N387" s="95" t="str">
        <f t="shared" si="31"/>
        <v/>
      </c>
      <c r="O387" s="95" t="str">
        <f t="shared" si="30"/>
        <v/>
      </c>
    </row>
    <row r="388" spans="1:15" x14ac:dyDescent="0.25">
      <c r="A388" s="98"/>
      <c r="B388" s="33"/>
      <c r="C388" s="25"/>
      <c r="D388" s="26"/>
      <c r="E388" s="4"/>
      <c r="F388" s="25"/>
      <c r="G388" s="26"/>
      <c r="H388" s="55"/>
      <c r="N388" s="95" t="str">
        <f t="shared" si="31"/>
        <v/>
      </c>
      <c r="O388" s="95" t="str">
        <f t="shared" ref="O388:O451" si="32">IF(N388&gt;$A$14,N388,"")</f>
        <v/>
      </c>
    </row>
    <row r="389" spans="1:15" x14ac:dyDescent="0.25">
      <c r="A389" s="98"/>
      <c r="B389" s="33"/>
      <c r="C389" s="25"/>
      <c r="D389" s="26"/>
      <c r="E389" s="4"/>
      <c r="F389" s="25"/>
      <c r="G389" s="26"/>
      <c r="H389" s="55"/>
      <c r="N389" s="95" t="str">
        <f t="shared" si="31"/>
        <v/>
      </c>
      <c r="O389" s="95" t="str">
        <f t="shared" si="32"/>
        <v/>
      </c>
    </row>
    <row r="390" spans="1:15" x14ac:dyDescent="0.25">
      <c r="A390" s="98"/>
      <c r="B390" s="33"/>
      <c r="C390" s="25"/>
      <c r="D390" s="26"/>
      <c r="E390" s="4"/>
      <c r="F390" s="25"/>
      <c r="G390" s="26"/>
      <c r="H390" s="55"/>
      <c r="N390" s="95" t="str">
        <f t="shared" si="31"/>
        <v/>
      </c>
      <c r="O390" s="95" t="str">
        <f t="shared" si="32"/>
        <v/>
      </c>
    </row>
    <row r="391" spans="1:15" x14ac:dyDescent="0.25">
      <c r="A391" s="98"/>
      <c r="B391" s="33"/>
      <c r="C391" s="25"/>
      <c r="D391" s="26"/>
      <c r="E391" s="4"/>
      <c r="F391" s="25"/>
      <c r="G391" s="26"/>
      <c r="H391" s="55"/>
      <c r="N391" s="95" t="str">
        <f t="shared" si="31"/>
        <v/>
      </c>
      <c r="O391" s="95" t="str">
        <f t="shared" si="32"/>
        <v/>
      </c>
    </row>
    <row r="392" spans="1:15" x14ac:dyDescent="0.25">
      <c r="A392" s="98"/>
      <c r="B392" s="33"/>
      <c r="C392" s="25"/>
      <c r="D392" s="26"/>
      <c r="E392" s="4"/>
      <c r="F392" s="25"/>
      <c r="G392" s="26"/>
      <c r="H392" s="55"/>
      <c r="N392" s="95" t="str">
        <f t="shared" si="31"/>
        <v/>
      </c>
      <c r="O392" s="95" t="str">
        <f t="shared" si="32"/>
        <v/>
      </c>
    </row>
    <row r="393" spans="1:15" x14ac:dyDescent="0.25">
      <c r="A393" s="98"/>
      <c r="B393" s="33"/>
      <c r="C393" s="25"/>
      <c r="D393" s="26"/>
      <c r="E393" s="4"/>
      <c r="F393" s="25"/>
      <c r="G393" s="26"/>
      <c r="H393" s="55"/>
      <c r="N393" s="95" t="str">
        <f t="shared" si="31"/>
        <v/>
      </c>
      <c r="O393" s="95" t="str">
        <f t="shared" si="32"/>
        <v/>
      </c>
    </row>
    <row r="394" spans="1:15" x14ac:dyDescent="0.25">
      <c r="A394" s="98"/>
      <c r="B394" s="33"/>
      <c r="C394" s="25"/>
      <c r="D394" s="26"/>
      <c r="E394" s="4"/>
      <c r="F394" s="25"/>
      <c r="G394" s="26"/>
      <c r="H394" s="55"/>
      <c r="N394" s="95" t="str">
        <f t="shared" si="31"/>
        <v/>
      </c>
      <c r="O394" s="95" t="str">
        <f t="shared" si="32"/>
        <v/>
      </c>
    </row>
    <row r="395" spans="1:15" x14ac:dyDescent="0.25">
      <c r="A395" s="98"/>
      <c r="B395" s="33"/>
      <c r="C395" s="25"/>
      <c r="D395" s="26"/>
      <c r="E395" s="4"/>
      <c r="F395" s="25"/>
      <c r="G395" s="26"/>
      <c r="H395" s="55"/>
      <c r="N395" s="95" t="str">
        <f t="shared" si="31"/>
        <v/>
      </c>
      <c r="O395" s="95" t="str">
        <f t="shared" si="32"/>
        <v/>
      </c>
    </row>
    <row r="396" spans="1:15" x14ac:dyDescent="0.25">
      <c r="A396" s="98"/>
      <c r="B396" s="33"/>
      <c r="C396" s="25"/>
      <c r="D396" s="26"/>
      <c r="E396" s="4"/>
      <c r="F396" s="25"/>
      <c r="G396" s="26"/>
      <c r="H396" s="55"/>
      <c r="N396" s="95" t="str">
        <f t="shared" si="31"/>
        <v/>
      </c>
      <c r="O396" s="95" t="str">
        <f t="shared" si="32"/>
        <v/>
      </c>
    </row>
    <row r="397" spans="1:15" x14ac:dyDescent="0.25">
      <c r="A397" s="98"/>
      <c r="B397" s="33"/>
      <c r="C397" s="25"/>
      <c r="D397" s="26"/>
      <c r="E397" s="4"/>
      <c r="F397" s="25"/>
      <c r="G397" s="26"/>
      <c r="H397" s="55"/>
      <c r="N397" s="95" t="str">
        <f t="shared" si="31"/>
        <v/>
      </c>
      <c r="O397" s="95" t="str">
        <f t="shared" si="32"/>
        <v/>
      </c>
    </row>
    <row r="398" spans="1:15" x14ac:dyDescent="0.25">
      <c r="A398" s="98"/>
      <c r="B398" s="33"/>
      <c r="C398" s="25"/>
      <c r="D398" s="26"/>
      <c r="E398" s="4"/>
      <c r="F398" s="25"/>
      <c r="G398" s="26"/>
      <c r="H398" s="55"/>
      <c r="N398" s="95" t="str">
        <f t="shared" si="31"/>
        <v/>
      </c>
      <c r="O398" s="95" t="str">
        <f t="shared" si="32"/>
        <v/>
      </c>
    </row>
    <row r="399" spans="1:15" x14ac:dyDescent="0.25">
      <c r="A399" s="98"/>
      <c r="B399" s="33"/>
      <c r="C399" s="25"/>
      <c r="D399" s="26"/>
      <c r="E399" s="4"/>
      <c r="F399" s="25"/>
      <c r="G399" s="26"/>
      <c r="H399" s="55"/>
      <c r="N399" s="95" t="str">
        <f t="shared" si="31"/>
        <v/>
      </c>
      <c r="O399" s="95" t="str">
        <f t="shared" si="32"/>
        <v/>
      </c>
    </row>
    <row r="400" spans="1:15" x14ac:dyDescent="0.25">
      <c r="A400" s="98"/>
      <c r="B400" s="33"/>
      <c r="C400" s="25"/>
      <c r="D400" s="26"/>
      <c r="E400" s="4"/>
      <c r="F400" s="25"/>
      <c r="G400" s="26"/>
      <c r="H400" s="55"/>
      <c r="N400" s="95" t="str">
        <f t="shared" ref="N400:N463" si="33">IF(COUNTIF(L:L,J400),J400,"")</f>
        <v/>
      </c>
      <c r="O400" s="95" t="str">
        <f t="shared" si="32"/>
        <v/>
      </c>
    </row>
    <row r="401" spans="1:15" x14ac:dyDescent="0.25">
      <c r="A401" s="98"/>
      <c r="B401" s="33"/>
      <c r="C401" s="25"/>
      <c r="D401" s="26"/>
      <c r="E401" s="4"/>
      <c r="F401" s="25"/>
      <c r="G401" s="26"/>
      <c r="H401" s="55"/>
      <c r="N401" s="95" t="str">
        <f t="shared" si="33"/>
        <v/>
      </c>
      <c r="O401" s="95" t="str">
        <f t="shared" si="32"/>
        <v/>
      </c>
    </row>
    <row r="402" spans="1:15" x14ac:dyDescent="0.25">
      <c r="A402" s="98"/>
      <c r="B402" s="33"/>
      <c r="C402" s="25"/>
      <c r="D402" s="26"/>
      <c r="E402" s="4"/>
      <c r="F402" s="25"/>
      <c r="G402" s="26"/>
      <c r="H402" s="55"/>
      <c r="N402" s="95" t="str">
        <f t="shared" si="33"/>
        <v/>
      </c>
      <c r="O402" s="95" t="str">
        <f t="shared" si="32"/>
        <v/>
      </c>
    </row>
    <row r="403" spans="1:15" x14ac:dyDescent="0.25">
      <c r="A403" s="98"/>
      <c r="B403" s="33"/>
      <c r="C403" s="25"/>
      <c r="D403" s="26"/>
      <c r="E403" s="4"/>
      <c r="F403" s="25"/>
      <c r="G403" s="26"/>
      <c r="H403" s="55"/>
      <c r="N403" s="95" t="str">
        <f t="shared" si="33"/>
        <v/>
      </c>
      <c r="O403" s="95" t="str">
        <f t="shared" si="32"/>
        <v/>
      </c>
    </row>
    <row r="404" spans="1:15" x14ac:dyDescent="0.25">
      <c r="A404" s="98"/>
      <c r="B404" s="33"/>
      <c r="C404" s="25"/>
      <c r="D404" s="26"/>
      <c r="E404" s="4"/>
      <c r="F404" s="25"/>
      <c r="G404" s="26"/>
      <c r="H404" s="55"/>
      <c r="N404" s="95" t="str">
        <f t="shared" si="33"/>
        <v/>
      </c>
      <c r="O404" s="95" t="str">
        <f t="shared" si="32"/>
        <v/>
      </c>
    </row>
    <row r="405" spans="1:15" x14ac:dyDescent="0.25">
      <c r="A405" s="98"/>
      <c r="B405" s="33"/>
      <c r="C405" s="25"/>
      <c r="D405" s="26"/>
      <c r="E405" s="4"/>
      <c r="F405" s="25"/>
      <c r="G405" s="26"/>
      <c r="H405" s="55"/>
      <c r="N405" s="95" t="str">
        <f t="shared" si="33"/>
        <v/>
      </c>
      <c r="O405" s="95" t="str">
        <f t="shared" si="32"/>
        <v/>
      </c>
    </row>
    <row r="406" spans="1:15" x14ac:dyDescent="0.25">
      <c r="A406" s="98"/>
      <c r="B406" s="33"/>
      <c r="C406" s="25"/>
      <c r="D406" s="26"/>
      <c r="E406" s="4"/>
      <c r="F406" s="25"/>
      <c r="G406" s="26"/>
      <c r="H406" s="55"/>
      <c r="N406" s="95" t="str">
        <f t="shared" si="33"/>
        <v/>
      </c>
      <c r="O406" s="95" t="str">
        <f t="shared" si="32"/>
        <v/>
      </c>
    </row>
    <row r="407" spans="1:15" x14ac:dyDescent="0.25">
      <c r="A407" s="98"/>
      <c r="B407" s="33"/>
      <c r="C407" s="25"/>
      <c r="D407" s="26"/>
      <c r="E407" s="4"/>
      <c r="F407" s="25"/>
      <c r="G407" s="26"/>
      <c r="H407" s="55"/>
      <c r="N407" s="95" t="str">
        <f t="shared" si="33"/>
        <v/>
      </c>
      <c r="O407" s="95" t="str">
        <f t="shared" si="32"/>
        <v/>
      </c>
    </row>
    <row r="408" spans="1:15" x14ac:dyDescent="0.25">
      <c r="A408" s="98"/>
      <c r="B408" s="33"/>
      <c r="C408" s="25"/>
      <c r="D408" s="26"/>
      <c r="E408" s="4"/>
      <c r="F408" s="25"/>
      <c r="G408" s="26"/>
      <c r="H408" s="55"/>
      <c r="N408" s="95" t="str">
        <f t="shared" si="33"/>
        <v/>
      </c>
      <c r="O408" s="95" t="str">
        <f t="shared" si="32"/>
        <v/>
      </c>
    </row>
    <row r="409" spans="1:15" x14ac:dyDescent="0.25">
      <c r="A409" s="98"/>
      <c r="B409" s="33"/>
      <c r="C409" s="25"/>
      <c r="D409" s="26"/>
      <c r="E409" s="4"/>
      <c r="F409" s="25"/>
      <c r="G409" s="26"/>
      <c r="H409" s="55"/>
      <c r="N409" s="95" t="str">
        <f t="shared" si="33"/>
        <v/>
      </c>
      <c r="O409" s="95" t="str">
        <f t="shared" si="32"/>
        <v/>
      </c>
    </row>
    <row r="410" spans="1:15" x14ac:dyDescent="0.25">
      <c r="A410" s="98"/>
      <c r="B410" s="33"/>
      <c r="C410" s="25"/>
      <c r="D410" s="26"/>
      <c r="E410" s="4"/>
      <c r="F410" s="25"/>
      <c r="G410" s="26"/>
      <c r="H410" s="55"/>
      <c r="N410" s="95" t="str">
        <f t="shared" si="33"/>
        <v/>
      </c>
      <c r="O410" s="95" t="str">
        <f t="shared" si="32"/>
        <v/>
      </c>
    </row>
    <row r="411" spans="1:15" x14ac:dyDescent="0.25">
      <c r="A411" s="98"/>
      <c r="B411" s="33"/>
      <c r="C411" s="25"/>
      <c r="D411" s="26"/>
      <c r="E411" s="4"/>
      <c r="F411" s="25"/>
      <c r="G411" s="26"/>
      <c r="H411" s="55"/>
      <c r="N411" s="95" t="str">
        <f t="shared" si="33"/>
        <v/>
      </c>
      <c r="O411" s="95" t="str">
        <f t="shared" si="32"/>
        <v/>
      </c>
    </row>
    <row r="412" spans="1:15" x14ac:dyDescent="0.25">
      <c r="A412" s="98"/>
      <c r="B412" s="33"/>
      <c r="C412" s="25"/>
      <c r="D412" s="26"/>
      <c r="E412" s="4"/>
      <c r="F412" s="25"/>
      <c r="G412" s="26"/>
      <c r="H412" s="55"/>
      <c r="N412" s="95" t="str">
        <f t="shared" si="33"/>
        <v/>
      </c>
      <c r="O412" s="95" t="str">
        <f t="shared" si="32"/>
        <v/>
      </c>
    </row>
    <row r="413" spans="1:15" x14ac:dyDescent="0.25">
      <c r="A413" s="98"/>
      <c r="B413" s="33"/>
      <c r="C413" s="25"/>
      <c r="D413" s="26"/>
      <c r="E413" s="4"/>
      <c r="F413" s="25"/>
      <c r="G413" s="26"/>
      <c r="H413" s="55"/>
      <c r="N413" s="95" t="str">
        <f t="shared" si="33"/>
        <v/>
      </c>
      <c r="O413" s="95" t="str">
        <f t="shared" si="32"/>
        <v/>
      </c>
    </row>
    <row r="414" spans="1:15" x14ac:dyDescent="0.25">
      <c r="A414" s="98"/>
      <c r="B414" s="33"/>
      <c r="C414" s="25"/>
      <c r="D414" s="26"/>
      <c r="E414" s="4"/>
      <c r="F414" s="25"/>
      <c r="G414" s="26"/>
      <c r="H414" s="55"/>
      <c r="N414" s="95" t="str">
        <f t="shared" si="33"/>
        <v/>
      </c>
      <c r="O414" s="95" t="str">
        <f t="shared" si="32"/>
        <v/>
      </c>
    </row>
    <row r="415" spans="1:15" x14ac:dyDescent="0.25">
      <c r="A415" s="98"/>
      <c r="B415" s="33"/>
      <c r="C415" s="25"/>
      <c r="D415" s="26"/>
      <c r="E415" s="4"/>
      <c r="F415" s="25"/>
      <c r="G415" s="26"/>
      <c r="H415" s="55"/>
      <c r="N415" s="95" t="str">
        <f t="shared" si="33"/>
        <v/>
      </c>
      <c r="O415" s="95" t="str">
        <f t="shared" si="32"/>
        <v/>
      </c>
    </row>
    <row r="416" spans="1:15" x14ac:dyDescent="0.25">
      <c r="A416" s="98"/>
      <c r="B416" s="33"/>
      <c r="C416" s="25"/>
      <c r="D416" s="26"/>
      <c r="E416" s="4"/>
      <c r="F416" s="25"/>
      <c r="G416" s="26"/>
      <c r="H416" s="55"/>
      <c r="N416" s="95" t="str">
        <f t="shared" si="33"/>
        <v/>
      </c>
      <c r="O416" s="95" t="str">
        <f t="shared" si="32"/>
        <v/>
      </c>
    </row>
    <row r="417" spans="1:15" x14ac:dyDescent="0.25">
      <c r="A417" s="98"/>
      <c r="B417" s="33"/>
      <c r="C417" s="25"/>
      <c r="D417" s="26"/>
      <c r="E417" s="4"/>
      <c r="F417" s="25"/>
      <c r="G417" s="26"/>
      <c r="H417" s="55"/>
      <c r="N417" s="95" t="str">
        <f t="shared" si="33"/>
        <v/>
      </c>
      <c r="O417" s="95" t="str">
        <f t="shared" si="32"/>
        <v/>
      </c>
    </row>
    <row r="418" spans="1:15" x14ac:dyDescent="0.25">
      <c r="A418" s="98"/>
      <c r="B418" s="33"/>
      <c r="C418" s="25"/>
      <c r="D418" s="26"/>
      <c r="E418" s="4"/>
      <c r="F418" s="25"/>
      <c r="G418" s="26"/>
      <c r="H418" s="55"/>
      <c r="N418" s="95" t="str">
        <f t="shared" si="33"/>
        <v/>
      </c>
      <c r="O418" s="95" t="str">
        <f t="shared" si="32"/>
        <v/>
      </c>
    </row>
    <row r="419" spans="1:15" x14ac:dyDescent="0.25">
      <c r="A419" s="98"/>
      <c r="B419" s="33"/>
      <c r="C419" s="25"/>
      <c r="D419" s="26"/>
      <c r="E419" s="4"/>
      <c r="F419" s="25"/>
      <c r="G419" s="26"/>
      <c r="H419" s="55"/>
      <c r="N419" s="95" t="str">
        <f t="shared" si="33"/>
        <v/>
      </c>
      <c r="O419" s="95" t="str">
        <f t="shared" si="32"/>
        <v/>
      </c>
    </row>
    <row r="420" spans="1:15" x14ac:dyDescent="0.25">
      <c r="A420" s="98"/>
      <c r="B420" s="33"/>
      <c r="C420" s="25"/>
      <c r="D420" s="26"/>
      <c r="E420" s="4"/>
      <c r="F420" s="25"/>
      <c r="G420" s="26"/>
      <c r="H420" s="55"/>
      <c r="N420" s="95" t="str">
        <f t="shared" si="33"/>
        <v/>
      </c>
      <c r="O420" s="95" t="str">
        <f t="shared" si="32"/>
        <v/>
      </c>
    </row>
    <row r="421" spans="1:15" x14ac:dyDescent="0.25">
      <c r="A421" s="98"/>
      <c r="B421" s="33"/>
      <c r="C421" s="25"/>
      <c r="D421" s="26"/>
      <c r="E421" s="4"/>
      <c r="F421" s="25"/>
      <c r="G421" s="26"/>
      <c r="H421" s="55"/>
      <c r="N421" s="95" t="str">
        <f t="shared" si="33"/>
        <v/>
      </c>
      <c r="O421" s="95" t="str">
        <f t="shared" si="32"/>
        <v/>
      </c>
    </row>
    <row r="422" spans="1:15" x14ac:dyDescent="0.25">
      <c r="A422" s="98"/>
      <c r="B422" s="33"/>
      <c r="C422" s="25"/>
      <c r="D422" s="26"/>
      <c r="E422" s="4"/>
      <c r="F422" s="25"/>
      <c r="G422" s="26"/>
      <c r="H422" s="55"/>
      <c r="N422" s="95" t="str">
        <f t="shared" si="33"/>
        <v/>
      </c>
      <c r="O422" s="95" t="str">
        <f t="shared" si="32"/>
        <v/>
      </c>
    </row>
    <row r="423" spans="1:15" x14ac:dyDescent="0.25">
      <c r="A423" s="98"/>
      <c r="B423" s="33"/>
      <c r="C423" s="25"/>
      <c r="D423" s="26"/>
      <c r="E423" s="4"/>
      <c r="F423" s="25"/>
      <c r="G423" s="26"/>
      <c r="H423" s="55"/>
      <c r="N423" s="95" t="str">
        <f t="shared" si="33"/>
        <v/>
      </c>
      <c r="O423" s="95" t="str">
        <f t="shared" si="32"/>
        <v/>
      </c>
    </row>
    <row r="424" spans="1:15" x14ac:dyDescent="0.25">
      <c r="A424" s="98"/>
      <c r="B424" s="33"/>
      <c r="C424" s="25"/>
      <c r="D424" s="26"/>
      <c r="E424" s="4"/>
      <c r="F424" s="25"/>
      <c r="G424" s="26"/>
      <c r="H424" s="55"/>
      <c r="N424" s="95" t="str">
        <f t="shared" si="33"/>
        <v/>
      </c>
      <c r="O424" s="95" t="str">
        <f t="shared" si="32"/>
        <v/>
      </c>
    </row>
    <row r="425" spans="1:15" x14ac:dyDescent="0.25">
      <c r="A425" s="98"/>
      <c r="B425" s="33"/>
      <c r="C425" s="25"/>
      <c r="D425" s="26"/>
      <c r="E425" s="4"/>
      <c r="F425" s="25"/>
      <c r="G425" s="26"/>
      <c r="H425" s="55"/>
      <c r="N425" s="95" t="str">
        <f t="shared" si="33"/>
        <v/>
      </c>
      <c r="O425" s="95" t="str">
        <f t="shared" si="32"/>
        <v/>
      </c>
    </row>
    <row r="426" spans="1:15" x14ac:dyDescent="0.25">
      <c r="A426" s="98"/>
      <c r="B426" s="33"/>
      <c r="C426" s="25"/>
      <c r="D426" s="26"/>
      <c r="E426" s="4"/>
      <c r="F426" s="25"/>
      <c r="G426" s="26"/>
      <c r="H426" s="55"/>
      <c r="N426" s="95" t="str">
        <f t="shared" si="33"/>
        <v/>
      </c>
      <c r="O426" s="95" t="str">
        <f t="shared" si="32"/>
        <v/>
      </c>
    </row>
    <row r="427" spans="1:15" x14ac:dyDescent="0.25">
      <c r="A427" s="98"/>
      <c r="B427" s="33"/>
      <c r="C427" s="25"/>
      <c r="D427" s="26"/>
      <c r="E427" s="4"/>
      <c r="F427" s="25"/>
      <c r="G427" s="26"/>
      <c r="H427" s="55"/>
      <c r="N427" s="95" t="str">
        <f t="shared" si="33"/>
        <v/>
      </c>
      <c r="O427" s="95" t="str">
        <f t="shared" si="32"/>
        <v/>
      </c>
    </row>
    <row r="428" spans="1:15" x14ac:dyDescent="0.25">
      <c r="A428" s="98"/>
      <c r="B428" s="33"/>
      <c r="C428" s="25"/>
      <c r="D428" s="26"/>
      <c r="E428" s="4"/>
      <c r="F428" s="25"/>
      <c r="G428" s="26"/>
      <c r="H428" s="55"/>
      <c r="N428" s="95" t="str">
        <f t="shared" si="33"/>
        <v/>
      </c>
      <c r="O428" s="95" t="str">
        <f t="shared" si="32"/>
        <v/>
      </c>
    </row>
    <row r="429" spans="1:15" x14ac:dyDescent="0.25">
      <c r="A429" s="98"/>
      <c r="B429" s="33"/>
      <c r="C429" s="25"/>
      <c r="D429" s="26"/>
      <c r="E429" s="4"/>
      <c r="F429" s="25"/>
      <c r="G429" s="26"/>
      <c r="H429" s="55"/>
      <c r="N429" s="95" t="str">
        <f t="shared" si="33"/>
        <v/>
      </c>
      <c r="O429" s="95" t="str">
        <f t="shared" si="32"/>
        <v/>
      </c>
    </row>
    <row r="430" spans="1:15" x14ac:dyDescent="0.25">
      <c r="A430" s="98"/>
      <c r="B430" s="33"/>
      <c r="C430" s="25"/>
      <c r="D430" s="26"/>
      <c r="E430" s="4"/>
      <c r="F430" s="25"/>
      <c r="G430" s="26"/>
      <c r="H430" s="55"/>
      <c r="N430" s="95" t="str">
        <f t="shared" si="33"/>
        <v/>
      </c>
      <c r="O430" s="95" t="str">
        <f t="shared" si="32"/>
        <v/>
      </c>
    </row>
    <row r="431" spans="1:15" x14ac:dyDescent="0.25">
      <c r="A431" s="98"/>
      <c r="B431" s="33"/>
      <c r="C431" s="25"/>
      <c r="D431" s="26"/>
      <c r="E431" s="4"/>
      <c r="F431" s="25"/>
      <c r="G431" s="26"/>
      <c r="H431" s="55"/>
      <c r="N431" s="95" t="str">
        <f t="shared" si="33"/>
        <v/>
      </c>
      <c r="O431" s="95" t="str">
        <f t="shared" si="32"/>
        <v/>
      </c>
    </row>
    <row r="432" spans="1:15" x14ac:dyDescent="0.25">
      <c r="A432" s="98"/>
      <c r="B432" s="33"/>
      <c r="C432" s="25"/>
      <c r="D432" s="26"/>
      <c r="E432" s="4"/>
      <c r="F432" s="25"/>
      <c r="G432" s="26"/>
      <c r="H432" s="55"/>
      <c r="N432" s="95" t="str">
        <f t="shared" si="33"/>
        <v/>
      </c>
      <c r="O432" s="95" t="str">
        <f t="shared" si="32"/>
        <v/>
      </c>
    </row>
    <row r="433" spans="1:15" x14ac:dyDescent="0.25">
      <c r="A433" s="98"/>
      <c r="B433" s="33"/>
      <c r="C433" s="25"/>
      <c r="D433" s="26"/>
      <c r="E433" s="4"/>
      <c r="F433" s="25"/>
      <c r="G433" s="26"/>
      <c r="H433" s="55"/>
      <c r="N433" s="95" t="str">
        <f t="shared" si="33"/>
        <v/>
      </c>
      <c r="O433" s="95" t="str">
        <f t="shared" si="32"/>
        <v/>
      </c>
    </row>
    <row r="434" spans="1:15" x14ac:dyDescent="0.25">
      <c r="A434" s="98"/>
      <c r="B434" s="33"/>
      <c r="C434" s="25"/>
      <c r="D434" s="26"/>
      <c r="E434" s="4"/>
      <c r="F434" s="25"/>
      <c r="G434" s="26"/>
      <c r="H434" s="55"/>
      <c r="N434" s="95" t="str">
        <f t="shared" si="33"/>
        <v/>
      </c>
      <c r="O434" s="95" t="str">
        <f t="shared" si="32"/>
        <v/>
      </c>
    </row>
    <row r="435" spans="1:15" x14ac:dyDescent="0.25">
      <c r="A435" s="98"/>
      <c r="B435" s="33"/>
      <c r="C435" s="25"/>
      <c r="D435" s="26"/>
      <c r="E435" s="4"/>
      <c r="F435" s="25"/>
      <c r="G435" s="26"/>
      <c r="H435" s="55"/>
      <c r="N435" s="95" t="str">
        <f t="shared" si="33"/>
        <v/>
      </c>
      <c r="O435" s="95" t="str">
        <f t="shared" si="32"/>
        <v/>
      </c>
    </row>
    <row r="436" spans="1:15" x14ac:dyDescent="0.25">
      <c r="A436" s="98"/>
      <c r="B436" s="33"/>
      <c r="C436" s="25"/>
      <c r="D436" s="26"/>
      <c r="E436" s="4"/>
      <c r="F436" s="25"/>
      <c r="G436" s="26"/>
      <c r="H436" s="55"/>
      <c r="N436" s="95" t="str">
        <f t="shared" si="33"/>
        <v/>
      </c>
      <c r="O436" s="95" t="str">
        <f t="shared" si="32"/>
        <v/>
      </c>
    </row>
    <row r="437" spans="1:15" x14ac:dyDescent="0.25">
      <c r="A437" s="98"/>
      <c r="B437" s="33"/>
      <c r="C437" s="25"/>
      <c r="D437" s="26"/>
      <c r="E437" s="4"/>
      <c r="F437" s="25"/>
      <c r="G437" s="26"/>
      <c r="H437" s="55"/>
      <c r="N437" s="95" t="str">
        <f t="shared" si="33"/>
        <v/>
      </c>
      <c r="O437" s="95" t="str">
        <f t="shared" si="32"/>
        <v/>
      </c>
    </row>
    <row r="438" spans="1:15" x14ac:dyDescent="0.25">
      <c r="A438" s="98"/>
      <c r="B438" s="33"/>
      <c r="C438" s="25"/>
      <c r="D438" s="26"/>
      <c r="E438" s="4"/>
      <c r="F438" s="25"/>
      <c r="G438" s="26"/>
      <c r="H438" s="55"/>
      <c r="N438" s="95" t="str">
        <f t="shared" si="33"/>
        <v/>
      </c>
      <c r="O438" s="95" t="str">
        <f t="shared" si="32"/>
        <v/>
      </c>
    </row>
    <row r="439" spans="1:15" x14ac:dyDescent="0.25">
      <c r="A439" s="98"/>
      <c r="B439" s="33"/>
      <c r="C439" s="25"/>
      <c r="D439" s="26"/>
      <c r="E439" s="4"/>
      <c r="F439" s="25"/>
      <c r="G439" s="26"/>
      <c r="H439" s="55"/>
      <c r="N439" s="95" t="str">
        <f t="shared" si="33"/>
        <v/>
      </c>
      <c r="O439" s="95" t="str">
        <f t="shared" si="32"/>
        <v/>
      </c>
    </row>
    <row r="440" spans="1:15" x14ac:dyDescent="0.25">
      <c r="A440" s="98"/>
      <c r="B440" s="33"/>
      <c r="C440" s="25"/>
      <c r="D440" s="26"/>
      <c r="E440" s="4"/>
      <c r="F440" s="25"/>
      <c r="G440" s="26"/>
      <c r="H440" s="55"/>
      <c r="N440" s="95" t="str">
        <f t="shared" si="33"/>
        <v/>
      </c>
      <c r="O440" s="95" t="str">
        <f t="shared" si="32"/>
        <v/>
      </c>
    </row>
    <row r="441" spans="1:15" x14ac:dyDescent="0.25">
      <c r="A441" s="98"/>
      <c r="B441" s="33"/>
      <c r="C441" s="25"/>
      <c r="D441" s="26"/>
      <c r="E441" s="4"/>
      <c r="F441" s="25"/>
      <c r="G441" s="26"/>
      <c r="H441" s="55"/>
      <c r="N441" s="95" t="str">
        <f t="shared" si="33"/>
        <v/>
      </c>
      <c r="O441" s="95" t="str">
        <f t="shared" si="32"/>
        <v/>
      </c>
    </row>
    <row r="442" spans="1:15" x14ac:dyDescent="0.25">
      <c r="A442" s="98"/>
      <c r="B442" s="33"/>
      <c r="C442" s="25"/>
      <c r="D442" s="26"/>
      <c r="E442" s="4"/>
      <c r="F442" s="25"/>
      <c r="G442" s="26"/>
      <c r="H442" s="55"/>
      <c r="N442" s="95" t="str">
        <f t="shared" si="33"/>
        <v/>
      </c>
      <c r="O442" s="95" t="str">
        <f t="shared" si="32"/>
        <v/>
      </c>
    </row>
    <row r="443" spans="1:15" x14ac:dyDescent="0.25">
      <c r="A443" s="98"/>
      <c r="B443" s="33"/>
      <c r="C443" s="25"/>
      <c r="D443" s="26"/>
      <c r="E443" s="4"/>
      <c r="F443" s="25"/>
      <c r="G443" s="26"/>
      <c r="H443" s="55"/>
      <c r="N443" s="95" t="str">
        <f t="shared" si="33"/>
        <v/>
      </c>
      <c r="O443" s="95" t="str">
        <f t="shared" si="32"/>
        <v/>
      </c>
    </row>
    <row r="444" spans="1:15" x14ac:dyDescent="0.25">
      <c r="A444" s="98"/>
      <c r="B444" s="33"/>
      <c r="C444" s="25"/>
      <c r="D444" s="26"/>
      <c r="E444" s="4"/>
      <c r="F444" s="25"/>
      <c r="G444" s="26"/>
      <c r="H444" s="55"/>
      <c r="N444" s="95" t="str">
        <f t="shared" si="33"/>
        <v/>
      </c>
      <c r="O444" s="95" t="str">
        <f t="shared" si="32"/>
        <v/>
      </c>
    </row>
    <row r="445" spans="1:15" x14ac:dyDescent="0.25">
      <c r="A445" s="98"/>
      <c r="B445" s="33"/>
      <c r="C445" s="25"/>
      <c r="D445" s="26"/>
      <c r="E445" s="4"/>
      <c r="F445" s="25"/>
      <c r="G445" s="26"/>
      <c r="H445" s="55"/>
      <c r="N445" s="95" t="str">
        <f t="shared" si="33"/>
        <v/>
      </c>
      <c r="O445" s="95" t="str">
        <f t="shared" si="32"/>
        <v/>
      </c>
    </row>
    <row r="446" spans="1:15" x14ac:dyDescent="0.25">
      <c r="A446" s="98"/>
      <c r="B446" s="33"/>
      <c r="C446" s="25"/>
      <c r="D446" s="26"/>
      <c r="E446" s="4"/>
      <c r="F446" s="25"/>
      <c r="G446" s="26"/>
      <c r="H446" s="55"/>
      <c r="N446" s="95" t="str">
        <f t="shared" si="33"/>
        <v/>
      </c>
      <c r="O446" s="95" t="str">
        <f t="shared" si="32"/>
        <v/>
      </c>
    </row>
    <row r="447" spans="1:15" x14ac:dyDescent="0.25">
      <c r="A447" s="98"/>
      <c r="B447" s="33"/>
      <c r="C447" s="25"/>
      <c r="D447" s="26"/>
      <c r="E447" s="4"/>
      <c r="F447" s="25"/>
      <c r="G447" s="26"/>
      <c r="H447" s="55"/>
      <c r="N447" s="95" t="str">
        <f t="shared" si="33"/>
        <v/>
      </c>
      <c r="O447" s="95" t="str">
        <f t="shared" si="32"/>
        <v/>
      </c>
    </row>
    <row r="448" spans="1:15" x14ac:dyDescent="0.25">
      <c r="A448" s="98"/>
      <c r="B448" s="33"/>
      <c r="C448" s="25"/>
      <c r="D448" s="26"/>
      <c r="E448" s="4"/>
      <c r="F448" s="25"/>
      <c r="G448" s="26"/>
      <c r="H448" s="55"/>
      <c r="N448" s="95" t="str">
        <f t="shared" si="33"/>
        <v/>
      </c>
      <c r="O448" s="95" t="str">
        <f t="shared" si="32"/>
        <v/>
      </c>
    </row>
    <row r="449" spans="1:15" x14ac:dyDescent="0.25">
      <c r="A449" s="98"/>
      <c r="B449" s="33"/>
      <c r="C449" s="25"/>
      <c r="D449" s="26"/>
      <c r="E449" s="4"/>
      <c r="F449" s="25"/>
      <c r="G449" s="26"/>
      <c r="H449" s="55"/>
      <c r="N449" s="95" t="str">
        <f t="shared" si="33"/>
        <v/>
      </c>
      <c r="O449" s="95" t="str">
        <f t="shared" si="32"/>
        <v/>
      </c>
    </row>
    <row r="450" spans="1:15" x14ac:dyDescent="0.25">
      <c r="A450" s="98"/>
      <c r="B450" s="33"/>
      <c r="C450" s="25"/>
      <c r="D450" s="26"/>
      <c r="E450" s="4"/>
      <c r="F450" s="25"/>
      <c r="G450" s="26"/>
      <c r="H450" s="55"/>
      <c r="N450" s="95" t="str">
        <f t="shared" si="33"/>
        <v/>
      </c>
      <c r="O450" s="95" t="str">
        <f t="shared" si="32"/>
        <v/>
      </c>
    </row>
    <row r="451" spans="1:15" x14ac:dyDescent="0.25">
      <c r="A451" s="98"/>
      <c r="B451" s="33"/>
      <c r="C451" s="25"/>
      <c r="D451" s="26"/>
      <c r="E451" s="4"/>
      <c r="F451" s="25"/>
      <c r="G451" s="26"/>
      <c r="H451" s="55"/>
      <c r="N451" s="95" t="str">
        <f t="shared" si="33"/>
        <v/>
      </c>
      <c r="O451" s="95" t="str">
        <f t="shared" si="32"/>
        <v/>
      </c>
    </row>
    <row r="452" spans="1:15" x14ac:dyDescent="0.25">
      <c r="A452" s="98"/>
      <c r="B452" s="33"/>
      <c r="C452" s="25"/>
      <c r="D452" s="26"/>
      <c r="E452" s="4"/>
      <c r="F452" s="25"/>
      <c r="G452" s="26"/>
      <c r="H452" s="55"/>
      <c r="N452" s="95" t="str">
        <f t="shared" si="33"/>
        <v/>
      </c>
      <c r="O452" s="95" t="str">
        <f t="shared" ref="O452:O515" si="34">IF(N452&gt;$A$14,N452,"")</f>
        <v/>
      </c>
    </row>
    <row r="453" spans="1:15" x14ac:dyDescent="0.25">
      <c r="A453" s="98"/>
      <c r="B453" s="33"/>
      <c r="C453" s="25"/>
      <c r="D453" s="26"/>
      <c r="E453" s="4"/>
      <c r="F453" s="25"/>
      <c r="G453" s="26"/>
      <c r="H453" s="55"/>
      <c r="N453" s="95" t="str">
        <f t="shared" si="33"/>
        <v/>
      </c>
      <c r="O453" s="95" t="str">
        <f t="shared" si="34"/>
        <v/>
      </c>
    </row>
    <row r="454" spans="1:15" x14ac:dyDescent="0.25">
      <c r="A454" s="98"/>
      <c r="B454" s="33"/>
      <c r="C454" s="25"/>
      <c r="D454" s="26"/>
      <c r="E454" s="4"/>
      <c r="F454" s="25"/>
      <c r="G454" s="26"/>
      <c r="H454" s="55"/>
      <c r="N454" s="95" t="str">
        <f t="shared" si="33"/>
        <v/>
      </c>
      <c r="O454" s="95" t="str">
        <f t="shared" si="34"/>
        <v/>
      </c>
    </row>
    <row r="455" spans="1:15" x14ac:dyDescent="0.25">
      <c r="A455" s="98"/>
      <c r="B455" s="33"/>
      <c r="C455" s="25"/>
      <c r="D455" s="26"/>
      <c r="E455" s="4"/>
      <c r="F455" s="25"/>
      <c r="G455" s="26"/>
      <c r="H455" s="55"/>
      <c r="N455" s="95" t="str">
        <f t="shared" si="33"/>
        <v/>
      </c>
      <c r="O455" s="95" t="str">
        <f t="shared" si="34"/>
        <v/>
      </c>
    </row>
    <row r="456" spans="1:15" x14ac:dyDescent="0.25">
      <c r="A456" s="98"/>
      <c r="B456" s="33"/>
      <c r="C456" s="25"/>
      <c r="D456" s="26"/>
      <c r="E456" s="4"/>
      <c r="F456" s="25"/>
      <c r="G456" s="26"/>
      <c r="H456" s="55"/>
      <c r="N456" s="95" t="str">
        <f t="shared" si="33"/>
        <v/>
      </c>
      <c r="O456" s="95" t="str">
        <f t="shared" si="34"/>
        <v/>
      </c>
    </row>
    <row r="457" spans="1:15" x14ac:dyDescent="0.25">
      <c r="A457" s="98"/>
      <c r="B457" s="33"/>
      <c r="C457" s="25"/>
      <c r="D457" s="26"/>
      <c r="E457" s="4"/>
      <c r="F457" s="25"/>
      <c r="G457" s="26"/>
      <c r="H457" s="55"/>
      <c r="N457" s="95" t="str">
        <f t="shared" si="33"/>
        <v/>
      </c>
      <c r="O457" s="95" t="str">
        <f t="shared" si="34"/>
        <v/>
      </c>
    </row>
    <row r="458" spans="1:15" x14ac:dyDescent="0.25">
      <c r="A458" s="98"/>
      <c r="B458" s="33"/>
      <c r="C458" s="25"/>
      <c r="D458" s="26"/>
      <c r="E458" s="4"/>
      <c r="F458" s="25"/>
      <c r="G458" s="26"/>
      <c r="H458" s="55"/>
      <c r="N458" s="95" t="str">
        <f t="shared" si="33"/>
        <v/>
      </c>
      <c r="O458" s="95" t="str">
        <f t="shared" si="34"/>
        <v/>
      </c>
    </row>
    <row r="459" spans="1:15" x14ac:dyDescent="0.25">
      <c r="A459" s="98"/>
      <c r="B459" s="33"/>
      <c r="C459" s="25"/>
      <c r="D459" s="26"/>
      <c r="E459" s="4"/>
      <c r="F459" s="25"/>
      <c r="G459" s="26"/>
      <c r="H459" s="55"/>
      <c r="N459" s="95" t="str">
        <f t="shared" si="33"/>
        <v/>
      </c>
      <c r="O459" s="95" t="str">
        <f t="shared" si="34"/>
        <v/>
      </c>
    </row>
    <row r="460" spans="1:15" x14ac:dyDescent="0.25">
      <c r="A460" s="98"/>
      <c r="B460" s="33"/>
      <c r="C460" s="25"/>
      <c r="D460" s="26"/>
      <c r="E460" s="4"/>
      <c r="F460" s="25"/>
      <c r="G460" s="26"/>
      <c r="H460" s="55"/>
      <c r="N460" s="95" t="str">
        <f t="shared" si="33"/>
        <v/>
      </c>
      <c r="O460" s="95" t="str">
        <f t="shared" si="34"/>
        <v/>
      </c>
    </row>
    <row r="461" spans="1:15" x14ac:dyDescent="0.25">
      <c r="A461" s="98"/>
      <c r="B461" s="33"/>
      <c r="C461" s="25"/>
      <c r="D461" s="26"/>
      <c r="E461" s="4"/>
      <c r="F461" s="25"/>
      <c r="G461" s="26"/>
      <c r="H461" s="55"/>
      <c r="N461" s="95" t="str">
        <f t="shared" si="33"/>
        <v/>
      </c>
      <c r="O461" s="95" t="str">
        <f t="shared" si="34"/>
        <v/>
      </c>
    </row>
    <row r="462" spans="1:15" x14ac:dyDescent="0.25">
      <c r="A462" s="98"/>
      <c r="B462" s="33"/>
      <c r="C462" s="25"/>
      <c r="D462" s="26"/>
      <c r="E462" s="4"/>
      <c r="F462" s="25"/>
      <c r="G462" s="26"/>
      <c r="H462" s="55"/>
      <c r="N462" s="95" t="str">
        <f t="shared" si="33"/>
        <v/>
      </c>
      <c r="O462" s="95" t="str">
        <f t="shared" si="34"/>
        <v/>
      </c>
    </row>
    <row r="463" spans="1:15" x14ac:dyDescent="0.25">
      <c r="A463" s="98"/>
      <c r="B463" s="33"/>
      <c r="C463" s="25"/>
      <c r="D463" s="26"/>
      <c r="E463" s="4"/>
      <c r="F463" s="25"/>
      <c r="G463" s="26"/>
      <c r="H463" s="55"/>
      <c r="N463" s="95" t="str">
        <f t="shared" si="33"/>
        <v/>
      </c>
      <c r="O463" s="95" t="str">
        <f t="shared" si="34"/>
        <v/>
      </c>
    </row>
    <row r="464" spans="1:15" x14ac:dyDescent="0.25">
      <c r="A464" s="98"/>
      <c r="B464" s="33"/>
      <c r="C464" s="25"/>
      <c r="D464" s="26"/>
      <c r="E464" s="4"/>
      <c r="F464" s="25"/>
      <c r="G464" s="26"/>
      <c r="H464" s="55"/>
      <c r="N464" s="95" t="str">
        <f t="shared" ref="N464:N527" si="35">IF(COUNTIF(L:L,J464),J464,"")</f>
        <v/>
      </c>
      <c r="O464" s="95" t="str">
        <f t="shared" si="34"/>
        <v/>
      </c>
    </row>
    <row r="465" spans="1:15" x14ac:dyDescent="0.25">
      <c r="A465" s="98"/>
      <c r="B465" s="33"/>
      <c r="C465" s="25"/>
      <c r="D465" s="26"/>
      <c r="E465" s="4"/>
      <c r="F465" s="25"/>
      <c r="G465" s="26"/>
      <c r="H465" s="55"/>
      <c r="N465" s="95" t="str">
        <f t="shared" si="35"/>
        <v/>
      </c>
      <c r="O465" s="95" t="str">
        <f t="shared" si="34"/>
        <v/>
      </c>
    </row>
    <row r="466" spans="1:15" x14ac:dyDescent="0.25">
      <c r="A466" s="98"/>
      <c r="B466" s="33"/>
      <c r="C466" s="25"/>
      <c r="D466" s="26"/>
      <c r="E466" s="4"/>
      <c r="F466" s="25"/>
      <c r="G466" s="26"/>
      <c r="H466" s="55"/>
      <c r="N466" s="95" t="str">
        <f t="shared" si="35"/>
        <v/>
      </c>
      <c r="O466" s="95" t="str">
        <f t="shared" si="34"/>
        <v/>
      </c>
    </row>
    <row r="467" spans="1:15" x14ac:dyDescent="0.25">
      <c r="A467" s="98"/>
      <c r="B467" s="33"/>
      <c r="C467" s="25"/>
      <c r="D467" s="26"/>
      <c r="E467" s="4"/>
      <c r="F467" s="25"/>
      <c r="G467" s="26"/>
      <c r="H467" s="55"/>
      <c r="N467" s="95" t="str">
        <f t="shared" si="35"/>
        <v/>
      </c>
      <c r="O467" s="95" t="str">
        <f t="shared" si="34"/>
        <v/>
      </c>
    </row>
    <row r="468" spans="1:15" x14ac:dyDescent="0.25">
      <c r="A468" s="98"/>
      <c r="B468" s="33"/>
      <c r="C468" s="25"/>
      <c r="D468" s="26"/>
      <c r="E468" s="4"/>
      <c r="F468" s="25"/>
      <c r="G468" s="26"/>
      <c r="H468" s="55"/>
      <c r="N468" s="95" t="str">
        <f t="shared" si="35"/>
        <v/>
      </c>
      <c r="O468" s="95" t="str">
        <f t="shared" si="34"/>
        <v/>
      </c>
    </row>
    <row r="469" spans="1:15" x14ac:dyDescent="0.25">
      <c r="A469" s="98"/>
      <c r="B469" s="33"/>
      <c r="C469" s="25"/>
      <c r="D469" s="26"/>
      <c r="E469" s="4"/>
      <c r="F469" s="25"/>
      <c r="G469" s="26"/>
      <c r="H469" s="55"/>
      <c r="N469" s="95" t="str">
        <f t="shared" si="35"/>
        <v/>
      </c>
      <c r="O469" s="95" t="str">
        <f t="shared" si="34"/>
        <v/>
      </c>
    </row>
    <row r="470" spans="1:15" x14ac:dyDescent="0.25">
      <c r="A470" s="98"/>
      <c r="B470" s="33"/>
      <c r="C470" s="25"/>
      <c r="D470" s="26"/>
      <c r="E470" s="4"/>
      <c r="F470" s="25"/>
      <c r="G470" s="26"/>
      <c r="H470" s="55"/>
      <c r="N470" s="95" t="str">
        <f t="shared" si="35"/>
        <v/>
      </c>
      <c r="O470" s="95" t="str">
        <f t="shared" si="34"/>
        <v/>
      </c>
    </row>
    <row r="471" spans="1:15" x14ac:dyDescent="0.25">
      <c r="A471" s="98"/>
      <c r="B471" s="33"/>
      <c r="C471" s="25"/>
      <c r="D471" s="26"/>
      <c r="E471" s="4"/>
      <c r="F471" s="25"/>
      <c r="G471" s="26"/>
      <c r="H471" s="55"/>
      <c r="N471" s="95" t="str">
        <f t="shared" si="35"/>
        <v/>
      </c>
      <c r="O471" s="95" t="str">
        <f t="shared" si="34"/>
        <v/>
      </c>
    </row>
    <row r="472" spans="1:15" x14ac:dyDescent="0.25">
      <c r="A472" s="98"/>
      <c r="B472" s="33"/>
      <c r="C472" s="25"/>
      <c r="D472" s="26"/>
      <c r="E472" s="4"/>
      <c r="F472" s="25"/>
      <c r="G472" s="26"/>
      <c r="H472" s="55"/>
      <c r="N472" s="95" t="str">
        <f t="shared" si="35"/>
        <v/>
      </c>
      <c r="O472" s="95" t="str">
        <f t="shared" si="34"/>
        <v/>
      </c>
    </row>
    <row r="473" spans="1:15" x14ac:dyDescent="0.25">
      <c r="A473" s="98"/>
      <c r="B473" s="33"/>
      <c r="C473" s="25"/>
      <c r="D473" s="26"/>
      <c r="E473" s="4"/>
      <c r="F473" s="25"/>
      <c r="G473" s="26"/>
      <c r="H473" s="55"/>
      <c r="N473" s="95" t="str">
        <f t="shared" si="35"/>
        <v/>
      </c>
      <c r="O473" s="95" t="str">
        <f t="shared" si="34"/>
        <v/>
      </c>
    </row>
    <row r="474" spans="1:15" x14ac:dyDescent="0.25">
      <c r="A474" s="98"/>
      <c r="B474" s="33"/>
      <c r="C474" s="25"/>
      <c r="D474" s="26"/>
      <c r="E474" s="4"/>
      <c r="F474" s="25"/>
      <c r="G474" s="26"/>
      <c r="H474" s="55"/>
      <c r="N474" s="95" t="str">
        <f t="shared" si="35"/>
        <v/>
      </c>
      <c r="O474" s="95" t="str">
        <f t="shared" si="34"/>
        <v/>
      </c>
    </row>
    <row r="475" spans="1:15" x14ac:dyDescent="0.25">
      <c r="A475" s="98"/>
      <c r="B475" s="33"/>
      <c r="C475" s="25"/>
      <c r="D475" s="26"/>
      <c r="E475" s="4"/>
      <c r="F475" s="25"/>
      <c r="G475" s="26"/>
      <c r="H475" s="55"/>
      <c r="N475" s="95" t="str">
        <f t="shared" si="35"/>
        <v/>
      </c>
      <c r="O475" s="95" t="str">
        <f t="shared" si="34"/>
        <v/>
      </c>
    </row>
    <row r="476" spans="1:15" x14ac:dyDescent="0.25">
      <c r="A476" s="98"/>
      <c r="B476" s="33"/>
      <c r="C476" s="25"/>
      <c r="D476" s="26"/>
      <c r="E476" s="4"/>
      <c r="F476" s="25"/>
      <c r="G476" s="26"/>
      <c r="H476" s="55"/>
      <c r="N476" s="95" t="str">
        <f t="shared" si="35"/>
        <v/>
      </c>
      <c r="O476" s="95" t="str">
        <f t="shared" si="34"/>
        <v/>
      </c>
    </row>
    <row r="477" spans="1:15" x14ac:dyDescent="0.25">
      <c r="A477" s="98"/>
      <c r="B477" s="33"/>
      <c r="C477" s="25"/>
      <c r="D477" s="26"/>
      <c r="E477" s="4"/>
      <c r="F477" s="25"/>
      <c r="G477" s="26"/>
      <c r="H477" s="55"/>
      <c r="N477" s="95" t="str">
        <f t="shared" si="35"/>
        <v/>
      </c>
      <c r="O477" s="95" t="str">
        <f t="shared" si="34"/>
        <v/>
      </c>
    </row>
    <row r="478" spans="1:15" x14ac:dyDescent="0.25">
      <c r="A478" s="98"/>
      <c r="B478" s="33"/>
      <c r="C478" s="25"/>
      <c r="D478" s="26"/>
      <c r="E478" s="4"/>
      <c r="F478" s="25"/>
      <c r="G478" s="26"/>
      <c r="H478" s="55"/>
      <c r="N478" s="95" t="str">
        <f t="shared" si="35"/>
        <v/>
      </c>
      <c r="O478" s="95" t="str">
        <f t="shared" si="34"/>
        <v/>
      </c>
    </row>
    <row r="479" spans="1:15" x14ac:dyDescent="0.25">
      <c r="A479" s="98"/>
      <c r="B479" s="33"/>
      <c r="C479" s="25"/>
      <c r="D479" s="26"/>
      <c r="E479" s="4"/>
      <c r="F479" s="25"/>
      <c r="G479" s="26"/>
      <c r="H479" s="55"/>
      <c r="N479" s="95" t="str">
        <f t="shared" si="35"/>
        <v/>
      </c>
      <c r="O479" s="95" t="str">
        <f t="shared" si="34"/>
        <v/>
      </c>
    </row>
    <row r="480" spans="1:15" x14ac:dyDescent="0.25">
      <c r="A480" s="98"/>
      <c r="B480" s="33"/>
      <c r="C480" s="25"/>
      <c r="D480" s="26"/>
      <c r="E480" s="4"/>
      <c r="F480" s="25"/>
      <c r="G480" s="26"/>
      <c r="H480" s="55"/>
      <c r="N480" s="95" t="str">
        <f t="shared" si="35"/>
        <v/>
      </c>
      <c r="O480" s="95" t="str">
        <f t="shared" si="34"/>
        <v/>
      </c>
    </row>
    <row r="481" spans="1:15" x14ac:dyDescent="0.25">
      <c r="A481" s="98"/>
      <c r="B481" s="33"/>
      <c r="C481" s="25"/>
      <c r="D481" s="26"/>
      <c r="E481" s="4"/>
      <c r="F481" s="25"/>
      <c r="G481" s="26"/>
      <c r="H481" s="55"/>
      <c r="N481" s="95" t="str">
        <f t="shared" si="35"/>
        <v/>
      </c>
      <c r="O481" s="95" t="str">
        <f t="shared" si="34"/>
        <v/>
      </c>
    </row>
    <row r="482" spans="1:15" x14ac:dyDescent="0.25">
      <c r="A482" s="98"/>
      <c r="B482" s="33"/>
      <c r="C482" s="25"/>
      <c r="D482" s="26"/>
      <c r="E482" s="4"/>
      <c r="F482" s="25"/>
      <c r="G482" s="26"/>
      <c r="H482" s="55"/>
      <c r="N482" s="95" t="str">
        <f t="shared" si="35"/>
        <v/>
      </c>
      <c r="O482" s="95" t="str">
        <f t="shared" si="34"/>
        <v/>
      </c>
    </row>
    <row r="483" spans="1:15" x14ac:dyDescent="0.25">
      <c r="A483" s="98"/>
      <c r="B483" s="33"/>
      <c r="C483" s="25"/>
      <c r="D483" s="26"/>
      <c r="E483" s="4"/>
      <c r="F483" s="25"/>
      <c r="G483" s="26"/>
      <c r="H483" s="55"/>
      <c r="N483" s="95" t="str">
        <f t="shared" si="35"/>
        <v/>
      </c>
      <c r="O483" s="95" t="str">
        <f t="shared" si="34"/>
        <v/>
      </c>
    </row>
    <row r="484" spans="1:15" x14ac:dyDescent="0.25">
      <c r="A484" s="98"/>
      <c r="B484" s="33"/>
      <c r="C484" s="25"/>
      <c r="D484" s="26"/>
      <c r="E484" s="4"/>
      <c r="F484" s="25"/>
      <c r="G484" s="26"/>
      <c r="H484" s="55"/>
      <c r="N484" s="95" t="str">
        <f t="shared" si="35"/>
        <v/>
      </c>
      <c r="O484" s="95" t="str">
        <f t="shared" si="34"/>
        <v/>
      </c>
    </row>
    <row r="485" spans="1:15" x14ac:dyDescent="0.25">
      <c r="A485" s="98"/>
      <c r="B485" s="33"/>
      <c r="C485" s="25"/>
      <c r="D485" s="26"/>
      <c r="E485" s="4"/>
      <c r="F485" s="25"/>
      <c r="G485" s="26"/>
      <c r="H485" s="55"/>
      <c r="N485" s="95" t="str">
        <f t="shared" si="35"/>
        <v/>
      </c>
      <c r="O485" s="95" t="str">
        <f t="shared" si="34"/>
        <v/>
      </c>
    </row>
    <row r="486" spans="1:15" x14ac:dyDescent="0.25">
      <c r="A486" s="98"/>
      <c r="B486" s="33"/>
      <c r="C486" s="25"/>
      <c r="D486" s="26"/>
      <c r="E486" s="4"/>
      <c r="F486" s="25"/>
      <c r="G486" s="26"/>
      <c r="H486" s="55"/>
      <c r="N486" s="95" t="str">
        <f t="shared" si="35"/>
        <v/>
      </c>
      <c r="O486" s="95" t="str">
        <f t="shared" si="34"/>
        <v/>
      </c>
    </row>
    <row r="487" spans="1:15" x14ac:dyDescent="0.25">
      <c r="A487" s="98"/>
      <c r="B487" s="33"/>
      <c r="C487" s="25"/>
      <c r="D487" s="26"/>
      <c r="E487" s="4"/>
      <c r="F487" s="25"/>
      <c r="G487" s="26"/>
      <c r="H487" s="55"/>
      <c r="N487" s="95" t="str">
        <f t="shared" si="35"/>
        <v/>
      </c>
      <c r="O487" s="95" t="str">
        <f t="shared" si="34"/>
        <v/>
      </c>
    </row>
    <row r="488" spans="1:15" x14ac:dyDescent="0.25">
      <c r="A488" s="98"/>
      <c r="B488" s="33"/>
      <c r="C488" s="25"/>
      <c r="D488" s="26"/>
      <c r="E488" s="4"/>
      <c r="F488" s="25"/>
      <c r="G488" s="26"/>
      <c r="H488" s="55"/>
      <c r="N488" s="95" t="str">
        <f t="shared" si="35"/>
        <v/>
      </c>
      <c r="O488" s="95" t="str">
        <f t="shared" si="34"/>
        <v/>
      </c>
    </row>
    <row r="489" spans="1:15" x14ac:dyDescent="0.25">
      <c r="A489" s="98"/>
      <c r="B489" s="33"/>
      <c r="C489" s="25"/>
      <c r="D489" s="26"/>
      <c r="E489" s="4"/>
      <c r="F489" s="25"/>
      <c r="G489" s="26"/>
      <c r="H489" s="55"/>
      <c r="N489" s="95" t="str">
        <f t="shared" si="35"/>
        <v/>
      </c>
      <c r="O489" s="95" t="str">
        <f t="shared" si="34"/>
        <v/>
      </c>
    </row>
    <row r="490" spans="1:15" x14ac:dyDescent="0.25">
      <c r="A490" s="98"/>
      <c r="B490" s="33"/>
      <c r="C490" s="25"/>
      <c r="D490" s="26"/>
      <c r="E490" s="4"/>
      <c r="F490" s="25"/>
      <c r="G490" s="26"/>
      <c r="H490" s="55"/>
      <c r="N490" s="95" t="str">
        <f t="shared" si="35"/>
        <v/>
      </c>
      <c r="O490" s="95" t="str">
        <f t="shared" si="34"/>
        <v/>
      </c>
    </row>
    <row r="491" spans="1:15" x14ac:dyDescent="0.25">
      <c r="A491" s="98"/>
      <c r="B491" s="33"/>
      <c r="C491" s="25"/>
      <c r="D491" s="26"/>
      <c r="E491" s="4"/>
      <c r="F491" s="25"/>
      <c r="G491" s="26"/>
      <c r="H491" s="55"/>
      <c r="N491" s="95" t="str">
        <f t="shared" si="35"/>
        <v/>
      </c>
      <c r="O491" s="95" t="str">
        <f t="shared" si="34"/>
        <v/>
      </c>
    </row>
    <row r="492" spans="1:15" x14ac:dyDescent="0.25">
      <c r="A492" s="98"/>
      <c r="B492" s="33"/>
      <c r="C492" s="25"/>
      <c r="D492" s="26"/>
      <c r="E492" s="4"/>
      <c r="F492" s="25"/>
      <c r="G492" s="26"/>
      <c r="H492" s="55"/>
      <c r="N492" s="95" t="str">
        <f t="shared" si="35"/>
        <v/>
      </c>
      <c r="O492" s="95" t="str">
        <f t="shared" si="34"/>
        <v/>
      </c>
    </row>
    <row r="493" spans="1:15" x14ac:dyDescent="0.25">
      <c r="A493" s="98"/>
      <c r="B493" s="33"/>
      <c r="C493" s="25"/>
      <c r="D493" s="26"/>
      <c r="E493" s="4"/>
      <c r="F493" s="25"/>
      <c r="G493" s="26"/>
      <c r="H493" s="55"/>
      <c r="N493" s="95" t="str">
        <f t="shared" si="35"/>
        <v/>
      </c>
      <c r="O493" s="95" t="str">
        <f t="shared" si="34"/>
        <v/>
      </c>
    </row>
    <row r="494" spans="1:15" x14ac:dyDescent="0.25">
      <c r="A494" s="98"/>
      <c r="B494" s="33"/>
      <c r="C494" s="25"/>
      <c r="D494" s="26"/>
      <c r="E494" s="4"/>
      <c r="F494" s="25"/>
      <c r="G494" s="26"/>
      <c r="H494" s="55"/>
      <c r="N494" s="95" t="str">
        <f t="shared" si="35"/>
        <v/>
      </c>
      <c r="O494" s="95" t="str">
        <f t="shared" si="34"/>
        <v/>
      </c>
    </row>
    <row r="495" spans="1:15" x14ac:dyDescent="0.25">
      <c r="A495" s="98"/>
      <c r="B495" s="33"/>
      <c r="C495" s="25"/>
      <c r="D495" s="26"/>
      <c r="E495" s="4"/>
      <c r="F495" s="25"/>
      <c r="G495" s="26"/>
      <c r="H495" s="55"/>
      <c r="N495" s="95" t="str">
        <f t="shared" si="35"/>
        <v/>
      </c>
      <c r="O495" s="95" t="str">
        <f t="shared" si="34"/>
        <v/>
      </c>
    </row>
    <row r="496" spans="1:15" x14ac:dyDescent="0.25">
      <c r="A496" s="98"/>
      <c r="B496" s="33"/>
      <c r="C496" s="25"/>
      <c r="D496" s="26"/>
      <c r="E496" s="4"/>
      <c r="F496" s="25"/>
      <c r="G496" s="26"/>
      <c r="H496" s="55"/>
      <c r="N496" s="95" t="str">
        <f t="shared" si="35"/>
        <v/>
      </c>
      <c r="O496" s="95" t="str">
        <f t="shared" si="34"/>
        <v/>
      </c>
    </row>
    <row r="497" spans="1:15" x14ac:dyDescent="0.25">
      <c r="A497" s="98"/>
      <c r="B497" s="33"/>
      <c r="C497" s="25"/>
      <c r="D497" s="26"/>
      <c r="E497" s="4"/>
      <c r="F497" s="25"/>
      <c r="G497" s="26"/>
      <c r="H497" s="55"/>
      <c r="N497" s="95" t="str">
        <f t="shared" si="35"/>
        <v/>
      </c>
      <c r="O497" s="95" t="str">
        <f t="shared" si="34"/>
        <v/>
      </c>
    </row>
    <row r="498" spans="1:15" x14ac:dyDescent="0.25">
      <c r="A498" s="98"/>
      <c r="B498" s="33"/>
      <c r="C498" s="25"/>
      <c r="D498" s="26"/>
      <c r="E498" s="4"/>
      <c r="F498" s="25"/>
      <c r="G498" s="26"/>
      <c r="H498" s="55"/>
      <c r="N498" s="95" t="str">
        <f t="shared" si="35"/>
        <v/>
      </c>
      <c r="O498" s="95" t="str">
        <f t="shared" si="34"/>
        <v/>
      </c>
    </row>
    <row r="499" spans="1:15" x14ac:dyDescent="0.25">
      <c r="A499" s="98"/>
      <c r="B499" s="33"/>
      <c r="C499" s="25"/>
      <c r="D499" s="26"/>
      <c r="E499" s="4"/>
      <c r="F499" s="25"/>
      <c r="G499" s="26"/>
      <c r="H499" s="55"/>
      <c r="N499" s="95" t="str">
        <f t="shared" si="35"/>
        <v/>
      </c>
      <c r="O499" s="95" t="str">
        <f t="shared" si="34"/>
        <v/>
      </c>
    </row>
    <row r="500" spans="1:15" x14ac:dyDescent="0.25">
      <c r="A500" s="98"/>
      <c r="B500" s="33"/>
      <c r="C500" s="25"/>
      <c r="D500" s="26"/>
      <c r="E500" s="4"/>
      <c r="F500" s="25"/>
      <c r="G500" s="26"/>
      <c r="H500" s="55"/>
      <c r="N500" s="95" t="str">
        <f t="shared" si="35"/>
        <v/>
      </c>
      <c r="O500" s="95" t="str">
        <f t="shared" si="34"/>
        <v/>
      </c>
    </row>
    <row r="501" spans="1:15" x14ac:dyDescent="0.25">
      <c r="A501" s="98"/>
      <c r="B501" s="33"/>
      <c r="C501" s="25"/>
      <c r="D501" s="26"/>
      <c r="E501" s="4"/>
      <c r="F501" s="25"/>
      <c r="G501" s="26"/>
      <c r="H501" s="55"/>
      <c r="N501" s="95" t="str">
        <f t="shared" si="35"/>
        <v/>
      </c>
      <c r="O501" s="95" t="str">
        <f t="shared" si="34"/>
        <v/>
      </c>
    </row>
    <row r="502" spans="1:15" x14ac:dyDescent="0.25">
      <c r="A502" s="98"/>
      <c r="B502" s="33"/>
      <c r="C502" s="25"/>
      <c r="D502" s="26"/>
      <c r="E502" s="4"/>
      <c r="F502" s="25"/>
      <c r="G502" s="26"/>
      <c r="H502" s="55"/>
      <c r="N502" s="95" t="str">
        <f t="shared" si="35"/>
        <v/>
      </c>
      <c r="O502" s="95" t="str">
        <f t="shared" si="34"/>
        <v/>
      </c>
    </row>
    <row r="503" spans="1:15" x14ac:dyDescent="0.25">
      <c r="A503" s="98"/>
      <c r="B503" s="33"/>
      <c r="C503" s="25"/>
      <c r="D503" s="26"/>
      <c r="E503" s="4"/>
      <c r="F503" s="25"/>
      <c r="G503" s="26"/>
      <c r="H503" s="55"/>
      <c r="N503" s="95" t="str">
        <f t="shared" si="35"/>
        <v/>
      </c>
      <c r="O503" s="95" t="str">
        <f t="shared" si="34"/>
        <v/>
      </c>
    </row>
    <row r="504" spans="1:15" x14ac:dyDescent="0.25">
      <c r="A504" s="98"/>
      <c r="B504" s="33"/>
      <c r="C504" s="25"/>
      <c r="D504" s="26"/>
      <c r="E504" s="4"/>
      <c r="F504" s="25"/>
      <c r="G504" s="26"/>
      <c r="H504" s="55"/>
      <c r="N504" s="95" t="str">
        <f t="shared" si="35"/>
        <v/>
      </c>
      <c r="O504" s="95" t="str">
        <f t="shared" si="34"/>
        <v/>
      </c>
    </row>
    <row r="505" spans="1:15" x14ac:dyDescent="0.25">
      <c r="A505" s="98"/>
      <c r="B505" s="33"/>
      <c r="C505" s="25"/>
      <c r="D505" s="26"/>
      <c r="E505" s="4"/>
      <c r="F505" s="25"/>
      <c r="G505" s="26"/>
      <c r="H505" s="55"/>
      <c r="N505" s="95" t="str">
        <f t="shared" si="35"/>
        <v/>
      </c>
      <c r="O505" s="95" t="str">
        <f t="shared" si="34"/>
        <v/>
      </c>
    </row>
    <row r="506" spans="1:15" x14ac:dyDescent="0.25">
      <c r="A506" s="98"/>
      <c r="B506" s="33"/>
      <c r="C506" s="25"/>
      <c r="D506" s="26"/>
      <c r="E506" s="4"/>
      <c r="F506" s="25"/>
      <c r="G506" s="26"/>
      <c r="H506" s="55"/>
      <c r="N506" s="95" t="str">
        <f t="shared" si="35"/>
        <v/>
      </c>
      <c r="O506" s="95" t="str">
        <f t="shared" si="34"/>
        <v/>
      </c>
    </row>
    <row r="507" spans="1:15" x14ac:dyDescent="0.25">
      <c r="A507" s="98"/>
      <c r="B507" s="33"/>
      <c r="C507" s="25"/>
      <c r="D507" s="26"/>
      <c r="E507" s="4"/>
      <c r="F507" s="25"/>
      <c r="G507" s="26"/>
      <c r="H507" s="55"/>
      <c r="N507" s="95" t="str">
        <f t="shared" si="35"/>
        <v/>
      </c>
      <c r="O507" s="95" t="str">
        <f t="shared" si="34"/>
        <v/>
      </c>
    </row>
    <row r="508" spans="1:15" x14ac:dyDescent="0.25">
      <c r="A508" s="98"/>
      <c r="B508" s="33"/>
      <c r="C508" s="25"/>
      <c r="D508" s="26"/>
      <c r="E508" s="4"/>
      <c r="F508" s="25"/>
      <c r="G508" s="26"/>
      <c r="H508" s="55"/>
      <c r="N508" s="95" t="str">
        <f t="shared" si="35"/>
        <v/>
      </c>
      <c r="O508" s="95" t="str">
        <f t="shared" si="34"/>
        <v/>
      </c>
    </row>
    <row r="509" spans="1:15" x14ac:dyDescent="0.25">
      <c r="A509" s="98"/>
      <c r="B509" s="33"/>
      <c r="C509" s="25"/>
      <c r="D509" s="26"/>
      <c r="E509" s="4"/>
      <c r="F509" s="25"/>
      <c r="G509" s="26"/>
      <c r="H509" s="55"/>
      <c r="N509" s="95" t="str">
        <f t="shared" si="35"/>
        <v/>
      </c>
      <c r="O509" s="95" t="str">
        <f t="shared" si="34"/>
        <v/>
      </c>
    </row>
    <row r="510" spans="1:15" x14ac:dyDescent="0.25">
      <c r="A510" s="98"/>
      <c r="B510" s="33"/>
      <c r="C510" s="25"/>
      <c r="D510" s="26"/>
      <c r="E510" s="4"/>
      <c r="F510" s="25"/>
      <c r="G510" s="26"/>
      <c r="H510" s="55"/>
      <c r="N510" s="95" t="str">
        <f t="shared" si="35"/>
        <v/>
      </c>
      <c r="O510" s="95" t="str">
        <f t="shared" si="34"/>
        <v/>
      </c>
    </row>
    <row r="511" spans="1:15" x14ac:dyDescent="0.25">
      <c r="A511" s="98"/>
      <c r="B511" s="33"/>
      <c r="C511" s="25"/>
      <c r="D511" s="26"/>
      <c r="E511" s="4"/>
      <c r="F511" s="25"/>
      <c r="G511" s="26"/>
      <c r="H511" s="55"/>
      <c r="N511" s="95" t="str">
        <f t="shared" si="35"/>
        <v/>
      </c>
      <c r="O511" s="95" t="str">
        <f t="shared" si="34"/>
        <v/>
      </c>
    </row>
    <row r="512" spans="1:15" x14ac:dyDescent="0.25">
      <c r="A512" s="98"/>
      <c r="B512" s="33"/>
      <c r="C512" s="25"/>
      <c r="D512" s="26"/>
      <c r="E512" s="4"/>
      <c r="F512" s="25"/>
      <c r="G512" s="26"/>
      <c r="H512" s="55"/>
      <c r="N512" s="95" t="str">
        <f t="shared" si="35"/>
        <v/>
      </c>
      <c r="O512" s="95" t="str">
        <f t="shared" si="34"/>
        <v/>
      </c>
    </row>
    <row r="513" spans="1:15" x14ac:dyDescent="0.25">
      <c r="A513" s="98"/>
      <c r="B513" s="33"/>
      <c r="C513" s="25"/>
      <c r="D513" s="26"/>
      <c r="E513" s="4"/>
      <c r="F513" s="25"/>
      <c r="G513" s="26"/>
      <c r="H513" s="55"/>
      <c r="N513" s="95" t="str">
        <f t="shared" si="35"/>
        <v/>
      </c>
      <c r="O513" s="95" t="str">
        <f t="shared" si="34"/>
        <v/>
      </c>
    </row>
    <row r="514" spans="1:15" x14ac:dyDescent="0.25">
      <c r="A514" s="98"/>
      <c r="B514" s="33"/>
      <c r="C514" s="25"/>
      <c r="D514" s="26"/>
      <c r="E514" s="4"/>
      <c r="F514" s="25"/>
      <c r="G514" s="26"/>
      <c r="H514" s="55"/>
      <c r="N514" s="95" t="str">
        <f t="shared" si="35"/>
        <v/>
      </c>
      <c r="O514" s="95" t="str">
        <f t="shared" si="34"/>
        <v/>
      </c>
    </row>
    <row r="515" spans="1:15" x14ac:dyDescent="0.25">
      <c r="A515" s="98"/>
      <c r="B515" s="33"/>
      <c r="C515" s="25"/>
      <c r="D515" s="26"/>
      <c r="E515" s="4"/>
      <c r="F515" s="25"/>
      <c r="G515" s="26"/>
      <c r="H515" s="55"/>
      <c r="N515" s="95" t="str">
        <f t="shared" si="35"/>
        <v/>
      </c>
      <c r="O515" s="95" t="str">
        <f t="shared" si="34"/>
        <v/>
      </c>
    </row>
    <row r="516" spans="1:15" x14ac:dyDescent="0.25">
      <c r="A516" s="98"/>
      <c r="B516" s="33"/>
      <c r="C516" s="25"/>
      <c r="D516" s="26"/>
      <c r="E516" s="4"/>
      <c r="F516" s="25"/>
      <c r="G516" s="26"/>
      <c r="H516" s="55"/>
      <c r="N516" s="95" t="str">
        <f t="shared" si="35"/>
        <v/>
      </c>
      <c r="O516" s="95" t="str">
        <f t="shared" ref="O516:O579" si="36">IF(N516&gt;$A$14,N516,"")</f>
        <v/>
      </c>
    </row>
    <row r="517" spans="1:15" x14ac:dyDescent="0.25">
      <c r="A517" s="98"/>
      <c r="B517" s="33"/>
      <c r="C517" s="25"/>
      <c r="D517" s="26"/>
      <c r="E517" s="4"/>
      <c r="F517" s="25"/>
      <c r="G517" s="26"/>
      <c r="H517" s="55"/>
      <c r="N517" s="95" t="str">
        <f t="shared" si="35"/>
        <v/>
      </c>
      <c r="O517" s="95" t="str">
        <f t="shared" si="36"/>
        <v/>
      </c>
    </row>
    <row r="518" spans="1:15" x14ac:dyDescent="0.25">
      <c r="A518" s="98"/>
      <c r="B518" s="33"/>
      <c r="C518" s="25"/>
      <c r="D518" s="26"/>
      <c r="E518" s="4"/>
      <c r="F518" s="25"/>
      <c r="G518" s="26"/>
      <c r="H518" s="55"/>
      <c r="N518" s="95" t="str">
        <f t="shared" si="35"/>
        <v/>
      </c>
      <c r="O518" s="95" t="str">
        <f t="shared" si="36"/>
        <v/>
      </c>
    </row>
    <row r="519" spans="1:15" x14ac:dyDescent="0.25">
      <c r="A519" s="98"/>
      <c r="B519" s="33"/>
      <c r="C519" s="25"/>
      <c r="D519" s="26"/>
      <c r="E519" s="4"/>
      <c r="F519" s="25"/>
      <c r="G519" s="26"/>
      <c r="H519" s="55"/>
      <c r="N519" s="95" t="str">
        <f t="shared" si="35"/>
        <v/>
      </c>
      <c r="O519" s="95" t="str">
        <f t="shared" si="36"/>
        <v/>
      </c>
    </row>
    <row r="520" spans="1:15" x14ac:dyDescent="0.25">
      <c r="A520" s="98"/>
      <c r="B520" s="33"/>
      <c r="C520" s="25"/>
      <c r="D520" s="26"/>
      <c r="E520" s="4"/>
      <c r="F520" s="25"/>
      <c r="G520" s="26"/>
      <c r="H520" s="55"/>
      <c r="N520" s="95" t="str">
        <f t="shared" si="35"/>
        <v/>
      </c>
      <c r="O520" s="95" t="str">
        <f t="shared" si="36"/>
        <v/>
      </c>
    </row>
    <row r="521" spans="1:15" x14ac:dyDescent="0.25">
      <c r="A521" s="98"/>
      <c r="B521" s="33"/>
      <c r="C521" s="25"/>
      <c r="D521" s="26"/>
      <c r="E521" s="4"/>
      <c r="F521" s="25"/>
      <c r="G521" s="26"/>
      <c r="H521" s="55"/>
      <c r="N521" s="95" t="str">
        <f t="shared" si="35"/>
        <v/>
      </c>
      <c r="O521" s="95" t="str">
        <f t="shared" si="36"/>
        <v/>
      </c>
    </row>
    <row r="522" spans="1:15" x14ac:dyDescent="0.25">
      <c r="A522" s="98"/>
      <c r="B522" s="33"/>
      <c r="C522" s="25"/>
      <c r="D522" s="26"/>
      <c r="E522" s="4"/>
      <c r="F522" s="25"/>
      <c r="G522" s="26"/>
      <c r="H522" s="55"/>
      <c r="N522" s="95" t="str">
        <f t="shared" si="35"/>
        <v/>
      </c>
      <c r="O522" s="95" t="str">
        <f t="shared" si="36"/>
        <v/>
      </c>
    </row>
    <row r="523" spans="1:15" x14ac:dyDescent="0.25">
      <c r="A523" s="98"/>
      <c r="B523" s="33"/>
      <c r="C523" s="25"/>
      <c r="D523" s="26"/>
      <c r="E523" s="4"/>
      <c r="F523" s="25"/>
      <c r="G523" s="26"/>
      <c r="H523" s="55"/>
      <c r="N523" s="95" t="str">
        <f t="shared" si="35"/>
        <v/>
      </c>
      <c r="O523" s="95" t="str">
        <f t="shared" si="36"/>
        <v/>
      </c>
    </row>
    <row r="524" spans="1:15" x14ac:dyDescent="0.25">
      <c r="A524" s="98"/>
      <c r="B524" s="33"/>
      <c r="C524" s="25"/>
      <c r="D524" s="26"/>
      <c r="E524" s="4"/>
      <c r="F524" s="25"/>
      <c r="G524" s="26"/>
      <c r="H524" s="55"/>
      <c r="N524" s="95" t="str">
        <f t="shared" si="35"/>
        <v/>
      </c>
      <c r="O524" s="95" t="str">
        <f t="shared" si="36"/>
        <v/>
      </c>
    </row>
    <row r="525" spans="1:15" x14ac:dyDescent="0.25">
      <c r="A525" s="98"/>
      <c r="B525" s="33"/>
      <c r="C525" s="25"/>
      <c r="D525" s="26"/>
      <c r="E525" s="4"/>
      <c r="F525" s="25"/>
      <c r="G525" s="26"/>
      <c r="H525" s="55"/>
      <c r="N525" s="95" t="str">
        <f t="shared" si="35"/>
        <v/>
      </c>
      <c r="O525" s="95" t="str">
        <f t="shared" si="36"/>
        <v/>
      </c>
    </row>
    <row r="526" spans="1:15" x14ac:dyDescent="0.25">
      <c r="A526" s="98"/>
      <c r="B526" s="33"/>
      <c r="C526" s="25"/>
      <c r="D526" s="26"/>
      <c r="E526" s="4"/>
      <c r="F526" s="25"/>
      <c r="G526" s="26"/>
      <c r="H526" s="55"/>
      <c r="N526" s="95" t="str">
        <f t="shared" si="35"/>
        <v/>
      </c>
      <c r="O526" s="95" t="str">
        <f t="shared" si="36"/>
        <v/>
      </c>
    </row>
    <row r="527" spans="1:15" x14ac:dyDescent="0.25">
      <c r="A527" s="98"/>
      <c r="B527" s="33"/>
      <c r="C527" s="25"/>
      <c r="D527" s="26"/>
      <c r="E527" s="4"/>
      <c r="F527" s="25"/>
      <c r="G527" s="26"/>
      <c r="H527" s="55"/>
      <c r="N527" s="95" t="str">
        <f t="shared" si="35"/>
        <v/>
      </c>
      <c r="O527" s="95" t="str">
        <f t="shared" si="36"/>
        <v/>
      </c>
    </row>
    <row r="528" spans="1:15" x14ac:dyDescent="0.25">
      <c r="A528" s="98"/>
      <c r="B528" s="33"/>
      <c r="C528" s="25"/>
      <c r="D528" s="26"/>
      <c r="E528" s="4"/>
      <c r="F528" s="25"/>
      <c r="G528" s="26"/>
      <c r="H528" s="55"/>
      <c r="N528" s="95" t="str">
        <f t="shared" ref="N528:N591" si="37">IF(COUNTIF(L:L,J528),J528,"")</f>
        <v/>
      </c>
      <c r="O528" s="95" t="str">
        <f t="shared" si="36"/>
        <v/>
      </c>
    </row>
    <row r="529" spans="1:15" x14ac:dyDescent="0.25">
      <c r="A529" s="98"/>
      <c r="B529" s="33"/>
      <c r="C529" s="25"/>
      <c r="D529" s="26"/>
      <c r="E529" s="4"/>
      <c r="F529" s="25"/>
      <c r="G529" s="26"/>
      <c r="H529" s="55"/>
      <c r="N529" s="95" t="str">
        <f t="shared" si="37"/>
        <v/>
      </c>
      <c r="O529" s="95" t="str">
        <f t="shared" si="36"/>
        <v/>
      </c>
    </row>
    <row r="530" spans="1:15" x14ac:dyDescent="0.25">
      <c r="A530" s="98"/>
      <c r="B530" s="33"/>
      <c r="C530" s="25"/>
      <c r="D530" s="26"/>
      <c r="E530" s="4"/>
      <c r="F530" s="25"/>
      <c r="G530" s="26"/>
      <c r="H530" s="55"/>
      <c r="N530" s="95" t="str">
        <f t="shared" si="37"/>
        <v/>
      </c>
      <c r="O530" s="95" t="str">
        <f t="shared" si="36"/>
        <v/>
      </c>
    </row>
    <row r="531" spans="1:15" x14ac:dyDescent="0.25">
      <c r="A531" s="98"/>
      <c r="B531" s="33"/>
      <c r="C531" s="25"/>
      <c r="D531" s="26"/>
      <c r="E531" s="4"/>
      <c r="F531" s="25"/>
      <c r="G531" s="26"/>
      <c r="H531" s="55"/>
      <c r="N531" s="95" t="str">
        <f t="shared" si="37"/>
        <v/>
      </c>
      <c r="O531" s="95" t="str">
        <f t="shared" si="36"/>
        <v/>
      </c>
    </row>
    <row r="532" spans="1:15" x14ac:dyDescent="0.25">
      <c r="A532" s="98"/>
      <c r="B532" s="33"/>
      <c r="C532" s="25"/>
      <c r="D532" s="26"/>
      <c r="E532" s="4"/>
      <c r="F532" s="25"/>
      <c r="G532" s="26"/>
      <c r="H532" s="55"/>
      <c r="N532" s="95" t="str">
        <f t="shared" si="37"/>
        <v/>
      </c>
      <c r="O532" s="95" t="str">
        <f t="shared" si="36"/>
        <v/>
      </c>
    </row>
    <row r="533" spans="1:15" x14ac:dyDescent="0.25">
      <c r="A533" s="98"/>
      <c r="B533" s="33"/>
      <c r="C533" s="25"/>
      <c r="D533" s="26"/>
      <c r="E533" s="4"/>
      <c r="F533" s="25"/>
      <c r="G533" s="26"/>
      <c r="H533" s="55"/>
      <c r="N533" s="95" t="str">
        <f t="shared" si="37"/>
        <v/>
      </c>
      <c r="O533" s="95" t="str">
        <f t="shared" si="36"/>
        <v/>
      </c>
    </row>
    <row r="534" spans="1:15" x14ac:dyDescent="0.25">
      <c r="A534" s="98"/>
      <c r="B534" s="33"/>
      <c r="C534" s="25"/>
      <c r="D534" s="26"/>
      <c r="E534" s="4"/>
      <c r="F534" s="25"/>
      <c r="G534" s="26"/>
      <c r="H534" s="55"/>
      <c r="N534" s="95" t="str">
        <f t="shared" si="37"/>
        <v/>
      </c>
      <c r="O534" s="95" t="str">
        <f t="shared" si="36"/>
        <v/>
      </c>
    </row>
    <row r="535" spans="1:15" x14ac:dyDescent="0.25">
      <c r="A535" s="98"/>
      <c r="B535" s="33"/>
      <c r="C535" s="25"/>
      <c r="D535" s="26"/>
      <c r="E535" s="4"/>
      <c r="F535" s="25"/>
      <c r="G535" s="26"/>
      <c r="H535" s="55"/>
      <c r="N535" s="95" t="str">
        <f t="shared" si="37"/>
        <v/>
      </c>
      <c r="O535" s="95" t="str">
        <f t="shared" si="36"/>
        <v/>
      </c>
    </row>
    <row r="536" spans="1:15" x14ac:dyDescent="0.25">
      <c r="A536" s="98"/>
      <c r="B536" s="33"/>
      <c r="C536" s="25"/>
      <c r="D536" s="26"/>
      <c r="E536" s="4"/>
      <c r="F536" s="25"/>
      <c r="G536" s="26"/>
      <c r="H536" s="55"/>
      <c r="N536" s="95" t="str">
        <f t="shared" si="37"/>
        <v/>
      </c>
      <c r="O536" s="95" t="str">
        <f t="shared" si="36"/>
        <v/>
      </c>
    </row>
    <row r="537" spans="1:15" x14ac:dyDescent="0.25">
      <c r="A537" s="98"/>
      <c r="B537" s="33"/>
      <c r="C537" s="25"/>
      <c r="D537" s="26"/>
      <c r="E537" s="4"/>
      <c r="F537" s="25"/>
      <c r="G537" s="26"/>
      <c r="H537" s="55"/>
      <c r="N537" s="95" t="str">
        <f t="shared" si="37"/>
        <v/>
      </c>
      <c r="O537" s="95" t="str">
        <f t="shared" si="36"/>
        <v/>
      </c>
    </row>
    <row r="538" spans="1:15" x14ac:dyDescent="0.25">
      <c r="A538" s="98"/>
      <c r="B538" s="33"/>
      <c r="C538" s="25"/>
      <c r="D538" s="26"/>
      <c r="E538" s="4"/>
      <c r="F538" s="25"/>
      <c r="G538" s="26"/>
      <c r="H538" s="55"/>
      <c r="N538" s="95" t="str">
        <f t="shared" si="37"/>
        <v/>
      </c>
      <c r="O538" s="95" t="str">
        <f t="shared" si="36"/>
        <v/>
      </c>
    </row>
    <row r="539" spans="1:15" x14ac:dyDescent="0.25">
      <c r="A539" s="98"/>
      <c r="B539" s="33"/>
      <c r="C539" s="25"/>
      <c r="D539" s="26"/>
      <c r="E539" s="4"/>
      <c r="F539" s="25"/>
      <c r="G539" s="26"/>
      <c r="H539" s="55"/>
      <c r="N539" s="95" t="str">
        <f t="shared" si="37"/>
        <v/>
      </c>
      <c r="O539" s="95" t="str">
        <f t="shared" si="36"/>
        <v/>
      </c>
    </row>
    <row r="540" spans="1:15" x14ac:dyDescent="0.25">
      <c r="A540" s="98"/>
      <c r="B540" s="33"/>
      <c r="C540" s="25"/>
      <c r="D540" s="26"/>
      <c r="E540" s="4"/>
      <c r="F540" s="25"/>
      <c r="G540" s="26"/>
      <c r="H540" s="55"/>
      <c r="N540" s="95" t="str">
        <f t="shared" si="37"/>
        <v/>
      </c>
      <c r="O540" s="95" t="str">
        <f t="shared" si="36"/>
        <v/>
      </c>
    </row>
    <row r="541" spans="1:15" x14ac:dyDescent="0.25">
      <c r="A541" s="98"/>
      <c r="B541" s="33"/>
      <c r="C541" s="25"/>
      <c r="D541" s="26"/>
      <c r="E541" s="4"/>
      <c r="F541" s="25"/>
      <c r="G541" s="26"/>
      <c r="H541" s="55"/>
      <c r="N541" s="95" t="str">
        <f t="shared" si="37"/>
        <v/>
      </c>
      <c r="O541" s="95" t="str">
        <f t="shared" si="36"/>
        <v/>
      </c>
    </row>
    <row r="542" spans="1:15" x14ac:dyDescent="0.25">
      <c r="A542" s="98"/>
      <c r="B542" s="33"/>
      <c r="C542" s="25"/>
      <c r="D542" s="26"/>
      <c r="E542" s="4"/>
      <c r="F542" s="25"/>
      <c r="G542" s="26"/>
      <c r="H542" s="55"/>
      <c r="N542" s="95" t="str">
        <f t="shared" si="37"/>
        <v/>
      </c>
      <c r="O542" s="95" t="str">
        <f t="shared" si="36"/>
        <v/>
      </c>
    </row>
    <row r="543" spans="1:15" x14ac:dyDescent="0.25">
      <c r="A543" s="98"/>
      <c r="B543" s="33"/>
      <c r="C543" s="25"/>
      <c r="D543" s="26"/>
      <c r="E543" s="4"/>
      <c r="F543" s="25"/>
      <c r="G543" s="26"/>
      <c r="H543" s="55"/>
      <c r="N543" s="95" t="str">
        <f t="shared" si="37"/>
        <v/>
      </c>
      <c r="O543" s="95" t="str">
        <f t="shared" si="36"/>
        <v/>
      </c>
    </row>
    <row r="544" spans="1:15" x14ac:dyDescent="0.25">
      <c r="A544" s="98"/>
      <c r="B544" s="33"/>
      <c r="C544" s="25"/>
      <c r="D544" s="26"/>
      <c r="E544" s="4"/>
      <c r="F544" s="25"/>
      <c r="G544" s="26"/>
      <c r="H544" s="55"/>
      <c r="N544" s="95" t="str">
        <f t="shared" si="37"/>
        <v/>
      </c>
      <c r="O544" s="95" t="str">
        <f t="shared" si="36"/>
        <v/>
      </c>
    </row>
    <row r="545" spans="1:15" x14ac:dyDescent="0.25">
      <c r="A545" s="98"/>
      <c r="B545" s="33"/>
      <c r="C545" s="25"/>
      <c r="D545" s="26"/>
      <c r="E545" s="4"/>
      <c r="F545" s="25"/>
      <c r="G545" s="26"/>
      <c r="H545" s="55"/>
      <c r="N545" s="95" t="str">
        <f t="shared" si="37"/>
        <v/>
      </c>
      <c r="O545" s="95" t="str">
        <f t="shared" si="36"/>
        <v/>
      </c>
    </row>
    <row r="546" spans="1:15" x14ac:dyDescent="0.25">
      <c r="A546" s="98"/>
      <c r="B546" s="33"/>
      <c r="C546" s="25"/>
      <c r="D546" s="26"/>
      <c r="E546" s="4"/>
      <c r="F546" s="25"/>
      <c r="G546" s="26"/>
      <c r="H546" s="55"/>
      <c r="N546" s="95" t="str">
        <f t="shared" si="37"/>
        <v/>
      </c>
      <c r="O546" s="95" t="str">
        <f t="shared" si="36"/>
        <v/>
      </c>
    </row>
    <row r="547" spans="1:15" x14ac:dyDescent="0.25">
      <c r="A547" s="98"/>
      <c r="B547" s="33"/>
      <c r="C547" s="25"/>
      <c r="D547" s="26"/>
      <c r="E547" s="4"/>
      <c r="F547" s="25"/>
      <c r="G547" s="26"/>
      <c r="H547" s="55"/>
      <c r="N547" s="95" t="str">
        <f t="shared" si="37"/>
        <v/>
      </c>
      <c r="O547" s="95" t="str">
        <f t="shared" si="36"/>
        <v/>
      </c>
    </row>
    <row r="548" spans="1:15" x14ac:dyDescent="0.25">
      <c r="A548" s="98"/>
      <c r="B548" s="33"/>
      <c r="C548" s="25"/>
      <c r="D548" s="26"/>
      <c r="E548" s="4"/>
      <c r="F548" s="25"/>
      <c r="G548" s="26"/>
      <c r="H548" s="55"/>
      <c r="N548" s="95" t="str">
        <f t="shared" si="37"/>
        <v/>
      </c>
      <c r="O548" s="95" t="str">
        <f t="shared" si="36"/>
        <v/>
      </c>
    </row>
    <row r="549" spans="1:15" x14ac:dyDescent="0.25">
      <c r="A549" s="98"/>
      <c r="B549" s="33"/>
      <c r="C549" s="25"/>
      <c r="D549" s="26"/>
      <c r="E549" s="4"/>
      <c r="F549" s="25"/>
      <c r="G549" s="26"/>
      <c r="H549" s="55"/>
      <c r="N549" s="95" t="str">
        <f t="shared" si="37"/>
        <v/>
      </c>
      <c r="O549" s="95" t="str">
        <f t="shared" si="36"/>
        <v/>
      </c>
    </row>
    <row r="550" spans="1:15" x14ac:dyDescent="0.25">
      <c r="A550" s="98"/>
      <c r="B550" s="33"/>
      <c r="C550" s="25"/>
      <c r="D550" s="26"/>
      <c r="E550" s="4"/>
      <c r="F550" s="25"/>
      <c r="G550" s="26"/>
      <c r="H550" s="55"/>
      <c r="N550" s="95" t="str">
        <f t="shared" si="37"/>
        <v/>
      </c>
      <c r="O550" s="95" t="str">
        <f t="shared" si="36"/>
        <v/>
      </c>
    </row>
    <row r="551" spans="1:15" x14ac:dyDescent="0.25">
      <c r="A551" s="98"/>
      <c r="B551" s="33"/>
      <c r="C551" s="25"/>
      <c r="D551" s="26"/>
      <c r="E551" s="4"/>
      <c r="F551" s="25"/>
      <c r="G551" s="26"/>
      <c r="H551" s="55"/>
      <c r="N551" s="95" t="str">
        <f t="shared" si="37"/>
        <v/>
      </c>
      <c r="O551" s="95" t="str">
        <f t="shared" si="36"/>
        <v/>
      </c>
    </row>
    <row r="552" spans="1:15" x14ac:dyDescent="0.25">
      <c r="A552" s="98"/>
      <c r="B552" s="33"/>
      <c r="C552" s="25"/>
      <c r="D552" s="26"/>
      <c r="E552" s="4"/>
      <c r="F552" s="25"/>
      <c r="G552" s="26"/>
      <c r="H552" s="55"/>
      <c r="N552" s="95" t="str">
        <f t="shared" si="37"/>
        <v/>
      </c>
      <c r="O552" s="95" t="str">
        <f t="shared" si="36"/>
        <v/>
      </c>
    </row>
    <row r="553" spans="1:15" x14ac:dyDescent="0.25">
      <c r="A553" s="98"/>
      <c r="B553" s="33"/>
      <c r="C553" s="25"/>
      <c r="D553" s="26"/>
      <c r="E553" s="4"/>
      <c r="F553" s="25"/>
      <c r="G553" s="26"/>
      <c r="H553" s="55"/>
      <c r="N553" s="95" t="str">
        <f t="shared" si="37"/>
        <v/>
      </c>
      <c r="O553" s="95" t="str">
        <f t="shared" si="36"/>
        <v/>
      </c>
    </row>
    <row r="554" spans="1:15" x14ac:dyDescent="0.25">
      <c r="A554" s="98"/>
      <c r="B554" s="33"/>
      <c r="C554" s="25"/>
      <c r="D554" s="26"/>
      <c r="E554" s="4"/>
      <c r="F554" s="25"/>
      <c r="G554" s="26"/>
      <c r="H554" s="55"/>
      <c r="N554" s="95" t="str">
        <f t="shared" si="37"/>
        <v/>
      </c>
      <c r="O554" s="95" t="str">
        <f t="shared" si="36"/>
        <v/>
      </c>
    </row>
    <row r="555" spans="1:15" x14ac:dyDescent="0.25">
      <c r="A555" s="98"/>
      <c r="B555" s="33"/>
      <c r="C555" s="25"/>
      <c r="D555" s="26"/>
      <c r="E555" s="4"/>
      <c r="F555" s="25"/>
      <c r="G555" s="26"/>
      <c r="H555" s="55"/>
      <c r="N555" s="95" t="str">
        <f t="shared" si="37"/>
        <v/>
      </c>
      <c r="O555" s="95" t="str">
        <f t="shared" si="36"/>
        <v/>
      </c>
    </row>
    <row r="556" spans="1:15" x14ac:dyDescent="0.25">
      <c r="A556" s="98"/>
      <c r="B556" s="33"/>
      <c r="C556" s="25"/>
      <c r="D556" s="26"/>
      <c r="E556" s="4"/>
      <c r="F556" s="25"/>
      <c r="G556" s="26"/>
      <c r="H556" s="55"/>
      <c r="N556" s="95" t="str">
        <f t="shared" si="37"/>
        <v/>
      </c>
      <c r="O556" s="95" t="str">
        <f t="shared" si="36"/>
        <v/>
      </c>
    </row>
    <row r="557" spans="1:15" x14ac:dyDescent="0.25">
      <c r="A557" s="98"/>
      <c r="B557" s="33"/>
      <c r="C557" s="25"/>
      <c r="D557" s="26"/>
      <c r="E557" s="4"/>
      <c r="F557" s="25"/>
      <c r="G557" s="26"/>
      <c r="H557" s="55"/>
      <c r="N557" s="95" t="str">
        <f t="shared" si="37"/>
        <v/>
      </c>
      <c r="O557" s="95" t="str">
        <f t="shared" si="36"/>
        <v/>
      </c>
    </row>
    <row r="558" spans="1:15" x14ac:dyDescent="0.25">
      <c r="A558" s="98"/>
      <c r="B558" s="33"/>
      <c r="C558" s="25"/>
      <c r="D558" s="26"/>
      <c r="E558" s="4"/>
      <c r="F558" s="25"/>
      <c r="G558" s="26"/>
      <c r="H558" s="55"/>
      <c r="N558" s="95" t="str">
        <f t="shared" si="37"/>
        <v/>
      </c>
      <c r="O558" s="95" t="str">
        <f t="shared" si="36"/>
        <v/>
      </c>
    </row>
    <row r="559" spans="1:15" x14ac:dyDescent="0.25">
      <c r="A559" s="98"/>
      <c r="B559" s="33"/>
      <c r="C559" s="25"/>
      <c r="D559" s="26"/>
      <c r="E559" s="4"/>
      <c r="F559" s="25"/>
      <c r="G559" s="26"/>
      <c r="H559" s="55"/>
      <c r="N559" s="95" t="str">
        <f t="shared" si="37"/>
        <v/>
      </c>
      <c r="O559" s="95" t="str">
        <f t="shared" si="36"/>
        <v/>
      </c>
    </row>
    <row r="560" spans="1:15" x14ac:dyDescent="0.25">
      <c r="A560" s="98"/>
      <c r="B560" s="33"/>
      <c r="C560" s="25"/>
      <c r="D560" s="26"/>
      <c r="E560" s="4"/>
      <c r="F560" s="25"/>
      <c r="G560" s="26"/>
      <c r="H560" s="55"/>
      <c r="N560" s="95" t="str">
        <f t="shared" si="37"/>
        <v/>
      </c>
      <c r="O560" s="95" t="str">
        <f t="shared" si="36"/>
        <v/>
      </c>
    </row>
    <row r="561" spans="1:15" x14ac:dyDescent="0.25">
      <c r="A561" s="98"/>
      <c r="B561" s="33"/>
      <c r="C561" s="25"/>
      <c r="D561" s="26"/>
      <c r="E561" s="4"/>
      <c r="F561" s="25"/>
      <c r="G561" s="26"/>
      <c r="H561" s="55"/>
      <c r="N561" s="95" t="str">
        <f t="shared" si="37"/>
        <v/>
      </c>
      <c r="O561" s="95" t="str">
        <f t="shared" si="36"/>
        <v/>
      </c>
    </row>
    <row r="562" spans="1:15" x14ac:dyDescent="0.25">
      <c r="A562" s="98"/>
      <c r="B562" s="33"/>
      <c r="C562" s="25"/>
      <c r="D562" s="26"/>
      <c r="E562" s="4"/>
      <c r="F562" s="25"/>
      <c r="G562" s="26"/>
      <c r="H562" s="55"/>
      <c r="N562" s="95" t="str">
        <f t="shared" si="37"/>
        <v/>
      </c>
      <c r="O562" s="95" t="str">
        <f t="shared" si="36"/>
        <v/>
      </c>
    </row>
    <row r="563" spans="1:15" x14ac:dyDescent="0.25">
      <c r="A563" s="98"/>
      <c r="B563" s="33"/>
      <c r="C563" s="25"/>
      <c r="D563" s="26"/>
      <c r="E563" s="4"/>
      <c r="F563" s="25"/>
      <c r="G563" s="26"/>
      <c r="H563" s="55"/>
      <c r="N563" s="95" t="str">
        <f t="shared" si="37"/>
        <v/>
      </c>
      <c r="O563" s="95" t="str">
        <f t="shared" si="36"/>
        <v/>
      </c>
    </row>
    <row r="564" spans="1:15" x14ac:dyDescent="0.25">
      <c r="A564" s="98"/>
      <c r="B564" s="33"/>
      <c r="C564" s="25"/>
      <c r="D564" s="26"/>
      <c r="E564" s="4"/>
      <c r="F564" s="25"/>
      <c r="G564" s="26"/>
      <c r="H564" s="55"/>
      <c r="N564" s="95" t="str">
        <f t="shared" si="37"/>
        <v/>
      </c>
      <c r="O564" s="95" t="str">
        <f t="shared" si="36"/>
        <v/>
      </c>
    </row>
    <row r="565" spans="1:15" x14ac:dyDescent="0.25">
      <c r="A565" s="98"/>
      <c r="B565" s="33"/>
      <c r="C565" s="25"/>
      <c r="D565" s="26"/>
      <c r="E565" s="4"/>
      <c r="F565" s="25"/>
      <c r="G565" s="26"/>
      <c r="H565" s="55"/>
      <c r="N565" s="95" t="str">
        <f t="shared" si="37"/>
        <v/>
      </c>
      <c r="O565" s="95" t="str">
        <f t="shared" si="36"/>
        <v/>
      </c>
    </row>
    <row r="566" spans="1:15" x14ac:dyDescent="0.25">
      <c r="A566" s="98"/>
      <c r="B566" s="33"/>
      <c r="C566" s="25"/>
      <c r="D566" s="26"/>
      <c r="E566" s="4"/>
      <c r="F566" s="25"/>
      <c r="G566" s="26"/>
      <c r="H566" s="55"/>
      <c r="N566" s="95" t="str">
        <f t="shared" si="37"/>
        <v/>
      </c>
      <c r="O566" s="95" t="str">
        <f t="shared" si="36"/>
        <v/>
      </c>
    </row>
    <row r="567" spans="1:15" x14ac:dyDescent="0.25">
      <c r="A567" s="98"/>
      <c r="B567" s="33"/>
      <c r="C567" s="25"/>
      <c r="D567" s="26"/>
      <c r="E567" s="4"/>
      <c r="F567" s="25"/>
      <c r="G567" s="26"/>
      <c r="H567" s="55"/>
      <c r="N567" s="95" t="str">
        <f t="shared" si="37"/>
        <v/>
      </c>
      <c r="O567" s="95" t="str">
        <f t="shared" si="36"/>
        <v/>
      </c>
    </row>
    <row r="568" spans="1:15" x14ac:dyDescent="0.25">
      <c r="A568" s="98"/>
      <c r="B568" s="33"/>
      <c r="C568" s="25"/>
      <c r="D568" s="26"/>
      <c r="E568" s="4"/>
      <c r="F568" s="25"/>
      <c r="G568" s="26"/>
      <c r="H568" s="55"/>
      <c r="N568" s="95" t="str">
        <f t="shared" si="37"/>
        <v/>
      </c>
      <c r="O568" s="95" t="str">
        <f t="shared" si="36"/>
        <v/>
      </c>
    </row>
    <row r="569" spans="1:15" x14ac:dyDescent="0.25">
      <c r="A569" s="98"/>
      <c r="B569" s="33"/>
      <c r="C569" s="25"/>
      <c r="D569" s="26"/>
      <c r="E569" s="4"/>
      <c r="F569" s="25"/>
      <c r="G569" s="26"/>
      <c r="H569" s="55"/>
      <c r="N569" s="95" t="str">
        <f t="shared" si="37"/>
        <v/>
      </c>
      <c r="O569" s="95" t="str">
        <f t="shared" si="36"/>
        <v/>
      </c>
    </row>
    <row r="570" spans="1:15" x14ac:dyDescent="0.25">
      <c r="A570" s="98"/>
      <c r="B570" s="33"/>
      <c r="C570" s="25"/>
      <c r="D570" s="26"/>
      <c r="E570" s="4"/>
      <c r="F570" s="25"/>
      <c r="G570" s="26"/>
      <c r="H570" s="55"/>
      <c r="N570" s="95" t="str">
        <f t="shared" si="37"/>
        <v/>
      </c>
      <c r="O570" s="95" t="str">
        <f t="shared" si="36"/>
        <v/>
      </c>
    </row>
    <row r="571" spans="1:15" x14ac:dyDescent="0.25">
      <c r="A571" s="98"/>
      <c r="B571" s="33"/>
      <c r="C571" s="25"/>
      <c r="D571" s="26"/>
      <c r="E571" s="4"/>
      <c r="F571" s="25"/>
      <c r="G571" s="26"/>
      <c r="H571" s="55"/>
      <c r="N571" s="95" t="str">
        <f t="shared" si="37"/>
        <v/>
      </c>
      <c r="O571" s="95" t="str">
        <f t="shared" si="36"/>
        <v/>
      </c>
    </row>
    <row r="572" spans="1:15" x14ac:dyDescent="0.25">
      <c r="A572" s="98"/>
      <c r="B572" s="33"/>
      <c r="C572" s="25"/>
      <c r="D572" s="26"/>
      <c r="E572" s="4"/>
      <c r="F572" s="25"/>
      <c r="G572" s="26"/>
      <c r="H572" s="55"/>
      <c r="N572" s="95" t="str">
        <f t="shared" si="37"/>
        <v/>
      </c>
      <c r="O572" s="95" t="str">
        <f t="shared" si="36"/>
        <v/>
      </c>
    </row>
    <row r="573" spans="1:15" x14ac:dyDescent="0.25">
      <c r="A573" s="98"/>
      <c r="B573" s="33"/>
      <c r="C573" s="25"/>
      <c r="D573" s="26"/>
      <c r="E573" s="4"/>
      <c r="F573" s="25"/>
      <c r="G573" s="26"/>
      <c r="H573" s="55"/>
      <c r="N573" s="95" t="str">
        <f t="shared" si="37"/>
        <v/>
      </c>
      <c r="O573" s="95" t="str">
        <f t="shared" si="36"/>
        <v/>
      </c>
    </row>
    <row r="574" spans="1:15" x14ac:dyDescent="0.25">
      <c r="A574" s="98"/>
      <c r="B574" s="33"/>
      <c r="C574" s="25"/>
      <c r="D574" s="26"/>
      <c r="E574" s="4"/>
      <c r="F574" s="25"/>
      <c r="G574" s="26"/>
      <c r="H574" s="55"/>
      <c r="N574" s="95" t="str">
        <f t="shared" si="37"/>
        <v/>
      </c>
      <c r="O574" s="95" t="str">
        <f t="shared" si="36"/>
        <v/>
      </c>
    </row>
    <row r="575" spans="1:15" x14ac:dyDescent="0.25">
      <c r="A575" s="98"/>
      <c r="B575" s="33"/>
      <c r="C575" s="25"/>
      <c r="D575" s="26"/>
      <c r="E575" s="4"/>
      <c r="F575" s="25"/>
      <c r="G575" s="26"/>
      <c r="H575" s="55"/>
      <c r="N575" s="95" t="str">
        <f t="shared" si="37"/>
        <v/>
      </c>
      <c r="O575" s="95" t="str">
        <f t="shared" si="36"/>
        <v/>
      </c>
    </row>
    <row r="576" spans="1:15" x14ac:dyDescent="0.25">
      <c r="A576" s="98"/>
      <c r="B576" s="33"/>
      <c r="C576" s="25"/>
      <c r="D576" s="26"/>
      <c r="E576" s="4"/>
      <c r="F576" s="25"/>
      <c r="G576" s="26"/>
      <c r="H576" s="55"/>
      <c r="N576" s="95" t="str">
        <f t="shared" si="37"/>
        <v/>
      </c>
      <c r="O576" s="95" t="str">
        <f t="shared" si="36"/>
        <v/>
      </c>
    </row>
    <row r="577" spans="1:15" x14ac:dyDescent="0.25">
      <c r="A577" s="98"/>
      <c r="B577" s="33"/>
      <c r="C577" s="25"/>
      <c r="D577" s="26"/>
      <c r="E577" s="4"/>
      <c r="F577" s="25"/>
      <c r="G577" s="26"/>
      <c r="H577" s="55"/>
      <c r="N577" s="95" t="str">
        <f t="shared" si="37"/>
        <v/>
      </c>
      <c r="O577" s="95" t="str">
        <f t="shared" si="36"/>
        <v/>
      </c>
    </row>
    <row r="578" spans="1:15" x14ac:dyDescent="0.25">
      <c r="A578" s="98"/>
      <c r="B578" s="33"/>
      <c r="C578" s="25"/>
      <c r="D578" s="26"/>
      <c r="E578" s="4"/>
      <c r="F578" s="25"/>
      <c r="G578" s="26"/>
      <c r="H578" s="55"/>
      <c r="N578" s="95" t="str">
        <f t="shared" si="37"/>
        <v/>
      </c>
      <c r="O578" s="95" t="str">
        <f t="shared" si="36"/>
        <v/>
      </c>
    </row>
    <row r="579" spans="1:15" x14ac:dyDescent="0.25">
      <c r="A579" s="98"/>
      <c r="B579" s="33"/>
      <c r="C579" s="25"/>
      <c r="D579" s="26"/>
      <c r="E579" s="4"/>
      <c r="F579" s="25"/>
      <c r="G579" s="26"/>
      <c r="H579" s="55"/>
      <c r="N579" s="95" t="str">
        <f t="shared" si="37"/>
        <v/>
      </c>
      <c r="O579" s="95" t="str">
        <f t="shared" si="36"/>
        <v/>
      </c>
    </row>
    <row r="580" spans="1:15" x14ac:dyDescent="0.25">
      <c r="A580" s="98"/>
      <c r="B580" s="33"/>
      <c r="C580" s="25"/>
      <c r="D580" s="26"/>
      <c r="E580" s="4"/>
      <c r="F580" s="25"/>
      <c r="G580" s="26"/>
      <c r="H580" s="55"/>
      <c r="N580" s="95" t="str">
        <f t="shared" si="37"/>
        <v/>
      </c>
      <c r="O580" s="95" t="str">
        <f t="shared" ref="O580:O643" si="38">IF(N580&gt;$A$14,N580,"")</f>
        <v/>
      </c>
    </row>
    <row r="581" spans="1:15" x14ac:dyDescent="0.25">
      <c r="A581" s="98"/>
      <c r="B581" s="33"/>
      <c r="C581" s="25"/>
      <c r="D581" s="26"/>
      <c r="E581" s="4"/>
      <c r="F581" s="25"/>
      <c r="G581" s="26"/>
      <c r="H581" s="55"/>
      <c r="N581" s="95" t="str">
        <f t="shared" si="37"/>
        <v/>
      </c>
      <c r="O581" s="95" t="str">
        <f t="shared" si="38"/>
        <v/>
      </c>
    </row>
    <row r="582" spans="1:15" x14ac:dyDescent="0.25">
      <c r="A582" s="98"/>
      <c r="B582" s="33"/>
      <c r="C582" s="25"/>
      <c r="D582" s="26"/>
      <c r="E582" s="4"/>
      <c r="F582" s="25"/>
      <c r="G582" s="26"/>
      <c r="H582" s="55"/>
      <c r="N582" s="95" t="str">
        <f t="shared" si="37"/>
        <v/>
      </c>
      <c r="O582" s="95" t="str">
        <f t="shared" si="38"/>
        <v/>
      </c>
    </row>
    <row r="583" spans="1:15" x14ac:dyDescent="0.25">
      <c r="A583" s="98"/>
      <c r="B583" s="33"/>
      <c r="C583" s="25"/>
      <c r="D583" s="26"/>
      <c r="E583" s="4"/>
      <c r="F583" s="25"/>
      <c r="G583" s="26"/>
      <c r="H583" s="55"/>
      <c r="N583" s="95" t="str">
        <f t="shared" si="37"/>
        <v/>
      </c>
      <c r="O583" s="95" t="str">
        <f t="shared" si="38"/>
        <v/>
      </c>
    </row>
    <row r="584" spans="1:15" x14ac:dyDescent="0.25">
      <c r="A584" s="98"/>
      <c r="B584" s="33"/>
      <c r="C584" s="25"/>
      <c r="D584" s="26"/>
      <c r="E584" s="4"/>
      <c r="F584" s="25"/>
      <c r="G584" s="26"/>
      <c r="H584" s="55"/>
      <c r="N584" s="95" t="str">
        <f t="shared" si="37"/>
        <v/>
      </c>
      <c r="O584" s="95" t="str">
        <f t="shared" si="38"/>
        <v/>
      </c>
    </row>
    <row r="585" spans="1:15" x14ac:dyDescent="0.25">
      <c r="A585" s="98"/>
      <c r="B585" s="33"/>
      <c r="C585" s="25"/>
      <c r="D585" s="26"/>
      <c r="E585" s="4"/>
      <c r="F585" s="25"/>
      <c r="G585" s="26"/>
      <c r="H585" s="55"/>
      <c r="N585" s="95" t="str">
        <f t="shared" si="37"/>
        <v/>
      </c>
      <c r="O585" s="95" t="str">
        <f t="shared" si="38"/>
        <v/>
      </c>
    </row>
    <row r="586" spans="1:15" x14ac:dyDescent="0.25">
      <c r="A586" s="98"/>
      <c r="B586" s="33"/>
      <c r="C586" s="25"/>
      <c r="D586" s="26"/>
      <c r="E586" s="4"/>
      <c r="F586" s="25"/>
      <c r="G586" s="26"/>
      <c r="H586" s="55"/>
      <c r="N586" s="95" t="str">
        <f t="shared" si="37"/>
        <v/>
      </c>
      <c r="O586" s="95" t="str">
        <f t="shared" si="38"/>
        <v/>
      </c>
    </row>
    <row r="587" spans="1:15" x14ac:dyDescent="0.25">
      <c r="A587" s="98"/>
      <c r="B587" s="33"/>
      <c r="C587" s="25"/>
      <c r="D587" s="26"/>
      <c r="E587" s="4"/>
      <c r="F587" s="25"/>
      <c r="G587" s="26"/>
      <c r="H587" s="55"/>
      <c r="N587" s="95" t="str">
        <f t="shared" si="37"/>
        <v/>
      </c>
      <c r="O587" s="95" t="str">
        <f t="shared" si="38"/>
        <v/>
      </c>
    </row>
    <row r="588" spans="1:15" x14ac:dyDescent="0.25">
      <c r="A588" s="98"/>
      <c r="B588" s="33"/>
      <c r="C588" s="25"/>
      <c r="D588" s="26"/>
      <c r="E588" s="4"/>
      <c r="F588" s="25"/>
      <c r="G588" s="26"/>
      <c r="H588" s="55"/>
      <c r="N588" s="95" t="str">
        <f t="shared" si="37"/>
        <v/>
      </c>
      <c r="O588" s="95" t="str">
        <f t="shared" si="38"/>
        <v/>
      </c>
    </row>
    <row r="589" spans="1:15" x14ac:dyDescent="0.25">
      <c r="A589" s="98"/>
      <c r="B589" s="33"/>
      <c r="C589" s="25"/>
      <c r="D589" s="26"/>
      <c r="E589" s="4"/>
      <c r="F589" s="25"/>
      <c r="G589" s="26"/>
      <c r="H589" s="55"/>
      <c r="N589" s="95" t="str">
        <f t="shared" si="37"/>
        <v/>
      </c>
      <c r="O589" s="95" t="str">
        <f t="shared" si="38"/>
        <v/>
      </c>
    </row>
    <row r="590" spans="1:15" x14ac:dyDescent="0.25">
      <c r="A590" s="98"/>
      <c r="B590" s="33"/>
      <c r="C590" s="25"/>
      <c r="D590" s="26"/>
      <c r="E590" s="4"/>
      <c r="F590" s="25"/>
      <c r="G590" s="26"/>
      <c r="H590" s="55"/>
      <c r="N590" s="95" t="str">
        <f t="shared" si="37"/>
        <v/>
      </c>
      <c r="O590" s="95" t="str">
        <f t="shared" si="38"/>
        <v/>
      </c>
    </row>
    <row r="591" spans="1:15" x14ac:dyDescent="0.25">
      <c r="A591" s="98"/>
      <c r="B591" s="33"/>
      <c r="C591" s="25"/>
      <c r="D591" s="26"/>
      <c r="E591" s="4"/>
      <c r="F591" s="25"/>
      <c r="G591" s="26"/>
      <c r="H591" s="55"/>
      <c r="N591" s="95" t="str">
        <f t="shared" si="37"/>
        <v/>
      </c>
      <c r="O591" s="95" t="str">
        <f t="shared" si="38"/>
        <v/>
      </c>
    </row>
    <row r="592" spans="1:15" x14ac:dyDescent="0.25">
      <c r="A592" s="98"/>
      <c r="B592" s="33"/>
      <c r="C592" s="25"/>
      <c r="D592" s="26"/>
      <c r="E592" s="4"/>
      <c r="F592" s="25"/>
      <c r="G592" s="26"/>
      <c r="H592" s="55"/>
      <c r="N592" s="95" t="str">
        <f t="shared" ref="N592:N655" si="39">IF(COUNTIF(L:L,J592),J592,"")</f>
        <v/>
      </c>
      <c r="O592" s="95" t="str">
        <f t="shared" si="38"/>
        <v/>
      </c>
    </row>
    <row r="593" spans="1:15" x14ac:dyDescent="0.25">
      <c r="A593" s="98"/>
      <c r="B593" s="33"/>
      <c r="C593" s="25"/>
      <c r="D593" s="26"/>
      <c r="E593" s="4"/>
      <c r="F593" s="25"/>
      <c r="G593" s="26"/>
      <c r="H593" s="55"/>
      <c r="N593" s="95" t="str">
        <f t="shared" si="39"/>
        <v/>
      </c>
      <c r="O593" s="95" t="str">
        <f t="shared" si="38"/>
        <v/>
      </c>
    </row>
    <row r="594" spans="1:15" x14ac:dyDescent="0.25">
      <c r="A594" s="98"/>
      <c r="B594" s="33"/>
      <c r="C594" s="25"/>
      <c r="D594" s="26"/>
      <c r="E594" s="4"/>
      <c r="F594" s="25"/>
      <c r="G594" s="26"/>
      <c r="H594" s="55"/>
      <c r="N594" s="95" t="str">
        <f t="shared" si="39"/>
        <v/>
      </c>
      <c r="O594" s="95" t="str">
        <f t="shared" si="38"/>
        <v/>
      </c>
    </row>
    <row r="595" spans="1:15" x14ac:dyDescent="0.25">
      <c r="A595" s="98"/>
      <c r="B595" s="33"/>
      <c r="C595" s="25"/>
      <c r="D595" s="26"/>
      <c r="E595" s="4"/>
      <c r="F595" s="25"/>
      <c r="G595" s="26"/>
      <c r="H595" s="55"/>
      <c r="N595" s="95" t="str">
        <f t="shared" si="39"/>
        <v/>
      </c>
      <c r="O595" s="95" t="str">
        <f t="shared" si="38"/>
        <v/>
      </c>
    </row>
    <row r="596" spans="1:15" x14ac:dyDescent="0.25">
      <c r="A596" s="98"/>
      <c r="B596" s="33"/>
      <c r="C596" s="25"/>
      <c r="D596" s="26"/>
      <c r="E596" s="4"/>
      <c r="F596" s="25"/>
      <c r="G596" s="26"/>
      <c r="H596" s="55"/>
      <c r="N596" s="95" t="str">
        <f t="shared" si="39"/>
        <v/>
      </c>
      <c r="O596" s="95" t="str">
        <f t="shared" si="38"/>
        <v/>
      </c>
    </row>
    <row r="597" spans="1:15" x14ac:dyDescent="0.25">
      <c r="A597" s="98"/>
      <c r="B597" s="33"/>
      <c r="C597" s="25"/>
      <c r="D597" s="26"/>
      <c r="E597" s="4"/>
      <c r="F597" s="25"/>
      <c r="G597" s="26"/>
      <c r="H597" s="55"/>
      <c r="N597" s="95" t="str">
        <f t="shared" si="39"/>
        <v/>
      </c>
      <c r="O597" s="95" t="str">
        <f t="shared" si="38"/>
        <v/>
      </c>
    </row>
    <row r="598" spans="1:15" x14ac:dyDescent="0.25">
      <c r="A598" s="98"/>
      <c r="B598" s="33"/>
      <c r="C598" s="25"/>
      <c r="D598" s="26"/>
      <c r="E598" s="4"/>
      <c r="F598" s="25"/>
      <c r="G598" s="26"/>
      <c r="H598" s="55"/>
      <c r="N598" s="95" t="str">
        <f t="shared" si="39"/>
        <v/>
      </c>
      <c r="O598" s="95" t="str">
        <f t="shared" si="38"/>
        <v/>
      </c>
    </row>
    <row r="599" spans="1:15" x14ac:dyDescent="0.25">
      <c r="A599" s="98"/>
      <c r="B599" s="33"/>
      <c r="C599" s="25"/>
      <c r="D599" s="26"/>
      <c r="E599" s="4"/>
      <c r="F599" s="25"/>
      <c r="G599" s="26"/>
      <c r="H599" s="55"/>
      <c r="N599" s="95" t="str">
        <f t="shared" si="39"/>
        <v/>
      </c>
      <c r="O599" s="95" t="str">
        <f t="shared" si="38"/>
        <v/>
      </c>
    </row>
    <row r="600" spans="1:15" x14ac:dyDescent="0.25">
      <c r="A600" s="98"/>
      <c r="B600" s="33"/>
      <c r="C600" s="25"/>
      <c r="D600" s="26"/>
      <c r="E600" s="4"/>
      <c r="F600" s="25"/>
      <c r="G600" s="26"/>
      <c r="H600" s="55"/>
      <c r="N600" s="95" t="str">
        <f t="shared" si="39"/>
        <v/>
      </c>
      <c r="O600" s="95" t="str">
        <f t="shared" si="38"/>
        <v/>
      </c>
    </row>
    <row r="601" spans="1:15" x14ac:dyDescent="0.25">
      <c r="A601" s="98"/>
      <c r="B601" s="33"/>
      <c r="C601" s="25"/>
      <c r="D601" s="26"/>
      <c r="E601" s="4"/>
      <c r="F601" s="25"/>
      <c r="G601" s="26"/>
      <c r="H601" s="55"/>
      <c r="N601" s="95" t="str">
        <f t="shared" si="39"/>
        <v/>
      </c>
      <c r="O601" s="95" t="str">
        <f t="shared" si="38"/>
        <v/>
      </c>
    </row>
    <row r="602" spans="1:15" x14ac:dyDescent="0.25">
      <c r="A602" s="98"/>
      <c r="B602" s="33"/>
      <c r="C602" s="25"/>
      <c r="D602" s="26"/>
      <c r="E602" s="4"/>
      <c r="F602" s="25"/>
      <c r="G602" s="26"/>
      <c r="H602" s="55"/>
      <c r="N602" s="95" t="str">
        <f t="shared" si="39"/>
        <v/>
      </c>
      <c r="O602" s="95" t="str">
        <f t="shared" si="38"/>
        <v/>
      </c>
    </row>
    <row r="603" spans="1:15" x14ac:dyDescent="0.25">
      <c r="A603" s="98"/>
      <c r="B603" s="33"/>
      <c r="C603" s="25"/>
      <c r="D603" s="26"/>
      <c r="E603" s="4"/>
      <c r="F603" s="25"/>
      <c r="G603" s="26"/>
      <c r="H603" s="55"/>
      <c r="N603" s="95" t="str">
        <f t="shared" si="39"/>
        <v/>
      </c>
      <c r="O603" s="95" t="str">
        <f t="shared" si="38"/>
        <v/>
      </c>
    </row>
    <row r="604" spans="1:15" x14ac:dyDescent="0.25">
      <c r="A604" s="98"/>
      <c r="B604" s="33"/>
      <c r="C604" s="25"/>
      <c r="D604" s="26"/>
      <c r="E604" s="4"/>
      <c r="F604" s="25"/>
      <c r="G604" s="26"/>
      <c r="H604" s="55"/>
      <c r="N604" s="95" t="str">
        <f t="shared" si="39"/>
        <v/>
      </c>
      <c r="O604" s="95" t="str">
        <f t="shared" si="38"/>
        <v/>
      </c>
    </row>
    <row r="605" spans="1:15" x14ac:dyDescent="0.25">
      <c r="A605" s="98"/>
      <c r="B605" s="33"/>
      <c r="C605" s="25"/>
      <c r="D605" s="26"/>
      <c r="E605" s="4"/>
      <c r="F605" s="25"/>
      <c r="G605" s="26"/>
      <c r="H605" s="55"/>
      <c r="N605" s="95" t="str">
        <f t="shared" si="39"/>
        <v/>
      </c>
      <c r="O605" s="95" t="str">
        <f t="shared" si="38"/>
        <v/>
      </c>
    </row>
    <row r="606" spans="1:15" x14ac:dyDescent="0.25">
      <c r="A606" s="98"/>
      <c r="B606" s="33"/>
      <c r="C606" s="25"/>
      <c r="D606" s="26"/>
      <c r="E606" s="4"/>
      <c r="F606" s="25"/>
      <c r="G606" s="26"/>
      <c r="H606" s="55"/>
      <c r="N606" s="95" t="str">
        <f t="shared" si="39"/>
        <v/>
      </c>
      <c r="O606" s="95" t="str">
        <f t="shared" si="38"/>
        <v/>
      </c>
    </row>
    <row r="607" spans="1:15" x14ac:dyDescent="0.25">
      <c r="A607" s="98"/>
      <c r="B607" s="33"/>
      <c r="C607" s="25"/>
      <c r="D607" s="26"/>
      <c r="E607" s="4"/>
      <c r="F607" s="25"/>
      <c r="G607" s="26"/>
      <c r="H607" s="55"/>
      <c r="N607" s="95" t="str">
        <f t="shared" si="39"/>
        <v/>
      </c>
      <c r="O607" s="95" t="str">
        <f t="shared" si="38"/>
        <v/>
      </c>
    </row>
    <row r="608" spans="1:15" x14ac:dyDescent="0.25">
      <c r="A608" s="98"/>
      <c r="B608" s="33"/>
      <c r="C608" s="25"/>
      <c r="D608" s="26"/>
      <c r="E608" s="4"/>
      <c r="F608" s="25"/>
      <c r="G608" s="26"/>
      <c r="H608" s="55"/>
      <c r="N608" s="95" t="str">
        <f t="shared" si="39"/>
        <v/>
      </c>
      <c r="O608" s="95" t="str">
        <f t="shared" si="38"/>
        <v/>
      </c>
    </row>
    <row r="609" spans="1:15" x14ac:dyDescent="0.25">
      <c r="A609" s="98"/>
      <c r="B609" s="33"/>
      <c r="C609" s="25"/>
      <c r="D609" s="26"/>
      <c r="E609" s="4"/>
      <c r="F609" s="25"/>
      <c r="G609" s="26"/>
      <c r="H609" s="55"/>
      <c r="N609" s="95" t="str">
        <f t="shared" si="39"/>
        <v/>
      </c>
      <c r="O609" s="95" t="str">
        <f t="shared" si="38"/>
        <v/>
      </c>
    </row>
    <row r="610" spans="1:15" x14ac:dyDescent="0.25">
      <c r="A610" s="98"/>
      <c r="B610" s="33"/>
      <c r="C610" s="25"/>
      <c r="D610" s="26"/>
      <c r="E610" s="4"/>
      <c r="F610" s="25"/>
      <c r="G610" s="26"/>
      <c r="H610" s="55"/>
      <c r="N610" s="95" t="str">
        <f t="shared" si="39"/>
        <v/>
      </c>
      <c r="O610" s="95" t="str">
        <f t="shared" si="38"/>
        <v/>
      </c>
    </row>
    <row r="611" spans="1:15" x14ac:dyDescent="0.25">
      <c r="A611" s="98"/>
      <c r="B611" s="33"/>
      <c r="C611" s="25"/>
      <c r="D611" s="26"/>
      <c r="E611" s="4"/>
      <c r="F611" s="25"/>
      <c r="G611" s="26"/>
      <c r="H611" s="55"/>
      <c r="N611" s="95" t="str">
        <f t="shared" si="39"/>
        <v/>
      </c>
      <c r="O611" s="95" t="str">
        <f t="shared" si="38"/>
        <v/>
      </c>
    </row>
    <row r="612" spans="1:15" x14ac:dyDescent="0.25">
      <c r="A612" s="98"/>
      <c r="B612" s="33"/>
      <c r="C612" s="25"/>
      <c r="D612" s="26"/>
      <c r="E612" s="4"/>
      <c r="F612" s="25"/>
      <c r="G612" s="26"/>
      <c r="H612" s="55"/>
      <c r="N612" s="95" t="str">
        <f t="shared" si="39"/>
        <v/>
      </c>
      <c r="O612" s="95" t="str">
        <f t="shared" si="38"/>
        <v/>
      </c>
    </row>
    <row r="613" spans="1:15" x14ac:dyDescent="0.25">
      <c r="A613" s="98"/>
      <c r="B613" s="33"/>
      <c r="C613" s="25"/>
      <c r="D613" s="26"/>
      <c r="E613" s="4"/>
      <c r="F613" s="25"/>
      <c r="G613" s="26"/>
      <c r="H613" s="55"/>
      <c r="N613" s="95" t="str">
        <f t="shared" si="39"/>
        <v/>
      </c>
      <c r="O613" s="95" t="str">
        <f t="shared" si="38"/>
        <v/>
      </c>
    </row>
    <row r="614" spans="1:15" x14ac:dyDescent="0.25">
      <c r="A614" s="98"/>
      <c r="B614" s="33"/>
      <c r="C614" s="25"/>
      <c r="D614" s="26"/>
      <c r="E614" s="4"/>
      <c r="F614" s="25"/>
      <c r="G614" s="26"/>
      <c r="H614" s="55"/>
      <c r="N614" s="95" t="str">
        <f t="shared" si="39"/>
        <v/>
      </c>
      <c r="O614" s="95" t="str">
        <f t="shared" si="38"/>
        <v/>
      </c>
    </row>
    <row r="615" spans="1:15" x14ac:dyDescent="0.25">
      <c r="A615" s="98"/>
      <c r="B615" s="33"/>
      <c r="C615" s="25"/>
      <c r="D615" s="26"/>
      <c r="E615" s="4"/>
      <c r="F615" s="25"/>
      <c r="G615" s="26"/>
      <c r="H615" s="55"/>
      <c r="N615" s="95" t="str">
        <f t="shared" si="39"/>
        <v/>
      </c>
      <c r="O615" s="95" t="str">
        <f t="shared" si="38"/>
        <v/>
      </c>
    </row>
    <row r="616" spans="1:15" x14ac:dyDescent="0.25">
      <c r="A616" s="98"/>
      <c r="B616" s="33"/>
      <c r="C616" s="25"/>
      <c r="D616" s="26"/>
      <c r="E616" s="4"/>
      <c r="F616" s="25"/>
      <c r="G616" s="26"/>
      <c r="H616" s="55"/>
      <c r="N616" s="95" t="str">
        <f t="shared" si="39"/>
        <v/>
      </c>
      <c r="O616" s="95" t="str">
        <f t="shared" si="38"/>
        <v/>
      </c>
    </row>
    <row r="617" spans="1:15" x14ac:dyDescent="0.25">
      <c r="A617" s="98"/>
      <c r="B617" s="33"/>
      <c r="C617" s="25"/>
      <c r="D617" s="26"/>
      <c r="E617" s="4"/>
      <c r="F617" s="25"/>
      <c r="G617" s="26"/>
      <c r="H617" s="55"/>
      <c r="N617" s="95" t="str">
        <f t="shared" si="39"/>
        <v/>
      </c>
      <c r="O617" s="95" t="str">
        <f t="shared" si="38"/>
        <v/>
      </c>
    </row>
    <row r="618" spans="1:15" x14ac:dyDescent="0.25">
      <c r="A618" s="98"/>
      <c r="B618" s="33"/>
      <c r="C618" s="25"/>
      <c r="D618" s="26"/>
      <c r="E618" s="4"/>
      <c r="F618" s="25"/>
      <c r="G618" s="26"/>
      <c r="H618" s="55"/>
      <c r="N618" s="95" t="str">
        <f t="shared" si="39"/>
        <v/>
      </c>
      <c r="O618" s="95" t="str">
        <f t="shared" si="38"/>
        <v/>
      </c>
    </row>
    <row r="619" spans="1:15" x14ac:dyDescent="0.25">
      <c r="A619" s="98"/>
      <c r="B619" s="33"/>
      <c r="C619" s="25"/>
      <c r="D619" s="26"/>
      <c r="E619" s="4"/>
      <c r="F619" s="25"/>
      <c r="G619" s="26"/>
      <c r="H619" s="55"/>
      <c r="N619" s="95" t="str">
        <f t="shared" si="39"/>
        <v/>
      </c>
      <c r="O619" s="95" t="str">
        <f t="shared" si="38"/>
        <v/>
      </c>
    </row>
    <row r="620" spans="1:15" x14ac:dyDescent="0.25">
      <c r="A620" s="98"/>
      <c r="B620" s="33"/>
      <c r="C620" s="25"/>
      <c r="D620" s="26"/>
      <c r="E620" s="4"/>
      <c r="F620" s="25"/>
      <c r="G620" s="26"/>
      <c r="H620" s="55"/>
      <c r="N620" s="95" t="str">
        <f t="shared" si="39"/>
        <v/>
      </c>
      <c r="O620" s="95" t="str">
        <f t="shared" si="38"/>
        <v/>
      </c>
    </row>
    <row r="621" spans="1:15" x14ac:dyDescent="0.25">
      <c r="A621" s="98"/>
      <c r="B621" s="33"/>
      <c r="C621" s="25"/>
      <c r="D621" s="26"/>
      <c r="E621" s="4"/>
      <c r="F621" s="25"/>
      <c r="G621" s="26"/>
      <c r="H621" s="55"/>
      <c r="N621" s="95" t="str">
        <f t="shared" si="39"/>
        <v/>
      </c>
      <c r="O621" s="95" t="str">
        <f t="shared" si="38"/>
        <v/>
      </c>
    </row>
    <row r="622" spans="1:15" x14ac:dyDescent="0.25">
      <c r="A622" s="98"/>
      <c r="B622" s="33"/>
      <c r="C622" s="25"/>
      <c r="D622" s="26"/>
      <c r="E622" s="4"/>
      <c r="F622" s="25"/>
      <c r="G622" s="26"/>
      <c r="H622" s="55"/>
      <c r="N622" s="95" t="str">
        <f t="shared" si="39"/>
        <v/>
      </c>
      <c r="O622" s="95" t="str">
        <f t="shared" si="38"/>
        <v/>
      </c>
    </row>
    <row r="623" spans="1:15" x14ac:dyDescent="0.25">
      <c r="A623" s="98"/>
      <c r="B623" s="33"/>
      <c r="C623" s="25"/>
      <c r="D623" s="26"/>
      <c r="E623" s="4"/>
      <c r="F623" s="25"/>
      <c r="G623" s="26"/>
      <c r="H623" s="55"/>
      <c r="N623" s="95" t="str">
        <f t="shared" si="39"/>
        <v/>
      </c>
      <c r="O623" s="95" t="str">
        <f t="shared" si="38"/>
        <v/>
      </c>
    </row>
    <row r="624" spans="1:15" x14ac:dyDescent="0.25">
      <c r="A624" s="98"/>
      <c r="B624" s="33"/>
      <c r="C624" s="25"/>
      <c r="D624" s="26"/>
      <c r="E624" s="4"/>
      <c r="F624" s="25"/>
      <c r="G624" s="26"/>
      <c r="H624" s="55"/>
      <c r="N624" s="95" t="str">
        <f t="shared" si="39"/>
        <v/>
      </c>
      <c r="O624" s="95" t="str">
        <f t="shared" si="38"/>
        <v/>
      </c>
    </row>
    <row r="625" spans="1:15" x14ac:dyDescent="0.25">
      <c r="A625" s="98"/>
      <c r="B625" s="33"/>
      <c r="C625" s="25"/>
      <c r="D625" s="26"/>
      <c r="E625" s="4"/>
      <c r="F625" s="25"/>
      <c r="G625" s="26"/>
      <c r="H625" s="55"/>
      <c r="N625" s="95" t="str">
        <f t="shared" si="39"/>
        <v/>
      </c>
      <c r="O625" s="95" t="str">
        <f t="shared" si="38"/>
        <v/>
      </c>
    </row>
    <row r="626" spans="1:15" x14ac:dyDescent="0.25">
      <c r="A626" s="98"/>
      <c r="B626" s="33"/>
      <c r="C626" s="25"/>
      <c r="D626" s="26"/>
      <c r="E626" s="4"/>
      <c r="F626" s="25"/>
      <c r="G626" s="26"/>
      <c r="H626" s="55"/>
      <c r="N626" s="95" t="str">
        <f t="shared" si="39"/>
        <v/>
      </c>
      <c r="O626" s="95" t="str">
        <f t="shared" si="38"/>
        <v/>
      </c>
    </row>
    <row r="627" spans="1:15" x14ac:dyDescent="0.25">
      <c r="A627" s="98"/>
      <c r="B627" s="33"/>
      <c r="C627" s="25"/>
      <c r="D627" s="26"/>
      <c r="E627" s="4"/>
      <c r="F627" s="25"/>
      <c r="G627" s="26"/>
      <c r="H627" s="55"/>
      <c r="N627" s="95" t="str">
        <f t="shared" si="39"/>
        <v/>
      </c>
      <c r="O627" s="95" t="str">
        <f t="shared" si="38"/>
        <v/>
      </c>
    </row>
    <row r="628" spans="1:15" x14ac:dyDescent="0.25">
      <c r="A628" s="98"/>
      <c r="B628" s="33"/>
      <c r="C628" s="25"/>
      <c r="D628" s="26"/>
      <c r="E628" s="4"/>
      <c r="F628" s="25"/>
      <c r="G628" s="26"/>
      <c r="H628" s="55"/>
      <c r="N628" s="95" t="str">
        <f t="shared" si="39"/>
        <v/>
      </c>
      <c r="O628" s="95" t="str">
        <f t="shared" si="38"/>
        <v/>
      </c>
    </row>
    <row r="629" spans="1:15" x14ac:dyDescent="0.25">
      <c r="A629" s="98"/>
      <c r="B629" s="33"/>
      <c r="C629" s="25"/>
      <c r="D629" s="26"/>
      <c r="E629" s="4"/>
      <c r="F629" s="25"/>
      <c r="G629" s="26"/>
      <c r="H629" s="55"/>
      <c r="N629" s="95" t="str">
        <f t="shared" si="39"/>
        <v/>
      </c>
      <c r="O629" s="95" t="str">
        <f t="shared" si="38"/>
        <v/>
      </c>
    </row>
    <row r="630" spans="1:15" x14ac:dyDescent="0.25">
      <c r="A630" s="98"/>
      <c r="B630" s="33"/>
      <c r="C630" s="25"/>
      <c r="D630" s="26"/>
      <c r="E630" s="4"/>
      <c r="F630" s="25"/>
      <c r="G630" s="26"/>
      <c r="H630" s="55"/>
      <c r="N630" s="95" t="str">
        <f t="shared" si="39"/>
        <v/>
      </c>
      <c r="O630" s="95" t="str">
        <f t="shared" si="38"/>
        <v/>
      </c>
    </row>
    <row r="631" spans="1:15" x14ac:dyDescent="0.25">
      <c r="A631" s="98"/>
      <c r="B631" s="33"/>
      <c r="C631" s="25"/>
      <c r="D631" s="26"/>
      <c r="E631" s="4"/>
      <c r="F631" s="25"/>
      <c r="G631" s="26"/>
      <c r="H631" s="55"/>
      <c r="N631" s="95" t="str">
        <f t="shared" si="39"/>
        <v/>
      </c>
      <c r="O631" s="95" t="str">
        <f t="shared" si="38"/>
        <v/>
      </c>
    </row>
    <row r="632" spans="1:15" x14ac:dyDescent="0.25">
      <c r="A632" s="98"/>
      <c r="B632" s="33"/>
      <c r="C632" s="25"/>
      <c r="D632" s="26"/>
      <c r="E632" s="4"/>
      <c r="F632" s="25"/>
      <c r="G632" s="26"/>
      <c r="H632" s="55"/>
      <c r="N632" s="95" t="str">
        <f t="shared" si="39"/>
        <v/>
      </c>
      <c r="O632" s="95" t="str">
        <f t="shared" si="38"/>
        <v/>
      </c>
    </row>
    <row r="633" spans="1:15" x14ac:dyDescent="0.25">
      <c r="A633" s="98"/>
      <c r="B633" s="33"/>
      <c r="C633" s="25"/>
      <c r="D633" s="26"/>
      <c r="E633" s="4"/>
      <c r="F633" s="25"/>
      <c r="G633" s="26"/>
      <c r="H633" s="55"/>
      <c r="N633" s="95" t="str">
        <f t="shared" si="39"/>
        <v/>
      </c>
      <c r="O633" s="95" t="str">
        <f t="shared" si="38"/>
        <v/>
      </c>
    </row>
    <row r="634" spans="1:15" x14ac:dyDescent="0.25">
      <c r="A634" s="98"/>
      <c r="B634" s="33"/>
      <c r="C634" s="25"/>
      <c r="D634" s="26"/>
      <c r="E634" s="4"/>
      <c r="F634" s="25"/>
      <c r="G634" s="26"/>
      <c r="H634" s="55"/>
      <c r="N634" s="95" t="str">
        <f t="shared" si="39"/>
        <v/>
      </c>
      <c r="O634" s="95" t="str">
        <f t="shared" si="38"/>
        <v/>
      </c>
    </row>
    <row r="635" spans="1:15" x14ac:dyDescent="0.25">
      <c r="A635" s="98"/>
      <c r="B635" s="33"/>
      <c r="C635" s="25"/>
      <c r="D635" s="26"/>
      <c r="E635" s="4"/>
      <c r="F635" s="25"/>
      <c r="G635" s="26"/>
      <c r="H635" s="55"/>
      <c r="N635" s="95" t="str">
        <f t="shared" si="39"/>
        <v/>
      </c>
      <c r="O635" s="95" t="str">
        <f t="shared" si="38"/>
        <v/>
      </c>
    </row>
    <row r="636" spans="1:15" x14ac:dyDescent="0.25">
      <c r="A636" s="98"/>
      <c r="B636" s="33"/>
      <c r="C636" s="25"/>
      <c r="D636" s="26"/>
      <c r="E636" s="4"/>
      <c r="F636" s="25"/>
      <c r="G636" s="26"/>
      <c r="H636" s="55"/>
      <c r="N636" s="95" t="str">
        <f t="shared" si="39"/>
        <v/>
      </c>
      <c r="O636" s="95" t="str">
        <f t="shared" si="38"/>
        <v/>
      </c>
    </row>
    <row r="637" spans="1:15" x14ac:dyDescent="0.25">
      <c r="A637" s="98"/>
      <c r="B637" s="33"/>
      <c r="C637" s="25"/>
      <c r="D637" s="26"/>
      <c r="E637" s="4"/>
      <c r="F637" s="25"/>
      <c r="G637" s="26"/>
      <c r="H637" s="55"/>
      <c r="N637" s="95" t="str">
        <f t="shared" si="39"/>
        <v/>
      </c>
      <c r="O637" s="95" t="str">
        <f t="shared" si="38"/>
        <v/>
      </c>
    </row>
    <row r="638" spans="1:15" x14ac:dyDescent="0.25">
      <c r="A638" s="98"/>
      <c r="B638" s="33"/>
      <c r="C638" s="25"/>
      <c r="D638" s="26"/>
      <c r="E638" s="4"/>
      <c r="F638" s="25"/>
      <c r="G638" s="26"/>
      <c r="H638" s="55"/>
      <c r="N638" s="95" t="str">
        <f t="shared" si="39"/>
        <v/>
      </c>
      <c r="O638" s="95" t="str">
        <f t="shared" si="38"/>
        <v/>
      </c>
    </row>
    <row r="639" spans="1:15" x14ac:dyDescent="0.25">
      <c r="A639" s="98"/>
      <c r="B639" s="33"/>
      <c r="C639" s="25"/>
      <c r="D639" s="26"/>
      <c r="E639" s="4"/>
      <c r="F639" s="25"/>
      <c r="G639" s="26"/>
      <c r="H639" s="55"/>
      <c r="N639" s="95" t="str">
        <f t="shared" si="39"/>
        <v/>
      </c>
      <c r="O639" s="95" t="str">
        <f t="shared" si="38"/>
        <v/>
      </c>
    </row>
    <row r="640" spans="1:15" x14ac:dyDescent="0.25">
      <c r="A640" s="98"/>
      <c r="B640" s="33"/>
      <c r="C640" s="25"/>
      <c r="D640" s="26"/>
      <c r="E640" s="4"/>
      <c r="F640" s="25"/>
      <c r="G640" s="26"/>
      <c r="H640" s="55"/>
      <c r="N640" s="95" t="str">
        <f t="shared" si="39"/>
        <v/>
      </c>
      <c r="O640" s="95" t="str">
        <f t="shared" si="38"/>
        <v/>
      </c>
    </row>
    <row r="641" spans="1:15" x14ac:dyDescent="0.25">
      <c r="A641" s="98"/>
      <c r="B641" s="33"/>
      <c r="C641" s="25"/>
      <c r="D641" s="26"/>
      <c r="E641" s="4"/>
      <c r="F641" s="25"/>
      <c r="G641" s="26"/>
      <c r="H641" s="55"/>
      <c r="N641" s="95" t="str">
        <f t="shared" si="39"/>
        <v/>
      </c>
      <c r="O641" s="95" t="str">
        <f t="shared" si="38"/>
        <v/>
      </c>
    </row>
    <row r="642" spans="1:15" x14ac:dyDescent="0.25">
      <c r="A642" s="98"/>
      <c r="B642" s="33"/>
      <c r="C642" s="25"/>
      <c r="D642" s="26"/>
      <c r="E642" s="4"/>
      <c r="F642" s="25"/>
      <c r="G642" s="26"/>
      <c r="H642" s="55"/>
      <c r="N642" s="95" t="str">
        <f t="shared" si="39"/>
        <v/>
      </c>
      <c r="O642" s="95" t="str">
        <f t="shared" si="38"/>
        <v/>
      </c>
    </row>
    <row r="643" spans="1:15" x14ac:dyDescent="0.25">
      <c r="A643" s="98"/>
      <c r="B643" s="33"/>
      <c r="C643" s="25"/>
      <c r="D643" s="26"/>
      <c r="E643" s="4"/>
      <c r="F643" s="25"/>
      <c r="G643" s="26"/>
      <c r="H643" s="55"/>
      <c r="N643" s="95" t="str">
        <f t="shared" si="39"/>
        <v/>
      </c>
      <c r="O643" s="95" t="str">
        <f t="shared" si="38"/>
        <v/>
      </c>
    </row>
    <row r="644" spans="1:15" x14ac:dyDescent="0.25">
      <c r="A644" s="98"/>
      <c r="B644" s="33"/>
      <c r="C644" s="25"/>
      <c r="D644" s="26"/>
      <c r="E644" s="4"/>
      <c r="F644" s="25"/>
      <c r="G644" s="26"/>
      <c r="H644" s="55"/>
      <c r="N644" s="95" t="str">
        <f t="shared" si="39"/>
        <v/>
      </c>
      <c r="O644" s="95" t="str">
        <f t="shared" ref="O644:O707" si="40">IF(N644&gt;$A$14,N644,"")</f>
        <v/>
      </c>
    </row>
    <row r="645" spans="1:15" x14ac:dyDescent="0.25">
      <c r="A645" s="98"/>
      <c r="B645" s="33"/>
      <c r="C645" s="25"/>
      <c r="D645" s="26"/>
      <c r="E645" s="4"/>
      <c r="F645" s="25"/>
      <c r="G645" s="26"/>
      <c r="H645" s="55"/>
      <c r="N645" s="95" t="str">
        <f t="shared" si="39"/>
        <v/>
      </c>
      <c r="O645" s="95" t="str">
        <f t="shared" si="40"/>
        <v/>
      </c>
    </row>
    <row r="646" spans="1:15" x14ac:dyDescent="0.25">
      <c r="A646" s="98"/>
      <c r="B646" s="33"/>
      <c r="C646" s="25"/>
      <c r="D646" s="26"/>
      <c r="E646" s="4"/>
      <c r="F646" s="25"/>
      <c r="G646" s="26"/>
      <c r="H646" s="55"/>
      <c r="N646" s="95" t="str">
        <f t="shared" si="39"/>
        <v/>
      </c>
      <c r="O646" s="95" t="str">
        <f t="shared" si="40"/>
        <v/>
      </c>
    </row>
    <row r="647" spans="1:15" x14ac:dyDescent="0.25">
      <c r="A647" s="98"/>
      <c r="B647" s="33"/>
      <c r="C647" s="25"/>
      <c r="D647" s="26"/>
      <c r="E647" s="4"/>
      <c r="F647" s="25"/>
      <c r="G647" s="26"/>
      <c r="H647" s="55"/>
      <c r="N647" s="95" t="str">
        <f t="shared" si="39"/>
        <v/>
      </c>
      <c r="O647" s="95" t="str">
        <f t="shared" si="40"/>
        <v/>
      </c>
    </row>
    <row r="648" spans="1:15" x14ac:dyDescent="0.25">
      <c r="A648" s="98"/>
      <c r="B648" s="33"/>
      <c r="C648" s="25"/>
      <c r="D648" s="26"/>
      <c r="E648" s="4"/>
      <c r="F648" s="25"/>
      <c r="G648" s="26"/>
      <c r="H648" s="55"/>
      <c r="N648" s="95" t="str">
        <f t="shared" si="39"/>
        <v/>
      </c>
      <c r="O648" s="95" t="str">
        <f t="shared" si="40"/>
        <v/>
      </c>
    </row>
    <row r="649" spans="1:15" x14ac:dyDescent="0.25">
      <c r="A649" s="98"/>
      <c r="B649" s="33"/>
      <c r="C649" s="25"/>
      <c r="D649" s="26"/>
      <c r="E649" s="4"/>
      <c r="F649" s="25"/>
      <c r="G649" s="26"/>
      <c r="H649" s="55"/>
      <c r="N649" s="95" t="str">
        <f t="shared" si="39"/>
        <v/>
      </c>
      <c r="O649" s="95" t="str">
        <f t="shared" si="40"/>
        <v/>
      </c>
    </row>
    <row r="650" spans="1:15" x14ac:dyDescent="0.25">
      <c r="A650" s="98"/>
      <c r="B650" s="33"/>
      <c r="C650" s="25"/>
      <c r="D650" s="26"/>
      <c r="E650" s="4"/>
      <c r="F650" s="25"/>
      <c r="G650" s="26"/>
      <c r="H650" s="55"/>
      <c r="N650" s="95" t="str">
        <f t="shared" si="39"/>
        <v/>
      </c>
      <c r="O650" s="95" t="str">
        <f t="shared" si="40"/>
        <v/>
      </c>
    </row>
    <row r="651" spans="1:15" x14ac:dyDescent="0.25">
      <c r="A651" s="98"/>
      <c r="B651" s="33"/>
      <c r="C651" s="25"/>
      <c r="D651" s="26"/>
      <c r="E651" s="4"/>
      <c r="F651" s="25"/>
      <c r="G651" s="26"/>
      <c r="H651" s="55"/>
      <c r="N651" s="95" t="str">
        <f t="shared" si="39"/>
        <v/>
      </c>
      <c r="O651" s="95" t="str">
        <f t="shared" si="40"/>
        <v/>
      </c>
    </row>
    <row r="652" spans="1:15" x14ac:dyDescent="0.25">
      <c r="A652" s="98"/>
      <c r="B652" s="33"/>
      <c r="C652" s="25"/>
      <c r="D652" s="26"/>
      <c r="E652" s="4"/>
      <c r="F652" s="25"/>
      <c r="G652" s="26"/>
      <c r="H652" s="55"/>
      <c r="N652" s="95" t="str">
        <f t="shared" si="39"/>
        <v/>
      </c>
      <c r="O652" s="95" t="str">
        <f t="shared" si="40"/>
        <v/>
      </c>
    </row>
    <row r="653" spans="1:15" x14ac:dyDescent="0.25">
      <c r="A653" s="98"/>
      <c r="B653" s="33"/>
      <c r="C653" s="25"/>
      <c r="D653" s="26"/>
      <c r="E653" s="4"/>
      <c r="F653" s="25"/>
      <c r="G653" s="26"/>
      <c r="H653" s="55"/>
      <c r="N653" s="95" t="str">
        <f t="shared" si="39"/>
        <v/>
      </c>
      <c r="O653" s="95" t="str">
        <f t="shared" si="40"/>
        <v/>
      </c>
    </row>
    <row r="654" spans="1:15" x14ac:dyDescent="0.25">
      <c r="A654" s="98"/>
      <c r="B654" s="33"/>
      <c r="C654" s="25"/>
      <c r="D654" s="26"/>
      <c r="E654" s="4"/>
      <c r="F654" s="25"/>
      <c r="G654" s="26"/>
      <c r="H654" s="55"/>
      <c r="N654" s="95" t="str">
        <f t="shared" si="39"/>
        <v/>
      </c>
      <c r="O654" s="95" t="str">
        <f t="shared" si="40"/>
        <v/>
      </c>
    </row>
    <row r="655" spans="1:15" x14ac:dyDescent="0.25">
      <c r="A655" s="98"/>
      <c r="B655" s="33"/>
      <c r="C655" s="25"/>
      <c r="D655" s="26"/>
      <c r="E655" s="4"/>
      <c r="F655" s="25"/>
      <c r="G655" s="26"/>
      <c r="H655" s="55"/>
      <c r="N655" s="95" t="str">
        <f t="shared" si="39"/>
        <v/>
      </c>
      <c r="O655" s="95" t="str">
        <f t="shared" si="40"/>
        <v/>
      </c>
    </row>
    <row r="656" spans="1:15" x14ac:dyDescent="0.25">
      <c r="A656" s="98"/>
      <c r="B656" s="33"/>
      <c r="C656" s="25"/>
      <c r="D656" s="26"/>
      <c r="E656" s="4"/>
      <c r="F656" s="25"/>
      <c r="G656" s="26"/>
      <c r="H656" s="55"/>
      <c r="N656" s="95" t="str">
        <f t="shared" ref="N656:N719" si="41">IF(COUNTIF(L:L,J656),J656,"")</f>
        <v/>
      </c>
      <c r="O656" s="95" t="str">
        <f t="shared" si="40"/>
        <v/>
      </c>
    </row>
    <row r="657" spans="1:15" x14ac:dyDescent="0.25">
      <c r="A657" s="98"/>
      <c r="B657" s="33"/>
      <c r="C657" s="25"/>
      <c r="D657" s="26"/>
      <c r="E657" s="4"/>
      <c r="F657" s="25"/>
      <c r="G657" s="26"/>
      <c r="H657" s="55"/>
      <c r="N657" s="95" t="str">
        <f t="shared" si="41"/>
        <v/>
      </c>
      <c r="O657" s="95" t="str">
        <f t="shared" si="40"/>
        <v/>
      </c>
    </row>
    <row r="658" spans="1:15" x14ac:dyDescent="0.25">
      <c r="A658" s="98"/>
      <c r="B658" s="33"/>
      <c r="C658" s="25"/>
      <c r="D658" s="26"/>
      <c r="E658" s="4"/>
      <c r="F658" s="25"/>
      <c r="G658" s="26"/>
      <c r="H658" s="55"/>
      <c r="N658" s="95" t="str">
        <f t="shared" si="41"/>
        <v/>
      </c>
      <c r="O658" s="95" t="str">
        <f t="shared" si="40"/>
        <v/>
      </c>
    </row>
    <row r="659" spans="1:15" x14ac:dyDescent="0.25">
      <c r="A659" s="98"/>
      <c r="B659" s="33"/>
      <c r="C659" s="25"/>
      <c r="D659" s="26"/>
      <c r="E659" s="4"/>
      <c r="F659" s="25"/>
      <c r="G659" s="26"/>
      <c r="H659" s="55"/>
      <c r="N659" s="95" t="str">
        <f t="shared" si="41"/>
        <v/>
      </c>
      <c r="O659" s="95" t="str">
        <f t="shared" si="40"/>
        <v/>
      </c>
    </row>
    <row r="660" spans="1:15" x14ac:dyDescent="0.25">
      <c r="A660" s="98"/>
      <c r="B660" s="33"/>
      <c r="C660" s="25"/>
      <c r="D660" s="26"/>
      <c r="E660" s="4"/>
      <c r="F660" s="25"/>
      <c r="G660" s="26"/>
      <c r="H660" s="55"/>
      <c r="N660" s="95" t="str">
        <f t="shared" si="41"/>
        <v/>
      </c>
      <c r="O660" s="95" t="str">
        <f t="shared" si="40"/>
        <v/>
      </c>
    </row>
    <row r="661" spans="1:15" x14ac:dyDescent="0.25">
      <c r="A661" s="98"/>
      <c r="B661" s="33"/>
      <c r="C661" s="25"/>
      <c r="D661" s="26"/>
      <c r="E661" s="4"/>
      <c r="F661" s="25"/>
      <c r="G661" s="26"/>
      <c r="H661" s="55"/>
      <c r="N661" s="95" t="str">
        <f t="shared" si="41"/>
        <v/>
      </c>
      <c r="O661" s="95" t="str">
        <f t="shared" si="40"/>
        <v/>
      </c>
    </row>
    <row r="662" spans="1:15" x14ac:dyDescent="0.25">
      <c r="A662" s="98"/>
      <c r="B662" s="33"/>
      <c r="C662" s="25"/>
      <c r="D662" s="26"/>
      <c r="E662" s="4"/>
      <c r="F662" s="25"/>
      <c r="G662" s="26"/>
      <c r="H662" s="55"/>
      <c r="N662" s="95" t="str">
        <f t="shared" si="41"/>
        <v/>
      </c>
      <c r="O662" s="95" t="str">
        <f t="shared" si="40"/>
        <v/>
      </c>
    </row>
    <row r="663" spans="1:15" x14ac:dyDescent="0.25">
      <c r="A663" s="98"/>
      <c r="B663" s="33"/>
      <c r="C663" s="25"/>
      <c r="D663" s="26"/>
      <c r="E663" s="4"/>
      <c r="F663" s="25"/>
      <c r="G663" s="26"/>
      <c r="H663" s="55"/>
      <c r="N663" s="95" t="str">
        <f t="shared" si="41"/>
        <v/>
      </c>
      <c r="O663" s="95" t="str">
        <f t="shared" si="40"/>
        <v/>
      </c>
    </row>
    <row r="664" spans="1:15" x14ac:dyDescent="0.25">
      <c r="A664" s="98"/>
      <c r="B664" s="33"/>
      <c r="C664" s="25"/>
      <c r="D664" s="26"/>
      <c r="E664" s="4"/>
      <c r="F664" s="25"/>
      <c r="G664" s="26"/>
      <c r="H664" s="55"/>
      <c r="N664" s="95" t="str">
        <f t="shared" si="41"/>
        <v/>
      </c>
      <c r="O664" s="95" t="str">
        <f t="shared" si="40"/>
        <v/>
      </c>
    </row>
    <row r="665" spans="1:15" x14ac:dyDescent="0.25">
      <c r="A665" s="98"/>
      <c r="B665" s="33"/>
      <c r="C665" s="25"/>
      <c r="D665" s="26"/>
      <c r="E665" s="4"/>
      <c r="F665" s="25"/>
      <c r="G665" s="26"/>
      <c r="H665" s="55"/>
      <c r="N665" s="95" t="str">
        <f t="shared" si="41"/>
        <v/>
      </c>
      <c r="O665" s="95" t="str">
        <f t="shared" si="40"/>
        <v/>
      </c>
    </row>
    <row r="666" spans="1:15" x14ac:dyDescent="0.25">
      <c r="A666" s="98"/>
      <c r="B666" s="33"/>
      <c r="C666" s="25"/>
      <c r="D666" s="26"/>
      <c r="E666" s="4"/>
      <c r="F666" s="25"/>
      <c r="G666" s="26"/>
      <c r="H666" s="55"/>
      <c r="N666" s="95" t="str">
        <f t="shared" si="41"/>
        <v/>
      </c>
      <c r="O666" s="95" t="str">
        <f t="shared" si="40"/>
        <v/>
      </c>
    </row>
    <row r="667" spans="1:15" x14ac:dyDescent="0.25">
      <c r="A667" s="98"/>
      <c r="B667" s="33"/>
      <c r="C667" s="25"/>
      <c r="D667" s="26"/>
      <c r="E667" s="4"/>
      <c r="F667" s="25"/>
      <c r="G667" s="26"/>
      <c r="H667" s="55"/>
      <c r="N667" s="95" t="str">
        <f t="shared" si="41"/>
        <v/>
      </c>
      <c r="O667" s="95" t="str">
        <f t="shared" si="40"/>
        <v/>
      </c>
    </row>
    <row r="668" spans="1:15" x14ac:dyDescent="0.25">
      <c r="A668" s="98"/>
      <c r="B668" s="33"/>
      <c r="C668" s="25"/>
      <c r="D668" s="26"/>
      <c r="E668" s="4"/>
      <c r="F668" s="25"/>
      <c r="G668" s="26"/>
      <c r="H668" s="55"/>
      <c r="N668" s="95" t="str">
        <f t="shared" si="41"/>
        <v/>
      </c>
      <c r="O668" s="95" t="str">
        <f t="shared" si="40"/>
        <v/>
      </c>
    </row>
    <row r="669" spans="1:15" x14ac:dyDescent="0.25">
      <c r="A669" s="98"/>
      <c r="B669" s="33"/>
      <c r="C669" s="25"/>
      <c r="D669" s="26"/>
      <c r="E669" s="4"/>
      <c r="F669" s="25"/>
      <c r="G669" s="26"/>
      <c r="H669" s="55"/>
      <c r="N669" s="95" t="str">
        <f t="shared" si="41"/>
        <v/>
      </c>
      <c r="O669" s="95" t="str">
        <f t="shared" si="40"/>
        <v/>
      </c>
    </row>
    <row r="670" spans="1:15" x14ac:dyDescent="0.25">
      <c r="A670" s="98"/>
      <c r="B670" s="33"/>
      <c r="C670" s="25"/>
      <c r="D670" s="26"/>
      <c r="E670" s="4"/>
      <c r="F670" s="25"/>
      <c r="G670" s="26"/>
      <c r="H670" s="55"/>
      <c r="N670" s="95" t="str">
        <f t="shared" si="41"/>
        <v/>
      </c>
      <c r="O670" s="95" t="str">
        <f t="shared" si="40"/>
        <v/>
      </c>
    </row>
    <row r="671" spans="1:15" x14ac:dyDescent="0.25">
      <c r="A671" s="98"/>
      <c r="B671" s="33"/>
      <c r="C671" s="25"/>
      <c r="D671" s="26"/>
      <c r="E671" s="4"/>
      <c r="F671" s="25"/>
      <c r="G671" s="26"/>
      <c r="H671" s="55"/>
      <c r="N671" s="95" t="str">
        <f t="shared" si="41"/>
        <v/>
      </c>
      <c r="O671" s="95" t="str">
        <f t="shared" si="40"/>
        <v/>
      </c>
    </row>
    <row r="672" spans="1:15" x14ac:dyDescent="0.25">
      <c r="A672" s="98"/>
      <c r="B672" s="33"/>
      <c r="C672" s="25"/>
      <c r="D672" s="26"/>
      <c r="E672" s="4"/>
      <c r="F672" s="25"/>
      <c r="G672" s="26"/>
      <c r="H672" s="55"/>
      <c r="N672" s="95" t="str">
        <f t="shared" si="41"/>
        <v/>
      </c>
      <c r="O672" s="95" t="str">
        <f t="shared" si="40"/>
        <v/>
      </c>
    </row>
    <row r="673" spans="1:15" x14ac:dyDescent="0.25">
      <c r="A673" s="98"/>
      <c r="B673" s="33"/>
      <c r="C673" s="25"/>
      <c r="D673" s="26"/>
      <c r="E673" s="4"/>
      <c r="F673" s="25"/>
      <c r="G673" s="26"/>
      <c r="H673" s="55"/>
      <c r="N673" s="95" t="str">
        <f t="shared" si="41"/>
        <v/>
      </c>
      <c r="O673" s="95" t="str">
        <f t="shared" si="40"/>
        <v/>
      </c>
    </row>
    <row r="674" spans="1:15" x14ac:dyDescent="0.25">
      <c r="A674" s="98"/>
      <c r="B674" s="33"/>
      <c r="C674" s="25"/>
      <c r="D674" s="26"/>
      <c r="E674" s="4"/>
      <c r="F674" s="25"/>
      <c r="G674" s="26"/>
      <c r="H674" s="55"/>
      <c r="N674" s="95" t="str">
        <f t="shared" si="41"/>
        <v/>
      </c>
      <c r="O674" s="95" t="str">
        <f t="shared" si="40"/>
        <v/>
      </c>
    </row>
    <row r="675" spans="1:15" x14ac:dyDescent="0.25">
      <c r="A675" s="98"/>
      <c r="B675" s="33"/>
      <c r="C675" s="25"/>
      <c r="D675" s="26"/>
      <c r="E675" s="4"/>
      <c r="F675" s="25"/>
      <c r="G675" s="26"/>
      <c r="H675" s="55"/>
      <c r="N675" s="95" t="str">
        <f t="shared" si="41"/>
        <v/>
      </c>
      <c r="O675" s="95" t="str">
        <f t="shared" si="40"/>
        <v/>
      </c>
    </row>
    <row r="676" spans="1:15" x14ac:dyDescent="0.25">
      <c r="A676" s="98"/>
      <c r="B676" s="33"/>
      <c r="C676" s="25"/>
      <c r="D676" s="26"/>
      <c r="E676" s="4"/>
      <c r="F676" s="25"/>
      <c r="G676" s="26"/>
      <c r="H676" s="55"/>
      <c r="N676" s="95" t="str">
        <f t="shared" si="41"/>
        <v/>
      </c>
      <c r="O676" s="95" t="str">
        <f t="shared" si="40"/>
        <v/>
      </c>
    </row>
    <row r="677" spans="1:15" x14ac:dyDescent="0.25">
      <c r="A677" s="98"/>
      <c r="B677" s="33"/>
      <c r="C677" s="25"/>
      <c r="D677" s="26"/>
      <c r="E677" s="4"/>
      <c r="F677" s="25"/>
      <c r="G677" s="26"/>
      <c r="H677" s="55"/>
      <c r="N677" s="95" t="str">
        <f t="shared" si="41"/>
        <v/>
      </c>
      <c r="O677" s="95" t="str">
        <f t="shared" si="40"/>
        <v/>
      </c>
    </row>
    <row r="678" spans="1:15" x14ac:dyDescent="0.25">
      <c r="A678" s="98"/>
      <c r="B678" s="33"/>
      <c r="C678" s="25"/>
      <c r="D678" s="26"/>
      <c r="E678" s="4"/>
      <c r="F678" s="25"/>
      <c r="G678" s="26"/>
      <c r="H678" s="55"/>
      <c r="N678" s="95" t="str">
        <f t="shared" si="41"/>
        <v/>
      </c>
      <c r="O678" s="95" t="str">
        <f t="shared" si="40"/>
        <v/>
      </c>
    </row>
    <row r="679" spans="1:15" x14ac:dyDescent="0.25">
      <c r="A679" s="98"/>
      <c r="B679" s="33"/>
      <c r="C679" s="25"/>
      <c r="D679" s="26"/>
      <c r="E679" s="4"/>
      <c r="F679" s="25"/>
      <c r="G679" s="26"/>
      <c r="H679" s="55"/>
      <c r="N679" s="95" t="str">
        <f t="shared" si="41"/>
        <v/>
      </c>
      <c r="O679" s="95" t="str">
        <f t="shared" si="40"/>
        <v/>
      </c>
    </row>
    <row r="680" spans="1:15" x14ac:dyDescent="0.25">
      <c r="A680" s="98"/>
      <c r="B680" s="33"/>
      <c r="C680" s="25"/>
      <c r="D680" s="26"/>
      <c r="E680" s="4"/>
      <c r="F680" s="25"/>
      <c r="G680" s="26"/>
      <c r="H680" s="55"/>
      <c r="N680" s="95" t="str">
        <f t="shared" si="41"/>
        <v/>
      </c>
      <c r="O680" s="95" t="str">
        <f t="shared" si="40"/>
        <v/>
      </c>
    </row>
    <row r="681" spans="1:15" x14ac:dyDescent="0.25">
      <c r="A681" s="98"/>
      <c r="B681" s="33"/>
      <c r="C681" s="25"/>
      <c r="D681" s="26"/>
      <c r="E681" s="4"/>
      <c r="F681" s="25"/>
      <c r="G681" s="26"/>
      <c r="H681" s="55"/>
      <c r="N681" s="95" t="str">
        <f t="shared" si="41"/>
        <v/>
      </c>
      <c r="O681" s="95" t="str">
        <f t="shared" si="40"/>
        <v/>
      </c>
    </row>
    <row r="682" spans="1:15" x14ac:dyDescent="0.25">
      <c r="A682" s="98"/>
      <c r="B682" s="33"/>
      <c r="C682" s="25"/>
      <c r="D682" s="26"/>
      <c r="E682" s="4"/>
      <c r="F682" s="25"/>
      <c r="G682" s="26"/>
      <c r="H682" s="55"/>
      <c r="N682" s="95" t="str">
        <f t="shared" si="41"/>
        <v/>
      </c>
      <c r="O682" s="95" t="str">
        <f t="shared" si="40"/>
        <v/>
      </c>
    </row>
    <row r="683" spans="1:15" x14ac:dyDescent="0.25">
      <c r="A683" s="98"/>
      <c r="B683" s="33"/>
      <c r="C683" s="25"/>
      <c r="D683" s="26"/>
      <c r="E683" s="4"/>
      <c r="F683" s="25"/>
      <c r="G683" s="26"/>
      <c r="H683" s="55"/>
      <c r="N683" s="95" t="str">
        <f t="shared" si="41"/>
        <v/>
      </c>
      <c r="O683" s="95" t="str">
        <f t="shared" si="40"/>
        <v/>
      </c>
    </row>
    <row r="684" spans="1:15" x14ac:dyDescent="0.25">
      <c r="A684" s="98"/>
      <c r="B684" s="33"/>
      <c r="C684" s="25"/>
      <c r="D684" s="26"/>
      <c r="E684" s="4"/>
      <c r="F684" s="25"/>
      <c r="G684" s="26"/>
      <c r="H684" s="55"/>
      <c r="N684" s="95" t="str">
        <f t="shared" si="41"/>
        <v/>
      </c>
      <c r="O684" s="95" t="str">
        <f t="shared" si="40"/>
        <v/>
      </c>
    </row>
    <row r="685" spans="1:15" x14ac:dyDescent="0.25">
      <c r="A685" s="98"/>
      <c r="B685" s="33"/>
      <c r="C685" s="25"/>
      <c r="D685" s="26"/>
      <c r="E685" s="4"/>
      <c r="F685" s="25"/>
      <c r="G685" s="26"/>
      <c r="H685" s="55"/>
      <c r="N685" s="95" t="str">
        <f t="shared" si="41"/>
        <v/>
      </c>
      <c r="O685" s="95" t="str">
        <f t="shared" si="40"/>
        <v/>
      </c>
    </row>
    <row r="686" spans="1:15" x14ac:dyDescent="0.25">
      <c r="A686" s="98"/>
      <c r="B686" s="33"/>
      <c r="C686" s="25"/>
      <c r="D686" s="26"/>
      <c r="E686" s="4"/>
      <c r="F686" s="25"/>
      <c r="G686" s="26"/>
      <c r="H686" s="55"/>
      <c r="N686" s="95" t="str">
        <f t="shared" si="41"/>
        <v/>
      </c>
      <c r="O686" s="95" t="str">
        <f t="shared" si="40"/>
        <v/>
      </c>
    </row>
    <row r="687" spans="1:15" x14ac:dyDescent="0.25">
      <c r="A687" s="98"/>
      <c r="B687" s="33"/>
      <c r="C687" s="25"/>
      <c r="D687" s="26"/>
      <c r="E687" s="4"/>
      <c r="F687" s="25"/>
      <c r="G687" s="26"/>
      <c r="H687" s="55"/>
      <c r="N687" s="95" t="str">
        <f t="shared" si="41"/>
        <v/>
      </c>
      <c r="O687" s="95" t="str">
        <f t="shared" si="40"/>
        <v/>
      </c>
    </row>
    <row r="688" spans="1:15" x14ac:dyDescent="0.25">
      <c r="A688" s="98"/>
      <c r="B688" s="33"/>
      <c r="C688" s="25"/>
      <c r="D688" s="26"/>
      <c r="E688" s="4"/>
      <c r="F688" s="25"/>
      <c r="G688" s="26"/>
      <c r="H688" s="55"/>
      <c r="N688" s="95" t="str">
        <f t="shared" si="41"/>
        <v/>
      </c>
      <c r="O688" s="95" t="str">
        <f t="shared" si="40"/>
        <v/>
      </c>
    </row>
    <row r="689" spans="1:15" x14ac:dyDescent="0.25">
      <c r="A689" s="98"/>
      <c r="B689" s="33"/>
      <c r="C689" s="25"/>
      <c r="D689" s="26"/>
      <c r="E689" s="4"/>
      <c r="F689" s="25"/>
      <c r="G689" s="26"/>
      <c r="H689" s="55"/>
      <c r="N689" s="95" t="str">
        <f t="shared" si="41"/>
        <v/>
      </c>
      <c r="O689" s="95" t="str">
        <f t="shared" si="40"/>
        <v/>
      </c>
    </row>
    <row r="690" spans="1:15" x14ac:dyDescent="0.25">
      <c r="A690" s="98"/>
      <c r="B690" s="33"/>
      <c r="C690" s="25"/>
      <c r="D690" s="26"/>
      <c r="E690" s="4"/>
      <c r="F690" s="25"/>
      <c r="G690" s="26"/>
      <c r="H690" s="55"/>
      <c r="N690" s="95" t="str">
        <f t="shared" si="41"/>
        <v/>
      </c>
      <c r="O690" s="95" t="str">
        <f t="shared" si="40"/>
        <v/>
      </c>
    </row>
    <row r="691" spans="1:15" x14ac:dyDescent="0.25">
      <c r="A691" s="98"/>
      <c r="B691" s="33"/>
      <c r="C691" s="25"/>
      <c r="D691" s="26"/>
      <c r="E691" s="4"/>
      <c r="F691" s="25"/>
      <c r="G691" s="26"/>
      <c r="H691" s="55"/>
      <c r="N691" s="95" t="str">
        <f t="shared" si="41"/>
        <v/>
      </c>
      <c r="O691" s="95" t="str">
        <f t="shared" si="40"/>
        <v/>
      </c>
    </row>
    <row r="692" spans="1:15" x14ac:dyDescent="0.25">
      <c r="A692" s="98"/>
      <c r="B692" s="33"/>
      <c r="C692" s="25"/>
      <c r="D692" s="26"/>
      <c r="E692" s="4"/>
      <c r="F692" s="25"/>
      <c r="G692" s="26"/>
      <c r="H692" s="55"/>
      <c r="N692" s="95" t="str">
        <f t="shared" si="41"/>
        <v/>
      </c>
      <c r="O692" s="95" t="str">
        <f t="shared" si="40"/>
        <v/>
      </c>
    </row>
    <row r="693" spans="1:15" x14ac:dyDescent="0.25">
      <c r="A693" s="98"/>
      <c r="B693" s="33"/>
      <c r="C693" s="25"/>
      <c r="D693" s="26"/>
      <c r="E693" s="4"/>
      <c r="F693" s="25"/>
      <c r="G693" s="26"/>
      <c r="H693" s="55"/>
      <c r="N693" s="95" t="str">
        <f t="shared" si="41"/>
        <v/>
      </c>
      <c r="O693" s="95" t="str">
        <f t="shared" si="40"/>
        <v/>
      </c>
    </row>
    <row r="694" spans="1:15" x14ac:dyDescent="0.25">
      <c r="A694" s="98"/>
      <c r="B694" s="33"/>
      <c r="C694" s="25"/>
      <c r="D694" s="26"/>
      <c r="E694" s="4"/>
      <c r="F694" s="25"/>
      <c r="G694" s="26"/>
      <c r="H694" s="55"/>
      <c r="N694" s="95" t="str">
        <f t="shared" si="41"/>
        <v/>
      </c>
      <c r="O694" s="95" t="str">
        <f t="shared" si="40"/>
        <v/>
      </c>
    </row>
    <row r="695" spans="1:15" x14ac:dyDescent="0.25">
      <c r="A695" s="98"/>
      <c r="B695" s="33"/>
      <c r="C695" s="25"/>
      <c r="D695" s="26"/>
      <c r="E695" s="4"/>
      <c r="F695" s="25"/>
      <c r="G695" s="26"/>
      <c r="H695" s="55"/>
      <c r="N695" s="95" t="str">
        <f t="shared" si="41"/>
        <v/>
      </c>
      <c r="O695" s="95" t="str">
        <f t="shared" si="40"/>
        <v/>
      </c>
    </row>
    <row r="696" spans="1:15" x14ac:dyDescent="0.25">
      <c r="A696" s="98"/>
      <c r="B696" s="33"/>
      <c r="C696" s="25"/>
      <c r="D696" s="26"/>
      <c r="E696" s="4"/>
      <c r="F696" s="25"/>
      <c r="G696" s="26"/>
      <c r="H696" s="55"/>
      <c r="N696" s="95" t="str">
        <f t="shared" si="41"/>
        <v/>
      </c>
      <c r="O696" s="95" t="str">
        <f t="shared" si="40"/>
        <v/>
      </c>
    </row>
    <row r="697" spans="1:15" x14ac:dyDescent="0.25">
      <c r="A697" s="98"/>
      <c r="B697" s="33"/>
      <c r="C697" s="25"/>
      <c r="D697" s="26"/>
      <c r="E697" s="4"/>
      <c r="F697" s="25"/>
      <c r="G697" s="26"/>
      <c r="H697" s="55"/>
      <c r="N697" s="95" t="str">
        <f t="shared" si="41"/>
        <v/>
      </c>
      <c r="O697" s="95" t="str">
        <f t="shared" si="40"/>
        <v/>
      </c>
    </row>
    <row r="698" spans="1:15" x14ac:dyDescent="0.25">
      <c r="A698" s="98"/>
      <c r="B698" s="33"/>
      <c r="C698" s="25"/>
      <c r="D698" s="26"/>
      <c r="E698" s="4"/>
      <c r="F698" s="25"/>
      <c r="G698" s="26"/>
      <c r="H698" s="55"/>
      <c r="N698" s="95" t="str">
        <f t="shared" si="41"/>
        <v/>
      </c>
      <c r="O698" s="95" t="str">
        <f t="shared" si="40"/>
        <v/>
      </c>
    </row>
    <row r="699" spans="1:15" x14ac:dyDescent="0.25">
      <c r="A699" s="98"/>
      <c r="B699" s="33"/>
      <c r="C699" s="25"/>
      <c r="D699" s="26"/>
      <c r="E699" s="4"/>
      <c r="F699" s="25"/>
      <c r="G699" s="26"/>
      <c r="H699" s="55"/>
      <c r="N699" s="95" t="str">
        <f t="shared" si="41"/>
        <v/>
      </c>
      <c r="O699" s="95" t="str">
        <f t="shared" si="40"/>
        <v/>
      </c>
    </row>
    <row r="700" spans="1:15" x14ac:dyDescent="0.25">
      <c r="A700" s="98"/>
      <c r="B700" s="33"/>
      <c r="C700" s="25"/>
      <c r="D700" s="26"/>
      <c r="E700" s="4"/>
      <c r="F700" s="25"/>
      <c r="G700" s="26"/>
      <c r="H700" s="55"/>
      <c r="N700" s="95" t="str">
        <f t="shared" si="41"/>
        <v/>
      </c>
      <c r="O700" s="95" t="str">
        <f t="shared" si="40"/>
        <v/>
      </c>
    </row>
    <row r="701" spans="1:15" x14ac:dyDescent="0.25">
      <c r="A701" s="98"/>
      <c r="B701" s="33"/>
      <c r="C701" s="25"/>
      <c r="D701" s="26"/>
      <c r="E701" s="4"/>
      <c r="F701" s="25"/>
      <c r="G701" s="26"/>
      <c r="H701" s="55"/>
      <c r="N701" s="95" t="str">
        <f t="shared" si="41"/>
        <v/>
      </c>
      <c r="O701" s="95" t="str">
        <f t="shared" si="40"/>
        <v/>
      </c>
    </row>
    <row r="702" spans="1:15" x14ac:dyDescent="0.25">
      <c r="A702" s="98"/>
      <c r="B702" s="33"/>
      <c r="C702" s="25"/>
      <c r="D702" s="26"/>
      <c r="E702" s="4"/>
      <c r="F702" s="25"/>
      <c r="G702" s="26"/>
      <c r="H702" s="55"/>
      <c r="N702" s="95" t="str">
        <f t="shared" si="41"/>
        <v/>
      </c>
      <c r="O702" s="95" t="str">
        <f t="shared" si="40"/>
        <v/>
      </c>
    </row>
    <row r="703" spans="1:15" x14ac:dyDescent="0.25">
      <c r="A703" s="98"/>
      <c r="B703" s="33"/>
      <c r="C703" s="25"/>
      <c r="D703" s="26"/>
      <c r="E703" s="4"/>
      <c r="F703" s="25"/>
      <c r="G703" s="26"/>
      <c r="H703" s="55"/>
      <c r="N703" s="95" t="str">
        <f t="shared" si="41"/>
        <v/>
      </c>
      <c r="O703" s="95" t="str">
        <f t="shared" si="40"/>
        <v/>
      </c>
    </row>
    <row r="704" spans="1:15" x14ac:dyDescent="0.25">
      <c r="A704" s="98"/>
      <c r="B704" s="33"/>
      <c r="C704" s="25"/>
      <c r="D704" s="26"/>
      <c r="E704" s="4"/>
      <c r="F704" s="25"/>
      <c r="G704" s="26"/>
      <c r="H704" s="55"/>
      <c r="N704" s="95" t="str">
        <f t="shared" si="41"/>
        <v/>
      </c>
      <c r="O704" s="95" t="str">
        <f t="shared" si="40"/>
        <v/>
      </c>
    </row>
    <row r="705" spans="1:15" x14ac:dyDescent="0.25">
      <c r="A705" s="98"/>
      <c r="B705" s="33"/>
      <c r="C705" s="25"/>
      <c r="D705" s="26"/>
      <c r="E705" s="4"/>
      <c r="F705" s="25"/>
      <c r="G705" s="26"/>
      <c r="H705" s="55"/>
      <c r="N705" s="95" t="str">
        <f t="shared" si="41"/>
        <v/>
      </c>
      <c r="O705" s="95" t="str">
        <f t="shared" si="40"/>
        <v/>
      </c>
    </row>
    <row r="706" spans="1:15" x14ac:dyDescent="0.25">
      <c r="A706" s="98"/>
      <c r="B706" s="33"/>
      <c r="C706" s="25"/>
      <c r="D706" s="26"/>
      <c r="E706" s="4"/>
      <c r="F706" s="25"/>
      <c r="G706" s="26"/>
      <c r="H706" s="55"/>
      <c r="N706" s="95" t="str">
        <f t="shared" si="41"/>
        <v/>
      </c>
      <c r="O706" s="95" t="str">
        <f t="shared" si="40"/>
        <v/>
      </c>
    </row>
    <row r="707" spans="1:15" x14ac:dyDescent="0.25">
      <c r="A707" s="98"/>
      <c r="B707" s="33"/>
      <c r="C707" s="25"/>
      <c r="D707" s="26"/>
      <c r="E707" s="4"/>
      <c r="F707" s="25"/>
      <c r="G707" s="26"/>
      <c r="H707" s="55"/>
      <c r="N707" s="95" t="str">
        <f t="shared" si="41"/>
        <v/>
      </c>
      <c r="O707" s="95" t="str">
        <f t="shared" si="40"/>
        <v/>
      </c>
    </row>
    <row r="708" spans="1:15" x14ac:dyDescent="0.25">
      <c r="A708" s="98"/>
      <c r="B708" s="33"/>
      <c r="C708" s="25"/>
      <c r="D708" s="26"/>
      <c r="E708" s="4"/>
      <c r="F708" s="25"/>
      <c r="G708" s="26"/>
      <c r="H708" s="55"/>
      <c r="N708" s="95" t="str">
        <f t="shared" si="41"/>
        <v/>
      </c>
      <c r="O708" s="95" t="str">
        <f t="shared" ref="O708:O746" si="42">IF(N708&gt;$A$14,N708,"")</f>
        <v/>
      </c>
    </row>
    <row r="709" spans="1:15" x14ac:dyDescent="0.25">
      <c r="A709" s="98"/>
      <c r="B709" s="33"/>
      <c r="C709" s="25"/>
      <c r="D709" s="26"/>
      <c r="E709" s="4"/>
      <c r="F709" s="25"/>
      <c r="G709" s="26"/>
      <c r="H709" s="55"/>
      <c r="N709" s="95" t="str">
        <f t="shared" si="41"/>
        <v/>
      </c>
      <c r="O709" s="95" t="str">
        <f t="shared" si="42"/>
        <v/>
      </c>
    </row>
    <row r="710" spans="1:15" x14ac:dyDescent="0.25">
      <c r="A710" s="98"/>
      <c r="B710" s="33"/>
      <c r="C710" s="25"/>
      <c r="D710" s="26"/>
      <c r="E710" s="4"/>
      <c r="F710" s="25"/>
      <c r="G710" s="26"/>
      <c r="H710" s="55"/>
      <c r="N710" s="95" t="str">
        <f t="shared" si="41"/>
        <v/>
      </c>
      <c r="O710" s="95" t="str">
        <f t="shared" si="42"/>
        <v/>
      </c>
    </row>
    <row r="711" spans="1:15" x14ac:dyDescent="0.25">
      <c r="A711" s="98"/>
      <c r="B711" s="33"/>
      <c r="C711" s="25"/>
      <c r="D711" s="26"/>
      <c r="E711" s="4"/>
      <c r="F711" s="25"/>
      <c r="G711" s="26"/>
      <c r="H711" s="55"/>
      <c r="N711" s="95" t="str">
        <f t="shared" si="41"/>
        <v/>
      </c>
      <c r="O711" s="95" t="str">
        <f t="shared" si="42"/>
        <v/>
      </c>
    </row>
    <row r="712" spans="1:15" x14ac:dyDescent="0.25">
      <c r="A712" s="98"/>
      <c r="B712" s="33"/>
      <c r="C712" s="25"/>
      <c r="D712" s="26"/>
      <c r="E712" s="4"/>
      <c r="F712" s="25"/>
      <c r="G712" s="26"/>
      <c r="H712" s="55"/>
      <c r="N712" s="95" t="str">
        <f t="shared" si="41"/>
        <v/>
      </c>
      <c r="O712" s="95" t="str">
        <f t="shared" si="42"/>
        <v/>
      </c>
    </row>
    <row r="713" spans="1:15" x14ac:dyDescent="0.25">
      <c r="A713" s="98"/>
      <c r="B713" s="33"/>
      <c r="C713" s="25"/>
      <c r="D713" s="26"/>
      <c r="E713" s="4"/>
      <c r="F713" s="25"/>
      <c r="G713" s="26"/>
      <c r="H713" s="55"/>
      <c r="N713" s="95" t="str">
        <f t="shared" si="41"/>
        <v/>
      </c>
      <c r="O713" s="95" t="str">
        <f t="shared" si="42"/>
        <v/>
      </c>
    </row>
    <row r="714" spans="1:15" x14ac:dyDescent="0.25">
      <c r="A714" s="98"/>
      <c r="B714" s="33"/>
      <c r="C714" s="25"/>
      <c r="D714" s="26"/>
      <c r="E714" s="4"/>
      <c r="F714" s="25"/>
      <c r="G714" s="26"/>
      <c r="H714" s="55"/>
      <c r="N714" s="95" t="str">
        <f t="shared" si="41"/>
        <v/>
      </c>
      <c r="O714" s="95" t="str">
        <f t="shared" si="42"/>
        <v/>
      </c>
    </row>
    <row r="715" spans="1:15" x14ac:dyDescent="0.25">
      <c r="A715" s="98"/>
      <c r="B715" s="33"/>
      <c r="C715" s="25"/>
      <c r="D715" s="26"/>
      <c r="E715" s="4"/>
      <c r="F715" s="25"/>
      <c r="G715" s="26"/>
      <c r="H715" s="55"/>
      <c r="N715" s="95" t="str">
        <f t="shared" si="41"/>
        <v/>
      </c>
      <c r="O715" s="95" t="str">
        <f t="shared" si="42"/>
        <v/>
      </c>
    </row>
    <row r="716" spans="1:15" x14ac:dyDescent="0.25">
      <c r="A716" s="98"/>
      <c r="B716" s="33"/>
      <c r="C716" s="25"/>
      <c r="D716" s="26"/>
      <c r="E716" s="4"/>
      <c r="F716" s="25"/>
      <c r="G716" s="26"/>
      <c r="H716" s="55"/>
      <c r="N716" s="95" t="str">
        <f t="shared" si="41"/>
        <v/>
      </c>
      <c r="O716" s="95" t="str">
        <f t="shared" si="42"/>
        <v/>
      </c>
    </row>
    <row r="717" spans="1:15" x14ac:dyDescent="0.25">
      <c r="A717" s="98"/>
      <c r="B717" s="33"/>
      <c r="C717" s="25"/>
      <c r="D717" s="26"/>
      <c r="E717" s="4"/>
      <c r="F717" s="25"/>
      <c r="G717" s="26"/>
      <c r="H717" s="55"/>
      <c r="N717" s="95" t="str">
        <f t="shared" si="41"/>
        <v/>
      </c>
      <c r="O717" s="95" t="str">
        <f t="shared" si="42"/>
        <v/>
      </c>
    </row>
    <row r="718" spans="1:15" x14ac:dyDescent="0.25">
      <c r="A718" s="98"/>
      <c r="B718" s="33"/>
      <c r="C718" s="25"/>
      <c r="D718" s="26"/>
      <c r="E718" s="4"/>
      <c r="F718" s="25"/>
      <c r="G718" s="26"/>
      <c r="H718" s="55"/>
      <c r="N718" s="95" t="str">
        <f t="shared" si="41"/>
        <v/>
      </c>
      <c r="O718" s="95" t="str">
        <f t="shared" si="42"/>
        <v/>
      </c>
    </row>
    <row r="719" spans="1:15" x14ac:dyDescent="0.25">
      <c r="A719" s="98"/>
      <c r="B719" s="33"/>
      <c r="C719" s="25"/>
      <c r="D719" s="26"/>
      <c r="E719" s="4"/>
      <c r="F719" s="25"/>
      <c r="G719" s="26"/>
      <c r="H719" s="55"/>
      <c r="N719" s="95" t="str">
        <f t="shared" si="41"/>
        <v/>
      </c>
      <c r="O719" s="95" t="str">
        <f t="shared" si="42"/>
        <v/>
      </c>
    </row>
    <row r="720" spans="1:15" x14ac:dyDescent="0.25">
      <c r="A720" s="98"/>
      <c r="B720" s="33"/>
      <c r="C720" s="25"/>
      <c r="D720" s="26"/>
      <c r="E720" s="4"/>
      <c r="F720" s="25"/>
      <c r="G720" s="26"/>
      <c r="H720" s="55"/>
      <c r="N720" s="95" t="str">
        <f t="shared" ref="N720:N746" si="43">IF(COUNTIF(L:L,J720),J720,"")</f>
        <v/>
      </c>
      <c r="O720" s="95" t="str">
        <f t="shared" si="42"/>
        <v/>
      </c>
    </row>
    <row r="721" spans="1:15" x14ac:dyDescent="0.25">
      <c r="A721" s="98"/>
      <c r="B721" s="33"/>
      <c r="C721" s="25"/>
      <c r="D721" s="26"/>
      <c r="E721" s="4"/>
      <c r="F721" s="25"/>
      <c r="G721" s="26"/>
      <c r="H721" s="55"/>
      <c r="N721" s="95" t="str">
        <f t="shared" si="43"/>
        <v/>
      </c>
      <c r="O721" s="95" t="str">
        <f t="shared" si="42"/>
        <v/>
      </c>
    </row>
    <row r="722" spans="1:15" x14ac:dyDescent="0.25">
      <c r="A722" s="98"/>
      <c r="B722" s="33"/>
      <c r="C722" s="25"/>
      <c r="D722" s="26"/>
      <c r="E722" s="4"/>
      <c r="F722" s="25"/>
      <c r="G722" s="26"/>
      <c r="H722" s="55"/>
      <c r="N722" s="95" t="str">
        <f t="shared" si="43"/>
        <v/>
      </c>
      <c r="O722" s="95" t="str">
        <f t="shared" si="42"/>
        <v/>
      </c>
    </row>
    <row r="723" spans="1:15" x14ac:dyDescent="0.25">
      <c r="A723" s="98"/>
      <c r="B723" s="33"/>
      <c r="C723" s="25"/>
      <c r="D723" s="26"/>
      <c r="E723" s="4"/>
      <c r="F723" s="25"/>
      <c r="G723" s="26"/>
      <c r="H723" s="55"/>
      <c r="N723" s="95" t="str">
        <f t="shared" si="43"/>
        <v/>
      </c>
      <c r="O723" s="95" t="str">
        <f t="shared" si="42"/>
        <v/>
      </c>
    </row>
    <row r="724" spans="1:15" x14ac:dyDescent="0.25">
      <c r="A724" s="98"/>
      <c r="B724" s="33"/>
      <c r="C724" s="25"/>
      <c r="D724" s="26"/>
      <c r="E724" s="4"/>
      <c r="F724" s="25"/>
      <c r="G724" s="26"/>
      <c r="H724" s="55"/>
      <c r="N724" s="95" t="str">
        <f t="shared" si="43"/>
        <v/>
      </c>
      <c r="O724" s="95" t="str">
        <f t="shared" si="42"/>
        <v/>
      </c>
    </row>
    <row r="725" spans="1:15" x14ac:dyDescent="0.25">
      <c r="A725" s="98"/>
      <c r="B725" s="33"/>
      <c r="C725" s="25"/>
      <c r="D725" s="26"/>
      <c r="E725" s="4"/>
      <c r="F725" s="25"/>
      <c r="G725" s="26"/>
      <c r="H725" s="55"/>
      <c r="N725" s="95" t="str">
        <f t="shared" si="43"/>
        <v/>
      </c>
      <c r="O725" s="95" t="str">
        <f t="shared" si="42"/>
        <v/>
      </c>
    </row>
    <row r="726" spans="1:15" x14ac:dyDescent="0.25">
      <c r="A726" s="98"/>
      <c r="B726" s="33"/>
      <c r="C726" s="25"/>
      <c r="D726" s="26"/>
      <c r="E726" s="4"/>
      <c r="F726" s="25"/>
      <c r="G726" s="26"/>
      <c r="H726" s="55"/>
      <c r="N726" s="95" t="str">
        <f t="shared" si="43"/>
        <v/>
      </c>
      <c r="O726" s="95" t="str">
        <f t="shared" si="42"/>
        <v/>
      </c>
    </row>
    <row r="727" spans="1:15" x14ac:dyDescent="0.25">
      <c r="A727" s="98"/>
      <c r="B727" s="33"/>
      <c r="C727" s="25"/>
      <c r="D727" s="26"/>
      <c r="E727" s="4"/>
      <c r="F727" s="25"/>
      <c r="G727" s="26"/>
      <c r="H727" s="55"/>
      <c r="N727" s="95" t="str">
        <f t="shared" si="43"/>
        <v/>
      </c>
      <c r="O727" s="95" t="str">
        <f t="shared" si="42"/>
        <v/>
      </c>
    </row>
    <row r="728" spans="1:15" x14ac:dyDescent="0.25">
      <c r="A728" s="98"/>
      <c r="B728" s="33"/>
      <c r="C728" s="25"/>
      <c r="D728" s="26"/>
      <c r="E728" s="4"/>
      <c r="F728" s="25"/>
      <c r="G728" s="26"/>
      <c r="H728" s="55"/>
      <c r="N728" s="95" t="str">
        <f t="shared" si="43"/>
        <v/>
      </c>
      <c r="O728" s="95" t="str">
        <f t="shared" si="42"/>
        <v/>
      </c>
    </row>
    <row r="729" spans="1:15" x14ac:dyDescent="0.25">
      <c r="A729" s="98"/>
      <c r="B729" s="33"/>
      <c r="C729" s="25"/>
      <c r="D729" s="26"/>
      <c r="E729" s="4"/>
      <c r="F729" s="25"/>
      <c r="G729" s="26"/>
      <c r="H729" s="55"/>
      <c r="N729" s="95" t="str">
        <f t="shared" si="43"/>
        <v/>
      </c>
      <c r="O729" s="95" t="str">
        <f t="shared" si="42"/>
        <v/>
      </c>
    </row>
    <row r="730" spans="1:15" x14ac:dyDescent="0.25">
      <c r="A730" s="98"/>
      <c r="B730" s="33"/>
      <c r="C730" s="25"/>
      <c r="D730" s="26"/>
      <c r="E730" s="4"/>
      <c r="F730" s="25"/>
      <c r="G730" s="26"/>
      <c r="H730" s="55"/>
      <c r="N730" s="95" t="str">
        <f t="shared" si="43"/>
        <v/>
      </c>
      <c r="O730" s="95" t="str">
        <f t="shared" si="42"/>
        <v/>
      </c>
    </row>
    <row r="731" spans="1:15" x14ac:dyDescent="0.25">
      <c r="A731" s="98"/>
      <c r="B731" s="33"/>
      <c r="C731" s="25"/>
      <c r="D731" s="26"/>
      <c r="E731" s="4"/>
      <c r="F731" s="25"/>
      <c r="G731" s="26"/>
      <c r="H731" s="55"/>
      <c r="N731" s="95" t="str">
        <f t="shared" si="43"/>
        <v/>
      </c>
      <c r="O731" s="95" t="str">
        <f t="shared" si="42"/>
        <v/>
      </c>
    </row>
    <row r="732" spans="1:15" x14ac:dyDescent="0.25">
      <c r="A732" s="98"/>
      <c r="B732" s="33"/>
      <c r="C732" s="25"/>
      <c r="D732" s="26"/>
      <c r="E732" s="4"/>
      <c r="F732" s="25"/>
      <c r="G732" s="26"/>
      <c r="H732" s="55"/>
      <c r="N732" s="95" t="str">
        <f t="shared" si="43"/>
        <v/>
      </c>
      <c r="O732" s="95" t="str">
        <f t="shared" si="42"/>
        <v/>
      </c>
    </row>
    <row r="733" spans="1:15" x14ac:dyDescent="0.25">
      <c r="A733" s="98"/>
      <c r="B733" s="33"/>
      <c r="C733" s="25"/>
      <c r="D733" s="26"/>
      <c r="E733" s="4"/>
      <c r="F733" s="25"/>
      <c r="G733" s="26"/>
      <c r="H733" s="55"/>
      <c r="N733" s="95" t="str">
        <f t="shared" si="43"/>
        <v/>
      </c>
      <c r="O733" s="95" t="str">
        <f t="shared" si="42"/>
        <v/>
      </c>
    </row>
    <row r="734" spans="1:15" x14ac:dyDescent="0.25">
      <c r="A734" s="98"/>
      <c r="B734" s="33"/>
      <c r="C734" s="25"/>
      <c r="D734" s="26"/>
      <c r="E734" s="4"/>
      <c r="F734" s="25"/>
      <c r="G734" s="26"/>
      <c r="H734" s="55"/>
      <c r="N734" s="95" t="str">
        <f t="shared" si="43"/>
        <v/>
      </c>
      <c r="O734" s="95" t="str">
        <f t="shared" si="42"/>
        <v/>
      </c>
    </row>
    <row r="735" spans="1:15" x14ac:dyDescent="0.25">
      <c r="A735" s="98"/>
      <c r="B735" s="33"/>
      <c r="C735" s="25"/>
      <c r="D735" s="26"/>
      <c r="E735" s="4"/>
      <c r="F735" s="25"/>
      <c r="G735" s="26"/>
      <c r="H735" s="55"/>
      <c r="N735" s="95" t="str">
        <f t="shared" si="43"/>
        <v/>
      </c>
      <c r="O735" s="95" t="str">
        <f t="shared" si="42"/>
        <v/>
      </c>
    </row>
    <row r="736" spans="1:15" x14ac:dyDescent="0.25">
      <c r="A736" s="98"/>
      <c r="B736" s="33"/>
      <c r="C736" s="25"/>
      <c r="D736" s="26"/>
      <c r="E736" s="4"/>
      <c r="F736" s="25"/>
      <c r="G736" s="26"/>
      <c r="H736" s="55"/>
      <c r="N736" s="95" t="str">
        <f t="shared" si="43"/>
        <v/>
      </c>
      <c r="O736" s="95" t="str">
        <f t="shared" si="42"/>
        <v/>
      </c>
    </row>
    <row r="737" spans="1:15" x14ac:dyDescent="0.25">
      <c r="A737" s="98"/>
      <c r="B737" s="33"/>
      <c r="C737" s="25"/>
      <c r="D737" s="26"/>
      <c r="E737" s="4"/>
      <c r="F737" s="25"/>
      <c r="G737" s="26"/>
      <c r="H737" s="55"/>
      <c r="N737" s="95" t="str">
        <f t="shared" si="43"/>
        <v/>
      </c>
      <c r="O737" s="95" t="str">
        <f t="shared" si="42"/>
        <v/>
      </c>
    </row>
    <row r="738" spans="1:15" x14ac:dyDescent="0.25">
      <c r="A738" s="98"/>
      <c r="B738" s="33"/>
      <c r="C738" s="25"/>
      <c r="D738" s="26"/>
      <c r="E738" s="4"/>
      <c r="F738" s="25"/>
      <c r="G738" s="26"/>
      <c r="H738" s="55"/>
      <c r="N738" s="95" t="str">
        <f t="shared" si="43"/>
        <v/>
      </c>
      <c r="O738" s="95" t="str">
        <f t="shared" si="42"/>
        <v/>
      </c>
    </row>
    <row r="739" spans="1:15" x14ac:dyDescent="0.25">
      <c r="A739" s="98"/>
      <c r="B739" s="33"/>
      <c r="C739" s="25"/>
      <c r="D739" s="26"/>
      <c r="E739" s="4"/>
      <c r="F739" s="25"/>
      <c r="G739" s="26"/>
      <c r="H739" s="55"/>
      <c r="N739" s="95" t="str">
        <f t="shared" si="43"/>
        <v/>
      </c>
      <c r="O739" s="95" t="str">
        <f t="shared" si="42"/>
        <v/>
      </c>
    </row>
    <row r="740" spans="1:15" x14ac:dyDescent="0.25">
      <c r="A740" s="98"/>
      <c r="B740" s="33"/>
      <c r="C740" s="25"/>
      <c r="D740" s="26"/>
      <c r="E740" s="4"/>
      <c r="F740" s="25"/>
      <c r="G740" s="26"/>
      <c r="H740" s="55"/>
      <c r="N740" s="95" t="str">
        <f t="shared" si="43"/>
        <v/>
      </c>
      <c r="O740" s="95" t="str">
        <f t="shared" si="42"/>
        <v/>
      </c>
    </row>
    <row r="741" spans="1:15" x14ac:dyDescent="0.25">
      <c r="A741" s="98"/>
      <c r="B741" s="33"/>
      <c r="C741" s="25"/>
      <c r="D741" s="26"/>
      <c r="E741" s="4"/>
      <c r="F741" s="25"/>
      <c r="G741" s="26"/>
      <c r="H741" s="55"/>
      <c r="N741" s="95" t="str">
        <f t="shared" si="43"/>
        <v/>
      </c>
      <c r="O741" s="95" t="str">
        <f t="shared" si="42"/>
        <v/>
      </c>
    </row>
    <row r="742" spans="1:15" x14ac:dyDescent="0.25">
      <c r="A742" s="98"/>
      <c r="B742" s="33"/>
      <c r="C742" s="25"/>
      <c r="D742" s="26"/>
      <c r="E742" s="4"/>
      <c r="F742" s="25"/>
      <c r="G742" s="26"/>
      <c r="H742" s="55"/>
      <c r="N742" s="95" t="str">
        <f t="shared" si="43"/>
        <v/>
      </c>
      <c r="O742" s="95" t="str">
        <f t="shared" si="42"/>
        <v/>
      </c>
    </row>
    <row r="743" spans="1:15" x14ac:dyDescent="0.25">
      <c r="A743" s="98"/>
      <c r="B743" s="33"/>
      <c r="C743" s="25"/>
      <c r="D743" s="26"/>
      <c r="E743" s="4"/>
      <c r="F743" s="25"/>
      <c r="G743" s="26"/>
      <c r="H743" s="55"/>
      <c r="N743" s="95" t="str">
        <f t="shared" si="43"/>
        <v/>
      </c>
      <c r="O743" s="95" t="str">
        <f t="shared" si="42"/>
        <v/>
      </c>
    </row>
    <row r="744" spans="1:15" x14ac:dyDescent="0.25">
      <c r="A744" s="98"/>
      <c r="B744" s="33"/>
      <c r="C744" s="25"/>
      <c r="D744" s="26"/>
      <c r="E744" s="4"/>
      <c r="F744" s="25"/>
      <c r="G744" s="26"/>
      <c r="H744" s="55"/>
      <c r="N744" s="95" t="str">
        <f t="shared" si="43"/>
        <v/>
      </c>
      <c r="O744" s="95" t="str">
        <f t="shared" si="42"/>
        <v/>
      </c>
    </row>
    <row r="745" spans="1:15" x14ac:dyDescent="0.25">
      <c r="A745" s="98"/>
      <c r="B745" s="33"/>
      <c r="C745" s="25"/>
      <c r="D745" s="26"/>
      <c r="E745" s="4"/>
      <c r="F745" s="25"/>
      <c r="G745" s="26"/>
      <c r="H745" s="55"/>
      <c r="N745" s="95" t="str">
        <f t="shared" si="43"/>
        <v/>
      </c>
      <c r="O745" s="95" t="str">
        <f t="shared" si="42"/>
        <v/>
      </c>
    </row>
    <row r="746" spans="1:15" x14ac:dyDescent="0.25">
      <c r="A746" s="98"/>
      <c r="B746" s="33"/>
      <c r="C746" s="25"/>
      <c r="D746" s="26"/>
      <c r="E746" s="4"/>
      <c r="F746" s="25"/>
      <c r="G746" s="26"/>
      <c r="H746" s="55"/>
      <c r="N746" s="95" t="str">
        <f t="shared" si="43"/>
        <v/>
      </c>
      <c r="O746" s="95" t="str">
        <f t="shared" si="42"/>
        <v/>
      </c>
    </row>
    <row r="747" spans="1:15" x14ac:dyDescent="0.25">
      <c r="A747" s="98"/>
      <c r="B747" s="33"/>
      <c r="C747" s="25"/>
      <c r="D747" s="26"/>
      <c r="E747" s="4"/>
      <c r="F747" s="25"/>
      <c r="G747" s="26"/>
      <c r="H747" s="55"/>
    </row>
    <row r="748" spans="1:15" x14ac:dyDescent="0.25">
      <c r="A748" s="98"/>
      <c r="B748" s="33"/>
      <c r="C748" s="25"/>
      <c r="D748" s="26"/>
      <c r="E748" s="4"/>
      <c r="F748" s="25"/>
      <c r="G748" s="26"/>
      <c r="H748" s="55"/>
    </row>
  </sheetData>
  <mergeCells count="2">
    <mergeCell ref="B12:D12"/>
    <mergeCell ref="E12:G12"/>
  </mergeCells>
  <conditionalFormatting sqref="M1:M7 H8:H1048576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D5" sqref="D5"/>
    </sheetView>
  </sheetViews>
  <sheetFormatPr defaultColWidth="8.85546875" defaultRowHeight="15" x14ac:dyDescent="0.25"/>
  <cols>
    <col min="1" max="1" width="15.42578125" style="97" bestFit="1" customWidth="1"/>
    <col min="2" max="5" width="16.85546875" style="39" customWidth="1"/>
    <col min="6" max="6" width="10.5703125" style="39" bestFit="1" customWidth="1"/>
    <col min="7" max="7" width="10.42578125" style="39" bestFit="1" customWidth="1"/>
    <col min="8" max="8" width="14" style="39" customWidth="1"/>
    <col min="9" max="9" width="8.5703125" style="39" bestFit="1" customWidth="1"/>
    <col min="10" max="10" width="10.5703125" style="39" bestFit="1" customWidth="1"/>
    <col min="11" max="11" width="11.85546875" style="39" bestFit="1" customWidth="1"/>
    <col min="12" max="12" width="10.7109375" style="39" bestFit="1" customWidth="1"/>
    <col min="13" max="13" width="15.7109375" style="39" customWidth="1"/>
    <col min="14" max="14" width="8.85546875" style="39" customWidth="1"/>
    <col min="15" max="15" width="15.7109375" style="39" customWidth="1"/>
    <col min="16" max="16" width="8.85546875" style="39" customWidth="1"/>
    <col min="17" max="17" width="15.7109375" style="39" customWidth="1"/>
    <col min="18" max="18" width="8.85546875" style="39" customWidth="1"/>
    <col min="19" max="22" width="15.7109375" style="97" bestFit="1" customWidth="1"/>
    <col min="23" max="16384" width="8.85546875" style="39"/>
  </cols>
  <sheetData>
    <row r="1" spans="1:22" ht="15.75" thickBot="1" x14ac:dyDescent="0.3">
      <c r="A1" s="1"/>
      <c r="B1" s="1"/>
      <c r="C1" s="1"/>
      <c r="D1" s="1"/>
      <c r="E1" s="1"/>
      <c r="L1" s="1"/>
      <c r="M1" s="38"/>
      <c r="N1" s="1"/>
      <c r="O1" s="1"/>
      <c r="P1" s="1"/>
      <c r="Q1" s="1"/>
      <c r="R1" s="1"/>
      <c r="V1" s="97" t="str" cm="1">
        <f t="array" ref="V1">LOOKUP(2,1/(V:V&lt;&gt;""),V:V)</f>
        <v>#N/A Invalid Security</v>
      </c>
    </row>
    <row r="2" spans="1:22" ht="15.75" thickBot="1" x14ac:dyDescent="0.3">
      <c r="A2" s="24"/>
      <c r="B2" s="28" t="s">
        <v>0</v>
      </c>
      <c r="C2" s="32" t="s">
        <v>0</v>
      </c>
      <c r="D2" s="23" t="s">
        <v>1</v>
      </c>
      <c r="F2" s="72"/>
      <c r="G2" s="73"/>
      <c r="L2" s="1"/>
      <c r="M2" s="22" t="s">
        <v>0</v>
      </c>
      <c r="N2" s="1"/>
      <c r="O2" s="32" t="s">
        <v>0</v>
      </c>
      <c r="P2" s="2"/>
      <c r="Q2" s="23" t="s">
        <v>1</v>
      </c>
      <c r="R2" s="1"/>
      <c r="T2" s="39" cm="1">
        <f t="array" ref="T2:T4">_xlfn.UNIQUE(S:S)</f>
        <v>0</v>
      </c>
      <c r="V2" s="39" cm="1">
        <f t="array" ref="V2:V4">_xlfn.UNIQUE(U:U)</f>
        <v>0</v>
      </c>
    </row>
    <row r="3" spans="1:22" x14ac:dyDescent="0.25">
      <c r="A3" s="14" t="s">
        <v>19</v>
      </c>
      <c r="B3" s="1" t="s">
        <v>16</v>
      </c>
      <c r="C3" s="1" t="s">
        <v>17</v>
      </c>
      <c r="D3" s="5" t="s">
        <v>18</v>
      </c>
      <c r="L3" s="1"/>
      <c r="M3" s="71" t="str" cm="1">
        <f t="array" ref="M3">_xll.BDH(B4, "LAST_PRICE", "01/01/2025 15:00:00", "01/01/2035 16:00:00", "BarSize=60", "BarType=T", "RecurDaily=True", "TZ=London")</f>
        <v>#N/A Invalid Security</v>
      </c>
      <c r="N3" s="1"/>
      <c r="O3" s="71" t="str" cm="1">
        <f t="array" ref="O3">_xll.BDH(C4, "LAST_PRICE", "01/01/2025 15:00:00", "01/01/2035 16:00:00", "BarSize=60", "BarType=T", "RecurDaily=True", "TZ=London")</f>
        <v>#N/A Invalid Security</v>
      </c>
      <c r="P3" s="34"/>
      <c r="Q3" s="71" t="str" cm="1">
        <f t="array" ref="Q3">_xll.BDH(D4, "LAST_PRICE", "01/01/2025 15:00:00", "01/01/2035 16:00:00", "BarSize=60", "BarType=T", "RecurDaily=True", "TZ=London")</f>
        <v>#N/A Invalid Security</v>
      </c>
      <c r="R3" s="1"/>
      <c r="S3" s="97" t="str">
        <f>IF(COUNTIF(O:O,M3)*COUNTIF(Q:Q,M3),M3,"")</f>
        <v>#N/A Invalid Security</v>
      </c>
      <c r="T3" s="97" t="str">
        <v>#N/A Invalid Security</v>
      </c>
      <c r="U3" s="97" t="str">
        <f>IF(T3&gt;$A$14,T3,"")</f>
        <v>#N/A Invalid Security</v>
      </c>
      <c r="V3" s="97" t="str">
        <v>#N/A Invalid Security</v>
      </c>
    </row>
    <row r="4" spans="1:22" ht="32.25" customHeight="1" x14ac:dyDescent="0.25">
      <c r="A4" s="14" t="s">
        <v>20</v>
      </c>
      <c r="B4" s="29" t="s">
        <v>13</v>
      </c>
      <c r="C4" s="29" t="s">
        <v>13</v>
      </c>
      <c r="D4" s="30" t="s">
        <v>13</v>
      </c>
      <c r="L4" s="1"/>
      <c r="M4" s="74"/>
      <c r="N4" s="1"/>
      <c r="O4" s="75"/>
      <c r="P4" s="1"/>
      <c r="Q4" s="75"/>
      <c r="R4" s="1"/>
      <c r="S4" s="97" t="str">
        <f t="shared" ref="S4:S67" si="0">IF(COUNTIF(O:O,M4)*COUNTIF(Q:Q,M4),M4,"")</f>
        <v/>
      </c>
      <c r="T4" s="97" t="str">
        <v/>
      </c>
      <c r="U4" s="97" t="str">
        <f t="shared" ref="U4:U67" si="1">IF(T4&gt;$A$14,T4,"")</f>
        <v/>
      </c>
      <c r="V4" s="97" t="str">
        <v/>
      </c>
    </row>
    <row r="5" spans="1:22" x14ac:dyDescent="0.25">
      <c r="A5" s="14" t="s">
        <v>2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74"/>
      <c r="N5" s="1"/>
      <c r="O5" s="75"/>
      <c r="P5" s="1"/>
      <c r="Q5" s="75"/>
      <c r="R5" s="1"/>
      <c r="S5" s="97" t="str">
        <f t="shared" si="0"/>
        <v/>
      </c>
      <c r="U5" s="97" t="str">
        <f t="shared" si="1"/>
        <v/>
      </c>
    </row>
    <row r="6" spans="1:22" x14ac:dyDescent="0.25">
      <c r="A6" s="14" t="s">
        <v>3</v>
      </c>
      <c r="B6" s="9">
        <v>0.05</v>
      </c>
      <c r="C6" s="9">
        <v>0.01</v>
      </c>
      <c r="D6" s="31">
        <v>0.01</v>
      </c>
      <c r="L6" s="1"/>
      <c r="M6" s="74"/>
      <c r="N6" s="1"/>
      <c r="O6" s="75"/>
      <c r="P6" s="1"/>
      <c r="Q6" s="75"/>
      <c r="R6" s="1"/>
      <c r="S6" s="97" t="str">
        <f t="shared" si="0"/>
        <v/>
      </c>
      <c r="U6" s="97" t="str">
        <f t="shared" si="1"/>
        <v/>
      </c>
    </row>
    <row r="7" spans="1:22" x14ac:dyDescent="0.25">
      <c r="A7" s="14" t="s">
        <v>4</v>
      </c>
      <c r="B7" s="9">
        <v>0</v>
      </c>
      <c r="C7" s="9">
        <v>0</v>
      </c>
      <c r="D7" s="31">
        <v>0</v>
      </c>
      <c r="L7" s="1"/>
      <c r="M7" s="74"/>
      <c r="N7" s="1"/>
      <c r="O7" s="75"/>
      <c r="P7" s="1"/>
      <c r="Q7" s="75"/>
      <c r="R7" s="1"/>
      <c r="S7" s="97" t="str">
        <f t="shared" si="0"/>
        <v/>
      </c>
      <c r="U7" s="97" t="str">
        <f t="shared" si="1"/>
        <v/>
      </c>
    </row>
    <row r="8" spans="1:22" x14ac:dyDescent="0.25">
      <c r="A8" s="14" t="s">
        <v>5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74"/>
      <c r="O8" s="74"/>
      <c r="Q8" s="74"/>
      <c r="S8" s="97" t="str">
        <f t="shared" si="0"/>
        <v/>
      </c>
      <c r="U8" s="97" t="str">
        <f t="shared" si="1"/>
        <v/>
      </c>
    </row>
    <row r="9" spans="1:22" x14ac:dyDescent="0.25">
      <c r="A9" s="14" t="s">
        <v>6</v>
      </c>
      <c r="B9" s="1" t="s">
        <v>13</v>
      </c>
      <c r="C9" s="1" t="s">
        <v>13</v>
      </c>
      <c r="D9" s="5" t="s">
        <v>13</v>
      </c>
      <c r="G9" s="1"/>
      <c r="H9" s="1"/>
      <c r="I9" s="1"/>
      <c r="J9" s="1"/>
      <c r="K9" s="1"/>
      <c r="L9" s="1"/>
      <c r="M9" s="74"/>
      <c r="O9" s="74"/>
      <c r="Q9" s="74"/>
      <c r="S9" s="97" t="str">
        <f t="shared" si="0"/>
        <v/>
      </c>
      <c r="U9" s="97" t="str">
        <f t="shared" si="1"/>
        <v/>
      </c>
    </row>
    <row r="10" spans="1:22" ht="15.75" thickBot="1" x14ac:dyDescent="0.3">
      <c r="A10" s="15" t="s">
        <v>15</v>
      </c>
      <c r="B10" s="70" t="str" cm="1">
        <f t="array" ref="B10">_xll.BDP(B4,"px_last")</f>
        <v>#N/A Invalid Security</v>
      </c>
      <c r="C10" s="70" t="str" cm="1">
        <f t="array" ref="C10">_xll.BDP(C4,"px_last")</f>
        <v>#N/A Invalid Security</v>
      </c>
      <c r="D10" s="57" t="str" cm="1">
        <f t="array" ref="D10">_xll.BDP(D4,"px_last")</f>
        <v>#N/A Invalid Security</v>
      </c>
      <c r="E10" s="1"/>
      <c r="F10" s="1"/>
      <c r="G10" s="1"/>
      <c r="H10" s="1"/>
      <c r="I10" s="1"/>
      <c r="J10" s="1"/>
      <c r="K10" s="1"/>
      <c r="L10" s="1"/>
      <c r="M10" s="74"/>
      <c r="O10" s="74"/>
      <c r="Q10" s="74"/>
      <c r="S10" s="97" t="str">
        <f t="shared" si="0"/>
        <v/>
      </c>
      <c r="U10" s="97" t="str">
        <f t="shared" si="1"/>
        <v/>
      </c>
    </row>
    <row r="11" spans="1:22" ht="15.75" thickBot="1" x14ac:dyDescent="0.3">
      <c r="A11" s="39"/>
      <c r="C11" s="1"/>
      <c r="D11" s="1"/>
      <c r="E11" s="1"/>
      <c r="F11" s="1"/>
      <c r="G11" s="1"/>
      <c r="H11" s="1"/>
      <c r="I11" s="1"/>
      <c r="J11" s="1"/>
      <c r="K11" s="1"/>
      <c r="L11" s="1"/>
      <c r="M11" s="74"/>
      <c r="O11" s="74"/>
      <c r="Q11" s="74"/>
      <c r="S11" s="97" t="str">
        <f t="shared" si="0"/>
        <v/>
      </c>
      <c r="U11" s="97" t="str">
        <f t="shared" si="1"/>
        <v/>
      </c>
    </row>
    <row r="12" spans="1:22" ht="15.75" thickBot="1" x14ac:dyDescent="0.3">
      <c r="A12" s="27" t="s">
        <v>12</v>
      </c>
      <c r="B12" s="138" t="s">
        <v>0</v>
      </c>
      <c r="C12" s="139"/>
      <c r="D12" s="144"/>
      <c r="E12" s="135" t="s">
        <v>0</v>
      </c>
      <c r="F12" s="136"/>
      <c r="G12" s="137"/>
      <c r="H12" s="140" t="s">
        <v>1</v>
      </c>
      <c r="I12" s="141"/>
      <c r="J12" s="142"/>
      <c r="K12" s="27" t="s">
        <v>7</v>
      </c>
      <c r="L12" s="1"/>
      <c r="M12" s="74"/>
      <c r="O12" s="74"/>
      <c r="Q12" s="74"/>
      <c r="S12" s="97" t="str">
        <f t="shared" si="0"/>
        <v/>
      </c>
      <c r="U12" s="97" t="str">
        <f t="shared" si="1"/>
        <v/>
      </c>
    </row>
    <row r="13" spans="1:22" ht="15.75" thickBot="1" x14ac:dyDescent="0.3">
      <c r="A13" s="15"/>
      <c r="B13" s="11" t="s">
        <v>14</v>
      </c>
      <c r="C13" s="20" t="s">
        <v>9</v>
      </c>
      <c r="D13" s="21" t="s">
        <v>10</v>
      </c>
      <c r="E13" s="11" t="s">
        <v>14</v>
      </c>
      <c r="F13" s="20" t="s">
        <v>9</v>
      </c>
      <c r="G13" s="21" t="s">
        <v>10</v>
      </c>
      <c r="H13" s="11" t="s">
        <v>14</v>
      </c>
      <c r="I13" s="20" t="s">
        <v>9</v>
      </c>
      <c r="J13" s="21" t="s">
        <v>10</v>
      </c>
      <c r="K13" s="15"/>
      <c r="L13" s="1"/>
      <c r="M13" s="74"/>
      <c r="O13" s="74"/>
      <c r="Q13" s="74"/>
      <c r="S13" s="97" t="str">
        <f t="shared" si="0"/>
        <v/>
      </c>
      <c r="U13" s="97" t="str">
        <f t="shared" si="1"/>
        <v/>
      </c>
    </row>
    <row r="14" spans="1:22" x14ac:dyDescent="0.25">
      <c r="A14" s="100">
        <v>45924.625</v>
      </c>
      <c r="B14" s="99">
        <v>44.5</v>
      </c>
      <c r="C14" s="34"/>
      <c r="D14" s="35"/>
      <c r="E14" s="96">
        <v>34</v>
      </c>
      <c r="F14" s="1"/>
      <c r="G14" s="5"/>
      <c r="H14" s="96">
        <v>51</v>
      </c>
      <c r="I14" s="1"/>
      <c r="J14" s="5"/>
      <c r="K14" s="54">
        <v>0</v>
      </c>
      <c r="L14" s="1"/>
      <c r="M14" s="74"/>
      <c r="O14" s="74"/>
      <c r="Q14" s="74"/>
      <c r="S14" s="97" t="str">
        <f t="shared" si="0"/>
        <v/>
      </c>
      <c r="U14" s="97" t="str">
        <f t="shared" si="1"/>
        <v/>
      </c>
    </row>
    <row r="15" spans="1:22" x14ac:dyDescent="0.25">
      <c r="A15" s="98" t="str">
        <f ca="1">IF(AND(ISBLANK(V4), A14 = $V$1),NOW(),IF(ISBLANK(V4),"",V4))</f>
        <v/>
      </c>
      <c r="B15" s="1" t="str">
        <f ca="1">IF(COUNTIF(O:O,A15)=1,VLOOKUP(A15,M:N,2), IF(COUNTIF(O:O,A15)=0,$B$10,""))</f>
        <v/>
      </c>
      <c r="C15" s="25" t="str">
        <f ca="1">IF(ISERROR(B15-2),"", -1*(B15-$B$14)*10^-4*$B$8*$B$5)</f>
        <v/>
      </c>
      <c r="D15" s="26" t="str">
        <f ca="1">IF(ISERROR(B15-2),"",$B$6*(INT(A15)-INT($A$14))/360*$B$5)</f>
        <v/>
      </c>
      <c r="E15" s="4" t="str">
        <f ca="1">IF(COUNTIF(O:O,A15)=1,VLOOKUP(A15,O:P,2), IF(COUNTIF(O:O,A15)=0,$C$10,""))</f>
        <v/>
      </c>
      <c r="F15" s="25" t="str">
        <f ca="1">IF(ISERROR(B15-2),"", -1*(E15-$E$14)*10^-4*$C$8*$C$5)</f>
        <v/>
      </c>
      <c r="G15" s="26" t="str">
        <f ca="1">IF(ISERROR(B15-2),"",$C$6*(INT(A15)-INT($A$14))/360*$C$5)</f>
        <v/>
      </c>
      <c r="H15" s="4" t="str">
        <f ca="1">IF(COUNTIF(O:O,A15)=1,VLOOKUP(A15,Q:R,2), IF(COUNTIF(O:O,A15)=0,$D$10,""))</f>
        <v/>
      </c>
      <c r="I15" s="25" t="str">
        <f ca="1">IF(ISERROR(B15-2),"", -1*(H15-$H$14)*10^-4*$D$8*$D$5)</f>
        <v/>
      </c>
      <c r="J15" s="26" t="str">
        <f ca="1">IF(ISERROR(B15-2),"",$D$6*(INT(A15)-INT($A$14))/360*$D$5)</f>
        <v/>
      </c>
      <c r="K15" s="59" t="str">
        <f ca="1">IF(ISERROR(B15-2),"",C15+D15+F15+G15-I15-J15)</f>
        <v/>
      </c>
      <c r="L15" s="1"/>
      <c r="M15" s="74"/>
      <c r="O15" s="74"/>
      <c r="Q15" s="74"/>
      <c r="S15" s="97" t="str">
        <f t="shared" si="0"/>
        <v/>
      </c>
      <c r="U15" s="97" t="str">
        <f t="shared" si="1"/>
        <v/>
      </c>
    </row>
    <row r="16" spans="1:22" x14ac:dyDescent="0.25">
      <c r="A16" s="98" t="str">
        <f t="shared" ref="A16:A37" ca="1" si="2">IF(AND(ISBLANK(V5), A15 = $V$1),NOW(),IF(ISBLANK(V5),"",V5))</f>
        <v/>
      </c>
      <c r="B16" s="1" t="str">
        <f t="shared" ref="B16:B42" ca="1" si="3">IF(COUNTIF(O:O,A16)=1,VLOOKUP(A16,M:N,2), IF(COUNTIF(O:O,A16)=0,$B$10,""))</f>
        <v/>
      </c>
      <c r="C16" s="25" t="str">
        <f t="shared" ref="C16:C42" ca="1" si="4">IF(ISERROR(B16-2),"", -1*(B16-$B$14)*10^-4*$B$8*$B$5)</f>
        <v/>
      </c>
      <c r="D16" s="26" t="str">
        <f t="shared" ref="D16:D79" ca="1" si="5">IF(ISERROR(B16-2),"",$B$6*(INT(A16)-INT($A$14))/360*$B$5)</f>
        <v/>
      </c>
      <c r="E16" s="4" t="str">
        <f t="shared" ref="E16:E42" ca="1" si="6">IF(COUNTIF(O:O,A16)=1,VLOOKUP(A16,O:P,2), IF(COUNTIF(O:O,A16)=0,$C$10,""))</f>
        <v/>
      </c>
      <c r="F16" s="25" t="str">
        <f t="shared" ref="F16:F37" ca="1" si="7">IF(ISERROR(B16-2),"", -1*(E16-$E$14)*10^-4*$C$8*$C$5)</f>
        <v/>
      </c>
      <c r="G16" s="26" t="str">
        <f t="shared" ref="G16:G79" ca="1" si="8">IF(ISERROR(B16-2),"",$C$6*(INT(A16)-INT($A$14))/360*$C$5)</f>
        <v/>
      </c>
      <c r="H16" s="4" t="str">
        <f t="shared" ref="H16:H42" ca="1" si="9">IF(COUNTIF(O:O,A16)=1,VLOOKUP(A16,Q:R,2), IF(COUNTIF(O:O,A16)=0,$D$10,""))</f>
        <v/>
      </c>
      <c r="I16" s="25" t="str">
        <f t="shared" ref="I16:I37" ca="1" si="10">IF(ISERROR(B16-2),"", -1*(H16-$H$14)*10^-4*$D$8*$D$5)</f>
        <v/>
      </c>
      <c r="J16" s="26" t="str">
        <f t="shared" ref="J16:J79" ca="1" si="11">IF(ISERROR(B16-2),"",$D$6*(INT(A16)-INT($A$14))/360*$D$5)</f>
        <v/>
      </c>
      <c r="K16" s="59" t="str">
        <f t="shared" ref="K16:K37" ca="1" si="12">IF(ISERROR(B16-2),"",C16+D16+F16+G16-I16-J16)</f>
        <v/>
      </c>
      <c r="L16" s="1"/>
      <c r="M16" s="74"/>
      <c r="O16" s="74"/>
      <c r="Q16" s="74"/>
      <c r="S16" s="97" t="str">
        <f t="shared" si="0"/>
        <v/>
      </c>
      <c r="U16" s="97" t="str">
        <f t="shared" si="1"/>
        <v/>
      </c>
    </row>
    <row r="17" spans="1:21" x14ac:dyDescent="0.25">
      <c r="A17" s="98" t="str">
        <f t="shared" ca="1" si="2"/>
        <v/>
      </c>
      <c r="B17" s="1" t="str">
        <f t="shared" ca="1" si="3"/>
        <v/>
      </c>
      <c r="C17" s="25" t="str">
        <f t="shared" ca="1" si="4"/>
        <v/>
      </c>
      <c r="D17" s="26" t="str">
        <f t="shared" ca="1" si="5"/>
        <v/>
      </c>
      <c r="E17" s="4" t="str">
        <f t="shared" ca="1" si="6"/>
        <v/>
      </c>
      <c r="F17" s="25" t="str">
        <f t="shared" ca="1" si="7"/>
        <v/>
      </c>
      <c r="G17" s="26" t="str">
        <f t="shared" ca="1" si="8"/>
        <v/>
      </c>
      <c r="H17" s="4" t="str">
        <f t="shared" ca="1" si="9"/>
        <v/>
      </c>
      <c r="I17" s="25" t="str">
        <f t="shared" ca="1" si="10"/>
        <v/>
      </c>
      <c r="J17" s="26" t="str">
        <f t="shared" ca="1" si="11"/>
        <v/>
      </c>
      <c r="K17" s="59" t="str">
        <f t="shared" ca="1" si="12"/>
        <v/>
      </c>
      <c r="L17" s="1"/>
      <c r="M17" s="74"/>
      <c r="O17" s="74"/>
      <c r="Q17" s="74"/>
      <c r="S17" s="97" t="str">
        <f t="shared" si="0"/>
        <v/>
      </c>
      <c r="U17" s="97" t="str">
        <f t="shared" si="1"/>
        <v/>
      </c>
    </row>
    <row r="18" spans="1:21" x14ac:dyDescent="0.25">
      <c r="A18" s="98" t="str">
        <f t="shared" ca="1" si="2"/>
        <v/>
      </c>
      <c r="B18" s="1" t="str">
        <f t="shared" ca="1" si="3"/>
        <v/>
      </c>
      <c r="C18" s="25" t="str">
        <f t="shared" ca="1" si="4"/>
        <v/>
      </c>
      <c r="D18" s="26" t="str">
        <f t="shared" ca="1" si="5"/>
        <v/>
      </c>
      <c r="E18" s="4" t="str">
        <f t="shared" ca="1" si="6"/>
        <v/>
      </c>
      <c r="F18" s="25" t="str">
        <f t="shared" ca="1" si="7"/>
        <v/>
      </c>
      <c r="G18" s="26" t="str">
        <f t="shared" ca="1" si="8"/>
        <v/>
      </c>
      <c r="H18" s="4" t="str">
        <f t="shared" ca="1" si="9"/>
        <v/>
      </c>
      <c r="I18" s="25" t="str">
        <f t="shared" ca="1" si="10"/>
        <v/>
      </c>
      <c r="J18" s="26" t="str">
        <f t="shared" ca="1" si="11"/>
        <v/>
      </c>
      <c r="K18" s="59" t="str">
        <f t="shared" ca="1" si="12"/>
        <v/>
      </c>
      <c r="L18" s="1"/>
      <c r="M18" s="74"/>
      <c r="O18" s="74"/>
      <c r="Q18" s="74"/>
      <c r="S18" s="97" t="str">
        <f t="shared" si="0"/>
        <v/>
      </c>
      <c r="U18" s="97" t="str">
        <f t="shared" si="1"/>
        <v/>
      </c>
    </row>
    <row r="19" spans="1:21" x14ac:dyDescent="0.25">
      <c r="A19" s="98" t="str">
        <f t="shared" ca="1" si="2"/>
        <v/>
      </c>
      <c r="B19" s="1" t="str">
        <f t="shared" ca="1" si="3"/>
        <v/>
      </c>
      <c r="C19" s="25" t="str">
        <f t="shared" ca="1" si="4"/>
        <v/>
      </c>
      <c r="D19" s="26" t="str">
        <f t="shared" ca="1" si="5"/>
        <v/>
      </c>
      <c r="E19" s="4" t="str">
        <f t="shared" ca="1" si="6"/>
        <v/>
      </c>
      <c r="F19" s="25" t="str">
        <f t="shared" ca="1" si="7"/>
        <v/>
      </c>
      <c r="G19" s="26" t="str">
        <f t="shared" ca="1" si="8"/>
        <v/>
      </c>
      <c r="H19" s="4" t="str">
        <f t="shared" ca="1" si="9"/>
        <v/>
      </c>
      <c r="I19" s="25" t="str">
        <f t="shared" ca="1" si="10"/>
        <v/>
      </c>
      <c r="J19" s="26" t="str">
        <f t="shared" ca="1" si="11"/>
        <v/>
      </c>
      <c r="K19" s="59" t="str">
        <f t="shared" ca="1" si="12"/>
        <v/>
      </c>
      <c r="L19" s="1"/>
      <c r="M19" s="74"/>
      <c r="O19" s="74"/>
      <c r="Q19" s="74"/>
      <c r="S19" s="97" t="str">
        <f t="shared" si="0"/>
        <v/>
      </c>
      <c r="U19" s="97" t="str">
        <f t="shared" si="1"/>
        <v/>
      </c>
    </row>
    <row r="20" spans="1:21" x14ac:dyDescent="0.25">
      <c r="A20" s="98" t="str">
        <f t="shared" ca="1" si="2"/>
        <v/>
      </c>
      <c r="B20" s="1" t="str">
        <f t="shared" ca="1" si="3"/>
        <v/>
      </c>
      <c r="C20" s="25" t="str">
        <f t="shared" ca="1" si="4"/>
        <v/>
      </c>
      <c r="D20" s="26" t="str">
        <f t="shared" ca="1" si="5"/>
        <v/>
      </c>
      <c r="E20" s="4" t="str">
        <f t="shared" ca="1" si="6"/>
        <v/>
      </c>
      <c r="F20" s="25" t="str">
        <f t="shared" ca="1" si="7"/>
        <v/>
      </c>
      <c r="G20" s="26" t="str">
        <f t="shared" ca="1" si="8"/>
        <v/>
      </c>
      <c r="H20" s="4" t="str">
        <f t="shared" ca="1" si="9"/>
        <v/>
      </c>
      <c r="I20" s="25" t="str">
        <f t="shared" ca="1" si="10"/>
        <v/>
      </c>
      <c r="J20" s="26" t="str">
        <f t="shared" ca="1" si="11"/>
        <v/>
      </c>
      <c r="K20" s="59" t="str">
        <f t="shared" ca="1" si="12"/>
        <v/>
      </c>
      <c r="L20" s="1"/>
      <c r="M20" s="74"/>
      <c r="O20" s="74"/>
      <c r="Q20" s="74"/>
      <c r="S20" s="97" t="str">
        <f t="shared" si="0"/>
        <v/>
      </c>
      <c r="U20" s="97" t="str">
        <f t="shared" si="1"/>
        <v/>
      </c>
    </row>
    <row r="21" spans="1:21" x14ac:dyDescent="0.25">
      <c r="A21" s="98" t="str">
        <f t="shared" ca="1" si="2"/>
        <v/>
      </c>
      <c r="B21" s="1" t="str">
        <f t="shared" ca="1" si="3"/>
        <v/>
      </c>
      <c r="C21" s="25" t="str">
        <f t="shared" ca="1" si="4"/>
        <v/>
      </c>
      <c r="D21" s="26" t="str">
        <f t="shared" ca="1" si="5"/>
        <v/>
      </c>
      <c r="E21" s="4" t="str">
        <f t="shared" ca="1" si="6"/>
        <v/>
      </c>
      <c r="F21" s="25" t="str">
        <f t="shared" ca="1" si="7"/>
        <v/>
      </c>
      <c r="G21" s="26" t="str">
        <f t="shared" ca="1" si="8"/>
        <v/>
      </c>
      <c r="H21" s="4" t="str">
        <f t="shared" ca="1" si="9"/>
        <v/>
      </c>
      <c r="I21" s="25" t="str">
        <f t="shared" ca="1" si="10"/>
        <v/>
      </c>
      <c r="J21" s="26" t="str">
        <f t="shared" ca="1" si="11"/>
        <v/>
      </c>
      <c r="K21" s="59" t="str">
        <f t="shared" ca="1" si="12"/>
        <v/>
      </c>
      <c r="L21" s="1"/>
      <c r="M21" s="74"/>
      <c r="O21" s="74"/>
      <c r="Q21" s="74"/>
      <c r="S21" s="97" t="str">
        <f t="shared" si="0"/>
        <v/>
      </c>
      <c r="U21" s="97" t="str">
        <f t="shared" si="1"/>
        <v/>
      </c>
    </row>
    <row r="22" spans="1:21" x14ac:dyDescent="0.25">
      <c r="A22" s="98" t="str">
        <f t="shared" ca="1" si="2"/>
        <v/>
      </c>
      <c r="B22" s="1" t="str">
        <f t="shared" ca="1" si="3"/>
        <v/>
      </c>
      <c r="C22" s="25" t="str">
        <f t="shared" ca="1" si="4"/>
        <v/>
      </c>
      <c r="D22" s="26" t="str">
        <f t="shared" ca="1" si="5"/>
        <v/>
      </c>
      <c r="E22" s="4" t="str">
        <f t="shared" ca="1" si="6"/>
        <v/>
      </c>
      <c r="F22" s="25" t="str">
        <f t="shared" ca="1" si="7"/>
        <v/>
      </c>
      <c r="G22" s="26" t="str">
        <f t="shared" ca="1" si="8"/>
        <v/>
      </c>
      <c r="H22" s="4" t="str">
        <f t="shared" ca="1" si="9"/>
        <v/>
      </c>
      <c r="I22" s="25" t="str">
        <f t="shared" ca="1" si="10"/>
        <v/>
      </c>
      <c r="J22" s="26" t="str">
        <f t="shared" ca="1" si="11"/>
        <v/>
      </c>
      <c r="K22" s="59" t="str">
        <f t="shared" ca="1" si="12"/>
        <v/>
      </c>
      <c r="L22" s="1"/>
      <c r="M22" s="74"/>
      <c r="O22" s="74"/>
      <c r="Q22" s="74"/>
      <c r="S22" s="97" t="str">
        <f t="shared" si="0"/>
        <v/>
      </c>
      <c r="U22" s="97" t="str">
        <f t="shared" si="1"/>
        <v/>
      </c>
    </row>
    <row r="23" spans="1:21" x14ac:dyDescent="0.25">
      <c r="A23" s="98" t="str">
        <f t="shared" ca="1" si="2"/>
        <v/>
      </c>
      <c r="B23" s="1" t="str">
        <f t="shared" ca="1" si="3"/>
        <v/>
      </c>
      <c r="C23" s="25" t="str">
        <f t="shared" ca="1" si="4"/>
        <v/>
      </c>
      <c r="D23" s="26" t="str">
        <f t="shared" ca="1" si="5"/>
        <v/>
      </c>
      <c r="E23" s="4" t="str">
        <f t="shared" ca="1" si="6"/>
        <v/>
      </c>
      <c r="F23" s="25" t="str">
        <f t="shared" ca="1" si="7"/>
        <v/>
      </c>
      <c r="G23" s="26" t="str">
        <f t="shared" ca="1" si="8"/>
        <v/>
      </c>
      <c r="H23" s="4" t="str">
        <f t="shared" ca="1" si="9"/>
        <v/>
      </c>
      <c r="I23" s="25" t="str">
        <f t="shared" ca="1" si="10"/>
        <v/>
      </c>
      <c r="J23" s="26" t="str">
        <f t="shared" ca="1" si="11"/>
        <v/>
      </c>
      <c r="K23" s="59" t="str">
        <f t="shared" ca="1" si="12"/>
        <v/>
      </c>
      <c r="L23" s="1"/>
      <c r="M23" s="74"/>
      <c r="O23" s="74"/>
      <c r="Q23" s="74"/>
      <c r="S23" s="97" t="str">
        <f t="shared" si="0"/>
        <v/>
      </c>
      <c r="U23" s="97" t="str">
        <f t="shared" si="1"/>
        <v/>
      </c>
    </row>
    <row r="24" spans="1:21" x14ac:dyDescent="0.25">
      <c r="A24" s="98" t="str">
        <f t="shared" ca="1" si="2"/>
        <v/>
      </c>
      <c r="B24" s="1" t="str">
        <f t="shared" ca="1" si="3"/>
        <v/>
      </c>
      <c r="C24" s="25" t="str">
        <f t="shared" ca="1" si="4"/>
        <v/>
      </c>
      <c r="D24" s="26" t="str">
        <f t="shared" ca="1" si="5"/>
        <v/>
      </c>
      <c r="E24" s="4" t="str">
        <f t="shared" ca="1" si="6"/>
        <v/>
      </c>
      <c r="F24" s="25" t="str">
        <f t="shared" ca="1" si="7"/>
        <v/>
      </c>
      <c r="G24" s="26" t="str">
        <f t="shared" ca="1" si="8"/>
        <v/>
      </c>
      <c r="H24" s="4" t="str">
        <f t="shared" ca="1" si="9"/>
        <v/>
      </c>
      <c r="I24" s="25" t="str">
        <f t="shared" ca="1" si="10"/>
        <v/>
      </c>
      <c r="J24" s="26" t="str">
        <f t="shared" ca="1" si="11"/>
        <v/>
      </c>
      <c r="K24" s="59" t="str">
        <f t="shared" ca="1" si="12"/>
        <v/>
      </c>
      <c r="L24" s="1"/>
      <c r="M24" s="74"/>
      <c r="O24" s="74"/>
      <c r="Q24" s="74"/>
      <c r="S24" s="97" t="str">
        <f t="shared" si="0"/>
        <v/>
      </c>
      <c r="U24" s="97" t="str">
        <f t="shared" si="1"/>
        <v/>
      </c>
    </row>
    <row r="25" spans="1:21" x14ac:dyDescent="0.25">
      <c r="A25" s="98" t="str">
        <f t="shared" ca="1" si="2"/>
        <v/>
      </c>
      <c r="B25" s="1" t="str">
        <f t="shared" ca="1" si="3"/>
        <v/>
      </c>
      <c r="C25" s="25" t="str">
        <f t="shared" ca="1" si="4"/>
        <v/>
      </c>
      <c r="D25" s="26" t="str">
        <f t="shared" ca="1" si="5"/>
        <v/>
      </c>
      <c r="E25" s="4" t="str">
        <f t="shared" ca="1" si="6"/>
        <v/>
      </c>
      <c r="F25" s="25" t="str">
        <f t="shared" ca="1" si="7"/>
        <v/>
      </c>
      <c r="G25" s="26" t="str">
        <f t="shared" ca="1" si="8"/>
        <v/>
      </c>
      <c r="H25" s="4" t="str">
        <f t="shared" ca="1" si="9"/>
        <v/>
      </c>
      <c r="I25" s="25" t="str">
        <f t="shared" ca="1" si="10"/>
        <v/>
      </c>
      <c r="J25" s="26" t="str">
        <f t="shared" ca="1" si="11"/>
        <v/>
      </c>
      <c r="K25" s="59" t="str">
        <f t="shared" ca="1" si="12"/>
        <v/>
      </c>
      <c r="L25" s="1"/>
      <c r="M25" s="74"/>
      <c r="O25" s="74"/>
      <c r="Q25" s="74"/>
      <c r="S25" s="97" t="str">
        <f t="shared" si="0"/>
        <v/>
      </c>
      <c r="U25" s="97" t="str">
        <f t="shared" si="1"/>
        <v/>
      </c>
    </row>
    <row r="26" spans="1:21" x14ac:dyDescent="0.25">
      <c r="A26" s="98" t="str">
        <f t="shared" ca="1" si="2"/>
        <v/>
      </c>
      <c r="B26" s="1" t="str">
        <f t="shared" ca="1" si="3"/>
        <v/>
      </c>
      <c r="C26" s="25" t="str">
        <f t="shared" ca="1" si="4"/>
        <v/>
      </c>
      <c r="D26" s="26" t="str">
        <f t="shared" ca="1" si="5"/>
        <v/>
      </c>
      <c r="E26" s="4" t="str">
        <f t="shared" ca="1" si="6"/>
        <v/>
      </c>
      <c r="F26" s="25" t="str">
        <f t="shared" ca="1" si="7"/>
        <v/>
      </c>
      <c r="G26" s="26" t="str">
        <f t="shared" ca="1" si="8"/>
        <v/>
      </c>
      <c r="H26" s="4" t="str">
        <f t="shared" ca="1" si="9"/>
        <v/>
      </c>
      <c r="I26" s="25" t="str">
        <f t="shared" ca="1" si="10"/>
        <v/>
      </c>
      <c r="J26" s="26" t="str">
        <f t="shared" ca="1" si="11"/>
        <v/>
      </c>
      <c r="K26" s="59" t="str">
        <f t="shared" ca="1" si="12"/>
        <v/>
      </c>
      <c r="L26" s="1"/>
      <c r="M26" s="74"/>
      <c r="O26" s="74"/>
      <c r="Q26" s="74"/>
      <c r="S26" s="97" t="str">
        <f t="shared" si="0"/>
        <v/>
      </c>
      <c r="U26" s="97" t="str">
        <f t="shared" si="1"/>
        <v/>
      </c>
    </row>
    <row r="27" spans="1:21" x14ac:dyDescent="0.25">
      <c r="A27" s="98" t="str">
        <f t="shared" ca="1" si="2"/>
        <v/>
      </c>
      <c r="B27" s="1" t="str">
        <f t="shared" ca="1" si="3"/>
        <v/>
      </c>
      <c r="C27" s="25" t="str">
        <f t="shared" ca="1" si="4"/>
        <v/>
      </c>
      <c r="D27" s="26" t="str">
        <f t="shared" ca="1" si="5"/>
        <v/>
      </c>
      <c r="E27" s="4" t="str">
        <f t="shared" ca="1" si="6"/>
        <v/>
      </c>
      <c r="F27" s="25" t="str">
        <f t="shared" ca="1" si="7"/>
        <v/>
      </c>
      <c r="G27" s="26" t="str">
        <f t="shared" ca="1" si="8"/>
        <v/>
      </c>
      <c r="H27" s="4" t="str">
        <f t="shared" ca="1" si="9"/>
        <v/>
      </c>
      <c r="I27" s="25" t="str">
        <f t="shared" ca="1" si="10"/>
        <v/>
      </c>
      <c r="J27" s="26" t="str">
        <f t="shared" ca="1" si="11"/>
        <v/>
      </c>
      <c r="K27" s="59" t="str">
        <f t="shared" ca="1" si="12"/>
        <v/>
      </c>
      <c r="L27" s="1"/>
      <c r="M27" s="74"/>
      <c r="O27" s="74"/>
      <c r="Q27" s="74"/>
      <c r="S27" s="97" t="str">
        <f t="shared" si="0"/>
        <v/>
      </c>
      <c r="U27" s="97" t="str">
        <f t="shared" si="1"/>
        <v/>
      </c>
    </row>
    <row r="28" spans="1:21" x14ac:dyDescent="0.25">
      <c r="A28" s="98" t="str">
        <f t="shared" ca="1" si="2"/>
        <v/>
      </c>
      <c r="B28" s="1" t="str">
        <f t="shared" ca="1" si="3"/>
        <v/>
      </c>
      <c r="C28" s="25" t="str">
        <f t="shared" ca="1" si="4"/>
        <v/>
      </c>
      <c r="D28" s="26" t="str">
        <f t="shared" ca="1" si="5"/>
        <v/>
      </c>
      <c r="E28" s="4" t="str">
        <f t="shared" ca="1" si="6"/>
        <v/>
      </c>
      <c r="F28" s="25" t="str">
        <f t="shared" ca="1" si="7"/>
        <v/>
      </c>
      <c r="G28" s="26" t="str">
        <f t="shared" ca="1" si="8"/>
        <v/>
      </c>
      <c r="H28" s="4" t="str">
        <f t="shared" ca="1" si="9"/>
        <v/>
      </c>
      <c r="I28" s="25" t="str">
        <f t="shared" ca="1" si="10"/>
        <v/>
      </c>
      <c r="J28" s="26" t="str">
        <f t="shared" ca="1" si="11"/>
        <v/>
      </c>
      <c r="K28" s="59" t="str">
        <f t="shared" ca="1" si="12"/>
        <v/>
      </c>
      <c r="L28" s="1"/>
      <c r="M28" s="74"/>
      <c r="O28" s="74"/>
      <c r="Q28" s="74"/>
      <c r="S28" s="97" t="str">
        <f t="shared" si="0"/>
        <v/>
      </c>
      <c r="U28" s="97" t="str">
        <f t="shared" si="1"/>
        <v/>
      </c>
    </row>
    <row r="29" spans="1:21" x14ac:dyDescent="0.25">
      <c r="A29" s="98" t="str">
        <f t="shared" ca="1" si="2"/>
        <v/>
      </c>
      <c r="B29" s="1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4" t="str">
        <f t="shared" ca="1" si="6"/>
        <v/>
      </c>
      <c r="F29" s="25" t="str">
        <f t="shared" ca="1" si="7"/>
        <v/>
      </c>
      <c r="G29" s="26" t="str">
        <f t="shared" ca="1" si="8"/>
        <v/>
      </c>
      <c r="H29" s="4" t="str">
        <f t="shared" ca="1" si="9"/>
        <v/>
      </c>
      <c r="I29" s="25" t="str">
        <f t="shared" ca="1" si="10"/>
        <v/>
      </c>
      <c r="J29" s="26" t="str">
        <f t="shared" ca="1" si="11"/>
        <v/>
      </c>
      <c r="K29" s="59" t="str">
        <f t="shared" ca="1" si="12"/>
        <v/>
      </c>
      <c r="L29" s="1"/>
      <c r="M29" s="74"/>
      <c r="O29" s="74"/>
      <c r="Q29" s="74"/>
      <c r="S29" s="97" t="str">
        <f t="shared" si="0"/>
        <v/>
      </c>
      <c r="U29" s="97" t="str">
        <f t="shared" si="1"/>
        <v/>
      </c>
    </row>
    <row r="30" spans="1:21" x14ac:dyDescent="0.25">
      <c r="A30" s="98" t="str">
        <f t="shared" ca="1" si="2"/>
        <v/>
      </c>
      <c r="B30" s="1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4" t="str">
        <f t="shared" ca="1" si="6"/>
        <v/>
      </c>
      <c r="F30" s="25" t="str">
        <f t="shared" ca="1" si="7"/>
        <v/>
      </c>
      <c r="G30" s="26" t="str">
        <f t="shared" ca="1" si="8"/>
        <v/>
      </c>
      <c r="H30" s="4" t="str">
        <f t="shared" ca="1" si="9"/>
        <v/>
      </c>
      <c r="I30" s="25" t="str">
        <f t="shared" ca="1" si="10"/>
        <v/>
      </c>
      <c r="J30" s="26" t="str">
        <f t="shared" ca="1" si="11"/>
        <v/>
      </c>
      <c r="K30" s="59" t="str">
        <f t="shared" ca="1" si="12"/>
        <v/>
      </c>
      <c r="L30" s="1"/>
      <c r="M30" s="74"/>
      <c r="O30" s="74"/>
      <c r="Q30" s="74"/>
      <c r="S30" s="97" t="str">
        <f t="shared" si="0"/>
        <v/>
      </c>
      <c r="U30" s="97" t="str">
        <f t="shared" si="1"/>
        <v/>
      </c>
    </row>
    <row r="31" spans="1:21" x14ac:dyDescent="0.25">
      <c r="A31" s="98" t="str">
        <f t="shared" ca="1" si="2"/>
        <v/>
      </c>
      <c r="B31" s="1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4" t="str">
        <f t="shared" ca="1" si="6"/>
        <v/>
      </c>
      <c r="F31" s="25" t="str">
        <f t="shared" ca="1" si="7"/>
        <v/>
      </c>
      <c r="G31" s="26" t="str">
        <f t="shared" ca="1" si="8"/>
        <v/>
      </c>
      <c r="H31" s="4" t="str">
        <f t="shared" ca="1" si="9"/>
        <v/>
      </c>
      <c r="I31" s="25" t="str">
        <f t="shared" ca="1" si="10"/>
        <v/>
      </c>
      <c r="J31" s="26" t="str">
        <f t="shared" ca="1" si="11"/>
        <v/>
      </c>
      <c r="K31" s="59" t="str">
        <f t="shared" ca="1" si="12"/>
        <v/>
      </c>
      <c r="L31" s="1"/>
      <c r="M31" s="74"/>
      <c r="O31" s="74"/>
      <c r="Q31" s="74"/>
      <c r="S31" s="97" t="str">
        <f t="shared" si="0"/>
        <v/>
      </c>
      <c r="U31" s="97" t="str">
        <f t="shared" si="1"/>
        <v/>
      </c>
    </row>
    <row r="32" spans="1:21" x14ac:dyDescent="0.25">
      <c r="A32" s="98" t="str">
        <f t="shared" ca="1" si="2"/>
        <v/>
      </c>
      <c r="B32" s="1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4" t="str">
        <f t="shared" ca="1" si="6"/>
        <v/>
      </c>
      <c r="F32" s="25" t="str">
        <f t="shared" ca="1" si="7"/>
        <v/>
      </c>
      <c r="G32" s="26" t="str">
        <f t="shared" ca="1" si="8"/>
        <v/>
      </c>
      <c r="H32" s="4" t="str">
        <f t="shared" ca="1" si="9"/>
        <v/>
      </c>
      <c r="I32" s="25" t="str">
        <f t="shared" ca="1" si="10"/>
        <v/>
      </c>
      <c r="J32" s="26" t="str">
        <f t="shared" ca="1" si="11"/>
        <v/>
      </c>
      <c r="K32" s="59" t="str">
        <f t="shared" ca="1" si="12"/>
        <v/>
      </c>
      <c r="L32" s="1"/>
      <c r="M32" s="74"/>
      <c r="O32" s="74"/>
      <c r="Q32" s="74"/>
      <c r="S32" s="97" t="str">
        <f t="shared" si="0"/>
        <v/>
      </c>
      <c r="U32" s="97" t="str">
        <f t="shared" si="1"/>
        <v/>
      </c>
    </row>
    <row r="33" spans="1:21" x14ac:dyDescent="0.25">
      <c r="A33" s="98" t="str">
        <f t="shared" ca="1" si="2"/>
        <v/>
      </c>
      <c r="B33" s="1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4" t="str">
        <f t="shared" ca="1" si="6"/>
        <v/>
      </c>
      <c r="F33" s="25" t="str">
        <f t="shared" ca="1" si="7"/>
        <v/>
      </c>
      <c r="G33" s="26" t="str">
        <f t="shared" ca="1" si="8"/>
        <v/>
      </c>
      <c r="H33" s="4" t="str">
        <f t="shared" ca="1" si="9"/>
        <v/>
      </c>
      <c r="I33" s="25" t="str">
        <f t="shared" ca="1" si="10"/>
        <v/>
      </c>
      <c r="J33" s="26" t="str">
        <f t="shared" ca="1" si="11"/>
        <v/>
      </c>
      <c r="K33" s="59" t="str">
        <f t="shared" ca="1" si="12"/>
        <v/>
      </c>
      <c r="L33" s="1"/>
      <c r="M33" s="74"/>
      <c r="O33" s="74"/>
      <c r="Q33" s="74"/>
      <c r="S33" s="97" t="str">
        <f t="shared" si="0"/>
        <v/>
      </c>
      <c r="U33" s="97" t="str">
        <f t="shared" si="1"/>
        <v/>
      </c>
    </row>
    <row r="34" spans="1:21" x14ac:dyDescent="0.25">
      <c r="A34" s="98" t="str">
        <f t="shared" ca="1" si="2"/>
        <v/>
      </c>
      <c r="B34" s="1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4" t="str">
        <f t="shared" ca="1" si="6"/>
        <v/>
      </c>
      <c r="F34" s="25" t="str">
        <f t="shared" ca="1" si="7"/>
        <v/>
      </c>
      <c r="G34" s="26" t="str">
        <f t="shared" ca="1" si="8"/>
        <v/>
      </c>
      <c r="H34" s="4" t="str">
        <f t="shared" ca="1" si="9"/>
        <v/>
      </c>
      <c r="I34" s="25" t="str">
        <f t="shared" ca="1" si="10"/>
        <v/>
      </c>
      <c r="J34" s="26" t="str">
        <f t="shared" ca="1" si="11"/>
        <v/>
      </c>
      <c r="K34" s="59" t="str">
        <f t="shared" ca="1" si="12"/>
        <v/>
      </c>
      <c r="L34" s="1"/>
      <c r="M34" s="74"/>
      <c r="O34" s="74"/>
      <c r="Q34" s="74"/>
      <c r="S34" s="97" t="str">
        <f t="shared" si="0"/>
        <v/>
      </c>
      <c r="U34" s="97" t="str">
        <f t="shared" si="1"/>
        <v/>
      </c>
    </row>
    <row r="35" spans="1:21" x14ac:dyDescent="0.25">
      <c r="A35" s="98" t="str">
        <f t="shared" ca="1" si="2"/>
        <v/>
      </c>
      <c r="B35" s="1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4" t="str">
        <f t="shared" ca="1" si="6"/>
        <v/>
      </c>
      <c r="F35" s="25" t="str">
        <f t="shared" ca="1" si="7"/>
        <v/>
      </c>
      <c r="G35" s="26" t="str">
        <f t="shared" ca="1" si="8"/>
        <v/>
      </c>
      <c r="H35" s="4" t="str">
        <f t="shared" ca="1" si="9"/>
        <v/>
      </c>
      <c r="I35" s="25" t="str">
        <f t="shared" ca="1" si="10"/>
        <v/>
      </c>
      <c r="J35" s="26" t="str">
        <f t="shared" ca="1" si="11"/>
        <v/>
      </c>
      <c r="K35" s="59" t="str">
        <f t="shared" ca="1" si="12"/>
        <v/>
      </c>
      <c r="L35" s="1"/>
      <c r="M35" s="74"/>
      <c r="O35" s="74"/>
      <c r="Q35" s="74"/>
      <c r="S35" s="97" t="str">
        <f t="shared" si="0"/>
        <v/>
      </c>
      <c r="U35" s="97" t="str">
        <f t="shared" si="1"/>
        <v/>
      </c>
    </row>
    <row r="36" spans="1:21" x14ac:dyDescent="0.25">
      <c r="A36" s="98" t="str">
        <f t="shared" ca="1" si="2"/>
        <v/>
      </c>
      <c r="B36" s="1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4" t="str">
        <f t="shared" ca="1" si="6"/>
        <v/>
      </c>
      <c r="F36" s="25" t="str">
        <f t="shared" ca="1" si="7"/>
        <v/>
      </c>
      <c r="G36" s="26" t="str">
        <f t="shared" ca="1" si="8"/>
        <v/>
      </c>
      <c r="H36" s="4" t="str">
        <f t="shared" ca="1" si="9"/>
        <v/>
      </c>
      <c r="I36" s="25" t="str">
        <f t="shared" ca="1" si="10"/>
        <v/>
      </c>
      <c r="J36" s="26" t="str">
        <f t="shared" ca="1" si="11"/>
        <v/>
      </c>
      <c r="K36" s="59" t="str">
        <f t="shared" ca="1" si="12"/>
        <v/>
      </c>
      <c r="L36" s="1"/>
      <c r="M36" s="74"/>
      <c r="O36" s="74"/>
      <c r="Q36" s="74"/>
      <c r="S36" s="97" t="str">
        <f t="shared" si="0"/>
        <v/>
      </c>
      <c r="U36" s="97" t="str">
        <f t="shared" si="1"/>
        <v/>
      </c>
    </row>
    <row r="37" spans="1:21" x14ac:dyDescent="0.25">
      <c r="A37" s="98" t="str">
        <f t="shared" ca="1" si="2"/>
        <v/>
      </c>
      <c r="B37" s="1" t="str">
        <f t="shared" ca="1" si="3"/>
        <v/>
      </c>
      <c r="C37" s="25" t="str">
        <f t="shared" ca="1" si="4"/>
        <v/>
      </c>
      <c r="D37" s="26" t="str">
        <f t="shared" ca="1" si="5"/>
        <v/>
      </c>
      <c r="E37" s="4" t="str">
        <f t="shared" ca="1" si="6"/>
        <v/>
      </c>
      <c r="F37" s="25" t="str">
        <f t="shared" ca="1" si="7"/>
        <v/>
      </c>
      <c r="G37" s="26" t="str">
        <f t="shared" ca="1" si="8"/>
        <v/>
      </c>
      <c r="H37" s="4" t="str">
        <f t="shared" ca="1" si="9"/>
        <v/>
      </c>
      <c r="I37" s="25" t="str">
        <f t="shared" ca="1" si="10"/>
        <v/>
      </c>
      <c r="J37" s="26" t="str">
        <f t="shared" ca="1" si="11"/>
        <v/>
      </c>
      <c r="K37" s="59" t="str">
        <f t="shared" ca="1" si="12"/>
        <v/>
      </c>
      <c r="L37" s="1"/>
      <c r="M37" s="74"/>
      <c r="O37" s="74"/>
      <c r="Q37" s="74"/>
      <c r="S37" s="97" t="str">
        <f t="shared" si="0"/>
        <v/>
      </c>
      <c r="U37" s="97" t="str">
        <f t="shared" si="1"/>
        <v/>
      </c>
    </row>
    <row r="38" spans="1:21" x14ac:dyDescent="0.25">
      <c r="A38" s="98" t="str">
        <f ca="1">IF(AND(ISBLANK(V27), A37 = $V$1),NOW(),IF(ISBLANK(V27),"",V27))</f>
        <v/>
      </c>
      <c r="B38" s="1" t="str">
        <f t="shared" ca="1" si="3"/>
        <v/>
      </c>
      <c r="C38" s="25" t="str">
        <f t="shared" ca="1" si="4"/>
        <v/>
      </c>
      <c r="D38" s="26" t="str">
        <f t="shared" ca="1" si="5"/>
        <v/>
      </c>
      <c r="E38" s="4" t="str">
        <f t="shared" ca="1" si="6"/>
        <v/>
      </c>
      <c r="F38" s="25" t="str">
        <f ca="1">IF(ISERROR(B38-2),"", -1*(E38-$E$14)*10^-4*$C$8*$C$5)</f>
        <v/>
      </c>
      <c r="G38" s="26" t="str">
        <f t="shared" ca="1" si="8"/>
        <v/>
      </c>
      <c r="H38" s="4" t="str">
        <f t="shared" ca="1" si="9"/>
        <v/>
      </c>
      <c r="I38" s="25" t="str">
        <f ca="1">IF(ISERROR(B38-2),"", -1*(H38-$H$14)*10^-4*$D$8*$D$5)</f>
        <v/>
      </c>
      <c r="J38" s="26" t="str">
        <f t="shared" ca="1" si="11"/>
        <v/>
      </c>
      <c r="K38" s="59" t="str">
        <f ca="1">IF(ISERROR(B38-2),"",C38+D38+F38+G38-I38-J38)</f>
        <v/>
      </c>
      <c r="L38" s="1"/>
      <c r="M38" s="74"/>
      <c r="O38" s="74"/>
      <c r="Q38" s="74"/>
      <c r="S38" s="97" t="str">
        <f t="shared" si="0"/>
        <v/>
      </c>
      <c r="U38" s="97" t="str">
        <f t="shared" si="1"/>
        <v/>
      </c>
    </row>
    <row r="39" spans="1:21" x14ac:dyDescent="0.25">
      <c r="A39" s="98" t="str">
        <f ca="1">IF(AND(ISBLANK(V28), A38 = $V$1),NOW(),IF(ISBLANK(V28),"",V28))</f>
        <v/>
      </c>
      <c r="B39" s="1" t="str">
        <f t="shared" ca="1" si="3"/>
        <v/>
      </c>
      <c r="C39" s="25" t="str">
        <f t="shared" ca="1" si="4"/>
        <v/>
      </c>
      <c r="D39" s="26" t="str">
        <f t="shared" ca="1" si="5"/>
        <v/>
      </c>
      <c r="E39" s="4" t="str">
        <f t="shared" ca="1" si="6"/>
        <v/>
      </c>
      <c r="F39" s="25" t="str">
        <f ca="1">IF(ISERROR(B39-2),"", -1*(E39-$E$14)*10^-4*$C$8*$C$5)</f>
        <v/>
      </c>
      <c r="G39" s="26" t="str">
        <f t="shared" ca="1" si="8"/>
        <v/>
      </c>
      <c r="H39" s="4" t="str">
        <f t="shared" ca="1" si="9"/>
        <v/>
      </c>
      <c r="I39" s="25" t="str">
        <f ca="1">IF(ISERROR(B39-2),"", -1*(H39-$H$14)*10^-4*$D$8*$D$5)</f>
        <v/>
      </c>
      <c r="J39" s="26" t="str">
        <f t="shared" ca="1" si="11"/>
        <v/>
      </c>
      <c r="K39" s="59" t="str">
        <f ca="1">IF(ISERROR(B39-2),"",C39+D39+F39+G39-I39-J39)</f>
        <v/>
      </c>
      <c r="L39" s="1"/>
      <c r="M39" s="74"/>
      <c r="O39" s="74"/>
      <c r="Q39" s="74"/>
      <c r="S39" s="97" t="str">
        <f t="shared" si="0"/>
        <v/>
      </c>
      <c r="U39" s="97" t="str">
        <f t="shared" si="1"/>
        <v/>
      </c>
    </row>
    <row r="40" spans="1:21" x14ac:dyDescent="0.25">
      <c r="A40" s="98" t="str">
        <f ca="1">IF(AND(ISBLANK(V29), A39 = $V$1),NOW(),IF(ISBLANK(V29),"",V29))</f>
        <v/>
      </c>
      <c r="B40" s="1" t="str">
        <f t="shared" ca="1" si="3"/>
        <v/>
      </c>
      <c r="C40" s="25" t="str">
        <f t="shared" ca="1" si="4"/>
        <v/>
      </c>
      <c r="D40" s="26" t="str">
        <f t="shared" ca="1" si="5"/>
        <v/>
      </c>
      <c r="E40" s="4" t="str">
        <f t="shared" ca="1" si="6"/>
        <v/>
      </c>
      <c r="F40" s="25" t="str">
        <f ca="1">IF(ISERROR(B40-2),"", -1*(E40-$E$14)*10^-4*$C$8*$C$5)</f>
        <v/>
      </c>
      <c r="G40" s="26" t="str">
        <f t="shared" ca="1" si="8"/>
        <v/>
      </c>
      <c r="H40" s="4" t="str">
        <f t="shared" ca="1" si="9"/>
        <v/>
      </c>
      <c r="I40" s="25" t="str">
        <f ca="1">IF(ISERROR(B40-2),"", -1*(H40-$H$14)*10^-4*$D$8*$D$5)</f>
        <v/>
      </c>
      <c r="J40" s="26" t="str">
        <f t="shared" ca="1" si="11"/>
        <v/>
      </c>
      <c r="K40" s="59" t="str">
        <f ca="1">IF(ISERROR(B40-2),"",C40+D40+F40+G40-I40-J40)</f>
        <v/>
      </c>
      <c r="L40" s="1"/>
      <c r="M40" s="74"/>
      <c r="O40" s="74"/>
      <c r="Q40" s="74"/>
      <c r="S40" s="97" t="str">
        <f t="shared" si="0"/>
        <v/>
      </c>
      <c r="U40" s="97" t="str">
        <f t="shared" si="1"/>
        <v/>
      </c>
    </row>
    <row r="41" spans="1:21" x14ac:dyDescent="0.25">
      <c r="A41" s="98" t="str">
        <f ca="1">IF(AND(ISBLANK(V30), A40 = $V$1),NOW(),IF(ISBLANK(V30),"",V30))</f>
        <v/>
      </c>
      <c r="B41" s="1" t="str">
        <f t="shared" ca="1" si="3"/>
        <v/>
      </c>
      <c r="C41" s="25" t="str">
        <f t="shared" ca="1" si="4"/>
        <v/>
      </c>
      <c r="D41" s="26" t="str">
        <f t="shared" ca="1" si="5"/>
        <v/>
      </c>
      <c r="E41" s="4" t="str">
        <f t="shared" ca="1" si="6"/>
        <v/>
      </c>
      <c r="F41" s="25" t="str">
        <f ca="1">IF(ISERROR(B41-2),"", -1*(E41-$E$14)*10^-4*$C$8*$C$5)</f>
        <v/>
      </c>
      <c r="G41" s="26" t="str">
        <f t="shared" ca="1" si="8"/>
        <v/>
      </c>
      <c r="H41" s="4" t="str">
        <f t="shared" ca="1" si="9"/>
        <v/>
      </c>
      <c r="I41" s="25" t="str">
        <f ca="1">IF(ISERROR(B41-2),"", -1*(H41-$H$14)*10^-4*$D$8*$D$5)</f>
        <v/>
      </c>
      <c r="J41" s="26" t="str">
        <f t="shared" ca="1" si="11"/>
        <v/>
      </c>
      <c r="K41" s="59" t="str">
        <f ca="1">IF(ISERROR(B41-2),"",C41+D41+F41+G41-I41-J41)</f>
        <v/>
      </c>
      <c r="L41" s="1"/>
      <c r="M41" s="74"/>
      <c r="O41" s="74"/>
      <c r="Q41" s="74"/>
      <c r="S41" s="97" t="str">
        <f t="shared" si="0"/>
        <v/>
      </c>
      <c r="U41" s="97" t="str">
        <f t="shared" si="1"/>
        <v/>
      </c>
    </row>
    <row r="42" spans="1:21" x14ac:dyDescent="0.25">
      <c r="A42" s="98" t="str">
        <f ca="1">IF(AND(ISBLANK(V31), A41 = $V$1),NOW(),IF(ISBLANK(V31),"",V31))</f>
        <v/>
      </c>
      <c r="B42" s="1" t="str">
        <f t="shared" ca="1" si="3"/>
        <v/>
      </c>
      <c r="C42" s="25" t="str">
        <f t="shared" ca="1" si="4"/>
        <v/>
      </c>
      <c r="D42" s="26" t="str">
        <f t="shared" ca="1" si="5"/>
        <v/>
      </c>
      <c r="E42" s="4" t="str">
        <f t="shared" ca="1" si="6"/>
        <v/>
      </c>
      <c r="F42" s="25" t="str">
        <f ca="1">IF(ISERROR(B42-2),"", -1*(E42-$E$14)*10^-4*$C$8*$C$5)</f>
        <v/>
      </c>
      <c r="G42" s="26" t="str">
        <f t="shared" ca="1" si="8"/>
        <v/>
      </c>
      <c r="H42" s="4" t="str">
        <f t="shared" ca="1" si="9"/>
        <v/>
      </c>
      <c r="I42" s="25" t="str">
        <f ca="1">IF(ISERROR(B42-2),"", -1*(H42-$H$14)*10^-4*$D$8*$D$5)</f>
        <v/>
      </c>
      <c r="J42" s="26" t="str">
        <f t="shared" ca="1" si="11"/>
        <v/>
      </c>
      <c r="K42" s="59" t="str">
        <f ca="1">IF(ISERROR(B42-2),"",C42+D42+F42+G42-I42-J42)</f>
        <v/>
      </c>
      <c r="L42" s="1"/>
      <c r="M42" s="74"/>
      <c r="O42" s="74"/>
      <c r="Q42" s="74"/>
      <c r="S42" s="97" t="str">
        <f t="shared" si="0"/>
        <v/>
      </c>
      <c r="U42" s="97" t="str">
        <f t="shared" si="1"/>
        <v/>
      </c>
    </row>
    <row r="43" spans="1:21" x14ac:dyDescent="0.25">
      <c r="A43" s="98" t="str">
        <f t="shared" ref="A43:A106" ca="1" si="13">IF(AND(ISBLANK(V32), A42 = $V$1),NOW(),IF(ISBLANK(V32),"",V32))</f>
        <v/>
      </c>
      <c r="B43" s="1" t="str">
        <f t="shared" ref="B43:B106" ca="1" si="14">IF(COUNTIF(O:O,A43)=1,VLOOKUP(A43,M:N,2), IF(COUNTIF(O:O,A43)=0,$B$10,""))</f>
        <v/>
      </c>
      <c r="C43" s="25" t="str">
        <f t="shared" ref="C43:C106" ca="1" si="15">IF(ISERROR(B43-2),"", -1*(B43-$B$14)*10^-4*$B$8*$B$5)</f>
        <v/>
      </c>
      <c r="D43" s="26" t="str">
        <f t="shared" ca="1" si="5"/>
        <v/>
      </c>
      <c r="E43" s="4" t="str">
        <f t="shared" ref="E43:E106" ca="1" si="16">IF(COUNTIF(O:O,A43)=1,VLOOKUP(A43,O:P,2), IF(COUNTIF(O:O,A43)=0,$C$10,""))</f>
        <v/>
      </c>
      <c r="F43" s="25" t="str">
        <f t="shared" ref="F43:F106" ca="1" si="17">IF(ISERROR(B43-2),"", -1*(E43-$E$14)*10^-4*$C$8*$C$5)</f>
        <v/>
      </c>
      <c r="G43" s="26" t="str">
        <f t="shared" ca="1" si="8"/>
        <v/>
      </c>
      <c r="H43" s="4" t="str">
        <f t="shared" ref="H43:H106" ca="1" si="18">IF(COUNTIF(O:O,A43)=1,VLOOKUP(A43,Q:R,2), IF(COUNTIF(O:O,A43)=0,$D$10,""))</f>
        <v/>
      </c>
      <c r="I43" s="25" t="str">
        <f t="shared" ref="I43:I106" ca="1" si="19">IF(ISERROR(B43-2),"", -1*(H43-$H$14)*10^-4*$D$8*$D$5)</f>
        <v/>
      </c>
      <c r="J43" s="26" t="str">
        <f t="shared" ca="1" si="11"/>
        <v/>
      </c>
      <c r="K43" s="59" t="str">
        <f t="shared" ref="K43:K106" ca="1" si="20">IF(ISERROR(B43-2),"",C43+D43+F43+G43-I43-J43)</f>
        <v/>
      </c>
      <c r="L43" s="1"/>
      <c r="M43" s="74"/>
      <c r="O43" s="74"/>
      <c r="Q43" s="74"/>
      <c r="S43" s="97" t="str">
        <f t="shared" si="0"/>
        <v/>
      </c>
      <c r="U43" s="97" t="str">
        <f t="shared" si="1"/>
        <v/>
      </c>
    </row>
    <row r="44" spans="1:21" x14ac:dyDescent="0.25">
      <c r="A44" s="98" t="str">
        <f t="shared" ca="1" si="13"/>
        <v/>
      </c>
      <c r="B44" s="1" t="str">
        <f t="shared" ca="1" si="14"/>
        <v/>
      </c>
      <c r="C44" s="25" t="str">
        <f t="shared" ca="1" si="15"/>
        <v/>
      </c>
      <c r="D44" s="26" t="str">
        <f t="shared" ca="1" si="5"/>
        <v/>
      </c>
      <c r="E44" s="4" t="str">
        <f t="shared" ca="1" si="16"/>
        <v/>
      </c>
      <c r="F44" s="25" t="str">
        <f t="shared" ca="1" si="17"/>
        <v/>
      </c>
      <c r="G44" s="26" t="str">
        <f t="shared" ca="1" si="8"/>
        <v/>
      </c>
      <c r="H44" s="4" t="str">
        <f t="shared" ca="1" si="18"/>
        <v/>
      </c>
      <c r="I44" s="25" t="str">
        <f t="shared" ca="1" si="19"/>
        <v/>
      </c>
      <c r="J44" s="26" t="str">
        <f t="shared" ca="1" si="11"/>
        <v/>
      </c>
      <c r="K44" s="59" t="str">
        <f t="shared" ca="1" si="20"/>
        <v/>
      </c>
      <c r="L44" s="1"/>
      <c r="M44" s="74"/>
      <c r="O44" s="74"/>
      <c r="Q44" s="74"/>
      <c r="S44" s="97" t="str">
        <f t="shared" si="0"/>
        <v/>
      </c>
      <c r="U44" s="97" t="str">
        <f t="shared" si="1"/>
        <v/>
      </c>
    </row>
    <row r="45" spans="1:21" x14ac:dyDescent="0.25">
      <c r="A45" s="98" t="str">
        <f t="shared" ca="1" si="13"/>
        <v/>
      </c>
      <c r="B45" s="1" t="str">
        <f t="shared" ca="1" si="14"/>
        <v/>
      </c>
      <c r="C45" s="25" t="str">
        <f t="shared" ca="1" si="15"/>
        <v/>
      </c>
      <c r="D45" s="26" t="str">
        <f t="shared" ca="1" si="5"/>
        <v/>
      </c>
      <c r="E45" s="4" t="str">
        <f t="shared" ca="1" si="16"/>
        <v/>
      </c>
      <c r="F45" s="25" t="str">
        <f t="shared" ca="1" si="17"/>
        <v/>
      </c>
      <c r="G45" s="26" t="str">
        <f t="shared" ca="1" si="8"/>
        <v/>
      </c>
      <c r="H45" s="4" t="str">
        <f t="shared" ca="1" si="18"/>
        <v/>
      </c>
      <c r="I45" s="25" t="str">
        <f t="shared" ca="1" si="19"/>
        <v/>
      </c>
      <c r="J45" s="26" t="str">
        <f t="shared" ca="1" si="11"/>
        <v/>
      </c>
      <c r="K45" s="59" t="str">
        <f t="shared" ca="1" si="20"/>
        <v/>
      </c>
      <c r="L45" s="1"/>
      <c r="M45" s="74"/>
      <c r="O45" s="74"/>
      <c r="Q45" s="74"/>
      <c r="S45" s="97" t="str">
        <f t="shared" si="0"/>
        <v/>
      </c>
      <c r="U45" s="97" t="str">
        <f t="shared" si="1"/>
        <v/>
      </c>
    </row>
    <row r="46" spans="1:21" x14ac:dyDescent="0.25">
      <c r="A46" s="98" t="str">
        <f t="shared" ca="1" si="13"/>
        <v/>
      </c>
      <c r="B46" s="1" t="str">
        <f t="shared" ca="1" si="14"/>
        <v/>
      </c>
      <c r="C46" s="25" t="str">
        <f t="shared" ca="1" si="15"/>
        <v/>
      </c>
      <c r="D46" s="26" t="str">
        <f t="shared" ca="1" si="5"/>
        <v/>
      </c>
      <c r="E46" s="4" t="str">
        <f t="shared" ca="1" si="16"/>
        <v/>
      </c>
      <c r="F46" s="25" t="str">
        <f t="shared" ca="1" si="17"/>
        <v/>
      </c>
      <c r="G46" s="26" t="str">
        <f t="shared" ca="1" si="8"/>
        <v/>
      </c>
      <c r="H46" s="4" t="str">
        <f t="shared" ca="1" si="18"/>
        <v/>
      </c>
      <c r="I46" s="25" t="str">
        <f t="shared" ca="1" si="19"/>
        <v/>
      </c>
      <c r="J46" s="26" t="str">
        <f t="shared" ca="1" si="11"/>
        <v/>
      </c>
      <c r="K46" s="59" t="str">
        <f t="shared" ca="1" si="20"/>
        <v/>
      </c>
      <c r="L46" s="1"/>
      <c r="M46" s="74"/>
      <c r="O46" s="74"/>
      <c r="Q46" s="74"/>
      <c r="S46" s="97" t="str">
        <f t="shared" si="0"/>
        <v/>
      </c>
      <c r="U46" s="97" t="str">
        <f t="shared" si="1"/>
        <v/>
      </c>
    </row>
    <row r="47" spans="1:21" x14ac:dyDescent="0.25">
      <c r="A47" s="98" t="str">
        <f t="shared" ca="1" si="13"/>
        <v/>
      </c>
      <c r="B47" s="1" t="str">
        <f t="shared" ca="1" si="14"/>
        <v/>
      </c>
      <c r="C47" s="25" t="str">
        <f t="shared" ca="1" si="15"/>
        <v/>
      </c>
      <c r="D47" s="26" t="str">
        <f t="shared" ca="1" si="5"/>
        <v/>
      </c>
      <c r="E47" s="4" t="str">
        <f t="shared" ca="1" si="16"/>
        <v/>
      </c>
      <c r="F47" s="25" t="str">
        <f t="shared" ca="1" si="17"/>
        <v/>
      </c>
      <c r="G47" s="26" t="str">
        <f t="shared" ca="1" si="8"/>
        <v/>
      </c>
      <c r="H47" s="4" t="str">
        <f t="shared" ca="1" si="18"/>
        <v/>
      </c>
      <c r="I47" s="25" t="str">
        <f t="shared" ca="1" si="19"/>
        <v/>
      </c>
      <c r="J47" s="26" t="str">
        <f t="shared" ca="1" si="11"/>
        <v/>
      </c>
      <c r="K47" s="59" t="str">
        <f t="shared" ca="1" si="20"/>
        <v/>
      </c>
      <c r="L47" s="1"/>
      <c r="M47" s="74"/>
      <c r="O47" s="74"/>
      <c r="Q47" s="74"/>
      <c r="S47" s="97" t="str">
        <f t="shared" si="0"/>
        <v/>
      </c>
      <c r="U47" s="97" t="str">
        <f t="shared" si="1"/>
        <v/>
      </c>
    </row>
    <row r="48" spans="1:21" x14ac:dyDescent="0.25">
      <c r="A48" s="98" t="str">
        <f t="shared" ca="1" si="13"/>
        <v/>
      </c>
      <c r="B48" s="1" t="str">
        <f t="shared" ca="1" si="14"/>
        <v/>
      </c>
      <c r="C48" s="25" t="str">
        <f t="shared" ca="1" si="15"/>
        <v/>
      </c>
      <c r="D48" s="26" t="str">
        <f t="shared" ca="1" si="5"/>
        <v/>
      </c>
      <c r="E48" s="4" t="str">
        <f t="shared" ca="1" si="16"/>
        <v/>
      </c>
      <c r="F48" s="25" t="str">
        <f t="shared" ca="1" si="17"/>
        <v/>
      </c>
      <c r="G48" s="26" t="str">
        <f t="shared" ca="1" si="8"/>
        <v/>
      </c>
      <c r="H48" s="4" t="str">
        <f t="shared" ca="1" si="18"/>
        <v/>
      </c>
      <c r="I48" s="25" t="str">
        <f t="shared" ca="1" si="19"/>
        <v/>
      </c>
      <c r="J48" s="26" t="str">
        <f t="shared" ca="1" si="11"/>
        <v/>
      </c>
      <c r="K48" s="59" t="str">
        <f t="shared" ca="1" si="20"/>
        <v/>
      </c>
      <c r="L48" s="1"/>
      <c r="M48" s="74"/>
      <c r="O48" s="74"/>
      <c r="Q48" s="74"/>
      <c r="S48" s="97" t="str">
        <f t="shared" si="0"/>
        <v/>
      </c>
      <c r="U48" s="97" t="str">
        <f t="shared" si="1"/>
        <v/>
      </c>
    </row>
    <row r="49" spans="1:21" x14ac:dyDescent="0.25">
      <c r="A49" s="98" t="str">
        <f t="shared" ca="1" si="13"/>
        <v/>
      </c>
      <c r="B49" s="1" t="str">
        <f t="shared" ca="1" si="14"/>
        <v/>
      </c>
      <c r="C49" s="25" t="str">
        <f t="shared" ca="1" si="15"/>
        <v/>
      </c>
      <c r="D49" s="26" t="str">
        <f t="shared" ca="1" si="5"/>
        <v/>
      </c>
      <c r="E49" s="4" t="str">
        <f t="shared" ca="1" si="16"/>
        <v/>
      </c>
      <c r="F49" s="25" t="str">
        <f t="shared" ca="1" si="17"/>
        <v/>
      </c>
      <c r="G49" s="26" t="str">
        <f t="shared" ca="1" si="8"/>
        <v/>
      </c>
      <c r="H49" s="4" t="str">
        <f t="shared" ca="1" si="18"/>
        <v/>
      </c>
      <c r="I49" s="25" t="str">
        <f t="shared" ca="1" si="19"/>
        <v/>
      </c>
      <c r="J49" s="26" t="str">
        <f t="shared" ca="1" si="11"/>
        <v/>
      </c>
      <c r="K49" s="59" t="str">
        <f t="shared" ca="1" si="20"/>
        <v/>
      </c>
      <c r="L49" s="1"/>
      <c r="M49" s="74"/>
      <c r="O49" s="74"/>
      <c r="Q49" s="74"/>
      <c r="S49" s="97" t="str">
        <f t="shared" si="0"/>
        <v/>
      </c>
      <c r="U49" s="97" t="str">
        <f t="shared" si="1"/>
        <v/>
      </c>
    </row>
    <row r="50" spans="1:21" x14ac:dyDescent="0.25">
      <c r="A50" s="98" t="str">
        <f t="shared" ca="1" si="13"/>
        <v/>
      </c>
      <c r="B50" s="1" t="str">
        <f t="shared" ca="1" si="14"/>
        <v/>
      </c>
      <c r="C50" s="25" t="str">
        <f t="shared" ca="1" si="15"/>
        <v/>
      </c>
      <c r="D50" s="26" t="str">
        <f t="shared" ca="1" si="5"/>
        <v/>
      </c>
      <c r="E50" s="4" t="str">
        <f t="shared" ca="1" si="16"/>
        <v/>
      </c>
      <c r="F50" s="25" t="str">
        <f t="shared" ca="1" si="17"/>
        <v/>
      </c>
      <c r="G50" s="26" t="str">
        <f t="shared" ca="1" si="8"/>
        <v/>
      </c>
      <c r="H50" s="4" t="str">
        <f t="shared" ca="1" si="18"/>
        <v/>
      </c>
      <c r="I50" s="25" t="str">
        <f t="shared" ca="1" si="19"/>
        <v/>
      </c>
      <c r="J50" s="26" t="str">
        <f t="shared" ca="1" si="11"/>
        <v/>
      </c>
      <c r="K50" s="59" t="str">
        <f t="shared" ca="1" si="20"/>
        <v/>
      </c>
      <c r="L50" s="1"/>
      <c r="M50" s="74"/>
      <c r="O50" s="74"/>
      <c r="Q50" s="74"/>
      <c r="S50" s="97" t="str">
        <f t="shared" si="0"/>
        <v/>
      </c>
      <c r="U50" s="97" t="str">
        <f t="shared" si="1"/>
        <v/>
      </c>
    </row>
    <row r="51" spans="1:21" x14ac:dyDescent="0.25">
      <c r="A51" s="98" t="str">
        <f t="shared" ca="1" si="13"/>
        <v/>
      </c>
      <c r="B51" s="1" t="str">
        <f t="shared" ca="1" si="14"/>
        <v/>
      </c>
      <c r="C51" s="25" t="str">
        <f t="shared" ca="1" si="15"/>
        <v/>
      </c>
      <c r="D51" s="26" t="str">
        <f t="shared" ca="1" si="5"/>
        <v/>
      </c>
      <c r="E51" s="4" t="str">
        <f t="shared" ca="1" si="16"/>
        <v/>
      </c>
      <c r="F51" s="25" t="str">
        <f t="shared" ca="1" si="17"/>
        <v/>
      </c>
      <c r="G51" s="26" t="str">
        <f t="shared" ca="1" si="8"/>
        <v/>
      </c>
      <c r="H51" s="4" t="str">
        <f t="shared" ca="1" si="18"/>
        <v/>
      </c>
      <c r="I51" s="25" t="str">
        <f t="shared" ca="1" si="19"/>
        <v/>
      </c>
      <c r="J51" s="26" t="str">
        <f t="shared" ca="1" si="11"/>
        <v/>
      </c>
      <c r="K51" s="59" t="str">
        <f t="shared" ca="1" si="20"/>
        <v/>
      </c>
      <c r="L51" s="1"/>
      <c r="M51" s="74"/>
      <c r="O51" s="74"/>
      <c r="Q51" s="74"/>
      <c r="S51" s="97" t="str">
        <f t="shared" si="0"/>
        <v/>
      </c>
      <c r="U51" s="97" t="str">
        <f t="shared" si="1"/>
        <v/>
      </c>
    </row>
    <row r="52" spans="1:21" x14ac:dyDescent="0.25">
      <c r="A52" s="98" t="str">
        <f t="shared" ca="1" si="13"/>
        <v/>
      </c>
      <c r="B52" s="1" t="str">
        <f t="shared" ca="1" si="14"/>
        <v/>
      </c>
      <c r="C52" s="25" t="str">
        <f t="shared" ca="1" si="15"/>
        <v/>
      </c>
      <c r="D52" s="26" t="str">
        <f t="shared" ca="1" si="5"/>
        <v/>
      </c>
      <c r="E52" s="4" t="str">
        <f t="shared" ca="1" si="16"/>
        <v/>
      </c>
      <c r="F52" s="25" t="str">
        <f t="shared" ca="1" si="17"/>
        <v/>
      </c>
      <c r="G52" s="26" t="str">
        <f t="shared" ca="1" si="8"/>
        <v/>
      </c>
      <c r="H52" s="4" t="str">
        <f t="shared" ca="1" si="18"/>
        <v/>
      </c>
      <c r="I52" s="25" t="str">
        <f t="shared" ca="1" si="19"/>
        <v/>
      </c>
      <c r="J52" s="26" t="str">
        <f t="shared" ca="1" si="11"/>
        <v/>
      </c>
      <c r="K52" s="59" t="str">
        <f t="shared" ca="1" si="20"/>
        <v/>
      </c>
      <c r="L52" s="1"/>
      <c r="M52" s="74"/>
      <c r="O52" s="74"/>
      <c r="Q52" s="74"/>
      <c r="S52" s="97" t="str">
        <f t="shared" si="0"/>
        <v/>
      </c>
      <c r="U52" s="97" t="str">
        <f t="shared" si="1"/>
        <v/>
      </c>
    </row>
    <row r="53" spans="1:21" x14ac:dyDescent="0.25">
      <c r="A53" s="98" t="str">
        <f t="shared" ca="1" si="13"/>
        <v/>
      </c>
      <c r="B53" s="1" t="str">
        <f t="shared" ca="1" si="14"/>
        <v/>
      </c>
      <c r="C53" s="25" t="str">
        <f t="shared" ca="1" si="15"/>
        <v/>
      </c>
      <c r="D53" s="26" t="str">
        <f t="shared" ca="1" si="5"/>
        <v/>
      </c>
      <c r="E53" s="4" t="str">
        <f t="shared" ca="1" si="16"/>
        <v/>
      </c>
      <c r="F53" s="25" t="str">
        <f t="shared" ca="1" si="17"/>
        <v/>
      </c>
      <c r="G53" s="26" t="str">
        <f t="shared" ca="1" si="8"/>
        <v/>
      </c>
      <c r="H53" s="4" t="str">
        <f t="shared" ca="1" si="18"/>
        <v/>
      </c>
      <c r="I53" s="25" t="str">
        <f t="shared" ca="1" si="19"/>
        <v/>
      </c>
      <c r="J53" s="26" t="str">
        <f t="shared" ca="1" si="11"/>
        <v/>
      </c>
      <c r="K53" s="59" t="str">
        <f t="shared" ca="1" si="20"/>
        <v/>
      </c>
      <c r="L53" s="1"/>
      <c r="M53" s="74"/>
      <c r="O53" s="74"/>
      <c r="Q53" s="74"/>
      <c r="S53" s="97" t="str">
        <f t="shared" si="0"/>
        <v/>
      </c>
      <c r="U53" s="97" t="str">
        <f t="shared" si="1"/>
        <v/>
      </c>
    </row>
    <row r="54" spans="1:21" x14ac:dyDescent="0.25">
      <c r="A54" s="98" t="str">
        <f t="shared" ca="1" si="13"/>
        <v/>
      </c>
      <c r="B54" s="1" t="str">
        <f t="shared" ca="1" si="14"/>
        <v/>
      </c>
      <c r="C54" s="25" t="str">
        <f t="shared" ca="1" si="15"/>
        <v/>
      </c>
      <c r="D54" s="26" t="str">
        <f t="shared" ca="1" si="5"/>
        <v/>
      </c>
      <c r="E54" s="4" t="str">
        <f t="shared" ca="1" si="16"/>
        <v/>
      </c>
      <c r="F54" s="25" t="str">
        <f t="shared" ca="1" si="17"/>
        <v/>
      </c>
      <c r="G54" s="26" t="str">
        <f t="shared" ca="1" si="8"/>
        <v/>
      </c>
      <c r="H54" s="4" t="str">
        <f t="shared" ca="1" si="18"/>
        <v/>
      </c>
      <c r="I54" s="25" t="str">
        <f t="shared" ca="1" si="19"/>
        <v/>
      </c>
      <c r="J54" s="26" t="str">
        <f t="shared" ca="1" si="11"/>
        <v/>
      </c>
      <c r="K54" s="59" t="str">
        <f t="shared" ca="1" si="20"/>
        <v/>
      </c>
      <c r="L54" s="1"/>
      <c r="M54" s="74"/>
      <c r="O54" s="74"/>
      <c r="Q54" s="74"/>
      <c r="S54" s="97" t="str">
        <f t="shared" si="0"/>
        <v/>
      </c>
      <c r="U54" s="97" t="str">
        <f t="shared" si="1"/>
        <v/>
      </c>
    </row>
    <row r="55" spans="1:21" x14ac:dyDescent="0.25">
      <c r="A55" s="98" t="str">
        <f t="shared" ca="1" si="13"/>
        <v/>
      </c>
      <c r="B55" s="1" t="str">
        <f t="shared" ca="1" si="14"/>
        <v/>
      </c>
      <c r="C55" s="25" t="str">
        <f t="shared" ca="1" si="15"/>
        <v/>
      </c>
      <c r="D55" s="26" t="str">
        <f t="shared" ca="1" si="5"/>
        <v/>
      </c>
      <c r="E55" s="4" t="str">
        <f t="shared" ca="1" si="16"/>
        <v/>
      </c>
      <c r="F55" s="25" t="str">
        <f t="shared" ca="1" si="17"/>
        <v/>
      </c>
      <c r="G55" s="26" t="str">
        <f t="shared" ca="1" si="8"/>
        <v/>
      </c>
      <c r="H55" s="4" t="str">
        <f t="shared" ca="1" si="18"/>
        <v/>
      </c>
      <c r="I55" s="25" t="str">
        <f t="shared" ca="1" si="19"/>
        <v/>
      </c>
      <c r="J55" s="26" t="str">
        <f t="shared" ca="1" si="11"/>
        <v/>
      </c>
      <c r="K55" s="59" t="str">
        <f t="shared" ca="1" si="20"/>
        <v/>
      </c>
      <c r="L55" s="1"/>
      <c r="M55" s="74"/>
      <c r="O55" s="74"/>
      <c r="Q55" s="74"/>
      <c r="S55" s="97" t="str">
        <f t="shared" si="0"/>
        <v/>
      </c>
      <c r="U55" s="97" t="str">
        <f t="shared" si="1"/>
        <v/>
      </c>
    </row>
    <row r="56" spans="1:21" x14ac:dyDescent="0.25">
      <c r="A56" s="98" t="str">
        <f t="shared" ca="1" si="13"/>
        <v/>
      </c>
      <c r="B56" s="1" t="str">
        <f t="shared" ca="1" si="14"/>
        <v/>
      </c>
      <c r="C56" s="25" t="str">
        <f t="shared" ca="1" si="15"/>
        <v/>
      </c>
      <c r="D56" s="26" t="str">
        <f t="shared" ca="1" si="5"/>
        <v/>
      </c>
      <c r="E56" s="4" t="str">
        <f t="shared" ca="1" si="16"/>
        <v/>
      </c>
      <c r="F56" s="25" t="str">
        <f t="shared" ca="1" si="17"/>
        <v/>
      </c>
      <c r="G56" s="26" t="str">
        <f t="shared" ca="1" si="8"/>
        <v/>
      </c>
      <c r="H56" s="4" t="str">
        <f t="shared" ca="1" si="18"/>
        <v/>
      </c>
      <c r="I56" s="25" t="str">
        <f t="shared" ca="1" si="19"/>
        <v/>
      </c>
      <c r="J56" s="26" t="str">
        <f t="shared" ca="1" si="11"/>
        <v/>
      </c>
      <c r="K56" s="59" t="str">
        <f t="shared" ca="1" si="20"/>
        <v/>
      </c>
      <c r="M56" s="74"/>
      <c r="O56" s="74"/>
      <c r="Q56" s="74"/>
      <c r="S56" s="97" t="str">
        <f t="shared" si="0"/>
        <v/>
      </c>
      <c r="U56" s="97" t="str">
        <f t="shared" si="1"/>
        <v/>
      </c>
    </row>
    <row r="57" spans="1:21" x14ac:dyDescent="0.25">
      <c r="A57" s="98" t="str">
        <f t="shared" ca="1" si="13"/>
        <v/>
      </c>
      <c r="B57" s="1" t="str">
        <f t="shared" ca="1" si="14"/>
        <v/>
      </c>
      <c r="C57" s="25" t="str">
        <f t="shared" ca="1" si="15"/>
        <v/>
      </c>
      <c r="D57" s="26" t="str">
        <f t="shared" ca="1" si="5"/>
        <v/>
      </c>
      <c r="E57" s="4" t="str">
        <f t="shared" ca="1" si="16"/>
        <v/>
      </c>
      <c r="F57" s="25" t="str">
        <f t="shared" ca="1" si="17"/>
        <v/>
      </c>
      <c r="G57" s="26" t="str">
        <f t="shared" ca="1" si="8"/>
        <v/>
      </c>
      <c r="H57" s="4" t="str">
        <f t="shared" ca="1" si="18"/>
        <v/>
      </c>
      <c r="I57" s="25" t="str">
        <f t="shared" ca="1" si="19"/>
        <v/>
      </c>
      <c r="J57" s="26" t="str">
        <f t="shared" ca="1" si="11"/>
        <v/>
      </c>
      <c r="K57" s="59" t="str">
        <f t="shared" ca="1" si="20"/>
        <v/>
      </c>
      <c r="M57" s="74"/>
      <c r="O57" s="74"/>
      <c r="Q57" s="74"/>
      <c r="S57" s="97" t="str">
        <f t="shared" si="0"/>
        <v/>
      </c>
      <c r="U57" s="97" t="str">
        <f t="shared" si="1"/>
        <v/>
      </c>
    </row>
    <row r="58" spans="1:21" x14ac:dyDescent="0.25">
      <c r="A58" s="98" t="str">
        <f t="shared" ca="1" si="13"/>
        <v/>
      </c>
      <c r="B58" s="1" t="str">
        <f t="shared" ca="1" si="14"/>
        <v/>
      </c>
      <c r="C58" s="25" t="str">
        <f t="shared" ca="1" si="15"/>
        <v/>
      </c>
      <c r="D58" s="26" t="str">
        <f t="shared" ca="1" si="5"/>
        <v/>
      </c>
      <c r="E58" s="4" t="str">
        <f t="shared" ca="1" si="16"/>
        <v/>
      </c>
      <c r="F58" s="25" t="str">
        <f t="shared" ca="1" si="17"/>
        <v/>
      </c>
      <c r="G58" s="26" t="str">
        <f t="shared" ca="1" si="8"/>
        <v/>
      </c>
      <c r="H58" s="4" t="str">
        <f t="shared" ca="1" si="18"/>
        <v/>
      </c>
      <c r="I58" s="25" t="str">
        <f t="shared" ca="1" si="19"/>
        <v/>
      </c>
      <c r="J58" s="26" t="str">
        <f t="shared" ca="1" si="11"/>
        <v/>
      </c>
      <c r="K58" s="59" t="str">
        <f t="shared" ca="1" si="20"/>
        <v/>
      </c>
      <c r="M58" s="74"/>
      <c r="O58" s="74"/>
      <c r="Q58" s="74"/>
      <c r="S58" s="97" t="str">
        <f t="shared" si="0"/>
        <v/>
      </c>
      <c r="U58" s="97" t="str">
        <f t="shared" si="1"/>
        <v/>
      </c>
    </row>
    <row r="59" spans="1:21" x14ac:dyDescent="0.25">
      <c r="A59" s="98" t="str">
        <f t="shared" ca="1" si="13"/>
        <v/>
      </c>
      <c r="B59" s="1" t="str">
        <f t="shared" ca="1" si="14"/>
        <v/>
      </c>
      <c r="C59" s="25" t="str">
        <f t="shared" ca="1" si="15"/>
        <v/>
      </c>
      <c r="D59" s="26" t="str">
        <f t="shared" ca="1" si="5"/>
        <v/>
      </c>
      <c r="E59" s="4" t="str">
        <f t="shared" ca="1" si="16"/>
        <v/>
      </c>
      <c r="F59" s="25" t="str">
        <f t="shared" ca="1" si="17"/>
        <v/>
      </c>
      <c r="G59" s="26" t="str">
        <f t="shared" ca="1" si="8"/>
        <v/>
      </c>
      <c r="H59" s="4" t="str">
        <f t="shared" ca="1" si="18"/>
        <v/>
      </c>
      <c r="I59" s="25" t="str">
        <f t="shared" ca="1" si="19"/>
        <v/>
      </c>
      <c r="J59" s="26" t="str">
        <f t="shared" ca="1" si="11"/>
        <v/>
      </c>
      <c r="K59" s="59" t="str">
        <f t="shared" ca="1" si="20"/>
        <v/>
      </c>
      <c r="M59" s="74"/>
      <c r="O59" s="74"/>
      <c r="Q59" s="74"/>
      <c r="S59" s="97" t="str">
        <f t="shared" si="0"/>
        <v/>
      </c>
      <c r="U59" s="97" t="str">
        <f t="shared" si="1"/>
        <v/>
      </c>
    </row>
    <row r="60" spans="1:21" x14ac:dyDescent="0.25">
      <c r="A60" s="98" t="str">
        <f t="shared" ca="1" si="13"/>
        <v/>
      </c>
      <c r="B60" s="1" t="str">
        <f t="shared" ca="1" si="14"/>
        <v/>
      </c>
      <c r="C60" s="25" t="str">
        <f t="shared" ca="1" si="15"/>
        <v/>
      </c>
      <c r="D60" s="26" t="str">
        <f t="shared" ca="1" si="5"/>
        <v/>
      </c>
      <c r="E60" s="4" t="str">
        <f t="shared" ca="1" si="16"/>
        <v/>
      </c>
      <c r="F60" s="25" t="str">
        <f t="shared" ca="1" si="17"/>
        <v/>
      </c>
      <c r="G60" s="26" t="str">
        <f t="shared" ca="1" si="8"/>
        <v/>
      </c>
      <c r="H60" s="4" t="str">
        <f t="shared" ca="1" si="18"/>
        <v/>
      </c>
      <c r="I60" s="25" t="str">
        <f t="shared" ca="1" si="19"/>
        <v/>
      </c>
      <c r="J60" s="26" t="str">
        <f t="shared" ca="1" si="11"/>
        <v/>
      </c>
      <c r="K60" s="59" t="str">
        <f t="shared" ca="1" si="20"/>
        <v/>
      </c>
      <c r="M60" s="74"/>
      <c r="O60" s="74"/>
      <c r="Q60" s="74"/>
      <c r="S60" s="97" t="str">
        <f t="shared" si="0"/>
        <v/>
      </c>
      <c r="U60" s="97" t="str">
        <f t="shared" si="1"/>
        <v/>
      </c>
    </row>
    <row r="61" spans="1:21" x14ac:dyDescent="0.25">
      <c r="A61" s="98" t="str">
        <f t="shared" ca="1" si="13"/>
        <v/>
      </c>
      <c r="B61" s="1" t="str">
        <f t="shared" ca="1" si="14"/>
        <v/>
      </c>
      <c r="C61" s="25" t="str">
        <f t="shared" ca="1" si="15"/>
        <v/>
      </c>
      <c r="D61" s="26" t="str">
        <f t="shared" ca="1" si="5"/>
        <v/>
      </c>
      <c r="E61" s="4" t="str">
        <f t="shared" ca="1" si="16"/>
        <v/>
      </c>
      <c r="F61" s="25" t="str">
        <f t="shared" ca="1" si="17"/>
        <v/>
      </c>
      <c r="G61" s="26" t="str">
        <f t="shared" ca="1" si="8"/>
        <v/>
      </c>
      <c r="H61" s="4" t="str">
        <f t="shared" ca="1" si="18"/>
        <v/>
      </c>
      <c r="I61" s="25" t="str">
        <f t="shared" ca="1" si="19"/>
        <v/>
      </c>
      <c r="J61" s="26" t="str">
        <f t="shared" ca="1" si="11"/>
        <v/>
      </c>
      <c r="K61" s="59" t="str">
        <f t="shared" ca="1" si="20"/>
        <v/>
      </c>
      <c r="M61" s="74"/>
      <c r="O61" s="74"/>
      <c r="Q61" s="74"/>
      <c r="S61" s="97" t="str">
        <f t="shared" si="0"/>
        <v/>
      </c>
      <c r="U61" s="97" t="str">
        <f t="shared" si="1"/>
        <v/>
      </c>
    </row>
    <row r="62" spans="1:21" x14ac:dyDescent="0.25">
      <c r="A62" s="98" t="str">
        <f t="shared" ca="1" si="13"/>
        <v/>
      </c>
      <c r="B62" s="1" t="str">
        <f t="shared" ca="1" si="14"/>
        <v/>
      </c>
      <c r="C62" s="25" t="str">
        <f t="shared" ca="1" si="15"/>
        <v/>
      </c>
      <c r="D62" s="26" t="str">
        <f t="shared" ca="1" si="5"/>
        <v/>
      </c>
      <c r="E62" s="4" t="str">
        <f t="shared" ca="1" si="16"/>
        <v/>
      </c>
      <c r="F62" s="25" t="str">
        <f t="shared" ca="1" si="17"/>
        <v/>
      </c>
      <c r="G62" s="26" t="str">
        <f t="shared" ca="1" si="8"/>
        <v/>
      </c>
      <c r="H62" s="4" t="str">
        <f t="shared" ca="1" si="18"/>
        <v/>
      </c>
      <c r="I62" s="25" t="str">
        <f t="shared" ca="1" si="19"/>
        <v/>
      </c>
      <c r="J62" s="26" t="str">
        <f t="shared" ca="1" si="11"/>
        <v/>
      </c>
      <c r="K62" s="59" t="str">
        <f t="shared" ca="1" si="20"/>
        <v/>
      </c>
      <c r="M62" s="74"/>
      <c r="O62" s="74"/>
      <c r="Q62" s="74"/>
      <c r="S62" s="97" t="str">
        <f t="shared" si="0"/>
        <v/>
      </c>
      <c r="U62" s="97" t="str">
        <f t="shared" si="1"/>
        <v/>
      </c>
    </row>
    <row r="63" spans="1:21" x14ac:dyDescent="0.25">
      <c r="A63" s="98" t="str">
        <f t="shared" ca="1" si="13"/>
        <v/>
      </c>
      <c r="B63" s="1" t="str">
        <f t="shared" ca="1" si="14"/>
        <v/>
      </c>
      <c r="C63" s="25" t="str">
        <f t="shared" ca="1" si="15"/>
        <v/>
      </c>
      <c r="D63" s="26" t="str">
        <f t="shared" ca="1" si="5"/>
        <v/>
      </c>
      <c r="E63" s="4" t="str">
        <f t="shared" ca="1" si="16"/>
        <v/>
      </c>
      <c r="F63" s="25" t="str">
        <f t="shared" ca="1" si="17"/>
        <v/>
      </c>
      <c r="G63" s="26" t="str">
        <f t="shared" ca="1" si="8"/>
        <v/>
      </c>
      <c r="H63" s="4" t="str">
        <f t="shared" ca="1" si="18"/>
        <v/>
      </c>
      <c r="I63" s="25" t="str">
        <f t="shared" ca="1" si="19"/>
        <v/>
      </c>
      <c r="J63" s="26" t="str">
        <f t="shared" ca="1" si="11"/>
        <v/>
      </c>
      <c r="K63" s="59" t="str">
        <f t="shared" ca="1" si="20"/>
        <v/>
      </c>
      <c r="M63" s="74"/>
      <c r="O63" s="74"/>
      <c r="Q63" s="74"/>
      <c r="S63" s="97" t="str">
        <f t="shared" si="0"/>
        <v/>
      </c>
      <c r="U63" s="97" t="str">
        <f t="shared" si="1"/>
        <v/>
      </c>
    </row>
    <row r="64" spans="1:21" x14ac:dyDescent="0.25">
      <c r="A64" s="98" t="str">
        <f t="shared" ca="1" si="13"/>
        <v/>
      </c>
      <c r="B64" s="1" t="str">
        <f t="shared" ca="1" si="14"/>
        <v/>
      </c>
      <c r="C64" s="25" t="str">
        <f t="shared" ca="1" si="15"/>
        <v/>
      </c>
      <c r="D64" s="26" t="str">
        <f t="shared" ca="1" si="5"/>
        <v/>
      </c>
      <c r="E64" s="4" t="str">
        <f t="shared" ca="1" si="16"/>
        <v/>
      </c>
      <c r="F64" s="25" t="str">
        <f t="shared" ca="1" si="17"/>
        <v/>
      </c>
      <c r="G64" s="26" t="str">
        <f t="shared" ca="1" si="8"/>
        <v/>
      </c>
      <c r="H64" s="4" t="str">
        <f t="shared" ca="1" si="18"/>
        <v/>
      </c>
      <c r="I64" s="25" t="str">
        <f t="shared" ca="1" si="19"/>
        <v/>
      </c>
      <c r="J64" s="26" t="str">
        <f t="shared" ca="1" si="11"/>
        <v/>
      </c>
      <c r="K64" s="59" t="str">
        <f t="shared" ca="1" si="20"/>
        <v/>
      </c>
      <c r="M64" s="74"/>
      <c r="O64" s="74"/>
      <c r="Q64" s="74"/>
      <c r="S64" s="97" t="str">
        <f t="shared" si="0"/>
        <v/>
      </c>
      <c r="U64" s="97" t="str">
        <f t="shared" si="1"/>
        <v/>
      </c>
    </row>
    <row r="65" spans="1:21" x14ac:dyDescent="0.25">
      <c r="A65" s="98" t="str">
        <f t="shared" ca="1" si="13"/>
        <v/>
      </c>
      <c r="B65" s="1" t="str">
        <f t="shared" ca="1" si="14"/>
        <v/>
      </c>
      <c r="C65" s="25" t="str">
        <f t="shared" ca="1" si="15"/>
        <v/>
      </c>
      <c r="D65" s="26" t="str">
        <f t="shared" ca="1" si="5"/>
        <v/>
      </c>
      <c r="E65" s="4" t="str">
        <f t="shared" ca="1" si="16"/>
        <v/>
      </c>
      <c r="F65" s="25" t="str">
        <f t="shared" ca="1" si="17"/>
        <v/>
      </c>
      <c r="G65" s="26" t="str">
        <f t="shared" ca="1" si="8"/>
        <v/>
      </c>
      <c r="H65" s="4" t="str">
        <f t="shared" ca="1" si="18"/>
        <v/>
      </c>
      <c r="I65" s="25" t="str">
        <f t="shared" ca="1" si="19"/>
        <v/>
      </c>
      <c r="J65" s="26" t="str">
        <f t="shared" ca="1" si="11"/>
        <v/>
      </c>
      <c r="K65" s="59" t="str">
        <f t="shared" ca="1" si="20"/>
        <v/>
      </c>
      <c r="M65" s="74"/>
      <c r="O65" s="74"/>
      <c r="Q65" s="74"/>
      <c r="S65" s="97" t="str">
        <f t="shared" si="0"/>
        <v/>
      </c>
      <c r="U65" s="97" t="str">
        <f t="shared" si="1"/>
        <v/>
      </c>
    </row>
    <row r="66" spans="1:21" x14ac:dyDescent="0.25">
      <c r="A66" s="98" t="str">
        <f t="shared" ca="1" si="13"/>
        <v/>
      </c>
      <c r="B66" s="1" t="str">
        <f t="shared" ca="1" si="14"/>
        <v/>
      </c>
      <c r="C66" s="25" t="str">
        <f t="shared" ca="1" si="15"/>
        <v/>
      </c>
      <c r="D66" s="26" t="str">
        <f t="shared" ca="1" si="5"/>
        <v/>
      </c>
      <c r="E66" s="4" t="str">
        <f t="shared" ca="1" si="16"/>
        <v/>
      </c>
      <c r="F66" s="25" t="str">
        <f t="shared" ca="1" si="17"/>
        <v/>
      </c>
      <c r="G66" s="26" t="str">
        <f t="shared" ca="1" si="8"/>
        <v/>
      </c>
      <c r="H66" s="4" t="str">
        <f t="shared" ca="1" si="18"/>
        <v/>
      </c>
      <c r="I66" s="25" t="str">
        <f t="shared" ca="1" si="19"/>
        <v/>
      </c>
      <c r="J66" s="26" t="str">
        <f t="shared" ca="1" si="11"/>
        <v/>
      </c>
      <c r="K66" s="59" t="str">
        <f t="shared" ca="1" si="20"/>
        <v/>
      </c>
      <c r="M66" s="74"/>
      <c r="O66" s="74"/>
      <c r="Q66" s="74"/>
      <c r="S66" s="97" t="str">
        <f t="shared" si="0"/>
        <v/>
      </c>
      <c r="U66" s="97" t="str">
        <f t="shared" si="1"/>
        <v/>
      </c>
    </row>
    <row r="67" spans="1:21" x14ac:dyDescent="0.25">
      <c r="A67" s="98" t="str">
        <f t="shared" ca="1" si="13"/>
        <v/>
      </c>
      <c r="B67" s="1" t="str">
        <f t="shared" ca="1" si="14"/>
        <v/>
      </c>
      <c r="C67" s="25" t="str">
        <f t="shared" ca="1" si="15"/>
        <v/>
      </c>
      <c r="D67" s="26" t="str">
        <f t="shared" ca="1" si="5"/>
        <v/>
      </c>
      <c r="E67" s="4" t="str">
        <f t="shared" ca="1" si="16"/>
        <v/>
      </c>
      <c r="F67" s="25" t="str">
        <f t="shared" ca="1" si="17"/>
        <v/>
      </c>
      <c r="G67" s="26" t="str">
        <f t="shared" ca="1" si="8"/>
        <v/>
      </c>
      <c r="H67" s="4" t="str">
        <f t="shared" ca="1" si="18"/>
        <v/>
      </c>
      <c r="I67" s="25" t="str">
        <f t="shared" ca="1" si="19"/>
        <v/>
      </c>
      <c r="J67" s="26" t="str">
        <f t="shared" ca="1" si="11"/>
        <v/>
      </c>
      <c r="K67" s="59" t="str">
        <f t="shared" ca="1" si="20"/>
        <v/>
      </c>
      <c r="M67" s="74"/>
      <c r="O67" s="74"/>
      <c r="Q67" s="74"/>
      <c r="S67" s="97" t="str">
        <f t="shared" si="0"/>
        <v/>
      </c>
      <c r="U67" s="97" t="str">
        <f t="shared" si="1"/>
        <v/>
      </c>
    </row>
    <row r="68" spans="1:21" x14ac:dyDescent="0.25">
      <c r="A68" s="98" t="str">
        <f t="shared" ca="1" si="13"/>
        <v/>
      </c>
      <c r="B68" s="1" t="str">
        <f t="shared" ca="1" si="14"/>
        <v/>
      </c>
      <c r="C68" s="25" t="str">
        <f t="shared" ca="1" si="15"/>
        <v/>
      </c>
      <c r="D68" s="26" t="str">
        <f t="shared" ca="1" si="5"/>
        <v/>
      </c>
      <c r="E68" s="4" t="str">
        <f t="shared" ca="1" si="16"/>
        <v/>
      </c>
      <c r="F68" s="25" t="str">
        <f t="shared" ca="1" si="17"/>
        <v/>
      </c>
      <c r="G68" s="26" t="str">
        <f t="shared" ca="1" si="8"/>
        <v/>
      </c>
      <c r="H68" s="4" t="str">
        <f t="shared" ca="1" si="18"/>
        <v/>
      </c>
      <c r="I68" s="25" t="str">
        <f t="shared" ca="1" si="19"/>
        <v/>
      </c>
      <c r="J68" s="26" t="str">
        <f t="shared" ca="1" si="11"/>
        <v/>
      </c>
      <c r="K68" s="59" t="str">
        <f t="shared" ca="1" si="20"/>
        <v/>
      </c>
      <c r="M68" s="74"/>
      <c r="O68" s="74"/>
      <c r="Q68" s="74"/>
      <c r="S68" s="97" t="str">
        <f t="shared" ref="S68:S131" si="21">IF(COUNTIF(O:O,M68)*COUNTIF(Q:Q,M68),M68,"")</f>
        <v/>
      </c>
      <c r="U68" s="97" t="str">
        <f t="shared" ref="U68:U131" si="22">IF(T68&gt;$A$14,T68,"")</f>
        <v/>
      </c>
    </row>
    <row r="69" spans="1:21" x14ac:dyDescent="0.25">
      <c r="A69" s="98" t="str">
        <f t="shared" ca="1" si="13"/>
        <v/>
      </c>
      <c r="B69" s="1" t="str">
        <f t="shared" ca="1" si="14"/>
        <v/>
      </c>
      <c r="C69" s="25" t="str">
        <f t="shared" ca="1" si="15"/>
        <v/>
      </c>
      <c r="D69" s="26" t="str">
        <f t="shared" ca="1" si="5"/>
        <v/>
      </c>
      <c r="E69" s="4" t="str">
        <f t="shared" ca="1" si="16"/>
        <v/>
      </c>
      <c r="F69" s="25" t="str">
        <f t="shared" ca="1" si="17"/>
        <v/>
      </c>
      <c r="G69" s="26" t="str">
        <f t="shared" ca="1" si="8"/>
        <v/>
      </c>
      <c r="H69" s="4" t="str">
        <f t="shared" ca="1" si="18"/>
        <v/>
      </c>
      <c r="I69" s="25" t="str">
        <f t="shared" ca="1" si="19"/>
        <v/>
      </c>
      <c r="J69" s="26" t="str">
        <f t="shared" ca="1" si="11"/>
        <v/>
      </c>
      <c r="K69" s="59" t="str">
        <f t="shared" ca="1" si="20"/>
        <v/>
      </c>
      <c r="M69" s="74"/>
      <c r="O69" s="74"/>
      <c r="Q69" s="74"/>
      <c r="S69" s="97" t="str">
        <f t="shared" si="21"/>
        <v/>
      </c>
      <c r="U69" s="97" t="str">
        <f t="shared" si="22"/>
        <v/>
      </c>
    </row>
    <row r="70" spans="1:21" x14ac:dyDescent="0.25">
      <c r="A70" s="98" t="str">
        <f t="shared" ca="1" si="13"/>
        <v/>
      </c>
      <c r="B70" s="1" t="str">
        <f t="shared" ca="1" si="14"/>
        <v/>
      </c>
      <c r="C70" s="25" t="str">
        <f t="shared" ca="1" si="15"/>
        <v/>
      </c>
      <c r="D70" s="26" t="str">
        <f t="shared" ca="1" si="5"/>
        <v/>
      </c>
      <c r="E70" s="4" t="str">
        <f t="shared" ca="1" si="16"/>
        <v/>
      </c>
      <c r="F70" s="25" t="str">
        <f t="shared" ca="1" si="17"/>
        <v/>
      </c>
      <c r="G70" s="26" t="str">
        <f t="shared" ca="1" si="8"/>
        <v/>
      </c>
      <c r="H70" s="4" t="str">
        <f t="shared" ca="1" si="18"/>
        <v/>
      </c>
      <c r="I70" s="25" t="str">
        <f t="shared" ca="1" si="19"/>
        <v/>
      </c>
      <c r="J70" s="26" t="str">
        <f t="shared" ca="1" si="11"/>
        <v/>
      </c>
      <c r="K70" s="59" t="str">
        <f t="shared" ca="1" si="20"/>
        <v/>
      </c>
      <c r="M70" s="74"/>
      <c r="O70" s="74"/>
      <c r="Q70" s="74"/>
      <c r="S70" s="97" t="str">
        <f t="shared" si="21"/>
        <v/>
      </c>
      <c r="U70" s="97" t="str">
        <f t="shared" si="22"/>
        <v/>
      </c>
    </row>
    <row r="71" spans="1:21" x14ac:dyDescent="0.25">
      <c r="A71" s="98" t="str">
        <f t="shared" ca="1" si="13"/>
        <v/>
      </c>
      <c r="B71" s="1" t="str">
        <f t="shared" ca="1" si="14"/>
        <v/>
      </c>
      <c r="C71" s="25" t="str">
        <f t="shared" ca="1" si="15"/>
        <v/>
      </c>
      <c r="D71" s="26" t="str">
        <f t="shared" ca="1" si="5"/>
        <v/>
      </c>
      <c r="E71" s="4" t="str">
        <f t="shared" ca="1" si="16"/>
        <v/>
      </c>
      <c r="F71" s="25" t="str">
        <f t="shared" ca="1" si="17"/>
        <v/>
      </c>
      <c r="G71" s="26" t="str">
        <f t="shared" ca="1" si="8"/>
        <v/>
      </c>
      <c r="H71" s="4" t="str">
        <f t="shared" ca="1" si="18"/>
        <v/>
      </c>
      <c r="I71" s="25" t="str">
        <f t="shared" ca="1" si="19"/>
        <v/>
      </c>
      <c r="J71" s="26" t="str">
        <f t="shared" ca="1" si="11"/>
        <v/>
      </c>
      <c r="K71" s="59" t="str">
        <f t="shared" ca="1" si="20"/>
        <v/>
      </c>
      <c r="M71" s="74"/>
      <c r="O71" s="74"/>
      <c r="Q71" s="74"/>
      <c r="S71" s="97" t="str">
        <f t="shared" si="21"/>
        <v/>
      </c>
      <c r="U71" s="97" t="str">
        <f t="shared" si="22"/>
        <v/>
      </c>
    </row>
    <row r="72" spans="1:21" x14ac:dyDescent="0.25">
      <c r="A72" s="98" t="str">
        <f t="shared" ca="1" si="13"/>
        <v/>
      </c>
      <c r="B72" s="1" t="str">
        <f t="shared" ca="1" si="14"/>
        <v/>
      </c>
      <c r="C72" s="25" t="str">
        <f t="shared" ca="1" si="15"/>
        <v/>
      </c>
      <c r="D72" s="26" t="str">
        <f t="shared" ca="1" si="5"/>
        <v/>
      </c>
      <c r="E72" s="4" t="str">
        <f t="shared" ca="1" si="16"/>
        <v/>
      </c>
      <c r="F72" s="25" t="str">
        <f t="shared" ca="1" si="17"/>
        <v/>
      </c>
      <c r="G72" s="26" t="str">
        <f t="shared" ca="1" si="8"/>
        <v/>
      </c>
      <c r="H72" s="4" t="str">
        <f t="shared" ca="1" si="18"/>
        <v/>
      </c>
      <c r="I72" s="25" t="str">
        <f t="shared" ca="1" si="19"/>
        <v/>
      </c>
      <c r="J72" s="26" t="str">
        <f t="shared" ca="1" si="11"/>
        <v/>
      </c>
      <c r="K72" s="59" t="str">
        <f t="shared" ca="1" si="20"/>
        <v/>
      </c>
      <c r="M72" s="74"/>
      <c r="O72" s="74"/>
      <c r="Q72" s="74"/>
      <c r="S72" s="97" t="str">
        <f t="shared" si="21"/>
        <v/>
      </c>
      <c r="U72" s="97" t="str">
        <f t="shared" si="22"/>
        <v/>
      </c>
    </row>
    <row r="73" spans="1:21" x14ac:dyDescent="0.25">
      <c r="A73" s="98" t="str">
        <f t="shared" ca="1" si="13"/>
        <v/>
      </c>
      <c r="B73" s="1" t="str">
        <f t="shared" ca="1" si="14"/>
        <v/>
      </c>
      <c r="C73" s="25" t="str">
        <f t="shared" ca="1" si="15"/>
        <v/>
      </c>
      <c r="D73" s="26" t="str">
        <f t="shared" ca="1" si="5"/>
        <v/>
      </c>
      <c r="E73" s="4" t="str">
        <f t="shared" ca="1" si="16"/>
        <v/>
      </c>
      <c r="F73" s="25" t="str">
        <f t="shared" ca="1" si="17"/>
        <v/>
      </c>
      <c r="G73" s="26" t="str">
        <f t="shared" ca="1" si="8"/>
        <v/>
      </c>
      <c r="H73" s="4" t="str">
        <f t="shared" ca="1" si="18"/>
        <v/>
      </c>
      <c r="I73" s="25" t="str">
        <f t="shared" ca="1" si="19"/>
        <v/>
      </c>
      <c r="J73" s="26" t="str">
        <f t="shared" ca="1" si="11"/>
        <v/>
      </c>
      <c r="K73" s="59" t="str">
        <f t="shared" ca="1" si="20"/>
        <v/>
      </c>
      <c r="M73" s="74"/>
      <c r="O73" s="74"/>
      <c r="Q73" s="74"/>
      <c r="S73" s="97" t="str">
        <f t="shared" si="21"/>
        <v/>
      </c>
      <c r="U73" s="97" t="str">
        <f t="shared" si="22"/>
        <v/>
      </c>
    </row>
    <row r="74" spans="1:21" x14ac:dyDescent="0.25">
      <c r="A74" s="98" t="str">
        <f t="shared" ca="1" si="13"/>
        <v/>
      </c>
      <c r="B74" s="1" t="str">
        <f t="shared" ca="1" si="14"/>
        <v/>
      </c>
      <c r="C74" s="25" t="str">
        <f t="shared" ca="1" si="15"/>
        <v/>
      </c>
      <c r="D74" s="26" t="str">
        <f t="shared" ca="1" si="5"/>
        <v/>
      </c>
      <c r="E74" s="4" t="str">
        <f t="shared" ca="1" si="16"/>
        <v/>
      </c>
      <c r="F74" s="25" t="str">
        <f t="shared" ca="1" si="17"/>
        <v/>
      </c>
      <c r="G74" s="26" t="str">
        <f t="shared" ca="1" si="8"/>
        <v/>
      </c>
      <c r="H74" s="4" t="str">
        <f t="shared" ca="1" si="18"/>
        <v/>
      </c>
      <c r="I74" s="25" t="str">
        <f t="shared" ca="1" si="19"/>
        <v/>
      </c>
      <c r="J74" s="26" t="str">
        <f t="shared" ca="1" si="11"/>
        <v/>
      </c>
      <c r="K74" s="59" t="str">
        <f t="shared" ca="1" si="20"/>
        <v/>
      </c>
      <c r="M74" s="74"/>
      <c r="O74" s="74"/>
      <c r="Q74" s="74"/>
      <c r="S74" s="97" t="str">
        <f t="shared" si="21"/>
        <v/>
      </c>
      <c r="U74" s="97" t="str">
        <f t="shared" si="22"/>
        <v/>
      </c>
    </row>
    <row r="75" spans="1:21" x14ac:dyDescent="0.25">
      <c r="A75" s="98" t="str">
        <f t="shared" ca="1" si="13"/>
        <v/>
      </c>
      <c r="B75" s="1" t="str">
        <f t="shared" ca="1" si="14"/>
        <v/>
      </c>
      <c r="C75" s="25" t="str">
        <f t="shared" ca="1" si="15"/>
        <v/>
      </c>
      <c r="D75" s="26" t="str">
        <f t="shared" ca="1" si="5"/>
        <v/>
      </c>
      <c r="E75" s="4" t="str">
        <f t="shared" ca="1" si="16"/>
        <v/>
      </c>
      <c r="F75" s="25" t="str">
        <f t="shared" ca="1" si="17"/>
        <v/>
      </c>
      <c r="G75" s="26" t="str">
        <f t="shared" ca="1" si="8"/>
        <v/>
      </c>
      <c r="H75" s="4" t="str">
        <f t="shared" ca="1" si="18"/>
        <v/>
      </c>
      <c r="I75" s="25" t="str">
        <f t="shared" ca="1" si="19"/>
        <v/>
      </c>
      <c r="J75" s="26" t="str">
        <f t="shared" ca="1" si="11"/>
        <v/>
      </c>
      <c r="K75" s="59" t="str">
        <f t="shared" ca="1" si="20"/>
        <v/>
      </c>
      <c r="M75" s="74"/>
      <c r="O75" s="74"/>
      <c r="Q75" s="74"/>
      <c r="S75" s="97" t="str">
        <f t="shared" si="21"/>
        <v/>
      </c>
      <c r="U75" s="97" t="str">
        <f t="shared" si="22"/>
        <v/>
      </c>
    </row>
    <row r="76" spans="1:21" x14ac:dyDescent="0.25">
      <c r="A76" s="98" t="str">
        <f t="shared" ca="1" si="13"/>
        <v/>
      </c>
      <c r="B76" s="1" t="str">
        <f t="shared" ca="1" si="14"/>
        <v/>
      </c>
      <c r="C76" s="25" t="str">
        <f t="shared" ca="1" si="15"/>
        <v/>
      </c>
      <c r="D76" s="26" t="str">
        <f t="shared" ca="1" si="5"/>
        <v/>
      </c>
      <c r="E76" s="4" t="str">
        <f t="shared" ca="1" si="16"/>
        <v/>
      </c>
      <c r="F76" s="25" t="str">
        <f t="shared" ca="1" si="17"/>
        <v/>
      </c>
      <c r="G76" s="26" t="str">
        <f t="shared" ca="1" si="8"/>
        <v/>
      </c>
      <c r="H76" s="4" t="str">
        <f t="shared" ca="1" si="18"/>
        <v/>
      </c>
      <c r="I76" s="25" t="str">
        <f t="shared" ca="1" si="19"/>
        <v/>
      </c>
      <c r="J76" s="26" t="str">
        <f t="shared" ca="1" si="11"/>
        <v/>
      </c>
      <c r="K76" s="59" t="str">
        <f t="shared" ca="1" si="20"/>
        <v/>
      </c>
      <c r="M76" s="74"/>
      <c r="O76" s="74"/>
      <c r="Q76" s="74"/>
      <c r="S76" s="97" t="str">
        <f t="shared" si="21"/>
        <v/>
      </c>
      <c r="U76" s="97" t="str">
        <f t="shared" si="22"/>
        <v/>
      </c>
    </row>
    <row r="77" spans="1:21" x14ac:dyDescent="0.25">
      <c r="A77" s="98" t="str">
        <f t="shared" ca="1" si="13"/>
        <v/>
      </c>
      <c r="B77" s="1" t="str">
        <f t="shared" ca="1" si="14"/>
        <v/>
      </c>
      <c r="C77" s="25" t="str">
        <f t="shared" ca="1" si="15"/>
        <v/>
      </c>
      <c r="D77" s="26" t="str">
        <f t="shared" ca="1" si="5"/>
        <v/>
      </c>
      <c r="E77" s="4" t="str">
        <f t="shared" ca="1" si="16"/>
        <v/>
      </c>
      <c r="F77" s="25" t="str">
        <f t="shared" ca="1" si="17"/>
        <v/>
      </c>
      <c r="G77" s="26" t="str">
        <f t="shared" ca="1" si="8"/>
        <v/>
      </c>
      <c r="H77" s="4" t="str">
        <f t="shared" ca="1" si="18"/>
        <v/>
      </c>
      <c r="I77" s="25" t="str">
        <f t="shared" ca="1" si="19"/>
        <v/>
      </c>
      <c r="J77" s="26" t="str">
        <f t="shared" ca="1" si="11"/>
        <v/>
      </c>
      <c r="K77" s="59" t="str">
        <f t="shared" ca="1" si="20"/>
        <v/>
      </c>
      <c r="M77" s="74"/>
      <c r="O77" s="74"/>
      <c r="Q77" s="74"/>
      <c r="S77" s="97" t="str">
        <f t="shared" si="21"/>
        <v/>
      </c>
      <c r="U77" s="97" t="str">
        <f t="shared" si="22"/>
        <v/>
      </c>
    </row>
    <row r="78" spans="1:21" x14ac:dyDescent="0.25">
      <c r="A78" s="98" t="str">
        <f t="shared" ca="1" si="13"/>
        <v/>
      </c>
      <c r="B78" s="1" t="str">
        <f t="shared" ca="1" si="14"/>
        <v/>
      </c>
      <c r="C78" s="25" t="str">
        <f t="shared" ca="1" si="15"/>
        <v/>
      </c>
      <c r="D78" s="26" t="str">
        <f t="shared" ca="1" si="5"/>
        <v/>
      </c>
      <c r="E78" s="4" t="str">
        <f t="shared" ca="1" si="16"/>
        <v/>
      </c>
      <c r="F78" s="25" t="str">
        <f t="shared" ca="1" si="17"/>
        <v/>
      </c>
      <c r="G78" s="26" t="str">
        <f t="shared" ca="1" si="8"/>
        <v/>
      </c>
      <c r="H78" s="4" t="str">
        <f t="shared" ca="1" si="18"/>
        <v/>
      </c>
      <c r="I78" s="25" t="str">
        <f t="shared" ca="1" si="19"/>
        <v/>
      </c>
      <c r="J78" s="26" t="str">
        <f t="shared" ca="1" si="11"/>
        <v/>
      </c>
      <c r="K78" s="59" t="str">
        <f t="shared" ca="1" si="20"/>
        <v/>
      </c>
      <c r="M78" s="74"/>
      <c r="O78" s="74"/>
      <c r="Q78" s="74"/>
      <c r="S78" s="97" t="str">
        <f t="shared" si="21"/>
        <v/>
      </c>
      <c r="U78" s="97" t="str">
        <f t="shared" si="22"/>
        <v/>
      </c>
    </row>
    <row r="79" spans="1:21" x14ac:dyDescent="0.25">
      <c r="A79" s="98" t="str">
        <f t="shared" ca="1" si="13"/>
        <v/>
      </c>
      <c r="B79" s="1" t="str">
        <f t="shared" ca="1" si="14"/>
        <v/>
      </c>
      <c r="C79" s="25" t="str">
        <f t="shared" ca="1" si="15"/>
        <v/>
      </c>
      <c r="D79" s="26" t="str">
        <f t="shared" ca="1" si="5"/>
        <v/>
      </c>
      <c r="E79" s="4" t="str">
        <f t="shared" ca="1" si="16"/>
        <v/>
      </c>
      <c r="F79" s="25" t="str">
        <f t="shared" ca="1" si="17"/>
        <v/>
      </c>
      <c r="G79" s="26" t="str">
        <f t="shared" ca="1" si="8"/>
        <v/>
      </c>
      <c r="H79" s="4" t="str">
        <f t="shared" ca="1" si="18"/>
        <v/>
      </c>
      <c r="I79" s="25" t="str">
        <f t="shared" ca="1" si="19"/>
        <v/>
      </c>
      <c r="J79" s="26" t="str">
        <f t="shared" ca="1" si="11"/>
        <v/>
      </c>
      <c r="K79" s="59" t="str">
        <f t="shared" ca="1" si="20"/>
        <v/>
      </c>
      <c r="M79" s="74"/>
      <c r="O79" s="74"/>
      <c r="Q79" s="74"/>
      <c r="S79" s="97" t="str">
        <f t="shared" si="21"/>
        <v/>
      </c>
      <c r="U79" s="97" t="str">
        <f t="shared" si="22"/>
        <v/>
      </c>
    </row>
    <row r="80" spans="1:21" x14ac:dyDescent="0.25">
      <c r="A80" s="98" t="str">
        <f t="shared" ca="1" si="13"/>
        <v/>
      </c>
      <c r="B80" s="1" t="str">
        <f t="shared" ca="1" si="14"/>
        <v/>
      </c>
      <c r="C80" s="25" t="str">
        <f t="shared" ca="1" si="15"/>
        <v/>
      </c>
      <c r="D80" s="26" t="str">
        <f t="shared" ref="D80:D143" ca="1" si="23">IF(ISERROR(B80-2),"",$B$6*(INT(A80)-INT($A$14))/360*$B$5)</f>
        <v/>
      </c>
      <c r="E80" s="4" t="str">
        <f t="shared" ca="1" si="16"/>
        <v/>
      </c>
      <c r="F80" s="25" t="str">
        <f t="shared" ca="1" si="17"/>
        <v/>
      </c>
      <c r="G80" s="26" t="str">
        <f t="shared" ref="G80:G143" ca="1" si="24">IF(ISERROR(B80-2),"",$C$6*(INT(A80)-INT($A$14))/360*$C$5)</f>
        <v/>
      </c>
      <c r="H80" s="4" t="str">
        <f t="shared" ca="1" si="18"/>
        <v/>
      </c>
      <c r="I80" s="25" t="str">
        <f t="shared" ca="1" si="19"/>
        <v/>
      </c>
      <c r="J80" s="26" t="str">
        <f t="shared" ref="J80:J143" ca="1" si="25">IF(ISERROR(B80-2),"",$D$6*(INT(A80)-INT($A$14))/360*$D$5)</f>
        <v/>
      </c>
      <c r="K80" s="59" t="str">
        <f t="shared" ca="1" si="20"/>
        <v/>
      </c>
      <c r="M80" s="74"/>
      <c r="O80" s="74"/>
      <c r="Q80" s="74"/>
      <c r="S80" s="97" t="str">
        <f t="shared" si="21"/>
        <v/>
      </c>
      <c r="U80" s="97" t="str">
        <f t="shared" si="22"/>
        <v/>
      </c>
    </row>
    <row r="81" spans="1:21" x14ac:dyDescent="0.25">
      <c r="A81" s="98" t="str">
        <f t="shared" ca="1" si="13"/>
        <v/>
      </c>
      <c r="B81" s="1" t="str">
        <f t="shared" ca="1" si="14"/>
        <v/>
      </c>
      <c r="C81" s="25" t="str">
        <f t="shared" ca="1" si="15"/>
        <v/>
      </c>
      <c r="D81" s="26" t="str">
        <f t="shared" ca="1" si="23"/>
        <v/>
      </c>
      <c r="E81" s="4" t="str">
        <f t="shared" ca="1" si="16"/>
        <v/>
      </c>
      <c r="F81" s="25" t="str">
        <f t="shared" ca="1" si="17"/>
        <v/>
      </c>
      <c r="G81" s="26" t="str">
        <f t="shared" ca="1" si="24"/>
        <v/>
      </c>
      <c r="H81" s="4" t="str">
        <f t="shared" ca="1" si="18"/>
        <v/>
      </c>
      <c r="I81" s="25" t="str">
        <f t="shared" ca="1" si="19"/>
        <v/>
      </c>
      <c r="J81" s="26" t="str">
        <f t="shared" ca="1" si="25"/>
        <v/>
      </c>
      <c r="K81" s="59" t="str">
        <f t="shared" ca="1" si="20"/>
        <v/>
      </c>
      <c r="M81" s="74"/>
      <c r="O81" s="74"/>
      <c r="Q81" s="74"/>
      <c r="S81" s="97" t="str">
        <f t="shared" si="21"/>
        <v/>
      </c>
      <c r="U81" s="97" t="str">
        <f t="shared" si="22"/>
        <v/>
      </c>
    </row>
    <row r="82" spans="1:21" x14ac:dyDescent="0.25">
      <c r="A82" s="98" t="str">
        <f t="shared" ca="1" si="13"/>
        <v/>
      </c>
      <c r="B82" s="1" t="str">
        <f t="shared" ca="1" si="14"/>
        <v/>
      </c>
      <c r="C82" s="25" t="str">
        <f t="shared" ca="1" si="15"/>
        <v/>
      </c>
      <c r="D82" s="26" t="str">
        <f t="shared" ca="1" si="23"/>
        <v/>
      </c>
      <c r="E82" s="4" t="str">
        <f t="shared" ca="1" si="16"/>
        <v/>
      </c>
      <c r="F82" s="25" t="str">
        <f t="shared" ca="1" si="17"/>
        <v/>
      </c>
      <c r="G82" s="26" t="str">
        <f t="shared" ca="1" si="24"/>
        <v/>
      </c>
      <c r="H82" s="4" t="str">
        <f t="shared" ca="1" si="18"/>
        <v/>
      </c>
      <c r="I82" s="25" t="str">
        <f t="shared" ca="1" si="19"/>
        <v/>
      </c>
      <c r="J82" s="26" t="str">
        <f t="shared" ca="1" si="25"/>
        <v/>
      </c>
      <c r="K82" s="59" t="str">
        <f t="shared" ca="1" si="20"/>
        <v/>
      </c>
      <c r="M82" s="74"/>
      <c r="O82" s="74"/>
      <c r="Q82" s="74"/>
      <c r="S82" s="97" t="str">
        <f t="shared" si="21"/>
        <v/>
      </c>
      <c r="U82" s="97" t="str">
        <f t="shared" si="22"/>
        <v/>
      </c>
    </row>
    <row r="83" spans="1:21" x14ac:dyDescent="0.25">
      <c r="A83" s="98" t="str">
        <f t="shared" ca="1" si="13"/>
        <v/>
      </c>
      <c r="B83" s="1" t="str">
        <f t="shared" ca="1" si="14"/>
        <v/>
      </c>
      <c r="C83" s="25" t="str">
        <f t="shared" ca="1" si="15"/>
        <v/>
      </c>
      <c r="D83" s="26" t="str">
        <f t="shared" ca="1" si="23"/>
        <v/>
      </c>
      <c r="E83" s="4" t="str">
        <f t="shared" ca="1" si="16"/>
        <v/>
      </c>
      <c r="F83" s="25" t="str">
        <f t="shared" ca="1" si="17"/>
        <v/>
      </c>
      <c r="G83" s="26" t="str">
        <f t="shared" ca="1" si="24"/>
        <v/>
      </c>
      <c r="H83" s="4" t="str">
        <f t="shared" ca="1" si="18"/>
        <v/>
      </c>
      <c r="I83" s="25" t="str">
        <f t="shared" ca="1" si="19"/>
        <v/>
      </c>
      <c r="J83" s="26" t="str">
        <f t="shared" ca="1" si="25"/>
        <v/>
      </c>
      <c r="K83" s="59" t="str">
        <f t="shared" ca="1" si="20"/>
        <v/>
      </c>
      <c r="M83" s="74"/>
      <c r="O83" s="74"/>
      <c r="Q83" s="74"/>
      <c r="S83" s="97" t="str">
        <f t="shared" si="21"/>
        <v/>
      </c>
      <c r="U83" s="97" t="str">
        <f t="shared" si="22"/>
        <v/>
      </c>
    </row>
    <row r="84" spans="1:21" x14ac:dyDescent="0.25">
      <c r="A84" s="98" t="str">
        <f t="shared" ca="1" si="13"/>
        <v/>
      </c>
      <c r="B84" s="1" t="str">
        <f t="shared" ca="1" si="14"/>
        <v/>
      </c>
      <c r="C84" s="25" t="str">
        <f t="shared" ca="1" si="15"/>
        <v/>
      </c>
      <c r="D84" s="26" t="str">
        <f t="shared" ca="1" si="23"/>
        <v/>
      </c>
      <c r="E84" s="4" t="str">
        <f t="shared" ca="1" si="16"/>
        <v/>
      </c>
      <c r="F84" s="25" t="str">
        <f t="shared" ca="1" si="17"/>
        <v/>
      </c>
      <c r="G84" s="26" t="str">
        <f t="shared" ca="1" si="24"/>
        <v/>
      </c>
      <c r="H84" s="4" t="str">
        <f t="shared" ca="1" si="18"/>
        <v/>
      </c>
      <c r="I84" s="25" t="str">
        <f t="shared" ca="1" si="19"/>
        <v/>
      </c>
      <c r="J84" s="26" t="str">
        <f t="shared" ca="1" si="25"/>
        <v/>
      </c>
      <c r="K84" s="59" t="str">
        <f t="shared" ca="1" si="20"/>
        <v/>
      </c>
      <c r="M84" s="74"/>
      <c r="O84" s="74"/>
      <c r="Q84" s="74"/>
      <c r="S84" s="97" t="str">
        <f t="shared" si="21"/>
        <v/>
      </c>
      <c r="U84" s="97" t="str">
        <f t="shared" si="22"/>
        <v/>
      </c>
    </row>
    <row r="85" spans="1:21" x14ac:dyDescent="0.25">
      <c r="A85" s="98" t="str">
        <f t="shared" ca="1" si="13"/>
        <v/>
      </c>
      <c r="B85" s="1" t="str">
        <f t="shared" ca="1" si="14"/>
        <v/>
      </c>
      <c r="C85" s="25" t="str">
        <f t="shared" ca="1" si="15"/>
        <v/>
      </c>
      <c r="D85" s="26" t="str">
        <f t="shared" ca="1" si="23"/>
        <v/>
      </c>
      <c r="E85" s="4" t="str">
        <f t="shared" ca="1" si="16"/>
        <v/>
      </c>
      <c r="F85" s="25" t="str">
        <f t="shared" ca="1" si="17"/>
        <v/>
      </c>
      <c r="G85" s="26" t="str">
        <f t="shared" ca="1" si="24"/>
        <v/>
      </c>
      <c r="H85" s="4" t="str">
        <f t="shared" ca="1" si="18"/>
        <v/>
      </c>
      <c r="I85" s="25" t="str">
        <f t="shared" ca="1" si="19"/>
        <v/>
      </c>
      <c r="J85" s="26" t="str">
        <f t="shared" ca="1" si="25"/>
        <v/>
      </c>
      <c r="K85" s="59" t="str">
        <f t="shared" ca="1" si="20"/>
        <v/>
      </c>
      <c r="M85" s="74"/>
      <c r="O85" s="74"/>
      <c r="Q85" s="74"/>
      <c r="S85" s="97" t="str">
        <f t="shared" si="21"/>
        <v/>
      </c>
      <c r="U85" s="97" t="str">
        <f t="shared" si="22"/>
        <v/>
      </c>
    </row>
    <row r="86" spans="1:21" x14ac:dyDescent="0.25">
      <c r="A86" s="98" t="str">
        <f t="shared" ca="1" si="13"/>
        <v/>
      </c>
      <c r="B86" s="1" t="str">
        <f t="shared" ca="1" si="14"/>
        <v/>
      </c>
      <c r="C86" s="25" t="str">
        <f t="shared" ca="1" si="15"/>
        <v/>
      </c>
      <c r="D86" s="26" t="str">
        <f t="shared" ca="1" si="23"/>
        <v/>
      </c>
      <c r="E86" s="4" t="str">
        <f t="shared" ca="1" si="16"/>
        <v/>
      </c>
      <c r="F86" s="25" t="str">
        <f t="shared" ca="1" si="17"/>
        <v/>
      </c>
      <c r="G86" s="26" t="str">
        <f t="shared" ca="1" si="24"/>
        <v/>
      </c>
      <c r="H86" s="4" t="str">
        <f t="shared" ca="1" si="18"/>
        <v/>
      </c>
      <c r="I86" s="25" t="str">
        <f t="shared" ca="1" si="19"/>
        <v/>
      </c>
      <c r="J86" s="26" t="str">
        <f t="shared" ca="1" si="25"/>
        <v/>
      </c>
      <c r="K86" s="59" t="str">
        <f t="shared" ca="1" si="20"/>
        <v/>
      </c>
      <c r="M86" s="74"/>
      <c r="O86" s="74"/>
      <c r="Q86" s="74"/>
      <c r="S86" s="97" t="str">
        <f t="shared" si="21"/>
        <v/>
      </c>
      <c r="U86" s="97" t="str">
        <f t="shared" si="22"/>
        <v/>
      </c>
    </row>
    <row r="87" spans="1:21" x14ac:dyDescent="0.25">
      <c r="A87" s="98" t="str">
        <f t="shared" ca="1" si="13"/>
        <v/>
      </c>
      <c r="B87" s="1" t="str">
        <f t="shared" ca="1" si="14"/>
        <v/>
      </c>
      <c r="C87" s="25" t="str">
        <f t="shared" ca="1" si="15"/>
        <v/>
      </c>
      <c r="D87" s="26" t="str">
        <f t="shared" ca="1" si="23"/>
        <v/>
      </c>
      <c r="E87" s="4" t="str">
        <f t="shared" ca="1" si="16"/>
        <v/>
      </c>
      <c r="F87" s="25" t="str">
        <f t="shared" ca="1" si="17"/>
        <v/>
      </c>
      <c r="G87" s="26" t="str">
        <f t="shared" ca="1" si="24"/>
        <v/>
      </c>
      <c r="H87" s="4" t="str">
        <f t="shared" ca="1" si="18"/>
        <v/>
      </c>
      <c r="I87" s="25" t="str">
        <f t="shared" ca="1" si="19"/>
        <v/>
      </c>
      <c r="J87" s="26" t="str">
        <f t="shared" ca="1" si="25"/>
        <v/>
      </c>
      <c r="K87" s="59" t="str">
        <f t="shared" ca="1" si="20"/>
        <v/>
      </c>
      <c r="M87" s="74"/>
      <c r="O87" s="74"/>
      <c r="Q87" s="74"/>
      <c r="S87" s="97" t="str">
        <f t="shared" si="21"/>
        <v/>
      </c>
      <c r="U87" s="97" t="str">
        <f t="shared" si="22"/>
        <v/>
      </c>
    </row>
    <row r="88" spans="1:21" x14ac:dyDescent="0.25">
      <c r="A88" s="98" t="str">
        <f t="shared" ca="1" si="13"/>
        <v/>
      </c>
      <c r="B88" s="1" t="str">
        <f t="shared" ca="1" si="14"/>
        <v/>
      </c>
      <c r="C88" s="25" t="str">
        <f t="shared" ca="1" si="15"/>
        <v/>
      </c>
      <c r="D88" s="26" t="str">
        <f t="shared" ca="1" si="23"/>
        <v/>
      </c>
      <c r="E88" s="4" t="str">
        <f t="shared" ca="1" si="16"/>
        <v/>
      </c>
      <c r="F88" s="25" t="str">
        <f t="shared" ca="1" si="17"/>
        <v/>
      </c>
      <c r="G88" s="26" t="str">
        <f t="shared" ca="1" si="24"/>
        <v/>
      </c>
      <c r="H88" s="4" t="str">
        <f t="shared" ca="1" si="18"/>
        <v/>
      </c>
      <c r="I88" s="25" t="str">
        <f t="shared" ca="1" si="19"/>
        <v/>
      </c>
      <c r="J88" s="26" t="str">
        <f t="shared" ca="1" si="25"/>
        <v/>
      </c>
      <c r="K88" s="59" t="str">
        <f t="shared" ca="1" si="20"/>
        <v/>
      </c>
      <c r="M88" s="74"/>
      <c r="O88" s="74"/>
      <c r="Q88" s="74"/>
      <c r="S88" s="97" t="str">
        <f t="shared" si="21"/>
        <v/>
      </c>
      <c r="U88" s="97" t="str">
        <f t="shared" si="22"/>
        <v/>
      </c>
    </row>
    <row r="89" spans="1:21" x14ac:dyDescent="0.25">
      <c r="A89" s="98" t="str">
        <f t="shared" ca="1" si="13"/>
        <v/>
      </c>
      <c r="B89" s="1" t="str">
        <f t="shared" ca="1" si="14"/>
        <v/>
      </c>
      <c r="C89" s="25" t="str">
        <f t="shared" ca="1" si="15"/>
        <v/>
      </c>
      <c r="D89" s="26" t="str">
        <f t="shared" ca="1" si="23"/>
        <v/>
      </c>
      <c r="E89" s="4" t="str">
        <f t="shared" ca="1" si="16"/>
        <v/>
      </c>
      <c r="F89" s="25" t="str">
        <f t="shared" ca="1" si="17"/>
        <v/>
      </c>
      <c r="G89" s="26" t="str">
        <f t="shared" ca="1" si="24"/>
        <v/>
      </c>
      <c r="H89" s="4" t="str">
        <f t="shared" ca="1" si="18"/>
        <v/>
      </c>
      <c r="I89" s="25" t="str">
        <f t="shared" ca="1" si="19"/>
        <v/>
      </c>
      <c r="J89" s="26" t="str">
        <f t="shared" ca="1" si="25"/>
        <v/>
      </c>
      <c r="K89" s="59" t="str">
        <f t="shared" ca="1" si="20"/>
        <v/>
      </c>
      <c r="M89" s="74"/>
      <c r="O89" s="74"/>
      <c r="Q89" s="74"/>
      <c r="S89" s="97" t="str">
        <f t="shared" si="21"/>
        <v/>
      </c>
      <c r="U89" s="97" t="str">
        <f t="shared" si="22"/>
        <v/>
      </c>
    </row>
    <row r="90" spans="1:21" x14ac:dyDescent="0.25">
      <c r="A90" s="98" t="str">
        <f t="shared" ca="1" si="13"/>
        <v/>
      </c>
      <c r="B90" s="1" t="str">
        <f t="shared" ca="1" si="14"/>
        <v/>
      </c>
      <c r="C90" s="25" t="str">
        <f t="shared" ca="1" si="15"/>
        <v/>
      </c>
      <c r="D90" s="26" t="str">
        <f t="shared" ca="1" si="23"/>
        <v/>
      </c>
      <c r="E90" s="4" t="str">
        <f t="shared" ca="1" si="16"/>
        <v/>
      </c>
      <c r="F90" s="25" t="str">
        <f t="shared" ca="1" si="17"/>
        <v/>
      </c>
      <c r="G90" s="26" t="str">
        <f t="shared" ca="1" si="24"/>
        <v/>
      </c>
      <c r="H90" s="4" t="str">
        <f t="shared" ca="1" si="18"/>
        <v/>
      </c>
      <c r="I90" s="25" t="str">
        <f t="shared" ca="1" si="19"/>
        <v/>
      </c>
      <c r="J90" s="26" t="str">
        <f t="shared" ca="1" si="25"/>
        <v/>
      </c>
      <c r="K90" s="59" t="str">
        <f t="shared" ca="1" si="20"/>
        <v/>
      </c>
      <c r="M90" s="74"/>
      <c r="O90" s="74"/>
      <c r="Q90" s="74"/>
      <c r="S90" s="97" t="str">
        <f t="shared" si="21"/>
        <v/>
      </c>
      <c r="U90" s="97" t="str">
        <f t="shared" si="22"/>
        <v/>
      </c>
    </row>
    <row r="91" spans="1:21" x14ac:dyDescent="0.25">
      <c r="A91" s="98" t="str">
        <f t="shared" ca="1" si="13"/>
        <v/>
      </c>
      <c r="B91" s="1" t="str">
        <f t="shared" ca="1" si="14"/>
        <v/>
      </c>
      <c r="C91" s="25" t="str">
        <f t="shared" ca="1" si="15"/>
        <v/>
      </c>
      <c r="D91" s="26" t="str">
        <f t="shared" ca="1" si="23"/>
        <v/>
      </c>
      <c r="E91" s="4" t="str">
        <f t="shared" ca="1" si="16"/>
        <v/>
      </c>
      <c r="F91" s="25" t="str">
        <f t="shared" ca="1" si="17"/>
        <v/>
      </c>
      <c r="G91" s="26" t="str">
        <f t="shared" ca="1" si="24"/>
        <v/>
      </c>
      <c r="H91" s="4" t="str">
        <f t="shared" ca="1" si="18"/>
        <v/>
      </c>
      <c r="I91" s="25" t="str">
        <f t="shared" ca="1" si="19"/>
        <v/>
      </c>
      <c r="J91" s="26" t="str">
        <f t="shared" ca="1" si="25"/>
        <v/>
      </c>
      <c r="K91" s="59" t="str">
        <f t="shared" ca="1" si="20"/>
        <v/>
      </c>
      <c r="M91" s="74"/>
      <c r="O91" s="74"/>
      <c r="Q91" s="74"/>
      <c r="S91" s="97" t="str">
        <f t="shared" si="21"/>
        <v/>
      </c>
      <c r="U91" s="97" t="str">
        <f t="shared" si="22"/>
        <v/>
      </c>
    </row>
    <row r="92" spans="1:21" x14ac:dyDescent="0.25">
      <c r="A92" s="98" t="str">
        <f t="shared" ca="1" si="13"/>
        <v/>
      </c>
      <c r="B92" s="1" t="str">
        <f t="shared" ca="1" si="14"/>
        <v/>
      </c>
      <c r="C92" s="25" t="str">
        <f t="shared" ca="1" si="15"/>
        <v/>
      </c>
      <c r="D92" s="26" t="str">
        <f t="shared" ca="1" si="23"/>
        <v/>
      </c>
      <c r="E92" s="4" t="str">
        <f t="shared" ca="1" si="16"/>
        <v/>
      </c>
      <c r="F92" s="25" t="str">
        <f t="shared" ca="1" si="17"/>
        <v/>
      </c>
      <c r="G92" s="26" t="str">
        <f t="shared" ca="1" si="24"/>
        <v/>
      </c>
      <c r="H92" s="4" t="str">
        <f t="shared" ca="1" si="18"/>
        <v/>
      </c>
      <c r="I92" s="25" t="str">
        <f t="shared" ca="1" si="19"/>
        <v/>
      </c>
      <c r="J92" s="26" t="str">
        <f t="shared" ca="1" si="25"/>
        <v/>
      </c>
      <c r="K92" s="59" t="str">
        <f t="shared" ca="1" si="20"/>
        <v/>
      </c>
      <c r="M92" s="74"/>
      <c r="O92" s="74"/>
      <c r="Q92" s="74"/>
      <c r="S92" s="97" t="str">
        <f t="shared" si="21"/>
        <v/>
      </c>
      <c r="U92" s="97" t="str">
        <f t="shared" si="22"/>
        <v/>
      </c>
    </row>
    <row r="93" spans="1:21" x14ac:dyDescent="0.25">
      <c r="A93" s="98" t="str">
        <f t="shared" ca="1" si="13"/>
        <v/>
      </c>
      <c r="B93" s="1" t="str">
        <f t="shared" ca="1" si="14"/>
        <v/>
      </c>
      <c r="C93" s="25" t="str">
        <f t="shared" ca="1" si="15"/>
        <v/>
      </c>
      <c r="D93" s="26" t="str">
        <f t="shared" ca="1" si="23"/>
        <v/>
      </c>
      <c r="E93" s="4" t="str">
        <f t="shared" ca="1" si="16"/>
        <v/>
      </c>
      <c r="F93" s="25" t="str">
        <f t="shared" ca="1" si="17"/>
        <v/>
      </c>
      <c r="G93" s="26" t="str">
        <f t="shared" ca="1" si="24"/>
        <v/>
      </c>
      <c r="H93" s="4" t="str">
        <f t="shared" ca="1" si="18"/>
        <v/>
      </c>
      <c r="I93" s="25" t="str">
        <f t="shared" ca="1" si="19"/>
        <v/>
      </c>
      <c r="J93" s="26" t="str">
        <f t="shared" ca="1" si="25"/>
        <v/>
      </c>
      <c r="K93" s="59" t="str">
        <f t="shared" ca="1" si="20"/>
        <v/>
      </c>
      <c r="M93" s="74"/>
      <c r="O93" s="74"/>
      <c r="Q93" s="74"/>
      <c r="S93" s="97" t="str">
        <f t="shared" si="21"/>
        <v/>
      </c>
      <c r="U93" s="97" t="str">
        <f t="shared" si="22"/>
        <v/>
      </c>
    </row>
    <row r="94" spans="1:21" x14ac:dyDescent="0.25">
      <c r="A94" s="98" t="str">
        <f t="shared" ca="1" si="13"/>
        <v/>
      </c>
      <c r="B94" s="1" t="str">
        <f t="shared" ca="1" si="14"/>
        <v/>
      </c>
      <c r="C94" s="25" t="str">
        <f t="shared" ca="1" si="15"/>
        <v/>
      </c>
      <c r="D94" s="26" t="str">
        <f t="shared" ca="1" si="23"/>
        <v/>
      </c>
      <c r="E94" s="4" t="str">
        <f t="shared" ca="1" si="16"/>
        <v/>
      </c>
      <c r="F94" s="25" t="str">
        <f t="shared" ca="1" si="17"/>
        <v/>
      </c>
      <c r="G94" s="26" t="str">
        <f t="shared" ca="1" si="24"/>
        <v/>
      </c>
      <c r="H94" s="4" t="str">
        <f t="shared" ca="1" si="18"/>
        <v/>
      </c>
      <c r="I94" s="25" t="str">
        <f t="shared" ca="1" si="19"/>
        <v/>
      </c>
      <c r="J94" s="26" t="str">
        <f t="shared" ca="1" si="25"/>
        <v/>
      </c>
      <c r="K94" s="59" t="str">
        <f t="shared" ca="1" si="20"/>
        <v/>
      </c>
      <c r="M94" s="74"/>
      <c r="O94" s="74"/>
      <c r="Q94" s="74"/>
      <c r="S94" s="97" t="str">
        <f t="shared" si="21"/>
        <v/>
      </c>
      <c r="U94" s="97" t="str">
        <f t="shared" si="22"/>
        <v/>
      </c>
    </row>
    <row r="95" spans="1:21" x14ac:dyDescent="0.25">
      <c r="A95" s="98" t="str">
        <f t="shared" ca="1" si="13"/>
        <v/>
      </c>
      <c r="B95" s="1" t="str">
        <f t="shared" ca="1" si="14"/>
        <v/>
      </c>
      <c r="C95" s="25" t="str">
        <f t="shared" ca="1" si="15"/>
        <v/>
      </c>
      <c r="D95" s="26" t="str">
        <f t="shared" ca="1" si="23"/>
        <v/>
      </c>
      <c r="E95" s="4" t="str">
        <f t="shared" ca="1" si="16"/>
        <v/>
      </c>
      <c r="F95" s="25" t="str">
        <f t="shared" ca="1" si="17"/>
        <v/>
      </c>
      <c r="G95" s="26" t="str">
        <f t="shared" ca="1" si="24"/>
        <v/>
      </c>
      <c r="H95" s="4" t="str">
        <f t="shared" ca="1" si="18"/>
        <v/>
      </c>
      <c r="I95" s="25" t="str">
        <f t="shared" ca="1" si="19"/>
        <v/>
      </c>
      <c r="J95" s="26" t="str">
        <f t="shared" ca="1" si="25"/>
        <v/>
      </c>
      <c r="K95" s="59" t="str">
        <f t="shared" ca="1" si="20"/>
        <v/>
      </c>
      <c r="M95" s="74"/>
      <c r="O95" s="74"/>
      <c r="Q95" s="74"/>
      <c r="S95" s="97" t="str">
        <f t="shared" si="21"/>
        <v/>
      </c>
      <c r="U95" s="97" t="str">
        <f t="shared" si="22"/>
        <v/>
      </c>
    </row>
    <row r="96" spans="1:21" x14ac:dyDescent="0.25">
      <c r="A96" s="98" t="str">
        <f t="shared" ca="1" si="13"/>
        <v/>
      </c>
      <c r="B96" s="1" t="str">
        <f t="shared" ca="1" si="14"/>
        <v/>
      </c>
      <c r="C96" s="25" t="str">
        <f t="shared" ca="1" si="15"/>
        <v/>
      </c>
      <c r="D96" s="26" t="str">
        <f t="shared" ca="1" si="23"/>
        <v/>
      </c>
      <c r="E96" s="4" t="str">
        <f t="shared" ca="1" si="16"/>
        <v/>
      </c>
      <c r="F96" s="25" t="str">
        <f t="shared" ca="1" si="17"/>
        <v/>
      </c>
      <c r="G96" s="26" t="str">
        <f t="shared" ca="1" si="24"/>
        <v/>
      </c>
      <c r="H96" s="4" t="str">
        <f t="shared" ca="1" si="18"/>
        <v/>
      </c>
      <c r="I96" s="25" t="str">
        <f t="shared" ca="1" si="19"/>
        <v/>
      </c>
      <c r="J96" s="26" t="str">
        <f t="shared" ca="1" si="25"/>
        <v/>
      </c>
      <c r="K96" s="59" t="str">
        <f t="shared" ca="1" si="20"/>
        <v/>
      </c>
      <c r="M96" s="74"/>
      <c r="O96" s="74"/>
      <c r="Q96" s="74"/>
      <c r="S96" s="97" t="str">
        <f t="shared" si="21"/>
        <v/>
      </c>
      <c r="U96" s="97" t="str">
        <f t="shared" si="22"/>
        <v/>
      </c>
    </row>
    <row r="97" spans="1:21" x14ac:dyDescent="0.25">
      <c r="A97" s="98" t="str">
        <f t="shared" ca="1" si="13"/>
        <v/>
      </c>
      <c r="B97" s="1" t="str">
        <f t="shared" ca="1" si="14"/>
        <v/>
      </c>
      <c r="C97" s="25" t="str">
        <f t="shared" ca="1" si="15"/>
        <v/>
      </c>
      <c r="D97" s="26" t="str">
        <f t="shared" ca="1" si="23"/>
        <v/>
      </c>
      <c r="E97" s="4" t="str">
        <f t="shared" ca="1" si="16"/>
        <v/>
      </c>
      <c r="F97" s="25" t="str">
        <f t="shared" ca="1" si="17"/>
        <v/>
      </c>
      <c r="G97" s="26" t="str">
        <f t="shared" ca="1" si="24"/>
        <v/>
      </c>
      <c r="H97" s="4" t="str">
        <f t="shared" ca="1" si="18"/>
        <v/>
      </c>
      <c r="I97" s="25" t="str">
        <f t="shared" ca="1" si="19"/>
        <v/>
      </c>
      <c r="J97" s="26" t="str">
        <f t="shared" ca="1" si="25"/>
        <v/>
      </c>
      <c r="K97" s="59" t="str">
        <f t="shared" ca="1" si="20"/>
        <v/>
      </c>
      <c r="M97" s="74"/>
      <c r="O97" s="74"/>
      <c r="Q97" s="74"/>
      <c r="S97" s="97" t="str">
        <f t="shared" si="21"/>
        <v/>
      </c>
      <c r="U97" s="97" t="str">
        <f t="shared" si="22"/>
        <v/>
      </c>
    </row>
    <row r="98" spans="1:21" x14ac:dyDescent="0.25">
      <c r="A98" s="98" t="str">
        <f t="shared" ca="1" si="13"/>
        <v/>
      </c>
      <c r="B98" s="1" t="str">
        <f t="shared" ca="1" si="14"/>
        <v/>
      </c>
      <c r="C98" s="25" t="str">
        <f t="shared" ca="1" si="15"/>
        <v/>
      </c>
      <c r="D98" s="26" t="str">
        <f t="shared" ca="1" si="23"/>
        <v/>
      </c>
      <c r="E98" s="4" t="str">
        <f t="shared" ca="1" si="16"/>
        <v/>
      </c>
      <c r="F98" s="25" t="str">
        <f t="shared" ca="1" si="17"/>
        <v/>
      </c>
      <c r="G98" s="26" t="str">
        <f t="shared" ca="1" si="24"/>
        <v/>
      </c>
      <c r="H98" s="4" t="str">
        <f t="shared" ca="1" si="18"/>
        <v/>
      </c>
      <c r="I98" s="25" t="str">
        <f t="shared" ca="1" si="19"/>
        <v/>
      </c>
      <c r="J98" s="26" t="str">
        <f t="shared" ca="1" si="25"/>
        <v/>
      </c>
      <c r="K98" s="59" t="str">
        <f t="shared" ca="1" si="20"/>
        <v/>
      </c>
      <c r="M98" s="74"/>
      <c r="O98" s="74"/>
      <c r="Q98" s="74"/>
      <c r="S98" s="97" t="str">
        <f t="shared" si="21"/>
        <v/>
      </c>
      <c r="U98" s="97" t="str">
        <f t="shared" si="22"/>
        <v/>
      </c>
    </row>
    <row r="99" spans="1:21" x14ac:dyDescent="0.25">
      <c r="A99" s="98" t="str">
        <f t="shared" ca="1" si="13"/>
        <v/>
      </c>
      <c r="B99" s="1" t="str">
        <f t="shared" ca="1" si="14"/>
        <v/>
      </c>
      <c r="C99" s="25" t="str">
        <f t="shared" ca="1" si="15"/>
        <v/>
      </c>
      <c r="D99" s="26" t="str">
        <f t="shared" ca="1" si="23"/>
        <v/>
      </c>
      <c r="E99" s="4" t="str">
        <f t="shared" ca="1" si="16"/>
        <v/>
      </c>
      <c r="F99" s="25" t="str">
        <f t="shared" ca="1" si="17"/>
        <v/>
      </c>
      <c r="G99" s="26" t="str">
        <f t="shared" ca="1" si="24"/>
        <v/>
      </c>
      <c r="H99" s="4" t="str">
        <f t="shared" ca="1" si="18"/>
        <v/>
      </c>
      <c r="I99" s="25" t="str">
        <f t="shared" ca="1" si="19"/>
        <v/>
      </c>
      <c r="J99" s="26" t="str">
        <f t="shared" ca="1" si="25"/>
        <v/>
      </c>
      <c r="K99" s="59" t="str">
        <f t="shared" ca="1" si="20"/>
        <v/>
      </c>
      <c r="M99" s="74"/>
      <c r="O99" s="74"/>
      <c r="Q99" s="74"/>
      <c r="S99" s="97" t="str">
        <f t="shared" si="21"/>
        <v/>
      </c>
      <c r="U99" s="97" t="str">
        <f t="shared" si="22"/>
        <v/>
      </c>
    </row>
    <row r="100" spans="1:21" x14ac:dyDescent="0.25">
      <c r="A100" s="98" t="str">
        <f t="shared" ca="1" si="13"/>
        <v/>
      </c>
      <c r="B100" s="1" t="str">
        <f t="shared" ca="1" si="14"/>
        <v/>
      </c>
      <c r="C100" s="25" t="str">
        <f t="shared" ca="1" si="15"/>
        <v/>
      </c>
      <c r="D100" s="26" t="str">
        <f t="shared" ca="1" si="23"/>
        <v/>
      </c>
      <c r="E100" s="4" t="str">
        <f t="shared" ca="1" si="16"/>
        <v/>
      </c>
      <c r="F100" s="25" t="str">
        <f t="shared" ca="1" si="17"/>
        <v/>
      </c>
      <c r="G100" s="26" t="str">
        <f t="shared" ca="1" si="24"/>
        <v/>
      </c>
      <c r="H100" s="4" t="str">
        <f t="shared" ca="1" si="18"/>
        <v/>
      </c>
      <c r="I100" s="25" t="str">
        <f t="shared" ca="1" si="19"/>
        <v/>
      </c>
      <c r="J100" s="26" t="str">
        <f t="shared" ca="1" si="25"/>
        <v/>
      </c>
      <c r="K100" s="59" t="str">
        <f t="shared" ca="1" si="20"/>
        <v/>
      </c>
      <c r="M100" s="74"/>
      <c r="O100" s="74"/>
      <c r="Q100" s="74"/>
      <c r="S100" s="97" t="str">
        <f t="shared" si="21"/>
        <v/>
      </c>
      <c r="U100" s="97" t="str">
        <f t="shared" si="22"/>
        <v/>
      </c>
    </row>
    <row r="101" spans="1:21" x14ac:dyDescent="0.25">
      <c r="A101" s="98" t="str">
        <f t="shared" ca="1" si="13"/>
        <v/>
      </c>
      <c r="B101" s="1" t="str">
        <f t="shared" ca="1" si="14"/>
        <v/>
      </c>
      <c r="C101" s="25" t="str">
        <f t="shared" ca="1" si="15"/>
        <v/>
      </c>
      <c r="D101" s="26" t="str">
        <f t="shared" ca="1" si="23"/>
        <v/>
      </c>
      <c r="E101" s="4" t="str">
        <f t="shared" ca="1" si="16"/>
        <v/>
      </c>
      <c r="F101" s="25" t="str">
        <f t="shared" ca="1" si="17"/>
        <v/>
      </c>
      <c r="G101" s="26" t="str">
        <f t="shared" ca="1" si="24"/>
        <v/>
      </c>
      <c r="H101" s="4" t="str">
        <f t="shared" ca="1" si="18"/>
        <v/>
      </c>
      <c r="I101" s="25" t="str">
        <f t="shared" ca="1" si="19"/>
        <v/>
      </c>
      <c r="J101" s="26" t="str">
        <f t="shared" ca="1" si="25"/>
        <v/>
      </c>
      <c r="K101" s="59" t="str">
        <f t="shared" ca="1" si="20"/>
        <v/>
      </c>
      <c r="M101" s="74"/>
      <c r="O101" s="74"/>
      <c r="Q101" s="74"/>
      <c r="S101" s="97" t="str">
        <f t="shared" si="21"/>
        <v/>
      </c>
      <c r="U101" s="97" t="str">
        <f t="shared" si="22"/>
        <v/>
      </c>
    </row>
    <row r="102" spans="1:21" x14ac:dyDescent="0.25">
      <c r="A102" s="98" t="str">
        <f t="shared" ca="1" si="13"/>
        <v/>
      </c>
      <c r="B102" s="1" t="str">
        <f t="shared" ca="1" si="14"/>
        <v/>
      </c>
      <c r="C102" s="25" t="str">
        <f t="shared" ca="1" si="15"/>
        <v/>
      </c>
      <c r="D102" s="26" t="str">
        <f t="shared" ca="1" si="23"/>
        <v/>
      </c>
      <c r="E102" s="4" t="str">
        <f t="shared" ca="1" si="16"/>
        <v/>
      </c>
      <c r="F102" s="25" t="str">
        <f t="shared" ca="1" si="17"/>
        <v/>
      </c>
      <c r="G102" s="26" t="str">
        <f t="shared" ca="1" si="24"/>
        <v/>
      </c>
      <c r="H102" s="4" t="str">
        <f t="shared" ca="1" si="18"/>
        <v/>
      </c>
      <c r="I102" s="25" t="str">
        <f t="shared" ca="1" si="19"/>
        <v/>
      </c>
      <c r="J102" s="26" t="str">
        <f t="shared" ca="1" si="25"/>
        <v/>
      </c>
      <c r="K102" s="59" t="str">
        <f t="shared" ca="1" si="20"/>
        <v/>
      </c>
      <c r="M102" s="74"/>
      <c r="O102" s="74"/>
      <c r="Q102" s="74"/>
      <c r="S102" s="97" t="str">
        <f t="shared" si="21"/>
        <v/>
      </c>
      <c r="U102" s="97" t="str">
        <f t="shared" si="22"/>
        <v/>
      </c>
    </row>
    <row r="103" spans="1:21" x14ac:dyDescent="0.25">
      <c r="A103" s="98" t="str">
        <f t="shared" ca="1" si="13"/>
        <v/>
      </c>
      <c r="B103" s="1" t="str">
        <f t="shared" ca="1" si="14"/>
        <v/>
      </c>
      <c r="C103" s="25" t="str">
        <f t="shared" ca="1" si="15"/>
        <v/>
      </c>
      <c r="D103" s="26" t="str">
        <f t="shared" ca="1" si="23"/>
        <v/>
      </c>
      <c r="E103" s="4" t="str">
        <f t="shared" ca="1" si="16"/>
        <v/>
      </c>
      <c r="F103" s="25" t="str">
        <f t="shared" ca="1" si="17"/>
        <v/>
      </c>
      <c r="G103" s="26" t="str">
        <f t="shared" ca="1" si="24"/>
        <v/>
      </c>
      <c r="H103" s="4" t="str">
        <f t="shared" ca="1" si="18"/>
        <v/>
      </c>
      <c r="I103" s="25" t="str">
        <f t="shared" ca="1" si="19"/>
        <v/>
      </c>
      <c r="J103" s="26" t="str">
        <f t="shared" ca="1" si="25"/>
        <v/>
      </c>
      <c r="K103" s="59" t="str">
        <f t="shared" ca="1" si="20"/>
        <v/>
      </c>
      <c r="M103" s="74"/>
      <c r="O103" s="74"/>
      <c r="Q103" s="74"/>
      <c r="S103" s="97" t="str">
        <f t="shared" si="21"/>
        <v/>
      </c>
      <c r="U103" s="97" t="str">
        <f t="shared" si="22"/>
        <v/>
      </c>
    </row>
    <row r="104" spans="1:21" x14ac:dyDescent="0.25">
      <c r="A104" s="98" t="str">
        <f t="shared" ca="1" si="13"/>
        <v/>
      </c>
      <c r="B104" s="1" t="str">
        <f t="shared" ca="1" si="14"/>
        <v/>
      </c>
      <c r="C104" s="25" t="str">
        <f t="shared" ca="1" si="15"/>
        <v/>
      </c>
      <c r="D104" s="26" t="str">
        <f t="shared" ca="1" si="23"/>
        <v/>
      </c>
      <c r="E104" s="4" t="str">
        <f t="shared" ca="1" si="16"/>
        <v/>
      </c>
      <c r="F104" s="25" t="str">
        <f t="shared" ca="1" si="17"/>
        <v/>
      </c>
      <c r="G104" s="26" t="str">
        <f t="shared" ca="1" si="24"/>
        <v/>
      </c>
      <c r="H104" s="4" t="str">
        <f t="shared" ca="1" si="18"/>
        <v/>
      </c>
      <c r="I104" s="25" t="str">
        <f t="shared" ca="1" si="19"/>
        <v/>
      </c>
      <c r="J104" s="26" t="str">
        <f t="shared" ca="1" si="25"/>
        <v/>
      </c>
      <c r="K104" s="59" t="str">
        <f t="shared" ca="1" si="20"/>
        <v/>
      </c>
      <c r="M104" s="74"/>
      <c r="O104" s="74"/>
      <c r="Q104" s="74"/>
      <c r="S104" s="97" t="str">
        <f t="shared" si="21"/>
        <v/>
      </c>
      <c r="U104" s="97" t="str">
        <f t="shared" si="22"/>
        <v/>
      </c>
    </row>
    <row r="105" spans="1:21" x14ac:dyDescent="0.25">
      <c r="A105" s="98" t="str">
        <f t="shared" ca="1" si="13"/>
        <v/>
      </c>
      <c r="B105" s="1" t="str">
        <f t="shared" ca="1" si="14"/>
        <v/>
      </c>
      <c r="C105" s="25" t="str">
        <f t="shared" ca="1" si="15"/>
        <v/>
      </c>
      <c r="D105" s="26" t="str">
        <f t="shared" ca="1" si="23"/>
        <v/>
      </c>
      <c r="E105" s="4" t="str">
        <f t="shared" ca="1" si="16"/>
        <v/>
      </c>
      <c r="F105" s="25" t="str">
        <f t="shared" ca="1" si="17"/>
        <v/>
      </c>
      <c r="G105" s="26" t="str">
        <f t="shared" ca="1" si="24"/>
        <v/>
      </c>
      <c r="H105" s="4" t="str">
        <f t="shared" ca="1" si="18"/>
        <v/>
      </c>
      <c r="I105" s="25" t="str">
        <f t="shared" ca="1" si="19"/>
        <v/>
      </c>
      <c r="J105" s="26" t="str">
        <f t="shared" ca="1" si="25"/>
        <v/>
      </c>
      <c r="K105" s="59" t="str">
        <f t="shared" ca="1" si="20"/>
        <v/>
      </c>
      <c r="M105" s="74"/>
      <c r="O105" s="74"/>
      <c r="Q105" s="74"/>
      <c r="S105" s="97" t="str">
        <f t="shared" si="21"/>
        <v/>
      </c>
      <c r="U105" s="97" t="str">
        <f t="shared" si="22"/>
        <v/>
      </c>
    </row>
    <row r="106" spans="1:21" x14ac:dyDescent="0.25">
      <c r="A106" s="98" t="str">
        <f t="shared" ca="1" si="13"/>
        <v/>
      </c>
      <c r="B106" s="1" t="str">
        <f t="shared" ca="1" si="14"/>
        <v/>
      </c>
      <c r="C106" s="25" t="str">
        <f t="shared" ca="1" si="15"/>
        <v/>
      </c>
      <c r="D106" s="26" t="str">
        <f t="shared" ca="1" si="23"/>
        <v/>
      </c>
      <c r="E106" s="4" t="str">
        <f t="shared" ca="1" si="16"/>
        <v/>
      </c>
      <c r="F106" s="25" t="str">
        <f t="shared" ca="1" si="17"/>
        <v/>
      </c>
      <c r="G106" s="26" t="str">
        <f t="shared" ca="1" si="24"/>
        <v/>
      </c>
      <c r="H106" s="4" t="str">
        <f t="shared" ca="1" si="18"/>
        <v/>
      </c>
      <c r="I106" s="25" t="str">
        <f t="shared" ca="1" si="19"/>
        <v/>
      </c>
      <c r="J106" s="26" t="str">
        <f t="shared" ca="1" si="25"/>
        <v/>
      </c>
      <c r="K106" s="59" t="str">
        <f t="shared" ca="1" si="20"/>
        <v/>
      </c>
      <c r="M106" s="74"/>
      <c r="O106" s="74"/>
      <c r="Q106" s="74"/>
      <c r="S106" s="97" t="str">
        <f t="shared" si="21"/>
        <v/>
      </c>
      <c r="U106" s="97" t="str">
        <f t="shared" si="22"/>
        <v/>
      </c>
    </row>
    <row r="107" spans="1:21" x14ac:dyDescent="0.25">
      <c r="A107" s="98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25" t="str">
        <f t="shared" ref="C107:C143" ca="1" si="28">IF(ISERROR(B107-2),"", -1*(B107-$B$14)*10^-4*$B$8*$B$5)</f>
        <v/>
      </c>
      <c r="D107" s="26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25" t="str">
        <f t="shared" ref="F107:F143" ca="1" si="30">IF(ISERROR(B107-2),"", -1*(E107-$E$14)*10^-4*$C$8*$C$5)</f>
        <v/>
      </c>
      <c r="G107" s="26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25" t="str">
        <f t="shared" ref="I107:I143" ca="1" si="32">IF(ISERROR(B107-2),"", -1*(H107-$H$14)*10^-4*$D$8*$D$5)</f>
        <v/>
      </c>
      <c r="J107" s="26" t="str">
        <f t="shared" ca="1" si="25"/>
        <v/>
      </c>
      <c r="K107" s="59" t="str">
        <f t="shared" ref="K107:K143" ca="1" si="33">IF(ISERROR(B107-2),"",C107+D107+F107+G107-I107-J107)</f>
        <v/>
      </c>
      <c r="M107" s="74"/>
      <c r="O107" s="74"/>
      <c r="Q107" s="74"/>
      <c r="S107" s="97" t="str">
        <f t="shared" si="21"/>
        <v/>
      </c>
      <c r="U107" s="97" t="str">
        <f t="shared" si="22"/>
        <v/>
      </c>
    </row>
    <row r="108" spans="1:21" x14ac:dyDescent="0.25">
      <c r="A108" s="98" t="str">
        <f t="shared" ca="1" si="26"/>
        <v/>
      </c>
      <c r="B108" s="1" t="str">
        <f t="shared" ca="1" si="27"/>
        <v/>
      </c>
      <c r="C108" s="25" t="str">
        <f t="shared" ca="1" si="28"/>
        <v/>
      </c>
      <c r="D108" s="26" t="str">
        <f t="shared" ca="1" si="23"/>
        <v/>
      </c>
      <c r="E108" s="4" t="str">
        <f t="shared" ca="1" si="29"/>
        <v/>
      </c>
      <c r="F108" s="25" t="str">
        <f t="shared" ca="1" si="30"/>
        <v/>
      </c>
      <c r="G108" s="26" t="str">
        <f t="shared" ca="1" si="24"/>
        <v/>
      </c>
      <c r="H108" s="4" t="str">
        <f t="shared" ca="1" si="31"/>
        <v/>
      </c>
      <c r="I108" s="25" t="str">
        <f t="shared" ca="1" si="32"/>
        <v/>
      </c>
      <c r="J108" s="26" t="str">
        <f t="shared" ca="1" si="25"/>
        <v/>
      </c>
      <c r="K108" s="59" t="str">
        <f t="shared" ca="1" si="33"/>
        <v/>
      </c>
      <c r="M108" s="74"/>
      <c r="O108" s="74"/>
      <c r="Q108" s="74"/>
      <c r="S108" s="97" t="str">
        <f t="shared" si="21"/>
        <v/>
      </c>
      <c r="U108" s="97" t="str">
        <f t="shared" si="22"/>
        <v/>
      </c>
    </row>
    <row r="109" spans="1:21" x14ac:dyDescent="0.25">
      <c r="A109" s="98" t="str">
        <f t="shared" ca="1" si="26"/>
        <v/>
      </c>
      <c r="B109" s="1" t="str">
        <f t="shared" ca="1" si="27"/>
        <v/>
      </c>
      <c r="C109" s="25" t="str">
        <f t="shared" ca="1" si="28"/>
        <v/>
      </c>
      <c r="D109" s="26" t="str">
        <f t="shared" ca="1" si="23"/>
        <v/>
      </c>
      <c r="E109" s="4" t="str">
        <f t="shared" ca="1" si="29"/>
        <v/>
      </c>
      <c r="F109" s="25" t="str">
        <f t="shared" ca="1" si="30"/>
        <v/>
      </c>
      <c r="G109" s="26" t="str">
        <f t="shared" ca="1" si="24"/>
        <v/>
      </c>
      <c r="H109" s="4" t="str">
        <f t="shared" ca="1" si="31"/>
        <v/>
      </c>
      <c r="I109" s="25" t="str">
        <f t="shared" ca="1" si="32"/>
        <v/>
      </c>
      <c r="J109" s="26" t="str">
        <f t="shared" ca="1" si="25"/>
        <v/>
      </c>
      <c r="K109" s="59" t="str">
        <f t="shared" ca="1" si="33"/>
        <v/>
      </c>
      <c r="M109" s="74"/>
      <c r="O109" s="74"/>
      <c r="Q109" s="74"/>
      <c r="S109" s="97" t="str">
        <f t="shared" si="21"/>
        <v/>
      </c>
      <c r="U109" s="97" t="str">
        <f t="shared" si="22"/>
        <v/>
      </c>
    </row>
    <row r="110" spans="1:21" x14ac:dyDescent="0.25">
      <c r="A110" s="98" t="str">
        <f t="shared" ca="1" si="26"/>
        <v/>
      </c>
      <c r="B110" s="1" t="str">
        <f t="shared" ca="1" si="27"/>
        <v/>
      </c>
      <c r="C110" s="25" t="str">
        <f t="shared" ca="1" si="28"/>
        <v/>
      </c>
      <c r="D110" s="26" t="str">
        <f t="shared" ca="1" si="23"/>
        <v/>
      </c>
      <c r="E110" s="4" t="str">
        <f t="shared" ca="1" si="29"/>
        <v/>
      </c>
      <c r="F110" s="25" t="str">
        <f t="shared" ca="1" si="30"/>
        <v/>
      </c>
      <c r="G110" s="26" t="str">
        <f t="shared" ca="1" si="24"/>
        <v/>
      </c>
      <c r="H110" s="4" t="str">
        <f t="shared" ca="1" si="31"/>
        <v/>
      </c>
      <c r="I110" s="25" t="str">
        <f t="shared" ca="1" si="32"/>
        <v/>
      </c>
      <c r="J110" s="26" t="str">
        <f t="shared" ca="1" si="25"/>
        <v/>
      </c>
      <c r="K110" s="59" t="str">
        <f t="shared" ca="1" si="33"/>
        <v/>
      </c>
      <c r="M110" s="74"/>
      <c r="O110" s="74"/>
      <c r="Q110" s="74"/>
      <c r="S110" s="97" t="str">
        <f t="shared" si="21"/>
        <v/>
      </c>
      <c r="U110" s="97" t="str">
        <f t="shared" si="22"/>
        <v/>
      </c>
    </row>
    <row r="111" spans="1:21" x14ac:dyDescent="0.25">
      <c r="A111" s="98" t="str">
        <f t="shared" ca="1" si="26"/>
        <v/>
      </c>
      <c r="B111" s="1" t="str">
        <f t="shared" ca="1" si="27"/>
        <v/>
      </c>
      <c r="C111" s="25" t="str">
        <f t="shared" ca="1" si="28"/>
        <v/>
      </c>
      <c r="D111" s="26" t="str">
        <f t="shared" ca="1" si="23"/>
        <v/>
      </c>
      <c r="E111" s="4" t="str">
        <f t="shared" ca="1" si="29"/>
        <v/>
      </c>
      <c r="F111" s="25" t="str">
        <f t="shared" ca="1" si="30"/>
        <v/>
      </c>
      <c r="G111" s="26" t="str">
        <f t="shared" ca="1" si="24"/>
        <v/>
      </c>
      <c r="H111" s="4" t="str">
        <f t="shared" ca="1" si="31"/>
        <v/>
      </c>
      <c r="I111" s="25" t="str">
        <f t="shared" ca="1" si="32"/>
        <v/>
      </c>
      <c r="J111" s="26" t="str">
        <f t="shared" ca="1" si="25"/>
        <v/>
      </c>
      <c r="K111" s="59" t="str">
        <f t="shared" ca="1" si="33"/>
        <v/>
      </c>
      <c r="M111" s="74"/>
      <c r="O111" s="74"/>
      <c r="Q111" s="74"/>
      <c r="S111" s="97" t="str">
        <f t="shared" si="21"/>
        <v/>
      </c>
      <c r="U111" s="97" t="str">
        <f t="shared" si="22"/>
        <v/>
      </c>
    </row>
    <row r="112" spans="1:21" x14ac:dyDescent="0.25">
      <c r="A112" s="98" t="str">
        <f t="shared" ca="1" si="26"/>
        <v/>
      </c>
      <c r="B112" s="1" t="str">
        <f t="shared" ca="1" si="27"/>
        <v/>
      </c>
      <c r="C112" s="25" t="str">
        <f t="shared" ca="1" si="28"/>
        <v/>
      </c>
      <c r="D112" s="26" t="str">
        <f t="shared" ca="1" si="23"/>
        <v/>
      </c>
      <c r="E112" s="4" t="str">
        <f t="shared" ca="1" si="29"/>
        <v/>
      </c>
      <c r="F112" s="25" t="str">
        <f t="shared" ca="1" si="30"/>
        <v/>
      </c>
      <c r="G112" s="26" t="str">
        <f t="shared" ca="1" si="24"/>
        <v/>
      </c>
      <c r="H112" s="4" t="str">
        <f t="shared" ca="1" si="31"/>
        <v/>
      </c>
      <c r="I112" s="25" t="str">
        <f t="shared" ca="1" si="32"/>
        <v/>
      </c>
      <c r="J112" s="26" t="str">
        <f t="shared" ca="1" si="25"/>
        <v/>
      </c>
      <c r="K112" s="59" t="str">
        <f t="shared" ca="1" si="33"/>
        <v/>
      </c>
      <c r="M112" s="74"/>
      <c r="O112" s="74"/>
      <c r="Q112" s="74"/>
      <c r="S112" s="97" t="str">
        <f t="shared" si="21"/>
        <v/>
      </c>
      <c r="U112" s="97" t="str">
        <f t="shared" si="22"/>
        <v/>
      </c>
    </row>
    <row r="113" spans="1:21" x14ac:dyDescent="0.25">
      <c r="A113" s="98" t="str">
        <f t="shared" ca="1" si="26"/>
        <v/>
      </c>
      <c r="B113" s="1" t="str">
        <f t="shared" ca="1" si="27"/>
        <v/>
      </c>
      <c r="C113" s="25" t="str">
        <f t="shared" ca="1" si="28"/>
        <v/>
      </c>
      <c r="D113" s="26" t="str">
        <f t="shared" ca="1" si="23"/>
        <v/>
      </c>
      <c r="E113" s="4" t="str">
        <f t="shared" ca="1" si="29"/>
        <v/>
      </c>
      <c r="F113" s="25" t="str">
        <f t="shared" ca="1" si="30"/>
        <v/>
      </c>
      <c r="G113" s="26" t="str">
        <f t="shared" ca="1" si="24"/>
        <v/>
      </c>
      <c r="H113" s="4" t="str">
        <f t="shared" ca="1" si="31"/>
        <v/>
      </c>
      <c r="I113" s="25" t="str">
        <f t="shared" ca="1" si="32"/>
        <v/>
      </c>
      <c r="J113" s="26" t="str">
        <f t="shared" ca="1" si="25"/>
        <v/>
      </c>
      <c r="K113" s="59" t="str">
        <f t="shared" ca="1" si="33"/>
        <v/>
      </c>
      <c r="M113" s="74"/>
      <c r="O113" s="74"/>
      <c r="Q113" s="74"/>
      <c r="S113" s="97" t="str">
        <f t="shared" si="21"/>
        <v/>
      </c>
      <c r="U113" s="97" t="str">
        <f t="shared" si="22"/>
        <v/>
      </c>
    </row>
    <row r="114" spans="1:21" x14ac:dyDescent="0.25">
      <c r="A114" s="98" t="str">
        <f t="shared" ca="1" si="26"/>
        <v/>
      </c>
      <c r="B114" s="1" t="str">
        <f t="shared" ca="1" si="27"/>
        <v/>
      </c>
      <c r="C114" s="25" t="str">
        <f t="shared" ca="1" si="28"/>
        <v/>
      </c>
      <c r="D114" s="26" t="str">
        <f t="shared" ca="1" si="23"/>
        <v/>
      </c>
      <c r="E114" s="4" t="str">
        <f t="shared" ca="1" si="29"/>
        <v/>
      </c>
      <c r="F114" s="25" t="str">
        <f t="shared" ca="1" si="30"/>
        <v/>
      </c>
      <c r="G114" s="26" t="str">
        <f t="shared" ca="1" si="24"/>
        <v/>
      </c>
      <c r="H114" s="4" t="str">
        <f t="shared" ca="1" si="31"/>
        <v/>
      </c>
      <c r="I114" s="25" t="str">
        <f t="shared" ca="1" si="32"/>
        <v/>
      </c>
      <c r="J114" s="26" t="str">
        <f t="shared" ca="1" si="25"/>
        <v/>
      </c>
      <c r="K114" s="59" t="str">
        <f t="shared" ca="1" si="33"/>
        <v/>
      </c>
      <c r="M114" s="74"/>
      <c r="O114" s="74"/>
      <c r="Q114" s="74"/>
      <c r="S114" s="97" t="str">
        <f t="shared" si="21"/>
        <v/>
      </c>
      <c r="U114" s="97" t="str">
        <f t="shared" si="22"/>
        <v/>
      </c>
    </row>
    <row r="115" spans="1:21" x14ac:dyDescent="0.25">
      <c r="A115" s="98" t="str">
        <f t="shared" ca="1" si="26"/>
        <v/>
      </c>
      <c r="B115" s="1" t="str">
        <f t="shared" ca="1" si="27"/>
        <v/>
      </c>
      <c r="C115" s="25" t="str">
        <f t="shared" ca="1" si="28"/>
        <v/>
      </c>
      <c r="D115" s="26" t="str">
        <f t="shared" ca="1" si="23"/>
        <v/>
      </c>
      <c r="E115" s="4" t="str">
        <f t="shared" ca="1" si="29"/>
        <v/>
      </c>
      <c r="F115" s="25" t="str">
        <f t="shared" ca="1" si="30"/>
        <v/>
      </c>
      <c r="G115" s="26" t="str">
        <f t="shared" ca="1" si="24"/>
        <v/>
      </c>
      <c r="H115" s="4" t="str">
        <f t="shared" ca="1" si="31"/>
        <v/>
      </c>
      <c r="I115" s="25" t="str">
        <f t="shared" ca="1" si="32"/>
        <v/>
      </c>
      <c r="J115" s="26" t="str">
        <f t="shared" ca="1" si="25"/>
        <v/>
      </c>
      <c r="K115" s="59" t="str">
        <f t="shared" ca="1" si="33"/>
        <v/>
      </c>
      <c r="M115" s="74"/>
      <c r="O115" s="74"/>
      <c r="Q115" s="74"/>
      <c r="S115" s="97" t="str">
        <f t="shared" si="21"/>
        <v/>
      </c>
      <c r="U115" s="97" t="str">
        <f t="shared" si="22"/>
        <v/>
      </c>
    </row>
    <row r="116" spans="1:21" x14ac:dyDescent="0.25">
      <c r="A116" s="98" t="str">
        <f t="shared" ca="1" si="26"/>
        <v/>
      </c>
      <c r="B116" s="1" t="str">
        <f t="shared" ca="1" si="27"/>
        <v/>
      </c>
      <c r="C116" s="25" t="str">
        <f t="shared" ca="1" si="28"/>
        <v/>
      </c>
      <c r="D116" s="26" t="str">
        <f t="shared" ca="1" si="23"/>
        <v/>
      </c>
      <c r="E116" s="4" t="str">
        <f t="shared" ca="1" si="29"/>
        <v/>
      </c>
      <c r="F116" s="25" t="str">
        <f t="shared" ca="1" si="30"/>
        <v/>
      </c>
      <c r="G116" s="26" t="str">
        <f t="shared" ca="1" si="24"/>
        <v/>
      </c>
      <c r="H116" s="4" t="str">
        <f t="shared" ca="1" si="31"/>
        <v/>
      </c>
      <c r="I116" s="25" t="str">
        <f t="shared" ca="1" si="32"/>
        <v/>
      </c>
      <c r="J116" s="26" t="str">
        <f t="shared" ca="1" si="25"/>
        <v/>
      </c>
      <c r="K116" s="59" t="str">
        <f t="shared" ca="1" si="33"/>
        <v/>
      </c>
      <c r="M116" s="74"/>
      <c r="O116" s="74"/>
      <c r="Q116" s="74"/>
      <c r="S116" s="97" t="str">
        <f t="shared" si="21"/>
        <v/>
      </c>
      <c r="U116" s="97" t="str">
        <f t="shared" si="22"/>
        <v/>
      </c>
    </row>
    <row r="117" spans="1:21" x14ac:dyDescent="0.25">
      <c r="A117" s="98" t="str">
        <f t="shared" ca="1" si="26"/>
        <v/>
      </c>
      <c r="B117" s="1" t="str">
        <f t="shared" ca="1" si="27"/>
        <v/>
      </c>
      <c r="C117" s="25" t="str">
        <f t="shared" ca="1" si="28"/>
        <v/>
      </c>
      <c r="D117" s="26" t="str">
        <f t="shared" ca="1" si="23"/>
        <v/>
      </c>
      <c r="E117" s="4" t="str">
        <f t="shared" ca="1" si="29"/>
        <v/>
      </c>
      <c r="F117" s="25" t="str">
        <f t="shared" ca="1" si="30"/>
        <v/>
      </c>
      <c r="G117" s="26" t="str">
        <f t="shared" ca="1" si="24"/>
        <v/>
      </c>
      <c r="H117" s="4" t="str">
        <f t="shared" ca="1" si="31"/>
        <v/>
      </c>
      <c r="I117" s="25" t="str">
        <f t="shared" ca="1" si="32"/>
        <v/>
      </c>
      <c r="J117" s="26" t="str">
        <f t="shared" ca="1" si="25"/>
        <v/>
      </c>
      <c r="K117" s="59" t="str">
        <f t="shared" ca="1" si="33"/>
        <v/>
      </c>
      <c r="M117" s="74"/>
      <c r="O117" s="74"/>
      <c r="Q117" s="74"/>
      <c r="S117" s="97" t="str">
        <f t="shared" si="21"/>
        <v/>
      </c>
      <c r="U117" s="97" t="str">
        <f t="shared" si="22"/>
        <v/>
      </c>
    </row>
    <row r="118" spans="1:21" x14ac:dyDescent="0.25">
      <c r="A118" s="98" t="str">
        <f t="shared" ca="1" si="26"/>
        <v/>
      </c>
      <c r="B118" s="1" t="str">
        <f t="shared" ca="1" si="27"/>
        <v/>
      </c>
      <c r="C118" s="25" t="str">
        <f t="shared" ca="1" si="28"/>
        <v/>
      </c>
      <c r="D118" s="26" t="str">
        <f t="shared" ca="1" si="23"/>
        <v/>
      </c>
      <c r="E118" s="4" t="str">
        <f t="shared" ca="1" si="29"/>
        <v/>
      </c>
      <c r="F118" s="25" t="str">
        <f t="shared" ca="1" si="30"/>
        <v/>
      </c>
      <c r="G118" s="26" t="str">
        <f t="shared" ca="1" si="24"/>
        <v/>
      </c>
      <c r="H118" s="4" t="str">
        <f t="shared" ca="1" si="31"/>
        <v/>
      </c>
      <c r="I118" s="25" t="str">
        <f t="shared" ca="1" si="32"/>
        <v/>
      </c>
      <c r="J118" s="26" t="str">
        <f t="shared" ca="1" si="25"/>
        <v/>
      </c>
      <c r="K118" s="59" t="str">
        <f t="shared" ca="1" si="33"/>
        <v/>
      </c>
      <c r="M118" s="74"/>
      <c r="O118" s="74"/>
      <c r="Q118" s="74"/>
      <c r="S118" s="97" t="str">
        <f t="shared" si="21"/>
        <v/>
      </c>
      <c r="U118" s="97" t="str">
        <f t="shared" si="22"/>
        <v/>
      </c>
    </row>
    <row r="119" spans="1:21" x14ac:dyDescent="0.25">
      <c r="A119" s="98" t="str">
        <f t="shared" ca="1" si="26"/>
        <v/>
      </c>
      <c r="B119" s="1" t="str">
        <f t="shared" ca="1" si="27"/>
        <v/>
      </c>
      <c r="C119" s="25" t="str">
        <f t="shared" ca="1" si="28"/>
        <v/>
      </c>
      <c r="D119" s="26" t="str">
        <f t="shared" ca="1" si="23"/>
        <v/>
      </c>
      <c r="E119" s="4" t="str">
        <f t="shared" ca="1" si="29"/>
        <v/>
      </c>
      <c r="F119" s="25" t="str">
        <f t="shared" ca="1" si="30"/>
        <v/>
      </c>
      <c r="G119" s="26" t="str">
        <f t="shared" ca="1" si="24"/>
        <v/>
      </c>
      <c r="H119" s="4" t="str">
        <f t="shared" ca="1" si="31"/>
        <v/>
      </c>
      <c r="I119" s="25" t="str">
        <f t="shared" ca="1" si="32"/>
        <v/>
      </c>
      <c r="J119" s="26" t="str">
        <f t="shared" ca="1" si="25"/>
        <v/>
      </c>
      <c r="K119" s="59" t="str">
        <f t="shared" ca="1" si="33"/>
        <v/>
      </c>
      <c r="M119" s="74"/>
      <c r="O119" s="74"/>
      <c r="Q119" s="74"/>
      <c r="S119" s="97" t="str">
        <f t="shared" si="21"/>
        <v/>
      </c>
      <c r="U119" s="97" t="str">
        <f t="shared" si="22"/>
        <v/>
      </c>
    </row>
    <row r="120" spans="1:21" x14ac:dyDescent="0.25">
      <c r="A120" s="98" t="str">
        <f t="shared" ca="1" si="26"/>
        <v/>
      </c>
      <c r="B120" s="1" t="str">
        <f t="shared" ca="1" si="27"/>
        <v/>
      </c>
      <c r="C120" s="25" t="str">
        <f t="shared" ca="1" si="28"/>
        <v/>
      </c>
      <c r="D120" s="26" t="str">
        <f t="shared" ca="1" si="23"/>
        <v/>
      </c>
      <c r="E120" s="4" t="str">
        <f t="shared" ca="1" si="29"/>
        <v/>
      </c>
      <c r="F120" s="25" t="str">
        <f t="shared" ca="1" si="30"/>
        <v/>
      </c>
      <c r="G120" s="26" t="str">
        <f t="shared" ca="1" si="24"/>
        <v/>
      </c>
      <c r="H120" s="4" t="str">
        <f t="shared" ca="1" si="31"/>
        <v/>
      </c>
      <c r="I120" s="25" t="str">
        <f t="shared" ca="1" si="32"/>
        <v/>
      </c>
      <c r="J120" s="26" t="str">
        <f t="shared" ca="1" si="25"/>
        <v/>
      </c>
      <c r="K120" s="59" t="str">
        <f t="shared" ca="1" si="33"/>
        <v/>
      </c>
      <c r="M120" s="74"/>
      <c r="O120" s="74"/>
      <c r="Q120" s="74"/>
      <c r="S120" s="97" t="str">
        <f t="shared" si="21"/>
        <v/>
      </c>
      <c r="U120" s="97" t="str">
        <f t="shared" si="22"/>
        <v/>
      </c>
    </row>
    <row r="121" spans="1:21" x14ac:dyDescent="0.25">
      <c r="A121" s="98" t="str">
        <f t="shared" ca="1" si="26"/>
        <v/>
      </c>
      <c r="B121" s="1" t="str">
        <f t="shared" ca="1" si="27"/>
        <v/>
      </c>
      <c r="C121" s="25" t="str">
        <f t="shared" ca="1" si="28"/>
        <v/>
      </c>
      <c r="D121" s="26" t="str">
        <f t="shared" ca="1" si="23"/>
        <v/>
      </c>
      <c r="E121" s="4" t="str">
        <f t="shared" ca="1" si="29"/>
        <v/>
      </c>
      <c r="F121" s="25" t="str">
        <f t="shared" ca="1" si="30"/>
        <v/>
      </c>
      <c r="G121" s="26" t="str">
        <f t="shared" ca="1" si="24"/>
        <v/>
      </c>
      <c r="H121" s="4" t="str">
        <f t="shared" ca="1" si="31"/>
        <v/>
      </c>
      <c r="I121" s="25" t="str">
        <f t="shared" ca="1" si="32"/>
        <v/>
      </c>
      <c r="J121" s="26" t="str">
        <f t="shared" ca="1" si="25"/>
        <v/>
      </c>
      <c r="K121" s="59" t="str">
        <f t="shared" ca="1" si="33"/>
        <v/>
      </c>
      <c r="M121" s="74"/>
      <c r="O121" s="74"/>
      <c r="Q121" s="74"/>
      <c r="S121" s="97" t="str">
        <f t="shared" si="21"/>
        <v/>
      </c>
      <c r="U121" s="97" t="str">
        <f t="shared" si="22"/>
        <v/>
      </c>
    </row>
    <row r="122" spans="1:21" x14ac:dyDescent="0.25">
      <c r="A122" s="98" t="str">
        <f t="shared" ca="1" si="26"/>
        <v/>
      </c>
      <c r="B122" s="1" t="str">
        <f t="shared" ca="1" si="27"/>
        <v/>
      </c>
      <c r="C122" s="25" t="str">
        <f t="shared" ca="1" si="28"/>
        <v/>
      </c>
      <c r="D122" s="26" t="str">
        <f t="shared" ca="1" si="23"/>
        <v/>
      </c>
      <c r="E122" s="4" t="str">
        <f t="shared" ca="1" si="29"/>
        <v/>
      </c>
      <c r="F122" s="25" t="str">
        <f t="shared" ca="1" si="30"/>
        <v/>
      </c>
      <c r="G122" s="26" t="str">
        <f t="shared" ca="1" si="24"/>
        <v/>
      </c>
      <c r="H122" s="4" t="str">
        <f t="shared" ca="1" si="31"/>
        <v/>
      </c>
      <c r="I122" s="25" t="str">
        <f t="shared" ca="1" si="32"/>
        <v/>
      </c>
      <c r="J122" s="26" t="str">
        <f t="shared" ca="1" si="25"/>
        <v/>
      </c>
      <c r="K122" s="59" t="str">
        <f t="shared" ca="1" si="33"/>
        <v/>
      </c>
      <c r="M122" s="74"/>
      <c r="O122" s="74"/>
      <c r="Q122" s="74"/>
      <c r="S122" s="97" t="str">
        <f t="shared" si="21"/>
        <v/>
      </c>
      <c r="U122" s="97" t="str">
        <f t="shared" si="22"/>
        <v/>
      </c>
    </row>
    <row r="123" spans="1:21" x14ac:dyDescent="0.25">
      <c r="A123" s="98" t="str">
        <f t="shared" ca="1" si="26"/>
        <v/>
      </c>
      <c r="B123" s="1" t="str">
        <f t="shared" ca="1" si="27"/>
        <v/>
      </c>
      <c r="C123" s="25" t="str">
        <f t="shared" ca="1" si="28"/>
        <v/>
      </c>
      <c r="D123" s="26" t="str">
        <f t="shared" ca="1" si="23"/>
        <v/>
      </c>
      <c r="E123" s="4" t="str">
        <f t="shared" ca="1" si="29"/>
        <v/>
      </c>
      <c r="F123" s="25" t="str">
        <f t="shared" ca="1" si="30"/>
        <v/>
      </c>
      <c r="G123" s="26" t="str">
        <f t="shared" ca="1" si="24"/>
        <v/>
      </c>
      <c r="H123" s="4" t="str">
        <f t="shared" ca="1" si="31"/>
        <v/>
      </c>
      <c r="I123" s="25" t="str">
        <f t="shared" ca="1" si="32"/>
        <v/>
      </c>
      <c r="J123" s="26" t="str">
        <f t="shared" ca="1" si="25"/>
        <v/>
      </c>
      <c r="K123" s="59" t="str">
        <f t="shared" ca="1" si="33"/>
        <v/>
      </c>
      <c r="M123" s="74"/>
      <c r="O123" s="74"/>
      <c r="Q123" s="74"/>
      <c r="S123" s="97" t="str">
        <f t="shared" si="21"/>
        <v/>
      </c>
      <c r="U123" s="97" t="str">
        <f t="shared" si="22"/>
        <v/>
      </c>
    </row>
    <row r="124" spans="1:21" x14ac:dyDescent="0.25">
      <c r="A124" s="98" t="str">
        <f t="shared" ca="1" si="26"/>
        <v/>
      </c>
      <c r="B124" s="1" t="str">
        <f t="shared" ca="1" si="27"/>
        <v/>
      </c>
      <c r="C124" s="25" t="str">
        <f t="shared" ca="1" si="28"/>
        <v/>
      </c>
      <c r="D124" s="26" t="str">
        <f t="shared" ca="1" si="23"/>
        <v/>
      </c>
      <c r="E124" s="4" t="str">
        <f t="shared" ca="1" si="29"/>
        <v/>
      </c>
      <c r="F124" s="25" t="str">
        <f t="shared" ca="1" si="30"/>
        <v/>
      </c>
      <c r="G124" s="26" t="str">
        <f t="shared" ca="1" si="24"/>
        <v/>
      </c>
      <c r="H124" s="4" t="str">
        <f t="shared" ca="1" si="31"/>
        <v/>
      </c>
      <c r="I124" s="25" t="str">
        <f t="shared" ca="1" si="32"/>
        <v/>
      </c>
      <c r="J124" s="26" t="str">
        <f t="shared" ca="1" si="25"/>
        <v/>
      </c>
      <c r="K124" s="59" t="str">
        <f t="shared" ca="1" si="33"/>
        <v/>
      </c>
      <c r="M124" s="74"/>
      <c r="O124" s="74"/>
      <c r="Q124" s="74"/>
      <c r="S124" s="97" t="str">
        <f t="shared" si="21"/>
        <v/>
      </c>
      <c r="U124" s="97" t="str">
        <f t="shared" si="22"/>
        <v/>
      </c>
    </row>
    <row r="125" spans="1:21" x14ac:dyDescent="0.25">
      <c r="A125" s="98" t="str">
        <f t="shared" ca="1" si="26"/>
        <v/>
      </c>
      <c r="B125" s="1" t="str">
        <f t="shared" ca="1" si="27"/>
        <v/>
      </c>
      <c r="C125" s="25" t="str">
        <f t="shared" ca="1" si="28"/>
        <v/>
      </c>
      <c r="D125" s="26" t="str">
        <f t="shared" ca="1" si="23"/>
        <v/>
      </c>
      <c r="E125" s="4" t="str">
        <f t="shared" ca="1" si="29"/>
        <v/>
      </c>
      <c r="F125" s="25" t="str">
        <f t="shared" ca="1" si="30"/>
        <v/>
      </c>
      <c r="G125" s="26" t="str">
        <f t="shared" ca="1" si="24"/>
        <v/>
      </c>
      <c r="H125" s="4" t="str">
        <f t="shared" ca="1" si="31"/>
        <v/>
      </c>
      <c r="I125" s="25" t="str">
        <f t="shared" ca="1" si="32"/>
        <v/>
      </c>
      <c r="J125" s="26" t="str">
        <f t="shared" ca="1" si="25"/>
        <v/>
      </c>
      <c r="K125" s="59" t="str">
        <f t="shared" ca="1" si="33"/>
        <v/>
      </c>
      <c r="M125" s="74"/>
      <c r="O125" s="74"/>
      <c r="Q125" s="74"/>
      <c r="S125" s="97" t="str">
        <f t="shared" si="21"/>
        <v/>
      </c>
      <c r="U125" s="97" t="str">
        <f t="shared" si="22"/>
        <v/>
      </c>
    </row>
    <row r="126" spans="1:21" x14ac:dyDescent="0.25">
      <c r="A126" s="98" t="str">
        <f t="shared" ca="1" si="26"/>
        <v/>
      </c>
      <c r="B126" s="1" t="str">
        <f t="shared" ca="1" si="27"/>
        <v/>
      </c>
      <c r="C126" s="25" t="str">
        <f t="shared" ca="1" si="28"/>
        <v/>
      </c>
      <c r="D126" s="26" t="str">
        <f t="shared" ca="1" si="23"/>
        <v/>
      </c>
      <c r="E126" s="4" t="str">
        <f t="shared" ca="1" si="29"/>
        <v/>
      </c>
      <c r="F126" s="25" t="str">
        <f t="shared" ca="1" si="30"/>
        <v/>
      </c>
      <c r="G126" s="26" t="str">
        <f t="shared" ca="1" si="24"/>
        <v/>
      </c>
      <c r="H126" s="4" t="str">
        <f t="shared" ca="1" si="31"/>
        <v/>
      </c>
      <c r="I126" s="25" t="str">
        <f t="shared" ca="1" si="32"/>
        <v/>
      </c>
      <c r="J126" s="26" t="str">
        <f t="shared" ca="1" si="25"/>
        <v/>
      </c>
      <c r="K126" s="59" t="str">
        <f t="shared" ca="1" si="33"/>
        <v/>
      </c>
      <c r="M126" s="74"/>
      <c r="O126" s="74"/>
      <c r="Q126" s="74"/>
      <c r="S126" s="97" t="str">
        <f t="shared" si="21"/>
        <v/>
      </c>
      <c r="U126" s="97" t="str">
        <f t="shared" si="22"/>
        <v/>
      </c>
    </row>
    <row r="127" spans="1:21" x14ac:dyDescent="0.25">
      <c r="A127" s="98" t="str">
        <f t="shared" ca="1" si="26"/>
        <v/>
      </c>
      <c r="B127" s="1" t="str">
        <f t="shared" ca="1" si="27"/>
        <v/>
      </c>
      <c r="C127" s="25" t="str">
        <f t="shared" ca="1" si="28"/>
        <v/>
      </c>
      <c r="D127" s="26" t="str">
        <f t="shared" ca="1" si="23"/>
        <v/>
      </c>
      <c r="E127" s="4" t="str">
        <f t="shared" ca="1" si="29"/>
        <v/>
      </c>
      <c r="F127" s="25" t="str">
        <f t="shared" ca="1" si="30"/>
        <v/>
      </c>
      <c r="G127" s="26" t="str">
        <f t="shared" ca="1" si="24"/>
        <v/>
      </c>
      <c r="H127" s="4" t="str">
        <f t="shared" ca="1" si="31"/>
        <v/>
      </c>
      <c r="I127" s="25" t="str">
        <f t="shared" ca="1" si="32"/>
        <v/>
      </c>
      <c r="J127" s="26" t="str">
        <f t="shared" ca="1" si="25"/>
        <v/>
      </c>
      <c r="K127" s="59" t="str">
        <f t="shared" ca="1" si="33"/>
        <v/>
      </c>
      <c r="M127" s="74"/>
      <c r="O127" s="74"/>
      <c r="Q127" s="74"/>
      <c r="S127" s="97" t="str">
        <f t="shared" si="21"/>
        <v/>
      </c>
      <c r="U127" s="97" t="str">
        <f t="shared" si="22"/>
        <v/>
      </c>
    </row>
    <row r="128" spans="1:21" x14ac:dyDescent="0.25">
      <c r="A128" s="98" t="str">
        <f t="shared" ca="1" si="26"/>
        <v/>
      </c>
      <c r="B128" s="1" t="str">
        <f t="shared" ca="1" si="27"/>
        <v/>
      </c>
      <c r="C128" s="25" t="str">
        <f t="shared" ca="1" si="28"/>
        <v/>
      </c>
      <c r="D128" s="26" t="str">
        <f t="shared" ca="1" si="23"/>
        <v/>
      </c>
      <c r="E128" s="4" t="str">
        <f t="shared" ca="1" si="29"/>
        <v/>
      </c>
      <c r="F128" s="25" t="str">
        <f t="shared" ca="1" si="30"/>
        <v/>
      </c>
      <c r="G128" s="26" t="str">
        <f t="shared" ca="1" si="24"/>
        <v/>
      </c>
      <c r="H128" s="4" t="str">
        <f t="shared" ca="1" si="31"/>
        <v/>
      </c>
      <c r="I128" s="25" t="str">
        <f t="shared" ca="1" si="32"/>
        <v/>
      </c>
      <c r="J128" s="26" t="str">
        <f t="shared" ca="1" si="25"/>
        <v/>
      </c>
      <c r="K128" s="59" t="str">
        <f t="shared" ca="1" si="33"/>
        <v/>
      </c>
      <c r="M128" s="74"/>
      <c r="O128" s="74"/>
      <c r="Q128" s="74"/>
      <c r="S128" s="97" t="str">
        <f t="shared" si="21"/>
        <v/>
      </c>
      <c r="U128" s="97" t="str">
        <f t="shared" si="22"/>
        <v/>
      </c>
    </row>
    <row r="129" spans="1:21" x14ac:dyDescent="0.25">
      <c r="A129" s="98" t="str">
        <f t="shared" ca="1" si="26"/>
        <v/>
      </c>
      <c r="B129" s="1" t="str">
        <f t="shared" ca="1" si="27"/>
        <v/>
      </c>
      <c r="C129" s="25" t="str">
        <f t="shared" ca="1" si="28"/>
        <v/>
      </c>
      <c r="D129" s="26" t="str">
        <f t="shared" ca="1" si="23"/>
        <v/>
      </c>
      <c r="E129" s="4" t="str">
        <f t="shared" ca="1" si="29"/>
        <v/>
      </c>
      <c r="F129" s="25" t="str">
        <f t="shared" ca="1" si="30"/>
        <v/>
      </c>
      <c r="G129" s="26" t="str">
        <f t="shared" ca="1" si="24"/>
        <v/>
      </c>
      <c r="H129" s="4" t="str">
        <f t="shared" ca="1" si="31"/>
        <v/>
      </c>
      <c r="I129" s="25" t="str">
        <f t="shared" ca="1" si="32"/>
        <v/>
      </c>
      <c r="J129" s="26" t="str">
        <f t="shared" ca="1" si="25"/>
        <v/>
      </c>
      <c r="K129" s="59" t="str">
        <f t="shared" ca="1" si="33"/>
        <v/>
      </c>
      <c r="M129" s="74"/>
      <c r="O129" s="74"/>
      <c r="Q129" s="74"/>
      <c r="S129" s="97" t="str">
        <f t="shared" si="21"/>
        <v/>
      </c>
      <c r="U129" s="97" t="str">
        <f t="shared" si="22"/>
        <v/>
      </c>
    </row>
    <row r="130" spans="1:21" x14ac:dyDescent="0.25">
      <c r="A130" s="98" t="str">
        <f t="shared" ca="1" si="26"/>
        <v/>
      </c>
      <c r="B130" s="1" t="str">
        <f t="shared" ca="1" si="27"/>
        <v/>
      </c>
      <c r="C130" s="25" t="str">
        <f t="shared" ca="1" si="28"/>
        <v/>
      </c>
      <c r="D130" s="26" t="str">
        <f t="shared" ca="1" si="23"/>
        <v/>
      </c>
      <c r="E130" s="4" t="str">
        <f t="shared" ca="1" si="29"/>
        <v/>
      </c>
      <c r="F130" s="25" t="str">
        <f t="shared" ca="1" si="30"/>
        <v/>
      </c>
      <c r="G130" s="26" t="str">
        <f t="shared" ca="1" si="24"/>
        <v/>
      </c>
      <c r="H130" s="4" t="str">
        <f t="shared" ca="1" si="31"/>
        <v/>
      </c>
      <c r="I130" s="25" t="str">
        <f t="shared" ca="1" si="32"/>
        <v/>
      </c>
      <c r="J130" s="26" t="str">
        <f t="shared" ca="1" si="25"/>
        <v/>
      </c>
      <c r="K130" s="59" t="str">
        <f t="shared" ca="1" si="33"/>
        <v/>
      </c>
      <c r="M130" s="74"/>
      <c r="O130" s="74"/>
      <c r="Q130" s="74"/>
      <c r="S130" s="97" t="str">
        <f t="shared" si="21"/>
        <v/>
      </c>
      <c r="U130" s="97" t="str">
        <f t="shared" si="22"/>
        <v/>
      </c>
    </row>
    <row r="131" spans="1:21" x14ac:dyDescent="0.25">
      <c r="A131" s="98" t="str">
        <f t="shared" ca="1" si="26"/>
        <v/>
      </c>
      <c r="B131" s="1" t="str">
        <f t="shared" ca="1" si="27"/>
        <v/>
      </c>
      <c r="C131" s="25" t="str">
        <f t="shared" ca="1" si="28"/>
        <v/>
      </c>
      <c r="D131" s="26" t="str">
        <f t="shared" ca="1" si="23"/>
        <v/>
      </c>
      <c r="E131" s="4" t="str">
        <f t="shared" ca="1" si="29"/>
        <v/>
      </c>
      <c r="F131" s="25" t="str">
        <f t="shared" ca="1" si="30"/>
        <v/>
      </c>
      <c r="G131" s="26" t="str">
        <f t="shared" ca="1" si="24"/>
        <v/>
      </c>
      <c r="H131" s="4" t="str">
        <f t="shared" ca="1" si="31"/>
        <v/>
      </c>
      <c r="I131" s="25" t="str">
        <f t="shared" ca="1" si="32"/>
        <v/>
      </c>
      <c r="J131" s="26" t="str">
        <f t="shared" ca="1" si="25"/>
        <v/>
      </c>
      <c r="K131" s="59" t="str">
        <f t="shared" ca="1" si="33"/>
        <v/>
      </c>
      <c r="M131" s="74"/>
      <c r="O131" s="74"/>
      <c r="Q131" s="74"/>
      <c r="S131" s="97" t="str">
        <f t="shared" si="21"/>
        <v/>
      </c>
      <c r="U131" s="97" t="str">
        <f t="shared" si="22"/>
        <v/>
      </c>
    </row>
    <row r="132" spans="1:21" x14ac:dyDescent="0.25">
      <c r="A132" s="98" t="str">
        <f t="shared" ca="1" si="26"/>
        <v/>
      </c>
      <c r="B132" s="1" t="str">
        <f t="shared" ca="1" si="27"/>
        <v/>
      </c>
      <c r="C132" s="25" t="str">
        <f t="shared" ca="1" si="28"/>
        <v/>
      </c>
      <c r="D132" s="26" t="str">
        <f t="shared" ca="1" si="23"/>
        <v/>
      </c>
      <c r="E132" s="4" t="str">
        <f t="shared" ca="1" si="29"/>
        <v/>
      </c>
      <c r="F132" s="25" t="str">
        <f t="shared" ca="1" si="30"/>
        <v/>
      </c>
      <c r="G132" s="26" t="str">
        <f t="shared" ca="1" si="24"/>
        <v/>
      </c>
      <c r="H132" s="4" t="str">
        <f t="shared" ca="1" si="31"/>
        <v/>
      </c>
      <c r="I132" s="25" t="str">
        <f t="shared" ca="1" si="32"/>
        <v/>
      </c>
      <c r="J132" s="26" t="str">
        <f t="shared" ca="1" si="25"/>
        <v/>
      </c>
      <c r="K132" s="59" t="str">
        <f t="shared" ca="1" si="33"/>
        <v/>
      </c>
      <c r="M132" s="74"/>
      <c r="O132" s="74"/>
      <c r="Q132" s="74"/>
      <c r="S132" s="97" t="str">
        <f t="shared" ref="S132:S195" si="34">IF(COUNTIF(O:O,M132)*COUNTIF(Q:Q,M132),M132,"")</f>
        <v/>
      </c>
      <c r="U132" s="97" t="str">
        <f t="shared" ref="U132:U195" si="35">IF(T132&gt;$A$14,T132,"")</f>
        <v/>
      </c>
    </row>
    <row r="133" spans="1:21" x14ac:dyDescent="0.25">
      <c r="A133" s="98" t="str">
        <f t="shared" ca="1" si="26"/>
        <v/>
      </c>
      <c r="B133" s="1" t="str">
        <f t="shared" ca="1" si="27"/>
        <v/>
      </c>
      <c r="C133" s="25" t="str">
        <f t="shared" ca="1" si="28"/>
        <v/>
      </c>
      <c r="D133" s="26" t="str">
        <f t="shared" ca="1" si="23"/>
        <v/>
      </c>
      <c r="E133" s="4" t="str">
        <f t="shared" ca="1" si="29"/>
        <v/>
      </c>
      <c r="F133" s="25" t="str">
        <f t="shared" ca="1" si="30"/>
        <v/>
      </c>
      <c r="G133" s="26" t="str">
        <f t="shared" ca="1" si="24"/>
        <v/>
      </c>
      <c r="H133" s="4" t="str">
        <f t="shared" ca="1" si="31"/>
        <v/>
      </c>
      <c r="I133" s="25" t="str">
        <f t="shared" ca="1" si="32"/>
        <v/>
      </c>
      <c r="J133" s="26" t="str">
        <f t="shared" ca="1" si="25"/>
        <v/>
      </c>
      <c r="K133" s="59" t="str">
        <f t="shared" ca="1" si="33"/>
        <v/>
      </c>
      <c r="M133" s="74"/>
      <c r="Q133" s="74"/>
      <c r="S133" s="97" t="str">
        <f t="shared" si="34"/>
        <v/>
      </c>
      <c r="U133" s="97" t="str">
        <f t="shared" si="35"/>
        <v/>
      </c>
    </row>
    <row r="134" spans="1:21" x14ac:dyDescent="0.25">
      <c r="A134" s="98" t="str">
        <f t="shared" ca="1" si="26"/>
        <v/>
      </c>
      <c r="B134" s="1" t="str">
        <f t="shared" ca="1" si="27"/>
        <v/>
      </c>
      <c r="C134" s="25" t="str">
        <f t="shared" ca="1" si="28"/>
        <v/>
      </c>
      <c r="D134" s="26" t="str">
        <f t="shared" ca="1" si="23"/>
        <v/>
      </c>
      <c r="E134" s="4" t="str">
        <f t="shared" ca="1" si="29"/>
        <v/>
      </c>
      <c r="F134" s="25" t="str">
        <f t="shared" ca="1" si="30"/>
        <v/>
      </c>
      <c r="G134" s="26" t="str">
        <f t="shared" ca="1" si="24"/>
        <v/>
      </c>
      <c r="H134" s="4" t="str">
        <f t="shared" ca="1" si="31"/>
        <v/>
      </c>
      <c r="I134" s="25" t="str">
        <f t="shared" ca="1" si="32"/>
        <v/>
      </c>
      <c r="J134" s="26" t="str">
        <f t="shared" ca="1" si="25"/>
        <v/>
      </c>
      <c r="K134" s="59" t="str">
        <f t="shared" ca="1" si="33"/>
        <v/>
      </c>
      <c r="M134" s="74"/>
      <c r="Q134" s="74"/>
      <c r="S134" s="97" t="str">
        <f t="shared" si="34"/>
        <v/>
      </c>
      <c r="U134" s="97" t="str">
        <f t="shared" si="35"/>
        <v/>
      </c>
    </row>
    <row r="135" spans="1:21" x14ac:dyDescent="0.25">
      <c r="A135" s="98" t="str">
        <f t="shared" ca="1" si="26"/>
        <v/>
      </c>
      <c r="B135" s="1" t="str">
        <f t="shared" ca="1" si="27"/>
        <v/>
      </c>
      <c r="C135" s="25" t="str">
        <f t="shared" ca="1" si="28"/>
        <v/>
      </c>
      <c r="D135" s="26" t="str">
        <f t="shared" ca="1" si="23"/>
        <v/>
      </c>
      <c r="E135" s="4" t="str">
        <f t="shared" ca="1" si="29"/>
        <v/>
      </c>
      <c r="F135" s="25" t="str">
        <f t="shared" ca="1" si="30"/>
        <v/>
      </c>
      <c r="G135" s="26" t="str">
        <f t="shared" ca="1" si="24"/>
        <v/>
      </c>
      <c r="H135" s="4" t="str">
        <f t="shared" ca="1" si="31"/>
        <v/>
      </c>
      <c r="I135" s="25" t="str">
        <f t="shared" ca="1" si="32"/>
        <v/>
      </c>
      <c r="J135" s="26" t="str">
        <f t="shared" ca="1" si="25"/>
        <v/>
      </c>
      <c r="K135" s="59" t="str">
        <f t="shared" ca="1" si="33"/>
        <v/>
      </c>
      <c r="M135" s="74"/>
      <c r="Q135" s="74"/>
      <c r="S135" s="97" t="str">
        <f t="shared" si="34"/>
        <v/>
      </c>
      <c r="U135" s="97" t="str">
        <f t="shared" si="35"/>
        <v/>
      </c>
    </row>
    <row r="136" spans="1:21" x14ac:dyDescent="0.25">
      <c r="A136" s="98" t="str">
        <f t="shared" ca="1" si="26"/>
        <v/>
      </c>
      <c r="B136" s="1" t="str">
        <f t="shared" ca="1" si="27"/>
        <v/>
      </c>
      <c r="C136" s="25" t="str">
        <f t="shared" ca="1" si="28"/>
        <v/>
      </c>
      <c r="D136" s="26" t="str">
        <f t="shared" ca="1" si="23"/>
        <v/>
      </c>
      <c r="E136" s="4" t="str">
        <f t="shared" ca="1" si="29"/>
        <v/>
      </c>
      <c r="F136" s="25" t="str">
        <f t="shared" ca="1" si="30"/>
        <v/>
      </c>
      <c r="G136" s="26" t="str">
        <f t="shared" ca="1" si="24"/>
        <v/>
      </c>
      <c r="H136" s="4" t="str">
        <f t="shared" ca="1" si="31"/>
        <v/>
      </c>
      <c r="I136" s="25" t="str">
        <f t="shared" ca="1" si="32"/>
        <v/>
      </c>
      <c r="J136" s="26" t="str">
        <f t="shared" ca="1" si="25"/>
        <v/>
      </c>
      <c r="K136" s="59" t="str">
        <f t="shared" ca="1" si="33"/>
        <v/>
      </c>
      <c r="M136" s="74"/>
      <c r="Q136" s="74"/>
      <c r="S136" s="97" t="str">
        <f t="shared" si="34"/>
        <v/>
      </c>
      <c r="U136" s="97" t="str">
        <f t="shared" si="35"/>
        <v/>
      </c>
    </row>
    <row r="137" spans="1:21" x14ac:dyDescent="0.25">
      <c r="A137" s="98" t="str">
        <f t="shared" ca="1" si="26"/>
        <v/>
      </c>
      <c r="B137" s="1" t="str">
        <f t="shared" ca="1" si="27"/>
        <v/>
      </c>
      <c r="C137" s="25" t="str">
        <f t="shared" ca="1" si="28"/>
        <v/>
      </c>
      <c r="D137" s="26" t="str">
        <f t="shared" ca="1" si="23"/>
        <v/>
      </c>
      <c r="E137" s="4" t="str">
        <f t="shared" ca="1" si="29"/>
        <v/>
      </c>
      <c r="F137" s="25" t="str">
        <f t="shared" ca="1" si="30"/>
        <v/>
      </c>
      <c r="G137" s="26" t="str">
        <f t="shared" ca="1" si="24"/>
        <v/>
      </c>
      <c r="H137" s="4" t="str">
        <f t="shared" ca="1" si="31"/>
        <v/>
      </c>
      <c r="I137" s="25" t="str">
        <f t="shared" ca="1" si="32"/>
        <v/>
      </c>
      <c r="J137" s="26" t="str">
        <f t="shared" ca="1" si="25"/>
        <v/>
      </c>
      <c r="K137" s="59" t="str">
        <f t="shared" ca="1" si="33"/>
        <v/>
      </c>
      <c r="M137" s="74"/>
      <c r="Q137" s="74"/>
      <c r="S137" s="97" t="str">
        <f t="shared" si="34"/>
        <v/>
      </c>
      <c r="U137" s="97" t="str">
        <f t="shared" si="35"/>
        <v/>
      </c>
    </row>
    <row r="138" spans="1:21" x14ac:dyDescent="0.25">
      <c r="A138" s="98" t="str">
        <f t="shared" ca="1" si="26"/>
        <v/>
      </c>
      <c r="B138" s="1" t="str">
        <f t="shared" ca="1" si="27"/>
        <v/>
      </c>
      <c r="C138" s="25" t="str">
        <f t="shared" ca="1" si="28"/>
        <v/>
      </c>
      <c r="D138" s="26" t="str">
        <f t="shared" ca="1" si="23"/>
        <v/>
      </c>
      <c r="E138" s="4" t="str">
        <f t="shared" ca="1" si="29"/>
        <v/>
      </c>
      <c r="F138" s="25" t="str">
        <f t="shared" ca="1" si="30"/>
        <v/>
      </c>
      <c r="G138" s="26" t="str">
        <f t="shared" ca="1" si="24"/>
        <v/>
      </c>
      <c r="H138" s="4" t="str">
        <f t="shared" ca="1" si="31"/>
        <v/>
      </c>
      <c r="I138" s="25" t="str">
        <f t="shared" ca="1" si="32"/>
        <v/>
      </c>
      <c r="J138" s="26" t="str">
        <f t="shared" ca="1" si="25"/>
        <v/>
      </c>
      <c r="K138" s="59" t="str">
        <f t="shared" ca="1" si="33"/>
        <v/>
      </c>
      <c r="M138" s="74"/>
      <c r="Q138" s="74"/>
      <c r="S138" s="97" t="str">
        <f t="shared" si="34"/>
        <v/>
      </c>
      <c r="U138" s="97" t="str">
        <f t="shared" si="35"/>
        <v/>
      </c>
    </row>
    <row r="139" spans="1:21" x14ac:dyDescent="0.25">
      <c r="A139" s="98" t="str">
        <f t="shared" ca="1" si="26"/>
        <v/>
      </c>
      <c r="B139" s="1" t="str">
        <f t="shared" ca="1" si="27"/>
        <v/>
      </c>
      <c r="C139" s="25" t="str">
        <f t="shared" ca="1" si="28"/>
        <v/>
      </c>
      <c r="D139" s="26" t="str">
        <f t="shared" ca="1" si="23"/>
        <v/>
      </c>
      <c r="E139" s="4" t="str">
        <f t="shared" ca="1" si="29"/>
        <v/>
      </c>
      <c r="F139" s="25" t="str">
        <f t="shared" ca="1" si="30"/>
        <v/>
      </c>
      <c r="G139" s="26" t="str">
        <f t="shared" ca="1" si="24"/>
        <v/>
      </c>
      <c r="H139" s="4" t="str">
        <f t="shared" ca="1" si="31"/>
        <v/>
      </c>
      <c r="I139" s="25" t="str">
        <f t="shared" ca="1" si="32"/>
        <v/>
      </c>
      <c r="J139" s="26" t="str">
        <f t="shared" ca="1" si="25"/>
        <v/>
      </c>
      <c r="K139" s="59" t="str">
        <f t="shared" ca="1" si="33"/>
        <v/>
      </c>
      <c r="M139" s="74"/>
      <c r="Q139" s="74"/>
      <c r="S139" s="97" t="str">
        <f t="shared" si="34"/>
        <v/>
      </c>
      <c r="U139" s="97" t="str">
        <f t="shared" si="35"/>
        <v/>
      </c>
    </row>
    <row r="140" spans="1:21" x14ac:dyDescent="0.25">
      <c r="A140" s="98" t="str">
        <f t="shared" ca="1" si="26"/>
        <v/>
      </c>
      <c r="B140" s="1" t="str">
        <f t="shared" ca="1" si="27"/>
        <v/>
      </c>
      <c r="C140" s="25" t="str">
        <f t="shared" ca="1" si="28"/>
        <v/>
      </c>
      <c r="D140" s="26" t="str">
        <f t="shared" ca="1" si="23"/>
        <v/>
      </c>
      <c r="E140" s="4" t="str">
        <f t="shared" ca="1" si="29"/>
        <v/>
      </c>
      <c r="F140" s="25" t="str">
        <f t="shared" ca="1" si="30"/>
        <v/>
      </c>
      <c r="G140" s="26" t="str">
        <f t="shared" ca="1" si="24"/>
        <v/>
      </c>
      <c r="H140" s="4" t="str">
        <f t="shared" ca="1" si="31"/>
        <v/>
      </c>
      <c r="I140" s="25" t="str">
        <f t="shared" ca="1" si="32"/>
        <v/>
      </c>
      <c r="J140" s="26" t="str">
        <f t="shared" ca="1" si="25"/>
        <v/>
      </c>
      <c r="K140" s="59" t="str">
        <f t="shared" ca="1" si="33"/>
        <v/>
      </c>
      <c r="M140" s="74"/>
      <c r="Q140" s="74"/>
      <c r="S140" s="97" t="str">
        <f t="shared" si="34"/>
        <v/>
      </c>
      <c r="U140" s="97" t="str">
        <f t="shared" si="35"/>
        <v/>
      </c>
    </row>
    <row r="141" spans="1:21" x14ac:dyDescent="0.25">
      <c r="A141" s="98" t="str">
        <f t="shared" ca="1" si="26"/>
        <v/>
      </c>
      <c r="B141" s="1" t="str">
        <f t="shared" ca="1" si="27"/>
        <v/>
      </c>
      <c r="C141" s="25" t="str">
        <f t="shared" ca="1" si="28"/>
        <v/>
      </c>
      <c r="D141" s="26" t="str">
        <f t="shared" ca="1" si="23"/>
        <v/>
      </c>
      <c r="E141" s="4" t="str">
        <f t="shared" ca="1" si="29"/>
        <v/>
      </c>
      <c r="F141" s="25" t="str">
        <f t="shared" ca="1" si="30"/>
        <v/>
      </c>
      <c r="G141" s="26" t="str">
        <f t="shared" ca="1" si="24"/>
        <v/>
      </c>
      <c r="H141" s="4" t="str">
        <f t="shared" ca="1" si="31"/>
        <v/>
      </c>
      <c r="I141" s="25" t="str">
        <f t="shared" ca="1" si="32"/>
        <v/>
      </c>
      <c r="J141" s="26" t="str">
        <f t="shared" ca="1" si="25"/>
        <v/>
      </c>
      <c r="K141" s="59" t="str">
        <f t="shared" ca="1" si="33"/>
        <v/>
      </c>
      <c r="M141" s="74"/>
      <c r="Q141" s="74"/>
      <c r="S141" s="97" t="str">
        <f t="shared" si="34"/>
        <v/>
      </c>
      <c r="U141" s="97" t="str">
        <f t="shared" si="35"/>
        <v/>
      </c>
    </row>
    <row r="142" spans="1:21" x14ac:dyDescent="0.25">
      <c r="A142" s="98" t="str">
        <f t="shared" ca="1" si="26"/>
        <v/>
      </c>
      <c r="B142" s="1" t="str">
        <f t="shared" ca="1" si="27"/>
        <v/>
      </c>
      <c r="C142" s="25" t="str">
        <f t="shared" ca="1" si="28"/>
        <v/>
      </c>
      <c r="D142" s="26" t="str">
        <f t="shared" ca="1" si="23"/>
        <v/>
      </c>
      <c r="E142" s="4" t="str">
        <f t="shared" ca="1" si="29"/>
        <v/>
      </c>
      <c r="F142" s="25" t="str">
        <f t="shared" ca="1" si="30"/>
        <v/>
      </c>
      <c r="G142" s="26" t="str">
        <f t="shared" ca="1" si="24"/>
        <v/>
      </c>
      <c r="H142" s="4" t="str">
        <f t="shared" ca="1" si="31"/>
        <v/>
      </c>
      <c r="I142" s="25" t="str">
        <f t="shared" ca="1" si="32"/>
        <v/>
      </c>
      <c r="J142" s="26" t="str">
        <f t="shared" ca="1" si="25"/>
        <v/>
      </c>
      <c r="K142" s="59" t="str">
        <f t="shared" ca="1" si="33"/>
        <v/>
      </c>
      <c r="M142" s="74"/>
      <c r="Q142" s="74"/>
      <c r="S142" s="97" t="str">
        <f t="shared" si="34"/>
        <v/>
      </c>
      <c r="U142" s="97" t="str">
        <f t="shared" si="35"/>
        <v/>
      </c>
    </row>
    <row r="143" spans="1:21" x14ac:dyDescent="0.25">
      <c r="A143" s="98" t="str">
        <f t="shared" ca="1" si="26"/>
        <v/>
      </c>
      <c r="B143" s="1" t="str">
        <f t="shared" ca="1" si="27"/>
        <v/>
      </c>
      <c r="C143" s="25" t="str">
        <f t="shared" ca="1" si="28"/>
        <v/>
      </c>
      <c r="D143" s="26" t="str">
        <f t="shared" ca="1" si="23"/>
        <v/>
      </c>
      <c r="E143" s="4" t="str">
        <f t="shared" ca="1" si="29"/>
        <v/>
      </c>
      <c r="F143" s="25" t="str">
        <f t="shared" ca="1" si="30"/>
        <v/>
      </c>
      <c r="G143" s="26" t="str">
        <f t="shared" ca="1" si="24"/>
        <v/>
      </c>
      <c r="H143" s="4" t="str">
        <f t="shared" ca="1" si="31"/>
        <v/>
      </c>
      <c r="I143" s="25" t="str">
        <f t="shared" ca="1" si="32"/>
        <v/>
      </c>
      <c r="J143" s="26" t="str">
        <f t="shared" ca="1" si="25"/>
        <v/>
      </c>
      <c r="K143" s="59" t="str">
        <f t="shared" ca="1" si="33"/>
        <v/>
      </c>
      <c r="M143" s="74"/>
      <c r="Q143" s="74"/>
      <c r="S143" s="97" t="str">
        <f t="shared" si="34"/>
        <v/>
      </c>
      <c r="U143" s="97" t="str">
        <f t="shared" si="35"/>
        <v/>
      </c>
    </row>
    <row r="144" spans="1:21" x14ac:dyDescent="0.25">
      <c r="A144" s="98"/>
      <c r="B144" s="1"/>
      <c r="C144" s="25"/>
      <c r="D144" s="26"/>
      <c r="E144" s="4"/>
      <c r="F144" s="25"/>
      <c r="G144" s="26"/>
      <c r="H144" s="4"/>
      <c r="I144" s="25"/>
      <c r="J144" s="26"/>
      <c r="K144" s="59"/>
      <c r="M144" s="74"/>
      <c r="Q144" s="74"/>
      <c r="S144" s="97" t="str">
        <f t="shared" si="34"/>
        <v/>
      </c>
      <c r="U144" s="97" t="str">
        <f t="shared" si="35"/>
        <v/>
      </c>
    </row>
    <row r="145" spans="1:21" x14ac:dyDescent="0.25">
      <c r="A145" s="98"/>
      <c r="B145" s="1"/>
      <c r="C145" s="25"/>
      <c r="D145" s="26"/>
      <c r="E145" s="4"/>
      <c r="F145" s="25"/>
      <c r="G145" s="26"/>
      <c r="H145" s="4"/>
      <c r="I145" s="25"/>
      <c r="J145" s="26"/>
      <c r="K145" s="59"/>
      <c r="M145" s="74"/>
      <c r="Q145" s="74"/>
      <c r="S145" s="97" t="str">
        <f t="shared" si="34"/>
        <v/>
      </c>
      <c r="U145" s="97" t="str">
        <f t="shared" si="35"/>
        <v/>
      </c>
    </row>
    <row r="146" spans="1:21" x14ac:dyDescent="0.25">
      <c r="A146" s="98"/>
      <c r="B146" s="1"/>
      <c r="C146" s="25"/>
      <c r="D146" s="26"/>
      <c r="E146" s="4"/>
      <c r="F146" s="25"/>
      <c r="G146" s="26"/>
      <c r="H146" s="4"/>
      <c r="I146" s="25"/>
      <c r="J146" s="26"/>
      <c r="K146" s="59"/>
      <c r="M146" s="74"/>
      <c r="Q146" s="74"/>
      <c r="S146" s="97" t="str">
        <f t="shared" si="34"/>
        <v/>
      </c>
      <c r="U146" s="97" t="str">
        <f t="shared" si="35"/>
        <v/>
      </c>
    </row>
    <row r="147" spans="1:21" x14ac:dyDescent="0.25">
      <c r="A147" s="98"/>
      <c r="B147" s="1"/>
      <c r="C147" s="25"/>
      <c r="D147" s="26"/>
      <c r="E147" s="4"/>
      <c r="F147" s="25"/>
      <c r="G147" s="26"/>
      <c r="H147" s="4"/>
      <c r="I147" s="25"/>
      <c r="J147" s="26"/>
      <c r="K147" s="59"/>
      <c r="M147" s="74"/>
      <c r="Q147" s="74"/>
      <c r="S147" s="97" t="str">
        <f t="shared" si="34"/>
        <v/>
      </c>
      <c r="U147" s="97" t="str">
        <f t="shared" si="35"/>
        <v/>
      </c>
    </row>
    <row r="148" spans="1:21" x14ac:dyDescent="0.25">
      <c r="A148" s="98"/>
      <c r="B148" s="1"/>
      <c r="C148" s="25"/>
      <c r="D148" s="26"/>
      <c r="E148" s="4"/>
      <c r="F148" s="25"/>
      <c r="G148" s="26"/>
      <c r="H148" s="4"/>
      <c r="I148" s="25"/>
      <c r="J148" s="26"/>
      <c r="K148" s="59"/>
      <c r="M148" s="74"/>
      <c r="Q148" s="74"/>
      <c r="S148" s="97" t="str">
        <f t="shared" si="34"/>
        <v/>
      </c>
      <c r="U148" s="97" t="str">
        <f t="shared" si="35"/>
        <v/>
      </c>
    </row>
    <row r="149" spans="1:21" x14ac:dyDescent="0.25">
      <c r="A149" s="98"/>
      <c r="B149" s="1"/>
      <c r="C149" s="25"/>
      <c r="D149" s="26"/>
      <c r="E149" s="4"/>
      <c r="F149" s="25"/>
      <c r="G149" s="26"/>
      <c r="H149" s="4"/>
      <c r="I149" s="25"/>
      <c r="J149" s="26"/>
      <c r="K149" s="59"/>
      <c r="M149" s="74"/>
      <c r="Q149" s="74"/>
      <c r="S149" s="97" t="str">
        <f t="shared" si="34"/>
        <v/>
      </c>
      <c r="U149" s="97" t="str">
        <f t="shared" si="35"/>
        <v/>
      </c>
    </row>
    <row r="150" spans="1:21" x14ac:dyDescent="0.25">
      <c r="A150" s="98"/>
      <c r="B150" s="1"/>
      <c r="C150" s="25"/>
      <c r="D150" s="26"/>
      <c r="E150" s="4"/>
      <c r="F150" s="25"/>
      <c r="G150" s="26"/>
      <c r="H150" s="4"/>
      <c r="I150" s="25"/>
      <c r="J150" s="26"/>
      <c r="K150" s="59"/>
      <c r="M150" s="74"/>
      <c r="Q150" s="74"/>
      <c r="S150" s="97" t="str">
        <f t="shared" si="34"/>
        <v/>
      </c>
      <c r="U150" s="97" t="str">
        <f t="shared" si="35"/>
        <v/>
      </c>
    </row>
    <row r="151" spans="1:21" x14ac:dyDescent="0.25">
      <c r="A151" s="98"/>
      <c r="B151" s="1"/>
      <c r="C151" s="25"/>
      <c r="D151" s="26"/>
      <c r="E151" s="4"/>
      <c r="F151" s="25"/>
      <c r="G151" s="26"/>
      <c r="H151" s="4"/>
      <c r="I151" s="25"/>
      <c r="J151" s="26"/>
      <c r="K151" s="59"/>
      <c r="M151" s="74"/>
      <c r="Q151" s="74"/>
      <c r="S151" s="97" t="str">
        <f t="shared" si="34"/>
        <v/>
      </c>
      <c r="U151" s="97" t="str">
        <f t="shared" si="35"/>
        <v/>
      </c>
    </row>
    <row r="152" spans="1:21" x14ac:dyDescent="0.25">
      <c r="A152" s="98"/>
      <c r="B152" s="1"/>
      <c r="C152" s="25"/>
      <c r="D152" s="26"/>
      <c r="E152" s="4"/>
      <c r="F152" s="25"/>
      <c r="G152" s="26"/>
      <c r="H152" s="4"/>
      <c r="I152" s="25"/>
      <c r="J152" s="26"/>
      <c r="K152" s="59"/>
      <c r="M152" s="74"/>
      <c r="Q152" s="74"/>
      <c r="S152" s="97" t="str">
        <f t="shared" si="34"/>
        <v/>
      </c>
      <c r="U152" s="97" t="str">
        <f t="shared" si="35"/>
        <v/>
      </c>
    </row>
    <row r="153" spans="1:21" x14ac:dyDescent="0.25">
      <c r="A153" s="98"/>
      <c r="B153" s="1"/>
      <c r="C153" s="25"/>
      <c r="D153" s="26"/>
      <c r="E153" s="4"/>
      <c r="F153" s="25"/>
      <c r="G153" s="26"/>
      <c r="H153" s="4"/>
      <c r="I153" s="25"/>
      <c r="J153" s="26"/>
      <c r="K153" s="59"/>
      <c r="M153" s="74"/>
      <c r="Q153" s="74"/>
      <c r="S153" s="97" t="str">
        <f t="shared" si="34"/>
        <v/>
      </c>
      <c r="U153" s="97" t="str">
        <f t="shared" si="35"/>
        <v/>
      </c>
    </row>
    <row r="154" spans="1:21" x14ac:dyDescent="0.25">
      <c r="A154" s="98"/>
      <c r="B154" s="1"/>
      <c r="C154" s="25"/>
      <c r="D154" s="26"/>
      <c r="E154" s="4"/>
      <c r="F154" s="25"/>
      <c r="G154" s="26"/>
      <c r="H154" s="4"/>
      <c r="I154" s="25"/>
      <c r="J154" s="26"/>
      <c r="K154" s="59"/>
      <c r="M154" s="74"/>
      <c r="Q154" s="74"/>
      <c r="S154" s="97" t="str">
        <f t="shared" si="34"/>
        <v/>
      </c>
      <c r="U154" s="97" t="str">
        <f t="shared" si="35"/>
        <v/>
      </c>
    </row>
    <row r="155" spans="1:21" x14ac:dyDescent="0.25">
      <c r="A155" s="98"/>
      <c r="B155" s="1"/>
      <c r="C155" s="25"/>
      <c r="D155" s="26"/>
      <c r="E155" s="4"/>
      <c r="F155" s="25"/>
      <c r="G155" s="26"/>
      <c r="H155" s="4"/>
      <c r="I155" s="25"/>
      <c r="J155" s="26"/>
      <c r="K155" s="59"/>
      <c r="S155" s="97" t="str">
        <f t="shared" si="34"/>
        <v/>
      </c>
      <c r="U155" s="97" t="str">
        <f t="shared" si="35"/>
        <v/>
      </c>
    </row>
    <row r="156" spans="1:21" x14ac:dyDescent="0.25">
      <c r="A156" s="98"/>
      <c r="B156" s="1"/>
      <c r="C156" s="25"/>
      <c r="D156" s="26"/>
      <c r="E156" s="4"/>
      <c r="F156" s="25"/>
      <c r="G156" s="26"/>
      <c r="H156" s="4"/>
      <c r="I156" s="25"/>
      <c r="J156" s="26"/>
      <c r="K156" s="59"/>
      <c r="S156" s="97" t="str">
        <f t="shared" si="34"/>
        <v/>
      </c>
      <c r="U156" s="97" t="str">
        <f t="shared" si="35"/>
        <v/>
      </c>
    </row>
    <row r="157" spans="1:21" x14ac:dyDescent="0.25">
      <c r="A157" s="98"/>
      <c r="B157" s="1"/>
      <c r="C157" s="25"/>
      <c r="D157" s="26"/>
      <c r="E157" s="4"/>
      <c r="F157" s="25"/>
      <c r="G157" s="26"/>
      <c r="H157" s="4"/>
      <c r="I157" s="25"/>
      <c r="J157" s="26"/>
      <c r="K157" s="59"/>
      <c r="S157" s="97" t="str">
        <f t="shared" si="34"/>
        <v/>
      </c>
      <c r="U157" s="97" t="str">
        <f t="shared" si="35"/>
        <v/>
      </c>
    </row>
    <row r="158" spans="1:21" x14ac:dyDescent="0.25">
      <c r="A158" s="98"/>
      <c r="B158" s="1"/>
      <c r="C158" s="25"/>
      <c r="D158" s="26"/>
      <c r="E158" s="4"/>
      <c r="F158" s="25"/>
      <c r="G158" s="26"/>
      <c r="H158" s="4"/>
      <c r="I158" s="25"/>
      <c r="J158" s="26"/>
      <c r="K158" s="59"/>
      <c r="S158" s="97" t="str">
        <f t="shared" si="34"/>
        <v/>
      </c>
      <c r="U158" s="97" t="str">
        <f t="shared" si="35"/>
        <v/>
      </c>
    </row>
    <row r="159" spans="1:21" x14ac:dyDescent="0.25">
      <c r="A159" s="98"/>
      <c r="B159" s="1"/>
      <c r="C159" s="25"/>
      <c r="D159" s="26"/>
      <c r="E159" s="4"/>
      <c r="F159" s="25"/>
      <c r="G159" s="26"/>
      <c r="H159" s="4"/>
      <c r="I159" s="25"/>
      <c r="J159" s="26"/>
      <c r="K159" s="59"/>
      <c r="S159" s="97" t="str">
        <f t="shared" si="34"/>
        <v/>
      </c>
      <c r="U159" s="97" t="str">
        <f t="shared" si="35"/>
        <v/>
      </c>
    </row>
    <row r="160" spans="1:21" x14ac:dyDescent="0.25">
      <c r="A160" s="98"/>
      <c r="B160" s="1"/>
      <c r="C160" s="25"/>
      <c r="D160" s="26"/>
      <c r="E160" s="4"/>
      <c r="F160" s="25"/>
      <c r="G160" s="26"/>
      <c r="H160" s="4"/>
      <c r="I160" s="25"/>
      <c r="J160" s="26"/>
      <c r="K160" s="59"/>
      <c r="S160" s="97" t="str">
        <f t="shared" si="34"/>
        <v/>
      </c>
      <c r="U160" s="97" t="str">
        <f t="shared" si="35"/>
        <v/>
      </c>
    </row>
    <row r="161" spans="1:21" x14ac:dyDescent="0.25">
      <c r="A161" s="98"/>
      <c r="B161" s="1"/>
      <c r="C161" s="25"/>
      <c r="D161" s="26"/>
      <c r="E161" s="4"/>
      <c r="F161" s="25"/>
      <c r="G161" s="26"/>
      <c r="H161" s="4"/>
      <c r="I161" s="25"/>
      <c r="J161" s="26"/>
      <c r="K161" s="59"/>
      <c r="S161" s="97" t="str">
        <f t="shared" si="34"/>
        <v/>
      </c>
      <c r="U161" s="97" t="str">
        <f t="shared" si="35"/>
        <v/>
      </c>
    </row>
    <row r="162" spans="1:21" x14ac:dyDescent="0.25">
      <c r="A162" s="98"/>
      <c r="B162" s="1"/>
      <c r="C162" s="25"/>
      <c r="D162" s="26"/>
      <c r="E162" s="4"/>
      <c r="F162" s="25"/>
      <c r="G162" s="26"/>
      <c r="H162" s="4"/>
      <c r="I162" s="25"/>
      <c r="J162" s="26"/>
      <c r="K162" s="59"/>
      <c r="S162" s="97" t="str">
        <f t="shared" si="34"/>
        <v/>
      </c>
      <c r="U162" s="97" t="str">
        <f t="shared" si="35"/>
        <v/>
      </c>
    </row>
    <row r="163" spans="1:21" x14ac:dyDescent="0.25">
      <c r="A163" s="98"/>
      <c r="B163" s="1"/>
      <c r="C163" s="25"/>
      <c r="D163" s="26"/>
      <c r="E163" s="4"/>
      <c r="F163" s="25"/>
      <c r="G163" s="26"/>
      <c r="H163" s="4"/>
      <c r="I163" s="25"/>
      <c r="J163" s="26"/>
      <c r="K163" s="59"/>
      <c r="S163" s="97" t="str">
        <f t="shared" si="34"/>
        <v/>
      </c>
      <c r="U163" s="97" t="str">
        <f t="shared" si="35"/>
        <v/>
      </c>
    </row>
    <row r="164" spans="1:21" x14ac:dyDescent="0.25">
      <c r="A164" s="98"/>
      <c r="B164" s="1"/>
      <c r="C164" s="25"/>
      <c r="D164" s="26"/>
      <c r="E164" s="4"/>
      <c r="F164" s="25"/>
      <c r="G164" s="26"/>
      <c r="H164" s="4"/>
      <c r="I164" s="25"/>
      <c r="J164" s="26"/>
      <c r="K164" s="59"/>
      <c r="S164" s="97" t="str">
        <f t="shared" si="34"/>
        <v/>
      </c>
      <c r="U164" s="97" t="str">
        <f t="shared" si="35"/>
        <v/>
      </c>
    </row>
    <row r="165" spans="1:21" x14ac:dyDescent="0.25">
      <c r="A165" s="98"/>
      <c r="B165" s="1"/>
      <c r="C165" s="25"/>
      <c r="D165" s="26"/>
      <c r="E165" s="4"/>
      <c r="F165" s="25"/>
      <c r="G165" s="26"/>
      <c r="H165" s="4"/>
      <c r="I165" s="25"/>
      <c r="J165" s="26"/>
      <c r="K165" s="59"/>
      <c r="S165" s="97" t="str">
        <f t="shared" si="34"/>
        <v/>
      </c>
      <c r="U165" s="97" t="str">
        <f t="shared" si="35"/>
        <v/>
      </c>
    </row>
    <row r="166" spans="1:21" x14ac:dyDescent="0.25">
      <c r="A166" s="98"/>
      <c r="B166" s="1"/>
      <c r="C166" s="25"/>
      <c r="D166" s="26"/>
      <c r="E166" s="4"/>
      <c r="F166" s="25"/>
      <c r="G166" s="26"/>
      <c r="H166" s="4"/>
      <c r="I166" s="25"/>
      <c r="J166" s="26"/>
      <c r="K166" s="59"/>
      <c r="S166" s="97" t="str">
        <f t="shared" si="34"/>
        <v/>
      </c>
      <c r="U166" s="97" t="str">
        <f t="shared" si="35"/>
        <v/>
      </c>
    </row>
    <row r="167" spans="1:21" x14ac:dyDescent="0.25">
      <c r="A167" s="98"/>
      <c r="B167" s="1"/>
      <c r="C167" s="25"/>
      <c r="D167" s="26"/>
      <c r="E167" s="4"/>
      <c r="F167" s="25"/>
      <c r="G167" s="26"/>
      <c r="H167" s="4"/>
      <c r="I167" s="25"/>
      <c r="J167" s="26"/>
      <c r="K167" s="59"/>
      <c r="S167" s="97" t="str">
        <f t="shared" si="34"/>
        <v/>
      </c>
      <c r="U167" s="97" t="str">
        <f t="shared" si="35"/>
        <v/>
      </c>
    </row>
    <row r="168" spans="1:21" x14ac:dyDescent="0.25">
      <c r="A168" s="98"/>
      <c r="B168" s="1"/>
      <c r="C168" s="25"/>
      <c r="D168" s="26"/>
      <c r="E168" s="4"/>
      <c r="F168" s="25"/>
      <c r="G168" s="26"/>
      <c r="H168" s="4"/>
      <c r="I168" s="25"/>
      <c r="J168" s="26"/>
      <c r="K168" s="59"/>
      <c r="S168" s="97" t="str">
        <f t="shared" si="34"/>
        <v/>
      </c>
      <c r="U168" s="97" t="str">
        <f t="shared" si="35"/>
        <v/>
      </c>
    </row>
    <row r="169" spans="1:21" x14ac:dyDescent="0.25">
      <c r="A169" s="98"/>
      <c r="B169" s="1"/>
      <c r="C169" s="25"/>
      <c r="D169" s="26"/>
      <c r="E169" s="4"/>
      <c r="F169" s="25"/>
      <c r="G169" s="26"/>
      <c r="H169" s="4"/>
      <c r="I169" s="25"/>
      <c r="J169" s="26"/>
      <c r="K169" s="59"/>
      <c r="S169" s="97" t="str">
        <f t="shared" si="34"/>
        <v/>
      </c>
      <c r="U169" s="97" t="str">
        <f t="shared" si="35"/>
        <v/>
      </c>
    </row>
    <row r="170" spans="1:21" x14ac:dyDescent="0.25">
      <c r="A170" s="98"/>
      <c r="B170" s="1"/>
      <c r="C170" s="25"/>
      <c r="D170" s="26"/>
      <c r="E170" s="4"/>
      <c r="F170" s="25"/>
      <c r="G170" s="26"/>
      <c r="H170" s="4"/>
      <c r="I170" s="25"/>
      <c r="J170" s="26"/>
      <c r="K170" s="59"/>
      <c r="S170" s="97" t="str">
        <f t="shared" si="34"/>
        <v/>
      </c>
      <c r="U170" s="97" t="str">
        <f t="shared" si="35"/>
        <v/>
      </c>
    </row>
    <row r="171" spans="1:21" x14ac:dyDescent="0.25">
      <c r="A171" s="98"/>
      <c r="B171" s="1"/>
      <c r="C171" s="25"/>
      <c r="D171" s="26"/>
      <c r="E171" s="4"/>
      <c r="F171" s="25"/>
      <c r="G171" s="26"/>
      <c r="H171" s="4"/>
      <c r="I171" s="25"/>
      <c r="J171" s="26"/>
      <c r="K171" s="59"/>
      <c r="S171" s="97" t="str">
        <f t="shared" si="34"/>
        <v/>
      </c>
      <c r="U171" s="97" t="str">
        <f t="shared" si="35"/>
        <v/>
      </c>
    </row>
    <row r="172" spans="1:21" x14ac:dyDescent="0.25">
      <c r="A172" s="98"/>
      <c r="B172" s="1"/>
      <c r="C172" s="25"/>
      <c r="D172" s="26"/>
      <c r="E172" s="4"/>
      <c r="F172" s="25"/>
      <c r="G172" s="26"/>
      <c r="H172" s="4"/>
      <c r="I172" s="25"/>
      <c r="J172" s="26"/>
      <c r="K172" s="59"/>
      <c r="S172" s="97" t="str">
        <f t="shared" si="34"/>
        <v/>
      </c>
      <c r="U172" s="97" t="str">
        <f t="shared" si="35"/>
        <v/>
      </c>
    </row>
    <row r="173" spans="1:21" x14ac:dyDescent="0.25">
      <c r="A173" s="98"/>
      <c r="B173" s="1"/>
      <c r="C173" s="25"/>
      <c r="D173" s="26"/>
      <c r="E173" s="4"/>
      <c r="F173" s="25"/>
      <c r="G173" s="26"/>
      <c r="H173" s="4"/>
      <c r="I173" s="25"/>
      <c r="J173" s="26"/>
      <c r="K173" s="59"/>
      <c r="S173" s="97" t="str">
        <f t="shared" si="34"/>
        <v/>
      </c>
      <c r="U173" s="97" t="str">
        <f t="shared" si="35"/>
        <v/>
      </c>
    </row>
    <row r="174" spans="1:21" x14ac:dyDescent="0.25">
      <c r="A174" s="98"/>
      <c r="B174" s="1"/>
      <c r="C174" s="25"/>
      <c r="D174" s="26"/>
      <c r="E174" s="4"/>
      <c r="F174" s="25"/>
      <c r="G174" s="26"/>
      <c r="H174" s="4"/>
      <c r="I174" s="25"/>
      <c r="J174" s="26"/>
      <c r="K174" s="59"/>
      <c r="S174" s="97" t="str">
        <f t="shared" si="34"/>
        <v/>
      </c>
      <c r="U174" s="97" t="str">
        <f t="shared" si="35"/>
        <v/>
      </c>
    </row>
    <row r="175" spans="1:21" x14ac:dyDescent="0.25">
      <c r="A175" s="98"/>
      <c r="B175" s="1"/>
      <c r="C175" s="25"/>
      <c r="D175" s="26"/>
      <c r="E175" s="4"/>
      <c r="F175" s="25"/>
      <c r="G175" s="26"/>
      <c r="H175" s="4"/>
      <c r="I175" s="25"/>
      <c r="J175" s="26"/>
      <c r="K175" s="59"/>
      <c r="S175" s="97" t="str">
        <f t="shared" si="34"/>
        <v/>
      </c>
      <c r="U175" s="97" t="str">
        <f t="shared" si="35"/>
        <v/>
      </c>
    </row>
    <row r="176" spans="1:21" x14ac:dyDescent="0.25">
      <c r="A176" s="98"/>
      <c r="B176" s="1"/>
      <c r="C176" s="25"/>
      <c r="D176" s="26"/>
      <c r="E176" s="4"/>
      <c r="F176" s="25"/>
      <c r="G176" s="26"/>
      <c r="H176" s="4"/>
      <c r="I176" s="25"/>
      <c r="J176" s="26"/>
      <c r="K176" s="59"/>
      <c r="S176" s="97" t="str">
        <f t="shared" si="34"/>
        <v/>
      </c>
      <c r="U176" s="97" t="str">
        <f t="shared" si="35"/>
        <v/>
      </c>
    </row>
    <row r="177" spans="1:21" x14ac:dyDescent="0.25">
      <c r="A177" s="98"/>
      <c r="B177" s="1"/>
      <c r="C177" s="25"/>
      <c r="D177" s="26"/>
      <c r="E177" s="4"/>
      <c r="F177" s="25"/>
      <c r="G177" s="26"/>
      <c r="H177" s="4"/>
      <c r="I177" s="25"/>
      <c r="J177" s="26"/>
      <c r="K177" s="59"/>
      <c r="S177" s="97" t="str">
        <f t="shared" si="34"/>
        <v/>
      </c>
      <c r="U177" s="97" t="str">
        <f t="shared" si="35"/>
        <v/>
      </c>
    </row>
    <row r="178" spans="1:21" x14ac:dyDescent="0.25">
      <c r="A178" s="98"/>
      <c r="B178" s="1"/>
      <c r="C178" s="25"/>
      <c r="D178" s="26"/>
      <c r="E178" s="4"/>
      <c r="F178" s="25"/>
      <c r="G178" s="26"/>
      <c r="H178" s="4"/>
      <c r="I178" s="25"/>
      <c r="J178" s="26"/>
      <c r="K178" s="59"/>
      <c r="S178" s="97" t="str">
        <f t="shared" si="34"/>
        <v/>
      </c>
      <c r="U178" s="97" t="str">
        <f t="shared" si="35"/>
        <v/>
      </c>
    </row>
    <row r="179" spans="1:21" x14ac:dyDescent="0.25">
      <c r="A179" s="98"/>
      <c r="B179" s="1"/>
      <c r="C179" s="25"/>
      <c r="D179" s="26"/>
      <c r="E179" s="4"/>
      <c r="F179" s="25"/>
      <c r="G179" s="26"/>
      <c r="H179" s="4"/>
      <c r="I179" s="25"/>
      <c r="J179" s="26"/>
      <c r="K179" s="59"/>
      <c r="S179" s="97" t="str">
        <f t="shared" si="34"/>
        <v/>
      </c>
      <c r="U179" s="97" t="str">
        <f t="shared" si="35"/>
        <v/>
      </c>
    </row>
    <row r="180" spans="1:21" x14ac:dyDescent="0.25">
      <c r="A180" s="98"/>
      <c r="B180" s="1"/>
      <c r="C180" s="25"/>
      <c r="D180" s="26"/>
      <c r="E180" s="4"/>
      <c r="F180" s="25"/>
      <c r="G180" s="26"/>
      <c r="H180" s="4"/>
      <c r="I180" s="25"/>
      <c r="J180" s="26"/>
      <c r="K180" s="59"/>
      <c r="S180" s="97" t="str">
        <f t="shared" si="34"/>
        <v/>
      </c>
      <c r="U180" s="97" t="str">
        <f t="shared" si="35"/>
        <v/>
      </c>
    </row>
    <row r="181" spans="1:21" x14ac:dyDescent="0.25">
      <c r="A181" s="98"/>
      <c r="B181" s="1"/>
      <c r="C181" s="25"/>
      <c r="D181" s="26"/>
      <c r="E181" s="4"/>
      <c r="F181" s="25"/>
      <c r="G181" s="26"/>
      <c r="H181" s="4"/>
      <c r="I181" s="25"/>
      <c r="J181" s="26"/>
      <c r="K181" s="59"/>
      <c r="S181" s="97" t="str">
        <f t="shared" si="34"/>
        <v/>
      </c>
      <c r="U181" s="97" t="str">
        <f t="shared" si="35"/>
        <v/>
      </c>
    </row>
    <row r="182" spans="1:21" x14ac:dyDescent="0.25">
      <c r="A182" s="98"/>
      <c r="B182" s="1"/>
      <c r="C182" s="25"/>
      <c r="D182" s="26"/>
      <c r="E182" s="4"/>
      <c r="F182" s="25"/>
      <c r="G182" s="26"/>
      <c r="H182" s="4"/>
      <c r="I182" s="25"/>
      <c r="J182" s="26"/>
      <c r="K182" s="59"/>
      <c r="S182" s="97" t="str">
        <f t="shared" si="34"/>
        <v/>
      </c>
      <c r="U182" s="97" t="str">
        <f t="shared" si="35"/>
        <v/>
      </c>
    </row>
    <row r="183" spans="1:21" x14ac:dyDescent="0.25">
      <c r="A183" s="98"/>
      <c r="B183" s="1"/>
      <c r="C183" s="25"/>
      <c r="D183" s="26"/>
      <c r="E183" s="4"/>
      <c r="F183" s="25"/>
      <c r="G183" s="26"/>
      <c r="H183" s="4"/>
      <c r="I183" s="25"/>
      <c r="J183" s="26"/>
      <c r="K183" s="59"/>
      <c r="S183" s="97" t="str">
        <f t="shared" si="34"/>
        <v/>
      </c>
      <c r="U183" s="97" t="str">
        <f t="shared" si="35"/>
        <v/>
      </c>
    </row>
    <row r="184" spans="1:21" x14ac:dyDescent="0.25">
      <c r="A184" s="98"/>
      <c r="B184" s="1"/>
      <c r="C184" s="25"/>
      <c r="D184" s="26"/>
      <c r="E184" s="4"/>
      <c r="F184" s="25"/>
      <c r="G184" s="26"/>
      <c r="H184" s="4"/>
      <c r="I184" s="25"/>
      <c r="J184" s="26"/>
      <c r="K184" s="59"/>
      <c r="S184" s="97" t="str">
        <f t="shared" si="34"/>
        <v/>
      </c>
      <c r="U184" s="97" t="str">
        <f t="shared" si="35"/>
        <v/>
      </c>
    </row>
    <row r="185" spans="1:21" x14ac:dyDescent="0.25">
      <c r="A185" s="98"/>
      <c r="B185" s="1"/>
      <c r="C185" s="25"/>
      <c r="D185" s="26"/>
      <c r="E185" s="4"/>
      <c r="F185" s="25"/>
      <c r="G185" s="26"/>
      <c r="H185" s="4"/>
      <c r="I185" s="25"/>
      <c r="J185" s="26"/>
      <c r="K185" s="59"/>
      <c r="S185" s="97" t="str">
        <f t="shared" si="34"/>
        <v/>
      </c>
      <c r="U185" s="97" t="str">
        <f t="shared" si="35"/>
        <v/>
      </c>
    </row>
    <row r="186" spans="1:21" x14ac:dyDescent="0.25">
      <c r="A186" s="98"/>
      <c r="B186" s="1"/>
      <c r="C186" s="25"/>
      <c r="D186" s="26"/>
      <c r="E186" s="4"/>
      <c r="F186" s="25"/>
      <c r="G186" s="26"/>
      <c r="H186" s="4"/>
      <c r="I186" s="25"/>
      <c r="J186" s="26"/>
      <c r="K186" s="59"/>
      <c r="S186" s="97" t="str">
        <f t="shared" si="34"/>
        <v/>
      </c>
      <c r="U186" s="97" t="str">
        <f t="shared" si="35"/>
        <v/>
      </c>
    </row>
    <row r="187" spans="1:21" x14ac:dyDescent="0.25">
      <c r="A187" s="98"/>
      <c r="B187" s="1"/>
      <c r="C187" s="25"/>
      <c r="D187" s="26"/>
      <c r="E187" s="4"/>
      <c r="F187" s="25"/>
      <c r="G187" s="26"/>
      <c r="H187" s="4"/>
      <c r="I187" s="25"/>
      <c r="J187" s="26"/>
      <c r="K187" s="59"/>
      <c r="S187" s="97" t="str">
        <f t="shared" si="34"/>
        <v/>
      </c>
      <c r="U187" s="97" t="str">
        <f t="shared" si="35"/>
        <v/>
      </c>
    </row>
    <row r="188" spans="1:21" x14ac:dyDescent="0.25">
      <c r="A188" s="98"/>
      <c r="B188" s="1"/>
      <c r="C188" s="25"/>
      <c r="D188" s="26"/>
      <c r="E188" s="4"/>
      <c r="F188" s="25"/>
      <c r="G188" s="26"/>
      <c r="H188" s="4"/>
      <c r="I188" s="25"/>
      <c r="J188" s="26"/>
      <c r="K188" s="59"/>
      <c r="S188" s="97" t="str">
        <f t="shared" si="34"/>
        <v/>
      </c>
      <c r="U188" s="97" t="str">
        <f t="shared" si="35"/>
        <v/>
      </c>
    </row>
    <row r="189" spans="1:21" x14ac:dyDescent="0.25">
      <c r="A189" s="98"/>
      <c r="B189" s="1"/>
      <c r="C189" s="25"/>
      <c r="D189" s="26"/>
      <c r="E189" s="4"/>
      <c r="F189" s="25"/>
      <c r="G189" s="26"/>
      <c r="H189" s="4"/>
      <c r="I189" s="25"/>
      <c r="J189" s="26"/>
      <c r="K189" s="59"/>
      <c r="S189" s="97" t="str">
        <f t="shared" si="34"/>
        <v/>
      </c>
      <c r="U189" s="97" t="str">
        <f t="shared" si="35"/>
        <v/>
      </c>
    </row>
    <row r="190" spans="1:21" x14ac:dyDescent="0.25">
      <c r="A190" s="98"/>
      <c r="B190" s="1"/>
      <c r="C190" s="25"/>
      <c r="D190" s="26"/>
      <c r="E190" s="4"/>
      <c r="F190" s="25"/>
      <c r="G190" s="26"/>
      <c r="H190" s="4"/>
      <c r="I190" s="25"/>
      <c r="J190" s="26"/>
      <c r="K190" s="59"/>
      <c r="S190" s="97" t="str">
        <f t="shared" si="34"/>
        <v/>
      </c>
      <c r="U190" s="97" t="str">
        <f t="shared" si="35"/>
        <v/>
      </c>
    </row>
    <row r="191" spans="1:21" x14ac:dyDescent="0.25">
      <c r="A191" s="98"/>
      <c r="B191" s="1"/>
      <c r="C191" s="25"/>
      <c r="D191" s="26"/>
      <c r="E191" s="4"/>
      <c r="F191" s="25"/>
      <c r="G191" s="26"/>
      <c r="H191" s="4"/>
      <c r="I191" s="25"/>
      <c r="J191" s="26"/>
      <c r="K191" s="59"/>
      <c r="S191" s="97" t="str">
        <f t="shared" si="34"/>
        <v/>
      </c>
      <c r="U191" s="97" t="str">
        <f t="shared" si="35"/>
        <v/>
      </c>
    </row>
    <row r="192" spans="1:21" x14ac:dyDescent="0.25">
      <c r="A192" s="98"/>
      <c r="B192" s="1"/>
      <c r="C192" s="25"/>
      <c r="D192" s="26"/>
      <c r="E192" s="4"/>
      <c r="F192" s="25"/>
      <c r="G192" s="26"/>
      <c r="H192" s="4"/>
      <c r="I192" s="25"/>
      <c r="J192" s="26"/>
      <c r="K192" s="59"/>
      <c r="S192" s="97" t="str">
        <f t="shared" si="34"/>
        <v/>
      </c>
      <c r="U192" s="97" t="str">
        <f t="shared" si="35"/>
        <v/>
      </c>
    </row>
    <row r="193" spans="1:21" x14ac:dyDescent="0.25">
      <c r="A193" s="98"/>
      <c r="B193" s="1"/>
      <c r="C193" s="25"/>
      <c r="D193" s="26"/>
      <c r="E193" s="4"/>
      <c r="F193" s="25"/>
      <c r="G193" s="26"/>
      <c r="H193" s="4"/>
      <c r="I193" s="25"/>
      <c r="J193" s="26"/>
      <c r="K193" s="59"/>
      <c r="S193" s="97" t="str">
        <f t="shared" si="34"/>
        <v/>
      </c>
      <c r="U193" s="97" t="str">
        <f t="shared" si="35"/>
        <v/>
      </c>
    </row>
    <row r="194" spans="1:21" x14ac:dyDescent="0.25">
      <c r="A194" s="98"/>
      <c r="B194" s="1"/>
      <c r="C194" s="25"/>
      <c r="D194" s="26"/>
      <c r="E194" s="4"/>
      <c r="F194" s="25"/>
      <c r="G194" s="26"/>
      <c r="H194" s="4"/>
      <c r="I194" s="25"/>
      <c r="J194" s="26"/>
      <c r="K194" s="59"/>
      <c r="S194" s="97" t="str">
        <f t="shared" si="34"/>
        <v/>
      </c>
      <c r="U194" s="97" t="str">
        <f t="shared" si="35"/>
        <v/>
      </c>
    </row>
    <row r="195" spans="1:21" x14ac:dyDescent="0.25">
      <c r="A195" s="98"/>
      <c r="B195" s="1"/>
      <c r="C195" s="25"/>
      <c r="D195" s="26"/>
      <c r="E195" s="4"/>
      <c r="F195" s="25"/>
      <c r="G195" s="26"/>
      <c r="H195" s="4"/>
      <c r="I195" s="25"/>
      <c r="J195" s="26"/>
      <c r="K195" s="59"/>
      <c r="S195" s="97" t="str">
        <f t="shared" si="34"/>
        <v/>
      </c>
      <c r="U195" s="97" t="str">
        <f t="shared" si="35"/>
        <v/>
      </c>
    </row>
    <row r="196" spans="1:21" x14ac:dyDescent="0.25">
      <c r="A196" s="98"/>
      <c r="B196" s="1"/>
      <c r="C196" s="25"/>
      <c r="D196" s="26"/>
      <c r="E196" s="4"/>
      <c r="F196" s="25"/>
      <c r="G196" s="26"/>
      <c r="H196" s="4"/>
      <c r="I196" s="25"/>
      <c r="J196" s="26"/>
      <c r="K196" s="59"/>
      <c r="S196" s="97" t="str">
        <f t="shared" ref="S196:S259" si="36">IF(COUNTIF(O:O,M196)*COUNTIF(Q:Q,M196),M196,"")</f>
        <v/>
      </c>
      <c r="U196" s="97" t="str">
        <f t="shared" ref="U196:U259" si="37">IF(T196&gt;$A$14,T196,"")</f>
        <v/>
      </c>
    </row>
    <row r="197" spans="1:21" x14ac:dyDescent="0.25">
      <c r="A197" s="98"/>
      <c r="B197" s="1"/>
      <c r="C197" s="25"/>
      <c r="D197" s="26"/>
      <c r="E197" s="4"/>
      <c r="F197" s="25"/>
      <c r="G197" s="26"/>
      <c r="H197" s="4"/>
      <c r="I197" s="25"/>
      <c r="J197" s="26"/>
      <c r="K197" s="59"/>
      <c r="S197" s="97" t="str">
        <f t="shared" si="36"/>
        <v/>
      </c>
      <c r="U197" s="97" t="str">
        <f t="shared" si="37"/>
        <v/>
      </c>
    </row>
    <row r="198" spans="1:21" x14ac:dyDescent="0.25">
      <c r="A198" s="98"/>
      <c r="B198" s="1"/>
      <c r="C198" s="25"/>
      <c r="D198" s="26"/>
      <c r="E198" s="4"/>
      <c r="F198" s="25"/>
      <c r="G198" s="26"/>
      <c r="H198" s="4"/>
      <c r="I198" s="25"/>
      <c r="J198" s="26"/>
      <c r="K198" s="59"/>
      <c r="S198" s="97" t="str">
        <f t="shared" si="36"/>
        <v/>
      </c>
      <c r="U198" s="97" t="str">
        <f t="shared" si="37"/>
        <v/>
      </c>
    </row>
    <row r="199" spans="1:21" x14ac:dyDescent="0.25">
      <c r="A199" s="98"/>
      <c r="B199" s="1"/>
      <c r="C199" s="25"/>
      <c r="D199" s="26"/>
      <c r="E199" s="4"/>
      <c r="F199" s="25"/>
      <c r="G199" s="26"/>
      <c r="H199" s="4"/>
      <c r="I199" s="25"/>
      <c r="J199" s="26"/>
      <c r="K199" s="59"/>
      <c r="S199" s="97" t="str">
        <f t="shared" si="36"/>
        <v/>
      </c>
      <c r="U199" s="97" t="str">
        <f t="shared" si="37"/>
        <v/>
      </c>
    </row>
    <row r="200" spans="1:21" x14ac:dyDescent="0.25">
      <c r="A200" s="98"/>
      <c r="B200" s="1"/>
      <c r="C200" s="25"/>
      <c r="D200" s="26"/>
      <c r="E200" s="4"/>
      <c r="F200" s="25"/>
      <c r="G200" s="26"/>
      <c r="H200" s="4"/>
      <c r="I200" s="25"/>
      <c r="J200" s="26"/>
      <c r="K200" s="59"/>
      <c r="S200" s="97" t="str">
        <f t="shared" si="36"/>
        <v/>
      </c>
      <c r="U200" s="97" t="str">
        <f t="shared" si="37"/>
        <v/>
      </c>
    </row>
    <row r="201" spans="1:21" x14ac:dyDescent="0.25">
      <c r="A201" s="98"/>
      <c r="B201" s="1"/>
      <c r="C201" s="25"/>
      <c r="D201" s="26"/>
      <c r="E201" s="4"/>
      <c r="F201" s="25"/>
      <c r="G201" s="26"/>
      <c r="H201" s="4"/>
      <c r="I201" s="25"/>
      <c r="J201" s="26"/>
      <c r="K201" s="59"/>
      <c r="S201" s="97" t="str">
        <f t="shared" si="36"/>
        <v/>
      </c>
      <c r="U201" s="97" t="str">
        <f t="shared" si="37"/>
        <v/>
      </c>
    </row>
    <row r="202" spans="1:21" x14ac:dyDescent="0.25">
      <c r="A202" s="98"/>
      <c r="B202" s="1"/>
      <c r="C202" s="25"/>
      <c r="D202" s="26"/>
      <c r="E202" s="4"/>
      <c r="F202" s="25"/>
      <c r="G202" s="26"/>
      <c r="H202" s="4"/>
      <c r="I202" s="25"/>
      <c r="J202" s="26"/>
      <c r="K202" s="59"/>
      <c r="S202" s="97" t="str">
        <f t="shared" si="36"/>
        <v/>
      </c>
      <c r="U202" s="97" t="str">
        <f t="shared" si="37"/>
        <v/>
      </c>
    </row>
    <row r="203" spans="1:21" x14ac:dyDescent="0.25">
      <c r="A203" s="98"/>
      <c r="B203" s="1"/>
      <c r="C203" s="25"/>
      <c r="D203" s="26"/>
      <c r="E203" s="4"/>
      <c r="F203" s="25"/>
      <c r="G203" s="26"/>
      <c r="H203" s="4"/>
      <c r="I203" s="25"/>
      <c r="J203" s="26"/>
      <c r="K203" s="59"/>
      <c r="S203" s="97" t="str">
        <f t="shared" si="36"/>
        <v/>
      </c>
      <c r="U203" s="97" t="str">
        <f t="shared" si="37"/>
        <v/>
      </c>
    </row>
    <row r="204" spans="1:21" x14ac:dyDescent="0.25">
      <c r="A204" s="98"/>
      <c r="B204" s="1"/>
      <c r="C204" s="25"/>
      <c r="D204" s="26"/>
      <c r="E204" s="4"/>
      <c r="F204" s="25"/>
      <c r="G204" s="26"/>
      <c r="H204" s="4"/>
      <c r="I204" s="25"/>
      <c r="J204" s="26"/>
      <c r="K204" s="59"/>
      <c r="S204" s="97" t="str">
        <f t="shared" si="36"/>
        <v/>
      </c>
      <c r="U204" s="97" t="str">
        <f t="shared" si="37"/>
        <v/>
      </c>
    </row>
    <row r="205" spans="1:21" x14ac:dyDescent="0.25">
      <c r="A205" s="98"/>
      <c r="B205" s="1"/>
      <c r="C205" s="25"/>
      <c r="D205" s="26"/>
      <c r="E205" s="4"/>
      <c r="F205" s="25"/>
      <c r="G205" s="26"/>
      <c r="H205" s="4"/>
      <c r="I205" s="25"/>
      <c r="J205" s="26"/>
      <c r="K205" s="59"/>
      <c r="S205" s="97" t="str">
        <f t="shared" si="36"/>
        <v/>
      </c>
      <c r="U205" s="97" t="str">
        <f t="shared" si="37"/>
        <v/>
      </c>
    </row>
    <row r="206" spans="1:21" x14ac:dyDescent="0.25">
      <c r="A206" s="98"/>
      <c r="B206" s="1"/>
      <c r="C206" s="25"/>
      <c r="D206" s="26"/>
      <c r="E206" s="4"/>
      <c r="F206" s="25"/>
      <c r="G206" s="26"/>
      <c r="H206" s="4"/>
      <c r="I206" s="25"/>
      <c r="J206" s="26"/>
      <c r="K206" s="59"/>
      <c r="S206" s="97" t="str">
        <f t="shared" si="36"/>
        <v/>
      </c>
      <c r="U206" s="97" t="str">
        <f t="shared" si="37"/>
        <v/>
      </c>
    </row>
    <row r="207" spans="1:21" x14ac:dyDescent="0.25">
      <c r="A207" s="98"/>
      <c r="B207" s="1"/>
      <c r="C207" s="25"/>
      <c r="D207" s="26"/>
      <c r="E207" s="4"/>
      <c r="F207" s="25"/>
      <c r="G207" s="26"/>
      <c r="H207" s="4"/>
      <c r="I207" s="25"/>
      <c r="J207" s="26"/>
      <c r="K207" s="59"/>
      <c r="S207" s="97" t="str">
        <f t="shared" si="36"/>
        <v/>
      </c>
      <c r="U207" s="97" t="str">
        <f t="shared" si="37"/>
        <v/>
      </c>
    </row>
    <row r="208" spans="1:21" x14ac:dyDescent="0.25">
      <c r="A208" s="98"/>
      <c r="B208" s="1"/>
      <c r="C208" s="25"/>
      <c r="D208" s="26"/>
      <c r="E208" s="4"/>
      <c r="F208" s="25"/>
      <c r="G208" s="26"/>
      <c r="H208" s="4"/>
      <c r="I208" s="25"/>
      <c r="J208" s="26"/>
      <c r="K208" s="59"/>
      <c r="S208" s="97" t="str">
        <f t="shared" si="36"/>
        <v/>
      </c>
      <c r="U208" s="97" t="str">
        <f t="shared" si="37"/>
        <v/>
      </c>
    </row>
    <row r="209" spans="1:21" x14ac:dyDescent="0.25">
      <c r="A209" s="98"/>
      <c r="B209" s="1"/>
      <c r="C209" s="25"/>
      <c r="D209" s="26"/>
      <c r="E209" s="4"/>
      <c r="F209" s="25"/>
      <c r="G209" s="26"/>
      <c r="H209" s="4"/>
      <c r="I209" s="25"/>
      <c r="J209" s="26"/>
      <c r="K209" s="59"/>
      <c r="S209" s="97" t="str">
        <f t="shared" si="36"/>
        <v/>
      </c>
      <c r="U209" s="97" t="str">
        <f t="shared" si="37"/>
        <v/>
      </c>
    </row>
    <row r="210" spans="1:21" x14ac:dyDescent="0.25">
      <c r="A210" s="98"/>
      <c r="B210" s="1"/>
      <c r="C210" s="25"/>
      <c r="D210" s="26"/>
      <c r="E210" s="4"/>
      <c r="F210" s="25"/>
      <c r="G210" s="26"/>
      <c r="H210" s="4"/>
      <c r="I210" s="25"/>
      <c r="J210" s="26"/>
      <c r="K210" s="59"/>
      <c r="S210" s="97" t="str">
        <f t="shared" si="36"/>
        <v/>
      </c>
      <c r="U210" s="97" t="str">
        <f t="shared" si="37"/>
        <v/>
      </c>
    </row>
    <row r="211" spans="1:21" x14ac:dyDescent="0.25">
      <c r="A211" s="98"/>
      <c r="B211" s="1"/>
      <c r="C211" s="25"/>
      <c r="D211" s="26"/>
      <c r="E211" s="4"/>
      <c r="F211" s="25"/>
      <c r="G211" s="26"/>
      <c r="H211" s="4"/>
      <c r="I211" s="25"/>
      <c r="J211" s="26"/>
      <c r="K211" s="59"/>
      <c r="S211" s="97" t="str">
        <f t="shared" si="36"/>
        <v/>
      </c>
      <c r="U211" s="97" t="str">
        <f t="shared" si="37"/>
        <v/>
      </c>
    </row>
    <row r="212" spans="1:21" x14ac:dyDescent="0.25">
      <c r="A212" s="98"/>
      <c r="B212" s="1"/>
      <c r="C212" s="25"/>
      <c r="D212" s="26"/>
      <c r="E212" s="4"/>
      <c r="F212" s="25"/>
      <c r="G212" s="26"/>
      <c r="H212" s="4"/>
      <c r="I212" s="25"/>
      <c r="J212" s="26"/>
      <c r="K212" s="59"/>
      <c r="S212" s="97" t="str">
        <f t="shared" si="36"/>
        <v/>
      </c>
      <c r="U212" s="97" t="str">
        <f t="shared" si="37"/>
        <v/>
      </c>
    </row>
    <row r="213" spans="1:21" x14ac:dyDescent="0.25">
      <c r="A213" s="98"/>
      <c r="B213" s="1"/>
      <c r="C213" s="25"/>
      <c r="D213" s="26"/>
      <c r="E213" s="4"/>
      <c r="F213" s="25"/>
      <c r="G213" s="26"/>
      <c r="H213" s="4"/>
      <c r="I213" s="25"/>
      <c r="J213" s="26"/>
      <c r="K213" s="59"/>
      <c r="S213" s="97" t="str">
        <f t="shared" si="36"/>
        <v/>
      </c>
      <c r="U213" s="97" t="str">
        <f t="shared" si="37"/>
        <v/>
      </c>
    </row>
    <row r="214" spans="1:21" x14ac:dyDescent="0.25">
      <c r="A214" s="98"/>
      <c r="B214" s="1"/>
      <c r="C214" s="25"/>
      <c r="D214" s="26"/>
      <c r="E214" s="4"/>
      <c r="F214" s="25"/>
      <c r="G214" s="26"/>
      <c r="H214" s="4"/>
      <c r="I214" s="25"/>
      <c r="J214" s="26"/>
      <c r="K214" s="59"/>
      <c r="S214" s="97" t="str">
        <f t="shared" si="36"/>
        <v/>
      </c>
      <c r="U214" s="97" t="str">
        <f t="shared" si="37"/>
        <v/>
      </c>
    </row>
    <row r="215" spans="1:21" x14ac:dyDescent="0.25">
      <c r="A215" s="98"/>
      <c r="B215" s="1"/>
      <c r="C215" s="25"/>
      <c r="D215" s="26"/>
      <c r="E215" s="4"/>
      <c r="F215" s="25"/>
      <c r="G215" s="26"/>
      <c r="H215" s="4"/>
      <c r="I215" s="25"/>
      <c r="J215" s="26"/>
      <c r="K215" s="59"/>
      <c r="S215" s="97" t="str">
        <f t="shared" si="36"/>
        <v/>
      </c>
      <c r="U215" s="97" t="str">
        <f t="shared" si="37"/>
        <v/>
      </c>
    </row>
    <row r="216" spans="1:21" x14ac:dyDescent="0.25">
      <c r="A216" s="98"/>
      <c r="B216" s="1"/>
      <c r="C216" s="25"/>
      <c r="D216" s="26"/>
      <c r="E216" s="4"/>
      <c r="F216" s="25"/>
      <c r="G216" s="26"/>
      <c r="H216" s="4"/>
      <c r="I216" s="25"/>
      <c r="J216" s="26"/>
      <c r="K216" s="59"/>
      <c r="S216" s="97" t="str">
        <f t="shared" si="36"/>
        <v/>
      </c>
      <c r="U216" s="97" t="str">
        <f t="shared" si="37"/>
        <v/>
      </c>
    </row>
    <row r="217" spans="1:21" x14ac:dyDescent="0.25">
      <c r="A217" s="98"/>
      <c r="B217" s="1"/>
      <c r="C217" s="25"/>
      <c r="D217" s="26"/>
      <c r="E217" s="4"/>
      <c r="F217" s="25"/>
      <c r="G217" s="26"/>
      <c r="H217" s="4"/>
      <c r="I217" s="25"/>
      <c r="J217" s="26"/>
      <c r="K217" s="59"/>
      <c r="S217" s="97" t="str">
        <f t="shared" si="36"/>
        <v/>
      </c>
      <c r="U217" s="97" t="str">
        <f t="shared" si="37"/>
        <v/>
      </c>
    </row>
    <row r="218" spans="1:21" x14ac:dyDescent="0.25">
      <c r="A218" s="98"/>
      <c r="B218" s="1"/>
      <c r="C218" s="25"/>
      <c r="D218" s="26"/>
      <c r="E218" s="4"/>
      <c r="F218" s="25"/>
      <c r="G218" s="26"/>
      <c r="H218" s="4"/>
      <c r="I218" s="25"/>
      <c r="J218" s="26"/>
      <c r="K218" s="59"/>
      <c r="S218" s="97" t="str">
        <f t="shared" si="36"/>
        <v/>
      </c>
      <c r="U218" s="97" t="str">
        <f t="shared" si="37"/>
        <v/>
      </c>
    </row>
    <row r="219" spans="1:21" x14ac:dyDescent="0.25">
      <c r="A219" s="98"/>
      <c r="B219" s="1"/>
      <c r="C219" s="25"/>
      <c r="D219" s="26"/>
      <c r="E219" s="4"/>
      <c r="F219" s="25"/>
      <c r="G219" s="26"/>
      <c r="H219" s="4"/>
      <c r="I219" s="25"/>
      <c r="J219" s="26"/>
      <c r="K219" s="59"/>
      <c r="S219" s="97" t="str">
        <f t="shared" si="36"/>
        <v/>
      </c>
      <c r="U219" s="97" t="str">
        <f t="shared" si="37"/>
        <v/>
      </c>
    </row>
    <row r="220" spans="1:21" x14ac:dyDescent="0.25">
      <c r="A220" s="98"/>
      <c r="B220" s="1"/>
      <c r="C220" s="25"/>
      <c r="D220" s="26"/>
      <c r="E220" s="4"/>
      <c r="F220" s="25"/>
      <c r="G220" s="26"/>
      <c r="H220" s="4"/>
      <c r="I220" s="25"/>
      <c r="J220" s="26"/>
      <c r="K220" s="59"/>
      <c r="S220" s="97" t="str">
        <f t="shared" si="36"/>
        <v/>
      </c>
      <c r="U220" s="97" t="str">
        <f t="shared" si="37"/>
        <v/>
      </c>
    </row>
    <row r="221" spans="1:21" x14ac:dyDescent="0.25">
      <c r="A221" s="98"/>
      <c r="B221" s="1"/>
      <c r="C221" s="25"/>
      <c r="D221" s="26"/>
      <c r="E221" s="4"/>
      <c r="F221" s="25"/>
      <c r="G221" s="26"/>
      <c r="H221" s="4"/>
      <c r="I221" s="25"/>
      <c r="J221" s="26"/>
      <c r="K221" s="59"/>
      <c r="S221" s="97" t="str">
        <f t="shared" si="36"/>
        <v/>
      </c>
      <c r="U221" s="97" t="str">
        <f t="shared" si="37"/>
        <v/>
      </c>
    </row>
    <row r="222" spans="1:21" x14ac:dyDescent="0.25">
      <c r="A222" s="98"/>
      <c r="B222" s="1"/>
      <c r="C222" s="25"/>
      <c r="D222" s="26"/>
      <c r="E222" s="4"/>
      <c r="F222" s="25"/>
      <c r="G222" s="26"/>
      <c r="H222" s="4"/>
      <c r="I222" s="25"/>
      <c r="J222" s="26"/>
      <c r="K222" s="59"/>
      <c r="S222" s="97" t="str">
        <f t="shared" si="36"/>
        <v/>
      </c>
      <c r="U222" s="97" t="str">
        <f t="shared" si="37"/>
        <v/>
      </c>
    </row>
    <row r="223" spans="1:21" x14ac:dyDescent="0.25">
      <c r="A223" s="98"/>
      <c r="B223" s="1"/>
      <c r="C223" s="25"/>
      <c r="D223" s="26"/>
      <c r="E223" s="4"/>
      <c r="F223" s="25"/>
      <c r="G223" s="26"/>
      <c r="H223" s="4"/>
      <c r="I223" s="25"/>
      <c r="J223" s="26"/>
      <c r="K223" s="59"/>
      <c r="S223" s="97" t="str">
        <f t="shared" si="36"/>
        <v/>
      </c>
      <c r="U223" s="97" t="str">
        <f t="shared" si="37"/>
        <v/>
      </c>
    </row>
    <row r="224" spans="1:21" x14ac:dyDescent="0.25">
      <c r="A224" s="98"/>
      <c r="B224" s="1"/>
      <c r="C224" s="25"/>
      <c r="D224" s="26"/>
      <c r="E224" s="4"/>
      <c r="F224" s="25"/>
      <c r="G224" s="26"/>
      <c r="H224" s="4"/>
      <c r="I224" s="25"/>
      <c r="J224" s="26"/>
      <c r="K224" s="59"/>
      <c r="S224" s="97" t="str">
        <f t="shared" si="36"/>
        <v/>
      </c>
      <c r="U224" s="97" t="str">
        <f t="shared" si="37"/>
        <v/>
      </c>
    </row>
    <row r="225" spans="1:21" x14ac:dyDescent="0.25">
      <c r="A225" s="98"/>
      <c r="B225" s="1"/>
      <c r="C225" s="25"/>
      <c r="D225" s="26"/>
      <c r="E225" s="4"/>
      <c r="F225" s="25"/>
      <c r="G225" s="26"/>
      <c r="H225" s="4"/>
      <c r="I225" s="25"/>
      <c r="J225" s="26"/>
      <c r="K225" s="59"/>
      <c r="S225" s="97" t="str">
        <f t="shared" si="36"/>
        <v/>
      </c>
      <c r="U225" s="97" t="str">
        <f t="shared" si="37"/>
        <v/>
      </c>
    </row>
    <row r="226" spans="1:21" x14ac:dyDescent="0.25">
      <c r="A226" s="98"/>
      <c r="B226" s="1"/>
      <c r="C226" s="25"/>
      <c r="D226" s="26"/>
      <c r="E226" s="4"/>
      <c r="F226" s="25"/>
      <c r="G226" s="26"/>
      <c r="H226" s="4"/>
      <c r="I226" s="25"/>
      <c r="J226" s="26"/>
      <c r="K226" s="59"/>
      <c r="S226" s="97" t="str">
        <f t="shared" si="36"/>
        <v/>
      </c>
      <c r="U226" s="97" t="str">
        <f t="shared" si="37"/>
        <v/>
      </c>
    </row>
    <row r="227" spans="1:21" x14ac:dyDescent="0.25">
      <c r="A227" s="98"/>
      <c r="B227" s="1"/>
      <c r="C227" s="25"/>
      <c r="D227" s="26"/>
      <c r="E227" s="4"/>
      <c r="F227" s="25"/>
      <c r="G227" s="26"/>
      <c r="H227" s="4"/>
      <c r="I227" s="25"/>
      <c r="J227" s="26"/>
      <c r="K227" s="59"/>
      <c r="S227" s="97" t="str">
        <f t="shared" si="36"/>
        <v/>
      </c>
      <c r="U227" s="97" t="str">
        <f t="shared" si="37"/>
        <v/>
      </c>
    </row>
    <row r="228" spans="1:21" x14ac:dyDescent="0.25">
      <c r="A228" s="98"/>
      <c r="B228" s="1"/>
      <c r="C228" s="25"/>
      <c r="D228" s="26"/>
      <c r="E228" s="4"/>
      <c r="F228" s="25"/>
      <c r="G228" s="26"/>
      <c r="H228" s="4"/>
      <c r="I228" s="25"/>
      <c r="J228" s="26"/>
      <c r="K228" s="59"/>
      <c r="S228" s="97" t="str">
        <f t="shared" si="36"/>
        <v/>
      </c>
      <c r="U228" s="97" t="str">
        <f t="shared" si="37"/>
        <v/>
      </c>
    </row>
    <row r="229" spans="1:21" x14ac:dyDescent="0.25">
      <c r="A229" s="98"/>
      <c r="B229" s="1"/>
      <c r="C229" s="25"/>
      <c r="D229" s="26"/>
      <c r="E229" s="4"/>
      <c r="F229" s="25"/>
      <c r="G229" s="26"/>
      <c r="H229" s="4"/>
      <c r="I229" s="25"/>
      <c r="J229" s="26"/>
      <c r="K229" s="59"/>
      <c r="S229" s="97" t="str">
        <f t="shared" si="36"/>
        <v/>
      </c>
      <c r="U229" s="97" t="str">
        <f t="shared" si="37"/>
        <v/>
      </c>
    </row>
    <row r="230" spans="1:21" x14ac:dyDescent="0.25">
      <c r="A230" s="98"/>
      <c r="B230" s="1"/>
      <c r="C230" s="25"/>
      <c r="D230" s="26"/>
      <c r="E230" s="4"/>
      <c r="F230" s="25"/>
      <c r="G230" s="26"/>
      <c r="H230" s="4"/>
      <c r="I230" s="25"/>
      <c r="J230" s="26"/>
      <c r="K230" s="59"/>
      <c r="S230" s="97" t="str">
        <f t="shared" si="36"/>
        <v/>
      </c>
      <c r="U230" s="97" t="str">
        <f t="shared" si="37"/>
        <v/>
      </c>
    </row>
    <row r="231" spans="1:21" x14ac:dyDescent="0.25">
      <c r="A231" s="98"/>
      <c r="B231" s="1"/>
      <c r="C231" s="25"/>
      <c r="D231" s="26"/>
      <c r="E231" s="4"/>
      <c r="F231" s="25"/>
      <c r="G231" s="26"/>
      <c r="H231" s="4"/>
      <c r="I231" s="25"/>
      <c r="J231" s="26"/>
      <c r="K231" s="59"/>
      <c r="S231" s="97" t="str">
        <f t="shared" si="36"/>
        <v/>
      </c>
      <c r="U231" s="97" t="str">
        <f t="shared" si="37"/>
        <v/>
      </c>
    </row>
    <row r="232" spans="1:21" x14ac:dyDescent="0.25">
      <c r="A232" s="98"/>
      <c r="B232" s="1"/>
      <c r="C232" s="25"/>
      <c r="D232" s="26"/>
      <c r="E232" s="4"/>
      <c r="F232" s="25"/>
      <c r="G232" s="26"/>
      <c r="H232" s="4"/>
      <c r="I232" s="25"/>
      <c r="J232" s="26"/>
      <c r="K232" s="59"/>
      <c r="S232" s="97" t="str">
        <f t="shared" si="36"/>
        <v/>
      </c>
      <c r="U232" s="97" t="str">
        <f t="shared" si="37"/>
        <v/>
      </c>
    </row>
    <row r="233" spans="1:21" x14ac:dyDescent="0.25">
      <c r="A233" s="98"/>
      <c r="B233" s="1"/>
      <c r="C233" s="25"/>
      <c r="D233" s="26"/>
      <c r="E233" s="4"/>
      <c r="F233" s="25"/>
      <c r="G233" s="26"/>
      <c r="H233" s="4"/>
      <c r="I233" s="25"/>
      <c r="J233" s="26"/>
      <c r="K233" s="59"/>
      <c r="S233" s="97" t="str">
        <f t="shared" si="36"/>
        <v/>
      </c>
      <c r="U233" s="97" t="str">
        <f t="shared" si="37"/>
        <v/>
      </c>
    </row>
    <row r="234" spans="1:21" x14ac:dyDescent="0.25">
      <c r="A234" s="98"/>
      <c r="B234" s="1"/>
      <c r="C234" s="25"/>
      <c r="D234" s="26"/>
      <c r="E234" s="4"/>
      <c r="F234" s="25"/>
      <c r="G234" s="26"/>
      <c r="H234" s="4"/>
      <c r="I234" s="25"/>
      <c r="J234" s="26"/>
      <c r="K234" s="59"/>
      <c r="S234" s="97" t="str">
        <f t="shared" si="36"/>
        <v/>
      </c>
      <c r="U234" s="97" t="str">
        <f t="shared" si="37"/>
        <v/>
      </c>
    </row>
    <row r="235" spans="1:21" x14ac:dyDescent="0.25">
      <c r="A235" s="98"/>
      <c r="B235" s="1"/>
      <c r="C235" s="25"/>
      <c r="D235" s="26"/>
      <c r="E235" s="4"/>
      <c r="F235" s="25"/>
      <c r="G235" s="26"/>
      <c r="H235" s="4"/>
      <c r="I235" s="25"/>
      <c r="J235" s="26"/>
      <c r="K235" s="59"/>
      <c r="S235" s="97" t="str">
        <f t="shared" si="36"/>
        <v/>
      </c>
      <c r="U235" s="97" t="str">
        <f t="shared" si="37"/>
        <v/>
      </c>
    </row>
    <row r="236" spans="1:21" x14ac:dyDescent="0.25">
      <c r="A236" s="98"/>
      <c r="B236" s="1"/>
      <c r="C236" s="25"/>
      <c r="D236" s="26"/>
      <c r="E236" s="4"/>
      <c r="F236" s="25"/>
      <c r="G236" s="26"/>
      <c r="H236" s="4"/>
      <c r="I236" s="25"/>
      <c r="J236" s="26"/>
      <c r="K236" s="59"/>
      <c r="S236" s="97" t="str">
        <f t="shared" si="36"/>
        <v/>
      </c>
      <c r="U236" s="97" t="str">
        <f t="shared" si="37"/>
        <v/>
      </c>
    </row>
    <row r="237" spans="1:21" x14ac:dyDescent="0.25">
      <c r="A237" s="98"/>
      <c r="B237" s="1"/>
      <c r="C237" s="25"/>
      <c r="D237" s="26"/>
      <c r="E237" s="4"/>
      <c r="F237" s="25"/>
      <c r="G237" s="26"/>
      <c r="H237" s="4"/>
      <c r="I237" s="25"/>
      <c r="J237" s="26"/>
      <c r="K237" s="59"/>
      <c r="S237" s="97" t="str">
        <f t="shared" si="36"/>
        <v/>
      </c>
      <c r="U237" s="97" t="str">
        <f t="shared" si="37"/>
        <v/>
      </c>
    </row>
    <row r="238" spans="1:21" x14ac:dyDescent="0.25">
      <c r="A238" s="98"/>
      <c r="B238" s="1"/>
      <c r="C238" s="25"/>
      <c r="D238" s="26"/>
      <c r="E238" s="4"/>
      <c r="F238" s="25"/>
      <c r="G238" s="26"/>
      <c r="H238" s="4"/>
      <c r="I238" s="25"/>
      <c r="J238" s="26"/>
      <c r="K238" s="59"/>
      <c r="S238" s="97" t="str">
        <f t="shared" si="36"/>
        <v/>
      </c>
      <c r="U238" s="97" t="str">
        <f t="shared" si="37"/>
        <v/>
      </c>
    </row>
    <row r="239" spans="1:21" x14ac:dyDescent="0.25">
      <c r="A239" s="98"/>
      <c r="B239" s="1"/>
      <c r="C239" s="25"/>
      <c r="D239" s="26"/>
      <c r="E239" s="4"/>
      <c r="F239" s="25"/>
      <c r="G239" s="26"/>
      <c r="H239" s="4"/>
      <c r="I239" s="25"/>
      <c r="J239" s="26"/>
      <c r="K239" s="59"/>
      <c r="S239" s="97" t="str">
        <f t="shared" si="36"/>
        <v/>
      </c>
      <c r="U239" s="97" t="str">
        <f t="shared" si="37"/>
        <v/>
      </c>
    </row>
    <row r="240" spans="1:21" x14ac:dyDescent="0.25">
      <c r="A240" s="98"/>
      <c r="B240" s="1"/>
      <c r="C240" s="25"/>
      <c r="D240" s="26"/>
      <c r="E240" s="4"/>
      <c r="F240" s="25"/>
      <c r="G240" s="26"/>
      <c r="H240" s="4"/>
      <c r="I240" s="25"/>
      <c r="J240" s="26"/>
      <c r="K240" s="59"/>
      <c r="S240" s="97" t="str">
        <f t="shared" si="36"/>
        <v/>
      </c>
      <c r="U240" s="97" t="str">
        <f t="shared" si="37"/>
        <v/>
      </c>
    </row>
    <row r="241" spans="1:21" x14ac:dyDescent="0.25">
      <c r="A241" s="98"/>
      <c r="B241" s="1"/>
      <c r="C241" s="25"/>
      <c r="D241" s="26"/>
      <c r="E241" s="4"/>
      <c r="F241" s="25"/>
      <c r="G241" s="26"/>
      <c r="H241" s="4"/>
      <c r="I241" s="25"/>
      <c r="J241" s="26"/>
      <c r="K241" s="59"/>
      <c r="S241" s="97" t="str">
        <f t="shared" si="36"/>
        <v/>
      </c>
      <c r="U241" s="97" t="str">
        <f t="shared" si="37"/>
        <v/>
      </c>
    </row>
    <row r="242" spans="1:21" x14ac:dyDescent="0.25">
      <c r="A242" s="98"/>
      <c r="B242" s="1"/>
      <c r="C242" s="25"/>
      <c r="D242" s="26"/>
      <c r="E242" s="4"/>
      <c r="F242" s="25"/>
      <c r="G242" s="26"/>
      <c r="H242" s="4"/>
      <c r="I242" s="25"/>
      <c r="J242" s="26"/>
      <c r="K242" s="59"/>
      <c r="S242" s="97" t="str">
        <f t="shared" si="36"/>
        <v/>
      </c>
      <c r="U242" s="97" t="str">
        <f t="shared" si="37"/>
        <v/>
      </c>
    </row>
    <row r="243" spans="1:21" x14ac:dyDescent="0.25">
      <c r="A243" s="98"/>
      <c r="B243" s="1"/>
      <c r="C243" s="25"/>
      <c r="D243" s="26"/>
      <c r="E243" s="4"/>
      <c r="F243" s="25"/>
      <c r="G243" s="26"/>
      <c r="H243" s="4"/>
      <c r="I243" s="25"/>
      <c r="J243" s="26"/>
      <c r="K243" s="59"/>
      <c r="S243" s="97" t="str">
        <f t="shared" si="36"/>
        <v/>
      </c>
      <c r="U243" s="97" t="str">
        <f t="shared" si="37"/>
        <v/>
      </c>
    </row>
    <row r="244" spans="1:21" x14ac:dyDescent="0.25">
      <c r="A244" s="98"/>
      <c r="B244" s="1"/>
      <c r="C244" s="25"/>
      <c r="D244" s="26"/>
      <c r="E244" s="4"/>
      <c r="F244" s="25"/>
      <c r="G244" s="26"/>
      <c r="H244" s="4"/>
      <c r="I244" s="25"/>
      <c r="J244" s="26"/>
      <c r="K244" s="59"/>
      <c r="S244" s="97" t="str">
        <f t="shared" si="36"/>
        <v/>
      </c>
      <c r="U244" s="97" t="str">
        <f t="shared" si="37"/>
        <v/>
      </c>
    </row>
    <row r="245" spans="1:21" x14ac:dyDescent="0.25">
      <c r="A245" s="98"/>
      <c r="B245" s="1"/>
      <c r="C245" s="25"/>
      <c r="D245" s="26"/>
      <c r="E245" s="4"/>
      <c r="F245" s="25"/>
      <c r="G245" s="26"/>
      <c r="H245" s="4"/>
      <c r="I245" s="25"/>
      <c r="J245" s="26"/>
      <c r="K245" s="59"/>
      <c r="S245" s="97" t="str">
        <f t="shared" si="36"/>
        <v/>
      </c>
      <c r="U245" s="97" t="str">
        <f t="shared" si="37"/>
        <v/>
      </c>
    </row>
    <row r="246" spans="1:21" x14ac:dyDescent="0.25">
      <c r="A246" s="98"/>
      <c r="B246" s="1"/>
      <c r="C246" s="25"/>
      <c r="D246" s="26"/>
      <c r="E246" s="4"/>
      <c r="F246" s="25"/>
      <c r="G246" s="26"/>
      <c r="H246" s="4"/>
      <c r="I246" s="25"/>
      <c r="J246" s="26"/>
      <c r="K246" s="59"/>
      <c r="S246" s="97" t="str">
        <f t="shared" si="36"/>
        <v/>
      </c>
      <c r="U246" s="97" t="str">
        <f t="shared" si="37"/>
        <v/>
      </c>
    </row>
    <row r="247" spans="1:21" x14ac:dyDescent="0.25">
      <c r="A247" s="98"/>
      <c r="B247" s="1"/>
      <c r="C247" s="25"/>
      <c r="D247" s="26"/>
      <c r="E247" s="4"/>
      <c r="F247" s="25"/>
      <c r="G247" s="26"/>
      <c r="H247" s="4"/>
      <c r="I247" s="25"/>
      <c r="J247" s="26"/>
      <c r="K247" s="59"/>
      <c r="S247" s="97" t="str">
        <f t="shared" si="36"/>
        <v/>
      </c>
      <c r="U247" s="97" t="str">
        <f t="shared" si="37"/>
        <v/>
      </c>
    </row>
    <row r="248" spans="1:21" x14ac:dyDescent="0.25">
      <c r="A248" s="98"/>
      <c r="B248" s="1"/>
      <c r="C248" s="25"/>
      <c r="D248" s="26"/>
      <c r="E248" s="4"/>
      <c r="F248" s="25"/>
      <c r="G248" s="26"/>
      <c r="H248" s="4"/>
      <c r="I248" s="25"/>
      <c r="J248" s="26"/>
      <c r="K248" s="59"/>
      <c r="S248" s="97" t="str">
        <f t="shared" si="36"/>
        <v/>
      </c>
      <c r="U248" s="97" t="str">
        <f t="shared" si="37"/>
        <v/>
      </c>
    </row>
    <row r="249" spans="1:21" x14ac:dyDescent="0.25">
      <c r="A249" s="98"/>
      <c r="B249" s="1"/>
      <c r="C249" s="25"/>
      <c r="D249" s="26"/>
      <c r="E249" s="4"/>
      <c r="F249" s="25"/>
      <c r="G249" s="26"/>
      <c r="H249" s="4"/>
      <c r="I249" s="25"/>
      <c r="J249" s="26"/>
      <c r="K249" s="59"/>
      <c r="S249" s="97" t="str">
        <f t="shared" si="36"/>
        <v/>
      </c>
      <c r="U249" s="97" t="str">
        <f t="shared" si="37"/>
        <v/>
      </c>
    </row>
    <row r="250" spans="1:21" x14ac:dyDescent="0.25">
      <c r="A250" s="98"/>
      <c r="B250" s="1"/>
      <c r="C250" s="25"/>
      <c r="D250" s="26"/>
      <c r="E250" s="4"/>
      <c r="F250" s="25"/>
      <c r="G250" s="26"/>
      <c r="H250" s="4"/>
      <c r="I250" s="25"/>
      <c r="J250" s="26"/>
      <c r="K250" s="59"/>
      <c r="S250" s="97" t="str">
        <f t="shared" si="36"/>
        <v/>
      </c>
      <c r="U250" s="97" t="str">
        <f t="shared" si="37"/>
        <v/>
      </c>
    </row>
    <row r="251" spans="1:21" x14ac:dyDescent="0.25">
      <c r="A251" s="98"/>
      <c r="B251" s="1"/>
      <c r="C251" s="25"/>
      <c r="D251" s="26"/>
      <c r="E251" s="4"/>
      <c r="F251" s="25"/>
      <c r="G251" s="26"/>
      <c r="H251" s="4"/>
      <c r="I251" s="25"/>
      <c r="J251" s="26"/>
      <c r="K251" s="59"/>
      <c r="S251" s="97" t="str">
        <f t="shared" si="36"/>
        <v/>
      </c>
      <c r="U251" s="97" t="str">
        <f t="shared" si="37"/>
        <v/>
      </c>
    </row>
    <row r="252" spans="1:21" x14ac:dyDescent="0.25">
      <c r="A252" s="98"/>
      <c r="B252" s="1"/>
      <c r="C252" s="25"/>
      <c r="D252" s="26"/>
      <c r="E252" s="4"/>
      <c r="F252" s="25"/>
      <c r="G252" s="26"/>
      <c r="H252" s="4"/>
      <c r="I252" s="25"/>
      <c r="J252" s="26"/>
      <c r="K252" s="59"/>
      <c r="S252" s="97" t="str">
        <f t="shared" si="36"/>
        <v/>
      </c>
      <c r="U252" s="97" t="str">
        <f t="shared" si="37"/>
        <v/>
      </c>
    </row>
    <row r="253" spans="1:21" x14ac:dyDescent="0.25">
      <c r="A253" s="98"/>
      <c r="B253" s="1"/>
      <c r="C253" s="25"/>
      <c r="D253" s="26"/>
      <c r="E253" s="4"/>
      <c r="F253" s="25"/>
      <c r="G253" s="26"/>
      <c r="H253" s="4"/>
      <c r="I253" s="25"/>
      <c r="J253" s="26"/>
      <c r="K253" s="59"/>
      <c r="S253" s="97" t="str">
        <f t="shared" si="36"/>
        <v/>
      </c>
      <c r="U253" s="97" t="str">
        <f t="shared" si="37"/>
        <v/>
      </c>
    </row>
    <row r="254" spans="1:21" x14ac:dyDescent="0.25">
      <c r="A254" s="98"/>
      <c r="B254" s="1"/>
      <c r="C254" s="25"/>
      <c r="D254" s="26"/>
      <c r="E254" s="4"/>
      <c r="F254" s="25"/>
      <c r="G254" s="26"/>
      <c r="H254" s="4"/>
      <c r="I254" s="25"/>
      <c r="J254" s="26"/>
      <c r="K254" s="59"/>
      <c r="S254" s="97" t="str">
        <f t="shared" si="36"/>
        <v/>
      </c>
      <c r="U254" s="97" t="str">
        <f t="shared" si="37"/>
        <v/>
      </c>
    </row>
    <row r="255" spans="1:21" x14ac:dyDescent="0.25">
      <c r="A255" s="98"/>
      <c r="B255" s="1"/>
      <c r="C255" s="25"/>
      <c r="D255" s="26"/>
      <c r="E255" s="4"/>
      <c r="F255" s="25"/>
      <c r="G255" s="26"/>
      <c r="H255" s="4"/>
      <c r="I255" s="25"/>
      <c r="J255" s="26"/>
      <c r="K255" s="59"/>
      <c r="S255" s="97" t="str">
        <f t="shared" si="36"/>
        <v/>
      </c>
      <c r="U255" s="97" t="str">
        <f t="shared" si="37"/>
        <v/>
      </c>
    </row>
    <row r="256" spans="1:21" x14ac:dyDescent="0.25">
      <c r="A256" s="98"/>
      <c r="B256" s="1"/>
      <c r="C256" s="25"/>
      <c r="D256" s="26"/>
      <c r="E256" s="4"/>
      <c r="F256" s="25"/>
      <c r="G256" s="26"/>
      <c r="H256" s="4"/>
      <c r="I256" s="25"/>
      <c r="J256" s="26"/>
      <c r="K256" s="59"/>
      <c r="S256" s="97" t="str">
        <f t="shared" si="36"/>
        <v/>
      </c>
      <c r="U256" s="97" t="str">
        <f t="shared" si="37"/>
        <v/>
      </c>
    </row>
    <row r="257" spans="1:21" x14ac:dyDescent="0.25">
      <c r="A257" s="98"/>
      <c r="B257" s="1"/>
      <c r="C257" s="25"/>
      <c r="D257" s="26"/>
      <c r="E257" s="4"/>
      <c r="F257" s="25"/>
      <c r="G257" s="26"/>
      <c r="H257" s="4"/>
      <c r="I257" s="25"/>
      <c r="J257" s="26"/>
      <c r="K257" s="59"/>
      <c r="S257" s="97" t="str">
        <f t="shared" si="36"/>
        <v/>
      </c>
      <c r="U257" s="97" t="str">
        <f t="shared" si="37"/>
        <v/>
      </c>
    </row>
    <row r="258" spans="1:21" x14ac:dyDescent="0.25">
      <c r="A258" s="98"/>
      <c r="B258" s="1"/>
      <c r="C258" s="25"/>
      <c r="D258" s="26"/>
      <c r="E258" s="4"/>
      <c r="F258" s="25"/>
      <c r="G258" s="26"/>
      <c r="H258" s="4"/>
      <c r="I258" s="25"/>
      <c r="J258" s="26"/>
      <c r="K258" s="59"/>
      <c r="S258" s="97" t="str">
        <f t="shared" si="36"/>
        <v/>
      </c>
      <c r="U258" s="97" t="str">
        <f t="shared" si="37"/>
        <v/>
      </c>
    </row>
    <row r="259" spans="1:21" x14ac:dyDescent="0.25">
      <c r="A259" s="98"/>
      <c r="B259" s="1"/>
      <c r="C259" s="25"/>
      <c r="D259" s="26"/>
      <c r="E259" s="4"/>
      <c r="F259" s="25"/>
      <c r="G259" s="26"/>
      <c r="H259" s="4"/>
      <c r="I259" s="25"/>
      <c r="J259" s="26"/>
      <c r="K259" s="59"/>
      <c r="S259" s="97" t="str">
        <f t="shared" si="36"/>
        <v/>
      </c>
      <c r="U259" s="97" t="str">
        <f t="shared" si="37"/>
        <v/>
      </c>
    </row>
    <row r="260" spans="1:21" x14ac:dyDescent="0.25">
      <c r="A260" s="98"/>
      <c r="B260" s="1"/>
      <c r="C260" s="25"/>
      <c r="D260" s="26"/>
      <c r="E260" s="4"/>
      <c r="F260" s="25"/>
      <c r="G260" s="26"/>
      <c r="H260" s="4"/>
      <c r="I260" s="25"/>
      <c r="J260" s="26"/>
      <c r="K260" s="59"/>
      <c r="S260" s="97" t="str">
        <f t="shared" ref="S260:S323" si="38">IF(COUNTIF(O:O,M260)*COUNTIF(Q:Q,M260),M260,"")</f>
        <v/>
      </c>
      <c r="U260" s="97" t="str">
        <f t="shared" ref="U260:U323" si="39">IF(T260&gt;$A$14,T260,"")</f>
        <v/>
      </c>
    </row>
    <row r="261" spans="1:21" x14ac:dyDescent="0.25">
      <c r="A261" s="98"/>
      <c r="B261" s="1"/>
      <c r="C261" s="25"/>
      <c r="D261" s="26"/>
      <c r="E261" s="4"/>
      <c r="F261" s="25"/>
      <c r="G261" s="26"/>
      <c r="H261" s="4"/>
      <c r="I261" s="25"/>
      <c r="J261" s="26"/>
      <c r="K261" s="59"/>
      <c r="S261" s="97" t="str">
        <f t="shared" si="38"/>
        <v/>
      </c>
      <c r="U261" s="97" t="str">
        <f t="shared" si="39"/>
        <v/>
      </c>
    </row>
    <row r="262" spans="1:21" x14ac:dyDescent="0.25">
      <c r="A262" s="98"/>
      <c r="B262" s="1"/>
      <c r="C262" s="25"/>
      <c r="D262" s="26"/>
      <c r="E262" s="4"/>
      <c r="F262" s="25"/>
      <c r="G262" s="26"/>
      <c r="H262" s="4"/>
      <c r="I262" s="25"/>
      <c r="J262" s="26"/>
      <c r="K262" s="59"/>
      <c r="S262" s="97" t="str">
        <f t="shared" si="38"/>
        <v/>
      </c>
      <c r="U262" s="97" t="str">
        <f t="shared" si="39"/>
        <v/>
      </c>
    </row>
    <row r="263" spans="1:21" x14ac:dyDescent="0.25">
      <c r="A263" s="98"/>
      <c r="B263" s="1"/>
      <c r="C263" s="25"/>
      <c r="D263" s="26"/>
      <c r="E263" s="4"/>
      <c r="F263" s="25"/>
      <c r="G263" s="26"/>
      <c r="H263" s="4"/>
      <c r="I263" s="25"/>
      <c r="J263" s="26"/>
      <c r="K263" s="59"/>
      <c r="S263" s="97" t="str">
        <f t="shared" si="38"/>
        <v/>
      </c>
      <c r="U263" s="97" t="str">
        <f t="shared" si="39"/>
        <v/>
      </c>
    </row>
    <row r="264" spans="1:21" x14ac:dyDescent="0.25">
      <c r="A264" s="98"/>
      <c r="B264" s="1"/>
      <c r="C264" s="25"/>
      <c r="D264" s="26"/>
      <c r="E264" s="4"/>
      <c r="F264" s="25"/>
      <c r="G264" s="26"/>
      <c r="H264" s="4"/>
      <c r="I264" s="25"/>
      <c r="J264" s="26"/>
      <c r="K264" s="59"/>
      <c r="S264" s="97" t="str">
        <f t="shared" si="38"/>
        <v/>
      </c>
      <c r="U264" s="97" t="str">
        <f t="shared" si="39"/>
        <v/>
      </c>
    </row>
    <row r="265" spans="1:21" x14ac:dyDescent="0.25">
      <c r="A265" s="98"/>
      <c r="B265" s="1"/>
      <c r="C265" s="25"/>
      <c r="D265" s="26"/>
      <c r="E265" s="4"/>
      <c r="F265" s="25"/>
      <c r="G265" s="26"/>
      <c r="H265" s="4"/>
      <c r="I265" s="25"/>
      <c r="J265" s="26"/>
      <c r="K265" s="59"/>
      <c r="S265" s="97" t="str">
        <f t="shared" si="38"/>
        <v/>
      </c>
      <c r="U265" s="97" t="str">
        <f t="shared" si="39"/>
        <v/>
      </c>
    </row>
    <row r="266" spans="1:21" x14ac:dyDescent="0.25">
      <c r="A266" s="98"/>
      <c r="B266" s="1"/>
      <c r="C266" s="25"/>
      <c r="D266" s="26"/>
      <c r="E266" s="4"/>
      <c r="F266" s="25"/>
      <c r="G266" s="26"/>
      <c r="H266" s="4"/>
      <c r="I266" s="25"/>
      <c r="J266" s="26"/>
      <c r="K266" s="59"/>
      <c r="S266" s="97" t="str">
        <f t="shared" si="38"/>
        <v/>
      </c>
      <c r="U266" s="97" t="str">
        <f t="shared" si="39"/>
        <v/>
      </c>
    </row>
    <row r="267" spans="1:21" x14ac:dyDescent="0.25">
      <c r="A267" s="98"/>
      <c r="B267" s="1"/>
      <c r="C267" s="25"/>
      <c r="D267" s="26"/>
      <c r="E267" s="4"/>
      <c r="F267" s="25"/>
      <c r="G267" s="26"/>
      <c r="H267" s="4"/>
      <c r="I267" s="25"/>
      <c r="J267" s="26"/>
      <c r="K267" s="59"/>
      <c r="S267" s="97" t="str">
        <f t="shared" si="38"/>
        <v/>
      </c>
      <c r="U267" s="97" t="str">
        <f t="shared" si="39"/>
        <v/>
      </c>
    </row>
    <row r="268" spans="1:21" x14ac:dyDescent="0.25">
      <c r="A268" s="98"/>
      <c r="B268" s="1"/>
      <c r="C268" s="25"/>
      <c r="D268" s="26"/>
      <c r="E268" s="4"/>
      <c r="F268" s="25"/>
      <c r="G268" s="26"/>
      <c r="H268" s="4"/>
      <c r="I268" s="25"/>
      <c r="J268" s="26"/>
      <c r="K268" s="59"/>
      <c r="S268" s="97" t="str">
        <f t="shared" si="38"/>
        <v/>
      </c>
      <c r="U268" s="97" t="str">
        <f t="shared" si="39"/>
        <v/>
      </c>
    </row>
    <row r="269" spans="1:21" x14ac:dyDescent="0.25">
      <c r="A269" s="98"/>
      <c r="B269" s="1"/>
      <c r="C269" s="25"/>
      <c r="D269" s="26"/>
      <c r="E269" s="4"/>
      <c r="F269" s="25"/>
      <c r="G269" s="26"/>
      <c r="H269" s="4"/>
      <c r="I269" s="25"/>
      <c r="J269" s="26"/>
      <c r="K269" s="59"/>
      <c r="S269" s="97" t="str">
        <f t="shared" si="38"/>
        <v/>
      </c>
      <c r="U269" s="97" t="str">
        <f t="shared" si="39"/>
        <v/>
      </c>
    </row>
    <row r="270" spans="1:21" x14ac:dyDescent="0.25">
      <c r="A270" s="98"/>
      <c r="B270" s="1"/>
      <c r="C270" s="25"/>
      <c r="D270" s="26"/>
      <c r="E270" s="4"/>
      <c r="F270" s="25"/>
      <c r="G270" s="26"/>
      <c r="H270" s="4"/>
      <c r="I270" s="25"/>
      <c r="J270" s="26"/>
      <c r="K270" s="59"/>
      <c r="S270" s="97" t="str">
        <f t="shared" si="38"/>
        <v/>
      </c>
      <c r="U270" s="97" t="str">
        <f t="shared" si="39"/>
        <v/>
      </c>
    </row>
    <row r="271" spans="1:21" x14ac:dyDescent="0.25">
      <c r="A271" s="98"/>
      <c r="B271" s="1"/>
      <c r="C271" s="25"/>
      <c r="D271" s="26"/>
      <c r="E271" s="4"/>
      <c r="F271" s="25"/>
      <c r="G271" s="26"/>
      <c r="H271" s="4"/>
      <c r="I271" s="25"/>
      <c r="J271" s="26"/>
      <c r="K271" s="59"/>
      <c r="S271" s="97" t="str">
        <f t="shared" si="38"/>
        <v/>
      </c>
      <c r="U271" s="97" t="str">
        <f t="shared" si="39"/>
        <v/>
      </c>
    </row>
    <row r="272" spans="1:21" x14ac:dyDescent="0.25">
      <c r="A272" s="98"/>
      <c r="B272" s="1"/>
      <c r="C272" s="25"/>
      <c r="D272" s="26"/>
      <c r="E272" s="4"/>
      <c r="F272" s="25"/>
      <c r="G272" s="26"/>
      <c r="H272" s="4"/>
      <c r="I272" s="25"/>
      <c r="J272" s="26"/>
      <c r="K272" s="59"/>
      <c r="S272" s="97" t="str">
        <f t="shared" si="38"/>
        <v/>
      </c>
      <c r="U272" s="97" t="str">
        <f t="shared" si="39"/>
        <v/>
      </c>
    </row>
    <row r="273" spans="1:21" x14ac:dyDescent="0.25">
      <c r="A273" s="98"/>
      <c r="B273" s="1"/>
      <c r="C273" s="25"/>
      <c r="D273" s="26"/>
      <c r="E273" s="4"/>
      <c r="F273" s="25"/>
      <c r="G273" s="26"/>
      <c r="H273" s="4"/>
      <c r="I273" s="25"/>
      <c r="J273" s="26"/>
      <c r="K273" s="59"/>
      <c r="S273" s="97" t="str">
        <f t="shared" si="38"/>
        <v/>
      </c>
      <c r="U273" s="97" t="str">
        <f t="shared" si="39"/>
        <v/>
      </c>
    </row>
    <row r="274" spans="1:21" x14ac:dyDescent="0.25">
      <c r="A274" s="98"/>
      <c r="B274" s="1"/>
      <c r="C274" s="25"/>
      <c r="D274" s="26"/>
      <c r="E274" s="4"/>
      <c r="F274" s="25"/>
      <c r="G274" s="26"/>
      <c r="H274" s="4"/>
      <c r="I274" s="25"/>
      <c r="J274" s="26"/>
      <c r="K274" s="59"/>
      <c r="S274" s="97" t="str">
        <f t="shared" si="38"/>
        <v/>
      </c>
      <c r="U274" s="97" t="str">
        <f t="shared" si="39"/>
        <v/>
      </c>
    </row>
    <row r="275" spans="1:21" x14ac:dyDescent="0.25">
      <c r="A275" s="98"/>
      <c r="B275" s="1"/>
      <c r="C275" s="25"/>
      <c r="D275" s="26"/>
      <c r="E275" s="4"/>
      <c r="F275" s="25"/>
      <c r="G275" s="26"/>
      <c r="H275" s="4"/>
      <c r="I275" s="25"/>
      <c r="J275" s="26"/>
      <c r="K275" s="59"/>
      <c r="S275" s="97" t="str">
        <f t="shared" si="38"/>
        <v/>
      </c>
      <c r="U275" s="97" t="str">
        <f t="shared" si="39"/>
        <v/>
      </c>
    </row>
    <row r="276" spans="1:21" x14ac:dyDescent="0.25">
      <c r="A276" s="98"/>
      <c r="B276" s="1"/>
      <c r="C276" s="25"/>
      <c r="D276" s="26"/>
      <c r="E276" s="4"/>
      <c r="F276" s="25"/>
      <c r="G276" s="26"/>
      <c r="H276" s="4"/>
      <c r="I276" s="25"/>
      <c r="J276" s="26"/>
      <c r="K276" s="59"/>
      <c r="S276" s="97" t="str">
        <f t="shared" si="38"/>
        <v/>
      </c>
      <c r="U276" s="97" t="str">
        <f t="shared" si="39"/>
        <v/>
      </c>
    </row>
    <row r="277" spans="1:21" x14ac:dyDescent="0.25">
      <c r="A277" s="98"/>
      <c r="B277" s="1"/>
      <c r="C277" s="25"/>
      <c r="D277" s="26"/>
      <c r="E277" s="4"/>
      <c r="F277" s="25"/>
      <c r="G277" s="26"/>
      <c r="H277" s="4"/>
      <c r="I277" s="25"/>
      <c r="J277" s="26"/>
      <c r="K277" s="59"/>
      <c r="S277" s="97" t="str">
        <f t="shared" si="38"/>
        <v/>
      </c>
      <c r="U277" s="97" t="str">
        <f t="shared" si="39"/>
        <v/>
      </c>
    </row>
    <row r="278" spans="1:21" x14ac:dyDescent="0.25">
      <c r="A278" s="98"/>
      <c r="B278" s="1"/>
      <c r="C278" s="25"/>
      <c r="D278" s="26"/>
      <c r="E278" s="4"/>
      <c r="F278" s="25"/>
      <c r="G278" s="26"/>
      <c r="H278" s="4"/>
      <c r="I278" s="25"/>
      <c r="J278" s="26"/>
      <c r="K278" s="59"/>
      <c r="S278" s="97" t="str">
        <f t="shared" si="38"/>
        <v/>
      </c>
      <c r="U278" s="97" t="str">
        <f t="shared" si="39"/>
        <v/>
      </c>
    </row>
    <row r="279" spans="1:21" x14ac:dyDescent="0.25">
      <c r="A279" s="98"/>
      <c r="B279" s="1"/>
      <c r="C279" s="25"/>
      <c r="D279" s="26"/>
      <c r="E279" s="4"/>
      <c r="F279" s="25"/>
      <c r="G279" s="26"/>
      <c r="H279" s="4"/>
      <c r="I279" s="25"/>
      <c r="J279" s="26"/>
      <c r="K279" s="59"/>
      <c r="S279" s="97" t="str">
        <f t="shared" si="38"/>
        <v/>
      </c>
      <c r="U279" s="97" t="str">
        <f t="shared" si="39"/>
        <v/>
      </c>
    </row>
    <row r="280" spans="1:21" x14ac:dyDescent="0.25">
      <c r="A280" s="98"/>
      <c r="B280" s="1"/>
      <c r="C280" s="25"/>
      <c r="D280" s="26"/>
      <c r="E280" s="4"/>
      <c r="F280" s="25"/>
      <c r="G280" s="26"/>
      <c r="H280" s="4"/>
      <c r="I280" s="25"/>
      <c r="J280" s="26"/>
      <c r="K280" s="59"/>
      <c r="S280" s="97" t="str">
        <f t="shared" si="38"/>
        <v/>
      </c>
      <c r="U280" s="97" t="str">
        <f t="shared" si="39"/>
        <v/>
      </c>
    </row>
    <row r="281" spans="1:21" x14ac:dyDescent="0.25">
      <c r="A281" s="98"/>
      <c r="B281" s="1"/>
      <c r="C281" s="25"/>
      <c r="D281" s="26"/>
      <c r="E281" s="4"/>
      <c r="F281" s="25"/>
      <c r="G281" s="26"/>
      <c r="H281" s="4"/>
      <c r="I281" s="25"/>
      <c r="J281" s="26"/>
      <c r="K281" s="59"/>
      <c r="S281" s="97" t="str">
        <f t="shared" si="38"/>
        <v/>
      </c>
      <c r="U281" s="97" t="str">
        <f t="shared" si="39"/>
        <v/>
      </c>
    </row>
    <row r="282" spans="1:21" x14ac:dyDescent="0.25">
      <c r="A282" s="98"/>
      <c r="B282" s="1"/>
      <c r="C282" s="25"/>
      <c r="D282" s="26"/>
      <c r="E282" s="4"/>
      <c r="F282" s="25"/>
      <c r="G282" s="26"/>
      <c r="H282" s="4"/>
      <c r="I282" s="25"/>
      <c r="J282" s="26"/>
      <c r="K282" s="59"/>
      <c r="S282" s="97" t="str">
        <f t="shared" si="38"/>
        <v/>
      </c>
      <c r="U282" s="97" t="str">
        <f t="shared" si="39"/>
        <v/>
      </c>
    </row>
    <row r="283" spans="1:21" x14ac:dyDescent="0.25">
      <c r="A283" s="98"/>
      <c r="B283" s="1"/>
      <c r="C283" s="25"/>
      <c r="D283" s="26"/>
      <c r="E283" s="4"/>
      <c r="F283" s="25"/>
      <c r="G283" s="26"/>
      <c r="H283" s="4"/>
      <c r="I283" s="25"/>
      <c r="J283" s="26"/>
      <c r="K283" s="59"/>
      <c r="S283" s="97" t="str">
        <f t="shared" si="38"/>
        <v/>
      </c>
      <c r="U283" s="97" t="str">
        <f t="shared" si="39"/>
        <v/>
      </c>
    </row>
    <row r="284" spans="1:21" x14ac:dyDescent="0.25">
      <c r="A284" s="98"/>
      <c r="B284" s="1"/>
      <c r="C284" s="25"/>
      <c r="D284" s="26"/>
      <c r="E284" s="4"/>
      <c r="F284" s="25"/>
      <c r="G284" s="26"/>
      <c r="H284" s="4"/>
      <c r="I284" s="25"/>
      <c r="J284" s="26"/>
      <c r="K284" s="59"/>
      <c r="S284" s="97" t="str">
        <f t="shared" si="38"/>
        <v/>
      </c>
      <c r="U284" s="97" t="str">
        <f t="shared" si="39"/>
        <v/>
      </c>
    </row>
    <row r="285" spans="1:21" x14ac:dyDescent="0.25">
      <c r="A285" s="98"/>
      <c r="B285" s="1"/>
      <c r="C285" s="25"/>
      <c r="D285" s="26"/>
      <c r="E285" s="4"/>
      <c r="F285" s="25"/>
      <c r="G285" s="26"/>
      <c r="H285" s="4"/>
      <c r="I285" s="25"/>
      <c r="J285" s="26"/>
      <c r="K285" s="59"/>
      <c r="S285" s="97" t="str">
        <f t="shared" si="38"/>
        <v/>
      </c>
      <c r="U285" s="97" t="str">
        <f t="shared" si="39"/>
        <v/>
      </c>
    </row>
    <row r="286" spans="1:21" x14ac:dyDescent="0.25">
      <c r="A286" s="98"/>
      <c r="B286" s="1"/>
      <c r="C286" s="25"/>
      <c r="D286" s="26"/>
      <c r="E286" s="4"/>
      <c r="F286" s="25"/>
      <c r="G286" s="26"/>
      <c r="H286" s="4"/>
      <c r="I286" s="25"/>
      <c r="J286" s="26"/>
      <c r="K286" s="59"/>
      <c r="S286" s="97" t="str">
        <f t="shared" si="38"/>
        <v/>
      </c>
      <c r="U286" s="97" t="str">
        <f t="shared" si="39"/>
        <v/>
      </c>
    </row>
    <row r="287" spans="1:21" x14ac:dyDescent="0.25">
      <c r="A287" s="98"/>
      <c r="B287" s="1"/>
      <c r="C287" s="25"/>
      <c r="D287" s="26"/>
      <c r="E287" s="4"/>
      <c r="F287" s="25"/>
      <c r="G287" s="26"/>
      <c r="H287" s="4"/>
      <c r="I287" s="25"/>
      <c r="J287" s="26"/>
      <c r="K287" s="59"/>
      <c r="S287" s="97" t="str">
        <f t="shared" si="38"/>
        <v/>
      </c>
      <c r="U287" s="97" t="str">
        <f t="shared" si="39"/>
        <v/>
      </c>
    </row>
    <row r="288" spans="1:21" x14ac:dyDescent="0.25">
      <c r="A288" s="98"/>
      <c r="B288" s="1"/>
      <c r="C288" s="25"/>
      <c r="D288" s="26"/>
      <c r="E288" s="4"/>
      <c r="F288" s="25"/>
      <c r="G288" s="26"/>
      <c r="H288" s="4"/>
      <c r="I288" s="25"/>
      <c r="J288" s="26"/>
      <c r="K288" s="59"/>
      <c r="S288" s="97" t="str">
        <f t="shared" si="38"/>
        <v/>
      </c>
      <c r="U288" s="97" t="str">
        <f t="shared" si="39"/>
        <v/>
      </c>
    </row>
    <row r="289" spans="1:21" x14ac:dyDescent="0.25">
      <c r="A289" s="98"/>
      <c r="B289" s="1"/>
      <c r="C289" s="25"/>
      <c r="D289" s="26"/>
      <c r="E289" s="4"/>
      <c r="F289" s="25"/>
      <c r="G289" s="26"/>
      <c r="H289" s="4"/>
      <c r="I289" s="25"/>
      <c r="J289" s="26"/>
      <c r="K289" s="59"/>
      <c r="S289" s="97" t="str">
        <f t="shared" si="38"/>
        <v/>
      </c>
      <c r="U289" s="97" t="str">
        <f t="shared" si="39"/>
        <v/>
      </c>
    </row>
    <row r="290" spans="1:21" x14ac:dyDescent="0.25">
      <c r="A290" s="98"/>
      <c r="B290" s="1"/>
      <c r="C290" s="25"/>
      <c r="D290" s="26"/>
      <c r="E290" s="4"/>
      <c r="F290" s="25"/>
      <c r="G290" s="26"/>
      <c r="H290" s="4"/>
      <c r="I290" s="25"/>
      <c r="J290" s="26"/>
      <c r="K290" s="59"/>
      <c r="S290" s="97" t="str">
        <f t="shared" si="38"/>
        <v/>
      </c>
      <c r="U290" s="97" t="str">
        <f t="shared" si="39"/>
        <v/>
      </c>
    </row>
    <row r="291" spans="1:21" x14ac:dyDescent="0.25">
      <c r="A291" s="98"/>
      <c r="B291" s="1"/>
      <c r="C291" s="25"/>
      <c r="D291" s="26"/>
      <c r="E291" s="4"/>
      <c r="F291" s="25"/>
      <c r="G291" s="26"/>
      <c r="H291" s="4"/>
      <c r="I291" s="25"/>
      <c r="J291" s="26"/>
      <c r="K291" s="59"/>
      <c r="S291" s="97" t="str">
        <f t="shared" si="38"/>
        <v/>
      </c>
      <c r="U291" s="97" t="str">
        <f t="shared" si="39"/>
        <v/>
      </c>
    </row>
    <row r="292" spans="1:21" x14ac:dyDescent="0.25">
      <c r="A292" s="98"/>
      <c r="B292" s="1"/>
      <c r="C292" s="25"/>
      <c r="D292" s="26"/>
      <c r="E292" s="4"/>
      <c r="F292" s="25"/>
      <c r="G292" s="26"/>
      <c r="H292" s="4"/>
      <c r="I292" s="25"/>
      <c r="J292" s="26"/>
      <c r="K292" s="59"/>
      <c r="S292" s="97" t="str">
        <f t="shared" si="38"/>
        <v/>
      </c>
      <c r="U292" s="97" t="str">
        <f t="shared" si="39"/>
        <v/>
      </c>
    </row>
    <row r="293" spans="1:21" x14ac:dyDescent="0.25">
      <c r="A293" s="98"/>
      <c r="B293" s="1"/>
      <c r="C293" s="25"/>
      <c r="D293" s="26"/>
      <c r="E293" s="4"/>
      <c r="F293" s="25"/>
      <c r="G293" s="26"/>
      <c r="H293" s="4"/>
      <c r="I293" s="25"/>
      <c r="J293" s="26"/>
      <c r="K293" s="59"/>
      <c r="S293" s="97" t="str">
        <f t="shared" si="38"/>
        <v/>
      </c>
      <c r="U293" s="97" t="str">
        <f t="shared" si="39"/>
        <v/>
      </c>
    </row>
    <row r="294" spans="1:21" x14ac:dyDescent="0.25">
      <c r="A294" s="98"/>
      <c r="B294" s="1"/>
      <c r="C294" s="25"/>
      <c r="D294" s="26"/>
      <c r="E294" s="4"/>
      <c r="F294" s="25"/>
      <c r="G294" s="26"/>
      <c r="H294" s="4"/>
      <c r="I294" s="25"/>
      <c r="J294" s="26"/>
      <c r="K294" s="59"/>
      <c r="S294" s="97" t="str">
        <f t="shared" si="38"/>
        <v/>
      </c>
      <c r="U294" s="97" t="str">
        <f t="shared" si="39"/>
        <v/>
      </c>
    </row>
    <row r="295" spans="1:21" x14ac:dyDescent="0.25">
      <c r="A295" s="98"/>
      <c r="B295" s="1"/>
      <c r="C295" s="25"/>
      <c r="D295" s="26"/>
      <c r="E295" s="4"/>
      <c r="F295" s="25"/>
      <c r="G295" s="26"/>
      <c r="H295" s="4"/>
      <c r="I295" s="25"/>
      <c r="J295" s="26"/>
      <c r="K295" s="59"/>
      <c r="S295" s="97" t="str">
        <f t="shared" si="38"/>
        <v/>
      </c>
      <c r="U295" s="97" t="str">
        <f t="shared" si="39"/>
        <v/>
      </c>
    </row>
    <row r="296" spans="1:21" x14ac:dyDescent="0.25">
      <c r="A296" s="98"/>
      <c r="B296" s="1"/>
      <c r="C296" s="25"/>
      <c r="D296" s="26"/>
      <c r="E296" s="4"/>
      <c r="F296" s="25"/>
      <c r="G296" s="26"/>
      <c r="H296" s="4"/>
      <c r="I296" s="25"/>
      <c r="J296" s="26"/>
      <c r="K296" s="59"/>
      <c r="S296" s="97" t="str">
        <f t="shared" si="38"/>
        <v/>
      </c>
      <c r="U296" s="97" t="str">
        <f t="shared" si="39"/>
        <v/>
      </c>
    </row>
    <row r="297" spans="1:21" x14ac:dyDescent="0.25">
      <c r="A297" s="98"/>
      <c r="B297" s="1"/>
      <c r="C297" s="25"/>
      <c r="D297" s="26"/>
      <c r="E297" s="4"/>
      <c r="F297" s="25"/>
      <c r="G297" s="26"/>
      <c r="H297" s="4"/>
      <c r="I297" s="25"/>
      <c r="J297" s="26"/>
      <c r="K297" s="59"/>
      <c r="S297" s="97" t="str">
        <f t="shared" si="38"/>
        <v/>
      </c>
      <c r="U297" s="97" t="str">
        <f t="shared" si="39"/>
        <v/>
      </c>
    </row>
    <row r="298" spans="1:21" x14ac:dyDescent="0.25">
      <c r="A298" s="98"/>
      <c r="B298" s="1"/>
      <c r="C298" s="25"/>
      <c r="D298" s="26"/>
      <c r="E298" s="4"/>
      <c r="F298" s="25"/>
      <c r="G298" s="26"/>
      <c r="H298" s="4"/>
      <c r="I298" s="25"/>
      <c r="J298" s="26"/>
      <c r="K298" s="59"/>
      <c r="S298" s="97" t="str">
        <f t="shared" si="38"/>
        <v/>
      </c>
      <c r="U298" s="97" t="str">
        <f t="shared" si="39"/>
        <v/>
      </c>
    </row>
    <row r="299" spans="1:21" x14ac:dyDescent="0.25">
      <c r="A299" s="98"/>
      <c r="B299" s="1"/>
      <c r="C299" s="25"/>
      <c r="D299" s="26"/>
      <c r="E299" s="4"/>
      <c r="F299" s="25"/>
      <c r="G299" s="26"/>
      <c r="H299" s="4"/>
      <c r="I299" s="25"/>
      <c r="J299" s="26"/>
      <c r="K299" s="59"/>
      <c r="S299" s="97" t="str">
        <f t="shared" si="38"/>
        <v/>
      </c>
      <c r="U299" s="97" t="str">
        <f t="shared" si="39"/>
        <v/>
      </c>
    </row>
    <row r="300" spans="1:21" x14ac:dyDescent="0.25">
      <c r="A300" s="98"/>
      <c r="B300" s="1"/>
      <c r="C300" s="25"/>
      <c r="D300" s="26"/>
      <c r="E300" s="4"/>
      <c r="F300" s="25"/>
      <c r="G300" s="26"/>
      <c r="H300" s="4"/>
      <c r="I300" s="25"/>
      <c r="J300" s="26"/>
      <c r="K300" s="59"/>
      <c r="S300" s="97" t="str">
        <f t="shared" si="38"/>
        <v/>
      </c>
      <c r="U300" s="97" t="str">
        <f t="shared" si="39"/>
        <v/>
      </c>
    </row>
    <row r="301" spans="1:21" x14ac:dyDescent="0.25">
      <c r="A301" s="98"/>
      <c r="B301" s="1"/>
      <c r="C301" s="25"/>
      <c r="D301" s="26"/>
      <c r="E301" s="4"/>
      <c r="F301" s="25"/>
      <c r="G301" s="26"/>
      <c r="H301" s="4"/>
      <c r="I301" s="25"/>
      <c r="J301" s="26"/>
      <c r="K301" s="59"/>
      <c r="S301" s="97" t="str">
        <f t="shared" si="38"/>
        <v/>
      </c>
      <c r="U301" s="97" t="str">
        <f t="shared" si="39"/>
        <v/>
      </c>
    </row>
    <row r="302" spans="1:21" x14ac:dyDescent="0.25">
      <c r="A302" s="98"/>
      <c r="B302" s="1"/>
      <c r="C302" s="25"/>
      <c r="D302" s="26"/>
      <c r="E302" s="4"/>
      <c r="F302" s="25"/>
      <c r="G302" s="26"/>
      <c r="H302" s="4"/>
      <c r="I302" s="25"/>
      <c r="J302" s="26"/>
      <c r="K302" s="59"/>
      <c r="S302" s="97" t="str">
        <f t="shared" si="38"/>
        <v/>
      </c>
      <c r="U302" s="97" t="str">
        <f t="shared" si="39"/>
        <v/>
      </c>
    </row>
    <row r="303" spans="1:21" x14ac:dyDescent="0.25">
      <c r="A303" s="98"/>
      <c r="B303" s="1"/>
      <c r="C303" s="25"/>
      <c r="D303" s="26"/>
      <c r="E303" s="4"/>
      <c r="F303" s="25"/>
      <c r="G303" s="26"/>
      <c r="H303" s="4"/>
      <c r="I303" s="25"/>
      <c r="J303" s="26"/>
      <c r="K303" s="59"/>
      <c r="S303" s="97" t="str">
        <f t="shared" si="38"/>
        <v/>
      </c>
      <c r="U303" s="97" t="str">
        <f t="shared" si="39"/>
        <v/>
      </c>
    </row>
    <row r="304" spans="1:21" x14ac:dyDescent="0.25">
      <c r="A304" s="98"/>
      <c r="B304" s="1"/>
      <c r="C304" s="25"/>
      <c r="D304" s="26"/>
      <c r="E304" s="4"/>
      <c r="F304" s="25"/>
      <c r="G304" s="26"/>
      <c r="H304" s="4"/>
      <c r="I304" s="25"/>
      <c r="J304" s="26"/>
      <c r="K304" s="59"/>
      <c r="S304" s="97" t="str">
        <f t="shared" si="38"/>
        <v/>
      </c>
      <c r="U304" s="97" t="str">
        <f t="shared" si="39"/>
        <v/>
      </c>
    </row>
    <row r="305" spans="1:21" x14ac:dyDescent="0.25">
      <c r="A305" s="98"/>
      <c r="B305" s="1"/>
      <c r="C305" s="25"/>
      <c r="D305" s="26"/>
      <c r="E305" s="4"/>
      <c r="F305" s="25"/>
      <c r="G305" s="26"/>
      <c r="H305" s="4"/>
      <c r="I305" s="25"/>
      <c r="J305" s="26"/>
      <c r="K305" s="59"/>
      <c r="S305" s="97" t="str">
        <f t="shared" si="38"/>
        <v/>
      </c>
      <c r="U305" s="97" t="str">
        <f t="shared" si="39"/>
        <v/>
      </c>
    </row>
    <row r="306" spans="1:21" x14ac:dyDescent="0.25">
      <c r="A306" s="98"/>
      <c r="B306" s="1"/>
      <c r="C306" s="25"/>
      <c r="D306" s="26"/>
      <c r="E306" s="4"/>
      <c r="F306" s="25"/>
      <c r="G306" s="26"/>
      <c r="H306" s="4"/>
      <c r="I306" s="25"/>
      <c r="J306" s="26"/>
      <c r="K306" s="59"/>
      <c r="S306" s="97" t="str">
        <f t="shared" si="38"/>
        <v/>
      </c>
      <c r="U306" s="97" t="str">
        <f t="shared" si="39"/>
        <v/>
      </c>
    </row>
    <row r="307" spans="1:21" x14ac:dyDescent="0.25">
      <c r="A307" s="98"/>
      <c r="B307" s="1"/>
      <c r="C307" s="25"/>
      <c r="D307" s="26"/>
      <c r="E307" s="4"/>
      <c r="F307" s="25"/>
      <c r="G307" s="26"/>
      <c r="H307" s="4"/>
      <c r="I307" s="25"/>
      <c r="J307" s="26"/>
      <c r="K307" s="59"/>
      <c r="S307" s="97" t="str">
        <f t="shared" si="38"/>
        <v/>
      </c>
      <c r="U307" s="97" t="str">
        <f t="shared" si="39"/>
        <v/>
      </c>
    </row>
    <row r="308" spans="1:21" x14ac:dyDescent="0.25">
      <c r="A308" s="98"/>
      <c r="B308" s="1"/>
      <c r="C308" s="25"/>
      <c r="D308" s="26"/>
      <c r="E308" s="4"/>
      <c r="F308" s="25"/>
      <c r="G308" s="26"/>
      <c r="H308" s="4"/>
      <c r="I308" s="25"/>
      <c r="J308" s="26"/>
      <c r="K308" s="59"/>
      <c r="S308" s="97" t="str">
        <f t="shared" si="38"/>
        <v/>
      </c>
      <c r="U308" s="97" t="str">
        <f t="shared" si="39"/>
        <v/>
      </c>
    </row>
    <row r="309" spans="1:21" x14ac:dyDescent="0.25">
      <c r="A309" s="98"/>
      <c r="B309" s="1"/>
      <c r="C309" s="25"/>
      <c r="D309" s="26"/>
      <c r="E309" s="4"/>
      <c r="F309" s="25"/>
      <c r="G309" s="26"/>
      <c r="H309" s="4"/>
      <c r="I309" s="25"/>
      <c r="J309" s="26"/>
      <c r="K309" s="59"/>
      <c r="S309" s="97" t="str">
        <f t="shared" si="38"/>
        <v/>
      </c>
      <c r="U309" s="97" t="str">
        <f t="shared" si="39"/>
        <v/>
      </c>
    </row>
    <row r="310" spans="1:21" x14ac:dyDescent="0.25">
      <c r="A310" s="98"/>
      <c r="B310" s="1"/>
      <c r="C310" s="25"/>
      <c r="D310" s="26"/>
      <c r="E310" s="4"/>
      <c r="F310" s="25"/>
      <c r="G310" s="26"/>
      <c r="H310" s="4"/>
      <c r="I310" s="25"/>
      <c r="J310" s="26"/>
      <c r="K310" s="59"/>
      <c r="S310" s="97" t="str">
        <f t="shared" si="38"/>
        <v/>
      </c>
      <c r="U310" s="97" t="str">
        <f t="shared" si="39"/>
        <v/>
      </c>
    </row>
    <row r="311" spans="1:21" x14ac:dyDescent="0.25">
      <c r="A311" s="98"/>
      <c r="B311" s="1"/>
      <c r="C311" s="25"/>
      <c r="D311" s="26"/>
      <c r="E311" s="4"/>
      <c r="F311" s="25"/>
      <c r="G311" s="26"/>
      <c r="H311" s="4"/>
      <c r="I311" s="25"/>
      <c r="J311" s="26"/>
      <c r="K311" s="59"/>
      <c r="S311" s="97" t="str">
        <f t="shared" si="38"/>
        <v/>
      </c>
      <c r="U311" s="97" t="str">
        <f t="shared" si="39"/>
        <v/>
      </c>
    </row>
    <row r="312" spans="1:21" x14ac:dyDescent="0.25">
      <c r="A312" s="98"/>
      <c r="B312" s="1"/>
      <c r="C312" s="25"/>
      <c r="D312" s="26"/>
      <c r="E312" s="4"/>
      <c r="F312" s="25"/>
      <c r="G312" s="26"/>
      <c r="H312" s="4"/>
      <c r="I312" s="25"/>
      <c r="J312" s="26"/>
      <c r="K312" s="59"/>
      <c r="S312" s="97" t="str">
        <f t="shared" si="38"/>
        <v/>
      </c>
      <c r="U312" s="97" t="str">
        <f t="shared" si="39"/>
        <v/>
      </c>
    </row>
    <row r="313" spans="1:21" x14ac:dyDescent="0.25">
      <c r="A313" s="98"/>
      <c r="B313" s="1"/>
      <c r="C313" s="25"/>
      <c r="D313" s="26"/>
      <c r="E313" s="4"/>
      <c r="F313" s="25"/>
      <c r="G313" s="26"/>
      <c r="H313" s="4"/>
      <c r="I313" s="25"/>
      <c r="J313" s="26"/>
      <c r="K313" s="59"/>
      <c r="S313" s="97" t="str">
        <f t="shared" si="38"/>
        <v/>
      </c>
      <c r="U313" s="97" t="str">
        <f t="shared" si="39"/>
        <v/>
      </c>
    </row>
    <row r="314" spans="1:21" x14ac:dyDescent="0.25">
      <c r="A314" s="98"/>
      <c r="B314" s="1"/>
      <c r="C314" s="25"/>
      <c r="D314" s="26"/>
      <c r="E314" s="4"/>
      <c r="F314" s="25"/>
      <c r="G314" s="26"/>
      <c r="H314" s="4"/>
      <c r="I314" s="25"/>
      <c r="J314" s="26"/>
      <c r="K314" s="59"/>
      <c r="S314" s="97" t="str">
        <f t="shared" si="38"/>
        <v/>
      </c>
      <c r="U314" s="97" t="str">
        <f t="shared" si="39"/>
        <v/>
      </c>
    </row>
    <row r="315" spans="1:21" x14ac:dyDescent="0.25">
      <c r="A315" s="98"/>
      <c r="B315" s="1"/>
      <c r="C315" s="25"/>
      <c r="D315" s="26"/>
      <c r="E315" s="4"/>
      <c r="F315" s="25"/>
      <c r="G315" s="26"/>
      <c r="H315" s="4"/>
      <c r="I315" s="25"/>
      <c r="J315" s="26"/>
      <c r="K315" s="59"/>
      <c r="S315" s="97" t="str">
        <f t="shared" si="38"/>
        <v/>
      </c>
      <c r="U315" s="97" t="str">
        <f t="shared" si="39"/>
        <v/>
      </c>
    </row>
    <row r="316" spans="1:21" x14ac:dyDescent="0.25">
      <c r="A316" s="98"/>
      <c r="B316" s="1"/>
      <c r="C316" s="25"/>
      <c r="D316" s="26"/>
      <c r="E316" s="4"/>
      <c r="F316" s="25"/>
      <c r="G316" s="26"/>
      <c r="H316" s="4"/>
      <c r="I316" s="25"/>
      <c r="J316" s="26"/>
      <c r="K316" s="59"/>
      <c r="S316" s="97" t="str">
        <f t="shared" si="38"/>
        <v/>
      </c>
      <c r="U316" s="97" t="str">
        <f t="shared" si="39"/>
        <v/>
      </c>
    </row>
    <row r="317" spans="1:21" x14ac:dyDescent="0.25">
      <c r="A317" s="98"/>
      <c r="B317" s="1"/>
      <c r="C317" s="25"/>
      <c r="D317" s="26"/>
      <c r="E317" s="4"/>
      <c r="F317" s="25"/>
      <c r="G317" s="26"/>
      <c r="H317" s="4"/>
      <c r="I317" s="25"/>
      <c r="J317" s="26"/>
      <c r="K317" s="59"/>
      <c r="S317" s="97" t="str">
        <f t="shared" si="38"/>
        <v/>
      </c>
      <c r="U317" s="97" t="str">
        <f t="shared" si="39"/>
        <v/>
      </c>
    </row>
    <row r="318" spans="1:21" x14ac:dyDescent="0.25">
      <c r="A318" s="98"/>
      <c r="B318" s="1"/>
      <c r="C318" s="25"/>
      <c r="D318" s="26"/>
      <c r="E318" s="4"/>
      <c r="F318" s="25"/>
      <c r="G318" s="26"/>
      <c r="H318" s="4"/>
      <c r="I318" s="25"/>
      <c r="J318" s="26"/>
      <c r="K318" s="59"/>
      <c r="S318" s="97" t="str">
        <f t="shared" si="38"/>
        <v/>
      </c>
      <c r="U318" s="97" t="str">
        <f t="shared" si="39"/>
        <v/>
      </c>
    </row>
    <row r="319" spans="1:21" x14ac:dyDescent="0.25">
      <c r="A319" s="98"/>
      <c r="B319" s="1"/>
      <c r="C319" s="25"/>
      <c r="D319" s="26"/>
      <c r="E319" s="4"/>
      <c r="F319" s="25"/>
      <c r="G319" s="26"/>
      <c r="H319" s="4"/>
      <c r="I319" s="25"/>
      <c r="J319" s="26"/>
      <c r="K319" s="59"/>
      <c r="S319" s="97" t="str">
        <f t="shared" si="38"/>
        <v/>
      </c>
      <c r="U319" s="97" t="str">
        <f t="shared" si="39"/>
        <v/>
      </c>
    </row>
    <row r="320" spans="1:21" x14ac:dyDescent="0.25">
      <c r="A320" s="98"/>
      <c r="B320" s="1"/>
      <c r="C320" s="25"/>
      <c r="D320" s="26"/>
      <c r="E320" s="4"/>
      <c r="F320" s="25"/>
      <c r="G320" s="26"/>
      <c r="H320" s="4"/>
      <c r="I320" s="25"/>
      <c r="J320" s="26"/>
      <c r="K320" s="59"/>
      <c r="S320" s="97" t="str">
        <f t="shared" si="38"/>
        <v/>
      </c>
      <c r="U320" s="97" t="str">
        <f t="shared" si="39"/>
        <v/>
      </c>
    </row>
    <row r="321" spans="1:21" x14ac:dyDescent="0.25">
      <c r="A321" s="98"/>
      <c r="B321" s="1"/>
      <c r="C321" s="25"/>
      <c r="D321" s="26"/>
      <c r="E321" s="4"/>
      <c r="F321" s="25"/>
      <c r="G321" s="26"/>
      <c r="H321" s="4"/>
      <c r="I321" s="25"/>
      <c r="J321" s="26"/>
      <c r="K321" s="59"/>
      <c r="S321" s="97" t="str">
        <f t="shared" si="38"/>
        <v/>
      </c>
      <c r="U321" s="97" t="str">
        <f t="shared" si="39"/>
        <v/>
      </c>
    </row>
    <row r="322" spans="1:21" x14ac:dyDescent="0.25">
      <c r="A322" s="98"/>
      <c r="B322" s="1"/>
      <c r="C322" s="25"/>
      <c r="D322" s="26"/>
      <c r="E322" s="4"/>
      <c r="F322" s="25"/>
      <c r="G322" s="26"/>
      <c r="H322" s="4"/>
      <c r="I322" s="25"/>
      <c r="J322" s="26"/>
      <c r="K322" s="59"/>
      <c r="S322" s="97" t="str">
        <f t="shared" si="38"/>
        <v/>
      </c>
      <c r="U322" s="97" t="str">
        <f t="shared" si="39"/>
        <v/>
      </c>
    </row>
    <row r="323" spans="1:21" x14ac:dyDescent="0.25">
      <c r="A323" s="98"/>
      <c r="B323" s="1"/>
      <c r="C323" s="25"/>
      <c r="D323" s="26"/>
      <c r="E323" s="4"/>
      <c r="F323" s="25"/>
      <c r="G323" s="26"/>
      <c r="H323" s="4"/>
      <c r="I323" s="25"/>
      <c r="J323" s="26"/>
      <c r="K323" s="59"/>
      <c r="S323" s="97" t="str">
        <f t="shared" si="38"/>
        <v/>
      </c>
      <c r="U323" s="97" t="str">
        <f t="shared" si="39"/>
        <v/>
      </c>
    </row>
    <row r="324" spans="1:21" x14ac:dyDescent="0.25">
      <c r="A324" s="98"/>
      <c r="B324" s="1"/>
      <c r="C324" s="25"/>
      <c r="D324" s="26"/>
      <c r="E324" s="4"/>
      <c r="F324" s="25"/>
      <c r="G324" s="26"/>
      <c r="H324" s="4"/>
      <c r="I324" s="25"/>
      <c r="J324" s="26"/>
      <c r="K324" s="59"/>
      <c r="S324" s="97" t="str">
        <f t="shared" ref="S324:S387" si="40">IF(COUNTIF(O:O,M324)*COUNTIF(Q:Q,M324),M324,"")</f>
        <v/>
      </c>
      <c r="U324" s="97" t="str">
        <f t="shared" ref="U324:U387" si="41">IF(T324&gt;$A$14,T324,"")</f>
        <v/>
      </c>
    </row>
    <row r="325" spans="1:21" x14ac:dyDescent="0.25">
      <c r="A325" s="98"/>
      <c r="B325" s="1"/>
      <c r="C325" s="25"/>
      <c r="D325" s="26"/>
      <c r="E325" s="4"/>
      <c r="F325" s="25"/>
      <c r="G325" s="26"/>
      <c r="H325" s="4"/>
      <c r="I325" s="25"/>
      <c r="J325" s="26"/>
      <c r="K325" s="59"/>
      <c r="S325" s="97" t="str">
        <f t="shared" si="40"/>
        <v/>
      </c>
      <c r="U325" s="97" t="str">
        <f t="shared" si="41"/>
        <v/>
      </c>
    </row>
    <row r="326" spans="1:21" x14ac:dyDescent="0.25">
      <c r="A326" s="98"/>
      <c r="B326" s="1"/>
      <c r="C326" s="25"/>
      <c r="D326" s="26"/>
      <c r="E326" s="4"/>
      <c r="F326" s="25"/>
      <c r="G326" s="26"/>
      <c r="H326" s="4"/>
      <c r="I326" s="25"/>
      <c r="J326" s="26"/>
      <c r="K326" s="59"/>
      <c r="S326" s="97" t="str">
        <f t="shared" si="40"/>
        <v/>
      </c>
      <c r="U326" s="97" t="str">
        <f t="shared" si="41"/>
        <v/>
      </c>
    </row>
    <row r="327" spans="1:21" x14ac:dyDescent="0.25">
      <c r="A327" s="98"/>
      <c r="B327" s="1"/>
      <c r="C327" s="25"/>
      <c r="D327" s="26"/>
      <c r="E327" s="4"/>
      <c r="F327" s="25"/>
      <c r="G327" s="26"/>
      <c r="H327" s="4"/>
      <c r="I327" s="25"/>
      <c r="J327" s="26"/>
      <c r="K327" s="59"/>
      <c r="S327" s="97" t="str">
        <f t="shared" si="40"/>
        <v/>
      </c>
      <c r="U327" s="97" t="str">
        <f t="shared" si="41"/>
        <v/>
      </c>
    </row>
    <row r="328" spans="1:21" x14ac:dyDescent="0.25">
      <c r="A328" s="98"/>
      <c r="B328" s="1"/>
      <c r="C328" s="25"/>
      <c r="D328" s="26"/>
      <c r="E328" s="4"/>
      <c r="F328" s="25"/>
      <c r="G328" s="26"/>
      <c r="H328" s="4"/>
      <c r="I328" s="25"/>
      <c r="J328" s="26"/>
      <c r="K328" s="59"/>
      <c r="S328" s="97" t="str">
        <f t="shared" si="40"/>
        <v/>
      </c>
      <c r="U328" s="97" t="str">
        <f t="shared" si="41"/>
        <v/>
      </c>
    </row>
    <row r="329" spans="1:21" x14ac:dyDescent="0.25">
      <c r="A329" s="98"/>
      <c r="B329" s="1"/>
      <c r="C329" s="25"/>
      <c r="D329" s="26"/>
      <c r="E329" s="4"/>
      <c r="F329" s="25"/>
      <c r="G329" s="26"/>
      <c r="H329" s="4"/>
      <c r="I329" s="25"/>
      <c r="J329" s="26"/>
      <c r="K329" s="59"/>
      <c r="S329" s="97" t="str">
        <f t="shared" si="40"/>
        <v/>
      </c>
      <c r="U329" s="97" t="str">
        <f t="shared" si="41"/>
        <v/>
      </c>
    </row>
    <row r="330" spans="1:21" x14ac:dyDescent="0.25">
      <c r="A330" s="98"/>
      <c r="B330" s="1"/>
      <c r="C330" s="25"/>
      <c r="D330" s="26"/>
      <c r="E330" s="4"/>
      <c r="F330" s="25"/>
      <c r="G330" s="26"/>
      <c r="H330" s="4"/>
      <c r="I330" s="25"/>
      <c r="J330" s="26"/>
      <c r="K330" s="59"/>
      <c r="S330" s="97" t="str">
        <f t="shared" si="40"/>
        <v/>
      </c>
      <c r="U330" s="97" t="str">
        <f t="shared" si="41"/>
        <v/>
      </c>
    </row>
    <row r="331" spans="1:21" x14ac:dyDescent="0.25">
      <c r="A331" s="98"/>
      <c r="B331" s="1"/>
      <c r="C331" s="25"/>
      <c r="D331" s="26"/>
      <c r="E331" s="4"/>
      <c r="F331" s="25"/>
      <c r="G331" s="26"/>
      <c r="H331" s="4"/>
      <c r="I331" s="25"/>
      <c r="J331" s="26"/>
      <c r="K331" s="59"/>
      <c r="S331" s="97" t="str">
        <f t="shared" si="40"/>
        <v/>
      </c>
      <c r="U331" s="97" t="str">
        <f t="shared" si="41"/>
        <v/>
      </c>
    </row>
    <row r="332" spans="1:21" x14ac:dyDescent="0.25">
      <c r="A332" s="98"/>
      <c r="B332" s="1"/>
      <c r="C332" s="25"/>
      <c r="D332" s="26"/>
      <c r="E332" s="4"/>
      <c r="F332" s="25"/>
      <c r="G332" s="26"/>
      <c r="H332" s="4"/>
      <c r="I332" s="25"/>
      <c r="J332" s="26"/>
      <c r="K332" s="59"/>
      <c r="S332" s="97" t="str">
        <f t="shared" si="40"/>
        <v/>
      </c>
      <c r="U332" s="97" t="str">
        <f t="shared" si="41"/>
        <v/>
      </c>
    </row>
    <row r="333" spans="1:21" x14ac:dyDescent="0.25">
      <c r="A333" s="98"/>
      <c r="B333" s="1"/>
      <c r="C333" s="25"/>
      <c r="D333" s="26"/>
      <c r="E333" s="4"/>
      <c r="F333" s="25"/>
      <c r="G333" s="26"/>
      <c r="H333" s="4"/>
      <c r="I333" s="25"/>
      <c r="J333" s="26"/>
      <c r="K333" s="59"/>
      <c r="S333" s="97" t="str">
        <f t="shared" si="40"/>
        <v/>
      </c>
      <c r="U333" s="97" t="str">
        <f t="shared" si="41"/>
        <v/>
      </c>
    </row>
    <row r="334" spans="1:21" x14ac:dyDescent="0.25">
      <c r="A334" s="98"/>
      <c r="B334" s="1"/>
      <c r="C334" s="25"/>
      <c r="D334" s="26"/>
      <c r="E334" s="4"/>
      <c r="F334" s="25"/>
      <c r="G334" s="26"/>
      <c r="H334" s="4"/>
      <c r="I334" s="25"/>
      <c r="J334" s="26"/>
      <c r="K334" s="59"/>
      <c r="S334" s="97" t="str">
        <f t="shared" si="40"/>
        <v/>
      </c>
      <c r="U334" s="97" t="str">
        <f t="shared" si="41"/>
        <v/>
      </c>
    </row>
    <row r="335" spans="1:21" x14ac:dyDescent="0.25">
      <c r="A335" s="98"/>
      <c r="B335" s="1"/>
      <c r="C335" s="25"/>
      <c r="D335" s="26"/>
      <c r="E335" s="4"/>
      <c r="F335" s="25"/>
      <c r="G335" s="26"/>
      <c r="H335" s="4"/>
      <c r="I335" s="25"/>
      <c r="J335" s="26"/>
      <c r="K335" s="59"/>
      <c r="S335" s="97" t="str">
        <f t="shared" si="40"/>
        <v/>
      </c>
      <c r="U335" s="97" t="str">
        <f t="shared" si="41"/>
        <v/>
      </c>
    </row>
    <row r="336" spans="1:21" x14ac:dyDescent="0.25">
      <c r="A336" s="98"/>
      <c r="B336" s="1"/>
      <c r="C336" s="25"/>
      <c r="D336" s="26"/>
      <c r="E336" s="4"/>
      <c r="F336" s="25"/>
      <c r="G336" s="26"/>
      <c r="H336" s="4"/>
      <c r="I336" s="25"/>
      <c r="J336" s="26"/>
      <c r="K336" s="59"/>
      <c r="S336" s="97" t="str">
        <f t="shared" si="40"/>
        <v/>
      </c>
      <c r="U336" s="97" t="str">
        <f t="shared" si="41"/>
        <v/>
      </c>
    </row>
    <row r="337" spans="1:21" x14ac:dyDescent="0.25">
      <c r="A337" s="98"/>
      <c r="B337" s="1"/>
      <c r="C337" s="25"/>
      <c r="D337" s="26"/>
      <c r="E337" s="4"/>
      <c r="F337" s="25"/>
      <c r="G337" s="26"/>
      <c r="H337" s="4"/>
      <c r="I337" s="25"/>
      <c r="J337" s="26"/>
      <c r="K337" s="59"/>
      <c r="S337" s="97" t="str">
        <f t="shared" si="40"/>
        <v/>
      </c>
      <c r="U337" s="97" t="str">
        <f t="shared" si="41"/>
        <v/>
      </c>
    </row>
    <row r="338" spans="1:21" x14ac:dyDescent="0.25">
      <c r="A338" s="98"/>
      <c r="B338" s="1"/>
      <c r="C338" s="25"/>
      <c r="D338" s="26"/>
      <c r="E338" s="4"/>
      <c r="F338" s="25"/>
      <c r="G338" s="26"/>
      <c r="H338" s="4"/>
      <c r="I338" s="25"/>
      <c r="J338" s="26"/>
      <c r="K338" s="59"/>
      <c r="S338" s="97" t="str">
        <f t="shared" si="40"/>
        <v/>
      </c>
      <c r="U338" s="97" t="str">
        <f t="shared" si="41"/>
        <v/>
      </c>
    </row>
    <row r="339" spans="1:21" x14ac:dyDescent="0.25">
      <c r="A339" s="98"/>
      <c r="B339" s="1"/>
      <c r="C339" s="25"/>
      <c r="D339" s="26"/>
      <c r="E339" s="4"/>
      <c r="F339" s="25"/>
      <c r="G339" s="26"/>
      <c r="H339" s="4"/>
      <c r="I339" s="25"/>
      <c r="J339" s="26"/>
      <c r="K339" s="59"/>
      <c r="S339" s="97" t="str">
        <f t="shared" si="40"/>
        <v/>
      </c>
      <c r="U339" s="97" t="str">
        <f t="shared" si="41"/>
        <v/>
      </c>
    </row>
    <row r="340" spans="1:21" x14ac:dyDescent="0.25">
      <c r="A340" s="98"/>
      <c r="B340" s="1"/>
      <c r="C340" s="25"/>
      <c r="D340" s="26"/>
      <c r="E340" s="4"/>
      <c r="F340" s="25"/>
      <c r="G340" s="26"/>
      <c r="H340" s="4"/>
      <c r="I340" s="25"/>
      <c r="J340" s="26"/>
      <c r="K340" s="59"/>
      <c r="S340" s="97" t="str">
        <f t="shared" si="40"/>
        <v/>
      </c>
      <c r="U340" s="97" t="str">
        <f t="shared" si="41"/>
        <v/>
      </c>
    </row>
    <row r="341" spans="1:21" x14ac:dyDescent="0.25">
      <c r="A341" s="98"/>
      <c r="B341" s="1"/>
      <c r="C341" s="25"/>
      <c r="D341" s="26"/>
      <c r="E341" s="4"/>
      <c r="F341" s="25"/>
      <c r="G341" s="26"/>
      <c r="H341" s="4"/>
      <c r="I341" s="25"/>
      <c r="J341" s="26"/>
      <c r="K341" s="59"/>
      <c r="S341" s="97" t="str">
        <f t="shared" si="40"/>
        <v/>
      </c>
      <c r="U341" s="97" t="str">
        <f t="shared" si="41"/>
        <v/>
      </c>
    </row>
    <row r="342" spans="1:21" x14ac:dyDescent="0.25">
      <c r="A342" s="98"/>
      <c r="B342" s="1"/>
      <c r="C342" s="25"/>
      <c r="D342" s="26"/>
      <c r="E342" s="4"/>
      <c r="F342" s="25"/>
      <c r="G342" s="26"/>
      <c r="H342" s="4"/>
      <c r="I342" s="25"/>
      <c r="J342" s="26"/>
      <c r="K342" s="59"/>
      <c r="S342" s="97" t="str">
        <f t="shared" si="40"/>
        <v/>
      </c>
      <c r="U342" s="97" t="str">
        <f t="shared" si="41"/>
        <v/>
      </c>
    </row>
    <row r="343" spans="1:21" x14ac:dyDescent="0.25">
      <c r="A343" s="98"/>
      <c r="B343" s="1"/>
      <c r="C343" s="25"/>
      <c r="D343" s="26"/>
      <c r="E343" s="4"/>
      <c r="F343" s="25"/>
      <c r="G343" s="26"/>
      <c r="H343" s="4"/>
      <c r="I343" s="25"/>
      <c r="J343" s="26"/>
      <c r="K343" s="59"/>
      <c r="S343" s="97" t="str">
        <f t="shared" si="40"/>
        <v/>
      </c>
      <c r="U343" s="97" t="str">
        <f t="shared" si="41"/>
        <v/>
      </c>
    </row>
    <row r="344" spans="1:21" x14ac:dyDescent="0.25">
      <c r="A344" s="98"/>
      <c r="B344" s="1"/>
      <c r="C344" s="25"/>
      <c r="D344" s="26"/>
      <c r="E344" s="4"/>
      <c r="F344" s="25"/>
      <c r="G344" s="26"/>
      <c r="H344" s="4"/>
      <c r="I344" s="25"/>
      <c r="J344" s="26"/>
      <c r="K344" s="59"/>
      <c r="S344" s="97" t="str">
        <f t="shared" si="40"/>
        <v/>
      </c>
      <c r="U344" s="97" t="str">
        <f t="shared" si="41"/>
        <v/>
      </c>
    </row>
    <row r="345" spans="1:21" x14ac:dyDescent="0.25">
      <c r="A345" s="98"/>
      <c r="B345" s="1"/>
      <c r="C345" s="25"/>
      <c r="D345" s="26"/>
      <c r="E345" s="4"/>
      <c r="F345" s="25"/>
      <c r="G345" s="26"/>
      <c r="H345" s="4"/>
      <c r="I345" s="25"/>
      <c r="J345" s="26"/>
      <c r="K345" s="59"/>
      <c r="S345" s="97" t="str">
        <f t="shared" si="40"/>
        <v/>
      </c>
      <c r="U345" s="97" t="str">
        <f t="shared" si="41"/>
        <v/>
      </c>
    </row>
    <row r="346" spans="1:21" x14ac:dyDescent="0.25">
      <c r="A346" s="98"/>
      <c r="B346" s="1"/>
      <c r="C346" s="25"/>
      <c r="D346" s="26"/>
      <c r="E346" s="4"/>
      <c r="F346" s="25"/>
      <c r="G346" s="26"/>
      <c r="H346" s="4"/>
      <c r="I346" s="25"/>
      <c r="J346" s="26"/>
      <c r="K346" s="59"/>
      <c r="S346" s="97" t="str">
        <f t="shared" si="40"/>
        <v/>
      </c>
      <c r="U346" s="97" t="str">
        <f t="shared" si="41"/>
        <v/>
      </c>
    </row>
    <row r="347" spans="1:21" x14ac:dyDescent="0.25">
      <c r="A347" s="98"/>
      <c r="B347" s="1"/>
      <c r="C347" s="25"/>
      <c r="D347" s="26"/>
      <c r="E347" s="4"/>
      <c r="F347" s="25"/>
      <c r="G347" s="26"/>
      <c r="H347" s="4"/>
      <c r="I347" s="25"/>
      <c r="J347" s="26"/>
      <c r="K347" s="59"/>
      <c r="S347" s="97" t="str">
        <f t="shared" si="40"/>
        <v/>
      </c>
      <c r="U347" s="97" t="str">
        <f t="shared" si="41"/>
        <v/>
      </c>
    </row>
    <row r="348" spans="1:21" x14ac:dyDescent="0.25">
      <c r="A348" s="98"/>
      <c r="B348" s="1"/>
      <c r="C348" s="25"/>
      <c r="D348" s="26"/>
      <c r="E348" s="4"/>
      <c r="F348" s="25"/>
      <c r="G348" s="26"/>
      <c r="H348" s="4"/>
      <c r="I348" s="25"/>
      <c r="J348" s="26"/>
      <c r="K348" s="59"/>
      <c r="S348" s="97" t="str">
        <f t="shared" si="40"/>
        <v/>
      </c>
      <c r="U348" s="97" t="str">
        <f t="shared" si="41"/>
        <v/>
      </c>
    </row>
    <row r="349" spans="1:21" x14ac:dyDescent="0.25">
      <c r="A349" s="98"/>
      <c r="B349" s="1"/>
      <c r="C349" s="25"/>
      <c r="D349" s="26"/>
      <c r="E349" s="4"/>
      <c r="F349" s="25"/>
      <c r="G349" s="26"/>
      <c r="H349" s="4"/>
      <c r="I349" s="25"/>
      <c r="J349" s="26"/>
      <c r="K349" s="59"/>
      <c r="S349" s="97" t="str">
        <f t="shared" si="40"/>
        <v/>
      </c>
      <c r="U349" s="97" t="str">
        <f t="shared" si="41"/>
        <v/>
      </c>
    </row>
    <row r="350" spans="1:21" x14ac:dyDescent="0.25">
      <c r="A350" s="98"/>
      <c r="B350" s="1"/>
      <c r="C350" s="25"/>
      <c r="D350" s="26"/>
      <c r="E350" s="4"/>
      <c r="F350" s="25"/>
      <c r="G350" s="26"/>
      <c r="H350" s="4"/>
      <c r="I350" s="25"/>
      <c r="J350" s="26"/>
      <c r="K350" s="59"/>
      <c r="S350" s="97" t="str">
        <f t="shared" si="40"/>
        <v/>
      </c>
      <c r="U350" s="97" t="str">
        <f t="shared" si="41"/>
        <v/>
      </c>
    </row>
    <row r="351" spans="1:21" x14ac:dyDescent="0.25">
      <c r="A351" s="98"/>
      <c r="B351" s="1"/>
      <c r="C351" s="25"/>
      <c r="D351" s="26"/>
      <c r="E351" s="4"/>
      <c r="F351" s="25"/>
      <c r="G351" s="26"/>
      <c r="H351" s="4"/>
      <c r="I351" s="25"/>
      <c r="J351" s="26"/>
      <c r="K351" s="59"/>
      <c r="S351" s="97" t="str">
        <f t="shared" si="40"/>
        <v/>
      </c>
      <c r="U351" s="97" t="str">
        <f t="shared" si="41"/>
        <v/>
      </c>
    </row>
    <row r="352" spans="1:21" x14ac:dyDescent="0.25">
      <c r="A352" s="98"/>
      <c r="B352" s="1"/>
      <c r="C352" s="25"/>
      <c r="D352" s="26"/>
      <c r="E352" s="4"/>
      <c r="F352" s="25"/>
      <c r="G352" s="26"/>
      <c r="H352" s="4"/>
      <c r="I352" s="25"/>
      <c r="J352" s="26"/>
      <c r="K352" s="59"/>
      <c r="S352" s="97" t="str">
        <f t="shared" si="40"/>
        <v/>
      </c>
      <c r="U352" s="97" t="str">
        <f t="shared" si="41"/>
        <v/>
      </c>
    </row>
    <row r="353" spans="1:21" x14ac:dyDescent="0.25">
      <c r="A353" s="98"/>
      <c r="B353" s="1"/>
      <c r="C353" s="25"/>
      <c r="D353" s="26"/>
      <c r="E353" s="4"/>
      <c r="F353" s="25"/>
      <c r="G353" s="26"/>
      <c r="H353" s="4"/>
      <c r="I353" s="25"/>
      <c r="J353" s="26"/>
      <c r="K353" s="59"/>
      <c r="S353" s="97" t="str">
        <f t="shared" si="40"/>
        <v/>
      </c>
      <c r="U353" s="97" t="str">
        <f t="shared" si="41"/>
        <v/>
      </c>
    </row>
    <row r="354" spans="1:21" x14ac:dyDescent="0.25">
      <c r="A354" s="98"/>
      <c r="B354" s="1"/>
      <c r="C354" s="25"/>
      <c r="D354" s="26"/>
      <c r="E354" s="4"/>
      <c r="F354" s="25"/>
      <c r="G354" s="26"/>
      <c r="H354" s="4"/>
      <c r="I354" s="25"/>
      <c r="J354" s="26"/>
      <c r="K354" s="59"/>
      <c r="S354" s="97" t="str">
        <f t="shared" si="40"/>
        <v/>
      </c>
      <c r="U354" s="97" t="str">
        <f t="shared" si="41"/>
        <v/>
      </c>
    </row>
    <row r="355" spans="1:21" x14ac:dyDescent="0.25">
      <c r="A355" s="98"/>
      <c r="B355" s="1"/>
      <c r="C355" s="25"/>
      <c r="D355" s="26"/>
      <c r="E355" s="4"/>
      <c r="F355" s="25"/>
      <c r="G355" s="26"/>
      <c r="H355" s="4"/>
      <c r="I355" s="25"/>
      <c r="J355" s="26"/>
      <c r="K355" s="59"/>
      <c r="S355" s="97" t="str">
        <f t="shared" si="40"/>
        <v/>
      </c>
      <c r="U355" s="97" t="str">
        <f t="shared" si="41"/>
        <v/>
      </c>
    </row>
    <row r="356" spans="1:21" x14ac:dyDescent="0.25">
      <c r="A356" s="98"/>
      <c r="B356" s="1"/>
      <c r="C356" s="25"/>
      <c r="D356" s="26"/>
      <c r="E356" s="4"/>
      <c r="F356" s="25"/>
      <c r="G356" s="26"/>
      <c r="H356" s="4"/>
      <c r="I356" s="25"/>
      <c r="J356" s="26"/>
      <c r="K356" s="59"/>
      <c r="S356" s="97" t="str">
        <f t="shared" si="40"/>
        <v/>
      </c>
      <c r="U356" s="97" t="str">
        <f t="shared" si="41"/>
        <v/>
      </c>
    </row>
    <row r="357" spans="1:21" x14ac:dyDescent="0.25">
      <c r="A357" s="98"/>
      <c r="B357" s="1"/>
      <c r="C357" s="25"/>
      <c r="D357" s="26"/>
      <c r="E357" s="4"/>
      <c r="F357" s="25"/>
      <c r="G357" s="26"/>
      <c r="H357" s="4"/>
      <c r="I357" s="25"/>
      <c r="J357" s="26"/>
      <c r="K357" s="59"/>
      <c r="S357" s="97" t="str">
        <f t="shared" si="40"/>
        <v/>
      </c>
      <c r="U357" s="97" t="str">
        <f t="shared" si="41"/>
        <v/>
      </c>
    </row>
    <row r="358" spans="1:21" x14ac:dyDescent="0.25">
      <c r="A358" s="98"/>
      <c r="B358" s="1"/>
      <c r="C358" s="25"/>
      <c r="D358" s="26"/>
      <c r="E358" s="4"/>
      <c r="F358" s="25"/>
      <c r="G358" s="26"/>
      <c r="H358" s="4"/>
      <c r="I358" s="25"/>
      <c r="J358" s="26"/>
      <c r="K358" s="59"/>
      <c r="S358" s="97" t="str">
        <f t="shared" si="40"/>
        <v/>
      </c>
      <c r="U358" s="97" t="str">
        <f t="shared" si="41"/>
        <v/>
      </c>
    </row>
    <row r="359" spans="1:21" x14ac:dyDescent="0.25">
      <c r="A359" s="98"/>
      <c r="B359" s="1"/>
      <c r="C359" s="25"/>
      <c r="D359" s="26"/>
      <c r="E359" s="4"/>
      <c r="F359" s="25"/>
      <c r="G359" s="26"/>
      <c r="H359" s="4"/>
      <c r="I359" s="25"/>
      <c r="J359" s="26"/>
      <c r="K359" s="59"/>
      <c r="S359" s="97" t="str">
        <f t="shared" si="40"/>
        <v/>
      </c>
      <c r="U359" s="97" t="str">
        <f t="shared" si="41"/>
        <v/>
      </c>
    </row>
    <row r="360" spans="1:21" x14ac:dyDescent="0.25">
      <c r="A360" s="98"/>
      <c r="B360" s="1"/>
      <c r="C360" s="25"/>
      <c r="D360" s="26"/>
      <c r="E360" s="4"/>
      <c r="F360" s="25"/>
      <c r="G360" s="26"/>
      <c r="H360" s="4"/>
      <c r="I360" s="25"/>
      <c r="J360" s="26"/>
      <c r="K360" s="59"/>
      <c r="S360" s="97" t="str">
        <f t="shared" si="40"/>
        <v/>
      </c>
      <c r="U360" s="97" t="str">
        <f t="shared" si="41"/>
        <v/>
      </c>
    </row>
    <row r="361" spans="1:21" x14ac:dyDescent="0.25">
      <c r="A361" s="98"/>
      <c r="B361" s="1"/>
      <c r="C361" s="25"/>
      <c r="D361" s="26"/>
      <c r="E361" s="4"/>
      <c r="F361" s="25"/>
      <c r="G361" s="26"/>
      <c r="H361" s="4"/>
      <c r="I361" s="25"/>
      <c r="J361" s="26"/>
      <c r="K361" s="59"/>
      <c r="S361" s="97" t="str">
        <f t="shared" si="40"/>
        <v/>
      </c>
      <c r="U361" s="97" t="str">
        <f t="shared" si="41"/>
        <v/>
      </c>
    </row>
    <row r="362" spans="1:21" x14ac:dyDescent="0.25">
      <c r="A362" s="98"/>
      <c r="B362" s="1"/>
      <c r="C362" s="25"/>
      <c r="D362" s="26"/>
      <c r="E362" s="4"/>
      <c r="F362" s="25"/>
      <c r="G362" s="26"/>
      <c r="H362" s="4"/>
      <c r="I362" s="25"/>
      <c r="J362" s="26"/>
      <c r="K362" s="59"/>
      <c r="S362" s="97" t="str">
        <f t="shared" si="40"/>
        <v/>
      </c>
      <c r="U362" s="97" t="str">
        <f t="shared" si="41"/>
        <v/>
      </c>
    </row>
    <row r="363" spans="1:21" x14ac:dyDescent="0.25">
      <c r="A363" s="98"/>
      <c r="B363" s="1"/>
      <c r="C363" s="25"/>
      <c r="D363" s="26"/>
      <c r="E363" s="4"/>
      <c r="F363" s="25"/>
      <c r="G363" s="26"/>
      <c r="H363" s="4"/>
      <c r="I363" s="25"/>
      <c r="J363" s="26"/>
      <c r="K363" s="59"/>
      <c r="S363" s="97" t="str">
        <f t="shared" si="40"/>
        <v/>
      </c>
      <c r="U363" s="97" t="str">
        <f t="shared" si="41"/>
        <v/>
      </c>
    </row>
    <row r="364" spans="1:21" x14ac:dyDescent="0.25">
      <c r="A364" s="98"/>
      <c r="B364" s="1"/>
      <c r="C364" s="25"/>
      <c r="D364" s="26"/>
      <c r="E364" s="4"/>
      <c r="F364" s="25"/>
      <c r="G364" s="26"/>
      <c r="H364" s="4"/>
      <c r="I364" s="25"/>
      <c r="J364" s="26"/>
      <c r="K364" s="59"/>
      <c r="S364" s="97" t="str">
        <f t="shared" si="40"/>
        <v/>
      </c>
      <c r="U364" s="97" t="str">
        <f t="shared" si="41"/>
        <v/>
      </c>
    </row>
    <row r="365" spans="1:21" x14ac:dyDescent="0.25">
      <c r="A365" s="98"/>
      <c r="B365" s="1"/>
      <c r="C365" s="25"/>
      <c r="D365" s="26"/>
      <c r="E365" s="4"/>
      <c r="F365" s="25"/>
      <c r="G365" s="26"/>
      <c r="H365" s="4"/>
      <c r="I365" s="25"/>
      <c r="J365" s="26"/>
      <c r="K365" s="59"/>
      <c r="S365" s="97" t="str">
        <f t="shared" si="40"/>
        <v/>
      </c>
      <c r="U365" s="97" t="str">
        <f t="shared" si="41"/>
        <v/>
      </c>
    </row>
    <row r="366" spans="1:21" x14ac:dyDescent="0.25">
      <c r="A366" s="98"/>
      <c r="B366" s="1"/>
      <c r="C366" s="25"/>
      <c r="D366" s="26"/>
      <c r="E366" s="4"/>
      <c r="F366" s="25"/>
      <c r="G366" s="26"/>
      <c r="H366" s="4"/>
      <c r="I366" s="25"/>
      <c r="J366" s="26"/>
      <c r="K366" s="59"/>
      <c r="S366" s="97" t="str">
        <f t="shared" si="40"/>
        <v/>
      </c>
      <c r="U366" s="97" t="str">
        <f t="shared" si="41"/>
        <v/>
      </c>
    </row>
    <row r="367" spans="1:21" x14ac:dyDescent="0.25">
      <c r="A367" s="98"/>
      <c r="B367" s="1"/>
      <c r="C367" s="25"/>
      <c r="D367" s="26"/>
      <c r="E367" s="4"/>
      <c r="F367" s="25"/>
      <c r="G367" s="26"/>
      <c r="H367" s="4"/>
      <c r="I367" s="25"/>
      <c r="J367" s="26"/>
      <c r="K367" s="59"/>
      <c r="S367" s="97" t="str">
        <f t="shared" si="40"/>
        <v/>
      </c>
      <c r="U367" s="97" t="str">
        <f t="shared" si="41"/>
        <v/>
      </c>
    </row>
    <row r="368" spans="1:21" x14ac:dyDescent="0.25">
      <c r="A368" s="98"/>
      <c r="B368" s="1"/>
      <c r="C368" s="25"/>
      <c r="D368" s="26"/>
      <c r="E368" s="4"/>
      <c r="F368" s="25"/>
      <c r="G368" s="26"/>
      <c r="H368" s="4"/>
      <c r="I368" s="25"/>
      <c r="J368" s="26"/>
      <c r="K368" s="59"/>
      <c r="S368" s="97" t="str">
        <f t="shared" si="40"/>
        <v/>
      </c>
      <c r="U368" s="97" t="str">
        <f t="shared" si="41"/>
        <v/>
      </c>
    </row>
    <row r="369" spans="1:21" x14ac:dyDescent="0.25">
      <c r="A369" s="98"/>
      <c r="B369" s="1"/>
      <c r="C369" s="25"/>
      <c r="D369" s="26"/>
      <c r="E369" s="4"/>
      <c r="F369" s="25"/>
      <c r="G369" s="26"/>
      <c r="H369" s="4"/>
      <c r="I369" s="25"/>
      <c r="J369" s="26"/>
      <c r="K369" s="59"/>
      <c r="S369" s="97" t="str">
        <f t="shared" si="40"/>
        <v/>
      </c>
      <c r="U369" s="97" t="str">
        <f t="shared" si="41"/>
        <v/>
      </c>
    </row>
    <row r="370" spans="1:21" x14ac:dyDescent="0.25">
      <c r="A370" s="98"/>
      <c r="B370" s="1"/>
      <c r="C370" s="25"/>
      <c r="D370" s="26"/>
      <c r="E370" s="4"/>
      <c r="F370" s="25"/>
      <c r="G370" s="26"/>
      <c r="H370" s="4"/>
      <c r="I370" s="25"/>
      <c r="J370" s="26"/>
      <c r="K370" s="59"/>
      <c r="S370" s="97" t="str">
        <f t="shared" si="40"/>
        <v/>
      </c>
      <c r="U370" s="97" t="str">
        <f t="shared" si="41"/>
        <v/>
      </c>
    </row>
    <row r="371" spans="1:21" x14ac:dyDescent="0.25">
      <c r="A371" s="98"/>
      <c r="B371" s="1"/>
      <c r="C371" s="25"/>
      <c r="D371" s="26"/>
      <c r="E371" s="4"/>
      <c r="F371" s="25"/>
      <c r="G371" s="26"/>
      <c r="H371" s="4"/>
      <c r="I371" s="25"/>
      <c r="J371" s="26"/>
      <c r="K371" s="59"/>
      <c r="S371" s="97" t="str">
        <f t="shared" si="40"/>
        <v/>
      </c>
      <c r="U371" s="97" t="str">
        <f t="shared" si="41"/>
        <v/>
      </c>
    </row>
    <row r="372" spans="1:21" x14ac:dyDescent="0.25">
      <c r="A372" s="98"/>
      <c r="B372" s="1"/>
      <c r="C372" s="25"/>
      <c r="D372" s="26"/>
      <c r="E372" s="4"/>
      <c r="F372" s="25"/>
      <c r="G372" s="26"/>
      <c r="H372" s="4"/>
      <c r="I372" s="25"/>
      <c r="J372" s="26"/>
      <c r="K372" s="59"/>
      <c r="S372" s="97" t="str">
        <f t="shared" si="40"/>
        <v/>
      </c>
      <c r="U372" s="97" t="str">
        <f t="shared" si="41"/>
        <v/>
      </c>
    </row>
    <row r="373" spans="1:21" x14ac:dyDescent="0.25">
      <c r="A373" s="98"/>
      <c r="B373" s="1"/>
      <c r="C373" s="25"/>
      <c r="D373" s="26"/>
      <c r="E373" s="4"/>
      <c r="F373" s="25"/>
      <c r="G373" s="26"/>
      <c r="H373" s="4"/>
      <c r="I373" s="25"/>
      <c r="J373" s="26"/>
      <c r="K373" s="59"/>
      <c r="S373" s="97" t="str">
        <f t="shared" si="40"/>
        <v/>
      </c>
      <c r="U373" s="97" t="str">
        <f t="shared" si="41"/>
        <v/>
      </c>
    </row>
    <row r="374" spans="1:21" x14ac:dyDescent="0.25">
      <c r="A374" s="98"/>
      <c r="B374" s="1"/>
      <c r="C374" s="25"/>
      <c r="D374" s="26"/>
      <c r="E374" s="4"/>
      <c r="F374" s="25"/>
      <c r="G374" s="26"/>
      <c r="H374" s="4"/>
      <c r="I374" s="25"/>
      <c r="J374" s="26"/>
      <c r="K374" s="59"/>
      <c r="S374" s="97" t="str">
        <f t="shared" si="40"/>
        <v/>
      </c>
      <c r="U374" s="97" t="str">
        <f t="shared" si="41"/>
        <v/>
      </c>
    </row>
    <row r="375" spans="1:21" x14ac:dyDescent="0.25">
      <c r="A375" s="98"/>
      <c r="B375" s="1"/>
      <c r="C375" s="25"/>
      <c r="D375" s="26"/>
      <c r="E375" s="4"/>
      <c r="F375" s="25"/>
      <c r="G375" s="26"/>
      <c r="H375" s="4"/>
      <c r="I375" s="25"/>
      <c r="J375" s="26"/>
      <c r="K375" s="59"/>
      <c r="S375" s="97" t="str">
        <f t="shared" si="40"/>
        <v/>
      </c>
      <c r="U375" s="97" t="str">
        <f t="shared" si="41"/>
        <v/>
      </c>
    </row>
    <row r="376" spans="1:21" x14ac:dyDescent="0.25">
      <c r="A376" s="98"/>
      <c r="B376" s="1"/>
      <c r="C376" s="25"/>
      <c r="D376" s="26"/>
      <c r="E376" s="4"/>
      <c r="F376" s="25"/>
      <c r="G376" s="26"/>
      <c r="H376" s="4"/>
      <c r="I376" s="25"/>
      <c r="J376" s="26"/>
      <c r="K376" s="59"/>
      <c r="S376" s="97" t="str">
        <f t="shared" si="40"/>
        <v/>
      </c>
      <c r="U376" s="97" t="str">
        <f t="shared" si="41"/>
        <v/>
      </c>
    </row>
    <row r="377" spans="1:21" x14ac:dyDescent="0.25">
      <c r="A377" s="98"/>
      <c r="B377" s="1"/>
      <c r="C377" s="25"/>
      <c r="D377" s="26"/>
      <c r="E377" s="4"/>
      <c r="F377" s="25"/>
      <c r="G377" s="26"/>
      <c r="H377" s="4"/>
      <c r="I377" s="25"/>
      <c r="J377" s="26"/>
      <c r="K377" s="59"/>
      <c r="S377" s="97" t="str">
        <f t="shared" si="40"/>
        <v/>
      </c>
      <c r="U377" s="97" t="str">
        <f t="shared" si="41"/>
        <v/>
      </c>
    </row>
    <row r="378" spans="1:21" x14ac:dyDescent="0.25">
      <c r="A378" s="98"/>
      <c r="B378" s="1"/>
      <c r="C378" s="25"/>
      <c r="D378" s="26"/>
      <c r="E378" s="4"/>
      <c r="F378" s="25"/>
      <c r="G378" s="26"/>
      <c r="H378" s="4"/>
      <c r="I378" s="25"/>
      <c r="J378" s="26"/>
      <c r="K378" s="59"/>
      <c r="S378" s="97" t="str">
        <f t="shared" si="40"/>
        <v/>
      </c>
      <c r="U378" s="97" t="str">
        <f t="shared" si="41"/>
        <v/>
      </c>
    </row>
    <row r="379" spans="1:21" x14ac:dyDescent="0.25">
      <c r="A379" s="98"/>
      <c r="B379" s="1"/>
      <c r="C379" s="25"/>
      <c r="D379" s="26"/>
      <c r="E379" s="4"/>
      <c r="F379" s="25"/>
      <c r="G379" s="26"/>
      <c r="H379" s="4"/>
      <c r="I379" s="25"/>
      <c r="J379" s="26"/>
      <c r="K379" s="59"/>
      <c r="S379" s="97" t="str">
        <f t="shared" si="40"/>
        <v/>
      </c>
      <c r="U379" s="97" t="str">
        <f t="shared" si="41"/>
        <v/>
      </c>
    </row>
    <row r="380" spans="1:21" x14ac:dyDescent="0.25">
      <c r="A380" s="98"/>
      <c r="B380" s="1"/>
      <c r="C380" s="25"/>
      <c r="D380" s="26"/>
      <c r="E380" s="4"/>
      <c r="F380" s="25"/>
      <c r="G380" s="26"/>
      <c r="H380" s="4"/>
      <c r="I380" s="25"/>
      <c r="J380" s="26"/>
      <c r="K380" s="59"/>
      <c r="S380" s="97" t="str">
        <f t="shared" si="40"/>
        <v/>
      </c>
      <c r="U380" s="97" t="str">
        <f t="shared" si="41"/>
        <v/>
      </c>
    </row>
    <row r="381" spans="1:21" x14ac:dyDescent="0.25">
      <c r="A381" s="98"/>
      <c r="B381" s="1"/>
      <c r="C381" s="25"/>
      <c r="D381" s="26"/>
      <c r="E381" s="4"/>
      <c r="F381" s="25"/>
      <c r="G381" s="26"/>
      <c r="H381" s="4"/>
      <c r="I381" s="25"/>
      <c r="J381" s="26"/>
      <c r="K381" s="59"/>
      <c r="S381" s="97" t="str">
        <f t="shared" si="40"/>
        <v/>
      </c>
      <c r="U381" s="97" t="str">
        <f t="shared" si="41"/>
        <v/>
      </c>
    </row>
    <row r="382" spans="1:21" x14ac:dyDescent="0.25">
      <c r="A382" s="98"/>
      <c r="B382" s="1"/>
      <c r="C382" s="25"/>
      <c r="D382" s="26"/>
      <c r="E382" s="4"/>
      <c r="F382" s="25"/>
      <c r="G382" s="26"/>
      <c r="H382" s="4"/>
      <c r="I382" s="25"/>
      <c r="J382" s="26"/>
      <c r="K382" s="59"/>
      <c r="S382" s="97" t="str">
        <f t="shared" si="40"/>
        <v/>
      </c>
      <c r="U382" s="97" t="str">
        <f t="shared" si="41"/>
        <v/>
      </c>
    </row>
    <row r="383" spans="1:21" x14ac:dyDescent="0.25">
      <c r="A383" s="98"/>
      <c r="B383" s="1"/>
      <c r="C383" s="25"/>
      <c r="D383" s="26"/>
      <c r="E383" s="4"/>
      <c r="F383" s="25"/>
      <c r="G383" s="26"/>
      <c r="H383" s="4"/>
      <c r="I383" s="25"/>
      <c r="J383" s="26"/>
      <c r="K383" s="59"/>
      <c r="S383" s="97" t="str">
        <f t="shared" si="40"/>
        <v/>
      </c>
      <c r="U383" s="97" t="str">
        <f t="shared" si="41"/>
        <v/>
      </c>
    </row>
    <row r="384" spans="1:21" x14ac:dyDescent="0.25">
      <c r="A384" s="98"/>
      <c r="B384" s="1"/>
      <c r="C384" s="25"/>
      <c r="D384" s="26"/>
      <c r="E384" s="4"/>
      <c r="F384" s="25"/>
      <c r="G384" s="26"/>
      <c r="H384" s="4"/>
      <c r="I384" s="25"/>
      <c r="J384" s="26"/>
      <c r="K384" s="59"/>
      <c r="S384" s="97" t="str">
        <f t="shared" si="40"/>
        <v/>
      </c>
      <c r="U384" s="97" t="str">
        <f t="shared" si="41"/>
        <v/>
      </c>
    </row>
    <row r="385" spans="1:21" x14ac:dyDescent="0.25">
      <c r="A385" s="98"/>
      <c r="B385" s="1"/>
      <c r="C385" s="25"/>
      <c r="D385" s="26"/>
      <c r="E385" s="4"/>
      <c r="F385" s="25"/>
      <c r="G385" s="26"/>
      <c r="H385" s="4"/>
      <c r="I385" s="25"/>
      <c r="J385" s="26"/>
      <c r="K385" s="59"/>
      <c r="S385" s="97" t="str">
        <f t="shared" si="40"/>
        <v/>
      </c>
      <c r="U385" s="97" t="str">
        <f t="shared" si="41"/>
        <v/>
      </c>
    </row>
    <row r="386" spans="1:21" x14ac:dyDescent="0.25">
      <c r="A386" s="98"/>
      <c r="B386" s="1"/>
      <c r="C386" s="25"/>
      <c r="D386" s="26"/>
      <c r="E386" s="4"/>
      <c r="F386" s="25"/>
      <c r="G386" s="26"/>
      <c r="H386" s="4"/>
      <c r="I386" s="25"/>
      <c r="J386" s="26"/>
      <c r="K386" s="59"/>
      <c r="S386" s="97" t="str">
        <f t="shared" si="40"/>
        <v/>
      </c>
      <c r="U386" s="97" t="str">
        <f t="shared" si="41"/>
        <v/>
      </c>
    </row>
    <row r="387" spans="1:21" x14ac:dyDescent="0.25">
      <c r="A387" s="98"/>
      <c r="B387" s="1"/>
      <c r="C387" s="25"/>
      <c r="D387" s="26"/>
      <c r="E387" s="4"/>
      <c r="F387" s="25"/>
      <c r="G387" s="26"/>
      <c r="H387" s="4"/>
      <c r="I387" s="25"/>
      <c r="J387" s="26"/>
      <c r="K387" s="59"/>
      <c r="S387" s="97" t="str">
        <f t="shared" si="40"/>
        <v/>
      </c>
      <c r="U387" s="97" t="str">
        <f t="shared" si="41"/>
        <v/>
      </c>
    </row>
    <row r="388" spans="1:21" x14ac:dyDescent="0.25">
      <c r="A388" s="98"/>
      <c r="B388" s="1"/>
      <c r="C388" s="25"/>
      <c r="D388" s="26"/>
      <c r="E388" s="4"/>
      <c r="F388" s="25"/>
      <c r="G388" s="26"/>
      <c r="H388" s="4"/>
      <c r="I388" s="25"/>
      <c r="J388" s="26"/>
      <c r="K388" s="59"/>
      <c r="S388" s="97" t="str">
        <f t="shared" ref="S388:S451" si="42">IF(COUNTIF(O:O,M388)*COUNTIF(Q:Q,M388),M388,"")</f>
        <v/>
      </c>
      <c r="U388" s="97" t="str">
        <f t="shared" ref="U388:U451" si="43">IF(T388&gt;$A$14,T388,"")</f>
        <v/>
      </c>
    </row>
    <row r="389" spans="1:21" x14ac:dyDescent="0.25">
      <c r="A389" s="98"/>
      <c r="B389" s="1"/>
      <c r="C389" s="25"/>
      <c r="D389" s="26"/>
      <c r="E389" s="4"/>
      <c r="F389" s="25"/>
      <c r="G389" s="26"/>
      <c r="H389" s="4"/>
      <c r="I389" s="25"/>
      <c r="J389" s="26"/>
      <c r="K389" s="59"/>
      <c r="S389" s="97" t="str">
        <f t="shared" si="42"/>
        <v/>
      </c>
      <c r="U389" s="97" t="str">
        <f t="shared" si="43"/>
        <v/>
      </c>
    </row>
    <row r="390" spans="1:21" x14ac:dyDescent="0.25">
      <c r="A390" s="98"/>
      <c r="B390" s="1"/>
      <c r="C390" s="25"/>
      <c r="D390" s="26"/>
      <c r="E390" s="4"/>
      <c r="F390" s="25"/>
      <c r="G390" s="26"/>
      <c r="H390" s="4"/>
      <c r="I390" s="25"/>
      <c r="J390" s="26"/>
      <c r="K390" s="59"/>
      <c r="S390" s="97" t="str">
        <f t="shared" si="42"/>
        <v/>
      </c>
      <c r="U390" s="97" t="str">
        <f t="shared" si="43"/>
        <v/>
      </c>
    </row>
    <row r="391" spans="1:21" x14ac:dyDescent="0.25">
      <c r="A391" s="98"/>
      <c r="B391" s="1"/>
      <c r="C391" s="25"/>
      <c r="D391" s="26"/>
      <c r="E391" s="4"/>
      <c r="F391" s="25"/>
      <c r="G391" s="26"/>
      <c r="H391" s="4"/>
      <c r="I391" s="25"/>
      <c r="J391" s="26"/>
      <c r="K391" s="59"/>
      <c r="S391" s="97" t="str">
        <f t="shared" si="42"/>
        <v/>
      </c>
      <c r="U391" s="97" t="str">
        <f t="shared" si="43"/>
        <v/>
      </c>
    </row>
    <row r="392" spans="1:21" x14ac:dyDescent="0.25">
      <c r="A392" s="98"/>
      <c r="B392" s="1"/>
      <c r="C392" s="25"/>
      <c r="D392" s="26"/>
      <c r="E392" s="4"/>
      <c r="F392" s="25"/>
      <c r="G392" s="26"/>
      <c r="H392" s="4"/>
      <c r="I392" s="25"/>
      <c r="J392" s="26"/>
      <c r="K392" s="59"/>
      <c r="S392" s="97" t="str">
        <f t="shared" si="42"/>
        <v/>
      </c>
      <c r="U392" s="97" t="str">
        <f t="shared" si="43"/>
        <v/>
      </c>
    </row>
    <row r="393" spans="1:21" x14ac:dyDescent="0.25">
      <c r="A393" s="98"/>
      <c r="B393" s="1"/>
      <c r="C393" s="25"/>
      <c r="D393" s="26"/>
      <c r="E393" s="4"/>
      <c r="F393" s="25"/>
      <c r="G393" s="26"/>
      <c r="H393" s="4"/>
      <c r="I393" s="25"/>
      <c r="J393" s="26"/>
      <c r="K393" s="59"/>
      <c r="S393" s="97" t="str">
        <f t="shared" si="42"/>
        <v/>
      </c>
      <c r="U393" s="97" t="str">
        <f t="shared" si="43"/>
        <v/>
      </c>
    </row>
    <row r="394" spans="1:21" x14ac:dyDescent="0.25">
      <c r="A394" s="98"/>
      <c r="B394" s="1"/>
      <c r="C394" s="25"/>
      <c r="D394" s="26"/>
      <c r="E394" s="4"/>
      <c r="F394" s="25"/>
      <c r="G394" s="26"/>
      <c r="H394" s="4"/>
      <c r="I394" s="25"/>
      <c r="J394" s="26"/>
      <c r="K394" s="59"/>
      <c r="S394" s="97" t="str">
        <f t="shared" si="42"/>
        <v/>
      </c>
      <c r="U394" s="97" t="str">
        <f t="shared" si="43"/>
        <v/>
      </c>
    </row>
    <row r="395" spans="1:21" x14ac:dyDescent="0.25">
      <c r="A395" s="98"/>
      <c r="B395" s="1"/>
      <c r="C395" s="25"/>
      <c r="D395" s="26"/>
      <c r="E395" s="4"/>
      <c r="F395" s="25"/>
      <c r="G395" s="26"/>
      <c r="H395" s="4"/>
      <c r="I395" s="25"/>
      <c r="J395" s="26"/>
      <c r="K395" s="59"/>
      <c r="S395" s="97" t="str">
        <f t="shared" si="42"/>
        <v/>
      </c>
      <c r="U395" s="97" t="str">
        <f t="shared" si="43"/>
        <v/>
      </c>
    </row>
    <row r="396" spans="1:21" x14ac:dyDescent="0.25">
      <c r="A396" s="98"/>
      <c r="B396" s="1"/>
      <c r="C396" s="25"/>
      <c r="D396" s="26"/>
      <c r="E396" s="4"/>
      <c r="F396" s="25"/>
      <c r="G396" s="26"/>
      <c r="H396" s="4"/>
      <c r="I396" s="25"/>
      <c r="J396" s="26"/>
      <c r="K396" s="59"/>
      <c r="S396" s="97" t="str">
        <f t="shared" si="42"/>
        <v/>
      </c>
      <c r="U396" s="97" t="str">
        <f t="shared" si="43"/>
        <v/>
      </c>
    </row>
    <row r="397" spans="1:21" x14ac:dyDescent="0.25">
      <c r="A397" s="98"/>
      <c r="B397" s="1"/>
      <c r="C397" s="25"/>
      <c r="D397" s="26"/>
      <c r="E397" s="4"/>
      <c r="F397" s="25"/>
      <c r="G397" s="26"/>
      <c r="H397" s="4"/>
      <c r="I397" s="25"/>
      <c r="J397" s="26"/>
      <c r="K397" s="59"/>
      <c r="S397" s="97" t="str">
        <f t="shared" si="42"/>
        <v/>
      </c>
      <c r="U397" s="97" t="str">
        <f t="shared" si="43"/>
        <v/>
      </c>
    </row>
    <row r="398" spans="1:21" x14ac:dyDescent="0.25">
      <c r="A398" s="98"/>
      <c r="B398" s="1"/>
      <c r="C398" s="25"/>
      <c r="D398" s="26"/>
      <c r="E398" s="4"/>
      <c r="F398" s="25"/>
      <c r="G398" s="26"/>
      <c r="H398" s="4"/>
      <c r="I398" s="25"/>
      <c r="J398" s="26"/>
      <c r="K398" s="59"/>
      <c r="S398" s="97" t="str">
        <f t="shared" si="42"/>
        <v/>
      </c>
      <c r="U398" s="97" t="str">
        <f t="shared" si="43"/>
        <v/>
      </c>
    </row>
    <row r="399" spans="1:21" x14ac:dyDescent="0.25">
      <c r="A399" s="98"/>
      <c r="B399" s="1"/>
      <c r="C399" s="25"/>
      <c r="D399" s="26"/>
      <c r="E399" s="4"/>
      <c r="F399" s="25"/>
      <c r="G399" s="26"/>
      <c r="H399" s="4"/>
      <c r="I399" s="25"/>
      <c r="J399" s="26"/>
      <c r="K399" s="59"/>
      <c r="S399" s="97" t="str">
        <f t="shared" si="42"/>
        <v/>
      </c>
      <c r="U399" s="97" t="str">
        <f t="shared" si="43"/>
        <v/>
      </c>
    </row>
    <row r="400" spans="1:21" x14ac:dyDescent="0.25">
      <c r="A400" s="98"/>
      <c r="B400" s="1"/>
      <c r="C400" s="25"/>
      <c r="D400" s="26"/>
      <c r="E400" s="4"/>
      <c r="F400" s="25"/>
      <c r="G400" s="26"/>
      <c r="H400" s="4"/>
      <c r="I400" s="25"/>
      <c r="J400" s="26"/>
      <c r="K400" s="59"/>
      <c r="S400" s="97" t="str">
        <f t="shared" si="42"/>
        <v/>
      </c>
      <c r="U400" s="97" t="str">
        <f t="shared" si="43"/>
        <v/>
      </c>
    </row>
    <row r="401" spans="1:21" x14ac:dyDescent="0.25">
      <c r="A401" s="98"/>
      <c r="B401" s="1"/>
      <c r="C401" s="25"/>
      <c r="D401" s="26"/>
      <c r="E401" s="4"/>
      <c r="F401" s="25"/>
      <c r="G401" s="26"/>
      <c r="H401" s="4"/>
      <c r="I401" s="25"/>
      <c r="J401" s="26"/>
      <c r="K401" s="59"/>
      <c r="S401" s="97" t="str">
        <f t="shared" si="42"/>
        <v/>
      </c>
      <c r="U401" s="97" t="str">
        <f t="shared" si="43"/>
        <v/>
      </c>
    </row>
    <row r="402" spans="1:21" x14ac:dyDescent="0.25">
      <c r="A402" s="98"/>
      <c r="B402" s="1"/>
      <c r="C402" s="25"/>
      <c r="D402" s="26"/>
      <c r="E402" s="4"/>
      <c r="F402" s="25"/>
      <c r="G402" s="26"/>
      <c r="H402" s="4"/>
      <c r="I402" s="25"/>
      <c r="J402" s="26"/>
      <c r="K402" s="59"/>
      <c r="S402" s="97" t="str">
        <f t="shared" si="42"/>
        <v/>
      </c>
      <c r="U402" s="97" t="str">
        <f t="shared" si="43"/>
        <v/>
      </c>
    </row>
    <row r="403" spans="1:21" x14ac:dyDescent="0.25">
      <c r="A403" s="98"/>
      <c r="B403" s="1"/>
      <c r="C403" s="25"/>
      <c r="D403" s="26"/>
      <c r="E403" s="4"/>
      <c r="F403" s="25"/>
      <c r="G403" s="26"/>
      <c r="H403" s="4"/>
      <c r="I403" s="25"/>
      <c r="J403" s="26"/>
      <c r="K403" s="59"/>
      <c r="S403" s="97" t="str">
        <f t="shared" si="42"/>
        <v/>
      </c>
      <c r="U403" s="97" t="str">
        <f t="shared" si="43"/>
        <v/>
      </c>
    </row>
    <row r="404" spans="1:21" x14ac:dyDescent="0.25">
      <c r="A404" s="98"/>
      <c r="B404" s="1"/>
      <c r="C404" s="25"/>
      <c r="D404" s="26"/>
      <c r="E404" s="4"/>
      <c r="F404" s="25"/>
      <c r="G404" s="26"/>
      <c r="H404" s="4"/>
      <c r="I404" s="25"/>
      <c r="J404" s="26"/>
      <c r="K404" s="59"/>
      <c r="S404" s="97" t="str">
        <f t="shared" si="42"/>
        <v/>
      </c>
      <c r="U404" s="97" t="str">
        <f t="shared" si="43"/>
        <v/>
      </c>
    </row>
    <row r="405" spans="1:21" x14ac:dyDescent="0.25">
      <c r="A405" s="98"/>
      <c r="B405" s="1"/>
      <c r="C405" s="25"/>
      <c r="D405" s="26"/>
      <c r="E405" s="4"/>
      <c r="F405" s="25"/>
      <c r="G405" s="26"/>
      <c r="H405" s="4"/>
      <c r="I405" s="25"/>
      <c r="J405" s="26"/>
      <c r="K405" s="59"/>
      <c r="S405" s="97" t="str">
        <f t="shared" si="42"/>
        <v/>
      </c>
      <c r="U405" s="97" t="str">
        <f t="shared" si="43"/>
        <v/>
      </c>
    </row>
    <row r="406" spans="1:21" x14ac:dyDescent="0.25">
      <c r="A406" s="98"/>
      <c r="B406" s="1"/>
      <c r="C406" s="25"/>
      <c r="D406" s="26"/>
      <c r="E406" s="4"/>
      <c r="F406" s="25"/>
      <c r="G406" s="26"/>
      <c r="H406" s="4"/>
      <c r="I406" s="25"/>
      <c r="J406" s="26"/>
      <c r="K406" s="59"/>
      <c r="S406" s="97" t="str">
        <f t="shared" si="42"/>
        <v/>
      </c>
      <c r="U406" s="97" t="str">
        <f t="shared" si="43"/>
        <v/>
      </c>
    </row>
    <row r="407" spans="1:21" x14ac:dyDescent="0.25">
      <c r="A407" s="98"/>
      <c r="B407" s="1"/>
      <c r="C407" s="25"/>
      <c r="D407" s="26"/>
      <c r="E407" s="4"/>
      <c r="F407" s="25"/>
      <c r="G407" s="26"/>
      <c r="H407" s="4"/>
      <c r="I407" s="25"/>
      <c r="J407" s="26"/>
      <c r="K407" s="59"/>
      <c r="S407" s="97" t="str">
        <f t="shared" si="42"/>
        <v/>
      </c>
      <c r="U407" s="97" t="str">
        <f t="shared" si="43"/>
        <v/>
      </c>
    </row>
    <row r="408" spans="1:21" x14ac:dyDescent="0.25">
      <c r="A408" s="98"/>
      <c r="B408" s="1"/>
      <c r="C408" s="25"/>
      <c r="D408" s="26"/>
      <c r="E408" s="4"/>
      <c r="F408" s="25"/>
      <c r="G408" s="26"/>
      <c r="H408" s="4"/>
      <c r="I408" s="25"/>
      <c r="J408" s="26"/>
      <c r="K408" s="59"/>
      <c r="S408" s="97" t="str">
        <f t="shared" si="42"/>
        <v/>
      </c>
      <c r="U408" s="97" t="str">
        <f t="shared" si="43"/>
        <v/>
      </c>
    </row>
    <row r="409" spans="1:21" x14ac:dyDescent="0.25">
      <c r="A409" s="98"/>
      <c r="B409" s="1"/>
      <c r="C409" s="25"/>
      <c r="D409" s="26"/>
      <c r="E409" s="4"/>
      <c r="F409" s="25"/>
      <c r="G409" s="26"/>
      <c r="H409" s="4"/>
      <c r="I409" s="25"/>
      <c r="J409" s="26"/>
      <c r="K409" s="59"/>
      <c r="S409" s="97" t="str">
        <f t="shared" si="42"/>
        <v/>
      </c>
      <c r="U409" s="97" t="str">
        <f t="shared" si="43"/>
        <v/>
      </c>
    </row>
    <row r="410" spans="1:21" x14ac:dyDescent="0.25">
      <c r="A410" s="98"/>
      <c r="B410" s="1"/>
      <c r="C410" s="25"/>
      <c r="D410" s="26"/>
      <c r="E410" s="4"/>
      <c r="F410" s="25"/>
      <c r="G410" s="26"/>
      <c r="H410" s="4"/>
      <c r="I410" s="25"/>
      <c r="J410" s="26"/>
      <c r="K410" s="59"/>
      <c r="S410" s="97" t="str">
        <f t="shared" si="42"/>
        <v/>
      </c>
      <c r="U410" s="97" t="str">
        <f t="shared" si="43"/>
        <v/>
      </c>
    </row>
    <row r="411" spans="1:21" x14ac:dyDescent="0.25">
      <c r="A411" s="98"/>
      <c r="B411" s="1"/>
      <c r="C411" s="25"/>
      <c r="D411" s="26"/>
      <c r="E411" s="4"/>
      <c r="F411" s="25"/>
      <c r="G411" s="26"/>
      <c r="H411" s="4"/>
      <c r="I411" s="25"/>
      <c r="J411" s="26"/>
      <c r="K411" s="59"/>
      <c r="S411" s="97" t="str">
        <f t="shared" si="42"/>
        <v/>
      </c>
      <c r="U411" s="97" t="str">
        <f t="shared" si="43"/>
        <v/>
      </c>
    </row>
    <row r="412" spans="1:21" x14ac:dyDescent="0.25">
      <c r="A412" s="98"/>
      <c r="B412" s="1"/>
      <c r="C412" s="25"/>
      <c r="D412" s="26"/>
      <c r="E412" s="4"/>
      <c r="F412" s="25"/>
      <c r="G412" s="26"/>
      <c r="H412" s="4"/>
      <c r="I412" s="25"/>
      <c r="J412" s="26"/>
      <c r="K412" s="59"/>
      <c r="S412" s="97" t="str">
        <f t="shared" si="42"/>
        <v/>
      </c>
      <c r="U412" s="97" t="str">
        <f t="shared" si="43"/>
        <v/>
      </c>
    </row>
    <row r="413" spans="1:21" x14ac:dyDescent="0.25">
      <c r="A413" s="98"/>
      <c r="B413" s="1"/>
      <c r="C413" s="25"/>
      <c r="D413" s="26"/>
      <c r="E413" s="4"/>
      <c r="F413" s="25"/>
      <c r="G413" s="26"/>
      <c r="H413" s="4"/>
      <c r="I413" s="25"/>
      <c r="J413" s="26"/>
      <c r="K413" s="59"/>
      <c r="S413" s="97" t="str">
        <f t="shared" si="42"/>
        <v/>
      </c>
      <c r="U413" s="97" t="str">
        <f t="shared" si="43"/>
        <v/>
      </c>
    </row>
    <row r="414" spans="1:21" x14ac:dyDescent="0.25">
      <c r="A414" s="98"/>
      <c r="B414" s="1"/>
      <c r="C414" s="25"/>
      <c r="D414" s="26"/>
      <c r="E414" s="4"/>
      <c r="F414" s="25"/>
      <c r="G414" s="26"/>
      <c r="H414" s="4"/>
      <c r="I414" s="25"/>
      <c r="J414" s="26"/>
      <c r="K414" s="59"/>
      <c r="S414" s="97" t="str">
        <f t="shared" si="42"/>
        <v/>
      </c>
      <c r="U414" s="97" t="str">
        <f t="shared" si="43"/>
        <v/>
      </c>
    </row>
    <row r="415" spans="1:21" x14ac:dyDescent="0.25">
      <c r="A415" s="98"/>
      <c r="B415" s="1"/>
      <c r="C415" s="25"/>
      <c r="D415" s="26"/>
      <c r="E415" s="4"/>
      <c r="F415" s="25"/>
      <c r="G415" s="26"/>
      <c r="H415" s="4"/>
      <c r="I415" s="25"/>
      <c r="J415" s="26"/>
      <c r="K415" s="59"/>
      <c r="S415" s="97" t="str">
        <f t="shared" si="42"/>
        <v/>
      </c>
      <c r="U415" s="97" t="str">
        <f t="shared" si="43"/>
        <v/>
      </c>
    </row>
    <row r="416" spans="1:21" x14ac:dyDescent="0.25">
      <c r="A416" s="98"/>
      <c r="B416" s="1"/>
      <c r="C416" s="25"/>
      <c r="D416" s="26"/>
      <c r="E416" s="4"/>
      <c r="F416" s="25"/>
      <c r="G416" s="26"/>
      <c r="H416" s="4"/>
      <c r="I416" s="25"/>
      <c r="J416" s="26"/>
      <c r="K416" s="59"/>
      <c r="S416" s="97" t="str">
        <f t="shared" si="42"/>
        <v/>
      </c>
      <c r="U416" s="97" t="str">
        <f t="shared" si="43"/>
        <v/>
      </c>
    </row>
    <row r="417" spans="1:21" x14ac:dyDescent="0.25">
      <c r="A417" s="98"/>
      <c r="B417" s="1"/>
      <c r="C417" s="25"/>
      <c r="D417" s="26"/>
      <c r="E417" s="4"/>
      <c r="F417" s="25"/>
      <c r="G417" s="26"/>
      <c r="H417" s="4"/>
      <c r="I417" s="25"/>
      <c r="J417" s="26"/>
      <c r="K417" s="59"/>
      <c r="S417" s="97" t="str">
        <f t="shared" si="42"/>
        <v/>
      </c>
      <c r="U417" s="97" t="str">
        <f t="shared" si="43"/>
        <v/>
      </c>
    </row>
    <row r="418" spans="1:21" x14ac:dyDescent="0.25">
      <c r="A418" s="98"/>
      <c r="B418" s="1"/>
      <c r="C418" s="25"/>
      <c r="D418" s="26"/>
      <c r="E418" s="4"/>
      <c r="F418" s="25"/>
      <c r="G418" s="26"/>
      <c r="H418" s="4"/>
      <c r="I418" s="25"/>
      <c r="J418" s="26"/>
      <c r="K418" s="59"/>
      <c r="S418" s="97" t="str">
        <f t="shared" si="42"/>
        <v/>
      </c>
      <c r="U418" s="97" t="str">
        <f t="shared" si="43"/>
        <v/>
      </c>
    </row>
    <row r="419" spans="1:21" x14ac:dyDescent="0.25">
      <c r="A419" s="98"/>
      <c r="B419" s="1"/>
      <c r="C419" s="25"/>
      <c r="D419" s="26"/>
      <c r="E419" s="4"/>
      <c r="F419" s="25"/>
      <c r="G419" s="26"/>
      <c r="H419" s="4"/>
      <c r="I419" s="25"/>
      <c r="J419" s="26"/>
      <c r="K419" s="59"/>
      <c r="S419" s="97" t="str">
        <f t="shared" si="42"/>
        <v/>
      </c>
      <c r="U419" s="97" t="str">
        <f t="shared" si="43"/>
        <v/>
      </c>
    </row>
    <row r="420" spans="1:21" x14ac:dyDescent="0.25">
      <c r="A420" s="98"/>
      <c r="B420" s="1"/>
      <c r="C420" s="25"/>
      <c r="D420" s="26"/>
      <c r="E420" s="4"/>
      <c r="F420" s="25"/>
      <c r="G420" s="26"/>
      <c r="H420" s="4"/>
      <c r="I420" s="25"/>
      <c r="J420" s="26"/>
      <c r="K420" s="59"/>
      <c r="S420" s="97" t="str">
        <f t="shared" si="42"/>
        <v/>
      </c>
      <c r="U420" s="97" t="str">
        <f t="shared" si="43"/>
        <v/>
      </c>
    </row>
    <row r="421" spans="1:21" x14ac:dyDescent="0.25">
      <c r="A421" s="98"/>
      <c r="B421" s="1"/>
      <c r="C421" s="25"/>
      <c r="D421" s="26"/>
      <c r="E421" s="4"/>
      <c r="F421" s="25"/>
      <c r="G421" s="26"/>
      <c r="H421" s="4"/>
      <c r="I421" s="25"/>
      <c r="J421" s="26"/>
      <c r="K421" s="59"/>
      <c r="S421" s="97" t="str">
        <f t="shared" si="42"/>
        <v/>
      </c>
      <c r="U421" s="97" t="str">
        <f t="shared" si="43"/>
        <v/>
      </c>
    </row>
    <row r="422" spans="1:21" x14ac:dyDescent="0.25">
      <c r="A422" s="98"/>
      <c r="B422" s="1"/>
      <c r="C422" s="25"/>
      <c r="D422" s="26"/>
      <c r="E422" s="4"/>
      <c r="F422" s="25"/>
      <c r="G422" s="26"/>
      <c r="H422" s="4"/>
      <c r="I422" s="25"/>
      <c r="J422" s="26"/>
      <c r="K422" s="59"/>
      <c r="S422" s="97" t="str">
        <f t="shared" si="42"/>
        <v/>
      </c>
      <c r="U422" s="97" t="str">
        <f t="shared" si="43"/>
        <v/>
      </c>
    </row>
    <row r="423" spans="1:21" x14ac:dyDescent="0.25">
      <c r="A423" s="98"/>
      <c r="B423" s="1"/>
      <c r="C423" s="25"/>
      <c r="D423" s="26"/>
      <c r="E423" s="4"/>
      <c r="F423" s="25"/>
      <c r="G423" s="26"/>
      <c r="H423" s="4"/>
      <c r="I423" s="25"/>
      <c r="J423" s="26"/>
      <c r="K423" s="59"/>
      <c r="S423" s="97" t="str">
        <f t="shared" si="42"/>
        <v/>
      </c>
      <c r="U423" s="97" t="str">
        <f t="shared" si="43"/>
        <v/>
      </c>
    </row>
    <row r="424" spans="1:21" x14ac:dyDescent="0.25">
      <c r="A424" s="98"/>
      <c r="B424" s="1"/>
      <c r="C424" s="25"/>
      <c r="D424" s="26"/>
      <c r="E424" s="4"/>
      <c r="F424" s="25"/>
      <c r="G424" s="26"/>
      <c r="H424" s="4"/>
      <c r="I424" s="25"/>
      <c r="J424" s="26"/>
      <c r="K424" s="59"/>
      <c r="S424" s="97" t="str">
        <f t="shared" si="42"/>
        <v/>
      </c>
      <c r="U424" s="97" t="str">
        <f t="shared" si="43"/>
        <v/>
      </c>
    </row>
    <row r="425" spans="1:21" x14ac:dyDescent="0.25">
      <c r="A425" s="98"/>
      <c r="B425" s="1"/>
      <c r="C425" s="25"/>
      <c r="D425" s="26"/>
      <c r="E425" s="4"/>
      <c r="F425" s="25"/>
      <c r="G425" s="26"/>
      <c r="H425" s="4"/>
      <c r="I425" s="25"/>
      <c r="J425" s="26"/>
      <c r="K425" s="59"/>
      <c r="S425" s="97" t="str">
        <f t="shared" si="42"/>
        <v/>
      </c>
      <c r="U425" s="97" t="str">
        <f t="shared" si="43"/>
        <v/>
      </c>
    </row>
    <row r="426" spans="1:21" x14ac:dyDescent="0.25">
      <c r="A426" s="98"/>
      <c r="B426" s="1"/>
      <c r="C426" s="25"/>
      <c r="D426" s="26"/>
      <c r="E426" s="4"/>
      <c r="F426" s="25"/>
      <c r="G426" s="26"/>
      <c r="H426" s="4"/>
      <c r="I426" s="25"/>
      <c r="J426" s="26"/>
      <c r="K426" s="59"/>
      <c r="S426" s="97" t="str">
        <f t="shared" si="42"/>
        <v/>
      </c>
      <c r="U426" s="97" t="str">
        <f t="shared" si="43"/>
        <v/>
      </c>
    </row>
    <row r="427" spans="1:21" x14ac:dyDescent="0.25">
      <c r="A427" s="98"/>
      <c r="B427" s="1"/>
      <c r="C427" s="25"/>
      <c r="D427" s="26"/>
      <c r="E427" s="4"/>
      <c r="F427" s="25"/>
      <c r="G427" s="26"/>
      <c r="H427" s="4"/>
      <c r="I427" s="25"/>
      <c r="J427" s="26"/>
      <c r="K427" s="59"/>
      <c r="S427" s="97" t="str">
        <f t="shared" si="42"/>
        <v/>
      </c>
      <c r="U427" s="97" t="str">
        <f t="shared" si="43"/>
        <v/>
      </c>
    </row>
    <row r="428" spans="1:21" x14ac:dyDescent="0.25">
      <c r="A428" s="98"/>
      <c r="B428" s="1"/>
      <c r="C428" s="25"/>
      <c r="D428" s="26"/>
      <c r="E428" s="4"/>
      <c r="F428" s="25"/>
      <c r="G428" s="26"/>
      <c r="H428" s="4"/>
      <c r="I428" s="25"/>
      <c r="J428" s="26"/>
      <c r="K428" s="59"/>
      <c r="S428" s="97" t="str">
        <f t="shared" si="42"/>
        <v/>
      </c>
      <c r="U428" s="97" t="str">
        <f t="shared" si="43"/>
        <v/>
      </c>
    </row>
    <row r="429" spans="1:21" x14ac:dyDescent="0.25">
      <c r="A429" s="98"/>
      <c r="B429" s="1"/>
      <c r="C429" s="25"/>
      <c r="D429" s="26"/>
      <c r="E429" s="4"/>
      <c r="F429" s="25"/>
      <c r="G429" s="26"/>
      <c r="H429" s="4"/>
      <c r="I429" s="25"/>
      <c r="J429" s="26"/>
      <c r="K429" s="59"/>
      <c r="S429" s="97" t="str">
        <f t="shared" si="42"/>
        <v/>
      </c>
      <c r="U429" s="97" t="str">
        <f t="shared" si="43"/>
        <v/>
      </c>
    </row>
    <row r="430" spans="1:21" x14ac:dyDescent="0.25">
      <c r="A430" s="98"/>
      <c r="B430" s="1"/>
      <c r="C430" s="25"/>
      <c r="D430" s="26"/>
      <c r="E430" s="4"/>
      <c r="F430" s="25"/>
      <c r="G430" s="26"/>
      <c r="H430" s="4"/>
      <c r="I430" s="25"/>
      <c r="J430" s="26"/>
      <c r="K430" s="59"/>
      <c r="S430" s="97" t="str">
        <f t="shared" si="42"/>
        <v/>
      </c>
      <c r="U430" s="97" t="str">
        <f t="shared" si="43"/>
        <v/>
      </c>
    </row>
    <row r="431" spans="1:21" x14ac:dyDescent="0.25">
      <c r="A431" s="98"/>
      <c r="B431" s="1"/>
      <c r="C431" s="25"/>
      <c r="D431" s="26"/>
      <c r="E431" s="4"/>
      <c r="F431" s="25"/>
      <c r="G431" s="26"/>
      <c r="H431" s="4"/>
      <c r="I431" s="25"/>
      <c r="J431" s="26"/>
      <c r="K431" s="59"/>
      <c r="S431" s="97" t="str">
        <f t="shared" si="42"/>
        <v/>
      </c>
      <c r="U431" s="97" t="str">
        <f t="shared" si="43"/>
        <v/>
      </c>
    </row>
    <row r="432" spans="1:21" x14ac:dyDescent="0.25">
      <c r="A432" s="98"/>
      <c r="B432" s="1"/>
      <c r="C432" s="25"/>
      <c r="D432" s="26"/>
      <c r="E432" s="4"/>
      <c r="F432" s="25"/>
      <c r="G432" s="26"/>
      <c r="H432" s="4"/>
      <c r="I432" s="25"/>
      <c r="J432" s="26"/>
      <c r="K432" s="59"/>
      <c r="S432" s="97" t="str">
        <f t="shared" si="42"/>
        <v/>
      </c>
      <c r="U432" s="97" t="str">
        <f t="shared" si="43"/>
        <v/>
      </c>
    </row>
    <row r="433" spans="1:21" x14ac:dyDescent="0.25">
      <c r="A433" s="98"/>
      <c r="B433" s="1"/>
      <c r="C433" s="25"/>
      <c r="D433" s="26"/>
      <c r="E433" s="4"/>
      <c r="F433" s="25"/>
      <c r="G433" s="26"/>
      <c r="H433" s="4"/>
      <c r="I433" s="25"/>
      <c r="J433" s="26"/>
      <c r="K433" s="59"/>
      <c r="S433" s="97" t="str">
        <f t="shared" si="42"/>
        <v/>
      </c>
      <c r="U433" s="97" t="str">
        <f t="shared" si="43"/>
        <v/>
      </c>
    </row>
    <row r="434" spans="1:21" x14ac:dyDescent="0.25">
      <c r="A434" s="98"/>
      <c r="B434" s="1"/>
      <c r="C434" s="25"/>
      <c r="D434" s="26"/>
      <c r="E434" s="4"/>
      <c r="F434" s="25"/>
      <c r="G434" s="26"/>
      <c r="H434" s="4"/>
      <c r="I434" s="25"/>
      <c r="J434" s="26"/>
      <c r="K434" s="59"/>
      <c r="S434" s="97" t="str">
        <f t="shared" si="42"/>
        <v/>
      </c>
      <c r="U434" s="97" t="str">
        <f t="shared" si="43"/>
        <v/>
      </c>
    </row>
    <row r="435" spans="1:21" x14ac:dyDescent="0.25">
      <c r="A435" s="98"/>
      <c r="B435" s="1"/>
      <c r="C435" s="25"/>
      <c r="D435" s="26"/>
      <c r="E435" s="4"/>
      <c r="F435" s="25"/>
      <c r="G435" s="26"/>
      <c r="H435" s="4"/>
      <c r="I435" s="25"/>
      <c r="J435" s="26"/>
      <c r="K435" s="59"/>
      <c r="S435" s="97" t="str">
        <f t="shared" si="42"/>
        <v/>
      </c>
      <c r="U435" s="97" t="str">
        <f t="shared" si="43"/>
        <v/>
      </c>
    </row>
    <row r="436" spans="1:21" x14ac:dyDescent="0.25">
      <c r="A436" s="98"/>
      <c r="B436" s="1"/>
      <c r="C436" s="25"/>
      <c r="D436" s="26"/>
      <c r="E436" s="4"/>
      <c r="F436" s="25"/>
      <c r="G436" s="26"/>
      <c r="H436" s="4"/>
      <c r="I436" s="25"/>
      <c r="J436" s="26"/>
      <c r="K436" s="59"/>
      <c r="S436" s="97" t="str">
        <f t="shared" si="42"/>
        <v/>
      </c>
      <c r="U436" s="97" t="str">
        <f t="shared" si="43"/>
        <v/>
      </c>
    </row>
    <row r="437" spans="1:21" x14ac:dyDescent="0.25">
      <c r="A437" s="98"/>
      <c r="B437" s="1"/>
      <c r="C437" s="25"/>
      <c r="D437" s="26"/>
      <c r="E437" s="4"/>
      <c r="F437" s="25"/>
      <c r="G437" s="26"/>
      <c r="H437" s="4"/>
      <c r="I437" s="25"/>
      <c r="J437" s="26"/>
      <c r="K437" s="59"/>
      <c r="S437" s="97" t="str">
        <f t="shared" si="42"/>
        <v/>
      </c>
      <c r="U437" s="97" t="str">
        <f t="shared" si="43"/>
        <v/>
      </c>
    </row>
    <row r="438" spans="1:21" x14ac:dyDescent="0.25">
      <c r="A438" s="98"/>
      <c r="B438" s="1"/>
      <c r="C438" s="25"/>
      <c r="D438" s="26"/>
      <c r="E438" s="4"/>
      <c r="F438" s="25"/>
      <c r="G438" s="26"/>
      <c r="H438" s="4"/>
      <c r="I438" s="25"/>
      <c r="J438" s="26"/>
      <c r="K438" s="59"/>
      <c r="S438" s="97" t="str">
        <f t="shared" si="42"/>
        <v/>
      </c>
      <c r="U438" s="97" t="str">
        <f t="shared" si="43"/>
        <v/>
      </c>
    </row>
    <row r="439" spans="1:21" x14ac:dyDescent="0.25">
      <c r="A439" s="98"/>
      <c r="B439" s="1"/>
      <c r="C439" s="25"/>
      <c r="D439" s="26"/>
      <c r="E439" s="4"/>
      <c r="F439" s="25"/>
      <c r="G439" s="26"/>
      <c r="H439" s="4"/>
      <c r="I439" s="25"/>
      <c r="J439" s="26"/>
      <c r="K439" s="59"/>
      <c r="S439" s="97" t="str">
        <f t="shared" si="42"/>
        <v/>
      </c>
      <c r="U439" s="97" t="str">
        <f t="shared" si="43"/>
        <v/>
      </c>
    </row>
    <row r="440" spans="1:21" x14ac:dyDescent="0.25">
      <c r="A440" s="98"/>
      <c r="B440" s="1"/>
      <c r="C440" s="25"/>
      <c r="D440" s="26"/>
      <c r="E440" s="4"/>
      <c r="F440" s="25"/>
      <c r="G440" s="26"/>
      <c r="H440" s="4"/>
      <c r="I440" s="25"/>
      <c r="J440" s="26"/>
      <c r="K440" s="59"/>
      <c r="S440" s="97" t="str">
        <f t="shared" si="42"/>
        <v/>
      </c>
      <c r="U440" s="97" t="str">
        <f t="shared" si="43"/>
        <v/>
      </c>
    </row>
    <row r="441" spans="1:21" x14ac:dyDescent="0.25">
      <c r="A441" s="98"/>
      <c r="B441" s="1"/>
      <c r="C441" s="25"/>
      <c r="D441" s="26"/>
      <c r="E441" s="4"/>
      <c r="F441" s="25"/>
      <c r="G441" s="26"/>
      <c r="H441" s="4"/>
      <c r="I441" s="25"/>
      <c r="J441" s="26"/>
      <c r="K441" s="59"/>
      <c r="S441" s="97" t="str">
        <f t="shared" si="42"/>
        <v/>
      </c>
      <c r="U441" s="97" t="str">
        <f t="shared" si="43"/>
        <v/>
      </c>
    </row>
    <row r="442" spans="1:21" x14ac:dyDescent="0.25">
      <c r="A442" s="98"/>
      <c r="B442" s="1"/>
      <c r="C442" s="25"/>
      <c r="D442" s="26"/>
      <c r="E442" s="4"/>
      <c r="F442" s="25"/>
      <c r="G442" s="26"/>
      <c r="H442" s="4"/>
      <c r="I442" s="25"/>
      <c r="J442" s="26"/>
      <c r="K442" s="59"/>
      <c r="S442" s="97" t="str">
        <f t="shared" si="42"/>
        <v/>
      </c>
      <c r="U442" s="97" t="str">
        <f t="shared" si="43"/>
        <v/>
      </c>
    </row>
    <row r="443" spans="1:21" x14ac:dyDescent="0.25">
      <c r="A443" s="98"/>
      <c r="B443" s="1"/>
      <c r="C443" s="25"/>
      <c r="D443" s="26"/>
      <c r="E443" s="4"/>
      <c r="F443" s="25"/>
      <c r="G443" s="26"/>
      <c r="H443" s="4"/>
      <c r="I443" s="25"/>
      <c r="J443" s="26"/>
      <c r="K443" s="59"/>
      <c r="S443" s="97" t="str">
        <f t="shared" si="42"/>
        <v/>
      </c>
      <c r="U443" s="97" t="str">
        <f t="shared" si="43"/>
        <v/>
      </c>
    </row>
    <row r="444" spans="1:21" x14ac:dyDescent="0.25">
      <c r="A444" s="98"/>
      <c r="B444" s="1"/>
      <c r="C444" s="25"/>
      <c r="D444" s="26"/>
      <c r="E444" s="4"/>
      <c r="F444" s="25"/>
      <c r="G444" s="26"/>
      <c r="H444" s="4"/>
      <c r="I444" s="25"/>
      <c r="J444" s="26"/>
      <c r="K444" s="59"/>
      <c r="S444" s="97" t="str">
        <f t="shared" si="42"/>
        <v/>
      </c>
      <c r="U444" s="97" t="str">
        <f t="shared" si="43"/>
        <v/>
      </c>
    </row>
    <row r="445" spans="1:21" x14ac:dyDescent="0.25">
      <c r="A445" s="98"/>
      <c r="B445" s="1"/>
      <c r="C445" s="25"/>
      <c r="D445" s="26"/>
      <c r="E445" s="4"/>
      <c r="F445" s="25"/>
      <c r="G445" s="26"/>
      <c r="H445" s="4"/>
      <c r="I445" s="25"/>
      <c r="J445" s="26"/>
      <c r="K445" s="59"/>
      <c r="S445" s="97" t="str">
        <f t="shared" si="42"/>
        <v/>
      </c>
      <c r="U445" s="97" t="str">
        <f t="shared" si="43"/>
        <v/>
      </c>
    </row>
    <row r="446" spans="1:21" x14ac:dyDescent="0.25">
      <c r="A446" s="98"/>
      <c r="B446" s="1"/>
      <c r="C446" s="25"/>
      <c r="D446" s="26"/>
      <c r="E446" s="4"/>
      <c r="F446" s="25"/>
      <c r="G446" s="26"/>
      <c r="H446" s="4"/>
      <c r="I446" s="25"/>
      <c r="J446" s="26"/>
      <c r="K446" s="59"/>
      <c r="S446" s="97" t="str">
        <f t="shared" si="42"/>
        <v/>
      </c>
      <c r="U446" s="97" t="str">
        <f t="shared" si="43"/>
        <v/>
      </c>
    </row>
    <row r="447" spans="1:21" x14ac:dyDescent="0.25">
      <c r="A447" s="98"/>
      <c r="B447" s="1"/>
      <c r="C447" s="25"/>
      <c r="D447" s="26"/>
      <c r="E447" s="4"/>
      <c r="F447" s="25"/>
      <c r="G447" s="26"/>
      <c r="H447" s="4"/>
      <c r="I447" s="25"/>
      <c r="J447" s="26"/>
      <c r="K447" s="59"/>
      <c r="S447" s="97" t="str">
        <f t="shared" si="42"/>
        <v/>
      </c>
      <c r="U447" s="97" t="str">
        <f t="shared" si="43"/>
        <v/>
      </c>
    </row>
    <row r="448" spans="1:21" x14ac:dyDescent="0.25">
      <c r="A448" s="98"/>
      <c r="B448" s="1"/>
      <c r="C448" s="25"/>
      <c r="D448" s="26"/>
      <c r="E448" s="4"/>
      <c r="F448" s="25"/>
      <c r="G448" s="26"/>
      <c r="H448" s="4"/>
      <c r="I448" s="25"/>
      <c r="J448" s="26"/>
      <c r="K448" s="59"/>
      <c r="S448" s="97" t="str">
        <f t="shared" si="42"/>
        <v/>
      </c>
      <c r="U448" s="97" t="str">
        <f t="shared" si="43"/>
        <v/>
      </c>
    </row>
    <row r="449" spans="1:21" x14ac:dyDescent="0.25">
      <c r="A449" s="98"/>
      <c r="B449" s="1"/>
      <c r="C449" s="25"/>
      <c r="D449" s="26"/>
      <c r="E449" s="4"/>
      <c r="F449" s="25"/>
      <c r="G449" s="26"/>
      <c r="H449" s="4"/>
      <c r="I449" s="25"/>
      <c r="J449" s="26"/>
      <c r="K449" s="59"/>
      <c r="S449" s="97" t="str">
        <f t="shared" si="42"/>
        <v/>
      </c>
      <c r="U449" s="97" t="str">
        <f t="shared" si="43"/>
        <v/>
      </c>
    </row>
    <row r="450" spans="1:21" x14ac:dyDescent="0.25">
      <c r="A450" s="98"/>
      <c r="B450" s="1"/>
      <c r="C450" s="25"/>
      <c r="D450" s="26"/>
      <c r="E450" s="4"/>
      <c r="F450" s="25"/>
      <c r="G450" s="26"/>
      <c r="H450" s="4"/>
      <c r="I450" s="25"/>
      <c r="J450" s="26"/>
      <c r="K450" s="59"/>
      <c r="S450" s="97" t="str">
        <f t="shared" si="42"/>
        <v/>
      </c>
      <c r="U450" s="97" t="str">
        <f t="shared" si="43"/>
        <v/>
      </c>
    </row>
    <row r="451" spans="1:21" x14ac:dyDescent="0.25">
      <c r="A451" s="98"/>
      <c r="B451" s="1"/>
      <c r="C451" s="25"/>
      <c r="D451" s="26"/>
      <c r="E451" s="4"/>
      <c r="F451" s="25"/>
      <c r="G451" s="26"/>
      <c r="H451" s="4"/>
      <c r="I451" s="25"/>
      <c r="J451" s="26"/>
      <c r="K451" s="59"/>
      <c r="S451" s="97" t="str">
        <f t="shared" si="42"/>
        <v/>
      </c>
      <c r="U451" s="97" t="str">
        <f t="shared" si="43"/>
        <v/>
      </c>
    </row>
    <row r="452" spans="1:21" x14ac:dyDescent="0.25">
      <c r="A452" s="98"/>
      <c r="B452" s="1"/>
      <c r="C452" s="25"/>
      <c r="D452" s="26"/>
      <c r="E452" s="4"/>
      <c r="F452" s="25"/>
      <c r="G452" s="26"/>
      <c r="H452" s="4"/>
      <c r="I452" s="25"/>
      <c r="J452" s="26"/>
      <c r="K452" s="59"/>
      <c r="S452" s="97" t="str">
        <f t="shared" ref="S452:S515" si="44">IF(COUNTIF(O:O,M452)*COUNTIF(Q:Q,M452),M452,"")</f>
        <v/>
      </c>
      <c r="U452" s="97" t="str">
        <f t="shared" ref="U452:U515" si="45">IF(T452&gt;$A$14,T452,"")</f>
        <v/>
      </c>
    </row>
    <row r="453" spans="1:21" x14ac:dyDescent="0.25">
      <c r="A453" s="98"/>
      <c r="B453" s="1"/>
      <c r="C453" s="25"/>
      <c r="D453" s="26"/>
      <c r="E453" s="4"/>
      <c r="F453" s="25"/>
      <c r="G453" s="26"/>
      <c r="H453" s="4"/>
      <c r="I453" s="25"/>
      <c r="J453" s="26"/>
      <c r="K453" s="59"/>
      <c r="S453" s="97" t="str">
        <f t="shared" si="44"/>
        <v/>
      </c>
      <c r="U453" s="97" t="str">
        <f t="shared" si="45"/>
        <v/>
      </c>
    </row>
    <row r="454" spans="1:21" x14ac:dyDescent="0.25">
      <c r="A454" s="98"/>
      <c r="B454" s="1"/>
      <c r="C454" s="25"/>
      <c r="D454" s="26"/>
      <c r="E454" s="4"/>
      <c r="F454" s="25"/>
      <c r="G454" s="26"/>
      <c r="H454" s="4"/>
      <c r="I454" s="25"/>
      <c r="J454" s="26"/>
      <c r="K454" s="59"/>
      <c r="S454" s="97" t="str">
        <f t="shared" si="44"/>
        <v/>
      </c>
      <c r="U454" s="97" t="str">
        <f t="shared" si="45"/>
        <v/>
      </c>
    </row>
    <row r="455" spans="1:21" x14ac:dyDescent="0.25">
      <c r="A455" s="98"/>
      <c r="B455" s="1"/>
      <c r="C455" s="25"/>
      <c r="D455" s="26"/>
      <c r="E455" s="4"/>
      <c r="F455" s="25"/>
      <c r="G455" s="26"/>
      <c r="H455" s="4"/>
      <c r="I455" s="25"/>
      <c r="J455" s="26"/>
      <c r="K455" s="59"/>
      <c r="S455" s="97" t="str">
        <f t="shared" si="44"/>
        <v/>
      </c>
      <c r="U455" s="97" t="str">
        <f t="shared" si="45"/>
        <v/>
      </c>
    </row>
    <row r="456" spans="1:21" x14ac:dyDescent="0.25">
      <c r="A456" s="98"/>
      <c r="B456" s="1"/>
      <c r="C456" s="25"/>
      <c r="D456" s="26"/>
      <c r="E456" s="4"/>
      <c r="F456" s="25"/>
      <c r="G456" s="26"/>
      <c r="H456" s="4"/>
      <c r="I456" s="25"/>
      <c r="J456" s="26"/>
      <c r="K456" s="59"/>
      <c r="S456" s="97" t="str">
        <f t="shared" si="44"/>
        <v/>
      </c>
      <c r="U456" s="97" t="str">
        <f t="shared" si="45"/>
        <v/>
      </c>
    </row>
    <row r="457" spans="1:21" x14ac:dyDescent="0.25">
      <c r="A457" s="98"/>
      <c r="B457" s="1"/>
      <c r="C457" s="25"/>
      <c r="D457" s="26"/>
      <c r="E457" s="4"/>
      <c r="F457" s="25"/>
      <c r="G457" s="26"/>
      <c r="H457" s="4"/>
      <c r="I457" s="25"/>
      <c r="J457" s="26"/>
      <c r="K457" s="59"/>
      <c r="S457" s="97" t="str">
        <f t="shared" si="44"/>
        <v/>
      </c>
      <c r="U457" s="97" t="str">
        <f t="shared" si="45"/>
        <v/>
      </c>
    </row>
    <row r="458" spans="1:21" x14ac:dyDescent="0.25">
      <c r="A458" s="98"/>
      <c r="B458" s="1"/>
      <c r="C458" s="25"/>
      <c r="D458" s="26"/>
      <c r="E458" s="4"/>
      <c r="F458" s="25"/>
      <c r="G458" s="26"/>
      <c r="H458" s="4"/>
      <c r="I458" s="25"/>
      <c r="J458" s="26"/>
      <c r="K458" s="59"/>
      <c r="S458" s="97" t="str">
        <f t="shared" si="44"/>
        <v/>
      </c>
      <c r="U458" s="97" t="str">
        <f t="shared" si="45"/>
        <v/>
      </c>
    </row>
    <row r="459" spans="1:21" x14ac:dyDescent="0.25">
      <c r="A459" s="98"/>
      <c r="B459" s="1"/>
      <c r="C459" s="25"/>
      <c r="D459" s="26"/>
      <c r="E459" s="4"/>
      <c r="F459" s="25"/>
      <c r="G459" s="26"/>
      <c r="H459" s="4"/>
      <c r="I459" s="25"/>
      <c r="J459" s="26"/>
      <c r="K459" s="59"/>
      <c r="S459" s="97" t="str">
        <f t="shared" si="44"/>
        <v/>
      </c>
      <c r="U459" s="97" t="str">
        <f t="shared" si="45"/>
        <v/>
      </c>
    </row>
    <row r="460" spans="1:21" x14ac:dyDescent="0.25">
      <c r="A460" s="98"/>
      <c r="B460" s="1"/>
      <c r="C460" s="25"/>
      <c r="D460" s="26"/>
      <c r="E460" s="4"/>
      <c r="F460" s="25"/>
      <c r="G460" s="26"/>
      <c r="H460" s="4"/>
      <c r="I460" s="25"/>
      <c r="J460" s="26"/>
      <c r="K460" s="59"/>
      <c r="S460" s="97" t="str">
        <f t="shared" si="44"/>
        <v/>
      </c>
      <c r="U460" s="97" t="str">
        <f t="shared" si="45"/>
        <v/>
      </c>
    </row>
    <row r="461" spans="1:21" x14ac:dyDescent="0.25">
      <c r="A461" s="98"/>
      <c r="B461" s="1"/>
      <c r="C461" s="25"/>
      <c r="D461" s="26"/>
      <c r="E461" s="4"/>
      <c r="F461" s="25"/>
      <c r="G461" s="26"/>
      <c r="H461" s="4"/>
      <c r="I461" s="25"/>
      <c r="J461" s="26"/>
      <c r="K461" s="59"/>
      <c r="S461" s="97" t="str">
        <f t="shared" si="44"/>
        <v/>
      </c>
      <c r="U461" s="97" t="str">
        <f t="shared" si="45"/>
        <v/>
      </c>
    </row>
    <row r="462" spans="1:21" x14ac:dyDescent="0.25">
      <c r="A462" s="98"/>
      <c r="B462" s="1"/>
      <c r="C462" s="25"/>
      <c r="D462" s="26"/>
      <c r="E462" s="4"/>
      <c r="F462" s="25"/>
      <c r="G462" s="26"/>
      <c r="H462" s="4"/>
      <c r="I462" s="25"/>
      <c r="J462" s="26"/>
      <c r="K462" s="59"/>
      <c r="S462" s="97" t="str">
        <f t="shared" si="44"/>
        <v/>
      </c>
      <c r="U462" s="97" t="str">
        <f t="shared" si="45"/>
        <v/>
      </c>
    </row>
    <row r="463" spans="1:21" x14ac:dyDescent="0.25">
      <c r="A463" s="98"/>
      <c r="B463" s="1"/>
      <c r="C463" s="25"/>
      <c r="D463" s="26"/>
      <c r="E463" s="4"/>
      <c r="F463" s="25"/>
      <c r="G463" s="26"/>
      <c r="H463" s="4"/>
      <c r="I463" s="25"/>
      <c r="J463" s="26"/>
      <c r="K463" s="59"/>
      <c r="S463" s="97" t="str">
        <f t="shared" si="44"/>
        <v/>
      </c>
      <c r="U463" s="97" t="str">
        <f t="shared" si="45"/>
        <v/>
      </c>
    </row>
    <row r="464" spans="1:21" x14ac:dyDescent="0.25">
      <c r="A464" s="98"/>
      <c r="B464" s="1"/>
      <c r="C464" s="25"/>
      <c r="D464" s="26"/>
      <c r="E464" s="4"/>
      <c r="F464" s="25"/>
      <c r="G464" s="26"/>
      <c r="H464" s="4"/>
      <c r="I464" s="25"/>
      <c r="J464" s="26"/>
      <c r="K464" s="59"/>
      <c r="S464" s="97" t="str">
        <f t="shared" si="44"/>
        <v/>
      </c>
      <c r="U464" s="97" t="str">
        <f t="shared" si="45"/>
        <v/>
      </c>
    </row>
    <row r="465" spans="1:21" x14ac:dyDescent="0.25">
      <c r="A465" s="98"/>
      <c r="B465" s="1"/>
      <c r="C465" s="25"/>
      <c r="D465" s="26"/>
      <c r="E465" s="4"/>
      <c r="F465" s="25"/>
      <c r="G465" s="26"/>
      <c r="H465" s="4"/>
      <c r="I465" s="25"/>
      <c r="J465" s="26"/>
      <c r="K465" s="59"/>
      <c r="S465" s="97" t="str">
        <f t="shared" si="44"/>
        <v/>
      </c>
      <c r="U465" s="97" t="str">
        <f t="shared" si="45"/>
        <v/>
      </c>
    </row>
    <row r="466" spans="1:21" x14ac:dyDescent="0.25">
      <c r="A466" s="98"/>
      <c r="B466" s="1"/>
      <c r="C466" s="25"/>
      <c r="D466" s="26"/>
      <c r="E466" s="4"/>
      <c r="F466" s="25"/>
      <c r="G466" s="26"/>
      <c r="H466" s="4"/>
      <c r="I466" s="25"/>
      <c r="J466" s="26"/>
      <c r="K466" s="59"/>
      <c r="S466" s="97" t="str">
        <f t="shared" si="44"/>
        <v/>
      </c>
      <c r="U466" s="97" t="str">
        <f t="shared" si="45"/>
        <v/>
      </c>
    </row>
    <row r="467" spans="1:21" x14ac:dyDescent="0.25">
      <c r="A467" s="98"/>
      <c r="B467" s="1"/>
      <c r="C467" s="25"/>
      <c r="D467" s="26"/>
      <c r="E467" s="4"/>
      <c r="F467" s="25"/>
      <c r="G467" s="26"/>
      <c r="H467" s="4"/>
      <c r="I467" s="25"/>
      <c r="J467" s="26"/>
      <c r="K467" s="59"/>
      <c r="S467" s="97" t="str">
        <f t="shared" si="44"/>
        <v/>
      </c>
      <c r="U467" s="97" t="str">
        <f t="shared" si="45"/>
        <v/>
      </c>
    </row>
    <row r="468" spans="1:21" x14ac:dyDescent="0.25">
      <c r="A468" s="98"/>
      <c r="B468" s="1"/>
      <c r="C468" s="25"/>
      <c r="D468" s="26"/>
      <c r="E468" s="4"/>
      <c r="F468" s="25"/>
      <c r="G468" s="26"/>
      <c r="H468" s="4"/>
      <c r="I468" s="25"/>
      <c r="J468" s="26"/>
      <c r="K468" s="59"/>
      <c r="S468" s="97" t="str">
        <f t="shared" si="44"/>
        <v/>
      </c>
      <c r="U468" s="97" t="str">
        <f t="shared" si="45"/>
        <v/>
      </c>
    </row>
    <row r="469" spans="1:21" x14ac:dyDescent="0.25">
      <c r="A469" s="98"/>
      <c r="B469" s="1"/>
      <c r="C469" s="25"/>
      <c r="D469" s="26"/>
      <c r="E469" s="4"/>
      <c r="F469" s="25"/>
      <c r="G469" s="26"/>
      <c r="H469" s="4"/>
      <c r="I469" s="25"/>
      <c r="J469" s="26"/>
      <c r="K469" s="59"/>
      <c r="S469" s="97" t="str">
        <f t="shared" si="44"/>
        <v/>
      </c>
      <c r="U469" s="97" t="str">
        <f t="shared" si="45"/>
        <v/>
      </c>
    </row>
    <row r="470" spans="1:21" x14ac:dyDescent="0.25">
      <c r="A470" s="98"/>
      <c r="B470" s="1"/>
      <c r="C470" s="25"/>
      <c r="D470" s="26"/>
      <c r="E470" s="4"/>
      <c r="F470" s="25"/>
      <c r="G470" s="26"/>
      <c r="H470" s="4"/>
      <c r="I470" s="25"/>
      <c r="J470" s="26"/>
      <c r="K470" s="59"/>
      <c r="S470" s="97" t="str">
        <f t="shared" si="44"/>
        <v/>
      </c>
      <c r="U470" s="97" t="str">
        <f t="shared" si="45"/>
        <v/>
      </c>
    </row>
    <row r="471" spans="1:21" x14ac:dyDescent="0.25">
      <c r="A471" s="98"/>
      <c r="B471" s="1"/>
      <c r="C471" s="25"/>
      <c r="D471" s="26"/>
      <c r="E471" s="4"/>
      <c r="F471" s="25"/>
      <c r="G471" s="26"/>
      <c r="H471" s="4"/>
      <c r="I471" s="25"/>
      <c r="J471" s="26"/>
      <c r="K471" s="59"/>
      <c r="S471" s="97" t="str">
        <f t="shared" si="44"/>
        <v/>
      </c>
      <c r="U471" s="97" t="str">
        <f t="shared" si="45"/>
        <v/>
      </c>
    </row>
    <row r="472" spans="1:21" x14ac:dyDescent="0.25">
      <c r="A472" s="98"/>
      <c r="B472" s="1"/>
      <c r="C472" s="25"/>
      <c r="D472" s="26"/>
      <c r="E472" s="4"/>
      <c r="F472" s="25"/>
      <c r="G472" s="26"/>
      <c r="H472" s="4"/>
      <c r="I472" s="25"/>
      <c r="J472" s="26"/>
      <c r="K472" s="59"/>
      <c r="S472" s="97" t="str">
        <f t="shared" si="44"/>
        <v/>
      </c>
      <c r="U472" s="97" t="str">
        <f t="shared" si="45"/>
        <v/>
      </c>
    </row>
    <row r="473" spans="1:21" x14ac:dyDescent="0.25">
      <c r="A473" s="98"/>
      <c r="B473" s="1"/>
      <c r="C473" s="25"/>
      <c r="D473" s="26"/>
      <c r="E473" s="4"/>
      <c r="F473" s="25"/>
      <c r="G473" s="26"/>
      <c r="H473" s="4"/>
      <c r="I473" s="25"/>
      <c r="J473" s="26"/>
      <c r="K473" s="59"/>
      <c r="S473" s="97" t="str">
        <f t="shared" si="44"/>
        <v/>
      </c>
      <c r="U473" s="97" t="str">
        <f t="shared" si="45"/>
        <v/>
      </c>
    </row>
    <row r="474" spans="1:21" x14ac:dyDescent="0.25">
      <c r="A474" s="98"/>
      <c r="B474" s="1"/>
      <c r="C474" s="25"/>
      <c r="D474" s="26"/>
      <c r="E474" s="4"/>
      <c r="F474" s="25"/>
      <c r="G474" s="26"/>
      <c r="H474" s="4"/>
      <c r="I474" s="25"/>
      <c r="J474" s="26"/>
      <c r="K474" s="59"/>
      <c r="S474" s="97" t="str">
        <f t="shared" si="44"/>
        <v/>
      </c>
      <c r="U474" s="97" t="str">
        <f t="shared" si="45"/>
        <v/>
      </c>
    </row>
    <row r="475" spans="1:21" x14ac:dyDescent="0.25">
      <c r="A475" s="98"/>
      <c r="B475" s="1"/>
      <c r="C475" s="25"/>
      <c r="D475" s="26"/>
      <c r="E475" s="4"/>
      <c r="F475" s="25"/>
      <c r="G475" s="26"/>
      <c r="H475" s="4"/>
      <c r="I475" s="25"/>
      <c r="J475" s="26"/>
      <c r="K475" s="59"/>
      <c r="S475" s="97" t="str">
        <f t="shared" si="44"/>
        <v/>
      </c>
      <c r="U475" s="97" t="str">
        <f t="shared" si="45"/>
        <v/>
      </c>
    </row>
    <row r="476" spans="1:21" x14ac:dyDescent="0.25">
      <c r="A476" s="98"/>
      <c r="B476" s="1"/>
      <c r="C476" s="25"/>
      <c r="D476" s="26"/>
      <c r="E476" s="4"/>
      <c r="F476" s="25"/>
      <c r="G476" s="26"/>
      <c r="H476" s="4"/>
      <c r="I476" s="25"/>
      <c r="J476" s="26"/>
      <c r="K476" s="59"/>
      <c r="S476" s="97" t="str">
        <f t="shared" si="44"/>
        <v/>
      </c>
      <c r="U476" s="97" t="str">
        <f t="shared" si="45"/>
        <v/>
      </c>
    </row>
    <row r="477" spans="1:21" x14ac:dyDescent="0.25">
      <c r="A477" s="98"/>
      <c r="B477" s="1"/>
      <c r="C477" s="25"/>
      <c r="D477" s="26"/>
      <c r="E477" s="4"/>
      <c r="F477" s="25"/>
      <c r="G477" s="26"/>
      <c r="H477" s="4"/>
      <c r="I477" s="25"/>
      <c r="J477" s="26"/>
      <c r="K477" s="59"/>
      <c r="S477" s="97" t="str">
        <f t="shared" si="44"/>
        <v/>
      </c>
      <c r="U477" s="97" t="str">
        <f t="shared" si="45"/>
        <v/>
      </c>
    </row>
    <row r="478" spans="1:21" x14ac:dyDescent="0.25">
      <c r="A478" s="98"/>
      <c r="B478" s="1"/>
      <c r="C478" s="25"/>
      <c r="D478" s="26"/>
      <c r="E478" s="4"/>
      <c r="F478" s="25"/>
      <c r="G478" s="26"/>
      <c r="H478" s="4"/>
      <c r="I478" s="25"/>
      <c r="J478" s="26"/>
      <c r="K478" s="59"/>
      <c r="S478" s="97" t="str">
        <f t="shared" si="44"/>
        <v/>
      </c>
      <c r="U478" s="97" t="str">
        <f t="shared" si="45"/>
        <v/>
      </c>
    </row>
    <row r="479" spans="1:21" x14ac:dyDescent="0.25">
      <c r="A479" s="98"/>
      <c r="B479" s="1"/>
      <c r="C479" s="25"/>
      <c r="D479" s="26"/>
      <c r="E479" s="4"/>
      <c r="F479" s="25"/>
      <c r="G479" s="26"/>
      <c r="H479" s="4"/>
      <c r="I479" s="25"/>
      <c r="J479" s="26"/>
      <c r="K479" s="59"/>
      <c r="S479" s="97" t="str">
        <f t="shared" si="44"/>
        <v/>
      </c>
      <c r="U479" s="97" t="str">
        <f t="shared" si="45"/>
        <v/>
      </c>
    </row>
    <row r="480" spans="1:21" x14ac:dyDescent="0.25">
      <c r="A480" s="98"/>
      <c r="B480" s="1"/>
      <c r="C480" s="25"/>
      <c r="D480" s="26"/>
      <c r="E480" s="4"/>
      <c r="F480" s="25"/>
      <c r="G480" s="26"/>
      <c r="H480" s="4"/>
      <c r="I480" s="25"/>
      <c r="J480" s="26"/>
      <c r="K480" s="59"/>
      <c r="S480" s="97" t="str">
        <f t="shared" si="44"/>
        <v/>
      </c>
      <c r="U480" s="97" t="str">
        <f t="shared" si="45"/>
        <v/>
      </c>
    </row>
    <row r="481" spans="1:21" x14ac:dyDescent="0.25">
      <c r="A481" s="98"/>
      <c r="B481" s="1"/>
      <c r="C481" s="25"/>
      <c r="D481" s="26"/>
      <c r="E481" s="4"/>
      <c r="F481" s="25"/>
      <c r="G481" s="26"/>
      <c r="H481" s="4"/>
      <c r="I481" s="25"/>
      <c r="J481" s="26"/>
      <c r="K481" s="59"/>
      <c r="S481" s="97" t="str">
        <f t="shared" si="44"/>
        <v/>
      </c>
      <c r="U481" s="97" t="str">
        <f t="shared" si="45"/>
        <v/>
      </c>
    </row>
    <row r="482" spans="1:21" x14ac:dyDescent="0.25">
      <c r="A482" s="98"/>
      <c r="B482" s="1"/>
      <c r="C482" s="25"/>
      <c r="D482" s="26"/>
      <c r="E482" s="4"/>
      <c r="F482" s="25"/>
      <c r="G482" s="26"/>
      <c r="H482" s="4"/>
      <c r="I482" s="25"/>
      <c r="J482" s="26"/>
      <c r="K482" s="59"/>
      <c r="S482" s="97" t="str">
        <f t="shared" si="44"/>
        <v/>
      </c>
      <c r="U482" s="97" t="str">
        <f t="shared" si="45"/>
        <v/>
      </c>
    </row>
    <row r="483" spans="1:21" x14ac:dyDescent="0.25">
      <c r="A483" s="98"/>
      <c r="B483" s="1"/>
      <c r="C483" s="25"/>
      <c r="D483" s="26"/>
      <c r="E483" s="4"/>
      <c r="F483" s="25"/>
      <c r="G483" s="26"/>
      <c r="H483" s="4"/>
      <c r="I483" s="25"/>
      <c r="J483" s="26"/>
      <c r="K483" s="59"/>
      <c r="S483" s="97" t="str">
        <f t="shared" si="44"/>
        <v/>
      </c>
      <c r="U483" s="97" t="str">
        <f t="shared" si="45"/>
        <v/>
      </c>
    </row>
    <row r="484" spans="1:21" x14ac:dyDescent="0.25">
      <c r="A484" s="98"/>
      <c r="B484" s="1"/>
      <c r="C484" s="25"/>
      <c r="D484" s="26"/>
      <c r="E484" s="4"/>
      <c r="F484" s="25"/>
      <c r="G484" s="26"/>
      <c r="H484" s="4"/>
      <c r="I484" s="25"/>
      <c r="J484" s="26"/>
      <c r="K484" s="59"/>
      <c r="S484" s="97" t="str">
        <f t="shared" si="44"/>
        <v/>
      </c>
      <c r="U484" s="97" t="str">
        <f t="shared" si="45"/>
        <v/>
      </c>
    </row>
    <row r="485" spans="1:21" x14ac:dyDescent="0.25">
      <c r="A485" s="98"/>
      <c r="B485" s="1"/>
      <c r="C485" s="25"/>
      <c r="D485" s="26"/>
      <c r="E485" s="4"/>
      <c r="F485" s="25"/>
      <c r="G485" s="26"/>
      <c r="H485" s="4"/>
      <c r="I485" s="25"/>
      <c r="J485" s="26"/>
      <c r="K485" s="59"/>
      <c r="S485" s="97" t="str">
        <f t="shared" si="44"/>
        <v/>
      </c>
      <c r="U485" s="97" t="str">
        <f t="shared" si="45"/>
        <v/>
      </c>
    </row>
    <row r="486" spans="1:21" x14ac:dyDescent="0.25">
      <c r="A486" s="98"/>
      <c r="B486" s="1"/>
      <c r="C486" s="25"/>
      <c r="D486" s="26"/>
      <c r="E486" s="4"/>
      <c r="F486" s="25"/>
      <c r="G486" s="26"/>
      <c r="H486" s="4"/>
      <c r="I486" s="25"/>
      <c r="J486" s="26"/>
      <c r="K486" s="59"/>
      <c r="S486" s="97" t="str">
        <f t="shared" si="44"/>
        <v/>
      </c>
      <c r="U486" s="97" t="str">
        <f t="shared" si="45"/>
        <v/>
      </c>
    </row>
    <row r="487" spans="1:21" x14ac:dyDescent="0.25">
      <c r="A487" s="98"/>
      <c r="B487" s="1"/>
      <c r="C487" s="25"/>
      <c r="D487" s="26"/>
      <c r="E487" s="4"/>
      <c r="F487" s="25"/>
      <c r="G487" s="26"/>
      <c r="H487" s="4"/>
      <c r="I487" s="25"/>
      <c r="J487" s="26"/>
      <c r="K487" s="59"/>
      <c r="S487" s="97" t="str">
        <f t="shared" si="44"/>
        <v/>
      </c>
      <c r="U487" s="97" t="str">
        <f t="shared" si="45"/>
        <v/>
      </c>
    </row>
    <row r="488" spans="1:21" x14ac:dyDescent="0.25">
      <c r="A488" s="98"/>
      <c r="B488" s="1"/>
      <c r="C488" s="25"/>
      <c r="D488" s="26"/>
      <c r="E488" s="4"/>
      <c r="F488" s="25"/>
      <c r="G488" s="26"/>
      <c r="H488" s="4"/>
      <c r="I488" s="25"/>
      <c r="J488" s="26"/>
      <c r="K488" s="59"/>
      <c r="S488" s="97" t="str">
        <f t="shared" si="44"/>
        <v/>
      </c>
      <c r="U488" s="97" t="str">
        <f t="shared" si="45"/>
        <v/>
      </c>
    </row>
    <row r="489" spans="1:21" x14ac:dyDescent="0.25">
      <c r="A489" s="98"/>
      <c r="B489" s="1"/>
      <c r="C489" s="25"/>
      <c r="D489" s="26"/>
      <c r="E489" s="4"/>
      <c r="F489" s="25"/>
      <c r="G489" s="26"/>
      <c r="H489" s="4"/>
      <c r="I489" s="25"/>
      <c r="J489" s="26"/>
      <c r="K489" s="59"/>
      <c r="S489" s="97" t="str">
        <f t="shared" si="44"/>
        <v/>
      </c>
      <c r="U489" s="97" t="str">
        <f t="shared" si="45"/>
        <v/>
      </c>
    </row>
    <row r="490" spans="1:21" x14ac:dyDescent="0.25">
      <c r="A490" s="98"/>
      <c r="B490" s="1"/>
      <c r="C490" s="25"/>
      <c r="D490" s="26"/>
      <c r="E490" s="4"/>
      <c r="F490" s="25"/>
      <c r="G490" s="26"/>
      <c r="H490" s="4"/>
      <c r="I490" s="25"/>
      <c r="J490" s="26"/>
      <c r="K490" s="59"/>
      <c r="S490" s="97" t="str">
        <f t="shared" si="44"/>
        <v/>
      </c>
      <c r="U490" s="97" t="str">
        <f t="shared" si="45"/>
        <v/>
      </c>
    </row>
    <row r="491" spans="1:21" x14ac:dyDescent="0.25">
      <c r="A491" s="98"/>
      <c r="B491" s="1"/>
      <c r="C491" s="25"/>
      <c r="D491" s="26"/>
      <c r="E491" s="4"/>
      <c r="F491" s="25"/>
      <c r="G491" s="26"/>
      <c r="H491" s="4"/>
      <c r="I491" s="25"/>
      <c r="J491" s="26"/>
      <c r="K491" s="59"/>
      <c r="S491" s="97" t="str">
        <f t="shared" si="44"/>
        <v/>
      </c>
      <c r="U491" s="97" t="str">
        <f t="shared" si="45"/>
        <v/>
      </c>
    </row>
    <row r="492" spans="1:21" x14ac:dyDescent="0.25">
      <c r="A492" s="98"/>
      <c r="B492" s="1"/>
      <c r="C492" s="25"/>
      <c r="D492" s="26"/>
      <c r="E492" s="4"/>
      <c r="F492" s="25"/>
      <c r="G492" s="26"/>
      <c r="H492" s="4"/>
      <c r="I492" s="25"/>
      <c r="J492" s="26"/>
      <c r="K492" s="59"/>
      <c r="S492" s="97" t="str">
        <f t="shared" si="44"/>
        <v/>
      </c>
      <c r="U492" s="97" t="str">
        <f t="shared" si="45"/>
        <v/>
      </c>
    </row>
    <row r="493" spans="1:21" x14ac:dyDescent="0.25">
      <c r="A493" s="98"/>
      <c r="B493" s="1"/>
      <c r="C493" s="25"/>
      <c r="D493" s="26"/>
      <c r="E493" s="4"/>
      <c r="F493" s="25"/>
      <c r="G493" s="26"/>
      <c r="H493" s="4"/>
      <c r="I493" s="25"/>
      <c r="J493" s="26"/>
      <c r="K493" s="59"/>
      <c r="S493" s="97" t="str">
        <f t="shared" si="44"/>
        <v/>
      </c>
      <c r="U493" s="97" t="str">
        <f t="shared" si="45"/>
        <v/>
      </c>
    </row>
    <row r="494" spans="1:21" x14ac:dyDescent="0.25">
      <c r="A494" s="98"/>
      <c r="B494" s="1"/>
      <c r="C494" s="25"/>
      <c r="D494" s="26"/>
      <c r="E494" s="4"/>
      <c r="F494" s="25"/>
      <c r="G494" s="26"/>
      <c r="H494" s="4"/>
      <c r="I494" s="25"/>
      <c r="J494" s="26"/>
      <c r="K494" s="59"/>
      <c r="S494" s="97" t="str">
        <f t="shared" si="44"/>
        <v/>
      </c>
      <c r="U494" s="97" t="str">
        <f t="shared" si="45"/>
        <v/>
      </c>
    </row>
    <row r="495" spans="1:21" x14ac:dyDescent="0.25">
      <c r="A495" s="98"/>
      <c r="B495" s="1"/>
      <c r="C495" s="25"/>
      <c r="D495" s="26"/>
      <c r="E495" s="4"/>
      <c r="F495" s="25"/>
      <c r="G495" s="26"/>
      <c r="H495" s="4"/>
      <c r="I495" s="25"/>
      <c r="J495" s="26"/>
      <c r="K495" s="59"/>
      <c r="S495" s="97" t="str">
        <f t="shared" si="44"/>
        <v/>
      </c>
      <c r="U495" s="97" t="str">
        <f t="shared" si="45"/>
        <v/>
      </c>
    </row>
    <row r="496" spans="1:21" x14ac:dyDescent="0.25">
      <c r="A496" s="98"/>
      <c r="B496" s="1"/>
      <c r="C496" s="25"/>
      <c r="D496" s="26"/>
      <c r="E496" s="4"/>
      <c r="F496" s="25"/>
      <c r="G496" s="26"/>
      <c r="H496" s="4"/>
      <c r="I496" s="25"/>
      <c r="J496" s="26"/>
      <c r="K496" s="59"/>
      <c r="S496" s="97" t="str">
        <f t="shared" si="44"/>
        <v/>
      </c>
      <c r="U496" s="97" t="str">
        <f t="shared" si="45"/>
        <v/>
      </c>
    </row>
    <row r="497" spans="1:21" x14ac:dyDescent="0.25">
      <c r="A497" s="98"/>
      <c r="B497" s="1"/>
      <c r="C497" s="25"/>
      <c r="D497" s="26"/>
      <c r="E497" s="4"/>
      <c r="F497" s="25"/>
      <c r="G497" s="26"/>
      <c r="H497" s="4"/>
      <c r="I497" s="25"/>
      <c r="J497" s="26"/>
      <c r="K497" s="59"/>
      <c r="S497" s="97" t="str">
        <f t="shared" si="44"/>
        <v/>
      </c>
      <c r="U497" s="97" t="str">
        <f t="shared" si="45"/>
        <v/>
      </c>
    </row>
    <row r="498" spans="1:21" x14ac:dyDescent="0.25">
      <c r="A498" s="98"/>
      <c r="B498" s="1"/>
      <c r="C498" s="25"/>
      <c r="D498" s="26"/>
      <c r="E498" s="4"/>
      <c r="F498" s="25"/>
      <c r="G498" s="26"/>
      <c r="H498" s="4"/>
      <c r="I498" s="25"/>
      <c r="J498" s="26"/>
      <c r="K498" s="59"/>
      <c r="S498" s="97" t="str">
        <f t="shared" si="44"/>
        <v/>
      </c>
      <c r="U498" s="97" t="str">
        <f t="shared" si="45"/>
        <v/>
      </c>
    </row>
    <row r="499" spans="1:21" x14ac:dyDescent="0.25">
      <c r="A499" s="98"/>
      <c r="B499" s="1"/>
      <c r="C499" s="25"/>
      <c r="D499" s="26"/>
      <c r="E499" s="4"/>
      <c r="F499" s="25"/>
      <c r="G499" s="26"/>
      <c r="H499" s="4"/>
      <c r="I499" s="25"/>
      <c r="J499" s="26"/>
      <c r="K499" s="59"/>
      <c r="S499" s="97" t="str">
        <f t="shared" si="44"/>
        <v/>
      </c>
      <c r="U499" s="97" t="str">
        <f t="shared" si="45"/>
        <v/>
      </c>
    </row>
    <row r="500" spans="1:21" x14ac:dyDescent="0.25">
      <c r="A500" s="98"/>
      <c r="B500" s="1"/>
      <c r="C500" s="25"/>
      <c r="D500" s="26"/>
      <c r="E500" s="4"/>
      <c r="F500" s="25"/>
      <c r="G500" s="26"/>
      <c r="H500" s="4"/>
      <c r="I500" s="25"/>
      <c r="J500" s="26"/>
      <c r="K500" s="59"/>
      <c r="S500" s="97" t="str">
        <f t="shared" si="44"/>
        <v/>
      </c>
      <c r="U500" s="97" t="str">
        <f t="shared" si="45"/>
        <v/>
      </c>
    </row>
    <row r="501" spans="1:21" x14ac:dyDescent="0.25">
      <c r="A501" s="98"/>
      <c r="B501" s="1"/>
      <c r="C501" s="25"/>
      <c r="D501" s="26"/>
      <c r="E501" s="4"/>
      <c r="F501" s="25"/>
      <c r="G501" s="26"/>
      <c r="H501" s="4"/>
      <c r="I501" s="25"/>
      <c r="J501" s="26"/>
      <c r="K501" s="59"/>
      <c r="S501" s="97" t="str">
        <f t="shared" si="44"/>
        <v/>
      </c>
      <c r="U501" s="97" t="str">
        <f t="shared" si="45"/>
        <v/>
      </c>
    </row>
    <row r="502" spans="1:21" x14ac:dyDescent="0.25">
      <c r="A502" s="98"/>
      <c r="B502" s="1"/>
      <c r="C502" s="25"/>
      <c r="D502" s="26"/>
      <c r="E502" s="4"/>
      <c r="F502" s="25"/>
      <c r="G502" s="26"/>
      <c r="H502" s="4"/>
      <c r="I502" s="25"/>
      <c r="J502" s="26"/>
      <c r="K502" s="59"/>
      <c r="S502" s="97" t="str">
        <f t="shared" si="44"/>
        <v/>
      </c>
      <c r="U502" s="97" t="str">
        <f t="shared" si="45"/>
        <v/>
      </c>
    </row>
    <row r="503" spans="1:21" x14ac:dyDescent="0.25">
      <c r="A503" s="98"/>
      <c r="B503" s="1"/>
      <c r="C503" s="25"/>
      <c r="D503" s="26"/>
      <c r="E503" s="4"/>
      <c r="F503" s="25"/>
      <c r="G503" s="26"/>
      <c r="H503" s="4"/>
      <c r="I503" s="25"/>
      <c r="J503" s="26"/>
      <c r="K503" s="59"/>
      <c r="S503" s="97" t="str">
        <f t="shared" si="44"/>
        <v/>
      </c>
      <c r="U503" s="97" t="str">
        <f t="shared" si="45"/>
        <v/>
      </c>
    </row>
    <row r="504" spans="1:21" x14ac:dyDescent="0.25">
      <c r="A504" s="98"/>
      <c r="B504" s="1"/>
      <c r="C504" s="25"/>
      <c r="D504" s="26"/>
      <c r="E504" s="4"/>
      <c r="F504" s="25"/>
      <c r="G504" s="26"/>
      <c r="H504" s="4"/>
      <c r="I504" s="25"/>
      <c r="J504" s="26"/>
      <c r="K504" s="59"/>
      <c r="S504" s="97" t="str">
        <f t="shared" si="44"/>
        <v/>
      </c>
      <c r="U504" s="97" t="str">
        <f t="shared" si="45"/>
        <v/>
      </c>
    </row>
    <row r="505" spans="1:21" x14ac:dyDescent="0.25">
      <c r="A505" s="98"/>
      <c r="B505" s="1"/>
      <c r="C505" s="25"/>
      <c r="D505" s="26"/>
      <c r="E505" s="4"/>
      <c r="F505" s="25"/>
      <c r="G505" s="26"/>
      <c r="H505" s="4"/>
      <c r="I505" s="25"/>
      <c r="J505" s="26"/>
      <c r="K505" s="59"/>
      <c r="S505" s="97" t="str">
        <f t="shared" si="44"/>
        <v/>
      </c>
      <c r="U505" s="97" t="str">
        <f t="shared" si="45"/>
        <v/>
      </c>
    </row>
    <row r="506" spans="1:21" x14ac:dyDescent="0.25">
      <c r="A506" s="98"/>
      <c r="B506" s="1"/>
      <c r="C506" s="25"/>
      <c r="D506" s="26"/>
      <c r="E506" s="4"/>
      <c r="F506" s="25"/>
      <c r="G506" s="26"/>
      <c r="H506" s="4"/>
      <c r="I506" s="25"/>
      <c r="J506" s="26"/>
      <c r="K506" s="59"/>
      <c r="S506" s="97" t="str">
        <f t="shared" si="44"/>
        <v/>
      </c>
      <c r="U506" s="97" t="str">
        <f t="shared" si="45"/>
        <v/>
      </c>
    </row>
    <row r="507" spans="1:21" x14ac:dyDescent="0.25">
      <c r="A507" s="98"/>
      <c r="B507" s="1"/>
      <c r="C507" s="25"/>
      <c r="D507" s="26"/>
      <c r="E507" s="4"/>
      <c r="F507" s="25"/>
      <c r="G507" s="26"/>
      <c r="H507" s="4"/>
      <c r="I507" s="25"/>
      <c r="J507" s="26"/>
      <c r="K507" s="59"/>
      <c r="S507" s="97" t="str">
        <f t="shared" si="44"/>
        <v/>
      </c>
      <c r="U507" s="97" t="str">
        <f t="shared" si="45"/>
        <v/>
      </c>
    </row>
    <row r="508" spans="1:21" x14ac:dyDescent="0.25">
      <c r="A508" s="98"/>
      <c r="B508" s="1"/>
      <c r="C508" s="25"/>
      <c r="D508" s="26"/>
      <c r="E508" s="4"/>
      <c r="F508" s="25"/>
      <c r="G508" s="26"/>
      <c r="H508" s="4"/>
      <c r="I508" s="25"/>
      <c r="J508" s="26"/>
      <c r="K508" s="59"/>
      <c r="S508" s="97" t="str">
        <f t="shared" si="44"/>
        <v/>
      </c>
      <c r="U508" s="97" t="str">
        <f t="shared" si="45"/>
        <v/>
      </c>
    </row>
    <row r="509" spans="1:21" x14ac:dyDescent="0.25">
      <c r="A509" s="98"/>
      <c r="B509" s="1"/>
      <c r="C509" s="25"/>
      <c r="D509" s="26"/>
      <c r="E509" s="4"/>
      <c r="F509" s="25"/>
      <c r="G509" s="26"/>
      <c r="H509" s="4"/>
      <c r="I509" s="25"/>
      <c r="J509" s="26"/>
      <c r="K509" s="59"/>
      <c r="S509" s="97" t="str">
        <f t="shared" si="44"/>
        <v/>
      </c>
      <c r="U509" s="97" t="str">
        <f t="shared" si="45"/>
        <v/>
      </c>
    </row>
    <row r="510" spans="1:21" x14ac:dyDescent="0.25">
      <c r="A510" s="98"/>
      <c r="B510" s="1"/>
      <c r="C510" s="25"/>
      <c r="D510" s="26"/>
      <c r="E510" s="4"/>
      <c r="F510" s="25"/>
      <c r="G510" s="26"/>
      <c r="H510" s="4"/>
      <c r="I510" s="25"/>
      <c r="J510" s="26"/>
      <c r="K510" s="59"/>
      <c r="S510" s="97" t="str">
        <f t="shared" si="44"/>
        <v/>
      </c>
      <c r="U510" s="97" t="str">
        <f t="shared" si="45"/>
        <v/>
      </c>
    </row>
    <row r="511" spans="1:21" x14ac:dyDescent="0.25">
      <c r="A511" s="98"/>
      <c r="B511" s="1"/>
      <c r="C511" s="25"/>
      <c r="D511" s="26"/>
      <c r="E511" s="4"/>
      <c r="F511" s="25"/>
      <c r="G511" s="26"/>
      <c r="H511" s="4"/>
      <c r="I511" s="25"/>
      <c r="J511" s="26"/>
      <c r="K511" s="59"/>
      <c r="S511" s="97" t="str">
        <f t="shared" si="44"/>
        <v/>
      </c>
      <c r="U511" s="97" t="str">
        <f t="shared" si="45"/>
        <v/>
      </c>
    </row>
    <row r="512" spans="1:21" x14ac:dyDescent="0.25">
      <c r="A512" s="98"/>
      <c r="B512" s="1"/>
      <c r="C512" s="25"/>
      <c r="D512" s="26"/>
      <c r="E512" s="4"/>
      <c r="F512" s="25"/>
      <c r="G512" s="26"/>
      <c r="H512" s="4"/>
      <c r="I512" s="25"/>
      <c r="J512" s="26"/>
      <c r="K512" s="59"/>
      <c r="S512" s="97" t="str">
        <f t="shared" si="44"/>
        <v/>
      </c>
      <c r="U512" s="97" t="str">
        <f t="shared" si="45"/>
        <v/>
      </c>
    </row>
    <row r="513" spans="1:21" x14ac:dyDescent="0.25">
      <c r="A513" s="98"/>
      <c r="B513" s="1"/>
      <c r="C513" s="25"/>
      <c r="D513" s="26"/>
      <c r="E513" s="4"/>
      <c r="F513" s="25"/>
      <c r="G513" s="26"/>
      <c r="H513" s="4"/>
      <c r="I513" s="25"/>
      <c r="J513" s="26"/>
      <c r="K513" s="59"/>
      <c r="S513" s="97" t="str">
        <f t="shared" si="44"/>
        <v/>
      </c>
      <c r="U513" s="97" t="str">
        <f t="shared" si="45"/>
        <v/>
      </c>
    </row>
    <row r="514" spans="1:21" x14ac:dyDescent="0.25">
      <c r="A514" s="98"/>
      <c r="B514" s="1"/>
      <c r="C514" s="25"/>
      <c r="D514" s="26"/>
      <c r="E514" s="4"/>
      <c r="F514" s="25"/>
      <c r="G514" s="26"/>
      <c r="H514" s="4"/>
      <c r="I514" s="25"/>
      <c r="J514" s="26"/>
      <c r="K514" s="59"/>
      <c r="S514" s="97" t="str">
        <f t="shared" si="44"/>
        <v/>
      </c>
      <c r="U514" s="97" t="str">
        <f t="shared" si="45"/>
        <v/>
      </c>
    </row>
    <row r="515" spans="1:21" x14ac:dyDescent="0.25">
      <c r="A515" s="98"/>
      <c r="B515" s="1"/>
      <c r="C515" s="25"/>
      <c r="D515" s="26"/>
      <c r="E515" s="4"/>
      <c r="F515" s="25"/>
      <c r="G515" s="26"/>
      <c r="H515" s="4"/>
      <c r="I515" s="25"/>
      <c r="J515" s="26"/>
      <c r="K515" s="59"/>
      <c r="S515" s="97" t="str">
        <f t="shared" si="44"/>
        <v/>
      </c>
      <c r="U515" s="97" t="str">
        <f t="shared" si="45"/>
        <v/>
      </c>
    </row>
    <row r="516" spans="1:21" x14ac:dyDescent="0.25">
      <c r="A516" s="98"/>
      <c r="B516" s="1"/>
      <c r="C516" s="25"/>
      <c r="D516" s="26"/>
      <c r="E516" s="4"/>
      <c r="F516" s="25"/>
      <c r="G516" s="26"/>
      <c r="H516" s="4"/>
      <c r="I516" s="25"/>
      <c r="J516" s="26"/>
      <c r="K516" s="59"/>
      <c r="S516" s="97" t="str">
        <f t="shared" ref="S516:S579" si="46">IF(COUNTIF(O:O,M516)*COUNTIF(Q:Q,M516),M516,"")</f>
        <v/>
      </c>
      <c r="U516" s="97" t="str">
        <f t="shared" ref="U516:U579" si="47">IF(T516&gt;$A$14,T516,"")</f>
        <v/>
      </c>
    </row>
    <row r="517" spans="1:21" x14ac:dyDescent="0.25">
      <c r="A517" s="98"/>
      <c r="B517" s="1"/>
      <c r="C517" s="25"/>
      <c r="D517" s="26"/>
      <c r="E517" s="4"/>
      <c r="F517" s="25"/>
      <c r="G517" s="26"/>
      <c r="H517" s="4"/>
      <c r="I517" s="25"/>
      <c r="J517" s="26"/>
      <c r="K517" s="59"/>
      <c r="S517" s="97" t="str">
        <f t="shared" si="46"/>
        <v/>
      </c>
      <c r="U517" s="97" t="str">
        <f t="shared" si="47"/>
        <v/>
      </c>
    </row>
    <row r="518" spans="1:21" x14ac:dyDescent="0.25">
      <c r="A518" s="98"/>
      <c r="B518" s="1"/>
      <c r="C518" s="25"/>
      <c r="D518" s="26"/>
      <c r="E518" s="4"/>
      <c r="F518" s="25"/>
      <c r="G518" s="26"/>
      <c r="H518" s="4"/>
      <c r="I518" s="25"/>
      <c r="J518" s="26"/>
      <c r="K518" s="59"/>
      <c r="S518" s="97" t="str">
        <f t="shared" si="46"/>
        <v/>
      </c>
      <c r="U518" s="97" t="str">
        <f t="shared" si="47"/>
        <v/>
      </c>
    </row>
    <row r="519" spans="1:21" x14ac:dyDescent="0.25">
      <c r="A519" s="98"/>
      <c r="B519" s="1"/>
      <c r="C519" s="25"/>
      <c r="D519" s="26"/>
      <c r="E519" s="4"/>
      <c r="F519" s="25"/>
      <c r="G519" s="26"/>
      <c r="H519" s="4"/>
      <c r="I519" s="25"/>
      <c r="J519" s="26"/>
      <c r="K519" s="59"/>
      <c r="S519" s="97" t="str">
        <f t="shared" si="46"/>
        <v/>
      </c>
      <c r="U519" s="97" t="str">
        <f t="shared" si="47"/>
        <v/>
      </c>
    </row>
    <row r="520" spans="1:21" x14ac:dyDescent="0.25">
      <c r="A520" s="98"/>
      <c r="B520" s="1"/>
      <c r="C520" s="25"/>
      <c r="D520" s="26"/>
      <c r="E520" s="4"/>
      <c r="F520" s="25"/>
      <c r="G520" s="26"/>
      <c r="H520" s="4"/>
      <c r="I520" s="25"/>
      <c r="J520" s="26"/>
      <c r="K520" s="59"/>
      <c r="S520" s="97" t="str">
        <f t="shared" si="46"/>
        <v/>
      </c>
      <c r="U520" s="97" t="str">
        <f t="shared" si="47"/>
        <v/>
      </c>
    </row>
    <row r="521" spans="1:21" x14ac:dyDescent="0.25">
      <c r="A521" s="98"/>
      <c r="B521" s="1"/>
      <c r="C521" s="25"/>
      <c r="D521" s="26"/>
      <c r="E521" s="4"/>
      <c r="F521" s="25"/>
      <c r="G521" s="26"/>
      <c r="H521" s="4"/>
      <c r="I521" s="25"/>
      <c r="J521" s="26"/>
      <c r="K521" s="59"/>
      <c r="S521" s="97" t="str">
        <f t="shared" si="46"/>
        <v/>
      </c>
      <c r="U521" s="97" t="str">
        <f t="shared" si="47"/>
        <v/>
      </c>
    </row>
    <row r="522" spans="1:21" x14ac:dyDescent="0.25">
      <c r="A522" s="98"/>
      <c r="B522" s="1"/>
      <c r="C522" s="25"/>
      <c r="D522" s="26"/>
      <c r="E522" s="4"/>
      <c r="F522" s="25"/>
      <c r="G522" s="26"/>
      <c r="H522" s="4"/>
      <c r="I522" s="25"/>
      <c r="J522" s="26"/>
      <c r="K522" s="59"/>
      <c r="S522" s="97" t="str">
        <f t="shared" si="46"/>
        <v/>
      </c>
      <c r="U522" s="97" t="str">
        <f t="shared" si="47"/>
        <v/>
      </c>
    </row>
    <row r="523" spans="1:21" x14ac:dyDescent="0.25">
      <c r="A523" s="98"/>
      <c r="B523" s="1"/>
      <c r="C523" s="25"/>
      <c r="D523" s="26"/>
      <c r="E523" s="4"/>
      <c r="F523" s="25"/>
      <c r="G523" s="26"/>
      <c r="H523" s="4"/>
      <c r="I523" s="25"/>
      <c r="J523" s="26"/>
      <c r="K523" s="59"/>
      <c r="S523" s="97" t="str">
        <f t="shared" si="46"/>
        <v/>
      </c>
      <c r="U523" s="97" t="str">
        <f t="shared" si="47"/>
        <v/>
      </c>
    </row>
    <row r="524" spans="1:21" x14ac:dyDescent="0.25">
      <c r="A524" s="98"/>
      <c r="B524" s="1"/>
      <c r="C524" s="25"/>
      <c r="D524" s="26"/>
      <c r="E524" s="4"/>
      <c r="F524" s="25"/>
      <c r="G524" s="26"/>
      <c r="H524" s="4"/>
      <c r="I524" s="25"/>
      <c r="J524" s="26"/>
      <c r="K524" s="59"/>
      <c r="S524" s="97" t="str">
        <f t="shared" si="46"/>
        <v/>
      </c>
      <c r="U524" s="97" t="str">
        <f t="shared" si="47"/>
        <v/>
      </c>
    </row>
    <row r="525" spans="1:21" x14ac:dyDescent="0.25">
      <c r="A525" s="98"/>
      <c r="B525" s="1"/>
      <c r="C525" s="25"/>
      <c r="D525" s="26"/>
      <c r="E525" s="4"/>
      <c r="F525" s="25"/>
      <c r="G525" s="26"/>
      <c r="H525" s="4"/>
      <c r="I525" s="25"/>
      <c r="J525" s="26"/>
      <c r="K525" s="59"/>
      <c r="S525" s="97" t="str">
        <f t="shared" si="46"/>
        <v/>
      </c>
      <c r="U525" s="97" t="str">
        <f t="shared" si="47"/>
        <v/>
      </c>
    </row>
    <row r="526" spans="1:21" x14ac:dyDescent="0.25">
      <c r="A526" s="98"/>
      <c r="B526" s="1"/>
      <c r="C526" s="25"/>
      <c r="D526" s="26"/>
      <c r="E526" s="4"/>
      <c r="F526" s="25"/>
      <c r="G526" s="26"/>
      <c r="H526" s="4"/>
      <c r="I526" s="25"/>
      <c r="J526" s="26"/>
      <c r="K526" s="59"/>
      <c r="S526" s="97" t="str">
        <f t="shared" si="46"/>
        <v/>
      </c>
      <c r="U526" s="97" t="str">
        <f t="shared" si="47"/>
        <v/>
      </c>
    </row>
    <row r="527" spans="1:21" x14ac:dyDescent="0.25">
      <c r="A527" s="98"/>
      <c r="B527" s="1"/>
      <c r="C527" s="25"/>
      <c r="D527" s="26"/>
      <c r="E527" s="4"/>
      <c r="F527" s="25"/>
      <c r="G527" s="26"/>
      <c r="H527" s="4"/>
      <c r="I527" s="25"/>
      <c r="J527" s="26"/>
      <c r="K527" s="59"/>
      <c r="S527" s="97" t="str">
        <f t="shared" si="46"/>
        <v/>
      </c>
      <c r="U527" s="97" t="str">
        <f t="shared" si="47"/>
        <v/>
      </c>
    </row>
    <row r="528" spans="1:21" x14ac:dyDescent="0.25">
      <c r="A528" s="98"/>
      <c r="B528" s="1"/>
      <c r="C528" s="25"/>
      <c r="D528" s="26"/>
      <c r="E528" s="4"/>
      <c r="F528" s="25"/>
      <c r="G528" s="26"/>
      <c r="H528" s="4"/>
      <c r="I528" s="25"/>
      <c r="J528" s="26"/>
      <c r="K528" s="59"/>
      <c r="S528" s="97" t="str">
        <f t="shared" si="46"/>
        <v/>
      </c>
      <c r="U528" s="97" t="str">
        <f t="shared" si="47"/>
        <v/>
      </c>
    </row>
    <row r="529" spans="1:21" x14ac:dyDescent="0.25">
      <c r="A529" s="98"/>
      <c r="B529" s="1"/>
      <c r="C529" s="25"/>
      <c r="D529" s="26"/>
      <c r="E529" s="4"/>
      <c r="F529" s="25"/>
      <c r="G529" s="26"/>
      <c r="H529" s="4"/>
      <c r="I529" s="25"/>
      <c r="J529" s="26"/>
      <c r="K529" s="59"/>
      <c r="S529" s="97" t="str">
        <f t="shared" si="46"/>
        <v/>
      </c>
      <c r="U529" s="97" t="str">
        <f t="shared" si="47"/>
        <v/>
      </c>
    </row>
    <row r="530" spans="1:21" x14ac:dyDescent="0.25">
      <c r="A530" s="98"/>
      <c r="B530" s="1"/>
      <c r="C530" s="25"/>
      <c r="D530" s="26"/>
      <c r="E530" s="4"/>
      <c r="F530" s="25"/>
      <c r="G530" s="26"/>
      <c r="H530" s="4"/>
      <c r="I530" s="25"/>
      <c r="J530" s="26"/>
      <c r="K530" s="59"/>
      <c r="S530" s="97" t="str">
        <f t="shared" si="46"/>
        <v/>
      </c>
      <c r="U530" s="97" t="str">
        <f t="shared" si="47"/>
        <v/>
      </c>
    </row>
    <row r="531" spans="1:21" x14ac:dyDescent="0.25">
      <c r="A531" s="98"/>
      <c r="B531" s="1"/>
      <c r="C531" s="25"/>
      <c r="D531" s="26"/>
      <c r="E531" s="4"/>
      <c r="F531" s="25"/>
      <c r="G531" s="26"/>
      <c r="H531" s="4"/>
      <c r="I531" s="25"/>
      <c r="J531" s="26"/>
      <c r="K531" s="59"/>
      <c r="S531" s="97" t="str">
        <f t="shared" si="46"/>
        <v/>
      </c>
      <c r="U531" s="97" t="str">
        <f t="shared" si="47"/>
        <v/>
      </c>
    </row>
    <row r="532" spans="1:21" x14ac:dyDescent="0.25">
      <c r="A532" s="98"/>
      <c r="B532" s="1"/>
      <c r="C532" s="25"/>
      <c r="D532" s="26"/>
      <c r="E532" s="4"/>
      <c r="F532" s="25"/>
      <c r="G532" s="26"/>
      <c r="H532" s="4"/>
      <c r="I532" s="25"/>
      <c r="J532" s="26"/>
      <c r="K532" s="59"/>
      <c r="S532" s="97" t="str">
        <f t="shared" si="46"/>
        <v/>
      </c>
      <c r="U532" s="97" t="str">
        <f t="shared" si="47"/>
        <v/>
      </c>
    </row>
    <row r="533" spans="1:21" x14ac:dyDescent="0.25">
      <c r="A533" s="98"/>
      <c r="B533" s="1"/>
      <c r="C533" s="25"/>
      <c r="D533" s="26"/>
      <c r="E533" s="4"/>
      <c r="F533" s="25"/>
      <c r="G533" s="26"/>
      <c r="H533" s="4"/>
      <c r="I533" s="25"/>
      <c r="J533" s="26"/>
      <c r="K533" s="59"/>
      <c r="S533" s="97" t="str">
        <f t="shared" si="46"/>
        <v/>
      </c>
      <c r="U533" s="97" t="str">
        <f t="shared" si="47"/>
        <v/>
      </c>
    </row>
    <row r="534" spans="1:21" x14ac:dyDescent="0.25">
      <c r="A534" s="98"/>
      <c r="B534" s="1"/>
      <c r="C534" s="25"/>
      <c r="D534" s="26"/>
      <c r="E534" s="4"/>
      <c r="F534" s="25"/>
      <c r="G534" s="26"/>
      <c r="H534" s="4"/>
      <c r="I534" s="25"/>
      <c r="J534" s="26"/>
      <c r="K534" s="59"/>
      <c r="S534" s="97" t="str">
        <f t="shared" si="46"/>
        <v/>
      </c>
      <c r="U534" s="97" t="str">
        <f t="shared" si="47"/>
        <v/>
      </c>
    </row>
    <row r="535" spans="1:21" x14ac:dyDescent="0.25">
      <c r="A535" s="98"/>
      <c r="B535" s="1"/>
      <c r="C535" s="25"/>
      <c r="D535" s="26"/>
      <c r="E535" s="4"/>
      <c r="F535" s="25"/>
      <c r="G535" s="26"/>
      <c r="H535" s="4"/>
      <c r="I535" s="25"/>
      <c r="J535" s="26"/>
      <c r="K535" s="59"/>
      <c r="S535" s="97" t="str">
        <f t="shared" si="46"/>
        <v/>
      </c>
      <c r="U535" s="97" t="str">
        <f t="shared" si="47"/>
        <v/>
      </c>
    </row>
    <row r="536" spans="1:21" x14ac:dyDescent="0.25">
      <c r="A536" s="98"/>
      <c r="B536" s="1"/>
      <c r="C536" s="25"/>
      <c r="D536" s="26"/>
      <c r="E536" s="4"/>
      <c r="F536" s="25"/>
      <c r="G536" s="26"/>
      <c r="H536" s="4"/>
      <c r="I536" s="25"/>
      <c r="J536" s="26"/>
      <c r="K536" s="59"/>
      <c r="S536" s="97" t="str">
        <f t="shared" si="46"/>
        <v/>
      </c>
      <c r="U536" s="97" t="str">
        <f t="shared" si="47"/>
        <v/>
      </c>
    </row>
    <row r="537" spans="1:21" x14ac:dyDescent="0.25">
      <c r="A537" s="98"/>
      <c r="B537" s="1"/>
      <c r="C537" s="25"/>
      <c r="D537" s="26"/>
      <c r="E537" s="4"/>
      <c r="F537" s="25"/>
      <c r="G537" s="26"/>
      <c r="H537" s="4"/>
      <c r="I537" s="25"/>
      <c r="J537" s="26"/>
      <c r="K537" s="59"/>
      <c r="S537" s="97" t="str">
        <f t="shared" si="46"/>
        <v/>
      </c>
      <c r="U537" s="97" t="str">
        <f t="shared" si="47"/>
        <v/>
      </c>
    </row>
    <row r="538" spans="1:21" x14ac:dyDescent="0.25">
      <c r="A538" s="98"/>
      <c r="B538" s="1"/>
      <c r="C538" s="25"/>
      <c r="D538" s="26"/>
      <c r="E538" s="4"/>
      <c r="F538" s="25"/>
      <c r="G538" s="26"/>
      <c r="H538" s="4"/>
      <c r="I538" s="25"/>
      <c r="J538" s="26"/>
      <c r="K538" s="59"/>
      <c r="S538" s="97" t="str">
        <f t="shared" si="46"/>
        <v/>
      </c>
      <c r="U538" s="97" t="str">
        <f t="shared" si="47"/>
        <v/>
      </c>
    </row>
    <row r="539" spans="1:21" x14ac:dyDescent="0.25">
      <c r="A539" s="98"/>
      <c r="B539" s="1"/>
      <c r="C539" s="25"/>
      <c r="D539" s="26"/>
      <c r="E539" s="4"/>
      <c r="F539" s="25"/>
      <c r="G539" s="26"/>
      <c r="H539" s="4"/>
      <c r="I539" s="25"/>
      <c r="J539" s="26"/>
      <c r="K539" s="59"/>
      <c r="S539" s="97" t="str">
        <f t="shared" si="46"/>
        <v/>
      </c>
      <c r="U539" s="97" t="str">
        <f t="shared" si="47"/>
        <v/>
      </c>
    </row>
    <row r="540" spans="1:21" x14ac:dyDescent="0.25">
      <c r="A540" s="98"/>
      <c r="B540" s="1"/>
      <c r="C540" s="25"/>
      <c r="D540" s="26"/>
      <c r="E540" s="4"/>
      <c r="F540" s="25"/>
      <c r="G540" s="26"/>
      <c r="H540" s="4"/>
      <c r="I540" s="25"/>
      <c r="J540" s="26"/>
      <c r="K540" s="59"/>
      <c r="S540" s="97" t="str">
        <f t="shared" si="46"/>
        <v/>
      </c>
      <c r="U540" s="97" t="str">
        <f t="shared" si="47"/>
        <v/>
      </c>
    </row>
    <row r="541" spans="1:21" x14ac:dyDescent="0.25">
      <c r="A541" s="98"/>
      <c r="B541" s="1"/>
      <c r="C541" s="25"/>
      <c r="D541" s="26"/>
      <c r="E541" s="4"/>
      <c r="F541" s="25"/>
      <c r="G541" s="26"/>
      <c r="H541" s="4"/>
      <c r="I541" s="25"/>
      <c r="J541" s="26"/>
      <c r="K541" s="59"/>
      <c r="S541" s="97" t="str">
        <f t="shared" si="46"/>
        <v/>
      </c>
      <c r="U541" s="97" t="str">
        <f t="shared" si="47"/>
        <v/>
      </c>
    </row>
    <row r="542" spans="1:21" x14ac:dyDescent="0.25">
      <c r="A542" s="98"/>
      <c r="B542" s="1"/>
      <c r="C542" s="25"/>
      <c r="D542" s="26"/>
      <c r="E542" s="4"/>
      <c r="F542" s="25"/>
      <c r="G542" s="26"/>
      <c r="H542" s="4"/>
      <c r="I542" s="25"/>
      <c r="J542" s="26"/>
      <c r="K542" s="59"/>
      <c r="S542" s="97" t="str">
        <f t="shared" si="46"/>
        <v/>
      </c>
      <c r="U542" s="97" t="str">
        <f t="shared" si="47"/>
        <v/>
      </c>
    </row>
    <row r="543" spans="1:21" x14ac:dyDescent="0.25">
      <c r="A543" s="98"/>
      <c r="B543" s="1"/>
      <c r="C543" s="25"/>
      <c r="D543" s="26"/>
      <c r="E543" s="4"/>
      <c r="F543" s="25"/>
      <c r="G543" s="26"/>
      <c r="H543" s="4"/>
      <c r="I543" s="25"/>
      <c r="J543" s="26"/>
      <c r="K543" s="59"/>
      <c r="S543" s="97" t="str">
        <f t="shared" si="46"/>
        <v/>
      </c>
      <c r="U543" s="97" t="str">
        <f t="shared" si="47"/>
        <v/>
      </c>
    </row>
    <row r="544" spans="1:21" x14ac:dyDescent="0.25">
      <c r="A544" s="98"/>
      <c r="B544" s="1"/>
      <c r="C544" s="25"/>
      <c r="D544" s="26"/>
      <c r="E544" s="4"/>
      <c r="F544" s="25"/>
      <c r="G544" s="26"/>
      <c r="H544" s="4"/>
      <c r="I544" s="25"/>
      <c r="J544" s="26"/>
      <c r="K544" s="59"/>
      <c r="S544" s="97" t="str">
        <f t="shared" si="46"/>
        <v/>
      </c>
      <c r="U544" s="97" t="str">
        <f t="shared" si="47"/>
        <v/>
      </c>
    </row>
    <row r="545" spans="1:21" x14ac:dyDescent="0.25">
      <c r="A545" s="98"/>
      <c r="B545" s="1"/>
      <c r="C545" s="25"/>
      <c r="D545" s="26"/>
      <c r="E545" s="4"/>
      <c r="F545" s="25"/>
      <c r="G545" s="26"/>
      <c r="H545" s="4"/>
      <c r="I545" s="25"/>
      <c r="J545" s="26"/>
      <c r="K545" s="59"/>
      <c r="S545" s="97" t="str">
        <f t="shared" si="46"/>
        <v/>
      </c>
      <c r="U545" s="97" t="str">
        <f t="shared" si="47"/>
        <v/>
      </c>
    </row>
    <row r="546" spans="1:21" x14ac:dyDescent="0.25">
      <c r="A546" s="98"/>
      <c r="B546" s="1"/>
      <c r="C546" s="25"/>
      <c r="D546" s="26"/>
      <c r="E546" s="4"/>
      <c r="F546" s="25"/>
      <c r="G546" s="26"/>
      <c r="H546" s="4"/>
      <c r="I546" s="25"/>
      <c r="J546" s="26"/>
      <c r="K546" s="59"/>
      <c r="S546" s="97" t="str">
        <f t="shared" si="46"/>
        <v/>
      </c>
      <c r="U546" s="97" t="str">
        <f t="shared" si="47"/>
        <v/>
      </c>
    </row>
    <row r="547" spans="1:21" x14ac:dyDescent="0.25">
      <c r="A547" s="98"/>
      <c r="B547" s="1"/>
      <c r="C547" s="25"/>
      <c r="D547" s="26"/>
      <c r="E547" s="4"/>
      <c r="F547" s="25"/>
      <c r="G547" s="26"/>
      <c r="H547" s="4"/>
      <c r="I547" s="25"/>
      <c r="J547" s="26"/>
      <c r="K547" s="59"/>
      <c r="S547" s="97" t="str">
        <f t="shared" si="46"/>
        <v/>
      </c>
      <c r="U547" s="97" t="str">
        <f t="shared" si="47"/>
        <v/>
      </c>
    </row>
    <row r="548" spans="1:21" x14ac:dyDescent="0.25">
      <c r="A548" s="98"/>
      <c r="B548" s="1"/>
      <c r="C548" s="25"/>
      <c r="D548" s="26"/>
      <c r="E548" s="4"/>
      <c r="F548" s="25"/>
      <c r="G548" s="26"/>
      <c r="H548" s="4"/>
      <c r="I548" s="25"/>
      <c r="J548" s="26"/>
      <c r="K548" s="59"/>
      <c r="S548" s="97" t="str">
        <f t="shared" si="46"/>
        <v/>
      </c>
      <c r="U548" s="97" t="str">
        <f t="shared" si="47"/>
        <v/>
      </c>
    </row>
    <row r="549" spans="1:21" x14ac:dyDescent="0.25">
      <c r="A549" s="98"/>
      <c r="B549" s="1"/>
      <c r="C549" s="25"/>
      <c r="D549" s="26"/>
      <c r="E549" s="4"/>
      <c r="F549" s="25"/>
      <c r="G549" s="26"/>
      <c r="H549" s="4"/>
      <c r="I549" s="25"/>
      <c r="J549" s="26"/>
      <c r="K549" s="59"/>
      <c r="S549" s="97" t="str">
        <f t="shared" si="46"/>
        <v/>
      </c>
      <c r="U549" s="97" t="str">
        <f t="shared" si="47"/>
        <v/>
      </c>
    </row>
    <row r="550" spans="1:21" x14ac:dyDescent="0.25">
      <c r="A550" s="98"/>
      <c r="B550" s="1"/>
      <c r="C550" s="25"/>
      <c r="D550" s="26"/>
      <c r="E550" s="4"/>
      <c r="F550" s="25"/>
      <c r="G550" s="26"/>
      <c r="H550" s="4"/>
      <c r="I550" s="25"/>
      <c r="J550" s="26"/>
      <c r="K550" s="59"/>
      <c r="S550" s="97" t="str">
        <f t="shared" si="46"/>
        <v/>
      </c>
      <c r="U550" s="97" t="str">
        <f t="shared" si="47"/>
        <v/>
      </c>
    </row>
    <row r="551" spans="1:21" x14ac:dyDescent="0.25">
      <c r="A551" s="98"/>
      <c r="B551" s="1"/>
      <c r="C551" s="25"/>
      <c r="D551" s="26"/>
      <c r="E551" s="4"/>
      <c r="F551" s="25"/>
      <c r="G551" s="26"/>
      <c r="H551" s="4"/>
      <c r="I551" s="25"/>
      <c r="J551" s="26"/>
      <c r="K551" s="59"/>
      <c r="S551" s="97" t="str">
        <f t="shared" si="46"/>
        <v/>
      </c>
      <c r="U551" s="97" t="str">
        <f t="shared" si="47"/>
        <v/>
      </c>
    </row>
    <row r="552" spans="1:21" x14ac:dyDescent="0.25">
      <c r="A552" s="98"/>
      <c r="B552" s="1"/>
      <c r="C552" s="25"/>
      <c r="D552" s="26"/>
      <c r="E552" s="4"/>
      <c r="F552" s="25"/>
      <c r="G552" s="26"/>
      <c r="H552" s="4"/>
      <c r="I552" s="25"/>
      <c r="J552" s="26"/>
      <c r="K552" s="59"/>
      <c r="S552" s="97" t="str">
        <f t="shared" si="46"/>
        <v/>
      </c>
      <c r="U552" s="97" t="str">
        <f t="shared" si="47"/>
        <v/>
      </c>
    </row>
    <row r="553" spans="1:21" x14ac:dyDescent="0.25">
      <c r="A553" s="98"/>
      <c r="B553" s="1"/>
      <c r="C553" s="25"/>
      <c r="D553" s="26"/>
      <c r="E553" s="4"/>
      <c r="F553" s="25"/>
      <c r="G553" s="26"/>
      <c r="H553" s="4"/>
      <c r="I553" s="25"/>
      <c r="J553" s="26"/>
      <c r="K553" s="59"/>
      <c r="S553" s="97" t="str">
        <f t="shared" si="46"/>
        <v/>
      </c>
      <c r="U553" s="97" t="str">
        <f t="shared" si="47"/>
        <v/>
      </c>
    </row>
    <row r="554" spans="1:21" x14ac:dyDescent="0.25">
      <c r="A554" s="98"/>
      <c r="B554" s="1"/>
      <c r="C554" s="25"/>
      <c r="D554" s="26"/>
      <c r="E554" s="4"/>
      <c r="F554" s="25"/>
      <c r="G554" s="26"/>
      <c r="H554" s="4"/>
      <c r="I554" s="25"/>
      <c r="J554" s="26"/>
      <c r="K554" s="59"/>
      <c r="S554" s="97" t="str">
        <f t="shared" si="46"/>
        <v/>
      </c>
      <c r="U554" s="97" t="str">
        <f t="shared" si="47"/>
        <v/>
      </c>
    </row>
    <row r="555" spans="1:21" x14ac:dyDescent="0.25">
      <c r="A555" s="98"/>
      <c r="B555" s="1"/>
      <c r="C555" s="25"/>
      <c r="D555" s="26"/>
      <c r="E555" s="4"/>
      <c r="F555" s="25"/>
      <c r="G555" s="26"/>
      <c r="H555" s="4"/>
      <c r="I555" s="25"/>
      <c r="J555" s="26"/>
      <c r="K555" s="59"/>
      <c r="S555" s="97" t="str">
        <f t="shared" si="46"/>
        <v/>
      </c>
      <c r="U555" s="97" t="str">
        <f t="shared" si="47"/>
        <v/>
      </c>
    </row>
    <row r="556" spans="1:21" x14ac:dyDescent="0.25">
      <c r="A556" s="98"/>
      <c r="B556" s="1"/>
      <c r="C556" s="25"/>
      <c r="D556" s="26"/>
      <c r="E556" s="4"/>
      <c r="F556" s="25"/>
      <c r="G556" s="26"/>
      <c r="H556" s="4"/>
      <c r="I556" s="25"/>
      <c r="J556" s="26"/>
      <c r="K556" s="59"/>
      <c r="S556" s="97" t="str">
        <f t="shared" si="46"/>
        <v/>
      </c>
      <c r="U556" s="97" t="str">
        <f t="shared" si="47"/>
        <v/>
      </c>
    </row>
    <row r="557" spans="1:21" x14ac:dyDescent="0.25">
      <c r="A557" s="98"/>
      <c r="B557" s="1"/>
      <c r="C557" s="25"/>
      <c r="D557" s="26"/>
      <c r="E557" s="4"/>
      <c r="F557" s="25"/>
      <c r="G557" s="26"/>
      <c r="H557" s="4"/>
      <c r="I557" s="25"/>
      <c r="J557" s="26"/>
      <c r="K557" s="59"/>
      <c r="S557" s="97" t="str">
        <f t="shared" si="46"/>
        <v/>
      </c>
      <c r="U557" s="97" t="str">
        <f t="shared" si="47"/>
        <v/>
      </c>
    </row>
    <row r="558" spans="1:21" x14ac:dyDescent="0.25">
      <c r="A558" s="98"/>
      <c r="B558" s="1"/>
      <c r="C558" s="25"/>
      <c r="D558" s="26"/>
      <c r="E558" s="4"/>
      <c r="F558" s="25"/>
      <c r="G558" s="26"/>
      <c r="H558" s="4"/>
      <c r="I558" s="25"/>
      <c r="J558" s="26"/>
      <c r="K558" s="59"/>
      <c r="S558" s="97" t="str">
        <f t="shared" si="46"/>
        <v/>
      </c>
      <c r="U558" s="97" t="str">
        <f t="shared" si="47"/>
        <v/>
      </c>
    </row>
    <row r="559" spans="1:21" x14ac:dyDescent="0.25">
      <c r="A559" s="98"/>
      <c r="B559" s="1"/>
      <c r="C559" s="25"/>
      <c r="D559" s="26"/>
      <c r="E559" s="4"/>
      <c r="F559" s="25"/>
      <c r="G559" s="26"/>
      <c r="H559" s="4"/>
      <c r="I559" s="25"/>
      <c r="J559" s="26"/>
      <c r="K559" s="59"/>
      <c r="S559" s="97" t="str">
        <f t="shared" si="46"/>
        <v/>
      </c>
      <c r="U559" s="97" t="str">
        <f t="shared" si="47"/>
        <v/>
      </c>
    </row>
    <row r="560" spans="1:21" x14ac:dyDescent="0.25">
      <c r="A560" s="98"/>
      <c r="B560" s="1"/>
      <c r="C560" s="25"/>
      <c r="D560" s="26"/>
      <c r="E560" s="4"/>
      <c r="F560" s="25"/>
      <c r="G560" s="26"/>
      <c r="H560" s="4"/>
      <c r="I560" s="25"/>
      <c r="J560" s="26"/>
      <c r="K560" s="59"/>
      <c r="S560" s="97" t="str">
        <f t="shared" si="46"/>
        <v/>
      </c>
      <c r="U560" s="97" t="str">
        <f t="shared" si="47"/>
        <v/>
      </c>
    </row>
    <row r="561" spans="1:21" x14ac:dyDescent="0.25">
      <c r="A561" s="98"/>
      <c r="B561" s="1"/>
      <c r="C561" s="25"/>
      <c r="D561" s="26"/>
      <c r="E561" s="4"/>
      <c r="F561" s="25"/>
      <c r="G561" s="26"/>
      <c r="H561" s="4"/>
      <c r="I561" s="25"/>
      <c r="J561" s="26"/>
      <c r="K561" s="59"/>
      <c r="S561" s="97" t="str">
        <f t="shared" si="46"/>
        <v/>
      </c>
      <c r="U561" s="97" t="str">
        <f t="shared" si="47"/>
        <v/>
      </c>
    </row>
    <row r="562" spans="1:21" x14ac:dyDescent="0.25">
      <c r="A562" s="98"/>
      <c r="B562" s="1"/>
      <c r="C562" s="25"/>
      <c r="D562" s="26"/>
      <c r="E562" s="4"/>
      <c r="F562" s="25"/>
      <c r="G562" s="26"/>
      <c r="H562" s="4"/>
      <c r="I562" s="25"/>
      <c r="J562" s="26"/>
      <c r="K562" s="59"/>
      <c r="S562" s="97" t="str">
        <f t="shared" si="46"/>
        <v/>
      </c>
      <c r="U562" s="97" t="str">
        <f t="shared" si="47"/>
        <v/>
      </c>
    </row>
    <row r="563" spans="1:21" x14ac:dyDescent="0.25">
      <c r="A563" s="98"/>
      <c r="B563" s="1"/>
      <c r="C563" s="25"/>
      <c r="D563" s="26"/>
      <c r="E563" s="4"/>
      <c r="F563" s="25"/>
      <c r="G563" s="26"/>
      <c r="H563" s="4"/>
      <c r="I563" s="25"/>
      <c r="J563" s="26"/>
      <c r="K563" s="59"/>
      <c r="S563" s="97" t="str">
        <f t="shared" si="46"/>
        <v/>
      </c>
      <c r="U563" s="97" t="str">
        <f t="shared" si="47"/>
        <v/>
      </c>
    </row>
    <row r="564" spans="1:21" x14ac:dyDescent="0.25">
      <c r="A564" s="98"/>
      <c r="B564" s="1"/>
      <c r="C564" s="25"/>
      <c r="D564" s="26"/>
      <c r="E564" s="4"/>
      <c r="F564" s="25"/>
      <c r="G564" s="26"/>
      <c r="H564" s="4"/>
      <c r="I564" s="25"/>
      <c r="J564" s="26"/>
      <c r="K564" s="59"/>
      <c r="S564" s="97" t="str">
        <f t="shared" si="46"/>
        <v/>
      </c>
      <c r="U564" s="97" t="str">
        <f t="shared" si="47"/>
        <v/>
      </c>
    </row>
    <row r="565" spans="1:21" x14ac:dyDescent="0.25">
      <c r="A565" s="98"/>
      <c r="B565" s="1"/>
      <c r="C565" s="25"/>
      <c r="D565" s="26"/>
      <c r="E565" s="4"/>
      <c r="F565" s="25"/>
      <c r="G565" s="26"/>
      <c r="H565" s="4"/>
      <c r="I565" s="25"/>
      <c r="J565" s="26"/>
      <c r="K565" s="59"/>
      <c r="S565" s="97" t="str">
        <f t="shared" si="46"/>
        <v/>
      </c>
      <c r="U565" s="97" t="str">
        <f t="shared" si="47"/>
        <v/>
      </c>
    </row>
    <row r="566" spans="1:21" x14ac:dyDescent="0.25">
      <c r="A566" s="98"/>
      <c r="B566" s="1"/>
      <c r="C566" s="25"/>
      <c r="D566" s="26"/>
      <c r="E566" s="4"/>
      <c r="F566" s="25"/>
      <c r="G566" s="26"/>
      <c r="H566" s="4"/>
      <c r="I566" s="25"/>
      <c r="J566" s="26"/>
      <c r="K566" s="59"/>
      <c r="S566" s="97" t="str">
        <f t="shared" si="46"/>
        <v/>
      </c>
      <c r="U566" s="97" t="str">
        <f t="shared" si="47"/>
        <v/>
      </c>
    </row>
    <row r="567" spans="1:21" x14ac:dyDescent="0.25">
      <c r="A567" s="98"/>
      <c r="B567" s="1"/>
      <c r="C567" s="25"/>
      <c r="D567" s="26"/>
      <c r="E567" s="4"/>
      <c r="F567" s="25"/>
      <c r="G567" s="26"/>
      <c r="H567" s="4"/>
      <c r="I567" s="25"/>
      <c r="J567" s="26"/>
      <c r="K567" s="59"/>
      <c r="S567" s="97" t="str">
        <f t="shared" si="46"/>
        <v/>
      </c>
      <c r="U567" s="97" t="str">
        <f t="shared" si="47"/>
        <v/>
      </c>
    </row>
    <row r="568" spans="1:21" x14ac:dyDescent="0.25">
      <c r="A568" s="98"/>
      <c r="B568" s="1"/>
      <c r="C568" s="25"/>
      <c r="D568" s="26"/>
      <c r="E568" s="4"/>
      <c r="F568" s="25"/>
      <c r="G568" s="26"/>
      <c r="H568" s="4"/>
      <c r="I568" s="25"/>
      <c r="J568" s="26"/>
      <c r="K568" s="59"/>
      <c r="S568" s="97" t="str">
        <f t="shared" si="46"/>
        <v/>
      </c>
      <c r="U568" s="97" t="str">
        <f t="shared" si="47"/>
        <v/>
      </c>
    </row>
    <row r="569" spans="1:21" x14ac:dyDescent="0.25">
      <c r="A569" s="98"/>
      <c r="B569" s="1"/>
      <c r="C569" s="25"/>
      <c r="D569" s="26"/>
      <c r="E569" s="4"/>
      <c r="F569" s="25"/>
      <c r="G569" s="26"/>
      <c r="H569" s="4"/>
      <c r="I569" s="25"/>
      <c r="J569" s="26"/>
      <c r="K569" s="59"/>
      <c r="S569" s="97" t="str">
        <f t="shared" si="46"/>
        <v/>
      </c>
      <c r="U569" s="97" t="str">
        <f t="shared" si="47"/>
        <v/>
      </c>
    </row>
    <row r="570" spans="1:21" x14ac:dyDescent="0.25">
      <c r="A570" s="98"/>
      <c r="B570" s="1"/>
      <c r="C570" s="25"/>
      <c r="D570" s="26"/>
      <c r="E570" s="4"/>
      <c r="F570" s="25"/>
      <c r="G570" s="26"/>
      <c r="H570" s="4"/>
      <c r="I570" s="25"/>
      <c r="J570" s="26"/>
      <c r="K570" s="59"/>
      <c r="S570" s="97" t="str">
        <f t="shared" si="46"/>
        <v/>
      </c>
      <c r="U570" s="97" t="str">
        <f t="shared" si="47"/>
        <v/>
      </c>
    </row>
    <row r="571" spans="1:21" x14ac:dyDescent="0.25">
      <c r="A571" s="98"/>
      <c r="B571" s="1"/>
      <c r="C571" s="25"/>
      <c r="D571" s="26"/>
      <c r="E571" s="4"/>
      <c r="F571" s="25"/>
      <c r="G571" s="26"/>
      <c r="H571" s="4"/>
      <c r="I571" s="25"/>
      <c r="J571" s="26"/>
      <c r="K571" s="59"/>
      <c r="S571" s="97" t="str">
        <f t="shared" si="46"/>
        <v/>
      </c>
      <c r="U571" s="97" t="str">
        <f t="shared" si="47"/>
        <v/>
      </c>
    </row>
    <row r="572" spans="1:21" x14ac:dyDescent="0.25">
      <c r="A572" s="98"/>
      <c r="B572" s="1"/>
      <c r="C572" s="25"/>
      <c r="D572" s="26"/>
      <c r="E572" s="4"/>
      <c r="F572" s="25"/>
      <c r="G572" s="26"/>
      <c r="H572" s="4"/>
      <c r="I572" s="25"/>
      <c r="J572" s="26"/>
      <c r="K572" s="59"/>
      <c r="S572" s="97" t="str">
        <f t="shared" si="46"/>
        <v/>
      </c>
      <c r="U572" s="97" t="str">
        <f t="shared" si="47"/>
        <v/>
      </c>
    </row>
    <row r="573" spans="1:21" x14ac:dyDescent="0.25">
      <c r="A573" s="98"/>
      <c r="B573" s="1"/>
      <c r="C573" s="25"/>
      <c r="D573" s="26"/>
      <c r="E573" s="4"/>
      <c r="F573" s="25"/>
      <c r="G573" s="26"/>
      <c r="H573" s="4"/>
      <c r="I573" s="25"/>
      <c r="J573" s="26"/>
      <c r="K573" s="59"/>
      <c r="S573" s="97" t="str">
        <f t="shared" si="46"/>
        <v/>
      </c>
      <c r="U573" s="97" t="str">
        <f t="shared" si="47"/>
        <v/>
      </c>
    </row>
    <row r="574" spans="1:21" x14ac:dyDescent="0.25">
      <c r="A574" s="98"/>
      <c r="B574" s="1"/>
      <c r="C574" s="25"/>
      <c r="D574" s="26"/>
      <c r="E574" s="4"/>
      <c r="F574" s="25"/>
      <c r="G574" s="26"/>
      <c r="H574" s="4"/>
      <c r="I574" s="25"/>
      <c r="J574" s="26"/>
      <c r="K574" s="59"/>
      <c r="S574" s="97" t="str">
        <f t="shared" si="46"/>
        <v/>
      </c>
      <c r="U574" s="97" t="str">
        <f t="shared" si="47"/>
        <v/>
      </c>
    </row>
    <row r="575" spans="1:21" x14ac:dyDescent="0.25">
      <c r="A575" s="98"/>
      <c r="B575" s="1"/>
      <c r="C575" s="25"/>
      <c r="D575" s="26"/>
      <c r="E575" s="4"/>
      <c r="F575" s="25"/>
      <c r="G575" s="26"/>
      <c r="H575" s="4"/>
      <c r="I575" s="25"/>
      <c r="J575" s="26"/>
      <c r="K575" s="59"/>
      <c r="S575" s="97" t="str">
        <f t="shared" si="46"/>
        <v/>
      </c>
      <c r="U575" s="97" t="str">
        <f t="shared" si="47"/>
        <v/>
      </c>
    </row>
    <row r="576" spans="1:21" x14ac:dyDescent="0.25">
      <c r="A576" s="98"/>
      <c r="B576" s="1"/>
      <c r="C576" s="25"/>
      <c r="D576" s="26"/>
      <c r="E576" s="4"/>
      <c r="F576" s="25"/>
      <c r="G576" s="26"/>
      <c r="H576" s="4"/>
      <c r="I576" s="25"/>
      <c r="J576" s="26"/>
      <c r="K576" s="59"/>
      <c r="S576" s="97" t="str">
        <f t="shared" si="46"/>
        <v/>
      </c>
      <c r="U576" s="97" t="str">
        <f t="shared" si="47"/>
        <v/>
      </c>
    </row>
    <row r="577" spans="1:21" x14ac:dyDescent="0.25">
      <c r="A577" s="98"/>
      <c r="B577" s="1"/>
      <c r="C577" s="25"/>
      <c r="D577" s="26"/>
      <c r="E577" s="4"/>
      <c r="F577" s="25"/>
      <c r="G577" s="26"/>
      <c r="H577" s="4"/>
      <c r="I577" s="25"/>
      <c r="J577" s="26"/>
      <c r="K577" s="59"/>
      <c r="S577" s="97" t="str">
        <f t="shared" si="46"/>
        <v/>
      </c>
      <c r="U577" s="97" t="str">
        <f t="shared" si="47"/>
        <v/>
      </c>
    </row>
    <row r="578" spans="1:21" x14ac:dyDescent="0.25">
      <c r="A578" s="98"/>
      <c r="B578" s="1"/>
      <c r="C578" s="25"/>
      <c r="D578" s="26"/>
      <c r="E578" s="4"/>
      <c r="F578" s="25"/>
      <c r="G578" s="26"/>
      <c r="H578" s="4"/>
      <c r="I578" s="25"/>
      <c r="J578" s="26"/>
      <c r="K578" s="59"/>
      <c r="S578" s="97" t="str">
        <f t="shared" si="46"/>
        <v/>
      </c>
      <c r="U578" s="97" t="str">
        <f t="shared" si="47"/>
        <v/>
      </c>
    </row>
    <row r="579" spans="1:21" x14ac:dyDescent="0.25">
      <c r="A579" s="98"/>
      <c r="B579" s="1"/>
      <c r="C579" s="25"/>
      <c r="D579" s="26"/>
      <c r="E579" s="4"/>
      <c r="F579" s="25"/>
      <c r="G579" s="26"/>
      <c r="H579" s="4"/>
      <c r="I579" s="25"/>
      <c r="J579" s="26"/>
      <c r="K579" s="59"/>
      <c r="S579" s="97" t="str">
        <f t="shared" si="46"/>
        <v/>
      </c>
      <c r="U579" s="97" t="str">
        <f t="shared" si="47"/>
        <v/>
      </c>
    </row>
    <row r="580" spans="1:21" x14ac:dyDescent="0.25">
      <c r="A580" s="98"/>
      <c r="B580" s="1"/>
      <c r="C580" s="25"/>
      <c r="D580" s="26"/>
      <c r="E580" s="4"/>
      <c r="F580" s="25"/>
      <c r="G580" s="26"/>
      <c r="H580" s="4"/>
      <c r="I580" s="25"/>
      <c r="J580" s="26"/>
      <c r="K580" s="59"/>
      <c r="S580" s="97" t="str">
        <f t="shared" ref="S580:S643" si="48">IF(COUNTIF(O:O,M580)*COUNTIF(Q:Q,M580),M580,"")</f>
        <v/>
      </c>
      <c r="U580" s="97" t="str">
        <f t="shared" ref="U580:U643" si="49">IF(T580&gt;$A$14,T580,"")</f>
        <v/>
      </c>
    </row>
    <row r="581" spans="1:21" x14ac:dyDescent="0.25">
      <c r="A581" s="98"/>
      <c r="B581" s="1"/>
      <c r="C581" s="25"/>
      <c r="D581" s="26"/>
      <c r="E581" s="4"/>
      <c r="F581" s="25"/>
      <c r="G581" s="26"/>
      <c r="H581" s="4"/>
      <c r="I581" s="25"/>
      <c r="J581" s="26"/>
      <c r="K581" s="59"/>
      <c r="S581" s="97" t="str">
        <f t="shared" si="48"/>
        <v/>
      </c>
      <c r="U581" s="97" t="str">
        <f t="shared" si="49"/>
        <v/>
      </c>
    </row>
    <row r="582" spans="1:21" x14ac:dyDescent="0.25">
      <c r="A582" s="98"/>
      <c r="B582" s="1"/>
      <c r="C582" s="25"/>
      <c r="D582" s="26"/>
      <c r="E582" s="4"/>
      <c r="F582" s="25"/>
      <c r="G582" s="26"/>
      <c r="H582" s="4"/>
      <c r="I582" s="25"/>
      <c r="J582" s="26"/>
      <c r="K582" s="59"/>
      <c r="S582" s="97" t="str">
        <f t="shared" si="48"/>
        <v/>
      </c>
      <c r="U582" s="97" t="str">
        <f t="shared" si="49"/>
        <v/>
      </c>
    </row>
    <row r="583" spans="1:21" x14ac:dyDescent="0.25">
      <c r="A583" s="98"/>
      <c r="B583" s="1"/>
      <c r="C583" s="25"/>
      <c r="D583" s="26"/>
      <c r="E583" s="4"/>
      <c r="F583" s="25"/>
      <c r="G583" s="26"/>
      <c r="H583" s="4"/>
      <c r="I583" s="25"/>
      <c r="J583" s="26"/>
      <c r="K583" s="59"/>
      <c r="S583" s="97" t="str">
        <f t="shared" si="48"/>
        <v/>
      </c>
      <c r="U583" s="97" t="str">
        <f t="shared" si="49"/>
        <v/>
      </c>
    </row>
    <row r="584" spans="1:21" x14ac:dyDescent="0.25">
      <c r="A584" s="98"/>
      <c r="B584" s="1"/>
      <c r="C584" s="25"/>
      <c r="D584" s="26"/>
      <c r="E584" s="4"/>
      <c r="F584" s="25"/>
      <c r="G584" s="26"/>
      <c r="H584" s="4"/>
      <c r="I584" s="25"/>
      <c r="J584" s="26"/>
      <c r="K584" s="59"/>
      <c r="S584" s="97" t="str">
        <f t="shared" si="48"/>
        <v/>
      </c>
      <c r="U584" s="97" t="str">
        <f t="shared" si="49"/>
        <v/>
      </c>
    </row>
    <row r="585" spans="1:21" x14ac:dyDescent="0.25">
      <c r="A585" s="98"/>
      <c r="B585" s="1"/>
      <c r="C585" s="25"/>
      <c r="D585" s="26"/>
      <c r="E585" s="4"/>
      <c r="F585" s="25"/>
      <c r="G585" s="26"/>
      <c r="H585" s="4"/>
      <c r="I585" s="25"/>
      <c r="J585" s="26"/>
      <c r="K585" s="59"/>
      <c r="S585" s="97" t="str">
        <f t="shared" si="48"/>
        <v/>
      </c>
      <c r="U585" s="97" t="str">
        <f t="shared" si="49"/>
        <v/>
      </c>
    </row>
    <row r="586" spans="1:21" x14ac:dyDescent="0.25">
      <c r="A586" s="98"/>
      <c r="B586" s="1"/>
      <c r="C586" s="25"/>
      <c r="D586" s="26"/>
      <c r="E586" s="4"/>
      <c r="F586" s="25"/>
      <c r="G586" s="26"/>
      <c r="H586" s="4"/>
      <c r="I586" s="25"/>
      <c r="J586" s="26"/>
      <c r="K586" s="59"/>
      <c r="S586" s="97" t="str">
        <f t="shared" si="48"/>
        <v/>
      </c>
      <c r="U586" s="97" t="str">
        <f t="shared" si="49"/>
        <v/>
      </c>
    </row>
    <row r="587" spans="1:21" x14ac:dyDescent="0.25">
      <c r="A587" s="98"/>
      <c r="B587" s="1"/>
      <c r="C587" s="25"/>
      <c r="D587" s="26"/>
      <c r="E587" s="4"/>
      <c r="F587" s="25"/>
      <c r="G587" s="26"/>
      <c r="H587" s="4"/>
      <c r="I587" s="25"/>
      <c r="J587" s="26"/>
      <c r="K587" s="59"/>
      <c r="S587" s="97" t="str">
        <f t="shared" si="48"/>
        <v/>
      </c>
      <c r="U587" s="97" t="str">
        <f t="shared" si="49"/>
        <v/>
      </c>
    </row>
    <row r="588" spans="1:21" x14ac:dyDescent="0.25">
      <c r="A588" s="98"/>
      <c r="B588" s="1"/>
      <c r="C588" s="25"/>
      <c r="D588" s="26"/>
      <c r="E588" s="4"/>
      <c r="F588" s="25"/>
      <c r="G588" s="26"/>
      <c r="H588" s="4"/>
      <c r="I588" s="25"/>
      <c r="J588" s="26"/>
      <c r="K588" s="59"/>
      <c r="S588" s="97" t="str">
        <f t="shared" si="48"/>
        <v/>
      </c>
      <c r="U588" s="97" t="str">
        <f t="shared" si="49"/>
        <v/>
      </c>
    </row>
    <row r="589" spans="1:21" x14ac:dyDescent="0.25">
      <c r="A589" s="98"/>
      <c r="B589" s="1"/>
      <c r="C589" s="25"/>
      <c r="D589" s="26"/>
      <c r="E589" s="4"/>
      <c r="F589" s="25"/>
      <c r="G589" s="26"/>
      <c r="H589" s="4"/>
      <c r="I589" s="25"/>
      <c r="J589" s="26"/>
      <c r="K589" s="59"/>
      <c r="S589" s="97" t="str">
        <f t="shared" si="48"/>
        <v/>
      </c>
      <c r="U589" s="97" t="str">
        <f t="shared" si="49"/>
        <v/>
      </c>
    </row>
    <row r="590" spans="1:21" x14ac:dyDescent="0.25">
      <c r="A590" s="98"/>
      <c r="B590" s="1"/>
      <c r="C590" s="25"/>
      <c r="D590" s="26"/>
      <c r="E590" s="4"/>
      <c r="F590" s="25"/>
      <c r="G590" s="26"/>
      <c r="H590" s="4"/>
      <c r="I590" s="25"/>
      <c r="J590" s="26"/>
      <c r="K590" s="59"/>
      <c r="S590" s="97" t="str">
        <f t="shared" si="48"/>
        <v/>
      </c>
      <c r="U590" s="97" t="str">
        <f t="shared" si="49"/>
        <v/>
      </c>
    </row>
    <row r="591" spans="1:21" x14ac:dyDescent="0.25">
      <c r="A591" s="98"/>
      <c r="B591" s="1"/>
      <c r="C591" s="25"/>
      <c r="D591" s="26"/>
      <c r="E591" s="4"/>
      <c r="F591" s="25"/>
      <c r="G591" s="26"/>
      <c r="H591" s="4"/>
      <c r="I591" s="25"/>
      <c r="J591" s="26"/>
      <c r="K591" s="59"/>
      <c r="S591" s="97" t="str">
        <f t="shared" si="48"/>
        <v/>
      </c>
      <c r="U591" s="97" t="str">
        <f t="shared" si="49"/>
        <v/>
      </c>
    </row>
    <row r="592" spans="1:21" x14ac:dyDescent="0.25">
      <c r="A592" s="98"/>
      <c r="B592" s="1"/>
      <c r="C592" s="25"/>
      <c r="D592" s="26"/>
      <c r="E592" s="4"/>
      <c r="F592" s="25"/>
      <c r="G592" s="26"/>
      <c r="H592" s="4"/>
      <c r="I592" s="25"/>
      <c r="J592" s="26"/>
      <c r="K592" s="59"/>
      <c r="S592" s="97" t="str">
        <f t="shared" si="48"/>
        <v/>
      </c>
      <c r="U592" s="97" t="str">
        <f t="shared" si="49"/>
        <v/>
      </c>
    </row>
    <row r="593" spans="1:21" x14ac:dyDescent="0.25">
      <c r="A593" s="98"/>
      <c r="B593" s="1"/>
      <c r="C593" s="25"/>
      <c r="D593" s="26"/>
      <c r="E593" s="4"/>
      <c r="F593" s="25"/>
      <c r="G593" s="26"/>
      <c r="H593" s="4"/>
      <c r="I593" s="25"/>
      <c r="J593" s="26"/>
      <c r="K593" s="59"/>
      <c r="S593" s="97" t="str">
        <f t="shared" si="48"/>
        <v/>
      </c>
      <c r="U593" s="97" t="str">
        <f t="shared" si="49"/>
        <v/>
      </c>
    </row>
    <row r="594" spans="1:21" x14ac:dyDescent="0.25">
      <c r="A594" s="98"/>
      <c r="B594" s="1"/>
      <c r="C594" s="25"/>
      <c r="D594" s="26"/>
      <c r="E594" s="4"/>
      <c r="F594" s="25"/>
      <c r="G594" s="26"/>
      <c r="H594" s="4"/>
      <c r="I594" s="25"/>
      <c r="J594" s="26"/>
      <c r="K594" s="59"/>
      <c r="S594" s="97" t="str">
        <f t="shared" si="48"/>
        <v/>
      </c>
      <c r="U594" s="97" t="str">
        <f t="shared" si="49"/>
        <v/>
      </c>
    </row>
    <row r="595" spans="1:21" x14ac:dyDescent="0.25">
      <c r="A595" s="98"/>
      <c r="B595" s="1"/>
      <c r="C595" s="25"/>
      <c r="D595" s="26"/>
      <c r="E595" s="4"/>
      <c r="F595" s="25"/>
      <c r="G595" s="26"/>
      <c r="H595" s="4"/>
      <c r="I595" s="25"/>
      <c r="J595" s="26"/>
      <c r="K595" s="59"/>
      <c r="S595" s="97" t="str">
        <f t="shared" si="48"/>
        <v/>
      </c>
      <c r="U595" s="97" t="str">
        <f t="shared" si="49"/>
        <v/>
      </c>
    </row>
    <row r="596" spans="1:21" x14ac:dyDescent="0.25">
      <c r="A596" s="98"/>
      <c r="B596" s="1"/>
      <c r="C596" s="25"/>
      <c r="D596" s="26"/>
      <c r="E596" s="4"/>
      <c r="F596" s="25"/>
      <c r="G596" s="26"/>
      <c r="H596" s="4"/>
      <c r="I596" s="25"/>
      <c r="J596" s="26"/>
      <c r="K596" s="59"/>
      <c r="S596" s="97" t="str">
        <f t="shared" si="48"/>
        <v/>
      </c>
      <c r="U596" s="97" t="str">
        <f t="shared" si="49"/>
        <v/>
      </c>
    </row>
    <row r="597" spans="1:21" x14ac:dyDescent="0.25">
      <c r="A597" s="98"/>
      <c r="B597" s="1"/>
      <c r="C597" s="25"/>
      <c r="D597" s="26"/>
      <c r="E597" s="4"/>
      <c r="F597" s="25"/>
      <c r="G597" s="26"/>
      <c r="H597" s="4"/>
      <c r="I597" s="25"/>
      <c r="J597" s="26"/>
      <c r="K597" s="59"/>
      <c r="S597" s="97" t="str">
        <f t="shared" si="48"/>
        <v/>
      </c>
      <c r="U597" s="97" t="str">
        <f t="shared" si="49"/>
        <v/>
      </c>
    </row>
    <row r="598" spans="1:21" x14ac:dyDescent="0.25">
      <c r="A598" s="98"/>
      <c r="B598" s="1"/>
      <c r="C598" s="25"/>
      <c r="D598" s="26"/>
      <c r="E598" s="4"/>
      <c r="F598" s="25"/>
      <c r="G598" s="26"/>
      <c r="H598" s="4"/>
      <c r="I598" s="25"/>
      <c r="J598" s="26"/>
      <c r="K598" s="59"/>
      <c r="S598" s="97" t="str">
        <f t="shared" si="48"/>
        <v/>
      </c>
      <c r="U598" s="97" t="str">
        <f t="shared" si="49"/>
        <v/>
      </c>
    </row>
    <row r="599" spans="1:21" x14ac:dyDescent="0.25">
      <c r="A599" s="98"/>
      <c r="B599" s="1"/>
      <c r="C599" s="25"/>
      <c r="D599" s="26"/>
      <c r="E599" s="4"/>
      <c r="F599" s="25"/>
      <c r="G599" s="26"/>
      <c r="H599" s="4"/>
      <c r="I599" s="25"/>
      <c r="J599" s="26"/>
      <c r="K599" s="59"/>
      <c r="S599" s="97" t="str">
        <f t="shared" si="48"/>
        <v/>
      </c>
      <c r="U599" s="97" t="str">
        <f t="shared" si="49"/>
        <v/>
      </c>
    </row>
    <row r="600" spans="1:21" x14ac:dyDescent="0.25">
      <c r="A600" s="98"/>
      <c r="B600" s="1"/>
      <c r="C600" s="25"/>
      <c r="D600" s="26"/>
      <c r="E600" s="4"/>
      <c r="F600" s="25"/>
      <c r="G600" s="26"/>
      <c r="H600" s="4"/>
      <c r="I600" s="25"/>
      <c r="J600" s="26"/>
      <c r="K600" s="59"/>
      <c r="S600" s="97" t="str">
        <f t="shared" si="48"/>
        <v/>
      </c>
      <c r="U600" s="97" t="str">
        <f t="shared" si="49"/>
        <v/>
      </c>
    </row>
    <row r="601" spans="1:21" x14ac:dyDescent="0.25">
      <c r="A601" s="98"/>
      <c r="B601" s="1"/>
      <c r="C601" s="25"/>
      <c r="D601" s="26"/>
      <c r="E601" s="4"/>
      <c r="F601" s="25"/>
      <c r="G601" s="26"/>
      <c r="H601" s="4"/>
      <c r="I601" s="25"/>
      <c r="J601" s="26"/>
      <c r="K601" s="59"/>
      <c r="S601" s="97" t="str">
        <f t="shared" si="48"/>
        <v/>
      </c>
      <c r="U601" s="97" t="str">
        <f t="shared" si="49"/>
        <v/>
      </c>
    </row>
    <row r="602" spans="1:21" x14ac:dyDescent="0.25">
      <c r="A602" s="98"/>
      <c r="B602" s="1"/>
      <c r="C602" s="25"/>
      <c r="D602" s="26"/>
      <c r="E602" s="4"/>
      <c r="F602" s="25"/>
      <c r="G602" s="26"/>
      <c r="H602" s="4"/>
      <c r="I602" s="25"/>
      <c r="J602" s="26"/>
      <c r="K602" s="59"/>
      <c r="S602" s="97" t="str">
        <f t="shared" si="48"/>
        <v/>
      </c>
      <c r="U602" s="97" t="str">
        <f t="shared" si="49"/>
        <v/>
      </c>
    </row>
    <row r="603" spans="1:21" x14ac:dyDescent="0.25">
      <c r="A603" s="98"/>
      <c r="B603" s="1"/>
      <c r="C603" s="25"/>
      <c r="D603" s="26"/>
      <c r="E603" s="4"/>
      <c r="F603" s="25"/>
      <c r="G603" s="26"/>
      <c r="H603" s="4"/>
      <c r="I603" s="25"/>
      <c r="J603" s="26"/>
      <c r="K603" s="59"/>
      <c r="S603" s="97" t="str">
        <f t="shared" si="48"/>
        <v/>
      </c>
      <c r="U603" s="97" t="str">
        <f t="shared" si="49"/>
        <v/>
      </c>
    </row>
    <row r="604" spans="1:21" x14ac:dyDescent="0.25">
      <c r="A604" s="98"/>
      <c r="B604" s="1"/>
      <c r="C604" s="25"/>
      <c r="D604" s="26"/>
      <c r="E604" s="4"/>
      <c r="F604" s="25"/>
      <c r="G604" s="26"/>
      <c r="H604" s="4"/>
      <c r="I604" s="25"/>
      <c r="J604" s="26"/>
      <c r="K604" s="59"/>
      <c r="S604" s="97" t="str">
        <f t="shared" si="48"/>
        <v/>
      </c>
      <c r="U604" s="97" t="str">
        <f t="shared" si="49"/>
        <v/>
      </c>
    </row>
    <row r="605" spans="1:21" x14ac:dyDescent="0.25">
      <c r="A605" s="98"/>
      <c r="B605" s="1"/>
      <c r="C605" s="25"/>
      <c r="D605" s="26"/>
      <c r="E605" s="4"/>
      <c r="F605" s="25"/>
      <c r="G605" s="26"/>
      <c r="H605" s="4"/>
      <c r="I605" s="25"/>
      <c r="J605" s="26"/>
      <c r="K605" s="59"/>
      <c r="S605" s="97" t="str">
        <f t="shared" si="48"/>
        <v/>
      </c>
      <c r="U605" s="97" t="str">
        <f t="shared" si="49"/>
        <v/>
      </c>
    </row>
    <row r="606" spans="1:21" x14ac:dyDescent="0.25">
      <c r="A606" s="98"/>
      <c r="B606" s="1"/>
      <c r="C606" s="25"/>
      <c r="D606" s="26"/>
      <c r="E606" s="4"/>
      <c r="F606" s="25"/>
      <c r="G606" s="26"/>
      <c r="H606" s="4"/>
      <c r="I606" s="25"/>
      <c r="J606" s="26"/>
      <c r="K606" s="59"/>
      <c r="S606" s="97" t="str">
        <f t="shared" si="48"/>
        <v/>
      </c>
      <c r="U606" s="97" t="str">
        <f t="shared" si="49"/>
        <v/>
      </c>
    </row>
    <row r="607" spans="1:21" x14ac:dyDescent="0.25">
      <c r="A607" s="98"/>
      <c r="B607" s="1"/>
      <c r="C607" s="25"/>
      <c r="D607" s="26"/>
      <c r="E607" s="4"/>
      <c r="F607" s="25"/>
      <c r="G607" s="26"/>
      <c r="H607" s="4"/>
      <c r="I607" s="25"/>
      <c r="J607" s="26"/>
      <c r="K607" s="59"/>
      <c r="S607" s="97" t="str">
        <f t="shared" si="48"/>
        <v/>
      </c>
      <c r="U607" s="97" t="str">
        <f t="shared" si="49"/>
        <v/>
      </c>
    </row>
    <row r="608" spans="1:21" x14ac:dyDescent="0.25">
      <c r="A608" s="98"/>
      <c r="B608" s="1"/>
      <c r="C608" s="25"/>
      <c r="D608" s="26"/>
      <c r="E608" s="4"/>
      <c r="F608" s="25"/>
      <c r="G608" s="26"/>
      <c r="H608" s="4"/>
      <c r="I608" s="25"/>
      <c r="J608" s="26"/>
      <c r="K608" s="59"/>
      <c r="S608" s="97" t="str">
        <f t="shared" si="48"/>
        <v/>
      </c>
      <c r="U608" s="97" t="str">
        <f t="shared" si="49"/>
        <v/>
      </c>
    </row>
    <row r="609" spans="1:21" x14ac:dyDescent="0.25">
      <c r="A609" s="98"/>
      <c r="B609" s="1"/>
      <c r="C609" s="25"/>
      <c r="D609" s="26"/>
      <c r="E609" s="4"/>
      <c r="F609" s="25"/>
      <c r="G609" s="26"/>
      <c r="H609" s="4"/>
      <c r="I609" s="25"/>
      <c r="J609" s="26"/>
      <c r="K609" s="59"/>
      <c r="S609" s="97" t="str">
        <f t="shared" si="48"/>
        <v/>
      </c>
      <c r="U609" s="97" t="str">
        <f t="shared" si="49"/>
        <v/>
      </c>
    </row>
    <row r="610" spans="1:21" x14ac:dyDescent="0.25">
      <c r="A610" s="98"/>
      <c r="B610" s="1"/>
      <c r="C610" s="25"/>
      <c r="D610" s="26"/>
      <c r="E610" s="4"/>
      <c r="F610" s="25"/>
      <c r="G610" s="26"/>
      <c r="H610" s="4"/>
      <c r="I610" s="25"/>
      <c r="J610" s="26"/>
      <c r="K610" s="59"/>
      <c r="S610" s="97" t="str">
        <f t="shared" si="48"/>
        <v/>
      </c>
      <c r="U610" s="97" t="str">
        <f t="shared" si="49"/>
        <v/>
      </c>
    </row>
    <row r="611" spans="1:21" x14ac:dyDescent="0.25">
      <c r="A611" s="98"/>
      <c r="B611" s="1"/>
      <c r="C611" s="25"/>
      <c r="D611" s="26"/>
      <c r="E611" s="4"/>
      <c r="F611" s="25"/>
      <c r="G611" s="26"/>
      <c r="H611" s="4"/>
      <c r="I611" s="25"/>
      <c r="J611" s="26"/>
      <c r="K611" s="59"/>
      <c r="S611" s="97" t="str">
        <f t="shared" si="48"/>
        <v/>
      </c>
      <c r="U611" s="97" t="str">
        <f t="shared" si="49"/>
        <v/>
      </c>
    </row>
    <row r="612" spans="1:21" x14ac:dyDescent="0.25">
      <c r="A612" s="98"/>
      <c r="B612" s="1"/>
      <c r="C612" s="25"/>
      <c r="D612" s="26"/>
      <c r="E612" s="4"/>
      <c r="F612" s="25"/>
      <c r="G612" s="26"/>
      <c r="H612" s="4"/>
      <c r="I612" s="25"/>
      <c r="J612" s="26"/>
      <c r="K612" s="59"/>
      <c r="S612" s="97" t="str">
        <f t="shared" si="48"/>
        <v/>
      </c>
      <c r="U612" s="97" t="str">
        <f t="shared" si="49"/>
        <v/>
      </c>
    </row>
    <row r="613" spans="1:21" x14ac:dyDescent="0.25">
      <c r="A613" s="98"/>
      <c r="B613" s="1"/>
      <c r="C613" s="25"/>
      <c r="D613" s="26"/>
      <c r="E613" s="4"/>
      <c r="F613" s="25"/>
      <c r="G613" s="26"/>
      <c r="H613" s="4"/>
      <c r="I613" s="25"/>
      <c r="J613" s="26"/>
      <c r="K613" s="59"/>
      <c r="S613" s="97" t="str">
        <f t="shared" si="48"/>
        <v/>
      </c>
      <c r="U613" s="97" t="str">
        <f t="shared" si="49"/>
        <v/>
      </c>
    </row>
    <row r="614" spans="1:21" x14ac:dyDescent="0.25">
      <c r="A614" s="98"/>
      <c r="B614" s="1"/>
      <c r="C614" s="25"/>
      <c r="D614" s="26"/>
      <c r="E614" s="4"/>
      <c r="F614" s="25"/>
      <c r="G614" s="26"/>
      <c r="H614" s="4"/>
      <c r="I614" s="25"/>
      <c r="J614" s="26"/>
      <c r="K614" s="59"/>
      <c r="S614" s="97" t="str">
        <f t="shared" si="48"/>
        <v/>
      </c>
      <c r="U614" s="97" t="str">
        <f t="shared" si="49"/>
        <v/>
      </c>
    </row>
    <row r="615" spans="1:21" x14ac:dyDescent="0.25">
      <c r="A615" s="98"/>
      <c r="B615" s="1"/>
      <c r="C615" s="25"/>
      <c r="D615" s="26"/>
      <c r="E615" s="4"/>
      <c r="F615" s="25"/>
      <c r="G615" s="26"/>
      <c r="H615" s="4"/>
      <c r="I615" s="25"/>
      <c r="J615" s="26"/>
      <c r="K615" s="59"/>
      <c r="S615" s="97" t="str">
        <f t="shared" si="48"/>
        <v/>
      </c>
      <c r="U615" s="97" t="str">
        <f t="shared" si="49"/>
        <v/>
      </c>
    </row>
    <row r="616" spans="1:21" x14ac:dyDescent="0.25">
      <c r="A616" s="98"/>
      <c r="B616" s="1"/>
      <c r="C616" s="25"/>
      <c r="D616" s="26"/>
      <c r="E616" s="4"/>
      <c r="F616" s="25"/>
      <c r="G616" s="26"/>
      <c r="H616" s="4"/>
      <c r="I616" s="25"/>
      <c r="J616" s="26"/>
      <c r="K616" s="59"/>
      <c r="S616" s="97" t="str">
        <f t="shared" si="48"/>
        <v/>
      </c>
      <c r="U616" s="97" t="str">
        <f t="shared" si="49"/>
        <v/>
      </c>
    </row>
    <row r="617" spans="1:21" x14ac:dyDescent="0.25">
      <c r="A617" s="98"/>
      <c r="B617" s="1"/>
      <c r="C617" s="25"/>
      <c r="D617" s="26"/>
      <c r="E617" s="4"/>
      <c r="F617" s="25"/>
      <c r="G617" s="26"/>
      <c r="H617" s="4"/>
      <c r="I617" s="25"/>
      <c r="J617" s="26"/>
      <c r="K617" s="59"/>
      <c r="S617" s="97" t="str">
        <f t="shared" si="48"/>
        <v/>
      </c>
      <c r="U617" s="97" t="str">
        <f t="shared" si="49"/>
        <v/>
      </c>
    </row>
    <row r="618" spans="1:21" x14ac:dyDescent="0.25">
      <c r="A618" s="98"/>
      <c r="B618" s="1"/>
      <c r="C618" s="25"/>
      <c r="D618" s="26"/>
      <c r="E618" s="4"/>
      <c r="F618" s="25"/>
      <c r="G618" s="26"/>
      <c r="H618" s="4"/>
      <c r="I618" s="25"/>
      <c r="J618" s="26"/>
      <c r="K618" s="59"/>
      <c r="S618" s="97" t="str">
        <f t="shared" si="48"/>
        <v/>
      </c>
      <c r="U618" s="97" t="str">
        <f t="shared" si="49"/>
        <v/>
      </c>
    </row>
    <row r="619" spans="1:21" x14ac:dyDescent="0.25">
      <c r="A619" s="98"/>
      <c r="B619" s="1"/>
      <c r="C619" s="25"/>
      <c r="D619" s="26"/>
      <c r="E619" s="4"/>
      <c r="F619" s="25"/>
      <c r="G619" s="26"/>
      <c r="H619" s="4"/>
      <c r="I619" s="25"/>
      <c r="J619" s="26"/>
      <c r="K619" s="59"/>
      <c r="S619" s="97" t="str">
        <f t="shared" si="48"/>
        <v/>
      </c>
      <c r="U619" s="97" t="str">
        <f t="shared" si="49"/>
        <v/>
      </c>
    </row>
    <row r="620" spans="1:21" x14ac:dyDescent="0.25">
      <c r="A620" s="98"/>
      <c r="B620" s="1"/>
      <c r="C620" s="25"/>
      <c r="D620" s="26"/>
      <c r="E620" s="4"/>
      <c r="F620" s="25"/>
      <c r="G620" s="26"/>
      <c r="H620" s="4"/>
      <c r="I620" s="25"/>
      <c r="J620" s="26"/>
      <c r="K620" s="59"/>
      <c r="S620" s="97" t="str">
        <f t="shared" si="48"/>
        <v/>
      </c>
      <c r="U620" s="97" t="str">
        <f t="shared" si="49"/>
        <v/>
      </c>
    </row>
    <row r="621" spans="1:21" x14ac:dyDescent="0.25">
      <c r="A621" s="98"/>
      <c r="B621" s="1"/>
      <c r="C621" s="25"/>
      <c r="D621" s="26"/>
      <c r="E621" s="4"/>
      <c r="F621" s="25"/>
      <c r="G621" s="26"/>
      <c r="H621" s="4"/>
      <c r="I621" s="25"/>
      <c r="J621" s="26"/>
      <c r="K621" s="59"/>
      <c r="S621" s="97" t="str">
        <f t="shared" si="48"/>
        <v/>
      </c>
      <c r="U621" s="97" t="str">
        <f t="shared" si="49"/>
        <v/>
      </c>
    </row>
    <row r="622" spans="1:21" x14ac:dyDescent="0.25">
      <c r="A622" s="98"/>
      <c r="B622" s="1"/>
      <c r="C622" s="25"/>
      <c r="D622" s="26"/>
      <c r="E622" s="4"/>
      <c r="F622" s="25"/>
      <c r="G622" s="26"/>
      <c r="H622" s="4"/>
      <c r="I622" s="25"/>
      <c r="J622" s="26"/>
      <c r="K622" s="59"/>
      <c r="S622" s="97" t="str">
        <f t="shared" si="48"/>
        <v/>
      </c>
      <c r="U622" s="97" t="str">
        <f t="shared" si="49"/>
        <v/>
      </c>
    </row>
    <row r="623" spans="1:21" x14ac:dyDescent="0.25">
      <c r="A623" s="98"/>
      <c r="B623" s="1"/>
      <c r="C623" s="25"/>
      <c r="D623" s="26"/>
      <c r="E623" s="4"/>
      <c r="F623" s="25"/>
      <c r="G623" s="26"/>
      <c r="H623" s="4"/>
      <c r="I623" s="25"/>
      <c r="J623" s="26"/>
      <c r="K623" s="59"/>
      <c r="S623" s="97" t="str">
        <f t="shared" si="48"/>
        <v/>
      </c>
      <c r="U623" s="97" t="str">
        <f t="shared" si="49"/>
        <v/>
      </c>
    </row>
    <row r="624" spans="1:21" x14ac:dyDescent="0.25">
      <c r="A624" s="98"/>
      <c r="B624" s="1"/>
      <c r="C624" s="25"/>
      <c r="D624" s="26"/>
      <c r="E624" s="4"/>
      <c r="F624" s="25"/>
      <c r="G624" s="26"/>
      <c r="H624" s="4"/>
      <c r="I624" s="25"/>
      <c r="J624" s="26"/>
      <c r="K624" s="59"/>
      <c r="S624" s="97" t="str">
        <f t="shared" si="48"/>
        <v/>
      </c>
      <c r="U624" s="97" t="str">
        <f t="shared" si="49"/>
        <v/>
      </c>
    </row>
    <row r="625" spans="1:21" x14ac:dyDescent="0.25">
      <c r="A625" s="98"/>
      <c r="B625" s="1"/>
      <c r="C625" s="25"/>
      <c r="D625" s="26"/>
      <c r="E625" s="4"/>
      <c r="F625" s="25"/>
      <c r="G625" s="26"/>
      <c r="H625" s="4"/>
      <c r="I625" s="25"/>
      <c r="J625" s="26"/>
      <c r="K625" s="59"/>
      <c r="S625" s="97" t="str">
        <f t="shared" si="48"/>
        <v/>
      </c>
      <c r="U625" s="97" t="str">
        <f t="shared" si="49"/>
        <v/>
      </c>
    </row>
    <row r="626" spans="1:21" x14ac:dyDescent="0.25">
      <c r="A626" s="98"/>
      <c r="B626" s="1"/>
      <c r="C626" s="25"/>
      <c r="D626" s="26"/>
      <c r="E626" s="4"/>
      <c r="F626" s="25"/>
      <c r="G626" s="26"/>
      <c r="H626" s="4"/>
      <c r="I626" s="25"/>
      <c r="J626" s="26"/>
      <c r="K626" s="59"/>
      <c r="S626" s="97" t="str">
        <f t="shared" si="48"/>
        <v/>
      </c>
      <c r="U626" s="97" t="str">
        <f t="shared" si="49"/>
        <v/>
      </c>
    </row>
    <row r="627" spans="1:21" x14ac:dyDescent="0.25">
      <c r="A627" s="98"/>
      <c r="B627" s="1"/>
      <c r="C627" s="25"/>
      <c r="D627" s="26"/>
      <c r="E627" s="4"/>
      <c r="F627" s="25"/>
      <c r="G627" s="26"/>
      <c r="H627" s="4"/>
      <c r="I627" s="25"/>
      <c r="J627" s="26"/>
      <c r="K627" s="59"/>
      <c r="S627" s="97" t="str">
        <f t="shared" si="48"/>
        <v/>
      </c>
      <c r="U627" s="97" t="str">
        <f t="shared" si="49"/>
        <v/>
      </c>
    </row>
    <row r="628" spans="1:21" x14ac:dyDescent="0.25">
      <c r="A628" s="98"/>
      <c r="B628" s="1"/>
      <c r="C628" s="25"/>
      <c r="D628" s="26"/>
      <c r="E628" s="4"/>
      <c r="F628" s="25"/>
      <c r="G628" s="26"/>
      <c r="H628" s="4"/>
      <c r="I628" s="25"/>
      <c r="J628" s="26"/>
      <c r="K628" s="59"/>
      <c r="S628" s="97" t="str">
        <f t="shared" si="48"/>
        <v/>
      </c>
      <c r="U628" s="97" t="str">
        <f t="shared" si="49"/>
        <v/>
      </c>
    </row>
    <row r="629" spans="1:21" x14ac:dyDescent="0.25">
      <c r="A629" s="98"/>
      <c r="B629" s="1"/>
      <c r="C629" s="25"/>
      <c r="D629" s="26"/>
      <c r="E629" s="4"/>
      <c r="F629" s="25"/>
      <c r="G629" s="26"/>
      <c r="H629" s="4"/>
      <c r="I629" s="25"/>
      <c r="J629" s="26"/>
      <c r="K629" s="59"/>
      <c r="S629" s="97" t="str">
        <f t="shared" si="48"/>
        <v/>
      </c>
      <c r="U629" s="97" t="str">
        <f t="shared" si="49"/>
        <v/>
      </c>
    </row>
    <row r="630" spans="1:21" x14ac:dyDescent="0.25">
      <c r="A630" s="98"/>
      <c r="B630" s="1"/>
      <c r="C630" s="25"/>
      <c r="D630" s="26"/>
      <c r="E630" s="4"/>
      <c r="F630" s="25"/>
      <c r="G630" s="26"/>
      <c r="H630" s="4"/>
      <c r="I630" s="25"/>
      <c r="J630" s="26"/>
      <c r="K630" s="59"/>
      <c r="S630" s="97" t="str">
        <f t="shared" si="48"/>
        <v/>
      </c>
      <c r="U630" s="97" t="str">
        <f t="shared" si="49"/>
        <v/>
      </c>
    </row>
    <row r="631" spans="1:21" x14ac:dyDescent="0.25">
      <c r="A631" s="98"/>
      <c r="B631" s="1"/>
      <c r="C631" s="25"/>
      <c r="D631" s="26"/>
      <c r="E631" s="4"/>
      <c r="F631" s="25"/>
      <c r="G631" s="26"/>
      <c r="H631" s="4"/>
      <c r="I631" s="25"/>
      <c r="J631" s="26"/>
      <c r="K631" s="59"/>
      <c r="S631" s="97" t="str">
        <f t="shared" si="48"/>
        <v/>
      </c>
      <c r="U631" s="97" t="str">
        <f t="shared" si="49"/>
        <v/>
      </c>
    </row>
    <row r="632" spans="1:21" x14ac:dyDescent="0.25">
      <c r="A632" s="98"/>
      <c r="B632" s="1"/>
      <c r="C632" s="25"/>
      <c r="D632" s="26"/>
      <c r="E632" s="4"/>
      <c r="F632" s="25"/>
      <c r="G632" s="26"/>
      <c r="H632" s="4"/>
      <c r="I632" s="25"/>
      <c r="J632" s="26"/>
      <c r="K632" s="59"/>
      <c r="S632" s="97" t="str">
        <f t="shared" si="48"/>
        <v/>
      </c>
      <c r="U632" s="97" t="str">
        <f t="shared" si="49"/>
        <v/>
      </c>
    </row>
    <row r="633" spans="1:21" x14ac:dyDescent="0.25">
      <c r="A633" s="98"/>
      <c r="B633" s="1"/>
      <c r="C633" s="25"/>
      <c r="D633" s="26"/>
      <c r="E633" s="4"/>
      <c r="F633" s="25"/>
      <c r="G633" s="26"/>
      <c r="H633" s="4"/>
      <c r="I633" s="25"/>
      <c r="J633" s="26"/>
      <c r="K633" s="59"/>
      <c r="S633" s="97" t="str">
        <f t="shared" si="48"/>
        <v/>
      </c>
      <c r="U633" s="97" t="str">
        <f t="shared" si="49"/>
        <v/>
      </c>
    </row>
    <row r="634" spans="1:21" x14ac:dyDescent="0.25">
      <c r="A634" s="98"/>
      <c r="B634" s="1"/>
      <c r="C634" s="25"/>
      <c r="D634" s="26"/>
      <c r="E634" s="4"/>
      <c r="F634" s="25"/>
      <c r="G634" s="26"/>
      <c r="H634" s="4"/>
      <c r="I634" s="25"/>
      <c r="J634" s="26"/>
      <c r="K634" s="59"/>
      <c r="S634" s="97" t="str">
        <f t="shared" si="48"/>
        <v/>
      </c>
      <c r="U634" s="97" t="str">
        <f t="shared" si="49"/>
        <v/>
      </c>
    </row>
    <row r="635" spans="1:21" x14ac:dyDescent="0.25">
      <c r="A635" s="98"/>
      <c r="B635" s="1"/>
      <c r="C635" s="25"/>
      <c r="D635" s="26"/>
      <c r="E635" s="4"/>
      <c r="F635" s="25"/>
      <c r="G635" s="26"/>
      <c r="H635" s="4"/>
      <c r="I635" s="25"/>
      <c r="J635" s="26"/>
      <c r="K635" s="59"/>
      <c r="S635" s="97" t="str">
        <f t="shared" si="48"/>
        <v/>
      </c>
      <c r="U635" s="97" t="str">
        <f t="shared" si="49"/>
        <v/>
      </c>
    </row>
    <row r="636" spans="1:21" x14ac:dyDescent="0.25">
      <c r="A636" s="98"/>
      <c r="B636" s="1"/>
      <c r="C636" s="25"/>
      <c r="D636" s="26"/>
      <c r="E636" s="4"/>
      <c r="F636" s="25"/>
      <c r="G636" s="26"/>
      <c r="H636" s="4"/>
      <c r="I636" s="25"/>
      <c r="J636" s="26"/>
      <c r="K636" s="59"/>
      <c r="S636" s="97" t="str">
        <f t="shared" si="48"/>
        <v/>
      </c>
      <c r="U636" s="97" t="str">
        <f t="shared" si="49"/>
        <v/>
      </c>
    </row>
    <row r="637" spans="1:21" x14ac:dyDescent="0.25">
      <c r="A637" s="98"/>
      <c r="B637" s="1"/>
      <c r="C637" s="25"/>
      <c r="D637" s="26"/>
      <c r="E637" s="4"/>
      <c r="F637" s="25"/>
      <c r="G637" s="26"/>
      <c r="H637" s="4"/>
      <c r="I637" s="25"/>
      <c r="J637" s="26"/>
      <c r="K637" s="59"/>
      <c r="S637" s="97" t="str">
        <f t="shared" si="48"/>
        <v/>
      </c>
      <c r="U637" s="97" t="str">
        <f t="shared" si="49"/>
        <v/>
      </c>
    </row>
    <row r="638" spans="1:21" x14ac:dyDescent="0.25">
      <c r="A638" s="98"/>
      <c r="B638" s="1"/>
      <c r="C638" s="25"/>
      <c r="D638" s="26"/>
      <c r="E638" s="4"/>
      <c r="F638" s="25"/>
      <c r="G638" s="26"/>
      <c r="H638" s="4"/>
      <c r="I638" s="25"/>
      <c r="J638" s="26"/>
      <c r="K638" s="59"/>
      <c r="S638" s="97" t="str">
        <f t="shared" si="48"/>
        <v/>
      </c>
      <c r="U638" s="97" t="str">
        <f t="shared" si="49"/>
        <v/>
      </c>
    </row>
    <row r="639" spans="1:21" x14ac:dyDescent="0.25">
      <c r="A639" s="98"/>
      <c r="B639" s="1"/>
      <c r="C639" s="25"/>
      <c r="D639" s="26"/>
      <c r="E639" s="4"/>
      <c r="F639" s="25"/>
      <c r="G639" s="26"/>
      <c r="H639" s="4"/>
      <c r="I639" s="25"/>
      <c r="J639" s="26"/>
      <c r="K639" s="59"/>
      <c r="S639" s="97" t="str">
        <f t="shared" si="48"/>
        <v/>
      </c>
      <c r="U639" s="97" t="str">
        <f t="shared" si="49"/>
        <v/>
      </c>
    </row>
    <row r="640" spans="1:21" x14ac:dyDescent="0.25">
      <c r="A640" s="98"/>
      <c r="B640" s="1"/>
      <c r="C640" s="25"/>
      <c r="D640" s="26"/>
      <c r="E640" s="4"/>
      <c r="F640" s="25"/>
      <c r="G640" s="26"/>
      <c r="H640" s="4"/>
      <c r="I640" s="25"/>
      <c r="J640" s="26"/>
      <c r="K640" s="59"/>
      <c r="S640" s="97" t="str">
        <f t="shared" si="48"/>
        <v/>
      </c>
      <c r="U640" s="97" t="str">
        <f t="shared" si="49"/>
        <v/>
      </c>
    </row>
    <row r="641" spans="1:21" x14ac:dyDescent="0.25">
      <c r="A641" s="98"/>
      <c r="B641" s="1"/>
      <c r="C641" s="25"/>
      <c r="D641" s="26"/>
      <c r="E641" s="4"/>
      <c r="F641" s="25"/>
      <c r="G641" s="26"/>
      <c r="H641" s="4"/>
      <c r="I641" s="25"/>
      <c r="J641" s="26"/>
      <c r="K641" s="59"/>
      <c r="S641" s="97" t="str">
        <f t="shared" si="48"/>
        <v/>
      </c>
      <c r="U641" s="97" t="str">
        <f t="shared" si="49"/>
        <v/>
      </c>
    </row>
    <row r="642" spans="1:21" x14ac:dyDescent="0.25">
      <c r="A642" s="98"/>
      <c r="B642" s="1"/>
      <c r="C642" s="25"/>
      <c r="D642" s="26"/>
      <c r="E642" s="4"/>
      <c r="F642" s="25"/>
      <c r="G642" s="26"/>
      <c r="H642" s="4"/>
      <c r="I642" s="25"/>
      <c r="J642" s="26"/>
      <c r="K642" s="59"/>
      <c r="S642" s="97" t="str">
        <f t="shared" si="48"/>
        <v/>
      </c>
      <c r="U642" s="97" t="str">
        <f t="shared" si="49"/>
        <v/>
      </c>
    </row>
    <row r="643" spans="1:21" x14ac:dyDescent="0.25">
      <c r="A643" s="98"/>
      <c r="B643" s="1"/>
      <c r="C643" s="25"/>
      <c r="D643" s="26"/>
      <c r="E643" s="4"/>
      <c r="F643" s="25"/>
      <c r="G643" s="26"/>
      <c r="H643" s="4"/>
      <c r="I643" s="25"/>
      <c r="J643" s="26"/>
      <c r="K643" s="59"/>
      <c r="S643" s="97" t="str">
        <f t="shared" si="48"/>
        <v/>
      </c>
      <c r="U643" s="97" t="str">
        <f t="shared" si="49"/>
        <v/>
      </c>
    </row>
    <row r="644" spans="1:21" x14ac:dyDescent="0.25">
      <c r="A644" s="98"/>
      <c r="B644" s="1"/>
      <c r="C644" s="25"/>
      <c r="D644" s="26"/>
      <c r="E644" s="4"/>
      <c r="F644" s="25"/>
      <c r="G644" s="26"/>
      <c r="H644" s="4"/>
      <c r="I644" s="25"/>
      <c r="J644" s="26"/>
      <c r="K644" s="59"/>
      <c r="S644" s="97" t="str">
        <f t="shared" ref="S644:S707" si="50">IF(COUNTIF(O:O,M644)*COUNTIF(Q:Q,M644),M644,"")</f>
        <v/>
      </c>
      <c r="U644" s="97" t="str">
        <f t="shared" ref="U644:U707" si="51">IF(T644&gt;$A$14,T644,"")</f>
        <v/>
      </c>
    </row>
    <row r="645" spans="1:21" x14ac:dyDescent="0.25">
      <c r="A645" s="98"/>
      <c r="B645" s="1"/>
      <c r="C645" s="25"/>
      <c r="D645" s="26"/>
      <c r="E645" s="4"/>
      <c r="F645" s="25"/>
      <c r="G645" s="26"/>
      <c r="H645" s="4"/>
      <c r="I645" s="25"/>
      <c r="J645" s="26"/>
      <c r="K645" s="59"/>
      <c r="S645" s="97" t="str">
        <f t="shared" si="50"/>
        <v/>
      </c>
      <c r="U645" s="97" t="str">
        <f t="shared" si="51"/>
        <v/>
      </c>
    </row>
    <row r="646" spans="1:21" x14ac:dyDescent="0.25">
      <c r="A646" s="98"/>
      <c r="B646" s="1"/>
      <c r="C646" s="25"/>
      <c r="D646" s="26"/>
      <c r="E646" s="4"/>
      <c r="F646" s="25"/>
      <c r="G646" s="26"/>
      <c r="H646" s="4"/>
      <c r="I646" s="25"/>
      <c r="J646" s="26"/>
      <c r="K646" s="59"/>
      <c r="S646" s="97" t="str">
        <f t="shared" si="50"/>
        <v/>
      </c>
      <c r="U646" s="97" t="str">
        <f t="shared" si="51"/>
        <v/>
      </c>
    </row>
    <row r="647" spans="1:21" x14ac:dyDescent="0.25">
      <c r="A647" s="98"/>
      <c r="B647" s="1"/>
      <c r="C647" s="25"/>
      <c r="D647" s="26"/>
      <c r="E647" s="4"/>
      <c r="F647" s="25"/>
      <c r="G647" s="26"/>
      <c r="H647" s="4"/>
      <c r="I647" s="25"/>
      <c r="J647" s="26"/>
      <c r="K647" s="59"/>
      <c r="S647" s="97" t="str">
        <f t="shared" si="50"/>
        <v/>
      </c>
      <c r="U647" s="97" t="str">
        <f t="shared" si="51"/>
        <v/>
      </c>
    </row>
    <row r="648" spans="1:21" x14ac:dyDescent="0.25">
      <c r="A648" s="98"/>
      <c r="B648" s="1"/>
      <c r="C648" s="25"/>
      <c r="D648" s="26"/>
      <c r="E648" s="4"/>
      <c r="F648" s="25"/>
      <c r="G648" s="26"/>
      <c r="H648" s="4"/>
      <c r="I648" s="25"/>
      <c r="J648" s="26"/>
      <c r="K648" s="59"/>
      <c r="S648" s="97" t="str">
        <f t="shared" si="50"/>
        <v/>
      </c>
      <c r="U648" s="97" t="str">
        <f t="shared" si="51"/>
        <v/>
      </c>
    </row>
    <row r="649" spans="1:21" x14ac:dyDescent="0.25">
      <c r="A649" s="98"/>
      <c r="B649" s="1"/>
      <c r="C649" s="25"/>
      <c r="D649" s="26"/>
      <c r="E649" s="4"/>
      <c r="F649" s="25"/>
      <c r="G649" s="26"/>
      <c r="H649" s="4"/>
      <c r="I649" s="25"/>
      <c r="J649" s="26"/>
      <c r="K649" s="59"/>
      <c r="S649" s="97" t="str">
        <f t="shared" si="50"/>
        <v/>
      </c>
      <c r="U649" s="97" t="str">
        <f t="shared" si="51"/>
        <v/>
      </c>
    </row>
    <row r="650" spans="1:21" x14ac:dyDescent="0.25">
      <c r="A650" s="98"/>
      <c r="B650" s="1"/>
      <c r="C650" s="25"/>
      <c r="D650" s="26"/>
      <c r="E650" s="4"/>
      <c r="F650" s="25"/>
      <c r="G650" s="26"/>
      <c r="H650" s="4"/>
      <c r="I650" s="25"/>
      <c r="J650" s="26"/>
      <c r="K650" s="59"/>
      <c r="S650" s="97" t="str">
        <f t="shared" si="50"/>
        <v/>
      </c>
      <c r="U650" s="97" t="str">
        <f t="shared" si="51"/>
        <v/>
      </c>
    </row>
    <row r="651" spans="1:21" x14ac:dyDescent="0.25">
      <c r="A651" s="98"/>
      <c r="B651" s="1"/>
      <c r="C651" s="25"/>
      <c r="D651" s="26"/>
      <c r="E651" s="4"/>
      <c r="F651" s="25"/>
      <c r="G651" s="26"/>
      <c r="H651" s="4"/>
      <c r="I651" s="25"/>
      <c r="J651" s="26"/>
      <c r="K651" s="59"/>
      <c r="S651" s="97" t="str">
        <f t="shared" si="50"/>
        <v/>
      </c>
      <c r="U651" s="97" t="str">
        <f t="shared" si="51"/>
        <v/>
      </c>
    </row>
    <row r="652" spans="1:21" x14ac:dyDescent="0.25">
      <c r="A652" s="98"/>
      <c r="B652" s="1"/>
      <c r="C652" s="25"/>
      <c r="D652" s="26"/>
      <c r="E652" s="4"/>
      <c r="F652" s="25"/>
      <c r="G652" s="26"/>
      <c r="H652" s="4"/>
      <c r="I652" s="25"/>
      <c r="J652" s="26"/>
      <c r="K652" s="59"/>
      <c r="S652" s="97" t="str">
        <f t="shared" si="50"/>
        <v/>
      </c>
      <c r="U652" s="97" t="str">
        <f t="shared" si="51"/>
        <v/>
      </c>
    </row>
    <row r="653" spans="1:21" x14ac:dyDescent="0.25">
      <c r="A653" s="98"/>
      <c r="B653" s="1"/>
      <c r="C653" s="25"/>
      <c r="D653" s="26"/>
      <c r="E653" s="4"/>
      <c r="F653" s="25"/>
      <c r="G653" s="26"/>
      <c r="H653" s="4"/>
      <c r="I653" s="25"/>
      <c r="J653" s="26"/>
      <c r="K653" s="59"/>
      <c r="S653" s="97" t="str">
        <f t="shared" si="50"/>
        <v/>
      </c>
      <c r="U653" s="97" t="str">
        <f t="shared" si="51"/>
        <v/>
      </c>
    </row>
    <row r="654" spans="1:21" x14ac:dyDescent="0.25">
      <c r="A654" s="98"/>
      <c r="B654" s="1"/>
      <c r="C654" s="25"/>
      <c r="D654" s="26"/>
      <c r="E654" s="4"/>
      <c r="F654" s="25"/>
      <c r="G654" s="26"/>
      <c r="H654" s="4"/>
      <c r="I654" s="25"/>
      <c r="J654" s="26"/>
      <c r="K654" s="59"/>
      <c r="S654" s="97" t="str">
        <f t="shared" si="50"/>
        <v/>
      </c>
      <c r="U654" s="97" t="str">
        <f t="shared" si="51"/>
        <v/>
      </c>
    </row>
    <row r="655" spans="1:21" x14ac:dyDescent="0.25">
      <c r="A655" s="98"/>
      <c r="B655" s="1"/>
      <c r="C655" s="25"/>
      <c r="D655" s="26"/>
      <c r="E655" s="4"/>
      <c r="F655" s="25"/>
      <c r="G655" s="26"/>
      <c r="H655" s="4"/>
      <c r="I655" s="25"/>
      <c r="J655" s="26"/>
      <c r="K655" s="59"/>
      <c r="S655" s="97" t="str">
        <f t="shared" si="50"/>
        <v/>
      </c>
      <c r="U655" s="97" t="str">
        <f t="shared" si="51"/>
        <v/>
      </c>
    </row>
    <row r="656" spans="1:21" x14ac:dyDescent="0.25">
      <c r="A656" s="98"/>
      <c r="B656" s="1"/>
      <c r="C656" s="25"/>
      <c r="D656" s="26"/>
      <c r="E656" s="4"/>
      <c r="F656" s="25"/>
      <c r="G656" s="26"/>
      <c r="H656" s="4"/>
      <c r="I656" s="25"/>
      <c r="J656" s="26"/>
      <c r="K656" s="59"/>
      <c r="S656" s="97" t="str">
        <f t="shared" si="50"/>
        <v/>
      </c>
      <c r="U656" s="97" t="str">
        <f t="shared" si="51"/>
        <v/>
      </c>
    </row>
    <row r="657" spans="1:21" x14ac:dyDescent="0.25">
      <c r="A657" s="98"/>
      <c r="B657" s="1"/>
      <c r="C657" s="25"/>
      <c r="D657" s="26"/>
      <c r="E657" s="4"/>
      <c r="F657" s="25"/>
      <c r="G657" s="26"/>
      <c r="H657" s="4"/>
      <c r="I657" s="25"/>
      <c r="J657" s="26"/>
      <c r="K657" s="59"/>
      <c r="S657" s="97" t="str">
        <f t="shared" si="50"/>
        <v/>
      </c>
      <c r="U657" s="97" t="str">
        <f t="shared" si="51"/>
        <v/>
      </c>
    </row>
    <row r="658" spans="1:21" x14ac:dyDescent="0.25">
      <c r="A658" s="98"/>
      <c r="B658" s="1"/>
      <c r="C658" s="25"/>
      <c r="D658" s="26"/>
      <c r="E658" s="4"/>
      <c r="F658" s="25"/>
      <c r="G658" s="26"/>
      <c r="H658" s="4"/>
      <c r="I658" s="25"/>
      <c r="J658" s="26"/>
      <c r="K658" s="59"/>
      <c r="S658" s="97" t="str">
        <f t="shared" si="50"/>
        <v/>
      </c>
      <c r="U658" s="97" t="str">
        <f t="shared" si="51"/>
        <v/>
      </c>
    </row>
    <row r="659" spans="1:21" x14ac:dyDescent="0.25">
      <c r="A659" s="98"/>
      <c r="B659" s="1"/>
      <c r="C659" s="25"/>
      <c r="D659" s="26"/>
      <c r="E659" s="4"/>
      <c r="F659" s="25"/>
      <c r="G659" s="26"/>
      <c r="H659" s="4"/>
      <c r="I659" s="25"/>
      <c r="J659" s="26"/>
      <c r="K659" s="59"/>
      <c r="S659" s="97" t="str">
        <f t="shared" si="50"/>
        <v/>
      </c>
      <c r="U659" s="97" t="str">
        <f t="shared" si="51"/>
        <v/>
      </c>
    </row>
    <row r="660" spans="1:21" x14ac:dyDescent="0.25">
      <c r="A660" s="98"/>
      <c r="B660" s="1"/>
      <c r="C660" s="25"/>
      <c r="D660" s="26"/>
      <c r="E660" s="4"/>
      <c r="F660" s="25"/>
      <c r="G660" s="26"/>
      <c r="H660" s="4"/>
      <c r="I660" s="25"/>
      <c r="J660" s="26"/>
      <c r="K660" s="59"/>
      <c r="S660" s="97" t="str">
        <f t="shared" si="50"/>
        <v/>
      </c>
      <c r="U660" s="97" t="str">
        <f t="shared" si="51"/>
        <v/>
      </c>
    </row>
    <row r="661" spans="1:21" x14ac:dyDescent="0.25">
      <c r="A661" s="98"/>
      <c r="B661" s="1"/>
      <c r="C661" s="25"/>
      <c r="D661" s="26"/>
      <c r="E661" s="4"/>
      <c r="F661" s="25"/>
      <c r="G661" s="26"/>
      <c r="H661" s="4"/>
      <c r="I661" s="25"/>
      <c r="J661" s="26"/>
      <c r="K661" s="59"/>
      <c r="S661" s="97" t="str">
        <f t="shared" si="50"/>
        <v/>
      </c>
      <c r="U661" s="97" t="str">
        <f t="shared" si="51"/>
        <v/>
      </c>
    </row>
    <row r="662" spans="1:21" x14ac:dyDescent="0.25">
      <c r="A662" s="98"/>
      <c r="B662" s="1"/>
      <c r="C662" s="25"/>
      <c r="D662" s="26"/>
      <c r="E662" s="4"/>
      <c r="F662" s="25"/>
      <c r="G662" s="26"/>
      <c r="H662" s="4"/>
      <c r="I662" s="25"/>
      <c r="J662" s="26"/>
      <c r="K662" s="59"/>
      <c r="S662" s="97" t="str">
        <f t="shared" si="50"/>
        <v/>
      </c>
      <c r="U662" s="97" t="str">
        <f t="shared" si="51"/>
        <v/>
      </c>
    </row>
    <row r="663" spans="1:21" x14ac:dyDescent="0.25">
      <c r="A663" s="98"/>
      <c r="B663" s="1"/>
      <c r="C663" s="25"/>
      <c r="D663" s="26"/>
      <c r="E663" s="4"/>
      <c r="F663" s="25"/>
      <c r="G663" s="26"/>
      <c r="H663" s="4"/>
      <c r="I663" s="25"/>
      <c r="J663" s="26"/>
      <c r="K663" s="59"/>
      <c r="S663" s="97" t="str">
        <f t="shared" si="50"/>
        <v/>
      </c>
      <c r="U663" s="97" t="str">
        <f t="shared" si="51"/>
        <v/>
      </c>
    </row>
    <row r="664" spans="1:21" x14ac:dyDescent="0.25">
      <c r="A664" s="98"/>
      <c r="B664" s="1"/>
      <c r="C664" s="25"/>
      <c r="D664" s="26"/>
      <c r="E664" s="4"/>
      <c r="F664" s="25"/>
      <c r="G664" s="26"/>
      <c r="H664" s="4"/>
      <c r="I664" s="25"/>
      <c r="J664" s="26"/>
      <c r="K664" s="59"/>
      <c r="S664" s="97" t="str">
        <f t="shared" si="50"/>
        <v/>
      </c>
      <c r="U664" s="97" t="str">
        <f t="shared" si="51"/>
        <v/>
      </c>
    </row>
    <row r="665" spans="1:21" x14ac:dyDescent="0.25">
      <c r="A665" s="98"/>
      <c r="B665" s="1"/>
      <c r="C665" s="25"/>
      <c r="D665" s="26"/>
      <c r="E665" s="4"/>
      <c r="F665" s="25"/>
      <c r="G665" s="26"/>
      <c r="H665" s="4"/>
      <c r="I665" s="25"/>
      <c r="J665" s="26"/>
      <c r="K665" s="59"/>
      <c r="S665" s="97" t="str">
        <f t="shared" si="50"/>
        <v/>
      </c>
      <c r="U665" s="97" t="str">
        <f t="shared" si="51"/>
        <v/>
      </c>
    </row>
    <row r="666" spans="1:21" x14ac:dyDescent="0.25">
      <c r="A666" s="98"/>
      <c r="S666" s="97" t="str">
        <f t="shared" si="50"/>
        <v/>
      </c>
      <c r="U666" s="97" t="str">
        <f t="shared" si="51"/>
        <v/>
      </c>
    </row>
    <row r="667" spans="1:21" x14ac:dyDescent="0.25">
      <c r="A667" s="98"/>
      <c r="S667" s="97" t="str">
        <f t="shared" si="50"/>
        <v/>
      </c>
      <c r="U667" s="97" t="str">
        <f t="shared" si="51"/>
        <v/>
      </c>
    </row>
    <row r="668" spans="1:21" x14ac:dyDescent="0.25">
      <c r="S668" s="97" t="str">
        <f t="shared" si="50"/>
        <v/>
      </c>
      <c r="U668" s="97" t="str">
        <f t="shared" si="51"/>
        <v/>
      </c>
    </row>
    <row r="669" spans="1:21" x14ac:dyDescent="0.25">
      <c r="S669" s="97" t="str">
        <f t="shared" si="50"/>
        <v/>
      </c>
      <c r="U669" s="97" t="str">
        <f t="shared" si="51"/>
        <v/>
      </c>
    </row>
    <row r="670" spans="1:21" x14ac:dyDescent="0.25">
      <c r="S670" s="97" t="str">
        <f t="shared" si="50"/>
        <v/>
      </c>
      <c r="U670" s="97" t="str">
        <f t="shared" si="51"/>
        <v/>
      </c>
    </row>
    <row r="671" spans="1:21" x14ac:dyDescent="0.25">
      <c r="S671" s="97" t="str">
        <f t="shared" si="50"/>
        <v/>
      </c>
      <c r="U671" s="97" t="str">
        <f t="shared" si="51"/>
        <v/>
      </c>
    </row>
    <row r="672" spans="1:21" x14ac:dyDescent="0.25">
      <c r="S672" s="97" t="str">
        <f t="shared" si="50"/>
        <v/>
      </c>
      <c r="U672" s="97" t="str">
        <f t="shared" si="51"/>
        <v/>
      </c>
    </row>
    <row r="673" spans="19:21" x14ac:dyDescent="0.25">
      <c r="S673" s="97" t="str">
        <f t="shared" si="50"/>
        <v/>
      </c>
      <c r="U673" s="97" t="str">
        <f t="shared" si="51"/>
        <v/>
      </c>
    </row>
    <row r="674" spans="19:21" x14ac:dyDescent="0.25">
      <c r="S674" s="97" t="str">
        <f t="shared" si="50"/>
        <v/>
      </c>
      <c r="U674" s="97" t="str">
        <f t="shared" si="51"/>
        <v/>
      </c>
    </row>
    <row r="675" spans="19:21" x14ac:dyDescent="0.25">
      <c r="S675" s="97" t="str">
        <f t="shared" si="50"/>
        <v/>
      </c>
      <c r="U675" s="97" t="str">
        <f t="shared" si="51"/>
        <v/>
      </c>
    </row>
    <row r="676" spans="19:21" x14ac:dyDescent="0.25">
      <c r="S676" s="97" t="str">
        <f t="shared" si="50"/>
        <v/>
      </c>
      <c r="U676" s="97" t="str">
        <f t="shared" si="51"/>
        <v/>
      </c>
    </row>
    <row r="677" spans="19:21" x14ac:dyDescent="0.25">
      <c r="S677" s="97" t="str">
        <f t="shared" si="50"/>
        <v/>
      </c>
      <c r="U677" s="97" t="str">
        <f t="shared" si="51"/>
        <v/>
      </c>
    </row>
    <row r="678" spans="19:21" x14ac:dyDescent="0.25">
      <c r="S678" s="97" t="str">
        <f t="shared" si="50"/>
        <v/>
      </c>
      <c r="U678" s="97" t="str">
        <f t="shared" si="51"/>
        <v/>
      </c>
    </row>
    <row r="679" spans="19:21" x14ac:dyDescent="0.25">
      <c r="S679" s="97" t="str">
        <f t="shared" si="50"/>
        <v/>
      </c>
      <c r="U679" s="97" t="str">
        <f t="shared" si="51"/>
        <v/>
      </c>
    </row>
    <row r="680" spans="19:21" x14ac:dyDescent="0.25">
      <c r="S680" s="97" t="str">
        <f t="shared" si="50"/>
        <v/>
      </c>
      <c r="U680" s="97" t="str">
        <f t="shared" si="51"/>
        <v/>
      </c>
    </row>
    <row r="681" spans="19:21" x14ac:dyDescent="0.25">
      <c r="S681" s="97" t="str">
        <f t="shared" si="50"/>
        <v/>
      </c>
      <c r="U681" s="97" t="str">
        <f t="shared" si="51"/>
        <v/>
      </c>
    </row>
    <row r="682" spans="19:21" x14ac:dyDescent="0.25">
      <c r="S682" s="97" t="str">
        <f t="shared" si="50"/>
        <v/>
      </c>
      <c r="U682" s="97" t="str">
        <f t="shared" si="51"/>
        <v/>
      </c>
    </row>
    <row r="683" spans="19:21" x14ac:dyDescent="0.25">
      <c r="S683" s="97" t="str">
        <f t="shared" si="50"/>
        <v/>
      </c>
      <c r="U683" s="97" t="str">
        <f t="shared" si="51"/>
        <v/>
      </c>
    </row>
    <row r="684" spans="19:21" x14ac:dyDescent="0.25">
      <c r="S684" s="97" t="str">
        <f t="shared" si="50"/>
        <v/>
      </c>
      <c r="U684" s="97" t="str">
        <f t="shared" si="51"/>
        <v/>
      </c>
    </row>
    <row r="685" spans="19:21" x14ac:dyDescent="0.25">
      <c r="S685" s="97" t="str">
        <f t="shared" si="50"/>
        <v/>
      </c>
      <c r="U685" s="97" t="str">
        <f t="shared" si="51"/>
        <v/>
      </c>
    </row>
    <row r="686" spans="19:21" x14ac:dyDescent="0.25">
      <c r="S686" s="97" t="str">
        <f t="shared" si="50"/>
        <v/>
      </c>
      <c r="U686" s="97" t="str">
        <f t="shared" si="51"/>
        <v/>
      </c>
    </row>
    <row r="687" spans="19:21" x14ac:dyDescent="0.25">
      <c r="S687" s="97" t="str">
        <f t="shared" si="50"/>
        <v/>
      </c>
      <c r="U687" s="97" t="str">
        <f t="shared" si="51"/>
        <v/>
      </c>
    </row>
    <row r="688" spans="19:21" x14ac:dyDescent="0.25">
      <c r="S688" s="97" t="str">
        <f t="shared" si="50"/>
        <v/>
      </c>
      <c r="U688" s="97" t="str">
        <f t="shared" si="51"/>
        <v/>
      </c>
    </row>
    <row r="689" spans="19:21" x14ac:dyDescent="0.25">
      <c r="S689" s="97" t="str">
        <f t="shared" si="50"/>
        <v/>
      </c>
      <c r="U689" s="97" t="str">
        <f t="shared" si="51"/>
        <v/>
      </c>
    </row>
    <row r="690" spans="19:21" x14ac:dyDescent="0.25">
      <c r="S690" s="97" t="str">
        <f t="shared" si="50"/>
        <v/>
      </c>
      <c r="U690" s="97" t="str">
        <f t="shared" si="51"/>
        <v/>
      </c>
    </row>
    <row r="691" spans="19:21" x14ac:dyDescent="0.25">
      <c r="S691" s="97" t="str">
        <f t="shared" si="50"/>
        <v/>
      </c>
      <c r="U691" s="97" t="str">
        <f t="shared" si="51"/>
        <v/>
      </c>
    </row>
    <row r="692" spans="19:21" x14ac:dyDescent="0.25">
      <c r="S692" s="97" t="str">
        <f t="shared" si="50"/>
        <v/>
      </c>
      <c r="U692" s="97" t="str">
        <f t="shared" si="51"/>
        <v/>
      </c>
    </row>
    <row r="693" spans="19:21" x14ac:dyDescent="0.25">
      <c r="S693" s="97" t="str">
        <f t="shared" si="50"/>
        <v/>
      </c>
      <c r="U693" s="97" t="str">
        <f t="shared" si="51"/>
        <v/>
      </c>
    </row>
    <row r="694" spans="19:21" x14ac:dyDescent="0.25">
      <c r="S694" s="97" t="str">
        <f t="shared" si="50"/>
        <v/>
      </c>
      <c r="U694" s="97" t="str">
        <f t="shared" si="51"/>
        <v/>
      </c>
    </row>
    <row r="695" spans="19:21" x14ac:dyDescent="0.25">
      <c r="S695" s="97" t="str">
        <f t="shared" si="50"/>
        <v/>
      </c>
      <c r="U695" s="97" t="str">
        <f t="shared" si="51"/>
        <v/>
      </c>
    </row>
    <row r="696" spans="19:21" x14ac:dyDescent="0.25">
      <c r="S696" s="97" t="str">
        <f t="shared" si="50"/>
        <v/>
      </c>
      <c r="U696" s="97" t="str">
        <f t="shared" si="51"/>
        <v/>
      </c>
    </row>
    <row r="697" spans="19:21" x14ac:dyDescent="0.25">
      <c r="S697" s="97" t="str">
        <f t="shared" si="50"/>
        <v/>
      </c>
      <c r="U697" s="97" t="str">
        <f t="shared" si="51"/>
        <v/>
      </c>
    </row>
    <row r="698" spans="19:21" x14ac:dyDescent="0.25">
      <c r="S698" s="97" t="str">
        <f t="shared" si="50"/>
        <v/>
      </c>
      <c r="U698" s="97" t="str">
        <f t="shared" si="51"/>
        <v/>
      </c>
    </row>
    <row r="699" spans="19:21" x14ac:dyDescent="0.25">
      <c r="S699" s="97" t="str">
        <f t="shared" si="50"/>
        <v/>
      </c>
      <c r="U699" s="97" t="str">
        <f t="shared" si="51"/>
        <v/>
      </c>
    </row>
    <row r="700" spans="19:21" x14ac:dyDescent="0.25">
      <c r="S700" s="97" t="str">
        <f t="shared" si="50"/>
        <v/>
      </c>
      <c r="U700" s="97" t="str">
        <f t="shared" si="51"/>
        <v/>
      </c>
    </row>
    <row r="701" spans="19:21" x14ac:dyDescent="0.25">
      <c r="S701" s="97" t="str">
        <f t="shared" si="50"/>
        <v/>
      </c>
      <c r="U701" s="97" t="str">
        <f t="shared" si="51"/>
        <v/>
      </c>
    </row>
    <row r="702" spans="19:21" x14ac:dyDescent="0.25">
      <c r="S702" s="97" t="str">
        <f t="shared" si="50"/>
        <v/>
      </c>
      <c r="U702" s="97" t="str">
        <f t="shared" si="51"/>
        <v/>
      </c>
    </row>
    <row r="703" spans="19:21" x14ac:dyDescent="0.25">
      <c r="S703" s="97" t="str">
        <f t="shared" si="50"/>
        <v/>
      </c>
      <c r="U703" s="97" t="str">
        <f t="shared" si="51"/>
        <v/>
      </c>
    </row>
    <row r="704" spans="19:21" x14ac:dyDescent="0.25">
      <c r="S704" s="97" t="str">
        <f t="shared" si="50"/>
        <v/>
      </c>
      <c r="U704" s="97" t="str">
        <f t="shared" si="51"/>
        <v/>
      </c>
    </row>
    <row r="705" spans="19:21" x14ac:dyDescent="0.25">
      <c r="S705" s="97" t="str">
        <f t="shared" si="50"/>
        <v/>
      </c>
      <c r="U705" s="97" t="str">
        <f t="shared" si="51"/>
        <v/>
      </c>
    </row>
    <row r="706" spans="19:21" x14ac:dyDescent="0.25">
      <c r="S706" s="97" t="str">
        <f t="shared" si="50"/>
        <v/>
      </c>
      <c r="U706" s="97" t="str">
        <f t="shared" si="51"/>
        <v/>
      </c>
    </row>
    <row r="707" spans="19:21" x14ac:dyDescent="0.25">
      <c r="S707" s="97" t="str">
        <f t="shared" si="50"/>
        <v/>
      </c>
      <c r="U707" s="97" t="str">
        <f t="shared" si="51"/>
        <v/>
      </c>
    </row>
    <row r="708" spans="19:21" x14ac:dyDescent="0.25">
      <c r="S708" s="97" t="str">
        <f t="shared" ref="S708:S766" si="52">IF(COUNTIF(O:O,M708)*COUNTIF(Q:Q,M708),M708,"")</f>
        <v/>
      </c>
      <c r="U708" s="97" t="str">
        <f t="shared" ref="U708:U766" si="53">IF(T708&gt;$A$14,T708,"")</f>
        <v/>
      </c>
    </row>
    <row r="709" spans="19:21" x14ac:dyDescent="0.25">
      <c r="S709" s="97" t="str">
        <f t="shared" si="52"/>
        <v/>
      </c>
      <c r="U709" s="97" t="str">
        <f t="shared" si="53"/>
        <v/>
      </c>
    </row>
    <row r="710" spans="19:21" x14ac:dyDescent="0.25">
      <c r="S710" s="97" t="str">
        <f t="shared" si="52"/>
        <v/>
      </c>
      <c r="U710" s="97" t="str">
        <f t="shared" si="53"/>
        <v/>
      </c>
    </row>
    <row r="711" spans="19:21" x14ac:dyDescent="0.25">
      <c r="S711" s="97" t="str">
        <f t="shared" si="52"/>
        <v/>
      </c>
      <c r="U711" s="97" t="str">
        <f t="shared" si="53"/>
        <v/>
      </c>
    </row>
    <row r="712" spans="19:21" x14ac:dyDescent="0.25">
      <c r="S712" s="97" t="str">
        <f t="shared" si="52"/>
        <v/>
      </c>
      <c r="U712" s="97" t="str">
        <f t="shared" si="53"/>
        <v/>
      </c>
    </row>
    <row r="713" spans="19:21" x14ac:dyDescent="0.25">
      <c r="S713" s="97" t="str">
        <f t="shared" si="52"/>
        <v/>
      </c>
      <c r="U713" s="97" t="str">
        <f t="shared" si="53"/>
        <v/>
      </c>
    </row>
    <row r="714" spans="19:21" x14ac:dyDescent="0.25">
      <c r="S714" s="97" t="str">
        <f t="shared" si="52"/>
        <v/>
      </c>
      <c r="U714" s="97" t="str">
        <f t="shared" si="53"/>
        <v/>
      </c>
    </row>
    <row r="715" spans="19:21" x14ac:dyDescent="0.25">
      <c r="S715" s="97" t="str">
        <f t="shared" si="52"/>
        <v/>
      </c>
      <c r="U715" s="97" t="str">
        <f t="shared" si="53"/>
        <v/>
      </c>
    </row>
    <row r="716" spans="19:21" x14ac:dyDescent="0.25">
      <c r="S716" s="97" t="str">
        <f t="shared" si="52"/>
        <v/>
      </c>
      <c r="U716" s="97" t="str">
        <f t="shared" si="53"/>
        <v/>
      </c>
    </row>
    <row r="717" spans="19:21" x14ac:dyDescent="0.25">
      <c r="S717" s="97" t="str">
        <f t="shared" si="52"/>
        <v/>
      </c>
      <c r="U717" s="97" t="str">
        <f t="shared" si="53"/>
        <v/>
      </c>
    </row>
    <row r="718" spans="19:21" x14ac:dyDescent="0.25">
      <c r="S718" s="97" t="str">
        <f t="shared" si="52"/>
        <v/>
      </c>
      <c r="U718" s="97" t="str">
        <f t="shared" si="53"/>
        <v/>
      </c>
    </row>
    <row r="719" spans="19:21" x14ac:dyDescent="0.25">
      <c r="S719" s="97" t="str">
        <f t="shared" si="52"/>
        <v/>
      </c>
      <c r="U719" s="97" t="str">
        <f t="shared" si="53"/>
        <v/>
      </c>
    </row>
    <row r="720" spans="19:21" x14ac:dyDescent="0.25">
      <c r="S720" s="97" t="str">
        <f t="shared" si="52"/>
        <v/>
      </c>
      <c r="U720" s="97" t="str">
        <f t="shared" si="53"/>
        <v/>
      </c>
    </row>
    <row r="721" spans="19:21" x14ac:dyDescent="0.25">
      <c r="S721" s="97" t="str">
        <f t="shared" si="52"/>
        <v/>
      </c>
      <c r="U721" s="97" t="str">
        <f t="shared" si="53"/>
        <v/>
      </c>
    </row>
    <row r="722" spans="19:21" x14ac:dyDescent="0.25">
      <c r="S722" s="97" t="str">
        <f t="shared" si="52"/>
        <v/>
      </c>
      <c r="U722" s="97" t="str">
        <f t="shared" si="53"/>
        <v/>
      </c>
    </row>
    <row r="723" spans="19:21" x14ac:dyDescent="0.25">
      <c r="S723" s="97" t="str">
        <f t="shared" si="52"/>
        <v/>
      </c>
      <c r="U723" s="97" t="str">
        <f t="shared" si="53"/>
        <v/>
      </c>
    </row>
    <row r="724" spans="19:21" x14ac:dyDescent="0.25">
      <c r="S724" s="97" t="str">
        <f t="shared" si="52"/>
        <v/>
      </c>
      <c r="U724" s="97" t="str">
        <f t="shared" si="53"/>
        <v/>
      </c>
    </row>
    <row r="725" spans="19:21" x14ac:dyDescent="0.25">
      <c r="S725" s="97" t="str">
        <f t="shared" si="52"/>
        <v/>
      </c>
      <c r="U725" s="97" t="str">
        <f t="shared" si="53"/>
        <v/>
      </c>
    </row>
    <row r="726" spans="19:21" x14ac:dyDescent="0.25">
      <c r="S726" s="97" t="str">
        <f t="shared" si="52"/>
        <v/>
      </c>
      <c r="U726" s="97" t="str">
        <f t="shared" si="53"/>
        <v/>
      </c>
    </row>
    <row r="727" spans="19:21" x14ac:dyDescent="0.25">
      <c r="S727" s="97" t="str">
        <f t="shared" si="52"/>
        <v/>
      </c>
      <c r="U727" s="97" t="str">
        <f t="shared" si="53"/>
        <v/>
      </c>
    </row>
    <row r="728" spans="19:21" x14ac:dyDescent="0.25">
      <c r="S728" s="97" t="str">
        <f t="shared" si="52"/>
        <v/>
      </c>
      <c r="U728" s="97" t="str">
        <f t="shared" si="53"/>
        <v/>
      </c>
    </row>
    <row r="729" spans="19:21" x14ac:dyDescent="0.25">
      <c r="S729" s="97" t="str">
        <f t="shared" si="52"/>
        <v/>
      </c>
      <c r="U729" s="97" t="str">
        <f t="shared" si="53"/>
        <v/>
      </c>
    </row>
    <row r="730" spans="19:21" x14ac:dyDescent="0.25">
      <c r="S730" s="97" t="str">
        <f t="shared" si="52"/>
        <v/>
      </c>
      <c r="U730" s="97" t="str">
        <f t="shared" si="53"/>
        <v/>
      </c>
    </row>
    <row r="731" spans="19:21" x14ac:dyDescent="0.25">
      <c r="S731" s="97" t="str">
        <f t="shared" si="52"/>
        <v/>
      </c>
      <c r="U731" s="97" t="str">
        <f t="shared" si="53"/>
        <v/>
      </c>
    </row>
    <row r="732" spans="19:21" x14ac:dyDescent="0.25">
      <c r="S732" s="97" t="str">
        <f t="shared" si="52"/>
        <v/>
      </c>
      <c r="U732" s="97" t="str">
        <f t="shared" si="53"/>
        <v/>
      </c>
    </row>
    <row r="733" spans="19:21" x14ac:dyDescent="0.25">
      <c r="S733" s="97" t="str">
        <f t="shared" si="52"/>
        <v/>
      </c>
      <c r="U733" s="97" t="str">
        <f t="shared" si="53"/>
        <v/>
      </c>
    </row>
    <row r="734" spans="19:21" x14ac:dyDescent="0.25">
      <c r="S734" s="97" t="str">
        <f t="shared" si="52"/>
        <v/>
      </c>
      <c r="U734" s="97" t="str">
        <f t="shared" si="53"/>
        <v/>
      </c>
    </row>
    <row r="735" spans="19:21" x14ac:dyDescent="0.25">
      <c r="S735" s="97" t="str">
        <f t="shared" si="52"/>
        <v/>
      </c>
      <c r="U735" s="97" t="str">
        <f t="shared" si="53"/>
        <v/>
      </c>
    </row>
    <row r="736" spans="19:21" x14ac:dyDescent="0.25">
      <c r="S736" s="97" t="str">
        <f t="shared" si="52"/>
        <v/>
      </c>
      <c r="U736" s="97" t="str">
        <f t="shared" si="53"/>
        <v/>
      </c>
    </row>
    <row r="737" spans="19:21" x14ac:dyDescent="0.25">
      <c r="S737" s="97" t="str">
        <f t="shared" si="52"/>
        <v/>
      </c>
      <c r="U737" s="97" t="str">
        <f t="shared" si="53"/>
        <v/>
      </c>
    </row>
    <row r="738" spans="19:21" x14ac:dyDescent="0.25">
      <c r="S738" s="97" t="str">
        <f t="shared" si="52"/>
        <v/>
      </c>
      <c r="U738" s="97" t="str">
        <f t="shared" si="53"/>
        <v/>
      </c>
    </row>
    <row r="739" spans="19:21" x14ac:dyDescent="0.25">
      <c r="S739" s="97" t="str">
        <f t="shared" si="52"/>
        <v/>
      </c>
      <c r="U739" s="97" t="str">
        <f t="shared" si="53"/>
        <v/>
      </c>
    </row>
    <row r="740" spans="19:21" x14ac:dyDescent="0.25">
      <c r="S740" s="97" t="str">
        <f t="shared" si="52"/>
        <v/>
      </c>
      <c r="U740" s="97" t="str">
        <f t="shared" si="53"/>
        <v/>
      </c>
    </row>
    <row r="741" spans="19:21" x14ac:dyDescent="0.25">
      <c r="S741" s="97" t="str">
        <f t="shared" si="52"/>
        <v/>
      </c>
      <c r="U741" s="97" t="str">
        <f t="shared" si="53"/>
        <v/>
      </c>
    </row>
    <row r="742" spans="19:21" x14ac:dyDescent="0.25">
      <c r="S742" s="97" t="str">
        <f t="shared" si="52"/>
        <v/>
      </c>
      <c r="U742" s="97" t="str">
        <f t="shared" si="53"/>
        <v/>
      </c>
    </row>
    <row r="743" spans="19:21" x14ac:dyDescent="0.25">
      <c r="S743" s="97" t="str">
        <f t="shared" si="52"/>
        <v/>
      </c>
      <c r="U743" s="97" t="str">
        <f t="shared" si="53"/>
        <v/>
      </c>
    </row>
    <row r="744" spans="19:21" x14ac:dyDescent="0.25">
      <c r="S744" s="97" t="str">
        <f t="shared" si="52"/>
        <v/>
      </c>
      <c r="U744" s="97" t="str">
        <f t="shared" si="53"/>
        <v/>
      </c>
    </row>
    <row r="745" spans="19:21" x14ac:dyDescent="0.25">
      <c r="S745" s="97" t="str">
        <f t="shared" si="52"/>
        <v/>
      </c>
      <c r="U745" s="97" t="str">
        <f t="shared" si="53"/>
        <v/>
      </c>
    </row>
    <row r="746" spans="19:21" x14ac:dyDescent="0.25">
      <c r="S746" s="97" t="str">
        <f t="shared" si="52"/>
        <v/>
      </c>
      <c r="U746" s="97" t="str">
        <f t="shared" si="53"/>
        <v/>
      </c>
    </row>
    <row r="747" spans="19:21" x14ac:dyDescent="0.25">
      <c r="S747" s="97" t="str">
        <f t="shared" si="52"/>
        <v/>
      </c>
      <c r="U747" s="97" t="str">
        <f t="shared" si="53"/>
        <v/>
      </c>
    </row>
    <row r="748" spans="19:21" x14ac:dyDescent="0.25">
      <c r="S748" s="97" t="str">
        <f t="shared" si="52"/>
        <v/>
      </c>
      <c r="U748" s="97" t="str">
        <f t="shared" si="53"/>
        <v/>
      </c>
    </row>
    <row r="749" spans="19:21" x14ac:dyDescent="0.25">
      <c r="S749" s="97" t="str">
        <f t="shared" si="52"/>
        <v/>
      </c>
      <c r="U749" s="97" t="str">
        <f t="shared" si="53"/>
        <v/>
      </c>
    </row>
    <row r="750" spans="19:21" x14ac:dyDescent="0.25">
      <c r="S750" s="97" t="str">
        <f t="shared" si="52"/>
        <v/>
      </c>
      <c r="U750" s="97" t="str">
        <f t="shared" si="53"/>
        <v/>
      </c>
    </row>
    <row r="751" spans="19:21" x14ac:dyDescent="0.25">
      <c r="S751" s="97" t="str">
        <f t="shared" si="52"/>
        <v/>
      </c>
      <c r="U751" s="97" t="str">
        <f t="shared" si="53"/>
        <v/>
      </c>
    </row>
    <row r="752" spans="19:21" x14ac:dyDescent="0.25">
      <c r="S752" s="97" t="str">
        <f t="shared" si="52"/>
        <v/>
      </c>
      <c r="U752" s="97" t="str">
        <f t="shared" si="53"/>
        <v/>
      </c>
    </row>
    <row r="753" spans="19:21" x14ac:dyDescent="0.25">
      <c r="S753" s="97" t="str">
        <f t="shared" si="52"/>
        <v/>
      </c>
      <c r="U753" s="97" t="str">
        <f t="shared" si="53"/>
        <v/>
      </c>
    </row>
    <row r="754" spans="19:21" x14ac:dyDescent="0.25">
      <c r="S754" s="97" t="str">
        <f t="shared" si="52"/>
        <v/>
      </c>
      <c r="U754" s="97" t="str">
        <f t="shared" si="53"/>
        <v/>
      </c>
    </row>
    <row r="755" spans="19:21" x14ac:dyDescent="0.25">
      <c r="S755" s="97" t="str">
        <f t="shared" si="52"/>
        <v/>
      </c>
      <c r="U755" s="97" t="str">
        <f t="shared" si="53"/>
        <v/>
      </c>
    </row>
    <row r="756" spans="19:21" x14ac:dyDescent="0.25">
      <c r="S756" s="97" t="str">
        <f t="shared" si="52"/>
        <v/>
      </c>
      <c r="U756" s="97" t="str">
        <f t="shared" si="53"/>
        <v/>
      </c>
    </row>
    <row r="757" spans="19:21" x14ac:dyDescent="0.25">
      <c r="S757" s="97" t="str">
        <f t="shared" si="52"/>
        <v/>
      </c>
      <c r="U757" s="97" t="str">
        <f t="shared" si="53"/>
        <v/>
      </c>
    </row>
    <row r="758" spans="19:21" x14ac:dyDescent="0.25">
      <c r="S758" s="97" t="str">
        <f t="shared" si="52"/>
        <v/>
      </c>
      <c r="U758" s="97" t="str">
        <f t="shared" si="53"/>
        <v/>
      </c>
    </row>
    <row r="759" spans="19:21" x14ac:dyDescent="0.25">
      <c r="S759" s="97" t="str">
        <f t="shared" si="52"/>
        <v/>
      </c>
      <c r="U759" s="97" t="str">
        <f t="shared" si="53"/>
        <v/>
      </c>
    </row>
    <row r="760" spans="19:21" x14ac:dyDescent="0.25">
      <c r="S760" s="97" t="str">
        <f t="shared" si="52"/>
        <v/>
      </c>
      <c r="U760" s="97" t="str">
        <f t="shared" si="53"/>
        <v/>
      </c>
    </row>
    <row r="761" spans="19:21" x14ac:dyDescent="0.25">
      <c r="S761" s="97" t="str">
        <f t="shared" si="52"/>
        <v/>
      </c>
      <c r="U761" s="97" t="str">
        <f t="shared" si="53"/>
        <v/>
      </c>
    </row>
    <row r="762" spans="19:21" x14ac:dyDescent="0.25">
      <c r="S762" s="97" t="str">
        <f t="shared" si="52"/>
        <v/>
      </c>
      <c r="U762" s="97" t="str">
        <f t="shared" si="53"/>
        <v/>
      </c>
    </row>
    <row r="763" spans="19:21" x14ac:dyDescent="0.25">
      <c r="S763" s="97" t="str">
        <f t="shared" si="52"/>
        <v/>
      </c>
      <c r="U763" s="97" t="str">
        <f t="shared" si="53"/>
        <v/>
      </c>
    </row>
    <row r="764" spans="19:21" x14ac:dyDescent="0.25">
      <c r="S764" s="97" t="str">
        <f t="shared" si="52"/>
        <v/>
      </c>
      <c r="U764" s="97" t="str">
        <f t="shared" si="53"/>
        <v/>
      </c>
    </row>
    <row r="765" spans="19:21" x14ac:dyDescent="0.25">
      <c r="S765" s="97" t="str">
        <f t="shared" si="52"/>
        <v/>
      </c>
      <c r="U765" s="97" t="str">
        <f t="shared" si="53"/>
        <v/>
      </c>
    </row>
    <row r="766" spans="19:21" x14ac:dyDescent="0.25">
      <c r="S766" s="97" t="str">
        <f t="shared" si="52"/>
        <v/>
      </c>
      <c r="U766" s="97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A0E0-A4FE-439B-8225-6F3CF0131032}">
  <dimension ref="A1:R945"/>
  <sheetViews>
    <sheetView zoomScale="80" zoomScaleNormal="80" workbookViewId="0">
      <selection activeCell="H4" sqref="H4"/>
    </sheetView>
  </sheetViews>
  <sheetFormatPr defaultColWidth="9.140625" defaultRowHeight="15" x14ac:dyDescent="0.25"/>
  <cols>
    <col min="1" max="1" width="15.42578125" style="37" bestFit="1" customWidth="1"/>
    <col min="2" max="2" width="21.28515625" style="3" bestFit="1" customWidth="1"/>
    <col min="3" max="3" width="19.140625" style="3" bestFit="1" customWidth="1"/>
    <col min="4" max="4" width="11.28515625" style="40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76" customWidth="1"/>
    <col min="11" max="11" width="10.7109375" style="41" customWidth="1"/>
    <col min="12" max="12" width="11.5703125" style="37" bestFit="1" customWidth="1"/>
    <col min="13" max="13" width="10.5703125" style="41" customWidth="1"/>
    <col min="14" max="16" width="10.5703125" style="37" bestFit="1" customWidth="1"/>
    <col min="17" max="18" width="9.140625" style="37"/>
    <col min="19" max="16384" width="9.140625" style="3"/>
  </cols>
  <sheetData>
    <row r="1" spans="1:16" ht="15.75" thickBot="1" x14ac:dyDescent="0.3">
      <c r="A1" s="1"/>
      <c r="B1" s="1"/>
      <c r="C1" s="1"/>
      <c r="D1" s="25"/>
      <c r="J1" s="37">
        <f ca="1">TODAY()-150</f>
        <v>46041</v>
      </c>
      <c r="P1" s="37" cm="1">
        <f t="array" aca="1" ref="P1" ca="1">LOOKUP(2,1/(P:P&lt;&gt;""),P:P)</f>
        <v>0</v>
      </c>
    </row>
    <row r="2" spans="1:16" ht="15.75" thickBot="1" x14ac:dyDescent="0.3">
      <c r="A2" s="13"/>
      <c r="B2" s="22" t="s">
        <v>0</v>
      </c>
      <c r="C2" s="23" t="s">
        <v>1</v>
      </c>
      <c r="D2" s="25"/>
      <c r="J2" s="61" t="s">
        <v>0</v>
      </c>
      <c r="L2" s="63" t="s">
        <v>1</v>
      </c>
      <c r="P2" s="3" cm="1">
        <f t="array" aca="1" ref="P2:P3" ca="1">_xlfn.UNIQUE(O:O)</f>
        <v>0</v>
      </c>
    </row>
    <row r="3" spans="1:16" x14ac:dyDescent="0.25">
      <c r="A3" s="13" t="s">
        <v>19</v>
      </c>
      <c r="B3" s="14" t="s">
        <v>42</v>
      </c>
      <c r="C3" s="5" t="s">
        <v>43</v>
      </c>
      <c r="D3" s="25"/>
      <c r="J3" s="37" cm="1">
        <f t="array" aca="1" ref="J3:K188" ca="1">_xll.BDH($B$4, "PX_LAST, ", TODAY()-300, TODAY()-1)</f>
        <v>45922</v>
      </c>
      <c r="K3" s="41">
        <f ca="1"/>
        <v>59.945</v>
      </c>
      <c r="L3" s="37" cm="1">
        <f t="array" aca="1" ref="L3:M91" ca="1">_xll.BDH($C$4, "PX_LAST, ", TODAY()-300, TODAY()-1)</f>
        <v>45972</v>
      </c>
      <c r="M3" s="41">
        <f ca="1"/>
        <v>41.6</v>
      </c>
      <c r="N3" s="37" t="str">
        <f ca="1">IF(COUNTIF(L:L,J3),J3,"")</f>
        <v/>
      </c>
      <c r="O3" s="37" t="str">
        <f ca="1">IF(N3&gt;$A$14,N3,"")</f>
        <v/>
      </c>
      <c r="P3" s="37" t="str">
        <f ca="1"/>
        <v/>
      </c>
    </row>
    <row r="4" spans="1:16" ht="30" customHeight="1" x14ac:dyDescent="0.25">
      <c r="A4" s="14" t="s">
        <v>20</v>
      </c>
      <c r="B4" s="16" t="s">
        <v>44</v>
      </c>
      <c r="C4" s="6" t="s">
        <v>71</v>
      </c>
      <c r="D4" s="25"/>
      <c r="J4" s="37">
        <f ca="1"/>
        <v>45923</v>
      </c>
      <c r="K4" s="41">
        <f ca="1"/>
        <v>59.384</v>
      </c>
      <c r="L4" s="37">
        <f ca="1"/>
        <v>45973</v>
      </c>
      <c r="M4" s="41">
        <f ca="1"/>
        <v>37.65</v>
      </c>
      <c r="N4" s="37" t="str">
        <f t="shared" ref="N4:N67" ca="1" si="0">IF(COUNTIF(L:L,J4),J4,"")</f>
        <v/>
      </c>
      <c r="O4" s="37" t="str">
        <f t="shared" ref="O4:O67" ca="1" si="1">IF(N4&gt;$A$14,N4,"")</f>
        <v/>
      </c>
    </row>
    <row r="5" spans="1:16" x14ac:dyDescent="0.25">
      <c r="A5" s="14" t="s">
        <v>2</v>
      </c>
      <c r="B5" s="17">
        <v>100000000</v>
      </c>
      <c r="C5" s="26">
        <v>245</v>
      </c>
      <c r="D5" s="25"/>
      <c r="E5" s="83" t="s">
        <v>45</v>
      </c>
      <c r="F5" s="3">
        <v>50</v>
      </c>
      <c r="J5" s="37">
        <f ca="1"/>
        <v>45924</v>
      </c>
      <c r="K5" s="41">
        <f ca="1"/>
        <v>60.057000000000002</v>
      </c>
      <c r="L5" s="37">
        <f ca="1"/>
        <v>45974</v>
      </c>
      <c r="M5" s="41">
        <f ca="1"/>
        <v>37.700000000000003</v>
      </c>
      <c r="N5" s="37" t="str">
        <f t="shared" ca="1" si="0"/>
        <v/>
      </c>
      <c r="O5" s="37" t="str">
        <f t="shared" ca="1" si="1"/>
        <v/>
      </c>
    </row>
    <row r="6" spans="1:16" x14ac:dyDescent="0.25">
      <c r="A6" s="14" t="s">
        <v>3</v>
      </c>
      <c r="B6" s="18">
        <v>0.01</v>
      </c>
      <c r="C6" s="10">
        <v>0</v>
      </c>
      <c r="D6" s="25"/>
      <c r="J6" s="37">
        <f ca="1"/>
        <v>45925</v>
      </c>
      <c r="K6" s="41">
        <f ca="1"/>
        <v>60.883000000000003</v>
      </c>
      <c r="L6" s="37">
        <f ca="1"/>
        <v>45975</v>
      </c>
      <c r="M6" s="41">
        <f ca="1"/>
        <v>43.15</v>
      </c>
      <c r="N6" s="37" t="str">
        <f t="shared" ca="1" si="0"/>
        <v/>
      </c>
      <c r="O6" s="37" t="str">
        <f t="shared" ca="1" si="1"/>
        <v/>
      </c>
    </row>
    <row r="7" spans="1:16" x14ac:dyDescent="0.25">
      <c r="A7" s="14" t="s">
        <v>4</v>
      </c>
      <c r="B7" s="18">
        <v>0</v>
      </c>
      <c r="C7" s="10">
        <v>0</v>
      </c>
      <c r="D7" s="25"/>
      <c r="J7" s="38">
        <f ca="1"/>
        <v>45926</v>
      </c>
      <c r="K7" s="41">
        <f ca="1"/>
        <v>60.338999999999999</v>
      </c>
      <c r="L7" s="37">
        <f ca="1"/>
        <v>45978</v>
      </c>
      <c r="M7" s="41">
        <f ca="1"/>
        <v>46.1</v>
      </c>
      <c r="N7" s="37" t="str">
        <f t="shared" ca="1" si="0"/>
        <v/>
      </c>
      <c r="O7" s="37" t="str">
        <f t="shared" ca="1" si="1"/>
        <v/>
      </c>
    </row>
    <row r="8" spans="1:16" x14ac:dyDescent="0.25">
      <c r="A8" s="14" t="s">
        <v>5</v>
      </c>
      <c r="B8" s="14">
        <v>4.6950000000000003</v>
      </c>
      <c r="C8" s="5"/>
      <c r="D8" s="25"/>
      <c r="E8" s="38"/>
      <c r="G8" s="37"/>
      <c r="H8" s="37"/>
      <c r="J8" s="37">
        <f ca="1"/>
        <v>45929</v>
      </c>
      <c r="K8" s="41">
        <f ca="1"/>
        <v>59.947000000000003</v>
      </c>
      <c r="L8" s="37">
        <f ca="1"/>
        <v>45979</v>
      </c>
      <c r="M8" s="41">
        <f ca="1"/>
        <v>52.45</v>
      </c>
      <c r="N8" s="37" t="str">
        <f t="shared" ca="1" si="0"/>
        <v/>
      </c>
      <c r="O8" s="37" t="str">
        <f t="shared" ca="1" si="1"/>
        <v/>
      </c>
    </row>
    <row r="9" spans="1:16" x14ac:dyDescent="0.25">
      <c r="A9" s="14" t="s">
        <v>6</v>
      </c>
      <c r="B9" s="14" t="s">
        <v>13</v>
      </c>
      <c r="C9" s="5"/>
      <c r="D9" s="25"/>
      <c r="E9" s="38"/>
      <c r="G9" s="37"/>
      <c r="H9" s="37"/>
      <c r="J9" s="37">
        <f ca="1"/>
        <v>45930</v>
      </c>
      <c r="K9" s="41">
        <f ca="1"/>
        <v>60.215000000000003</v>
      </c>
      <c r="L9" s="37">
        <f ca="1"/>
        <v>45980</v>
      </c>
      <c r="M9" s="41">
        <f ca="1"/>
        <v>50.9</v>
      </c>
      <c r="N9" s="37" t="str">
        <f t="shared" ca="1" si="0"/>
        <v/>
      </c>
      <c r="O9" s="37" t="str">
        <f t="shared" ca="1" si="1"/>
        <v/>
      </c>
    </row>
    <row r="10" spans="1:16" ht="15.75" thickBot="1" x14ac:dyDescent="0.3">
      <c r="A10" s="15" t="s">
        <v>15</v>
      </c>
      <c r="B10" s="19" cm="1">
        <f t="array" ref="B10">_xll.BDP(B4,"PX_LAST")</f>
        <v>47.870449999999998</v>
      </c>
      <c r="C10" s="12" t="str" cm="1">
        <f t="array" ref="C10">_xll.BDP(C4,"OPT_PX")</f>
        <v>#N/A N/A</v>
      </c>
      <c r="D10" s="25"/>
      <c r="E10" s="1"/>
      <c r="G10" s="37"/>
      <c r="H10" s="37"/>
      <c r="J10" s="37">
        <f ca="1"/>
        <v>45931</v>
      </c>
      <c r="K10" s="41">
        <f ca="1"/>
        <v>59.188000000000002</v>
      </c>
      <c r="L10" s="37">
        <f ca="1"/>
        <v>45981</v>
      </c>
      <c r="M10" s="41">
        <f ca="1"/>
        <v>48.45</v>
      </c>
      <c r="N10" s="37" t="str">
        <f t="shared" ca="1" si="0"/>
        <v/>
      </c>
      <c r="O10" s="37" t="str">
        <f t="shared" ca="1" si="1"/>
        <v/>
      </c>
    </row>
    <row r="11" spans="1:16" ht="15.75" thickBot="1" x14ac:dyDescent="0.3">
      <c r="A11" s="1"/>
      <c r="B11" s="1"/>
      <c r="C11" s="1"/>
      <c r="D11" s="25"/>
      <c r="E11" s="1"/>
      <c r="J11" s="37">
        <f ca="1"/>
        <v>45932</v>
      </c>
      <c r="K11" s="41">
        <f ca="1"/>
        <v>58.594000000000001</v>
      </c>
      <c r="L11" s="37">
        <f ca="1"/>
        <v>45982</v>
      </c>
      <c r="M11" s="41">
        <f ca="1"/>
        <v>50.2</v>
      </c>
      <c r="N11" s="37" t="str">
        <f t="shared" ca="1" si="0"/>
        <v/>
      </c>
      <c r="O11" s="37" t="str">
        <f t="shared" ca="1" si="1"/>
        <v/>
      </c>
    </row>
    <row r="12" spans="1:16" ht="15.75" thickBot="1" x14ac:dyDescent="0.3">
      <c r="A12" s="27" t="s">
        <v>12</v>
      </c>
      <c r="B12" s="138" t="s">
        <v>0</v>
      </c>
      <c r="C12" s="139"/>
      <c r="D12" s="144"/>
      <c r="E12" s="140" t="s">
        <v>1</v>
      </c>
      <c r="F12" s="142"/>
      <c r="G12" s="27" t="s">
        <v>7</v>
      </c>
      <c r="H12" s="1"/>
      <c r="J12" s="76">
        <f ca="1"/>
        <v>45933</v>
      </c>
      <c r="K12" s="34">
        <f ca="1"/>
        <v>58.512</v>
      </c>
      <c r="L12" s="37">
        <f ca="1"/>
        <v>45985</v>
      </c>
      <c r="M12" s="41">
        <f ca="1"/>
        <v>48</v>
      </c>
      <c r="N12" s="37" t="str">
        <f t="shared" ca="1" si="0"/>
        <v/>
      </c>
      <c r="O12" s="37" t="str">
        <f t="shared" ca="1" si="1"/>
        <v/>
      </c>
    </row>
    <row r="13" spans="1:16" ht="15.75" thickBot="1" x14ac:dyDescent="0.3">
      <c r="A13" s="15"/>
      <c r="B13" s="11" t="s">
        <v>14</v>
      </c>
      <c r="C13" s="36" t="s">
        <v>9</v>
      </c>
      <c r="D13" s="21" t="s">
        <v>10</v>
      </c>
      <c r="E13" s="11" t="s">
        <v>8</v>
      </c>
      <c r="F13" s="20" t="s">
        <v>11</v>
      </c>
      <c r="G13" s="60"/>
      <c r="H13" s="78"/>
      <c r="J13" s="76">
        <f ca="1"/>
        <v>45936</v>
      </c>
      <c r="K13" s="34">
        <f ca="1"/>
        <v>59.841999999999999</v>
      </c>
      <c r="L13" s="37">
        <f ca="1"/>
        <v>45986</v>
      </c>
      <c r="M13" s="41">
        <f ca="1"/>
        <v>44.6</v>
      </c>
      <c r="N13" s="37" t="str">
        <f t="shared" ca="1" si="0"/>
        <v/>
      </c>
      <c r="O13" s="37" t="str">
        <f t="shared" ca="1" si="1"/>
        <v/>
      </c>
    </row>
    <row r="14" spans="1:16" x14ac:dyDescent="0.25">
      <c r="A14" s="102">
        <v>46787</v>
      </c>
      <c r="B14" s="33">
        <v>53</v>
      </c>
      <c r="C14" s="25"/>
      <c r="D14" s="5"/>
      <c r="E14" s="33">
        <v>9.9499999999999993</v>
      </c>
      <c r="F14" s="1"/>
      <c r="G14" s="55">
        <v>0</v>
      </c>
      <c r="H14" s="78"/>
      <c r="J14" s="76">
        <f ca="1"/>
        <v>45937</v>
      </c>
      <c r="K14" s="34">
        <f ca="1"/>
        <v>60.826999999999998</v>
      </c>
      <c r="L14" s="37">
        <f ca="1"/>
        <v>45987</v>
      </c>
      <c r="M14" s="41">
        <f ca="1"/>
        <v>41.25</v>
      </c>
      <c r="N14" s="37" t="str">
        <f t="shared" ca="1" si="0"/>
        <v/>
      </c>
      <c r="O14" s="37" t="str">
        <f t="shared" ca="1" si="1"/>
        <v/>
      </c>
    </row>
    <row r="15" spans="1:16" x14ac:dyDescent="0.25">
      <c r="A15" s="102">
        <f ca="1">IF(AND(ISBLANK(P4), A14 = $P$1),NOW(),IF(ISBLANK(P4),IF(ISBLANK(C14),NOW(),""),P4))</f>
        <v>46191.470808333332</v>
      </c>
      <c r="B15" s="33">
        <f ca="1">IF(COUNTIF(J:J,A15)=1,VLOOKUP(A15,J:K,2), IF(COUNTIF(J:J,A15)=0,$B$10,""))</f>
        <v>47.870449999999998</v>
      </c>
      <c r="C15" s="25">
        <f ca="1">IF(ISERROR(B15-2),"",-1*(B15-$B$14)*$B$8*$B$5*10^(-4))</f>
        <v>240832.37250000011</v>
      </c>
      <c r="D15" s="26">
        <f ca="1">IF(ISERROR(B15-2),"",(INT(A15)-INT($A$14))/360*$B$6*$B$5)</f>
        <v>-1655555.5555555555</v>
      </c>
      <c r="E15" s="33" t="str">
        <f ca="1">IF(COUNTIF(J:J,A15)=1,VLOOKUP(A15,L:M,2), IF(COUNTIF(J:J,A15)=0,$C$10,""))</f>
        <v>#N/A N/A</v>
      </c>
      <c r="F15" s="25" t="e">
        <f ca="1">IF(ISERROR(B15-2),"",(E15-$E$14)*$C$5*$F$5)</f>
        <v>#VALUE!</v>
      </c>
      <c r="G15" s="55" t="e">
        <f ca="1">IF(ISERROR(B15-2),"",C15+D15+F15)</f>
        <v>#VALUE!</v>
      </c>
      <c r="H15" s="78"/>
      <c r="J15" s="76">
        <f ca="1"/>
        <v>45938</v>
      </c>
      <c r="K15" s="34">
        <f ca="1"/>
        <v>60.331000000000003</v>
      </c>
      <c r="L15" s="37">
        <f ca="1"/>
        <v>45988</v>
      </c>
      <c r="M15" s="41">
        <f ca="1"/>
        <v>40.9</v>
      </c>
      <c r="N15" s="37" t="str">
        <f t="shared" ca="1" si="0"/>
        <v/>
      </c>
      <c r="O15" s="37" t="str">
        <f t="shared" ca="1" si="1"/>
        <v/>
      </c>
    </row>
    <row r="16" spans="1:16" x14ac:dyDescent="0.25">
      <c r="A16" s="102" t="str">
        <f t="shared" ref="A16:A79" ca="1" si="2">IF(AND(ISBLANK(P5), A15 = $P$1),NOW(),IF(ISBLANK(P5),IF(ISBLANK(C15),NOW(),""),P5))</f>
        <v/>
      </c>
      <c r="B16" s="33" t="str">
        <f t="shared" ref="B16:B79" ca="1" si="3">IF(COUNTIF(J:J,A16)=1,VLOOKUP(A16,J:K,2), IF(COUNTIF(J:J,A16)=0,$B$10,""))</f>
        <v/>
      </c>
      <c r="C16" s="25" t="str">
        <f t="shared" ref="C16:C79" ca="1" si="4">IF(ISERROR(B16-2),"",-1*(B16-$B$14)*$B$8*$B$5*10^(-4))</f>
        <v/>
      </c>
      <c r="D16" s="26" t="str">
        <f t="shared" ref="D16:D79" ca="1" si="5">IF(ISERROR(B16-2),"",(INT(A16)-INT($A$14))/360*$B$6*$B$5)</f>
        <v/>
      </c>
      <c r="E16" s="33" t="str">
        <f t="shared" ref="E16:E79" ca="1" si="6">IF(COUNTIF(J:J,A16)=1,VLOOKUP(A16,L:M,2), IF(COUNTIF(J:J,A16)=0,$C$10,""))</f>
        <v/>
      </c>
      <c r="F16" s="25" t="str">
        <f t="shared" ref="F16:F79" ca="1" si="7">IF(ISERROR(B16-2),"",(E16-$E$14)*$C$5*$F$5)</f>
        <v/>
      </c>
      <c r="G16" s="55" t="str">
        <f t="shared" ref="G16:G79" ca="1" si="8">IF(ISERROR(B16-2),"",C16+D16+F16)</f>
        <v/>
      </c>
      <c r="H16" s="78"/>
      <c r="J16" s="76">
        <f ca="1"/>
        <v>45939</v>
      </c>
      <c r="K16" s="34">
        <f ca="1"/>
        <v>60.914000000000001</v>
      </c>
      <c r="L16" s="37">
        <f ca="1"/>
        <v>45989</v>
      </c>
      <c r="M16" s="41">
        <f ca="1"/>
        <v>40.799999999999997</v>
      </c>
      <c r="N16" s="37" t="str">
        <f t="shared" ca="1" si="0"/>
        <v/>
      </c>
      <c r="O16" s="37" t="str">
        <f t="shared" ca="1" si="1"/>
        <v/>
      </c>
    </row>
    <row r="17" spans="1:15" x14ac:dyDescent="0.25">
      <c r="A17" s="102" t="str">
        <f t="shared" ca="1" si="2"/>
        <v/>
      </c>
      <c r="B17" s="33" t="str">
        <f t="shared" ca="1" si="3"/>
        <v/>
      </c>
      <c r="C17" s="25" t="str">
        <f t="shared" ca="1" si="4"/>
        <v/>
      </c>
      <c r="D17" s="26" t="str">
        <f t="shared" ca="1" si="5"/>
        <v/>
      </c>
      <c r="E17" s="33" t="str">
        <f t="shared" ca="1" si="6"/>
        <v/>
      </c>
      <c r="F17" s="25" t="str">
        <f t="shared" ca="1" si="7"/>
        <v/>
      </c>
      <c r="G17" s="55" t="str">
        <f t="shared" ca="1" si="8"/>
        <v/>
      </c>
      <c r="H17" s="78"/>
      <c r="J17" s="76">
        <f ca="1"/>
        <v>45940</v>
      </c>
      <c r="K17" s="34">
        <f ca="1"/>
        <v>63.279000000000003</v>
      </c>
      <c r="L17" s="37">
        <f ca="1"/>
        <v>45992</v>
      </c>
      <c r="M17" s="41">
        <f ca="1"/>
        <v>40.25</v>
      </c>
      <c r="N17" s="37" t="str">
        <f t="shared" ca="1" si="0"/>
        <v/>
      </c>
      <c r="O17" s="37" t="str">
        <f t="shared" ca="1" si="1"/>
        <v/>
      </c>
    </row>
    <row r="18" spans="1:15" x14ac:dyDescent="0.25">
      <c r="A18" s="102" t="str">
        <f t="shared" ca="1" si="2"/>
        <v/>
      </c>
      <c r="B18" s="33" t="str">
        <f t="shared" ca="1" si="3"/>
        <v/>
      </c>
      <c r="C18" s="25" t="str">
        <f t="shared" ca="1" si="4"/>
        <v/>
      </c>
      <c r="D18" s="26" t="str">
        <f t="shared" ca="1" si="5"/>
        <v/>
      </c>
      <c r="E18" s="33" t="str">
        <f t="shared" ca="1" si="6"/>
        <v/>
      </c>
      <c r="F18" s="25" t="str">
        <f t="shared" ca="1" si="7"/>
        <v/>
      </c>
      <c r="G18" s="55" t="str">
        <f t="shared" ca="1" si="8"/>
        <v/>
      </c>
      <c r="H18" s="78"/>
      <c r="J18" s="76">
        <f ca="1"/>
        <v>45943</v>
      </c>
      <c r="K18" s="34">
        <f ca="1"/>
        <v>62.716000000000001</v>
      </c>
      <c r="L18" s="37">
        <f ca="1"/>
        <v>45993</v>
      </c>
      <c r="M18" s="41">
        <f ca="1"/>
        <v>37.5</v>
      </c>
      <c r="N18" s="37" t="str">
        <f t="shared" ca="1" si="0"/>
        <v/>
      </c>
      <c r="O18" s="37" t="str">
        <f t="shared" ca="1" si="1"/>
        <v/>
      </c>
    </row>
    <row r="19" spans="1:15" x14ac:dyDescent="0.25">
      <c r="A19" s="102" t="str">
        <f t="shared" ca="1" si="2"/>
        <v/>
      </c>
      <c r="B19" s="33" t="str">
        <f t="shared" ca="1" si="3"/>
        <v/>
      </c>
      <c r="C19" s="25" t="str">
        <f t="shared" ca="1" si="4"/>
        <v/>
      </c>
      <c r="D19" s="26" t="str">
        <f t="shared" ca="1" si="5"/>
        <v/>
      </c>
      <c r="E19" s="33" t="str">
        <f t="shared" ca="1" si="6"/>
        <v/>
      </c>
      <c r="F19" s="25" t="str">
        <f t="shared" ca="1" si="7"/>
        <v/>
      </c>
      <c r="G19" s="55" t="str">
        <f t="shared" ca="1" si="8"/>
        <v/>
      </c>
      <c r="H19" s="78"/>
      <c r="J19" s="76">
        <f ca="1"/>
        <v>45944</v>
      </c>
      <c r="K19" s="34">
        <f ca="1"/>
        <v>61.036000000000001</v>
      </c>
      <c r="L19" s="37">
        <f ca="1"/>
        <v>45994</v>
      </c>
      <c r="M19" s="41">
        <f ca="1"/>
        <v>39.450000000000003</v>
      </c>
      <c r="N19" s="37" t="str">
        <f t="shared" ca="1" si="0"/>
        <v/>
      </c>
      <c r="O19" s="37" t="str">
        <f t="shared" ca="1" si="1"/>
        <v/>
      </c>
    </row>
    <row r="20" spans="1:15" x14ac:dyDescent="0.25">
      <c r="A20" s="102" t="str">
        <f t="shared" ca="1" si="2"/>
        <v/>
      </c>
      <c r="B20" s="33" t="str">
        <f t="shared" ca="1" si="3"/>
        <v/>
      </c>
      <c r="C20" s="25" t="str">
        <f t="shared" ca="1" si="4"/>
        <v/>
      </c>
      <c r="D20" s="26" t="str">
        <f t="shared" ca="1" si="5"/>
        <v/>
      </c>
      <c r="E20" s="33" t="str">
        <f t="shared" ca="1" si="6"/>
        <v/>
      </c>
      <c r="F20" s="25" t="str">
        <f t="shared" ca="1" si="7"/>
        <v/>
      </c>
      <c r="G20" s="55" t="str">
        <f t="shared" ca="1" si="8"/>
        <v/>
      </c>
      <c r="H20" s="78"/>
      <c r="J20" s="76">
        <f ca="1"/>
        <v>45945</v>
      </c>
      <c r="K20" s="34">
        <f ca="1"/>
        <v>59.906999999999996</v>
      </c>
      <c r="L20" s="37">
        <f ca="1"/>
        <v>45995</v>
      </c>
      <c r="M20" s="41">
        <f ca="1"/>
        <v>36.75</v>
      </c>
      <c r="N20" s="37" t="str">
        <f t="shared" ca="1" si="0"/>
        <v/>
      </c>
      <c r="O20" s="37" t="str">
        <f t="shared" ca="1" si="1"/>
        <v/>
      </c>
    </row>
    <row r="21" spans="1:15" x14ac:dyDescent="0.25">
      <c r="A21" s="102" t="str">
        <f t="shared" ca="1" si="2"/>
        <v/>
      </c>
      <c r="B21" s="33" t="str">
        <f t="shared" ca="1" si="3"/>
        <v/>
      </c>
      <c r="C21" s="25" t="str">
        <f t="shared" ca="1" si="4"/>
        <v/>
      </c>
      <c r="D21" s="26" t="str">
        <f t="shared" ca="1" si="5"/>
        <v/>
      </c>
      <c r="E21" s="33" t="str">
        <f t="shared" ca="1" si="6"/>
        <v/>
      </c>
      <c r="F21" s="25" t="str">
        <f t="shared" ca="1" si="7"/>
        <v/>
      </c>
      <c r="G21" s="55" t="str">
        <f t="shared" ca="1" si="8"/>
        <v/>
      </c>
      <c r="H21" s="78"/>
      <c r="J21" s="76">
        <f ca="1"/>
        <v>45946</v>
      </c>
      <c r="K21" s="34">
        <f ca="1"/>
        <v>61.011000000000003</v>
      </c>
      <c r="L21" s="37">
        <f ca="1"/>
        <v>45996</v>
      </c>
      <c r="M21" s="41">
        <f ca="1"/>
        <v>37.700000000000003</v>
      </c>
      <c r="N21" s="37" t="str">
        <f t="shared" ca="1" si="0"/>
        <v/>
      </c>
      <c r="O21" s="37" t="str">
        <f t="shared" ca="1" si="1"/>
        <v/>
      </c>
    </row>
    <row r="22" spans="1:15" x14ac:dyDescent="0.25">
      <c r="A22" s="102" t="str">
        <f t="shared" ca="1" si="2"/>
        <v/>
      </c>
      <c r="B22" s="33" t="str">
        <f t="shared" ca="1" si="3"/>
        <v/>
      </c>
      <c r="C22" s="25" t="str">
        <f t="shared" ca="1" si="4"/>
        <v/>
      </c>
      <c r="D22" s="26" t="str">
        <f t="shared" ca="1" si="5"/>
        <v/>
      </c>
      <c r="E22" s="33" t="str">
        <f t="shared" ca="1" si="6"/>
        <v/>
      </c>
      <c r="F22" s="25" t="str">
        <f t="shared" ca="1" si="7"/>
        <v/>
      </c>
      <c r="G22" s="55" t="str">
        <f t="shared" ca="1" si="8"/>
        <v/>
      </c>
      <c r="H22" s="78"/>
      <c r="J22" s="76">
        <f ca="1"/>
        <v>45947</v>
      </c>
      <c r="K22" s="34">
        <f ca="1"/>
        <v>62.363999999999997</v>
      </c>
      <c r="L22" s="37">
        <f ca="1"/>
        <v>45999</v>
      </c>
      <c r="M22" s="41">
        <f ca="1"/>
        <v>36.549999999999997</v>
      </c>
      <c r="N22" s="37" t="str">
        <f t="shared" ca="1" si="0"/>
        <v/>
      </c>
      <c r="O22" s="37" t="str">
        <f t="shared" ca="1" si="1"/>
        <v/>
      </c>
    </row>
    <row r="23" spans="1:15" ht="14.45" customHeight="1" x14ac:dyDescent="0.25">
      <c r="A23" s="102" t="str">
        <f t="shared" ca="1" si="2"/>
        <v/>
      </c>
      <c r="B23" s="33" t="str">
        <f t="shared" ca="1" si="3"/>
        <v/>
      </c>
      <c r="C23" s="25" t="str">
        <f t="shared" ca="1" si="4"/>
        <v/>
      </c>
      <c r="D23" s="26" t="str">
        <f t="shared" ca="1" si="5"/>
        <v/>
      </c>
      <c r="E23" s="33" t="str">
        <f t="shared" ca="1" si="6"/>
        <v/>
      </c>
      <c r="F23" s="25" t="str">
        <f t="shared" ca="1" si="7"/>
        <v/>
      </c>
      <c r="G23" s="55" t="str">
        <f t="shared" ca="1" si="8"/>
        <v/>
      </c>
      <c r="H23" s="78"/>
      <c r="J23" s="76">
        <f ca="1"/>
        <v>45950</v>
      </c>
      <c r="K23" s="34">
        <f ca="1"/>
        <v>60.289000000000001</v>
      </c>
      <c r="L23" s="37">
        <f ca="1"/>
        <v>46000</v>
      </c>
      <c r="M23" s="41">
        <f ca="1"/>
        <v>34.35</v>
      </c>
      <c r="N23" s="37" t="str">
        <f t="shared" ca="1" si="0"/>
        <v/>
      </c>
      <c r="O23" s="37" t="str">
        <f t="shared" ca="1" si="1"/>
        <v/>
      </c>
    </row>
    <row r="24" spans="1:15" ht="14.45" customHeight="1" x14ac:dyDescent="0.25">
      <c r="A24" s="102" t="str">
        <f t="shared" ca="1" si="2"/>
        <v/>
      </c>
      <c r="B24" s="33" t="str">
        <f t="shared" ca="1" si="3"/>
        <v/>
      </c>
      <c r="C24" s="25" t="str">
        <f t="shared" ca="1" si="4"/>
        <v/>
      </c>
      <c r="D24" s="26" t="str">
        <f t="shared" ca="1" si="5"/>
        <v/>
      </c>
      <c r="E24" s="33" t="str">
        <f t="shared" ca="1" si="6"/>
        <v/>
      </c>
      <c r="F24" s="25" t="str">
        <f t="shared" ca="1" si="7"/>
        <v/>
      </c>
      <c r="G24" s="55" t="str">
        <f t="shared" ca="1" si="8"/>
        <v/>
      </c>
      <c r="H24" s="78"/>
      <c r="J24" s="76">
        <f ca="1"/>
        <v>45951</v>
      </c>
      <c r="K24" s="34">
        <f ca="1"/>
        <v>59.908000000000001</v>
      </c>
      <c r="L24" s="37">
        <f ca="1"/>
        <v>46001</v>
      </c>
      <c r="M24" s="41">
        <f ca="1"/>
        <v>34.25</v>
      </c>
      <c r="N24" s="37" t="str">
        <f t="shared" ca="1" si="0"/>
        <v/>
      </c>
      <c r="O24" s="37" t="str">
        <f t="shared" ca="1" si="1"/>
        <v/>
      </c>
    </row>
    <row r="25" spans="1:15" ht="14.45" customHeight="1" x14ac:dyDescent="0.25">
      <c r="A25" s="102" t="str">
        <f t="shared" ca="1" si="2"/>
        <v/>
      </c>
      <c r="B25" s="33" t="str">
        <f t="shared" ca="1" si="3"/>
        <v/>
      </c>
      <c r="C25" s="25" t="str">
        <f t="shared" ca="1" si="4"/>
        <v/>
      </c>
      <c r="D25" s="26" t="str">
        <f t="shared" ca="1" si="5"/>
        <v/>
      </c>
      <c r="E25" s="33" t="str">
        <f t="shared" ca="1" si="6"/>
        <v/>
      </c>
      <c r="F25" s="25" t="str">
        <f t="shared" ca="1" si="7"/>
        <v/>
      </c>
      <c r="G25" s="55" t="str">
        <f t="shared" ca="1" si="8"/>
        <v/>
      </c>
      <c r="H25" s="78"/>
      <c r="J25" s="76">
        <f ca="1"/>
        <v>45952</v>
      </c>
      <c r="K25" s="34">
        <f ca="1"/>
        <v>60.210999999999999</v>
      </c>
      <c r="L25" s="37">
        <f ca="1"/>
        <v>46002</v>
      </c>
      <c r="M25" s="41">
        <f ca="1"/>
        <v>30.5</v>
      </c>
      <c r="N25" s="37" t="str">
        <f t="shared" ca="1" si="0"/>
        <v/>
      </c>
      <c r="O25" s="37" t="str">
        <f t="shared" ca="1" si="1"/>
        <v/>
      </c>
    </row>
    <row r="26" spans="1:15" ht="14.45" customHeight="1" x14ac:dyDescent="0.25">
      <c r="A26" s="102" t="str">
        <f t="shared" ca="1" si="2"/>
        <v/>
      </c>
      <c r="B26" s="33" t="str">
        <f t="shared" ca="1" si="3"/>
        <v/>
      </c>
      <c r="C26" s="25" t="str">
        <f t="shared" ca="1" si="4"/>
        <v/>
      </c>
      <c r="D26" s="26" t="str">
        <f t="shared" ca="1" si="5"/>
        <v/>
      </c>
      <c r="E26" s="33" t="str">
        <f t="shared" ca="1" si="6"/>
        <v/>
      </c>
      <c r="F26" s="25" t="str">
        <f t="shared" ca="1" si="7"/>
        <v/>
      </c>
      <c r="G26" s="55" t="str">
        <f t="shared" ca="1" si="8"/>
        <v/>
      </c>
      <c r="H26" s="78"/>
      <c r="J26" s="76">
        <f ca="1"/>
        <v>45953</v>
      </c>
      <c r="K26" s="34">
        <f ca="1"/>
        <v>59.768000000000001</v>
      </c>
      <c r="L26" s="37">
        <f ca="1"/>
        <v>46003</v>
      </c>
      <c r="M26" s="41">
        <f ca="1"/>
        <v>33.450000000000003</v>
      </c>
      <c r="N26" s="37" t="str">
        <f t="shared" ca="1" si="0"/>
        <v/>
      </c>
      <c r="O26" s="37" t="str">
        <f t="shared" ca="1" si="1"/>
        <v/>
      </c>
    </row>
    <row r="27" spans="1:15" ht="14.45" customHeight="1" x14ac:dyDescent="0.25">
      <c r="A27" s="102" t="str">
        <f t="shared" ca="1" si="2"/>
        <v/>
      </c>
      <c r="B27" s="33" t="str">
        <f t="shared" ca="1" si="3"/>
        <v/>
      </c>
      <c r="C27" s="25" t="str">
        <f t="shared" ca="1" si="4"/>
        <v/>
      </c>
      <c r="D27" s="26" t="str">
        <f t="shared" ca="1" si="5"/>
        <v/>
      </c>
      <c r="E27" s="33" t="str">
        <f t="shared" ca="1" si="6"/>
        <v/>
      </c>
      <c r="F27" s="25" t="str">
        <f t="shared" ca="1" si="7"/>
        <v/>
      </c>
      <c r="G27" s="55" t="str">
        <f t="shared" ca="1" si="8"/>
        <v/>
      </c>
      <c r="H27" s="78"/>
      <c r="J27" s="76">
        <f ca="1"/>
        <v>45954</v>
      </c>
      <c r="K27" s="34">
        <f ca="1"/>
        <v>59.366</v>
      </c>
      <c r="L27" s="37">
        <f ca="1"/>
        <v>46006</v>
      </c>
      <c r="M27" s="41">
        <f ca="1"/>
        <v>29.7</v>
      </c>
      <c r="N27" s="37" t="str">
        <f t="shared" ca="1" si="0"/>
        <v/>
      </c>
      <c r="O27" s="37" t="str">
        <f t="shared" ca="1" si="1"/>
        <v/>
      </c>
    </row>
    <row r="28" spans="1:15" ht="14.45" customHeight="1" x14ac:dyDescent="0.25">
      <c r="A28" s="102" t="str">
        <f t="shared" ca="1" si="2"/>
        <v/>
      </c>
      <c r="B28" s="33" t="str">
        <f t="shared" ca="1" si="3"/>
        <v/>
      </c>
      <c r="C28" s="25" t="str">
        <f t="shared" ca="1" si="4"/>
        <v/>
      </c>
      <c r="D28" s="26" t="str">
        <f t="shared" ca="1" si="5"/>
        <v/>
      </c>
      <c r="E28" s="33" t="str">
        <f t="shared" ca="1" si="6"/>
        <v/>
      </c>
      <c r="F28" s="25" t="str">
        <f t="shared" ca="1" si="7"/>
        <v/>
      </c>
      <c r="G28" s="55" t="str">
        <f t="shared" ca="1" si="8"/>
        <v/>
      </c>
      <c r="H28" s="78"/>
      <c r="J28" s="76">
        <f ca="1"/>
        <v>45957</v>
      </c>
      <c r="K28" s="34">
        <f ca="1"/>
        <v>57.482999999999997</v>
      </c>
      <c r="L28" s="37">
        <f ca="1"/>
        <v>46007</v>
      </c>
      <c r="M28" s="41">
        <f ca="1"/>
        <v>29.75</v>
      </c>
      <c r="N28" s="37" t="str">
        <f t="shared" ca="1" si="0"/>
        <v/>
      </c>
      <c r="O28" s="37" t="str">
        <f t="shared" ca="1" si="1"/>
        <v/>
      </c>
    </row>
    <row r="29" spans="1:15" ht="14.45" customHeight="1" x14ac:dyDescent="0.25">
      <c r="A29" s="102" t="str">
        <f t="shared" ca="1" si="2"/>
        <v/>
      </c>
      <c r="B29" s="33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33" t="str">
        <f t="shared" ca="1" si="6"/>
        <v/>
      </c>
      <c r="F29" s="25" t="str">
        <f t="shared" ca="1" si="7"/>
        <v/>
      </c>
      <c r="G29" s="55" t="str">
        <f t="shared" ca="1" si="8"/>
        <v/>
      </c>
      <c r="H29" s="78"/>
      <c r="J29" s="76">
        <f ca="1"/>
        <v>45958</v>
      </c>
      <c r="K29" s="34">
        <f ca="1"/>
        <v>57.584000000000003</v>
      </c>
      <c r="L29" s="37">
        <f ca="1"/>
        <v>46008</v>
      </c>
      <c r="M29" s="41">
        <f ca="1"/>
        <v>28.6</v>
      </c>
      <c r="N29" s="37" t="str">
        <f t="shared" ca="1" si="0"/>
        <v/>
      </c>
      <c r="O29" s="37" t="str">
        <f t="shared" ca="1" si="1"/>
        <v/>
      </c>
    </row>
    <row r="30" spans="1:15" ht="14.45" customHeight="1" x14ac:dyDescent="0.25">
      <c r="A30" s="102" t="str">
        <f t="shared" ca="1" si="2"/>
        <v/>
      </c>
      <c r="B30" s="33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33" t="str">
        <f t="shared" ca="1" si="6"/>
        <v/>
      </c>
      <c r="F30" s="25" t="str">
        <f t="shared" ca="1" si="7"/>
        <v/>
      </c>
      <c r="G30" s="55" t="str">
        <f t="shared" ca="1" si="8"/>
        <v/>
      </c>
      <c r="H30" s="78"/>
      <c r="J30" s="76">
        <f ca="1"/>
        <v>45959</v>
      </c>
      <c r="K30" s="34">
        <f ca="1"/>
        <v>57.017000000000003</v>
      </c>
      <c r="L30" s="37">
        <f ca="1"/>
        <v>46009</v>
      </c>
      <c r="M30" s="41">
        <f ca="1"/>
        <v>26.65</v>
      </c>
      <c r="N30" s="37" t="str">
        <f t="shared" ca="1" si="0"/>
        <v/>
      </c>
      <c r="O30" s="37" t="str">
        <f t="shared" ca="1" si="1"/>
        <v/>
      </c>
    </row>
    <row r="31" spans="1:15" ht="14.45" customHeight="1" x14ac:dyDescent="0.25">
      <c r="A31" s="102" t="str">
        <f t="shared" ca="1" si="2"/>
        <v/>
      </c>
      <c r="B31" s="33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33" t="str">
        <f t="shared" ca="1" si="6"/>
        <v/>
      </c>
      <c r="F31" s="25" t="str">
        <f t="shared" ca="1" si="7"/>
        <v/>
      </c>
      <c r="G31" s="55" t="str">
        <f t="shared" ca="1" si="8"/>
        <v/>
      </c>
      <c r="H31" s="78"/>
      <c r="J31" s="76">
        <f ca="1"/>
        <v>45960</v>
      </c>
      <c r="K31" s="34">
        <f ca="1"/>
        <v>57.942999999999998</v>
      </c>
      <c r="L31" s="37">
        <f ca="1"/>
        <v>46010</v>
      </c>
      <c r="M31" s="41">
        <f ca="1"/>
        <v>24.85</v>
      </c>
      <c r="N31" s="37" t="str">
        <f t="shared" ca="1" si="0"/>
        <v/>
      </c>
      <c r="O31" s="37" t="str">
        <f t="shared" ca="1" si="1"/>
        <v/>
      </c>
    </row>
    <row r="32" spans="1:15" ht="14.45" customHeight="1" x14ac:dyDescent="0.25">
      <c r="A32" s="102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33" t="str">
        <f t="shared" ca="1" si="6"/>
        <v/>
      </c>
      <c r="F32" s="25" t="str">
        <f t="shared" ca="1" si="7"/>
        <v/>
      </c>
      <c r="G32" s="55" t="str">
        <f t="shared" ca="1" si="8"/>
        <v/>
      </c>
      <c r="H32" s="78"/>
      <c r="J32" s="76">
        <f ca="1"/>
        <v>45961</v>
      </c>
      <c r="K32" s="34">
        <f ca="1"/>
        <v>58.847999999999999</v>
      </c>
      <c r="L32" s="37">
        <f ca="1"/>
        <v>46013</v>
      </c>
      <c r="M32" s="41">
        <f ca="1"/>
        <v>25.65</v>
      </c>
      <c r="N32" s="37" t="str">
        <f t="shared" ca="1" si="0"/>
        <v/>
      </c>
      <c r="O32" s="37" t="str">
        <f t="shared" ca="1" si="1"/>
        <v/>
      </c>
    </row>
    <row r="33" spans="1:15" ht="14.45" customHeight="1" x14ac:dyDescent="0.25">
      <c r="A33" s="102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33" t="str">
        <f t="shared" ca="1" si="6"/>
        <v/>
      </c>
      <c r="F33" s="25" t="str">
        <f t="shared" ca="1" si="7"/>
        <v/>
      </c>
      <c r="G33" s="55" t="str">
        <f t="shared" ca="1" si="8"/>
        <v/>
      </c>
      <c r="H33" s="78"/>
      <c r="J33" s="76">
        <f ca="1"/>
        <v>45964</v>
      </c>
      <c r="K33" s="34">
        <f ca="1"/>
        <v>59.274999999999999</v>
      </c>
      <c r="L33" s="37">
        <f ca="1"/>
        <v>46014</v>
      </c>
      <c r="M33" s="41">
        <f ca="1"/>
        <v>24.85</v>
      </c>
      <c r="N33" s="37" t="str">
        <f t="shared" ca="1" si="0"/>
        <v/>
      </c>
      <c r="O33" s="37" t="str">
        <f t="shared" ca="1" si="1"/>
        <v/>
      </c>
    </row>
    <row r="34" spans="1:15" ht="14.45" customHeight="1" x14ac:dyDescent="0.25">
      <c r="A34" s="102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33" t="str">
        <f t="shared" ca="1" si="6"/>
        <v/>
      </c>
      <c r="F34" s="25" t="str">
        <f t="shared" ca="1" si="7"/>
        <v/>
      </c>
      <c r="G34" s="55" t="str">
        <f t="shared" ca="1" si="8"/>
        <v/>
      </c>
      <c r="H34" s="78"/>
      <c r="J34" s="76">
        <f ca="1"/>
        <v>45965</v>
      </c>
      <c r="K34" s="34">
        <f ca="1"/>
        <v>59.228999999999999</v>
      </c>
      <c r="L34" s="37">
        <f ca="1"/>
        <v>46020</v>
      </c>
      <c r="M34" s="41">
        <f ca="1"/>
        <v>26.05</v>
      </c>
      <c r="N34" s="37" t="str">
        <f t="shared" ca="1" si="0"/>
        <v/>
      </c>
      <c r="O34" s="37" t="str">
        <f t="shared" ca="1" si="1"/>
        <v/>
      </c>
    </row>
    <row r="35" spans="1:15" ht="14.45" customHeight="1" x14ac:dyDescent="0.25">
      <c r="A35" s="102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33" t="str">
        <f t="shared" ca="1" si="6"/>
        <v/>
      </c>
      <c r="F35" s="25" t="str">
        <f t="shared" ca="1" si="7"/>
        <v/>
      </c>
      <c r="G35" s="55" t="str">
        <f t="shared" ca="1" si="8"/>
        <v/>
      </c>
      <c r="H35" s="78"/>
      <c r="J35" s="76">
        <f ca="1"/>
        <v>45966</v>
      </c>
      <c r="K35" s="34">
        <f ca="1"/>
        <v>58.496000000000002</v>
      </c>
      <c r="L35" s="37">
        <f ca="1"/>
        <v>46021</v>
      </c>
      <c r="M35" s="41">
        <f ca="1"/>
        <v>22.65</v>
      </c>
      <c r="N35" s="37" t="str">
        <f t="shared" ca="1" si="0"/>
        <v/>
      </c>
      <c r="O35" s="37" t="str">
        <f t="shared" ca="1" si="1"/>
        <v/>
      </c>
    </row>
    <row r="36" spans="1:15" ht="14.45" customHeight="1" x14ac:dyDescent="0.25">
      <c r="A36" s="102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33" t="str">
        <f t="shared" ca="1" si="6"/>
        <v/>
      </c>
      <c r="F36" s="25" t="str">
        <f t="shared" ca="1" si="7"/>
        <v/>
      </c>
      <c r="G36" s="55" t="str">
        <f t="shared" ca="1" si="8"/>
        <v/>
      </c>
      <c r="H36" s="78"/>
      <c r="J36" s="76">
        <f ca="1"/>
        <v>45967</v>
      </c>
      <c r="K36" s="34">
        <f ca="1"/>
        <v>60.066000000000003</v>
      </c>
      <c r="L36" s="37">
        <f ca="1"/>
        <v>46024</v>
      </c>
      <c r="M36" s="41">
        <f ca="1"/>
        <v>21</v>
      </c>
      <c r="N36" s="37" t="str">
        <f t="shared" ca="1" si="0"/>
        <v/>
      </c>
      <c r="O36" s="37" t="str">
        <f t="shared" ca="1" si="1"/>
        <v/>
      </c>
    </row>
    <row r="37" spans="1:15" x14ac:dyDescent="0.25">
      <c r="A37" s="102" t="str">
        <f t="shared" ca="1" si="2"/>
        <v/>
      </c>
      <c r="B37" s="33" t="str">
        <f t="shared" ca="1" si="3"/>
        <v/>
      </c>
      <c r="C37" s="25" t="str">
        <f t="shared" ca="1" si="4"/>
        <v/>
      </c>
      <c r="D37" s="26" t="str">
        <f t="shared" ca="1" si="5"/>
        <v/>
      </c>
      <c r="E37" s="33" t="str">
        <f t="shared" ca="1" si="6"/>
        <v/>
      </c>
      <c r="F37" s="25" t="str">
        <f t="shared" ca="1" si="7"/>
        <v/>
      </c>
      <c r="G37" s="55" t="str">
        <f t="shared" ca="1" si="8"/>
        <v/>
      </c>
      <c r="H37" s="78"/>
      <c r="J37" s="76">
        <f ca="1"/>
        <v>45968</v>
      </c>
      <c r="K37" s="34">
        <f ca="1"/>
        <v>60.494999999999997</v>
      </c>
      <c r="L37" s="37">
        <f ca="1"/>
        <v>46027</v>
      </c>
      <c r="M37" s="41">
        <f ca="1"/>
        <v>19.8</v>
      </c>
      <c r="N37" s="37" t="str">
        <f t="shared" ca="1" si="0"/>
        <v/>
      </c>
      <c r="O37" s="37" t="str">
        <f t="shared" ca="1" si="1"/>
        <v/>
      </c>
    </row>
    <row r="38" spans="1:15" x14ac:dyDescent="0.25">
      <c r="A38" s="102" t="str">
        <f t="shared" ca="1" si="2"/>
        <v/>
      </c>
      <c r="B38" s="33" t="str">
        <f t="shared" ca="1" si="3"/>
        <v/>
      </c>
      <c r="C38" s="25" t="str">
        <f t="shared" ca="1" si="4"/>
        <v/>
      </c>
      <c r="D38" s="26" t="str">
        <f t="shared" ca="1" si="5"/>
        <v/>
      </c>
      <c r="E38" s="33" t="str">
        <f t="shared" ca="1" si="6"/>
        <v/>
      </c>
      <c r="F38" s="25" t="str">
        <f t="shared" ca="1" si="7"/>
        <v/>
      </c>
      <c r="G38" s="55" t="str">
        <f t="shared" ca="1" si="8"/>
        <v/>
      </c>
      <c r="H38" s="78"/>
      <c r="J38" s="76">
        <f ca="1"/>
        <v>45971</v>
      </c>
      <c r="K38" s="34">
        <f ca="1"/>
        <v>58.152999999999999</v>
      </c>
      <c r="L38" s="37">
        <f ca="1"/>
        <v>46028</v>
      </c>
      <c r="M38" s="41">
        <f ca="1"/>
        <v>21.15</v>
      </c>
      <c r="N38" s="37" t="str">
        <f t="shared" ca="1" si="0"/>
        <v/>
      </c>
      <c r="O38" s="37" t="str">
        <f t="shared" ca="1" si="1"/>
        <v/>
      </c>
    </row>
    <row r="39" spans="1:15" x14ac:dyDescent="0.25">
      <c r="A39" s="102" t="str">
        <f t="shared" ca="1" si="2"/>
        <v/>
      </c>
      <c r="B39" s="33" t="str">
        <f t="shared" ca="1" si="3"/>
        <v/>
      </c>
      <c r="C39" s="25" t="str">
        <f t="shared" ca="1" si="4"/>
        <v/>
      </c>
      <c r="D39" s="26" t="str">
        <f t="shared" ca="1" si="5"/>
        <v/>
      </c>
      <c r="E39" s="33" t="str">
        <f t="shared" ca="1" si="6"/>
        <v/>
      </c>
      <c r="F39" s="25" t="str">
        <f t="shared" ca="1" si="7"/>
        <v/>
      </c>
      <c r="G39" s="55" t="str">
        <f t="shared" ca="1" si="8"/>
        <v/>
      </c>
      <c r="H39" s="79"/>
      <c r="J39" s="76">
        <f ca="1"/>
        <v>45972</v>
      </c>
      <c r="K39" s="34">
        <f ca="1"/>
        <v>57.768000000000001</v>
      </c>
      <c r="L39" s="37">
        <f ca="1"/>
        <v>46029</v>
      </c>
      <c r="M39" s="41">
        <f ca="1"/>
        <v>23.85</v>
      </c>
      <c r="N39" s="37">
        <f t="shared" ca="1" si="0"/>
        <v>45972</v>
      </c>
      <c r="O39" s="37" t="str">
        <f t="shared" ca="1" si="1"/>
        <v/>
      </c>
    </row>
    <row r="40" spans="1:15" x14ac:dyDescent="0.25">
      <c r="A40" s="102" t="str">
        <f t="shared" ca="1" si="2"/>
        <v/>
      </c>
      <c r="B40" s="33" t="str">
        <f t="shared" ca="1" si="3"/>
        <v/>
      </c>
      <c r="C40" s="25" t="str">
        <f t="shared" ca="1" si="4"/>
        <v/>
      </c>
      <c r="D40" s="26" t="str">
        <f t="shared" ca="1" si="5"/>
        <v/>
      </c>
      <c r="E40" s="33" t="str">
        <f t="shared" ca="1" si="6"/>
        <v/>
      </c>
      <c r="F40" s="25" t="str">
        <f t="shared" ca="1" si="7"/>
        <v/>
      </c>
      <c r="G40" s="55" t="str">
        <f t="shared" ca="1" si="8"/>
        <v/>
      </c>
      <c r="H40" s="79"/>
      <c r="J40" s="76">
        <f ca="1"/>
        <v>45973</v>
      </c>
      <c r="K40" s="34">
        <f ca="1"/>
        <v>57.664999999999999</v>
      </c>
      <c r="L40" s="37">
        <f ca="1"/>
        <v>46030</v>
      </c>
      <c r="M40" s="41">
        <f ca="1"/>
        <v>22</v>
      </c>
      <c r="N40" s="37">
        <f t="shared" ca="1" si="0"/>
        <v>45973</v>
      </c>
      <c r="O40" s="37" t="str">
        <f t="shared" ca="1" si="1"/>
        <v/>
      </c>
    </row>
    <row r="41" spans="1:15" x14ac:dyDescent="0.25">
      <c r="A41" s="102" t="str">
        <f t="shared" ca="1" si="2"/>
        <v/>
      </c>
      <c r="B41" s="33" t="str">
        <f t="shared" ca="1" si="3"/>
        <v/>
      </c>
      <c r="C41" s="25" t="str">
        <f t="shared" ca="1" si="4"/>
        <v/>
      </c>
      <c r="D41" s="26" t="str">
        <f t="shared" ca="1" si="5"/>
        <v/>
      </c>
      <c r="E41" s="33" t="str">
        <f t="shared" ca="1" si="6"/>
        <v/>
      </c>
      <c r="F41" s="25" t="str">
        <f t="shared" ca="1" si="7"/>
        <v/>
      </c>
      <c r="G41" s="55" t="str">
        <f t="shared" ca="1" si="8"/>
        <v/>
      </c>
      <c r="H41" s="79"/>
      <c r="J41" s="76">
        <f ca="1"/>
        <v>45974</v>
      </c>
      <c r="K41" s="34">
        <f ca="1"/>
        <v>58.771999999999998</v>
      </c>
      <c r="L41" s="37">
        <f ca="1"/>
        <v>46031</v>
      </c>
      <c r="M41" s="41">
        <f ca="1"/>
        <v>20.5</v>
      </c>
      <c r="N41" s="37">
        <f t="shared" ca="1" si="0"/>
        <v>45974</v>
      </c>
      <c r="O41" s="37" t="str">
        <f t="shared" ca="1" si="1"/>
        <v/>
      </c>
    </row>
    <row r="42" spans="1:15" x14ac:dyDescent="0.25">
      <c r="A42" s="102" t="str">
        <f t="shared" ca="1" si="2"/>
        <v/>
      </c>
      <c r="B42" s="33" t="str">
        <f t="shared" ca="1" si="3"/>
        <v/>
      </c>
      <c r="C42" s="25" t="str">
        <f t="shared" ca="1" si="4"/>
        <v/>
      </c>
      <c r="D42" s="26" t="str">
        <f t="shared" ca="1" si="5"/>
        <v/>
      </c>
      <c r="E42" s="33" t="str">
        <f t="shared" ca="1" si="6"/>
        <v/>
      </c>
      <c r="F42" s="25" t="str">
        <f t="shared" ca="1" si="7"/>
        <v/>
      </c>
      <c r="G42" s="55" t="str">
        <f t="shared" ca="1" si="8"/>
        <v/>
      </c>
      <c r="H42" s="79"/>
      <c r="J42" s="76">
        <f ca="1"/>
        <v>45975</v>
      </c>
      <c r="K42" s="34">
        <f ca="1"/>
        <v>58.575000000000003</v>
      </c>
      <c r="L42" s="37">
        <f ca="1"/>
        <v>46034</v>
      </c>
      <c r="M42" s="41">
        <f ca="1"/>
        <v>19.05</v>
      </c>
      <c r="N42" s="37">
        <f t="shared" ca="1" si="0"/>
        <v>45975</v>
      </c>
      <c r="O42" s="37" t="str">
        <f t="shared" ca="1" si="1"/>
        <v/>
      </c>
    </row>
    <row r="43" spans="1:15" x14ac:dyDescent="0.25">
      <c r="A43" s="102" t="str">
        <f t="shared" ca="1" si="2"/>
        <v/>
      </c>
      <c r="B43" s="33" t="str">
        <f t="shared" ca="1" si="3"/>
        <v/>
      </c>
      <c r="C43" s="25" t="str">
        <f t="shared" ca="1" si="4"/>
        <v/>
      </c>
      <c r="D43" s="26" t="str">
        <f t="shared" ca="1" si="5"/>
        <v/>
      </c>
      <c r="E43" s="33" t="str">
        <f t="shared" ca="1" si="6"/>
        <v/>
      </c>
      <c r="F43" s="25" t="str">
        <f t="shared" ca="1" si="7"/>
        <v/>
      </c>
      <c r="G43" s="55" t="str">
        <f t="shared" ca="1" si="8"/>
        <v/>
      </c>
      <c r="H43" s="79"/>
      <c r="J43" s="76">
        <f ca="1"/>
        <v>45978</v>
      </c>
      <c r="K43" s="34">
        <f ca="1"/>
        <v>59.225000000000001</v>
      </c>
      <c r="L43" s="37">
        <f ca="1"/>
        <v>46035</v>
      </c>
      <c r="M43" s="41">
        <f ca="1"/>
        <v>17.75</v>
      </c>
      <c r="N43" s="37">
        <f t="shared" ca="1" si="0"/>
        <v>45978</v>
      </c>
      <c r="O43" s="37" t="str">
        <f t="shared" ca="1" si="1"/>
        <v/>
      </c>
    </row>
    <row r="44" spans="1:15" x14ac:dyDescent="0.25">
      <c r="A44" s="102" t="str">
        <f t="shared" ca="1" si="2"/>
        <v/>
      </c>
      <c r="B44" s="33" t="str">
        <f t="shared" ca="1" si="3"/>
        <v/>
      </c>
      <c r="C44" s="25" t="str">
        <f t="shared" ca="1" si="4"/>
        <v/>
      </c>
      <c r="D44" s="26" t="str">
        <f t="shared" ca="1" si="5"/>
        <v/>
      </c>
      <c r="E44" s="33" t="str">
        <f t="shared" ca="1" si="6"/>
        <v/>
      </c>
      <c r="F44" s="25" t="str">
        <f t="shared" ca="1" si="7"/>
        <v/>
      </c>
      <c r="G44" s="55" t="str">
        <f t="shared" ca="1" si="8"/>
        <v/>
      </c>
      <c r="H44" s="79"/>
      <c r="J44" s="76">
        <f ca="1"/>
        <v>45979</v>
      </c>
      <c r="K44" s="34">
        <f ca="1"/>
        <v>60.552999999999997</v>
      </c>
      <c r="L44" s="37">
        <f ca="1"/>
        <v>46036</v>
      </c>
      <c r="M44" s="41">
        <f ca="1"/>
        <v>17.399999999999999</v>
      </c>
      <c r="N44" s="37">
        <f t="shared" ca="1" si="0"/>
        <v>45979</v>
      </c>
      <c r="O44" s="37" t="str">
        <f t="shared" ca="1" si="1"/>
        <v/>
      </c>
    </row>
    <row r="45" spans="1:15" x14ac:dyDescent="0.25">
      <c r="A45" s="102" t="str">
        <f t="shared" ca="1" si="2"/>
        <v/>
      </c>
      <c r="B45" s="33" t="str">
        <f t="shared" ca="1" si="3"/>
        <v/>
      </c>
      <c r="C45" s="25" t="str">
        <f t="shared" ca="1" si="4"/>
        <v/>
      </c>
      <c r="D45" s="26" t="str">
        <f t="shared" ca="1" si="5"/>
        <v/>
      </c>
      <c r="E45" s="33" t="str">
        <f t="shared" ca="1" si="6"/>
        <v/>
      </c>
      <c r="F45" s="25" t="str">
        <f t="shared" ca="1" si="7"/>
        <v/>
      </c>
      <c r="G45" s="55" t="str">
        <f t="shared" ca="1" si="8"/>
        <v/>
      </c>
      <c r="H45" s="79"/>
      <c r="J45" s="76">
        <f ca="1"/>
        <v>45980</v>
      </c>
      <c r="K45" s="34">
        <f ca="1"/>
        <v>59.515000000000001</v>
      </c>
      <c r="L45" s="37">
        <f ca="1"/>
        <v>46037</v>
      </c>
      <c r="M45" s="41">
        <f ca="1"/>
        <v>16.75</v>
      </c>
      <c r="N45" s="37">
        <f t="shared" ca="1" si="0"/>
        <v>45980</v>
      </c>
      <c r="O45" s="37" t="str">
        <f t="shared" ca="1" si="1"/>
        <v/>
      </c>
    </row>
    <row r="46" spans="1:15" x14ac:dyDescent="0.25">
      <c r="A46" s="102" t="str">
        <f t="shared" ca="1" si="2"/>
        <v/>
      </c>
      <c r="B46" s="33" t="str">
        <f t="shared" ca="1" si="3"/>
        <v/>
      </c>
      <c r="C46" s="25" t="str">
        <f t="shared" ca="1" si="4"/>
        <v/>
      </c>
      <c r="D46" s="26" t="str">
        <f t="shared" ca="1" si="5"/>
        <v/>
      </c>
      <c r="E46" s="33" t="str">
        <f t="shared" ca="1" si="6"/>
        <v/>
      </c>
      <c r="F46" s="25" t="str">
        <f t="shared" ca="1" si="7"/>
        <v/>
      </c>
      <c r="G46" s="55" t="str">
        <f t="shared" ca="1" si="8"/>
        <v/>
      </c>
      <c r="H46" s="79"/>
      <c r="J46" s="76">
        <f ca="1"/>
        <v>45981</v>
      </c>
      <c r="K46" s="34">
        <f ca="1"/>
        <v>59.154000000000003</v>
      </c>
      <c r="L46" s="37">
        <f ca="1"/>
        <v>46038</v>
      </c>
      <c r="M46" s="41">
        <f ca="1"/>
        <v>17.600000000000001</v>
      </c>
      <c r="N46" s="37">
        <f t="shared" ca="1" si="0"/>
        <v>45981</v>
      </c>
      <c r="O46" s="37" t="str">
        <f t="shared" ca="1" si="1"/>
        <v/>
      </c>
    </row>
    <row r="47" spans="1:15" x14ac:dyDescent="0.25">
      <c r="A47" s="102" t="str">
        <f t="shared" ca="1" si="2"/>
        <v/>
      </c>
      <c r="B47" s="33" t="str">
        <f t="shared" ca="1" si="3"/>
        <v/>
      </c>
      <c r="C47" s="25" t="str">
        <f t="shared" ca="1" si="4"/>
        <v/>
      </c>
      <c r="D47" s="26" t="str">
        <f t="shared" ca="1" si="5"/>
        <v/>
      </c>
      <c r="E47" s="33" t="str">
        <f t="shared" ca="1" si="6"/>
        <v/>
      </c>
      <c r="F47" s="25" t="str">
        <f t="shared" ca="1" si="7"/>
        <v/>
      </c>
      <c r="G47" s="55" t="str">
        <f t="shared" ca="1" si="8"/>
        <v/>
      </c>
      <c r="H47" s="79"/>
      <c r="J47" s="76">
        <f ca="1"/>
        <v>45982</v>
      </c>
      <c r="K47" s="34">
        <f ca="1"/>
        <v>59.552999999999997</v>
      </c>
      <c r="L47" s="37">
        <f ca="1"/>
        <v>46041</v>
      </c>
      <c r="M47" s="41">
        <f ca="1"/>
        <v>19.3</v>
      </c>
      <c r="N47" s="37">
        <f t="shared" ca="1" si="0"/>
        <v>45982</v>
      </c>
      <c r="O47" s="37" t="str">
        <f t="shared" ca="1" si="1"/>
        <v/>
      </c>
    </row>
    <row r="48" spans="1:15" x14ac:dyDescent="0.25">
      <c r="A48" s="102" t="str">
        <f t="shared" ca="1" si="2"/>
        <v/>
      </c>
      <c r="B48" s="33" t="str">
        <f t="shared" ca="1" si="3"/>
        <v/>
      </c>
      <c r="C48" s="25" t="str">
        <f t="shared" ca="1" si="4"/>
        <v/>
      </c>
      <c r="D48" s="26" t="str">
        <f t="shared" ca="1" si="5"/>
        <v/>
      </c>
      <c r="E48" s="33" t="str">
        <f t="shared" ca="1" si="6"/>
        <v/>
      </c>
      <c r="F48" s="25" t="str">
        <f t="shared" ca="1" si="7"/>
        <v/>
      </c>
      <c r="G48" s="55" t="str">
        <f t="shared" ca="1" si="8"/>
        <v/>
      </c>
      <c r="H48" s="79"/>
      <c r="J48" s="76">
        <f ca="1"/>
        <v>45985</v>
      </c>
      <c r="K48" s="34">
        <f ca="1"/>
        <v>58.904000000000003</v>
      </c>
      <c r="L48" s="37">
        <f ca="1"/>
        <v>46042</v>
      </c>
      <c r="M48" s="41">
        <f ca="1"/>
        <v>20.8</v>
      </c>
      <c r="N48" s="37">
        <f t="shared" ca="1" si="0"/>
        <v>45985</v>
      </c>
      <c r="O48" s="37" t="str">
        <f t="shared" ca="1" si="1"/>
        <v/>
      </c>
    </row>
    <row r="49" spans="1:15" x14ac:dyDescent="0.25">
      <c r="A49" s="102" t="str">
        <f t="shared" ca="1" si="2"/>
        <v/>
      </c>
      <c r="B49" s="33" t="str">
        <f t="shared" ca="1" si="3"/>
        <v/>
      </c>
      <c r="C49" s="25" t="str">
        <f t="shared" ca="1" si="4"/>
        <v/>
      </c>
      <c r="D49" s="26" t="str">
        <f t="shared" ca="1" si="5"/>
        <v/>
      </c>
      <c r="E49" s="33" t="str">
        <f t="shared" ca="1" si="6"/>
        <v/>
      </c>
      <c r="F49" s="25" t="str">
        <f t="shared" ca="1" si="7"/>
        <v/>
      </c>
      <c r="G49" s="55" t="str">
        <f t="shared" ca="1" si="8"/>
        <v/>
      </c>
      <c r="H49" s="79"/>
      <c r="J49" s="76">
        <f ca="1"/>
        <v>45986</v>
      </c>
      <c r="K49" s="34">
        <f ca="1"/>
        <v>57.76</v>
      </c>
      <c r="L49" s="37">
        <f ca="1"/>
        <v>46043</v>
      </c>
      <c r="M49" s="41">
        <f ca="1"/>
        <v>20.75</v>
      </c>
      <c r="N49" s="37">
        <f t="shared" ca="1" si="0"/>
        <v>45986</v>
      </c>
      <c r="O49" s="37" t="str">
        <f t="shared" ca="1" si="1"/>
        <v/>
      </c>
    </row>
    <row r="50" spans="1:15" x14ac:dyDescent="0.25">
      <c r="A50" s="102" t="str">
        <f t="shared" ca="1" si="2"/>
        <v/>
      </c>
      <c r="B50" s="33" t="str">
        <f t="shared" ca="1" si="3"/>
        <v/>
      </c>
      <c r="C50" s="25" t="str">
        <f t="shared" ca="1" si="4"/>
        <v/>
      </c>
      <c r="D50" s="26" t="str">
        <f t="shared" ca="1" si="5"/>
        <v/>
      </c>
      <c r="E50" s="33" t="str">
        <f t="shared" ca="1" si="6"/>
        <v/>
      </c>
      <c r="F50" s="25" t="str">
        <f t="shared" ca="1" si="7"/>
        <v/>
      </c>
      <c r="G50" s="55" t="str">
        <f t="shared" ca="1" si="8"/>
        <v/>
      </c>
      <c r="H50" s="79"/>
      <c r="J50" s="76">
        <f ca="1"/>
        <v>45987</v>
      </c>
      <c r="K50" s="34">
        <f ca="1"/>
        <v>57.118000000000002</v>
      </c>
      <c r="L50" s="37">
        <f ca="1"/>
        <v>46044</v>
      </c>
      <c r="M50" s="41">
        <f ca="1"/>
        <v>16.5</v>
      </c>
      <c r="N50" s="37">
        <f t="shared" ca="1" si="0"/>
        <v>45987</v>
      </c>
      <c r="O50" s="37" t="str">
        <f t="shared" ca="1" si="1"/>
        <v/>
      </c>
    </row>
    <row r="51" spans="1:15" x14ac:dyDescent="0.25">
      <c r="A51" s="102" t="str">
        <f t="shared" ca="1" si="2"/>
        <v/>
      </c>
      <c r="B51" s="33" t="str">
        <f t="shared" ca="1" si="3"/>
        <v/>
      </c>
      <c r="C51" s="25" t="str">
        <f t="shared" ca="1" si="4"/>
        <v/>
      </c>
      <c r="D51" s="26" t="str">
        <f t="shared" ca="1" si="5"/>
        <v/>
      </c>
      <c r="E51" s="33" t="str">
        <f t="shared" ca="1" si="6"/>
        <v/>
      </c>
      <c r="F51" s="25" t="str">
        <f t="shared" ca="1" si="7"/>
        <v/>
      </c>
      <c r="G51" s="55" t="str">
        <f t="shared" ca="1" si="8"/>
        <v/>
      </c>
      <c r="H51" s="79"/>
      <c r="J51" s="76">
        <f ca="1"/>
        <v>45988</v>
      </c>
      <c r="K51" s="34">
        <f ca="1"/>
        <v>56.945</v>
      </c>
      <c r="L51" s="37">
        <f ca="1"/>
        <v>46045</v>
      </c>
      <c r="M51" s="41">
        <f ca="1"/>
        <v>18.95</v>
      </c>
      <c r="N51" s="37">
        <f t="shared" ca="1" si="0"/>
        <v>45988</v>
      </c>
      <c r="O51" s="37" t="str">
        <f t="shared" ca="1" si="1"/>
        <v/>
      </c>
    </row>
    <row r="52" spans="1:15" x14ac:dyDescent="0.25">
      <c r="A52" s="102" t="str">
        <f t="shared" ca="1" si="2"/>
        <v/>
      </c>
      <c r="B52" s="33" t="str">
        <f t="shared" ca="1" si="3"/>
        <v/>
      </c>
      <c r="C52" s="25" t="str">
        <f t="shared" ca="1" si="4"/>
        <v/>
      </c>
      <c r="D52" s="26" t="str">
        <f t="shared" ca="1" si="5"/>
        <v/>
      </c>
      <c r="E52" s="33" t="str">
        <f t="shared" ca="1" si="6"/>
        <v/>
      </c>
      <c r="F52" s="25" t="str">
        <f t="shared" ca="1" si="7"/>
        <v/>
      </c>
      <c r="G52" s="55" t="str">
        <f t="shared" ca="1" si="8"/>
        <v/>
      </c>
      <c r="H52" s="79"/>
      <c r="J52" s="76">
        <f ca="1"/>
        <v>45989</v>
      </c>
      <c r="K52" s="34">
        <f ca="1"/>
        <v>56.603000000000002</v>
      </c>
      <c r="L52" s="37">
        <f ca="1"/>
        <v>46048</v>
      </c>
      <c r="M52" s="41">
        <f ca="1"/>
        <v>16.399999999999999</v>
      </c>
      <c r="N52" s="37">
        <f t="shared" ca="1" si="0"/>
        <v>45989</v>
      </c>
      <c r="O52" s="37" t="str">
        <f t="shared" ca="1" si="1"/>
        <v/>
      </c>
    </row>
    <row r="53" spans="1:15" x14ac:dyDescent="0.25">
      <c r="A53" s="102" t="str">
        <f t="shared" ca="1" si="2"/>
        <v/>
      </c>
      <c r="B53" s="33" t="str">
        <f t="shared" ca="1" si="3"/>
        <v/>
      </c>
      <c r="C53" s="25" t="str">
        <f t="shared" ca="1" si="4"/>
        <v/>
      </c>
      <c r="D53" s="26" t="str">
        <f t="shared" ca="1" si="5"/>
        <v/>
      </c>
      <c r="E53" s="33" t="str">
        <f t="shared" ca="1" si="6"/>
        <v/>
      </c>
      <c r="F53" s="25" t="str">
        <f t="shared" ca="1" si="7"/>
        <v/>
      </c>
      <c r="G53" s="55" t="str">
        <f t="shared" ca="1" si="8"/>
        <v/>
      </c>
      <c r="H53" s="79"/>
      <c r="J53" s="76">
        <f ca="1"/>
        <v>45992</v>
      </c>
      <c r="K53" s="34">
        <f ca="1"/>
        <v>56.695999999999998</v>
      </c>
      <c r="L53" s="37">
        <f ca="1"/>
        <v>46049</v>
      </c>
      <c r="M53" s="41">
        <f ca="1"/>
        <v>13.35</v>
      </c>
      <c r="N53" s="37">
        <f t="shared" ca="1" si="0"/>
        <v>45992</v>
      </c>
      <c r="O53" s="37" t="str">
        <f t="shared" ca="1" si="1"/>
        <v/>
      </c>
    </row>
    <row r="54" spans="1:15" x14ac:dyDescent="0.25">
      <c r="A54" s="102" t="str">
        <f t="shared" ca="1" si="2"/>
        <v/>
      </c>
      <c r="B54" s="33" t="str">
        <f t="shared" ca="1" si="3"/>
        <v/>
      </c>
      <c r="C54" s="25" t="str">
        <f t="shared" ca="1" si="4"/>
        <v/>
      </c>
      <c r="D54" s="26" t="str">
        <f t="shared" ca="1" si="5"/>
        <v/>
      </c>
      <c r="E54" s="33" t="str">
        <f t="shared" ca="1" si="6"/>
        <v/>
      </c>
      <c r="F54" s="25" t="str">
        <f t="shared" ca="1" si="7"/>
        <v/>
      </c>
      <c r="G54" s="55" t="str">
        <f t="shared" ca="1" si="8"/>
        <v/>
      </c>
      <c r="H54" s="79"/>
      <c r="J54" s="76">
        <f ca="1"/>
        <v>45993</v>
      </c>
      <c r="K54" s="34">
        <f ca="1"/>
        <v>56.557000000000002</v>
      </c>
      <c r="L54" s="37">
        <f ca="1"/>
        <v>46050</v>
      </c>
      <c r="M54" s="41">
        <f ca="1"/>
        <v>15.9</v>
      </c>
      <c r="N54" s="37">
        <f t="shared" ca="1" si="0"/>
        <v>45993</v>
      </c>
      <c r="O54" s="37" t="str">
        <f t="shared" ca="1" si="1"/>
        <v/>
      </c>
    </row>
    <row r="55" spans="1:15" x14ac:dyDescent="0.25">
      <c r="A55" s="102" t="str">
        <f t="shared" ca="1" si="2"/>
        <v/>
      </c>
      <c r="B55" s="33" t="str">
        <f t="shared" ca="1" si="3"/>
        <v/>
      </c>
      <c r="C55" s="25" t="str">
        <f t="shared" ca="1" si="4"/>
        <v/>
      </c>
      <c r="D55" s="26" t="str">
        <f t="shared" ca="1" si="5"/>
        <v/>
      </c>
      <c r="E55" s="33" t="str">
        <f t="shared" ca="1" si="6"/>
        <v/>
      </c>
      <c r="F55" s="25" t="str">
        <f t="shared" ca="1" si="7"/>
        <v/>
      </c>
      <c r="G55" s="55" t="str">
        <f t="shared" ca="1" si="8"/>
        <v/>
      </c>
      <c r="H55" s="79"/>
      <c r="J55" s="76">
        <f ca="1"/>
        <v>45994</v>
      </c>
      <c r="K55" s="34">
        <f ca="1"/>
        <v>56.524999999999999</v>
      </c>
      <c r="L55" s="37">
        <f ca="1"/>
        <v>46051</v>
      </c>
      <c r="M55" s="41">
        <f ca="1"/>
        <v>17.850000000000001</v>
      </c>
      <c r="N55" s="37">
        <f t="shared" ca="1" si="0"/>
        <v>45994</v>
      </c>
      <c r="O55" s="37" t="str">
        <f t="shared" ca="1" si="1"/>
        <v/>
      </c>
    </row>
    <row r="56" spans="1:15" x14ac:dyDescent="0.25">
      <c r="A56" s="102" t="str">
        <f t="shared" ca="1" si="2"/>
        <v/>
      </c>
      <c r="B56" s="33" t="str">
        <f t="shared" ca="1" si="3"/>
        <v/>
      </c>
      <c r="C56" s="25" t="str">
        <f t="shared" ca="1" si="4"/>
        <v/>
      </c>
      <c r="D56" s="26" t="str">
        <f t="shared" ca="1" si="5"/>
        <v/>
      </c>
      <c r="E56" s="33" t="str">
        <f t="shared" ca="1" si="6"/>
        <v/>
      </c>
      <c r="F56" s="25" t="str">
        <f t="shared" ca="1" si="7"/>
        <v/>
      </c>
      <c r="G56" s="55" t="str">
        <f t="shared" ca="1" si="8"/>
        <v/>
      </c>
      <c r="H56" s="80"/>
      <c r="J56" s="76">
        <f ca="1"/>
        <v>45995</v>
      </c>
      <c r="K56" s="41">
        <f ca="1"/>
        <v>56.462000000000003</v>
      </c>
      <c r="L56" s="37">
        <f ca="1"/>
        <v>46052</v>
      </c>
      <c r="M56" s="41">
        <f ca="1"/>
        <v>14.6</v>
      </c>
      <c r="N56" s="37">
        <f t="shared" ca="1" si="0"/>
        <v>45995</v>
      </c>
      <c r="O56" s="37" t="str">
        <f t="shared" ca="1" si="1"/>
        <v/>
      </c>
    </row>
    <row r="57" spans="1:15" x14ac:dyDescent="0.25">
      <c r="A57" s="102" t="str">
        <f t="shared" ca="1" si="2"/>
        <v/>
      </c>
      <c r="B57" s="33" t="str">
        <f t="shared" ca="1" si="3"/>
        <v/>
      </c>
      <c r="C57" s="25" t="str">
        <f t="shared" ca="1" si="4"/>
        <v/>
      </c>
      <c r="D57" s="26" t="str">
        <f t="shared" ca="1" si="5"/>
        <v/>
      </c>
      <c r="E57" s="33" t="str">
        <f t="shared" ca="1" si="6"/>
        <v/>
      </c>
      <c r="F57" s="25" t="str">
        <f t="shared" ca="1" si="7"/>
        <v/>
      </c>
      <c r="G57" s="55" t="str">
        <f t="shared" ca="1" si="8"/>
        <v/>
      </c>
      <c r="H57" s="80"/>
      <c r="J57" s="76">
        <f ca="1"/>
        <v>45996</v>
      </c>
      <c r="K57" s="41">
        <f ca="1"/>
        <v>55.970999999999997</v>
      </c>
      <c r="L57" s="37">
        <f ca="1"/>
        <v>46055</v>
      </c>
      <c r="M57" s="41">
        <f ca="1"/>
        <v>10.95</v>
      </c>
      <c r="N57" s="37">
        <f t="shared" ca="1" si="0"/>
        <v>45996</v>
      </c>
      <c r="O57" s="37" t="str">
        <f t="shared" ca="1" si="1"/>
        <v/>
      </c>
    </row>
    <row r="58" spans="1:15" x14ac:dyDescent="0.25">
      <c r="A58" s="102" t="str">
        <f t="shared" ca="1" si="2"/>
        <v/>
      </c>
      <c r="B58" s="33" t="str">
        <f t="shared" ca="1" si="3"/>
        <v/>
      </c>
      <c r="C58" s="25" t="str">
        <f t="shared" ca="1" si="4"/>
        <v/>
      </c>
      <c r="D58" s="26" t="str">
        <f t="shared" ca="1" si="5"/>
        <v/>
      </c>
      <c r="E58" s="33" t="str">
        <f t="shared" ca="1" si="6"/>
        <v/>
      </c>
      <c r="F58" s="25" t="str">
        <f t="shared" ca="1" si="7"/>
        <v/>
      </c>
      <c r="G58" s="55" t="str">
        <f t="shared" ca="1" si="8"/>
        <v/>
      </c>
      <c r="J58" s="76">
        <f ca="1"/>
        <v>45999</v>
      </c>
      <c r="K58" s="41">
        <f ca="1"/>
        <v>56.767000000000003</v>
      </c>
      <c r="L58" s="37">
        <f ca="1"/>
        <v>46056</v>
      </c>
      <c r="M58" s="41">
        <f ca="1"/>
        <v>9.85</v>
      </c>
      <c r="N58" s="37">
        <f t="shared" ca="1" si="0"/>
        <v>45999</v>
      </c>
      <c r="O58" s="37" t="str">
        <f t="shared" ca="1" si="1"/>
        <v/>
      </c>
    </row>
    <row r="59" spans="1:15" x14ac:dyDescent="0.25">
      <c r="A59" s="102" t="str">
        <f t="shared" ca="1" si="2"/>
        <v/>
      </c>
      <c r="B59" s="33" t="str">
        <f t="shared" ca="1" si="3"/>
        <v/>
      </c>
      <c r="C59" s="25" t="str">
        <f t="shared" ca="1" si="4"/>
        <v/>
      </c>
      <c r="D59" s="26" t="str">
        <f t="shared" ca="1" si="5"/>
        <v/>
      </c>
      <c r="E59" s="33" t="str">
        <f t="shared" ca="1" si="6"/>
        <v/>
      </c>
      <c r="F59" s="25" t="str">
        <f t="shared" ca="1" si="7"/>
        <v/>
      </c>
      <c r="G59" s="55" t="str">
        <f t="shared" ca="1" si="8"/>
        <v/>
      </c>
      <c r="J59" s="76">
        <f ca="1"/>
        <v>46000</v>
      </c>
      <c r="K59" s="41">
        <f ca="1"/>
        <v>56.39</v>
      </c>
      <c r="L59" s="37">
        <f ca="1"/>
        <v>46057</v>
      </c>
      <c r="M59" s="41">
        <f ca="1"/>
        <v>11</v>
      </c>
      <c r="N59" s="37">
        <f t="shared" ca="1" si="0"/>
        <v>46000</v>
      </c>
      <c r="O59" s="37" t="str">
        <f t="shared" ca="1" si="1"/>
        <v/>
      </c>
    </row>
    <row r="60" spans="1:15" x14ac:dyDescent="0.25">
      <c r="A60" s="102" t="str">
        <f t="shared" ca="1" si="2"/>
        <v/>
      </c>
      <c r="B60" s="33" t="str">
        <f t="shared" ca="1" si="3"/>
        <v/>
      </c>
      <c r="C60" s="25" t="str">
        <f t="shared" ca="1" si="4"/>
        <v/>
      </c>
      <c r="D60" s="26" t="str">
        <f t="shared" ca="1" si="5"/>
        <v/>
      </c>
      <c r="E60" s="33" t="str">
        <f t="shared" ca="1" si="6"/>
        <v/>
      </c>
      <c r="F60" s="25" t="str">
        <f t="shared" ca="1" si="7"/>
        <v/>
      </c>
      <c r="G60" s="55" t="str">
        <f t="shared" ca="1" si="8"/>
        <v/>
      </c>
      <c r="J60" s="76">
        <f ca="1"/>
        <v>46001</v>
      </c>
      <c r="K60" s="41">
        <f ca="1"/>
        <v>56.15</v>
      </c>
      <c r="L60" s="37">
        <f ca="1"/>
        <v>46058</v>
      </c>
      <c r="M60" s="41">
        <f ca="1"/>
        <v>17.399999999999999</v>
      </c>
      <c r="N60" s="37">
        <f t="shared" ca="1" si="0"/>
        <v>46001</v>
      </c>
      <c r="O60" s="37" t="str">
        <f t="shared" ca="1" si="1"/>
        <v/>
      </c>
    </row>
    <row r="61" spans="1:15" x14ac:dyDescent="0.25">
      <c r="A61" s="102" t="str">
        <f t="shared" ca="1" si="2"/>
        <v/>
      </c>
      <c r="B61" s="33" t="str">
        <f t="shared" ca="1" si="3"/>
        <v/>
      </c>
      <c r="C61" s="25" t="str">
        <f t="shared" ca="1" si="4"/>
        <v/>
      </c>
      <c r="D61" s="26" t="str">
        <f t="shared" ca="1" si="5"/>
        <v/>
      </c>
      <c r="E61" s="33" t="str">
        <f t="shared" ca="1" si="6"/>
        <v/>
      </c>
      <c r="F61" s="25" t="str">
        <f t="shared" ca="1" si="7"/>
        <v/>
      </c>
      <c r="G61" s="55" t="str">
        <f t="shared" ca="1" si="8"/>
        <v/>
      </c>
      <c r="J61" s="76">
        <f ca="1"/>
        <v>46002</v>
      </c>
      <c r="K61" s="41">
        <f ca="1"/>
        <v>54.935000000000002</v>
      </c>
      <c r="L61" s="37">
        <f ca="1"/>
        <v>46059</v>
      </c>
      <c r="M61" s="41">
        <f ca="1"/>
        <v>15.8</v>
      </c>
      <c r="N61" s="37">
        <f t="shared" ca="1" si="0"/>
        <v>46002</v>
      </c>
      <c r="O61" s="37" t="str">
        <f t="shared" ca="1" si="1"/>
        <v/>
      </c>
    </row>
    <row r="62" spans="1:15" x14ac:dyDescent="0.25">
      <c r="A62" s="102" t="str">
        <f t="shared" ca="1" si="2"/>
        <v/>
      </c>
      <c r="B62" s="33" t="str">
        <f t="shared" ca="1" si="3"/>
        <v/>
      </c>
      <c r="C62" s="25" t="str">
        <f t="shared" ca="1" si="4"/>
        <v/>
      </c>
      <c r="D62" s="26" t="str">
        <f t="shared" ca="1" si="5"/>
        <v/>
      </c>
      <c r="E62" s="33" t="str">
        <f t="shared" ca="1" si="6"/>
        <v/>
      </c>
      <c r="F62" s="25" t="str">
        <f t="shared" ca="1" si="7"/>
        <v/>
      </c>
      <c r="G62" s="55" t="str">
        <f t="shared" ca="1" si="8"/>
        <v/>
      </c>
      <c r="J62" s="76">
        <f ca="1"/>
        <v>46003</v>
      </c>
      <c r="K62" s="41">
        <f ca="1"/>
        <v>55.686</v>
      </c>
      <c r="L62" s="37">
        <f ca="1"/>
        <v>46062</v>
      </c>
      <c r="M62" s="41">
        <f ca="1"/>
        <v>11.35</v>
      </c>
      <c r="N62" s="37">
        <f t="shared" ca="1" si="0"/>
        <v>46003</v>
      </c>
      <c r="O62" s="37" t="str">
        <f t="shared" ca="1" si="1"/>
        <v/>
      </c>
    </row>
    <row r="63" spans="1:15" x14ac:dyDescent="0.25">
      <c r="A63" s="102" t="str">
        <f t="shared" ca="1" si="2"/>
        <v/>
      </c>
      <c r="B63" s="33" t="str">
        <f t="shared" ca="1" si="3"/>
        <v/>
      </c>
      <c r="C63" s="25" t="str">
        <f t="shared" ca="1" si="4"/>
        <v/>
      </c>
      <c r="D63" s="26" t="str">
        <f t="shared" ca="1" si="5"/>
        <v/>
      </c>
      <c r="E63" s="33" t="str">
        <f t="shared" ca="1" si="6"/>
        <v/>
      </c>
      <c r="F63" s="25" t="str">
        <f t="shared" ca="1" si="7"/>
        <v/>
      </c>
      <c r="G63" s="55" t="str">
        <f t="shared" ca="1" si="8"/>
        <v/>
      </c>
      <c r="J63" s="76">
        <f ca="1"/>
        <v>46006</v>
      </c>
      <c r="K63" s="41">
        <f ca="1"/>
        <v>55.015000000000001</v>
      </c>
      <c r="L63" s="37">
        <f ca="1"/>
        <v>46063</v>
      </c>
      <c r="M63" s="41">
        <f ca="1"/>
        <v>12.75</v>
      </c>
      <c r="N63" s="37">
        <f t="shared" ca="1" si="0"/>
        <v>46006</v>
      </c>
      <c r="O63" s="37" t="str">
        <f t="shared" ca="1" si="1"/>
        <v/>
      </c>
    </row>
    <row r="64" spans="1:15" x14ac:dyDescent="0.25">
      <c r="A64" s="102" t="str">
        <f t="shared" ca="1" si="2"/>
        <v/>
      </c>
      <c r="B64" s="33" t="str">
        <f t="shared" ca="1" si="3"/>
        <v/>
      </c>
      <c r="C64" s="25" t="str">
        <f t="shared" ca="1" si="4"/>
        <v/>
      </c>
      <c r="D64" s="26" t="str">
        <f t="shared" ca="1" si="5"/>
        <v/>
      </c>
      <c r="E64" s="33" t="str">
        <f t="shared" ca="1" si="6"/>
        <v/>
      </c>
      <c r="F64" s="25" t="str">
        <f t="shared" ca="1" si="7"/>
        <v/>
      </c>
      <c r="G64" s="55" t="str">
        <f t="shared" ca="1" si="8"/>
        <v/>
      </c>
      <c r="J64" s="76">
        <f ca="1"/>
        <v>46007</v>
      </c>
      <c r="K64" s="41">
        <f ca="1"/>
        <v>55.377000000000002</v>
      </c>
      <c r="L64" s="37">
        <f ca="1"/>
        <v>46064</v>
      </c>
      <c r="M64" s="41">
        <f ca="1"/>
        <v>16</v>
      </c>
      <c r="N64" s="37">
        <f t="shared" ca="1" si="0"/>
        <v>46007</v>
      </c>
      <c r="O64" s="37" t="str">
        <f t="shared" ca="1" si="1"/>
        <v/>
      </c>
    </row>
    <row r="65" spans="1:15" x14ac:dyDescent="0.25">
      <c r="A65" s="102" t="str">
        <f t="shared" ca="1" si="2"/>
        <v/>
      </c>
      <c r="B65" s="33" t="str">
        <f t="shared" ca="1" si="3"/>
        <v/>
      </c>
      <c r="C65" s="25" t="str">
        <f t="shared" ca="1" si="4"/>
        <v/>
      </c>
      <c r="D65" s="26" t="str">
        <f t="shared" ca="1" si="5"/>
        <v/>
      </c>
      <c r="E65" s="33" t="str">
        <f t="shared" ca="1" si="6"/>
        <v/>
      </c>
      <c r="F65" s="25" t="str">
        <f t="shared" ca="1" si="7"/>
        <v/>
      </c>
      <c r="G65" s="55" t="str">
        <f t="shared" ca="1" si="8"/>
        <v/>
      </c>
      <c r="J65" s="76">
        <f ca="1"/>
        <v>46008</v>
      </c>
      <c r="K65" s="41">
        <f ca="1"/>
        <v>55.945999999999998</v>
      </c>
      <c r="L65" s="37">
        <f ca="1"/>
        <v>46065</v>
      </c>
      <c r="M65" s="41">
        <f ca="1"/>
        <v>20.45</v>
      </c>
      <c r="N65" s="37">
        <f t="shared" ca="1" si="0"/>
        <v>46008</v>
      </c>
      <c r="O65" s="37" t="str">
        <f t="shared" ca="1" si="1"/>
        <v/>
      </c>
    </row>
    <row r="66" spans="1:15" x14ac:dyDescent="0.25">
      <c r="A66" s="102" t="str">
        <f t="shared" ca="1" si="2"/>
        <v/>
      </c>
      <c r="B66" s="33" t="str">
        <f t="shared" ca="1" si="3"/>
        <v/>
      </c>
      <c r="C66" s="25" t="str">
        <f t="shared" ca="1" si="4"/>
        <v/>
      </c>
      <c r="D66" s="26" t="str">
        <f t="shared" ca="1" si="5"/>
        <v/>
      </c>
      <c r="E66" s="33" t="str">
        <f t="shared" ca="1" si="6"/>
        <v/>
      </c>
      <c r="F66" s="25" t="str">
        <f t="shared" ca="1" si="7"/>
        <v/>
      </c>
      <c r="G66" s="55" t="str">
        <f t="shared" ca="1" si="8"/>
        <v/>
      </c>
      <c r="J66" s="76">
        <f ca="1"/>
        <v>46009</v>
      </c>
      <c r="K66" s="41">
        <f ca="1"/>
        <v>54.628999999999998</v>
      </c>
      <c r="L66" s="37">
        <f ca="1"/>
        <v>46066</v>
      </c>
      <c r="M66" s="41">
        <f ca="1"/>
        <v>27.05</v>
      </c>
      <c r="N66" s="37">
        <f t="shared" ca="1" si="0"/>
        <v>46009</v>
      </c>
      <c r="O66" s="37" t="str">
        <f t="shared" ca="1" si="1"/>
        <v/>
      </c>
    </row>
    <row r="67" spans="1:15" x14ac:dyDescent="0.25">
      <c r="A67" s="102" t="str">
        <f t="shared" ca="1" si="2"/>
        <v/>
      </c>
      <c r="B67" s="33" t="str">
        <f t="shared" ca="1" si="3"/>
        <v/>
      </c>
      <c r="C67" s="25" t="str">
        <f t="shared" ca="1" si="4"/>
        <v/>
      </c>
      <c r="D67" s="26" t="str">
        <f t="shared" ca="1" si="5"/>
        <v/>
      </c>
      <c r="E67" s="33" t="str">
        <f t="shared" ca="1" si="6"/>
        <v/>
      </c>
      <c r="F67" s="25" t="str">
        <f t="shared" ca="1" si="7"/>
        <v/>
      </c>
      <c r="G67" s="55" t="str">
        <f t="shared" ca="1" si="8"/>
        <v/>
      </c>
      <c r="J67" s="76">
        <f ca="1"/>
        <v>46010</v>
      </c>
      <c r="K67" s="41">
        <f ca="1"/>
        <v>54.878999999999998</v>
      </c>
      <c r="L67" s="37">
        <f ca="1"/>
        <v>46069</v>
      </c>
      <c r="M67" s="41">
        <f ca="1"/>
        <v>23.8</v>
      </c>
      <c r="N67" s="37">
        <f t="shared" ca="1" si="0"/>
        <v>46010</v>
      </c>
      <c r="O67" s="37" t="str">
        <f t="shared" ca="1" si="1"/>
        <v/>
      </c>
    </row>
    <row r="68" spans="1:15" x14ac:dyDescent="0.25">
      <c r="A68" s="102" t="str">
        <f t="shared" ca="1" si="2"/>
        <v/>
      </c>
      <c r="B68" s="33" t="str">
        <f t="shared" ca="1" si="3"/>
        <v/>
      </c>
      <c r="C68" s="25" t="str">
        <f t="shared" ca="1" si="4"/>
        <v/>
      </c>
      <c r="D68" s="26" t="str">
        <f t="shared" ca="1" si="5"/>
        <v/>
      </c>
      <c r="E68" s="33" t="str">
        <f t="shared" ca="1" si="6"/>
        <v/>
      </c>
      <c r="F68" s="25" t="str">
        <f t="shared" ca="1" si="7"/>
        <v/>
      </c>
      <c r="G68" s="55" t="str">
        <f t="shared" ca="1" si="8"/>
        <v/>
      </c>
      <c r="J68" s="76">
        <f ca="1"/>
        <v>46013</v>
      </c>
      <c r="K68" s="41">
        <f ca="1"/>
        <v>54.558</v>
      </c>
      <c r="L68" s="37">
        <f ca="1"/>
        <v>46070</v>
      </c>
      <c r="M68" s="41">
        <f ca="1"/>
        <v>21.3</v>
      </c>
      <c r="N68" s="37">
        <f t="shared" ref="N68:N131" ca="1" si="9">IF(COUNTIF(L:L,J68),J68,"")</f>
        <v>46013</v>
      </c>
      <c r="O68" s="37" t="str">
        <f t="shared" ref="O68:O131" ca="1" si="10">IF(N68&gt;$A$14,N68,"")</f>
        <v/>
      </c>
    </row>
    <row r="69" spans="1:15" x14ac:dyDescent="0.25">
      <c r="A69" s="102" t="str">
        <f t="shared" ca="1" si="2"/>
        <v/>
      </c>
      <c r="B69" s="33" t="str">
        <f t="shared" ca="1" si="3"/>
        <v/>
      </c>
      <c r="C69" s="25" t="str">
        <f t="shared" ca="1" si="4"/>
        <v/>
      </c>
      <c r="D69" s="26" t="str">
        <f t="shared" ca="1" si="5"/>
        <v/>
      </c>
      <c r="E69" s="33" t="str">
        <f t="shared" ca="1" si="6"/>
        <v/>
      </c>
      <c r="F69" s="25" t="str">
        <f t="shared" ca="1" si="7"/>
        <v/>
      </c>
      <c r="G69" s="55" t="str">
        <f t="shared" ca="1" si="8"/>
        <v/>
      </c>
      <c r="J69" s="76">
        <f ca="1"/>
        <v>46014</v>
      </c>
      <c r="K69" s="41">
        <f ca="1"/>
        <v>54.540999999999997</v>
      </c>
      <c r="L69" s="37">
        <f ca="1"/>
        <v>46071</v>
      </c>
      <c r="M69" s="41">
        <f ca="1"/>
        <v>16.2</v>
      </c>
      <c r="N69" s="37">
        <f t="shared" ca="1" si="9"/>
        <v>46014</v>
      </c>
      <c r="O69" s="37" t="str">
        <f t="shared" ca="1" si="10"/>
        <v/>
      </c>
    </row>
    <row r="70" spans="1:15" x14ac:dyDescent="0.25">
      <c r="A70" s="102" t="str">
        <f t="shared" ca="1" si="2"/>
        <v/>
      </c>
      <c r="B70" s="33" t="str">
        <f t="shared" ca="1" si="3"/>
        <v/>
      </c>
      <c r="C70" s="25" t="str">
        <f t="shared" ca="1" si="4"/>
        <v/>
      </c>
      <c r="D70" s="26" t="str">
        <f t="shared" ca="1" si="5"/>
        <v/>
      </c>
      <c r="E70" s="33" t="str">
        <f t="shared" ca="1" si="6"/>
        <v/>
      </c>
      <c r="F70" s="25" t="str">
        <f t="shared" ca="1" si="7"/>
        <v/>
      </c>
      <c r="G70" s="55" t="str">
        <f t="shared" ca="1" si="8"/>
        <v/>
      </c>
      <c r="J70" s="76">
        <f ca="1"/>
        <v>46015</v>
      </c>
      <c r="K70" s="41">
        <f ca="1"/>
        <v>54.555999999999997</v>
      </c>
      <c r="L70" s="37">
        <f ca="1"/>
        <v>46072</v>
      </c>
      <c r="M70" s="41">
        <f ca="1"/>
        <v>18.95</v>
      </c>
      <c r="N70" s="37" t="str">
        <f t="shared" ca="1" si="9"/>
        <v/>
      </c>
      <c r="O70" s="37" t="str">
        <f t="shared" ca="1" si="10"/>
        <v/>
      </c>
    </row>
    <row r="71" spans="1:15" x14ac:dyDescent="0.25">
      <c r="A71" s="102" t="str">
        <f t="shared" ca="1" si="2"/>
        <v/>
      </c>
      <c r="B71" s="33" t="str">
        <f t="shared" ca="1" si="3"/>
        <v/>
      </c>
      <c r="C71" s="25" t="str">
        <f t="shared" ca="1" si="4"/>
        <v/>
      </c>
      <c r="D71" s="26" t="str">
        <f t="shared" ca="1" si="5"/>
        <v/>
      </c>
      <c r="E71" s="33" t="str">
        <f t="shared" ca="1" si="6"/>
        <v/>
      </c>
      <c r="F71" s="25" t="str">
        <f t="shared" ca="1" si="7"/>
        <v/>
      </c>
      <c r="G71" s="55" t="str">
        <f t="shared" ca="1" si="8"/>
        <v/>
      </c>
      <c r="J71" s="76">
        <f ca="1"/>
        <v>46020</v>
      </c>
      <c r="K71" s="41">
        <f ca="1"/>
        <v>54.633000000000003</v>
      </c>
      <c r="L71" s="37">
        <f ca="1"/>
        <v>46073</v>
      </c>
      <c r="M71" s="41">
        <f ca="1"/>
        <v>15.1</v>
      </c>
      <c r="N71" s="37">
        <f t="shared" ca="1" si="9"/>
        <v>46020</v>
      </c>
      <c r="O71" s="37" t="str">
        <f t="shared" ca="1" si="10"/>
        <v/>
      </c>
    </row>
    <row r="72" spans="1:15" x14ac:dyDescent="0.25">
      <c r="A72" s="102" t="str">
        <f t="shared" ca="1" si="2"/>
        <v/>
      </c>
      <c r="B72" s="33" t="str">
        <f t="shared" ca="1" si="3"/>
        <v/>
      </c>
      <c r="C72" s="25" t="str">
        <f t="shared" ca="1" si="4"/>
        <v/>
      </c>
      <c r="D72" s="26" t="str">
        <f t="shared" ca="1" si="5"/>
        <v/>
      </c>
      <c r="E72" s="33" t="str">
        <f t="shared" ca="1" si="6"/>
        <v/>
      </c>
      <c r="F72" s="25" t="str">
        <f t="shared" ca="1" si="7"/>
        <v/>
      </c>
      <c r="G72" s="55" t="str">
        <f t="shared" ca="1" si="8"/>
        <v/>
      </c>
      <c r="J72" s="76">
        <f ca="1"/>
        <v>46021</v>
      </c>
      <c r="K72" s="41">
        <f ca="1"/>
        <v>54.335999999999999</v>
      </c>
      <c r="L72" s="37">
        <f ca="1"/>
        <v>46076</v>
      </c>
      <c r="M72" s="41">
        <f ca="1"/>
        <v>14.25</v>
      </c>
      <c r="N72" s="37">
        <f t="shared" ca="1" si="9"/>
        <v>46021</v>
      </c>
      <c r="O72" s="37" t="str">
        <f t="shared" ca="1" si="10"/>
        <v/>
      </c>
    </row>
    <row r="73" spans="1:15" x14ac:dyDescent="0.25">
      <c r="A73" s="102" t="str">
        <f t="shared" ca="1" si="2"/>
        <v/>
      </c>
      <c r="B73" s="33" t="str">
        <f t="shared" ca="1" si="3"/>
        <v/>
      </c>
      <c r="C73" s="25" t="str">
        <f t="shared" ca="1" si="4"/>
        <v/>
      </c>
      <c r="D73" s="26" t="str">
        <f t="shared" ca="1" si="5"/>
        <v/>
      </c>
      <c r="E73" s="33" t="str">
        <f t="shared" ca="1" si="6"/>
        <v/>
      </c>
      <c r="F73" s="25" t="str">
        <f t="shared" ca="1" si="7"/>
        <v/>
      </c>
      <c r="G73" s="55" t="str">
        <f t="shared" ca="1" si="8"/>
        <v/>
      </c>
      <c r="J73" s="76">
        <f ca="1"/>
        <v>46022</v>
      </c>
      <c r="K73" s="41">
        <f ca="1"/>
        <v>54.344000000000001</v>
      </c>
      <c r="L73" s="37">
        <f ca="1"/>
        <v>46077</v>
      </c>
      <c r="M73" s="41">
        <f ca="1"/>
        <v>17.899999999999999</v>
      </c>
      <c r="N73" s="37" t="str">
        <f t="shared" ca="1" si="9"/>
        <v/>
      </c>
      <c r="O73" s="37" t="str">
        <f t="shared" ca="1" si="10"/>
        <v/>
      </c>
    </row>
    <row r="74" spans="1:15" x14ac:dyDescent="0.25">
      <c r="A74" s="102" t="str">
        <f t="shared" ca="1" si="2"/>
        <v/>
      </c>
      <c r="B74" s="33" t="str">
        <f t="shared" ca="1" si="3"/>
        <v/>
      </c>
      <c r="C74" s="25" t="str">
        <f t="shared" ca="1" si="4"/>
        <v/>
      </c>
      <c r="D74" s="26" t="str">
        <f t="shared" ca="1" si="5"/>
        <v/>
      </c>
      <c r="E74" s="33" t="str">
        <f t="shared" ca="1" si="6"/>
        <v/>
      </c>
      <c r="F74" s="25" t="str">
        <f t="shared" ca="1" si="7"/>
        <v/>
      </c>
      <c r="G74" s="55" t="str">
        <f t="shared" ca="1" si="8"/>
        <v/>
      </c>
      <c r="J74" s="76">
        <f ca="1"/>
        <v>46024</v>
      </c>
      <c r="K74" s="41">
        <f ca="1"/>
        <v>53.884999999999998</v>
      </c>
      <c r="L74" s="37">
        <f ca="1"/>
        <v>46078</v>
      </c>
      <c r="M74" s="41">
        <f ca="1"/>
        <v>13.3</v>
      </c>
      <c r="N74" s="37">
        <f t="shared" ca="1" si="9"/>
        <v>46024</v>
      </c>
      <c r="O74" s="37" t="str">
        <f t="shared" ca="1" si="10"/>
        <v/>
      </c>
    </row>
    <row r="75" spans="1:15" x14ac:dyDescent="0.25">
      <c r="A75" s="102" t="str">
        <f t="shared" ca="1" si="2"/>
        <v/>
      </c>
      <c r="B75" s="33" t="str">
        <f t="shared" ca="1" si="3"/>
        <v/>
      </c>
      <c r="C75" s="25" t="str">
        <f t="shared" ca="1" si="4"/>
        <v/>
      </c>
      <c r="D75" s="26" t="str">
        <f t="shared" ca="1" si="5"/>
        <v/>
      </c>
      <c r="E75" s="33" t="str">
        <f t="shared" ca="1" si="6"/>
        <v/>
      </c>
      <c r="F75" s="25" t="str">
        <f t="shared" ca="1" si="7"/>
        <v/>
      </c>
      <c r="G75" s="55" t="str">
        <f t="shared" ca="1" si="8"/>
        <v/>
      </c>
      <c r="J75" s="76">
        <f ca="1"/>
        <v>46027</v>
      </c>
      <c r="K75" s="41">
        <f ca="1"/>
        <v>53.348999999999997</v>
      </c>
      <c r="L75" s="37">
        <f ca="1"/>
        <v>46079</v>
      </c>
      <c r="M75" s="41">
        <f ca="1"/>
        <v>13.5</v>
      </c>
      <c r="N75" s="37">
        <f t="shared" ca="1" si="9"/>
        <v>46027</v>
      </c>
      <c r="O75" s="37" t="str">
        <f t="shared" ca="1" si="10"/>
        <v/>
      </c>
    </row>
    <row r="76" spans="1:15" x14ac:dyDescent="0.25">
      <c r="A76" s="102" t="str">
        <f t="shared" ca="1" si="2"/>
        <v/>
      </c>
      <c r="B76" s="33" t="str">
        <f t="shared" ca="1" si="3"/>
        <v/>
      </c>
      <c r="C76" s="25" t="str">
        <f t="shared" ca="1" si="4"/>
        <v/>
      </c>
      <c r="D76" s="26" t="str">
        <f t="shared" ca="1" si="5"/>
        <v/>
      </c>
      <c r="E76" s="33" t="str">
        <f t="shared" ca="1" si="6"/>
        <v/>
      </c>
      <c r="F76" s="25" t="str">
        <f t="shared" ca="1" si="7"/>
        <v/>
      </c>
      <c r="G76" s="55" t="str">
        <f t="shared" ca="1" si="8"/>
        <v/>
      </c>
      <c r="J76" s="76">
        <f ca="1"/>
        <v>46028</v>
      </c>
      <c r="K76" s="41">
        <f ca="1"/>
        <v>53.375999999999998</v>
      </c>
      <c r="L76" s="37">
        <f ca="1"/>
        <v>46080</v>
      </c>
      <c r="M76" s="41">
        <f ca="1"/>
        <v>17.399999999999999</v>
      </c>
      <c r="N76" s="37">
        <f t="shared" ca="1" si="9"/>
        <v>46028</v>
      </c>
      <c r="O76" s="37" t="str">
        <f t="shared" ca="1" si="10"/>
        <v/>
      </c>
    </row>
    <row r="77" spans="1:15" x14ac:dyDescent="0.25">
      <c r="A77" s="102" t="str">
        <f t="shared" ca="1" si="2"/>
        <v/>
      </c>
      <c r="B77" s="33" t="str">
        <f t="shared" ca="1" si="3"/>
        <v/>
      </c>
      <c r="C77" s="25" t="str">
        <f t="shared" ca="1" si="4"/>
        <v/>
      </c>
      <c r="D77" s="26" t="str">
        <f t="shared" ca="1" si="5"/>
        <v/>
      </c>
      <c r="E77" s="33" t="str">
        <f t="shared" ca="1" si="6"/>
        <v/>
      </c>
      <c r="F77" s="25" t="str">
        <f t="shared" ca="1" si="7"/>
        <v/>
      </c>
      <c r="G77" s="55" t="str">
        <f t="shared" ca="1" si="8"/>
        <v/>
      </c>
      <c r="J77" s="76">
        <f ca="1"/>
        <v>46029</v>
      </c>
      <c r="K77" s="41">
        <f ca="1"/>
        <v>53.411000000000001</v>
      </c>
      <c r="L77" s="37">
        <f ca="1"/>
        <v>46083</v>
      </c>
      <c r="M77" s="41">
        <f ca="1"/>
        <v>25.05</v>
      </c>
      <c r="N77" s="37">
        <f t="shared" ca="1" si="9"/>
        <v>46029</v>
      </c>
      <c r="O77" s="37" t="str">
        <f t="shared" ca="1" si="10"/>
        <v/>
      </c>
    </row>
    <row r="78" spans="1:15" x14ac:dyDescent="0.25">
      <c r="A78" s="102" t="str">
        <f t="shared" ca="1" si="2"/>
        <v/>
      </c>
      <c r="B78" s="33" t="str">
        <f t="shared" ca="1" si="3"/>
        <v/>
      </c>
      <c r="C78" s="25" t="str">
        <f t="shared" ca="1" si="4"/>
        <v/>
      </c>
      <c r="D78" s="26" t="str">
        <f t="shared" ca="1" si="5"/>
        <v/>
      </c>
      <c r="E78" s="33" t="str">
        <f t="shared" ca="1" si="6"/>
        <v/>
      </c>
      <c r="F78" s="25" t="str">
        <f t="shared" ca="1" si="7"/>
        <v/>
      </c>
      <c r="G78" s="55" t="str">
        <f t="shared" ca="1" si="8"/>
        <v/>
      </c>
      <c r="J78" s="76">
        <f ca="1"/>
        <v>46030</v>
      </c>
      <c r="K78" s="41">
        <f ca="1"/>
        <v>53.430999999999997</v>
      </c>
      <c r="L78" s="37">
        <f ca="1"/>
        <v>46084</v>
      </c>
      <c r="M78" s="41">
        <f ca="1"/>
        <v>36.6</v>
      </c>
      <c r="N78" s="37">
        <f t="shared" ca="1" si="9"/>
        <v>46030</v>
      </c>
      <c r="O78" s="37" t="str">
        <f t="shared" ca="1" si="10"/>
        <v/>
      </c>
    </row>
    <row r="79" spans="1:15" x14ac:dyDescent="0.25">
      <c r="A79" s="102" t="str">
        <f t="shared" ca="1" si="2"/>
        <v/>
      </c>
      <c r="B79" s="33" t="str">
        <f t="shared" ca="1" si="3"/>
        <v/>
      </c>
      <c r="C79" s="25" t="str">
        <f t="shared" ca="1" si="4"/>
        <v/>
      </c>
      <c r="D79" s="26" t="str">
        <f t="shared" ca="1" si="5"/>
        <v/>
      </c>
      <c r="E79" s="33" t="str">
        <f t="shared" ca="1" si="6"/>
        <v/>
      </c>
      <c r="F79" s="25" t="str">
        <f t="shared" ca="1" si="7"/>
        <v/>
      </c>
      <c r="G79" s="55" t="str">
        <f t="shared" ca="1" si="8"/>
        <v/>
      </c>
      <c r="J79" s="76">
        <f ca="1"/>
        <v>46031</v>
      </c>
      <c r="K79" s="41">
        <f ca="1"/>
        <v>52.848999999999997</v>
      </c>
      <c r="L79" s="37">
        <f ca="1"/>
        <v>46085</v>
      </c>
      <c r="M79" s="41">
        <f ca="1"/>
        <v>29.9</v>
      </c>
      <c r="N79" s="37">
        <f t="shared" ca="1" si="9"/>
        <v>46031</v>
      </c>
      <c r="O79" s="37" t="str">
        <f t="shared" ca="1" si="10"/>
        <v/>
      </c>
    </row>
    <row r="80" spans="1:15" x14ac:dyDescent="0.25">
      <c r="A80" s="102" t="str">
        <f t="shared" ref="A80:A117" ca="1" si="11">IF(AND(ISBLANK(P69), A79 = $P$1),NOW(),IF(ISBLANK(P69),IF(ISBLANK(C79),NOW(),""),P69))</f>
        <v/>
      </c>
      <c r="B80" s="33" t="str">
        <f t="shared" ref="B80:B117" ca="1" si="12">IF(COUNTIF(J:J,A80)=1,VLOOKUP(A80,J:K,2), IF(COUNTIF(J:J,A80)=0,$B$10,""))</f>
        <v/>
      </c>
      <c r="C80" s="25" t="str">
        <f t="shared" ref="C80:C117" ca="1" si="13">IF(ISERROR(B80-2),"",-1*(B80-$B$14)*$B$8*$B$5*10^(-4))</f>
        <v/>
      </c>
      <c r="D80" s="26" t="str">
        <f t="shared" ref="D80:D117" ca="1" si="14">IF(ISERROR(B80-2),"",(INT(A80)-INT($A$14))/360*$B$6*$B$5)</f>
        <v/>
      </c>
      <c r="E80" s="33" t="str">
        <f t="shared" ref="E80:E117" ca="1" si="15">IF(COUNTIF(J:J,A80)=1,VLOOKUP(A80,L:M,2), IF(COUNTIF(J:J,A80)=0,$C$10,""))</f>
        <v/>
      </c>
      <c r="F80" s="25" t="str">
        <f t="shared" ref="F80:F117" ca="1" si="16">IF(ISERROR(B80-2),"",(E80-$E$14)*$C$5*$F$5)</f>
        <v/>
      </c>
      <c r="G80" s="55" t="str">
        <f t="shared" ref="G80:G117" ca="1" si="17">IF(ISERROR(B80-2),"",C80+D80+F80)</f>
        <v/>
      </c>
      <c r="J80" s="76">
        <f ca="1"/>
        <v>46034</v>
      </c>
      <c r="K80" s="41">
        <f ca="1"/>
        <v>52.848999999999997</v>
      </c>
      <c r="L80" s="37">
        <f ca="1"/>
        <v>46086</v>
      </c>
      <c r="M80" s="41">
        <f ca="1"/>
        <v>36.549999999999997</v>
      </c>
      <c r="N80" s="37">
        <f t="shared" ca="1" si="9"/>
        <v>46034</v>
      </c>
      <c r="O80" s="37" t="str">
        <f t="shared" ca="1" si="10"/>
        <v/>
      </c>
    </row>
    <row r="81" spans="1:15" x14ac:dyDescent="0.25">
      <c r="A81" s="102" t="str">
        <f t="shared" ca="1" si="11"/>
        <v/>
      </c>
      <c r="B81" s="33" t="str">
        <f t="shared" ca="1" si="12"/>
        <v/>
      </c>
      <c r="C81" s="25" t="str">
        <f t="shared" ca="1" si="13"/>
        <v/>
      </c>
      <c r="D81" s="26" t="str">
        <f t="shared" ca="1" si="14"/>
        <v/>
      </c>
      <c r="E81" s="33" t="str">
        <f t="shared" ca="1" si="15"/>
        <v/>
      </c>
      <c r="F81" s="25" t="str">
        <f t="shared" ca="1" si="16"/>
        <v/>
      </c>
      <c r="G81" s="55" t="str">
        <f t="shared" ca="1" si="17"/>
        <v/>
      </c>
      <c r="J81" s="76">
        <f ca="1"/>
        <v>46035</v>
      </c>
      <c r="K81" s="41">
        <f ca="1"/>
        <v>53.042999999999999</v>
      </c>
      <c r="L81" s="37">
        <f ca="1"/>
        <v>46087</v>
      </c>
      <c r="M81" s="41">
        <f ca="1"/>
        <v>39.799999999999997</v>
      </c>
      <c r="N81" s="37">
        <f t="shared" ca="1" si="9"/>
        <v>46035</v>
      </c>
      <c r="O81" s="37" t="str">
        <f t="shared" ca="1" si="10"/>
        <v/>
      </c>
    </row>
    <row r="82" spans="1:15" x14ac:dyDescent="0.25">
      <c r="A82" s="102" t="str">
        <f t="shared" ca="1" si="11"/>
        <v/>
      </c>
      <c r="B82" s="33" t="str">
        <f t="shared" ca="1" si="12"/>
        <v/>
      </c>
      <c r="C82" s="25" t="str">
        <f t="shared" ca="1" si="13"/>
        <v/>
      </c>
      <c r="D82" s="26" t="str">
        <f t="shared" ca="1" si="14"/>
        <v/>
      </c>
      <c r="E82" s="33" t="str">
        <f t="shared" ca="1" si="15"/>
        <v/>
      </c>
      <c r="F82" s="25" t="str">
        <f t="shared" ca="1" si="16"/>
        <v/>
      </c>
      <c r="G82" s="55" t="str">
        <f t="shared" ca="1" si="17"/>
        <v/>
      </c>
      <c r="J82" s="76">
        <f ca="1"/>
        <v>46036</v>
      </c>
      <c r="K82" s="41">
        <f ca="1"/>
        <v>53.822000000000003</v>
      </c>
      <c r="L82" s="37">
        <f ca="1"/>
        <v>46090</v>
      </c>
      <c r="M82" s="41">
        <f ca="1"/>
        <v>41.15</v>
      </c>
      <c r="N82" s="37">
        <f t="shared" ca="1" si="9"/>
        <v>46036</v>
      </c>
      <c r="O82" s="37" t="str">
        <f t="shared" ca="1" si="10"/>
        <v/>
      </c>
    </row>
    <row r="83" spans="1:15" x14ac:dyDescent="0.25">
      <c r="A83" s="102" t="str">
        <f t="shared" ca="1" si="11"/>
        <v/>
      </c>
      <c r="B83" s="33" t="str">
        <f t="shared" ca="1" si="12"/>
        <v/>
      </c>
      <c r="C83" s="25" t="str">
        <f t="shared" ca="1" si="13"/>
        <v/>
      </c>
      <c r="D83" s="26" t="str">
        <f t="shared" ca="1" si="14"/>
        <v/>
      </c>
      <c r="E83" s="33" t="str">
        <f t="shared" ca="1" si="15"/>
        <v/>
      </c>
      <c r="F83" s="25" t="str">
        <f t="shared" ca="1" si="16"/>
        <v/>
      </c>
      <c r="G83" s="55" t="str">
        <f t="shared" ca="1" si="17"/>
        <v/>
      </c>
      <c r="J83" s="76">
        <f ca="1"/>
        <v>46037</v>
      </c>
      <c r="K83" s="41">
        <f ca="1"/>
        <v>53.040999999999997</v>
      </c>
      <c r="L83" s="37">
        <f ca="1"/>
        <v>46091</v>
      </c>
      <c r="M83" s="41">
        <f ca="1"/>
        <v>31.3</v>
      </c>
      <c r="N83" s="37">
        <f t="shared" ca="1" si="9"/>
        <v>46037</v>
      </c>
      <c r="O83" s="37" t="str">
        <f t="shared" ca="1" si="10"/>
        <v/>
      </c>
    </row>
    <row r="84" spans="1:15" x14ac:dyDescent="0.25">
      <c r="A84" s="102" t="str">
        <f t="shared" ca="1" si="11"/>
        <v/>
      </c>
      <c r="B84" s="33" t="str">
        <f t="shared" ca="1" si="12"/>
        <v/>
      </c>
      <c r="C84" s="25" t="str">
        <f t="shared" ca="1" si="13"/>
        <v/>
      </c>
      <c r="D84" s="26" t="str">
        <f t="shared" ca="1" si="14"/>
        <v/>
      </c>
      <c r="E84" s="33" t="str">
        <f t="shared" ca="1" si="15"/>
        <v/>
      </c>
      <c r="F84" s="25" t="str">
        <f t="shared" ca="1" si="16"/>
        <v/>
      </c>
      <c r="G84" s="55" t="str">
        <f t="shared" ca="1" si="17"/>
        <v/>
      </c>
      <c r="J84" s="76">
        <f ca="1"/>
        <v>46038</v>
      </c>
      <c r="K84" s="41">
        <f ca="1"/>
        <v>53.37</v>
      </c>
      <c r="L84" s="37">
        <f ca="1"/>
        <v>46092</v>
      </c>
      <c r="M84" s="41">
        <f ca="1"/>
        <v>33.65</v>
      </c>
      <c r="N84" s="37">
        <f t="shared" ca="1" si="9"/>
        <v>46038</v>
      </c>
      <c r="O84" s="37" t="str">
        <f t="shared" ca="1" si="10"/>
        <v/>
      </c>
    </row>
    <row r="85" spans="1:15" x14ac:dyDescent="0.25">
      <c r="A85" s="102" t="str">
        <f t="shared" ca="1" si="11"/>
        <v/>
      </c>
      <c r="B85" s="33" t="str">
        <f t="shared" ca="1" si="12"/>
        <v/>
      </c>
      <c r="C85" s="25" t="str">
        <f t="shared" ca="1" si="13"/>
        <v/>
      </c>
      <c r="D85" s="26" t="str">
        <f t="shared" ca="1" si="14"/>
        <v/>
      </c>
      <c r="E85" s="33" t="str">
        <f t="shared" ca="1" si="15"/>
        <v/>
      </c>
      <c r="F85" s="25" t="str">
        <f t="shared" ca="1" si="16"/>
        <v/>
      </c>
      <c r="G85" s="55" t="str">
        <f t="shared" ca="1" si="17"/>
        <v/>
      </c>
      <c r="J85" s="76">
        <f ca="1"/>
        <v>46041</v>
      </c>
      <c r="K85" s="41">
        <f ca="1"/>
        <v>55.05</v>
      </c>
      <c r="L85" s="37">
        <f ca="1"/>
        <v>46093</v>
      </c>
      <c r="M85" s="41">
        <f ca="1"/>
        <v>40.65</v>
      </c>
      <c r="N85" s="37">
        <f t="shared" ca="1" si="9"/>
        <v>46041</v>
      </c>
      <c r="O85" s="37" t="str">
        <f t="shared" ca="1" si="10"/>
        <v/>
      </c>
    </row>
    <row r="86" spans="1:15" x14ac:dyDescent="0.25">
      <c r="A86" s="102" t="str">
        <f t="shared" ca="1" si="11"/>
        <v/>
      </c>
      <c r="B86" s="33" t="str">
        <f t="shared" ca="1" si="12"/>
        <v/>
      </c>
      <c r="C86" s="25" t="str">
        <f t="shared" ca="1" si="13"/>
        <v/>
      </c>
      <c r="D86" s="26" t="str">
        <f t="shared" ca="1" si="14"/>
        <v/>
      </c>
      <c r="E86" s="33" t="str">
        <f t="shared" ca="1" si="15"/>
        <v/>
      </c>
      <c r="F86" s="25" t="str">
        <f t="shared" ca="1" si="16"/>
        <v/>
      </c>
      <c r="G86" s="55" t="str">
        <f t="shared" ca="1" si="17"/>
        <v/>
      </c>
      <c r="J86" s="76">
        <f ca="1"/>
        <v>46042</v>
      </c>
      <c r="K86" s="41">
        <f ca="1"/>
        <v>55.396999999999998</v>
      </c>
      <c r="L86" s="37">
        <f ca="1"/>
        <v>46094</v>
      </c>
      <c r="M86" s="41">
        <f ca="1"/>
        <v>43.45</v>
      </c>
      <c r="N86" s="37">
        <f t="shared" ca="1" si="9"/>
        <v>46042</v>
      </c>
      <c r="O86" s="37" t="str">
        <f t="shared" ca="1" si="10"/>
        <v/>
      </c>
    </row>
    <row r="87" spans="1:15" x14ac:dyDescent="0.25">
      <c r="A87" s="102" t="str">
        <f t="shared" ca="1" si="11"/>
        <v/>
      </c>
      <c r="B87" s="33" t="str">
        <f t="shared" ca="1" si="12"/>
        <v/>
      </c>
      <c r="C87" s="25" t="str">
        <f t="shared" ca="1" si="13"/>
        <v/>
      </c>
      <c r="D87" s="26" t="str">
        <f t="shared" ca="1" si="14"/>
        <v/>
      </c>
      <c r="E87" s="33" t="str">
        <f t="shared" ca="1" si="15"/>
        <v/>
      </c>
      <c r="F87" s="25" t="str">
        <f t="shared" ca="1" si="16"/>
        <v/>
      </c>
      <c r="G87" s="55" t="str">
        <f t="shared" ca="1" si="17"/>
        <v/>
      </c>
      <c r="J87" s="76">
        <f ca="1"/>
        <v>46043</v>
      </c>
      <c r="K87" s="41">
        <f ca="1"/>
        <v>54.792999999999999</v>
      </c>
      <c r="L87" s="37">
        <f ca="1"/>
        <v>46097</v>
      </c>
      <c r="M87" s="41">
        <f ca="1"/>
        <v>42.55</v>
      </c>
      <c r="N87" s="37">
        <f t="shared" ca="1" si="9"/>
        <v>46043</v>
      </c>
      <c r="O87" s="37" t="str">
        <f t="shared" ca="1" si="10"/>
        <v/>
      </c>
    </row>
    <row r="88" spans="1:15" x14ac:dyDescent="0.25">
      <c r="A88" s="102" t="str">
        <f t="shared" ca="1" si="11"/>
        <v/>
      </c>
      <c r="B88" s="33" t="str">
        <f t="shared" ca="1" si="12"/>
        <v/>
      </c>
      <c r="C88" s="25" t="str">
        <f t="shared" ca="1" si="13"/>
        <v/>
      </c>
      <c r="D88" s="26" t="str">
        <f t="shared" ca="1" si="14"/>
        <v/>
      </c>
      <c r="E88" s="33" t="str">
        <f t="shared" ca="1" si="15"/>
        <v/>
      </c>
      <c r="F88" s="25" t="str">
        <f t="shared" ca="1" si="16"/>
        <v/>
      </c>
      <c r="G88" s="55" t="str">
        <f t="shared" ca="1" si="17"/>
        <v/>
      </c>
      <c r="J88" s="76">
        <f ca="1"/>
        <v>46044</v>
      </c>
      <c r="K88" s="41">
        <f ca="1"/>
        <v>53.194000000000003</v>
      </c>
      <c r="L88" s="37">
        <f ca="1"/>
        <v>46098</v>
      </c>
      <c r="M88" s="41">
        <f ca="1"/>
        <v>41.4</v>
      </c>
      <c r="N88" s="37">
        <f t="shared" ca="1" si="9"/>
        <v>46044</v>
      </c>
      <c r="O88" s="37" t="str">
        <f t="shared" ca="1" si="10"/>
        <v/>
      </c>
    </row>
    <row r="89" spans="1:15" x14ac:dyDescent="0.25">
      <c r="A89" s="102" t="str">
        <f t="shared" ca="1" si="11"/>
        <v/>
      </c>
      <c r="B89" s="33" t="str">
        <f t="shared" ca="1" si="12"/>
        <v/>
      </c>
      <c r="C89" s="25" t="str">
        <f t="shared" ca="1" si="13"/>
        <v/>
      </c>
      <c r="D89" s="26" t="str">
        <f t="shared" ca="1" si="14"/>
        <v/>
      </c>
      <c r="E89" s="33" t="str">
        <f t="shared" ca="1" si="15"/>
        <v/>
      </c>
      <c r="F89" s="25" t="str">
        <f t="shared" ca="1" si="16"/>
        <v/>
      </c>
      <c r="G89" s="55" t="str">
        <f t="shared" ca="1" si="17"/>
        <v/>
      </c>
      <c r="J89" s="76">
        <f ca="1"/>
        <v>46045</v>
      </c>
      <c r="K89" s="41">
        <f ca="1"/>
        <v>53.320999999999998</v>
      </c>
      <c r="L89" s="37">
        <f ca="1"/>
        <v>46099</v>
      </c>
      <c r="M89" s="41">
        <f ca="1"/>
        <v>38.25</v>
      </c>
      <c r="N89" s="37">
        <f t="shared" ca="1" si="9"/>
        <v>46045</v>
      </c>
      <c r="O89" s="37" t="str">
        <f t="shared" ca="1" si="10"/>
        <v/>
      </c>
    </row>
    <row r="90" spans="1:15" x14ac:dyDescent="0.25">
      <c r="A90" s="102" t="str">
        <f t="shared" ca="1" si="11"/>
        <v/>
      </c>
      <c r="B90" s="33" t="str">
        <f t="shared" ca="1" si="12"/>
        <v/>
      </c>
      <c r="C90" s="25" t="str">
        <f t="shared" ca="1" si="13"/>
        <v/>
      </c>
      <c r="D90" s="26" t="str">
        <f t="shared" ca="1" si="14"/>
        <v/>
      </c>
      <c r="E90" s="33" t="str">
        <f t="shared" ca="1" si="15"/>
        <v/>
      </c>
      <c r="F90" s="25" t="str">
        <f t="shared" ca="1" si="16"/>
        <v/>
      </c>
      <c r="G90" s="55" t="str">
        <f t="shared" ca="1" si="17"/>
        <v/>
      </c>
      <c r="J90" s="76">
        <f ca="1"/>
        <v>46048</v>
      </c>
      <c r="K90" s="41">
        <f ca="1"/>
        <v>53.088999999999999</v>
      </c>
      <c r="L90" s="37">
        <f ca="1"/>
        <v>46100</v>
      </c>
      <c r="M90" s="41">
        <f ca="1"/>
        <v>45.25</v>
      </c>
      <c r="N90" s="37">
        <f t="shared" ca="1" si="9"/>
        <v>46048</v>
      </c>
      <c r="O90" s="37" t="str">
        <f t="shared" ca="1" si="10"/>
        <v/>
      </c>
    </row>
    <row r="91" spans="1:15" x14ac:dyDescent="0.25">
      <c r="A91" s="102" t="str">
        <f t="shared" ca="1" si="11"/>
        <v/>
      </c>
      <c r="B91" s="33" t="str">
        <f t="shared" ca="1" si="12"/>
        <v/>
      </c>
      <c r="C91" s="25" t="str">
        <f t="shared" ca="1" si="13"/>
        <v/>
      </c>
      <c r="D91" s="26" t="str">
        <f t="shared" ca="1" si="14"/>
        <v/>
      </c>
      <c r="E91" s="33" t="str">
        <f t="shared" ca="1" si="15"/>
        <v/>
      </c>
      <c r="F91" s="25" t="str">
        <f t="shared" ca="1" si="16"/>
        <v/>
      </c>
      <c r="G91" s="55" t="str">
        <f t="shared" ca="1" si="17"/>
        <v/>
      </c>
      <c r="J91" s="76">
        <f ca="1"/>
        <v>46049</v>
      </c>
      <c r="K91" s="41">
        <f ca="1"/>
        <v>52.720999999999997</v>
      </c>
      <c r="L91" s="37">
        <f ca="1"/>
        <v>46101</v>
      </c>
      <c r="M91" s="41">
        <f ca="1"/>
        <v>44.77</v>
      </c>
      <c r="N91" s="37">
        <f t="shared" ca="1" si="9"/>
        <v>46049</v>
      </c>
      <c r="O91" s="37" t="str">
        <f t="shared" ca="1" si="10"/>
        <v/>
      </c>
    </row>
    <row r="92" spans="1:15" x14ac:dyDescent="0.25">
      <c r="A92" s="102" t="str">
        <f t="shared" ca="1" si="11"/>
        <v/>
      </c>
      <c r="B92" s="33" t="str">
        <f t="shared" ca="1" si="12"/>
        <v/>
      </c>
      <c r="C92" s="25" t="str">
        <f t="shared" ca="1" si="13"/>
        <v/>
      </c>
      <c r="D92" s="26" t="str">
        <f t="shared" ca="1" si="14"/>
        <v/>
      </c>
      <c r="E92" s="33" t="str">
        <f t="shared" ca="1" si="15"/>
        <v/>
      </c>
      <c r="F92" s="25" t="str">
        <f t="shared" ca="1" si="16"/>
        <v/>
      </c>
      <c r="G92" s="55" t="str">
        <f t="shared" ca="1" si="17"/>
        <v/>
      </c>
      <c r="J92" s="76">
        <f ca="1"/>
        <v>46050</v>
      </c>
      <c r="K92" s="41">
        <f ca="1"/>
        <v>53.500999999999998</v>
      </c>
      <c r="N92" s="37">
        <f t="shared" ca="1" si="9"/>
        <v>46050</v>
      </c>
      <c r="O92" s="37" t="str">
        <f t="shared" ca="1" si="10"/>
        <v/>
      </c>
    </row>
    <row r="93" spans="1:15" x14ac:dyDescent="0.25">
      <c r="A93" s="102" t="str">
        <f t="shared" ca="1" si="11"/>
        <v/>
      </c>
      <c r="B93" s="33" t="str">
        <f t="shared" ca="1" si="12"/>
        <v/>
      </c>
      <c r="C93" s="25" t="str">
        <f t="shared" ca="1" si="13"/>
        <v/>
      </c>
      <c r="D93" s="26" t="str">
        <f t="shared" ca="1" si="14"/>
        <v/>
      </c>
      <c r="E93" s="33" t="str">
        <f t="shared" ca="1" si="15"/>
        <v/>
      </c>
      <c r="F93" s="25" t="str">
        <f t="shared" ca="1" si="16"/>
        <v/>
      </c>
      <c r="G93" s="55" t="str">
        <f t="shared" ca="1" si="17"/>
        <v/>
      </c>
      <c r="J93" s="76">
        <f ca="1"/>
        <v>46051</v>
      </c>
      <c r="K93" s="41">
        <f ca="1"/>
        <v>54.027999999999999</v>
      </c>
      <c r="N93" s="37">
        <f t="shared" ca="1" si="9"/>
        <v>46051</v>
      </c>
      <c r="O93" s="37" t="str">
        <f t="shared" ca="1" si="10"/>
        <v/>
      </c>
    </row>
    <row r="94" spans="1:15" x14ac:dyDescent="0.25">
      <c r="A94" s="102" t="str">
        <f t="shared" ca="1" si="11"/>
        <v/>
      </c>
      <c r="B94" s="33" t="str">
        <f t="shared" ca="1" si="12"/>
        <v/>
      </c>
      <c r="C94" s="25" t="str">
        <f t="shared" ca="1" si="13"/>
        <v/>
      </c>
      <c r="D94" s="26" t="str">
        <f t="shared" ca="1" si="14"/>
        <v/>
      </c>
      <c r="E94" s="33" t="str">
        <f t="shared" ca="1" si="15"/>
        <v/>
      </c>
      <c r="F94" s="25" t="str">
        <f t="shared" ca="1" si="16"/>
        <v/>
      </c>
      <c r="G94" s="55" t="str">
        <f t="shared" ca="1" si="17"/>
        <v/>
      </c>
      <c r="J94" s="76">
        <f ca="1"/>
        <v>46052</v>
      </c>
      <c r="K94" s="41">
        <f ca="1"/>
        <v>53.713999999999999</v>
      </c>
      <c r="N94" s="37">
        <f t="shared" ca="1" si="9"/>
        <v>46052</v>
      </c>
      <c r="O94" s="37" t="str">
        <f t="shared" ca="1" si="10"/>
        <v/>
      </c>
    </row>
    <row r="95" spans="1:15" x14ac:dyDescent="0.25">
      <c r="A95" s="102" t="str">
        <f t="shared" ca="1" si="11"/>
        <v/>
      </c>
      <c r="B95" s="33" t="str">
        <f t="shared" ca="1" si="12"/>
        <v/>
      </c>
      <c r="C95" s="25" t="str">
        <f t="shared" ca="1" si="13"/>
        <v/>
      </c>
      <c r="D95" s="26" t="str">
        <f t="shared" ca="1" si="14"/>
        <v/>
      </c>
      <c r="E95" s="33" t="str">
        <f t="shared" ca="1" si="15"/>
        <v/>
      </c>
      <c r="F95" s="25" t="str">
        <f t="shared" ca="1" si="16"/>
        <v/>
      </c>
      <c r="G95" s="55" t="str">
        <f t="shared" ca="1" si="17"/>
        <v/>
      </c>
      <c r="J95" s="76">
        <f ca="1"/>
        <v>46055</v>
      </c>
      <c r="K95" s="41">
        <f ca="1"/>
        <v>52.825000000000003</v>
      </c>
      <c r="N95" s="37">
        <f t="shared" ca="1" si="9"/>
        <v>46055</v>
      </c>
      <c r="O95" s="37" t="str">
        <f t="shared" ca="1" si="10"/>
        <v/>
      </c>
    </row>
    <row r="96" spans="1:15" x14ac:dyDescent="0.25">
      <c r="A96" s="102" t="str">
        <f t="shared" ca="1" si="11"/>
        <v/>
      </c>
      <c r="B96" s="33" t="str">
        <f t="shared" ca="1" si="12"/>
        <v/>
      </c>
      <c r="C96" s="25" t="str">
        <f t="shared" ca="1" si="13"/>
        <v/>
      </c>
      <c r="D96" s="26" t="str">
        <f t="shared" ca="1" si="14"/>
        <v/>
      </c>
      <c r="E96" s="33" t="str">
        <f t="shared" ca="1" si="15"/>
        <v/>
      </c>
      <c r="F96" s="25" t="str">
        <f t="shared" ca="1" si="16"/>
        <v/>
      </c>
      <c r="G96" s="55" t="str">
        <f t="shared" ca="1" si="17"/>
        <v/>
      </c>
      <c r="J96" s="76">
        <f ca="1"/>
        <v>46056</v>
      </c>
      <c r="K96" s="41">
        <f ca="1"/>
        <v>53.05</v>
      </c>
      <c r="N96" s="37">
        <f t="shared" ca="1" si="9"/>
        <v>46056</v>
      </c>
      <c r="O96" s="37" t="str">
        <f t="shared" ca="1" si="10"/>
        <v/>
      </c>
    </row>
    <row r="97" spans="1:15" x14ac:dyDescent="0.25">
      <c r="A97" s="102" t="str">
        <f t="shared" ca="1" si="11"/>
        <v/>
      </c>
      <c r="B97" s="33" t="str">
        <f t="shared" ca="1" si="12"/>
        <v/>
      </c>
      <c r="C97" s="25" t="str">
        <f t="shared" ca="1" si="13"/>
        <v/>
      </c>
      <c r="D97" s="26" t="str">
        <f t="shared" ca="1" si="14"/>
        <v/>
      </c>
      <c r="E97" s="33" t="str">
        <f t="shared" ca="1" si="15"/>
        <v/>
      </c>
      <c r="F97" s="25" t="str">
        <f t="shared" ca="1" si="16"/>
        <v/>
      </c>
      <c r="G97" s="55" t="str">
        <f t="shared" ca="1" si="17"/>
        <v/>
      </c>
      <c r="J97" s="76">
        <f ca="1"/>
        <v>46057</v>
      </c>
      <c r="K97" s="41">
        <f ca="1"/>
        <v>53.304000000000002</v>
      </c>
      <c r="N97" s="37">
        <f t="shared" ca="1" si="9"/>
        <v>46057</v>
      </c>
      <c r="O97" s="37" t="str">
        <f t="shared" ca="1" si="10"/>
        <v/>
      </c>
    </row>
    <row r="98" spans="1:15" x14ac:dyDescent="0.25">
      <c r="A98" s="102" t="str">
        <f t="shared" ca="1" si="11"/>
        <v/>
      </c>
      <c r="B98" s="33" t="str">
        <f t="shared" ca="1" si="12"/>
        <v/>
      </c>
      <c r="C98" s="25" t="str">
        <f t="shared" ca="1" si="13"/>
        <v/>
      </c>
      <c r="D98" s="26" t="str">
        <f t="shared" ca="1" si="14"/>
        <v/>
      </c>
      <c r="E98" s="33" t="str">
        <f t="shared" ca="1" si="15"/>
        <v/>
      </c>
      <c r="F98" s="25" t="str">
        <f t="shared" ca="1" si="16"/>
        <v/>
      </c>
      <c r="G98" s="55" t="str">
        <f t="shared" ca="1" si="17"/>
        <v/>
      </c>
      <c r="J98" s="76">
        <f ca="1"/>
        <v>46058</v>
      </c>
      <c r="K98" s="41">
        <f ca="1"/>
        <v>54.082000000000001</v>
      </c>
      <c r="N98" s="37">
        <f t="shared" ca="1" si="9"/>
        <v>46058</v>
      </c>
      <c r="O98" s="37" t="str">
        <f t="shared" ca="1" si="10"/>
        <v/>
      </c>
    </row>
    <row r="99" spans="1:15" x14ac:dyDescent="0.25">
      <c r="A99" s="102" t="str">
        <f t="shared" ca="1" si="11"/>
        <v/>
      </c>
      <c r="B99" s="33" t="str">
        <f t="shared" ca="1" si="12"/>
        <v/>
      </c>
      <c r="C99" s="25" t="str">
        <f t="shared" ca="1" si="13"/>
        <v/>
      </c>
      <c r="D99" s="26" t="str">
        <f t="shared" ca="1" si="14"/>
        <v/>
      </c>
      <c r="E99" s="33" t="str">
        <f t="shared" ca="1" si="15"/>
        <v/>
      </c>
      <c r="F99" s="25" t="str">
        <f t="shared" ca="1" si="16"/>
        <v/>
      </c>
      <c r="G99" s="55" t="str">
        <f t="shared" ca="1" si="17"/>
        <v/>
      </c>
      <c r="J99" s="76">
        <f ca="1"/>
        <v>46059</v>
      </c>
      <c r="K99" s="41">
        <f ca="1"/>
        <v>53.640999999999998</v>
      </c>
      <c r="N99" s="37">
        <f t="shared" ca="1" si="9"/>
        <v>46059</v>
      </c>
      <c r="O99" s="37" t="str">
        <f t="shared" ca="1" si="10"/>
        <v/>
      </c>
    </row>
    <row r="100" spans="1:15" x14ac:dyDescent="0.25">
      <c r="A100" s="102" t="str">
        <f t="shared" ca="1" si="11"/>
        <v/>
      </c>
      <c r="B100" s="33" t="str">
        <f t="shared" ca="1" si="12"/>
        <v/>
      </c>
      <c r="C100" s="25" t="str">
        <f t="shared" ca="1" si="13"/>
        <v/>
      </c>
      <c r="D100" s="26" t="str">
        <f t="shared" ca="1" si="14"/>
        <v/>
      </c>
      <c r="E100" s="33" t="str">
        <f t="shared" ca="1" si="15"/>
        <v/>
      </c>
      <c r="F100" s="25" t="str">
        <f t="shared" ca="1" si="16"/>
        <v/>
      </c>
      <c r="G100" s="55" t="str">
        <f t="shared" ca="1" si="17"/>
        <v/>
      </c>
      <c r="J100" s="76">
        <f ca="1"/>
        <v>46062</v>
      </c>
      <c r="K100" s="41">
        <f ca="1"/>
        <v>52.924999999999997</v>
      </c>
      <c r="N100" s="37">
        <f t="shared" ca="1" si="9"/>
        <v>46062</v>
      </c>
      <c r="O100" s="37" t="str">
        <f t="shared" ca="1" si="10"/>
        <v/>
      </c>
    </row>
    <row r="101" spans="1:15" x14ac:dyDescent="0.25">
      <c r="A101" s="102" t="str">
        <f t="shared" ca="1" si="11"/>
        <v/>
      </c>
      <c r="B101" s="33" t="str">
        <f t="shared" ca="1" si="12"/>
        <v/>
      </c>
      <c r="C101" s="25" t="str">
        <f t="shared" ca="1" si="13"/>
        <v/>
      </c>
      <c r="D101" s="26" t="str">
        <f t="shared" ca="1" si="14"/>
        <v/>
      </c>
      <c r="E101" s="33" t="str">
        <f t="shared" ca="1" si="15"/>
        <v/>
      </c>
      <c r="F101" s="25" t="str">
        <f t="shared" ca="1" si="16"/>
        <v/>
      </c>
      <c r="G101" s="55" t="str">
        <f t="shared" ca="1" si="17"/>
        <v/>
      </c>
      <c r="J101" s="76">
        <f ca="1"/>
        <v>46063</v>
      </c>
      <c r="K101" s="41">
        <f ca="1"/>
        <v>53.368000000000002</v>
      </c>
      <c r="N101" s="37">
        <f t="shared" ca="1" si="9"/>
        <v>46063</v>
      </c>
      <c r="O101" s="37" t="str">
        <f t="shared" ca="1" si="10"/>
        <v/>
      </c>
    </row>
    <row r="102" spans="1:15" x14ac:dyDescent="0.25">
      <c r="A102" s="102" t="str">
        <f t="shared" ca="1" si="11"/>
        <v/>
      </c>
      <c r="B102" s="33" t="str">
        <f t="shared" ca="1" si="12"/>
        <v/>
      </c>
      <c r="C102" s="25" t="str">
        <f t="shared" ca="1" si="13"/>
        <v/>
      </c>
      <c r="D102" s="26" t="str">
        <f t="shared" ca="1" si="14"/>
        <v/>
      </c>
      <c r="E102" s="33" t="str">
        <f t="shared" ca="1" si="15"/>
        <v/>
      </c>
      <c r="F102" s="25" t="str">
        <f t="shared" ca="1" si="16"/>
        <v/>
      </c>
      <c r="G102" s="55" t="str">
        <f t="shared" ca="1" si="17"/>
        <v/>
      </c>
      <c r="J102" s="76">
        <f ca="1"/>
        <v>46064</v>
      </c>
      <c r="K102" s="41">
        <f ca="1"/>
        <v>53.862000000000002</v>
      </c>
      <c r="N102" s="37">
        <f t="shared" ca="1" si="9"/>
        <v>46064</v>
      </c>
      <c r="O102" s="37" t="str">
        <f t="shared" ca="1" si="10"/>
        <v/>
      </c>
    </row>
    <row r="103" spans="1:15" x14ac:dyDescent="0.25">
      <c r="A103" s="102" t="str">
        <f t="shared" ca="1" si="11"/>
        <v/>
      </c>
      <c r="B103" s="33" t="str">
        <f t="shared" ca="1" si="12"/>
        <v/>
      </c>
      <c r="C103" s="25" t="str">
        <f t="shared" ca="1" si="13"/>
        <v/>
      </c>
      <c r="D103" s="26" t="str">
        <f t="shared" ca="1" si="14"/>
        <v/>
      </c>
      <c r="E103" s="33" t="str">
        <f t="shared" ca="1" si="15"/>
        <v/>
      </c>
      <c r="F103" s="25" t="str">
        <f t="shared" ca="1" si="16"/>
        <v/>
      </c>
      <c r="G103" s="55" t="str">
        <f t="shared" ca="1" si="17"/>
        <v/>
      </c>
      <c r="J103" s="76">
        <f ca="1"/>
        <v>46065</v>
      </c>
      <c r="K103" s="41">
        <f ca="1"/>
        <v>54.265000000000001</v>
      </c>
      <c r="N103" s="37">
        <f t="shared" ca="1" si="9"/>
        <v>46065</v>
      </c>
      <c r="O103" s="37" t="str">
        <f t="shared" ca="1" si="10"/>
        <v/>
      </c>
    </row>
    <row r="104" spans="1:15" x14ac:dyDescent="0.25">
      <c r="A104" s="102" t="str">
        <f t="shared" ca="1" si="11"/>
        <v/>
      </c>
      <c r="B104" s="33" t="str">
        <f t="shared" ca="1" si="12"/>
        <v/>
      </c>
      <c r="C104" s="25" t="str">
        <f t="shared" ca="1" si="13"/>
        <v/>
      </c>
      <c r="D104" s="26" t="str">
        <f t="shared" ca="1" si="14"/>
        <v/>
      </c>
      <c r="E104" s="33" t="str">
        <f t="shared" ca="1" si="15"/>
        <v/>
      </c>
      <c r="F104" s="25" t="str">
        <f t="shared" ca="1" si="16"/>
        <v/>
      </c>
      <c r="G104" s="55" t="str">
        <f t="shared" ca="1" si="17"/>
        <v/>
      </c>
      <c r="J104" s="76">
        <f ca="1"/>
        <v>46066</v>
      </c>
      <c r="K104" s="41">
        <f ca="1"/>
        <v>55.076000000000001</v>
      </c>
      <c r="N104" s="37">
        <f t="shared" ca="1" si="9"/>
        <v>46066</v>
      </c>
      <c r="O104" s="37" t="str">
        <f t="shared" ca="1" si="10"/>
        <v/>
      </c>
    </row>
    <row r="105" spans="1:15" x14ac:dyDescent="0.25">
      <c r="A105" s="102" t="str">
        <f t="shared" ca="1" si="11"/>
        <v/>
      </c>
      <c r="B105" s="33" t="str">
        <f t="shared" ca="1" si="12"/>
        <v/>
      </c>
      <c r="C105" s="25" t="str">
        <f t="shared" ca="1" si="13"/>
        <v/>
      </c>
      <c r="D105" s="26" t="str">
        <f t="shared" ca="1" si="14"/>
        <v/>
      </c>
      <c r="E105" s="33" t="str">
        <f t="shared" ca="1" si="15"/>
        <v/>
      </c>
      <c r="F105" s="25" t="str">
        <f t="shared" ca="1" si="16"/>
        <v/>
      </c>
      <c r="G105" s="55" t="str">
        <f t="shared" ca="1" si="17"/>
        <v/>
      </c>
      <c r="J105" s="76">
        <f ca="1"/>
        <v>46069</v>
      </c>
      <c r="K105" s="41">
        <f ca="1"/>
        <v>55.515000000000001</v>
      </c>
      <c r="N105" s="37">
        <f t="shared" ca="1" si="9"/>
        <v>46069</v>
      </c>
      <c r="O105" s="37" t="str">
        <f t="shared" ca="1" si="10"/>
        <v/>
      </c>
    </row>
    <row r="106" spans="1:15" x14ac:dyDescent="0.25">
      <c r="A106" s="102" t="str">
        <f t="shared" ca="1" si="11"/>
        <v/>
      </c>
      <c r="B106" s="33" t="str">
        <f t="shared" ca="1" si="12"/>
        <v/>
      </c>
      <c r="C106" s="25" t="str">
        <f t="shared" ca="1" si="13"/>
        <v/>
      </c>
      <c r="D106" s="26" t="str">
        <f t="shared" ca="1" si="14"/>
        <v/>
      </c>
      <c r="E106" s="33" t="str">
        <f t="shared" ca="1" si="15"/>
        <v/>
      </c>
      <c r="F106" s="25" t="str">
        <f t="shared" ca="1" si="16"/>
        <v/>
      </c>
      <c r="G106" s="55" t="str">
        <f t="shared" ca="1" si="17"/>
        <v/>
      </c>
      <c r="J106" s="76">
        <f ca="1"/>
        <v>46070</v>
      </c>
      <c r="K106" s="41">
        <f ca="1"/>
        <v>55.344999999999999</v>
      </c>
      <c r="N106" s="37">
        <f t="shared" ca="1" si="9"/>
        <v>46070</v>
      </c>
      <c r="O106" s="37" t="str">
        <f t="shared" ca="1" si="10"/>
        <v/>
      </c>
    </row>
    <row r="107" spans="1:15" x14ac:dyDescent="0.25">
      <c r="A107" s="102" t="str">
        <f t="shared" ca="1" si="11"/>
        <v/>
      </c>
      <c r="B107" s="33" t="str">
        <f t="shared" ca="1" si="12"/>
        <v/>
      </c>
      <c r="C107" s="25" t="str">
        <f t="shared" ca="1" si="13"/>
        <v/>
      </c>
      <c r="D107" s="26" t="str">
        <f t="shared" ca="1" si="14"/>
        <v/>
      </c>
      <c r="E107" s="33" t="str">
        <f t="shared" ca="1" si="15"/>
        <v/>
      </c>
      <c r="F107" s="25" t="str">
        <f t="shared" ca="1" si="16"/>
        <v/>
      </c>
      <c r="G107" s="55" t="str">
        <f t="shared" ca="1" si="17"/>
        <v/>
      </c>
      <c r="J107" s="76">
        <f ca="1"/>
        <v>46071</v>
      </c>
      <c r="K107" s="41">
        <f ca="1"/>
        <v>53.841999999999999</v>
      </c>
      <c r="N107" s="37">
        <f t="shared" ca="1" si="9"/>
        <v>46071</v>
      </c>
      <c r="O107" s="37" t="str">
        <f t="shared" ca="1" si="10"/>
        <v/>
      </c>
    </row>
    <row r="108" spans="1:15" x14ac:dyDescent="0.25">
      <c r="A108" s="102" t="str">
        <f t="shared" ca="1" si="11"/>
        <v/>
      </c>
      <c r="B108" s="33" t="str">
        <f t="shared" ca="1" si="12"/>
        <v/>
      </c>
      <c r="C108" s="25" t="str">
        <f t="shared" ca="1" si="13"/>
        <v/>
      </c>
      <c r="D108" s="26" t="str">
        <f t="shared" ca="1" si="14"/>
        <v/>
      </c>
      <c r="E108" s="33" t="str">
        <f t="shared" ca="1" si="15"/>
        <v/>
      </c>
      <c r="F108" s="25" t="str">
        <f t="shared" ca="1" si="16"/>
        <v/>
      </c>
      <c r="G108" s="55" t="str">
        <f t="shared" ca="1" si="17"/>
        <v/>
      </c>
      <c r="J108" s="76">
        <f ca="1"/>
        <v>46072</v>
      </c>
      <c r="K108" s="41">
        <f ca="1"/>
        <v>54.808</v>
      </c>
      <c r="N108" s="37">
        <f t="shared" ca="1" si="9"/>
        <v>46072</v>
      </c>
      <c r="O108" s="37" t="str">
        <f t="shared" ca="1" si="10"/>
        <v/>
      </c>
    </row>
    <row r="109" spans="1:15" x14ac:dyDescent="0.25">
      <c r="A109" s="102" t="str">
        <f t="shared" ca="1" si="11"/>
        <v/>
      </c>
      <c r="B109" s="33" t="str">
        <f t="shared" ca="1" si="12"/>
        <v/>
      </c>
      <c r="C109" s="25" t="str">
        <f t="shared" ca="1" si="13"/>
        <v/>
      </c>
      <c r="D109" s="26" t="str">
        <f t="shared" ca="1" si="14"/>
        <v/>
      </c>
      <c r="E109" s="33" t="str">
        <f t="shared" ca="1" si="15"/>
        <v/>
      </c>
      <c r="F109" s="25" t="str">
        <f t="shared" ca="1" si="16"/>
        <v/>
      </c>
      <c r="G109" s="55" t="str">
        <f t="shared" ca="1" si="17"/>
        <v/>
      </c>
      <c r="J109" s="76">
        <f ca="1"/>
        <v>46073</v>
      </c>
      <c r="K109" s="41">
        <f ca="1"/>
        <v>54.222000000000001</v>
      </c>
      <c r="N109" s="37">
        <f t="shared" ca="1" si="9"/>
        <v>46073</v>
      </c>
      <c r="O109" s="37" t="str">
        <f t="shared" ca="1" si="10"/>
        <v/>
      </c>
    </row>
    <row r="110" spans="1:15" x14ac:dyDescent="0.25">
      <c r="A110" s="102" t="str">
        <f t="shared" ca="1" si="11"/>
        <v/>
      </c>
      <c r="B110" s="33" t="str">
        <f t="shared" ca="1" si="12"/>
        <v/>
      </c>
      <c r="C110" s="25" t="str">
        <f t="shared" ca="1" si="13"/>
        <v/>
      </c>
      <c r="D110" s="26" t="str">
        <f t="shared" ca="1" si="14"/>
        <v/>
      </c>
      <c r="E110" s="33" t="str">
        <f t="shared" ca="1" si="15"/>
        <v/>
      </c>
      <c r="F110" s="25" t="str">
        <f t="shared" ca="1" si="16"/>
        <v/>
      </c>
      <c r="G110" s="55" t="str">
        <f t="shared" ca="1" si="17"/>
        <v/>
      </c>
      <c r="J110" s="76">
        <f ca="1"/>
        <v>46076</v>
      </c>
      <c r="K110" s="41">
        <f ca="1"/>
        <v>54.843000000000004</v>
      </c>
      <c r="N110" s="37">
        <f t="shared" ca="1" si="9"/>
        <v>46076</v>
      </c>
      <c r="O110" s="37" t="str">
        <f t="shared" ca="1" si="10"/>
        <v/>
      </c>
    </row>
    <row r="111" spans="1:15" x14ac:dyDescent="0.25">
      <c r="A111" s="102" t="str">
        <f t="shared" ca="1" si="11"/>
        <v/>
      </c>
      <c r="B111" s="33" t="str">
        <f t="shared" ca="1" si="12"/>
        <v/>
      </c>
      <c r="C111" s="25" t="str">
        <f t="shared" ca="1" si="13"/>
        <v/>
      </c>
      <c r="D111" s="26" t="str">
        <f t="shared" ca="1" si="14"/>
        <v/>
      </c>
      <c r="E111" s="33" t="str">
        <f t="shared" ca="1" si="15"/>
        <v/>
      </c>
      <c r="F111" s="25" t="str">
        <f t="shared" ca="1" si="16"/>
        <v/>
      </c>
      <c r="G111" s="55" t="str">
        <f t="shared" ca="1" si="17"/>
        <v/>
      </c>
      <c r="J111" s="76">
        <f ca="1"/>
        <v>46077</v>
      </c>
      <c r="K111" s="41">
        <f ca="1"/>
        <v>55.404000000000003</v>
      </c>
      <c r="N111" s="37">
        <f t="shared" ca="1" si="9"/>
        <v>46077</v>
      </c>
      <c r="O111" s="37" t="str">
        <f t="shared" ca="1" si="10"/>
        <v/>
      </c>
    </row>
    <row r="112" spans="1:15" x14ac:dyDescent="0.25">
      <c r="A112" s="102" t="str">
        <f t="shared" ca="1" si="11"/>
        <v/>
      </c>
      <c r="B112" s="33" t="str">
        <f t="shared" ca="1" si="12"/>
        <v/>
      </c>
      <c r="C112" s="25" t="str">
        <f t="shared" ca="1" si="13"/>
        <v/>
      </c>
      <c r="D112" s="26" t="str">
        <f t="shared" ca="1" si="14"/>
        <v/>
      </c>
      <c r="E112" s="33" t="str">
        <f t="shared" ca="1" si="15"/>
        <v/>
      </c>
      <c r="F112" s="25" t="str">
        <f t="shared" ca="1" si="16"/>
        <v/>
      </c>
      <c r="G112" s="55" t="str">
        <f t="shared" ca="1" si="17"/>
        <v/>
      </c>
      <c r="J112" s="76">
        <f ca="1"/>
        <v>46078</v>
      </c>
      <c r="K112" s="41">
        <f ca="1"/>
        <v>55.009</v>
      </c>
      <c r="N112" s="37">
        <f t="shared" ca="1" si="9"/>
        <v>46078</v>
      </c>
      <c r="O112" s="37" t="str">
        <f t="shared" ca="1" si="10"/>
        <v/>
      </c>
    </row>
    <row r="113" spans="1:15" x14ac:dyDescent="0.25">
      <c r="A113" s="102" t="str">
        <f t="shared" ca="1" si="11"/>
        <v/>
      </c>
      <c r="B113" s="33" t="str">
        <f t="shared" ca="1" si="12"/>
        <v/>
      </c>
      <c r="C113" s="25" t="str">
        <f t="shared" ca="1" si="13"/>
        <v/>
      </c>
      <c r="D113" s="26" t="str">
        <f t="shared" ca="1" si="14"/>
        <v/>
      </c>
      <c r="E113" s="33" t="str">
        <f t="shared" ca="1" si="15"/>
        <v/>
      </c>
      <c r="F113" s="25" t="str">
        <f t="shared" ca="1" si="16"/>
        <v/>
      </c>
      <c r="G113" s="55" t="str">
        <f t="shared" ca="1" si="17"/>
        <v/>
      </c>
      <c r="J113" s="76">
        <f ca="1"/>
        <v>46079</v>
      </c>
      <c r="K113" s="41">
        <f ca="1"/>
        <v>55.963999999999999</v>
      </c>
      <c r="N113" s="37">
        <f t="shared" ca="1" si="9"/>
        <v>46079</v>
      </c>
      <c r="O113" s="37" t="str">
        <f t="shared" ca="1" si="10"/>
        <v/>
      </c>
    </row>
    <row r="114" spans="1:15" x14ac:dyDescent="0.25">
      <c r="A114" s="102" t="str">
        <f t="shared" ca="1" si="11"/>
        <v/>
      </c>
      <c r="B114" s="33" t="str">
        <f t="shared" ca="1" si="12"/>
        <v/>
      </c>
      <c r="C114" s="25" t="str">
        <f t="shared" ca="1" si="13"/>
        <v/>
      </c>
      <c r="D114" s="26" t="str">
        <f t="shared" ca="1" si="14"/>
        <v/>
      </c>
      <c r="E114" s="33" t="str">
        <f t="shared" ca="1" si="15"/>
        <v/>
      </c>
      <c r="F114" s="25" t="str">
        <f t="shared" ca="1" si="16"/>
        <v/>
      </c>
      <c r="G114" s="55" t="str">
        <f t="shared" ca="1" si="17"/>
        <v/>
      </c>
      <c r="J114" s="76">
        <f ca="1"/>
        <v>46080</v>
      </c>
      <c r="K114" s="41">
        <f ca="1"/>
        <v>59.09</v>
      </c>
      <c r="N114" s="37">
        <f t="shared" ca="1" si="9"/>
        <v>46080</v>
      </c>
      <c r="O114" s="37" t="str">
        <f t="shared" ca="1" si="10"/>
        <v/>
      </c>
    </row>
    <row r="115" spans="1:15" x14ac:dyDescent="0.25">
      <c r="A115" s="102" t="str">
        <f t="shared" ca="1" si="11"/>
        <v/>
      </c>
      <c r="B115" s="33" t="str">
        <f t="shared" ca="1" si="12"/>
        <v/>
      </c>
      <c r="C115" s="25" t="str">
        <f t="shared" ca="1" si="13"/>
        <v/>
      </c>
      <c r="D115" s="26" t="str">
        <f t="shared" ca="1" si="14"/>
        <v/>
      </c>
      <c r="E115" s="33" t="str">
        <f t="shared" ca="1" si="15"/>
        <v/>
      </c>
      <c r="F115" s="25" t="str">
        <f t="shared" ca="1" si="16"/>
        <v/>
      </c>
      <c r="G115" s="55" t="str">
        <f t="shared" ca="1" si="17"/>
        <v/>
      </c>
      <c r="J115" s="76">
        <f ca="1"/>
        <v>46083</v>
      </c>
      <c r="K115" s="41">
        <f ca="1"/>
        <v>59.655999999999999</v>
      </c>
      <c r="N115" s="37">
        <f t="shared" ca="1" si="9"/>
        <v>46083</v>
      </c>
      <c r="O115" s="37" t="str">
        <f t="shared" ca="1" si="10"/>
        <v/>
      </c>
    </row>
    <row r="116" spans="1:15" x14ac:dyDescent="0.25">
      <c r="A116" s="102" t="str">
        <f t="shared" ca="1" si="11"/>
        <v/>
      </c>
      <c r="B116" s="33" t="str">
        <f t="shared" ca="1" si="12"/>
        <v/>
      </c>
      <c r="C116" s="25" t="str">
        <f t="shared" ca="1" si="13"/>
        <v/>
      </c>
      <c r="D116" s="26" t="str">
        <f t="shared" ca="1" si="14"/>
        <v/>
      </c>
      <c r="E116" s="33" t="str">
        <f t="shared" ca="1" si="15"/>
        <v/>
      </c>
      <c r="F116" s="25" t="str">
        <f t="shared" ca="1" si="16"/>
        <v/>
      </c>
      <c r="G116" s="55" t="str">
        <f t="shared" ca="1" si="17"/>
        <v/>
      </c>
      <c r="J116" s="76">
        <f ca="1"/>
        <v>46084</v>
      </c>
      <c r="K116" s="41">
        <f ca="1"/>
        <v>61.670999999999999</v>
      </c>
      <c r="N116" s="37">
        <f t="shared" ca="1" si="9"/>
        <v>46084</v>
      </c>
      <c r="O116" s="37" t="str">
        <f t="shared" ca="1" si="10"/>
        <v/>
      </c>
    </row>
    <row r="117" spans="1:15" x14ac:dyDescent="0.25">
      <c r="A117" s="102" t="str">
        <f t="shared" ca="1" si="11"/>
        <v/>
      </c>
      <c r="B117" s="33" t="str">
        <f t="shared" ca="1" si="12"/>
        <v/>
      </c>
      <c r="C117" s="25" t="str">
        <f t="shared" ca="1" si="13"/>
        <v/>
      </c>
      <c r="D117" s="26" t="str">
        <f t="shared" ca="1" si="14"/>
        <v/>
      </c>
      <c r="E117" s="33" t="str">
        <f t="shared" ca="1" si="15"/>
        <v/>
      </c>
      <c r="F117" s="25" t="str">
        <f t="shared" ca="1" si="16"/>
        <v/>
      </c>
      <c r="G117" s="55" t="str">
        <f t="shared" ca="1" si="17"/>
        <v/>
      </c>
      <c r="J117" s="76">
        <f ca="1"/>
        <v>46085</v>
      </c>
      <c r="K117" s="41">
        <f ca="1"/>
        <v>59.225999999999999</v>
      </c>
      <c r="N117" s="37">
        <f t="shared" ca="1" si="9"/>
        <v>46085</v>
      </c>
      <c r="O117" s="37" t="str">
        <f t="shared" ca="1" si="10"/>
        <v/>
      </c>
    </row>
    <row r="118" spans="1:15" x14ac:dyDescent="0.25">
      <c r="A118" s="102"/>
      <c r="B118" s="33"/>
      <c r="C118" s="25"/>
      <c r="D118" s="26"/>
      <c r="E118" s="33"/>
      <c r="F118" s="25"/>
      <c r="G118" s="55"/>
      <c r="J118" s="76">
        <f ca="1"/>
        <v>46086</v>
      </c>
      <c r="K118" s="41">
        <f ca="1"/>
        <v>61.765999999999998</v>
      </c>
      <c r="N118" s="37">
        <f t="shared" ca="1" si="9"/>
        <v>46086</v>
      </c>
      <c r="O118" s="37" t="str">
        <f t="shared" ca="1" si="10"/>
        <v/>
      </c>
    </row>
    <row r="119" spans="1:15" x14ac:dyDescent="0.25">
      <c r="A119" s="102"/>
      <c r="B119" s="33"/>
      <c r="C119" s="25"/>
      <c r="D119" s="26"/>
      <c r="E119" s="33"/>
      <c r="F119" s="25"/>
      <c r="G119" s="55"/>
      <c r="J119" s="76">
        <f ca="1"/>
        <v>46087</v>
      </c>
      <c r="K119" s="41">
        <f ca="1"/>
        <v>65.13</v>
      </c>
      <c r="N119" s="37">
        <f t="shared" ca="1" si="9"/>
        <v>46087</v>
      </c>
      <c r="O119" s="37" t="str">
        <f t="shared" ca="1" si="10"/>
        <v/>
      </c>
    </row>
    <row r="120" spans="1:15" x14ac:dyDescent="0.25">
      <c r="A120" s="102"/>
      <c r="B120" s="33"/>
      <c r="C120" s="25"/>
      <c r="D120" s="26"/>
      <c r="E120" s="33"/>
      <c r="F120" s="25"/>
      <c r="G120" s="55"/>
      <c r="J120" s="76">
        <f ca="1"/>
        <v>46090</v>
      </c>
      <c r="K120" s="41">
        <f ca="1"/>
        <v>64.914000000000001</v>
      </c>
      <c r="N120" s="37">
        <f t="shared" ca="1" si="9"/>
        <v>46090</v>
      </c>
      <c r="O120" s="37" t="str">
        <f t="shared" ca="1" si="10"/>
        <v/>
      </c>
    </row>
    <row r="121" spans="1:15" x14ac:dyDescent="0.25">
      <c r="A121" s="102"/>
      <c r="B121" s="33"/>
      <c r="C121" s="25"/>
      <c r="D121" s="26"/>
      <c r="E121" s="33"/>
      <c r="F121" s="25"/>
      <c r="G121" s="55"/>
      <c r="J121" s="76">
        <f ca="1"/>
        <v>46091</v>
      </c>
      <c r="K121" s="41">
        <f ca="1"/>
        <v>61.042000000000002</v>
      </c>
      <c r="N121" s="37">
        <f t="shared" ca="1" si="9"/>
        <v>46091</v>
      </c>
      <c r="O121" s="37" t="str">
        <f t="shared" ca="1" si="10"/>
        <v/>
      </c>
    </row>
    <row r="122" spans="1:15" x14ac:dyDescent="0.25">
      <c r="A122" s="102"/>
      <c r="B122" s="33"/>
      <c r="C122" s="25"/>
      <c r="D122" s="26"/>
      <c r="E122" s="33"/>
      <c r="F122" s="25"/>
      <c r="G122" s="55"/>
      <c r="J122" s="76">
        <f ca="1"/>
        <v>46092</v>
      </c>
      <c r="K122" s="41">
        <f ca="1"/>
        <v>64.007000000000005</v>
      </c>
      <c r="N122" s="37">
        <f t="shared" ca="1" si="9"/>
        <v>46092</v>
      </c>
      <c r="O122" s="37" t="str">
        <f t="shared" ca="1" si="10"/>
        <v/>
      </c>
    </row>
    <row r="123" spans="1:15" x14ac:dyDescent="0.25">
      <c r="A123" s="102"/>
      <c r="B123" s="33"/>
      <c r="C123" s="25"/>
      <c r="D123" s="26"/>
      <c r="E123" s="33"/>
      <c r="F123" s="25"/>
      <c r="G123" s="55"/>
      <c r="J123" s="76">
        <f ca="1"/>
        <v>46093</v>
      </c>
      <c r="K123" s="41">
        <f ca="1"/>
        <v>67.031999999999996</v>
      </c>
      <c r="N123" s="37">
        <f t="shared" ca="1" si="9"/>
        <v>46093</v>
      </c>
      <c r="O123" s="37" t="str">
        <f t="shared" ca="1" si="10"/>
        <v/>
      </c>
    </row>
    <row r="124" spans="1:15" x14ac:dyDescent="0.25">
      <c r="A124" s="102"/>
      <c r="B124" s="33"/>
      <c r="C124" s="25"/>
      <c r="D124" s="26"/>
      <c r="E124" s="33"/>
      <c r="F124" s="25"/>
      <c r="G124" s="55"/>
      <c r="J124" s="76">
        <f ca="1"/>
        <v>46094</v>
      </c>
      <c r="K124" s="41">
        <f ca="1"/>
        <v>69.042000000000002</v>
      </c>
      <c r="N124" s="37">
        <f t="shared" ca="1" si="9"/>
        <v>46094</v>
      </c>
      <c r="O124" s="37" t="str">
        <f t="shared" ca="1" si="10"/>
        <v/>
      </c>
    </row>
    <row r="125" spans="1:15" x14ac:dyDescent="0.25">
      <c r="A125" s="102"/>
      <c r="B125" s="33"/>
      <c r="C125" s="25"/>
      <c r="D125" s="26"/>
      <c r="E125" s="33"/>
      <c r="F125" s="25"/>
      <c r="G125" s="55"/>
      <c r="J125" s="76">
        <f ca="1"/>
        <v>46097</v>
      </c>
      <c r="K125" s="41">
        <f ca="1"/>
        <v>67.513000000000005</v>
      </c>
      <c r="N125" s="37">
        <f t="shared" ca="1" si="9"/>
        <v>46097</v>
      </c>
      <c r="O125" s="37" t="str">
        <f t="shared" ca="1" si="10"/>
        <v/>
      </c>
    </row>
    <row r="126" spans="1:15" x14ac:dyDescent="0.25">
      <c r="A126" s="102"/>
      <c r="B126" s="33"/>
      <c r="C126" s="25"/>
      <c r="D126" s="26"/>
      <c r="E126" s="33"/>
      <c r="F126" s="25"/>
      <c r="G126" s="55"/>
      <c r="J126" s="76">
        <f ca="1"/>
        <v>46098</v>
      </c>
      <c r="K126" s="41">
        <f ca="1"/>
        <v>65.245000000000005</v>
      </c>
      <c r="N126" s="37">
        <f t="shared" ca="1" si="9"/>
        <v>46098</v>
      </c>
      <c r="O126" s="37" t="str">
        <f t="shared" ca="1" si="10"/>
        <v/>
      </c>
    </row>
    <row r="127" spans="1:15" x14ac:dyDescent="0.25">
      <c r="A127" s="102"/>
      <c r="B127" s="33"/>
      <c r="C127" s="25"/>
      <c r="D127" s="26"/>
      <c r="E127" s="33"/>
      <c r="F127" s="25"/>
      <c r="G127" s="55"/>
      <c r="J127" s="76">
        <f ca="1"/>
        <v>46099</v>
      </c>
      <c r="K127" s="41">
        <f ca="1"/>
        <v>66.06</v>
      </c>
      <c r="N127" s="37">
        <f t="shared" ca="1" si="9"/>
        <v>46099</v>
      </c>
      <c r="O127" s="37" t="str">
        <f t="shared" ca="1" si="10"/>
        <v/>
      </c>
    </row>
    <row r="128" spans="1:15" x14ac:dyDescent="0.25">
      <c r="A128" s="102"/>
      <c r="B128" s="33"/>
      <c r="C128" s="25"/>
      <c r="D128" s="26"/>
      <c r="E128" s="33"/>
      <c r="F128" s="25"/>
      <c r="G128" s="55"/>
      <c r="J128" s="76">
        <f ca="1"/>
        <v>46100</v>
      </c>
      <c r="K128" s="41">
        <f ca="1"/>
        <v>68.897999999999996</v>
      </c>
      <c r="N128" s="37">
        <f t="shared" ca="1" si="9"/>
        <v>46100</v>
      </c>
      <c r="O128" s="37" t="str">
        <f t="shared" ca="1" si="10"/>
        <v/>
      </c>
    </row>
    <row r="129" spans="1:15" x14ac:dyDescent="0.25">
      <c r="A129" s="102"/>
      <c r="B129" s="33"/>
      <c r="C129" s="25"/>
      <c r="D129" s="26"/>
      <c r="E129" s="33"/>
      <c r="F129" s="25"/>
      <c r="G129" s="55"/>
      <c r="J129" s="76">
        <f ca="1"/>
        <v>46101</v>
      </c>
      <c r="K129" s="41">
        <f ca="1"/>
        <v>69.957999999999998</v>
      </c>
      <c r="N129" s="37">
        <f t="shared" ca="1" si="9"/>
        <v>46101</v>
      </c>
      <c r="O129" s="37" t="str">
        <f t="shared" ca="1" si="10"/>
        <v/>
      </c>
    </row>
    <row r="130" spans="1:15" x14ac:dyDescent="0.25">
      <c r="A130" s="102"/>
      <c r="B130" s="33"/>
      <c r="C130" s="25"/>
      <c r="D130" s="26"/>
      <c r="E130" s="33"/>
      <c r="F130" s="25"/>
      <c r="G130" s="55"/>
      <c r="J130" s="76">
        <f ca="1"/>
        <v>46104</v>
      </c>
      <c r="K130" s="41">
        <f ca="1"/>
        <v>67.602999999999994</v>
      </c>
      <c r="N130" s="37" t="str">
        <f t="shared" ca="1" si="9"/>
        <v/>
      </c>
      <c r="O130" s="37" t="str">
        <f t="shared" ca="1" si="10"/>
        <v/>
      </c>
    </row>
    <row r="131" spans="1:15" x14ac:dyDescent="0.25">
      <c r="A131" s="102"/>
      <c r="B131" s="33"/>
      <c r="C131" s="25"/>
      <c r="D131" s="26"/>
      <c r="E131" s="33"/>
      <c r="F131" s="25"/>
      <c r="G131" s="55"/>
      <c r="J131" s="76">
        <f ca="1"/>
        <v>46105</v>
      </c>
      <c r="K131" s="41">
        <f ca="1"/>
        <v>68.039000000000001</v>
      </c>
      <c r="N131" s="37" t="str">
        <f t="shared" ca="1" si="9"/>
        <v/>
      </c>
      <c r="O131" s="37" t="str">
        <f t="shared" ca="1" si="10"/>
        <v/>
      </c>
    </row>
    <row r="132" spans="1:15" x14ac:dyDescent="0.25">
      <c r="A132" s="102"/>
      <c r="B132" s="33"/>
      <c r="C132" s="25"/>
      <c r="D132" s="26"/>
      <c r="E132" s="33"/>
      <c r="F132" s="25"/>
      <c r="G132" s="55"/>
      <c r="J132" s="76">
        <f ca="1"/>
        <v>46106</v>
      </c>
      <c r="K132" s="41">
        <f ca="1"/>
        <v>65.570999999999998</v>
      </c>
      <c r="N132" s="37" t="str">
        <f t="shared" ref="N132:N195" ca="1" si="18">IF(COUNTIF(L:L,J132),J132,"")</f>
        <v/>
      </c>
      <c r="O132" s="37" t="str">
        <f t="shared" ref="O132:O195" ca="1" si="19">IF(N132&gt;$A$14,N132,"")</f>
        <v/>
      </c>
    </row>
    <row r="133" spans="1:15" x14ac:dyDescent="0.25">
      <c r="A133" s="102"/>
      <c r="B133" s="33"/>
      <c r="C133" s="25"/>
      <c r="D133" s="26"/>
      <c r="E133" s="33"/>
      <c r="F133" s="25"/>
      <c r="G133" s="55"/>
      <c r="J133" s="76">
        <f ca="1"/>
        <v>46107</v>
      </c>
      <c r="K133" s="41">
        <f ca="1"/>
        <v>69.739999999999995</v>
      </c>
      <c r="N133" s="37" t="str">
        <f t="shared" ca="1" si="18"/>
        <v/>
      </c>
      <c r="O133" s="37" t="str">
        <f t="shared" ca="1" si="19"/>
        <v/>
      </c>
    </row>
    <row r="134" spans="1:15" x14ac:dyDescent="0.25">
      <c r="A134" s="102"/>
      <c r="B134" s="33"/>
      <c r="C134" s="25"/>
      <c r="D134" s="26"/>
      <c r="E134" s="33"/>
      <c r="F134" s="25"/>
      <c r="G134" s="55"/>
      <c r="J134" s="76">
        <f ca="1"/>
        <v>46108</v>
      </c>
      <c r="K134" s="41">
        <f ca="1"/>
        <v>72.174000000000007</v>
      </c>
      <c r="N134" s="37" t="str">
        <f t="shared" ca="1" si="18"/>
        <v/>
      </c>
      <c r="O134" s="37" t="str">
        <f t="shared" ca="1" si="19"/>
        <v/>
      </c>
    </row>
    <row r="135" spans="1:15" x14ac:dyDescent="0.25">
      <c r="A135" s="102"/>
      <c r="B135" s="33"/>
      <c r="C135" s="25"/>
      <c r="D135" s="26"/>
      <c r="E135" s="33"/>
      <c r="F135" s="25"/>
      <c r="G135" s="55"/>
      <c r="J135" s="76">
        <f ca="1"/>
        <v>46111</v>
      </c>
      <c r="K135" s="41">
        <f ca="1"/>
        <v>71.888000000000005</v>
      </c>
      <c r="N135" s="37" t="str">
        <f t="shared" ca="1" si="18"/>
        <v/>
      </c>
      <c r="O135" s="37" t="str">
        <f t="shared" ca="1" si="19"/>
        <v/>
      </c>
    </row>
    <row r="136" spans="1:15" x14ac:dyDescent="0.25">
      <c r="A136" s="102"/>
      <c r="B136" s="33"/>
      <c r="C136" s="25"/>
      <c r="D136" s="26"/>
      <c r="E136" s="33"/>
      <c r="F136" s="25"/>
      <c r="G136" s="55"/>
      <c r="J136" s="76">
        <f ca="1"/>
        <v>46112</v>
      </c>
      <c r="K136" s="41">
        <f ca="1"/>
        <v>69.841999999999999</v>
      </c>
      <c r="N136" s="37" t="str">
        <f t="shared" ca="1" si="18"/>
        <v/>
      </c>
      <c r="O136" s="37" t="str">
        <f t="shared" ca="1" si="19"/>
        <v/>
      </c>
    </row>
    <row r="137" spans="1:15" x14ac:dyDescent="0.25">
      <c r="A137" s="102"/>
      <c r="B137" s="33"/>
      <c r="C137" s="25"/>
      <c r="D137" s="26"/>
      <c r="E137" s="33"/>
      <c r="F137" s="25"/>
      <c r="G137" s="55"/>
      <c r="J137" s="76">
        <f ca="1"/>
        <v>46113</v>
      </c>
      <c r="K137" s="41">
        <f ca="1"/>
        <v>63.866</v>
      </c>
      <c r="N137" s="37" t="str">
        <f t="shared" ca="1" si="18"/>
        <v/>
      </c>
      <c r="O137" s="37" t="str">
        <f t="shared" ca="1" si="19"/>
        <v/>
      </c>
    </row>
    <row r="138" spans="1:15" x14ac:dyDescent="0.25">
      <c r="A138" s="102"/>
      <c r="B138" s="33"/>
      <c r="C138" s="25"/>
      <c r="D138" s="26"/>
      <c r="E138" s="33"/>
      <c r="F138" s="25"/>
      <c r="G138" s="55"/>
      <c r="J138" s="76">
        <f ca="1"/>
        <v>46114</v>
      </c>
      <c r="K138" s="41">
        <f ca="1"/>
        <v>62.896000000000001</v>
      </c>
      <c r="N138" s="37" t="str">
        <f t="shared" ca="1" si="18"/>
        <v/>
      </c>
      <c r="O138" s="37" t="str">
        <f t="shared" ca="1" si="19"/>
        <v/>
      </c>
    </row>
    <row r="139" spans="1:15" x14ac:dyDescent="0.25">
      <c r="A139" s="102"/>
      <c r="B139" s="33"/>
      <c r="C139" s="25"/>
      <c r="D139" s="26"/>
      <c r="E139" s="33"/>
      <c r="F139" s="25"/>
      <c r="G139" s="55"/>
      <c r="J139" s="76">
        <f ca="1"/>
        <v>46119</v>
      </c>
      <c r="K139" s="41">
        <f ca="1"/>
        <v>64.347999999999999</v>
      </c>
      <c r="N139" s="37" t="str">
        <f t="shared" ca="1" si="18"/>
        <v/>
      </c>
      <c r="O139" s="37" t="str">
        <f t="shared" ca="1" si="19"/>
        <v/>
      </c>
    </row>
    <row r="140" spans="1:15" x14ac:dyDescent="0.25">
      <c r="A140" s="102"/>
      <c r="B140" s="33"/>
      <c r="C140" s="25"/>
      <c r="D140" s="26"/>
      <c r="E140" s="33"/>
      <c r="F140" s="25"/>
      <c r="G140" s="55"/>
      <c r="J140" s="76">
        <f ca="1"/>
        <v>46120</v>
      </c>
      <c r="K140" s="41">
        <f ca="1"/>
        <v>56.904000000000003</v>
      </c>
      <c r="N140" s="37" t="str">
        <f t="shared" ca="1" si="18"/>
        <v/>
      </c>
      <c r="O140" s="37" t="str">
        <f t="shared" ca="1" si="19"/>
        <v/>
      </c>
    </row>
    <row r="141" spans="1:15" x14ac:dyDescent="0.25">
      <c r="A141" s="102"/>
      <c r="B141" s="33"/>
      <c r="C141" s="25"/>
      <c r="D141" s="26"/>
      <c r="E141" s="33"/>
      <c r="F141" s="25"/>
      <c r="G141" s="55"/>
      <c r="J141" s="76">
        <f ca="1"/>
        <v>46121</v>
      </c>
      <c r="K141" s="41">
        <f ca="1"/>
        <v>55.555999999999997</v>
      </c>
      <c r="N141" s="37" t="str">
        <f t="shared" ca="1" si="18"/>
        <v/>
      </c>
      <c r="O141" s="37" t="str">
        <f t="shared" ca="1" si="19"/>
        <v/>
      </c>
    </row>
    <row r="142" spans="1:15" x14ac:dyDescent="0.25">
      <c r="A142" s="102"/>
      <c r="B142" s="33"/>
      <c r="C142" s="25"/>
      <c r="D142" s="26"/>
      <c r="E142" s="33"/>
      <c r="F142" s="25"/>
      <c r="G142" s="55"/>
      <c r="J142" s="76">
        <f ca="1"/>
        <v>46122</v>
      </c>
      <c r="K142" s="41">
        <f ca="1"/>
        <v>56.551000000000002</v>
      </c>
      <c r="N142" s="37" t="str">
        <f t="shared" ca="1" si="18"/>
        <v/>
      </c>
      <c r="O142" s="37" t="str">
        <f t="shared" ca="1" si="19"/>
        <v/>
      </c>
    </row>
    <row r="143" spans="1:15" x14ac:dyDescent="0.25">
      <c r="A143" s="102"/>
      <c r="B143" s="33"/>
      <c r="C143" s="25"/>
      <c r="D143" s="26"/>
      <c r="E143" s="33"/>
      <c r="F143" s="25"/>
      <c r="G143" s="55"/>
      <c r="J143" s="76">
        <f ca="1"/>
        <v>46125</v>
      </c>
      <c r="K143" s="41">
        <f ca="1"/>
        <v>56.540999999999997</v>
      </c>
      <c r="N143" s="37" t="str">
        <f t="shared" ca="1" si="18"/>
        <v/>
      </c>
      <c r="O143" s="37" t="str">
        <f t="shared" ca="1" si="19"/>
        <v/>
      </c>
    </row>
    <row r="144" spans="1:15" x14ac:dyDescent="0.25">
      <c r="A144" s="102"/>
      <c r="B144" s="33"/>
      <c r="C144" s="25"/>
      <c r="D144" s="26"/>
      <c r="E144" s="33"/>
      <c r="F144" s="25"/>
      <c r="G144" s="55"/>
      <c r="J144" s="76">
        <f ca="1"/>
        <v>46126</v>
      </c>
      <c r="K144" s="41">
        <f ca="1"/>
        <v>53.875</v>
      </c>
      <c r="N144" s="37" t="str">
        <f t="shared" ca="1" si="18"/>
        <v/>
      </c>
      <c r="O144" s="37" t="str">
        <f t="shared" ca="1" si="19"/>
        <v/>
      </c>
    </row>
    <row r="145" spans="1:15" x14ac:dyDescent="0.25">
      <c r="A145" s="102"/>
      <c r="B145" s="33"/>
      <c r="C145" s="25"/>
      <c r="D145" s="26"/>
      <c r="E145" s="33"/>
      <c r="F145" s="25"/>
      <c r="G145" s="55"/>
      <c r="J145" s="76">
        <f ca="1"/>
        <v>46127</v>
      </c>
      <c r="K145" s="41">
        <f ca="1"/>
        <v>54.264000000000003</v>
      </c>
      <c r="N145" s="37" t="str">
        <f t="shared" ca="1" si="18"/>
        <v/>
      </c>
      <c r="O145" s="37" t="str">
        <f t="shared" ca="1" si="19"/>
        <v/>
      </c>
    </row>
    <row r="146" spans="1:15" x14ac:dyDescent="0.25">
      <c r="A146" s="102"/>
      <c r="B146" s="33"/>
      <c r="C146" s="25"/>
      <c r="D146" s="26"/>
      <c r="E146" s="33"/>
      <c r="F146" s="25"/>
      <c r="G146" s="55"/>
      <c r="J146" s="76">
        <f ca="1"/>
        <v>46128</v>
      </c>
      <c r="K146" s="41">
        <f ca="1"/>
        <v>55.073</v>
      </c>
      <c r="N146" s="37" t="str">
        <f t="shared" ca="1" si="18"/>
        <v/>
      </c>
      <c r="O146" s="37" t="str">
        <f t="shared" ca="1" si="19"/>
        <v/>
      </c>
    </row>
    <row r="147" spans="1:15" x14ac:dyDescent="0.25">
      <c r="A147" s="102"/>
      <c r="B147" s="33"/>
      <c r="C147" s="25"/>
      <c r="D147" s="26"/>
      <c r="E147" s="33"/>
      <c r="F147" s="25"/>
      <c r="G147" s="55"/>
      <c r="J147" s="76">
        <f ca="1"/>
        <v>46129</v>
      </c>
      <c r="K147" s="41">
        <f ca="1"/>
        <v>52.901000000000003</v>
      </c>
      <c r="N147" s="37" t="str">
        <f t="shared" ca="1" si="18"/>
        <v/>
      </c>
      <c r="O147" s="37" t="str">
        <f t="shared" ca="1" si="19"/>
        <v/>
      </c>
    </row>
    <row r="148" spans="1:15" x14ac:dyDescent="0.25">
      <c r="A148" s="102"/>
      <c r="B148" s="33"/>
      <c r="C148" s="25"/>
      <c r="D148" s="26"/>
      <c r="E148" s="33"/>
      <c r="F148" s="25"/>
      <c r="G148" s="55"/>
      <c r="J148" s="76">
        <f ca="1"/>
        <v>46132</v>
      </c>
      <c r="K148" s="41">
        <f ca="1"/>
        <v>53.695</v>
      </c>
      <c r="N148" s="37" t="str">
        <f t="shared" ca="1" si="18"/>
        <v/>
      </c>
      <c r="O148" s="37" t="str">
        <f t="shared" ca="1" si="19"/>
        <v/>
      </c>
    </row>
    <row r="149" spans="1:15" x14ac:dyDescent="0.25">
      <c r="A149" s="102"/>
      <c r="B149" s="33"/>
      <c r="C149" s="25"/>
      <c r="D149" s="26"/>
      <c r="E149" s="33"/>
      <c r="F149" s="25"/>
      <c r="G149" s="55"/>
      <c r="J149" s="76">
        <f ca="1"/>
        <v>46133</v>
      </c>
      <c r="K149" s="41">
        <f ca="1"/>
        <v>55.024000000000001</v>
      </c>
      <c r="N149" s="37" t="str">
        <f t="shared" ca="1" si="18"/>
        <v/>
      </c>
      <c r="O149" s="37" t="str">
        <f t="shared" ca="1" si="19"/>
        <v/>
      </c>
    </row>
    <row r="150" spans="1:15" x14ac:dyDescent="0.25">
      <c r="A150" s="102"/>
      <c r="B150" s="33"/>
      <c r="C150" s="25"/>
      <c r="D150" s="26"/>
      <c r="E150" s="33"/>
      <c r="F150" s="25"/>
      <c r="G150" s="55"/>
      <c r="J150" s="76">
        <f ca="1"/>
        <v>46134</v>
      </c>
      <c r="K150" s="41">
        <f ca="1"/>
        <v>55.314999999999998</v>
      </c>
      <c r="N150" s="37" t="str">
        <f t="shared" ca="1" si="18"/>
        <v/>
      </c>
      <c r="O150" s="37" t="str">
        <f t="shared" ca="1" si="19"/>
        <v/>
      </c>
    </row>
    <row r="151" spans="1:15" x14ac:dyDescent="0.25">
      <c r="A151" s="102"/>
      <c r="B151" s="33"/>
      <c r="C151" s="25"/>
      <c r="D151" s="26"/>
      <c r="E151" s="33"/>
      <c r="F151" s="25"/>
      <c r="G151" s="55"/>
      <c r="J151" s="76">
        <f ca="1"/>
        <v>46135</v>
      </c>
      <c r="K151" s="41">
        <f ca="1"/>
        <v>55.581000000000003</v>
      </c>
      <c r="N151" s="37" t="str">
        <f t="shared" ca="1" si="18"/>
        <v/>
      </c>
      <c r="O151" s="37" t="str">
        <f t="shared" ca="1" si="19"/>
        <v/>
      </c>
    </row>
    <row r="152" spans="1:15" x14ac:dyDescent="0.25">
      <c r="A152" s="102"/>
      <c r="B152" s="33"/>
      <c r="C152" s="25"/>
      <c r="D152" s="26"/>
      <c r="E152" s="33"/>
      <c r="F152" s="25"/>
      <c r="G152" s="55"/>
      <c r="J152" s="76">
        <f ca="1"/>
        <v>46136</v>
      </c>
      <c r="K152" s="41">
        <f ca="1"/>
        <v>55.280999999999999</v>
      </c>
      <c r="N152" s="37" t="str">
        <f t="shared" ca="1" si="18"/>
        <v/>
      </c>
      <c r="O152" s="37" t="str">
        <f t="shared" ca="1" si="19"/>
        <v/>
      </c>
    </row>
    <row r="153" spans="1:15" x14ac:dyDescent="0.25">
      <c r="A153" s="102"/>
      <c r="B153" s="33"/>
      <c r="C153" s="25"/>
      <c r="D153" s="26"/>
      <c r="E153" s="33"/>
      <c r="F153" s="25"/>
      <c r="G153" s="55"/>
      <c r="J153" s="76">
        <f ca="1"/>
        <v>46139</v>
      </c>
      <c r="K153" s="41">
        <f ca="1"/>
        <v>55.56</v>
      </c>
      <c r="N153" s="37" t="str">
        <f t="shared" ca="1" si="18"/>
        <v/>
      </c>
      <c r="O153" s="37" t="str">
        <f t="shared" ca="1" si="19"/>
        <v/>
      </c>
    </row>
    <row r="154" spans="1:15" x14ac:dyDescent="0.25">
      <c r="A154" s="102"/>
      <c r="B154" s="33"/>
      <c r="C154" s="25"/>
      <c r="D154" s="26"/>
      <c r="E154" s="33"/>
      <c r="F154" s="25"/>
      <c r="G154" s="55"/>
      <c r="J154" s="76">
        <f ca="1"/>
        <v>46140</v>
      </c>
      <c r="K154" s="41">
        <f ca="1"/>
        <v>56.024000000000001</v>
      </c>
      <c r="N154" s="37" t="str">
        <f t="shared" ca="1" si="18"/>
        <v/>
      </c>
      <c r="O154" s="37" t="str">
        <f t="shared" ca="1" si="19"/>
        <v/>
      </c>
    </row>
    <row r="155" spans="1:15" x14ac:dyDescent="0.25">
      <c r="A155" s="102"/>
      <c r="B155" s="33"/>
      <c r="C155" s="25"/>
      <c r="D155" s="26"/>
      <c r="E155" s="33"/>
      <c r="F155" s="25"/>
      <c r="G155" s="55"/>
      <c r="J155" s="76">
        <f ca="1"/>
        <v>46141</v>
      </c>
      <c r="K155" s="41">
        <f ca="1"/>
        <v>56.923000000000002</v>
      </c>
      <c r="N155" s="37" t="str">
        <f t="shared" ca="1" si="18"/>
        <v/>
      </c>
      <c r="O155" s="37" t="str">
        <f t="shared" ca="1" si="19"/>
        <v/>
      </c>
    </row>
    <row r="156" spans="1:15" x14ac:dyDescent="0.25">
      <c r="A156" s="102"/>
      <c r="B156" s="33"/>
      <c r="C156" s="25"/>
      <c r="D156" s="26"/>
      <c r="E156" s="33"/>
      <c r="F156" s="25"/>
      <c r="G156" s="55"/>
      <c r="J156" s="76">
        <f ca="1"/>
        <v>46142</v>
      </c>
      <c r="K156" s="41">
        <f ca="1"/>
        <v>55.463000000000001</v>
      </c>
      <c r="N156" s="37" t="str">
        <f t="shared" ca="1" si="18"/>
        <v/>
      </c>
      <c r="O156" s="37" t="str">
        <f t="shared" ca="1" si="19"/>
        <v/>
      </c>
    </row>
    <row r="157" spans="1:15" x14ac:dyDescent="0.25">
      <c r="A157" s="102"/>
      <c r="B157" s="33"/>
      <c r="C157" s="25"/>
      <c r="D157" s="26"/>
      <c r="E157" s="33"/>
      <c r="F157" s="25"/>
      <c r="G157" s="55"/>
      <c r="J157" s="76">
        <f ca="1"/>
        <v>46143</v>
      </c>
      <c r="K157" s="41">
        <f ca="1"/>
        <v>53.442999999999998</v>
      </c>
      <c r="N157" s="37" t="str">
        <f t="shared" ca="1" si="18"/>
        <v/>
      </c>
      <c r="O157" s="37" t="str">
        <f t="shared" ca="1" si="19"/>
        <v/>
      </c>
    </row>
    <row r="158" spans="1:15" x14ac:dyDescent="0.25">
      <c r="A158" s="102"/>
      <c r="B158" s="33"/>
      <c r="C158" s="25"/>
      <c r="D158" s="26"/>
      <c r="E158" s="33"/>
      <c r="F158" s="25"/>
      <c r="G158" s="55"/>
      <c r="J158" s="76">
        <f ca="1"/>
        <v>46147</v>
      </c>
      <c r="K158" s="41">
        <f ca="1"/>
        <v>53.976999999999997</v>
      </c>
      <c r="N158" s="37" t="str">
        <f t="shared" ca="1" si="18"/>
        <v/>
      </c>
      <c r="O158" s="37" t="str">
        <f t="shared" ca="1" si="19"/>
        <v/>
      </c>
    </row>
    <row r="159" spans="1:15" x14ac:dyDescent="0.25">
      <c r="A159" s="102"/>
      <c r="B159" s="33"/>
      <c r="C159" s="25"/>
      <c r="D159" s="26"/>
      <c r="E159" s="33"/>
      <c r="F159" s="25"/>
      <c r="G159" s="55"/>
      <c r="J159" s="76">
        <f ca="1"/>
        <v>46148</v>
      </c>
      <c r="K159" s="41">
        <f ca="1"/>
        <v>51.639000000000003</v>
      </c>
      <c r="N159" s="37" t="str">
        <f t="shared" ca="1" si="18"/>
        <v/>
      </c>
      <c r="O159" s="37" t="str">
        <f t="shared" ca="1" si="19"/>
        <v/>
      </c>
    </row>
    <row r="160" spans="1:15" x14ac:dyDescent="0.25">
      <c r="A160" s="102"/>
      <c r="B160" s="33"/>
      <c r="C160" s="25"/>
      <c r="D160" s="26"/>
      <c r="E160" s="33"/>
      <c r="F160" s="25"/>
      <c r="G160" s="55"/>
      <c r="J160" s="76">
        <f ca="1"/>
        <v>46149</v>
      </c>
      <c r="K160" s="41">
        <f ca="1"/>
        <v>52.381999999999998</v>
      </c>
      <c r="N160" s="37" t="str">
        <f t="shared" ca="1" si="18"/>
        <v/>
      </c>
      <c r="O160" s="37" t="str">
        <f t="shared" ca="1" si="19"/>
        <v/>
      </c>
    </row>
    <row r="161" spans="1:15" x14ac:dyDescent="0.25">
      <c r="A161" s="102"/>
      <c r="B161" s="33"/>
      <c r="C161" s="25"/>
      <c r="D161" s="26"/>
      <c r="E161" s="33"/>
      <c r="F161" s="25"/>
      <c r="G161" s="55"/>
      <c r="J161" s="76">
        <f ca="1"/>
        <v>46150</v>
      </c>
      <c r="K161" s="41">
        <f ca="1"/>
        <v>52.292000000000002</v>
      </c>
      <c r="N161" s="37" t="str">
        <f t="shared" ca="1" si="18"/>
        <v/>
      </c>
      <c r="O161" s="37" t="str">
        <f t="shared" ca="1" si="19"/>
        <v/>
      </c>
    </row>
    <row r="162" spans="1:15" x14ac:dyDescent="0.25">
      <c r="A162" s="102"/>
      <c r="B162" s="33"/>
      <c r="C162" s="25"/>
      <c r="D162" s="26"/>
      <c r="E162" s="33"/>
      <c r="F162" s="25"/>
      <c r="G162" s="55"/>
      <c r="J162" s="76">
        <f ca="1"/>
        <v>46153</v>
      </c>
      <c r="K162" s="41">
        <f ca="1"/>
        <v>51.969000000000001</v>
      </c>
      <c r="N162" s="37" t="str">
        <f t="shared" ca="1" si="18"/>
        <v/>
      </c>
      <c r="O162" s="37" t="str">
        <f t="shared" ca="1" si="19"/>
        <v/>
      </c>
    </row>
    <row r="163" spans="1:15" x14ac:dyDescent="0.25">
      <c r="A163" s="102"/>
      <c r="B163" s="33"/>
      <c r="C163" s="25"/>
      <c r="D163" s="26"/>
      <c r="E163" s="33"/>
      <c r="F163" s="25"/>
      <c r="G163" s="55"/>
      <c r="J163" s="76">
        <f ca="1"/>
        <v>46154</v>
      </c>
      <c r="K163" s="41">
        <f ca="1"/>
        <v>54.070999999999998</v>
      </c>
      <c r="N163" s="37" t="str">
        <f t="shared" ca="1" si="18"/>
        <v/>
      </c>
      <c r="O163" s="37" t="str">
        <f t="shared" ca="1" si="19"/>
        <v/>
      </c>
    </row>
    <row r="164" spans="1:15" x14ac:dyDescent="0.25">
      <c r="A164" s="102"/>
      <c r="B164" s="33"/>
      <c r="C164" s="25"/>
      <c r="D164" s="26"/>
      <c r="E164" s="33"/>
      <c r="F164" s="25"/>
      <c r="G164" s="55"/>
      <c r="J164" s="76">
        <f ca="1"/>
        <v>46155</v>
      </c>
      <c r="K164" s="41">
        <f ca="1"/>
        <v>52.902999999999999</v>
      </c>
      <c r="N164" s="37" t="str">
        <f t="shared" ca="1" si="18"/>
        <v/>
      </c>
      <c r="O164" s="37" t="str">
        <f t="shared" ca="1" si="19"/>
        <v/>
      </c>
    </row>
    <row r="165" spans="1:15" x14ac:dyDescent="0.25">
      <c r="A165" s="102"/>
      <c r="B165" s="33"/>
      <c r="C165" s="25"/>
      <c r="D165" s="26"/>
      <c r="E165" s="33"/>
      <c r="F165" s="25"/>
      <c r="G165" s="55"/>
      <c r="J165" s="76">
        <f ca="1"/>
        <v>46156</v>
      </c>
      <c r="K165" s="41">
        <f ca="1"/>
        <v>51.935000000000002</v>
      </c>
      <c r="N165" s="37" t="str">
        <f t="shared" ca="1" si="18"/>
        <v/>
      </c>
      <c r="O165" s="37" t="str">
        <f t="shared" ca="1" si="19"/>
        <v/>
      </c>
    </row>
    <row r="166" spans="1:15" x14ac:dyDescent="0.25">
      <c r="A166" s="102"/>
      <c r="B166" s="33"/>
      <c r="C166" s="25"/>
      <c r="D166" s="26"/>
      <c r="E166" s="33"/>
      <c r="F166" s="25"/>
      <c r="G166" s="55"/>
      <c r="J166" s="76">
        <f ca="1"/>
        <v>46157</v>
      </c>
      <c r="K166" s="41">
        <f ca="1"/>
        <v>54.152000000000001</v>
      </c>
      <c r="N166" s="37" t="str">
        <f t="shared" ca="1" si="18"/>
        <v/>
      </c>
      <c r="O166" s="37" t="str">
        <f t="shared" ca="1" si="19"/>
        <v/>
      </c>
    </row>
    <row r="167" spans="1:15" x14ac:dyDescent="0.25">
      <c r="A167" s="102"/>
      <c r="B167" s="33"/>
      <c r="C167" s="25"/>
      <c r="D167" s="26"/>
      <c r="E167" s="33"/>
      <c r="F167" s="25"/>
      <c r="G167" s="55"/>
      <c r="J167" s="76">
        <f ca="1"/>
        <v>46160</v>
      </c>
      <c r="K167" s="41">
        <f ca="1"/>
        <v>53.412999999999997</v>
      </c>
      <c r="N167" s="37" t="str">
        <f t="shared" ca="1" si="18"/>
        <v/>
      </c>
      <c r="O167" s="37" t="str">
        <f t="shared" ca="1" si="19"/>
        <v/>
      </c>
    </row>
    <row r="168" spans="1:15" x14ac:dyDescent="0.25">
      <c r="A168" s="102"/>
      <c r="B168" s="33"/>
      <c r="C168" s="25"/>
      <c r="D168" s="26"/>
      <c r="E168" s="33"/>
      <c r="F168" s="25"/>
      <c r="G168" s="55"/>
      <c r="J168" s="76">
        <f ca="1"/>
        <v>46161</v>
      </c>
      <c r="K168" s="41">
        <f ca="1"/>
        <v>54.12</v>
      </c>
      <c r="N168" s="37" t="str">
        <f t="shared" ca="1" si="18"/>
        <v/>
      </c>
      <c r="O168" s="37" t="str">
        <f t="shared" ca="1" si="19"/>
        <v/>
      </c>
    </row>
    <row r="169" spans="1:15" x14ac:dyDescent="0.25">
      <c r="A169" s="102"/>
      <c r="B169" s="33"/>
      <c r="C169" s="25"/>
      <c r="D169" s="26"/>
      <c r="E169" s="33"/>
      <c r="F169" s="25"/>
      <c r="G169" s="55"/>
      <c r="J169" s="76">
        <f ca="1"/>
        <v>46162</v>
      </c>
      <c r="K169" s="41">
        <f ca="1"/>
        <v>51.764000000000003</v>
      </c>
      <c r="N169" s="37" t="str">
        <f t="shared" ca="1" si="18"/>
        <v/>
      </c>
      <c r="O169" s="37" t="str">
        <f t="shared" ca="1" si="19"/>
        <v/>
      </c>
    </row>
    <row r="170" spans="1:15" x14ac:dyDescent="0.25">
      <c r="A170" s="102"/>
      <c r="B170" s="33"/>
      <c r="C170" s="25"/>
      <c r="D170" s="26"/>
      <c r="E170" s="33"/>
      <c r="F170" s="25"/>
      <c r="G170" s="55"/>
      <c r="J170" s="76">
        <f ca="1"/>
        <v>46163</v>
      </c>
      <c r="K170" s="41">
        <f ca="1"/>
        <v>52.139000000000003</v>
      </c>
      <c r="N170" s="37" t="str">
        <f t="shared" ca="1" si="18"/>
        <v/>
      </c>
      <c r="O170" s="37" t="str">
        <f t="shared" ca="1" si="19"/>
        <v/>
      </c>
    </row>
    <row r="171" spans="1:15" x14ac:dyDescent="0.25">
      <c r="A171" s="102"/>
      <c r="B171" s="33"/>
      <c r="C171" s="25"/>
      <c r="D171" s="26"/>
      <c r="E171" s="33"/>
      <c r="F171" s="25"/>
      <c r="G171" s="55"/>
      <c r="J171" s="76">
        <f ca="1"/>
        <v>46164</v>
      </c>
      <c r="K171" s="41">
        <f ca="1"/>
        <v>50.661000000000001</v>
      </c>
      <c r="N171" s="37" t="str">
        <f t="shared" ca="1" si="18"/>
        <v/>
      </c>
      <c r="O171" s="37" t="str">
        <f t="shared" ca="1" si="19"/>
        <v/>
      </c>
    </row>
    <row r="172" spans="1:15" x14ac:dyDescent="0.25">
      <c r="A172" s="102"/>
      <c r="B172" s="33"/>
      <c r="C172" s="25"/>
      <c r="D172" s="26"/>
      <c r="E172" s="33"/>
      <c r="F172" s="25"/>
      <c r="G172" s="55"/>
      <c r="J172" s="76">
        <f ca="1"/>
        <v>46168</v>
      </c>
      <c r="K172" s="41">
        <f ca="1"/>
        <v>49.780999999999999</v>
      </c>
      <c r="N172" s="37" t="str">
        <f t="shared" ca="1" si="18"/>
        <v/>
      </c>
      <c r="O172" s="37" t="str">
        <f t="shared" ca="1" si="19"/>
        <v/>
      </c>
    </row>
    <row r="173" spans="1:15" x14ac:dyDescent="0.25">
      <c r="A173" s="102"/>
      <c r="B173" s="33"/>
      <c r="C173" s="25"/>
      <c r="D173" s="26"/>
      <c r="E173" s="33"/>
      <c r="F173" s="25"/>
      <c r="G173" s="55"/>
      <c r="J173" s="76">
        <f ca="1"/>
        <v>46169</v>
      </c>
      <c r="K173" s="41">
        <f ca="1"/>
        <v>49.734000000000002</v>
      </c>
      <c r="N173" s="37" t="str">
        <f t="shared" ca="1" si="18"/>
        <v/>
      </c>
      <c r="O173" s="37" t="str">
        <f t="shared" ca="1" si="19"/>
        <v/>
      </c>
    </row>
    <row r="174" spans="1:15" x14ac:dyDescent="0.25">
      <c r="A174" s="102"/>
      <c r="B174" s="33"/>
      <c r="C174" s="25"/>
      <c r="D174" s="26"/>
      <c r="E174" s="33"/>
      <c r="F174" s="25"/>
      <c r="G174" s="55"/>
      <c r="J174" s="76">
        <f ca="1"/>
        <v>46170</v>
      </c>
      <c r="K174" s="41">
        <f ca="1"/>
        <v>49.06</v>
      </c>
      <c r="N174" s="37" t="str">
        <f t="shared" ca="1" si="18"/>
        <v/>
      </c>
      <c r="O174" s="37" t="str">
        <f t="shared" ca="1" si="19"/>
        <v/>
      </c>
    </row>
    <row r="175" spans="1:15" x14ac:dyDescent="0.25">
      <c r="A175" s="102"/>
      <c r="B175" s="33"/>
      <c r="C175" s="25"/>
      <c r="D175" s="26"/>
      <c r="E175" s="33"/>
      <c r="F175" s="25"/>
      <c r="G175" s="55"/>
      <c r="J175" s="76">
        <f ca="1"/>
        <v>46171</v>
      </c>
      <c r="K175" s="41">
        <f ca="1"/>
        <v>48.502000000000002</v>
      </c>
      <c r="N175" s="37" t="str">
        <f t="shared" ca="1" si="18"/>
        <v/>
      </c>
      <c r="O175" s="37" t="str">
        <f t="shared" ca="1" si="19"/>
        <v/>
      </c>
    </row>
    <row r="176" spans="1:15" x14ac:dyDescent="0.25">
      <c r="A176" s="102"/>
      <c r="B176" s="33"/>
      <c r="C176" s="25"/>
      <c r="D176" s="26"/>
      <c r="E176" s="33"/>
      <c r="F176" s="25"/>
      <c r="G176" s="55"/>
      <c r="J176" s="76">
        <f ca="1"/>
        <v>46174</v>
      </c>
      <c r="K176" s="41">
        <f ca="1"/>
        <v>49.46</v>
      </c>
      <c r="N176" s="37" t="str">
        <f t="shared" ca="1" si="18"/>
        <v/>
      </c>
      <c r="O176" s="37" t="str">
        <f t="shared" ca="1" si="19"/>
        <v/>
      </c>
    </row>
    <row r="177" spans="1:15" x14ac:dyDescent="0.25">
      <c r="A177" s="102"/>
      <c r="B177" s="33"/>
      <c r="C177" s="25"/>
      <c r="D177" s="26"/>
      <c r="E177" s="33"/>
      <c r="F177" s="25"/>
      <c r="G177" s="55"/>
      <c r="J177" s="76">
        <f ca="1"/>
        <v>46175</v>
      </c>
      <c r="K177" s="41">
        <f ca="1"/>
        <v>48.786999999999999</v>
      </c>
      <c r="N177" s="37" t="str">
        <f t="shared" ca="1" si="18"/>
        <v/>
      </c>
      <c r="O177" s="37" t="str">
        <f t="shared" ca="1" si="19"/>
        <v/>
      </c>
    </row>
    <row r="178" spans="1:15" x14ac:dyDescent="0.25">
      <c r="A178" s="102"/>
      <c r="B178" s="33"/>
      <c r="C178" s="25"/>
      <c r="D178" s="26"/>
      <c r="E178" s="33"/>
      <c r="F178" s="25"/>
      <c r="G178" s="55"/>
      <c r="J178" s="76">
        <f ca="1"/>
        <v>46176</v>
      </c>
      <c r="K178" s="41">
        <f ca="1"/>
        <v>49.920999999999999</v>
      </c>
      <c r="N178" s="37" t="str">
        <f t="shared" ca="1" si="18"/>
        <v/>
      </c>
      <c r="O178" s="37" t="str">
        <f t="shared" ca="1" si="19"/>
        <v/>
      </c>
    </row>
    <row r="179" spans="1:15" x14ac:dyDescent="0.25">
      <c r="A179" s="102"/>
      <c r="B179" s="33"/>
      <c r="C179" s="25"/>
      <c r="D179" s="26"/>
      <c r="E179" s="33"/>
      <c r="F179" s="25"/>
      <c r="G179" s="55"/>
      <c r="J179" s="76">
        <f ca="1"/>
        <v>46177</v>
      </c>
      <c r="K179" s="41">
        <f ca="1"/>
        <v>48.988</v>
      </c>
      <c r="N179" s="37" t="str">
        <f t="shared" ca="1" si="18"/>
        <v/>
      </c>
      <c r="O179" s="37" t="str">
        <f t="shared" ca="1" si="19"/>
        <v/>
      </c>
    </row>
    <row r="180" spans="1:15" x14ac:dyDescent="0.25">
      <c r="A180" s="102"/>
      <c r="B180" s="33"/>
      <c r="C180" s="25"/>
      <c r="D180" s="26"/>
      <c r="E180" s="33"/>
      <c r="F180" s="25"/>
      <c r="G180" s="55"/>
      <c r="J180" s="76">
        <f ca="1"/>
        <v>46178</v>
      </c>
      <c r="K180" s="41">
        <f ca="1"/>
        <v>49.645000000000003</v>
      </c>
      <c r="N180" s="37" t="str">
        <f t="shared" ca="1" si="18"/>
        <v/>
      </c>
      <c r="O180" s="37" t="str">
        <f t="shared" ca="1" si="19"/>
        <v/>
      </c>
    </row>
    <row r="181" spans="1:15" x14ac:dyDescent="0.25">
      <c r="A181" s="102"/>
      <c r="B181" s="33"/>
      <c r="C181" s="25"/>
      <c r="D181" s="26"/>
      <c r="E181" s="33"/>
      <c r="F181" s="25"/>
      <c r="G181" s="55"/>
      <c r="J181" s="76">
        <f ca="1"/>
        <v>46181</v>
      </c>
      <c r="K181" s="41">
        <f ca="1"/>
        <v>49.828000000000003</v>
      </c>
      <c r="N181" s="37" t="str">
        <f t="shared" ca="1" si="18"/>
        <v/>
      </c>
      <c r="O181" s="37" t="str">
        <f t="shared" ca="1" si="19"/>
        <v/>
      </c>
    </row>
    <row r="182" spans="1:15" x14ac:dyDescent="0.25">
      <c r="A182" s="102"/>
      <c r="B182" s="33"/>
      <c r="C182" s="25"/>
      <c r="D182" s="26"/>
      <c r="E182" s="33"/>
      <c r="F182" s="25"/>
      <c r="G182" s="55"/>
      <c r="J182" s="76">
        <f ca="1"/>
        <v>46182</v>
      </c>
      <c r="K182" s="41">
        <f ca="1"/>
        <v>50.179000000000002</v>
      </c>
      <c r="N182" s="37" t="str">
        <f t="shared" ca="1" si="18"/>
        <v/>
      </c>
      <c r="O182" s="37" t="str">
        <f t="shared" ca="1" si="19"/>
        <v/>
      </c>
    </row>
    <row r="183" spans="1:15" x14ac:dyDescent="0.25">
      <c r="A183" s="102"/>
      <c r="B183" s="33"/>
      <c r="C183" s="25"/>
      <c r="D183" s="26"/>
      <c r="E183" s="33"/>
      <c r="F183" s="25"/>
      <c r="G183" s="55"/>
      <c r="J183" s="76">
        <f ca="1"/>
        <v>46183</v>
      </c>
      <c r="K183" s="41">
        <f ca="1"/>
        <v>50.569000000000003</v>
      </c>
      <c r="N183" s="37" t="str">
        <f t="shared" ca="1" si="18"/>
        <v/>
      </c>
      <c r="O183" s="37" t="str">
        <f t="shared" ca="1" si="19"/>
        <v/>
      </c>
    </row>
    <row r="184" spans="1:15" x14ac:dyDescent="0.25">
      <c r="A184" s="102"/>
      <c r="B184" s="33"/>
      <c r="C184" s="25"/>
      <c r="D184" s="26"/>
      <c r="E184" s="33"/>
      <c r="F184" s="25"/>
      <c r="G184" s="55"/>
      <c r="J184" s="76">
        <f ca="1"/>
        <v>46184</v>
      </c>
      <c r="K184" s="41">
        <f ca="1"/>
        <v>50.341999999999999</v>
      </c>
      <c r="N184" s="37" t="str">
        <f t="shared" ca="1" si="18"/>
        <v/>
      </c>
      <c r="O184" s="37" t="str">
        <f t="shared" ca="1" si="19"/>
        <v/>
      </c>
    </row>
    <row r="185" spans="1:15" x14ac:dyDescent="0.25">
      <c r="A185" s="102"/>
      <c r="B185" s="33"/>
      <c r="C185" s="25"/>
      <c r="D185" s="26"/>
      <c r="E185" s="33"/>
      <c r="F185" s="25"/>
      <c r="G185" s="55"/>
      <c r="J185" s="76">
        <f ca="1"/>
        <v>46185</v>
      </c>
      <c r="K185" s="41">
        <f ca="1"/>
        <v>48.341000000000001</v>
      </c>
      <c r="N185" s="37" t="str">
        <f t="shared" ca="1" si="18"/>
        <v/>
      </c>
      <c r="O185" s="37" t="str">
        <f t="shared" ca="1" si="19"/>
        <v/>
      </c>
    </row>
    <row r="186" spans="1:15" x14ac:dyDescent="0.25">
      <c r="A186" s="102"/>
      <c r="B186" s="33"/>
      <c r="C186" s="25"/>
      <c r="D186" s="26"/>
      <c r="E186" s="33"/>
      <c r="F186" s="25"/>
      <c r="G186" s="55"/>
      <c r="J186" s="76">
        <f ca="1"/>
        <v>46188</v>
      </c>
      <c r="K186" s="41">
        <f ca="1"/>
        <v>47.308</v>
      </c>
      <c r="N186" s="37" t="str">
        <f t="shared" ca="1" si="18"/>
        <v/>
      </c>
      <c r="O186" s="37" t="str">
        <f t="shared" ca="1" si="19"/>
        <v/>
      </c>
    </row>
    <row r="187" spans="1:15" x14ac:dyDescent="0.25">
      <c r="A187" s="102"/>
      <c r="B187" s="33"/>
      <c r="C187" s="25"/>
      <c r="D187" s="26"/>
      <c r="E187" s="33"/>
      <c r="F187" s="25"/>
      <c r="G187" s="55"/>
      <c r="J187" s="76">
        <f ca="1"/>
        <v>46189</v>
      </c>
      <c r="K187" s="41">
        <f ca="1"/>
        <v>47.695</v>
      </c>
      <c r="N187" s="37" t="str">
        <f t="shared" ca="1" si="18"/>
        <v/>
      </c>
      <c r="O187" s="37" t="str">
        <f t="shared" ca="1" si="19"/>
        <v/>
      </c>
    </row>
    <row r="188" spans="1:15" x14ac:dyDescent="0.25">
      <c r="A188" s="102"/>
      <c r="B188" s="33"/>
      <c r="C188" s="25"/>
      <c r="D188" s="26"/>
      <c r="E188" s="33"/>
      <c r="F188" s="25"/>
      <c r="G188" s="55"/>
      <c r="J188" s="76">
        <f ca="1"/>
        <v>46190</v>
      </c>
      <c r="K188" s="41">
        <f ca="1"/>
        <v>47.984999999999999</v>
      </c>
      <c r="N188" s="37" t="str">
        <f t="shared" ca="1" si="18"/>
        <v/>
      </c>
      <c r="O188" s="37" t="str">
        <f t="shared" ca="1" si="19"/>
        <v/>
      </c>
    </row>
    <row r="189" spans="1:15" x14ac:dyDescent="0.25">
      <c r="A189" s="102"/>
      <c r="B189" s="33"/>
      <c r="C189" s="25"/>
      <c r="D189" s="26"/>
      <c r="E189" s="33"/>
      <c r="F189" s="25"/>
      <c r="G189" s="55"/>
      <c r="N189" s="37" t="str">
        <f t="shared" ca="1" si="18"/>
        <v/>
      </c>
      <c r="O189" s="37" t="str">
        <f t="shared" ca="1" si="19"/>
        <v/>
      </c>
    </row>
    <row r="190" spans="1:15" x14ac:dyDescent="0.25">
      <c r="A190" s="102"/>
      <c r="B190" s="33"/>
      <c r="C190" s="25"/>
      <c r="D190" s="26"/>
      <c r="E190" s="33"/>
      <c r="F190" s="25"/>
      <c r="G190" s="55"/>
      <c r="N190" s="37" t="str">
        <f t="shared" ca="1" si="18"/>
        <v/>
      </c>
      <c r="O190" s="37" t="str">
        <f t="shared" ca="1" si="19"/>
        <v/>
      </c>
    </row>
    <row r="191" spans="1:15" x14ac:dyDescent="0.25">
      <c r="A191" s="102"/>
      <c r="B191" s="33"/>
      <c r="C191" s="25"/>
      <c r="D191" s="26"/>
      <c r="E191" s="33"/>
      <c r="F191" s="25"/>
      <c r="G191" s="55"/>
      <c r="N191" s="37" t="str">
        <f t="shared" ca="1" si="18"/>
        <v/>
      </c>
      <c r="O191" s="37" t="str">
        <f t="shared" ca="1" si="19"/>
        <v/>
      </c>
    </row>
    <row r="192" spans="1:15" x14ac:dyDescent="0.25">
      <c r="A192" s="102"/>
      <c r="B192" s="33"/>
      <c r="C192" s="25"/>
      <c r="D192" s="26"/>
      <c r="E192" s="33"/>
      <c r="F192" s="25"/>
      <c r="G192" s="55"/>
      <c r="N192" s="37" t="str">
        <f t="shared" ca="1" si="18"/>
        <v/>
      </c>
      <c r="O192" s="37" t="str">
        <f t="shared" ca="1" si="19"/>
        <v/>
      </c>
    </row>
    <row r="193" spans="1:15" x14ac:dyDescent="0.25">
      <c r="A193" s="102"/>
      <c r="B193" s="33"/>
      <c r="C193" s="25"/>
      <c r="D193" s="26"/>
      <c r="E193" s="33"/>
      <c r="F193" s="25"/>
      <c r="G193" s="55"/>
      <c r="N193" s="37" t="str">
        <f t="shared" ca="1" si="18"/>
        <v/>
      </c>
      <c r="O193" s="37" t="str">
        <f t="shared" ca="1" si="19"/>
        <v/>
      </c>
    </row>
    <row r="194" spans="1:15" x14ac:dyDescent="0.25">
      <c r="A194" s="102"/>
      <c r="B194" s="33"/>
      <c r="C194" s="25"/>
      <c r="D194" s="26"/>
      <c r="E194" s="33"/>
      <c r="F194" s="25"/>
      <c r="G194" s="55"/>
      <c r="N194" s="37" t="str">
        <f t="shared" ca="1" si="18"/>
        <v/>
      </c>
      <c r="O194" s="37" t="str">
        <f t="shared" ca="1" si="19"/>
        <v/>
      </c>
    </row>
    <row r="195" spans="1:15" x14ac:dyDescent="0.25">
      <c r="A195" s="102"/>
      <c r="B195" s="33"/>
      <c r="C195" s="25"/>
      <c r="D195" s="26"/>
      <c r="E195" s="33"/>
      <c r="F195" s="25"/>
      <c r="G195" s="55"/>
      <c r="N195" s="37" t="str">
        <f t="shared" ca="1" si="18"/>
        <v/>
      </c>
      <c r="O195" s="37" t="str">
        <f t="shared" ca="1" si="19"/>
        <v/>
      </c>
    </row>
    <row r="196" spans="1:15" x14ac:dyDescent="0.25">
      <c r="A196" s="102"/>
      <c r="B196" s="33"/>
      <c r="C196" s="25"/>
      <c r="D196" s="26"/>
      <c r="E196" s="33"/>
      <c r="F196" s="25"/>
      <c r="G196" s="55"/>
      <c r="N196" s="37" t="str">
        <f t="shared" ref="N196:N259" ca="1" si="20">IF(COUNTIF(L:L,J196),J196,"")</f>
        <v/>
      </c>
      <c r="O196" s="37" t="str">
        <f t="shared" ref="O196:O259" ca="1" si="21">IF(N196&gt;$A$14,N196,"")</f>
        <v/>
      </c>
    </row>
    <row r="197" spans="1:15" x14ac:dyDescent="0.25">
      <c r="A197" s="102"/>
      <c r="B197" s="33"/>
      <c r="C197" s="25"/>
      <c r="D197" s="26"/>
      <c r="E197" s="33"/>
      <c r="F197" s="25"/>
      <c r="G197" s="55"/>
      <c r="N197" s="37" t="str">
        <f t="shared" ca="1" si="20"/>
        <v/>
      </c>
      <c r="O197" s="37" t="str">
        <f t="shared" ca="1" si="21"/>
        <v/>
      </c>
    </row>
    <row r="198" spans="1:15" x14ac:dyDescent="0.25">
      <c r="A198" s="102"/>
      <c r="B198" s="33"/>
      <c r="C198" s="25"/>
      <c r="D198" s="26"/>
      <c r="E198" s="33"/>
      <c r="F198" s="25"/>
      <c r="G198" s="55"/>
      <c r="N198" s="37" t="str">
        <f t="shared" ca="1" si="20"/>
        <v/>
      </c>
      <c r="O198" s="37" t="str">
        <f t="shared" ca="1" si="21"/>
        <v/>
      </c>
    </row>
    <row r="199" spans="1:15" x14ac:dyDescent="0.25">
      <c r="A199" s="102"/>
      <c r="B199" s="33"/>
      <c r="C199" s="25"/>
      <c r="D199" s="26"/>
      <c r="E199" s="33"/>
      <c r="F199" s="25"/>
      <c r="G199" s="55"/>
      <c r="N199" s="37" t="str">
        <f t="shared" ca="1" si="20"/>
        <v/>
      </c>
      <c r="O199" s="37" t="str">
        <f t="shared" ca="1" si="21"/>
        <v/>
      </c>
    </row>
    <row r="200" spans="1:15" x14ac:dyDescent="0.25">
      <c r="A200" s="102"/>
      <c r="B200" s="33"/>
      <c r="C200" s="25"/>
      <c r="D200" s="26"/>
      <c r="E200" s="33"/>
      <c r="F200" s="25"/>
      <c r="G200" s="55"/>
      <c r="N200" s="37" t="str">
        <f t="shared" ca="1" si="20"/>
        <v/>
      </c>
      <c r="O200" s="37" t="str">
        <f t="shared" ca="1" si="21"/>
        <v/>
      </c>
    </row>
    <row r="201" spans="1:15" x14ac:dyDescent="0.25">
      <c r="A201" s="102"/>
      <c r="B201" s="33"/>
      <c r="C201" s="25"/>
      <c r="D201" s="26"/>
      <c r="E201" s="33"/>
      <c r="F201" s="25"/>
      <c r="G201" s="55"/>
      <c r="N201" s="37" t="str">
        <f t="shared" ca="1" si="20"/>
        <v/>
      </c>
      <c r="O201" s="37" t="str">
        <f t="shared" ca="1" si="21"/>
        <v/>
      </c>
    </row>
    <row r="202" spans="1:15" x14ac:dyDescent="0.25">
      <c r="A202" s="102"/>
      <c r="B202" s="33"/>
      <c r="C202" s="25"/>
      <c r="D202" s="26"/>
      <c r="E202" s="33"/>
      <c r="F202" s="25"/>
      <c r="G202" s="55"/>
      <c r="N202" s="37" t="str">
        <f t="shared" ca="1" si="20"/>
        <v/>
      </c>
      <c r="O202" s="37" t="str">
        <f t="shared" ca="1" si="21"/>
        <v/>
      </c>
    </row>
    <row r="203" spans="1:15" x14ac:dyDescent="0.25">
      <c r="A203" s="102"/>
      <c r="B203" s="33"/>
      <c r="C203" s="25"/>
      <c r="D203" s="26"/>
      <c r="E203" s="33"/>
      <c r="F203" s="25"/>
      <c r="G203" s="55"/>
      <c r="N203" s="37" t="str">
        <f t="shared" ca="1" si="20"/>
        <v/>
      </c>
      <c r="O203" s="37" t="str">
        <f t="shared" ca="1" si="21"/>
        <v/>
      </c>
    </row>
    <row r="204" spans="1:15" x14ac:dyDescent="0.25">
      <c r="A204" s="102"/>
      <c r="B204" s="33"/>
      <c r="C204" s="25"/>
      <c r="D204" s="26"/>
      <c r="E204" s="33"/>
      <c r="F204" s="25"/>
      <c r="G204" s="55"/>
      <c r="N204" s="37" t="str">
        <f t="shared" ca="1" si="20"/>
        <v/>
      </c>
      <c r="O204" s="37" t="str">
        <f t="shared" ca="1" si="21"/>
        <v/>
      </c>
    </row>
    <row r="205" spans="1:15" x14ac:dyDescent="0.25">
      <c r="A205" s="102"/>
      <c r="B205" s="33"/>
      <c r="C205" s="25"/>
      <c r="D205" s="26"/>
      <c r="E205" s="33"/>
      <c r="F205" s="25"/>
      <c r="G205" s="55"/>
      <c r="N205" s="37" t="str">
        <f t="shared" ca="1" si="20"/>
        <v/>
      </c>
      <c r="O205" s="37" t="str">
        <f t="shared" ca="1" si="21"/>
        <v/>
      </c>
    </row>
    <row r="206" spans="1:15" x14ac:dyDescent="0.25">
      <c r="A206" s="102"/>
      <c r="B206" s="33"/>
      <c r="C206" s="25"/>
      <c r="D206" s="26"/>
      <c r="E206" s="33"/>
      <c r="F206" s="25"/>
      <c r="G206" s="55"/>
      <c r="N206" s="37" t="str">
        <f t="shared" ca="1" si="20"/>
        <v/>
      </c>
      <c r="O206" s="37" t="str">
        <f t="shared" ca="1" si="21"/>
        <v/>
      </c>
    </row>
    <row r="207" spans="1:15" x14ac:dyDescent="0.25">
      <c r="A207" s="102"/>
      <c r="B207" s="33"/>
      <c r="C207" s="25"/>
      <c r="D207" s="26"/>
      <c r="E207" s="33"/>
      <c r="F207" s="25"/>
      <c r="G207" s="55"/>
      <c r="N207" s="37" t="str">
        <f t="shared" ca="1" si="20"/>
        <v/>
      </c>
      <c r="O207" s="37" t="str">
        <f t="shared" ca="1" si="21"/>
        <v/>
      </c>
    </row>
    <row r="208" spans="1:15" x14ac:dyDescent="0.25">
      <c r="A208" s="102"/>
      <c r="B208" s="33"/>
      <c r="C208" s="25"/>
      <c r="D208" s="26"/>
      <c r="E208" s="33"/>
      <c r="F208" s="25"/>
      <c r="G208" s="55"/>
      <c r="N208" s="37" t="str">
        <f t="shared" ca="1" si="20"/>
        <v/>
      </c>
      <c r="O208" s="37" t="str">
        <f t="shared" ca="1" si="21"/>
        <v/>
      </c>
    </row>
    <row r="209" spans="1:15" x14ac:dyDescent="0.25">
      <c r="A209" s="102"/>
      <c r="B209" s="33"/>
      <c r="C209" s="25"/>
      <c r="D209" s="26"/>
      <c r="E209" s="33"/>
      <c r="F209" s="25"/>
      <c r="G209" s="55"/>
      <c r="N209" s="37" t="str">
        <f t="shared" ca="1" si="20"/>
        <v/>
      </c>
      <c r="O209" s="37" t="str">
        <f t="shared" ca="1" si="21"/>
        <v/>
      </c>
    </row>
    <row r="210" spans="1:15" x14ac:dyDescent="0.25">
      <c r="A210" s="102"/>
      <c r="B210" s="33"/>
      <c r="C210" s="25"/>
      <c r="D210" s="26"/>
      <c r="E210" s="33"/>
      <c r="F210" s="25"/>
      <c r="G210" s="55"/>
      <c r="N210" s="37" t="str">
        <f t="shared" ca="1" si="20"/>
        <v/>
      </c>
      <c r="O210" s="37" t="str">
        <f t="shared" ca="1" si="21"/>
        <v/>
      </c>
    </row>
    <row r="211" spans="1:15" x14ac:dyDescent="0.25">
      <c r="A211" s="102"/>
      <c r="B211" s="33"/>
      <c r="C211" s="25"/>
      <c r="D211" s="26"/>
      <c r="E211" s="33"/>
      <c r="F211" s="25"/>
      <c r="G211" s="55"/>
      <c r="N211" s="37" t="str">
        <f t="shared" ca="1" si="20"/>
        <v/>
      </c>
      <c r="O211" s="37" t="str">
        <f t="shared" ca="1" si="21"/>
        <v/>
      </c>
    </row>
    <row r="212" spans="1:15" x14ac:dyDescent="0.25">
      <c r="A212" s="102"/>
      <c r="B212" s="33"/>
      <c r="C212" s="25"/>
      <c r="D212" s="26"/>
      <c r="E212" s="33"/>
      <c r="F212" s="25"/>
      <c r="G212" s="55"/>
      <c r="N212" s="37" t="str">
        <f t="shared" ca="1" si="20"/>
        <v/>
      </c>
      <c r="O212" s="37" t="str">
        <f t="shared" ca="1" si="21"/>
        <v/>
      </c>
    </row>
    <row r="213" spans="1:15" x14ac:dyDescent="0.25">
      <c r="A213" s="102"/>
      <c r="B213" s="33"/>
      <c r="C213" s="25"/>
      <c r="D213" s="26"/>
      <c r="E213" s="33"/>
      <c r="F213" s="25"/>
      <c r="G213" s="55"/>
      <c r="N213" s="37" t="str">
        <f t="shared" ca="1" si="20"/>
        <v/>
      </c>
      <c r="O213" s="37" t="str">
        <f t="shared" ca="1" si="21"/>
        <v/>
      </c>
    </row>
    <row r="214" spans="1:15" x14ac:dyDescent="0.25">
      <c r="A214" s="102"/>
      <c r="B214" s="33"/>
      <c r="C214" s="25"/>
      <c r="D214" s="26"/>
      <c r="E214" s="33"/>
      <c r="F214" s="25"/>
      <c r="G214" s="55"/>
      <c r="N214" s="37" t="str">
        <f t="shared" ca="1" si="20"/>
        <v/>
      </c>
      <c r="O214" s="37" t="str">
        <f t="shared" ca="1" si="21"/>
        <v/>
      </c>
    </row>
    <row r="215" spans="1:15" x14ac:dyDescent="0.25">
      <c r="A215" s="102"/>
      <c r="B215" s="33"/>
      <c r="C215" s="25"/>
      <c r="D215" s="26"/>
      <c r="E215" s="33"/>
      <c r="F215" s="25"/>
      <c r="G215" s="55"/>
      <c r="N215" s="37" t="str">
        <f t="shared" ca="1" si="20"/>
        <v/>
      </c>
      <c r="O215" s="37" t="str">
        <f t="shared" ca="1" si="21"/>
        <v/>
      </c>
    </row>
    <row r="216" spans="1:15" x14ac:dyDescent="0.25">
      <c r="A216" s="102"/>
      <c r="B216" s="33"/>
      <c r="C216" s="25"/>
      <c r="D216" s="26"/>
      <c r="E216" s="33"/>
      <c r="F216" s="25"/>
      <c r="G216" s="55"/>
      <c r="N216" s="37" t="str">
        <f t="shared" ca="1" si="20"/>
        <v/>
      </c>
      <c r="O216" s="37" t="str">
        <f t="shared" ca="1" si="21"/>
        <v/>
      </c>
    </row>
    <row r="217" spans="1:15" x14ac:dyDescent="0.25">
      <c r="A217" s="102"/>
      <c r="B217" s="33"/>
      <c r="C217" s="25"/>
      <c r="D217" s="26"/>
      <c r="E217" s="33"/>
      <c r="F217" s="25"/>
      <c r="G217" s="55"/>
      <c r="N217" s="37" t="str">
        <f t="shared" ca="1" si="20"/>
        <v/>
      </c>
      <c r="O217" s="37" t="str">
        <f t="shared" ca="1" si="21"/>
        <v/>
      </c>
    </row>
    <row r="218" spans="1:15" x14ac:dyDescent="0.25">
      <c r="A218" s="102"/>
      <c r="B218" s="33"/>
      <c r="C218" s="25"/>
      <c r="D218" s="26"/>
      <c r="E218" s="33"/>
      <c r="F218" s="25"/>
      <c r="G218" s="55"/>
      <c r="N218" s="37" t="str">
        <f t="shared" ca="1" si="20"/>
        <v/>
      </c>
      <c r="O218" s="37" t="str">
        <f t="shared" ca="1" si="21"/>
        <v/>
      </c>
    </row>
    <row r="219" spans="1:15" x14ac:dyDescent="0.25">
      <c r="A219" s="102"/>
      <c r="B219" s="33"/>
      <c r="C219" s="25"/>
      <c r="D219" s="26"/>
      <c r="E219" s="33"/>
      <c r="F219" s="25"/>
      <c r="G219" s="55"/>
      <c r="N219" s="37" t="str">
        <f t="shared" ca="1" si="20"/>
        <v/>
      </c>
      <c r="O219" s="37" t="str">
        <f t="shared" ca="1" si="21"/>
        <v/>
      </c>
    </row>
    <row r="220" spans="1:15" x14ac:dyDescent="0.25">
      <c r="A220" s="102"/>
      <c r="B220" s="33"/>
      <c r="C220" s="25"/>
      <c r="D220" s="26"/>
      <c r="E220" s="33"/>
      <c r="F220" s="25"/>
      <c r="G220" s="55"/>
      <c r="N220" s="37" t="str">
        <f t="shared" ca="1" si="20"/>
        <v/>
      </c>
      <c r="O220" s="37" t="str">
        <f t="shared" ca="1" si="21"/>
        <v/>
      </c>
    </row>
    <row r="221" spans="1:15" x14ac:dyDescent="0.25">
      <c r="A221" s="102"/>
      <c r="B221" s="33"/>
      <c r="C221" s="25"/>
      <c r="D221" s="26"/>
      <c r="E221" s="33"/>
      <c r="F221" s="25"/>
      <c r="G221" s="55"/>
      <c r="N221" s="37" t="str">
        <f t="shared" ca="1" si="20"/>
        <v/>
      </c>
      <c r="O221" s="37" t="str">
        <f t="shared" ca="1" si="21"/>
        <v/>
      </c>
    </row>
    <row r="222" spans="1:15" x14ac:dyDescent="0.25">
      <c r="A222" s="102"/>
      <c r="B222" s="33"/>
      <c r="C222" s="25"/>
      <c r="D222" s="26"/>
      <c r="E222" s="33"/>
      <c r="F222" s="25"/>
      <c r="G222" s="55"/>
      <c r="N222" s="37" t="str">
        <f t="shared" ca="1" si="20"/>
        <v/>
      </c>
      <c r="O222" s="37" t="str">
        <f t="shared" ca="1" si="21"/>
        <v/>
      </c>
    </row>
    <row r="223" spans="1:15" x14ac:dyDescent="0.25">
      <c r="A223" s="102"/>
      <c r="B223" s="33"/>
      <c r="C223" s="25"/>
      <c r="D223" s="26"/>
      <c r="E223" s="33"/>
      <c r="F223" s="25"/>
      <c r="G223" s="55"/>
      <c r="N223" s="37" t="str">
        <f t="shared" ca="1" si="20"/>
        <v/>
      </c>
      <c r="O223" s="37" t="str">
        <f t="shared" ca="1" si="21"/>
        <v/>
      </c>
    </row>
    <row r="224" spans="1:15" x14ac:dyDescent="0.25">
      <c r="A224" s="102"/>
      <c r="B224" s="33"/>
      <c r="C224" s="25"/>
      <c r="D224" s="26"/>
      <c r="E224" s="33"/>
      <c r="F224" s="25"/>
      <c r="G224" s="55"/>
      <c r="N224" s="37" t="str">
        <f t="shared" ca="1" si="20"/>
        <v/>
      </c>
      <c r="O224" s="37" t="str">
        <f t="shared" ca="1" si="21"/>
        <v/>
      </c>
    </row>
    <row r="225" spans="1:15" x14ac:dyDescent="0.25">
      <c r="A225" s="102"/>
      <c r="B225" s="33"/>
      <c r="C225" s="25"/>
      <c r="D225" s="26"/>
      <c r="E225" s="33"/>
      <c r="F225" s="25"/>
      <c r="G225" s="55"/>
      <c r="N225" s="37" t="str">
        <f t="shared" ca="1" si="20"/>
        <v/>
      </c>
      <c r="O225" s="37" t="str">
        <f t="shared" ca="1" si="21"/>
        <v/>
      </c>
    </row>
    <row r="226" spans="1:15" x14ac:dyDescent="0.25">
      <c r="A226" s="102"/>
      <c r="B226" s="33"/>
      <c r="C226" s="25"/>
      <c r="D226" s="26"/>
      <c r="E226" s="33"/>
      <c r="F226" s="25"/>
      <c r="G226" s="55"/>
      <c r="N226" s="37" t="str">
        <f t="shared" ca="1" si="20"/>
        <v/>
      </c>
      <c r="O226" s="37" t="str">
        <f t="shared" ca="1" si="21"/>
        <v/>
      </c>
    </row>
    <row r="227" spans="1:15" x14ac:dyDescent="0.25">
      <c r="A227" s="102"/>
      <c r="B227" s="33"/>
      <c r="C227" s="25"/>
      <c r="D227" s="26"/>
      <c r="E227" s="33"/>
      <c r="F227" s="25"/>
      <c r="G227" s="55"/>
      <c r="N227" s="37" t="str">
        <f t="shared" ca="1" si="20"/>
        <v/>
      </c>
      <c r="O227" s="37" t="str">
        <f t="shared" ca="1" si="21"/>
        <v/>
      </c>
    </row>
    <row r="228" spans="1:15" x14ac:dyDescent="0.25">
      <c r="A228" s="102"/>
      <c r="B228" s="33"/>
      <c r="C228" s="25"/>
      <c r="D228" s="26"/>
      <c r="E228" s="33"/>
      <c r="F228" s="25"/>
      <c r="G228" s="55"/>
      <c r="N228" s="37" t="str">
        <f t="shared" ca="1" si="20"/>
        <v/>
      </c>
      <c r="O228" s="37" t="str">
        <f t="shared" ca="1" si="21"/>
        <v/>
      </c>
    </row>
    <row r="229" spans="1:15" x14ac:dyDescent="0.25">
      <c r="A229" s="102"/>
      <c r="B229" s="33"/>
      <c r="C229" s="25"/>
      <c r="D229" s="26"/>
      <c r="E229" s="33"/>
      <c r="F229" s="25"/>
      <c r="G229" s="55"/>
      <c r="N229" s="37" t="str">
        <f t="shared" ca="1" si="20"/>
        <v/>
      </c>
      <c r="O229" s="37" t="str">
        <f t="shared" ca="1" si="21"/>
        <v/>
      </c>
    </row>
    <row r="230" spans="1:15" x14ac:dyDescent="0.25">
      <c r="A230" s="102"/>
      <c r="B230" s="33"/>
      <c r="C230" s="25"/>
      <c r="D230" s="26"/>
      <c r="E230" s="33"/>
      <c r="F230" s="25"/>
      <c r="G230" s="55"/>
      <c r="N230" s="37" t="str">
        <f t="shared" ca="1" si="20"/>
        <v/>
      </c>
      <c r="O230" s="37" t="str">
        <f t="shared" ca="1" si="21"/>
        <v/>
      </c>
    </row>
    <row r="231" spans="1:15" x14ac:dyDescent="0.25">
      <c r="A231" s="102"/>
      <c r="B231" s="33"/>
      <c r="C231" s="25"/>
      <c r="D231" s="26"/>
      <c r="E231" s="33"/>
      <c r="F231" s="25"/>
      <c r="G231" s="55"/>
      <c r="N231" s="37" t="str">
        <f t="shared" ca="1" si="20"/>
        <v/>
      </c>
      <c r="O231" s="37" t="str">
        <f t="shared" ca="1" si="21"/>
        <v/>
      </c>
    </row>
    <row r="232" spans="1:15" x14ac:dyDescent="0.25">
      <c r="A232" s="102"/>
      <c r="B232" s="33"/>
      <c r="C232" s="25"/>
      <c r="D232" s="26"/>
      <c r="E232" s="33"/>
      <c r="F232" s="25"/>
      <c r="G232" s="55"/>
      <c r="N232" s="37" t="str">
        <f t="shared" ca="1" si="20"/>
        <v/>
      </c>
      <c r="O232" s="37" t="str">
        <f t="shared" ca="1" si="21"/>
        <v/>
      </c>
    </row>
    <row r="233" spans="1:15" x14ac:dyDescent="0.25">
      <c r="A233" s="102"/>
      <c r="B233" s="33"/>
      <c r="C233" s="25"/>
      <c r="D233" s="26"/>
      <c r="E233" s="33"/>
      <c r="F233" s="25"/>
      <c r="G233" s="55"/>
      <c r="N233" s="37" t="str">
        <f t="shared" ca="1" si="20"/>
        <v/>
      </c>
      <c r="O233" s="37" t="str">
        <f t="shared" ca="1" si="21"/>
        <v/>
      </c>
    </row>
    <row r="234" spans="1:15" x14ac:dyDescent="0.25">
      <c r="A234" s="102"/>
      <c r="B234" s="33"/>
      <c r="C234" s="25"/>
      <c r="D234" s="26"/>
      <c r="E234" s="33"/>
      <c r="F234" s="25"/>
      <c r="G234" s="55"/>
      <c r="N234" s="37" t="str">
        <f t="shared" ca="1" si="20"/>
        <v/>
      </c>
      <c r="O234" s="37" t="str">
        <f t="shared" ca="1" si="21"/>
        <v/>
      </c>
    </row>
    <row r="235" spans="1:15" x14ac:dyDescent="0.25">
      <c r="A235" s="102"/>
      <c r="B235" s="33"/>
      <c r="C235" s="25"/>
      <c r="D235" s="26"/>
      <c r="E235" s="33"/>
      <c r="F235" s="25"/>
      <c r="G235" s="55"/>
      <c r="N235" s="37" t="str">
        <f t="shared" ca="1" si="20"/>
        <v/>
      </c>
      <c r="O235" s="37" t="str">
        <f t="shared" ca="1" si="21"/>
        <v/>
      </c>
    </row>
    <row r="236" spans="1:15" x14ac:dyDescent="0.25">
      <c r="A236" s="102"/>
      <c r="B236" s="33"/>
      <c r="C236" s="25"/>
      <c r="D236" s="26"/>
      <c r="E236" s="33"/>
      <c r="F236" s="25"/>
      <c r="G236" s="55"/>
      <c r="N236" s="37" t="str">
        <f t="shared" ca="1" si="20"/>
        <v/>
      </c>
      <c r="O236" s="37" t="str">
        <f t="shared" ca="1" si="21"/>
        <v/>
      </c>
    </row>
    <row r="237" spans="1:15" x14ac:dyDescent="0.25">
      <c r="A237" s="102"/>
      <c r="B237" s="33"/>
      <c r="C237" s="25"/>
      <c r="D237" s="26"/>
      <c r="E237" s="33"/>
      <c r="F237" s="25"/>
      <c r="G237" s="55"/>
      <c r="N237" s="37" t="str">
        <f t="shared" ca="1" si="20"/>
        <v/>
      </c>
      <c r="O237" s="37" t="str">
        <f t="shared" ca="1" si="21"/>
        <v/>
      </c>
    </row>
    <row r="238" spans="1:15" x14ac:dyDescent="0.25">
      <c r="A238" s="102"/>
      <c r="B238" s="33"/>
      <c r="C238" s="25"/>
      <c r="D238" s="26"/>
      <c r="E238" s="33"/>
      <c r="F238" s="25"/>
      <c r="G238" s="55"/>
      <c r="N238" s="37" t="str">
        <f t="shared" ca="1" si="20"/>
        <v/>
      </c>
      <c r="O238" s="37" t="str">
        <f t="shared" ca="1" si="21"/>
        <v/>
      </c>
    </row>
    <row r="239" spans="1:15" x14ac:dyDescent="0.25">
      <c r="A239" s="102"/>
      <c r="B239" s="33"/>
      <c r="C239" s="25"/>
      <c r="D239" s="26"/>
      <c r="E239" s="33"/>
      <c r="F239" s="25"/>
      <c r="G239" s="55"/>
      <c r="N239" s="37" t="str">
        <f t="shared" ca="1" si="20"/>
        <v/>
      </c>
      <c r="O239" s="37" t="str">
        <f t="shared" ca="1" si="21"/>
        <v/>
      </c>
    </row>
    <row r="240" spans="1:15" x14ac:dyDescent="0.25">
      <c r="A240" s="102"/>
      <c r="B240" s="33"/>
      <c r="C240" s="25"/>
      <c r="D240" s="26"/>
      <c r="E240" s="33"/>
      <c r="F240" s="25"/>
      <c r="G240" s="55"/>
      <c r="N240" s="37" t="str">
        <f t="shared" ca="1" si="20"/>
        <v/>
      </c>
      <c r="O240" s="37" t="str">
        <f t="shared" ca="1" si="21"/>
        <v/>
      </c>
    </row>
    <row r="241" spans="1:15" x14ac:dyDescent="0.25">
      <c r="A241" s="102"/>
      <c r="B241" s="33"/>
      <c r="C241" s="25"/>
      <c r="D241" s="26"/>
      <c r="E241" s="33"/>
      <c r="F241" s="25"/>
      <c r="G241" s="55"/>
      <c r="N241" s="37" t="str">
        <f t="shared" ca="1" si="20"/>
        <v/>
      </c>
      <c r="O241" s="37" t="str">
        <f t="shared" ca="1" si="21"/>
        <v/>
      </c>
    </row>
    <row r="242" spans="1:15" x14ac:dyDescent="0.25">
      <c r="A242" s="102"/>
      <c r="B242" s="33"/>
      <c r="C242" s="25"/>
      <c r="D242" s="26"/>
      <c r="E242" s="33"/>
      <c r="F242" s="25"/>
      <c r="G242" s="55"/>
      <c r="N242" s="37" t="str">
        <f t="shared" ca="1" si="20"/>
        <v/>
      </c>
      <c r="O242" s="37" t="str">
        <f t="shared" ca="1" si="21"/>
        <v/>
      </c>
    </row>
    <row r="243" spans="1:15" x14ac:dyDescent="0.25">
      <c r="A243" s="102"/>
      <c r="B243" s="33"/>
      <c r="C243" s="25"/>
      <c r="D243" s="26"/>
      <c r="E243" s="33"/>
      <c r="F243" s="25"/>
      <c r="G243" s="55"/>
      <c r="N243" s="37" t="str">
        <f t="shared" ca="1" si="20"/>
        <v/>
      </c>
      <c r="O243" s="37" t="str">
        <f t="shared" ca="1" si="21"/>
        <v/>
      </c>
    </row>
    <row r="244" spans="1:15" x14ac:dyDescent="0.25">
      <c r="A244" s="102"/>
      <c r="B244" s="33"/>
      <c r="C244" s="25"/>
      <c r="D244" s="26"/>
      <c r="E244" s="33"/>
      <c r="F244" s="25"/>
      <c r="G244" s="55"/>
      <c r="N244" s="37" t="str">
        <f t="shared" ca="1" si="20"/>
        <v/>
      </c>
      <c r="O244" s="37" t="str">
        <f t="shared" ca="1" si="21"/>
        <v/>
      </c>
    </row>
    <row r="245" spans="1:15" x14ac:dyDescent="0.25">
      <c r="A245" s="102"/>
      <c r="B245" s="33"/>
      <c r="C245" s="25"/>
      <c r="D245" s="26"/>
      <c r="E245" s="33"/>
      <c r="F245" s="25"/>
      <c r="G245" s="55"/>
      <c r="N245" s="37" t="str">
        <f t="shared" ca="1" si="20"/>
        <v/>
      </c>
      <c r="O245" s="37" t="str">
        <f t="shared" ca="1" si="21"/>
        <v/>
      </c>
    </row>
    <row r="246" spans="1:15" x14ac:dyDescent="0.25">
      <c r="A246" s="102"/>
      <c r="B246" s="33"/>
      <c r="C246" s="25"/>
      <c r="D246" s="26"/>
      <c r="E246" s="33"/>
      <c r="F246" s="25"/>
      <c r="G246" s="55"/>
      <c r="N246" s="37" t="str">
        <f t="shared" ca="1" si="20"/>
        <v/>
      </c>
      <c r="O246" s="37" t="str">
        <f t="shared" ca="1" si="21"/>
        <v/>
      </c>
    </row>
    <row r="247" spans="1:15" x14ac:dyDescent="0.25">
      <c r="A247" s="102"/>
      <c r="B247" s="33"/>
      <c r="C247" s="25"/>
      <c r="D247" s="26"/>
      <c r="E247" s="33"/>
      <c r="F247" s="25"/>
      <c r="G247" s="55"/>
      <c r="N247" s="37" t="str">
        <f t="shared" ca="1" si="20"/>
        <v/>
      </c>
      <c r="O247" s="37" t="str">
        <f t="shared" ca="1" si="21"/>
        <v/>
      </c>
    </row>
    <row r="248" spans="1:15" x14ac:dyDescent="0.25">
      <c r="A248" s="102"/>
      <c r="B248" s="33"/>
      <c r="C248" s="25"/>
      <c r="D248" s="26"/>
      <c r="E248" s="33"/>
      <c r="F248" s="25"/>
      <c r="G248" s="55"/>
      <c r="N248" s="37" t="str">
        <f t="shared" ca="1" si="20"/>
        <v/>
      </c>
      <c r="O248" s="37" t="str">
        <f t="shared" ca="1" si="21"/>
        <v/>
      </c>
    </row>
    <row r="249" spans="1:15" x14ac:dyDescent="0.25">
      <c r="A249" s="102"/>
      <c r="B249" s="33"/>
      <c r="C249" s="25"/>
      <c r="D249" s="26"/>
      <c r="E249" s="33"/>
      <c r="F249" s="25"/>
      <c r="G249" s="55"/>
      <c r="N249" s="37" t="str">
        <f t="shared" ca="1" si="20"/>
        <v/>
      </c>
      <c r="O249" s="37" t="str">
        <f t="shared" ca="1" si="21"/>
        <v/>
      </c>
    </row>
    <row r="250" spans="1:15" x14ac:dyDescent="0.25">
      <c r="A250" s="102"/>
      <c r="B250" s="33"/>
      <c r="C250" s="25"/>
      <c r="D250" s="26"/>
      <c r="E250" s="33"/>
      <c r="F250" s="25"/>
      <c r="G250" s="55"/>
      <c r="N250" s="37" t="str">
        <f t="shared" ca="1" si="20"/>
        <v/>
      </c>
      <c r="O250" s="37" t="str">
        <f t="shared" ca="1" si="21"/>
        <v/>
      </c>
    </row>
    <row r="251" spans="1:15" x14ac:dyDescent="0.25">
      <c r="A251" s="102"/>
      <c r="B251" s="33"/>
      <c r="C251" s="25"/>
      <c r="D251" s="26"/>
      <c r="E251" s="33"/>
      <c r="F251" s="25"/>
      <c r="G251" s="55"/>
      <c r="N251" s="37" t="str">
        <f t="shared" ca="1" si="20"/>
        <v/>
      </c>
      <c r="O251" s="37" t="str">
        <f t="shared" ca="1" si="21"/>
        <v/>
      </c>
    </row>
    <row r="252" spans="1:15" x14ac:dyDescent="0.25">
      <c r="A252" s="102"/>
      <c r="B252" s="33"/>
      <c r="C252" s="25"/>
      <c r="D252" s="26"/>
      <c r="E252" s="33"/>
      <c r="F252" s="25"/>
      <c r="G252" s="55"/>
      <c r="N252" s="37" t="str">
        <f t="shared" ca="1" si="20"/>
        <v/>
      </c>
      <c r="O252" s="37" t="str">
        <f t="shared" ca="1" si="21"/>
        <v/>
      </c>
    </row>
    <row r="253" spans="1:15" x14ac:dyDescent="0.25">
      <c r="A253" s="102"/>
      <c r="B253" s="33"/>
      <c r="C253" s="25"/>
      <c r="D253" s="26"/>
      <c r="E253" s="33"/>
      <c r="F253" s="25"/>
      <c r="G253" s="55"/>
      <c r="N253" s="37" t="str">
        <f t="shared" ca="1" si="20"/>
        <v/>
      </c>
      <c r="O253" s="37" t="str">
        <f t="shared" ca="1" si="21"/>
        <v/>
      </c>
    </row>
    <row r="254" spans="1:15" x14ac:dyDescent="0.25">
      <c r="A254" s="102"/>
      <c r="B254" s="33"/>
      <c r="C254" s="25"/>
      <c r="D254" s="26"/>
      <c r="E254" s="33"/>
      <c r="F254" s="25"/>
      <c r="G254" s="55"/>
      <c r="N254" s="37" t="str">
        <f t="shared" ca="1" si="20"/>
        <v/>
      </c>
      <c r="O254" s="37" t="str">
        <f t="shared" ca="1" si="21"/>
        <v/>
      </c>
    </row>
    <row r="255" spans="1:15" x14ac:dyDescent="0.25">
      <c r="A255" s="102"/>
      <c r="B255" s="33"/>
      <c r="C255" s="25"/>
      <c r="D255" s="26"/>
      <c r="E255" s="33"/>
      <c r="F255" s="25"/>
      <c r="G255" s="55"/>
      <c r="N255" s="37" t="str">
        <f t="shared" ca="1" si="20"/>
        <v/>
      </c>
      <c r="O255" s="37" t="str">
        <f t="shared" ca="1" si="21"/>
        <v/>
      </c>
    </row>
    <row r="256" spans="1:15" x14ac:dyDescent="0.25">
      <c r="A256" s="102"/>
      <c r="B256" s="33"/>
      <c r="C256" s="25"/>
      <c r="D256" s="26"/>
      <c r="E256" s="33"/>
      <c r="F256" s="25"/>
      <c r="G256" s="55"/>
      <c r="N256" s="37" t="str">
        <f t="shared" ca="1" si="20"/>
        <v/>
      </c>
      <c r="O256" s="37" t="str">
        <f t="shared" ca="1" si="21"/>
        <v/>
      </c>
    </row>
    <row r="257" spans="1:15" x14ac:dyDescent="0.25">
      <c r="A257" s="102"/>
      <c r="B257" s="33"/>
      <c r="C257" s="25"/>
      <c r="D257" s="26"/>
      <c r="E257" s="33"/>
      <c r="F257" s="25"/>
      <c r="G257" s="55"/>
      <c r="N257" s="37" t="str">
        <f t="shared" ca="1" si="20"/>
        <v/>
      </c>
      <c r="O257" s="37" t="str">
        <f t="shared" ca="1" si="21"/>
        <v/>
      </c>
    </row>
    <row r="258" spans="1:15" x14ac:dyDescent="0.25">
      <c r="A258" s="102"/>
      <c r="B258" s="33"/>
      <c r="C258" s="25"/>
      <c r="D258" s="26"/>
      <c r="E258" s="33"/>
      <c r="F258" s="25"/>
      <c r="G258" s="55"/>
      <c r="N258" s="37" t="str">
        <f t="shared" ca="1" si="20"/>
        <v/>
      </c>
      <c r="O258" s="37" t="str">
        <f t="shared" ca="1" si="21"/>
        <v/>
      </c>
    </row>
    <row r="259" spans="1:15" x14ac:dyDescent="0.25">
      <c r="A259" s="102"/>
      <c r="B259" s="33"/>
      <c r="C259" s="25"/>
      <c r="D259" s="26"/>
      <c r="E259" s="33"/>
      <c r="F259" s="25"/>
      <c r="G259" s="55"/>
      <c r="N259" s="37" t="str">
        <f t="shared" ca="1" si="20"/>
        <v/>
      </c>
      <c r="O259" s="37" t="str">
        <f t="shared" ca="1" si="21"/>
        <v/>
      </c>
    </row>
    <row r="260" spans="1:15" x14ac:dyDescent="0.25">
      <c r="A260" s="102"/>
      <c r="B260" s="33"/>
      <c r="C260" s="25"/>
      <c r="D260" s="26"/>
      <c r="E260" s="33"/>
      <c r="F260" s="25"/>
      <c r="G260" s="55"/>
      <c r="N260" s="37" t="str">
        <f t="shared" ref="N260:N323" ca="1" si="22">IF(COUNTIF(L:L,J260),J260,"")</f>
        <v/>
      </c>
      <c r="O260" s="37" t="str">
        <f t="shared" ref="O260:O323" ca="1" si="23">IF(N260&gt;$A$14,N260,"")</f>
        <v/>
      </c>
    </row>
    <row r="261" spans="1:15" x14ac:dyDescent="0.25">
      <c r="A261" s="102"/>
      <c r="B261" s="33"/>
      <c r="C261" s="25"/>
      <c r="D261" s="26"/>
      <c r="E261" s="33"/>
      <c r="F261" s="25"/>
      <c r="G261" s="55"/>
      <c r="N261" s="37" t="str">
        <f t="shared" ca="1" si="22"/>
        <v/>
      </c>
      <c r="O261" s="37" t="str">
        <f t="shared" ca="1" si="23"/>
        <v/>
      </c>
    </row>
    <row r="262" spans="1:15" x14ac:dyDescent="0.25">
      <c r="A262" s="102"/>
      <c r="B262" s="33"/>
      <c r="C262" s="25"/>
      <c r="D262" s="26"/>
      <c r="E262" s="33"/>
      <c r="F262" s="25"/>
      <c r="G262" s="55"/>
      <c r="N262" s="37" t="str">
        <f t="shared" ca="1" si="22"/>
        <v/>
      </c>
      <c r="O262" s="37" t="str">
        <f t="shared" ca="1" si="23"/>
        <v/>
      </c>
    </row>
    <row r="263" spans="1:15" x14ac:dyDescent="0.25">
      <c r="A263" s="102"/>
      <c r="B263" s="33"/>
      <c r="C263" s="25"/>
      <c r="D263" s="26"/>
      <c r="E263" s="33"/>
      <c r="F263" s="25"/>
      <c r="G263" s="55"/>
      <c r="N263" s="37" t="str">
        <f t="shared" ca="1" si="22"/>
        <v/>
      </c>
      <c r="O263" s="37" t="str">
        <f t="shared" ca="1" si="23"/>
        <v/>
      </c>
    </row>
    <row r="264" spans="1:15" x14ac:dyDescent="0.25">
      <c r="A264" s="102"/>
      <c r="B264" s="33"/>
      <c r="C264" s="25"/>
      <c r="D264" s="26"/>
      <c r="E264" s="33"/>
      <c r="F264" s="25"/>
      <c r="G264" s="55"/>
      <c r="N264" s="37" t="str">
        <f t="shared" ca="1" si="22"/>
        <v/>
      </c>
      <c r="O264" s="37" t="str">
        <f t="shared" ca="1" si="23"/>
        <v/>
      </c>
    </row>
    <row r="265" spans="1:15" x14ac:dyDescent="0.25">
      <c r="A265" s="102"/>
      <c r="B265" s="33"/>
      <c r="C265" s="25"/>
      <c r="D265" s="26"/>
      <c r="E265" s="33"/>
      <c r="F265" s="25"/>
      <c r="G265" s="55"/>
      <c r="N265" s="37" t="str">
        <f t="shared" ca="1" si="22"/>
        <v/>
      </c>
      <c r="O265" s="37" t="str">
        <f t="shared" ca="1" si="23"/>
        <v/>
      </c>
    </row>
    <row r="266" spans="1:15" x14ac:dyDescent="0.25">
      <c r="A266" s="102"/>
      <c r="B266" s="33"/>
      <c r="C266" s="25"/>
      <c r="D266" s="26"/>
      <c r="E266" s="33"/>
      <c r="F266" s="25"/>
      <c r="G266" s="55"/>
      <c r="N266" s="37" t="str">
        <f t="shared" ca="1" si="22"/>
        <v/>
      </c>
      <c r="O266" s="37" t="str">
        <f t="shared" ca="1" si="23"/>
        <v/>
      </c>
    </row>
    <row r="267" spans="1:15" x14ac:dyDescent="0.25">
      <c r="A267" s="102"/>
      <c r="B267" s="33"/>
      <c r="C267" s="25"/>
      <c r="D267" s="26"/>
      <c r="E267" s="33"/>
      <c r="F267" s="25"/>
      <c r="G267" s="55"/>
      <c r="N267" s="37" t="str">
        <f t="shared" ca="1" si="22"/>
        <v/>
      </c>
      <c r="O267" s="37" t="str">
        <f t="shared" ca="1" si="23"/>
        <v/>
      </c>
    </row>
    <row r="268" spans="1:15" x14ac:dyDescent="0.25">
      <c r="A268" s="102"/>
      <c r="B268" s="33"/>
      <c r="C268" s="25"/>
      <c r="D268" s="26"/>
      <c r="E268" s="33"/>
      <c r="F268" s="25"/>
      <c r="G268" s="55"/>
      <c r="N268" s="37" t="str">
        <f t="shared" ca="1" si="22"/>
        <v/>
      </c>
      <c r="O268" s="37" t="str">
        <f t="shared" ca="1" si="23"/>
        <v/>
      </c>
    </row>
    <row r="269" spans="1:15" x14ac:dyDescent="0.25">
      <c r="A269" s="102"/>
      <c r="B269" s="33"/>
      <c r="C269" s="25"/>
      <c r="D269" s="26"/>
      <c r="E269" s="33"/>
      <c r="F269" s="25"/>
      <c r="G269" s="55"/>
      <c r="N269" s="37" t="str">
        <f t="shared" ca="1" si="22"/>
        <v/>
      </c>
      <c r="O269" s="37" t="str">
        <f t="shared" ca="1" si="23"/>
        <v/>
      </c>
    </row>
    <row r="270" spans="1:15" x14ac:dyDescent="0.25">
      <c r="A270" s="102"/>
      <c r="B270" s="33"/>
      <c r="C270" s="25"/>
      <c r="D270" s="26"/>
      <c r="E270" s="33"/>
      <c r="F270" s="25"/>
      <c r="G270" s="55"/>
      <c r="N270" s="37" t="str">
        <f t="shared" ca="1" si="22"/>
        <v/>
      </c>
      <c r="O270" s="37" t="str">
        <f t="shared" ca="1" si="23"/>
        <v/>
      </c>
    </row>
    <row r="271" spans="1:15" x14ac:dyDescent="0.25">
      <c r="A271" s="102"/>
      <c r="B271" s="33"/>
      <c r="C271" s="25"/>
      <c r="D271" s="26"/>
      <c r="E271" s="33"/>
      <c r="F271" s="25"/>
      <c r="G271" s="55"/>
      <c r="N271" s="37" t="str">
        <f t="shared" ca="1" si="22"/>
        <v/>
      </c>
      <c r="O271" s="37" t="str">
        <f t="shared" ca="1" si="23"/>
        <v/>
      </c>
    </row>
    <row r="272" spans="1:15" x14ac:dyDescent="0.25">
      <c r="A272" s="102"/>
      <c r="B272" s="33"/>
      <c r="C272" s="25"/>
      <c r="D272" s="26"/>
      <c r="E272" s="33"/>
      <c r="F272" s="25"/>
      <c r="G272" s="55"/>
      <c r="N272" s="37" t="str">
        <f t="shared" ca="1" si="22"/>
        <v/>
      </c>
      <c r="O272" s="37" t="str">
        <f t="shared" ca="1" si="23"/>
        <v/>
      </c>
    </row>
    <row r="273" spans="1:15" x14ac:dyDescent="0.25">
      <c r="A273" s="102"/>
      <c r="B273" s="33"/>
      <c r="C273" s="25"/>
      <c r="D273" s="26"/>
      <c r="E273" s="33"/>
      <c r="F273" s="25"/>
      <c r="G273" s="55"/>
      <c r="N273" s="37" t="str">
        <f t="shared" ca="1" si="22"/>
        <v/>
      </c>
      <c r="O273" s="37" t="str">
        <f t="shared" ca="1" si="23"/>
        <v/>
      </c>
    </row>
    <row r="274" spans="1:15" x14ac:dyDescent="0.25">
      <c r="A274" s="102"/>
      <c r="B274" s="33"/>
      <c r="C274" s="25"/>
      <c r="D274" s="26"/>
      <c r="E274" s="33"/>
      <c r="F274" s="25"/>
      <c r="G274" s="55"/>
      <c r="N274" s="37" t="str">
        <f t="shared" ca="1" si="22"/>
        <v/>
      </c>
      <c r="O274" s="37" t="str">
        <f t="shared" ca="1" si="23"/>
        <v/>
      </c>
    </row>
    <row r="275" spans="1:15" x14ac:dyDescent="0.25">
      <c r="A275" s="102"/>
      <c r="B275" s="33"/>
      <c r="C275" s="25"/>
      <c r="D275" s="26"/>
      <c r="E275" s="33"/>
      <c r="F275" s="25"/>
      <c r="G275" s="55"/>
      <c r="N275" s="37" t="str">
        <f t="shared" ca="1" si="22"/>
        <v/>
      </c>
      <c r="O275" s="37" t="str">
        <f t="shared" ca="1" si="23"/>
        <v/>
      </c>
    </row>
    <row r="276" spans="1:15" x14ac:dyDescent="0.25">
      <c r="A276" s="102"/>
      <c r="B276" s="33"/>
      <c r="C276" s="25"/>
      <c r="D276" s="26"/>
      <c r="E276" s="33"/>
      <c r="F276" s="25"/>
      <c r="G276" s="55"/>
      <c r="N276" s="37" t="str">
        <f t="shared" ca="1" si="22"/>
        <v/>
      </c>
      <c r="O276" s="37" t="str">
        <f t="shared" ca="1" si="23"/>
        <v/>
      </c>
    </row>
    <row r="277" spans="1:15" x14ac:dyDescent="0.25">
      <c r="A277" s="102"/>
      <c r="B277" s="33"/>
      <c r="C277" s="25"/>
      <c r="D277" s="26"/>
      <c r="E277" s="33"/>
      <c r="F277" s="25"/>
      <c r="G277" s="55"/>
      <c r="N277" s="37" t="str">
        <f t="shared" ca="1" si="22"/>
        <v/>
      </c>
      <c r="O277" s="37" t="str">
        <f t="shared" ca="1" si="23"/>
        <v/>
      </c>
    </row>
    <row r="278" spans="1:15" x14ac:dyDescent="0.25">
      <c r="A278" s="102"/>
      <c r="B278" s="33"/>
      <c r="C278" s="25"/>
      <c r="D278" s="26"/>
      <c r="E278" s="33"/>
      <c r="F278" s="25"/>
      <c r="G278" s="55"/>
      <c r="N278" s="37" t="str">
        <f t="shared" ca="1" si="22"/>
        <v/>
      </c>
      <c r="O278" s="37" t="str">
        <f t="shared" ca="1" si="23"/>
        <v/>
      </c>
    </row>
    <row r="279" spans="1:15" x14ac:dyDescent="0.25">
      <c r="A279" s="102"/>
      <c r="B279" s="33"/>
      <c r="C279" s="25"/>
      <c r="D279" s="26"/>
      <c r="E279" s="33"/>
      <c r="F279" s="25"/>
      <c r="G279" s="55"/>
      <c r="N279" s="37" t="str">
        <f t="shared" ca="1" si="22"/>
        <v/>
      </c>
      <c r="O279" s="37" t="str">
        <f t="shared" ca="1" si="23"/>
        <v/>
      </c>
    </row>
    <row r="280" spans="1:15" x14ac:dyDescent="0.25">
      <c r="A280" s="102"/>
      <c r="B280" s="33"/>
      <c r="C280" s="25"/>
      <c r="D280" s="26"/>
      <c r="E280" s="33"/>
      <c r="F280" s="25"/>
      <c r="G280" s="55"/>
      <c r="N280" s="37" t="str">
        <f t="shared" ca="1" si="22"/>
        <v/>
      </c>
      <c r="O280" s="37" t="str">
        <f t="shared" ca="1" si="23"/>
        <v/>
      </c>
    </row>
    <row r="281" spans="1:15" x14ac:dyDescent="0.25">
      <c r="A281" s="102"/>
      <c r="B281" s="33"/>
      <c r="C281" s="25"/>
      <c r="D281" s="26"/>
      <c r="E281" s="33"/>
      <c r="F281" s="25"/>
      <c r="G281" s="55"/>
      <c r="N281" s="37" t="str">
        <f t="shared" ca="1" si="22"/>
        <v/>
      </c>
      <c r="O281" s="37" t="str">
        <f t="shared" ca="1" si="23"/>
        <v/>
      </c>
    </row>
    <row r="282" spans="1:15" x14ac:dyDescent="0.25">
      <c r="A282" s="102"/>
      <c r="B282" s="33"/>
      <c r="C282" s="25"/>
      <c r="D282" s="26"/>
      <c r="E282" s="33"/>
      <c r="F282" s="25"/>
      <c r="G282" s="55"/>
      <c r="N282" s="37" t="str">
        <f t="shared" ca="1" si="22"/>
        <v/>
      </c>
      <c r="O282" s="37" t="str">
        <f t="shared" ca="1" si="23"/>
        <v/>
      </c>
    </row>
    <row r="283" spans="1:15" x14ac:dyDescent="0.25">
      <c r="A283" s="102"/>
      <c r="B283" s="33"/>
      <c r="C283" s="25"/>
      <c r="D283" s="26"/>
      <c r="E283" s="33"/>
      <c r="F283" s="25"/>
      <c r="G283" s="55"/>
      <c r="N283" s="37" t="str">
        <f t="shared" ca="1" si="22"/>
        <v/>
      </c>
      <c r="O283" s="37" t="str">
        <f t="shared" ca="1" si="23"/>
        <v/>
      </c>
    </row>
    <row r="284" spans="1:15" x14ac:dyDescent="0.25">
      <c r="A284" s="102"/>
      <c r="B284" s="33"/>
      <c r="C284" s="25"/>
      <c r="D284" s="26"/>
      <c r="E284" s="33"/>
      <c r="F284" s="25"/>
      <c r="G284" s="55"/>
      <c r="N284" s="37" t="str">
        <f t="shared" ca="1" si="22"/>
        <v/>
      </c>
      <c r="O284" s="37" t="str">
        <f t="shared" ca="1" si="23"/>
        <v/>
      </c>
    </row>
    <row r="285" spans="1:15" x14ac:dyDescent="0.25">
      <c r="A285" s="102"/>
      <c r="B285" s="33"/>
      <c r="C285" s="25"/>
      <c r="D285" s="26"/>
      <c r="E285" s="33"/>
      <c r="F285" s="25"/>
      <c r="G285" s="55"/>
      <c r="N285" s="37" t="str">
        <f t="shared" ca="1" si="22"/>
        <v/>
      </c>
      <c r="O285" s="37" t="str">
        <f t="shared" ca="1" si="23"/>
        <v/>
      </c>
    </row>
    <row r="286" spans="1:15" x14ac:dyDescent="0.25">
      <c r="A286" s="102"/>
      <c r="B286" s="33"/>
      <c r="C286" s="25"/>
      <c r="D286" s="26"/>
      <c r="E286" s="33"/>
      <c r="F286" s="25"/>
      <c r="G286" s="55"/>
      <c r="N286" s="37" t="str">
        <f t="shared" ca="1" si="22"/>
        <v/>
      </c>
      <c r="O286" s="37" t="str">
        <f t="shared" ca="1" si="23"/>
        <v/>
      </c>
    </row>
    <row r="287" spans="1:15" x14ac:dyDescent="0.25">
      <c r="A287" s="102"/>
      <c r="B287" s="33"/>
      <c r="C287" s="25"/>
      <c r="D287" s="26"/>
      <c r="E287" s="33"/>
      <c r="F287" s="25"/>
      <c r="G287" s="55"/>
      <c r="N287" s="37" t="str">
        <f t="shared" ca="1" si="22"/>
        <v/>
      </c>
      <c r="O287" s="37" t="str">
        <f t="shared" ca="1" si="23"/>
        <v/>
      </c>
    </row>
    <row r="288" spans="1:15" x14ac:dyDescent="0.25">
      <c r="A288" s="102"/>
      <c r="B288" s="33"/>
      <c r="C288" s="25"/>
      <c r="D288" s="26"/>
      <c r="E288" s="33"/>
      <c r="F288" s="25"/>
      <c r="G288" s="55"/>
      <c r="N288" s="37" t="str">
        <f t="shared" ca="1" si="22"/>
        <v/>
      </c>
      <c r="O288" s="37" t="str">
        <f t="shared" ca="1" si="23"/>
        <v/>
      </c>
    </row>
    <row r="289" spans="1:15" x14ac:dyDescent="0.25">
      <c r="A289" s="102"/>
      <c r="B289" s="33"/>
      <c r="C289" s="25"/>
      <c r="D289" s="26"/>
      <c r="E289" s="33"/>
      <c r="F289" s="25"/>
      <c r="G289" s="55"/>
      <c r="N289" s="37" t="str">
        <f t="shared" ca="1" si="22"/>
        <v/>
      </c>
      <c r="O289" s="37" t="str">
        <f t="shared" ca="1" si="23"/>
        <v/>
      </c>
    </row>
    <row r="290" spans="1:15" x14ac:dyDescent="0.25">
      <c r="A290" s="102"/>
      <c r="B290" s="33"/>
      <c r="C290" s="25"/>
      <c r="D290" s="26"/>
      <c r="E290" s="33"/>
      <c r="F290" s="25"/>
      <c r="G290" s="55"/>
      <c r="N290" s="37" t="str">
        <f t="shared" ca="1" si="22"/>
        <v/>
      </c>
      <c r="O290" s="37" t="str">
        <f t="shared" ca="1" si="23"/>
        <v/>
      </c>
    </row>
    <row r="291" spans="1:15" x14ac:dyDescent="0.25">
      <c r="A291" s="102"/>
      <c r="B291" s="33"/>
      <c r="C291" s="25"/>
      <c r="D291" s="26"/>
      <c r="E291" s="33"/>
      <c r="F291" s="25"/>
      <c r="G291" s="55"/>
      <c r="N291" s="37" t="str">
        <f t="shared" ca="1" si="22"/>
        <v/>
      </c>
      <c r="O291" s="37" t="str">
        <f t="shared" ca="1" si="23"/>
        <v/>
      </c>
    </row>
    <row r="292" spans="1:15" x14ac:dyDescent="0.25">
      <c r="A292" s="102"/>
      <c r="B292" s="33"/>
      <c r="C292" s="25"/>
      <c r="D292" s="26"/>
      <c r="E292" s="33"/>
      <c r="F292" s="25"/>
      <c r="G292" s="55"/>
      <c r="N292" s="37" t="str">
        <f t="shared" ca="1" si="22"/>
        <v/>
      </c>
      <c r="O292" s="37" t="str">
        <f t="shared" ca="1" si="23"/>
        <v/>
      </c>
    </row>
    <row r="293" spans="1:15" x14ac:dyDescent="0.25">
      <c r="A293" s="102"/>
      <c r="B293" s="33"/>
      <c r="C293" s="25"/>
      <c r="D293" s="26"/>
      <c r="E293" s="33"/>
      <c r="F293" s="25"/>
      <c r="G293" s="55"/>
      <c r="N293" s="37" t="str">
        <f t="shared" ca="1" si="22"/>
        <v/>
      </c>
      <c r="O293" s="37" t="str">
        <f t="shared" ca="1" si="23"/>
        <v/>
      </c>
    </row>
    <row r="294" spans="1:15" x14ac:dyDescent="0.25">
      <c r="A294" s="102"/>
      <c r="B294" s="33"/>
      <c r="C294" s="25"/>
      <c r="D294" s="26"/>
      <c r="E294" s="33"/>
      <c r="F294" s="25"/>
      <c r="G294" s="55"/>
      <c r="N294" s="37" t="str">
        <f t="shared" ca="1" si="22"/>
        <v/>
      </c>
      <c r="O294" s="37" t="str">
        <f t="shared" ca="1" si="23"/>
        <v/>
      </c>
    </row>
    <row r="295" spans="1:15" x14ac:dyDescent="0.25">
      <c r="A295" s="102"/>
      <c r="B295" s="33"/>
      <c r="C295" s="25"/>
      <c r="D295" s="26"/>
      <c r="E295" s="33"/>
      <c r="F295" s="25"/>
      <c r="G295" s="55"/>
      <c r="N295" s="37" t="str">
        <f t="shared" ca="1" si="22"/>
        <v/>
      </c>
      <c r="O295" s="37" t="str">
        <f t="shared" ca="1" si="23"/>
        <v/>
      </c>
    </row>
    <row r="296" spans="1:15" x14ac:dyDescent="0.25">
      <c r="A296" s="102"/>
      <c r="B296" s="33"/>
      <c r="C296" s="25"/>
      <c r="D296" s="26"/>
      <c r="E296" s="33"/>
      <c r="F296" s="25"/>
      <c r="G296" s="55"/>
      <c r="N296" s="37" t="str">
        <f t="shared" ca="1" si="22"/>
        <v/>
      </c>
      <c r="O296" s="37" t="str">
        <f t="shared" ca="1" si="23"/>
        <v/>
      </c>
    </row>
    <row r="297" spans="1:15" x14ac:dyDescent="0.25">
      <c r="A297" s="102"/>
      <c r="B297" s="33"/>
      <c r="C297" s="25"/>
      <c r="D297" s="26"/>
      <c r="E297" s="33"/>
      <c r="F297" s="25"/>
      <c r="G297" s="55"/>
      <c r="N297" s="37" t="str">
        <f t="shared" ca="1" si="22"/>
        <v/>
      </c>
      <c r="O297" s="37" t="str">
        <f t="shared" ca="1" si="23"/>
        <v/>
      </c>
    </row>
    <row r="298" spans="1:15" x14ac:dyDescent="0.25">
      <c r="A298" s="102"/>
      <c r="B298" s="33"/>
      <c r="C298" s="25"/>
      <c r="D298" s="26"/>
      <c r="E298" s="33"/>
      <c r="F298" s="25"/>
      <c r="G298" s="55"/>
      <c r="N298" s="37" t="str">
        <f t="shared" ca="1" si="22"/>
        <v/>
      </c>
      <c r="O298" s="37" t="str">
        <f t="shared" ca="1" si="23"/>
        <v/>
      </c>
    </row>
    <row r="299" spans="1:15" x14ac:dyDescent="0.25">
      <c r="A299" s="102"/>
      <c r="B299" s="33"/>
      <c r="C299" s="25"/>
      <c r="D299" s="26"/>
      <c r="E299" s="33"/>
      <c r="F299" s="25"/>
      <c r="G299" s="55"/>
      <c r="N299" s="37" t="str">
        <f t="shared" ca="1" si="22"/>
        <v/>
      </c>
      <c r="O299" s="37" t="str">
        <f t="shared" ca="1" si="23"/>
        <v/>
      </c>
    </row>
    <row r="300" spans="1:15" x14ac:dyDescent="0.25">
      <c r="A300" s="102"/>
      <c r="B300" s="33"/>
      <c r="C300" s="25"/>
      <c r="D300" s="26"/>
      <c r="E300" s="33"/>
      <c r="F300" s="25"/>
      <c r="G300" s="55"/>
      <c r="N300" s="37" t="str">
        <f t="shared" ca="1" si="22"/>
        <v/>
      </c>
      <c r="O300" s="37" t="str">
        <f t="shared" ca="1" si="23"/>
        <v/>
      </c>
    </row>
    <row r="301" spans="1:15" x14ac:dyDescent="0.25">
      <c r="A301" s="102"/>
      <c r="B301" s="33"/>
      <c r="C301" s="25"/>
      <c r="D301" s="26"/>
      <c r="E301" s="33"/>
      <c r="F301" s="25"/>
      <c r="G301" s="55"/>
      <c r="N301" s="37" t="str">
        <f t="shared" ca="1" si="22"/>
        <v/>
      </c>
      <c r="O301" s="37" t="str">
        <f t="shared" ca="1" si="23"/>
        <v/>
      </c>
    </row>
    <row r="302" spans="1:15" x14ac:dyDescent="0.25">
      <c r="A302" s="102"/>
      <c r="B302" s="33"/>
      <c r="C302" s="25"/>
      <c r="D302" s="26"/>
      <c r="E302" s="33"/>
      <c r="F302" s="25"/>
      <c r="G302" s="55"/>
      <c r="N302" s="37" t="str">
        <f t="shared" ca="1" si="22"/>
        <v/>
      </c>
      <c r="O302" s="37" t="str">
        <f t="shared" ca="1" si="23"/>
        <v/>
      </c>
    </row>
    <row r="303" spans="1:15" x14ac:dyDescent="0.25">
      <c r="A303" s="102"/>
      <c r="B303" s="33"/>
      <c r="C303" s="25"/>
      <c r="D303" s="26"/>
      <c r="E303" s="33"/>
      <c r="F303" s="25"/>
      <c r="G303" s="55"/>
      <c r="N303" s="37" t="str">
        <f t="shared" ca="1" si="22"/>
        <v/>
      </c>
      <c r="O303" s="37" t="str">
        <f t="shared" ca="1" si="23"/>
        <v/>
      </c>
    </row>
    <row r="304" spans="1:15" x14ac:dyDescent="0.25">
      <c r="A304" s="102"/>
      <c r="B304" s="33"/>
      <c r="C304" s="25"/>
      <c r="D304" s="26"/>
      <c r="E304" s="33"/>
      <c r="F304" s="25"/>
      <c r="G304" s="55"/>
      <c r="N304" s="37" t="str">
        <f t="shared" ca="1" si="22"/>
        <v/>
      </c>
      <c r="O304" s="37" t="str">
        <f t="shared" ca="1" si="23"/>
        <v/>
      </c>
    </row>
    <row r="305" spans="1:15" x14ac:dyDescent="0.25">
      <c r="A305" s="102"/>
      <c r="B305" s="33"/>
      <c r="C305" s="25"/>
      <c r="D305" s="26"/>
      <c r="E305" s="33"/>
      <c r="F305" s="25"/>
      <c r="G305" s="55"/>
      <c r="N305" s="37" t="str">
        <f t="shared" ca="1" si="22"/>
        <v/>
      </c>
      <c r="O305" s="37" t="str">
        <f t="shared" ca="1" si="23"/>
        <v/>
      </c>
    </row>
    <row r="306" spans="1:15" x14ac:dyDescent="0.25">
      <c r="A306" s="102"/>
      <c r="B306" s="33"/>
      <c r="C306" s="25"/>
      <c r="D306" s="26"/>
      <c r="E306" s="33"/>
      <c r="F306" s="25"/>
      <c r="G306" s="55"/>
      <c r="N306" s="37" t="str">
        <f t="shared" ca="1" si="22"/>
        <v/>
      </c>
      <c r="O306" s="37" t="str">
        <f t="shared" ca="1" si="23"/>
        <v/>
      </c>
    </row>
    <row r="307" spans="1:15" x14ac:dyDescent="0.25">
      <c r="A307" s="102"/>
      <c r="B307" s="33"/>
      <c r="C307" s="25"/>
      <c r="D307" s="26"/>
      <c r="E307" s="33"/>
      <c r="F307" s="25"/>
      <c r="G307" s="55"/>
      <c r="N307" s="37" t="str">
        <f t="shared" ca="1" si="22"/>
        <v/>
      </c>
      <c r="O307" s="37" t="str">
        <f t="shared" ca="1" si="23"/>
        <v/>
      </c>
    </row>
    <row r="308" spans="1:15" x14ac:dyDescent="0.25">
      <c r="A308" s="102"/>
      <c r="B308" s="33"/>
      <c r="C308" s="25"/>
      <c r="D308" s="26"/>
      <c r="E308" s="33"/>
      <c r="F308" s="25"/>
      <c r="G308" s="55"/>
      <c r="N308" s="37" t="str">
        <f t="shared" ca="1" si="22"/>
        <v/>
      </c>
      <c r="O308" s="37" t="str">
        <f t="shared" ca="1" si="23"/>
        <v/>
      </c>
    </row>
    <row r="309" spans="1:15" x14ac:dyDescent="0.25">
      <c r="A309" s="102"/>
      <c r="B309" s="33"/>
      <c r="C309" s="25"/>
      <c r="D309" s="26"/>
      <c r="E309" s="33"/>
      <c r="F309" s="25"/>
      <c r="G309" s="55"/>
      <c r="N309" s="37" t="str">
        <f t="shared" ca="1" si="22"/>
        <v/>
      </c>
      <c r="O309" s="37" t="str">
        <f t="shared" ca="1" si="23"/>
        <v/>
      </c>
    </row>
    <row r="310" spans="1:15" x14ac:dyDescent="0.25">
      <c r="A310" s="102"/>
      <c r="B310" s="33"/>
      <c r="C310" s="25"/>
      <c r="D310" s="26"/>
      <c r="E310" s="33"/>
      <c r="F310" s="25"/>
      <c r="G310" s="55"/>
      <c r="N310" s="37" t="str">
        <f t="shared" ca="1" si="22"/>
        <v/>
      </c>
      <c r="O310" s="37" t="str">
        <f t="shared" ca="1" si="23"/>
        <v/>
      </c>
    </row>
    <row r="311" spans="1:15" x14ac:dyDescent="0.25">
      <c r="A311" s="102"/>
      <c r="B311" s="33"/>
      <c r="C311" s="25"/>
      <c r="D311" s="26"/>
      <c r="E311" s="33"/>
      <c r="F311" s="25"/>
      <c r="G311" s="55"/>
      <c r="N311" s="37" t="str">
        <f t="shared" ca="1" si="22"/>
        <v/>
      </c>
      <c r="O311" s="37" t="str">
        <f t="shared" ca="1" si="23"/>
        <v/>
      </c>
    </row>
    <row r="312" spans="1:15" x14ac:dyDescent="0.25">
      <c r="A312" s="102"/>
      <c r="B312" s="33"/>
      <c r="C312" s="25"/>
      <c r="D312" s="26"/>
      <c r="E312" s="33"/>
      <c r="F312" s="25"/>
      <c r="G312" s="55"/>
      <c r="N312" s="37" t="str">
        <f t="shared" ca="1" si="22"/>
        <v/>
      </c>
      <c r="O312" s="37" t="str">
        <f t="shared" ca="1" si="23"/>
        <v/>
      </c>
    </row>
    <row r="313" spans="1:15" x14ac:dyDescent="0.25">
      <c r="A313" s="102"/>
      <c r="B313" s="33"/>
      <c r="C313" s="25"/>
      <c r="D313" s="26"/>
      <c r="E313" s="33"/>
      <c r="F313" s="25"/>
      <c r="G313" s="55"/>
      <c r="N313" s="37" t="str">
        <f t="shared" ca="1" si="22"/>
        <v/>
      </c>
      <c r="O313" s="37" t="str">
        <f t="shared" ca="1" si="23"/>
        <v/>
      </c>
    </row>
    <row r="314" spans="1:15" x14ac:dyDescent="0.25">
      <c r="A314" s="102"/>
      <c r="B314" s="33"/>
      <c r="C314" s="25"/>
      <c r="D314" s="26"/>
      <c r="E314" s="33"/>
      <c r="F314" s="25"/>
      <c r="G314" s="55"/>
      <c r="N314" s="37" t="str">
        <f t="shared" ca="1" si="22"/>
        <v/>
      </c>
      <c r="O314" s="37" t="str">
        <f t="shared" ca="1" si="23"/>
        <v/>
      </c>
    </row>
    <row r="315" spans="1:15" x14ac:dyDescent="0.25">
      <c r="A315" s="102"/>
      <c r="B315" s="33"/>
      <c r="C315" s="25"/>
      <c r="D315" s="26"/>
      <c r="E315" s="33"/>
      <c r="F315" s="25"/>
      <c r="G315" s="55"/>
      <c r="N315" s="37" t="str">
        <f t="shared" ca="1" si="22"/>
        <v/>
      </c>
      <c r="O315" s="37" t="str">
        <f t="shared" ca="1" si="23"/>
        <v/>
      </c>
    </row>
    <row r="316" spans="1:15" x14ac:dyDescent="0.25">
      <c r="A316" s="102"/>
      <c r="B316" s="33"/>
      <c r="C316" s="25"/>
      <c r="D316" s="26"/>
      <c r="E316" s="33"/>
      <c r="F316" s="25"/>
      <c r="G316" s="55"/>
      <c r="N316" s="37" t="str">
        <f t="shared" ca="1" si="22"/>
        <v/>
      </c>
      <c r="O316" s="37" t="str">
        <f t="shared" ca="1" si="23"/>
        <v/>
      </c>
    </row>
    <row r="317" spans="1:15" x14ac:dyDescent="0.25">
      <c r="A317" s="102"/>
      <c r="B317" s="33"/>
      <c r="C317" s="25"/>
      <c r="D317" s="26"/>
      <c r="E317" s="33"/>
      <c r="F317" s="25"/>
      <c r="G317" s="55"/>
      <c r="N317" s="37" t="str">
        <f t="shared" ca="1" si="22"/>
        <v/>
      </c>
      <c r="O317" s="37" t="str">
        <f t="shared" ca="1" si="23"/>
        <v/>
      </c>
    </row>
    <row r="318" spans="1:15" x14ac:dyDescent="0.25">
      <c r="A318" s="102"/>
      <c r="B318" s="33"/>
      <c r="C318" s="25"/>
      <c r="D318" s="26"/>
      <c r="E318" s="33"/>
      <c r="F318" s="25"/>
      <c r="G318" s="55"/>
      <c r="N318" s="37" t="str">
        <f t="shared" ca="1" si="22"/>
        <v/>
      </c>
      <c r="O318" s="37" t="str">
        <f t="shared" ca="1" si="23"/>
        <v/>
      </c>
    </row>
    <row r="319" spans="1:15" x14ac:dyDescent="0.25">
      <c r="A319" s="102"/>
      <c r="B319" s="33"/>
      <c r="C319" s="25"/>
      <c r="D319" s="26"/>
      <c r="E319" s="33"/>
      <c r="F319" s="25"/>
      <c r="G319" s="55"/>
      <c r="N319" s="37" t="str">
        <f t="shared" ca="1" si="22"/>
        <v/>
      </c>
      <c r="O319" s="37" t="str">
        <f t="shared" ca="1" si="23"/>
        <v/>
      </c>
    </row>
    <row r="320" spans="1:15" x14ac:dyDescent="0.25">
      <c r="A320" s="102"/>
      <c r="B320" s="33"/>
      <c r="C320" s="25"/>
      <c r="D320" s="26"/>
      <c r="E320" s="33"/>
      <c r="F320" s="25"/>
      <c r="G320" s="55"/>
      <c r="N320" s="37" t="str">
        <f t="shared" ca="1" si="22"/>
        <v/>
      </c>
      <c r="O320" s="37" t="str">
        <f t="shared" ca="1" si="23"/>
        <v/>
      </c>
    </row>
    <row r="321" spans="1:15" x14ac:dyDescent="0.25">
      <c r="A321" s="102"/>
      <c r="B321" s="33"/>
      <c r="C321" s="25"/>
      <c r="D321" s="26"/>
      <c r="E321" s="33"/>
      <c r="F321" s="25"/>
      <c r="G321" s="55"/>
      <c r="N321" s="37" t="str">
        <f t="shared" ca="1" si="22"/>
        <v/>
      </c>
      <c r="O321" s="37" t="str">
        <f t="shared" ca="1" si="23"/>
        <v/>
      </c>
    </row>
    <row r="322" spans="1:15" x14ac:dyDescent="0.25">
      <c r="A322" s="102"/>
      <c r="B322" s="33"/>
      <c r="C322" s="25"/>
      <c r="D322" s="26"/>
      <c r="E322" s="33"/>
      <c r="F322" s="25"/>
      <c r="G322" s="55"/>
      <c r="N322" s="37" t="str">
        <f t="shared" ca="1" si="22"/>
        <v/>
      </c>
      <c r="O322" s="37" t="str">
        <f t="shared" ca="1" si="23"/>
        <v/>
      </c>
    </row>
    <row r="323" spans="1:15" x14ac:dyDescent="0.25">
      <c r="A323" s="102"/>
      <c r="B323" s="33"/>
      <c r="C323" s="25"/>
      <c r="D323" s="26"/>
      <c r="E323" s="33"/>
      <c r="F323" s="25"/>
      <c r="G323" s="55"/>
      <c r="N323" s="37" t="str">
        <f t="shared" ca="1" si="22"/>
        <v/>
      </c>
      <c r="O323" s="37" t="str">
        <f t="shared" ca="1" si="23"/>
        <v/>
      </c>
    </row>
    <row r="324" spans="1:15" x14ac:dyDescent="0.25">
      <c r="A324" s="102"/>
      <c r="B324" s="33"/>
      <c r="C324" s="25"/>
      <c r="D324" s="26"/>
      <c r="E324" s="33"/>
      <c r="F324" s="25"/>
      <c r="G324" s="55"/>
      <c r="N324" s="37" t="str">
        <f t="shared" ref="N324:N387" ca="1" si="24">IF(COUNTIF(L:L,J324),J324,"")</f>
        <v/>
      </c>
      <c r="O324" s="37" t="str">
        <f t="shared" ref="O324:O387" ca="1" si="25">IF(N324&gt;$A$14,N324,"")</f>
        <v/>
      </c>
    </row>
    <row r="325" spans="1:15" x14ac:dyDescent="0.25">
      <c r="A325" s="102"/>
      <c r="B325" s="33"/>
      <c r="C325" s="25"/>
      <c r="D325" s="26"/>
      <c r="E325" s="33"/>
      <c r="F325" s="25"/>
      <c r="G325" s="55"/>
      <c r="N325" s="37" t="str">
        <f t="shared" ca="1" si="24"/>
        <v/>
      </c>
      <c r="O325" s="37" t="str">
        <f t="shared" ca="1" si="25"/>
        <v/>
      </c>
    </row>
    <row r="326" spans="1:15" x14ac:dyDescent="0.25">
      <c r="A326" s="102"/>
      <c r="B326" s="33"/>
      <c r="C326" s="25"/>
      <c r="D326" s="26"/>
      <c r="E326" s="33"/>
      <c r="F326" s="25"/>
      <c r="G326" s="55"/>
      <c r="N326" s="37" t="str">
        <f t="shared" ca="1" si="24"/>
        <v/>
      </c>
      <c r="O326" s="37" t="str">
        <f t="shared" ca="1" si="25"/>
        <v/>
      </c>
    </row>
    <row r="327" spans="1:15" x14ac:dyDescent="0.25">
      <c r="A327" s="102"/>
      <c r="B327" s="33"/>
      <c r="C327" s="25"/>
      <c r="D327" s="26"/>
      <c r="E327" s="33"/>
      <c r="F327" s="25"/>
      <c r="G327" s="55"/>
      <c r="N327" s="37" t="str">
        <f t="shared" ca="1" si="24"/>
        <v/>
      </c>
      <c r="O327" s="37" t="str">
        <f t="shared" ca="1" si="25"/>
        <v/>
      </c>
    </row>
    <row r="328" spans="1:15" x14ac:dyDescent="0.25">
      <c r="A328" s="102"/>
      <c r="B328" s="33"/>
      <c r="C328" s="25"/>
      <c r="D328" s="26"/>
      <c r="E328" s="33"/>
      <c r="F328" s="25"/>
      <c r="G328" s="55"/>
      <c r="N328" s="37" t="str">
        <f t="shared" ca="1" si="24"/>
        <v/>
      </c>
      <c r="O328" s="37" t="str">
        <f t="shared" ca="1" si="25"/>
        <v/>
      </c>
    </row>
    <row r="329" spans="1:15" x14ac:dyDescent="0.25">
      <c r="A329" s="102"/>
      <c r="B329" s="33"/>
      <c r="C329" s="25"/>
      <c r="D329" s="26"/>
      <c r="E329" s="33"/>
      <c r="F329" s="25"/>
      <c r="G329" s="55"/>
      <c r="N329" s="37" t="str">
        <f t="shared" ca="1" si="24"/>
        <v/>
      </c>
      <c r="O329" s="37" t="str">
        <f t="shared" ca="1" si="25"/>
        <v/>
      </c>
    </row>
    <row r="330" spans="1:15" x14ac:dyDescent="0.25">
      <c r="A330" s="102"/>
      <c r="B330" s="33"/>
      <c r="C330" s="25"/>
      <c r="D330" s="26"/>
      <c r="E330" s="33"/>
      <c r="F330" s="25"/>
      <c r="G330" s="55"/>
      <c r="N330" s="37" t="str">
        <f t="shared" ca="1" si="24"/>
        <v/>
      </c>
      <c r="O330" s="37" t="str">
        <f t="shared" ca="1" si="25"/>
        <v/>
      </c>
    </row>
    <row r="331" spans="1:15" x14ac:dyDescent="0.25">
      <c r="A331" s="102"/>
      <c r="B331" s="33"/>
      <c r="C331" s="25"/>
      <c r="D331" s="26"/>
      <c r="E331" s="33"/>
      <c r="F331" s="25"/>
      <c r="G331" s="55"/>
      <c r="N331" s="37" t="str">
        <f t="shared" ca="1" si="24"/>
        <v/>
      </c>
      <c r="O331" s="37" t="str">
        <f t="shared" ca="1" si="25"/>
        <v/>
      </c>
    </row>
    <row r="332" spans="1:15" x14ac:dyDescent="0.25">
      <c r="A332" s="102"/>
      <c r="B332" s="33"/>
      <c r="C332" s="25"/>
      <c r="D332" s="26"/>
      <c r="E332" s="33"/>
      <c r="F332" s="25"/>
      <c r="G332" s="55"/>
      <c r="N332" s="37" t="str">
        <f t="shared" ca="1" si="24"/>
        <v/>
      </c>
      <c r="O332" s="37" t="str">
        <f t="shared" ca="1" si="25"/>
        <v/>
      </c>
    </row>
    <row r="333" spans="1:15" x14ac:dyDescent="0.25">
      <c r="A333" s="102"/>
      <c r="B333" s="33"/>
      <c r="C333" s="25"/>
      <c r="D333" s="26"/>
      <c r="E333" s="33"/>
      <c r="F333" s="25"/>
      <c r="G333" s="55"/>
      <c r="N333" s="37" t="str">
        <f t="shared" ca="1" si="24"/>
        <v/>
      </c>
      <c r="O333" s="37" t="str">
        <f t="shared" ca="1" si="25"/>
        <v/>
      </c>
    </row>
    <row r="334" spans="1:15" x14ac:dyDescent="0.25">
      <c r="A334" s="102"/>
      <c r="B334" s="33"/>
      <c r="C334" s="25"/>
      <c r="D334" s="26"/>
      <c r="E334" s="33"/>
      <c r="F334" s="25"/>
      <c r="G334" s="55"/>
      <c r="N334" s="37" t="str">
        <f t="shared" ca="1" si="24"/>
        <v/>
      </c>
      <c r="O334" s="37" t="str">
        <f t="shared" ca="1" si="25"/>
        <v/>
      </c>
    </row>
    <row r="335" spans="1:15" x14ac:dyDescent="0.25">
      <c r="A335" s="102"/>
      <c r="B335" s="33"/>
      <c r="C335" s="25"/>
      <c r="D335" s="26"/>
      <c r="E335" s="33"/>
      <c r="F335" s="25"/>
      <c r="G335" s="55"/>
      <c r="N335" s="37" t="str">
        <f t="shared" ca="1" si="24"/>
        <v/>
      </c>
      <c r="O335" s="37" t="str">
        <f t="shared" ca="1" si="25"/>
        <v/>
      </c>
    </row>
    <row r="336" spans="1:15" x14ac:dyDescent="0.25">
      <c r="A336" s="102"/>
      <c r="B336" s="33"/>
      <c r="C336" s="25"/>
      <c r="D336" s="26"/>
      <c r="E336" s="33"/>
      <c r="F336" s="25"/>
      <c r="G336" s="55"/>
      <c r="N336" s="37" t="str">
        <f t="shared" ca="1" si="24"/>
        <v/>
      </c>
      <c r="O336" s="37" t="str">
        <f t="shared" ca="1" si="25"/>
        <v/>
      </c>
    </row>
    <row r="337" spans="1:15" x14ac:dyDescent="0.25">
      <c r="A337" s="102"/>
      <c r="B337" s="33"/>
      <c r="C337" s="25"/>
      <c r="D337" s="26"/>
      <c r="E337" s="33"/>
      <c r="F337" s="25"/>
      <c r="G337" s="55"/>
      <c r="N337" s="37" t="str">
        <f t="shared" ca="1" si="24"/>
        <v/>
      </c>
      <c r="O337" s="37" t="str">
        <f t="shared" ca="1" si="25"/>
        <v/>
      </c>
    </row>
    <row r="338" spans="1:15" x14ac:dyDescent="0.25">
      <c r="A338" s="102"/>
      <c r="B338" s="33"/>
      <c r="C338" s="25"/>
      <c r="D338" s="26"/>
      <c r="E338" s="33"/>
      <c r="F338" s="25"/>
      <c r="G338" s="55"/>
      <c r="N338" s="37" t="str">
        <f t="shared" ca="1" si="24"/>
        <v/>
      </c>
      <c r="O338" s="37" t="str">
        <f t="shared" ca="1" si="25"/>
        <v/>
      </c>
    </row>
    <row r="339" spans="1:15" x14ac:dyDescent="0.25">
      <c r="A339" s="102"/>
      <c r="B339" s="33"/>
      <c r="C339" s="25"/>
      <c r="D339" s="26"/>
      <c r="E339" s="33"/>
      <c r="F339" s="25"/>
      <c r="G339" s="55"/>
      <c r="N339" s="37" t="str">
        <f t="shared" ca="1" si="24"/>
        <v/>
      </c>
      <c r="O339" s="37" t="str">
        <f t="shared" ca="1" si="25"/>
        <v/>
      </c>
    </row>
    <row r="340" spans="1:15" x14ac:dyDescent="0.25">
      <c r="A340" s="102"/>
      <c r="B340" s="33"/>
      <c r="C340" s="25"/>
      <c r="D340" s="26"/>
      <c r="E340" s="33"/>
      <c r="F340" s="25"/>
      <c r="G340" s="55"/>
      <c r="N340" s="37" t="str">
        <f t="shared" ca="1" si="24"/>
        <v/>
      </c>
      <c r="O340" s="37" t="str">
        <f t="shared" ca="1" si="25"/>
        <v/>
      </c>
    </row>
    <row r="341" spans="1:15" x14ac:dyDescent="0.25">
      <c r="A341" s="102"/>
      <c r="B341" s="33"/>
      <c r="C341" s="25"/>
      <c r="D341" s="26"/>
      <c r="E341" s="33"/>
      <c r="F341" s="25"/>
      <c r="G341" s="55"/>
      <c r="N341" s="37" t="str">
        <f t="shared" ca="1" si="24"/>
        <v/>
      </c>
      <c r="O341" s="37" t="str">
        <f t="shared" ca="1" si="25"/>
        <v/>
      </c>
    </row>
    <row r="342" spans="1:15" x14ac:dyDescent="0.25">
      <c r="A342" s="102"/>
      <c r="B342" s="33"/>
      <c r="C342" s="25"/>
      <c r="D342" s="26"/>
      <c r="E342" s="33"/>
      <c r="F342" s="25"/>
      <c r="G342" s="55"/>
      <c r="N342" s="37" t="str">
        <f t="shared" ca="1" si="24"/>
        <v/>
      </c>
      <c r="O342" s="37" t="str">
        <f t="shared" ca="1" si="25"/>
        <v/>
      </c>
    </row>
    <row r="343" spans="1:15" x14ac:dyDescent="0.25">
      <c r="A343" s="102"/>
      <c r="B343" s="33"/>
      <c r="C343" s="25"/>
      <c r="D343" s="26"/>
      <c r="E343" s="33"/>
      <c r="F343" s="25"/>
      <c r="G343" s="55"/>
      <c r="N343" s="37" t="str">
        <f t="shared" ca="1" si="24"/>
        <v/>
      </c>
      <c r="O343" s="37" t="str">
        <f t="shared" ca="1" si="25"/>
        <v/>
      </c>
    </row>
    <row r="344" spans="1:15" x14ac:dyDescent="0.25">
      <c r="A344" s="102"/>
      <c r="B344" s="33"/>
      <c r="C344" s="25"/>
      <c r="D344" s="26"/>
      <c r="E344" s="33"/>
      <c r="F344" s="25"/>
      <c r="G344" s="55"/>
      <c r="N344" s="37" t="str">
        <f t="shared" ca="1" si="24"/>
        <v/>
      </c>
      <c r="O344" s="37" t="str">
        <f t="shared" ca="1" si="25"/>
        <v/>
      </c>
    </row>
    <row r="345" spans="1:15" x14ac:dyDescent="0.25">
      <c r="A345" s="102"/>
      <c r="B345" s="33"/>
      <c r="C345" s="25"/>
      <c r="D345" s="26"/>
      <c r="E345" s="33"/>
      <c r="F345" s="25"/>
      <c r="G345" s="55"/>
      <c r="N345" s="37" t="str">
        <f t="shared" ca="1" si="24"/>
        <v/>
      </c>
      <c r="O345" s="37" t="str">
        <f t="shared" ca="1" si="25"/>
        <v/>
      </c>
    </row>
    <row r="346" spans="1:15" x14ac:dyDescent="0.25">
      <c r="A346" s="102"/>
      <c r="B346" s="33"/>
      <c r="C346" s="25"/>
      <c r="D346" s="26"/>
      <c r="E346" s="33"/>
      <c r="F346" s="25"/>
      <c r="G346" s="55"/>
      <c r="N346" s="37" t="str">
        <f t="shared" ca="1" si="24"/>
        <v/>
      </c>
      <c r="O346" s="37" t="str">
        <f t="shared" ca="1" si="25"/>
        <v/>
      </c>
    </row>
    <row r="347" spans="1:15" x14ac:dyDescent="0.25">
      <c r="A347" s="102"/>
      <c r="B347" s="33"/>
      <c r="C347" s="25"/>
      <c r="D347" s="26"/>
      <c r="E347" s="33"/>
      <c r="F347" s="25"/>
      <c r="G347" s="55"/>
      <c r="N347" s="37" t="str">
        <f t="shared" ca="1" si="24"/>
        <v/>
      </c>
      <c r="O347" s="37" t="str">
        <f t="shared" ca="1" si="25"/>
        <v/>
      </c>
    </row>
    <row r="348" spans="1:15" x14ac:dyDescent="0.25">
      <c r="A348" s="102"/>
      <c r="B348" s="33"/>
      <c r="C348" s="25"/>
      <c r="D348" s="26"/>
      <c r="E348" s="33"/>
      <c r="F348" s="25"/>
      <c r="G348" s="55"/>
      <c r="N348" s="37" t="str">
        <f t="shared" ca="1" si="24"/>
        <v/>
      </c>
      <c r="O348" s="37" t="str">
        <f t="shared" ca="1" si="25"/>
        <v/>
      </c>
    </row>
    <row r="349" spans="1:15" x14ac:dyDescent="0.25">
      <c r="A349" s="102"/>
      <c r="B349" s="33"/>
      <c r="C349" s="25"/>
      <c r="D349" s="26"/>
      <c r="E349" s="33"/>
      <c r="F349" s="25"/>
      <c r="G349" s="55"/>
      <c r="N349" s="37" t="str">
        <f t="shared" ca="1" si="24"/>
        <v/>
      </c>
      <c r="O349" s="37" t="str">
        <f t="shared" ca="1" si="25"/>
        <v/>
      </c>
    </row>
    <row r="350" spans="1:15" x14ac:dyDescent="0.25">
      <c r="A350" s="102"/>
      <c r="B350" s="33"/>
      <c r="C350" s="25"/>
      <c r="D350" s="26"/>
      <c r="E350" s="33"/>
      <c r="F350" s="25"/>
      <c r="G350" s="55"/>
      <c r="N350" s="37" t="str">
        <f t="shared" ca="1" si="24"/>
        <v/>
      </c>
      <c r="O350" s="37" t="str">
        <f t="shared" ca="1" si="25"/>
        <v/>
      </c>
    </row>
    <row r="351" spans="1:15" x14ac:dyDescent="0.25">
      <c r="A351" s="102"/>
      <c r="B351" s="33"/>
      <c r="C351" s="25"/>
      <c r="D351" s="26"/>
      <c r="E351" s="33"/>
      <c r="F351" s="25"/>
      <c r="G351" s="55"/>
      <c r="N351" s="37" t="str">
        <f t="shared" ca="1" si="24"/>
        <v/>
      </c>
      <c r="O351" s="37" t="str">
        <f t="shared" ca="1" si="25"/>
        <v/>
      </c>
    </row>
    <row r="352" spans="1:15" x14ac:dyDescent="0.25">
      <c r="A352" s="102"/>
      <c r="B352" s="33"/>
      <c r="C352" s="25"/>
      <c r="D352" s="26"/>
      <c r="E352" s="33"/>
      <c r="F352" s="25"/>
      <c r="G352" s="55"/>
      <c r="N352" s="37" t="str">
        <f t="shared" ca="1" si="24"/>
        <v/>
      </c>
      <c r="O352" s="37" t="str">
        <f t="shared" ca="1" si="25"/>
        <v/>
      </c>
    </row>
    <row r="353" spans="1:15" x14ac:dyDescent="0.25">
      <c r="A353" s="102"/>
      <c r="B353" s="33"/>
      <c r="C353" s="25"/>
      <c r="D353" s="26"/>
      <c r="E353" s="33"/>
      <c r="F353" s="25"/>
      <c r="G353" s="55"/>
      <c r="N353" s="37" t="str">
        <f t="shared" ca="1" si="24"/>
        <v/>
      </c>
      <c r="O353" s="37" t="str">
        <f t="shared" ca="1" si="25"/>
        <v/>
      </c>
    </row>
    <row r="354" spans="1:15" x14ac:dyDescent="0.25">
      <c r="A354" s="102"/>
      <c r="B354" s="33"/>
      <c r="C354" s="25"/>
      <c r="D354" s="26"/>
      <c r="E354" s="33"/>
      <c r="F354" s="25"/>
      <c r="G354" s="55"/>
      <c r="N354" s="37" t="str">
        <f t="shared" ca="1" si="24"/>
        <v/>
      </c>
      <c r="O354" s="37" t="str">
        <f t="shared" ca="1" si="25"/>
        <v/>
      </c>
    </row>
    <row r="355" spans="1:15" x14ac:dyDescent="0.25">
      <c r="A355" s="102"/>
      <c r="B355" s="33"/>
      <c r="C355" s="25"/>
      <c r="D355" s="26"/>
      <c r="E355" s="33"/>
      <c r="F355" s="25"/>
      <c r="G355" s="55"/>
      <c r="N355" s="37" t="str">
        <f t="shared" ca="1" si="24"/>
        <v/>
      </c>
      <c r="O355" s="37" t="str">
        <f t="shared" ca="1" si="25"/>
        <v/>
      </c>
    </row>
    <row r="356" spans="1:15" x14ac:dyDescent="0.25">
      <c r="A356" s="102"/>
      <c r="B356" s="33"/>
      <c r="C356" s="25"/>
      <c r="D356" s="26"/>
      <c r="E356" s="33"/>
      <c r="F356" s="25"/>
      <c r="G356" s="55"/>
      <c r="N356" s="37" t="str">
        <f t="shared" ca="1" si="24"/>
        <v/>
      </c>
      <c r="O356" s="37" t="str">
        <f t="shared" ca="1" si="25"/>
        <v/>
      </c>
    </row>
    <row r="357" spans="1:15" x14ac:dyDescent="0.25">
      <c r="A357" s="102"/>
      <c r="B357" s="33"/>
      <c r="C357" s="25"/>
      <c r="D357" s="26"/>
      <c r="E357" s="33"/>
      <c r="F357" s="25"/>
      <c r="G357" s="55"/>
      <c r="N357" s="37" t="str">
        <f t="shared" ca="1" si="24"/>
        <v/>
      </c>
      <c r="O357" s="37" t="str">
        <f t="shared" ca="1" si="25"/>
        <v/>
      </c>
    </row>
    <row r="358" spans="1:15" x14ac:dyDescent="0.25">
      <c r="A358" s="102"/>
      <c r="B358" s="33"/>
      <c r="C358" s="25"/>
      <c r="D358" s="26"/>
      <c r="E358" s="33"/>
      <c r="F358" s="25"/>
      <c r="G358" s="55"/>
      <c r="N358" s="37" t="str">
        <f t="shared" ca="1" si="24"/>
        <v/>
      </c>
      <c r="O358" s="37" t="str">
        <f t="shared" ca="1" si="25"/>
        <v/>
      </c>
    </row>
    <row r="359" spans="1:15" x14ac:dyDescent="0.25">
      <c r="A359" s="102"/>
      <c r="B359" s="33"/>
      <c r="C359" s="25"/>
      <c r="D359" s="26"/>
      <c r="E359" s="33"/>
      <c r="F359" s="25"/>
      <c r="G359" s="55"/>
      <c r="N359" s="37" t="str">
        <f t="shared" ca="1" si="24"/>
        <v/>
      </c>
      <c r="O359" s="37" t="str">
        <f t="shared" ca="1" si="25"/>
        <v/>
      </c>
    </row>
    <row r="360" spans="1:15" x14ac:dyDescent="0.25">
      <c r="A360" s="102"/>
      <c r="B360" s="33"/>
      <c r="C360" s="25"/>
      <c r="D360" s="26"/>
      <c r="E360" s="33"/>
      <c r="F360" s="25"/>
      <c r="G360" s="55"/>
      <c r="N360" s="37" t="str">
        <f t="shared" ca="1" si="24"/>
        <v/>
      </c>
      <c r="O360" s="37" t="str">
        <f t="shared" ca="1" si="25"/>
        <v/>
      </c>
    </row>
    <row r="361" spans="1:15" x14ac:dyDescent="0.25">
      <c r="A361" s="102"/>
      <c r="B361" s="33"/>
      <c r="C361" s="25"/>
      <c r="D361" s="26"/>
      <c r="E361" s="33"/>
      <c r="F361" s="25"/>
      <c r="G361" s="55"/>
      <c r="N361" s="37" t="str">
        <f t="shared" ca="1" si="24"/>
        <v/>
      </c>
      <c r="O361" s="37" t="str">
        <f t="shared" ca="1" si="25"/>
        <v/>
      </c>
    </row>
    <row r="362" spans="1:15" x14ac:dyDescent="0.25">
      <c r="A362" s="102"/>
      <c r="B362" s="33"/>
      <c r="C362" s="25"/>
      <c r="D362" s="26"/>
      <c r="E362" s="33"/>
      <c r="F362" s="25"/>
      <c r="G362" s="55"/>
      <c r="N362" s="37" t="str">
        <f t="shared" ca="1" si="24"/>
        <v/>
      </c>
      <c r="O362" s="37" t="str">
        <f t="shared" ca="1" si="25"/>
        <v/>
      </c>
    </row>
    <row r="363" spans="1:15" x14ac:dyDescent="0.25">
      <c r="A363" s="102"/>
      <c r="B363" s="33"/>
      <c r="C363" s="25"/>
      <c r="D363" s="26"/>
      <c r="E363" s="33"/>
      <c r="F363" s="25"/>
      <c r="G363" s="55"/>
      <c r="N363" s="37" t="str">
        <f t="shared" ca="1" si="24"/>
        <v/>
      </c>
      <c r="O363" s="37" t="str">
        <f t="shared" ca="1" si="25"/>
        <v/>
      </c>
    </row>
    <row r="364" spans="1:15" x14ac:dyDescent="0.25">
      <c r="A364" s="102"/>
      <c r="B364" s="33"/>
      <c r="C364" s="25"/>
      <c r="D364" s="26"/>
      <c r="E364" s="33"/>
      <c r="F364" s="25"/>
      <c r="G364" s="55"/>
      <c r="N364" s="37" t="str">
        <f t="shared" ca="1" si="24"/>
        <v/>
      </c>
      <c r="O364" s="37" t="str">
        <f t="shared" ca="1" si="25"/>
        <v/>
      </c>
    </row>
    <row r="365" spans="1:15" x14ac:dyDescent="0.25">
      <c r="A365" s="102"/>
      <c r="B365" s="33"/>
      <c r="C365" s="25"/>
      <c r="D365" s="26"/>
      <c r="E365" s="33"/>
      <c r="F365" s="25"/>
      <c r="G365" s="55"/>
      <c r="N365" s="37" t="str">
        <f t="shared" ca="1" si="24"/>
        <v/>
      </c>
      <c r="O365" s="37" t="str">
        <f t="shared" ca="1" si="25"/>
        <v/>
      </c>
    </row>
    <row r="366" spans="1:15" x14ac:dyDescent="0.25">
      <c r="A366" s="102"/>
      <c r="B366" s="33"/>
      <c r="C366" s="25"/>
      <c r="D366" s="26"/>
      <c r="E366" s="33"/>
      <c r="F366" s="25"/>
      <c r="G366" s="55"/>
      <c r="N366" s="37" t="str">
        <f t="shared" ca="1" si="24"/>
        <v/>
      </c>
      <c r="O366" s="37" t="str">
        <f t="shared" ca="1" si="25"/>
        <v/>
      </c>
    </row>
    <row r="367" spans="1:15" x14ac:dyDescent="0.25">
      <c r="A367" s="102"/>
      <c r="B367" s="33"/>
      <c r="C367" s="25"/>
      <c r="D367" s="26"/>
      <c r="E367" s="33"/>
      <c r="F367" s="25"/>
      <c r="G367" s="55"/>
      <c r="N367" s="37" t="str">
        <f t="shared" ca="1" si="24"/>
        <v/>
      </c>
      <c r="O367" s="37" t="str">
        <f t="shared" ca="1" si="25"/>
        <v/>
      </c>
    </row>
    <row r="368" spans="1:15" x14ac:dyDescent="0.25">
      <c r="A368" s="102"/>
      <c r="B368" s="33"/>
      <c r="C368" s="25"/>
      <c r="D368" s="26"/>
      <c r="E368" s="33"/>
      <c r="F368" s="25"/>
      <c r="G368" s="55"/>
      <c r="N368" s="37" t="str">
        <f t="shared" ca="1" si="24"/>
        <v/>
      </c>
      <c r="O368" s="37" t="str">
        <f t="shared" ca="1" si="25"/>
        <v/>
      </c>
    </row>
    <row r="369" spans="1:15" x14ac:dyDescent="0.25">
      <c r="A369" s="102"/>
      <c r="B369" s="33"/>
      <c r="C369" s="25"/>
      <c r="D369" s="26"/>
      <c r="E369" s="33"/>
      <c r="F369" s="25"/>
      <c r="G369" s="55"/>
      <c r="N369" s="37" t="str">
        <f t="shared" ca="1" si="24"/>
        <v/>
      </c>
      <c r="O369" s="37" t="str">
        <f t="shared" ca="1" si="25"/>
        <v/>
      </c>
    </row>
    <row r="370" spans="1:15" x14ac:dyDescent="0.25">
      <c r="A370" s="102"/>
      <c r="B370" s="33"/>
      <c r="C370" s="25"/>
      <c r="D370" s="26"/>
      <c r="E370" s="33"/>
      <c r="F370" s="25"/>
      <c r="G370" s="55"/>
      <c r="N370" s="37" t="str">
        <f t="shared" ca="1" si="24"/>
        <v/>
      </c>
      <c r="O370" s="37" t="str">
        <f t="shared" ca="1" si="25"/>
        <v/>
      </c>
    </row>
    <row r="371" spans="1:15" x14ac:dyDescent="0.25">
      <c r="A371" s="102"/>
      <c r="B371" s="33"/>
      <c r="C371" s="25"/>
      <c r="D371" s="26"/>
      <c r="E371" s="33"/>
      <c r="F371" s="25"/>
      <c r="G371" s="55"/>
      <c r="N371" s="37" t="str">
        <f t="shared" ca="1" si="24"/>
        <v/>
      </c>
      <c r="O371" s="37" t="str">
        <f t="shared" ca="1" si="25"/>
        <v/>
      </c>
    </row>
    <row r="372" spans="1:15" x14ac:dyDescent="0.25">
      <c r="A372" s="102"/>
      <c r="B372" s="33"/>
      <c r="C372" s="25"/>
      <c r="D372" s="26"/>
      <c r="E372" s="33"/>
      <c r="F372" s="25"/>
      <c r="G372" s="55"/>
      <c r="N372" s="37" t="str">
        <f t="shared" ca="1" si="24"/>
        <v/>
      </c>
      <c r="O372" s="37" t="str">
        <f t="shared" ca="1" si="25"/>
        <v/>
      </c>
    </row>
    <row r="373" spans="1:15" x14ac:dyDescent="0.25">
      <c r="A373" s="102"/>
      <c r="B373" s="33"/>
      <c r="C373" s="25"/>
      <c r="D373" s="26"/>
      <c r="E373" s="33"/>
      <c r="F373" s="25"/>
      <c r="G373" s="55"/>
      <c r="N373" s="37" t="str">
        <f t="shared" ca="1" si="24"/>
        <v/>
      </c>
      <c r="O373" s="37" t="str">
        <f t="shared" ca="1" si="25"/>
        <v/>
      </c>
    </row>
    <row r="374" spans="1:15" x14ac:dyDescent="0.25">
      <c r="A374" s="102"/>
      <c r="B374" s="33"/>
      <c r="C374" s="25"/>
      <c r="D374" s="26"/>
      <c r="E374" s="33"/>
      <c r="F374" s="25"/>
      <c r="G374" s="55"/>
      <c r="N374" s="37" t="str">
        <f t="shared" ca="1" si="24"/>
        <v/>
      </c>
      <c r="O374" s="37" t="str">
        <f t="shared" ca="1" si="25"/>
        <v/>
      </c>
    </row>
    <row r="375" spans="1:15" x14ac:dyDescent="0.25">
      <c r="A375" s="102"/>
      <c r="B375" s="33"/>
      <c r="C375" s="25"/>
      <c r="D375" s="26"/>
      <c r="E375" s="33"/>
      <c r="F375" s="25"/>
      <c r="G375" s="55"/>
      <c r="N375" s="37" t="str">
        <f t="shared" ca="1" si="24"/>
        <v/>
      </c>
      <c r="O375" s="37" t="str">
        <f t="shared" ca="1" si="25"/>
        <v/>
      </c>
    </row>
    <row r="376" spans="1:15" x14ac:dyDescent="0.25">
      <c r="A376" s="102"/>
      <c r="B376" s="33"/>
      <c r="C376" s="25"/>
      <c r="D376" s="26"/>
      <c r="E376" s="33"/>
      <c r="F376" s="25"/>
      <c r="G376" s="55"/>
      <c r="N376" s="37" t="str">
        <f t="shared" ca="1" si="24"/>
        <v/>
      </c>
      <c r="O376" s="37" t="str">
        <f t="shared" ca="1" si="25"/>
        <v/>
      </c>
    </row>
    <row r="377" spans="1:15" x14ac:dyDescent="0.25">
      <c r="A377" s="102"/>
      <c r="B377" s="33"/>
      <c r="C377" s="25"/>
      <c r="D377" s="26"/>
      <c r="E377" s="33"/>
      <c r="F377" s="25"/>
      <c r="G377" s="55"/>
      <c r="N377" s="37" t="str">
        <f t="shared" ca="1" si="24"/>
        <v/>
      </c>
      <c r="O377" s="37" t="str">
        <f t="shared" ca="1" si="25"/>
        <v/>
      </c>
    </row>
    <row r="378" spans="1:15" x14ac:dyDescent="0.25">
      <c r="A378" s="102"/>
      <c r="B378" s="33"/>
      <c r="C378" s="25"/>
      <c r="D378" s="26"/>
      <c r="E378" s="33"/>
      <c r="F378" s="25"/>
      <c r="G378" s="55"/>
      <c r="N378" s="37" t="str">
        <f t="shared" ca="1" si="24"/>
        <v/>
      </c>
      <c r="O378" s="37" t="str">
        <f t="shared" ca="1" si="25"/>
        <v/>
      </c>
    </row>
    <row r="379" spans="1:15" x14ac:dyDescent="0.25">
      <c r="A379" s="102"/>
      <c r="B379" s="33"/>
      <c r="C379" s="25"/>
      <c r="D379" s="26"/>
      <c r="E379" s="33"/>
      <c r="F379" s="25"/>
      <c r="G379" s="55"/>
      <c r="N379" s="37" t="str">
        <f t="shared" ca="1" si="24"/>
        <v/>
      </c>
      <c r="O379" s="37" t="str">
        <f t="shared" ca="1" si="25"/>
        <v/>
      </c>
    </row>
    <row r="380" spans="1:15" x14ac:dyDescent="0.25">
      <c r="A380" s="102"/>
      <c r="B380" s="33"/>
      <c r="C380" s="25"/>
      <c r="D380" s="26"/>
      <c r="E380" s="33"/>
      <c r="F380" s="25"/>
      <c r="G380" s="55"/>
      <c r="N380" s="37" t="str">
        <f t="shared" ca="1" si="24"/>
        <v/>
      </c>
      <c r="O380" s="37" t="str">
        <f t="shared" ca="1" si="25"/>
        <v/>
      </c>
    </row>
    <row r="381" spans="1:15" x14ac:dyDescent="0.25">
      <c r="A381" s="102"/>
      <c r="B381" s="33"/>
      <c r="C381" s="25"/>
      <c r="D381" s="26"/>
      <c r="E381" s="33"/>
      <c r="F381" s="25"/>
      <c r="G381" s="55"/>
      <c r="N381" s="37" t="str">
        <f t="shared" ca="1" si="24"/>
        <v/>
      </c>
      <c r="O381" s="37" t="str">
        <f t="shared" ca="1" si="25"/>
        <v/>
      </c>
    </row>
    <row r="382" spans="1:15" x14ac:dyDescent="0.25">
      <c r="A382" s="102"/>
      <c r="B382" s="33"/>
      <c r="C382" s="25"/>
      <c r="D382" s="26"/>
      <c r="E382" s="33"/>
      <c r="F382" s="25"/>
      <c r="G382" s="55"/>
      <c r="N382" s="37" t="str">
        <f t="shared" ca="1" si="24"/>
        <v/>
      </c>
      <c r="O382" s="37" t="str">
        <f t="shared" ca="1" si="25"/>
        <v/>
      </c>
    </row>
    <row r="383" spans="1:15" x14ac:dyDescent="0.25">
      <c r="A383" s="102"/>
      <c r="B383" s="33"/>
      <c r="C383" s="25"/>
      <c r="D383" s="26"/>
      <c r="E383" s="33"/>
      <c r="F383" s="25"/>
      <c r="G383" s="55"/>
      <c r="N383" s="37" t="str">
        <f t="shared" ca="1" si="24"/>
        <v/>
      </c>
      <c r="O383" s="37" t="str">
        <f t="shared" ca="1" si="25"/>
        <v/>
      </c>
    </row>
    <row r="384" spans="1:15" x14ac:dyDescent="0.25">
      <c r="A384" s="102"/>
      <c r="B384" s="33"/>
      <c r="C384" s="25"/>
      <c r="D384" s="26"/>
      <c r="E384" s="33"/>
      <c r="F384" s="25"/>
      <c r="G384" s="55"/>
      <c r="N384" s="37" t="str">
        <f t="shared" ca="1" si="24"/>
        <v/>
      </c>
      <c r="O384" s="37" t="str">
        <f t="shared" ca="1" si="25"/>
        <v/>
      </c>
    </row>
    <row r="385" spans="1:15" x14ac:dyDescent="0.25">
      <c r="A385" s="102"/>
      <c r="B385" s="33"/>
      <c r="C385" s="25"/>
      <c r="D385" s="26"/>
      <c r="E385" s="33"/>
      <c r="F385" s="25"/>
      <c r="G385" s="55"/>
      <c r="N385" s="37" t="str">
        <f t="shared" ca="1" si="24"/>
        <v/>
      </c>
      <c r="O385" s="37" t="str">
        <f t="shared" ca="1" si="25"/>
        <v/>
      </c>
    </row>
    <row r="386" spans="1:15" x14ac:dyDescent="0.25">
      <c r="A386" s="102"/>
      <c r="B386" s="33"/>
      <c r="C386" s="25"/>
      <c r="D386" s="26"/>
      <c r="E386" s="33"/>
      <c r="F386" s="25"/>
      <c r="G386" s="55"/>
      <c r="N386" s="37" t="str">
        <f t="shared" ca="1" si="24"/>
        <v/>
      </c>
      <c r="O386" s="37" t="str">
        <f t="shared" ca="1" si="25"/>
        <v/>
      </c>
    </row>
    <row r="387" spans="1:15" x14ac:dyDescent="0.25">
      <c r="A387" s="102"/>
      <c r="B387" s="33"/>
      <c r="C387" s="25"/>
      <c r="D387" s="26"/>
      <c r="E387" s="33"/>
      <c r="F387" s="25"/>
      <c r="G387" s="55"/>
      <c r="N387" s="37" t="str">
        <f t="shared" ca="1" si="24"/>
        <v/>
      </c>
      <c r="O387" s="37" t="str">
        <f t="shared" ca="1" si="25"/>
        <v/>
      </c>
    </row>
    <row r="388" spans="1:15" x14ac:dyDescent="0.25">
      <c r="A388" s="102"/>
      <c r="B388" s="33"/>
      <c r="C388" s="25"/>
      <c r="D388" s="26"/>
      <c r="E388" s="33"/>
      <c r="F388" s="25"/>
      <c r="G388" s="55"/>
      <c r="N388" s="37" t="str">
        <f t="shared" ref="N388:N451" ca="1" si="26">IF(COUNTIF(L:L,J388),J388,"")</f>
        <v/>
      </c>
      <c r="O388" s="37" t="str">
        <f t="shared" ref="O388:O451" ca="1" si="27">IF(N388&gt;$A$14,N388,"")</f>
        <v/>
      </c>
    </row>
    <row r="389" spans="1:15" x14ac:dyDescent="0.25">
      <c r="A389" s="102"/>
      <c r="B389" s="33"/>
      <c r="C389" s="25"/>
      <c r="D389" s="26"/>
      <c r="E389" s="33"/>
      <c r="F389" s="25"/>
      <c r="G389" s="55"/>
      <c r="N389" s="37" t="str">
        <f t="shared" ca="1" si="26"/>
        <v/>
      </c>
      <c r="O389" s="37" t="str">
        <f t="shared" ca="1" si="27"/>
        <v/>
      </c>
    </row>
    <row r="390" spans="1:15" x14ac:dyDescent="0.25">
      <c r="A390" s="102"/>
      <c r="B390" s="33"/>
      <c r="C390" s="25"/>
      <c r="D390" s="26"/>
      <c r="E390" s="33"/>
      <c r="F390" s="25"/>
      <c r="G390" s="55"/>
      <c r="N390" s="37" t="str">
        <f t="shared" ca="1" si="26"/>
        <v/>
      </c>
      <c r="O390" s="37" t="str">
        <f t="shared" ca="1" si="27"/>
        <v/>
      </c>
    </row>
    <row r="391" spans="1:15" x14ac:dyDescent="0.25">
      <c r="A391" s="102"/>
      <c r="B391" s="33"/>
      <c r="C391" s="25"/>
      <c r="D391" s="26"/>
      <c r="E391" s="33"/>
      <c r="F391" s="25"/>
      <c r="G391" s="55"/>
      <c r="N391" s="37" t="str">
        <f t="shared" ca="1" si="26"/>
        <v/>
      </c>
      <c r="O391" s="37" t="str">
        <f t="shared" ca="1" si="27"/>
        <v/>
      </c>
    </row>
    <row r="392" spans="1:15" x14ac:dyDescent="0.25">
      <c r="A392" s="102"/>
      <c r="B392" s="33"/>
      <c r="C392" s="25"/>
      <c r="D392" s="26"/>
      <c r="E392" s="33"/>
      <c r="F392" s="25"/>
      <c r="G392" s="55"/>
      <c r="N392" s="37" t="str">
        <f t="shared" ca="1" si="26"/>
        <v/>
      </c>
      <c r="O392" s="37" t="str">
        <f t="shared" ca="1" si="27"/>
        <v/>
      </c>
    </row>
    <row r="393" spans="1:15" x14ac:dyDescent="0.25">
      <c r="A393" s="102"/>
      <c r="B393" s="33"/>
      <c r="C393" s="25"/>
      <c r="D393" s="26"/>
      <c r="E393" s="33"/>
      <c r="F393" s="25"/>
      <c r="G393" s="55"/>
      <c r="N393" s="37" t="str">
        <f t="shared" ca="1" si="26"/>
        <v/>
      </c>
      <c r="O393" s="37" t="str">
        <f t="shared" ca="1" si="27"/>
        <v/>
      </c>
    </row>
    <row r="394" spans="1:15" x14ac:dyDescent="0.25">
      <c r="A394" s="102"/>
      <c r="B394" s="33"/>
      <c r="C394" s="25"/>
      <c r="D394" s="26"/>
      <c r="E394" s="33"/>
      <c r="F394" s="25"/>
      <c r="G394" s="55"/>
      <c r="N394" s="37" t="str">
        <f t="shared" ca="1" si="26"/>
        <v/>
      </c>
      <c r="O394" s="37" t="str">
        <f t="shared" ca="1" si="27"/>
        <v/>
      </c>
    </row>
    <row r="395" spans="1:15" x14ac:dyDescent="0.25">
      <c r="A395" s="102"/>
      <c r="B395" s="33"/>
      <c r="C395" s="25"/>
      <c r="D395" s="26"/>
      <c r="E395" s="33"/>
      <c r="F395" s="25"/>
      <c r="G395" s="55"/>
      <c r="N395" s="37" t="str">
        <f t="shared" ca="1" si="26"/>
        <v/>
      </c>
      <c r="O395" s="37" t="str">
        <f t="shared" ca="1" si="27"/>
        <v/>
      </c>
    </row>
    <row r="396" spans="1:15" x14ac:dyDescent="0.25">
      <c r="A396" s="102"/>
      <c r="B396" s="33"/>
      <c r="C396" s="25"/>
      <c r="D396" s="26"/>
      <c r="E396" s="33"/>
      <c r="F396" s="25"/>
      <c r="G396" s="55"/>
      <c r="N396" s="37" t="str">
        <f t="shared" ca="1" si="26"/>
        <v/>
      </c>
      <c r="O396" s="37" t="str">
        <f t="shared" ca="1" si="27"/>
        <v/>
      </c>
    </row>
    <row r="397" spans="1:15" x14ac:dyDescent="0.25">
      <c r="A397" s="102"/>
      <c r="B397" s="33"/>
      <c r="C397" s="25"/>
      <c r="D397" s="26"/>
      <c r="E397" s="33"/>
      <c r="F397" s="25"/>
      <c r="G397" s="55"/>
      <c r="N397" s="37" t="str">
        <f t="shared" ca="1" si="26"/>
        <v/>
      </c>
      <c r="O397" s="37" t="str">
        <f t="shared" ca="1" si="27"/>
        <v/>
      </c>
    </row>
    <row r="398" spans="1:15" x14ac:dyDescent="0.25">
      <c r="A398" s="102"/>
      <c r="B398" s="33"/>
      <c r="C398" s="25"/>
      <c r="D398" s="26"/>
      <c r="E398" s="33"/>
      <c r="F398" s="25"/>
      <c r="G398" s="55"/>
      <c r="N398" s="37" t="str">
        <f t="shared" ca="1" si="26"/>
        <v/>
      </c>
      <c r="O398" s="37" t="str">
        <f t="shared" ca="1" si="27"/>
        <v/>
      </c>
    </row>
    <row r="399" spans="1:15" x14ac:dyDescent="0.25">
      <c r="A399" s="102"/>
      <c r="B399" s="33"/>
      <c r="C399" s="25"/>
      <c r="D399" s="26"/>
      <c r="E399" s="33"/>
      <c r="F399" s="25"/>
      <c r="G399" s="55"/>
      <c r="N399" s="37" t="str">
        <f t="shared" ca="1" si="26"/>
        <v/>
      </c>
      <c r="O399" s="37" t="str">
        <f t="shared" ca="1" si="27"/>
        <v/>
      </c>
    </row>
    <row r="400" spans="1:15" x14ac:dyDescent="0.25">
      <c r="A400" s="102"/>
      <c r="B400" s="33"/>
      <c r="C400" s="25"/>
      <c r="D400" s="26"/>
      <c r="E400" s="33"/>
      <c r="F400" s="25"/>
      <c r="G400" s="55"/>
      <c r="N400" s="37" t="str">
        <f t="shared" ca="1" si="26"/>
        <v/>
      </c>
      <c r="O400" s="37" t="str">
        <f t="shared" ca="1" si="27"/>
        <v/>
      </c>
    </row>
    <row r="401" spans="1:15" x14ac:dyDescent="0.25">
      <c r="A401" s="102"/>
      <c r="B401" s="33"/>
      <c r="C401" s="25"/>
      <c r="D401" s="26"/>
      <c r="E401" s="33"/>
      <c r="F401" s="25"/>
      <c r="G401" s="55"/>
      <c r="N401" s="37" t="str">
        <f t="shared" ca="1" si="26"/>
        <v/>
      </c>
      <c r="O401" s="37" t="str">
        <f t="shared" ca="1" si="27"/>
        <v/>
      </c>
    </row>
    <row r="402" spans="1:15" x14ac:dyDescent="0.25">
      <c r="A402" s="102"/>
      <c r="B402" s="33"/>
      <c r="C402" s="25"/>
      <c r="D402" s="26"/>
      <c r="E402" s="33"/>
      <c r="F402" s="25"/>
      <c r="G402" s="55"/>
      <c r="N402" s="37" t="str">
        <f t="shared" ca="1" si="26"/>
        <v/>
      </c>
      <c r="O402" s="37" t="str">
        <f t="shared" ca="1" si="27"/>
        <v/>
      </c>
    </row>
    <row r="403" spans="1:15" x14ac:dyDescent="0.25">
      <c r="A403" s="102"/>
      <c r="B403" s="33"/>
      <c r="C403" s="25"/>
      <c r="D403" s="26"/>
      <c r="E403" s="33"/>
      <c r="F403" s="25"/>
      <c r="G403" s="55"/>
      <c r="N403" s="37" t="str">
        <f t="shared" ca="1" si="26"/>
        <v/>
      </c>
      <c r="O403" s="37" t="str">
        <f t="shared" ca="1" si="27"/>
        <v/>
      </c>
    </row>
    <row r="404" spans="1:15" x14ac:dyDescent="0.25">
      <c r="A404" s="102"/>
      <c r="B404" s="33"/>
      <c r="C404" s="25"/>
      <c r="D404" s="26"/>
      <c r="E404" s="33"/>
      <c r="F404" s="25"/>
      <c r="G404" s="55"/>
      <c r="N404" s="37" t="str">
        <f t="shared" ca="1" si="26"/>
        <v/>
      </c>
      <c r="O404" s="37" t="str">
        <f t="shared" ca="1" si="27"/>
        <v/>
      </c>
    </row>
    <row r="405" spans="1:15" x14ac:dyDescent="0.25">
      <c r="A405" s="102"/>
      <c r="B405" s="33"/>
      <c r="C405" s="25"/>
      <c r="D405" s="26"/>
      <c r="E405" s="33"/>
      <c r="F405" s="25"/>
      <c r="G405" s="55"/>
      <c r="N405" s="37" t="str">
        <f t="shared" ca="1" si="26"/>
        <v/>
      </c>
      <c r="O405" s="37" t="str">
        <f t="shared" ca="1" si="27"/>
        <v/>
      </c>
    </row>
    <row r="406" spans="1:15" x14ac:dyDescent="0.25">
      <c r="A406" s="102"/>
      <c r="B406" s="33"/>
      <c r="C406" s="25"/>
      <c r="D406" s="26"/>
      <c r="E406" s="33"/>
      <c r="F406" s="25"/>
      <c r="G406" s="55"/>
      <c r="N406" s="37" t="str">
        <f t="shared" ca="1" si="26"/>
        <v/>
      </c>
      <c r="O406" s="37" t="str">
        <f t="shared" ca="1" si="27"/>
        <v/>
      </c>
    </row>
    <row r="407" spans="1:15" x14ac:dyDescent="0.25">
      <c r="A407" s="102"/>
      <c r="B407" s="33"/>
      <c r="C407" s="25"/>
      <c r="D407" s="26"/>
      <c r="E407" s="33"/>
      <c r="F407" s="25"/>
      <c r="G407" s="55"/>
      <c r="N407" s="37" t="str">
        <f t="shared" ca="1" si="26"/>
        <v/>
      </c>
      <c r="O407" s="37" t="str">
        <f t="shared" ca="1" si="27"/>
        <v/>
      </c>
    </row>
    <row r="408" spans="1:15" x14ac:dyDescent="0.25">
      <c r="A408" s="102"/>
      <c r="B408" s="33"/>
      <c r="C408" s="25"/>
      <c r="D408" s="26"/>
      <c r="E408" s="33"/>
      <c r="F408" s="25"/>
      <c r="G408" s="55"/>
      <c r="N408" s="37" t="str">
        <f t="shared" ca="1" si="26"/>
        <v/>
      </c>
      <c r="O408" s="37" t="str">
        <f t="shared" ca="1" si="27"/>
        <v/>
      </c>
    </row>
    <row r="409" spans="1:15" x14ac:dyDescent="0.25">
      <c r="A409" s="102"/>
      <c r="B409" s="33"/>
      <c r="C409" s="25"/>
      <c r="D409" s="26"/>
      <c r="E409" s="33"/>
      <c r="F409" s="25"/>
      <c r="G409" s="55"/>
      <c r="N409" s="37" t="str">
        <f t="shared" ca="1" si="26"/>
        <v/>
      </c>
      <c r="O409" s="37" t="str">
        <f t="shared" ca="1" si="27"/>
        <v/>
      </c>
    </row>
    <row r="410" spans="1:15" x14ac:dyDescent="0.25">
      <c r="A410" s="102"/>
      <c r="B410" s="33"/>
      <c r="C410" s="25"/>
      <c r="D410" s="26"/>
      <c r="E410" s="33"/>
      <c r="F410" s="25"/>
      <c r="G410" s="55"/>
      <c r="N410" s="37" t="str">
        <f t="shared" ca="1" si="26"/>
        <v/>
      </c>
      <c r="O410" s="37" t="str">
        <f t="shared" ca="1" si="27"/>
        <v/>
      </c>
    </row>
    <row r="411" spans="1:15" x14ac:dyDescent="0.25">
      <c r="A411" s="102"/>
      <c r="B411" s="33"/>
      <c r="C411" s="25"/>
      <c r="D411" s="26"/>
      <c r="E411" s="33"/>
      <c r="F411" s="25"/>
      <c r="G411" s="55"/>
      <c r="N411" s="37" t="str">
        <f t="shared" ca="1" si="26"/>
        <v/>
      </c>
      <c r="O411" s="37" t="str">
        <f t="shared" ca="1" si="27"/>
        <v/>
      </c>
    </row>
    <row r="412" spans="1:15" x14ac:dyDescent="0.25">
      <c r="A412" s="102"/>
      <c r="B412" s="33"/>
      <c r="C412" s="25"/>
      <c r="D412" s="26"/>
      <c r="E412" s="33"/>
      <c r="F412" s="25"/>
      <c r="G412" s="55"/>
      <c r="N412" s="37" t="str">
        <f t="shared" ca="1" si="26"/>
        <v/>
      </c>
      <c r="O412" s="37" t="str">
        <f t="shared" ca="1" si="27"/>
        <v/>
      </c>
    </row>
    <row r="413" spans="1:15" x14ac:dyDescent="0.25">
      <c r="A413" s="102"/>
      <c r="B413" s="33"/>
      <c r="C413" s="25"/>
      <c r="D413" s="26"/>
      <c r="E413" s="33"/>
      <c r="F413" s="25"/>
      <c r="G413" s="55"/>
      <c r="N413" s="37" t="str">
        <f t="shared" ca="1" si="26"/>
        <v/>
      </c>
      <c r="O413" s="37" t="str">
        <f t="shared" ca="1" si="27"/>
        <v/>
      </c>
    </row>
    <row r="414" spans="1:15" x14ac:dyDescent="0.25">
      <c r="A414" s="102"/>
      <c r="B414" s="33"/>
      <c r="C414" s="25"/>
      <c r="D414" s="26"/>
      <c r="E414" s="33"/>
      <c r="F414" s="25"/>
      <c r="G414" s="55"/>
      <c r="N414" s="37" t="str">
        <f t="shared" ca="1" si="26"/>
        <v/>
      </c>
      <c r="O414" s="37" t="str">
        <f t="shared" ca="1" si="27"/>
        <v/>
      </c>
    </row>
    <row r="415" spans="1:15" x14ac:dyDescent="0.25">
      <c r="A415" s="102"/>
      <c r="B415" s="33"/>
      <c r="C415" s="25"/>
      <c r="D415" s="26"/>
      <c r="E415" s="33"/>
      <c r="F415" s="25"/>
      <c r="G415" s="55"/>
      <c r="N415" s="37" t="str">
        <f t="shared" ca="1" si="26"/>
        <v/>
      </c>
      <c r="O415" s="37" t="str">
        <f t="shared" ca="1" si="27"/>
        <v/>
      </c>
    </row>
    <row r="416" spans="1:15" x14ac:dyDescent="0.25">
      <c r="A416" s="102"/>
      <c r="B416" s="33"/>
      <c r="C416" s="25"/>
      <c r="D416" s="26"/>
      <c r="E416" s="33"/>
      <c r="F416" s="25"/>
      <c r="G416" s="55"/>
      <c r="N416" s="37" t="str">
        <f t="shared" ca="1" si="26"/>
        <v/>
      </c>
      <c r="O416" s="37" t="str">
        <f t="shared" ca="1" si="27"/>
        <v/>
      </c>
    </row>
    <row r="417" spans="1:15" x14ac:dyDescent="0.25">
      <c r="A417" s="102"/>
      <c r="B417" s="33"/>
      <c r="C417" s="25"/>
      <c r="D417" s="26"/>
      <c r="E417" s="33"/>
      <c r="F417" s="25"/>
      <c r="G417" s="55"/>
      <c r="N417" s="37" t="str">
        <f t="shared" ca="1" si="26"/>
        <v/>
      </c>
      <c r="O417" s="37" t="str">
        <f t="shared" ca="1" si="27"/>
        <v/>
      </c>
    </row>
    <row r="418" spans="1:15" x14ac:dyDescent="0.25">
      <c r="A418" s="102"/>
      <c r="B418" s="33"/>
      <c r="C418" s="25"/>
      <c r="D418" s="26"/>
      <c r="E418" s="33"/>
      <c r="F418" s="25"/>
      <c r="G418" s="55"/>
      <c r="N418" s="37" t="str">
        <f t="shared" ca="1" si="26"/>
        <v/>
      </c>
      <c r="O418" s="37" t="str">
        <f t="shared" ca="1" si="27"/>
        <v/>
      </c>
    </row>
    <row r="419" spans="1:15" x14ac:dyDescent="0.25">
      <c r="A419" s="102"/>
      <c r="B419" s="33"/>
      <c r="C419" s="25"/>
      <c r="D419" s="26"/>
      <c r="E419" s="33"/>
      <c r="F419" s="25"/>
      <c r="G419" s="55"/>
      <c r="N419" s="37" t="str">
        <f t="shared" ca="1" si="26"/>
        <v/>
      </c>
      <c r="O419" s="37" t="str">
        <f t="shared" ca="1" si="27"/>
        <v/>
      </c>
    </row>
    <row r="420" spans="1:15" x14ac:dyDescent="0.25">
      <c r="A420" s="102"/>
      <c r="B420" s="33"/>
      <c r="C420" s="25"/>
      <c r="D420" s="26"/>
      <c r="E420" s="33"/>
      <c r="F420" s="25"/>
      <c r="G420" s="55"/>
      <c r="N420" s="37" t="str">
        <f t="shared" ca="1" si="26"/>
        <v/>
      </c>
      <c r="O420" s="37" t="str">
        <f t="shared" ca="1" si="27"/>
        <v/>
      </c>
    </row>
    <row r="421" spans="1:15" x14ac:dyDescent="0.25">
      <c r="A421" s="102"/>
      <c r="B421" s="33"/>
      <c r="C421" s="25"/>
      <c r="D421" s="26"/>
      <c r="E421" s="33"/>
      <c r="F421" s="25"/>
      <c r="G421" s="55"/>
      <c r="N421" s="37" t="str">
        <f t="shared" ca="1" si="26"/>
        <v/>
      </c>
      <c r="O421" s="37" t="str">
        <f t="shared" ca="1" si="27"/>
        <v/>
      </c>
    </row>
    <row r="422" spans="1:15" x14ac:dyDescent="0.25">
      <c r="A422" s="102"/>
      <c r="B422" s="33"/>
      <c r="C422" s="25"/>
      <c r="D422" s="26"/>
      <c r="E422" s="33"/>
      <c r="F422" s="25"/>
      <c r="G422" s="55"/>
      <c r="N422" s="37" t="str">
        <f t="shared" ca="1" si="26"/>
        <v/>
      </c>
      <c r="O422" s="37" t="str">
        <f t="shared" ca="1" si="27"/>
        <v/>
      </c>
    </row>
    <row r="423" spans="1:15" x14ac:dyDescent="0.25">
      <c r="A423" s="102"/>
      <c r="B423" s="33"/>
      <c r="C423" s="25"/>
      <c r="D423" s="26"/>
      <c r="E423" s="33"/>
      <c r="F423" s="25"/>
      <c r="G423" s="55"/>
      <c r="N423" s="37" t="str">
        <f t="shared" ca="1" si="26"/>
        <v/>
      </c>
      <c r="O423" s="37" t="str">
        <f t="shared" ca="1" si="27"/>
        <v/>
      </c>
    </row>
    <row r="424" spans="1:15" x14ac:dyDescent="0.25">
      <c r="A424" s="102"/>
      <c r="B424" s="33"/>
      <c r="C424" s="25"/>
      <c r="D424" s="26"/>
      <c r="E424" s="33"/>
      <c r="F424" s="25"/>
      <c r="G424" s="55"/>
      <c r="N424" s="37" t="str">
        <f t="shared" ca="1" si="26"/>
        <v/>
      </c>
      <c r="O424" s="37" t="str">
        <f t="shared" ca="1" si="27"/>
        <v/>
      </c>
    </row>
    <row r="425" spans="1:15" x14ac:dyDescent="0.25">
      <c r="A425" s="102"/>
      <c r="B425" s="33"/>
      <c r="C425" s="25"/>
      <c r="D425" s="26"/>
      <c r="E425" s="33"/>
      <c r="F425" s="25"/>
      <c r="G425" s="55"/>
      <c r="N425" s="37" t="str">
        <f t="shared" ca="1" si="26"/>
        <v/>
      </c>
      <c r="O425" s="37" t="str">
        <f t="shared" ca="1" si="27"/>
        <v/>
      </c>
    </row>
    <row r="426" spans="1:15" x14ac:dyDescent="0.25">
      <c r="A426" s="102"/>
      <c r="B426" s="33"/>
      <c r="C426" s="25"/>
      <c r="D426" s="26"/>
      <c r="E426" s="33"/>
      <c r="F426" s="25"/>
      <c r="G426" s="55"/>
      <c r="N426" s="37" t="str">
        <f t="shared" ca="1" si="26"/>
        <v/>
      </c>
      <c r="O426" s="37" t="str">
        <f t="shared" ca="1" si="27"/>
        <v/>
      </c>
    </row>
    <row r="427" spans="1:15" x14ac:dyDescent="0.25">
      <c r="A427" s="102"/>
      <c r="B427" s="33"/>
      <c r="C427" s="25"/>
      <c r="D427" s="26"/>
      <c r="E427" s="33"/>
      <c r="F427" s="25"/>
      <c r="G427" s="55"/>
      <c r="N427" s="37" t="str">
        <f t="shared" ca="1" si="26"/>
        <v/>
      </c>
      <c r="O427" s="37" t="str">
        <f t="shared" ca="1" si="27"/>
        <v/>
      </c>
    </row>
    <row r="428" spans="1:15" x14ac:dyDescent="0.25">
      <c r="A428" s="102"/>
      <c r="B428" s="33"/>
      <c r="C428" s="25"/>
      <c r="D428" s="26"/>
      <c r="E428" s="33"/>
      <c r="F428" s="25"/>
      <c r="G428" s="55"/>
      <c r="N428" s="37" t="str">
        <f t="shared" ca="1" si="26"/>
        <v/>
      </c>
      <c r="O428" s="37" t="str">
        <f t="shared" ca="1" si="27"/>
        <v/>
      </c>
    </row>
    <row r="429" spans="1:15" x14ac:dyDescent="0.25">
      <c r="A429" s="102"/>
      <c r="B429" s="33"/>
      <c r="C429" s="25"/>
      <c r="D429" s="26"/>
      <c r="E429" s="33"/>
      <c r="F429" s="25"/>
      <c r="G429" s="55"/>
      <c r="N429" s="37" t="str">
        <f t="shared" ca="1" si="26"/>
        <v/>
      </c>
      <c r="O429" s="37" t="str">
        <f t="shared" ca="1" si="27"/>
        <v/>
      </c>
    </row>
    <row r="430" spans="1:15" x14ac:dyDescent="0.25">
      <c r="A430" s="102"/>
      <c r="B430" s="33"/>
      <c r="C430" s="25"/>
      <c r="D430" s="26"/>
      <c r="E430" s="33"/>
      <c r="F430" s="25"/>
      <c r="G430" s="55"/>
      <c r="N430" s="37" t="str">
        <f t="shared" ca="1" si="26"/>
        <v/>
      </c>
      <c r="O430" s="37" t="str">
        <f t="shared" ca="1" si="27"/>
        <v/>
      </c>
    </row>
    <row r="431" spans="1:15" x14ac:dyDescent="0.25">
      <c r="A431" s="102"/>
      <c r="B431" s="33"/>
      <c r="C431" s="25"/>
      <c r="D431" s="26"/>
      <c r="E431" s="33"/>
      <c r="F431" s="25"/>
      <c r="G431" s="55"/>
      <c r="N431" s="37" t="str">
        <f t="shared" ca="1" si="26"/>
        <v/>
      </c>
      <c r="O431" s="37" t="str">
        <f t="shared" ca="1" si="27"/>
        <v/>
      </c>
    </row>
    <row r="432" spans="1:15" x14ac:dyDescent="0.25">
      <c r="A432" s="102"/>
      <c r="B432" s="33"/>
      <c r="C432" s="25"/>
      <c r="D432" s="26"/>
      <c r="E432" s="33"/>
      <c r="F432" s="25"/>
      <c r="G432" s="55"/>
      <c r="N432" s="37" t="str">
        <f t="shared" ca="1" si="26"/>
        <v/>
      </c>
      <c r="O432" s="37" t="str">
        <f t="shared" ca="1" si="27"/>
        <v/>
      </c>
    </row>
    <row r="433" spans="1:15" x14ac:dyDescent="0.25">
      <c r="A433" s="102"/>
      <c r="B433" s="33"/>
      <c r="C433" s="25"/>
      <c r="D433" s="26"/>
      <c r="E433" s="33"/>
      <c r="F433" s="25"/>
      <c r="G433" s="55"/>
      <c r="N433" s="37" t="str">
        <f t="shared" ca="1" si="26"/>
        <v/>
      </c>
      <c r="O433" s="37" t="str">
        <f t="shared" ca="1" si="27"/>
        <v/>
      </c>
    </row>
    <row r="434" spans="1:15" x14ac:dyDescent="0.25">
      <c r="A434" s="102"/>
      <c r="B434" s="33"/>
      <c r="C434" s="25"/>
      <c r="D434" s="26"/>
      <c r="E434" s="33"/>
      <c r="F434" s="25"/>
      <c r="G434" s="55"/>
      <c r="N434" s="37" t="str">
        <f t="shared" ca="1" si="26"/>
        <v/>
      </c>
      <c r="O434" s="37" t="str">
        <f t="shared" ca="1" si="27"/>
        <v/>
      </c>
    </row>
    <row r="435" spans="1:15" x14ac:dyDescent="0.25">
      <c r="A435" s="102"/>
      <c r="B435" s="33"/>
      <c r="C435" s="25"/>
      <c r="D435" s="26"/>
      <c r="E435" s="33"/>
      <c r="F435" s="25"/>
      <c r="G435" s="55"/>
      <c r="N435" s="37" t="str">
        <f t="shared" ca="1" si="26"/>
        <v/>
      </c>
      <c r="O435" s="37" t="str">
        <f t="shared" ca="1" si="27"/>
        <v/>
      </c>
    </row>
    <row r="436" spans="1:15" x14ac:dyDescent="0.25">
      <c r="A436" s="102"/>
      <c r="B436" s="33"/>
      <c r="C436" s="25"/>
      <c r="D436" s="26"/>
      <c r="E436" s="33"/>
      <c r="F436" s="25"/>
      <c r="G436" s="55"/>
      <c r="N436" s="37" t="str">
        <f t="shared" ca="1" si="26"/>
        <v/>
      </c>
      <c r="O436" s="37" t="str">
        <f t="shared" ca="1" si="27"/>
        <v/>
      </c>
    </row>
    <row r="437" spans="1:15" x14ac:dyDescent="0.25">
      <c r="A437" s="102"/>
      <c r="B437" s="33"/>
      <c r="C437" s="25"/>
      <c r="D437" s="26"/>
      <c r="E437" s="33"/>
      <c r="F437" s="25"/>
      <c r="G437" s="55"/>
      <c r="N437" s="37" t="str">
        <f t="shared" ca="1" si="26"/>
        <v/>
      </c>
      <c r="O437" s="37" t="str">
        <f t="shared" ca="1" si="27"/>
        <v/>
      </c>
    </row>
    <row r="438" spans="1:15" x14ac:dyDescent="0.25">
      <c r="A438" s="102"/>
      <c r="B438" s="33"/>
      <c r="C438" s="25"/>
      <c r="D438" s="26"/>
      <c r="E438" s="33"/>
      <c r="F438" s="25"/>
      <c r="G438" s="55"/>
      <c r="N438" s="37" t="str">
        <f t="shared" ca="1" si="26"/>
        <v/>
      </c>
      <c r="O438" s="37" t="str">
        <f t="shared" ca="1" si="27"/>
        <v/>
      </c>
    </row>
    <row r="439" spans="1:15" x14ac:dyDescent="0.25">
      <c r="A439" s="102"/>
      <c r="B439" s="33"/>
      <c r="C439" s="25"/>
      <c r="D439" s="26"/>
      <c r="E439" s="33"/>
      <c r="F439" s="25"/>
      <c r="G439" s="55"/>
      <c r="N439" s="37" t="str">
        <f t="shared" ca="1" si="26"/>
        <v/>
      </c>
      <c r="O439" s="37" t="str">
        <f t="shared" ca="1" si="27"/>
        <v/>
      </c>
    </row>
    <row r="440" spans="1:15" x14ac:dyDescent="0.25">
      <c r="A440" s="102"/>
      <c r="B440" s="33"/>
      <c r="C440" s="25"/>
      <c r="D440" s="26"/>
      <c r="E440" s="33"/>
      <c r="F440" s="25"/>
      <c r="G440" s="55"/>
      <c r="N440" s="37" t="str">
        <f t="shared" ca="1" si="26"/>
        <v/>
      </c>
      <c r="O440" s="37" t="str">
        <f t="shared" ca="1" si="27"/>
        <v/>
      </c>
    </row>
    <row r="441" spans="1:15" x14ac:dyDescent="0.25">
      <c r="A441" s="102"/>
      <c r="B441" s="33"/>
      <c r="C441" s="25"/>
      <c r="D441" s="26"/>
      <c r="E441" s="33"/>
      <c r="F441" s="25"/>
      <c r="G441" s="55"/>
      <c r="N441" s="37" t="str">
        <f t="shared" ca="1" si="26"/>
        <v/>
      </c>
      <c r="O441" s="37" t="str">
        <f t="shared" ca="1" si="27"/>
        <v/>
      </c>
    </row>
    <row r="442" spans="1:15" x14ac:dyDescent="0.25">
      <c r="A442" s="102"/>
      <c r="B442" s="33"/>
      <c r="C442" s="25"/>
      <c r="D442" s="26"/>
      <c r="E442" s="33"/>
      <c r="F442" s="25"/>
      <c r="G442" s="55"/>
      <c r="N442" s="37" t="str">
        <f t="shared" ca="1" si="26"/>
        <v/>
      </c>
      <c r="O442" s="37" t="str">
        <f t="shared" ca="1" si="27"/>
        <v/>
      </c>
    </row>
    <row r="443" spans="1:15" x14ac:dyDescent="0.25">
      <c r="A443" s="102"/>
      <c r="B443" s="33"/>
      <c r="C443" s="25"/>
      <c r="D443" s="26"/>
      <c r="E443" s="33"/>
      <c r="F443" s="25"/>
      <c r="G443" s="55"/>
      <c r="N443" s="37" t="str">
        <f t="shared" ca="1" si="26"/>
        <v/>
      </c>
      <c r="O443" s="37" t="str">
        <f t="shared" ca="1" si="27"/>
        <v/>
      </c>
    </row>
    <row r="444" spans="1:15" x14ac:dyDescent="0.25">
      <c r="A444" s="102"/>
      <c r="B444" s="33"/>
      <c r="C444" s="25"/>
      <c r="D444" s="26"/>
      <c r="E444" s="33"/>
      <c r="F444" s="25"/>
      <c r="G444" s="55"/>
      <c r="N444" s="37" t="str">
        <f t="shared" ca="1" si="26"/>
        <v/>
      </c>
      <c r="O444" s="37" t="str">
        <f t="shared" ca="1" si="27"/>
        <v/>
      </c>
    </row>
    <row r="445" spans="1:15" x14ac:dyDescent="0.25">
      <c r="A445" s="102"/>
      <c r="B445" s="33"/>
      <c r="C445" s="25"/>
      <c r="D445" s="26"/>
      <c r="E445" s="33"/>
      <c r="F445" s="25"/>
      <c r="G445" s="55"/>
      <c r="N445" s="37" t="str">
        <f t="shared" ca="1" si="26"/>
        <v/>
      </c>
      <c r="O445" s="37" t="str">
        <f t="shared" ca="1" si="27"/>
        <v/>
      </c>
    </row>
    <row r="446" spans="1:15" x14ac:dyDescent="0.25">
      <c r="A446" s="102"/>
      <c r="B446" s="33"/>
      <c r="C446" s="25"/>
      <c r="D446" s="26"/>
      <c r="E446" s="33"/>
      <c r="F446" s="25"/>
      <c r="G446" s="55"/>
      <c r="N446" s="37" t="str">
        <f t="shared" ca="1" si="26"/>
        <v/>
      </c>
      <c r="O446" s="37" t="str">
        <f t="shared" ca="1" si="27"/>
        <v/>
      </c>
    </row>
    <row r="447" spans="1:15" x14ac:dyDescent="0.25">
      <c r="A447" s="102"/>
      <c r="B447" s="33"/>
      <c r="C447" s="25"/>
      <c r="D447" s="26"/>
      <c r="E447" s="33"/>
      <c r="F447" s="25"/>
      <c r="G447" s="55"/>
      <c r="N447" s="37" t="str">
        <f t="shared" ca="1" si="26"/>
        <v/>
      </c>
      <c r="O447" s="37" t="str">
        <f t="shared" ca="1" si="27"/>
        <v/>
      </c>
    </row>
    <row r="448" spans="1:15" x14ac:dyDescent="0.25">
      <c r="A448" s="102"/>
      <c r="B448" s="33"/>
      <c r="C448" s="25"/>
      <c r="D448" s="26"/>
      <c r="E448" s="33"/>
      <c r="F448" s="25"/>
      <c r="G448" s="55"/>
      <c r="N448" s="37" t="str">
        <f t="shared" ca="1" si="26"/>
        <v/>
      </c>
      <c r="O448" s="37" t="str">
        <f t="shared" ca="1" si="27"/>
        <v/>
      </c>
    </row>
    <row r="449" spans="1:15" x14ac:dyDescent="0.25">
      <c r="A449" s="102"/>
      <c r="B449" s="33"/>
      <c r="C449" s="25"/>
      <c r="D449" s="26"/>
      <c r="E449" s="33"/>
      <c r="F449" s="25"/>
      <c r="G449" s="55"/>
      <c r="N449" s="37" t="str">
        <f t="shared" ca="1" si="26"/>
        <v/>
      </c>
      <c r="O449" s="37" t="str">
        <f t="shared" ca="1" si="27"/>
        <v/>
      </c>
    </row>
    <row r="450" spans="1:15" x14ac:dyDescent="0.25">
      <c r="A450" s="102"/>
      <c r="B450" s="33"/>
      <c r="C450" s="25"/>
      <c r="D450" s="26"/>
      <c r="E450" s="33"/>
      <c r="F450" s="25"/>
      <c r="G450" s="55"/>
      <c r="N450" s="37" t="str">
        <f t="shared" ca="1" si="26"/>
        <v/>
      </c>
      <c r="O450" s="37" t="str">
        <f t="shared" ca="1" si="27"/>
        <v/>
      </c>
    </row>
    <row r="451" spans="1:15" x14ac:dyDescent="0.25">
      <c r="A451" s="102"/>
      <c r="B451" s="33"/>
      <c r="C451" s="25"/>
      <c r="D451" s="26"/>
      <c r="E451" s="33"/>
      <c r="F451" s="25"/>
      <c r="G451" s="55"/>
      <c r="N451" s="37" t="str">
        <f t="shared" ca="1" si="26"/>
        <v/>
      </c>
      <c r="O451" s="37" t="str">
        <f t="shared" ca="1" si="27"/>
        <v/>
      </c>
    </row>
    <row r="452" spans="1:15" x14ac:dyDescent="0.25">
      <c r="A452" s="102"/>
      <c r="B452" s="33"/>
      <c r="C452" s="25"/>
      <c r="D452" s="26"/>
      <c r="E452" s="33"/>
      <c r="F452" s="25"/>
      <c r="G452" s="55"/>
      <c r="N452" s="37" t="str">
        <f t="shared" ref="N452:N515" ca="1" si="28">IF(COUNTIF(L:L,J452),J452,"")</f>
        <v/>
      </c>
      <c r="O452" s="37" t="str">
        <f t="shared" ref="O452:O515" ca="1" si="29">IF(N452&gt;$A$14,N452,"")</f>
        <v/>
      </c>
    </row>
    <row r="453" spans="1:15" x14ac:dyDescent="0.25">
      <c r="A453" s="102"/>
      <c r="B453" s="33"/>
      <c r="C453" s="25"/>
      <c r="D453" s="26"/>
      <c r="E453" s="33"/>
      <c r="F453" s="25"/>
      <c r="G453" s="55"/>
      <c r="N453" s="37" t="str">
        <f t="shared" ca="1" si="28"/>
        <v/>
      </c>
      <c r="O453" s="37" t="str">
        <f t="shared" ca="1" si="29"/>
        <v/>
      </c>
    </row>
    <row r="454" spans="1:15" x14ac:dyDescent="0.25">
      <c r="A454" s="102"/>
      <c r="B454" s="33"/>
      <c r="C454" s="25"/>
      <c r="D454" s="26"/>
      <c r="E454" s="33"/>
      <c r="F454" s="25"/>
      <c r="G454" s="55"/>
      <c r="N454" s="37" t="str">
        <f t="shared" ca="1" si="28"/>
        <v/>
      </c>
      <c r="O454" s="37" t="str">
        <f t="shared" ca="1" si="29"/>
        <v/>
      </c>
    </row>
    <row r="455" spans="1:15" x14ac:dyDescent="0.25">
      <c r="A455" s="102"/>
      <c r="B455" s="33"/>
      <c r="C455" s="25"/>
      <c r="D455" s="26"/>
      <c r="E455" s="33"/>
      <c r="F455" s="25"/>
      <c r="G455" s="55"/>
      <c r="N455" s="37" t="str">
        <f t="shared" ca="1" si="28"/>
        <v/>
      </c>
      <c r="O455" s="37" t="str">
        <f t="shared" ca="1" si="29"/>
        <v/>
      </c>
    </row>
    <row r="456" spans="1:15" x14ac:dyDescent="0.25">
      <c r="A456" s="102"/>
      <c r="B456" s="33"/>
      <c r="C456" s="25"/>
      <c r="D456" s="26"/>
      <c r="E456" s="33"/>
      <c r="F456" s="25"/>
      <c r="G456" s="55"/>
      <c r="N456" s="37" t="str">
        <f t="shared" ca="1" si="28"/>
        <v/>
      </c>
      <c r="O456" s="37" t="str">
        <f t="shared" ca="1" si="29"/>
        <v/>
      </c>
    </row>
    <row r="457" spans="1:15" x14ac:dyDescent="0.25">
      <c r="A457" s="102"/>
      <c r="B457" s="33"/>
      <c r="C457" s="25"/>
      <c r="D457" s="26"/>
      <c r="E457" s="33"/>
      <c r="F457" s="25"/>
      <c r="G457" s="55"/>
      <c r="N457" s="37" t="str">
        <f t="shared" ca="1" si="28"/>
        <v/>
      </c>
      <c r="O457" s="37" t="str">
        <f t="shared" ca="1" si="29"/>
        <v/>
      </c>
    </row>
    <row r="458" spans="1:15" x14ac:dyDescent="0.25">
      <c r="A458" s="102"/>
      <c r="B458" s="33"/>
      <c r="C458" s="25"/>
      <c r="D458" s="26"/>
      <c r="E458" s="33"/>
      <c r="F458" s="25"/>
      <c r="G458" s="55"/>
      <c r="N458" s="37" t="str">
        <f t="shared" ca="1" si="28"/>
        <v/>
      </c>
      <c r="O458" s="37" t="str">
        <f t="shared" ca="1" si="29"/>
        <v/>
      </c>
    </row>
    <row r="459" spans="1:15" x14ac:dyDescent="0.25">
      <c r="A459" s="102"/>
      <c r="B459" s="33"/>
      <c r="C459" s="25"/>
      <c r="D459" s="26"/>
      <c r="E459" s="33"/>
      <c r="F459" s="25"/>
      <c r="G459" s="55"/>
      <c r="N459" s="37" t="str">
        <f t="shared" ca="1" si="28"/>
        <v/>
      </c>
      <c r="O459" s="37" t="str">
        <f t="shared" ca="1" si="29"/>
        <v/>
      </c>
    </row>
    <row r="460" spans="1:15" x14ac:dyDescent="0.25">
      <c r="A460" s="102"/>
      <c r="B460" s="33"/>
      <c r="C460" s="25"/>
      <c r="D460" s="26"/>
      <c r="E460" s="33"/>
      <c r="F460" s="25"/>
      <c r="G460" s="55"/>
      <c r="N460" s="37" t="str">
        <f t="shared" ca="1" si="28"/>
        <v/>
      </c>
      <c r="O460" s="37" t="str">
        <f t="shared" ca="1" si="29"/>
        <v/>
      </c>
    </row>
    <row r="461" spans="1:15" x14ac:dyDescent="0.25">
      <c r="A461" s="102"/>
      <c r="B461" s="33"/>
      <c r="C461" s="25"/>
      <c r="D461" s="26"/>
      <c r="E461" s="33"/>
      <c r="F461" s="25"/>
      <c r="G461" s="55"/>
      <c r="N461" s="37" t="str">
        <f t="shared" ca="1" si="28"/>
        <v/>
      </c>
      <c r="O461" s="37" t="str">
        <f t="shared" ca="1" si="29"/>
        <v/>
      </c>
    </row>
    <row r="462" spans="1:15" x14ac:dyDescent="0.25">
      <c r="A462" s="102"/>
      <c r="B462" s="33"/>
      <c r="C462" s="25"/>
      <c r="D462" s="26"/>
      <c r="E462" s="33"/>
      <c r="F462" s="25"/>
      <c r="G462" s="55"/>
      <c r="N462" s="37" t="str">
        <f t="shared" ca="1" si="28"/>
        <v/>
      </c>
      <c r="O462" s="37" t="str">
        <f t="shared" ca="1" si="29"/>
        <v/>
      </c>
    </row>
    <row r="463" spans="1:15" x14ac:dyDescent="0.25">
      <c r="A463" s="102"/>
      <c r="B463" s="33"/>
      <c r="C463" s="25"/>
      <c r="D463" s="26"/>
      <c r="E463" s="33"/>
      <c r="F463" s="25"/>
      <c r="G463" s="55"/>
      <c r="N463" s="37" t="str">
        <f t="shared" ca="1" si="28"/>
        <v/>
      </c>
      <c r="O463" s="37" t="str">
        <f t="shared" ca="1" si="29"/>
        <v/>
      </c>
    </row>
    <row r="464" spans="1:15" x14ac:dyDescent="0.25">
      <c r="A464" s="102"/>
      <c r="B464" s="33"/>
      <c r="C464" s="25"/>
      <c r="D464" s="26"/>
      <c r="E464" s="33"/>
      <c r="F464" s="25"/>
      <c r="G464" s="55"/>
      <c r="N464" s="37" t="str">
        <f t="shared" ca="1" si="28"/>
        <v/>
      </c>
      <c r="O464" s="37" t="str">
        <f t="shared" ca="1" si="29"/>
        <v/>
      </c>
    </row>
    <row r="465" spans="1:15" x14ac:dyDescent="0.25">
      <c r="A465" s="102"/>
      <c r="B465" s="33"/>
      <c r="C465" s="25"/>
      <c r="D465" s="26"/>
      <c r="E465" s="33"/>
      <c r="F465" s="25"/>
      <c r="G465" s="55"/>
      <c r="N465" s="37" t="str">
        <f t="shared" ca="1" si="28"/>
        <v/>
      </c>
      <c r="O465" s="37" t="str">
        <f t="shared" ca="1" si="29"/>
        <v/>
      </c>
    </row>
    <row r="466" spans="1:15" x14ac:dyDescent="0.25">
      <c r="A466" s="102"/>
      <c r="B466" s="33"/>
      <c r="C466" s="25"/>
      <c r="D466" s="26"/>
      <c r="E466" s="33"/>
      <c r="F466" s="25"/>
      <c r="G466" s="55"/>
      <c r="N466" s="37" t="str">
        <f t="shared" ca="1" si="28"/>
        <v/>
      </c>
      <c r="O466" s="37" t="str">
        <f t="shared" ca="1" si="29"/>
        <v/>
      </c>
    </row>
    <row r="467" spans="1:15" x14ac:dyDescent="0.25">
      <c r="A467" s="102"/>
      <c r="B467" s="33"/>
      <c r="C467" s="25"/>
      <c r="D467" s="26"/>
      <c r="E467" s="33"/>
      <c r="F467" s="25"/>
      <c r="G467" s="55"/>
      <c r="N467" s="37" t="str">
        <f t="shared" ca="1" si="28"/>
        <v/>
      </c>
      <c r="O467" s="37" t="str">
        <f t="shared" ca="1" si="29"/>
        <v/>
      </c>
    </row>
    <row r="468" spans="1:15" x14ac:dyDescent="0.25">
      <c r="A468" s="102"/>
      <c r="B468" s="33"/>
      <c r="C468" s="25"/>
      <c r="D468" s="26"/>
      <c r="E468" s="33"/>
      <c r="F468" s="25"/>
      <c r="G468" s="55"/>
      <c r="N468" s="37" t="str">
        <f t="shared" ca="1" si="28"/>
        <v/>
      </c>
      <c r="O468" s="37" t="str">
        <f t="shared" ca="1" si="29"/>
        <v/>
      </c>
    </row>
    <row r="469" spans="1:15" x14ac:dyDescent="0.25">
      <c r="A469" s="102"/>
      <c r="B469" s="33"/>
      <c r="C469" s="25"/>
      <c r="D469" s="26"/>
      <c r="E469" s="33"/>
      <c r="F469" s="25"/>
      <c r="G469" s="55"/>
      <c r="N469" s="37" t="str">
        <f t="shared" ca="1" si="28"/>
        <v/>
      </c>
      <c r="O469" s="37" t="str">
        <f t="shared" ca="1" si="29"/>
        <v/>
      </c>
    </row>
    <row r="470" spans="1:15" x14ac:dyDescent="0.25">
      <c r="A470" s="102"/>
      <c r="B470" s="33"/>
      <c r="C470" s="25"/>
      <c r="D470" s="26"/>
      <c r="E470" s="33"/>
      <c r="F470" s="25"/>
      <c r="G470" s="55"/>
      <c r="N470" s="37" t="str">
        <f t="shared" ca="1" si="28"/>
        <v/>
      </c>
      <c r="O470" s="37" t="str">
        <f t="shared" ca="1" si="29"/>
        <v/>
      </c>
    </row>
    <row r="471" spans="1:15" x14ac:dyDescent="0.25">
      <c r="A471" s="102"/>
      <c r="B471" s="33"/>
      <c r="C471" s="25"/>
      <c r="D471" s="26"/>
      <c r="E471" s="33"/>
      <c r="F471" s="25"/>
      <c r="G471" s="55"/>
      <c r="N471" s="37" t="str">
        <f t="shared" ca="1" si="28"/>
        <v/>
      </c>
      <c r="O471" s="37" t="str">
        <f t="shared" ca="1" si="29"/>
        <v/>
      </c>
    </row>
    <row r="472" spans="1:15" x14ac:dyDescent="0.25">
      <c r="A472" s="102"/>
      <c r="B472" s="33"/>
      <c r="C472" s="25"/>
      <c r="D472" s="26"/>
      <c r="E472" s="33"/>
      <c r="F472" s="25"/>
      <c r="G472" s="55"/>
      <c r="N472" s="37" t="str">
        <f t="shared" ca="1" si="28"/>
        <v/>
      </c>
      <c r="O472" s="37" t="str">
        <f t="shared" ca="1" si="29"/>
        <v/>
      </c>
    </row>
    <row r="473" spans="1:15" x14ac:dyDescent="0.25">
      <c r="A473" s="102"/>
      <c r="B473" s="33"/>
      <c r="C473" s="25"/>
      <c r="D473" s="26"/>
      <c r="E473" s="33"/>
      <c r="F473" s="25"/>
      <c r="G473" s="55"/>
      <c r="N473" s="37" t="str">
        <f t="shared" ca="1" si="28"/>
        <v/>
      </c>
      <c r="O473" s="37" t="str">
        <f t="shared" ca="1" si="29"/>
        <v/>
      </c>
    </row>
    <row r="474" spans="1:15" x14ac:dyDescent="0.25">
      <c r="A474" s="102"/>
      <c r="B474" s="33"/>
      <c r="C474" s="25"/>
      <c r="D474" s="26"/>
      <c r="E474" s="33"/>
      <c r="F474" s="25"/>
      <c r="G474" s="55"/>
      <c r="N474" s="37" t="str">
        <f t="shared" ca="1" si="28"/>
        <v/>
      </c>
      <c r="O474" s="37" t="str">
        <f t="shared" ca="1" si="29"/>
        <v/>
      </c>
    </row>
    <row r="475" spans="1:15" x14ac:dyDescent="0.25">
      <c r="A475" s="102"/>
      <c r="B475" s="33"/>
      <c r="C475" s="25"/>
      <c r="D475" s="26"/>
      <c r="E475" s="33"/>
      <c r="F475" s="25"/>
      <c r="G475" s="55"/>
      <c r="N475" s="37" t="str">
        <f t="shared" ca="1" si="28"/>
        <v/>
      </c>
      <c r="O475" s="37" t="str">
        <f t="shared" ca="1" si="29"/>
        <v/>
      </c>
    </row>
    <row r="476" spans="1:15" x14ac:dyDescent="0.25">
      <c r="A476" s="102"/>
      <c r="B476" s="33"/>
      <c r="C476" s="25"/>
      <c r="D476" s="26"/>
      <c r="E476" s="33"/>
      <c r="F476" s="25"/>
      <c r="G476" s="55"/>
      <c r="N476" s="37" t="str">
        <f t="shared" ca="1" si="28"/>
        <v/>
      </c>
      <c r="O476" s="37" t="str">
        <f t="shared" ca="1" si="29"/>
        <v/>
      </c>
    </row>
    <row r="477" spans="1:15" x14ac:dyDescent="0.25">
      <c r="A477" s="102"/>
      <c r="B477" s="33"/>
      <c r="C477" s="25"/>
      <c r="D477" s="26"/>
      <c r="E477" s="33"/>
      <c r="F477" s="25"/>
      <c r="G477" s="55"/>
      <c r="N477" s="37" t="str">
        <f t="shared" ca="1" si="28"/>
        <v/>
      </c>
      <c r="O477" s="37" t="str">
        <f t="shared" ca="1" si="29"/>
        <v/>
      </c>
    </row>
    <row r="478" spans="1:15" x14ac:dyDescent="0.25">
      <c r="A478" s="102"/>
      <c r="B478" s="33"/>
      <c r="C478" s="25"/>
      <c r="D478" s="26"/>
      <c r="E478" s="33"/>
      <c r="F478" s="25"/>
      <c r="G478" s="55"/>
      <c r="N478" s="37" t="str">
        <f t="shared" ca="1" si="28"/>
        <v/>
      </c>
      <c r="O478" s="37" t="str">
        <f t="shared" ca="1" si="29"/>
        <v/>
      </c>
    </row>
    <row r="479" spans="1:15" x14ac:dyDescent="0.25">
      <c r="A479" s="102"/>
      <c r="B479" s="33"/>
      <c r="C479" s="25"/>
      <c r="D479" s="26"/>
      <c r="E479" s="33"/>
      <c r="F479" s="25"/>
      <c r="G479" s="55"/>
      <c r="N479" s="37" t="str">
        <f t="shared" ca="1" si="28"/>
        <v/>
      </c>
      <c r="O479" s="37" t="str">
        <f t="shared" ca="1" si="29"/>
        <v/>
      </c>
    </row>
    <row r="480" spans="1:15" x14ac:dyDescent="0.25">
      <c r="A480" s="102"/>
      <c r="B480" s="33"/>
      <c r="C480" s="25"/>
      <c r="D480" s="26"/>
      <c r="E480" s="33"/>
      <c r="F480" s="25"/>
      <c r="G480" s="55"/>
      <c r="N480" s="37" t="str">
        <f t="shared" ca="1" si="28"/>
        <v/>
      </c>
      <c r="O480" s="37" t="str">
        <f t="shared" ca="1" si="29"/>
        <v/>
      </c>
    </row>
    <row r="481" spans="1:15" x14ac:dyDescent="0.25">
      <c r="A481" s="102"/>
      <c r="B481" s="33"/>
      <c r="C481" s="25"/>
      <c r="D481" s="26"/>
      <c r="E481" s="33"/>
      <c r="F481" s="25"/>
      <c r="G481" s="55"/>
      <c r="N481" s="37" t="str">
        <f t="shared" ca="1" si="28"/>
        <v/>
      </c>
      <c r="O481" s="37" t="str">
        <f t="shared" ca="1" si="29"/>
        <v/>
      </c>
    </row>
    <row r="482" spans="1:15" x14ac:dyDescent="0.25">
      <c r="A482" s="102"/>
      <c r="B482" s="33"/>
      <c r="C482" s="25"/>
      <c r="D482" s="26"/>
      <c r="E482" s="33"/>
      <c r="F482" s="25"/>
      <c r="G482" s="55"/>
      <c r="N482" s="37" t="str">
        <f t="shared" ca="1" si="28"/>
        <v/>
      </c>
      <c r="O482" s="37" t="str">
        <f t="shared" ca="1" si="29"/>
        <v/>
      </c>
    </row>
    <row r="483" spans="1:15" x14ac:dyDescent="0.25">
      <c r="A483" s="102"/>
      <c r="B483" s="33"/>
      <c r="C483" s="25"/>
      <c r="D483" s="26"/>
      <c r="E483" s="33"/>
      <c r="F483" s="25"/>
      <c r="G483" s="55"/>
      <c r="N483" s="37" t="str">
        <f t="shared" ca="1" si="28"/>
        <v/>
      </c>
      <c r="O483" s="37" t="str">
        <f t="shared" ca="1" si="29"/>
        <v/>
      </c>
    </row>
    <row r="484" spans="1:15" x14ac:dyDescent="0.25">
      <c r="A484" s="102"/>
      <c r="B484" s="33"/>
      <c r="C484" s="25"/>
      <c r="D484" s="26"/>
      <c r="E484" s="33"/>
      <c r="F484" s="25"/>
      <c r="G484" s="55"/>
      <c r="N484" s="37" t="str">
        <f t="shared" ca="1" si="28"/>
        <v/>
      </c>
      <c r="O484" s="37" t="str">
        <f t="shared" ca="1" si="29"/>
        <v/>
      </c>
    </row>
    <row r="485" spans="1:15" x14ac:dyDescent="0.25">
      <c r="A485" s="102"/>
      <c r="B485" s="33"/>
      <c r="C485" s="25"/>
      <c r="D485" s="26"/>
      <c r="E485" s="33"/>
      <c r="F485" s="25"/>
      <c r="G485" s="55"/>
      <c r="N485" s="37" t="str">
        <f t="shared" ca="1" si="28"/>
        <v/>
      </c>
      <c r="O485" s="37" t="str">
        <f t="shared" ca="1" si="29"/>
        <v/>
      </c>
    </row>
    <row r="486" spans="1:15" x14ac:dyDescent="0.25">
      <c r="A486" s="102"/>
      <c r="B486" s="33"/>
      <c r="C486" s="25"/>
      <c r="D486" s="26"/>
      <c r="E486" s="33"/>
      <c r="F486" s="25"/>
      <c r="G486" s="55"/>
      <c r="N486" s="37" t="str">
        <f t="shared" ca="1" si="28"/>
        <v/>
      </c>
      <c r="O486" s="37" t="str">
        <f t="shared" ca="1" si="29"/>
        <v/>
      </c>
    </row>
    <row r="487" spans="1:15" x14ac:dyDescent="0.25">
      <c r="A487" s="102"/>
      <c r="B487" s="33"/>
      <c r="C487" s="25"/>
      <c r="D487" s="26"/>
      <c r="E487" s="33"/>
      <c r="F487" s="25"/>
      <c r="G487" s="55"/>
      <c r="N487" s="37" t="str">
        <f t="shared" ca="1" si="28"/>
        <v/>
      </c>
      <c r="O487" s="37" t="str">
        <f t="shared" ca="1" si="29"/>
        <v/>
      </c>
    </row>
    <row r="488" spans="1:15" x14ac:dyDescent="0.25">
      <c r="A488" s="102"/>
      <c r="B488" s="33"/>
      <c r="C488" s="25"/>
      <c r="D488" s="26"/>
      <c r="E488" s="33"/>
      <c r="F488" s="25"/>
      <c r="G488" s="55"/>
      <c r="N488" s="37" t="str">
        <f t="shared" ca="1" si="28"/>
        <v/>
      </c>
      <c r="O488" s="37" t="str">
        <f t="shared" ca="1" si="29"/>
        <v/>
      </c>
    </row>
    <row r="489" spans="1:15" x14ac:dyDescent="0.25">
      <c r="A489" s="102"/>
      <c r="B489" s="33"/>
      <c r="C489" s="25"/>
      <c r="D489" s="26"/>
      <c r="E489" s="33"/>
      <c r="F489" s="25"/>
      <c r="G489" s="55"/>
      <c r="N489" s="37" t="str">
        <f t="shared" ca="1" si="28"/>
        <v/>
      </c>
      <c r="O489" s="37" t="str">
        <f t="shared" ca="1" si="29"/>
        <v/>
      </c>
    </row>
    <row r="490" spans="1:15" x14ac:dyDescent="0.25">
      <c r="A490" s="102"/>
      <c r="B490" s="33"/>
      <c r="C490" s="25"/>
      <c r="D490" s="26"/>
      <c r="E490" s="33"/>
      <c r="F490" s="25"/>
      <c r="G490" s="55"/>
      <c r="N490" s="37" t="str">
        <f t="shared" ca="1" si="28"/>
        <v/>
      </c>
      <c r="O490" s="37" t="str">
        <f t="shared" ca="1" si="29"/>
        <v/>
      </c>
    </row>
    <row r="491" spans="1:15" x14ac:dyDescent="0.25">
      <c r="A491" s="102"/>
      <c r="B491" s="33"/>
      <c r="C491" s="25"/>
      <c r="D491" s="26"/>
      <c r="E491" s="33"/>
      <c r="F491" s="25"/>
      <c r="G491" s="55"/>
      <c r="N491" s="37" t="str">
        <f t="shared" ca="1" si="28"/>
        <v/>
      </c>
      <c r="O491" s="37" t="str">
        <f t="shared" ca="1" si="29"/>
        <v/>
      </c>
    </row>
    <row r="492" spans="1:15" x14ac:dyDescent="0.25">
      <c r="A492" s="102"/>
      <c r="B492" s="33"/>
      <c r="C492" s="25"/>
      <c r="D492" s="26"/>
      <c r="E492" s="33"/>
      <c r="F492" s="25"/>
      <c r="G492" s="55"/>
      <c r="N492" s="37" t="str">
        <f t="shared" ca="1" si="28"/>
        <v/>
      </c>
      <c r="O492" s="37" t="str">
        <f t="shared" ca="1" si="29"/>
        <v/>
      </c>
    </row>
    <row r="493" spans="1:15" x14ac:dyDescent="0.25">
      <c r="A493" s="102"/>
      <c r="B493" s="33"/>
      <c r="C493" s="25"/>
      <c r="D493" s="26"/>
      <c r="E493" s="33"/>
      <c r="F493" s="25"/>
      <c r="G493" s="55"/>
      <c r="N493" s="37" t="str">
        <f t="shared" ca="1" si="28"/>
        <v/>
      </c>
      <c r="O493" s="37" t="str">
        <f t="shared" ca="1" si="29"/>
        <v/>
      </c>
    </row>
    <row r="494" spans="1:15" x14ac:dyDescent="0.25">
      <c r="A494" s="102"/>
      <c r="B494" s="33"/>
      <c r="C494" s="25"/>
      <c r="D494" s="26"/>
      <c r="E494" s="33"/>
      <c r="F494" s="25"/>
      <c r="G494" s="55"/>
      <c r="N494" s="37" t="str">
        <f t="shared" ca="1" si="28"/>
        <v/>
      </c>
      <c r="O494" s="37" t="str">
        <f t="shared" ca="1" si="29"/>
        <v/>
      </c>
    </row>
    <row r="495" spans="1:15" x14ac:dyDescent="0.25">
      <c r="A495" s="102"/>
      <c r="B495" s="33"/>
      <c r="C495" s="25"/>
      <c r="D495" s="26"/>
      <c r="E495" s="33"/>
      <c r="F495" s="25"/>
      <c r="G495" s="55"/>
      <c r="N495" s="37" t="str">
        <f t="shared" ca="1" si="28"/>
        <v/>
      </c>
      <c r="O495" s="37" t="str">
        <f t="shared" ca="1" si="29"/>
        <v/>
      </c>
    </row>
    <row r="496" spans="1:15" x14ac:dyDescent="0.25">
      <c r="A496" s="102"/>
      <c r="B496" s="33"/>
      <c r="C496" s="25"/>
      <c r="D496" s="26"/>
      <c r="E496" s="33"/>
      <c r="F496" s="25"/>
      <c r="G496" s="55"/>
      <c r="N496" s="37" t="str">
        <f t="shared" ca="1" si="28"/>
        <v/>
      </c>
      <c r="O496" s="37" t="str">
        <f t="shared" ca="1" si="29"/>
        <v/>
      </c>
    </row>
    <row r="497" spans="1:15" x14ac:dyDescent="0.25">
      <c r="A497" s="102"/>
      <c r="B497" s="33"/>
      <c r="C497" s="25"/>
      <c r="D497" s="26"/>
      <c r="E497" s="33"/>
      <c r="F497" s="25"/>
      <c r="G497" s="55"/>
      <c r="N497" s="37" t="str">
        <f t="shared" ca="1" si="28"/>
        <v/>
      </c>
      <c r="O497" s="37" t="str">
        <f t="shared" ca="1" si="29"/>
        <v/>
      </c>
    </row>
    <row r="498" spans="1:15" x14ac:dyDescent="0.25">
      <c r="A498" s="102"/>
      <c r="B498" s="33"/>
      <c r="C498" s="25"/>
      <c r="D498" s="26"/>
      <c r="E498" s="33"/>
      <c r="F498" s="25"/>
      <c r="G498" s="55"/>
      <c r="N498" s="37" t="str">
        <f t="shared" ca="1" si="28"/>
        <v/>
      </c>
      <c r="O498" s="37" t="str">
        <f t="shared" ca="1" si="29"/>
        <v/>
      </c>
    </row>
    <row r="499" spans="1:15" x14ac:dyDescent="0.25">
      <c r="A499" s="102"/>
      <c r="B499" s="33"/>
      <c r="C499" s="25"/>
      <c r="D499" s="26"/>
      <c r="E499" s="33"/>
      <c r="F499" s="25"/>
      <c r="G499" s="55"/>
      <c r="N499" s="37" t="str">
        <f t="shared" ca="1" si="28"/>
        <v/>
      </c>
      <c r="O499" s="37" t="str">
        <f t="shared" ca="1" si="29"/>
        <v/>
      </c>
    </row>
    <row r="500" spans="1:15" x14ac:dyDescent="0.25">
      <c r="A500" s="102"/>
      <c r="B500" s="33"/>
      <c r="C500" s="25"/>
      <c r="D500" s="26"/>
      <c r="E500" s="33"/>
      <c r="F500" s="25"/>
      <c r="G500" s="55"/>
      <c r="N500" s="37" t="str">
        <f t="shared" ca="1" si="28"/>
        <v/>
      </c>
      <c r="O500" s="37" t="str">
        <f t="shared" ca="1" si="29"/>
        <v/>
      </c>
    </row>
    <row r="501" spans="1:15" x14ac:dyDescent="0.25">
      <c r="A501" s="102"/>
      <c r="B501" s="33"/>
      <c r="C501" s="25"/>
      <c r="D501" s="26"/>
      <c r="E501" s="33"/>
      <c r="F501" s="25"/>
      <c r="G501" s="55"/>
      <c r="N501" s="37" t="str">
        <f t="shared" ca="1" si="28"/>
        <v/>
      </c>
      <c r="O501" s="37" t="str">
        <f t="shared" ca="1" si="29"/>
        <v/>
      </c>
    </row>
    <row r="502" spans="1:15" x14ac:dyDescent="0.25">
      <c r="A502" s="102"/>
      <c r="B502" s="33"/>
      <c r="C502" s="25"/>
      <c r="D502" s="26"/>
      <c r="E502" s="33"/>
      <c r="F502" s="25"/>
      <c r="G502" s="55"/>
      <c r="N502" s="37" t="str">
        <f t="shared" ca="1" si="28"/>
        <v/>
      </c>
      <c r="O502" s="37" t="str">
        <f t="shared" ca="1" si="29"/>
        <v/>
      </c>
    </row>
    <row r="503" spans="1:15" x14ac:dyDescent="0.25">
      <c r="A503" s="102"/>
      <c r="B503" s="33"/>
      <c r="C503" s="25"/>
      <c r="D503" s="26"/>
      <c r="E503" s="33"/>
      <c r="F503" s="25"/>
      <c r="G503" s="55"/>
      <c r="N503" s="37" t="str">
        <f t="shared" ca="1" si="28"/>
        <v/>
      </c>
      <c r="O503" s="37" t="str">
        <f t="shared" ca="1" si="29"/>
        <v/>
      </c>
    </row>
    <row r="504" spans="1:15" x14ac:dyDescent="0.25">
      <c r="A504" s="102"/>
      <c r="B504" s="33"/>
      <c r="C504" s="25"/>
      <c r="D504" s="26"/>
      <c r="E504" s="33"/>
      <c r="F504" s="25"/>
      <c r="G504" s="55"/>
      <c r="N504" s="37" t="str">
        <f t="shared" ca="1" si="28"/>
        <v/>
      </c>
      <c r="O504" s="37" t="str">
        <f t="shared" ca="1" si="29"/>
        <v/>
      </c>
    </row>
    <row r="505" spans="1:15" x14ac:dyDescent="0.25">
      <c r="A505" s="102"/>
      <c r="B505" s="33"/>
      <c r="C505" s="25"/>
      <c r="D505" s="26"/>
      <c r="E505" s="33"/>
      <c r="F505" s="25"/>
      <c r="G505" s="55"/>
      <c r="N505" s="37" t="str">
        <f t="shared" ca="1" si="28"/>
        <v/>
      </c>
      <c r="O505" s="37" t="str">
        <f t="shared" ca="1" si="29"/>
        <v/>
      </c>
    </row>
    <row r="506" spans="1:15" x14ac:dyDescent="0.25">
      <c r="A506" s="102"/>
      <c r="B506" s="33"/>
      <c r="C506" s="25"/>
      <c r="D506" s="26"/>
      <c r="E506" s="33"/>
      <c r="F506" s="25"/>
      <c r="G506" s="55"/>
      <c r="N506" s="37" t="str">
        <f t="shared" ca="1" si="28"/>
        <v/>
      </c>
      <c r="O506" s="37" t="str">
        <f t="shared" ca="1" si="29"/>
        <v/>
      </c>
    </row>
    <row r="507" spans="1:15" x14ac:dyDescent="0.25">
      <c r="A507" s="102"/>
      <c r="B507" s="33"/>
      <c r="C507" s="25"/>
      <c r="D507" s="26"/>
      <c r="E507" s="33"/>
      <c r="F507" s="25"/>
      <c r="G507" s="55"/>
      <c r="N507" s="37" t="str">
        <f t="shared" ca="1" si="28"/>
        <v/>
      </c>
      <c r="O507" s="37" t="str">
        <f t="shared" ca="1" si="29"/>
        <v/>
      </c>
    </row>
    <row r="508" spans="1:15" x14ac:dyDescent="0.25">
      <c r="A508" s="102"/>
      <c r="B508" s="33"/>
      <c r="C508" s="25"/>
      <c r="D508" s="26"/>
      <c r="E508" s="33"/>
      <c r="F508" s="25"/>
      <c r="G508" s="55"/>
      <c r="N508" s="37" t="str">
        <f t="shared" ca="1" si="28"/>
        <v/>
      </c>
      <c r="O508" s="37" t="str">
        <f t="shared" ca="1" si="29"/>
        <v/>
      </c>
    </row>
    <row r="509" spans="1:15" x14ac:dyDescent="0.25">
      <c r="A509" s="102"/>
      <c r="B509" s="33"/>
      <c r="C509" s="25"/>
      <c r="D509" s="26"/>
      <c r="E509" s="33"/>
      <c r="F509" s="25"/>
      <c r="G509" s="55"/>
      <c r="N509" s="37" t="str">
        <f t="shared" ca="1" si="28"/>
        <v/>
      </c>
      <c r="O509" s="37" t="str">
        <f t="shared" ca="1" si="29"/>
        <v/>
      </c>
    </row>
    <row r="510" spans="1:15" x14ac:dyDescent="0.25">
      <c r="A510" s="102"/>
      <c r="B510" s="33"/>
      <c r="C510" s="25"/>
      <c r="D510" s="26"/>
      <c r="E510" s="33"/>
      <c r="F510" s="25"/>
      <c r="G510" s="55"/>
      <c r="N510" s="37" t="str">
        <f t="shared" ca="1" si="28"/>
        <v/>
      </c>
      <c r="O510" s="37" t="str">
        <f t="shared" ca="1" si="29"/>
        <v/>
      </c>
    </row>
    <row r="511" spans="1:15" x14ac:dyDescent="0.25">
      <c r="A511" s="102"/>
      <c r="B511" s="33"/>
      <c r="C511" s="25"/>
      <c r="D511" s="26"/>
      <c r="E511" s="33"/>
      <c r="F511" s="25"/>
      <c r="G511" s="55"/>
      <c r="N511" s="37" t="str">
        <f t="shared" ca="1" si="28"/>
        <v/>
      </c>
      <c r="O511" s="37" t="str">
        <f t="shared" ca="1" si="29"/>
        <v/>
      </c>
    </row>
    <row r="512" spans="1:15" x14ac:dyDescent="0.25">
      <c r="A512" s="102"/>
      <c r="B512" s="33"/>
      <c r="C512" s="25"/>
      <c r="D512" s="26"/>
      <c r="E512" s="33"/>
      <c r="F512" s="25"/>
      <c r="G512" s="55"/>
      <c r="N512" s="37" t="str">
        <f t="shared" ca="1" si="28"/>
        <v/>
      </c>
      <c r="O512" s="37" t="str">
        <f t="shared" ca="1" si="29"/>
        <v/>
      </c>
    </row>
    <row r="513" spans="1:15" x14ac:dyDescent="0.25">
      <c r="A513" s="102"/>
      <c r="B513" s="33"/>
      <c r="C513" s="25"/>
      <c r="D513" s="26"/>
      <c r="E513" s="33"/>
      <c r="F513" s="25"/>
      <c r="G513" s="55"/>
      <c r="N513" s="37" t="str">
        <f t="shared" ca="1" si="28"/>
        <v/>
      </c>
      <c r="O513" s="37" t="str">
        <f t="shared" ca="1" si="29"/>
        <v/>
      </c>
    </row>
    <row r="514" spans="1:15" x14ac:dyDescent="0.25">
      <c r="A514" s="102"/>
      <c r="B514" s="33"/>
      <c r="C514" s="25"/>
      <c r="D514" s="26"/>
      <c r="E514" s="33"/>
      <c r="F514" s="25"/>
      <c r="G514" s="55"/>
      <c r="N514" s="37" t="str">
        <f t="shared" ca="1" si="28"/>
        <v/>
      </c>
      <c r="O514" s="37" t="str">
        <f t="shared" ca="1" si="29"/>
        <v/>
      </c>
    </row>
    <row r="515" spans="1:15" x14ac:dyDescent="0.25">
      <c r="A515" s="102"/>
      <c r="B515" s="33"/>
      <c r="C515" s="25"/>
      <c r="D515" s="26"/>
      <c r="E515" s="33"/>
      <c r="F515" s="25"/>
      <c r="G515" s="55"/>
      <c r="N515" s="37" t="str">
        <f t="shared" ca="1" si="28"/>
        <v/>
      </c>
      <c r="O515" s="37" t="str">
        <f t="shared" ca="1" si="29"/>
        <v/>
      </c>
    </row>
    <row r="516" spans="1:15" x14ac:dyDescent="0.25">
      <c r="A516" s="102"/>
      <c r="B516" s="33"/>
      <c r="C516" s="25"/>
      <c r="D516" s="26"/>
      <c r="E516" s="33"/>
      <c r="F516" s="25"/>
      <c r="G516" s="55"/>
      <c r="N516" s="37" t="str">
        <f t="shared" ref="N516:N579" ca="1" si="30">IF(COUNTIF(L:L,J516),J516,"")</f>
        <v/>
      </c>
      <c r="O516" s="37" t="str">
        <f t="shared" ref="O516:O579" ca="1" si="31">IF(N516&gt;$A$14,N516,"")</f>
        <v/>
      </c>
    </row>
    <row r="517" spans="1:15" x14ac:dyDescent="0.25">
      <c r="A517" s="102"/>
      <c r="B517" s="33"/>
      <c r="C517" s="25"/>
      <c r="D517" s="26"/>
      <c r="E517" s="33"/>
      <c r="F517" s="25"/>
      <c r="G517" s="55"/>
      <c r="N517" s="37" t="str">
        <f t="shared" ca="1" si="30"/>
        <v/>
      </c>
      <c r="O517" s="37" t="str">
        <f t="shared" ca="1" si="31"/>
        <v/>
      </c>
    </row>
    <row r="518" spans="1:15" x14ac:dyDescent="0.25">
      <c r="A518" s="102"/>
      <c r="B518" s="33"/>
      <c r="C518" s="25"/>
      <c r="D518" s="26"/>
      <c r="E518" s="33"/>
      <c r="F518" s="25"/>
      <c r="G518" s="55"/>
      <c r="N518" s="37" t="str">
        <f t="shared" ca="1" si="30"/>
        <v/>
      </c>
      <c r="O518" s="37" t="str">
        <f t="shared" ca="1" si="31"/>
        <v/>
      </c>
    </row>
    <row r="519" spans="1:15" x14ac:dyDescent="0.25">
      <c r="A519" s="102"/>
      <c r="B519" s="33"/>
      <c r="C519" s="25"/>
      <c r="D519" s="26"/>
      <c r="E519" s="33"/>
      <c r="F519" s="25"/>
      <c r="G519" s="55"/>
      <c r="N519" s="37" t="str">
        <f t="shared" ca="1" si="30"/>
        <v/>
      </c>
      <c r="O519" s="37" t="str">
        <f t="shared" ca="1" si="31"/>
        <v/>
      </c>
    </row>
    <row r="520" spans="1:15" x14ac:dyDescent="0.25">
      <c r="A520" s="102"/>
      <c r="B520" s="33"/>
      <c r="C520" s="25"/>
      <c r="D520" s="26"/>
      <c r="E520" s="33"/>
      <c r="F520" s="25"/>
      <c r="G520" s="55"/>
      <c r="N520" s="37" t="str">
        <f t="shared" ca="1" si="30"/>
        <v/>
      </c>
      <c r="O520" s="37" t="str">
        <f t="shared" ca="1" si="31"/>
        <v/>
      </c>
    </row>
    <row r="521" spans="1:15" x14ac:dyDescent="0.25">
      <c r="A521" s="102"/>
      <c r="B521" s="33"/>
      <c r="C521" s="25"/>
      <c r="D521" s="26"/>
      <c r="E521" s="33"/>
      <c r="F521" s="25"/>
      <c r="G521" s="55"/>
      <c r="N521" s="37" t="str">
        <f t="shared" ca="1" si="30"/>
        <v/>
      </c>
      <c r="O521" s="37" t="str">
        <f t="shared" ca="1" si="31"/>
        <v/>
      </c>
    </row>
    <row r="522" spans="1:15" x14ac:dyDescent="0.25">
      <c r="A522" s="102"/>
      <c r="B522" s="33"/>
      <c r="C522" s="25"/>
      <c r="D522" s="26"/>
      <c r="E522" s="33"/>
      <c r="F522" s="25"/>
      <c r="G522" s="55"/>
      <c r="N522" s="37" t="str">
        <f t="shared" ca="1" si="30"/>
        <v/>
      </c>
      <c r="O522" s="37" t="str">
        <f t="shared" ca="1" si="31"/>
        <v/>
      </c>
    </row>
    <row r="523" spans="1:15" x14ac:dyDescent="0.25">
      <c r="A523" s="102"/>
      <c r="B523" s="33"/>
      <c r="C523" s="25"/>
      <c r="D523" s="26"/>
      <c r="E523" s="33"/>
      <c r="F523" s="25"/>
      <c r="G523" s="55"/>
      <c r="N523" s="37" t="str">
        <f t="shared" ca="1" si="30"/>
        <v/>
      </c>
      <c r="O523" s="37" t="str">
        <f t="shared" ca="1" si="31"/>
        <v/>
      </c>
    </row>
    <row r="524" spans="1:15" x14ac:dyDescent="0.25">
      <c r="A524" s="102"/>
      <c r="B524" s="33"/>
      <c r="C524" s="25"/>
      <c r="D524" s="26"/>
      <c r="E524" s="33"/>
      <c r="F524" s="25"/>
      <c r="G524" s="55"/>
      <c r="N524" s="37" t="str">
        <f t="shared" ca="1" si="30"/>
        <v/>
      </c>
      <c r="O524" s="37" t="str">
        <f t="shared" ca="1" si="31"/>
        <v/>
      </c>
    </row>
    <row r="525" spans="1:15" x14ac:dyDescent="0.25">
      <c r="A525" s="102"/>
      <c r="B525" s="33"/>
      <c r="C525" s="25"/>
      <c r="D525" s="26"/>
      <c r="E525" s="33"/>
      <c r="F525" s="25"/>
      <c r="G525" s="55"/>
      <c r="N525" s="37" t="str">
        <f t="shared" ca="1" si="30"/>
        <v/>
      </c>
      <c r="O525" s="37" t="str">
        <f t="shared" ca="1" si="31"/>
        <v/>
      </c>
    </row>
    <row r="526" spans="1:15" x14ac:dyDescent="0.25">
      <c r="A526" s="102"/>
      <c r="B526" s="33"/>
      <c r="C526" s="25"/>
      <c r="D526" s="26"/>
      <c r="E526" s="33"/>
      <c r="F526" s="25"/>
      <c r="G526" s="55"/>
      <c r="N526" s="37" t="str">
        <f t="shared" ca="1" si="30"/>
        <v/>
      </c>
      <c r="O526" s="37" t="str">
        <f t="shared" ca="1" si="31"/>
        <v/>
      </c>
    </row>
    <row r="527" spans="1:15" x14ac:dyDescent="0.25">
      <c r="A527" s="102"/>
      <c r="B527" s="33"/>
      <c r="C527" s="25"/>
      <c r="D527" s="26"/>
      <c r="E527" s="33"/>
      <c r="F527" s="25"/>
      <c r="G527" s="55"/>
      <c r="N527" s="37" t="str">
        <f t="shared" ca="1" si="30"/>
        <v/>
      </c>
      <c r="O527" s="37" t="str">
        <f t="shared" ca="1" si="31"/>
        <v/>
      </c>
    </row>
    <row r="528" spans="1:15" x14ac:dyDescent="0.25">
      <c r="A528" s="102"/>
      <c r="B528" s="33"/>
      <c r="C528" s="25"/>
      <c r="D528" s="26"/>
      <c r="E528" s="33"/>
      <c r="F528" s="25"/>
      <c r="G528" s="55"/>
      <c r="N528" s="37" t="str">
        <f t="shared" ca="1" si="30"/>
        <v/>
      </c>
      <c r="O528" s="37" t="str">
        <f t="shared" ca="1" si="31"/>
        <v/>
      </c>
    </row>
    <row r="529" spans="1:15" x14ac:dyDescent="0.25">
      <c r="A529" s="102"/>
      <c r="B529" s="33"/>
      <c r="C529" s="25"/>
      <c r="D529" s="26"/>
      <c r="E529" s="33"/>
      <c r="F529" s="25"/>
      <c r="G529" s="55"/>
      <c r="N529" s="37" t="str">
        <f t="shared" ca="1" si="30"/>
        <v/>
      </c>
      <c r="O529" s="37" t="str">
        <f t="shared" ca="1" si="31"/>
        <v/>
      </c>
    </row>
    <row r="530" spans="1:15" x14ac:dyDescent="0.25">
      <c r="A530" s="102"/>
      <c r="B530" s="33"/>
      <c r="C530" s="25"/>
      <c r="D530" s="26"/>
      <c r="E530" s="33"/>
      <c r="F530" s="25"/>
      <c r="G530" s="55"/>
      <c r="N530" s="37" t="str">
        <f t="shared" ca="1" si="30"/>
        <v/>
      </c>
      <c r="O530" s="37" t="str">
        <f t="shared" ca="1" si="31"/>
        <v/>
      </c>
    </row>
    <row r="531" spans="1:15" x14ac:dyDescent="0.25">
      <c r="A531" s="102"/>
      <c r="B531" s="33"/>
      <c r="C531" s="25"/>
      <c r="D531" s="26"/>
      <c r="E531" s="33"/>
      <c r="F531" s="25"/>
      <c r="G531" s="55"/>
      <c r="N531" s="37" t="str">
        <f t="shared" ca="1" si="30"/>
        <v/>
      </c>
      <c r="O531" s="37" t="str">
        <f t="shared" ca="1" si="31"/>
        <v/>
      </c>
    </row>
    <row r="532" spans="1:15" x14ac:dyDescent="0.25">
      <c r="A532" s="102"/>
      <c r="B532" s="33"/>
      <c r="C532" s="25"/>
      <c r="D532" s="26"/>
      <c r="E532" s="33"/>
      <c r="F532" s="25"/>
      <c r="G532" s="55"/>
      <c r="N532" s="37" t="str">
        <f t="shared" ca="1" si="30"/>
        <v/>
      </c>
      <c r="O532" s="37" t="str">
        <f t="shared" ca="1" si="31"/>
        <v/>
      </c>
    </row>
    <row r="533" spans="1:15" x14ac:dyDescent="0.25">
      <c r="A533" s="102"/>
      <c r="B533" s="33"/>
      <c r="C533" s="25"/>
      <c r="D533" s="26"/>
      <c r="E533" s="33"/>
      <c r="F533" s="25"/>
      <c r="G533" s="55"/>
      <c r="N533" s="37" t="str">
        <f t="shared" ca="1" si="30"/>
        <v/>
      </c>
      <c r="O533" s="37" t="str">
        <f t="shared" ca="1" si="31"/>
        <v/>
      </c>
    </row>
    <row r="534" spans="1:15" x14ac:dyDescent="0.25">
      <c r="A534" s="102"/>
      <c r="B534" s="33"/>
      <c r="C534" s="25"/>
      <c r="D534" s="26"/>
      <c r="E534" s="33"/>
      <c r="F534" s="25"/>
      <c r="G534" s="55"/>
      <c r="N534" s="37" t="str">
        <f t="shared" ca="1" si="30"/>
        <v/>
      </c>
      <c r="O534" s="37" t="str">
        <f t="shared" ca="1" si="31"/>
        <v/>
      </c>
    </row>
    <row r="535" spans="1:15" x14ac:dyDescent="0.25">
      <c r="A535" s="102"/>
      <c r="B535" s="33"/>
      <c r="C535" s="25"/>
      <c r="D535" s="26"/>
      <c r="E535" s="33"/>
      <c r="F535" s="25"/>
      <c r="G535" s="55"/>
      <c r="N535" s="37" t="str">
        <f t="shared" ca="1" si="30"/>
        <v/>
      </c>
      <c r="O535" s="37" t="str">
        <f t="shared" ca="1" si="31"/>
        <v/>
      </c>
    </row>
    <row r="536" spans="1:15" x14ac:dyDescent="0.25">
      <c r="A536" s="102"/>
      <c r="B536" s="33"/>
      <c r="C536" s="25"/>
      <c r="D536" s="26"/>
      <c r="E536" s="33"/>
      <c r="F536" s="25"/>
      <c r="G536" s="55"/>
      <c r="N536" s="37" t="str">
        <f t="shared" ca="1" si="30"/>
        <v/>
      </c>
      <c r="O536" s="37" t="str">
        <f t="shared" ca="1" si="31"/>
        <v/>
      </c>
    </row>
    <row r="537" spans="1:15" x14ac:dyDescent="0.25">
      <c r="A537" s="102"/>
      <c r="B537" s="33"/>
      <c r="C537" s="25"/>
      <c r="D537" s="26"/>
      <c r="E537" s="33"/>
      <c r="F537" s="25"/>
      <c r="G537" s="55"/>
      <c r="N537" s="37" t="str">
        <f t="shared" ca="1" si="30"/>
        <v/>
      </c>
      <c r="O537" s="37" t="str">
        <f t="shared" ca="1" si="31"/>
        <v/>
      </c>
    </row>
    <row r="538" spans="1:15" x14ac:dyDescent="0.25">
      <c r="A538" s="102"/>
      <c r="B538" s="33"/>
      <c r="C538" s="25"/>
      <c r="D538" s="26"/>
      <c r="E538" s="33"/>
      <c r="F538" s="25"/>
      <c r="G538" s="55"/>
      <c r="N538" s="37" t="str">
        <f t="shared" ca="1" si="30"/>
        <v/>
      </c>
      <c r="O538" s="37" t="str">
        <f t="shared" ca="1" si="31"/>
        <v/>
      </c>
    </row>
    <row r="539" spans="1:15" x14ac:dyDescent="0.25">
      <c r="A539" s="102"/>
      <c r="B539" s="33"/>
      <c r="C539" s="25"/>
      <c r="D539" s="26"/>
      <c r="E539" s="33"/>
      <c r="F539" s="25"/>
      <c r="G539" s="55"/>
      <c r="N539" s="37" t="str">
        <f t="shared" ca="1" si="30"/>
        <v/>
      </c>
      <c r="O539" s="37" t="str">
        <f t="shared" ca="1" si="31"/>
        <v/>
      </c>
    </row>
    <row r="540" spans="1:15" x14ac:dyDescent="0.25">
      <c r="A540" s="102"/>
      <c r="B540" s="33"/>
      <c r="C540" s="25"/>
      <c r="D540" s="26"/>
      <c r="E540" s="33"/>
      <c r="F540" s="25"/>
      <c r="G540" s="55"/>
      <c r="N540" s="37" t="str">
        <f t="shared" ca="1" si="30"/>
        <v/>
      </c>
      <c r="O540" s="37" t="str">
        <f t="shared" ca="1" si="31"/>
        <v/>
      </c>
    </row>
    <row r="541" spans="1:15" x14ac:dyDescent="0.25">
      <c r="A541" s="102"/>
      <c r="B541" s="33"/>
      <c r="C541" s="25"/>
      <c r="D541" s="26"/>
      <c r="E541" s="33"/>
      <c r="F541" s="25"/>
      <c r="G541" s="55"/>
      <c r="N541" s="37" t="str">
        <f t="shared" ca="1" si="30"/>
        <v/>
      </c>
      <c r="O541" s="37" t="str">
        <f t="shared" ca="1" si="31"/>
        <v/>
      </c>
    </row>
    <row r="542" spans="1:15" x14ac:dyDescent="0.25">
      <c r="A542" s="102"/>
      <c r="B542" s="33"/>
      <c r="C542" s="25"/>
      <c r="D542" s="26"/>
      <c r="E542" s="33"/>
      <c r="F542" s="25"/>
      <c r="G542" s="55"/>
      <c r="N542" s="37" t="str">
        <f t="shared" ca="1" si="30"/>
        <v/>
      </c>
      <c r="O542" s="37" t="str">
        <f t="shared" ca="1" si="31"/>
        <v/>
      </c>
    </row>
    <row r="543" spans="1:15" x14ac:dyDescent="0.25">
      <c r="A543" s="102"/>
      <c r="B543" s="33"/>
      <c r="C543" s="25"/>
      <c r="D543" s="26"/>
      <c r="E543" s="33"/>
      <c r="F543" s="25"/>
      <c r="G543" s="55"/>
      <c r="N543" s="37" t="str">
        <f t="shared" ca="1" si="30"/>
        <v/>
      </c>
      <c r="O543" s="37" t="str">
        <f t="shared" ca="1" si="31"/>
        <v/>
      </c>
    </row>
    <row r="544" spans="1:15" x14ac:dyDescent="0.25">
      <c r="A544" s="102"/>
      <c r="B544" s="33"/>
      <c r="C544" s="25"/>
      <c r="D544" s="26"/>
      <c r="E544" s="33"/>
      <c r="F544" s="25"/>
      <c r="G544" s="55"/>
      <c r="N544" s="37" t="str">
        <f t="shared" ca="1" si="30"/>
        <v/>
      </c>
      <c r="O544" s="37" t="str">
        <f t="shared" ca="1" si="31"/>
        <v/>
      </c>
    </row>
    <row r="545" spans="1:15" x14ac:dyDescent="0.25">
      <c r="A545" s="102"/>
      <c r="B545" s="33"/>
      <c r="C545" s="25"/>
      <c r="D545" s="26"/>
      <c r="E545" s="33"/>
      <c r="F545" s="25"/>
      <c r="G545" s="55"/>
      <c r="N545" s="37" t="str">
        <f t="shared" ca="1" si="30"/>
        <v/>
      </c>
      <c r="O545" s="37" t="str">
        <f t="shared" ca="1" si="31"/>
        <v/>
      </c>
    </row>
    <row r="546" spans="1:15" x14ac:dyDescent="0.25">
      <c r="A546" s="102"/>
      <c r="B546" s="33"/>
      <c r="C546" s="25"/>
      <c r="D546" s="26"/>
      <c r="E546" s="33"/>
      <c r="F546" s="25"/>
      <c r="G546" s="55"/>
      <c r="N546" s="37" t="str">
        <f t="shared" ca="1" si="30"/>
        <v/>
      </c>
      <c r="O546" s="37" t="str">
        <f t="shared" ca="1" si="31"/>
        <v/>
      </c>
    </row>
    <row r="547" spans="1:15" x14ac:dyDescent="0.25">
      <c r="A547" s="102"/>
      <c r="B547" s="33"/>
      <c r="C547" s="25"/>
      <c r="D547" s="26"/>
      <c r="E547" s="33"/>
      <c r="F547" s="25"/>
      <c r="G547" s="55"/>
      <c r="N547" s="37" t="str">
        <f t="shared" ca="1" si="30"/>
        <v/>
      </c>
      <c r="O547" s="37" t="str">
        <f t="shared" ca="1" si="31"/>
        <v/>
      </c>
    </row>
    <row r="548" spans="1:15" x14ac:dyDescent="0.25">
      <c r="A548" s="102"/>
      <c r="B548" s="33"/>
      <c r="C548" s="25"/>
      <c r="D548" s="26"/>
      <c r="E548" s="33"/>
      <c r="F548" s="25"/>
      <c r="G548" s="55"/>
      <c r="N548" s="37" t="str">
        <f t="shared" ca="1" si="30"/>
        <v/>
      </c>
      <c r="O548" s="37" t="str">
        <f t="shared" ca="1" si="31"/>
        <v/>
      </c>
    </row>
    <row r="549" spans="1:15" x14ac:dyDescent="0.25">
      <c r="A549" s="102"/>
      <c r="B549" s="33"/>
      <c r="C549" s="25"/>
      <c r="D549" s="26"/>
      <c r="E549" s="33"/>
      <c r="F549" s="25"/>
      <c r="G549" s="55"/>
      <c r="N549" s="37" t="str">
        <f t="shared" ca="1" si="30"/>
        <v/>
      </c>
      <c r="O549" s="37" t="str">
        <f t="shared" ca="1" si="31"/>
        <v/>
      </c>
    </row>
    <row r="550" spans="1:15" x14ac:dyDescent="0.25">
      <c r="A550" s="102"/>
      <c r="B550" s="33"/>
      <c r="C550" s="25"/>
      <c r="D550" s="26"/>
      <c r="E550" s="33"/>
      <c r="F550" s="25"/>
      <c r="G550" s="55"/>
      <c r="N550" s="37" t="str">
        <f t="shared" ca="1" si="30"/>
        <v/>
      </c>
      <c r="O550" s="37" t="str">
        <f t="shared" ca="1" si="31"/>
        <v/>
      </c>
    </row>
    <row r="551" spans="1:15" x14ac:dyDescent="0.25">
      <c r="A551" s="102"/>
      <c r="B551" s="33"/>
      <c r="C551" s="25"/>
      <c r="D551" s="26"/>
      <c r="E551" s="33"/>
      <c r="F551" s="25"/>
      <c r="G551" s="55"/>
      <c r="N551" s="37" t="str">
        <f t="shared" ca="1" si="30"/>
        <v/>
      </c>
      <c r="O551" s="37" t="str">
        <f t="shared" ca="1" si="31"/>
        <v/>
      </c>
    </row>
    <row r="552" spans="1:15" x14ac:dyDescent="0.25">
      <c r="A552" s="102"/>
      <c r="B552" s="33"/>
      <c r="C552" s="25"/>
      <c r="D552" s="26"/>
      <c r="E552" s="33"/>
      <c r="F552" s="25"/>
      <c r="G552" s="55"/>
      <c r="N552" s="37" t="str">
        <f t="shared" ca="1" si="30"/>
        <v/>
      </c>
      <c r="O552" s="37" t="str">
        <f t="shared" ca="1" si="31"/>
        <v/>
      </c>
    </row>
    <row r="553" spans="1:15" x14ac:dyDescent="0.25">
      <c r="A553" s="102"/>
      <c r="B553" s="33"/>
      <c r="C553" s="25"/>
      <c r="D553" s="26"/>
      <c r="E553" s="33"/>
      <c r="F553" s="25"/>
      <c r="G553" s="55"/>
      <c r="N553" s="37" t="str">
        <f t="shared" ca="1" si="30"/>
        <v/>
      </c>
      <c r="O553" s="37" t="str">
        <f t="shared" ca="1" si="31"/>
        <v/>
      </c>
    </row>
    <row r="554" spans="1:15" x14ac:dyDescent="0.25">
      <c r="A554" s="102"/>
      <c r="B554" s="33"/>
      <c r="C554" s="25"/>
      <c r="D554" s="26"/>
      <c r="E554" s="33"/>
      <c r="F554" s="25"/>
      <c r="G554" s="55"/>
      <c r="N554" s="37" t="str">
        <f t="shared" ca="1" si="30"/>
        <v/>
      </c>
      <c r="O554" s="37" t="str">
        <f t="shared" ca="1" si="31"/>
        <v/>
      </c>
    </row>
    <row r="555" spans="1:15" x14ac:dyDescent="0.25">
      <c r="A555" s="102"/>
      <c r="B555" s="33"/>
      <c r="C555" s="25"/>
      <c r="D555" s="26"/>
      <c r="E555" s="33"/>
      <c r="F555" s="25"/>
      <c r="G555" s="55"/>
      <c r="N555" s="37" t="str">
        <f t="shared" ca="1" si="30"/>
        <v/>
      </c>
      <c r="O555" s="37" t="str">
        <f t="shared" ca="1" si="31"/>
        <v/>
      </c>
    </row>
    <row r="556" spans="1:15" x14ac:dyDescent="0.25">
      <c r="A556" s="102"/>
      <c r="B556" s="33"/>
      <c r="C556" s="25"/>
      <c r="D556" s="26"/>
      <c r="E556" s="33"/>
      <c r="F556" s="25"/>
      <c r="G556" s="55"/>
      <c r="N556" s="37" t="str">
        <f t="shared" ca="1" si="30"/>
        <v/>
      </c>
      <c r="O556" s="37" t="str">
        <f t="shared" ca="1" si="31"/>
        <v/>
      </c>
    </row>
    <row r="557" spans="1:15" x14ac:dyDescent="0.25">
      <c r="A557" s="102"/>
      <c r="B557" s="33"/>
      <c r="C557" s="25"/>
      <c r="D557" s="26"/>
      <c r="E557" s="33"/>
      <c r="F557" s="25"/>
      <c r="G557" s="55"/>
      <c r="N557" s="37" t="str">
        <f t="shared" ca="1" si="30"/>
        <v/>
      </c>
      <c r="O557" s="37" t="str">
        <f t="shared" ca="1" si="31"/>
        <v/>
      </c>
    </row>
    <row r="558" spans="1:15" x14ac:dyDescent="0.25">
      <c r="A558" s="102"/>
      <c r="B558" s="33"/>
      <c r="C558" s="25"/>
      <c r="D558" s="26"/>
      <c r="E558" s="33"/>
      <c r="F558" s="25"/>
      <c r="G558" s="55"/>
      <c r="N558" s="37" t="str">
        <f t="shared" ca="1" si="30"/>
        <v/>
      </c>
      <c r="O558" s="37" t="str">
        <f t="shared" ca="1" si="31"/>
        <v/>
      </c>
    </row>
    <row r="559" spans="1:15" x14ac:dyDescent="0.25">
      <c r="A559" s="102"/>
      <c r="B559" s="33"/>
      <c r="C559" s="25"/>
      <c r="D559" s="26"/>
      <c r="E559" s="33"/>
      <c r="F559" s="25"/>
      <c r="G559" s="55"/>
      <c r="N559" s="37" t="str">
        <f t="shared" ca="1" si="30"/>
        <v/>
      </c>
      <c r="O559" s="37" t="str">
        <f t="shared" ca="1" si="31"/>
        <v/>
      </c>
    </row>
    <row r="560" spans="1:15" x14ac:dyDescent="0.25">
      <c r="A560" s="102"/>
      <c r="B560" s="33"/>
      <c r="C560" s="25"/>
      <c r="D560" s="26"/>
      <c r="E560" s="33"/>
      <c r="F560" s="25"/>
      <c r="G560" s="55"/>
      <c r="N560" s="37" t="str">
        <f t="shared" ca="1" si="30"/>
        <v/>
      </c>
      <c r="O560" s="37" t="str">
        <f t="shared" ca="1" si="31"/>
        <v/>
      </c>
    </row>
    <row r="561" spans="1:15" x14ac:dyDescent="0.25">
      <c r="A561" s="102"/>
      <c r="B561" s="33"/>
      <c r="C561" s="25"/>
      <c r="D561" s="26"/>
      <c r="E561" s="33"/>
      <c r="F561" s="25"/>
      <c r="G561" s="55"/>
      <c r="N561" s="37" t="str">
        <f t="shared" ca="1" si="30"/>
        <v/>
      </c>
      <c r="O561" s="37" t="str">
        <f t="shared" ca="1" si="31"/>
        <v/>
      </c>
    </row>
    <row r="562" spans="1:15" x14ac:dyDescent="0.25">
      <c r="A562" s="102"/>
      <c r="B562" s="33"/>
      <c r="C562" s="25"/>
      <c r="D562" s="26"/>
      <c r="E562" s="33"/>
      <c r="F562" s="25"/>
      <c r="G562" s="55"/>
      <c r="N562" s="37" t="str">
        <f t="shared" ca="1" si="30"/>
        <v/>
      </c>
      <c r="O562" s="37" t="str">
        <f t="shared" ca="1" si="31"/>
        <v/>
      </c>
    </row>
    <row r="563" spans="1:15" x14ac:dyDescent="0.25">
      <c r="A563" s="102"/>
      <c r="B563" s="33"/>
      <c r="C563" s="25"/>
      <c r="D563" s="26"/>
      <c r="E563" s="33"/>
      <c r="F563" s="25"/>
      <c r="G563" s="55"/>
      <c r="N563" s="37" t="str">
        <f t="shared" ca="1" si="30"/>
        <v/>
      </c>
      <c r="O563" s="37" t="str">
        <f t="shared" ca="1" si="31"/>
        <v/>
      </c>
    </row>
    <row r="564" spans="1:15" x14ac:dyDescent="0.25">
      <c r="A564" s="102"/>
      <c r="B564" s="33"/>
      <c r="C564" s="25"/>
      <c r="D564" s="26"/>
      <c r="E564" s="33"/>
      <c r="F564" s="25"/>
      <c r="G564" s="55"/>
      <c r="N564" s="37" t="str">
        <f t="shared" ca="1" si="30"/>
        <v/>
      </c>
      <c r="O564" s="37" t="str">
        <f t="shared" ca="1" si="31"/>
        <v/>
      </c>
    </row>
    <row r="565" spans="1:15" x14ac:dyDescent="0.25">
      <c r="A565" s="102"/>
      <c r="B565" s="33"/>
      <c r="C565" s="25"/>
      <c r="D565" s="26"/>
      <c r="E565" s="33"/>
      <c r="F565" s="25"/>
      <c r="G565" s="55"/>
      <c r="N565" s="37" t="str">
        <f t="shared" ca="1" si="30"/>
        <v/>
      </c>
      <c r="O565" s="37" t="str">
        <f t="shared" ca="1" si="31"/>
        <v/>
      </c>
    </row>
    <row r="566" spans="1:15" x14ac:dyDescent="0.25">
      <c r="A566" s="102"/>
      <c r="B566" s="33"/>
      <c r="C566" s="25"/>
      <c r="D566" s="26"/>
      <c r="E566" s="33"/>
      <c r="F566" s="25"/>
      <c r="G566" s="55"/>
      <c r="N566" s="37" t="str">
        <f t="shared" ca="1" si="30"/>
        <v/>
      </c>
      <c r="O566" s="37" t="str">
        <f t="shared" ca="1" si="31"/>
        <v/>
      </c>
    </row>
    <row r="567" spans="1:15" x14ac:dyDescent="0.25">
      <c r="A567" s="102"/>
      <c r="B567" s="33"/>
      <c r="C567" s="25"/>
      <c r="D567" s="26"/>
      <c r="E567" s="33"/>
      <c r="F567" s="25"/>
      <c r="G567" s="55"/>
      <c r="N567" s="37" t="str">
        <f t="shared" ca="1" si="30"/>
        <v/>
      </c>
      <c r="O567" s="37" t="str">
        <f t="shared" ca="1" si="31"/>
        <v/>
      </c>
    </row>
    <row r="568" spans="1:15" x14ac:dyDescent="0.25">
      <c r="A568" s="102"/>
      <c r="B568" s="33"/>
      <c r="C568" s="25"/>
      <c r="D568" s="26"/>
      <c r="E568" s="33"/>
      <c r="F568" s="25"/>
      <c r="G568" s="55"/>
      <c r="N568" s="37" t="str">
        <f t="shared" ca="1" si="30"/>
        <v/>
      </c>
      <c r="O568" s="37" t="str">
        <f t="shared" ca="1" si="31"/>
        <v/>
      </c>
    </row>
    <row r="569" spans="1:15" x14ac:dyDescent="0.25">
      <c r="A569" s="102"/>
      <c r="B569" s="33"/>
      <c r="C569" s="25"/>
      <c r="D569" s="26"/>
      <c r="E569" s="33"/>
      <c r="F569" s="25"/>
      <c r="G569" s="55"/>
      <c r="N569" s="37" t="str">
        <f t="shared" ca="1" si="30"/>
        <v/>
      </c>
      <c r="O569" s="37" t="str">
        <f t="shared" ca="1" si="31"/>
        <v/>
      </c>
    </row>
    <row r="570" spans="1:15" x14ac:dyDescent="0.25">
      <c r="A570" s="102"/>
      <c r="B570" s="33"/>
      <c r="C570" s="25"/>
      <c r="D570" s="26"/>
      <c r="E570" s="33"/>
      <c r="F570" s="25"/>
      <c r="G570" s="55"/>
      <c r="N570" s="37" t="str">
        <f t="shared" ca="1" si="30"/>
        <v/>
      </c>
      <c r="O570" s="37" t="str">
        <f t="shared" ca="1" si="31"/>
        <v/>
      </c>
    </row>
    <row r="571" spans="1:15" x14ac:dyDescent="0.25">
      <c r="A571" s="102"/>
      <c r="B571" s="33"/>
      <c r="C571" s="25"/>
      <c r="D571" s="26"/>
      <c r="E571" s="33"/>
      <c r="F571" s="25"/>
      <c r="G571" s="55"/>
      <c r="N571" s="37" t="str">
        <f t="shared" ca="1" si="30"/>
        <v/>
      </c>
      <c r="O571" s="37" t="str">
        <f t="shared" ca="1" si="31"/>
        <v/>
      </c>
    </row>
    <row r="572" spans="1:15" x14ac:dyDescent="0.25">
      <c r="A572" s="102"/>
      <c r="B572" s="33"/>
      <c r="C572" s="25"/>
      <c r="D572" s="26"/>
      <c r="E572" s="33"/>
      <c r="F572" s="25"/>
      <c r="G572" s="55"/>
      <c r="N572" s="37" t="str">
        <f t="shared" ca="1" si="30"/>
        <v/>
      </c>
      <c r="O572" s="37" t="str">
        <f t="shared" ca="1" si="31"/>
        <v/>
      </c>
    </row>
    <row r="573" spans="1:15" x14ac:dyDescent="0.25">
      <c r="A573" s="102"/>
      <c r="B573" s="33"/>
      <c r="C573" s="25"/>
      <c r="D573" s="26"/>
      <c r="E573" s="33"/>
      <c r="F573" s="25"/>
      <c r="G573" s="55"/>
      <c r="N573" s="37" t="str">
        <f t="shared" ca="1" si="30"/>
        <v/>
      </c>
      <c r="O573" s="37" t="str">
        <f t="shared" ca="1" si="31"/>
        <v/>
      </c>
    </row>
    <row r="574" spans="1:15" x14ac:dyDescent="0.25">
      <c r="A574" s="102"/>
      <c r="B574" s="33"/>
      <c r="C574" s="25"/>
      <c r="D574" s="26"/>
      <c r="E574" s="33"/>
      <c r="F574" s="25"/>
      <c r="G574" s="55"/>
      <c r="N574" s="37" t="str">
        <f t="shared" ca="1" si="30"/>
        <v/>
      </c>
      <c r="O574" s="37" t="str">
        <f t="shared" ca="1" si="31"/>
        <v/>
      </c>
    </row>
    <row r="575" spans="1:15" x14ac:dyDescent="0.25">
      <c r="A575" s="102"/>
      <c r="B575" s="33"/>
      <c r="C575" s="25"/>
      <c r="D575" s="26"/>
      <c r="E575" s="33"/>
      <c r="F575" s="25"/>
      <c r="G575" s="55"/>
      <c r="N575" s="37" t="str">
        <f t="shared" ca="1" si="30"/>
        <v/>
      </c>
      <c r="O575" s="37" t="str">
        <f t="shared" ca="1" si="31"/>
        <v/>
      </c>
    </row>
    <row r="576" spans="1:15" x14ac:dyDescent="0.25">
      <c r="A576" s="102"/>
      <c r="B576" s="33"/>
      <c r="C576" s="25"/>
      <c r="D576" s="26"/>
      <c r="E576" s="33"/>
      <c r="F576" s="25"/>
      <c r="G576" s="55"/>
      <c r="N576" s="37" t="str">
        <f t="shared" ca="1" si="30"/>
        <v/>
      </c>
      <c r="O576" s="37" t="str">
        <f t="shared" ca="1" si="31"/>
        <v/>
      </c>
    </row>
    <row r="577" spans="1:15" x14ac:dyDescent="0.25">
      <c r="A577" s="102"/>
      <c r="B577" s="33"/>
      <c r="C577" s="25"/>
      <c r="D577" s="26"/>
      <c r="E577" s="33"/>
      <c r="F577" s="25"/>
      <c r="G577" s="55"/>
      <c r="N577" s="37" t="str">
        <f t="shared" ca="1" si="30"/>
        <v/>
      </c>
      <c r="O577" s="37" t="str">
        <f t="shared" ca="1" si="31"/>
        <v/>
      </c>
    </row>
    <row r="578" spans="1:15" x14ac:dyDescent="0.25">
      <c r="A578" s="102"/>
      <c r="B578" s="33"/>
      <c r="C578" s="25"/>
      <c r="D578" s="26"/>
      <c r="E578" s="33"/>
      <c r="F578" s="25"/>
      <c r="G578" s="55"/>
      <c r="N578" s="37" t="str">
        <f t="shared" ca="1" si="30"/>
        <v/>
      </c>
      <c r="O578" s="37" t="str">
        <f t="shared" ca="1" si="31"/>
        <v/>
      </c>
    </row>
    <row r="579" spans="1:15" x14ac:dyDescent="0.25">
      <c r="A579" s="102"/>
      <c r="B579" s="33"/>
      <c r="C579" s="25"/>
      <c r="D579" s="26"/>
      <c r="E579" s="33"/>
      <c r="F579" s="25"/>
      <c r="G579" s="55"/>
      <c r="N579" s="37" t="str">
        <f t="shared" ca="1" si="30"/>
        <v/>
      </c>
      <c r="O579" s="37" t="str">
        <f t="shared" ca="1" si="31"/>
        <v/>
      </c>
    </row>
    <row r="580" spans="1:15" x14ac:dyDescent="0.25">
      <c r="A580" s="102"/>
      <c r="B580" s="33"/>
      <c r="C580" s="25"/>
      <c r="D580" s="26"/>
      <c r="E580" s="33"/>
      <c r="F580" s="25"/>
      <c r="G580" s="55"/>
      <c r="N580" s="37" t="str">
        <f t="shared" ref="N580:N643" ca="1" si="32">IF(COUNTIF(L:L,J580),J580,"")</f>
        <v/>
      </c>
      <c r="O580" s="37" t="str">
        <f t="shared" ref="O580:O643" ca="1" si="33">IF(N580&gt;$A$14,N580,"")</f>
        <v/>
      </c>
    </row>
    <row r="581" spans="1:15" x14ac:dyDescent="0.25">
      <c r="A581" s="102"/>
      <c r="B581" s="33"/>
      <c r="C581" s="25"/>
      <c r="D581" s="26"/>
      <c r="E581" s="33"/>
      <c r="F581" s="25"/>
      <c r="G581" s="55"/>
      <c r="N581" s="37" t="str">
        <f t="shared" ca="1" si="32"/>
        <v/>
      </c>
      <c r="O581" s="37" t="str">
        <f t="shared" ca="1" si="33"/>
        <v/>
      </c>
    </row>
    <row r="582" spans="1:15" x14ac:dyDescent="0.25">
      <c r="A582" s="102"/>
      <c r="B582" s="33"/>
      <c r="C582" s="25"/>
      <c r="D582" s="26"/>
      <c r="E582" s="33"/>
      <c r="F582" s="25"/>
      <c r="G582" s="55"/>
      <c r="N582" s="37" t="str">
        <f t="shared" ca="1" si="32"/>
        <v/>
      </c>
      <c r="O582" s="37" t="str">
        <f t="shared" ca="1" si="33"/>
        <v/>
      </c>
    </row>
    <row r="583" spans="1:15" x14ac:dyDescent="0.25">
      <c r="A583" s="102"/>
      <c r="B583" s="33"/>
      <c r="C583" s="25"/>
      <c r="D583" s="26"/>
      <c r="E583" s="33"/>
      <c r="F583" s="25"/>
      <c r="G583" s="55"/>
      <c r="N583" s="37" t="str">
        <f t="shared" ca="1" si="32"/>
        <v/>
      </c>
      <c r="O583" s="37" t="str">
        <f t="shared" ca="1" si="33"/>
        <v/>
      </c>
    </row>
    <row r="584" spans="1:15" x14ac:dyDescent="0.25">
      <c r="A584" s="102"/>
      <c r="B584" s="33"/>
      <c r="C584" s="25"/>
      <c r="D584" s="26"/>
      <c r="E584" s="33"/>
      <c r="F584" s="25"/>
      <c r="G584" s="55"/>
      <c r="N584" s="37" t="str">
        <f t="shared" ca="1" si="32"/>
        <v/>
      </c>
      <c r="O584" s="37" t="str">
        <f t="shared" ca="1" si="33"/>
        <v/>
      </c>
    </row>
    <row r="585" spans="1:15" x14ac:dyDescent="0.25">
      <c r="A585" s="102"/>
      <c r="B585" s="33"/>
      <c r="C585" s="25"/>
      <c r="D585" s="26"/>
      <c r="E585" s="33"/>
      <c r="F585" s="25"/>
      <c r="G585" s="55"/>
      <c r="N585" s="37" t="str">
        <f t="shared" ca="1" si="32"/>
        <v/>
      </c>
      <c r="O585" s="37" t="str">
        <f t="shared" ca="1" si="33"/>
        <v/>
      </c>
    </row>
    <row r="586" spans="1:15" x14ac:dyDescent="0.25">
      <c r="A586" s="102"/>
      <c r="B586" s="33"/>
      <c r="C586" s="25"/>
      <c r="D586" s="26"/>
      <c r="E586" s="33"/>
      <c r="F586" s="25"/>
      <c r="G586" s="55"/>
      <c r="N586" s="37" t="str">
        <f t="shared" ca="1" si="32"/>
        <v/>
      </c>
      <c r="O586" s="37" t="str">
        <f t="shared" ca="1" si="33"/>
        <v/>
      </c>
    </row>
    <row r="587" spans="1:15" x14ac:dyDescent="0.25">
      <c r="A587" s="102"/>
      <c r="B587" s="33"/>
      <c r="C587" s="25"/>
      <c r="D587" s="26"/>
      <c r="E587" s="33"/>
      <c r="F587" s="25"/>
      <c r="G587" s="55"/>
      <c r="N587" s="37" t="str">
        <f t="shared" ca="1" si="32"/>
        <v/>
      </c>
      <c r="O587" s="37" t="str">
        <f t="shared" ca="1" si="33"/>
        <v/>
      </c>
    </row>
    <row r="588" spans="1:15" x14ac:dyDescent="0.25">
      <c r="A588" s="102"/>
      <c r="B588" s="33"/>
      <c r="C588" s="25"/>
      <c r="D588" s="26"/>
      <c r="E588" s="33"/>
      <c r="F588" s="25"/>
      <c r="G588" s="55"/>
      <c r="N588" s="37" t="str">
        <f t="shared" ca="1" si="32"/>
        <v/>
      </c>
      <c r="O588" s="37" t="str">
        <f t="shared" ca="1" si="33"/>
        <v/>
      </c>
    </row>
    <row r="589" spans="1:15" x14ac:dyDescent="0.25">
      <c r="A589" s="102"/>
      <c r="B589" s="33"/>
      <c r="C589" s="25"/>
      <c r="D589" s="26"/>
      <c r="E589" s="33"/>
      <c r="F589" s="25"/>
      <c r="G589" s="55"/>
      <c r="N589" s="37" t="str">
        <f t="shared" ca="1" si="32"/>
        <v/>
      </c>
      <c r="O589" s="37" t="str">
        <f t="shared" ca="1" si="33"/>
        <v/>
      </c>
    </row>
    <row r="590" spans="1:15" x14ac:dyDescent="0.25">
      <c r="A590" s="102"/>
      <c r="B590" s="33"/>
      <c r="C590" s="25"/>
      <c r="D590" s="26"/>
      <c r="E590" s="33"/>
      <c r="F590" s="25"/>
      <c r="G590" s="55"/>
      <c r="N590" s="37" t="str">
        <f t="shared" ca="1" si="32"/>
        <v/>
      </c>
      <c r="O590" s="37" t="str">
        <f t="shared" ca="1" si="33"/>
        <v/>
      </c>
    </row>
    <row r="591" spans="1:15" x14ac:dyDescent="0.25">
      <c r="A591" s="102"/>
      <c r="B591" s="33"/>
      <c r="C591" s="25"/>
      <c r="D591" s="26"/>
      <c r="E591" s="33"/>
      <c r="F591" s="25"/>
      <c r="G591" s="55"/>
      <c r="N591" s="37" t="str">
        <f t="shared" ca="1" si="32"/>
        <v/>
      </c>
      <c r="O591" s="37" t="str">
        <f t="shared" ca="1" si="33"/>
        <v/>
      </c>
    </row>
    <row r="592" spans="1:15" x14ac:dyDescent="0.25">
      <c r="A592" s="102"/>
      <c r="B592" s="33"/>
      <c r="C592" s="25"/>
      <c r="D592" s="26"/>
      <c r="E592" s="33"/>
      <c r="F592" s="25"/>
      <c r="G592" s="55"/>
      <c r="N592" s="37" t="str">
        <f t="shared" ca="1" si="32"/>
        <v/>
      </c>
      <c r="O592" s="37" t="str">
        <f t="shared" ca="1" si="33"/>
        <v/>
      </c>
    </row>
    <row r="593" spans="1:15" x14ac:dyDescent="0.25">
      <c r="A593" s="102"/>
      <c r="B593" s="33"/>
      <c r="C593" s="25"/>
      <c r="D593" s="26"/>
      <c r="E593" s="33"/>
      <c r="F593" s="25"/>
      <c r="G593" s="55"/>
      <c r="N593" s="37" t="str">
        <f t="shared" ca="1" si="32"/>
        <v/>
      </c>
      <c r="O593" s="37" t="str">
        <f t="shared" ca="1" si="33"/>
        <v/>
      </c>
    </row>
    <row r="594" spans="1:15" x14ac:dyDescent="0.25">
      <c r="A594" s="102"/>
      <c r="B594" s="33"/>
      <c r="C594" s="25"/>
      <c r="D594" s="26"/>
      <c r="E594" s="33"/>
      <c r="F594" s="25"/>
      <c r="G594" s="55"/>
      <c r="N594" s="37" t="str">
        <f t="shared" ca="1" si="32"/>
        <v/>
      </c>
      <c r="O594" s="37" t="str">
        <f t="shared" ca="1" si="33"/>
        <v/>
      </c>
    </row>
    <row r="595" spans="1:15" x14ac:dyDescent="0.25">
      <c r="A595" s="102"/>
      <c r="B595" s="33"/>
      <c r="C595" s="25"/>
      <c r="D595" s="26"/>
      <c r="E595" s="33"/>
      <c r="F595" s="25"/>
      <c r="G595" s="55"/>
      <c r="N595" s="37" t="str">
        <f t="shared" ca="1" si="32"/>
        <v/>
      </c>
      <c r="O595" s="37" t="str">
        <f t="shared" ca="1" si="33"/>
        <v/>
      </c>
    </row>
    <row r="596" spans="1:15" x14ac:dyDescent="0.25">
      <c r="A596" s="102"/>
      <c r="B596" s="33"/>
      <c r="C596" s="25"/>
      <c r="D596" s="26"/>
      <c r="E596" s="33"/>
      <c r="F596" s="25"/>
      <c r="G596" s="55"/>
      <c r="N596" s="37" t="str">
        <f t="shared" ca="1" si="32"/>
        <v/>
      </c>
      <c r="O596" s="37" t="str">
        <f t="shared" ca="1" si="33"/>
        <v/>
      </c>
    </row>
    <row r="597" spans="1:15" x14ac:dyDescent="0.25">
      <c r="A597" s="102"/>
      <c r="B597" s="33"/>
      <c r="C597" s="25"/>
      <c r="D597" s="26"/>
      <c r="E597" s="33"/>
      <c r="F597" s="25"/>
      <c r="G597" s="55"/>
      <c r="N597" s="37" t="str">
        <f t="shared" ca="1" si="32"/>
        <v/>
      </c>
      <c r="O597" s="37" t="str">
        <f t="shared" ca="1" si="33"/>
        <v/>
      </c>
    </row>
    <row r="598" spans="1:15" x14ac:dyDescent="0.25">
      <c r="A598" s="102"/>
      <c r="B598" s="33"/>
      <c r="C598" s="25"/>
      <c r="D598" s="26"/>
      <c r="E598" s="33"/>
      <c r="F598" s="25"/>
      <c r="G598" s="55"/>
      <c r="N598" s="37" t="str">
        <f t="shared" ca="1" si="32"/>
        <v/>
      </c>
      <c r="O598" s="37" t="str">
        <f t="shared" ca="1" si="33"/>
        <v/>
      </c>
    </row>
    <row r="599" spans="1:15" x14ac:dyDescent="0.25">
      <c r="A599" s="102"/>
      <c r="B599" s="33"/>
      <c r="C599" s="25"/>
      <c r="D599" s="26"/>
      <c r="E599" s="33"/>
      <c r="F599" s="25"/>
      <c r="G599" s="55"/>
      <c r="N599" s="37" t="str">
        <f t="shared" ca="1" si="32"/>
        <v/>
      </c>
      <c r="O599" s="37" t="str">
        <f t="shared" ca="1" si="33"/>
        <v/>
      </c>
    </row>
    <row r="600" spans="1:15" x14ac:dyDescent="0.25">
      <c r="A600" s="102"/>
      <c r="B600" s="33"/>
      <c r="C600" s="25"/>
      <c r="D600" s="26"/>
      <c r="E600" s="33"/>
      <c r="F600" s="25"/>
      <c r="G600" s="55"/>
      <c r="N600" s="37" t="str">
        <f t="shared" ca="1" si="32"/>
        <v/>
      </c>
      <c r="O600" s="37" t="str">
        <f t="shared" ca="1" si="33"/>
        <v/>
      </c>
    </row>
    <row r="601" spans="1:15" x14ac:dyDescent="0.25">
      <c r="A601" s="102"/>
      <c r="B601" s="33"/>
      <c r="C601" s="25"/>
      <c r="D601" s="26"/>
      <c r="E601" s="33"/>
      <c r="F601" s="25"/>
      <c r="G601" s="55"/>
      <c r="N601" s="37" t="str">
        <f t="shared" ca="1" si="32"/>
        <v/>
      </c>
      <c r="O601" s="37" t="str">
        <f t="shared" ca="1" si="33"/>
        <v/>
      </c>
    </row>
    <row r="602" spans="1:15" x14ac:dyDescent="0.25">
      <c r="A602" s="102"/>
      <c r="B602" s="33"/>
      <c r="C602" s="25"/>
      <c r="D602" s="26"/>
      <c r="E602" s="33"/>
      <c r="F602" s="25"/>
      <c r="G602" s="55"/>
      <c r="N602" s="37" t="str">
        <f t="shared" ca="1" si="32"/>
        <v/>
      </c>
      <c r="O602" s="37" t="str">
        <f t="shared" ca="1" si="33"/>
        <v/>
      </c>
    </row>
    <row r="603" spans="1:15" x14ac:dyDescent="0.25">
      <c r="A603" s="102"/>
      <c r="B603" s="33"/>
      <c r="C603" s="25"/>
      <c r="D603" s="26"/>
      <c r="E603" s="33"/>
      <c r="F603" s="25"/>
      <c r="G603" s="55"/>
      <c r="N603" s="37" t="str">
        <f t="shared" ca="1" si="32"/>
        <v/>
      </c>
      <c r="O603" s="37" t="str">
        <f t="shared" ca="1" si="33"/>
        <v/>
      </c>
    </row>
    <row r="604" spans="1:15" x14ac:dyDescent="0.25">
      <c r="A604" s="102"/>
      <c r="B604" s="33"/>
      <c r="C604" s="25"/>
      <c r="D604" s="26"/>
      <c r="E604" s="33"/>
      <c r="F604" s="25"/>
      <c r="G604" s="55"/>
      <c r="N604" s="37" t="str">
        <f t="shared" ca="1" si="32"/>
        <v/>
      </c>
      <c r="O604" s="37" t="str">
        <f t="shared" ca="1" si="33"/>
        <v/>
      </c>
    </row>
    <row r="605" spans="1:15" x14ac:dyDescent="0.25">
      <c r="A605" s="102"/>
      <c r="B605" s="33"/>
      <c r="C605" s="25"/>
      <c r="D605" s="26"/>
      <c r="E605" s="33"/>
      <c r="F605" s="25"/>
      <c r="G605" s="55"/>
      <c r="N605" s="37" t="str">
        <f t="shared" ca="1" si="32"/>
        <v/>
      </c>
      <c r="O605" s="37" t="str">
        <f t="shared" ca="1" si="33"/>
        <v/>
      </c>
    </row>
    <row r="606" spans="1:15" x14ac:dyDescent="0.25">
      <c r="A606" s="102"/>
      <c r="B606" s="33"/>
      <c r="C606" s="25"/>
      <c r="D606" s="26"/>
      <c r="E606" s="33"/>
      <c r="F606" s="25"/>
      <c r="G606" s="55"/>
      <c r="N606" s="37" t="str">
        <f t="shared" ca="1" si="32"/>
        <v/>
      </c>
      <c r="O606" s="37" t="str">
        <f t="shared" ca="1" si="33"/>
        <v/>
      </c>
    </row>
    <row r="607" spans="1:15" x14ac:dyDescent="0.25">
      <c r="A607" s="102"/>
      <c r="B607" s="33"/>
      <c r="C607" s="25"/>
      <c r="D607" s="26"/>
      <c r="E607" s="33"/>
      <c r="F607" s="25"/>
      <c r="G607" s="55"/>
      <c r="N607" s="37" t="str">
        <f t="shared" ca="1" si="32"/>
        <v/>
      </c>
      <c r="O607" s="37" t="str">
        <f t="shared" ca="1" si="33"/>
        <v/>
      </c>
    </row>
    <row r="608" spans="1:15" x14ac:dyDescent="0.25">
      <c r="A608" s="102"/>
      <c r="B608" s="33"/>
      <c r="C608" s="25"/>
      <c r="D608" s="26"/>
      <c r="E608" s="33"/>
      <c r="F608" s="25"/>
      <c r="G608" s="55"/>
      <c r="N608" s="37" t="str">
        <f t="shared" ca="1" si="32"/>
        <v/>
      </c>
      <c r="O608" s="37" t="str">
        <f t="shared" ca="1" si="33"/>
        <v/>
      </c>
    </row>
    <row r="609" spans="1:15" x14ac:dyDescent="0.25">
      <c r="A609" s="102"/>
      <c r="B609" s="33"/>
      <c r="C609" s="25"/>
      <c r="D609" s="26"/>
      <c r="E609" s="33"/>
      <c r="F609" s="25"/>
      <c r="G609" s="55"/>
      <c r="N609" s="37" t="str">
        <f t="shared" ca="1" si="32"/>
        <v/>
      </c>
      <c r="O609" s="37" t="str">
        <f t="shared" ca="1" si="33"/>
        <v/>
      </c>
    </row>
    <row r="610" spans="1:15" x14ac:dyDescent="0.25">
      <c r="A610" s="102"/>
      <c r="B610" s="33"/>
      <c r="C610" s="25"/>
      <c r="D610" s="26"/>
      <c r="E610" s="33"/>
      <c r="F610" s="25"/>
      <c r="G610" s="55"/>
      <c r="N610" s="37" t="str">
        <f t="shared" ca="1" si="32"/>
        <v/>
      </c>
      <c r="O610" s="37" t="str">
        <f t="shared" ca="1" si="33"/>
        <v/>
      </c>
    </row>
    <row r="611" spans="1:15" x14ac:dyDescent="0.25">
      <c r="A611" s="102"/>
      <c r="B611" s="33"/>
      <c r="C611" s="25"/>
      <c r="D611" s="26"/>
      <c r="E611" s="33"/>
      <c r="F611" s="25"/>
      <c r="G611" s="55"/>
      <c r="N611" s="37" t="str">
        <f t="shared" ca="1" si="32"/>
        <v/>
      </c>
      <c r="O611" s="37" t="str">
        <f t="shared" ca="1" si="33"/>
        <v/>
      </c>
    </row>
    <row r="612" spans="1:15" x14ac:dyDescent="0.25">
      <c r="A612" s="102"/>
      <c r="B612" s="33"/>
      <c r="C612" s="25"/>
      <c r="D612" s="26"/>
      <c r="E612" s="33"/>
      <c r="F612" s="25"/>
      <c r="G612" s="55"/>
      <c r="N612" s="37" t="str">
        <f t="shared" ca="1" si="32"/>
        <v/>
      </c>
      <c r="O612" s="37" t="str">
        <f t="shared" ca="1" si="33"/>
        <v/>
      </c>
    </row>
    <row r="613" spans="1:15" x14ac:dyDescent="0.25">
      <c r="A613" s="102"/>
      <c r="B613" s="33"/>
      <c r="C613" s="25"/>
      <c r="D613" s="26"/>
      <c r="E613" s="33"/>
      <c r="F613" s="25"/>
      <c r="G613" s="55"/>
      <c r="N613" s="37" t="str">
        <f t="shared" ca="1" si="32"/>
        <v/>
      </c>
      <c r="O613" s="37" t="str">
        <f t="shared" ca="1" si="33"/>
        <v/>
      </c>
    </row>
    <row r="614" spans="1:15" x14ac:dyDescent="0.25">
      <c r="A614" s="102"/>
      <c r="B614" s="33"/>
      <c r="C614" s="25"/>
      <c r="D614" s="26"/>
      <c r="E614" s="33"/>
      <c r="F614" s="25"/>
      <c r="G614" s="55"/>
      <c r="N614" s="37" t="str">
        <f t="shared" ca="1" si="32"/>
        <v/>
      </c>
      <c r="O614" s="37" t="str">
        <f t="shared" ca="1" si="33"/>
        <v/>
      </c>
    </row>
    <row r="615" spans="1:15" x14ac:dyDescent="0.25">
      <c r="A615" s="102"/>
      <c r="B615" s="33"/>
      <c r="C615" s="25"/>
      <c r="D615" s="26"/>
      <c r="E615" s="33"/>
      <c r="F615" s="25"/>
      <c r="G615" s="55"/>
      <c r="N615" s="37" t="str">
        <f t="shared" ca="1" si="32"/>
        <v/>
      </c>
      <c r="O615" s="37" t="str">
        <f t="shared" ca="1" si="33"/>
        <v/>
      </c>
    </row>
    <row r="616" spans="1:15" x14ac:dyDescent="0.25">
      <c r="A616" s="102"/>
      <c r="B616" s="33"/>
      <c r="C616" s="25"/>
      <c r="D616" s="26"/>
      <c r="E616" s="33"/>
      <c r="F616" s="25"/>
      <c r="G616" s="55"/>
      <c r="N616" s="37" t="str">
        <f t="shared" ca="1" si="32"/>
        <v/>
      </c>
      <c r="O616" s="37" t="str">
        <f t="shared" ca="1" si="33"/>
        <v/>
      </c>
    </row>
    <row r="617" spans="1:15" x14ac:dyDescent="0.25">
      <c r="A617" s="102"/>
      <c r="B617" s="33"/>
      <c r="C617" s="25"/>
      <c r="D617" s="26"/>
      <c r="E617" s="33"/>
      <c r="F617" s="25"/>
      <c r="G617" s="55"/>
      <c r="N617" s="37" t="str">
        <f t="shared" ca="1" si="32"/>
        <v/>
      </c>
      <c r="O617" s="37" t="str">
        <f t="shared" ca="1" si="33"/>
        <v/>
      </c>
    </row>
    <row r="618" spans="1:15" x14ac:dyDescent="0.25">
      <c r="A618" s="102"/>
      <c r="B618" s="33"/>
      <c r="C618" s="25"/>
      <c r="D618" s="26"/>
      <c r="E618" s="33"/>
      <c r="F618" s="25"/>
      <c r="G618" s="55"/>
      <c r="N618" s="37" t="str">
        <f t="shared" ca="1" si="32"/>
        <v/>
      </c>
      <c r="O618" s="37" t="str">
        <f t="shared" ca="1" si="33"/>
        <v/>
      </c>
    </row>
    <row r="619" spans="1:15" x14ac:dyDescent="0.25">
      <c r="A619" s="102"/>
      <c r="B619" s="33"/>
      <c r="C619" s="25"/>
      <c r="D619" s="26"/>
      <c r="E619" s="33"/>
      <c r="F619" s="25"/>
      <c r="G619" s="55"/>
      <c r="N619" s="37" t="str">
        <f t="shared" ca="1" si="32"/>
        <v/>
      </c>
      <c r="O619" s="37" t="str">
        <f t="shared" ca="1" si="33"/>
        <v/>
      </c>
    </row>
    <row r="620" spans="1:15" x14ac:dyDescent="0.25">
      <c r="A620" s="102"/>
      <c r="B620" s="33"/>
      <c r="C620" s="25"/>
      <c r="D620" s="26"/>
      <c r="E620" s="33"/>
      <c r="F620" s="25"/>
      <c r="G620" s="55"/>
      <c r="N620" s="37" t="str">
        <f t="shared" ca="1" si="32"/>
        <v/>
      </c>
      <c r="O620" s="37" t="str">
        <f t="shared" ca="1" si="33"/>
        <v/>
      </c>
    </row>
    <row r="621" spans="1:15" x14ac:dyDescent="0.25">
      <c r="A621" s="102"/>
      <c r="B621" s="33"/>
      <c r="C621" s="25"/>
      <c r="D621" s="26"/>
      <c r="E621" s="33"/>
      <c r="F621" s="25"/>
      <c r="G621" s="55"/>
      <c r="N621" s="37" t="str">
        <f t="shared" ca="1" si="32"/>
        <v/>
      </c>
      <c r="O621" s="37" t="str">
        <f t="shared" ca="1" si="33"/>
        <v/>
      </c>
    </row>
    <row r="622" spans="1:15" x14ac:dyDescent="0.25">
      <c r="A622" s="102"/>
      <c r="B622" s="33"/>
      <c r="C622" s="25"/>
      <c r="D622" s="26"/>
      <c r="E622" s="33"/>
      <c r="F622" s="25"/>
      <c r="G622" s="55"/>
      <c r="N622" s="37" t="str">
        <f t="shared" ca="1" si="32"/>
        <v/>
      </c>
      <c r="O622" s="37" t="str">
        <f t="shared" ca="1" si="33"/>
        <v/>
      </c>
    </row>
    <row r="623" spans="1:15" x14ac:dyDescent="0.25">
      <c r="A623" s="102"/>
      <c r="B623" s="33"/>
      <c r="C623" s="25"/>
      <c r="D623" s="26"/>
      <c r="E623" s="33"/>
      <c r="F623" s="25"/>
      <c r="G623" s="55"/>
      <c r="N623" s="37" t="str">
        <f t="shared" ca="1" si="32"/>
        <v/>
      </c>
      <c r="O623" s="37" t="str">
        <f t="shared" ca="1" si="33"/>
        <v/>
      </c>
    </row>
    <row r="624" spans="1:15" x14ac:dyDescent="0.25">
      <c r="A624" s="102"/>
      <c r="B624" s="33"/>
      <c r="C624" s="25"/>
      <c r="D624" s="26"/>
      <c r="E624" s="33"/>
      <c r="F624" s="25"/>
      <c r="G624" s="55"/>
      <c r="N624" s="37" t="str">
        <f t="shared" ca="1" si="32"/>
        <v/>
      </c>
      <c r="O624" s="37" t="str">
        <f t="shared" ca="1" si="33"/>
        <v/>
      </c>
    </row>
    <row r="625" spans="1:15" x14ac:dyDescent="0.25">
      <c r="A625" s="102"/>
      <c r="B625" s="33"/>
      <c r="C625" s="25"/>
      <c r="D625" s="26"/>
      <c r="E625" s="33"/>
      <c r="F625" s="25"/>
      <c r="G625" s="55"/>
      <c r="N625" s="37" t="str">
        <f t="shared" ca="1" si="32"/>
        <v/>
      </c>
      <c r="O625" s="37" t="str">
        <f t="shared" ca="1" si="33"/>
        <v/>
      </c>
    </row>
    <row r="626" spans="1:15" x14ac:dyDescent="0.25">
      <c r="A626" s="102"/>
      <c r="B626" s="33"/>
      <c r="C626" s="25"/>
      <c r="D626" s="26"/>
      <c r="E626" s="33"/>
      <c r="F626" s="25"/>
      <c r="G626" s="55"/>
      <c r="N626" s="37" t="str">
        <f t="shared" ca="1" si="32"/>
        <v/>
      </c>
      <c r="O626" s="37" t="str">
        <f t="shared" ca="1" si="33"/>
        <v/>
      </c>
    </row>
    <row r="627" spans="1:15" x14ac:dyDescent="0.25">
      <c r="A627" s="102"/>
      <c r="B627" s="33"/>
      <c r="C627" s="25"/>
      <c r="D627" s="26"/>
      <c r="E627" s="33"/>
      <c r="F627" s="25"/>
      <c r="G627" s="55"/>
      <c r="N627" s="37" t="str">
        <f t="shared" ca="1" si="32"/>
        <v/>
      </c>
      <c r="O627" s="37" t="str">
        <f t="shared" ca="1" si="33"/>
        <v/>
      </c>
    </row>
    <row r="628" spans="1:15" x14ac:dyDescent="0.25">
      <c r="A628" s="102"/>
      <c r="B628" s="33"/>
      <c r="C628" s="25"/>
      <c r="D628" s="26"/>
      <c r="E628" s="33"/>
      <c r="F628" s="25"/>
      <c r="G628" s="55"/>
      <c r="N628" s="37" t="str">
        <f t="shared" ca="1" si="32"/>
        <v/>
      </c>
      <c r="O628" s="37" t="str">
        <f t="shared" ca="1" si="33"/>
        <v/>
      </c>
    </row>
    <row r="629" spans="1:15" x14ac:dyDescent="0.25">
      <c r="A629" s="102"/>
      <c r="B629" s="33"/>
      <c r="C629" s="25"/>
      <c r="D629" s="26"/>
      <c r="E629" s="33"/>
      <c r="F629" s="25"/>
      <c r="G629" s="55"/>
      <c r="N629" s="37" t="str">
        <f t="shared" ca="1" si="32"/>
        <v/>
      </c>
      <c r="O629" s="37" t="str">
        <f t="shared" ca="1" si="33"/>
        <v/>
      </c>
    </row>
    <row r="630" spans="1:15" x14ac:dyDescent="0.25">
      <c r="A630" s="102"/>
      <c r="B630" s="33"/>
      <c r="C630" s="25"/>
      <c r="D630" s="26"/>
      <c r="E630" s="33"/>
      <c r="F630" s="25"/>
      <c r="G630" s="55"/>
      <c r="N630" s="37" t="str">
        <f t="shared" ca="1" si="32"/>
        <v/>
      </c>
      <c r="O630" s="37" t="str">
        <f t="shared" ca="1" si="33"/>
        <v/>
      </c>
    </row>
    <row r="631" spans="1:15" x14ac:dyDescent="0.25">
      <c r="A631" s="102"/>
      <c r="B631" s="33"/>
      <c r="C631" s="25"/>
      <c r="D631" s="26"/>
      <c r="E631" s="33"/>
      <c r="F631" s="25"/>
      <c r="G631" s="55"/>
      <c r="N631" s="37" t="str">
        <f t="shared" ca="1" si="32"/>
        <v/>
      </c>
      <c r="O631" s="37" t="str">
        <f t="shared" ca="1" si="33"/>
        <v/>
      </c>
    </row>
    <row r="632" spans="1:15" x14ac:dyDescent="0.25">
      <c r="A632" s="102"/>
      <c r="B632" s="33"/>
      <c r="C632" s="25"/>
      <c r="D632" s="26"/>
      <c r="E632" s="33"/>
      <c r="F632" s="25"/>
      <c r="G632" s="55"/>
      <c r="N632" s="37" t="str">
        <f t="shared" ca="1" si="32"/>
        <v/>
      </c>
      <c r="O632" s="37" t="str">
        <f t="shared" ca="1" si="33"/>
        <v/>
      </c>
    </row>
    <row r="633" spans="1:15" x14ac:dyDescent="0.25">
      <c r="A633" s="102"/>
      <c r="B633" s="33"/>
      <c r="C633" s="25"/>
      <c r="D633" s="26"/>
      <c r="E633" s="33"/>
      <c r="F633" s="25"/>
      <c r="G633" s="55"/>
      <c r="N633" s="37" t="str">
        <f t="shared" ca="1" si="32"/>
        <v/>
      </c>
      <c r="O633" s="37" t="str">
        <f t="shared" ca="1" si="33"/>
        <v/>
      </c>
    </row>
    <row r="634" spans="1:15" x14ac:dyDescent="0.25">
      <c r="A634" s="102"/>
      <c r="B634" s="33"/>
      <c r="C634" s="25"/>
      <c r="D634" s="26"/>
      <c r="E634" s="33"/>
      <c r="F634" s="25"/>
      <c r="G634" s="55"/>
      <c r="N634" s="37" t="str">
        <f t="shared" ca="1" si="32"/>
        <v/>
      </c>
      <c r="O634" s="37" t="str">
        <f t="shared" ca="1" si="33"/>
        <v/>
      </c>
    </row>
    <row r="635" spans="1:15" x14ac:dyDescent="0.25">
      <c r="A635" s="102"/>
      <c r="B635" s="33"/>
      <c r="C635" s="25"/>
      <c r="D635" s="26"/>
      <c r="E635" s="33"/>
      <c r="F635" s="25"/>
      <c r="G635" s="55"/>
      <c r="N635" s="37" t="str">
        <f t="shared" ca="1" si="32"/>
        <v/>
      </c>
      <c r="O635" s="37" t="str">
        <f t="shared" ca="1" si="33"/>
        <v/>
      </c>
    </row>
    <row r="636" spans="1:15" x14ac:dyDescent="0.25">
      <c r="A636" s="102"/>
      <c r="B636" s="33"/>
      <c r="C636" s="25"/>
      <c r="D636" s="26"/>
      <c r="E636" s="33"/>
      <c r="F636" s="25"/>
      <c r="G636" s="55"/>
      <c r="N636" s="37" t="str">
        <f t="shared" ca="1" si="32"/>
        <v/>
      </c>
      <c r="O636" s="37" t="str">
        <f t="shared" ca="1" si="33"/>
        <v/>
      </c>
    </row>
    <row r="637" spans="1:15" x14ac:dyDescent="0.25">
      <c r="A637" s="102"/>
      <c r="B637" s="33"/>
      <c r="C637" s="25"/>
      <c r="D637" s="26"/>
      <c r="E637" s="33"/>
      <c r="F637" s="25"/>
      <c r="G637" s="55"/>
      <c r="N637" s="37" t="str">
        <f t="shared" ca="1" si="32"/>
        <v/>
      </c>
      <c r="O637" s="37" t="str">
        <f t="shared" ca="1" si="33"/>
        <v/>
      </c>
    </row>
    <row r="638" spans="1:15" x14ac:dyDescent="0.25">
      <c r="A638" s="102"/>
      <c r="B638" s="33"/>
      <c r="C638" s="25"/>
      <c r="D638" s="26"/>
      <c r="E638" s="33"/>
      <c r="F638" s="25"/>
      <c r="G638" s="55"/>
      <c r="N638" s="37" t="str">
        <f t="shared" ca="1" si="32"/>
        <v/>
      </c>
      <c r="O638" s="37" t="str">
        <f t="shared" ca="1" si="33"/>
        <v/>
      </c>
    </row>
    <row r="639" spans="1:15" x14ac:dyDescent="0.25">
      <c r="A639" s="102"/>
      <c r="B639" s="33"/>
      <c r="C639" s="25"/>
      <c r="D639" s="26"/>
      <c r="E639" s="33"/>
      <c r="F639" s="25"/>
      <c r="G639" s="55"/>
      <c r="N639" s="37" t="str">
        <f t="shared" ca="1" si="32"/>
        <v/>
      </c>
      <c r="O639" s="37" t="str">
        <f t="shared" ca="1" si="33"/>
        <v/>
      </c>
    </row>
    <row r="640" spans="1:15" x14ac:dyDescent="0.25">
      <c r="A640" s="102"/>
      <c r="B640" s="33"/>
      <c r="C640" s="25"/>
      <c r="D640" s="26"/>
      <c r="E640" s="33"/>
      <c r="F640" s="25"/>
      <c r="G640" s="55"/>
      <c r="N640" s="37" t="str">
        <f t="shared" ca="1" si="32"/>
        <v/>
      </c>
      <c r="O640" s="37" t="str">
        <f t="shared" ca="1" si="33"/>
        <v/>
      </c>
    </row>
    <row r="641" spans="1:15" x14ac:dyDescent="0.25">
      <c r="A641" s="102"/>
      <c r="B641" s="33"/>
      <c r="C641" s="25"/>
      <c r="D641" s="26"/>
      <c r="E641" s="33"/>
      <c r="F641" s="25"/>
      <c r="G641" s="55"/>
      <c r="N641" s="37" t="str">
        <f t="shared" ca="1" si="32"/>
        <v/>
      </c>
      <c r="O641" s="37" t="str">
        <f t="shared" ca="1" si="33"/>
        <v/>
      </c>
    </row>
    <row r="642" spans="1:15" x14ac:dyDescent="0.25">
      <c r="A642" s="102"/>
      <c r="B642" s="33"/>
      <c r="C642" s="25"/>
      <c r="D642" s="26"/>
      <c r="E642" s="33"/>
      <c r="F642" s="25"/>
      <c r="G642" s="55"/>
      <c r="N642" s="37" t="str">
        <f t="shared" ca="1" si="32"/>
        <v/>
      </c>
      <c r="O642" s="37" t="str">
        <f t="shared" ca="1" si="33"/>
        <v/>
      </c>
    </row>
    <row r="643" spans="1:15" x14ac:dyDescent="0.25">
      <c r="A643" s="102"/>
      <c r="B643" s="33"/>
      <c r="C643" s="25"/>
      <c r="D643" s="26"/>
      <c r="E643" s="33"/>
      <c r="F643" s="25"/>
      <c r="G643" s="55"/>
      <c r="N643" s="37" t="str">
        <f t="shared" ca="1" si="32"/>
        <v/>
      </c>
      <c r="O643" s="37" t="str">
        <f t="shared" ca="1" si="33"/>
        <v/>
      </c>
    </row>
    <row r="644" spans="1:15" x14ac:dyDescent="0.25">
      <c r="A644" s="102"/>
      <c r="B644" s="33"/>
      <c r="C644" s="25"/>
      <c r="D644" s="26"/>
      <c r="E644" s="33"/>
      <c r="F644" s="25"/>
      <c r="G644" s="55"/>
      <c r="N644" s="37" t="str">
        <f t="shared" ref="N644:N707" ca="1" si="34">IF(COUNTIF(L:L,J644),J644,"")</f>
        <v/>
      </c>
      <c r="O644" s="37" t="str">
        <f t="shared" ref="O644:O707" ca="1" si="35">IF(N644&gt;$A$14,N644,"")</f>
        <v/>
      </c>
    </row>
    <row r="645" spans="1:15" x14ac:dyDescent="0.25">
      <c r="A645" s="102"/>
      <c r="B645" s="33"/>
      <c r="C645" s="25"/>
      <c r="D645" s="26"/>
      <c r="E645" s="33"/>
      <c r="F645" s="25"/>
      <c r="G645" s="55"/>
      <c r="N645" s="37" t="str">
        <f t="shared" ca="1" si="34"/>
        <v/>
      </c>
      <c r="O645" s="37" t="str">
        <f t="shared" ca="1" si="35"/>
        <v/>
      </c>
    </row>
    <row r="646" spans="1:15" x14ac:dyDescent="0.25">
      <c r="A646" s="102"/>
      <c r="B646" s="33"/>
      <c r="C646" s="25"/>
      <c r="D646" s="26"/>
      <c r="E646" s="33"/>
      <c r="F646" s="25"/>
      <c r="G646" s="55"/>
      <c r="N646" s="37" t="str">
        <f t="shared" ca="1" si="34"/>
        <v/>
      </c>
      <c r="O646" s="37" t="str">
        <f t="shared" ca="1" si="35"/>
        <v/>
      </c>
    </row>
    <row r="647" spans="1:15" x14ac:dyDescent="0.25">
      <c r="A647" s="102"/>
      <c r="B647" s="33"/>
      <c r="C647" s="25"/>
      <c r="D647" s="26"/>
      <c r="E647" s="33"/>
      <c r="F647" s="25"/>
      <c r="G647" s="55"/>
      <c r="N647" s="37" t="str">
        <f t="shared" ca="1" si="34"/>
        <v/>
      </c>
      <c r="O647" s="37" t="str">
        <f t="shared" ca="1" si="35"/>
        <v/>
      </c>
    </row>
    <row r="648" spans="1:15" x14ac:dyDescent="0.25">
      <c r="A648" s="102"/>
      <c r="B648" s="33"/>
      <c r="C648" s="25"/>
      <c r="D648" s="26"/>
      <c r="E648" s="33"/>
      <c r="F648" s="25"/>
      <c r="G648" s="55"/>
      <c r="N648" s="37" t="str">
        <f t="shared" ca="1" si="34"/>
        <v/>
      </c>
      <c r="O648" s="37" t="str">
        <f t="shared" ca="1" si="35"/>
        <v/>
      </c>
    </row>
    <row r="649" spans="1:15" x14ac:dyDescent="0.25">
      <c r="A649" s="102"/>
      <c r="B649" s="33"/>
      <c r="C649" s="25"/>
      <c r="D649" s="26"/>
      <c r="E649" s="33"/>
      <c r="F649" s="25"/>
      <c r="G649" s="55"/>
      <c r="N649" s="37" t="str">
        <f t="shared" ca="1" si="34"/>
        <v/>
      </c>
      <c r="O649" s="37" t="str">
        <f t="shared" ca="1" si="35"/>
        <v/>
      </c>
    </row>
    <row r="650" spans="1:15" x14ac:dyDescent="0.25">
      <c r="A650" s="102"/>
      <c r="B650" s="33"/>
      <c r="C650" s="25"/>
      <c r="D650" s="26"/>
      <c r="E650" s="33"/>
      <c r="F650" s="25"/>
      <c r="G650" s="55"/>
      <c r="N650" s="37" t="str">
        <f t="shared" ca="1" si="34"/>
        <v/>
      </c>
      <c r="O650" s="37" t="str">
        <f t="shared" ca="1" si="35"/>
        <v/>
      </c>
    </row>
    <row r="651" spans="1:15" x14ac:dyDescent="0.25">
      <c r="A651" s="102"/>
      <c r="B651" s="33"/>
      <c r="C651" s="25"/>
      <c r="D651" s="26"/>
      <c r="E651" s="33"/>
      <c r="F651" s="25"/>
      <c r="G651" s="55"/>
      <c r="N651" s="37" t="str">
        <f t="shared" ca="1" si="34"/>
        <v/>
      </c>
      <c r="O651" s="37" t="str">
        <f t="shared" ca="1" si="35"/>
        <v/>
      </c>
    </row>
    <row r="652" spans="1:15" x14ac:dyDescent="0.25">
      <c r="A652" s="102"/>
      <c r="B652" s="33"/>
      <c r="C652" s="25"/>
      <c r="D652" s="26"/>
      <c r="E652" s="33"/>
      <c r="F652" s="25"/>
      <c r="G652" s="55"/>
      <c r="N652" s="37" t="str">
        <f t="shared" ca="1" si="34"/>
        <v/>
      </c>
      <c r="O652" s="37" t="str">
        <f t="shared" ca="1" si="35"/>
        <v/>
      </c>
    </row>
    <row r="653" spans="1:15" x14ac:dyDescent="0.25">
      <c r="A653" s="102"/>
      <c r="B653" s="33"/>
      <c r="C653" s="25"/>
      <c r="D653" s="26"/>
      <c r="E653" s="33"/>
      <c r="F653" s="25"/>
      <c r="G653" s="55"/>
      <c r="N653" s="37" t="str">
        <f t="shared" ca="1" si="34"/>
        <v/>
      </c>
      <c r="O653" s="37" t="str">
        <f t="shared" ca="1" si="35"/>
        <v/>
      </c>
    </row>
    <row r="654" spans="1:15" x14ac:dyDescent="0.25">
      <c r="A654" s="102"/>
      <c r="B654" s="33"/>
      <c r="C654" s="25"/>
      <c r="D654" s="26"/>
      <c r="E654" s="33"/>
      <c r="F654" s="25"/>
      <c r="G654" s="55"/>
      <c r="N654" s="37" t="str">
        <f t="shared" ca="1" si="34"/>
        <v/>
      </c>
      <c r="O654" s="37" t="str">
        <f t="shared" ca="1" si="35"/>
        <v/>
      </c>
    </row>
    <row r="655" spans="1:15" x14ac:dyDescent="0.25">
      <c r="A655" s="102"/>
      <c r="B655" s="33"/>
      <c r="C655" s="25"/>
      <c r="D655" s="26"/>
      <c r="E655" s="33"/>
      <c r="F655" s="25"/>
      <c r="G655" s="55"/>
      <c r="N655" s="37" t="str">
        <f t="shared" ca="1" si="34"/>
        <v/>
      </c>
      <c r="O655" s="37" t="str">
        <f t="shared" ca="1" si="35"/>
        <v/>
      </c>
    </row>
    <row r="656" spans="1:15" x14ac:dyDescent="0.25">
      <c r="A656" s="102"/>
      <c r="B656" s="33"/>
      <c r="C656" s="25"/>
      <c r="D656" s="26"/>
      <c r="E656" s="33"/>
      <c r="F656" s="25"/>
      <c r="G656" s="55"/>
      <c r="N656" s="37" t="str">
        <f t="shared" ca="1" si="34"/>
        <v/>
      </c>
      <c r="O656" s="37" t="str">
        <f t="shared" ca="1" si="35"/>
        <v/>
      </c>
    </row>
    <row r="657" spans="1:15" x14ac:dyDescent="0.25">
      <c r="A657" s="102"/>
      <c r="B657" s="33"/>
      <c r="C657" s="25"/>
      <c r="D657" s="26"/>
      <c r="E657" s="33"/>
      <c r="F657" s="25"/>
      <c r="G657" s="55"/>
      <c r="N657" s="37" t="str">
        <f t="shared" ca="1" si="34"/>
        <v/>
      </c>
      <c r="O657" s="37" t="str">
        <f t="shared" ca="1" si="35"/>
        <v/>
      </c>
    </row>
    <row r="658" spans="1:15" x14ac:dyDescent="0.25">
      <c r="A658" s="102"/>
      <c r="B658" s="33"/>
      <c r="C658" s="25"/>
      <c r="D658" s="26"/>
      <c r="E658" s="33"/>
      <c r="F658" s="25"/>
      <c r="G658" s="55"/>
      <c r="N658" s="37" t="str">
        <f t="shared" ca="1" si="34"/>
        <v/>
      </c>
      <c r="O658" s="37" t="str">
        <f t="shared" ca="1" si="35"/>
        <v/>
      </c>
    </row>
    <row r="659" spans="1:15" x14ac:dyDescent="0.25">
      <c r="A659" s="102"/>
      <c r="B659" s="33"/>
      <c r="C659" s="25"/>
      <c r="D659" s="26"/>
      <c r="E659" s="33"/>
      <c r="F659" s="25"/>
      <c r="G659" s="55"/>
      <c r="N659" s="37" t="str">
        <f t="shared" ca="1" si="34"/>
        <v/>
      </c>
      <c r="O659" s="37" t="str">
        <f t="shared" ca="1" si="35"/>
        <v/>
      </c>
    </row>
    <row r="660" spans="1:15" x14ac:dyDescent="0.25">
      <c r="A660" s="102"/>
      <c r="B660" s="33"/>
      <c r="C660" s="25"/>
      <c r="D660" s="26"/>
      <c r="E660" s="33"/>
      <c r="F660" s="25"/>
      <c r="G660" s="55"/>
      <c r="N660" s="37" t="str">
        <f t="shared" ca="1" si="34"/>
        <v/>
      </c>
      <c r="O660" s="37" t="str">
        <f t="shared" ca="1" si="35"/>
        <v/>
      </c>
    </row>
    <row r="661" spans="1:15" x14ac:dyDescent="0.25">
      <c r="A661" s="102"/>
      <c r="B661" s="33"/>
      <c r="C661" s="25"/>
      <c r="D661" s="26"/>
      <c r="E661" s="33"/>
      <c r="F661" s="25"/>
      <c r="G661" s="55"/>
      <c r="N661" s="37" t="str">
        <f t="shared" ca="1" si="34"/>
        <v/>
      </c>
      <c r="O661" s="37" t="str">
        <f t="shared" ca="1" si="35"/>
        <v/>
      </c>
    </row>
    <row r="662" spans="1:15" x14ac:dyDescent="0.25">
      <c r="A662" s="102"/>
      <c r="B662" s="33"/>
      <c r="C662" s="25"/>
      <c r="D662" s="26"/>
      <c r="E662" s="33"/>
      <c r="F662" s="25"/>
      <c r="G662" s="55"/>
      <c r="N662" s="37" t="str">
        <f t="shared" ca="1" si="34"/>
        <v/>
      </c>
      <c r="O662" s="37" t="str">
        <f t="shared" ca="1" si="35"/>
        <v/>
      </c>
    </row>
    <row r="663" spans="1:15" x14ac:dyDescent="0.25">
      <c r="A663" s="102"/>
      <c r="B663" s="33"/>
      <c r="C663" s="25"/>
      <c r="D663" s="26"/>
      <c r="E663" s="33"/>
      <c r="F663" s="25"/>
      <c r="G663" s="55"/>
      <c r="N663" s="37" t="str">
        <f t="shared" ca="1" si="34"/>
        <v/>
      </c>
      <c r="O663" s="37" t="str">
        <f t="shared" ca="1" si="35"/>
        <v/>
      </c>
    </row>
    <row r="664" spans="1:15" x14ac:dyDescent="0.25">
      <c r="A664" s="102"/>
      <c r="B664" s="33"/>
      <c r="C664" s="25"/>
      <c r="D664" s="26"/>
      <c r="E664" s="33"/>
      <c r="F664" s="25"/>
      <c r="G664" s="55"/>
      <c r="N664" s="37" t="str">
        <f t="shared" ca="1" si="34"/>
        <v/>
      </c>
      <c r="O664" s="37" t="str">
        <f t="shared" ca="1" si="35"/>
        <v/>
      </c>
    </row>
    <row r="665" spans="1:15" x14ac:dyDescent="0.25">
      <c r="A665" s="102"/>
      <c r="B665" s="33"/>
      <c r="C665" s="25"/>
      <c r="D665" s="26"/>
      <c r="E665" s="33"/>
      <c r="F665" s="25"/>
      <c r="G665" s="55"/>
      <c r="N665" s="37" t="str">
        <f t="shared" ca="1" si="34"/>
        <v/>
      </c>
      <c r="O665" s="37" t="str">
        <f t="shared" ca="1" si="35"/>
        <v/>
      </c>
    </row>
    <row r="666" spans="1:15" x14ac:dyDescent="0.25">
      <c r="A666" s="102"/>
      <c r="B666" s="33"/>
      <c r="C666" s="25"/>
      <c r="D666" s="26"/>
      <c r="E666" s="33"/>
      <c r="F666" s="25"/>
      <c r="G666" s="55"/>
      <c r="N666" s="37" t="str">
        <f t="shared" ca="1" si="34"/>
        <v/>
      </c>
      <c r="O666" s="37" t="str">
        <f t="shared" ca="1" si="35"/>
        <v/>
      </c>
    </row>
    <row r="667" spans="1:15" x14ac:dyDescent="0.25">
      <c r="A667" s="102"/>
      <c r="B667" s="33"/>
      <c r="C667" s="25"/>
      <c r="D667" s="26"/>
      <c r="E667" s="33"/>
      <c r="F667" s="25"/>
      <c r="G667" s="55"/>
      <c r="N667" s="37" t="str">
        <f t="shared" ca="1" si="34"/>
        <v/>
      </c>
      <c r="O667" s="37" t="str">
        <f t="shared" ca="1" si="35"/>
        <v/>
      </c>
    </row>
    <row r="668" spans="1:15" x14ac:dyDescent="0.25">
      <c r="A668" s="102"/>
      <c r="B668" s="33"/>
      <c r="C668" s="25"/>
      <c r="D668" s="26"/>
      <c r="E668" s="33"/>
      <c r="F668" s="25"/>
      <c r="G668" s="55"/>
      <c r="N668" s="37" t="str">
        <f t="shared" ca="1" si="34"/>
        <v/>
      </c>
      <c r="O668" s="37" t="str">
        <f t="shared" ca="1" si="35"/>
        <v/>
      </c>
    </row>
    <row r="669" spans="1:15" x14ac:dyDescent="0.25">
      <c r="A669" s="102"/>
      <c r="B669" s="33"/>
      <c r="C669" s="25"/>
      <c r="D669" s="26"/>
      <c r="E669" s="33"/>
      <c r="F669" s="25"/>
      <c r="G669" s="55"/>
      <c r="N669" s="37" t="str">
        <f t="shared" ca="1" si="34"/>
        <v/>
      </c>
      <c r="O669" s="37" t="str">
        <f t="shared" ca="1" si="35"/>
        <v/>
      </c>
    </row>
    <row r="670" spans="1:15" x14ac:dyDescent="0.25">
      <c r="A670" s="102"/>
      <c r="B670" s="33"/>
      <c r="C670" s="25"/>
      <c r="D670" s="26"/>
      <c r="E670" s="33"/>
      <c r="F670" s="25"/>
      <c r="G670" s="55"/>
      <c r="N670" s="37" t="str">
        <f t="shared" ca="1" si="34"/>
        <v/>
      </c>
      <c r="O670" s="37" t="str">
        <f t="shared" ca="1" si="35"/>
        <v/>
      </c>
    </row>
    <row r="671" spans="1:15" x14ac:dyDescent="0.25">
      <c r="A671" s="102"/>
      <c r="B671" s="33"/>
      <c r="C671" s="25"/>
      <c r="D671" s="26"/>
      <c r="E671" s="33"/>
      <c r="F671" s="25"/>
      <c r="G671" s="55"/>
      <c r="N671" s="37" t="str">
        <f t="shared" ca="1" si="34"/>
        <v/>
      </c>
      <c r="O671" s="37" t="str">
        <f t="shared" ca="1" si="35"/>
        <v/>
      </c>
    </row>
    <row r="672" spans="1:15" x14ac:dyDescent="0.25">
      <c r="A672" s="102"/>
      <c r="B672" s="33"/>
      <c r="C672" s="25"/>
      <c r="D672" s="26"/>
      <c r="E672" s="33"/>
      <c r="F672" s="25"/>
      <c r="G672" s="55"/>
      <c r="N672" s="37" t="str">
        <f t="shared" ca="1" si="34"/>
        <v/>
      </c>
      <c r="O672" s="37" t="str">
        <f t="shared" ca="1" si="35"/>
        <v/>
      </c>
    </row>
    <row r="673" spans="1:15" x14ac:dyDescent="0.25">
      <c r="A673" s="102"/>
      <c r="B673" s="33"/>
      <c r="C673" s="25"/>
      <c r="D673" s="26"/>
      <c r="E673" s="33"/>
      <c r="F673" s="25"/>
      <c r="G673" s="55"/>
      <c r="N673" s="37" t="str">
        <f t="shared" ca="1" si="34"/>
        <v/>
      </c>
      <c r="O673" s="37" t="str">
        <f t="shared" ca="1" si="35"/>
        <v/>
      </c>
    </row>
    <row r="674" spans="1:15" x14ac:dyDescent="0.25">
      <c r="A674" s="102"/>
      <c r="B674" s="33"/>
      <c r="C674" s="25"/>
      <c r="D674" s="26"/>
      <c r="E674" s="33"/>
      <c r="F674" s="25"/>
      <c r="G674" s="55"/>
      <c r="N674" s="37" t="str">
        <f t="shared" ca="1" si="34"/>
        <v/>
      </c>
      <c r="O674" s="37" t="str">
        <f t="shared" ca="1" si="35"/>
        <v/>
      </c>
    </row>
    <row r="675" spans="1:15" x14ac:dyDescent="0.25">
      <c r="A675" s="102"/>
      <c r="B675" s="33"/>
      <c r="C675" s="25"/>
      <c r="D675" s="26"/>
      <c r="E675" s="33"/>
      <c r="F675" s="25"/>
      <c r="G675" s="55"/>
      <c r="N675" s="37" t="str">
        <f t="shared" ca="1" si="34"/>
        <v/>
      </c>
      <c r="O675" s="37" t="str">
        <f t="shared" ca="1" si="35"/>
        <v/>
      </c>
    </row>
    <row r="676" spans="1:15" x14ac:dyDescent="0.25">
      <c r="A676" s="102"/>
      <c r="B676" s="33"/>
      <c r="C676" s="25"/>
      <c r="D676" s="26"/>
      <c r="E676" s="33"/>
      <c r="F676" s="25"/>
      <c r="G676" s="55"/>
      <c r="N676" s="37" t="str">
        <f t="shared" ca="1" si="34"/>
        <v/>
      </c>
      <c r="O676" s="37" t="str">
        <f t="shared" ca="1" si="35"/>
        <v/>
      </c>
    </row>
    <row r="677" spans="1:15" x14ac:dyDescent="0.25">
      <c r="A677" s="102"/>
      <c r="B677" s="33"/>
      <c r="C677" s="25"/>
      <c r="D677" s="26"/>
      <c r="E677" s="33"/>
      <c r="F677" s="25"/>
      <c r="G677" s="55"/>
      <c r="N677" s="37" t="str">
        <f t="shared" ca="1" si="34"/>
        <v/>
      </c>
      <c r="O677" s="37" t="str">
        <f t="shared" ca="1" si="35"/>
        <v/>
      </c>
    </row>
    <row r="678" spans="1:15" x14ac:dyDescent="0.25">
      <c r="A678" s="102"/>
      <c r="B678" s="33"/>
      <c r="C678" s="25"/>
      <c r="D678" s="26"/>
      <c r="E678" s="33"/>
      <c r="F678" s="25"/>
      <c r="G678" s="55"/>
      <c r="N678" s="37" t="str">
        <f t="shared" ca="1" si="34"/>
        <v/>
      </c>
      <c r="O678" s="37" t="str">
        <f t="shared" ca="1" si="35"/>
        <v/>
      </c>
    </row>
    <row r="679" spans="1:15" x14ac:dyDescent="0.25">
      <c r="A679" s="102"/>
      <c r="B679" s="33"/>
      <c r="C679" s="25"/>
      <c r="D679" s="26"/>
      <c r="E679" s="33"/>
      <c r="F679" s="25"/>
      <c r="G679" s="55"/>
      <c r="N679" s="37" t="str">
        <f t="shared" ca="1" si="34"/>
        <v/>
      </c>
      <c r="O679" s="37" t="str">
        <f t="shared" ca="1" si="35"/>
        <v/>
      </c>
    </row>
    <row r="680" spans="1:15" x14ac:dyDescent="0.25">
      <c r="A680" s="102"/>
      <c r="B680" s="33"/>
      <c r="C680" s="25"/>
      <c r="D680" s="26"/>
      <c r="E680" s="33"/>
      <c r="F680" s="25"/>
      <c r="G680" s="55"/>
      <c r="N680" s="37" t="str">
        <f t="shared" ca="1" si="34"/>
        <v/>
      </c>
      <c r="O680" s="37" t="str">
        <f t="shared" ca="1" si="35"/>
        <v/>
      </c>
    </row>
    <row r="681" spans="1:15" x14ac:dyDescent="0.25">
      <c r="A681" s="102"/>
      <c r="B681" s="33"/>
      <c r="C681" s="25"/>
      <c r="D681" s="26"/>
      <c r="E681" s="33"/>
      <c r="F681" s="25"/>
      <c r="G681" s="55"/>
      <c r="N681" s="37" t="str">
        <f t="shared" ca="1" si="34"/>
        <v/>
      </c>
      <c r="O681" s="37" t="str">
        <f t="shared" ca="1" si="35"/>
        <v/>
      </c>
    </row>
    <row r="682" spans="1:15" x14ac:dyDescent="0.25">
      <c r="A682" s="102"/>
      <c r="B682" s="33"/>
      <c r="C682" s="25"/>
      <c r="D682" s="26"/>
      <c r="E682" s="33"/>
      <c r="F682" s="25"/>
      <c r="G682" s="55"/>
      <c r="N682" s="37" t="str">
        <f t="shared" ca="1" si="34"/>
        <v/>
      </c>
      <c r="O682" s="37" t="str">
        <f t="shared" ca="1" si="35"/>
        <v/>
      </c>
    </row>
    <row r="683" spans="1:15" x14ac:dyDescent="0.25">
      <c r="A683" s="102"/>
      <c r="B683" s="33"/>
      <c r="C683" s="25"/>
      <c r="D683" s="26"/>
      <c r="E683" s="33"/>
      <c r="F683" s="25"/>
      <c r="G683" s="55"/>
      <c r="N683" s="37" t="str">
        <f t="shared" ca="1" si="34"/>
        <v/>
      </c>
      <c r="O683" s="37" t="str">
        <f t="shared" ca="1" si="35"/>
        <v/>
      </c>
    </row>
    <row r="684" spans="1:15" x14ac:dyDescent="0.25">
      <c r="A684" s="102"/>
      <c r="B684" s="33"/>
      <c r="C684" s="25"/>
      <c r="D684" s="26"/>
      <c r="E684" s="33"/>
      <c r="F684" s="25"/>
      <c r="G684" s="55"/>
      <c r="N684" s="37" t="str">
        <f t="shared" ca="1" si="34"/>
        <v/>
      </c>
      <c r="O684" s="37" t="str">
        <f t="shared" ca="1" si="35"/>
        <v/>
      </c>
    </row>
    <row r="685" spans="1:15" x14ac:dyDescent="0.25">
      <c r="A685" s="102"/>
      <c r="B685" s="33"/>
      <c r="C685" s="25"/>
      <c r="D685" s="26"/>
      <c r="E685" s="33"/>
      <c r="F685" s="25"/>
      <c r="G685" s="55"/>
      <c r="N685" s="37" t="str">
        <f t="shared" ca="1" si="34"/>
        <v/>
      </c>
      <c r="O685" s="37" t="str">
        <f t="shared" ca="1" si="35"/>
        <v/>
      </c>
    </row>
    <row r="686" spans="1:15" x14ac:dyDescent="0.25">
      <c r="A686" s="102"/>
      <c r="B686" s="33"/>
      <c r="C686" s="25"/>
      <c r="D686" s="26"/>
      <c r="E686" s="33"/>
      <c r="F686" s="25"/>
      <c r="G686" s="55"/>
      <c r="N686" s="37" t="str">
        <f t="shared" ca="1" si="34"/>
        <v/>
      </c>
      <c r="O686" s="37" t="str">
        <f t="shared" ca="1" si="35"/>
        <v/>
      </c>
    </row>
    <row r="687" spans="1:15" x14ac:dyDescent="0.25">
      <c r="A687" s="102"/>
      <c r="B687" s="33"/>
      <c r="C687" s="25"/>
      <c r="D687" s="26"/>
      <c r="E687" s="33"/>
      <c r="F687" s="25"/>
      <c r="G687" s="55"/>
      <c r="N687" s="37" t="str">
        <f t="shared" ca="1" si="34"/>
        <v/>
      </c>
      <c r="O687" s="37" t="str">
        <f t="shared" ca="1" si="35"/>
        <v/>
      </c>
    </row>
    <row r="688" spans="1:15" x14ac:dyDescent="0.25">
      <c r="A688" s="102"/>
      <c r="B688" s="33"/>
      <c r="C688" s="25"/>
      <c r="D688" s="26"/>
      <c r="E688" s="33"/>
      <c r="F688" s="25"/>
      <c r="G688" s="55"/>
      <c r="N688" s="37" t="str">
        <f t="shared" ca="1" si="34"/>
        <v/>
      </c>
      <c r="O688" s="37" t="str">
        <f t="shared" ca="1" si="35"/>
        <v/>
      </c>
    </row>
    <row r="689" spans="1:15" x14ac:dyDescent="0.25">
      <c r="A689" s="102"/>
      <c r="B689" s="33"/>
      <c r="C689" s="25"/>
      <c r="D689" s="26"/>
      <c r="E689" s="33"/>
      <c r="F689" s="25"/>
      <c r="G689" s="55"/>
      <c r="N689" s="37" t="str">
        <f t="shared" ca="1" si="34"/>
        <v/>
      </c>
      <c r="O689" s="37" t="str">
        <f t="shared" ca="1" si="35"/>
        <v/>
      </c>
    </row>
    <row r="690" spans="1:15" x14ac:dyDescent="0.25">
      <c r="A690" s="102"/>
      <c r="B690" s="33"/>
      <c r="C690" s="25"/>
      <c r="D690" s="26"/>
      <c r="E690" s="33"/>
      <c r="F690" s="25"/>
      <c r="G690" s="55"/>
      <c r="N690" s="37" t="str">
        <f t="shared" ca="1" si="34"/>
        <v/>
      </c>
      <c r="O690" s="37" t="str">
        <f t="shared" ca="1" si="35"/>
        <v/>
      </c>
    </row>
    <row r="691" spans="1:15" x14ac:dyDescent="0.25">
      <c r="A691" s="102"/>
      <c r="B691" s="33"/>
      <c r="C691" s="25"/>
      <c r="D691" s="26"/>
      <c r="E691" s="33"/>
      <c r="F691" s="25"/>
      <c r="G691" s="55"/>
      <c r="N691" s="37" t="str">
        <f t="shared" ca="1" si="34"/>
        <v/>
      </c>
      <c r="O691" s="37" t="str">
        <f t="shared" ca="1" si="35"/>
        <v/>
      </c>
    </row>
    <row r="692" spans="1:15" x14ac:dyDescent="0.25">
      <c r="A692" s="102"/>
      <c r="B692" s="33"/>
      <c r="C692" s="25"/>
      <c r="D692" s="26"/>
      <c r="E692" s="33"/>
      <c r="F692" s="25"/>
      <c r="G692" s="55"/>
      <c r="N692" s="37" t="str">
        <f t="shared" ca="1" si="34"/>
        <v/>
      </c>
      <c r="O692" s="37" t="str">
        <f t="shared" ca="1" si="35"/>
        <v/>
      </c>
    </row>
    <row r="693" spans="1:15" x14ac:dyDescent="0.25">
      <c r="A693" s="102"/>
      <c r="B693" s="33"/>
      <c r="C693" s="25"/>
      <c r="D693" s="26"/>
      <c r="E693" s="33"/>
      <c r="F693" s="25"/>
      <c r="G693" s="55"/>
      <c r="N693" s="37" t="str">
        <f t="shared" ca="1" si="34"/>
        <v/>
      </c>
      <c r="O693" s="37" t="str">
        <f t="shared" ca="1" si="35"/>
        <v/>
      </c>
    </row>
    <row r="694" spans="1:15" x14ac:dyDescent="0.25">
      <c r="A694" s="102"/>
      <c r="B694" s="33"/>
      <c r="C694" s="25"/>
      <c r="D694" s="26"/>
      <c r="E694" s="33"/>
      <c r="F694" s="25"/>
      <c r="G694" s="55"/>
      <c r="N694" s="37" t="str">
        <f t="shared" ca="1" si="34"/>
        <v/>
      </c>
      <c r="O694" s="37" t="str">
        <f t="shared" ca="1" si="35"/>
        <v/>
      </c>
    </row>
    <row r="695" spans="1:15" x14ac:dyDescent="0.25">
      <c r="A695" s="102"/>
      <c r="B695" s="33"/>
      <c r="C695" s="25"/>
      <c r="D695" s="26"/>
      <c r="E695" s="33"/>
      <c r="F695" s="25"/>
      <c r="G695" s="55"/>
      <c r="N695" s="37" t="str">
        <f t="shared" ca="1" si="34"/>
        <v/>
      </c>
      <c r="O695" s="37" t="str">
        <f t="shared" ca="1" si="35"/>
        <v/>
      </c>
    </row>
    <row r="696" spans="1:15" x14ac:dyDescent="0.25">
      <c r="A696" s="102"/>
      <c r="B696" s="33"/>
      <c r="C696" s="25"/>
      <c r="D696" s="26"/>
      <c r="E696" s="33"/>
      <c r="F696" s="25"/>
      <c r="G696" s="55"/>
      <c r="N696" s="37" t="str">
        <f t="shared" ca="1" si="34"/>
        <v/>
      </c>
      <c r="O696" s="37" t="str">
        <f t="shared" ca="1" si="35"/>
        <v/>
      </c>
    </row>
    <row r="697" spans="1:15" x14ac:dyDescent="0.25">
      <c r="A697" s="102"/>
      <c r="B697" s="33"/>
      <c r="C697" s="25"/>
      <c r="D697" s="26"/>
      <c r="E697" s="33"/>
      <c r="F697" s="25"/>
      <c r="G697" s="55"/>
      <c r="N697" s="37" t="str">
        <f t="shared" ca="1" si="34"/>
        <v/>
      </c>
      <c r="O697" s="37" t="str">
        <f t="shared" ca="1" si="35"/>
        <v/>
      </c>
    </row>
    <row r="698" spans="1:15" x14ac:dyDescent="0.25">
      <c r="A698" s="102"/>
      <c r="B698" s="33"/>
      <c r="C698" s="25"/>
      <c r="D698" s="26"/>
      <c r="E698" s="33"/>
      <c r="F698" s="25"/>
      <c r="G698" s="55"/>
      <c r="N698" s="37" t="str">
        <f t="shared" ca="1" si="34"/>
        <v/>
      </c>
      <c r="O698" s="37" t="str">
        <f t="shared" ca="1" si="35"/>
        <v/>
      </c>
    </row>
    <row r="699" spans="1:15" x14ac:dyDescent="0.25">
      <c r="A699" s="102"/>
      <c r="B699" s="33"/>
      <c r="C699" s="25"/>
      <c r="D699" s="26"/>
      <c r="E699" s="33"/>
      <c r="F699" s="25"/>
      <c r="G699" s="55"/>
      <c r="N699" s="37" t="str">
        <f t="shared" ca="1" si="34"/>
        <v/>
      </c>
      <c r="O699" s="37" t="str">
        <f t="shared" ca="1" si="35"/>
        <v/>
      </c>
    </row>
    <row r="700" spans="1:15" x14ac:dyDescent="0.25">
      <c r="A700" s="102"/>
      <c r="B700" s="33"/>
      <c r="C700" s="25"/>
      <c r="D700" s="26"/>
      <c r="E700" s="33"/>
      <c r="F700" s="25"/>
      <c r="G700" s="55"/>
      <c r="N700" s="37" t="str">
        <f t="shared" ca="1" si="34"/>
        <v/>
      </c>
      <c r="O700" s="37" t="str">
        <f t="shared" ca="1" si="35"/>
        <v/>
      </c>
    </row>
    <row r="701" spans="1:15" x14ac:dyDescent="0.25">
      <c r="A701" s="102"/>
      <c r="B701" s="33"/>
      <c r="C701" s="25"/>
      <c r="D701" s="26"/>
      <c r="E701" s="33"/>
      <c r="F701" s="25"/>
      <c r="G701" s="55"/>
      <c r="N701" s="37" t="str">
        <f t="shared" ca="1" si="34"/>
        <v/>
      </c>
      <c r="O701" s="37" t="str">
        <f t="shared" ca="1" si="35"/>
        <v/>
      </c>
    </row>
    <row r="702" spans="1:15" x14ac:dyDescent="0.25">
      <c r="A702" s="102"/>
      <c r="B702" s="33"/>
      <c r="C702" s="25"/>
      <c r="D702" s="26"/>
      <c r="E702" s="33"/>
      <c r="F702" s="25"/>
      <c r="G702" s="55"/>
      <c r="N702" s="37" t="str">
        <f t="shared" ca="1" si="34"/>
        <v/>
      </c>
      <c r="O702" s="37" t="str">
        <f t="shared" ca="1" si="35"/>
        <v/>
      </c>
    </row>
    <row r="703" spans="1:15" x14ac:dyDescent="0.25">
      <c r="A703" s="102"/>
      <c r="B703" s="33"/>
      <c r="C703" s="25"/>
      <c r="D703" s="26"/>
      <c r="E703" s="33"/>
      <c r="F703" s="25"/>
      <c r="G703" s="55"/>
      <c r="N703" s="37" t="str">
        <f t="shared" ca="1" si="34"/>
        <v/>
      </c>
      <c r="O703" s="37" t="str">
        <f t="shared" ca="1" si="35"/>
        <v/>
      </c>
    </row>
    <row r="704" spans="1:15" x14ac:dyDescent="0.25">
      <c r="A704" s="102"/>
      <c r="B704" s="33"/>
      <c r="C704" s="25"/>
      <c r="D704" s="26"/>
      <c r="E704" s="33"/>
      <c r="F704" s="25"/>
      <c r="G704" s="55"/>
      <c r="N704" s="37" t="str">
        <f t="shared" ca="1" si="34"/>
        <v/>
      </c>
      <c r="O704" s="37" t="str">
        <f t="shared" ca="1" si="35"/>
        <v/>
      </c>
    </row>
    <row r="705" spans="1:15" x14ac:dyDescent="0.25">
      <c r="A705" s="102"/>
      <c r="B705" s="33"/>
      <c r="C705" s="25"/>
      <c r="D705" s="26"/>
      <c r="E705" s="33"/>
      <c r="F705" s="25"/>
      <c r="G705" s="55"/>
      <c r="N705" s="37" t="str">
        <f t="shared" ca="1" si="34"/>
        <v/>
      </c>
      <c r="O705" s="37" t="str">
        <f t="shared" ca="1" si="35"/>
        <v/>
      </c>
    </row>
    <row r="706" spans="1:15" x14ac:dyDescent="0.25">
      <c r="A706" s="102"/>
      <c r="B706" s="33"/>
      <c r="C706" s="25"/>
      <c r="D706" s="26"/>
      <c r="E706" s="33"/>
      <c r="F706" s="25"/>
      <c r="G706" s="55"/>
      <c r="N706" s="37" t="str">
        <f t="shared" ca="1" si="34"/>
        <v/>
      </c>
      <c r="O706" s="37" t="str">
        <f t="shared" ca="1" si="35"/>
        <v/>
      </c>
    </row>
    <row r="707" spans="1:15" x14ac:dyDescent="0.25">
      <c r="A707" s="102"/>
      <c r="B707" s="33"/>
      <c r="C707" s="25"/>
      <c r="D707" s="26"/>
      <c r="E707" s="33"/>
      <c r="F707" s="25"/>
      <c r="G707" s="55"/>
      <c r="N707" s="37" t="str">
        <f t="shared" ca="1" si="34"/>
        <v/>
      </c>
      <c r="O707" s="37" t="str">
        <f t="shared" ca="1" si="35"/>
        <v/>
      </c>
    </row>
    <row r="708" spans="1:15" x14ac:dyDescent="0.25">
      <c r="A708" s="102"/>
      <c r="B708" s="33"/>
      <c r="C708" s="25"/>
      <c r="D708" s="26"/>
      <c r="E708" s="33"/>
      <c r="F708" s="25"/>
      <c r="G708" s="55"/>
      <c r="N708" s="37" t="str">
        <f t="shared" ref="N708:N771" ca="1" si="36">IF(COUNTIF(L:L,J708),J708,"")</f>
        <v/>
      </c>
      <c r="O708" s="37" t="str">
        <f t="shared" ref="O708:O771" ca="1" si="37">IF(N708&gt;$A$14,N708,"")</f>
        <v/>
      </c>
    </row>
    <row r="709" spans="1:15" x14ac:dyDescent="0.25">
      <c r="A709" s="102"/>
      <c r="B709" s="33"/>
      <c r="C709" s="25"/>
      <c r="D709" s="26"/>
      <c r="E709" s="33"/>
      <c r="F709" s="25"/>
      <c r="G709" s="55"/>
      <c r="N709" s="37" t="str">
        <f t="shared" ca="1" si="36"/>
        <v/>
      </c>
      <c r="O709" s="37" t="str">
        <f t="shared" ca="1" si="37"/>
        <v/>
      </c>
    </row>
    <row r="710" spans="1:15" x14ac:dyDescent="0.25">
      <c r="A710" s="102"/>
      <c r="B710" s="33"/>
      <c r="C710" s="25"/>
      <c r="D710" s="26"/>
      <c r="E710" s="33"/>
      <c r="F710" s="25"/>
      <c r="G710" s="55"/>
      <c r="N710" s="37" t="str">
        <f t="shared" ca="1" si="36"/>
        <v/>
      </c>
      <c r="O710" s="37" t="str">
        <f t="shared" ca="1" si="37"/>
        <v/>
      </c>
    </row>
    <row r="711" spans="1:15" x14ac:dyDescent="0.25">
      <c r="A711" s="102"/>
      <c r="B711" s="33"/>
      <c r="C711" s="25"/>
      <c r="D711" s="26"/>
      <c r="E711" s="33"/>
      <c r="F711" s="25"/>
      <c r="G711" s="55"/>
      <c r="N711" s="37" t="str">
        <f t="shared" ca="1" si="36"/>
        <v/>
      </c>
      <c r="O711" s="37" t="str">
        <f t="shared" ca="1" si="37"/>
        <v/>
      </c>
    </row>
    <row r="712" spans="1:15" x14ac:dyDescent="0.25">
      <c r="A712" s="102"/>
      <c r="B712" s="33"/>
      <c r="C712" s="25"/>
      <c r="D712" s="26"/>
      <c r="E712" s="33"/>
      <c r="F712" s="25"/>
      <c r="G712" s="55"/>
      <c r="N712" s="37" t="str">
        <f t="shared" ca="1" si="36"/>
        <v/>
      </c>
      <c r="O712" s="37" t="str">
        <f t="shared" ca="1" si="37"/>
        <v/>
      </c>
    </row>
    <row r="713" spans="1:15" x14ac:dyDescent="0.25">
      <c r="A713" s="102"/>
      <c r="B713" s="33"/>
      <c r="C713" s="25"/>
      <c r="D713" s="26"/>
      <c r="E713" s="33"/>
      <c r="F713" s="25"/>
      <c r="G713" s="55"/>
      <c r="N713" s="37" t="str">
        <f t="shared" ca="1" si="36"/>
        <v/>
      </c>
      <c r="O713" s="37" t="str">
        <f t="shared" ca="1" si="37"/>
        <v/>
      </c>
    </row>
    <row r="714" spans="1:15" x14ac:dyDescent="0.25">
      <c r="A714" s="102"/>
      <c r="B714" s="33"/>
      <c r="C714" s="25"/>
      <c r="D714" s="26"/>
      <c r="E714" s="33"/>
      <c r="F714" s="25"/>
      <c r="G714" s="55"/>
      <c r="N714" s="37" t="str">
        <f t="shared" ca="1" si="36"/>
        <v/>
      </c>
      <c r="O714" s="37" t="str">
        <f t="shared" ca="1" si="37"/>
        <v/>
      </c>
    </row>
    <row r="715" spans="1:15" x14ac:dyDescent="0.25">
      <c r="A715" s="102"/>
      <c r="B715" s="33"/>
      <c r="C715" s="25"/>
      <c r="D715" s="26"/>
      <c r="E715" s="33"/>
      <c r="F715" s="25"/>
      <c r="G715" s="55"/>
      <c r="N715" s="37" t="str">
        <f t="shared" ca="1" si="36"/>
        <v/>
      </c>
      <c r="O715" s="37" t="str">
        <f t="shared" ca="1" si="37"/>
        <v/>
      </c>
    </row>
    <row r="716" spans="1:15" x14ac:dyDescent="0.25">
      <c r="A716" s="102"/>
      <c r="B716" s="33"/>
      <c r="C716" s="25"/>
      <c r="D716" s="26"/>
      <c r="E716" s="33"/>
      <c r="F716" s="25"/>
      <c r="G716" s="55"/>
      <c r="N716" s="37" t="str">
        <f t="shared" ca="1" si="36"/>
        <v/>
      </c>
      <c r="O716" s="37" t="str">
        <f t="shared" ca="1" si="37"/>
        <v/>
      </c>
    </row>
    <row r="717" spans="1:15" x14ac:dyDescent="0.25">
      <c r="A717" s="102"/>
      <c r="B717" s="33"/>
      <c r="C717" s="25"/>
      <c r="D717" s="26"/>
      <c r="E717" s="33"/>
      <c r="F717" s="25"/>
      <c r="G717" s="55"/>
      <c r="N717" s="37" t="str">
        <f t="shared" ca="1" si="36"/>
        <v/>
      </c>
      <c r="O717" s="37" t="str">
        <f t="shared" ca="1" si="37"/>
        <v/>
      </c>
    </row>
    <row r="718" spans="1:15" x14ac:dyDescent="0.25">
      <c r="A718" s="102"/>
      <c r="B718" s="33"/>
      <c r="C718" s="25"/>
      <c r="D718" s="26"/>
      <c r="E718" s="33"/>
      <c r="F718" s="25"/>
      <c r="G718" s="55"/>
      <c r="N718" s="37" t="str">
        <f t="shared" ca="1" si="36"/>
        <v/>
      </c>
      <c r="O718" s="37" t="str">
        <f t="shared" ca="1" si="37"/>
        <v/>
      </c>
    </row>
    <row r="719" spans="1:15" x14ac:dyDescent="0.25">
      <c r="A719" s="102"/>
      <c r="B719" s="33"/>
      <c r="C719" s="25"/>
      <c r="D719" s="26"/>
      <c r="E719" s="33"/>
      <c r="F719" s="25"/>
      <c r="G719" s="55"/>
      <c r="N719" s="37" t="str">
        <f t="shared" ca="1" si="36"/>
        <v/>
      </c>
      <c r="O719" s="37" t="str">
        <f t="shared" ca="1" si="37"/>
        <v/>
      </c>
    </row>
    <row r="720" spans="1:15" x14ac:dyDescent="0.25">
      <c r="A720" s="102"/>
      <c r="B720" s="33"/>
      <c r="C720" s="25"/>
      <c r="D720" s="26"/>
      <c r="E720" s="33"/>
      <c r="F720" s="25"/>
      <c r="G720" s="55"/>
      <c r="N720" s="37" t="str">
        <f t="shared" ca="1" si="36"/>
        <v/>
      </c>
      <c r="O720" s="37" t="str">
        <f t="shared" ca="1" si="37"/>
        <v/>
      </c>
    </row>
    <row r="721" spans="1:15" x14ac:dyDescent="0.25">
      <c r="A721" s="102"/>
      <c r="B721" s="33"/>
      <c r="C721" s="25"/>
      <c r="D721" s="26"/>
      <c r="E721" s="33"/>
      <c r="F721" s="25"/>
      <c r="G721" s="55"/>
      <c r="N721" s="37" t="str">
        <f t="shared" ca="1" si="36"/>
        <v/>
      </c>
      <c r="O721" s="37" t="str">
        <f t="shared" ca="1" si="37"/>
        <v/>
      </c>
    </row>
    <row r="722" spans="1:15" x14ac:dyDescent="0.25">
      <c r="A722" s="102"/>
      <c r="B722" s="33"/>
      <c r="C722" s="25"/>
      <c r="D722" s="26"/>
      <c r="E722" s="33"/>
      <c r="F722" s="25"/>
      <c r="G722" s="55"/>
      <c r="N722" s="37" t="str">
        <f t="shared" ca="1" si="36"/>
        <v/>
      </c>
      <c r="O722" s="37" t="str">
        <f t="shared" ca="1" si="37"/>
        <v/>
      </c>
    </row>
    <row r="723" spans="1:15" x14ac:dyDescent="0.25">
      <c r="A723" s="102"/>
      <c r="B723" s="33"/>
      <c r="C723" s="25"/>
      <c r="D723" s="26"/>
      <c r="E723" s="33"/>
      <c r="F723" s="25"/>
      <c r="G723" s="55"/>
      <c r="N723" s="37" t="str">
        <f t="shared" ca="1" si="36"/>
        <v/>
      </c>
      <c r="O723" s="37" t="str">
        <f t="shared" ca="1" si="37"/>
        <v/>
      </c>
    </row>
    <row r="724" spans="1:15" x14ac:dyDescent="0.25">
      <c r="A724" s="102"/>
      <c r="B724" s="33"/>
      <c r="C724" s="25"/>
      <c r="D724" s="26"/>
      <c r="E724" s="33"/>
      <c r="F724" s="25"/>
      <c r="G724" s="55"/>
      <c r="N724" s="37" t="str">
        <f t="shared" ca="1" si="36"/>
        <v/>
      </c>
      <c r="O724" s="37" t="str">
        <f t="shared" ca="1" si="37"/>
        <v/>
      </c>
    </row>
    <row r="725" spans="1:15" x14ac:dyDescent="0.25">
      <c r="A725" s="102"/>
      <c r="B725" s="33"/>
      <c r="C725" s="25"/>
      <c r="D725" s="26"/>
      <c r="E725" s="33"/>
      <c r="F725" s="25"/>
      <c r="G725" s="55"/>
      <c r="N725" s="37" t="str">
        <f t="shared" ca="1" si="36"/>
        <v/>
      </c>
      <c r="O725" s="37" t="str">
        <f t="shared" ca="1" si="37"/>
        <v/>
      </c>
    </row>
    <row r="726" spans="1:15" x14ac:dyDescent="0.25">
      <c r="A726" s="102"/>
      <c r="B726" s="33"/>
      <c r="C726" s="25"/>
      <c r="D726" s="26"/>
      <c r="E726" s="33"/>
      <c r="F726" s="25"/>
      <c r="G726" s="55"/>
      <c r="N726" s="37" t="str">
        <f t="shared" ca="1" si="36"/>
        <v/>
      </c>
      <c r="O726" s="37" t="str">
        <f t="shared" ca="1" si="37"/>
        <v/>
      </c>
    </row>
    <row r="727" spans="1:15" x14ac:dyDescent="0.25">
      <c r="A727" s="102"/>
      <c r="B727" s="33"/>
      <c r="C727" s="25"/>
      <c r="D727" s="26"/>
      <c r="E727" s="33"/>
      <c r="F727" s="25"/>
      <c r="G727" s="55"/>
      <c r="N727" s="37" t="str">
        <f t="shared" ca="1" si="36"/>
        <v/>
      </c>
      <c r="O727" s="37" t="str">
        <f t="shared" ca="1" si="37"/>
        <v/>
      </c>
    </row>
    <row r="728" spans="1:15" x14ac:dyDescent="0.25">
      <c r="A728" s="102"/>
      <c r="B728" s="33"/>
      <c r="C728" s="25"/>
      <c r="D728" s="26"/>
      <c r="E728" s="33"/>
      <c r="F728" s="25"/>
      <c r="G728" s="55"/>
      <c r="N728" s="37" t="str">
        <f t="shared" ca="1" si="36"/>
        <v/>
      </c>
      <c r="O728" s="37" t="str">
        <f t="shared" ca="1" si="37"/>
        <v/>
      </c>
    </row>
    <row r="729" spans="1:15" x14ac:dyDescent="0.25">
      <c r="A729" s="102"/>
      <c r="B729" s="33"/>
      <c r="C729" s="25"/>
      <c r="D729" s="26"/>
      <c r="E729" s="33"/>
      <c r="F729" s="25"/>
      <c r="G729" s="55"/>
      <c r="N729" s="37" t="str">
        <f t="shared" ca="1" si="36"/>
        <v/>
      </c>
      <c r="O729" s="37" t="str">
        <f t="shared" ca="1" si="37"/>
        <v/>
      </c>
    </row>
    <row r="730" spans="1:15" x14ac:dyDescent="0.25">
      <c r="A730" s="102"/>
      <c r="B730" s="33"/>
      <c r="C730" s="25"/>
      <c r="D730" s="26"/>
      <c r="E730" s="33"/>
      <c r="F730" s="25"/>
      <c r="G730" s="55"/>
      <c r="N730" s="37" t="str">
        <f t="shared" ca="1" si="36"/>
        <v/>
      </c>
      <c r="O730" s="37" t="str">
        <f t="shared" ca="1" si="37"/>
        <v/>
      </c>
    </row>
    <row r="731" spans="1:15" x14ac:dyDescent="0.25">
      <c r="A731" s="102"/>
      <c r="B731" s="33"/>
      <c r="C731" s="25"/>
      <c r="D731" s="26"/>
      <c r="E731" s="33"/>
      <c r="F731" s="25"/>
      <c r="G731" s="55"/>
      <c r="N731" s="37" t="str">
        <f t="shared" ca="1" si="36"/>
        <v/>
      </c>
      <c r="O731" s="37" t="str">
        <f t="shared" ca="1" si="37"/>
        <v/>
      </c>
    </row>
    <row r="732" spans="1:15" x14ac:dyDescent="0.25">
      <c r="A732" s="102"/>
      <c r="B732" s="33"/>
      <c r="C732" s="25"/>
      <c r="D732" s="26"/>
      <c r="E732" s="33"/>
      <c r="F732" s="25"/>
      <c r="G732" s="55"/>
      <c r="N732" s="37" t="str">
        <f t="shared" ca="1" si="36"/>
        <v/>
      </c>
      <c r="O732" s="37" t="str">
        <f t="shared" ca="1" si="37"/>
        <v/>
      </c>
    </row>
    <row r="733" spans="1:15" x14ac:dyDescent="0.25">
      <c r="A733" s="102"/>
      <c r="B733" s="33"/>
      <c r="C733" s="25"/>
      <c r="D733" s="26"/>
      <c r="E733" s="33"/>
      <c r="F733" s="25"/>
      <c r="G733" s="55"/>
      <c r="N733" s="37" t="str">
        <f t="shared" ca="1" si="36"/>
        <v/>
      </c>
      <c r="O733" s="37" t="str">
        <f t="shared" ca="1" si="37"/>
        <v/>
      </c>
    </row>
    <row r="734" spans="1:15" x14ac:dyDescent="0.25">
      <c r="A734" s="102"/>
      <c r="B734" s="33"/>
      <c r="C734" s="25"/>
      <c r="D734" s="26"/>
      <c r="E734" s="33"/>
      <c r="F734" s="25"/>
      <c r="G734" s="55"/>
      <c r="N734" s="37" t="str">
        <f t="shared" ca="1" si="36"/>
        <v/>
      </c>
      <c r="O734" s="37" t="str">
        <f t="shared" ca="1" si="37"/>
        <v/>
      </c>
    </row>
    <row r="735" spans="1:15" x14ac:dyDescent="0.25">
      <c r="A735" s="102"/>
      <c r="B735" s="33"/>
      <c r="C735" s="25"/>
      <c r="D735" s="26"/>
      <c r="E735" s="33"/>
      <c r="F735" s="25"/>
      <c r="G735" s="55"/>
      <c r="N735" s="37" t="str">
        <f t="shared" ca="1" si="36"/>
        <v/>
      </c>
      <c r="O735" s="37" t="str">
        <f t="shared" ca="1" si="37"/>
        <v/>
      </c>
    </row>
    <row r="736" spans="1:15" x14ac:dyDescent="0.25">
      <c r="A736" s="102"/>
      <c r="B736" s="33"/>
      <c r="C736" s="25"/>
      <c r="D736" s="26"/>
      <c r="E736" s="33"/>
      <c r="F736" s="25"/>
      <c r="G736" s="55"/>
      <c r="N736" s="37" t="str">
        <f t="shared" ca="1" si="36"/>
        <v/>
      </c>
      <c r="O736" s="37" t="str">
        <f t="shared" ca="1" si="37"/>
        <v/>
      </c>
    </row>
    <row r="737" spans="1:15" x14ac:dyDescent="0.25">
      <c r="A737" s="102"/>
      <c r="B737" s="33"/>
      <c r="C737" s="25"/>
      <c r="D737" s="26"/>
      <c r="E737" s="33"/>
      <c r="F737" s="25"/>
      <c r="G737" s="55"/>
      <c r="N737" s="37" t="str">
        <f t="shared" ca="1" si="36"/>
        <v/>
      </c>
      <c r="O737" s="37" t="str">
        <f t="shared" ca="1" si="37"/>
        <v/>
      </c>
    </row>
    <row r="738" spans="1:15" x14ac:dyDescent="0.25">
      <c r="A738" s="102"/>
      <c r="B738" s="33"/>
      <c r="C738" s="25"/>
      <c r="D738" s="26"/>
      <c r="E738" s="33"/>
      <c r="F738" s="25"/>
      <c r="G738" s="55"/>
      <c r="N738" s="37" t="str">
        <f t="shared" ca="1" si="36"/>
        <v/>
      </c>
      <c r="O738" s="37" t="str">
        <f t="shared" ca="1" si="37"/>
        <v/>
      </c>
    </row>
    <row r="739" spans="1:15" x14ac:dyDescent="0.25">
      <c r="A739" s="102"/>
      <c r="B739" s="33"/>
      <c r="C739" s="25"/>
      <c r="D739" s="26"/>
      <c r="E739" s="33"/>
      <c r="F739" s="25"/>
      <c r="G739" s="55"/>
      <c r="N739" s="37" t="str">
        <f t="shared" ca="1" si="36"/>
        <v/>
      </c>
      <c r="O739" s="37" t="str">
        <f t="shared" ca="1" si="37"/>
        <v/>
      </c>
    </row>
    <row r="740" spans="1:15" x14ac:dyDescent="0.25">
      <c r="A740" s="102"/>
      <c r="B740" s="33"/>
      <c r="C740" s="25"/>
      <c r="D740" s="26"/>
      <c r="E740" s="33"/>
      <c r="F740" s="25"/>
      <c r="G740" s="55"/>
      <c r="N740" s="37" t="str">
        <f t="shared" ca="1" si="36"/>
        <v/>
      </c>
      <c r="O740" s="37" t="str">
        <f t="shared" ca="1" si="37"/>
        <v/>
      </c>
    </row>
    <row r="741" spans="1:15" x14ac:dyDescent="0.25">
      <c r="A741" s="102"/>
      <c r="B741" s="33"/>
      <c r="C741" s="25"/>
      <c r="D741" s="26"/>
      <c r="E741" s="33"/>
      <c r="F741" s="25"/>
      <c r="G741" s="55"/>
      <c r="N741" s="37" t="str">
        <f t="shared" ca="1" si="36"/>
        <v/>
      </c>
      <c r="O741" s="37" t="str">
        <f t="shared" ca="1" si="37"/>
        <v/>
      </c>
    </row>
    <row r="742" spans="1:15" x14ac:dyDescent="0.25">
      <c r="A742" s="102"/>
      <c r="B742" s="33"/>
      <c r="C742" s="25"/>
      <c r="D742" s="26"/>
      <c r="E742" s="33"/>
      <c r="F742" s="25"/>
      <c r="G742" s="55"/>
      <c r="N742" s="37" t="str">
        <f t="shared" ca="1" si="36"/>
        <v/>
      </c>
      <c r="O742" s="37" t="str">
        <f t="shared" ca="1" si="37"/>
        <v/>
      </c>
    </row>
    <row r="743" spans="1:15" x14ac:dyDescent="0.25">
      <c r="A743" s="102"/>
      <c r="B743" s="33"/>
      <c r="C743" s="25"/>
      <c r="D743" s="26"/>
      <c r="E743" s="33"/>
      <c r="F743" s="25"/>
      <c r="G743" s="55"/>
      <c r="N743" s="37" t="str">
        <f t="shared" ca="1" si="36"/>
        <v/>
      </c>
      <c r="O743" s="37" t="str">
        <f t="shared" ca="1" si="37"/>
        <v/>
      </c>
    </row>
    <row r="744" spans="1:15" x14ac:dyDescent="0.25">
      <c r="A744" s="102"/>
      <c r="B744" s="33"/>
      <c r="C744" s="25"/>
      <c r="D744" s="26"/>
      <c r="E744" s="33"/>
      <c r="F744" s="25"/>
      <c r="G744" s="55"/>
      <c r="N744" s="37" t="str">
        <f t="shared" ca="1" si="36"/>
        <v/>
      </c>
      <c r="O744" s="37" t="str">
        <f t="shared" ca="1" si="37"/>
        <v/>
      </c>
    </row>
    <row r="745" spans="1:15" x14ac:dyDescent="0.25">
      <c r="A745" s="102"/>
      <c r="B745" s="33"/>
      <c r="C745" s="25"/>
      <c r="D745" s="26"/>
      <c r="E745" s="33"/>
      <c r="F745" s="25"/>
      <c r="G745" s="55"/>
      <c r="N745" s="37" t="str">
        <f t="shared" ca="1" si="36"/>
        <v/>
      </c>
      <c r="O745" s="37" t="str">
        <f t="shared" ca="1" si="37"/>
        <v/>
      </c>
    </row>
    <row r="746" spans="1:15" x14ac:dyDescent="0.25">
      <c r="A746" s="102"/>
      <c r="B746" s="33"/>
      <c r="C746" s="25"/>
      <c r="D746" s="26"/>
      <c r="E746" s="33"/>
      <c r="F746" s="25"/>
      <c r="G746" s="55"/>
      <c r="N746" s="37" t="str">
        <f t="shared" ca="1" si="36"/>
        <v/>
      </c>
      <c r="O746" s="37" t="str">
        <f t="shared" ca="1" si="37"/>
        <v/>
      </c>
    </row>
    <row r="747" spans="1:15" x14ac:dyDescent="0.25">
      <c r="A747" s="102"/>
      <c r="B747" s="33"/>
      <c r="C747" s="25"/>
      <c r="D747" s="26"/>
      <c r="E747" s="33"/>
      <c r="F747" s="25"/>
      <c r="G747" s="55"/>
      <c r="N747" s="37" t="str">
        <f t="shared" ca="1" si="36"/>
        <v/>
      </c>
      <c r="O747" s="37" t="str">
        <f t="shared" ca="1" si="37"/>
        <v/>
      </c>
    </row>
    <row r="748" spans="1:15" x14ac:dyDescent="0.25">
      <c r="A748" s="102"/>
      <c r="B748" s="33"/>
      <c r="C748" s="25"/>
      <c r="D748" s="26"/>
      <c r="E748" s="33"/>
      <c r="F748" s="25"/>
      <c r="G748" s="55"/>
      <c r="N748" s="37" t="str">
        <f t="shared" ca="1" si="36"/>
        <v/>
      </c>
      <c r="O748" s="37" t="str">
        <f t="shared" ca="1" si="37"/>
        <v/>
      </c>
    </row>
    <row r="749" spans="1:15" x14ac:dyDescent="0.25">
      <c r="A749" s="102"/>
      <c r="B749" s="33"/>
      <c r="C749" s="25"/>
      <c r="D749" s="26"/>
      <c r="E749" s="33"/>
      <c r="F749" s="25"/>
      <c r="G749" s="55"/>
      <c r="N749" s="37" t="str">
        <f t="shared" ca="1" si="36"/>
        <v/>
      </c>
      <c r="O749" s="37" t="str">
        <f t="shared" ca="1" si="37"/>
        <v/>
      </c>
    </row>
    <row r="750" spans="1:15" x14ac:dyDescent="0.25">
      <c r="A750" s="102"/>
      <c r="B750" s="33"/>
      <c r="C750" s="25"/>
      <c r="D750" s="26"/>
      <c r="E750" s="33"/>
      <c r="F750" s="25"/>
      <c r="G750" s="55"/>
      <c r="N750" s="37" t="str">
        <f t="shared" ca="1" si="36"/>
        <v/>
      </c>
      <c r="O750" s="37" t="str">
        <f t="shared" ca="1" si="37"/>
        <v/>
      </c>
    </row>
    <row r="751" spans="1:15" x14ac:dyDescent="0.25">
      <c r="A751" s="102"/>
      <c r="B751" s="33"/>
      <c r="C751" s="25"/>
      <c r="D751" s="26"/>
      <c r="E751" s="33"/>
      <c r="F751" s="25"/>
      <c r="G751" s="55"/>
      <c r="N751" s="37" t="str">
        <f t="shared" ca="1" si="36"/>
        <v/>
      </c>
      <c r="O751" s="37" t="str">
        <f t="shared" ca="1" si="37"/>
        <v/>
      </c>
    </row>
    <row r="752" spans="1:15" x14ac:dyDescent="0.25">
      <c r="A752" s="102"/>
      <c r="B752" s="33"/>
      <c r="C752" s="25"/>
      <c r="D752" s="26"/>
      <c r="E752" s="33"/>
      <c r="F752" s="25"/>
      <c r="G752" s="55"/>
      <c r="N752" s="37" t="str">
        <f t="shared" ca="1" si="36"/>
        <v/>
      </c>
      <c r="O752" s="37" t="str">
        <f t="shared" ca="1" si="37"/>
        <v/>
      </c>
    </row>
    <row r="753" spans="1:15" x14ac:dyDescent="0.25">
      <c r="A753" s="102"/>
      <c r="B753" s="33"/>
      <c r="C753" s="25"/>
      <c r="D753" s="26"/>
      <c r="E753" s="33"/>
      <c r="F753" s="25"/>
      <c r="G753" s="55"/>
      <c r="N753" s="37" t="str">
        <f t="shared" ca="1" si="36"/>
        <v/>
      </c>
      <c r="O753" s="37" t="str">
        <f t="shared" ca="1" si="37"/>
        <v/>
      </c>
    </row>
    <row r="754" spans="1:15" x14ac:dyDescent="0.25">
      <c r="A754" s="102"/>
      <c r="B754" s="33"/>
      <c r="C754" s="25"/>
      <c r="D754" s="26"/>
      <c r="E754" s="33"/>
      <c r="F754" s="25"/>
      <c r="G754" s="55"/>
      <c r="N754" s="37" t="str">
        <f t="shared" ca="1" si="36"/>
        <v/>
      </c>
      <c r="O754" s="37" t="str">
        <f t="shared" ca="1" si="37"/>
        <v/>
      </c>
    </row>
    <row r="755" spans="1:15" x14ac:dyDescent="0.25">
      <c r="A755" s="102"/>
      <c r="B755" s="33"/>
      <c r="C755" s="25"/>
      <c r="D755" s="26"/>
      <c r="E755" s="33"/>
      <c r="F755" s="25"/>
      <c r="G755" s="55"/>
      <c r="N755" s="37" t="str">
        <f t="shared" ca="1" si="36"/>
        <v/>
      </c>
      <c r="O755" s="37" t="str">
        <f t="shared" ca="1" si="37"/>
        <v/>
      </c>
    </row>
    <row r="756" spans="1:15" x14ac:dyDescent="0.25">
      <c r="N756" s="37" t="str">
        <f t="shared" ca="1" si="36"/>
        <v/>
      </c>
      <c r="O756" s="37" t="str">
        <f t="shared" ca="1" si="37"/>
        <v/>
      </c>
    </row>
    <row r="757" spans="1:15" x14ac:dyDescent="0.25">
      <c r="N757" s="37" t="str">
        <f t="shared" ca="1" si="36"/>
        <v/>
      </c>
      <c r="O757" s="37" t="str">
        <f t="shared" ca="1" si="37"/>
        <v/>
      </c>
    </row>
    <row r="758" spans="1:15" x14ac:dyDescent="0.25">
      <c r="N758" s="37" t="str">
        <f t="shared" ca="1" si="36"/>
        <v/>
      </c>
      <c r="O758" s="37" t="str">
        <f t="shared" ca="1" si="37"/>
        <v/>
      </c>
    </row>
    <row r="759" spans="1:15" x14ac:dyDescent="0.25">
      <c r="N759" s="37" t="str">
        <f t="shared" ca="1" si="36"/>
        <v/>
      </c>
      <c r="O759" s="37" t="str">
        <f t="shared" ca="1" si="37"/>
        <v/>
      </c>
    </row>
    <row r="760" spans="1:15" x14ac:dyDescent="0.25">
      <c r="N760" s="37" t="str">
        <f t="shared" ca="1" si="36"/>
        <v/>
      </c>
      <c r="O760" s="37" t="str">
        <f t="shared" ca="1" si="37"/>
        <v/>
      </c>
    </row>
    <row r="761" spans="1:15" x14ac:dyDescent="0.25">
      <c r="N761" s="37" t="str">
        <f t="shared" ca="1" si="36"/>
        <v/>
      </c>
      <c r="O761" s="37" t="str">
        <f t="shared" ca="1" si="37"/>
        <v/>
      </c>
    </row>
    <row r="762" spans="1:15" x14ac:dyDescent="0.25">
      <c r="N762" s="37" t="str">
        <f t="shared" ca="1" si="36"/>
        <v/>
      </c>
      <c r="O762" s="37" t="str">
        <f t="shared" ca="1" si="37"/>
        <v/>
      </c>
    </row>
    <row r="763" spans="1:15" x14ac:dyDescent="0.25">
      <c r="N763" s="37" t="str">
        <f t="shared" ca="1" si="36"/>
        <v/>
      </c>
      <c r="O763" s="37" t="str">
        <f t="shared" ca="1" si="37"/>
        <v/>
      </c>
    </row>
    <row r="764" spans="1:15" x14ac:dyDescent="0.25">
      <c r="N764" s="37" t="str">
        <f t="shared" ca="1" si="36"/>
        <v/>
      </c>
      <c r="O764" s="37" t="str">
        <f t="shared" ca="1" si="37"/>
        <v/>
      </c>
    </row>
    <row r="765" spans="1:15" x14ac:dyDescent="0.25">
      <c r="N765" s="37" t="str">
        <f t="shared" ca="1" si="36"/>
        <v/>
      </c>
      <c r="O765" s="37" t="str">
        <f t="shared" ca="1" si="37"/>
        <v/>
      </c>
    </row>
    <row r="766" spans="1:15" x14ac:dyDescent="0.25">
      <c r="N766" s="37" t="str">
        <f t="shared" ca="1" si="36"/>
        <v/>
      </c>
      <c r="O766" s="37" t="str">
        <f t="shared" ca="1" si="37"/>
        <v/>
      </c>
    </row>
    <row r="767" spans="1:15" x14ac:dyDescent="0.25">
      <c r="N767" s="37" t="str">
        <f t="shared" ca="1" si="36"/>
        <v/>
      </c>
      <c r="O767" s="37" t="str">
        <f t="shared" ca="1" si="37"/>
        <v/>
      </c>
    </row>
    <row r="768" spans="1:15" x14ac:dyDescent="0.25">
      <c r="N768" s="37" t="str">
        <f t="shared" ca="1" si="36"/>
        <v/>
      </c>
      <c r="O768" s="37" t="str">
        <f t="shared" ca="1" si="37"/>
        <v/>
      </c>
    </row>
    <row r="769" spans="14:15" x14ac:dyDescent="0.25">
      <c r="N769" s="37" t="str">
        <f t="shared" ca="1" si="36"/>
        <v/>
      </c>
      <c r="O769" s="37" t="str">
        <f t="shared" ca="1" si="37"/>
        <v/>
      </c>
    </row>
    <row r="770" spans="14:15" x14ac:dyDescent="0.25">
      <c r="N770" s="37" t="str">
        <f t="shared" ca="1" si="36"/>
        <v/>
      </c>
      <c r="O770" s="37" t="str">
        <f t="shared" ca="1" si="37"/>
        <v/>
      </c>
    </row>
    <row r="771" spans="14:15" x14ac:dyDescent="0.25">
      <c r="N771" s="37" t="str">
        <f t="shared" ca="1" si="36"/>
        <v/>
      </c>
      <c r="O771" s="37" t="str">
        <f t="shared" ca="1" si="37"/>
        <v/>
      </c>
    </row>
    <row r="772" spans="14:15" x14ac:dyDescent="0.25">
      <c r="N772" s="37" t="str">
        <f t="shared" ref="N772:N835" ca="1" si="38">IF(COUNTIF(L:L,J772),J772,"")</f>
        <v/>
      </c>
      <c r="O772" s="37" t="str">
        <f t="shared" ref="O772:O835" ca="1" si="39">IF(N772&gt;$A$14,N772,"")</f>
        <v/>
      </c>
    </row>
    <row r="773" spans="14:15" x14ac:dyDescent="0.25">
      <c r="N773" s="37" t="str">
        <f t="shared" ca="1" si="38"/>
        <v/>
      </c>
      <c r="O773" s="37" t="str">
        <f t="shared" ca="1" si="39"/>
        <v/>
      </c>
    </row>
    <row r="774" spans="14:15" x14ac:dyDescent="0.25">
      <c r="N774" s="37" t="str">
        <f t="shared" ca="1" si="38"/>
        <v/>
      </c>
      <c r="O774" s="37" t="str">
        <f t="shared" ca="1" si="39"/>
        <v/>
      </c>
    </row>
    <row r="775" spans="14:15" x14ac:dyDescent="0.25">
      <c r="N775" s="37" t="str">
        <f t="shared" ca="1" si="38"/>
        <v/>
      </c>
      <c r="O775" s="37" t="str">
        <f t="shared" ca="1" si="39"/>
        <v/>
      </c>
    </row>
    <row r="776" spans="14:15" x14ac:dyDescent="0.25">
      <c r="N776" s="37" t="str">
        <f t="shared" ca="1" si="38"/>
        <v/>
      </c>
      <c r="O776" s="37" t="str">
        <f t="shared" ca="1" si="39"/>
        <v/>
      </c>
    </row>
    <row r="777" spans="14:15" x14ac:dyDescent="0.25">
      <c r="N777" s="37" t="str">
        <f t="shared" ca="1" si="38"/>
        <v/>
      </c>
      <c r="O777" s="37" t="str">
        <f t="shared" ca="1" si="39"/>
        <v/>
      </c>
    </row>
    <row r="778" spans="14:15" x14ac:dyDescent="0.25">
      <c r="N778" s="37" t="str">
        <f t="shared" ca="1" si="38"/>
        <v/>
      </c>
      <c r="O778" s="37" t="str">
        <f t="shared" ca="1" si="39"/>
        <v/>
      </c>
    </row>
    <row r="779" spans="14:15" x14ac:dyDescent="0.25">
      <c r="N779" s="37" t="str">
        <f t="shared" ca="1" si="38"/>
        <v/>
      </c>
      <c r="O779" s="37" t="str">
        <f t="shared" ca="1" si="39"/>
        <v/>
      </c>
    </row>
    <row r="780" spans="14:15" x14ac:dyDescent="0.25">
      <c r="N780" s="37" t="str">
        <f t="shared" ca="1" si="38"/>
        <v/>
      </c>
      <c r="O780" s="37" t="str">
        <f t="shared" ca="1" si="39"/>
        <v/>
      </c>
    </row>
    <row r="781" spans="14:15" x14ac:dyDescent="0.25">
      <c r="N781" s="37" t="str">
        <f t="shared" ca="1" si="38"/>
        <v/>
      </c>
      <c r="O781" s="37" t="str">
        <f t="shared" ca="1" si="39"/>
        <v/>
      </c>
    </row>
    <row r="782" spans="14:15" x14ac:dyDescent="0.25">
      <c r="N782" s="37" t="str">
        <f t="shared" ca="1" si="38"/>
        <v/>
      </c>
      <c r="O782" s="37" t="str">
        <f t="shared" ca="1" si="39"/>
        <v/>
      </c>
    </row>
    <row r="783" spans="14:15" x14ac:dyDescent="0.25">
      <c r="N783" s="37" t="str">
        <f t="shared" ca="1" si="38"/>
        <v/>
      </c>
      <c r="O783" s="37" t="str">
        <f t="shared" ca="1" si="39"/>
        <v/>
      </c>
    </row>
    <row r="784" spans="14:15" x14ac:dyDescent="0.25">
      <c r="N784" s="37" t="str">
        <f t="shared" ca="1" si="38"/>
        <v/>
      </c>
      <c r="O784" s="37" t="str">
        <f t="shared" ca="1" si="39"/>
        <v/>
      </c>
    </row>
    <row r="785" spans="14:15" x14ac:dyDescent="0.25">
      <c r="N785" s="37" t="str">
        <f t="shared" ca="1" si="38"/>
        <v/>
      </c>
      <c r="O785" s="37" t="str">
        <f t="shared" ca="1" si="39"/>
        <v/>
      </c>
    </row>
    <row r="786" spans="14:15" x14ac:dyDescent="0.25">
      <c r="N786" s="37" t="str">
        <f t="shared" ca="1" si="38"/>
        <v/>
      </c>
      <c r="O786" s="37" t="str">
        <f t="shared" ca="1" si="39"/>
        <v/>
      </c>
    </row>
    <row r="787" spans="14:15" x14ac:dyDescent="0.25">
      <c r="N787" s="37" t="str">
        <f t="shared" ca="1" si="38"/>
        <v/>
      </c>
      <c r="O787" s="37" t="str">
        <f t="shared" ca="1" si="39"/>
        <v/>
      </c>
    </row>
    <row r="788" spans="14:15" x14ac:dyDescent="0.25">
      <c r="N788" s="37" t="str">
        <f t="shared" ca="1" si="38"/>
        <v/>
      </c>
      <c r="O788" s="37" t="str">
        <f t="shared" ca="1" si="39"/>
        <v/>
      </c>
    </row>
    <row r="789" spans="14:15" x14ac:dyDescent="0.25">
      <c r="N789" s="37" t="str">
        <f t="shared" ca="1" si="38"/>
        <v/>
      </c>
      <c r="O789" s="37" t="str">
        <f t="shared" ca="1" si="39"/>
        <v/>
      </c>
    </row>
    <row r="790" spans="14:15" x14ac:dyDescent="0.25">
      <c r="N790" s="37" t="str">
        <f t="shared" ca="1" si="38"/>
        <v/>
      </c>
      <c r="O790" s="37" t="str">
        <f t="shared" ca="1" si="39"/>
        <v/>
      </c>
    </row>
    <row r="791" spans="14:15" x14ac:dyDescent="0.25">
      <c r="N791" s="37" t="str">
        <f t="shared" ca="1" si="38"/>
        <v/>
      </c>
      <c r="O791" s="37" t="str">
        <f t="shared" ca="1" si="39"/>
        <v/>
      </c>
    </row>
    <row r="792" spans="14:15" x14ac:dyDescent="0.25">
      <c r="N792" s="37" t="str">
        <f t="shared" ca="1" si="38"/>
        <v/>
      </c>
      <c r="O792" s="37" t="str">
        <f t="shared" ca="1" si="39"/>
        <v/>
      </c>
    </row>
    <row r="793" spans="14:15" x14ac:dyDescent="0.25">
      <c r="N793" s="37" t="str">
        <f t="shared" ca="1" si="38"/>
        <v/>
      </c>
      <c r="O793" s="37" t="str">
        <f t="shared" ca="1" si="39"/>
        <v/>
      </c>
    </row>
    <row r="794" spans="14:15" x14ac:dyDescent="0.25">
      <c r="N794" s="37" t="str">
        <f t="shared" ca="1" si="38"/>
        <v/>
      </c>
      <c r="O794" s="37" t="str">
        <f t="shared" ca="1" si="39"/>
        <v/>
      </c>
    </row>
    <row r="795" spans="14:15" x14ac:dyDescent="0.25">
      <c r="N795" s="37" t="str">
        <f t="shared" ca="1" si="38"/>
        <v/>
      </c>
      <c r="O795" s="37" t="str">
        <f t="shared" ca="1" si="39"/>
        <v/>
      </c>
    </row>
    <row r="796" spans="14:15" x14ac:dyDescent="0.25">
      <c r="N796" s="37" t="str">
        <f t="shared" ca="1" si="38"/>
        <v/>
      </c>
      <c r="O796" s="37" t="str">
        <f t="shared" ca="1" si="39"/>
        <v/>
      </c>
    </row>
    <row r="797" spans="14:15" x14ac:dyDescent="0.25">
      <c r="N797" s="37" t="str">
        <f t="shared" ca="1" si="38"/>
        <v/>
      </c>
      <c r="O797" s="37" t="str">
        <f t="shared" ca="1" si="39"/>
        <v/>
      </c>
    </row>
    <row r="798" spans="14:15" x14ac:dyDescent="0.25">
      <c r="N798" s="37" t="str">
        <f t="shared" ca="1" si="38"/>
        <v/>
      </c>
      <c r="O798" s="37" t="str">
        <f t="shared" ca="1" si="39"/>
        <v/>
      </c>
    </row>
    <row r="799" spans="14:15" x14ac:dyDescent="0.25">
      <c r="N799" s="37" t="str">
        <f t="shared" ca="1" si="38"/>
        <v/>
      </c>
      <c r="O799" s="37" t="str">
        <f t="shared" ca="1" si="39"/>
        <v/>
      </c>
    </row>
    <row r="800" spans="14:15" x14ac:dyDescent="0.25">
      <c r="N800" s="37" t="str">
        <f t="shared" ca="1" si="38"/>
        <v/>
      </c>
      <c r="O800" s="37" t="str">
        <f t="shared" ca="1" si="39"/>
        <v/>
      </c>
    </row>
    <row r="801" spans="14:15" x14ac:dyDescent="0.25">
      <c r="N801" s="37" t="str">
        <f t="shared" ca="1" si="38"/>
        <v/>
      </c>
      <c r="O801" s="37" t="str">
        <f t="shared" ca="1" si="39"/>
        <v/>
      </c>
    </row>
    <row r="802" spans="14:15" x14ac:dyDescent="0.25">
      <c r="N802" s="37" t="str">
        <f t="shared" ca="1" si="38"/>
        <v/>
      </c>
      <c r="O802" s="37" t="str">
        <f t="shared" ca="1" si="39"/>
        <v/>
      </c>
    </row>
    <row r="803" spans="14:15" x14ac:dyDescent="0.25">
      <c r="N803" s="37" t="str">
        <f t="shared" ca="1" si="38"/>
        <v/>
      </c>
      <c r="O803" s="37" t="str">
        <f t="shared" ca="1" si="39"/>
        <v/>
      </c>
    </row>
    <row r="804" spans="14:15" x14ac:dyDescent="0.25">
      <c r="N804" s="37" t="str">
        <f t="shared" ca="1" si="38"/>
        <v/>
      </c>
      <c r="O804" s="37" t="str">
        <f t="shared" ca="1" si="39"/>
        <v/>
      </c>
    </row>
    <row r="805" spans="14:15" x14ac:dyDescent="0.25">
      <c r="N805" s="37" t="str">
        <f t="shared" ca="1" si="38"/>
        <v/>
      </c>
      <c r="O805" s="37" t="str">
        <f t="shared" ca="1" si="39"/>
        <v/>
      </c>
    </row>
    <row r="806" spans="14:15" x14ac:dyDescent="0.25">
      <c r="N806" s="37" t="str">
        <f t="shared" ca="1" si="38"/>
        <v/>
      </c>
      <c r="O806" s="37" t="str">
        <f t="shared" ca="1" si="39"/>
        <v/>
      </c>
    </row>
    <row r="807" spans="14:15" x14ac:dyDescent="0.25">
      <c r="N807" s="37" t="str">
        <f t="shared" ca="1" si="38"/>
        <v/>
      </c>
      <c r="O807" s="37" t="str">
        <f t="shared" ca="1" si="39"/>
        <v/>
      </c>
    </row>
    <row r="808" spans="14:15" x14ac:dyDescent="0.25">
      <c r="N808" s="37" t="str">
        <f t="shared" ca="1" si="38"/>
        <v/>
      </c>
      <c r="O808" s="37" t="str">
        <f t="shared" ca="1" si="39"/>
        <v/>
      </c>
    </row>
    <row r="809" spans="14:15" x14ac:dyDescent="0.25">
      <c r="N809" s="37" t="str">
        <f t="shared" ca="1" si="38"/>
        <v/>
      </c>
      <c r="O809" s="37" t="str">
        <f t="shared" ca="1" si="39"/>
        <v/>
      </c>
    </row>
    <row r="810" spans="14:15" x14ac:dyDescent="0.25">
      <c r="N810" s="37" t="str">
        <f t="shared" ca="1" si="38"/>
        <v/>
      </c>
      <c r="O810" s="37" t="str">
        <f t="shared" ca="1" si="39"/>
        <v/>
      </c>
    </row>
    <row r="811" spans="14:15" x14ac:dyDescent="0.25">
      <c r="N811" s="37" t="str">
        <f t="shared" ca="1" si="38"/>
        <v/>
      </c>
      <c r="O811" s="37" t="str">
        <f t="shared" ca="1" si="39"/>
        <v/>
      </c>
    </row>
    <row r="812" spans="14:15" x14ac:dyDescent="0.25">
      <c r="N812" s="37" t="str">
        <f t="shared" ca="1" si="38"/>
        <v/>
      </c>
      <c r="O812" s="37" t="str">
        <f t="shared" ca="1" si="39"/>
        <v/>
      </c>
    </row>
    <row r="813" spans="14:15" x14ac:dyDescent="0.25">
      <c r="N813" s="37" t="str">
        <f t="shared" ca="1" si="38"/>
        <v/>
      </c>
      <c r="O813" s="37" t="str">
        <f t="shared" ca="1" si="39"/>
        <v/>
      </c>
    </row>
    <row r="814" spans="14:15" x14ac:dyDescent="0.25">
      <c r="N814" s="37" t="str">
        <f t="shared" ca="1" si="38"/>
        <v/>
      </c>
      <c r="O814" s="37" t="str">
        <f t="shared" ca="1" si="39"/>
        <v/>
      </c>
    </row>
    <row r="815" spans="14:15" x14ac:dyDescent="0.25">
      <c r="N815" s="37" t="str">
        <f t="shared" ca="1" si="38"/>
        <v/>
      </c>
      <c r="O815" s="37" t="str">
        <f t="shared" ca="1" si="39"/>
        <v/>
      </c>
    </row>
    <row r="816" spans="14:15" x14ac:dyDescent="0.25">
      <c r="N816" s="37" t="str">
        <f t="shared" ca="1" si="38"/>
        <v/>
      </c>
      <c r="O816" s="37" t="str">
        <f t="shared" ca="1" si="39"/>
        <v/>
      </c>
    </row>
    <row r="817" spans="14:15" x14ac:dyDescent="0.25">
      <c r="N817" s="37" t="str">
        <f t="shared" ca="1" si="38"/>
        <v/>
      </c>
      <c r="O817" s="37" t="str">
        <f t="shared" ca="1" si="39"/>
        <v/>
      </c>
    </row>
    <row r="818" spans="14:15" x14ac:dyDescent="0.25">
      <c r="N818" s="37" t="str">
        <f t="shared" ca="1" si="38"/>
        <v/>
      </c>
      <c r="O818" s="37" t="str">
        <f t="shared" ca="1" si="39"/>
        <v/>
      </c>
    </row>
    <row r="819" spans="14:15" x14ac:dyDescent="0.25">
      <c r="N819" s="37" t="str">
        <f t="shared" ca="1" si="38"/>
        <v/>
      </c>
      <c r="O819" s="37" t="str">
        <f t="shared" ca="1" si="39"/>
        <v/>
      </c>
    </row>
    <row r="820" spans="14:15" x14ac:dyDescent="0.25">
      <c r="N820" s="37" t="str">
        <f t="shared" ca="1" si="38"/>
        <v/>
      </c>
      <c r="O820" s="37" t="str">
        <f t="shared" ca="1" si="39"/>
        <v/>
      </c>
    </row>
    <row r="821" spans="14:15" x14ac:dyDescent="0.25">
      <c r="N821" s="37" t="str">
        <f t="shared" ca="1" si="38"/>
        <v/>
      </c>
      <c r="O821" s="37" t="str">
        <f t="shared" ca="1" si="39"/>
        <v/>
      </c>
    </row>
    <row r="822" spans="14:15" x14ac:dyDescent="0.25">
      <c r="N822" s="37" t="str">
        <f t="shared" ca="1" si="38"/>
        <v/>
      </c>
      <c r="O822" s="37" t="str">
        <f t="shared" ca="1" si="39"/>
        <v/>
      </c>
    </row>
    <row r="823" spans="14:15" x14ac:dyDescent="0.25">
      <c r="N823" s="37" t="str">
        <f t="shared" ca="1" si="38"/>
        <v/>
      </c>
      <c r="O823" s="37" t="str">
        <f t="shared" ca="1" si="39"/>
        <v/>
      </c>
    </row>
    <row r="824" spans="14:15" x14ac:dyDescent="0.25">
      <c r="N824" s="37" t="str">
        <f t="shared" ca="1" si="38"/>
        <v/>
      </c>
      <c r="O824" s="37" t="str">
        <f t="shared" ca="1" si="39"/>
        <v/>
      </c>
    </row>
    <row r="825" spans="14:15" x14ac:dyDescent="0.25">
      <c r="N825" s="37" t="str">
        <f t="shared" ca="1" si="38"/>
        <v/>
      </c>
      <c r="O825" s="37" t="str">
        <f t="shared" ca="1" si="39"/>
        <v/>
      </c>
    </row>
    <row r="826" spans="14:15" x14ac:dyDescent="0.25">
      <c r="N826" s="37" t="str">
        <f t="shared" ca="1" si="38"/>
        <v/>
      </c>
      <c r="O826" s="37" t="str">
        <f t="shared" ca="1" si="39"/>
        <v/>
      </c>
    </row>
    <row r="827" spans="14:15" x14ac:dyDescent="0.25">
      <c r="N827" s="37" t="str">
        <f t="shared" ca="1" si="38"/>
        <v/>
      </c>
      <c r="O827" s="37" t="str">
        <f t="shared" ca="1" si="39"/>
        <v/>
      </c>
    </row>
    <row r="828" spans="14:15" x14ac:dyDescent="0.25">
      <c r="N828" s="37" t="str">
        <f t="shared" ca="1" si="38"/>
        <v/>
      </c>
      <c r="O828" s="37" t="str">
        <f t="shared" ca="1" si="39"/>
        <v/>
      </c>
    </row>
    <row r="829" spans="14:15" x14ac:dyDescent="0.25">
      <c r="N829" s="37" t="str">
        <f t="shared" ca="1" si="38"/>
        <v/>
      </c>
      <c r="O829" s="37" t="str">
        <f t="shared" ca="1" si="39"/>
        <v/>
      </c>
    </row>
    <row r="830" spans="14:15" x14ac:dyDescent="0.25">
      <c r="N830" s="37" t="str">
        <f t="shared" ca="1" si="38"/>
        <v/>
      </c>
      <c r="O830" s="37" t="str">
        <f t="shared" ca="1" si="39"/>
        <v/>
      </c>
    </row>
    <row r="831" spans="14:15" x14ac:dyDescent="0.25">
      <c r="N831" s="37" t="str">
        <f t="shared" ca="1" si="38"/>
        <v/>
      </c>
      <c r="O831" s="37" t="str">
        <f t="shared" ca="1" si="39"/>
        <v/>
      </c>
    </row>
    <row r="832" spans="14:15" x14ac:dyDescent="0.25">
      <c r="N832" s="37" t="str">
        <f t="shared" ca="1" si="38"/>
        <v/>
      </c>
      <c r="O832" s="37" t="str">
        <f t="shared" ca="1" si="39"/>
        <v/>
      </c>
    </row>
    <row r="833" spans="14:15" x14ac:dyDescent="0.25">
      <c r="N833" s="37" t="str">
        <f t="shared" ca="1" si="38"/>
        <v/>
      </c>
      <c r="O833" s="37" t="str">
        <f t="shared" ca="1" si="39"/>
        <v/>
      </c>
    </row>
    <row r="834" spans="14:15" x14ac:dyDescent="0.25">
      <c r="N834" s="37" t="str">
        <f t="shared" ca="1" si="38"/>
        <v/>
      </c>
      <c r="O834" s="37" t="str">
        <f t="shared" ca="1" si="39"/>
        <v/>
      </c>
    </row>
    <row r="835" spans="14:15" x14ac:dyDescent="0.25">
      <c r="N835" s="37" t="str">
        <f t="shared" ca="1" si="38"/>
        <v/>
      </c>
      <c r="O835" s="37" t="str">
        <f t="shared" ca="1" si="39"/>
        <v/>
      </c>
    </row>
    <row r="836" spans="14:15" x14ac:dyDescent="0.25">
      <c r="N836" s="37" t="str">
        <f t="shared" ref="N836:N899" ca="1" si="40">IF(COUNTIF(L:L,J836),J836,"")</f>
        <v/>
      </c>
      <c r="O836" s="37" t="str">
        <f t="shared" ref="O836:O899" ca="1" si="41">IF(N836&gt;$A$14,N836,"")</f>
        <v/>
      </c>
    </row>
    <row r="837" spans="14:15" x14ac:dyDescent="0.25">
      <c r="N837" s="37" t="str">
        <f t="shared" ca="1" si="40"/>
        <v/>
      </c>
      <c r="O837" s="37" t="str">
        <f t="shared" ca="1" si="41"/>
        <v/>
      </c>
    </row>
    <row r="838" spans="14:15" x14ac:dyDescent="0.25">
      <c r="N838" s="37" t="str">
        <f t="shared" ca="1" si="40"/>
        <v/>
      </c>
      <c r="O838" s="37" t="str">
        <f t="shared" ca="1" si="41"/>
        <v/>
      </c>
    </row>
    <row r="839" spans="14:15" x14ac:dyDescent="0.25">
      <c r="N839" s="37" t="str">
        <f t="shared" ca="1" si="40"/>
        <v/>
      </c>
      <c r="O839" s="37" t="str">
        <f t="shared" ca="1" si="41"/>
        <v/>
      </c>
    </row>
    <row r="840" spans="14:15" x14ac:dyDescent="0.25">
      <c r="N840" s="37" t="str">
        <f t="shared" ca="1" si="40"/>
        <v/>
      </c>
      <c r="O840" s="37" t="str">
        <f t="shared" ca="1" si="41"/>
        <v/>
      </c>
    </row>
    <row r="841" spans="14:15" x14ac:dyDescent="0.25">
      <c r="N841" s="37" t="str">
        <f t="shared" ca="1" si="40"/>
        <v/>
      </c>
      <c r="O841" s="37" t="str">
        <f t="shared" ca="1" si="41"/>
        <v/>
      </c>
    </row>
    <row r="842" spans="14:15" x14ac:dyDescent="0.25">
      <c r="N842" s="37" t="str">
        <f t="shared" ca="1" si="40"/>
        <v/>
      </c>
      <c r="O842" s="37" t="str">
        <f t="shared" ca="1" si="41"/>
        <v/>
      </c>
    </row>
    <row r="843" spans="14:15" x14ac:dyDescent="0.25">
      <c r="N843" s="37" t="str">
        <f t="shared" ca="1" si="40"/>
        <v/>
      </c>
      <c r="O843" s="37" t="str">
        <f t="shared" ca="1" si="41"/>
        <v/>
      </c>
    </row>
    <row r="844" spans="14:15" x14ac:dyDescent="0.25">
      <c r="N844" s="37" t="str">
        <f t="shared" ca="1" si="40"/>
        <v/>
      </c>
      <c r="O844" s="37" t="str">
        <f t="shared" ca="1" si="41"/>
        <v/>
      </c>
    </row>
    <row r="845" spans="14:15" x14ac:dyDescent="0.25">
      <c r="N845" s="37" t="str">
        <f t="shared" ca="1" si="40"/>
        <v/>
      </c>
      <c r="O845" s="37" t="str">
        <f t="shared" ca="1" si="41"/>
        <v/>
      </c>
    </row>
    <row r="846" spans="14:15" x14ac:dyDescent="0.25">
      <c r="N846" s="37" t="str">
        <f t="shared" ca="1" si="40"/>
        <v/>
      </c>
      <c r="O846" s="37" t="str">
        <f t="shared" ca="1" si="41"/>
        <v/>
      </c>
    </row>
    <row r="847" spans="14:15" x14ac:dyDescent="0.25">
      <c r="N847" s="37" t="str">
        <f t="shared" ca="1" si="40"/>
        <v/>
      </c>
      <c r="O847" s="37" t="str">
        <f t="shared" ca="1" si="41"/>
        <v/>
      </c>
    </row>
    <row r="848" spans="14:15" x14ac:dyDescent="0.25">
      <c r="N848" s="37" t="str">
        <f t="shared" ca="1" si="40"/>
        <v/>
      </c>
      <c r="O848" s="37" t="str">
        <f t="shared" ca="1" si="41"/>
        <v/>
      </c>
    </row>
    <row r="849" spans="14:15" x14ac:dyDescent="0.25">
      <c r="N849" s="37" t="str">
        <f t="shared" ca="1" si="40"/>
        <v/>
      </c>
      <c r="O849" s="37" t="str">
        <f t="shared" ca="1" si="41"/>
        <v/>
      </c>
    </row>
    <row r="850" spans="14:15" x14ac:dyDescent="0.25">
      <c r="N850" s="37" t="str">
        <f t="shared" ca="1" si="40"/>
        <v/>
      </c>
      <c r="O850" s="37" t="str">
        <f t="shared" ca="1" si="41"/>
        <v/>
      </c>
    </row>
    <row r="851" spans="14:15" x14ac:dyDescent="0.25">
      <c r="N851" s="37" t="str">
        <f t="shared" ca="1" si="40"/>
        <v/>
      </c>
      <c r="O851" s="37" t="str">
        <f t="shared" ca="1" si="41"/>
        <v/>
      </c>
    </row>
    <row r="852" spans="14:15" x14ac:dyDescent="0.25">
      <c r="N852" s="37" t="str">
        <f t="shared" ca="1" si="40"/>
        <v/>
      </c>
      <c r="O852" s="37" t="str">
        <f t="shared" ca="1" si="41"/>
        <v/>
      </c>
    </row>
    <row r="853" spans="14:15" x14ac:dyDescent="0.25">
      <c r="N853" s="37" t="str">
        <f t="shared" ca="1" si="40"/>
        <v/>
      </c>
      <c r="O853" s="37" t="str">
        <f t="shared" ca="1" si="41"/>
        <v/>
      </c>
    </row>
    <row r="854" spans="14:15" x14ac:dyDescent="0.25">
      <c r="N854" s="37" t="str">
        <f t="shared" ca="1" si="40"/>
        <v/>
      </c>
      <c r="O854" s="37" t="str">
        <f t="shared" ca="1" si="41"/>
        <v/>
      </c>
    </row>
    <row r="855" spans="14:15" x14ac:dyDescent="0.25">
      <c r="N855" s="37" t="str">
        <f t="shared" ca="1" si="40"/>
        <v/>
      </c>
      <c r="O855" s="37" t="str">
        <f t="shared" ca="1" si="41"/>
        <v/>
      </c>
    </row>
    <row r="856" spans="14:15" x14ac:dyDescent="0.25">
      <c r="N856" s="37" t="str">
        <f t="shared" ca="1" si="40"/>
        <v/>
      </c>
      <c r="O856" s="37" t="str">
        <f t="shared" ca="1" si="41"/>
        <v/>
      </c>
    </row>
    <row r="857" spans="14:15" x14ac:dyDescent="0.25">
      <c r="N857" s="37" t="str">
        <f t="shared" ca="1" si="40"/>
        <v/>
      </c>
      <c r="O857" s="37" t="str">
        <f t="shared" ca="1" si="41"/>
        <v/>
      </c>
    </row>
    <row r="858" spans="14:15" x14ac:dyDescent="0.25">
      <c r="N858" s="37" t="str">
        <f t="shared" ca="1" si="40"/>
        <v/>
      </c>
      <c r="O858" s="37" t="str">
        <f t="shared" ca="1" si="41"/>
        <v/>
      </c>
    </row>
    <row r="859" spans="14:15" x14ac:dyDescent="0.25">
      <c r="N859" s="37" t="str">
        <f t="shared" ca="1" si="40"/>
        <v/>
      </c>
      <c r="O859" s="37" t="str">
        <f t="shared" ca="1" si="41"/>
        <v/>
      </c>
    </row>
    <row r="860" spans="14:15" x14ac:dyDescent="0.25">
      <c r="N860" s="37" t="str">
        <f t="shared" ca="1" si="40"/>
        <v/>
      </c>
      <c r="O860" s="37" t="str">
        <f t="shared" ca="1" si="41"/>
        <v/>
      </c>
    </row>
    <row r="861" spans="14:15" x14ac:dyDescent="0.25">
      <c r="N861" s="37" t="str">
        <f t="shared" ca="1" si="40"/>
        <v/>
      </c>
      <c r="O861" s="37" t="str">
        <f t="shared" ca="1" si="41"/>
        <v/>
      </c>
    </row>
    <row r="862" spans="14:15" x14ac:dyDescent="0.25">
      <c r="N862" s="37" t="str">
        <f t="shared" ca="1" si="40"/>
        <v/>
      </c>
      <c r="O862" s="37" t="str">
        <f t="shared" ca="1" si="41"/>
        <v/>
      </c>
    </row>
    <row r="863" spans="14:15" x14ac:dyDescent="0.25">
      <c r="N863" s="37" t="str">
        <f t="shared" ca="1" si="40"/>
        <v/>
      </c>
      <c r="O863" s="37" t="str">
        <f t="shared" ca="1" si="41"/>
        <v/>
      </c>
    </row>
    <row r="864" spans="14:15" x14ac:dyDescent="0.25">
      <c r="N864" s="37" t="str">
        <f t="shared" ca="1" si="40"/>
        <v/>
      </c>
      <c r="O864" s="37" t="str">
        <f t="shared" ca="1" si="41"/>
        <v/>
      </c>
    </row>
    <row r="865" spans="14:15" x14ac:dyDescent="0.25">
      <c r="N865" s="37" t="str">
        <f t="shared" ca="1" si="40"/>
        <v/>
      </c>
      <c r="O865" s="37" t="str">
        <f t="shared" ca="1" si="41"/>
        <v/>
      </c>
    </row>
    <row r="866" spans="14:15" x14ac:dyDescent="0.25">
      <c r="N866" s="37" t="str">
        <f t="shared" ca="1" si="40"/>
        <v/>
      </c>
      <c r="O866" s="37" t="str">
        <f t="shared" ca="1" si="41"/>
        <v/>
      </c>
    </row>
    <row r="867" spans="14:15" x14ac:dyDescent="0.25">
      <c r="N867" s="37" t="str">
        <f t="shared" ca="1" si="40"/>
        <v/>
      </c>
      <c r="O867" s="37" t="str">
        <f t="shared" ca="1" si="41"/>
        <v/>
      </c>
    </row>
    <row r="868" spans="14:15" x14ac:dyDescent="0.25">
      <c r="N868" s="37" t="str">
        <f t="shared" ca="1" si="40"/>
        <v/>
      </c>
      <c r="O868" s="37" t="str">
        <f t="shared" ca="1" si="41"/>
        <v/>
      </c>
    </row>
    <row r="869" spans="14:15" x14ac:dyDescent="0.25">
      <c r="N869" s="37" t="str">
        <f t="shared" ca="1" si="40"/>
        <v/>
      </c>
      <c r="O869" s="37" t="str">
        <f t="shared" ca="1" si="41"/>
        <v/>
      </c>
    </row>
    <row r="870" spans="14:15" x14ac:dyDescent="0.25">
      <c r="N870" s="37" t="str">
        <f t="shared" ca="1" si="40"/>
        <v/>
      </c>
      <c r="O870" s="37" t="str">
        <f t="shared" ca="1" si="41"/>
        <v/>
      </c>
    </row>
    <row r="871" spans="14:15" x14ac:dyDescent="0.25">
      <c r="N871" s="37" t="str">
        <f t="shared" ca="1" si="40"/>
        <v/>
      </c>
      <c r="O871" s="37" t="str">
        <f t="shared" ca="1" si="41"/>
        <v/>
      </c>
    </row>
    <row r="872" spans="14:15" x14ac:dyDescent="0.25">
      <c r="N872" s="37" t="str">
        <f t="shared" ca="1" si="40"/>
        <v/>
      </c>
      <c r="O872" s="37" t="str">
        <f t="shared" ca="1" si="41"/>
        <v/>
      </c>
    </row>
    <row r="873" spans="14:15" x14ac:dyDescent="0.25">
      <c r="N873" s="37" t="str">
        <f t="shared" ca="1" si="40"/>
        <v/>
      </c>
      <c r="O873" s="37" t="str">
        <f t="shared" ca="1" si="41"/>
        <v/>
      </c>
    </row>
    <row r="874" spans="14:15" x14ac:dyDescent="0.25">
      <c r="N874" s="37" t="str">
        <f t="shared" ca="1" si="40"/>
        <v/>
      </c>
      <c r="O874" s="37" t="str">
        <f t="shared" ca="1" si="41"/>
        <v/>
      </c>
    </row>
    <row r="875" spans="14:15" x14ac:dyDescent="0.25">
      <c r="N875" s="37" t="str">
        <f t="shared" ca="1" si="40"/>
        <v/>
      </c>
      <c r="O875" s="37" t="str">
        <f t="shared" ca="1" si="41"/>
        <v/>
      </c>
    </row>
    <row r="876" spans="14:15" x14ac:dyDescent="0.25">
      <c r="N876" s="37" t="str">
        <f t="shared" ca="1" si="40"/>
        <v/>
      </c>
      <c r="O876" s="37" t="str">
        <f t="shared" ca="1" si="41"/>
        <v/>
      </c>
    </row>
    <row r="877" spans="14:15" x14ac:dyDescent="0.25">
      <c r="N877" s="37" t="str">
        <f t="shared" ca="1" si="40"/>
        <v/>
      </c>
      <c r="O877" s="37" t="str">
        <f t="shared" ca="1" si="41"/>
        <v/>
      </c>
    </row>
    <row r="878" spans="14:15" x14ac:dyDescent="0.25">
      <c r="N878" s="37" t="str">
        <f t="shared" ca="1" si="40"/>
        <v/>
      </c>
      <c r="O878" s="37" t="str">
        <f t="shared" ca="1" si="41"/>
        <v/>
      </c>
    </row>
    <row r="879" spans="14:15" x14ac:dyDescent="0.25">
      <c r="N879" s="37" t="str">
        <f t="shared" ca="1" si="40"/>
        <v/>
      </c>
      <c r="O879" s="37" t="str">
        <f t="shared" ca="1" si="41"/>
        <v/>
      </c>
    </row>
    <row r="880" spans="14:15" x14ac:dyDescent="0.25">
      <c r="N880" s="37" t="str">
        <f t="shared" ca="1" si="40"/>
        <v/>
      </c>
      <c r="O880" s="37" t="str">
        <f t="shared" ca="1" si="41"/>
        <v/>
      </c>
    </row>
    <row r="881" spans="14:15" x14ac:dyDescent="0.25">
      <c r="N881" s="37" t="str">
        <f t="shared" ca="1" si="40"/>
        <v/>
      </c>
      <c r="O881" s="37" t="str">
        <f t="shared" ca="1" si="41"/>
        <v/>
      </c>
    </row>
    <row r="882" spans="14:15" x14ac:dyDescent="0.25">
      <c r="N882" s="37" t="str">
        <f t="shared" ca="1" si="40"/>
        <v/>
      </c>
      <c r="O882" s="37" t="str">
        <f t="shared" ca="1" si="41"/>
        <v/>
      </c>
    </row>
    <row r="883" spans="14:15" x14ac:dyDescent="0.25">
      <c r="N883" s="37" t="str">
        <f t="shared" ca="1" si="40"/>
        <v/>
      </c>
      <c r="O883" s="37" t="str">
        <f t="shared" ca="1" si="41"/>
        <v/>
      </c>
    </row>
    <row r="884" spans="14:15" x14ac:dyDescent="0.25">
      <c r="N884" s="37" t="str">
        <f t="shared" ca="1" si="40"/>
        <v/>
      </c>
      <c r="O884" s="37" t="str">
        <f t="shared" ca="1" si="41"/>
        <v/>
      </c>
    </row>
    <row r="885" spans="14:15" x14ac:dyDescent="0.25">
      <c r="N885" s="37" t="str">
        <f t="shared" ca="1" si="40"/>
        <v/>
      </c>
      <c r="O885" s="37" t="str">
        <f t="shared" ca="1" si="41"/>
        <v/>
      </c>
    </row>
    <row r="886" spans="14:15" x14ac:dyDescent="0.25">
      <c r="N886" s="37" t="str">
        <f t="shared" ca="1" si="40"/>
        <v/>
      </c>
      <c r="O886" s="37" t="str">
        <f t="shared" ca="1" si="41"/>
        <v/>
      </c>
    </row>
    <row r="887" spans="14:15" x14ac:dyDescent="0.25">
      <c r="N887" s="37" t="str">
        <f t="shared" ca="1" si="40"/>
        <v/>
      </c>
      <c r="O887" s="37" t="str">
        <f t="shared" ca="1" si="41"/>
        <v/>
      </c>
    </row>
    <row r="888" spans="14:15" x14ac:dyDescent="0.25">
      <c r="N888" s="37" t="str">
        <f t="shared" ca="1" si="40"/>
        <v/>
      </c>
      <c r="O888" s="37" t="str">
        <f t="shared" ca="1" si="41"/>
        <v/>
      </c>
    </row>
    <row r="889" spans="14:15" x14ac:dyDescent="0.25">
      <c r="N889" s="37" t="str">
        <f t="shared" ca="1" si="40"/>
        <v/>
      </c>
      <c r="O889" s="37" t="str">
        <f t="shared" ca="1" si="41"/>
        <v/>
      </c>
    </row>
    <row r="890" spans="14:15" x14ac:dyDescent="0.25">
      <c r="N890" s="37" t="str">
        <f t="shared" ca="1" si="40"/>
        <v/>
      </c>
      <c r="O890" s="37" t="str">
        <f t="shared" ca="1" si="41"/>
        <v/>
      </c>
    </row>
    <row r="891" spans="14:15" x14ac:dyDescent="0.25">
      <c r="N891" s="37" t="str">
        <f t="shared" ca="1" si="40"/>
        <v/>
      </c>
      <c r="O891" s="37" t="str">
        <f t="shared" ca="1" si="41"/>
        <v/>
      </c>
    </row>
    <row r="892" spans="14:15" x14ac:dyDescent="0.25">
      <c r="N892" s="37" t="str">
        <f t="shared" ca="1" si="40"/>
        <v/>
      </c>
      <c r="O892" s="37" t="str">
        <f t="shared" ca="1" si="41"/>
        <v/>
      </c>
    </row>
    <row r="893" spans="14:15" x14ac:dyDescent="0.25">
      <c r="N893" s="37" t="str">
        <f t="shared" ca="1" si="40"/>
        <v/>
      </c>
      <c r="O893" s="37" t="str">
        <f t="shared" ca="1" si="41"/>
        <v/>
      </c>
    </row>
    <row r="894" spans="14:15" x14ac:dyDescent="0.25">
      <c r="N894" s="37" t="str">
        <f t="shared" ca="1" si="40"/>
        <v/>
      </c>
      <c r="O894" s="37" t="str">
        <f t="shared" ca="1" si="41"/>
        <v/>
      </c>
    </row>
    <row r="895" spans="14:15" x14ac:dyDescent="0.25">
      <c r="N895" s="37" t="str">
        <f t="shared" ca="1" si="40"/>
        <v/>
      </c>
      <c r="O895" s="37" t="str">
        <f t="shared" ca="1" si="41"/>
        <v/>
      </c>
    </row>
    <row r="896" spans="14:15" x14ac:dyDescent="0.25">
      <c r="N896" s="37" t="str">
        <f t="shared" ca="1" si="40"/>
        <v/>
      </c>
      <c r="O896" s="37" t="str">
        <f t="shared" ca="1" si="41"/>
        <v/>
      </c>
    </row>
    <row r="897" spans="14:15" x14ac:dyDescent="0.25">
      <c r="N897" s="37" t="str">
        <f t="shared" ca="1" si="40"/>
        <v/>
      </c>
      <c r="O897" s="37" t="str">
        <f t="shared" ca="1" si="41"/>
        <v/>
      </c>
    </row>
    <row r="898" spans="14:15" x14ac:dyDescent="0.25">
      <c r="N898" s="37" t="str">
        <f t="shared" ca="1" si="40"/>
        <v/>
      </c>
      <c r="O898" s="37" t="str">
        <f t="shared" ca="1" si="41"/>
        <v/>
      </c>
    </row>
    <row r="899" spans="14:15" x14ac:dyDescent="0.25">
      <c r="N899" s="37" t="str">
        <f t="shared" ca="1" si="40"/>
        <v/>
      </c>
      <c r="O899" s="37" t="str">
        <f t="shared" ca="1" si="41"/>
        <v/>
      </c>
    </row>
    <row r="900" spans="14:15" x14ac:dyDescent="0.25">
      <c r="N900" s="37" t="str">
        <f t="shared" ref="N900:N945" ca="1" si="42">IF(COUNTIF(L:L,J900),J900,"")</f>
        <v/>
      </c>
      <c r="O900" s="37" t="str">
        <f t="shared" ref="O900:O945" ca="1" si="43">IF(N900&gt;$A$14,N900,"")</f>
        <v/>
      </c>
    </row>
    <row r="901" spans="14:15" x14ac:dyDescent="0.25">
      <c r="N901" s="37" t="str">
        <f t="shared" ca="1" si="42"/>
        <v/>
      </c>
      <c r="O901" s="37" t="str">
        <f t="shared" ca="1" si="43"/>
        <v/>
      </c>
    </row>
    <row r="902" spans="14:15" x14ac:dyDescent="0.25">
      <c r="N902" s="37" t="str">
        <f t="shared" ca="1" si="42"/>
        <v/>
      </c>
      <c r="O902" s="37" t="str">
        <f t="shared" ca="1" si="43"/>
        <v/>
      </c>
    </row>
    <row r="903" spans="14:15" x14ac:dyDescent="0.25">
      <c r="N903" s="37" t="str">
        <f t="shared" ca="1" si="42"/>
        <v/>
      </c>
      <c r="O903" s="37" t="str">
        <f t="shared" ca="1" si="43"/>
        <v/>
      </c>
    </row>
    <row r="904" spans="14:15" x14ac:dyDescent="0.25">
      <c r="N904" s="37" t="str">
        <f t="shared" ca="1" si="42"/>
        <v/>
      </c>
      <c r="O904" s="37" t="str">
        <f t="shared" ca="1" si="43"/>
        <v/>
      </c>
    </row>
    <row r="905" spans="14:15" x14ac:dyDescent="0.25">
      <c r="N905" s="37" t="str">
        <f t="shared" ca="1" si="42"/>
        <v/>
      </c>
      <c r="O905" s="37" t="str">
        <f t="shared" ca="1" si="43"/>
        <v/>
      </c>
    </row>
    <row r="906" spans="14:15" x14ac:dyDescent="0.25">
      <c r="N906" s="37" t="str">
        <f t="shared" ca="1" si="42"/>
        <v/>
      </c>
      <c r="O906" s="37" t="str">
        <f t="shared" ca="1" si="43"/>
        <v/>
      </c>
    </row>
    <row r="907" spans="14:15" x14ac:dyDescent="0.25">
      <c r="N907" s="37" t="str">
        <f t="shared" ca="1" si="42"/>
        <v/>
      </c>
      <c r="O907" s="37" t="str">
        <f t="shared" ca="1" si="43"/>
        <v/>
      </c>
    </row>
    <row r="908" spans="14:15" x14ac:dyDescent="0.25">
      <c r="N908" s="37" t="str">
        <f t="shared" ca="1" si="42"/>
        <v/>
      </c>
      <c r="O908" s="37" t="str">
        <f t="shared" ca="1" si="43"/>
        <v/>
      </c>
    </row>
    <row r="909" spans="14:15" x14ac:dyDescent="0.25">
      <c r="N909" s="37" t="str">
        <f t="shared" ca="1" si="42"/>
        <v/>
      </c>
      <c r="O909" s="37" t="str">
        <f t="shared" ca="1" si="43"/>
        <v/>
      </c>
    </row>
    <row r="910" spans="14:15" x14ac:dyDescent="0.25">
      <c r="N910" s="37" t="str">
        <f t="shared" ca="1" si="42"/>
        <v/>
      </c>
      <c r="O910" s="37" t="str">
        <f t="shared" ca="1" si="43"/>
        <v/>
      </c>
    </row>
    <row r="911" spans="14:15" x14ac:dyDescent="0.25">
      <c r="N911" s="37" t="str">
        <f t="shared" ca="1" si="42"/>
        <v/>
      </c>
      <c r="O911" s="37" t="str">
        <f t="shared" ca="1" si="43"/>
        <v/>
      </c>
    </row>
    <row r="912" spans="14:15" x14ac:dyDescent="0.25">
      <c r="N912" s="37" t="str">
        <f t="shared" ca="1" si="42"/>
        <v/>
      </c>
      <c r="O912" s="37" t="str">
        <f t="shared" ca="1" si="43"/>
        <v/>
      </c>
    </row>
    <row r="913" spans="14:15" x14ac:dyDescent="0.25">
      <c r="N913" s="37" t="str">
        <f t="shared" ca="1" si="42"/>
        <v/>
      </c>
      <c r="O913" s="37" t="str">
        <f t="shared" ca="1" si="43"/>
        <v/>
      </c>
    </row>
    <row r="914" spans="14:15" x14ac:dyDescent="0.25">
      <c r="N914" s="37" t="str">
        <f t="shared" ca="1" si="42"/>
        <v/>
      </c>
      <c r="O914" s="37" t="str">
        <f t="shared" ca="1" si="43"/>
        <v/>
      </c>
    </row>
    <row r="915" spans="14:15" x14ac:dyDescent="0.25">
      <c r="N915" s="37" t="str">
        <f t="shared" ca="1" si="42"/>
        <v/>
      </c>
      <c r="O915" s="37" t="str">
        <f t="shared" ca="1" si="43"/>
        <v/>
      </c>
    </row>
    <row r="916" spans="14:15" x14ac:dyDescent="0.25">
      <c r="N916" s="37" t="str">
        <f t="shared" ca="1" si="42"/>
        <v/>
      </c>
      <c r="O916" s="37" t="str">
        <f t="shared" ca="1" si="43"/>
        <v/>
      </c>
    </row>
    <row r="917" spans="14:15" x14ac:dyDescent="0.25">
      <c r="N917" s="37" t="str">
        <f t="shared" ca="1" si="42"/>
        <v/>
      </c>
      <c r="O917" s="37" t="str">
        <f t="shared" ca="1" si="43"/>
        <v/>
      </c>
    </row>
    <row r="918" spans="14:15" x14ac:dyDescent="0.25">
      <c r="N918" s="37" t="str">
        <f t="shared" ca="1" si="42"/>
        <v/>
      </c>
      <c r="O918" s="37" t="str">
        <f t="shared" ca="1" si="43"/>
        <v/>
      </c>
    </row>
    <row r="919" spans="14:15" x14ac:dyDescent="0.25">
      <c r="N919" s="37" t="str">
        <f t="shared" ca="1" si="42"/>
        <v/>
      </c>
      <c r="O919" s="37" t="str">
        <f t="shared" ca="1" si="43"/>
        <v/>
      </c>
    </row>
    <row r="920" spans="14:15" x14ac:dyDescent="0.25">
      <c r="N920" s="37" t="str">
        <f t="shared" ca="1" si="42"/>
        <v/>
      </c>
      <c r="O920" s="37" t="str">
        <f t="shared" ca="1" si="43"/>
        <v/>
      </c>
    </row>
    <row r="921" spans="14:15" x14ac:dyDescent="0.25">
      <c r="N921" s="37" t="str">
        <f t="shared" ca="1" si="42"/>
        <v/>
      </c>
      <c r="O921" s="37" t="str">
        <f t="shared" ca="1" si="43"/>
        <v/>
      </c>
    </row>
    <row r="922" spans="14:15" x14ac:dyDescent="0.25">
      <c r="N922" s="37" t="str">
        <f t="shared" ca="1" si="42"/>
        <v/>
      </c>
      <c r="O922" s="37" t="str">
        <f t="shared" ca="1" si="43"/>
        <v/>
      </c>
    </row>
    <row r="923" spans="14:15" x14ac:dyDescent="0.25">
      <c r="N923" s="37" t="str">
        <f t="shared" ca="1" si="42"/>
        <v/>
      </c>
      <c r="O923" s="37" t="str">
        <f t="shared" ca="1" si="43"/>
        <v/>
      </c>
    </row>
    <row r="924" spans="14:15" x14ac:dyDescent="0.25">
      <c r="N924" s="37" t="str">
        <f t="shared" ca="1" si="42"/>
        <v/>
      </c>
      <c r="O924" s="37" t="str">
        <f t="shared" ca="1" si="43"/>
        <v/>
      </c>
    </row>
    <row r="925" spans="14:15" x14ac:dyDescent="0.25">
      <c r="N925" s="37" t="str">
        <f t="shared" ca="1" si="42"/>
        <v/>
      </c>
      <c r="O925" s="37" t="str">
        <f t="shared" ca="1" si="43"/>
        <v/>
      </c>
    </row>
    <row r="926" spans="14:15" x14ac:dyDescent="0.25">
      <c r="N926" s="37" t="str">
        <f t="shared" ca="1" si="42"/>
        <v/>
      </c>
      <c r="O926" s="37" t="str">
        <f t="shared" ca="1" si="43"/>
        <v/>
      </c>
    </row>
    <row r="927" spans="14:15" x14ac:dyDescent="0.25">
      <c r="N927" s="37" t="str">
        <f t="shared" ca="1" si="42"/>
        <v/>
      </c>
      <c r="O927" s="37" t="str">
        <f t="shared" ca="1" si="43"/>
        <v/>
      </c>
    </row>
    <row r="928" spans="14:15" x14ac:dyDescent="0.25">
      <c r="N928" s="37" t="str">
        <f t="shared" ca="1" si="42"/>
        <v/>
      </c>
      <c r="O928" s="37" t="str">
        <f t="shared" ca="1" si="43"/>
        <v/>
      </c>
    </row>
    <row r="929" spans="14:15" x14ac:dyDescent="0.25">
      <c r="N929" s="37" t="str">
        <f t="shared" ca="1" si="42"/>
        <v/>
      </c>
      <c r="O929" s="37" t="str">
        <f t="shared" ca="1" si="43"/>
        <v/>
      </c>
    </row>
    <row r="930" spans="14:15" x14ac:dyDescent="0.25">
      <c r="N930" s="37" t="str">
        <f t="shared" ca="1" si="42"/>
        <v/>
      </c>
      <c r="O930" s="37" t="str">
        <f t="shared" ca="1" si="43"/>
        <v/>
      </c>
    </row>
    <row r="931" spans="14:15" x14ac:dyDescent="0.25">
      <c r="N931" s="37" t="str">
        <f t="shared" ca="1" si="42"/>
        <v/>
      </c>
      <c r="O931" s="37" t="str">
        <f t="shared" ca="1" si="43"/>
        <v/>
      </c>
    </row>
    <row r="932" spans="14:15" x14ac:dyDescent="0.25">
      <c r="N932" s="37" t="str">
        <f t="shared" ca="1" si="42"/>
        <v/>
      </c>
      <c r="O932" s="37" t="str">
        <f t="shared" ca="1" si="43"/>
        <v/>
      </c>
    </row>
    <row r="933" spans="14:15" x14ac:dyDescent="0.25">
      <c r="N933" s="37" t="str">
        <f t="shared" ca="1" si="42"/>
        <v/>
      </c>
      <c r="O933" s="37" t="str">
        <f t="shared" ca="1" si="43"/>
        <v/>
      </c>
    </row>
    <row r="934" spans="14:15" x14ac:dyDescent="0.25">
      <c r="N934" s="37" t="str">
        <f t="shared" ca="1" si="42"/>
        <v/>
      </c>
      <c r="O934" s="37" t="str">
        <f t="shared" ca="1" si="43"/>
        <v/>
      </c>
    </row>
    <row r="935" spans="14:15" x14ac:dyDescent="0.25">
      <c r="N935" s="37" t="str">
        <f t="shared" ca="1" si="42"/>
        <v/>
      </c>
      <c r="O935" s="37" t="str">
        <f t="shared" ca="1" si="43"/>
        <v/>
      </c>
    </row>
    <row r="936" spans="14:15" x14ac:dyDescent="0.25">
      <c r="N936" s="37" t="str">
        <f t="shared" ca="1" si="42"/>
        <v/>
      </c>
      <c r="O936" s="37" t="str">
        <f t="shared" ca="1" si="43"/>
        <v/>
      </c>
    </row>
    <row r="937" spans="14:15" x14ac:dyDescent="0.25">
      <c r="N937" s="37" t="str">
        <f t="shared" ca="1" si="42"/>
        <v/>
      </c>
      <c r="O937" s="37" t="str">
        <f t="shared" ca="1" si="43"/>
        <v/>
      </c>
    </row>
    <row r="938" spans="14:15" x14ac:dyDescent="0.25">
      <c r="N938" s="37" t="str">
        <f t="shared" ca="1" si="42"/>
        <v/>
      </c>
      <c r="O938" s="37" t="str">
        <f t="shared" ca="1" si="43"/>
        <v/>
      </c>
    </row>
    <row r="939" spans="14:15" x14ac:dyDescent="0.25">
      <c r="N939" s="37" t="str">
        <f t="shared" ca="1" si="42"/>
        <v/>
      </c>
      <c r="O939" s="37" t="str">
        <f t="shared" ca="1" si="43"/>
        <v/>
      </c>
    </row>
    <row r="940" spans="14:15" x14ac:dyDescent="0.25">
      <c r="N940" s="37" t="str">
        <f t="shared" ca="1" si="42"/>
        <v/>
      </c>
      <c r="O940" s="37" t="str">
        <f t="shared" ca="1" si="43"/>
        <v/>
      </c>
    </row>
    <row r="941" spans="14:15" x14ac:dyDescent="0.25">
      <c r="N941" s="37" t="str">
        <f t="shared" ca="1" si="42"/>
        <v/>
      </c>
      <c r="O941" s="37" t="str">
        <f t="shared" ca="1" si="43"/>
        <v/>
      </c>
    </row>
    <row r="942" spans="14:15" x14ac:dyDescent="0.25">
      <c r="N942" s="37" t="str">
        <f t="shared" ca="1" si="42"/>
        <v/>
      </c>
      <c r="O942" s="37" t="str">
        <f t="shared" ca="1" si="43"/>
        <v/>
      </c>
    </row>
    <row r="943" spans="14:15" x14ac:dyDescent="0.25">
      <c r="N943" s="37" t="str">
        <f t="shared" ca="1" si="42"/>
        <v/>
      </c>
      <c r="O943" s="37" t="str">
        <f t="shared" ca="1" si="43"/>
        <v/>
      </c>
    </row>
    <row r="944" spans="14:15" x14ac:dyDescent="0.25">
      <c r="N944" s="37" t="str">
        <f t="shared" ca="1" si="42"/>
        <v/>
      </c>
      <c r="O944" s="37" t="str">
        <f t="shared" ca="1" si="43"/>
        <v/>
      </c>
    </row>
    <row r="945" spans="14:15" x14ac:dyDescent="0.25">
      <c r="N945" s="37" t="str">
        <f t="shared" ca="1" si="42"/>
        <v/>
      </c>
      <c r="O945" s="37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A14" sqref="A14"/>
    </sheetView>
  </sheetViews>
  <sheetFormatPr defaultColWidth="9.140625" defaultRowHeight="15" x14ac:dyDescent="0.25"/>
  <cols>
    <col min="1" max="1" width="15.42578125" style="37" bestFit="1" customWidth="1"/>
    <col min="2" max="2" width="21.28515625" style="3" bestFit="1" customWidth="1"/>
    <col min="3" max="3" width="19.140625" style="3" bestFit="1" customWidth="1"/>
    <col min="4" max="4" width="11.28515625" style="3" bestFit="1" customWidth="1"/>
    <col min="5" max="5" width="17.8554687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76" customWidth="1"/>
    <col min="11" max="11" width="10.7109375" style="41" customWidth="1"/>
    <col min="12" max="12" width="10.5703125" style="37" customWidth="1"/>
    <col min="13" max="13" width="10.5703125" style="41" customWidth="1"/>
    <col min="14" max="16" width="10.5703125" style="37" bestFit="1" customWidth="1"/>
    <col min="17" max="18" width="9.140625" style="37"/>
    <col min="19" max="16384" width="9.140625" style="3"/>
  </cols>
  <sheetData>
    <row r="1" spans="1:16" s="37" customFormat="1" ht="15.75" thickBot="1" x14ac:dyDescent="0.3">
      <c r="A1" s="1"/>
      <c r="B1" s="1"/>
      <c r="C1" s="1"/>
      <c r="D1" s="25"/>
      <c r="E1" s="3"/>
      <c r="F1" s="3"/>
      <c r="G1" s="3"/>
      <c r="H1" s="3"/>
      <c r="I1" s="3"/>
      <c r="J1" s="37">
        <f ca="1">TODAY()-150</f>
        <v>46041</v>
      </c>
      <c r="K1" s="41"/>
      <c r="M1" s="41"/>
      <c r="P1" s="37" cm="1">
        <f t="array" aca="1" ref="P1" ca="1">LOOKUP(2,1/(P:P&lt;&gt;""),P:P)</f>
        <v>0</v>
      </c>
    </row>
    <row r="2" spans="1:16" s="37" customFormat="1" ht="15.75" thickBot="1" x14ac:dyDescent="0.3">
      <c r="A2" s="13"/>
      <c r="B2" s="22" t="s">
        <v>0</v>
      </c>
      <c r="C2" s="23" t="s">
        <v>1</v>
      </c>
      <c r="D2" s="25"/>
      <c r="E2" s="3"/>
      <c r="F2" s="3"/>
      <c r="G2" s="3"/>
      <c r="H2" s="3"/>
      <c r="I2" s="3"/>
      <c r="J2" s="61" t="s">
        <v>0</v>
      </c>
      <c r="K2" s="41"/>
      <c r="L2" s="63" t="s">
        <v>1</v>
      </c>
      <c r="M2" s="41"/>
      <c r="P2" s="3" cm="1">
        <f t="array" aca="1" ref="P2:P3" ca="1">_xlfn.UNIQUE(O:O)</f>
        <v>0</v>
      </c>
    </row>
    <row r="3" spans="1:16" s="37" customFormat="1" x14ac:dyDescent="0.25">
      <c r="A3" s="13" t="s">
        <v>19</v>
      </c>
      <c r="B3" s="14" t="s">
        <v>33</v>
      </c>
      <c r="C3" s="5" t="s">
        <v>27</v>
      </c>
      <c r="D3" s="25"/>
      <c r="E3" s="3"/>
      <c r="F3" s="3"/>
      <c r="G3" s="3"/>
      <c r="H3" s="3"/>
      <c r="I3" s="3"/>
      <c r="J3" s="37" cm="1">
        <f t="array" aca="1" ref="J3:K120" ca="1">_xll.BDH($B$4, "PX_LAST, ", TODAY()-300, TODAY()-1)</f>
        <v>45891</v>
      </c>
      <c r="K3" s="41">
        <f ca="1"/>
        <v>49.75</v>
      </c>
      <c r="L3" s="37" cm="1">
        <f t="array" aca="1" ref="L3:M74" ca="1">_xll.BDH($C$4, "PX_LAST, ", TODAY()-300, TODAY()-1)</f>
        <v>45933</v>
      </c>
      <c r="M3" s="41">
        <f ca="1"/>
        <v>0.74</v>
      </c>
      <c r="N3" s="37" t="str">
        <f ca="1">IF(COUNTIF(L:L,J3),J3,"")</f>
        <v/>
      </c>
      <c r="O3" s="37" t="str">
        <f ca="1">IF(N3&gt;$A$14,N3,"")</f>
        <v/>
      </c>
      <c r="P3" s="37" t="str">
        <f ca="1"/>
        <v/>
      </c>
    </row>
    <row r="4" spans="1:16" s="37" customFormat="1" ht="30" customHeight="1" x14ac:dyDescent="0.25">
      <c r="A4" s="14" t="s">
        <v>20</v>
      </c>
      <c r="B4" s="16" t="s">
        <v>48</v>
      </c>
      <c r="C4" s="6" t="s">
        <v>49</v>
      </c>
      <c r="D4" s="25"/>
      <c r="E4" s="83" t="s">
        <v>46</v>
      </c>
      <c r="F4" s="3">
        <v>100</v>
      </c>
      <c r="G4" s="3"/>
      <c r="H4" s="3"/>
      <c r="I4" s="3"/>
      <c r="J4" s="37">
        <f ca="1"/>
        <v>45894</v>
      </c>
      <c r="K4" s="41">
        <f ca="1"/>
        <v>46.5</v>
      </c>
      <c r="L4" s="37">
        <f ca="1"/>
        <v>45943</v>
      </c>
      <c r="M4" s="41">
        <f ca="1"/>
        <v>0.56000000000000005</v>
      </c>
      <c r="N4" s="37" t="str">
        <f t="shared" ref="N4:N67" ca="1" si="0">IF(COUNTIF(L:L,J4),J4,"")</f>
        <v/>
      </c>
      <c r="O4" s="37" t="str">
        <f t="shared" ref="O4:O67" ca="1" si="1">IF(N4&gt;$A$14,N4,"")</f>
        <v/>
      </c>
    </row>
    <row r="5" spans="1:16" s="37" customFormat="1" x14ac:dyDescent="0.25">
      <c r="A5" s="14" t="s">
        <v>2</v>
      </c>
      <c r="B5" s="17">
        <v>10000000</v>
      </c>
      <c r="C5" s="17">
        <f>B5*3</f>
        <v>30000000</v>
      </c>
      <c r="D5" s="25"/>
      <c r="E5" s="83" t="s">
        <v>47</v>
      </c>
      <c r="F5" s="3">
        <v>100</v>
      </c>
      <c r="G5" s="3"/>
      <c r="H5" s="3"/>
      <c r="I5" s="3"/>
      <c r="J5" s="37">
        <f ca="1"/>
        <v>45895</v>
      </c>
      <c r="K5" s="41">
        <f ca="1"/>
        <v>47.09</v>
      </c>
      <c r="L5" s="37">
        <f ca="1"/>
        <v>45957</v>
      </c>
      <c r="M5" s="41">
        <f ca="1"/>
        <v>0.74</v>
      </c>
      <c r="N5" s="37" t="str">
        <f t="shared" ca="1" si="0"/>
        <v/>
      </c>
      <c r="O5" s="37" t="str">
        <f t="shared" ca="1" si="1"/>
        <v/>
      </c>
    </row>
    <row r="6" spans="1:16" s="37" customFormat="1" x14ac:dyDescent="0.25">
      <c r="A6" s="14" t="s">
        <v>51</v>
      </c>
      <c r="B6" s="26">
        <v>6850.92</v>
      </c>
      <c r="C6" s="26">
        <v>80.53</v>
      </c>
      <c r="D6" s="25"/>
      <c r="E6" s="3"/>
      <c r="F6" s="3"/>
      <c r="G6" s="3"/>
      <c r="H6" s="3"/>
      <c r="I6" s="3"/>
      <c r="J6" s="37">
        <f ca="1"/>
        <v>45896</v>
      </c>
      <c r="K6" s="41">
        <f ca="1"/>
        <v>50.8</v>
      </c>
      <c r="L6" s="37">
        <f ca="1"/>
        <v>45961</v>
      </c>
      <c r="M6" s="41">
        <f ca="1"/>
        <v>0.77</v>
      </c>
      <c r="N6" s="37" t="str">
        <f t="shared" ca="1" si="0"/>
        <v/>
      </c>
      <c r="O6" s="37" t="str">
        <f t="shared" ca="1" si="1"/>
        <v/>
      </c>
    </row>
    <row r="7" spans="1:16" s="37" customFormat="1" x14ac:dyDescent="0.25">
      <c r="A7" s="14" t="s">
        <v>50</v>
      </c>
      <c r="B7" s="26">
        <f>B5/(B6*F4)</f>
        <v>14.596579729437797</v>
      </c>
      <c r="C7" s="26">
        <f>C5/(C6*F5)</f>
        <v>3725.3197566124427</v>
      </c>
      <c r="D7" s="25"/>
      <c r="E7" s="3"/>
      <c r="F7" s="3"/>
      <c r="G7" s="3"/>
      <c r="H7" s="3"/>
      <c r="I7" s="3"/>
      <c r="J7" s="38">
        <f ca="1"/>
        <v>45898</v>
      </c>
      <c r="K7" s="41">
        <f ca="1"/>
        <v>47.9</v>
      </c>
      <c r="L7" s="37">
        <f ca="1"/>
        <v>45964</v>
      </c>
      <c r="M7" s="41">
        <f ca="1"/>
        <v>0.39</v>
      </c>
      <c r="N7" s="37" t="str">
        <f t="shared" ca="1" si="0"/>
        <v/>
      </c>
      <c r="O7" s="37" t="str">
        <f t="shared" ca="1" si="1"/>
        <v/>
      </c>
    </row>
    <row r="8" spans="1:16" s="37" customFormat="1" x14ac:dyDescent="0.25">
      <c r="A8" s="14" t="s">
        <v>3</v>
      </c>
      <c r="B8" s="18" t="s">
        <v>13</v>
      </c>
      <c r="C8" s="10" t="s">
        <v>13</v>
      </c>
      <c r="D8" s="25"/>
      <c r="E8" s="3"/>
      <c r="F8" s="3"/>
      <c r="I8" s="3"/>
      <c r="J8" s="37">
        <f ca="1"/>
        <v>45902</v>
      </c>
      <c r="K8" s="41">
        <f ca="1"/>
        <v>36.200000000000003</v>
      </c>
      <c r="L8" s="37">
        <f ca="1"/>
        <v>45965</v>
      </c>
      <c r="M8" s="41">
        <f ca="1"/>
        <v>0.35</v>
      </c>
      <c r="N8" s="37" t="str">
        <f t="shared" ca="1" si="0"/>
        <v/>
      </c>
      <c r="O8" s="37" t="str">
        <f t="shared" ca="1" si="1"/>
        <v/>
      </c>
    </row>
    <row r="9" spans="1:16" s="37" customFormat="1" x14ac:dyDescent="0.25">
      <c r="A9" s="14" t="s">
        <v>4</v>
      </c>
      <c r="B9" s="18" t="s">
        <v>13</v>
      </c>
      <c r="C9" s="10" t="s">
        <v>13</v>
      </c>
      <c r="D9" s="25"/>
      <c r="E9" s="38"/>
      <c r="F9" s="3"/>
      <c r="I9" s="3"/>
      <c r="J9" s="37">
        <f ca="1"/>
        <v>45903</v>
      </c>
      <c r="K9" s="41">
        <f ca="1"/>
        <v>41</v>
      </c>
      <c r="L9" s="37">
        <f ca="1"/>
        <v>45966</v>
      </c>
      <c r="M9" s="41">
        <f ca="1"/>
        <v>0.35</v>
      </c>
      <c r="N9" s="37" t="str">
        <f t="shared" ca="1" si="0"/>
        <v/>
      </c>
      <c r="O9" s="37" t="str">
        <f t="shared" ca="1" si="1"/>
        <v/>
      </c>
    </row>
    <row r="10" spans="1:16" s="37" customFormat="1" ht="15.75" thickBot="1" x14ac:dyDescent="0.3">
      <c r="A10" s="15" t="s">
        <v>15</v>
      </c>
      <c r="B10" s="19" t="str" cm="1">
        <f t="array" ref="B10">_xll.BDP(B4,"OPT_PX")</f>
        <v>#N/A N/A</v>
      </c>
      <c r="C10" s="19" cm="1">
        <f t="array" ref="C10">_xll.BDP(C4,"OPT_PX")</f>
        <v>0.01</v>
      </c>
      <c r="D10" s="25"/>
      <c r="E10" s="1"/>
      <c r="F10" s="3"/>
      <c r="I10" s="3"/>
      <c r="J10" s="37">
        <f ca="1"/>
        <v>45904</v>
      </c>
      <c r="K10" s="41">
        <f ca="1"/>
        <v>42.63</v>
      </c>
      <c r="L10" s="37">
        <f ca="1"/>
        <v>45971</v>
      </c>
      <c r="M10" s="41">
        <f ca="1"/>
        <v>0.45</v>
      </c>
      <c r="N10" s="37" t="str">
        <f t="shared" ca="1" si="0"/>
        <v/>
      </c>
      <c r="O10" s="37" t="str">
        <f t="shared" ca="1" si="1"/>
        <v/>
      </c>
    </row>
    <row r="11" spans="1:16" s="37" customFormat="1" ht="15.75" thickBot="1" x14ac:dyDescent="0.3">
      <c r="A11" s="1"/>
      <c r="B11" s="1"/>
      <c r="C11" s="1"/>
      <c r="D11" s="25"/>
      <c r="E11" s="1"/>
      <c r="F11" s="3"/>
      <c r="G11" s="3"/>
      <c r="H11" s="3"/>
      <c r="I11" s="3"/>
      <c r="J11" s="37">
        <f ca="1"/>
        <v>45905</v>
      </c>
      <c r="K11" s="41">
        <f ca="1"/>
        <v>43.8</v>
      </c>
      <c r="L11" s="37">
        <f ca="1"/>
        <v>45972</v>
      </c>
      <c r="M11" s="41">
        <f ca="1"/>
        <v>0.48</v>
      </c>
      <c r="N11" s="37" t="str">
        <f t="shared" ca="1" si="0"/>
        <v/>
      </c>
      <c r="O11" s="37" t="str">
        <f t="shared" ca="1" si="1"/>
        <v/>
      </c>
    </row>
    <row r="12" spans="1:16" ht="15.75" thickBot="1" x14ac:dyDescent="0.3">
      <c r="A12" s="27" t="s">
        <v>12</v>
      </c>
      <c r="B12" s="138" t="s">
        <v>0</v>
      </c>
      <c r="C12" s="144"/>
      <c r="D12" s="140" t="s">
        <v>1</v>
      </c>
      <c r="E12" s="142"/>
      <c r="F12" s="27" t="s">
        <v>7</v>
      </c>
      <c r="H12" s="1"/>
      <c r="J12" s="76">
        <f ca="1"/>
        <v>45909</v>
      </c>
      <c r="K12" s="34">
        <f ca="1"/>
        <v>49.8</v>
      </c>
      <c r="L12" s="37">
        <f ca="1"/>
        <v>45975</v>
      </c>
      <c r="M12" s="41">
        <f ca="1"/>
        <v>0.34</v>
      </c>
      <c r="N12" s="37" t="str">
        <f t="shared" ca="1" si="0"/>
        <v/>
      </c>
      <c r="O12" s="37" t="str">
        <f t="shared" ca="1" si="1"/>
        <v/>
      </c>
    </row>
    <row r="13" spans="1:16" ht="15.75" thickBot="1" x14ac:dyDescent="0.3">
      <c r="A13" s="15"/>
      <c r="B13" s="11" t="s">
        <v>8</v>
      </c>
      <c r="C13" s="20" t="s">
        <v>11</v>
      </c>
      <c r="D13" s="11" t="s">
        <v>8</v>
      </c>
      <c r="E13" s="20" t="s">
        <v>11</v>
      </c>
      <c r="F13" s="60"/>
      <c r="H13" s="78"/>
      <c r="J13" s="76">
        <f ca="1"/>
        <v>45910</v>
      </c>
      <c r="K13" s="34">
        <f ca="1"/>
        <v>55</v>
      </c>
      <c r="L13" s="37">
        <f ca="1"/>
        <v>45979</v>
      </c>
      <c r="M13" s="41">
        <f ca="1"/>
        <v>0.32</v>
      </c>
      <c r="N13" s="37" t="str">
        <f t="shared" ca="1" si="0"/>
        <v/>
      </c>
      <c r="O13" s="37" t="str">
        <f t="shared" ca="1" si="1"/>
        <v/>
      </c>
    </row>
    <row r="14" spans="1:16" x14ac:dyDescent="0.25">
      <c r="A14" s="102">
        <v>47069</v>
      </c>
      <c r="B14" s="33">
        <v>129.33000000000001</v>
      </c>
      <c r="C14" s="25"/>
      <c r="D14" s="33">
        <v>0.48</v>
      </c>
      <c r="E14" s="1"/>
      <c r="F14" s="55">
        <v>0</v>
      </c>
      <c r="H14" s="78"/>
      <c r="J14" s="76">
        <f ca="1"/>
        <v>45911</v>
      </c>
      <c r="K14" s="34">
        <f ca="1"/>
        <v>65.849999999999994</v>
      </c>
      <c r="L14" s="37">
        <f ca="1"/>
        <v>45980</v>
      </c>
      <c r="M14" s="41">
        <f ca="1"/>
        <v>0.28000000000000003</v>
      </c>
      <c r="N14" s="37" t="str">
        <f t="shared" ca="1" si="0"/>
        <v/>
      </c>
      <c r="O14" s="37" t="str">
        <f t="shared" ca="1" si="1"/>
        <v/>
      </c>
    </row>
    <row r="15" spans="1:16" x14ac:dyDescent="0.25">
      <c r="A15" s="102">
        <f ca="1">IF(AND(ISBLANK(P4), A14 = $P$1),NOW(),IF(ISBLANK(P4),IF(ISBLANK(C14),NOW(),""),P4))</f>
        <v>46191.470807060185</v>
      </c>
      <c r="B15" s="33" t="str">
        <f ca="1">IF(COUNTIF(J:J,A15)=1,VLOOKUP(A15,J:K,2), IF(COUNTIF(J:J,A15)=0,$B$10,""))</f>
        <v>#N/A N/A</v>
      </c>
      <c r="C15" s="25" t="str">
        <f ca="1">IF(ISERROR(B15-2),"",(B15-$B$14)*$B$7*$F$4)</f>
        <v/>
      </c>
      <c r="D15" s="33">
        <f t="shared" ref="D15:D46" ca="1" si="2">IF(COUNTIF(J:J,A15)=1,VLOOKUP(A15,L:M,2), IF(COUNTIF(J:J,A15)=0,$C$10,""))</f>
        <v>0.01</v>
      </c>
      <c r="E15" s="25" t="str">
        <f ca="1">IF(ISERROR(B15-2),"",(D15-$D$14)*$C$7*$F$5)</f>
        <v/>
      </c>
      <c r="F15" s="55" t="str">
        <f ca="1">IF(ISERROR(B15-2),"",C15-E15)</f>
        <v/>
      </c>
      <c r="H15" s="78"/>
      <c r="J15" s="76">
        <f ca="1"/>
        <v>45915</v>
      </c>
      <c r="K15" s="34">
        <f ca="1"/>
        <v>75.53</v>
      </c>
      <c r="L15" s="37">
        <f ca="1"/>
        <v>45982</v>
      </c>
      <c r="M15" s="41">
        <f ca="1"/>
        <v>0.33</v>
      </c>
      <c r="N15" s="37" t="str">
        <f t="shared" ca="1" si="0"/>
        <v/>
      </c>
      <c r="O15" s="37" t="str">
        <f t="shared" ca="1" si="1"/>
        <v/>
      </c>
    </row>
    <row r="16" spans="1:16" x14ac:dyDescent="0.25">
      <c r="A16" s="102" t="str">
        <f t="shared" ref="A16:A79" ca="1" si="3">IF(AND(ISBLANK(P5), A15 = $P$1),NOW(),IF(ISBLANK(P5),IF(ISBLANK(C15),NOW(),""),P5))</f>
        <v/>
      </c>
      <c r="B16" s="33" t="str">
        <f t="shared" ref="B16:B79" ca="1" si="4">IF(COUNTIF(J:J,A16)=1,VLOOKUP(A16,J:K,2), IF(COUNTIF(J:J,A16)=0,$B$10,""))</f>
        <v/>
      </c>
      <c r="C16" s="25" t="str">
        <f t="shared" ref="C16:C79" ca="1" si="5">IF(ISERROR(B16-2),"",(B16-$B$14)*$B$7*$F$4)</f>
        <v/>
      </c>
      <c r="D16" s="33" t="str">
        <f t="shared" ca="1" si="2"/>
        <v/>
      </c>
      <c r="E16" s="25" t="str">
        <f t="shared" ref="E16:E79" ca="1" si="6">IF(ISERROR(B16-2),"",(D16-$D$14)*$C$7*$F$5)</f>
        <v/>
      </c>
      <c r="F16" s="55" t="str">
        <f ca="1">IF(ISERROR(B16-2),"",C16-E16)</f>
        <v/>
      </c>
      <c r="H16" s="78"/>
      <c r="J16" s="76">
        <f ca="1"/>
        <v>45916</v>
      </c>
      <c r="K16" s="34">
        <f ca="1"/>
        <v>78.400000000000006</v>
      </c>
      <c r="L16" s="37">
        <f ca="1"/>
        <v>45985</v>
      </c>
      <c r="M16" s="41">
        <f ca="1"/>
        <v>0.33</v>
      </c>
      <c r="N16" s="37" t="str">
        <f t="shared" ca="1" si="0"/>
        <v/>
      </c>
      <c r="O16" s="37" t="str">
        <f t="shared" ca="1" si="1"/>
        <v/>
      </c>
    </row>
    <row r="17" spans="1:15" x14ac:dyDescent="0.25">
      <c r="A17" s="102" t="str">
        <f t="shared" ca="1" si="3"/>
        <v/>
      </c>
      <c r="B17" s="33" t="str">
        <f t="shared" ca="1" si="4"/>
        <v/>
      </c>
      <c r="C17" s="25" t="str">
        <f t="shared" ca="1" si="5"/>
        <v/>
      </c>
      <c r="D17" s="33" t="str">
        <f t="shared" ca="1" si="2"/>
        <v/>
      </c>
      <c r="E17" s="25" t="str">
        <f t="shared" ca="1" si="6"/>
        <v/>
      </c>
      <c r="F17" s="55" t="str">
        <f t="shared" ref="F17:F79" ca="1" si="7">IF(ISERROR(B17-2),"",C17-E17)</f>
        <v/>
      </c>
      <c r="H17" s="78"/>
      <c r="J17" s="76">
        <f ca="1"/>
        <v>45917</v>
      </c>
      <c r="K17" s="34">
        <f ca="1"/>
        <v>71.84</v>
      </c>
      <c r="L17" s="37">
        <f ca="1"/>
        <v>45987</v>
      </c>
      <c r="M17" s="41">
        <f ca="1"/>
        <v>0.47</v>
      </c>
      <c r="N17" s="37" t="str">
        <f t="shared" ca="1" si="0"/>
        <v/>
      </c>
      <c r="O17" s="37" t="str">
        <f t="shared" ca="1" si="1"/>
        <v/>
      </c>
    </row>
    <row r="18" spans="1:15" x14ac:dyDescent="0.25">
      <c r="A18" s="102" t="str">
        <f t="shared" ca="1" si="3"/>
        <v/>
      </c>
      <c r="B18" s="33" t="str">
        <f t="shared" ca="1" si="4"/>
        <v/>
      </c>
      <c r="C18" s="25" t="str">
        <f t="shared" ca="1" si="5"/>
        <v/>
      </c>
      <c r="D18" s="33" t="str">
        <f t="shared" ca="1" si="2"/>
        <v/>
      </c>
      <c r="E18" s="25" t="str">
        <f t="shared" ca="1" si="6"/>
        <v/>
      </c>
      <c r="F18" s="55" t="str">
        <f t="shared" ca="1" si="7"/>
        <v/>
      </c>
      <c r="H18" s="78"/>
      <c r="J18" s="76">
        <f ca="1"/>
        <v>45918</v>
      </c>
      <c r="K18" s="34">
        <f ca="1"/>
        <v>83.1</v>
      </c>
      <c r="L18" s="37">
        <f ca="1"/>
        <v>45989</v>
      </c>
      <c r="M18" s="41">
        <f ca="1"/>
        <v>0.48</v>
      </c>
      <c r="N18" s="37" t="str">
        <f t="shared" ca="1" si="0"/>
        <v/>
      </c>
      <c r="O18" s="37" t="str">
        <f t="shared" ca="1" si="1"/>
        <v/>
      </c>
    </row>
    <row r="19" spans="1:15" x14ac:dyDescent="0.25">
      <c r="A19" s="102" t="str">
        <f t="shared" ca="1" si="3"/>
        <v/>
      </c>
      <c r="B19" s="33" t="str">
        <f t="shared" ca="1" si="4"/>
        <v/>
      </c>
      <c r="C19" s="25" t="str">
        <f t="shared" ca="1" si="5"/>
        <v/>
      </c>
      <c r="D19" s="33" t="str">
        <f t="shared" ca="1" si="2"/>
        <v/>
      </c>
      <c r="E19" s="25" t="str">
        <f t="shared" ca="1" si="6"/>
        <v/>
      </c>
      <c r="F19" s="55" t="str">
        <f t="shared" ca="1" si="7"/>
        <v/>
      </c>
      <c r="H19" s="78"/>
      <c r="J19" s="76">
        <f ca="1"/>
        <v>45919</v>
      </c>
      <c r="K19" s="34">
        <f ca="1"/>
        <v>91.4</v>
      </c>
      <c r="L19" s="37">
        <f ca="1"/>
        <v>45992</v>
      </c>
      <c r="M19" s="41">
        <f ca="1"/>
        <v>0.4</v>
      </c>
      <c r="N19" s="37" t="str">
        <f t="shared" ca="1" si="0"/>
        <v/>
      </c>
      <c r="O19" s="37" t="str">
        <f t="shared" ca="1" si="1"/>
        <v/>
      </c>
    </row>
    <row r="20" spans="1:15" x14ac:dyDescent="0.25">
      <c r="A20" s="102" t="str">
        <f t="shared" ca="1" si="3"/>
        <v/>
      </c>
      <c r="B20" s="33" t="str">
        <f t="shared" ca="1" si="4"/>
        <v/>
      </c>
      <c r="C20" s="25" t="str">
        <f t="shared" ca="1" si="5"/>
        <v/>
      </c>
      <c r="D20" s="33" t="str">
        <f t="shared" ca="1" si="2"/>
        <v/>
      </c>
      <c r="E20" s="25" t="str">
        <f t="shared" ca="1" si="6"/>
        <v/>
      </c>
      <c r="F20" s="55" t="str">
        <f t="shared" ca="1" si="7"/>
        <v/>
      </c>
      <c r="H20" s="78"/>
      <c r="J20" s="76">
        <f ca="1"/>
        <v>45922</v>
      </c>
      <c r="K20" s="34">
        <f ca="1"/>
        <v>106.02</v>
      </c>
      <c r="L20" s="37">
        <f ca="1"/>
        <v>45993</v>
      </c>
      <c r="M20" s="41">
        <f ca="1"/>
        <v>0.38</v>
      </c>
      <c r="N20" s="37" t="str">
        <f t="shared" ca="1" si="0"/>
        <v/>
      </c>
      <c r="O20" s="37" t="str">
        <f t="shared" ca="1" si="1"/>
        <v/>
      </c>
    </row>
    <row r="21" spans="1:15" x14ac:dyDescent="0.25">
      <c r="A21" s="102" t="str">
        <f t="shared" ca="1" si="3"/>
        <v/>
      </c>
      <c r="B21" s="33" t="str">
        <f t="shared" ca="1" si="4"/>
        <v/>
      </c>
      <c r="C21" s="25" t="str">
        <f t="shared" ca="1" si="5"/>
        <v/>
      </c>
      <c r="D21" s="33" t="str">
        <f t="shared" ca="1" si="2"/>
        <v/>
      </c>
      <c r="E21" s="25" t="str">
        <f t="shared" ca="1" si="6"/>
        <v/>
      </c>
      <c r="F21" s="55" t="str">
        <f t="shared" ca="1" si="7"/>
        <v/>
      </c>
      <c r="H21" s="78"/>
      <c r="J21" s="76">
        <f ca="1"/>
        <v>45923</v>
      </c>
      <c r="K21" s="34">
        <f ca="1"/>
        <v>100.58</v>
      </c>
      <c r="L21" s="37">
        <f ca="1"/>
        <v>45994</v>
      </c>
      <c r="M21" s="41">
        <f ca="1"/>
        <v>0.41</v>
      </c>
      <c r="N21" s="37" t="str">
        <f t="shared" ca="1" si="0"/>
        <v/>
      </c>
      <c r="O21" s="37" t="str">
        <f t="shared" ca="1" si="1"/>
        <v/>
      </c>
    </row>
    <row r="22" spans="1:15" x14ac:dyDescent="0.25">
      <c r="A22" s="102" t="str">
        <f t="shared" ca="1" si="3"/>
        <v/>
      </c>
      <c r="B22" s="33" t="str">
        <f t="shared" ca="1" si="4"/>
        <v/>
      </c>
      <c r="C22" s="25" t="str">
        <f t="shared" ca="1" si="5"/>
        <v/>
      </c>
      <c r="D22" s="33" t="str">
        <f t="shared" ca="1" si="2"/>
        <v/>
      </c>
      <c r="E22" s="25" t="str">
        <f t="shared" ca="1" si="6"/>
        <v/>
      </c>
      <c r="F22" s="55" t="str">
        <f t="shared" ca="1" si="7"/>
        <v/>
      </c>
      <c r="H22" s="78"/>
      <c r="J22" s="76">
        <f ca="1"/>
        <v>45924</v>
      </c>
      <c r="K22" s="34">
        <f ca="1"/>
        <v>86.06</v>
      </c>
      <c r="L22" s="37">
        <f ca="1"/>
        <v>45995</v>
      </c>
      <c r="M22" s="41">
        <f ca="1"/>
        <v>0.32</v>
      </c>
      <c r="N22" s="37" t="str">
        <f t="shared" ca="1" si="0"/>
        <v/>
      </c>
      <c r="O22" s="37" t="str">
        <f t="shared" ca="1" si="1"/>
        <v/>
      </c>
    </row>
    <row r="23" spans="1:15" ht="14.45" customHeight="1" x14ac:dyDescent="0.25">
      <c r="A23" s="102" t="str">
        <f t="shared" ca="1" si="3"/>
        <v/>
      </c>
      <c r="B23" s="33" t="str">
        <f t="shared" ca="1" si="4"/>
        <v/>
      </c>
      <c r="C23" s="25" t="str">
        <f t="shared" ca="1" si="5"/>
        <v/>
      </c>
      <c r="D23" s="33" t="str">
        <f t="shared" ca="1" si="2"/>
        <v/>
      </c>
      <c r="E23" s="25" t="str">
        <f t="shared" ca="1" si="6"/>
        <v/>
      </c>
      <c r="F23" s="55" t="str">
        <f t="shared" ca="1" si="7"/>
        <v/>
      </c>
      <c r="H23" s="78"/>
      <c r="J23" s="76">
        <f ca="1"/>
        <v>45925</v>
      </c>
      <c r="K23" s="34">
        <f ca="1"/>
        <v>75.27</v>
      </c>
      <c r="L23" s="37">
        <f ca="1"/>
        <v>45996</v>
      </c>
      <c r="M23" s="41">
        <f ca="1"/>
        <v>0.34</v>
      </c>
      <c r="N23" s="37" t="str">
        <f t="shared" ca="1" si="0"/>
        <v/>
      </c>
      <c r="O23" s="37" t="str">
        <f t="shared" ca="1" si="1"/>
        <v/>
      </c>
    </row>
    <row r="24" spans="1:15" ht="14.45" customHeight="1" x14ac:dyDescent="0.25">
      <c r="A24" s="102" t="str">
        <f t="shared" ca="1" si="3"/>
        <v/>
      </c>
      <c r="B24" s="33" t="str">
        <f t="shared" ca="1" si="4"/>
        <v/>
      </c>
      <c r="C24" s="25" t="str">
        <f t="shared" ca="1" si="5"/>
        <v/>
      </c>
      <c r="D24" s="33" t="str">
        <f t="shared" ca="1" si="2"/>
        <v/>
      </c>
      <c r="E24" s="25" t="str">
        <f t="shared" ca="1" si="6"/>
        <v/>
      </c>
      <c r="F24" s="55" t="str">
        <f t="shared" ca="1" si="7"/>
        <v/>
      </c>
      <c r="H24" s="78"/>
      <c r="J24" s="76">
        <f ca="1"/>
        <v>45929</v>
      </c>
      <c r="K24" s="34">
        <f ca="1"/>
        <v>84.79</v>
      </c>
      <c r="L24" s="37">
        <f ca="1"/>
        <v>45999</v>
      </c>
      <c r="M24" s="41">
        <f ca="1"/>
        <v>0.26</v>
      </c>
      <c r="N24" s="37" t="str">
        <f t="shared" ca="1" si="0"/>
        <v/>
      </c>
      <c r="O24" s="37" t="str">
        <f t="shared" ca="1" si="1"/>
        <v/>
      </c>
    </row>
    <row r="25" spans="1:15" ht="14.45" customHeight="1" x14ac:dyDescent="0.25">
      <c r="A25" s="102" t="str">
        <f t="shared" ca="1" si="3"/>
        <v/>
      </c>
      <c r="B25" s="33" t="str">
        <f t="shared" ca="1" si="4"/>
        <v/>
      </c>
      <c r="C25" s="25" t="str">
        <f t="shared" ca="1" si="5"/>
        <v/>
      </c>
      <c r="D25" s="33" t="str">
        <f t="shared" ca="1" si="2"/>
        <v/>
      </c>
      <c r="E25" s="25" t="str">
        <f t="shared" ca="1" si="6"/>
        <v/>
      </c>
      <c r="F25" s="55" t="str">
        <f t="shared" ca="1" si="7"/>
        <v/>
      </c>
      <c r="H25" s="78"/>
      <c r="J25" s="76">
        <f ca="1"/>
        <v>45930</v>
      </c>
      <c r="K25" s="34">
        <f ca="1"/>
        <v>79.569999999999993</v>
      </c>
      <c r="L25" s="37">
        <f ca="1"/>
        <v>46000</v>
      </c>
      <c r="M25" s="41">
        <f ca="1"/>
        <v>0.25</v>
      </c>
      <c r="N25" s="37" t="str">
        <f t="shared" ca="1" si="0"/>
        <v/>
      </c>
      <c r="O25" s="37" t="str">
        <f t="shared" ca="1" si="1"/>
        <v/>
      </c>
    </row>
    <row r="26" spans="1:15" ht="14.45" customHeight="1" x14ac:dyDescent="0.25">
      <c r="A26" s="102" t="str">
        <f t="shared" ca="1" si="3"/>
        <v/>
      </c>
      <c r="B26" s="33" t="str">
        <f t="shared" ca="1" si="4"/>
        <v/>
      </c>
      <c r="C26" s="25" t="str">
        <f t="shared" ca="1" si="5"/>
        <v/>
      </c>
      <c r="D26" s="33" t="str">
        <f t="shared" ca="1" si="2"/>
        <v/>
      </c>
      <c r="E26" s="25" t="str">
        <f t="shared" ca="1" si="6"/>
        <v/>
      </c>
      <c r="F26" s="55" t="str">
        <f t="shared" ca="1" si="7"/>
        <v/>
      </c>
      <c r="H26" s="78"/>
      <c r="J26" s="76">
        <f ca="1"/>
        <v>45931</v>
      </c>
      <c r="K26" s="34">
        <f ca="1"/>
        <v>101.4</v>
      </c>
      <c r="L26" s="37">
        <f ca="1"/>
        <v>46001</v>
      </c>
      <c r="M26" s="41">
        <f ca="1"/>
        <v>0.34</v>
      </c>
      <c r="N26" s="37" t="str">
        <f t="shared" ca="1" si="0"/>
        <v/>
      </c>
      <c r="O26" s="37" t="str">
        <f t="shared" ca="1" si="1"/>
        <v/>
      </c>
    </row>
    <row r="27" spans="1:15" ht="14.45" customHeight="1" x14ac:dyDescent="0.25">
      <c r="A27" s="102" t="str">
        <f t="shared" ca="1" si="3"/>
        <v/>
      </c>
      <c r="B27" s="33" t="str">
        <f t="shared" ca="1" si="4"/>
        <v/>
      </c>
      <c r="C27" s="25" t="str">
        <f t="shared" ca="1" si="5"/>
        <v/>
      </c>
      <c r="D27" s="33" t="str">
        <f t="shared" ca="1" si="2"/>
        <v/>
      </c>
      <c r="E27" s="25" t="str">
        <f t="shared" ca="1" si="6"/>
        <v/>
      </c>
      <c r="F27" s="55" t="str">
        <f t="shared" ca="1" si="7"/>
        <v/>
      </c>
      <c r="H27" s="78"/>
      <c r="J27" s="76">
        <f ca="1"/>
        <v>45932</v>
      </c>
      <c r="K27" s="34">
        <f ca="1"/>
        <v>101.09</v>
      </c>
      <c r="L27" s="37">
        <f ca="1"/>
        <v>46002</v>
      </c>
      <c r="M27" s="41">
        <f ca="1"/>
        <v>0.3</v>
      </c>
      <c r="N27" s="37" t="str">
        <f t="shared" ca="1" si="0"/>
        <v/>
      </c>
      <c r="O27" s="37" t="str">
        <f t="shared" ca="1" si="1"/>
        <v/>
      </c>
    </row>
    <row r="28" spans="1:15" ht="14.45" customHeight="1" x14ac:dyDescent="0.25">
      <c r="A28" s="102" t="str">
        <f t="shared" ca="1" si="3"/>
        <v/>
      </c>
      <c r="B28" s="33" t="str">
        <f t="shared" ca="1" si="4"/>
        <v/>
      </c>
      <c r="C28" s="25" t="str">
        <f t="shared" ca="1" si="5"/>
        <v/>
      </c>
      <c r="D28" s="33" t="str">
        <f t="shared" ca="1" si="2"/>
        <v/>
      </c>
      <c r="E28" s="25" t="str">
        <f t="shared" ca="1" si="6"/>
        <v/>
      </c>
      <c r="F28" s="55" t="str">
        <f t="shared" ca="1" si="7"/>
        <v/>
      </c>
      <c r="H28" s="78"/>
      <c r="J28" s="76">
        <f ca="1"/>
        <v>45933</v>
      </c>
      <c r="K28" s="34">
        <f ca="1"/>
        <v>104.6</v>
      </c>
      <c r="L28" s="37">
        <f ca="1"/>
        <v>46003</v>
      </c>
      <c r="M28" s="41">
        <f ca="1"/>
        <v>0.25</v>
      </c>
      <c r="N28" s="37">
        <f t="shared" ca="1" si="0"/>
        <v>45933</v>
      </c>
      <c r="O28" s="37" t="str">
        <f t="shared" ca="1" si="1"/>
        <v/>
      </c>
    </row>
    <row r="29" spans="1:15" ht="14.45" customHeight="1" x14ac:dyDescent="0.25">
      <c r="A29" s="102" t="str">
        <f t="shared" ca="1" si="3"/>
        <v/>
      </c>
      <c r="B29" s="33" t="str">
        <f t="shared" ca="1" si="4"/>
        <v/>
      </c>
      <c r="C29" s="25" t="str">
        <f t="shared" ca="1" si="5"/>
        <v/>
      </c>
      <c r="D29" s="33" t="str">
        <f t="shared" ca="1" si="2"/>
        <v/>
      </c>
      <c r="E29" s="25" t="str">
        <f t="shared" ca="1" si="6"/>
        <v/>
      </c>
      <c r="F29" s="55" t="str">
        <f t="shared" ca="1" si="7"/>
        <v/>
      </c>
      <c r="H29" s="78"/>
      <c r="J29" s="76">
        <f ca="1"/>
        <v>45936</v>
      </c>
      <c r="K29" s="34">
        <f ca="1"/>
        <v>113.2</v>
      </c>
      <c r="L29" s="37">
        <f ca="1"/>
        <v>46006</v>
      </c>
      <c r="M29" s="41">
        <f ca="1"/>
        <v>0.27</v>
      </c>
      <c r="N29" s="37" t="str">
        <f t="shared" ca="1" si="0"/>
        <v/>
      </c>
      <c r="O29" s="37" t="str">
        <f t="shared" ca="1" si="1"/>
        <v/>
      </c>
    </row>
    <row r="30" spans="1:15" ht="14.45" customHeight="1" x14ac:dyDescent="0.25">
      <c r="A30" s="102" t="str">
        <f t="shared" ca="1" si="3"/>
        <v/>
      </c>
      <c r="B30" s="33" t="str">
        <f t="shared" ca="1" si="4"/>
        <v/>
      </c>
      <c r="C30" s="25" t="str">
        <f t="shared" ca="1" si="5"/>
        <v/>
      </c>
      <c r="D30" s="33" t="str">
        <f t="shared" ca="1" si="2"/>
        <v/>
      </c>
      <c r="E30" s="25" t="str">
        <f t="shared" ca="1" si="6"/>
        <v/>
      </c>
      <c r="F30" s="55" t="str">
        <f t="shared" ca="1" si="7"/>
        <v/>
      </c>
      <c r="H30" s="78"/>
      <c r="J30" s="76">
        <f ca="1"/>
        <v>45937</v>
      </c>
      <c r="K30" s="34">
        <f ca="1"/>
        <v>107.8</v>
      </c>
      <c r="L30" s="37">
        <f ca="1"/>
        <v>46007</v>
      </c>
      <c r="M30" s="41">
        <f ca="1"/>
        <v>0.24</v>
      </c>
      <c r="N30" s="37" t="str">
        <f t="shared" ca="1" si="0"/>
        <v/>
      </c>
      <c r="O30" s="37" t="str">
        <f t="shared" ca="1" si="1"/>
        <v/>
      </c>
    </row>
    <row r="31" spans="1:15" ht="14.45" customHeight="1" x14ac:dyDescent="0.25">
      <c r="A31" s="102" t="str">
        <f t="shared" ca="1" si="3"/>
        <v/>
      </c>
      <c r="B31" s="33" t="str">
        <f t="shared" ca="1" si="4"/>
        <v/>
      </c>
      <c r="C31" s="25" t="str">
        <f t="shared" ca="1" si="5"/>
        <v/>
      </c>
      <c r="D31" s="33" t="str">
        <f t="shared" ca="1" si="2"/>
        <v/>
      </c>
      <c r="E31" s="25" t="str">
        <f t="shared" ca="1" si="6"/>
        <v/>
      </c>
      <c r="F31" s="55" t="str">
        <f t="shared" ca="1" si="7"/>
        <v/>
      </c>
      <c r="H31" s="78"/>
      <c r="J31" s="76">
        <f ca="1"/>
        <v>45938</v>
      </c>
      <c r="K31" s="34">
        <f ca="1"/>
        <v>115.93</v>
      </c>
      <c r="L31" s="37">
        <f ca="1"/>
        <v>46008</v>
      </c>
      <c r="M31" s="41">
        <f ca="1"/>
        <v>0.23</v>
      </c>
      <c r="N31" s="37" t="str">
        <f t="shared" ca="1" si="0"/>
        <v/>
      </c>
      <c r="O31" s="37" t="str">
        <f t="shared" ca="1" si="1"/>
        <v/>
      </c>
    </row>
    <row r="32" spans="1:15" ht="14.45" customHeight="1" x14ac:dyDescent="0.25">
      <c r="A32" s="102" t="str">
        <f t="shared" ca="1" si="3"/>
        <v/>
      </c>
      <c r="B32" s="33" t="str">
        <f t="shared" ca="1" si="4"/>
        <v/>
      </c>
      <c r="C32" s="25" t="str">
        <f t="shared" ca="1" si="5"/>
        <v/>
      </c>
      <c r="D32" s="33" t="str">
        <f t="shared" ca="1" si="2"/>
        <v/>
      </c>
      <c r="E32" s="25" t="str">
        <f t="shared" ca="1" si="6"/>
        <v/>
      </c>
      <c r="F32" s="55" t="str">
        <f t="shared" ca="1" si="7"/>
        <v/>
      </c>
      <c r="H32" s="78"/>
      <c r="J32" s="76">
        <f ca="1"/>
        <v>45939</v>
      </c>
      <c r="K32" s="34">
        <f ca="1"/>
        <v>105.7</v>
      </c>
      <c r="L32" s="37">
        <f ca="1"/>
        <v>46009</v>
      </c>
      <c r="M32" s="41">
        <f ca="1"/>
        <v>0.31</v>
      </c>
      <c r="N32" s="37" t="str">
        <f t="shared" ca="1" si="0"/>
        <v/>
      </c>
      <c r="O32" s="37" t="str">
        <f t="shared" ca="1" si="1"/>
        <v/>
      </c>
    </row>
    <row r="33" spans="1:15" ht="14.45" customHeight="1" x14ac:dyDescent="0.25">
      <c r="A33" s="102" t="str">
        <f t="shared" ca="1" si="3"/>
        <v/>
      </c>
      <c r="B33" s="33" t="str">
        <f t="shared" ca="1" si="4"/>
        <v/>
      </c>
      <c r="C33" s="25" t="str">
        <f t="shared" ca="1" si="5"/>
        <v/>
      </c>
      <c r="D33" s="33" t="str">
        <f t="shared" ca="1" si="2"/>
        <v/>
      </c>
      <c r="E33" s="25" t="str">
        <f t="shared" ca="1" si="6"/>
        <v/>
      </c>
      <c r="F33" s="55" t="str">
        <f t="shared" ca="1" si="7"/>
        <v/>
      </c>
      <c r="H33" s="78"/>
      <c r="J33" s="76">
        <f ca="1"/>
        <v>45940</v>
      </c>
      <c r="K33" s="34">
        <f ca="1"/>
        <v>76.760000000000005</v>
      </c>
      <c r="L33" s="37">
        <f ca="1"/>
        <v>46010</v>
      </c>
      <c r="M33" s="41">
        <f ca="1"/>
        <v>0.28000000000000003</v>
      </c>
      <c r="N33" s="37" t="str">
        <f t="shared" ca="1" si="0"/>
        <v/>
      </c>
      <c r="O33" s="37" t="str">
        <f t="shared" ca="1" si="1"/>
        <v/>
      </c>
    </row>
    <row r="34" spans="1:15" ht="14.45" customHeight="1" x14ac:dyDescent="0.25">
      <c r="A34" s="102" t="str">
        <f t="shared" ca="1" si="3"/>
        <v/>
      </c>
      <c r="B34" s="33" t="str">
        <f t="shared" ca="1" si="4"/>
        <v/>
      </c>
      <c r="C34" s="25" t="str">
        <f t="shared" ca="1" si="5"/>
        <v/>
      </c>
      <c r="D34" s="33" t="str">
        <f t="shared" ca="1" si="2"/>
        <v/>
      </c>
      <c r="E34" s="25" t="str">
        <f t="shared" ca="1" si="6"/>
        <v/>
      </c>
      <c r="F34" s="55" t="str">
        <f t="shared" ca="1" si="7"/>
        <v/>
      </c>
      <c r="H34" s="78"/>
      <c r="J34" s="76">
        <f ca="1"/>
        <v>45943</v>
      </c>
      <c r="K34" s="34">
        <f ca="1"/>
        <v>87.3</v>
      </c>
      <c r="L34" s="37">
        <f ca="1"/>
        <v>46013</v>
      </c>
      <c r="M34" s="41">
        <f ca="1"/>
        <v>0.23</v>
      </c>
      <c r="N34" s="37">
        <f t="shared" ca="1" si="0"/>
        <v>45943</v>
      </c>
      <c r="O34" s="37" t="str">
        <f t="shared" ca="1" si="1"/>
        <v/>
      </c>
    </row>
    <row r="35" spans="1:15" ht="14.45" customHeight="1" x14ac:dyDescent="0.25">
      <c r="A35" s="102" t="str">
        <f t="shared" ca="1" si="3"/>
        <v/>
      </c>
      <c r="B35" s="33" t="str">
        <f t="shared" ca="1" si="4"/>
        <v/>
      </c>
      <c r="C35" s="25" t="str">
        <f t="shared" ca="1" si="5"/>
        <v/>
      </c>
      <c r="D35" s="33" t="str">
        <f t="shared" ca="1" si="2"/>
        <v/>
      </c>
      <c r="E35" s="25" t="str">
        <f t="shared" ca="1" si="6"/>
        <v/>
      </c>
      <c r="F35" s="55" t="str">
        <f t="shared" ca="1" si="7"/>
        <v/>
      </c>
      <c r="H35" s="78"/>
      <c r="J35" s="76">
        <f ca="1"/>
        <v>45944</v>
      </c>
      <c r="K35" s="34">
        <f ca="1"/>
        <v>74</v>
      </c>
      <c r="L35" s="37">
        <f ca="1"/>
        <v>46014</v>
      </c>
      <c r="M35" s="41">
        <f ca="1"/>
        <v>0.27</v>
      </c>
      <c r="N35" s="37" t="str">
        <f t="shared" ca="1" si="0"/>
        <v/>
      </c>
      <c r="O35" s="37" t="str">
        <f t="shared" ca="1" si="1"/>
        <v/>
      </c>
    </row>
    <row r="36" spans="1:15" ht="14.45" customHeight="1" x14ac:dyDescent="0.25">
      <c r="A36" s="102" t="str">
        <f t="shared" ca="1" si="3"/>
        <v/>
      </c>
      <c r="B36" s="33" t="str">
        <f t="shared" ca="1" si="4"/>
        <v/>
      </c>
      <c r="C36" s="25" t="str">
        <f t="shared" ca="1" si="5"/>
        <v/>
      </c>
      <c r="D36" s="33" t="str">
        <f t="shared" ca="1" si="2"/>
        <v/>
      </c>
      <c r="E36" s="25" t="str">
        <f t="shared" ca="1" si="6"/>
        <v/>
      </c>
      <c r="F36" s="55" t="str">
        <f t="shared" ca="1" si="7"/>
        <v/>
      </c>
      <c r="H36" s="78"/>
      <c r="J36" s="76">
        <f ca="1"/>
        <v>45945</v>
      </c>
      <c r="K36" s="34">
        <f ca="1"/>
        <v>83</v>
      </c>
      <c r="L36" s="37">
        <f ca="1"/>
        <v>46015</v>
      </c>
      <c r="M36" s="41">
        <f ca="1"/>
        <v>0.36</v>
      </c>
      <c r="N36" s="37" t="str">
        <f t="shared" ca="1" si="0"/>
        <v/>
      </c>
      <c r="O36" s="37" t="str">
        <f t="shared" ca="1" si="1"/>
        <v/>
      </c>
    </row>
    <row r="37" spans="1:15" x14ac:dyDescent="0.25">
      <c r="A37" s="102" t="str">
        <f t="shared" ca="1" si="3"/>
        <v/>
      </c>
      <c r="B37" s="33" t="str">
        <f t="shared" ca="1" si="4"/>
        <v/>
      </c>
      <c r="C37" s="25" t="str">
        <f t="shared" ca="1" si="5"/>
        <v/>
      </c>
      <c r="D37" s="33" t="str">
        <f t="shared" ca="1" si="2"/>
        <v/>
      </c>
      <c r="E37" s="25" t="str">
        <f t="shared" ca="1" si="6"/>
        <v/>
      </c>
      <c r="F37" s="55" t="str">
        <f t="shared" ca="1" si="7"/>
        <v/>
      </c>
      <c r="H37" s="78"/>
      <c r="J37" s="76">
        <f ca="1"/>
        <v>45946</v>
      </c>
      <c r="K37" s="34">
        <f ca="1"/>
        <v>88.83</v>
      </c>
      <c r="L37" s="37">
        <f ca="1"/>
        <v>46017</v>
      </c>
      <c r="M37" s="41">
        <f ca="1"/>
        <v>0.31</v>
      </c>
      <c r="N37" s="37" t="str">
        <f t="shared" ca="1" si="0"/>
        <v/>
      </c>
      <c r="O37" s="37" t="str">
        <f t="shared" ca="1" si="1"/>
        <v/>
      </c>
    </row>
    <row r="38" spans="1:15" x14ac:dyDescent="0.25">
      <c r="A38" s="102" t="str">
        <f t="shared" ca="1" si="3"/>
        <v/>
      </c>
      <c r="B38" s="33" t="str">
        <f t="shared" ca="1" si="4"/>
        <v/>
      </c>
      <c r="C38" s="25" t="str">
        <f t="shared" ca="1" si="5"/>
        <v/>
      </c>
      <c r="D38" s="33" t="str">
        <f t="shared" ca="1" si="2"/>
        <v/>
      </c>
      <c r="E38" s="25" t="str">
        <f t="shared" ca="1" si="6"/>
        <v/>
      </c>
      <c r="F38" s="55" t="str">
        <f t="shared" ca="1" si="7"/>
        <v/>
      </c>
      <c r="H38" s="78"/>
      <c r="J38" s="76">
        <f ca="1"/>
        <v>45947</v>
      </c>
      <c r="K38" s="34">
        <f ca="1"/>
        <v>85.7</v>
      </c>
      <c r="L38" s="37">
        <f ca="1"/>
        <v>46020</v>
      </c>
      <c r="M38" s="41">
        <f ca="1"/>
        <v>0.27</v>
      </c>
      <c r="N38" s="37" t="str">
        <f t="shared" ca="1" si="0"/>
        <v/>
      </c>
      <c r="O38" s="37" t="str">
        <f t="shared" ca="1" si="1"/>
        <v/>
      </c>
    </row>
    <row r="39" spans="1:15" x14ac:dyDescent="0.25">
      <c r="A39" s="102" t="str">
        <f t="shared" ca="1" si="3"/>
        <v/>
      </c>
      <c r="B39" s="33" t="str">
        <f t="shared" ca="1" si="4"/>
        <v/>
      </c>
      <c r="C39" s="25" t="str">
        <f t="shared" ca="1" si="5"/>
        <v/>
      </c>
      <c r="D39" s="33" t="str">
        <f t="shared" ca="1" si="2"/>
        <v/>
      </c>
      <c r="E39" s="25" t="str">
        <f t="shared" ca="1" si="6"/>
        <v/>
      </c>
      <c r="F39" s="55" t="str">
        <f t="shared" ca="1" si="7"/>
        <v/>
      </c>
      <c r="H39" s="79"/>
      <c r="J39" s="76">
        <f ca="1"/>
        <v>45950</v>
      </c>
      <c r="K39" s="34">
        <f ca="1"/>
        <v>100.32</v>
      </c>
      <c r="L39" s="37">
        <f ca="1"/>
        <v>46021</v>
      </c>
      <c r="M39" s="41">
        <f ca="1"/>
        <v>0.31</v>
      </c>
      <c r="N39" s="37" t="str">
        <f t="shared" ca="1" si="0"/>
        <v/>
      </c>
      <c r="O39" s="37" t="str">
        <f t="shared" ca="1" si="1"/>
        <v/>
      </c>
    </row>
    <row r="40" spans="1:15" x14ac:dyDescent="0.25">
      <c r="A40" s="102" t="str">
        <f t="shared" ca="1" si="3"/>
        <v/>
      </c>
      <c r="B40" s="33" t="str">
        <f t="shared" ca="1" si="4"/>
        <v/>
      </c>
      <c r="C40" s="25" t="str">
        <f t="shared" ca="1" si="5"/>
        <v/>
      </c>
      <c r="D40" s="33" t="str">
        <f t="shared" ca="1" si="2"/>
        <v/>
      </c>
      <c r="E40" s="25" t="str">
        <f t="shared" ca="1" si="6"/>
        <v/>
      </c>
      <c r="F40" s="55" t="str">
        <f t="shared" ca="1" si="7"/>
        <v/>
      </c>
      <c r="H40" s="79"/>
      <c r="J40" s="76">
        <f ca="1"/>
        <v>45951</v>
      </c>
      <c r="K40" s="34">
        <f ca="1"/>
        <v>97.7</v>
      </c>
      <c r="L40" s="37">
        <f ca="1"/>
        <v>46022</v>
      </c>
      <c r="M40" s="41">
        <f ca="1"/>
        <v>0.31</v>
      </c>
      <c r="N40" s="37" t="str">
        <f t="shared" ca="1" si="0"/>
        <v/>
      </c>
      <c r="O40" s="37" t="str">
        <f t="shared" ca="1" si="1"/>
        <v/>
      </c>
    </row>
    <row r="41" spans="1:15" x14ac:dyDescent="0.25">
      <c r="A41" s="102" t="str">
        <f t="shared" ca="1" si="3"/>
        <v/>
      </c>
      <c r="B41" s="33" t="str">
        <f t="shared" ca="1" si="4"/>
        <v/>
      </c>
      <c r="C41" s="25" t="str">
        <f t="shared" ca="1" si="5"/>
        <v/>
      </c>
      <c r="D41" s="33" t="str">
        <f t="shared" ca="1" si="2"/>
        <v/>
      </c>
      <c r="E41" s="25" t="str">
        <f t="shared" ca="1" si="6"/>
        <v/>
      </c>
      <c r="F41" s="55" t="str">
        <f t="shared" ca="1" si="7"/>
        <v/>
      </c>
      <c r="H41" s="79"/>
      <c r="J41" s="76">
        <f ca="1"/>
        <v>45952</v>
      </c>
      <c r="K41" s="34">
        <f ca="1"/>
        <v>87.4</v>
      </c>
      <c r="L41" s="37">
        <f ca="1"/>
        <v>46024</v>
      </c>
      <c r="M41" s="41">
        <f ca="1"/>
        <v>0.27</v>
      </c>
      <c r="N41" s="37" t="str">
        <f t="shared" ca="1" si="0"/>
        <v/>
      </c>
      <c r="O41" s="37" t="str">
        <f t="shared" ca="1" si="1"/>
        <v/>
      </c>
    </row>
    <row r="42" spans="1:15" x14ac:dyDescent="0.25">
      <c r="A42" s="102" t="str">
        <f t="shared" ca="1" si="3"/>
        <v/>
      </c>
      <c r="B42" s="33" t="str">
        <f t="shared" ca="1" si="4"/>
        <v/>
      </c>
      <c r="C42" s="25" t="str">
        <f t="shared" ca="1" si="5"/>
        <v/>
      </c>
      <c r="D42" s="33" t="str">
        <f t="shared" ca="1" si="2"/>
        <v/>
      </c>
      <c r="E42" s="25" t="str">
        <f t="shared" ca="1" si="6"/>
        <v/>
      </c>
      <c r="F42" s="55" t="str">
        <f t="shared" ca="1" si="7"/>
        <v/>
      </c>
      <c r="H42" s="79"/>
      <c r="J42" s="76">
        <f ca="1"/>
        <v>45953</v>
      </c>
      <c r="K42" s="34">
        <f ca="1"/>
        <v>89.7</v>
      </c>
      <c r="L42" s="37">
        <f ca="1"/>
        <v>46027</v>
      </c>
      <c r="M42" s="41">
        <f ca="1"/>
        <v>0.32</v>
      </c>
      <c r="N42" s="37" t="str">
        <f t="shared" ca="1" si="0"/>
        <v/>
      </c>
      <c r="O42" s="37" t="str">
        <f t="shared" ca="1" si="1"/>
        <v/>
      </c>
    </row>
    <row r="43" spans="1:15" x14ac:dyDescent="0.25">
      <c r="A43" s="102" t="str">
        <f t="shared" ca="1" si="3"/>
        <v/>
      </c>
      <c r="B43" s="33" t="str">
        <f t="shared" ca="1" si="4"/>
        <v/>
      </c>
      <c r="C43" s="25" t="str">
        <f t="shared" ca="1" si="5"/>
        <v/>
      </c>
      <c r="D43" s="33" t="str">
        <f t="shared" ca="1" si="2"/>
        <v/>
      </c>
      <c r="E43" s="25" t="str">
        <f t="shared" ca="1" si="6"/>
        <v/>
      </c>
      <c r="F43" s="55" t="str">
        <f t="shared" ca="1" si="7"/>
        <v/>
      </c>
      <c r="H43" s="79"/>
      <c r="J43" s="76">
        <f ca="1"/>
        <v>45954</v>
      </c>
      <c r="K43" s="34">
        <f ca="1"/>
        <v>112.19</v>
      </c>
      <c r="L43" s="37">
        <f ca="1"/>
        <v>46028</v>
      </c>
      <c r="M43" s="41">
        <f ca="1"/>
        <v>0.31</v>
      </c>
      <c r="N43" s="37" t="str">
        <f t="shared" ca="1" si="0"/>
        <v/>
      </c>
      <c r="O43" s="37" t="str">
        <f t="shared" ca="1" si="1"/>
        <v/>
      </c>
    </row>
    <row r="44" spans="1:15" x14ac:dyDescent="0.25">
      <c r="A44" s="102" t="str">
        <f t="shared" ca="1" si="3"/>
        <v/>
      </c>
      <c r="B44" s="33" t="str">
        <f t="shared" ca="1" si="4"/>
        <v/>
      </c>
      <c r="C44" s="25" t="str">
        <f t="shared" ca="1" si="5"/>
        <v/>
      </c>
      <c r="D44" s="33" t="str">
        <f t="shared" ca="1" si="2"/>
        <v/>
      </c>
      <c r="E44" s="25" t="str">
        <f t="shared" ca="1" si="6"/>
        <v/>
      </c>
      <c r="F44" s="55" t="str">
        <f t="shared" ca="1" si="7"/>
        <v/>
      </c>
      <c r="H44" s="79"/>
      <c r="J44" s="76">
        <f ca="1"/>
        <v>45957</v>
      </c>
      <c r="K44" s="34">
        <f ca="1"/>
        <v>142.58000000000001</v>
      </c>
      <c r="L44" s="37">
        <f ca="1"/>
        <v>46029</v>
      </c>
      <c r="M44" s="41">
        <f ca="1"/>
        <v>0.32</v>
      </c>
      <c r="N44" s="37">
        <f t="shared" ca="1" si="0"/>
        <v>45957</v>
      </c>
      <c r="O44" s="37" t="str">
        <f t="shared" ca="1" si="1"/>
        <v/>
      </c>
    </row>
    <row r="45" spans="1:15" x14ac:dyDescent="0.25">
      <c r="A45" s="102" t="str">
        <f t="shared" ca="1" si="3"/>
        <v/>
      </c>
      <c r="B45" s="33" t="str">
        <f t="shared" ca="1" si="4"/>
        <v/>
      </c>
      <c r="C45" s="25" t="str">
        <f t="shared" ca="1" si="5"/>
        <v/>
      </c>
      <c r="D45" s="33" t="str">
        <f t="shared" ca="1" si="2"/>
        <v/>
      </c>
      <c r="E45" s="25" t="str">
        <f t="shared" ca="1" si="6"/>
        <v/>
      </c>
      <c r="F45" s="55" t="str">
        <f t="shared" ca="1" si="7"/>
        <v/>
      </c>
      <c r="H45" s="79"/>
      <c r="J45" s="76">
        <f ca="1"/>
        <v>45958</v>
      </c>
      <c r="K45" s="34">
        <f ca="1"/>
        <v>164.7</v>
      </c>
      <c r="L45" s="37">
        <f ca="1"/>
        <v>46030</v>
      </c>
      <c r="M45" s="41">
        <f ca="1"/>
        <v>0.32</v>
      </c>
      <c r="N45" s="37" t="str">
        <f t="shared" ca="1" si="0"/>
        <v/>
      </c>
      <c r="O45" s="37" t="str">
        <f t="shared" ca="1" si="1"/>
        <v/>
      </c>
    </row>
    <row r="46" spans="1:15" x14ac:dyDescent="0.25">
      <c r="A46" s="102" t="str">
        <f t="shared" ca="1" si="3"/>
        <v/>
      </c>
      <c r="B46" s="33" t="str">
        <f t="shared" ca="1" si="4"/>
        <v/>
      </c>
      <c r="C46" s="25" t="str">
        <f t="shared" ca="1" si="5"/>
        <v/>
      </c>
      <c r="D46" s="33" t="str">
        <f t="shared" ca="1" si="2"/>
        <v/>
      </c>
      <c r="E46" s="25" t="str">
        <f t="shared" ca="1" si="6"/>
        <v/>
      </c>
      <c r="F46" s="55" t="str">
        <f t="shared" ca="1" si="7"/>
        <v/>
      </c>
      <c r="H46" s="79"/>
      <c r="J46" s="76">
        <f ca="1"/>
        <v>45959</v>
      </c>
      <c r="K46" s="34">
        <f ca="1"/>
        <v>177.01</v>
      </c>
      <c r="L46" s="37">
        <f ca="1"/>
        <v>46031</v>
      </c>
      <c r="M46" s="41">
        <f ca="1"/>
        <v>0.38</v>
      </c>
      <c r="N46" s="37" t="str">
        <f t="shared" ca="1" si="0"/>
        <v/>
      </c>
      <c r="O46" s="37" t="str">
        <f t="shared" ca="1" si="1"/>
        <v/>
      </c>
    </row>
    <row r="47" spans="1:15" x14ac:dyDescent="0.25">
      <c r="A47" s="102" t="str">
        <f t="shared" ca="1" si="3"/>
        <v/>
      </c>
      <c r="B47" s="33" t="str">
        <f t="shared" ca="1" si="4"/>
        <v/>
      </c>
      <c r="C47" s="25" t="str">
        <f t="shared" ca="1" si="5"/>
        <v/>
      </c>
      <c r="D47" s="33" t="str">
        <f t="shared" ref="D47:D78" ca="1" si="8">IF(COUNTIF(J:J,A47)=1,VLOOKUP(A47,L:M,2), IF(COUNTIF(J:J,A47)=0,$C$10,""))</f>
        <v/>
      </c>
      <c r="E47" s="25" t="str">
        <f t="shared" ca="1" si="6"/>
        <v/>
      </c>
      <c r="F47" s="55" t="str">
        <f t="shared" ca="1" si="7"/>
        <v/>
      </c>
      <c r="H47" s="79"/>
      <c r="J47" s="76">
        <f ca="1"/>
        <v>45960</v>
      </c>
      <c r="K47" s="34">
        <f ca="1"/>
        <v>147</v>
      </c>
      <c r="L47" s="37">
        <f ca="1"/>
        <v>46034</v>
      </c>
      <c r="M47" s="41">
        <f ca="1"/>
        <v>0.36</v>
      </c>
      <c r="N47" s="37" t="str">
        <f t="shared" ca="1" si="0"/>
        <v/>
      </c>
      <c r="O47" s="37" t="str">
        <f t="shared" ca="1" si="1"/>
        <v/>
      </c>
    </row>
    <row r="48" spans="1:15" x14ac:dyDescent="0.25">
      <c r="A48" s="102" t="str">
        <f t="shared" ca="1" si="3"/>
        <v/>
      </c>
      <c r="B48" s="33" t="str">
        <f t="shared" ca="1" si="4"/>
        <v/>
      </c>
      <c r="C48" s="25" t="str">
        <f t="shared" ca="1" si="5"/>
        <v/>
      </c>
      <c r="D48" s="33" t="str">
        <f t="shared" ca="1" si="8"/>
        <v/>
      </c>
      <c r="E48" s="25" t="str">
        <f t="shared" ca="1" si="6"/>
        <v/>
      </c>
      <c r="F48" s="55" t="str">
        <f t="shared" ca="1" si="7"/>
        <v/>
      </c>
      <c r="H48" s="79"/>
      <c r="J48" s="76">
        <f ca="1"/>
        <v>45961</v>
      </c>
      <c r="K48" s="34">
        <f ca="1"/>
        <v>153.56</v>
      </c>
      <c r="L48" s="37">
        <f ca="1"/>
        <v>46035</v>
      </c>
      <c r="M48" s="41">
        <f ca="1"/>
        <v>0.38</v>
      </c>
      <c r="N48" s="37">
        <f t="shared" ca="1" si="0"/>
        <v>45961</v>
      </c>
      <c r="O48" s="37" t="str">
        <f t="shared" ca="1" si="1"/>
        <v/>
      </c>
    </row>
    <row r="49" spans="1:15" x14ac:dyDescent="0.25">
      <c r="A49" s="102" t="str">
        <f t="shared" ca="1" si="3"/>
        <v/>
      </c>
      <c r="B49" s="33" t="str">
        <f t="shared" ca="1" si="4"/>
        <v/>
      </c>
      <c r="C49" s="25" t="str">
        <f t="shared" ca="1" si="5"/>
        <v/>
      </c>
      <c r="D49" s="33" t="str">
        <f t="shared" ca="1" si="8"/>
        <v/>
      </c>
      <c r="E49" s="25" t="str">
        <f t="shared" ca="1" si="6"/>
        <v/>
      </c>
      <c r="F49" s="55" t="str">
        <f t="shared" ca="1" si="7"/>
        <v/>
      </c>
      <c r="H49" s="79"/>
      <c r="J49" s="76">
        <f ca="1"/>
        <v>45964</v>
      </c>
      <c r="K49" s="34">
        <f ca="1"/>
        <v>144.63</v>
      </c>
      <c r="L49" s="37">
        <f ca="1"/>
        <v>46036</v>
      </c>
      <c r="M49" s="41">
        <f ca="1"/>
        <v>0.34</v>
      </c>
      <c r="N49" s="37">
        <f t="shared" ca="1" si="0"/>
        <v>45964</v>
      </c>
      <c r="O49" s="37" t="str">
        <f t="shared" ca="1" si="1"/>
        <v/>
      </c>
    </row>
    <row r="50" spans="1:15" x14ac:dyDescent="0.25">
      <c r="A50" s="102" t="str">
        <f t="shared" ca="1" si="3"/>
        <v/>
      </c>
      <c r="B50" s="33" t="str">
        <f t="shared" ca="1" si="4"/>
        <v/>
      </c>
      <c r="C50" s="25" t="str">
        <f t="shared" ca="1" si="5"/>
        <v/>
      </c>
      <c r="D50" s="33" t="str">
        <f t="shared" ca="1" si="8"/>
        <v/>
      </c>
      <c r="E50" s="25" t="str">
        <f t="shared" ca="1" si="6"/>
        <v/>
      </c>
      <c r="F50" s="55" t="str">
        <f t="shared" ca="1" si="7"/>
        <v/>
      </c>
      <c r="H50" s="79"/>
      <c r="J50" s="76">
        <f ca="1"/>
        <v>45966</v>
      </c>
      <c r="K50" s="34">
        <f ca="1"/>
        <v>112.62</v>
      </c>
      <c r="L50" s="37">
        <f ca="1"/>
        <v>46037</v>
      </c>
      <c r="M50" s="41">
        <f ca="1"/>
        <v>0.33</v>
      </c>
      <c r="N50" s="37">
        <f t="shared" ca="1" si="0"/>
        <v>45966</v>
      </c>
      <c r="O50" s="37" t="str">
        <f t="shared" ca="1" si="1"/>
        <v/>
      </c>
    </row>
    <row r="51" spans="1:15" x14ac:dyDescent="0.25">
      <c r="A51" s="102" t="str">
        <f t="shared" ca="1" si="3"/>
        <v/>
      </c>
      <c r="B51" s="33" t="str">
        <f t="shared" ca="1" si="4"/>
        <v/>
      </c>
      <c r="C51" s="25" t="str">
        <f t="shared" ca="1" si="5"/>
        <v/>
      </c>
      <c r="D51" s="33" t="str">
        <f t="shared" ca="1" si="8"/>
        <v/>
      </c>
      <c r="E51" s="25" t="str">
        <f t="shared" ca="1" si="6"/>
        <v/>
      </c>
      <c r="F51" s="55" t="str">
        <f t="shared" ca="1" si="7"/>
        <v/>
      </c>
      <c r="H51" s="79"/>
      <c r="J51" s="76">
        <f ca="1"/>
        <v>45968</v>
      </c>
      <c r="K51" s="34">
        <f ca="1"/>
        <v>85.2</v>
      </c>
      <c r="L51" s="37">
        <f ca="1"/>
        <v>46038</v>
      </c>
      <c r="M51" s="41">
        <f ca="1"/>
        <v>0.31</v>
      </c>
      <c r="N51" s="37" t="str">
        <f t="shared" ca="1" si="0"/>
        <v/>
      </c>
      <c r="O51" s="37" t="str">
        <f t="shared" ca="1" si="1"/>
        <v/>
      </c>
    </row>
    <row r="52" spans="1:15" x14ac:dyDescent="0.25">
      <c r="A52" s="102" t="str">
        <f t="shared" ca="1" si="3"/>
        <v/>
      </c>
      <c r="B52" s="33" t="str">
        <f t="shared" ca="1" si="4"/>
        <v/>
      </c>
      <c r="C52" s="25" t="str">
        <f t="shared" ca="1" si="5"/>
        <v/>
      </c>
      <c r="D52" s="33" t="str">
        <f t="shared" ca="1" si="8"/>
        <v/>
      </c>
      <c r="E52" s="25" t="str">
        <f t="shared" ca="1" si="6"/>
        <v/>
      </c>
      <c r="F52" s="55" t="str">
        <f t="shared" ca="1" si="7"/>
        <v/>
      </c>
      <c r="H52" s="79"/>
      <c r="J52" s="76">
        <f ca="1"/>
        <v>45971</v>
      </c>
      <c r="K52" s="34">
        <f ca="1"/>
        <v>103.51</v>
      </c>
      <c r="L52" s="37">
        <f ca="1"/>
        <v>46042</v>
      </c>
      <c r="M52" s="41">
        <f ca="1"/>
        <v>0.24</v>
      </c>
      <c r="N52" s="37">
        <f t="shared" ca="1" si="0"/>
        <v>45971</v>
      </c>
      <c r="O52" s="37" t="str">
        <f t="shared" ca="1" si="1"/>
        <v/>
      </c>
    </row>
    <row r="53" spans="1:15" x14ac:dyDescent="0.25">
      <c r="A53" s="102" t="str">
        <f t="shared" ca="1" si="3"/>
        <v/>
      </c>
      <c r="B53" s="33" t="str">
        <f t="shared" ca="1" si="4"/>
        <v/>
      </c>
      <c r="C53" s="25" t="str">
        <f t="shared" ca="1" si="5"/>
        <v/>
      </c>
      <c r="D53" s="33" t="str">
        <f t="shared" ca="1" si="8"/>
        <v/>
      </c>
      <c r="E53" s="25" t="str">
        <f t="shared" ca="1" si="6"/>
        <v/>
      </c>
      <c r="F53" s="55" t="str">
        <f t="shared" ca="1" si="7"/>
        <v/>
      </c>
      <c r="H53" s="79"/>
      <c r="J53" s="76">
        <f ca="1"/>
        <v>45972</v>
      </c>
      <c r="K53" s="34">
        <f ca="1"/>
        <v>127.61</v>
      </c>
      <c r="L53" s="37">
        <f ca="1"/>
        <v>46043</v>
      </c>
      <c r="M53" s="41">
        <f ca="1"/>
        <v>0.28000000000000003</v>
      </c>
      <c r="N53" s="37">
        <f t="shared" ca="1" si="0"/>
        <v>45972</v>
      </c>
      <c r="O53" s="37" t="str">
        <f t="shared" ca="1" si="1"/>
        <v/>
      </c>
    </row>
    <row r="54" spans="1:15" x14ac:dyDescent="0.25">
      <c r="A54" s="102" t="str">
        <f t="shared" ca="1" si="3"/>
        <v/>
      </c>
      <c r="B54" s="33" t="str">
        <f t="shared" ca="1" si="4"/>
        <v/>
      </c>
      <c r="C54" s="25" t="str">
        <f t="shared" ca="1" si="5"/>
        <v/>
      </c>
      <c r="D54" s="33" t="str">
        <f t="shared" ca="1" si="8"/>
        <v/>
      </c>
      <c r="E54" s="25" t="str">
        <f t="shared" ca="1" si="6"/>
        <v/>
      </c>
      <c r="F54" s="55" t="str">
        <f t="shared" ca="1" si="7"/>
        <v/>
      </c>
      <c r="H54" s="79"/>
      <c r="J54" s="76">
        <f ca="1"/>
        <v>45973</v>
      </c>
      <c r="K54" s="34">
        <f ca="1"/>
        <v>129.33000000000001</v>
      </c>
      <c r="L54" s="37">
        <f ca="1"/>
        <v>46044</v>
      </c>
      <c r="M54" s="41">
        <f ca="1"/>
        <v>0.33</v>
      </c>
      <c r="N54" s="37" t="str">
        <f t="shared" ca="1" si="0"/>
        <v/>
      </c>
      <c r="O54" s="37" t="str">
        <f t="shared" ca="1" si="1"/>
        <v/>
      </c>
    </row>
    <row r="55" spans="1:15" x14ac:dyDescent="0.25">
      <c r="A55" s="102" t="str">
        <f t="shared" ca="1" si="3"/>
        <v/>
      </c>
      <c r="B55" s="33" t="str">
        <f t="shared" ca="1" si="4"/>
        <v/>
      </c>
      <c r="C55" s="25" t="str">
        <f t="shared" ca="1" si="5"/>
        <v/>
      </c>
      <c r="D55" s="33" t="str">
        <f t="shared" ca="1" si="8"/>
        <v/>
      </c>
      <c r="E55" s="25" t="str">
        <f t="shared" ca="1" si="6"/>
        <v/>
      </c>
      <c r="F55" s="55" t="str">
        <f t="shared" ca="1" si="7"/>
        <v/>
      </c>
      <c r="H55" s="79"/>
      <c r="J55" s="76">
        <f ca="1"/>
        <v>45974</v>
      </c>
      <c r="K55" s="34">
        <f ca="1"/>
        <v>91.55</v>
      </c>
      <c r="L55" s="37">
        <f ca="1"/>
        <v>46045</v>
      </c>
      <c r="M55" s="41">
        <f ca="1"/>
        <v>0.28000000000000003</v>
      </c>
      <c r="N55" s="37" t="str">
        <f t="shared" ca="1" si="0"/>
        <v/>
      </c>
      <c r="O55" s="37" t="str">
        <f t="shared" ca="1" si="1"/>
        <v/>
      </c>
    </row>
    <row r="56" spans="1:15" x14ac:dyDescent="0.25">
      <c r="A56" s="102" t="str">
        <f t="shared" ca="1" si="3"/>
        <v/>
      </c>
      <c r="B56" s="33" t="str">
        <f t="shared" ca="1" si="4"/>
        <v/>
      </c>
      <c r="C56" s="25" t="str">
        <f t="shared" ca="1" si="5"/>
        <v/>
      </c>
      <c r="D56" s="33" t="str">
        <f t="shared" ca="1" si="8"/>
        <v/>
      </c>
      <c r="E56" s="25" t="str">
        <f t="shared" ca="1" si="6"/>
        <v/>
      </c>
      <c r="F56" s="55" t="str">
        <f t="shared" ca="1" si="7"/>
        <v/>
      </c>
      <c r="H56" s="80"/>
      <c r="J56" s="76">
        <f ca="1"/>
        <v>45975</v>
      </c>
      <c r="K56" s="41">
        <f ca="1"/>
        <v>91.2</v>
      </c>
      <c r="L56" s="37">
        <f ca="1"/>
        <v>46048</v>
      </c>
      <c r="M56" s="41">
        <f ca="1"/>
        <v>0.3</v>
      </c>
      <c r="N56" s="37">
        <f t="shared" ca="1" si="0"/>
        <v>45975</v>
      </c>
      <c r="O56" s="37" t="str">
        <f t="shared" ca="1" si="1"/>
        <v/>
      </c>
    </row>
    <row r="57" spans="1:15" x14ac:dyDescent="0.25">
      <c r="A57" s="102" t="str">
        <f t="shared" ca="1" si="3"/>
        <v/>
      </c>
      <c r="B57" s="33" t="str">
        <f t="shared" ca="1" si="4"/>
        <v/>
      </c>
      <c r="C57" s="25" t="str">
        <f t="shared" ca="1" si="5"/>
        <v/>
      </c>
      <c r="D57" s="33" t="str">
        <f t="shared" ca="1" si="8"/>
        <v/>
      </c>
      <c r="E57" s="25" t="str">
        <f t="shared" ca="1" si="6"/>
        <v/>
      </c>
      <c r="F57" s="55" t="str">
        <f t="shared" ca="1" si="7"/>
        <v/>
      </c>
      <c r="H57" s="80"/>
      <c r="J57" s="76">
        <f ca="1"/>
        <v>45978</v>
      </c>
      <c r="K57" s="41">
        <f ca="1"/>
        <v>68.3</v>
      </c>
      <c r="L57" s="37">
        <f ca="1"/>
        <v>46049</v>
      </c>
      <c r="M57" s="41">
        <f ca="1"/>
        <v>0.3</v>
      </c>
      <c r="N57" s="37" t="str">
        <f t="shared" ca="1" si="0"/>
        <v/>
      </c>
      <c r="O57" s="37" t="str">
        <f t="shared" ca="1" si="1"/>
        <v/>
      </c>
    </row>
    <row r="58" spans="1:15" x14ac:dyDescent="0.25">
      <c r="A58" s="102" t="str">
        <f t="shared" ca="1" si="3"/>
        <v/>
      </c>
      <c r="B58" s="33" t="str">
        <f t="shared" ca="1" si="4"/>
        <v/>
      </c>
      <c r="C58" s="25" t="str">
        <f t="shared" ca="1" si="5"/>
        <v/>
      </c>
      <c r="D58" s="33" t="str">
        <f t="shared" ca="1" si="8"/>
        <v/>
      </c>
      <c r="E58" s="25" t="str">
        <f t="shared" ca="1" si="6"/>
        <v/>
      </c>
      <c r="F58" s="55" t="str">
        <f t="shared" ca="1" si="7"/>
        <v/>
      </c>
      <c r="J58" s="76">
        <f ca="1"/>
        <v>45979</v>
      </c>
      <c r="K58" s="41">
        <f ca="1"/>
        <v>60.72</v>
      </c>
      <c r="L58" s="37">
        <f ca="1"/>
        <v>46050</v>
      </c>
      <c r="M58" s="41">
        <f ca="1"/>
        <v>0.2</v>
      </c>
      <c r="N58" s="37">
        <f t="shared" ca="1" si="0"/>
        <v>45979</v>
      </c>
      <c r="O58" s="37" t="str">
        <f t="shared" ca="1" si="1"/>
        <v/>
      </c>
    </row>
    <row r="59" spans="1:15" x14ac:dyDescent="0.25">
      <c r="A59" s="102" t="str">
        <f t="shared" ca="1" si="3"/>
        <v/>
      </c>
      <c r="B59" s="33" t="str">
        <f t="shared" ca="1" si="4"/>
        <v/>
      </c>
      <c r="C59" s="25" t="str">
        <f t="shared" ca="1" si="5"/>
        <v/>
      </c>
      <c r="D59" s="33" t="str">
        <f t="shared" ca="1" si="8"/>
        <v/>
      </c>
      <c r="E59" s="25" t="str">
        <f t="shared" ca="1" si="6"/>
        <v/>
      </c>
      <c r="F59" s="55" t="str">
        <f t="shared" ca="1" si="7"/>
        <v/>
      </c>
      <c r="J59" s="76">
        <f ca="1"/>
        <v>45980</v>
      </c>
      <c r="K59" s="41">
        <f ca="1"/>
        <v>58.08</v>
      </c>
      <c r="L59" s="37">
        <f ca="1"/>
        <v>46051</v>
      </c>
      <c r="M59" s="41">
        <f ca="1"/>
        <v>0.15</v>
      </c>
      <c r="N59" s="37">
        <f t="shared" ca="1" si="0"/>
        <v>45980</v>
      </c>
      <c r="O59" s="37" t="str">
        <f t="shared" ca="1" si="1"/>
        <v/>
      </c>
    </row>
    <row r="60" spans="1:15" x14ac:dyDescent="0.25">
      <c r="A60" s="102" t="str">
        <f t="shared" ca="1" si="3"/>
        <v/>
      </c>
      <c r="B60" s="33" t="str">
        <f t="shared" ca="1" si="4"/>
        <v/>
      </c>
      <c r="C60" s="25" t="str">
        <f t="shared" ca="1" si="5"/>
        <v/>
      </c>
      <c r="D60" s="33" t="str">
        <f t="shared" ca="1" si="8"/>
        <v/>
      </c>
      <c r="E60" s="25" t="str">
        <f t="shared" ca="1" si="6"/>
        <v/>
      </c>
      <c r="F60" s="55" t="str">
        <f t="shared" ca="1" si="7"/>
        <v/>
      </c>
      <c r="J60" s="76">
        <f ca="1"/>
        <v>45981</v>
      </c>
      <c r="K60" s="41">
        <f ca="1"/>
        <v>50.79</v>
      </c>
      <c r="L60" s="37">
        <f ca="1"/>
        <v>46052</v>
      </c>
      <c r="M60" s="41">
        <f ca="1"/>
        <v>0.17</v>
      </c>
      <c r="N60" s="37" t="str">
        <f t="shared" ca="1" si="0"/>
        <v/>
      </c>
      <c r="O60" s="37" t="str">
        <f t="shared" ca="1" si="1"/>
        <v/>
      </c>
    </row>
    <row r="61" spans="1:15" x14ac:dyDescent="0.25">
      <c r="A61" s="102" t="str">
        <f t="shared" ca="1" si="3"/>
        <v/>
      </c>
      <c r="B61" s="33" t="str">
        <f t="shared" ca="1" si="4"/>
        <v/>
      </c>
      <c r="C61" s="25" t="str">
        <f t="shared" ca="1" si="5"/>
        <v/>
      </c>
      <c r="D61" s="33" t="str">
        <f t="shared" ca="1" si="8"/>
        <v/>
      </c>
      <c r="E61" s="25" t="str">
        <f t="shared" ca="1" si="6"/>
        <v/>
      </c>
      <c r="F61" s="55" t="str">
        <f t="shared" ca="1" si="7"/>
        <v/>
      </c>
      <c r="J61" s="76">
        <f ca="1"/>
        <v>45982</v>
      </c>
      <c r="K61" s="41">
        <f ca="1"/>
        <v>62.47</v>
      </c>
      <c r="L61" s="37">
        <f ca="1"/>
        <v>46055</v>
      </c>
      <c r="M61" s="41">
        <f ca="1"/>
        <v>0.19</v>
      </c>
      <c r="N61" s="37">
        <f t="shared" ca="1" si="0"/>
        <v>45982</v>
      </c>
      <c r="O61" s="37" t="str">
        <f t="shared" ca="1" si="1"/>
        <v/>
      </c>
    </row>
    <row r="62" spans="1:15" x14ac:dyDescent="0.25">
      <c r="A62" s="102" t="str">
        <f t="shared" ca="1" si="3"/>
        <v/>
      </c>
      <c r="B62" s="33" t="str">
        <f t="shared" ca="1" si="4"/>
        <v/>
      </c>
      <c r="C62" s="25" t="str">
        <f t="shared" ca="1" si="5"/>
        <v/>
      </c>
      <c r="D62" s="33" t="str">
        <f t="shared" ca="1" si="8"/>
        <v/>
      </c>
      <c r="E62" s="25" t="str">
        <f t="shared" ca="1" si="6"/>
        <v/>
      </c>
      <c r="F62" s="55" t="str">
        <f t="shared" ca="1" si="7"/>
        <v/>
      </c>
      <c r="J62" s="76">
        <f ca="1"/>
        <v>45985</v>
      </c>
      <c r="K62" s="41">
        <f ca="1"/>
        <v>64.900000000000006</v>
      </c>
      <c r="L62" s="37">
        <f ca="1"/>
        <v>46056</v>
      </c>
      <c r="M62" s="41">
        <f ca="1"/>
        <v>0.13</v>
      </c>
      <c r="N62" s="37">
        <f t="shared" ca="1" si="0"/>
        <v>45985</v>
      </c>
      <c r="O62" s="37" t="str">
        <f t="shared" ca="1" si="1"/>
        <v/>
      </c>
    </row>
    <row r="63" spans="1:15" x14ac:dyDescent="0.25">
      <c r="A63" s="102" t="str">
        <f t="shared" ca="1" si="3"/>
        <v/>
      </c>
      <c r="B63" s="33" t="str">
        <f t="shared" ca="1" si="4"/>
        <v/>
      </c>
      <c r="C63" s="25" t="str">
        <f t="shared" ca="1" si="5"/>
        <v/>
      </c>
      <c r="D63" s="33" t="str">
        <f t="shared" ca="1" si="8"/>
        <v/>
      </c>
      <c r="E63" s="25" t="str">
        <f t="shared" ca="1" si="6"/>
        <v/>
      </c>
      <c r="F63" s="55" t="str">
        <f t="shared" ca="1" si="7"/>
        <v/>
      </c>
      <c r="J63" s="76">
        <f ca="1"/>
        <v>45986</v>
      </c>
      <c r="K63" s="41">
        <f ca="1"/>
        <v>70.97</v>
      </c>
      <c r="L63" s="37">
        <f ca="1"/>
        <v>46057</v>
      </c>
      <c r="M63" s="41">
        <f ca="1"/>
        <v>0.1</v>
      </c>
      <c r="N63" s="37" t="str">
        <f t="shared" ca="1" si="0"/>
        <v/>
      </c>
      <c r="O63" s="37" t="str">
        <f t="shared" ca="1" si="1"/>
        <v/>
      </c>
    </row>
    <row r="64" spans="1:15" x14ac:dyDescent="0.25">
      <c r="A64" s="102" t="str">
        <f t="shared" ca="1" si="3"/>
        <v/>
      </c>
      <c r="B64" s="33" t="str">
        <f t="shared" ca="1" si="4"/>
        <v/>
      </c>
      <c r="C64" s="25" t="str">
        <f t="shared" ca="1" si="5"/>
        <v/>
      </c>
      <c r="D64" s="33" t="str">
        <f t="shared" ca="1" si="8"/>
        <v/>
      </c>
      <c r="E64" s="25" t="str">
        <f t="shared" ca="1" si="6"/>
        <v/>
      </c>
      <c r="F64" s="55" t="str">
        <f t="shared" ca="1" si="7"/>
        <v/>
      </c>
      <c r="J64" s="76">
        <f ca="1"/>
        <v>45987</v>
      </c>
      <c r="K64" s="41">
        <f ca="1"/>
        <v>90.4</v>
      </c>
      <c r="L64" s="37">
        <f ca="1"/>
        <v>46058</v>
      </c>
      <c r="M64" s="41">
        <f ca="1"/>
        <v>0.08</v>
      </c>
      <c r="N64" s="37">
        <f t="shared" ca="1" si="0"/>
        <v>45987</v>
      </c>
      <c r="O64" s="37" t="str">
        <f t="shared" ca="1" si="1"/>
        <v/>
      </c>
    </row>
    <row r="65" spans="1:15" x14ac:dyDescent="0.25">
      <c r="A65" s="102" t="str">
        <f t="shared" ca="1" si="3"/>
        <v/>
      </c>
      <c r="B65" s="33" t="str">
        <f t="shared" ca="1" si="4"/>
        <v/>
      </c>
      <c r="C65" s="25" t="str">
        <f t="shared" ca="1" si="5"/>
        <v/>
      </c>
      <c r="D65" s="33" t="str">
        <f t="shared" ca="1" si="8"/>
        <v/>
      </c>
      <c r="E65" s="25" t="str">
        <f t="shared" ca="1" si="6"/>
        <v/>
      </c>
      <c r="F65" s="55" t="str">
        <f t="shared" ca="1" si="7"/>
        <v/>
      </c>
      <c r="J65" s="76">
        <f ca="1"/>
        <v>45989</v>
      </c>
      <c r="K65" s="41">
        <f ca="1"/>
        <v>92.6</v>
      </c>
      <c r="L65" s="37">
        <f ca="1"/>
        <v>46059</v>
      </c>
      <c r="M65" s="41">
        <f ca="1"/>
        <v>0.12</v>
      </c>
      <c r="N65" s="37">
        <f t="shared" ca="1" si="0"/>
        <v>45989</v>
      </c>
      <c r="O65" s="37" t="str">
        <f t="shared" ca="1" si="1"/>
        <v/>
      </c>
    </row>
    <row r="66" spans="1:15" x14ac:dyDescent="0.25">
      <c r="A66" s="102" t="str">
        <f t="shared" ca="1" si="3"/>
        <v/>
      </c>
      <c r="B66" s="33" t="str">
        <f t="shared" ca="1" si="4"/>
        <v/>
      </c>
      <c r="C66" s="25" t="str">
        <f t="shared" ca="1" si="5"/>
        <v/>
      </c>
      <c r="D66" s="33" t="str">
        <f t="shared" ca="1" si="8"/>
        <v/>
      </c>
      <c r="E66" s="25" t="str">
        <f t="shared" ca="1" si="6"/>
        <v/>
      </c>
      <c r="F66" s="55" t="str">
        <f t="shared" ca="1" si="7"/>
        <v/>
      </c>
      <c r="J66" s="76">
        <f ca="1"/>
        <v>45992</v>
      </c>
      <c r="K66" s="41">
        <f ca="1"/>
        <v>81</v>
      </c>
      <c r="L66" s="37">
        <f ca="1"/>
        <v>46062</v>
      </c>
      <c r="M66" s="41">
        <f ca="1"/>
        <v>0.13</v>
      </c>
      <c r="N66" s="37">
        <f t="shared" ca="1" si="0"/>
        <v>45992</v>
      </c>
      <c r="O66" s="37" t="str">
        <f t="shared" ca="1" si="1"/>
        <v/>
      </c>
    </row>
    <row r="67" spans="1:15" x14ac:dyDescent="0.25">
      <c r="A67" s="102" t="str">
        <f t="shared" ca="1" si="3"/>
        <v/>
      </c>
      <c r="B67" s="33" t="str">
        <f t="shared" ca="1" si="4"/>
        <v/>
      </c>
      <c r="C67" s="25" t="str">
        <f t="shared" ca="1" si="5"/>
        <v/>
      </c>
      <c r="D67" s="33" t="str">
        <f t="shared" ca="1" si="8"/>
        <v/>
      </c>
      <c r="E67" s="25" t="str">
        <f t="shared" ca="1" si="6"/>
        <v/>
      </c>
      <c r="F67" s="55" t="str">
        <f t="shared" ca="1" si="7"/>
        <v/>
      </c>
      <c r="J67" s="76">
        <f ca="1"/>
        <v>45993</v>
      </c>
      <c r="K67" s="41">
        <f ca="1"/>
        <v>78.84</v>
      </c>
      <c r="L67" s="37">
        <f ca="1"/>
        <v>46063</v>
      </c>
      <c r="M67" s="41">
        <f ca="1"/>
        <v>0.1</v>
      </c>
      <c r="N67" s="37">
        <f t="shared" ca="1" si="0"/>
        <v>45993</v>
      </c>
      <c r="O67" s="37" t="str">
        <f t="shared" ca="1" si="1"/>
        <v/>
      </c>
    </row>
    <row r="68" spans="1:15" x14ac:dyDescent="0.25">
      <c r="A68" s="102" t="str">
        <f t="shared" ca="1" si="3"/>
        <v/>
      </c>
      <c r="B68" s="33" t="str">
        <f t="shared" ca="1" si="4"/>
        <v/>
      </c>
      <c r="C68" s="25" t="str">
        <f t="shared" ca="1" si="5"/>
        <v/>
      </c>
      <c r="D68" s="33" t="str">
        <f t="shared" ca="1" si="8"/>
        <v/>
      </c>
      <c r="E68" s="25" t="str">
        <f t="shared" ca="1" si="6"/>
        <v/>
      </c>
      <c r="F68" s="55" t="str">
        <f t="shared" ca="1" si="7"/>
        <v/>
      </c>
      <c r="J68" s="76">
        <f ca="1"/>
        <v>45994</v>
      </c>
      <c r="K68" s="41">
        <f ca="1"/>
        <v>89.66</v>
      </c>
      <c r="L68" s="37">
        <f ca="1"/>
        <v>46064</v>
      </c>
      <c r="M68" s="41">
        <f ca="1"/>
        <v>7.0000000000000007E-2</v>
      </c>
      <c r="N68" s="37">
        <f t="shared" ref="N68:N131" ca="1" si="9">IF(COUNTIF(L:L,J68),J68,"")</f>
        <v>45994</v>
      </c>
      <c r="O68" s="37" t="str">
        <f t="shared" ref="O68:O131" ca="1" si="10">IF(N68&gt;$A$14,N68,"")</f>
        <v/>
      </c>
    </row>
    <row r="69" spans="1:15" x14ac:dyDescent="0.25">
      <c r="A69" s="102" t="str">
        <f t="shared" ca="1" si="3"/>
        <v/>
      </c>
      <c r="B69" s="33" t="str">
        <f t="shared" ca="1" si="4"/>
        <v/>
      </c>
      <c r="C69" s="25" t="str">
        <f t="shared" ca="1" si="5"/>
        <v/>
      </c>
      <c r="D69" s="33" t="str">
        <f t="shared" ca="1" si="8"/>
        <v/>
      </c>
      <c r="E69" s="25" t="str">
        <f t="shared" ca="1" si="6"/>
        <v/>
      </c>
      <c r="F69" s="55" t="str">
        <f t="shared" ca="1" si="7"/>
        <v/>
      </c>
      <c r="J69" s="76">
        <f ca="1"/>
        <v>45995</v>
      </c>
      <c r="K69" s="41">
        <f ca="1"/>
        <v>81.599999999999994</v>
      </c>
      <c r="L69" s="37">
        <f ca="1"/>
        <v>46065</v>
      </c>
      <c r="M69" s="41">
        <f ca="1"/>
        <v>0.05</v>
      </c>
      <c r="N69" s="37">
        <f t="shared" ca="1" si="9"/>
        <v>45995</v>
      </c>
      <c r="O69" s="37" t="str">
        <f t="shared" ca="1" si="10"/>
        <v/>
      </c>
    </row>
    <row r="70" spans="1:15" x14ac:dyDescent="0.25">
      <c r="A70" s="102" t="str">
        <f t="shared" ca="1" si="3"/>
        <v/>
      </c>
      <c r="B70" s="33" t="str">
        <f t="shared" ca="1" si="4"/>
        <v/>
      </c>
      <c r="C70" s="25" t="str">
        <f t="shared" ca="1" si="5"/>
        <v/>
      </c>
      <c r="D70" s="33" t="str">
        <f t="shared" ca="1" si="8"/>
        <v/>
      </c>
      <c r="E70" s="25" t="str">
        <f t="shared" ca="1" si="6"/>
        <v/>
      </c>
      <c r="F70" s="55" t="str">
        <f t="shared" ca="1" si="7"/>
        <v/>
      </c>
      <c r="J70" s="76">
        <f ca="1"/>
        <v>45996</v>
      </c>
      <c r="K70" s="41">
        <f ca="1"/>
        <v>85.3</v>
      </c>
      <c r="L70" s="37">
        <f ca="1"/>
        <v>46066</v>
      </c>
      <c r="M70" s="41">
        <f ca="1"/>
        <v>0.04</v>
      </c>
      <c r="N70" s="37">
        <f t="shared" ca="1" si="9"/>
        <v>45996</v>
      </c>
      <c r="O70" s="37" t="str">
        <f t="shared" ca="1" si="10"/>
        <v/>
      </c>
    </row>
    <row r="71" spans="1:15" x14ac:dyDescent="0.25">
      <c r="A71" s="102" t="str">
        <f t="shared" ca="1" si="3"/>
        <v/>
      </c>
      <c r="B71" s="33" t="str">
        <f t="shared" ca="1" si="4"/>
        <v/>
      </c>
      <c r="C71" s="25" t="str">
        <f t="shared" ca="1" si="5"/>
        <v/>
      </c>
      <c r="D71" s="33" t="str">
        <f t="shared" ca="1" si="8"/>
        <v/>
      </c>
      <c r="E71" s="25" t="str">
        <f t="shared" ca="1" si="6"/>
        <v/>
      </c>
      <c r="F71" s="55" t="str">
        <f t="shared" ca="1" si="7"/>
        <v/>
      </c>
      <c r="J71" s="76">
        <f ca="1"/>
        <v>45999</v>
      </c>
      <c r="K71" s="41">
        <f ca="1"/>
        <v>75</v>
      </c>
      <c r="L71" s="37">
        <f ca="1"/>
        <v>46070</v>
      </c>
      <c r="M71" s="41">
        <f ca="1"/>
        <v>0.01</v>
      </c>
      <c r="N71" s="37">
        <f t="shared" ca="1" si="9"/>
        <v>45999</v>
      </c>
      <c r="O71" s="37" t="str">
        <f t="shared" ca="1" si="10"/>
        <v/>
      </c>
    </row>
    <row r="72" spans="1:15" x14ac:dyDescent="0.25">
      <c r="A72" s="102" t="str">
        <f t="shared" ca="1" si="3"/>
        <v/>
      </c>
      <c r="B72" s="33" t="str">
        <f t="shared" ca="1" si="4"/>
        <v/>
      </c>
      <c r="C72" s="25" t="str">
        <f t="shared" ca="1" si="5"/>
        <v/>
      </c>
      <c r="D72" s="33" t="str">
        <f t="shared" ca="1" si="8"/>
        <v/>
      </c>
      <c r="E72" s="25" t="str">
        <f t="shared" ca="1" si="6"/>
        <v/>
      </c>
      <c r="F72" s="55" t="str">
        <f t="shared" ca="1" si="7"/>
        <v/>
      </c>
      <c r="J72" s="76">
        <f ca="1"/>
        <v>46000</v>
      </c>
      <c r="K72" s="41">
        <f ca="1"/>
        <v>76.3</v>
      </c>
      <c r="L72" s="37">
        <f ca="1"/>
        <v>46071</v>
      </c>
      <c r="M72" s="41">
        <f ca="1"/>
        <v>0.03</v>
      </c>
      <c r="N72" s="37">
        <f t="shared" ca="1" si="9"/>
        <v>46000</v>
      </c>
      <c r="O72" s="37" t="str">
        <f t="shared" ca="1" si="10"/>
        <v/>
      </c>
    </row>
    <row r="73" spans="1:15" x14ac:dyDescent="0.25">
      <c r="A73" s="102" t="str">
        <f t="shared" ca="1" si="3"/>
        <v/>
      </c>
      <c r="B73" s="33" t="str">
        <f t="shared" ca="1" si="4"/>
        <v/>
      </c>
      <c r="C73" s="25" t="str">
        <f t="shared" ca="1" si="5"/>
        <v/>
      </c>
      <c r="D73" s="33" t="str">
        <f t="shared" ca="1" si="8"/>
        <v/>
      </c>
      <c r="E73" s="25" t="str">
        <f t="shared" ca="1" si="6"/>
        <v/>
      </c>
      <c r="F73" s="55" t="str">
        <f t="shared" ca="1" si="7"/>
        <v/>
      </c>
      <c r="J73" s="76">
        <f ca="1"/>
        <v>46001</v>
      </c>
      <c r="K73" s="41">
        <f ca="1"/>
        <v>84.8</v>
      </c>
      <c r="L73" s="37">
        <f ca="1"/>
        <v>46072</v>
      </c>
      <c r="M73" s="41">
        <f ca="1"/>
        <v>0.02</v>
      </c>
      <c r="N73" s="37">
        <f t="shared" ca="1" si="9"/>
        <v>46001</v>
      </c>
      <c r="O73" s="37" t="str">
        <f t="shared" ca="1" si="10"/>
        <v/>
      </c>
    </row>
    <row r="74" spans="1:15" x14ac:dyDescent="0.25">
      <c r="A74" s="102" t="str">
        <f t="shared" ca="1" si="3"/>
        <v/>
      </c>
      <c r="B74" s="33" t="str">
        <f t="shared" ca="1" si="4"/>
        <v/>
      </c>
      <c r="C74" s="25" t="str">
        <f t="shared" ca="1" si="5"/>
        <v/>
      </c>
      <c r="D74" s="33" t="str">
        <f t="shared" ca="1" si="8"/>
        <v/>
      </c>
      <c r="E74" s="25" t="str">
        <f t="shared" ca="1" si="6"/>
        <v/>
      </c>
      <c r="F74" s="55" t="str">
        <f t="shared" ca="1" si="7"/>
        <v/>
      </c>
      <c r="J74" s="76">
        <f ca="1"/>
        <v>46002</v>
      </c>
      <c r="K74" s="41">
        <f ca="1"/>
        <v>87.45</v>
      </c>
      <c r="L74" s="37">
        <f ca="1"/>
        <v>46073</v>
      </c>
      <c r="M74" s="41">
        <f ca="1"/>
        <v>0.01</v>
      </c>
      <c r="N74" s="37">
        <f t="shared" ca="1" si="9"/>
        <v>46002</v>
      </c>
      <c r="O74" s="37" t="str">
        <f t="shared" ca="1" si="10"/>
        <v/>
      </c>
    </row>
    <row r="75" spans="1:15" x14ac:dyDescent="0.25">
      <c r="A75" s="102" t="str">
        <f t="shared" ca="1" si="3"/>
        <v/>
      </c>
      <c r="B75" s="33" t="str">
        <f t="shared" ca="1" si="4"/>
        <v/>
      </c>
      <c r="C75" s="25" t="str">
        <f t="shared" ca="1" si="5"/>
        <v/>
      </c>
      <c r="D75" s="33" t="str">
        <f t="shared" ca="1" si="8"/>
        <v/>
      </c>
      <c r="E75" s="25" t="str">
        <f t="shared" ca="1" si="6"/>
        <v/>
      </c>
      <c r="F75" s="55" t="str">
        <f t="shared" ca="1" si="7"/>
        <v/>
      </c>
      <c r="J75" s="76">
        <f ca="1"/>
        <v>46003</v>
      </c>
      <c r="K75" s="41">
        <f ca="1"/>
        <v>57.2</v>
      </c>
      <c r="N75" s="37">
        <f t="shared" ca="1" si="9"/>
        <v>46003</v>
      </c>
      <c r="O75" s="37" t="str">
        <f t="shared" ca="1" si="10"/>
        <v/>
      </c>
    </row>
    <row r="76" spans="1:15" x14ac:dyDescent="0.25">
      <c r="A76" s="102" t="str">
        <f t="shared" ca="1" si="3"/>
        <v/>
      </c>
      <c r="B76" s="33" t="str">
        <f t="shared" ca="1" si="4"/>
        <v/>
      </c>
      <c r="C76" s="25" t="str">
        <f t="shared" ca="1" si="5"/>
        <v/>
      </c>
      <c r="D76" s="33" t="str">
        <f t="shared" ca="1" si="8"/>
        <v/>
      </c>
      <c r="E76" s="25" t="str">
        <f t="shared" ca="1" si="6"/>
        <v/>
      </c>
      <c r="F76" s="55" t="str">
        <f t="shared" ca="1" si="7"/>
        <v/>
      </c>
      <c r="J76" s="76">
        <f ca="1"/>
        <v>46006</v>
      </c>
      <c r="K76" s="41">
        <f ca="1"/>
        <v>52.9</v>
      </c>
      <c r="N76" s="37">
        <f t="shared" ca="1" si="9"/>
        <v>46006</v>
      </c>
      <c r="O76" s="37" t="str">
        <f t="shared" ca="1" si="10"/>
        <v/>
      </c>
    </row>
    <row r="77" spans="1:15" x14ac:dyDescent="0.25">
      <c r="A77" s="102" t="str">
        <f t="shared" ca="1" si="3"/>
        <v/>
      </c>
      <c r="B77" s="33" t="str">
        <f t="shared" ca="1" si="4"/>
        <v/>
      </c>
      <c r="C77" s="25" t="str">
        <f t="shared" ca="1" si="5"/>
        <v/>
      </c>
      <c r="D77" s="33" t="str">
        <f t="shared" ca="1" si="8"/>
        <v/>
      </c>
      <c r="E77" s="25" t="str">
        <f t="shared" ca="1" si="6"/>
        <v/>
      </c>
      <c r="F77" s="55" t="str">
        <f t="shared" ca="1" si="7"/>
        <v/>
      </c>
      <c r="J77" s="76">
        <f ca="1"/>
        <v>46007</v>
      </c>
      <c r="K77" s="41">
        <f ca="1"/>
        <v>44.1</v>
      </c>
      <c r="N77" s="37">
        <f t="shared" ca="1" si="9"/>
        <v>46007</v>
      </c>
      <c r="O77" s="37" t="str">
        <f t="shared" ca="1" si="10"/>
        <v/>
      </c>
    </row>
    <row r="78" spans="1:15" x14ac:dyDescent="0.25">
      <c r="A78" s="102" t="str">
        <f t="shared" ca="1" si="3"/>
        <v/>
      </c>
      <c r="B78" s="33" t="str">
        <f t="shared" ca="1" si="4"/>
        <v/>
      </c>
      <c r="C78" s="25" t="str">
        <f t="shared" ca="1" si="5"/>
        <v/>
      </c>
      <c r="D78" s="33" t="str">
        <f t="shared" ca="1" si="8"/>
        <v/>
      </c>
      <c r="E78" s="25" t="str">
        <f t="shared" ca="1" si="6"/>
        <v/>
      </c>
      <c r="F78" s="55" t="str">
        <f t="shared" ca="1" si="7"/>
        <v/>
      </c>
      <c r="J78" s="76">
        <f ca="1"/>
        <v>46008</v>
      </c>
      <c r="K78" s="41">
        <f ca="1"/>
        <v>31.69</v>
      </c>
      <c r="N78" s="37">
        <f t="shared" ca="1" si="9"/>
        <v>46008</v>
      </c>
      <c r="O78" s="37" t="str">
        <f t="shared" ca="1" si="10"/>
        <v/>
      </c>
    </row>
    <row r="79" spans="1:15" x14ac:dyDescent="0.25">
      <c r="A79" s="102" t="str">
        <f t="shared" ca="1" si="3"/>
        <v/>
      </c>
      <c r="B79" s="33" t="str">
        <f t="shared" ca="1" si="4"/>
        <v/>
      </c>
      <c r="C79" s="25" t="str">
        <f t="shared" ca="1" si="5"/>
        <v/>
      </c>
      <c r="D79" s="33" t="str">
        <f t="shared" ref="D79:D110" ca="1" si="11">IF(COUNTIF(J:J,A79)=1,VLOOKUP(A79,L:M,2), IF(COUNTIF(J:J,A79)=0,$C$10,""))</f>
        <v/>
      </c>
      <c r="E79" s="25" t="str">
        <f t="shared" ca="1" si="6"/>
        <v/>
      </c>
      <c r="F79" s="55" t="str">
        <f t="shared" ca="1" si="7"/>
        <v/>
      </c>
      <c r="J79" s="76">
        <f ca="1"/>
        <v>46009</v>
      </c>
      <c r="K79" s="41">
        <f ca="1"/>
        <v>35.299999999999997</v>
      </c>
      <c r="N79" s="37">
        <f t="shared" ca="1" si="9"/>
        <v>46009</v>
      </c>
      <c r="O79" s="37" t="str">
        <f t="shared" ca="1" si="10"/>
        <v/>
      </c>
    </row>
    <row r="80" spans="1:15" x14ac:dyDescent="0.25">
      <c r="A80" s="102" t="str">
        <f t="shared" ref="A80:A117" ca="1" si="12">IF(AND(ISBLANK(P69), A79 = $P$1),NOW(),IF(ISBLANK(P69),IF(ISBLANK(C79),NOW(),""),P69))</f>
        <v/>
      </c>
      <c r="B80" s="33" t="str">
        <f t="shared" ref="B80:B117" ca="1" si="13">IF(COUNTIF(J:J,A80)=1,VLOOKUP(A80,J:K,2), IF(COUNTIF(J:J,A80)=0,$B$10,""))</f>
        <v/>
      </c>
      <c r="C80" s="25" t="str">
        <f t="shared" ref="C80:C117" ca="1" si="14">IF(ISERROR(B80-2),"",(B80-$B$14)*$B$7*$F$4)</f>
        <v/>
      </c>
      <c r="D80" s="33" t="str">
        <f t="shared" ca="1" si="11"/>
        <v/>
      </c>
      <c r="E80" s="25" t="str">
        <f t="shared" ref="E80:E117" ca="1" si="15">IF(ISERROR(B80-2),"",(D80-$D$14)*$C$7*$F$5)</f>
        <v/>
      </c>
      <c r="F80" s="55" t="str">
        <f t="shared" ref="F80:F117" ca="1" si="16">IF(ISERROR(B80-2),"",C80-E80)</f>
        <v/>
      </c>
      <c r="J80" s="76">
        <f ca="1"/>
        <v>46010</v>
      </c>
      <c r="K80" s="41">
        <f ca="1"/>
        <v>43.93</v>
      </c>
      <c r="N80" s="37">
        <f t="shared" ca="1" si="9"/>
        <v>46010</v>
      </c>
      <c r="O80" s="37" t="str">
        <f t="shared" ca="1" si="10"/>
        <v/>
      </c>
    </row>
    <row r="81" spans="1:15" x14ac:dyDescent="0.25">
      <c r="A81" s="102" t="str">
        <f t="shared" ca="1" si="12"/>
        <v/>
      </c>
      <c r="B81" s="33" t="str">
        <f t="shared" ca="1" si="13"/>
        <v/>
      </c>
      <c r="C81" s="25" t="str">
        <f t="shared" ca="1" si="14"/>
        <v/>
      </c>
      <c r="D81" s="33" t="str">
        <f t="shared" ca="1" si="11"/>
        <v/>
      </c>
      <c r="E81" s="25" t="str">
        <f t="shared" ca="1" si="15"/>
        <v/>
      </c>
      <c r="F81" s="55" t="str">
        <f t="shared" ca="1" si="16"/>
        <v/>
      </c>
      <c r="J81" s="76">
        <f ca="1"/>
        <v>46013</v>
      </c>
      <c r="K81" s="41">
        <f ca="1"/>
        <v>50</v>
      </c>
      <c r="N81" s="37">
        <f t="shared" ca="1" si="9"/>
        <v>46013</v>
      </c>
      <c r="O81" s="37" t="str">
        <f t="shared" ca="1" si="10"/>
        <v/>
      </c>
    </row>
    <row r="82" spans="1:15" x14ac:dyDescent="0.25">
      <c r="A82" s="102" t="str">
        <f t="shared" ca="1" si="12"/>
        <v/>
      </c>
      <c r="B82" s="33" t="str">
        <f t="shared" ca="1" si="13"/>
        <v/>
      </c>
      <c r="C82" s="25" t="str">
        <f t="shared" ca="1" si="14"/>
        <v/>
      </c>
      <c r="D82" s="33" t="str">
        <f t="shared" ca="1" si="11"/>
        <v/>
      </c>
      <c r="E82" s="25" t="str">
        <f t="shared" ca="1" si="15"/>
        <v/>
      </c>
      <c r="F82" s="55" t="str">
        <f t="shared" ca="1" si="16"/>
        <v/>
      </c>
      <c r="J82" s="76">
        <f ca="1"/>
        <v>46014</v>
      </c>
      <c r="K82" s="41">
        <f ca="1"/>
        <v>58.34</v>
      </c>
      <c r="N82" s="37">
        <f t="shared" ca="1" si="9"/>
        <v>46014</v>
      </c>
      <c r="O82" s="37" t="str">
        <f t="shared" ca="1" si="10"/>
        <v/>
      </c>
    </row>
    <row r="83" spans="1:15" x14ac:dyDescent="0.25">
      <c r="A83" s="102" t="str">
        <f t="shared" ca="1" si="12"/>
        <v/>
      </c>
      <c r="B83" s="33" t="str">
        <f t="shared" ca="1" si="13"/>
        <v/>
      </c>
      <c r="C83" s="25" t="str">
        <f t="shared" ca="1" si="14"/>
        <v/>
      </c>
      <c r="D83" s="33" t="str">
        <f t="shared" ca="1" si="11"/>
        <v/>
      </c>
      <c r="E83" s="25" t="str">
        <f t="shared" ca="1" si="15"/>
        <v/>
      </c>
      <c r="F83" s="55" t="str">
        <f t="shared" ca="1" si="16"/>
        <v/>
      </c>
      <c r="J83" s="76">
        <f ca="1"/>
        <v>46015</v>
      </c>
      <c r="K83" s="41">
        <f ca="1"/>
        <v>68.41</v>
      </c>
      <c r="N83" s="37">
        <f t="shared" ca="1" si="9"/>
        <v>46015</v>
      </c>
      <c r="O83" s="37" t="str">
        <f t="shared" ca="1" si="10"/>
        <v/>
      </c>
    </row>
    <row r="84" spans="1:15" x14ac:dyDescent="0.25">
      <c r="A84" s="102" t="str">
        <f t="shared" ca="1" si="12"/>
        <v/>
      </c>
      <c r="B84" s="33" t="str">
        <f t="shared" ca="1" si="13"/>
        <v/>
      </c>
      <c r="C84" s="25" t="str">
        <f t="shared" ca="1" si="14"/>
        <v/>
      </c>
      <c r="D84" s="33" t="str">
        <f t="shared" ca="1" si="11"/>
        <v/>
      </c>
      <c r="E84" s="25" t="str">
        <f t="shared" ca="1" si="15"/>
        <v/>
      </c>
      <c r="F84" s="55" t="str">
        <f t="shared" ca="1" si="16"/>
        <v/>
      </c>
      <c r="J84" s="76">
        <f ca="1"/>
        <v>46017</v>
      </c>
      <c r="K84" s="41">
        <f ca="1"/>
        <v>64.25</v>
      </c>
      <c r="N84" s="37">
        <f t="shared" ca="1" si="9"/>
        <v>46017</v>
      </c>
      <c r="O84" s="37" t="str">
        <f t="shared" ca="1" si="10"/>
        <v/>
      </c>
    </row>
    <row r="85" spans="1:15" x14ac:dyDescent="0.25">
      <c r="A85" s="102" t="str">
        <f t="shared" ca="1" si="12"/>
        <v/>
      </c>
      <c r="B85" s="33" t="str">
        <f t="shared" ca="1" si="13"/>
        <v/>
      </c>
      <c r="C85" s="25" t="str">
        <f t="shared" ca="1" si="14"/>
        <v/>
      </c>
      <c r="D85" s="33" t="str">
        <f t="shared" ca="1" si="11"/>
        <v/>
      </c>
      <c r="E85" s="25" t="str">
        <f t="shared" ca="1" si="15"/>
        <v/>
      </c>
      <c r="F85" s="55" t="str">
        <f t="shared" ca="1" si="16"/>
        <v/>
      </c>
      <c r="J85" s="76">
        <f ca="1"/>
        <v>46020</v>
      </c>
      <c r="K85" s="41">
        <f ca="1"/>
        <v>54.67</v>
      </c>
      <c r="N85" s="37">
        <f t="shared" ca="1" si="9"/>
        <v>46020</v>
      </c>
      <c r="O85" s="37" t="str">
        <f t="shared" ca="1" si="10"/>
        <v/>
      </c>
    </row>
    <row r="86" spans="1:15" x14ac:dyDescent="0.25">
      <c r="A86" s="102" t="str">
        <f t="shared" ca="1" si="12"/>
        <v/>
      </c>
      <c r="B86" s="33" t="str">
        <f t="shared" ca="1" si="13"/>
        <v/>
      </c>
      <c r="C86" s="25" t="str">
        <f t="shared" ca="1" si="14"/>
        <v/>
      </c>
      <c r="D86" s="33" t="str">
        <f t="shared" ca="1" si="11"/>
        <v/>
      </c>
      <c r="E86" s="25" t="str">
        <f t="shared" ca="1" si="15"/>
        <v/>
      </c>
      <c r="F86" s="55" t="str">
        <f t="shared" ca="1" si="16"/>
        <v/>
      </c>
      <c r="J86" s="76">
        <f ca="1"/>
        <v>46021</v>
      </c>
      <c r="K86" s="41">
        <f ca="1"/>
        <v>50.3</v>
      </c>
      <c r="N86" s="37">
        <f t="shared" ca="1" si="9"/>
        <v>46021</v>
      </c>
      <c r="O86" s="37" t="str">
        <f t="shared" ca="1" si="10"/>
        <v/>
      </c>
    </row>
    <row r="87" spans="1:15" x14ac:dyDescent="0.25">
      <c r="A87" s="102" t="str">
        <f t="shared" ca="1" si="12"/>
        <v/>
      </c>
      <c r="B87" s="33" t="str">
        <f t="shared" ca="1" si="13"/>
        <v/>
      </c>
      <c r="C87" s="25" t="str">
        <f t="shared" ca="1" si="14"/>
        <v/>
      </c>
      <c r="D87" s="33" t="str">
        <f t="shared" ca="1" si="11"/>
        <v/>
      </c>
      <c r="E87" s="25" t="str">
        <f t="shared" ca="1" si="15"/>
        <v/>
      </c>
      <c r="F87" s="55" t="str">
        <f t="shared" ca="1" si="16"/>
        <v/>
      </c>
      <c r="J87" s="76">
        <f ca="1"/>
        <v>46022</v>
      </c>
      <c r="K87" s="41">
        <f ca="1"/>
        <v>37</v>
      </c>
      <c r="N87" s="37">
        <f t="shared" ca="1" si="9"/>
        <v>46022</v>
      </c>
      <c r="O87" s="37" t="str">
        <f t="shared" ca="1" si="10"/>
        <v/>
      </c>
    </row>
    <row r="88" spans="1:15" x14ac:dyDescent="0.25">
      <c r="A88" s="102" t="str">
        <f t="shared" ca="1" si="12"/>
        <v/>
      </c>
      <c r="B88" s="33" t="str">
        <f t="shared" ca="1" si="13"/>
        <v/>
      </c>
      <c r="C88" s="25" t="str">
        <f t="shared" ca="1" si="14"/>
        <v/>
      </c>
      <c r="D88" s="33" t="str">
        <f t="shared" ca="1" si="11"/>
        <v/>
      </c>
      <c r="E88" s="25" t="str">
        <f t="shared" ca="1" si="15"/>
        <v/>
      </c>
      <c r="F88" s="55" t="str">
        <f t="shared" ca="1" si="16"/>
        <v/>
      </c>
      <c r="J88" s="76">
        <f ca="1"/>
        <v>46024</v>
      </c>
      <c r="K88" s="41">
        <f ca="1"/>
        <v>33.299999999999997</v>
      </c>
      <c r="N88" s="37">
        <f t="shared" ca="1" si="9"/>
        <v>46024</v>
      </c>
      <c r="O88" s="37" t="str">
        <f t="shared" ca="1" si="10"/>
        <v/>
      </c>
    </row>
    <row r="89" spans="1:15" x14ac:dyDescent="0.25">
      <c r="A89" s="102" t="str">
        <f t="shared" ca="1" si="12"/>
        <v/>
      </c>
      <c r="B89" s="33" t="str">
        <f t="shared" ca="1" si="13"/>
        <v/>
      </c>
      <c r="C89" s="25" t="str">
        <f t="shared" ca="1" si="14"/>
        <v/>
      </c>
      <c r="D89" s="33" t="str">
        <f t="shared" ca="1" si="11"/>
        <v/>
      </c>
      <c r="E89" s="25" t="str">
        <f t="shared" ca="1" si="15"/>
        <v/>
      </c>
      <c r="F89" s="55" t="str">
        <f t="shared" ca="1" si="16"/>
        <v/>
      </c>
      <c r="J89" s="76">
        <f ca="1"/>
        <v>46027</v>
      </c>
      <c r="K89" s="41">
        <f ca="1"/>
        <v>44.3</v>
      </c>
      <c r="N89" s="37">
        <f t="shared" ca="1" si="9"/>
        <v>46027</v>
      </c>
      <c r="O89" s="37" t="str">
        <f t="shared" ca="1" si="10"/>
        <v/>
      </c>
    </row>
    <row r="90" spans="1:15" x14ac:dyDescent="0.25">
      <c r="A90" s="102" t="str">
        <f t="shared" ca="1" si="12"/>
        <v/>
      </c>
      <c r="B90" s="33" t="str">
        <f t="shared" ca="1" si="13"/>
        <v/>
      </c>
      <c r="C90" s="25" t="str">
        <f t="shared" ca="1" si="14"/>
        <v/>
      </c>
      <c r="D90" s="33" t="str">
        <f t="shared" ca="1" si="11"/>
        <v/>
      </c>
      <c r="E90" s="25" t="str">
        <f t="shared" ca="1" si="15"/>
        <v/>
      </c>
      <c r="F90" s="55" t="str">
        <f t="shared" ca="1" si="16"/>
        <v/>
      </c>
      <c r="J90" s="76">
        <f ca="1"/>
        <v>46028</v>
      </c>
      <c r="K90" s="41">
        <f ca="1"/>
        <v>57.52</v>
      </c>
      <c r="N90" s="37">
        <f t="shared" ca="1" si="9"/>
        <v>46028</v>
      </c>
      <c r="O90" s="37" t="str">
        <f t="shared" ca="1" si="10"/>
        <v/>
      </c>
    </row>
    <row r="91" spans="1:15" x14ac:dyDescent="0.25">
      <c r="A91" s="102" t="str">
        <f t="shared" ca="1" si="12"/>
        <v/>
      </c>
      <c r="B91" s="33" t="str">
        <f t="shared" ca="1" si="13"/>
        <v/>
      </c>
      <c r="C91" s="25" t="str">
        <f t="shared" ca="1" si="14"/>
        <v/>
      </c>
      <c r="D91" s="33" t="str">
        <f t="shared" ca="1" si="11"/>
        <v/>
      </c>
      <c r="E91" s="25" t="str">
        <f t="shared" ca="1" si="15"/>
        <v/>
      </c>
      <c r="F91" s="55" t="str">
        <f t="shared" ca="1" si="16"/>
        <v/>
      </c>
      <c r="J91" s="76">
        <f ca="1"/>
        <v>46029</v>
      </c>
      <c r="K91" s="41">
        <f ca="1"/>
        <v>48.1</v>
      </c>
      <c r="N91" s="37">
        <f t="shared" ca="1" si="9"/>
        <v>46029</v>
      </c>
      <c r="O91" s="37" t="str">
        <f t="shared" ca="1" si="10"/>
        <v/>
      </c>
    </row>
    <row r="92" spans="1:15" x14ac:dyDescent="0.25">
      <c r="A92" s="102" t="str">
        <f t="shared" ca="1" si="12"/>
        <v/>
      </c>
      <c r="B92" s="33" t="str">
        <f t="shared" ca="1" si="13"/>
        <v/>
      </c>
      <c r="C92" s="25" t="str">
        <f t="shared" ca="1" si="14"/>
        <v/>
      </c>
      <c r="D92" s="33" t="str">
        <f t="shared" ca="1" si="11"/>
        <v/>
      </c>
      <c r="E92" s="25" t="str">
        <f t="shared" ca="1" si="15"/>
        <v/>
      </c>
      <c r="F92" s="55" t="str">
        <f t="shared" ca="1" si="16"/>
        <v/>
      </c>
      <c r="J92" s="76">
        <f ca="1"/>
        <v>46030</v>
      </c>
      <c r="K92" s="41">
        <f ca="1"/>
        <v>46.1</v>
      </c>
      <c r="N92" s="37">
        <f t="shared" ca="1" si="9"/>
        <v>46030</v>
      </c>
      <c r="O92" s="37" t="str">
        <f t="shared" ca="1" si="10"/>
        <v/>
      </c>
    </row>
    <row r="93" spans="1:15" x14ac:dyDescent="0.25">
      <c r="A93" s="102" t="str">
        <f t="shared" ca="1" si="12"/>
        <v/>
      </c>
      <c r="B93" s="33" t="str">
        <f t="shared" ca="1" si="13"/>
        <v/>
      </c>
      <c r="C93" s="25" t="str">
        <f t="shared" ca="1" si="14"/>
        <v/>
      </c>
      <c r="D93" s="33" t="str">
        <f t="shared" ca="1" si="11"/>
        <v/>
      </c>
      <c r="E93" s="25" t="str">
        <f t="shared" ca="1" si="15"/>
        <v/>
      </c>
      <c r="F93" s="55" t="str">
        <f t="shared" ca="1" si="16"/>
        <v/>
      </c>
      <c r="J93" s="76">
        <f ca="1"/>
        <v>46031</v>
      </c>
      <c r="K93" s="41">
        <f ca="1"/>
        <v>55.6</v>
      </c>
      <c r="N93" s="37">
        <f t="shared" ca="1" si="9"/>
        <v>46031</v>
      </c>
      <c r="O93" s="37" t="str">
        <f t="shared" ca="1" si="10"/>
        <v/>
      </c>
    </row>
    <row r="94" spans="1:15" x14ac:dyDescent="0.25">
      <c r="A94" s="102" t="str">
        <f t="shared" ca="1" si="12"/>
        <v/>
      </c>
      <c r="B94" s="33" t="str">
        <f t="shared" ca="1" si="13"/>
        <v/>
      </c>
      <c r="C94" s="25" t="str">
        <f t="shared" ca="1" si="14"/>
        <v/>
      </c>
      <c r="D94" s="33" t="str">
        <f t="shared" ca="1" si="11"/>
        <v/>
      </c>
      <c r="E94" s="25" t="str">
        <f t="shared" ca="1" si="15"/>
        <v/>
      </c>
      <c r="F94" s="55" t="str">
        <f t="shared" ca="1" si="16"/>
        <v/>
      </c>
      <c r="J94" s="76">
        <f ca="1"/>
        <v>46034</v>
      </c>
      <c r="K94" s="41">
        <f ca="1"/>
        <v>59.2</v>
      </c>
      <c r="N94" s="37">
        <f t="shared" ca="1" si="9"/>
        <v>46034</v>
      </c>
      <c r="O94" s="37" t="str">
        <f t="shared" ca="1" si="10"/>
        <v/>
      </c>
    </row>
    <row r="95" spans="1:15" x14ac:dyDescent="0.25">
      <c r="A95" s="102" t="str">
        <f t="shared" ca="1" si="12"/>
        <v/>
      </c>
      <c r="B95" s="33" t="str">
        <f t="shared" ca="1" si="13"/>
        <v/>
      </c>
      <c r="C95" s="25" t="str">
        <f t="shared" ca="1" si="14"/>
        <v/>
      </c>
      <c r="D95" s="33" t="str">
        <f t="shared" ca="1" si="11"/>
        <v/>
      </c>
      <c r="E95" s="25" t="str">
        <f t="shared" ca="1" si="15"/>
        <v/>
      </c>
      <c r="F95" s="55" t="str">
        <f t="shared" ca="1" si="16"/>
        <v/>
      </c>
      <c r="J95" s="76">
        <f ca="1"/>
        <v>46035</v>
      </c>
      <c r="K95" s="41">
        <f ca="1"/>
        <v>52.23</v>
      </c>
      <c r="N95" s="37">
        <f t="shared" ca="1" si="9"/>
        <v>46035</v>
      </c>
      <c r="O95" s="37" t="str">
        <f t="shared" ca="1" si="10"/>
        <v/>
      </c>
    </row>
    <row r="96" spans="1:15" x14ac:dyDescent="0.25">
      <c r="A96" s="102" t="str">
        <f t="shared" ca="1" si="12"/>
        <v/>
      </c>
      <c r="B96" s="33" t="str">
        <f t="shared" ca="1" si="13"/>
        <v/>
      </c>
      <c r="C96" s="25" t="str">
        <f t="shared" ca="1" si="14"/>
        <v/>
      </c>
      <c r="D96" s="33" t="str">
        <f t="shared" ca="1" si="11"/>
        <v/>
      </c>
      <c r="E96" s="25" t="str">
        <f t="shared" ca="1" si="15"/>
        <v/>
      </c>
      <c r="F96" s="55" t="str">
        <f t="shared" ca="1" si="16"/>
        <v/>
      </c>
      <c r="J96" s="76">
        <f ca="1"/>
        <v>46036</v>
      </c>
      <c r="K96" s="41">
        <f ca="1"/>
        <v>40.93</v>
      </c>
      <c r="N96" s="37">
        <f t="shared" ca="1" si="9"/>
        <v>46036</v>
      </c>
      <c r="O96" s="37" t="str">
        <f t="shared" ca="1" si="10"/>
        <v/>
      </c>
    </row>
    <row r="97" spans="1:15" x14ac:dyDescent="0.25">
      <c r="A97" s="102" t="str">
        <f t="shared" ca="1" si="12"/>
        <v/>
      </c>
      <c r="B97" s="33" t="str">
        <f t="shared" ca="1" si="13"/>
        <v/>
      </c>
      <c r="C97" s="25" t="str">
        <f t="shared" ca="1" si="14"/>
        <v/>
      </c>
      <c r="D97" s="33" t="str">
        <f t="shared" ca="1" si="11"/>
        <v/>
      </c>
      <c r="E97" s="25" t="str">
        <f t="shared" ca="1" si="15"/>
        <v/>
      </c>
      <c r="F97" s="55" t="str">
        <f t="shared" ca="1" si="16"/>
        <v/>
      </c>
      <c r="J97" s="76">
        <f ca="1"/>
        <v>46037</v>
      </c>
      <c r="K97" s="41">
        <f ca="1"/>
        <v>42.3</v>
      </c>
      <c r="N97" s="37">
        <f t="shared" ca="1" si="9"/>
        <v>46037</v>
      </c>
      <c r="O97" s="37" t="str">
        <f t="shared" ca="1" si="10"/>
        <v/>
      </c>
    </row>
    <row r="98" spans="1:15" x14ac:dyDescent="0.25">
      <c r="A98" s="102" t="str">
        <f t="shared" ca="1" si="12"/>
        <v/>
      </c>
      <c r="B98" s="33" t="str">
        <f t="shared" ca="1" si="13"/>
        <v/>
      </c>
      <c r="C98" s="25" t="str">
        <f t="shared" ca="1" si="14"/>
        <v/>
      </c>
      <c r="D98" s="33" t="str">
        <f t="shared" ca="1" si="11"/>
        <v/>
      </c>
      <c r="E98" s="25" t="str">
        <f t="shared" ca="1" si="15"/>
        <v/>
      </c>
      <c r="F98" s="55" t="str">
        <f t="shared" ca="1" si="16"/>
        <v/>
      </c>
      <c r="J98" s="76">
        <f ca="1"/>
        <v>46038</v>
      </c>
      <c r="K98" s="41">
        <f ca="1"/>
        <v>38.15</v>
      </c>
      <c r="N98" s="37">
        <f t="shared" ca="1" si="9"/>
        <v>46038</v>
      </c>
      <c r="O98" s="37" t="str">
        <f t="shared" ca="1" si="10"/>
        <v/>
      </c>
    </row>
    <row r="99" spans="1:15" x14ac:dyDescent="0.25">
      <c r="A99" s="102" t="str">
        <f t="shared" ca="1" si="12"/>
        <v/>
      </c>
      <c r="B99" s="33" t="str">
        <f t="shared" ca="1" si="13"/>
        <v/>
      </c>
      <c r="C99" s="25" t="str">
        <f t="shared" ca="1" si="14"/>
        <v/>
      </c>
      <c r="D99" s="33" t="str">
        <f t="shared" ca="1" si="11"/>
        <v/>
      </c>
      <c r="E99" s="25" t="str">
        <f t="shared" ca="1" si="15"/>
        <v/>
      </c>
      <c r="F99" s="55" t="str">
        <f t="shared" ca="1" si="16"/>
        <v/>
      </c>
      <c r="J99" s="76">
        <f ca="1"/>
        <v>46042</v>
      </c>
      <c r="K99" s="41">
        <f ca="1"/>
        <v>15.44</v>
      </c>
      <c r="N99" s="37">
        <f t="shared" ca="1" si="9"/>
        <v>46042</v>
      </c>
      <c r="O99" s="37" t="str">
        <f t="shared" ca="1" si="10"/>
        <v/>
      </c>
    </row>
    <row r="100" spans="1:15" x14ac:dyDescent="0.25">
      <c r="A100" s="102" t="str">
        <f t="shared" ca="1" si="12"/>
        <v/>
      </c>
      <c r="B100" s="33" t="str">
        <f t="shared" ca="1" si="13"/>
        <v/>
      </c>
      <c r="C100" s="25" t="str">
        <f t="shared" ca="1" si="14"/>
        <v/>
      </c>
      <c r="D100" s="33" t="str">
        <f t="shared" ca="1" si="11"/>
        <v/>
      </c>
      <c r="E100" s="25" t="str">
        <f t="shared" ca="1" si="15"/>
        <v/>
      </c>
      <c r="F100" s="55" t="str">
        <f t="shared" ca="1" si="16"/>
        <v/>
      </c>
      <c r="J100" s="76">
        <f ca="1"/>
        <v>46043</v>
      </c>
      <c r="K100" s="41">
        <f ca="1"/>
        <v>21.7</v>
      </c>
      <c r="N100" s="37">
        <f t="shared" ca="1" si="9"/>
        <v>46043</v>
      </c>
      <c r="O100" s="37" t="str">
        <f t="shared" ca="1" si="10"/>
        <v/>
      </c>
    </row>
    <row r="101" spans="1:15" x14ac:dyDescent="0.25">
      <c r="A101" s="102" t="str">
        <f t="shared" ca="1" si="12"/>
        <v/>
      </c>
      <c r="B101" s="33" t="str">
        <f t="shared" ca="1" si="13"/>
        <v/>
      </c>
      <c r="C101" s="25" t="str">
        <f t="shared" ca="1" si="14"/>
        <v/>
      </c>
      <c r="D101" s="33" t="str">
        <f t="shared" ca="1" si="11"/>
        <v/>
      </c>
      <c r="E101" s="25" t="str">
        <f t="shared" ca="1" si="15"/>
        <v/>
      </c>
      <c r="F101" s="55" t="str">
        <f t="shared" ca="1" si="16"/>
        <v/>
      </c>
      <c r="J101" s="76">
        <f ca="1"/>
        <v>46044</v>
      </c>
      <c r="K101" s="41">
        <f ca="1"/>
        <v>24.49</v>
      </c>
      <c r="N101" s="37">
        <f t="shared" ca="1" si="9"/>
        <v>46044</v>
      </c>
      <c r="O101" s="37" t="str">
        <f t="shared" ca="1" si="10"/>
        <v/>
      </c>
    </row>
    <row r="102" spans="1:15" x14ac:dyDescent="0.25">
      <c r="A102" s="102" t="str">
        <f t="shared" ca="1" si="12"/>
        <v/>
      </c>
      <c r="B102" s="33" t="str">
        <f t="shared" ca="1" si="13"/>
        <v/>
      </c>
      <c r="C102" s="25" t="str">
        <f t="shared" ca="1" si="14"/>
        <v/>
      </c>
      <c r="D102" s="33" t="str">
        <f t="shared" ca="1" si="11"/>
        <v/>
      </c>
      <c r="E102" s="25" t="str">
        <f t="shared" ca="1" si="15"/>
        <v/>
      </c>
      <c r="F102" s="55" t="str">
        <f t="shared" ca="1" si="16"/>
        <v/>
      </c>
      <c r="J102" s="76">
        <f ca="1"/>
        <v>46045</v>
      </c>
      <c r="K102" s="41">
        <f ca="1"/>
        <v>22.3</v>
      </c>
      <c r="N102" s="37">
        <f t="shared" ca="1" si="9"/>
        <v>46045</v>
      </c>
      <c r="O102" s="37" t="str">
        <f t="shared" ca="1" si="10"/>
        <v/>
      </c>
    </row>
    <row r="103" spans="1:15" x14ac:dyDescent="0.25">
      <c r="A103" s="102" t="str">
        <f t="shared" ca="1" si="12"/>
        <v/>
      </c>
      <c r="B103" s="33" t="str">
        <f t="shared" ca="1" si="13"/>
        <v/>
      </c>
      <c r="C103" s="25" t="str">
        <f t="shared" ca="1" si="14"/>
        <v/>
      </c>
      <c r="D103" s="33" t="str">
        <f t="shared" ca="1" si="11"/>
        <v/>
      </c>
      <c r="E103" s="25" t="str">
        <f t="shared" ca="1" si="15"/>
        <v/>
      </c>
      <c r="F103" s="55" t="str">
        <f t="shared" ca="1" si="16"/>
        <v/>
      </c>
      <c r="J103" s="76">
        <f ca="1"/>
        <v>46048</v>
      </c>
      <c r="K103" s="41">
        <f ca="1"/>
        <v>27.7</v>
      </c>
      <c r="N103" s="37">
        <f t="shared" ca="1" si="9"/>
        <v>46048</v>
      </c>
      <c r="O103" s="37" t="str">
        <f t="shared" ca="1" si="10"/>
        <v/>
      </c>
    </row>
    <row r="104" spans="1:15" x14ac:dyDescent="0.25">
      <c r="A104" s="102" t="str">
        <f t="shared" ca="1" si="12"/>
        <v/>
      </c>
      <c r="B104" s="33" t="str">
        <f t="shared" ca="1" si="13"/>
        <v/>
      </c>
      <c r="C104" s="25" t="str">
        <f t="shared" ca="1" si="14"/>
        <v/>
      </c>
      <c r="D104" s="33" t="str">
        <f t="shared" ca="1" si="11"/>
        <v/>
      </c>
      <c r="E104" s="25" t="str">
        <f t="shared" ca="1" si="15"/>
        <v/>
      </c>
      <c r="F104" s="55" t="str">
        <f t="shared" ca="1" si="16"/>
        <v/>
      </c>
      <c r="J104" s="76">
        <f ca="1"/>
        <v>46049</v>
      </c>
      <c r="K104" s="41">
        <f ca="1"/>
        <v>34.299999999999997</v>
      </c>
      <c r="N104" s="37">
        <f t="shared" ca="1" si="9"/>
        <v>46049</v>
      </c>
      <c r="O104" s="37" t="str">
        <f t="shared" ca="1" si="10"/>
        <v/>
      </c>
    </row>
    <row r="105" spans="1:15" x14ac:dyDescent="0.25">
      <c r="A105" s="102" t="str">
        <f t="shared" ca="1" si="12"/>
        <v/>
      </c>
      <c r="B105" s="33" t="str">
        <f t="shared" ca="1" si="13"/>
        <v/>
      </c>
      <c r="C105" s="25" t="str">
        <f t="shared" ca="1" si="14"/>
        <v/>
      </c>
      <c r="D105" s="33" t="str">
        <f t="shared" ca="1" si="11"/>
        <v/>
      </c>
      <c r="E105" s="25" t="str">
        <f t="shared" ca="1" si="15"/>
        <v/>
      </c>
      <c r="F105" s="55" t="str">
        <f t="shared" ca="1" si="16"/>
        <v/>
      </c>
      <c r="J105" s="76">
        <f ca="1"/>
        <v>46050</v>
      </c>
      <c r="K105" s="41">
        <f ca="1"/>
        <v>33.78</v>
      </c>
      <c r="N105" s="37">
        <f t="shared" ca="1" si="9"/>
        <v>46050</v>
      </c>
      <c r="O105" s="37" t="str">
        <f t="shared" ca="1" si="10"/>
        <v/>
      </c>
    </row>
    <row r="106" spans="1:15" x14ac:dyDescent="0.25">
      <c r="A106" s="102" t="str">
        <f t="shared" ca="1" si="12"/>
        <v/>
      </c>
      <c r="B106" s="33" t="str">
        <f t="shared" ca="1" si="13"/>
        <v/>
      </c>
      <c r="C106" s="25" t="str">
        <f t="shared" ca="1" si="14"/>
        <v/>
      </c>
      <c r="D106" s="33" t="str">
        <f t="shared" ca="1" si="11"/>
        <v/>
      </c>
      <c r="E106" s="25" t="str">
        <f t="shared" ca="1" si="15"/>
        <v/>
      </c>
      <c r="F106" s="55" t="str">
        <f t="shared" ca="1" si="16"/>
        <v/>
      </c>
      <c r="J106" s="76">
        <f ca="1"/>
        <v>46051</v>
      </c>
      <c r="K106" s="41">
        <f ca="1"/>
        <v>27.75</v>
      </c>
      <c r="N106" s="37">
        <f t="shared" ca="1" si="9"/>
        <v>46051</v>
      </c>
      <c r="O106" s="37" t="str">
        <f t="shared" ca="1" si="10"/>
        <v/>
      </c>
    </row>
    <row r="107" spans="1:15" x14ac:dyDescent="0.25">
      <c r="A107" s="102" t="str">
        <f t="shared" ca="1" si="12"/>
        <v/>
      </c>
      <c r="B107" s="33" t="str">
        <f t="shared" ca="1" si="13"/>
        <v/>
      </c>
      <c r="C107" s="25" t="str">
        <f t="shared" ca="1" si="14"/>
        <v/>
      </c>
      <c r="D107" s="33" t="str">
        <f t="shared" ca="1" si="11"/>
        <v/>
      </c>
      <c r="E107" s="25" t="str">
        <f t="shared" ca="1" si="15"/>
        <v/>
      </c>
      <c r="F107" s="55" t="str">
        <f t="shared" ca="1" si="16"/>
        <v/>
      </c>
      <c r="J107" s="76">
        <f ca="1"/>
        <v>46052</v>
      </c>
      <c r="K107" s="41">
        <f ca="1"/>
        <v>20.3</v>
      </c>
      <c r="N107" s="37">
        <f t="shared" ca="1" si="9"/>
        <v>46052</v>
      </c>
      <c r="O107" s="37" t="str">
        <f t="shared" ca="1" si="10"/>
        <v/>
      </c>
    </row>
    <row r="108" spans="1:15" x14ac:dyDescent="0.25">
      <c r="A108" s="102" t="str">
        <f t="shared" ca="1" si="12"/>
        <v/>
      </c>
      <c r="B108" s="33" t="str">
        <f t="shared" ca="1" si="13"/>
        <v/>
      </c>
      <c r="C108" s="25" t="str">
        <f t="shared" ca="1" si="14"/>
        <v/>
      </c>
      <c r="D108" s="33" t="str">
        <f t="shared" ca="1" si="11"/>
        <v/>
      </c>
      <c r="E108" s="25" t="str">
        <f t="shared" ca="1" si="15"/>
        <v/>
      </c>
      <c r="F108" s="55" t="str">
        <f t="shared" ca="1" si="16"/>
        <v/>
      </c>
      <c r="J108" s="76">
        <f ca="1"/>
        <v>46055</v>
      </c>
      <c r="K108" s="41">
        <f ca="1"/>
        <v>22.8</v>
      </c>
      <c r="N108" s="37">
        <f t="shared" ca="1" si="9"/>
        <v>46055</v>
      </c>
      <c r="O108" s="37" t="str">
        <f t="shared" ca="1" si="10"/>
        <v/>
      </c>
    </row>
    <row r="109" spans="1:15" x14ac:dyDescent="0.25">
      <c r="A109" s="102" t="str">
        <f t="shared" ca="1" si="12"/>
        <v/>
      </c>
      <c r="B109" s="33" t="str">
        <f t="shared" ca="1" si="13"/>
        <v/>
      </c>
      <c r="C109" s="25" t="str">
        <f t="shared" ca="1" si="14"/>
        <v/>
      </c>
      <c r="D109" s="33" t="str">
        <f t="shared" ca="1" si="11"/>
        <v/>
      </c>
      <c r="E109" s="25" t="str">
        <f t="shared" ca="1" si="15"/>
        <v/>
      </c>
      <c r="F109" s="55" t="str">
        <f t="shared" ca="1" si="16"/>
        <v/>
      </c>
      <c r="J109" s="76">
        <f ca="1"/>
        <v>46056</v>
      </c>
      <c r="K109" s="41">
        <f ca="1"/>
        <v>11.6</v>
      </c>
      <c r="N109" s="37">
        <f t="shared" ca="1" si="9"/>
        <v>46056</v>
      </c>
      <c r="O109" s="37" t="str">
        <f t="shared" ca="1" si="10"/>
        <v/>
      </c>
    </row>
    <row r="110" spans="1:15" x14ac:dyDescent="0.25">
      <c r="A110" s="102" t="str">
        <f t="shared" ca="1" si="12"/>
        <v/>
      </c>
      <c r="B110" s="33" t="str">
        <f t="shared" ca="1" si="13"/>
        <v/>
      </c>
      <c r="C110" s="25" t="str">
        <f t="shared" ca="1" si="14"/>
        <v/>
      </c>
      <c r="D110" s="33" t="str">
        <f t="shared" ca="1" si="11"/>
        <v/>
      </c>
      <c r="E110" s="25" t="str">
        <f t="shared" ca="1" si="15"/>
        <v/>
      </c>
      <c r="F110" s="55" t="str">
        <f t="shared" ca="1" si="16"/>
        <v/>
      </c>
      <c r="J110" s="76">
        <f ca="1"/>
        <v>46057</v>
      </c>
      <c r="K110" s="41">
        <f ca="1"/>
        <v>8.81</v>
      </c>
      <c r="N110" s="37">
        <f t="shared" ca="1" si="9"/>
        <v>46057</v>
      </c>
      <c r="O110" s="37" t="str">
        <f t="shared" ca="1" si="10"/>
        <v/>
      </c>
    </row>
    <row r="111" spans="1:15" x14ac:dyDescent="0.25">
      <c r="A111" s="102" t="str">
        <f t="shared" ca="1" si="12"/>
        <v/>
      </c>
      <c r="B111" s="33" t="str">
        <f t="shared" ca="1" si="13"/>
        <v/>
      </c>
      <c r="C111" s="25" t="str">
        <f t="shared" ca="1" si="14"/>
        <v/>
      </c>
      <c r="D111" s="33" t="str">
        <f t="shared" ref="D111:D117" ca="1" si="17">IF(COUNTIF(J:J,A111)=1,VLOOKUP(A111,L:M,2), IF(COUNTIF(J:J,A111)=0,$C$10,""))</f>
        <v/>
      </c>
      <c r="E111" s="25" t="str">
        <f t="shared" ca="1" si="15"/>
        <v/>
      </c>
      <c r="F111" s="55" t="str">
        <f t="shared" ca="1" si="16"/>
        <v/>
      </c>
      <c r="J111" s="76">
        <f ca="1"/>
        <v>46058</v>
      </c>
      <c r="K111" s="41">
        <f ca="1"/>
        <v>3.46</v>
      </c>
      <c r="N111" s="37">
        <f t="shared" ca="1" si="9"/>
        <v>46058</v>
      </c>
      <c r="O111" s="37" t="str">
        <f t="shared" ca="1" si="10"/>
        <v/>
      </c>
    </row>
    <row r="112" spans="1:15" x14ac:dyDescent="0.25">
      <c r="A112" s="102" t="str">
        <f t="shared" ca="1" si="12"/>
        <v/>
      </c>
      <c r="B112" s="33" t="str">
        <f t="shared" ca="1" si="13"/>
        <v/>
      </c>
      <c r="C112" s="25" t="str">
        <f t="shared" ca="1" si="14"/>
        <v/>
      </c>
      <c r="D112" s="33" t="str">
        <f t="shared" ca="1" si="17"/>
        <v/>
      </c>
      <c r="E112" s="25" t="str">
        <f t="shared" ca="1" si="15"/>
        <v/>
      </c>
      <c r="F112" s="55" t="str">
        <f t="shared" ca="1" si="16"/>
        <v/>
      </c>
      <c r="J112" s="76">
        <f ca="1"/>
        <v>46059</v>
      </c>
      <c r="K112" s="41">
        <f ca="1"/>
        <v>6.14</v>
      </c>
      <c r="N112" s="37">
        <f t="shared" ca="1" si="9"/>
        <v>46059</v>
      </c>
      <c r="O112" s="37" t="str">
        <f t="shared" ca="1" si="10"/>
        <v/>
      </c>
    </row>
    <row r="113" spans="1:15" x14ac:dyDescent="0.25">
      <c r="A113" s="102" t="str">
        <f t="shared" ca="1" si="12"/>
        <v/>
      </c>
      <c r="B113" s="33" t="str">
        <f t="shared" ca="1" si="13"/>
        <v/>
      </c>
      <c r="C113" s="25" t="str">
        <f t="shared" ca="1" si="14"/>
        <v/>
      </c>
      <c r="D113" s="33" t="str">
        <f t="shared" ca="1" si="17"/>
        <v/>
      </c>
      <c r="E113" s="25" t="str">
        <f t="shared" ca="1" si="15"/>
        <v/>
      </c>
      <c r="F113" s="55" t="str">
        <f t="shared" ca="1" si="16"/>
        <v/>
      </c>
      <c r="J113" s="76">
        <f ca="1"/>
        <v>46062</v>
      </c>
      <c r="K113" s="41">
        <f ca="1"/>
        <v>6.98</v>
      </c>
      <c r="N113" s="37">
        <f t="shared" ca="1" si="9"/>
        <v>46062</v>
      </c>
      <c r="O113" s="37" t="str">
        <f t="shared" ca="1" si="10"/>
        <v/>
      </c>
    </row>
    <row r="114" spans="1:15" x14ac:dyDescent="0.25">
      <c r="A114" s="102" t="str">
        <f t="shared" ca="1" si="12"/>
        <v/>
      </c>
      <c r="B114" s="33" t="str">
        <f t="shared" ca="1" si="13"/>
        <v/>
      </c>
      <c r="C114" s="25" t="str">
        <f t="shared" ca="1" si="14"/>
        <v/>
      </c>
      <c r="D114" s="33" t="str">
        <f t="shared" ca="1" si="17"/>
        <v/>
      </c>
      <c r="E114" s="25" t="str">
        <f t="shared" ca="1" si="15"/>
        <v/>
      </c>
      <c r="F114" s="55" t="str">
        <f t="shared" ca="1" si="16"/>
        <v/>
      </c>
      <c r="J114" s="76">
        <f ca="1"/>
        <v>46063</v>
      </c>
      <c r="K114" s="41">
        <f ca="1"/>
        <v>3.8</v>
      </c>
      <c r="N114" s="37">
        <f t="shared" ca="1" si="9"/>
        <v>46063</v>
      </c>
      <c r="O114" s="37" t="str">
        <f t="shared" ca="1" si="10"/>
        <v/>
      </c>
    </row>
    <row r="115" spans="1:15" x14ac:dyDescent="0.25">
      <c r="A115" s="102" t="str">
        <f t="shared" ca="1" si="12"/>
        <v/>
      </c>
      <c r="B115" s="33" t="str">
        <f t="shared" ca="1" si="13"/>
        <v/>
      </c>
      <c r="C115" s="25" t="str">
        <f t="shared" ca="1" si="14"/>
        <v/>
      </c>
      <c r="D115" s="33" t="str">
        <f t="shared" ca="1" si="17"/>
        <v/>
      </c>
      <c r="E115" s="25" t="str">
        <f t="shared" ca="1" si="15"/>
        <v/>
      </c>
      <c r="F115" s="55" t="str">
        <f t="shared" ca="1" si="16"/>
        <v/>
      </c>
      <c r="J115" s="76">
        <f ca="1"/>
        <v>46064</v>
      </c>
      <c r="K115" s="41">
        <f ca="1"/>
        <v>1.97</v>
      </c>
      <c r="N115" s="37">
        <f t="shared" ca="1" si="9"/>
        <v>46064</v>
      </c>
      <c r="O115" s="37" t="str">
        <f t="shared" ca="1" si="10"/>
        <v/>
      </c>
    </row>
    <row r="116" spans="1:15" x14ac:dyDescent="0.25">
      <c r="A116" s="102" t="str">
        <f t="shared" ca="1" si="12"/>
        <v/>
      </c>
      <c r="B116" s="33" t="str">
        <f t="shared" ca="1" si="13"/>
        <v/>
      </c>
      <c r="C116" s="25" t="str">
        <f t="shared" ca="1" si="14"/>
        <v/>
      </c>
      <c r="D116" s="33" t="str">
        <f t="shared" ca="1" si="17"/>
        <v/>
      </c>
      <c r="E116" s="25" t="str">
        <f t="shared" ca="1" si="15"/>
        <v/>
      </c>
      <c r="F116" s="55" t="str">
        <f t="shared" ca="1" si="16"/>
        <v/>
      </c>
      <c r="J116" s="76">
        <f ca="1"/>
        <v>46065</v>
      </c>
      <c r="K116" s="41">
        <f ca="1"/>
        <v>0.3</v>
      </c>
      <c r="N116" s="37">
        <f t="shared" ca="1" si="9"/>
        <v>46065</v>
      </c>
      <c r="O116" s="37" t="str">
        <f t="shared" ca="1" si="10"/>
        <v/>
      </c>
    </row>
    <row r="117" spans="1:15" x14ac:dyDescent="0.25">
      <c r="A117" s="102" t="str">
        <f t="shared" ca="1" si="12"/>
        <v/>
      </c>
      <c r="B117" s="33" t="str">
        <f t="shared" ca="1" si="13"/>
        <v/>
      </c>
      <c r="C117" s="25" t="str">
        <f t="shared" ca="1" si="14"/>
        <v/>
      </c>
      <c r="D117" s="33" t="str">
        <f t="shared" ca="1" si="17"/>
        <v/>
      </c>
      <c r="E117" s="25" t="str">
        <f t="shared" ca="1" si="15"/>
        <v/>
      </c>
      <c r="F117" s="55" t="str">
        <f t="shared" ca="1" si="16"/>
        <v/>
      </c>
      <c r="J117" s="76">
        <f ca="1"/>
        <v>46066</v>
      </c>
      <c r="K117" s="41">
        <f ca="1"/>
        <v>0.1</v>
      </c>
      <c r="N117" s="37">
        <f t="shared" ca="1" si="9"/>
        <v>46066</v>
      </c>
      <c r="O117" s="37" t="str">
        <f t="shared" ca="1" si="10"/>
        <v/>
      </c>
    </row>
    <row r="118" spans="1:15" x14ac:dyDescent="0.25">
      <c r="A118" s="102"/>
      <c r="B118" s="33"/>
      <c r="C118" s="25"/>
      <c r="D118" s="33"/>
      <c r="E118" s="25"/>
      <c r="F118" s="55"/>
      <c r="J118" s="76">
        <f ca="1"/>
        <v>46070</v>
      </c>
      <c r="K118" s="41">
        <f ca="1"/>
        <v>0.1</v>
      </c>
      <c r="N118" s="37">
        <f t="shared" ca="1" si="9"/>
        <v>46070</v>
      </c>
      <c r="O118" s="37" t="str">
        <f t="shared" ca="1" si="10"/>
        <v/>
      </c>
    </row>
    <row r="119" spans="1:15" x14ac:dyDescent="0.25">
      <c r="A119" s="102"/>
      <c r="B119" s="33"/>
      <c r="C119" s="25"/>
      <c r="D119" s="33"/>
      <c r="E119" s="25"/>
      <c r="F119" s="55"/>
      <c r="J119" s="76">
        <f ca="1"/>
        <v>46071</v>
      </c>
      <c r="K119" s="41">
        <f ca="1"/>
        <v>0.06</v>
      </c>
      <c r="N119" s="37">
        <f t="shared" ca="1" si="9"/>
        <v>46071</v>
      </c>
      <c r="O119" s="37" t="str">
        <f t="shared" ca="1" si="10"/>
        <v/>
      </c>
    </row>
    <row r="120" spans="1:15" x14ac:dyDescent="0.25">
      <c r="A120" s="102"/>
      <c r="B120" s="33"/>
      <c r="C120" s="25"/>
      <c r="D120" s="33"/>
      <c r="E120" s="25"/>
      <c r="F120" s="55"/>
      <c r="J120" s="76">
        <f ca="1"/>
        <v>46072</v>
      </c>
      <c r="K120" s="41">
        <f ca="1"/>
        <v>0.1</v>
      </c>
      <c r="N120" s="37">
        <f t="shared" ca="1" si="9"/>
        <v>46072</v>
      </c>
      <c r="O120" s="37" t="str">
        <f t="shared" ca="1" si="10"/>
        <v/>
      </c>
    </row>
    <row r="121" spans="1:15" x14ac:dyDescent="0.25">
      <c r="A121" s="102"/>
      <c r="B121" s="33"/>
      <c r="C121" s="25"/>
      <c r="D121" s="33"/>
      <c r="E121" s="25"/>
      <c r="F121" s="55"/>
      <c r="N121" s="37" t="str">
        <f t="shared" ca="1" si="9"/>
        <v/>
      </c>
      <c r="O121" s="37" t="str">
        <f t="shared" ca="1" si="10"/>
        <v/>
      </c>
    </row>
    <row r="122" spans="1:15" x14ac:dyDescent="0.25">
      <c r="A122" s="102"/>
      <c r="B122" s="33"/>
      <c r="C122" s="25"/>
      <c r="D122" s="33"/>
      <c r="E122" s="25"/>
      <c r="F122" s="55"/>
      <c r="N122" s="37" t="str">
        <f t="shared" ca="1" si="9"/>
        <v/>
      </c>
      <c r="O122" s="37" t="str">
        <f t="shared" ca="1" si="10"/>
        <v/>
      </c>
    </row>
    <row r="123" spans="1:15" x14ac:dyDescent="0.25">
      <c r="A123" s="102"/>
      <c r="B123" s="33"/>
      <c r="C123" s="25"/>
      <c r="D123" s="33"/>
      <c r="E123" s="25"/>
      <c r="F123" s="55"/>
      <c r="N123" s="37" t="str">
        <f t="shared" ca="1" si="9"/>
        <v/>
      </c>
      <c r="O123" s="37" t="str">
        <f t="shared" ca="1" si="10"/>
        <v/>
      </c>
    </row>
    <row r="124" spans="1:15" x14ac:dyDescent="0.25">
      <c r="A124" s="102"/>
      <c r="B124" s="33"/>
      <c r="C124" s="25"/>
      <c r="D124" s="33"/>
      <c r="E124" s="25"/>
      <c r="F124" s="55"/>
      <c r="N124" s="37" t="str">
        <f t="shared" ca="1" si="9"/>
        <v/>
      </c>
      <c r="O124" s="37" t="str">
        <f t="shared" ca="1" si="10"/>
        <v/>
      </c>
    </row>
    <row r="125" spans="1:15" x14ac:dyDescent="0.25">
      <c r="A125" s="102"/>
      <c r="B125" s="33"/>
      <c r="C125" s="25"/>
      <c r="D125" s="33"/>
      <c r="E125" s="25"/>
      <c r="F125" s="55"/>
      <c r="N125" s="37" t="str">
        <f t="shared" ca="1" si="9"/>
        <v/>
      </c>
      <c r="O125" s="37" t="str">
        <f t="shared" ca="1" si="10"/>
        <v/>
      </c>
    </row>
    <row r="126" spans="1:15" x14ac:dyDescent="0.25">
      <c r="A126" s="102"/>
      <c r="B126" s="33"/>
      <c r="C126" s="25"/>
      <c r="D126" s="33"/>
      <c r="E126" s="25"/>
      <c r="F126" s="55"/>
      <c r="N126" s="37" t="str">
        <f t="shared" ca="1" si="9"/>
        <v/>
      </c>
      <c r="O126" s="37" t="str">
        <f t="shared" ca="1" si="10"/>
        <v/>
      </c>
    </row>
    <row r="127" spans="1:15" x14ac:dyDescent="0.25">
      <c r="A127" s="102"/>
      <c r="B127" s="33"/>
      <c r="C127" s="25"/>
      <c r="D127" s="33"/>
      <c r="E127" s="25"/>
      <c r="F127" s="55"/>
      <c r="N127" s="37" t="str">
        <f t="shared" ca="1" si="9"/>
        <v/>
      </c>
      <c r="O127" s="37" t="str">
        <f t="shared" ca="1" si="10"/>
        <v/>
      </c>
    </row>
    <row r="128" spans="1:15" x14ac:dyDescent="0.25">
      <c r="A128" s="102"/>
      <c r="B128" s="33"/>
      <c r="C128" s="25"/>
      <c r="D128" s="33"/>
      <c r="E128" s="25"/>
      <c r="F128" s="55"/>
      <c r="N128" s="37" t="str">
        <f t="shared" ca="1" si="9"/>
        <v/>
      </c>
      <c r="O128" s="37" t="str">
        <f t="shared" ca="1" si="10"/>
        <v/>
      </c>
    </row>
    <row r="129" spans="1:15" x14ac:dyDescent="0.25">
      <c r="A129" s="102"/>
      <c r="B129" s="33"/>
      <c r="C129" s="25"/>
      <c r="D129" s="33"/>
      <c r="E129" s="25"/>
      <c r="F129" s="55"/>
      <c r="N129" s="37" t="str">
        <f t="shared" ca="1" si="9"/>
        <v/>
      </c>
      <c r="O129" s="37" t="str">
        <f t="shared" ca="1" si="10"/>
        <v/>
      </c>
    </row>
    <row r="130" spans="1:15" x14ac:dyDescent="0.25">
      <c r="A130" s="102"/>
      <c r="B130" s="33"/>
      <c r="C130" s="25"/>
      <c r="D130" s="33"/>
      <c r="E130" s="25"/>
      <c r="F130" s="55"/>
      <c r="N130" s="37" t="str">
        <f t="shared" ca="1" si="9"/>
        <v/>
      </c>
      <c r="O130" s="37" t="str">
        <f t="shared" ca="1" si="10"/>
        <v/>
      </c>
    </row>
    <row r="131" spans="1:15" x14ac:dyDescent="0.25">
      <c r="A131" s="102"/>
      <c r="B131" s="33"/>
      <c r="C131" s="25"/>
      <c r="D131" s="33"/>
      <c r="E131" s="25"/>
      <c r="F131" s="55"/>
      <c r="N131" s="37" t="str">
        <f t="shared" ca="1" si="9"/>
        <v/>
      </c>
      <c r="O131" s="37" t="str">
        <f t="shared" ca="1" si="10"/>
        <v/>
      </c>
    </row>
    <row r="132" spans="1:15" x14ac:dyDescent="0.25">
      <c r="A132" s="102"/>
      <c r="B132" s="33"/>
      <c r="C132" s="25"/>
      <c r="D132" s="33"/>
      <c r="E132" s="25"/>
      <c r="F132" s="55"/>
      <c r="N132" s="37" t="str">
        <f t="shared" ref="N132:N195" ca="1" si="18">IF(COUNTIF(L:L,J132),J132,"")</f>
        <v/>
      </c>
      <c r="O132" s="37" t="str">
        <f t="shared" ref="O132:O195" ca="1" si="19">IF(N132&gt;$A$14,N132,"")</f>
        <v/>
      </c>
    </row>
    <row r="133" spans="1:15" x14ac:dyDescent="0.25">
      <c r="A133" s="102"/>
      <c r="B133" s="33"/>
      <c r="C133" s="25"/>
      <c r="D133" s="33"/>
      <c r="E133" s="25"/>
      <c r="F133" s="55"/>
      <c r="N133" s="37" t="str">
        <f t="shared" ca="1" si="18"/>
        <v/>
      </c>
      <c r="O133" s="37" t="str">
        <f t="shared" ca="1" si="19"/>
        <v/>
      </c>
    </row>
    <row r="134" spans="1:15" x14ac:dyDescent="0.25">
      <c r="A134" s="102"/>
      <c r="B134" s="33"/>
      <c r="C134" s="25"/>
      <c r="D134" s="33"/>
      <c r="E134" s="25"/>
      <c r="F134" s="55"/>
      <c r="N134" s="37" t="str">
        <f t="shared" ca="1" si="18"/>
        <v/>
      </c>
      <c r="O134" s="37" t="str">
        <f t="shared" ca="1" si="19"/>
        <v/>
      </c>
    </row>
    <row r="135" spans="1:15" x14ac:dyDescent="0.25">
      <c r="A135" s="102"/>
      <c r="B135" s="33"/>
      <c r="C135" s="25"/>
      <c r="D135" s="33"/>
      <c r="E135" s="25"/>
      <c r="F135" s="55"/>
      <c r="N135" s="37" t="str">
        <f t="shared" ca="1" si="18"/>
        <v/>
      </c>
      <c r="O135" s="37" t="str">
        <f t="shared" ca="1" si="19"/>
        <v/>
      </c>
    </row>
    <row r="136" spans="1:15" x14ac:dyDescent="0.25">
      <c r="A136" s="102"/>
      <c r="B136" s="33"/>
      <c r="C136" s="25"/>
      <c r="D136" s="33"/>
      <c r="E136" s="25"/>
      <c r="F136" s="55"/>
      <c r="N136" s="37" t="str">
        <f t="shared" ca="1" si="18"/>
        <v/>
      </c>
      <c r="O136" s="37" t="str">
        <f t="shared" ca="1" si="19"/>
        <v/>
      </c>
    </row>
    <row r="137" spans="1:15" x14ac:dyDescent="0.25">
      <c r="A137" s="102"/>
      <c r="B137" s="33"/>
      <c r="C137" s="25"/>
      <c r="D137" s="33"/>
      <c r="E137" s="25"/>
      <c r="F137" s="55"/>
      <c r="N137" s="37" t="str">
        <f t="shared" ca="1" si="18"/>
        <v/>
      </c>
      <c r="O137" s="37" t="str">
        <f t="shared" ca="1" si="19"/>
        <v/>
      </c>
    </row>
    <row r="138" spans="1:15" x14ac:dyDescent="0.25">
      <c r="A138" s="102"/>
      <c r="B138" s="33"/>
      <c r="C138" s="25"/>
      <c r="D138" s="33"/>
      <c r="E138" s="25"/>
      <c r="F138" s="55"/>
      <c r="N138" s="37" t="str">
        <f t="shared" ca="1" si="18"/>
        <v/>
      </c>
      <c r="O138" s="37" t="str">
        <f t="shared" ca="1" si="19"/>
        <v/>
      </c>
    </row>
    <row r="139" spans="1:15" x14ac:dyDescent="0.25">
      <c r="A139" s="102"/>
      <c r="B139" s="33"/>
      <c r="C139" s="25"/>
      <c r="D139" s="33"/>
      <c r="E139" s="25"/>
      <c r="F139" s="55"/>
      <c r="N139" s="37" t="str">
        <f t="shared" ca="1" si="18"/>
        <v/>
      </c>
      <c r="O139" s="37" t="str">
        <f t="shared" ca="1" si="19"/>
        <v/>
      </c>
    </row>
    <row r="140" spans="1:15" x14ac:dyDescent="0.25">
      <c r="A140" s="102"/>
      <c r="B140" s="33"/>
      <c r="C140" s="25"/>
      <c r="D140" s="33"/>
      <c r="E140" s="25"/>
      <c r="F140" s="55"/>
      <c r="N140" s="37" t="str">
        <f t="shared" ca="1" si="18"/>
        <v/>
      </c>
      <c r="O140" s="37" t="str">
        <f t="shared" ca="1" si="19"/>
        <v/>
      </c>
    </row>
    <row r="141" spans="1:15" x14ac:dyDescent="0.25">
      <c r="A141" s="102"/>
      <c r="B141" s="33"/>
      <c r="C141" s="25"/>
      <c r="D141" s="33"/>
      <c r="E141" s="25"/>
      <c r="F141" s="55"/>
      <c r="N141" s="37" t="str">
        <f t="shared" ca="1" si="18"/>
        <v/>
      </c>
      <c r="O141" s="37" t="str">
        <f t="shared" ca="1" si="19"/>
        <v/>
      </c>
    </row>
    <row r="142" spans="1:15" x14ac:dyDescent="0.25">
      <c r="A142" s="102"/>
      <c r="B142" s="33"/>
      <c r="C142" s="25"/>
      <c r="D142" s="33"/>
      <c r="E142" s="25"/>
      <c r="F142" s="55"/>
      <c r="N142" s="37" t="str">
        <f t="shared" ca="1" si="18"/>
        <v/>
      </c>
      <c r="O142" s="37" t="str">
        <f t="shared" ca="1" si="19"/>
        <v/>
      </c>
    </row>
    <row r="143" spans="1:15" x14ac:dyDescent="0.25">
      <c r="A143" s="102"/>
      <c r="B143" s="33"/>
      <c r="C143" s="25"/>
      <c r="D143" s="33"/>
      <c r="E143" s="25"/>
      <c r="F143" s="55"/>
      <c r="N143" s="37" t="str">
        <f t="shared" ca="1" si="18"/>
        <v/>
      </c>
      <c r="O143" s="37" t="str">
        <f t="shared" ca="1" si="19"/>
        <v/>
      </c>
    </row>
    <row r="144" spans="1:15" x14ac:dyDescent="0.25">
      <c r="A144" s="102"/>
      <c r="B144" s="33"/>
      <c r="C144" s="25"/>
      <c r="D144" s="33"/>
      <c r="E144" s="25"/>
      <c r="F144" s="55"/>
      <c r="N144" s="37" t="str">
        <f t="shared" ca="1" si="18"/>
        <v/>
      </c>
      <c r="O144" s="37" t="str">
        <f t="shared" ca="1" si="19"/>
        <v/>
      </c>
    </row>
    <row r="145" spans="1:15" x14ac:dyDescent="0.25">
      <c r="A145" s="102"/>
      <c r="B145" s="33"/>
      <c r="C145" s="25"/>
      <c r="D145" s="33"/>
      <c r="E145" s="25"/>
      <c r="F145" s="55"/>
      <c r="N145" s="37" t="str">
        <f t="shared" ca="1" si="18"/>
        <v/>
      </c>
      <c r="O145" s="37" t="str">
        <f t="shared" ca="1" si="19"/>
        <v/>
      </c>
    </row>
    <row r="146" spans="1:15" x14ac:dyDescent="0.25">
      <c r="A146" s="102"/>
      <c r="B146" s="33"/>
      <c r="C146" s="25"/>
      <c r="D146" s="33"/>
      <c r="E146" s="25"/>
      <c r="F146" s="55"/>
      <c r="N146" s="37" t="str">
        <f t="shared" ca="1" si="18"/>
        <v/>
      </c>
      <c r="O146" s="37" t="str">
        <f t="shared" ca="1" si="19"/>
        <v/>
      </c>
    </row>
    <row r="147" spans="1:15" x14ac:dyDescent="0.25">
      <c r="A147" s="102"/>
      <c r="B147" s="33"/>
      <c r="C147" s="25"/>
      <c r="D147" s="33"/>
      <c r="E147" s="25"/>
      <c r="F147" s="55"/>
      <c r="N147" s="37" t="str">
        <f t="shared" ca="1" si="18"/>
        <v/>
      </c>
      <c r="O147" s="37" t="str">
        <f t="shared" ca="1" si="19"/>
        <v/>
      </c>
    </row>
    <row r="148" spans="1:15" x14ac:dyDescent="0.25">
      <c r="A148" s="102"/>
      <c r="B148" s="33"/>
      <c r="C148" s="25"/>
      <c r="D148" s="33"/>
      <c r="E148" s="25"/>
      <c r="F148" s="55"/>
      <c r="N148" s="37" t="str">
        <f t="shared" ca="1" si="18"/>
        <v/>
      </c>
      <c r="O148" s="37" t="str">
        <f t="shared" ca="1" si="19"/>
        <v/>
      </c>
    </row>
    <row r="149" spans="1:15" x14ac:dyDescent="0.25">
      <c r="A149" s="102"/>
      <c r="B149" s="33"/>
      <c r="C149" s="25"/>
      <c r="D149" s="33"/>
      <c r="E149" s="25"/>
      <c r="F149" s="55"/>
      <c r="N149" s="37" t="str">
        <f t="shared" ca="1" si="18"/>
        <v/>
      </c>
      <c r="O149" s="37" t="str">
        <f t="shared" ca="1" si="19"/>
        <v/>
      </c>
    </row>
    <row r="150" spans="1:15" x14ac:dyDescent="0.25">
      <c r="A150" s="102"/>
      <c r="B150" s="33"/>
      <c r="C150" s="25"/>
      <c r="D150" s="33"/>
      <c r="E150" s="25"/>
      <c r="F150" s="55"/>
      <c r="N150" s="37" t="str">
        <f t="shared" ca="1" si="18"/>
        <v/>
      </c>
      <c r="O150" s="37" t="str">
        <f t="shared" ca="1" si="19"/>
        <v/>
      </c>
    </row>
    <row r="151" spans="1:15" x14ac:dyDescent="0.25">
      <c r="A151" s="102"/>
      <c r="B151" s="33"/>
      <c r="C151" s="25"/>
      <c r="D151" s="33"/>
      <c r="E151" s="25"/>
      <c r="F151" s="55"/>
      <c r="N151" s="37" t="str">
        <f t="shared" ca="1" si="18"/>
        <v/>
      </c>
      <c r="O151" s="37" t="str">
        <f t="shared" ca="1" si="19"/>
        <v/>
      </c>
    </row>
    <row r="152" spans="1:15" x14ac:dyDescent="0.25">
      <c r="A152" s="102"/>
      <c r="B152" s="33"/>
      <c r="C152" s="25"/>
      <c r="D152" s="33"/>
      <c r="E152" s="25"/>
      <c r="F152" s="55"/>
      <c r="N152" s="37" t="str">
        <f t="shared" ca="1" si="18"/>
        <v/>
      </c>
      <c r="O152" s="37" t="str">
        <f t="shared" ca="1" si="19"/>
        <v/>
      </c>
    </row>
    <row r="153" spans="1:15" x14ac:dyDescent="0.25">
      <c r="A153" s="102"/>
      <c r="B153" s="33"/>
      <c r="C153" s="25"/>
      <c r="D153" s="33"/>
      <c r="E153" s="25"/>
      <c r="F153" s="55"/>
      <c r="N153" s="37" t="str">
        <f t="shared" ca="1" si="18"/>
        <v/>
      </c>
      <c r="O153" s="37" t="str">
        <f t="shared" ca="1" si="19"/>
        <v/>
      </c>
    </row>
    <row r="154" spans="1:15" x14ac:dyDescent="0.25">
      <c r="A154" s="102"/>
      <c r="B154" s="33"/>
      <c r="C154" s="25"/>
      <c r="D154" s="33"/>
      <c r="E154" s="25"/>
      <c r="F154" s="55"/>
      <c r="N154" s="37" t="str">
        <f t="shared" ca="1" si="18"/>
        <v/>
      </c>
      <c r="O154" s="37" t="str">
        <f t="shared" ca="1" si="19"/>
        <v/>
      </c>
    </row>
    <row r="155" spans="1:15" x14ac:dyDescent="0.25">
      <c r="A155" s="102"/>
      <c r="B155" s="33"/>
      <c r="C155" s="25"/>
      <c r="D155" s="33"/>
      <c r="E155" s="25"/>
      <c r="F155" s="55"/>
      <c r="N155" s="37" t="str">
        <f t="shared" ca="1" si="18"/>
        <v/>
      </c>
      <c r="O155" s="37" t="str">
        <f t="shared" ca="1" si="19"/>
        <v/>
      </c>
    </row>
    <row r="156" spans="1:15" x14ac:dyDescent="0.25">
      <c r="A156" s="102"/>
      <c r="B156" s="33"/>
      <c r="C156" s="25"/>
      <c r="D156" s="33"/>
      <c r="E156" s="25"/>
      <c r="F156" s="55"/>
      <c r="N156" s="37" t="str">
        <f t="shared" ca="1" si="18"/>
        <v/>
      </c>
      <c r="O156" s="37" t="str">
        <f t="shared" ca="1" si="19"/>
        <v/>
      </c>
    </row>
    <row r="157" spans="1:15" x14ac:dyDescent="0.25">
      <c r="A157" s="102"/>
      <c r="B157" s="33"/>
      <c r="C157" s="25"/>
      <c r="D157" s="33"/>
      <c r="E157" s="25"/>
      <c r="F157" s="55"/>
      <c r="N157" s="37" t="str">
        <f t="shared" ca="1" si="18"/>
        <v/>
      </c>
      <c r="O157" s="37" t="str">
        <f t="shared" ca="1" si="19"/>
        <v/>
      </c>
    </row>
    <row r="158" spans="1:15" x14ac:dyDescent="0.25">
      <c r="A158" s="102"/>
      <c r="B158" s="33"/>
      <c r="C158" s="25"/>
      <c r="D158" s="33"/>
      <c r="E158" s="25"/>
      <c r="F158" s="55"/>
      <c r="N158" s="37" t="str">
        <f t="shared" ca="1" si="18"/>
        <v/>
      </c>
      <c r="O158" s="37" t="str">
        <f t="shared" ca="1" si="19"/>
        <v/>
      </c>
    </row>
    <row r="159" spans="1:15" x14ac:dyDescent="0.25">
      <c r="A159" s="102"/>
      <c r="B159" s="33"/>
      <c r="C159" s="25"/>
      <c r="D159" s="33"/>
      <c r="E159" s="25"/>
      <c r="F159" s="55"/>
      <c r="N159" s="37" t="str">
        <f t="shared" ca="1" si="18"/>
        <v/>
      </c>
      <c r="O159" s="37" t="str">
        <f t="shared" ca="1" si="19"/>
        <v/>
      </c>
    </row>
    <row r="160" spans="1:15" x14ac:dyDescent="0.25">
      <c r="A160" s="102"/>
      <c r="B160" s="33"/>
      <c r="C160" s="25"/>
      <c r="D160" s="33"/>
      <c r="E160" s="25"/>
      <c r="F160" s="55"/>
      <c r="N160" s="37" t="str">
        <f t="shared" ca="1" si="18"/>
        <v/>
      </c>
      <c r="O160" s="37" t="str">
        <f t="shared" ca="1" si="19"/>
        <v/>
      </c>
    </row>
    <row r="161" spans="1:15" x14ac:dyDescent="0.25">
      <c r="A161" s="102"/>
      <c r="B161" s="33"/>
      <c r="C161" s="25"/>
      <c r="D161" s="33"/>
      <c r="E161" s="25"/>
      <c r="F161" s="55"/>
      <c r="N161" s="37" t="str">
        <f t="shared" ca="1" si="18"/>
        <v/>
      </c>
      <c r="O161" s="37" t="str">
        <f t="shared" ca="1" si="19"/>
        <v/>
      </c>
    </row>
    <row r="162" spans="1:15" x14ac:dyDescent="0.25">
      <c r="A162" s="102"/>
      <c r="B162" s="33"/>
      <c r="C162" s="25"/>
      <c r="D162" s="33"/>
      <c r="E162" s="25"/>
      <c r="F162" s="55"/>
      <c r="N162" s="37" t="str">
        <f t="shared" ca="1" si="18"/>
        <v/>
      </c>
      <c r="O162" s="37" t="str">
        <f t="shared" ca="1" si="19"/>
        <v/>
      </c>
    </row>
    <row r="163" spans="1:15" x14ac:dyDescent="0.25">
      <c r="A163" s="102"/>
      <c r="B163" s="33"/>
      <c r="C163" s="25"/>
      <c r="D163" s="33"/>
      <c r="E163" s="25"/>
      <c r="F163" s="55"/>
      <c r="N163" s="37" t="str">
        <f t="shared" ca="1" si="18"/>
        <v/>
      </c>
      <c r="O163" s="37" t="str">
        <f t="shared" ca="1" si="19"/>
        <v/>
      </c>
    </row>
    <row r="164" spans="1:15" x14ac:dyDescent="0.25">
      <c r="A164" s="102"/>
      <c r="B164" s="33"/>
      <c r="C164" s="25"/>
      <c r="D164" s="33"/>
      <c r="E164" s="25"/>
      <c r="F164" s="55"/>
      <c r="N164" s="37" t="str">
        <f t="shared" ca="1" si="18"/>
        <v/>
      </c>
      <c r="O164" s="37" t="str">
        <f t="shared" ca="1" si="19"/>
        <v/>
      </c>
    </row>
    <row r="165" spans="1:15" x14ac:dyDescent="0.25">
      <c r="A165" s="102"/>
      <c r="B165" s="33"/>
      <c r="C165" s="25"/>
      <c r="D165" s="33"/>
      <c r="E165" s="25"/>
      <c r="F165" s="55"/>
      <c r="N165" s="37" t="str">
        <f t="shared" ca="1" si="18"/>
        <v/>
      </c>
      <c r="O165" s="37" t="str">
        <f t="shared" ca="1" si="19"/>
        <v/>
      </c>
    </row>
    <row r="166" spans="1:15" x14ac:dyDescent="0.25">
      <c r="A166" s="102"/>
      <c r="B166" s="33"/>
      <c r="C166" s="25"/>
      <c r="D166" s="33"/>
      <c r="E166" s="25"/>
      <c r="F166" s="55"/>
      <c r="N166" s="37" t="str">
        <f t="shared" ca="1" si="18"/>
        <v/>
      </c>
      <c r="O166" s="37" t="str">
        <f t="shared" ca="1" si="19"/>
        <v/>
      </c>
    </row>
    <row r="167" spans="1:15" x14ac:dyDescent="0.25">
      <c r="A167" s="102"/>
      <c r="B167" s="33"/>
      <c r="C167" s="25"/>
      <c r="D167" s="33"/>
      <c r="E167" s="25"/>
      <c r="F167" s="55"/>
      <c r="N167" s="37" t="str">
        <f t="shared" ca="1" si="18"/>
        <v/>
      </c>
      <c r="O167" s="37" t="str">
        <f t="shared" ca="1" si="19"/>
        <v/>
      </c>
    </row>
    <row r="168" spans="1:15" x14ac:dyDescent="0.25">
      <c r="A168" s="102"/>
      <c r="B168" s="33"/>
      <c r="C168" s="25"/>
      <c r="D168" s="33"/>
      <c r="E168" s="25"/>
      <c r="F168" s="55"/>
      <c r="N168" s="37" t="str">
        <f t="shared" ca="1" si="18"/>
        <v/>
      </c>
      <c r="O168" s="37" t="str">
        <f t="shared" ca="1" si="19"/>
        <v/>
      </c>
    </row>
    <row r="169" spans="1:15" x14ac:dyDescent="0.25">
      <c r="A169" s="102"/>
      <c r="B169" s="33"/>
      <c r="C169" s="25"/>
      <c r="D169" s="33"/>
      <c r="E169" s="25"/>
      <c r="F169" s="55"/>
      <c r="N169" s="37" t="str">
        <f t="shared" ca="1" si="18"/>
        <v/>
      </c>
      <c r="O169" s="37" t="str">
        <f t="shared" ca="1" si="19"/>
        <v/>
      </c>
    </row>
    <row r="170" spans="1:15" x14ac:dyDescent="0.25">
      <c r="A170" s="102"/>
      <c r="B170" s="33"/>
      <c r="C170" s="25"/>
      <c r="D170" s="33"/>
      <c r="E170" s="25"/>
      <c r="F170" s="55"/>
      <c r="N170" s="37" t="str">
        <f t="shared" ca="1" si="18"/>
        <v/>
      </c>
      <c r="O170" s="37" t="str">
        <f t="shared" ca="1" si="19"/>
        <v/>
      </c>
    </row>
    <row r="171" spans="1:15" x14ac:dyDescent="0.25">
      <c r="A171" s="102"/>
      <c r="B171" s="33"/>
      <c r="C171" s="25"/>
      <c r="D171" s="33"/>
      <c r="E171" s="25"/>
      <c r="F171" s="55"/>
      <c r="N171" s="37" t="str">
        <f t="shared" ca="1" si="18"/>
        <v/>
      </c>
      <c r="O171" s="37" t="str">
        <f t="shared" ca="1" si="19"/>
        <v/>
      </c>
    </row>
    <row r="172" spans="1:15" x14ac:dyDescent="0.25">
      <c r="A172" s="102"/>
      <c r="B172" s="33"/>
      <c r="C172" s="25"/>
      <c r="D172" s="33"/>
      <c r="E172" s="25"/>
      <c r="F172" s="55"/>
      <c r="N172" s="37" t="str">
        <f t="shared" ca="1" si="18"/>
        <v/>
      </c>
      <c r="O172" s="37" t="str">
        <f t="shared" ca="1" si="19"/>
        <v/>
      </c>
    </row>
    <row r="173" spans="1:15" x14ac:dyDescent="0.25">
      <c r="A173" s="102"/>
      <c r="B173" s="33"/>
      <c r="C173" s="25"/>
      <c r="D173" s="33"/>
      <c r="E173" s="25"/>
      <c r="F173" s="55"/>
      <c r="N173" s="37" t="str">
        <f t="shared" ca="1" si="18"/>
        <v/>
      </c>
      <c r="O173" s="37" t="str">
        <f t="shared" ca="1" si="19"/>
        <v/>
      </c>
    </row>
    <row r="174" spans="1:15" x14ac:dyDescent="0.25">
      <c r="A174" s="102"/>
      <c r="B174" s="33"/>
      <c r="C174" s="25"/>
      <c r="D174" s="33"/>
      <c r="E174" s="25"/>
      <c r="F174" s="55"/>
      <c r="N174" s="37" t="str">
        <f t="shared" ca="1" si="18"/>
        <v/>
      </c>
      <c r="O174" s="37" t="str">
        <f t="shared" ca="1" si="19"/>
        <v/>
      </c>
    </row>
    <row r="175" spans="1:15" x14ac:dyDescent="0.25">
      <c r="A175" s="102"/>
      <c r="B175" s="33"/>
      <c r="C175" s="25"/>
      <c r="D175" s="33"/>
      <c r="E175" s="25"/>
      <c r="F175" s="55"/>
      <c r="N175" s="37" t="str">
        <f t="shared" ca="1" si="18"/>
        <v/>
      </c>
      <c r="O175" s="37" t="str">
        <f t="shared" ca="1" si="19"/>
        <v/>
      </c>
    </row>
    <row r="176" spans="1:15" x14ac:dyDescent="0.25">
      <c r="A176" s="102"/>
      <c r="B176" s="33"/>
      <c r="C176" s="25"/>
      <c r="D176" s="33"/>
      <c r="E176" s="25"/>
      <c r="F176" s="55"/>
      <c r="N176" s="37" t="str">
        <f t="shared" ca="1" si="18"/>
        <v/>
      </c>
      <c r="O176" s="37" t="str">
        <f t="shared" ca="1" si="19"/>
        <v/>
      </c>
    </row>
    <row r="177" spans="1:15" x14ac:dyDescent="0.25">
      <c r="A177" s="102"/>
      <c r="B177" s="33"/>
      <c r="C177" s="25"/>
      <c r="D177" s="33"/>
      <c r="E177" s="25"/>
      <c r="F177" s="55"/>
      <c r="N177" s="37" t="str">
        <f t="shared" ca="1" si="18"/>
        <v/>
      </c>
      <c r="O177" s="37" t="str">
        <f t="shared" ca="1" si="19"/>
        <v/>
      </c>
    </row>
    <row r="178" spans="1:15" x14ac:dyDescent="0.25">
      <c r="A178" s="102"/>
      <c r="B178" s="33"/>
      <c r="C178" s="25"/>
      <c r="D178" s="33"/>
      <c r="E178" s="25"/>
      <c r="F178" s="55"/>
      <c r="N178" s="37" t="str">
        <f t="shared" ca="1" si="18"/>
        <v/>
      </c>
      <c r="O178" s="37" t="str">
        <f t="shared" ca="1" si="19"/>
        <v/>
      </c>
    </row>
    <row r="179" spans="1:15" x14ac:dyDescent="0.25">
      <c r="A179" s="102"/>
      <c r="B179" s="33"/>
      <c r="C179" s="25"/>
      <c r="D179" s="33"/>
      <c r="E179" s="25"/>
      <c r="F179" s="55"/>
      <c r="N179" s="37" t="str">
        <f t="shared" ca="1" si="18"/>
        <v/>
      </c>
      <c r="O179" s="37" t="str">
        <f t="shared" ca="1" si="19"/>
        <v/>
      </c>
    </row>
    <row r="180" spans="1:15" x14ac:dyDescent="0.25">
      <c r="A180" s="102"/>
      <c r="B180" s="33"/>
      <c r="C180" s="25"/>
      <c r="D180" s="33"/>
      <c r="E180" s="25"/>
      <c r="F180" s="55"/>
      <c r="N180" s="37" t="str">
        <f t="shared" ca="1" si="18"/>
        <v/>
      </c>
      <c r="O180" s="37" t="str">
        <f t="shared" ca="1" si="19"/>
        <v/>
      </c>
    </row>
    <row r="181" spans="1:15" x14ac:dyDescent="0.25">
      <c r="A181" s="102"/>
      <c r="B181" s="33"/>
      <c r="C181" s="25"/>
      <c r="D181" s="33"/>
      <c r="E181" s="25"/>
      <c r="F181" s="55"/>
      <c r="N181" s="37" t="str">
        <f t="shared" ca="1" si="18"/>
        <v/>
      </c>
      <c r="O181" s="37" t="str">
        <f t="shared" ca="1" si="19"/>
        <v/>
      </c>
    </row>
    <row r="182" spans="1:15" x14ac:dyDescent="0.25">
      <c r="A182" s="102"/>
      <c r="B182" s="33"/>
      <c r="C182" s="25"/>
      <c r="D182" s="33"/>
      <c r="E182" s="25"/>
      <c r="F182" s="55"/>
      <c r="N182" s="37" t="str">
        <f t="shared" ca="1" si="18"/>
        <v/>
      </c>
      <c r="O182" s="37" t="str">
        <f t="shared" ca="1" si="19"/>
        <v/>
      </c>
    </row>
    <row r="183" spans="1:15" x14ac:dyDescent="0.25">
      <c r="A183" s="102"/>
      <c r="B183" s="33"/>
      <c r="C183" s="25"/>
      <c r="D183" s="33"/>
      <c r="E183" s="25"/>
      <c r="F183" s="55"/>
      <c r="N183" s="37" t="str">
        <f t="shared" ca="1" si="18"/>
        <v/>
      </c>
      <c r="O183" s="37" t="str">
        <f t="shared" ca="1" si="19"/>
        <v/>
      </c>
    </row>
    <row r="184" spans="1:15" x14ac:dyDescent="0.25">
      <c r="A184" s="102"/>
      <c r="B184" s="33"/>
      <c r="C184" s="25"/>
      <c r="D184" s="33"/>
      <c r="E184" s="25"/>
      <c r="F184" s="55"/>
      <c r="N184" s="37" t="str">
        <f t="shared" ca="1" si="18"/>
        <v/>
      </c>
      <c r="O184" s="37" t="str">
        <f t="shared" ca="1" si="19"/>
        <v/>
      </c>
    </row>
    <row r="185" spans="1:15" x14ac:dyDescent="0.25">
      <c r="A185" s="102"/>
      <c r="B185" s="33"/>
      <c r="C185" s="25"/>
      <c r="D185" s="33"/>
      <c r="E185" s="25"/>
      <c r="F185" s="55"/>
      <c r="N185" s="37" t="str">
        <f t="shared" ca="1" si="18"/>
        <v/>
      </c>
      <c r="O185" s="37" t="str">
        <f t="shared" ca="1" si="19"/>
        <v/>
      </c>
    </row>
    <row r="186" spans="1:15" x14ac:dyDescent="0.25">
      <c r="A186" s="102"/>
      <c r="B186" s="33"/>
      <c r="C186" s="25"/>
      <c r="D186" s="33"/>
      <c r="E186" s="25"/>
      <c r="F186" s="55"/>
      <c r="N186" s="37" t="str">
        <f t="shared" ca="1" si="18"/>
        <v/>
      </c>
      <c r="O186" s="37" t="str">
        <f t="shared" ca="1" si="19"/>
        <v/>
      </c>
    </row>
    <row r="187" spans="1:15" x14ac:dyDescent="0.25">
      <c r="A187" s="102"/>
      <c r="B187" s="33"/>
      <c r="C187" s="25"/>
      <c r="D187" s="33"/>
      <c r="E187" s="25"/>
      <c r="F187" s="55"/>
      <c r="N187" s="37" t="str">
        <f t="shared" ca="1" si="18"/>
        <v/>
      </c>
      <c r="O187" s="37" t="str">
        <f t="shared" ca="1" si="19"/>
        <v/>
      </c>
    </row>
    <row r="188" spans="1:15" x14ac:dyDescent="0.25">
      <c r="A188" s="102"/>
      <c r="B188" s="33"/>
      <c r="C188" s="25"/>
      <c r="D188" s="33"/>
      <c r="E188" s="25"/>
      <c r="F188" s="55"/>
      <c r="N188" s="37" t="str">
        <f t="shared" ca="1" si="18"/>
        <v/>
      </c>
      <c r="O188" s="37" t="str">
        <f t="shared" ca="1" si="19"/>
        <v/>
      </c>
    </row>
    <row r="189" spans="1:15" x14ac:dyDescent="0.25">
      <c r="A189" s="102"/>
      <c r="B189" s="33"/>
      <c r="C189" s="25"/>
      <c r="D189" s="33"/>
      <c r="E189" s="25"/>
      <c r="F189" s="55"/>
      <c r="N189" s="37" t="str">
        <f t="shared" ca="1" si="18"/>
        <v/>
      </c>
      <c r="O189" s="37" t="str">
        <f t="shared" ca="1" si="19"/>
        <v/>
      </c>
    </row>
    <row r="190" spans="1:15" x14ac:dyDescent="0.25">
      <c r="A190" s="102"/>
      <c r="B190" s="33"/>
      <c r="C190" s="25"/>
      <c r="D190" s="33"/>
      <c r="E190" s="25"/>
      <c r="F190" s="55"/>
      <c r="N190" s="37" t="str">
        <f t="shared" ca="1" si="18"/>
        <v/>
      </c>
      <c r="O190" s="37" t="str">
        <f t="shared" ca="1" si="19"/>
        <v/>
      </c>
    </row>
    <row r="191" spans="1:15" x14ac:dyDescent="0.25">
      <c r="A191" s="102"/>
      <c r="B191" s="33"/>
      <c r="C191" s="25"/>
      <c r="D191" s="33"/>
      <c r="E191" s="25"/>
      <c r="F191" s="55"/>
      <c r="N191" s="37" t="str">
        <f t="shared" ca="1" si="18"/>
        <v/>
      </c>
      <c r="O191" s="37" t="str">
        <f t="shared" ca="1" si="19"/>
        <v/>
      </c>
    </row>
    <row r="192" spans="1:15" x14ac:dyDescent="0.25">
      <c r="A192" s="102"/>
      <c r="B192" s="33"/>
      <c r="C192" s="25"/>
      <c r="D192" s="33"/>
      <c r="E192" s="25"/>
      <c r="F192" s="55"/>
      <c r="N192" s="37" t="str">
        <f t="shared" ca="1" si="18"/>
        <v/>
      </c>
      <c r="O192" s="37" t="str">
        <f t="shared" ca="1" si="19"/>
        <v/>
      </c>
    </row>
    <row r="193" spans="1:15" x14ac:dyDescent="0.25">
      <c r="A193" s="102"/>
      <c r="B193" s="33"/>
      <c r="C193" s="25"/>
      <c r="D193" s="33"/>
      <c r="E193" s="25"/>
      <c r="F193" s="55"/>
      <c r="N193" s="37" t="str">
        <f t="shared" ca="1" si="18"/>
        <v/>
      </c>
      <c r="O193" s="37" t="str">
        <f t="shared" ca="1" si="19"/>
        <v/>
      </c>
    </row>
    <row r="194" spans="1:15" x14ac:dyDescent="0.25">
      <c r="A194" s="102"/>
      <c r="B194" s="33"/>
      <c r="C194" s="25"/>
      <c r="D194" s="33"/>
      <c r="E194" s="25"/>
      <c r="F194" s="55"/>
      <c r="N194" s="37" t="str">
        <f t="shared" ca="1" si="18"/>
        <v/>
      </c>
      <c r="O194" s="37" t="str">
        <f t="shared" ca="1" si="19"/>
        <v/>
      </c>
    </row>
    <row r="195" spans="1:15" x14ac:dyDescent="0.25">
      <c r="A195" s="102"/>
      <c r="B195" s="33"/>
      <c r="C195" s="25"/>
      <c r="D195" s="33"/>
      <c r="E195" s="25"/>
      <c r="F195" s="55"/>
      <c r="N195" s="37" t="str">
        <f t="shared" ca="1" si="18"/>
        <v/>
      </c>
      <c r="O195" s="37" t="str">
        <f t="shared" ca="1" si="19"/>
        <v/>
      </c>
    </row>
    <row r="196" spans="1:15" x14ac:dyDescent="0.25">
      <c r="A196" s="102"/>
      <c r="B196" s="33"/>
      <c r="C196" s="25"/>
      <c r="D196" s="33"/>
      <c r="E196" s="25"/>
      <c r="F196" s="55"/>
      <c r="N196" s="37" t="str">
        <f t="shared" ref="N196:N259" ca="1" si="20">IF(COUNTIF(L:L,J196),J196,"")</f>
        <v/>
      </c>
      <c r="O196" s="37" t="str">
        <f t="shared" ref="O196:O259" ca="1" si="21">IF(N196&gt;$A$14,N196,"")</f>
        <v/>
      </c>
    </row>
    <row r="197" spans="1:15" x14ac:dyDescent="0.25">
      <c r="A197" s="102"/>
      <c r="B197" s="33"/>
      <c r="C197" s="25"/>
      <c r="D197" s="33"/>
      <c r="E197" s="25"/>
      <c r="F197" s="55"/>
      <c r="N197" s="37" t="str">
        <f t="shared" ca="1" si="20"/>
        <v/>
      </c>
      <c r="O197" s="37" t="str">
        <f t="shared" ca="1" si="21"/>
        <v/>
      </c>
    </row>
    <row r="198" spans="1:15" x14ac:dyDescent="0.25">
      <c r="A198" s="102"/>
      <c r="B198" s="33"/>
      <c r="C198" s="25"/>
      <c r="D198" s="33"/>
      <c r="E198" s="25"/>
      <c r="F198" s="55"/>
      <c r="N198" s="37" t="str">
        <f t="shared" ca="1" si="20"/>
        <v/>
      </c>
      <c r="O198" s="37" t="str">
        <f t="shared" ca="1" si="21"/>
        <v/>
      </c>
    </row>
    <row r="199" spans="1:15" x14ac:dyDescent="0.25">
      <c r="A199" s="102"/>
      <c r="B199" s="33"/>
      <c r="C199" s="25"/>
      <c r="D199" s="33"/>
      <c r="E199" s="25"/>
      <c r="F199" s="55"/>
      <c r="N199" s="37" t="str">
        <f t="shared" ca="1" si="20"/>
        <v/>
      </c>
      <c r="O199" s="37" t="str">
        <f t="shared" ca="1" si="21"/>
        <v/>
      </c>
    </row>
    <row r="200" spans="1:15" x14ac:dyDescent="0.25">
      <c r="A200" s="102"/>
      <c r="B200" s="33"/>
      <c r="C200" s="25"/>
      <c r="D200" s="33"/>
      <c r="E200" s="25"/>
      <c r="F200" s="55"/>
      <c r="N200" s="37" t="str">
        <f t="shared" ca="1" si="20"/>
        <v/>
      </c>
      <c r="O200" s="37" t="str">
        <f t="shared" ca="1" si="21"/>
        <v/>
      </c>
    </row>
    <row r="201" spans="1:15" x14ac:dyDescent="0.25">
      <c r="A201" s="102"/>
      <c r="B201" s="33"/>
      <c r="C201" s="25"/>
      <c r="D201" s="33"/>
      <c r="E201" s="25"/>
      <c r="F201" s="55"/>
      <c r="N201" s="37" t="str">
        <f t="shared" ca="1" si="20"/>
        <v/>
      </c>
      <c r="O201" s="37" t="str">
        <f t="shared" ca="1" si="21"/>
        <v/>
      </c>
    </row>
    <row r="202" spans="1:15" x14ac:dyDescent="0.25">
      <c r="A202" s="102"/>
      <c r="B202" s="33"/>
      <c r="C202" s="25"/>
      <c r="D202" s="33"/>
      <c r="E202" s="25"/>
      <c r="F202" s="55"/>
      <c r="N202" s="37" t="str">
        <f t="shared" ca="1" si="20"/>
        <v/>
      </c>
      <c r="O202" s="37" t="str">
        <f t="shared" ca="1" si="21"/>
        <v/>
      </c>
    </row>
    <row r="203" spans="1:15" x14ac:dyDescent="0.25">
      <c r="A203" s="102"/>
      <c r="B203" s="33"/>
      <c r="C203" s="25"/>
      <c r="D203" s="33"/>
      <c r="E203" s="25"/>
      <c r="F203" s="55"/>
      <c r="N203" s="37" t="str">
        <f t="shared" ca="1" si="20"/>
        <v/>
      </c>
      <c r="O203" s="37" t="str">
        <f t="shared" ca="1" si="21"/>
        <v/>
      </c>
    </row>
    <row r="204" spans="1:15" x14ac:dyDescent="0.25">
      <c r="A204" s="102"/>
      <c r="B204" s="33"/>
      <c r="C204" s="25"/>
      <c r="D204" s="33"/>
      <c r="E204" s="25"/>
      <c r="F204" s="55"/>
      <c r="N204" s="37" t="str">
        <f t="shared" ca="1" si="20"/>
        <v/>
      </c>
      <c r="O204" s="37" t="str">
        <f t="shared" ca="1" si="21"/>
        <v/>
      </c>
    </row>
    <row r="205" spans="1:15" x14ac:dyDescent="0.25">
      <c r="A205" s="102"/>
      <c r="B205" s="33"/>
      <c r="C205" s="25"/>
      <c r="D205" s="33"/>
      <c r="E205" s="25"/>
      <c r="F205" s="55"/>
      <c r="N205" s="37" t="str">
        <f t="shared" ca="1" si="20"/>
        <v/>
      </c>
      <c r="O205" s="37" t="str">
        <f t="shared" ca="1" si="21"/>
        <v/>
      </c>
    </row>
    <row r="206" spans="1:15" x14ac:dyDescent="0.25">
      <c r="A206" s="102"/>
      <c r="B206" s="33"/>
      <c r="C206" s="25"/>
      <c r="D206" s="33"/>
      <c r="E206" s="25"/>
      <c r="F206" s="55"/>
      <c r="N206" s="37" t="str">
        <f t="shared" ca="1" si="20"/>
        <v/>
      </c>
      <c r="O206" s="37" t="str">
        <f t="shared" ca="1" si="21"/>
        <v/>
      </c>
    </row>
    <row r="207" spans="1:15" x14ac:dyDescent="0.25">
      <c r="A207" s="102"/>
      <c r="B207" s="33"/>
      <c r="C207" s="25"/>
      <c r="D207" s="33"/>
      <c r="E207" s="25"/>
      <c r="F207" s="55"/>
      <c r="N207" s="37" t="str">
        <f t="shared" ca="1" si="20"/>
        <v/>
      </c>
      <c r="O207" s="37" t="str">
        <f t="shared" ca="1" si="21"/>
        <v/>
      </c>
    </row>
    <row r="208" spans="1:15" x14ac:dyDescent="0.25">
      <c r="A208" s="102"/>
      <c r="B208" s="33"/>
      <c r="C208" s="25"/>
      <c r="D208" s="33"/>
      <c r="E208" s="25"/>
      <c r="F208" s="55"/>
      <c r="N208" s="37" t="str">
        <f t="shared" ca="1" si="20"/>
        <v/>
      </c>
      <c r="O208" s="37" t="str">
        <f t="shared" ca="1" si="21"/>
        <v/>
      </c>
    </row>
    <row r="209" spans="1:15" x14ac:dyDescent="0.25">
      <c r="A209" s="102"/>
      <c r="B209" s="33"/>
      <c r="C209" s="25"/>
      <c r="D209" s="33"/>
      <c r="E209" s="25"/>
      <c r="F209" s="55"/>
      <c r="N209" s="37" t="str">
        <f t="shared" ca="1" si="20"/>
        <v/>
      </c>
      <c r="O209" s="37" t="str">
        <f t="shared" ca="1" si="21"/>
        <v/>
      </c>
    </row>
    <row r="210" spans="1:15" x14ac:dyDescent="0.25">
      <c r="A210" s="102"/>
      <c r="B210" s="33"/>
      <c r="C210" s="25"/>
      <c r="D210" s="33"/>
      <c r="E210" s="25"/>
      <c r="F210" s="55"/>
      <c r="N210" s="37" t="str">
        <f t="shared" ca="1" si="20"/>
        <v/>
      </c>
      <c r="O210" s="37" t="str">
        <f t="shared" ca="1" si="21"/>
        <v/>
      </c>
    </row>
    <row r="211" spans="1:15" x14ac:dyDescent="0.25">
      <c r="A211" s="102"/>
      <c r="B211" s="33"/>
      <c r="C211" s="25"/>
      <c r="D211" s="33"/>
      <c r="E211" s="25"/>
      <c r="F211" s="55"/>
      <c r="N211" s="37" t="str">
        <f t="shared" ca="1" si="20"/>
        <v/>
      </c>
      <c r="O211" s="37" t="str">
        <f t="shared" ca="1" si="21"/>
        <v/>
      </c>
    </row>
    <row r="212" spans="1:15" x14ac:dyDescent="0.25">
      <c r="A212" s="102"/>
      <c r="B212" s="33"/>
      <c r="C212" s="25"/>
      <c r="D212" s="33"/>
      <c r="E212" s="25"/>
      <c r="F212" s="55"/>
      <c r="N212" s="37" t="str">
        <f t="shared" ca="1" si="20"/>
        <v/>
      </c>
      <c r="O212" s="37" t="str">
        <f t="shared" ca="1" si="21"/>
        <v/>
      </c>
    </row>
    <row r="213" spans="1:15" x14ac:dyDescent="0.25">
      <c r="A213" s="102"/>
      <c r="B213" s="33"/>
      <c r="C213" s="25"/>
      <c r="D213" s="33"/>
      <c r="E213" s="25"/>
      <c r="F213" s="55"/>
      <c r="N213" s="37" t="str">
        <f t="shared" ca="1" si="20"/>
        <v/>
      </c>
      <c r="O213" s="37" t="str">
        <f t="shared" ca="1" si="21"/>
        <v/>
      </c>
    </row>
    <row r="214" spans="1:15" x14ac:dyDescent="0.25">
      <c r="A214" s="102"/>
      <c r="B214" s="33"/>
      <c r="C214" s="25"/>
      <c r="D214" s="33"/>
      <c r="E214" s="25"/>
      <c r="F214" s="55"/>
      <c r="N214" s="37" t="str">
        <f t="shared" ca="1" si="20"/>
        <v/>
      </c>
      <c r="O214" s="37" t="str">
        <f t="shared" ca="1" si="21"/>
        <v/>
      </c>
    </row>
    <row r="215" spans="1:15" x14ac:dyDescent="0.25">
      <c r="A215" s="102"/>
      <c r="B215" s="33"/>
      <c r="C215" s="25"/>
      <c r="D215" s="33"/>
      <c r="E215" s="25"/>
      <c r="F215" s="55"/>
      <c r="N215" s="37" t="str">
        <f t="shared" ca="1" si="20"/>
        <v/>
      </c>
      <c r="O215" s="37" t="str">
        <f t="shared" ca="1" si="21"/>
        <v/>
      </c>
    </row>
    <row r="216" spans="1:15" x14ac:dyDescent="0.25">
      <c r="A216" s="102"/>
      <c r="B216" s="33"/>
      <c r="C216" s="25"/>
      <c r="D216" s="33"/>
      <c r="E216" s="25"/>
      <c r="F216" s="55"/>
      <c r="N216" s="37" t="str">
        <f t="shared" ca="1" si="20"/>
        <v/>
      </c>
      <c r="O216" s="37" t="str">
        <f t="shared" ca="1" si="21"/>
        <v/>
      </c>
    </row>
    <row r="217" spans="1:15" x14ac:dyDescent="0.25">
      <c r="A217" s="102"/>
      <c r="B217" s="33"/>
      <c r="C217" s="25"/>
      <c r="D217" s="33"/>
      <c r="E217" s="25"/>
      <c r="F217" s="55"/>
      <c r="N217" s="37" t="str">
        <f t="shared" ca="1" si="20"/>
        <v/>
      </c>
      <c r="O217" s="37" t="str">
        <f t="shared" ca="1" si="21"/>
        <v/>
      </c>
    </row>
    <row r="218" spans="1:15" x14ac:dyDescent="0.25">
      <c r="A218" s="102"/>
      <c r="B218" s="33"/>
      <c r="C218" s="25"/>
      <c r="D218" s="33"/>
      <c r="E218" s="25"/>
      <c r="F218" s="55"/>
      <c r="N218" s="37" t="str">
        <f t="shared" ca="1" si="20"/>
        <v/>
      </c>
      <c r="O218" s="37" t="str">
        <f t="shared" ca="1" si="21"/>
        <v/>
      </c>
    </row>
    <row r="219" spans="1:15" x14ac:dyDescent="0.25">
      <c r="A219" s="102"/>
      <c r="B219" s="33"/>
      <c r="C219" s="25"/>
      <c r="D219" s="33"/>
      <c r="E219" s="25"/>
      <c r="F219" s="55"/>
      <c r="N219" s="37" t="str">
        <f t="shared" ca="1" si="20"/>
        <v/>
      </c>
      <c r="O219" s="37" t="str">
        <f t="shared" ca="1" si="21"/>
        <v/>
      </c>
    </row>
    <row r="220" spans="1:15" x14ac:dyDescent="0.25">
      <c r="A220" s="102"/>
      <c r="B220" s="33"/>
      <c r="C220" s="25"/>
      <c r="D220" s="33"/>
      <c r="E220" s="25"/>
      <c r="F220" s="55"/>
      <c r="N220" s="37" t="str">
        <f t="shared" ca="1" si="20"/>
        <v/>
      </c>
      <c r="O220" s="37" t="str">
        <f t="shared" ca="1" si="21"/>
        <v/>
      </c>
    </row>
    <row r="221" spans="1:15" x14ac:dyDescent="0.25">
      <c r="A221" s="102"/>
      <c r="B221" s="33"/>
      <c r="C221" s="25"/>
      <c r="D221" s="33"/>
      <c r="E221" s="25"/>
      <c r="F221" s="55"/>
      <c r="N221" s="37" t="str">
        <f t="shared" ca="1" si="20"/>
        <v/>
      </c>
      <c r="O221" s="37" t="str">
        <f t="shared" ca="1" si="21"/>
        <v/>
      </c>
    </row>
    <row r="222" spans="1:15" x14ac:dyDescent="0.25">
      <c r="A222" s="102"/>
      <c r="B222" s="33"/>
      <c r="C222" s="25"/>
      <c r="D222" s="33"/>
      <c r="E222" s="25"/>
      <c r="F222" s="55"/>
      <c r="N222" s="37" t="str">
        <f t="shared" ca="1" si="20"/>
        <v/>
      </c>
      <c r="O222" s="37" t="str">
        <f t="shared" ca="1" si="21"/>
        <v/>
      </c>
    </row>
    <row r="223" spans="1:15" x14ac:dyDescent="0.25">
      <c r="A223" s="102"/>
      <c r="B223" s="33"/>
      <c r="C223" s="25"/>
      <c r="D223" s="33"/>
      <c r="E223" s="25"/>
      <c r="F223" s="55"/>
      <c r="N223" s="37" t="str">
        <f t="shared" ca="1" si="20"/>
        <v/>
      </c>
      <c r="O223" s="37" t="str">
        <f t="shared" ca="1" si="21"/>
        <v/>
      </c>
    </row>
    <row r="224" spans="1:15" x14ac:dyDescent="0.25">
      <c r="A224" s="102"/>
      <c r="B224" s="33"/>
      <c r="C224" s="25"/>
      <c r="D224" s="33"/>
      <c r="E224" s="25"/>
      <c r="F224" s="55"/>
      <c r="N224" s="37" t="str">
        <f t="shared" ca="1" si="20"/>
        <v/>
      </c>
      <c r="O224" s="37" t="str">
        <f t="shared" ca="1" si="21"/>
        <v/>
      </c>
    </row>
    <row r="225" spans="1:15" x14ac:dyDescent="0.25">
      <c r="A225" s="102"/>
      <c r="B225" s="33"/>
      <c r="C225" s="25"/>
      <c r="D225" s="33"/>
      <c r="E225" s="25"/>
      <c r="F225" s="55"/>
      <c r="N225" s="37" t="str">
        <f t="shared" ca="1" si="20"/>
        <v/>
      </c>
      <c r="O225" s="37" t="str">
        <f t="shared" ca="1" si="21"/>
        <v/>
      </c>
    </row>
    <row r="226" spans="1:15" x14ac:dyDescent="0.25">
      <c r="A226" s="102"/>
      <c r="B226" s="33"/>
      <c r="C226" s="25"/>
      <c r="D226" s="33"/>
      <c r="E226" s="25"/>
      <c r="F226" s="55"/>
      <c r="N226" s="37" t="str">
        <f t="shared" ca="1" si="20"/>
        <v/>
      </c>
      <c r="O226" s="37" t="str">
        <f t="shared" ca="1" si="21"/>
        <v/>
      </c>
    </row>
    <row r="227" spans="1:15" x14ac:dyDescent="0.25">
      <c r="A227" s="102"/>
      <c r="B227" s="33"/>
      <c r="C227" s="25"/>
      <c r="D227" s="33"/>
      <c r="E227" s="25"/>
      <c r="F227" s="55"/>
      <c r="N227" s="37" t="str">
        <f t="shared" ca="1" si="20"/>
        <v/>
      </c>
      <c r="O227" s="37" t="str">
        <f t="shared" ca="1" si="21"/>
        <v/>
      </c>
    </row>
    <row r="228" spans="1:15" x14ac:dyDescent="0.25">
      <c r="A228" s="102"/>
      <c r="B228" s="33"/>
      <c r="C228" s="25"/>
      <c r="D228" s="33"/>
      <c r="E228" s="25"/>
      <c r="F228" s="55"/>
      <c r="N228" s="37" t="str">
        <f t="shared" ca="1" si="20"/>
        <v/>
      </c>
      <c r="O228" s="37" t="str">
        <f t="shared" ca="1" si="21"/>
        <v/>
      </c>
    </row>
    <row r="229" spans="1:15" x14ac:dyDescent="0.25">
      <c r="A229" s="102"/>
      <c r="B229" s="33"/>
      <c r="C229" s="25"/>
      <c r="D229" s="33"/>
      <c r="E229" s="25"/>
      <c r="F229" s="55"/>
      <c r="N229" s="37" t="str">
        <f t="shared" ca="1" si="20"/>
        <v/>
      </c>
      <c r="O229" s="37" t="str">
        <f t="shared" ca="1" si="21"/>
        <v/>
      </c>
    </row>
    <row r="230" spans="1:15" x14ac:dyDescent="0.25">
      <c r="A230" s="102"/>
      <c r="B230" s="33"/>
      <c r="C230" s="25"/>
      <c r="D230" s="33"/>
      <c r="E230" s="25"/>
      <c r="F230" s="55"/>
      <c r="N230" s="37" t="str">
        <f t="shared" ca="1" si="20"/>
        <v/>
      </c>
      <c r="O230" s="37" t="str">
        <f t="shared" ca="1" si="21"/>
        <v/>
      </c>
    </row>
    <row r="231" spans="1:15" x14ac:dyDescent="0.25">
      <c r="A231" s="102"/>
      <c r="B231" s="33"/>
      <c r="C231" s="25"/>
      <c r="D231" s="33"/>
      <c r="E231" s="25"/>
      <c r="F231" s="55"/>
      <c r="N231" s="37" t="str">
        <f t="shared" ca="1" si="20"/>
        <v/>
      </c>
      <c r="O231" s="37" t="str">
        <f t="shared" ca="1" si="21"/>
        <v/>
      </c>
    </row>
    <row r="232" spans="1:15" x14ac:dyDescent="0.25">
      <c r="A232" s="102"/>
      <c r="B232" s="33"/>
      <c r="C232" s="25"/>
      <c r="D232" s="33"/>
      <c r="E232" s="25"/>
      <c r="F232" s="55"/>
      <c r="N232" s="37" t="str">
        <f t="shared" ca="1" si="20"/>
        <v/>
      </c>
      <c r="O232" s="37" t="str">
        <f t="shared" ca="1" si="21"/>
        <v/>
      </c>
    </row>
    <row r="233" spans="1:15" x14ac:dyDescent="0.25">
      <c r="A233" s="102"/>
      <c r="B233" s="33"/>
      <c r="C233" s="25"/>
      <c r="D233" s="33"/>
      <c r="E233" s="25"/>
      <c r="F233" s="55"/>
      <c r="N233" s="37" t="str">
        <f t="shared" ca="1" si="20"/>
        <v/>
      </c>
      <c r="O233" s="37" t="str">
        <f t="shared" ca="1" si="21"/>
        <v/>
      </c>
    </row>
    <row r="234" spans="1:15" x14ac:dyDescent="0.25">
      <c r="A234" s="102"/>
      <c r="B234" s="33"/>
      <c r="C234" s="25"/>
      <c r="D234" s="33"/>
      <c r="E234" s="25"/>
      <c r="F234" s="55"/>
      <c r="N234" s="37" t="str">
        <f t="shared" ca="1" si="20"/>
        <v/>
      </c>
      <c r="O234" s="37" t="str">
        <f t="shared" ca="1" si="21"/>
        <v/>
      </c>
    </row>
    <row r="235" spans="1:15" x14ac:dyDescent="0.25">
      <c r="A235" s="102"/>
      <c r="B235" s="33"/>
      <c r="C235" s="25"/>
      <c r="D235" s="33"/>
      <c r="E235" s="25"/>
      <c r="F235" s="55"/>
      <c r="N235" s="37" t="str">
        <f t="shared" ca="1" si="20"/>
        <v/>
      </c>
      <c r="O235" s="37" t="str">
        <f t="shared" ca="1" si="21"/>
        <v/>
      </c>
    </row>
    <row r="236" spans="1:15" x14ac:dyDescent="0.25">
      <c r="A236" s="102"/>
      <c r="B236" s="33"/>
      <c r="C236" s="25"/>
      <c r="D236" s="33"/>
      <c r="E236" s="25"/>
      <c r="F236" s="55"/>
      <c r="N236" s="37" t="str">
        <f t="shared" ca="1" si="20"/>
        <v/>
      </c>
      <c r="O236" s="37" t="str">
        <f t="shared" ca="1" si="21"/>
        <v/>
      </c>
    </row>
    <row r="237" spans="1:15" x14ac:dyDescent="0.25">
      <c r="A237" s="102"/>
      <c r="B237" s="33"/>
      <c r="C237" s="25"/>
      <c r="D237" s="33"/>
      <c r="E237" s="25"/>
      <c r="F237" s="55"/>
      <c r="N237" s="37" t="str">
        <f t="shared" ca="1" si="20"/>
        <v/>
      </c>
      <c r="O237" s="37" t="str">
        <f t="shared" ca="1" si="21"/>
        <v/>
      </c>
    </row>
    <row r="238" spans="1:15" x14ac:dyDescent="0.25">
      <c r="A238" s="102"/>
      <c r="B238" s="33"/>
      <c r="C238" s="25"/>
      <c r="D238" s="33"/>
      <c r="E238" s="25"/>
      <c r="F238" s="55"/>
      <c r="N238" s="37" t="str">
        <f t="shared" ca="1" si="20"/>
        <v/>
      </c>
      <c r="O238" s="37" t="str">
        <f t="shared" ca="1" si="21"/>
        <v/>
      </c>
    </row>
    <row r="239" spans="1:15" x14ac:dyDescent="0.25">
      <c r="A239" s="102"/>
      <c r="B239" s="33"/>
      <c r="C239" s="25"/>
      <c r="D239" s="33"/>
      <c r="E239" s="25"/>
      <c r="F239" s="55"/>
      <c r="N239" s="37" t="str">
        <f t="shared" ca="1" si="20"/>
        <v/>
      </c>
      <c r="O239" s="37" t="str">
        <f t="shared" ca="1" si="21"/>
        <v/>
      </c>
    </row>
    <row r="240" spans="1:15" x14ac:dyDescent="0.25">
      <c r="A240" s="102"/>
      <c r="B240" s="33"/>
      <c r="C240" s="25"/>
      <c r="D240" s="33"/>
      <c r="E240" s="25"/>
      <c r="F240" s="55"/>
      <c r="N240" s="37" t="str">
        <f t="shared" ca="1" si="20"/>
        <v/>
      </c>
      <c r="O240" s="37" t="str">
        <f t="shared" ca="1" si="21"/>
        <v/>
      </c>
    </row>
    <row r="241" spans="1:15" x14ac:dyDescent="0.25">
      <c r="A241" s="102"/>
      <c r="B241" s="33"/>
      <c r="C241" s="25"/>
      <c r="D241" s="33"/>
      <c r="E241" s="25"/>
      <c r="F241" s="55"/>
      <c r="N241" s="37" t="str">
        <f t="shared" ca="1" si="20"/>
        <v/>
      </c>
      <c r="O241" s="37" t="str">
        <f t="shared" ca="1" si="21"/>
        <v/>
      </c>
    </row>
    <row r="242" spans="1:15" x14ac:dyDescent="0.25">
      <c r="A242" s="102"/>
      <c r="B242" s="33"/>
      <c r="C242" s="25"/>
      <c r="D242" s="33"/>
      <c r="E242" s="25"/>
      <c r="F242" s="55"/>
      <c r="N242" s="37" t="str">
        <f t="shared" ca="1" si="20"/>
        <v/>
      </c>
      <c r="O242" s="37" t="str">
        <f t="shared" ca="1" si="21"/>
        <v/>
      </c>
    </row>
    <row r="243" spans="1:15" x14ac:dyDescent="0.25">
      <c r="A243" s="102"/>
      <c r="B243" s="33"/>
      <c r="C243" s="25"/>
      <c r="D243" s="33"/>
      <c r="E243" s="25"/>
      <c r="F243" s="55"/>
      <c r="N243" s="37" t="str">
        <f t="shared" ca="1" si="20"/>
        <v/>
      </c>
      <c r="O243" s="37" t="str">
        <f t="shared" ca="1" si="21"/>
        <v/>
      </c>
    </row>
    <row r="244" spans="1:15" x14ac:dyDescent="0.25">
      <c r="A244" s="102"/>
      <c r="B244" s="33"/>
      <c r="C244" s="25"/>
      <c r="D244" s="33"/>
      <c r="E244" s="25"/>
      <c r="F244" s="55"/>
      <c r="N244" s="37" t="str">
        <f t="shared" ca="1" si="20"/>
        <v/>
      </c>
      <c r="O244" s="37" t="str">
        <f t="shared" ca="1" si="21"/>
        <v/>
      </c>
    </row>
    <row r="245" spans="1:15" x14ac:dyDescent="0.25">
      <c r="A245" s="102"/>
      <c r="B245" s="33"/>
      <c r="C245" s="25"/>
      <c r="D245" s="33"/>
      <c r="E245" s="25"/>
      <c r="F245" s="55"/>
      <c r="N245" s="37" t="str">
        <f t="shared" ca="1" si="20"/>
        <v/>
      </c>
      <c r="O245" s="37" t="str">
        <f t="shared" ca="1" si="21"/>
        <v/>
      </c>
    </row>
    <row r="246" spans="1:15" x14ac:dyDescent="0.25">
      <c r="A246" s="102"/>
      <c r="B246" s="33"/>
      <c r="C246" s="25"/>
      <c r="D246" s="33"/>
      <c r="E246" s="25"/>
      <c r="F246" s="55"/>
      <c r="N246" s="37" t="str">
        <f t="shared" ca="1" si="20"/>
        <v/>
      </c>
      <c r="O246" s="37" t="str">
        <f t="shared" ca="1" si="21"/>
        <v/>
      </c>
    </row>
    <row r="247" spans="1:15" x14ac:dyDescent="0.25">
      <c r="A247" s="102"/>
      <c r="B247" s="33"/>
      <c r="C247" s="25"/>
      <c r="D247" s="33"/>
      <c r="E247" s="25"/>
      <c r="F247" s="55"/>
      <c r="N247" s="37" t="str">
        <f t="shared" ca="1" si="20"/>
        <v/>
      </c>
      <c r="O247" s="37" t="str">
        <f t="shared" ca="1" si="21"/>
        <v/>
      </c>
    </row>
    <row r="248" spans="1:15" x14ac:dyDescent="0.25">
      <c r="A248" s="102"/>
      <c r="B248" s="33"/>
      <c r="C248" s="25"/>
      <c r="D248" s="33"/>
      <c r="E248" s="25"/>
      <c r="F248" s="55"/>
      <c r="N248" s="37" t="str">
        <f t="shared" ca="1" si="20"/>
        <v/>
      </c>
      <c r="O248" s="37" t="str">
        <f t="shared" ca="1" si="21"/>
        <v/>
      </c>
    </row>
    <row r="249" spans="1:15" x14ac:dyDescent="0.25">
      <c r="A249" s="102"/>
      <c r="B249" s="33"/>
      <c r="C249" s="25"/>
      <c r="D249" s="33"/>
      <c r="E249" s="25"/>
      <c r="F249" s="55"/>
      <c r="N249" s="37" t="str">
        <f t="shared" ca="1" si="20"/>
        <v/>
      </c>
      <c r="O249" s="37" t="str">
        <f t="shared" ca="1" si="21"/>
        <v/>
      </c>
    </row>
    <row r="250" spans="1:15" x14ac:dyDescent="0.25">
      <c r="A250" s="102"/>
      <c r="B250" s="33"/>
      <c r="C250" s="25"/>
      <c r="D250" s="33"/>
      <c r="E250" s="25"/>
      <c r="F250" s="55"/>
      <c r="N250" s="37" t="str">
        <f t="shared" ca="1" si="20"/>
        <v/>
      </c>
      <c r="O250" s="37" t="str">
        <f t="shared" ca="1" si="21"/>
        <v/>
      </c>
    </row>
    <row r="251" spans="1:15" x14ac:dyDescent="0.25">
      <c r="A251" s="102"/>
      <c r="B251" s="33"/>
      <c r="C251" s="25"/>
      <c r="D251" s="33"/>
      <c r="E251" s="25"/>
      <c r="F251" s="55"/>
      <c r="N251" s="37" t="str">
        <f t="shared" ca="1" si="20"/>
        <v/>
      </c>
      <c r="O251" s="37" t="str">
        <f t="shared" ca="1" si="21"/>
        <v/>
      </c>
    </row>
    <row r="252" spans="1:15" x14ac:dyDescent="0.25">
      <c r="A252" s="102"/>
      <c r="B252" s="33"/>
      <c r="C252" s="25"/>
      <c r="D252" s="33"/>
      <c r="E252" s="25"/>
      <c r="F252" s="55"/>
      <c r="N252" s="37" t="str">
        <f t="shared" ca="1" si="20"/>
        <v/>
      </c>
      <c r="O252" s="37" t="str">
        <f t="shared" ca="1" si="21"/>
        <v/>
      </c>
    </row>
    <row r="253" spans="1:15" x14ac:dyDescent="0.25">
      <c r="A253" s="102"/>
      <c r="B253" s="33"/>
      <c r="C253" s="25"/>
      <c r="D253" s="33"/>
      <c r="E253" s="25"/>
      <c r="F253" s="55"/>
      <c r="N253" s="37" t="str">
        <f t="shared" ca="1" si="20"/>
        <v/>
      </c>
      <c r="O253" s="37" t="str">
        <f t="shared" ca="1" si="21"/>
        <v/>
      </c>
    </row>
    <row r="254" spans="1:15" x14ac:dyDescent="0.25">
      <c r="A254" s="102"/>
      <c r="B254" s="33"/>
      <c r="C254" s="25"/>
      <c r="D254" s="33"/>
      <c r="E254" s="25"/>
      <c r="F254" s="55"/>
      <c r="N254" s="37" t="str">
        <f t="shared" ca="1" si="20"/>
        <v/>
      </c>
      <c r="O254" s="37" t="str">
        <f t="shared" ca="1" si="21"/>
        <v/>
      </c>
    </row>
    <row r="255" spans="1:15" x14ac:dyDescent="0.25">
      <c r="A255" s="102"/>
      <c r="B255" s="33"/>
      <c r="C255" s="25"/>
      <c r="D255" s="33"/>
      <c r="E255" s="25"/>
      <c r="F255" s="55"/>
      <c r="N255" s="37" t="str">
        <f t="shared" ca="1" si="20"/>
        <v/>
      </c>
      <c r="O255" s="37" t="str">
        <f t="shared" ca="1" si="21"/>
        <v/>
      </c>
    </row>
    <row r="256" spans="1:15" x14ac:dyDescent="0.25">
      <c r="A256" s="102"/>
      <c r="B256" s="33"/>
      <c r="C256" s="25"/>
      <c r="D256" s="33"/>
      <c r="E256" s="25"/>
      <c r="F256" s="55"/>
      <c r="N256" s="37" t="str">
        <f t="shared" ca="1" si="20"/>
        <v/>
      </c>
      <c r="O256" s="37" t="str">
        <f t="shared" ca="1" si="21"/>
        <v/>
      </c>
    </row>
    <row r="257" spans="1:15" x14ac:dyDescent="0.25">
      <c r="A257" s="102"/>
      <c r="B257" s="33"/>
      <c r="C257" s="25"/>
      <c r="D257" s="33"/>
      <c r="E257" s="25"/>
      <c r="F257" s="55"/>
      <c r="N257" s="37" t="str">
        <f t="shared" ca="1" si="20"/>
        <v/>
      </c>
      <c r="O257" s="37" t="str">
        <f t="shared" ca="1" si="21"/>
        <v/>
      </c>
    </row>
    <row r="258" spans="1:15" x14ac:dyDescent="0.25">
      <c r="A258" s="102"/>
      <c r="B258" s="33"/>
      <c r="C258" s="25"/>
      <c r="D258" s="33"/>
      <c r="E258" s="25"/>
      <c r="F258" s="55"/>
      <c r="N258" s="37" t="str">
        <f t="shared" ca="1" si="20"/>
        <v/>
      </c>
      <c r="O258" s="37" t="str">
        <f t="shared" ca="1" si="21"/>
        <v/>
      </c>
    </row>
    <row r="259" spans="1:15" x14ac:dyDescent="0.25">
      <c r="A259" s="102"/>
      <c r="B259" s="33"/>
      <c r="C259" s="25"/>
      <c r="D259" s="33"/>
      <c r="E259" s="25"/>
      <c r="F259" s="55"/>
      <c r="N259" s="37" t="str">
        <f t="shared" ca="1" si="20"/>
        <v/>
      </c>
      <c r="O259" s="37" t="str">
        <f t="shared" ca="1" si="21"/>
        <v/>
      </c>
    </row>
    <row r="260" spans="1:15" x14ac:dyDescent="0.25">
      <c r="A260" s="102"/>
      <c r="B260" s="33"/>
      <c r="C260" s="25"/>
      <c r="D260" s="33"/>
      <c r="E260" s="25"/>
      <c r="F260" s="55"/>
      <c r="N260" s="37" t="str">
        <f t="shared" ref="N260:N323" ca="1" si="22">IF(COUNTIF(L:L,J260),J260,"")</f>
        <v/>
      </c>
      <c r="O260" s="37" t="str">
        <f t="shared" ref="O260:O323" ca="1" si="23">IF(N260&gt;$A$14,N260,"")</f>
        <v/>
      </c>
    </row>
    <row r="261" spans="1:15" x14ac:dyDescent="0.25">
      <c r="A261" s="102"/>
      <c r="B261" s="33"/>
      <c r="C261" s="25"/>
      <c r="D261" s="33"/>
      <c r="E261" s="25"/>
      <c r="F261" s="55"/>
      <c r="N261" s="37" t="str">
        <f t="shared" ca="1" si="22"/>
        <v/>
      </c>
      <c r="O261" s="37" t="str">
        <f t="shared" ca="1" si="23"/>
        <v/>
      </c>
    </row>
    <row r="262" spans="1:15" x14ac:dyDescent="0.25">
      <c r="A262" s="102"/>
      <c r="B262" s="33"/>
      <c r="C262" s="25"/>
      <c r="D262" s="33"/>
      <c r="E262" s="25"/>
      <c r="F262" s="55"/>
      <c r="N262" s="37" t="str">
        <f t="shared" ca="1" si="22"/>
        <v/>
      </c>
      <c r="O262" s="37" t="str">
        <f t="shared" ca="1" si="23"/>
        <v/>
      </c>
    </row>
    <row r="263" spans="1:15" x14ac:dyDescent="0.25">
      <c r="A263" s="102"/>
      <c r="B263" s="33"/>
      <c r="C263" s="25"/>
      <c r="D263" s="33"/>
      <c r="E263" s="25"/>
      <c r="F263" s="55"/>
      <c r="N263" s="37" t="str">
        <f t="shared" ca="1" si="22"/>
        <v/>
      </c>
      <c r="O263" s="37" t="str">
        <f t="shared" ca="1" si="23"/>
        <v/>
      </c>
    </row>
    <row r="264" spans="1:15" x14ac:dyDescent="0.25">
      <c r="A264" s="102"/>
      <c r="B264" s="33"/>
      <c r="C264" s="25"/>
      <c r="D264" s="33"/>
      <c r="E264" s="25"/>
      <c r="F264" s="55"/>
      <c r="N264" s="37" t="str">
        <f t="shared" ca="1" si="22"/>
        <v/>
      </c>
      <c r="O264" s="37" t="str">
        <f t="shared" ca="1" si="23"/>
        <v/>
      </c>
    </row>
    <row r="265" spans="1:15" x14ac:dyDescent="0.25">
      <c r="A265" s="102"/>
      <c r="B265" s="33"/>
      <c r="C265" s="25"/>
      <c r="D265" s="33"/>
      <c r="E265" s="25"/>
      <c r="F265" s="55"/>
      <c r="N265" s="37" t="str">
        <f t="shared" ca="1" si="22"/>
        <v/>
      </c>
      <c r="O265" s="37" t="str">
        <f t="shared" ca="1" si="23"/>
        <v/>
      </c>
    </row>
    <row r="266" spans="1:15" x14ac:dyDescent="0.25">
      <c r="A266" s="102"/>
      <c r="B266" s="33"/>
      <c r="C266" s="25"/>
      <c r="D266" s="33"/>
      <c r="E266" s="25"/>
      <c r="F266" s="55"/>
      <c r="N266" s="37" t="str">
        <f t="shared" ca="1" si="22"/>
        <v/>
      </c>
      <c r="O266" s="37" t="str">
        <f t="shared" ca="1" si="23"/>
        <v/>
      </c>
    </row>
    <row r="267" spans="1:15" x14ac:dyDescent="0.25">
      <c r="A267" s="102"/>
      <c r="B267" s="33"/>
      <c r="C267" s="25"/>
      <c r="D267" s="33"/>
      <c r="E267" s="25"/>
      <c r="F267" s="55"/>
      <c r="N267" s="37" t="str">
        <f t="shared" ca="1" si="22"/>
        <v/>
      </c>
      <c r="O267" s="37" t="str">
        <f t="shared" ca="1" si="23"/>
        <v/>
      </c>
    </row>
    <row r="268" spans="1:15" x14ac:dyDescent="0.25">
      <c r="A268" s="102"/>
      <c r="B268" s="33"/>
      <c r="C268" s="25"/>
      <c r="D268" s="33"/>
      <c r="E268" s="25"/>
      <c r="F268" s="55"/>
      <c r="N268" s="37" t="str">
        <f t="shared" ca="1" si="22"/>
        <v/>
      </c>
      <c r="O268" s="37" t="str">
        <f t="shared" ca="1" si="23"/>
        <v/>
      </c>
    </row>
    <row r="269" spans="1:15" x14ac:dyDescent="0.25">
      <c r="A269" s="102"/>
      <c r="B269" s="33"/>
      <c r="C269" s="25"/>
      <c r="D269" s="33"/>
      <c r="E269" s="25"/>
      <c r="F269" s="55"/>
      <c r="N269" s="37" t="str">
        <f t="shared" ca="1" si="22"/>
        <v/>
      </c>
      <c r="O269" s="37" t="str">
        <f t="shared" ca="1" si="23"/>
        <v/>
      </c>
    </row>
    <row r="270" spans="1:15" x14ac:dyDescent="0.25">
      <c r="A270" s="102"/>
      <c r="B270" s="33"/>
      <c r="C270" s="25"/>
      <c r="D270" s="33"/>
      <c r="E270" s="25"/>
      <c r="F270" s="55"/>
      <c r="N270" s="37" t="str">
        <f t="shared" ca="1" si="22"/>
        <v/>
      </c>
      <c r="O270" s="37" t="str">
        <f t="shared" ca="1" si="23"/>
        <v/>
      </c>
    </row>
    <row r="271" spans="1:15" x14ac:dyDescent="0.25">
      <c r="A271" s="102"/>
      <c r="B271" s="33"/>
      <c r="C271" s="25"/>
      <c r="D271" s="33"/>
      <c r="E271" s="25"/>
      <c r="F271" s="55"/>
      <c r="N271" s="37" t="str">
        <f t="shared" ca="1" si="22"/>
        <v/>
      </c>
      <c r="O271" s="37" t="str">
        <f t="shared" ca="1" si="23"/>
        <v/>
      </c>
    </row>
    <row r="272" spans="1:15" x14ac:dyDescent="0.25">
      <c r="A272" s="102"/>
      <c r="B272" s="33"/>
      <c r="C272" s="25"/>
      <c r="D272" s="33"/>
      <c r="E272" s="25"/>
      <c r="F272" s="55"/>
      <c r="N272" s="37" t="str">
        <f t="shared" ca="1" si="22"/>
        <v/>
      </c>
      <c r="O272" s="37" t="str">
        <f t="shared" ca="1" si="23"/>
        <v/>
      </c>
    </row>
    <row r="273" spans="1:15" x14ac:dyDescent="0.25">
      <c r="A273" s="102"/>
      <c r="B273" s="33"/>
      <c r="C273" s="25"/>
      <c r="D273" s="33"/>
      <c r="E273" s="25"/>
      <c r="F273" s="55"/>
      <c r="N273" s="37" t="str">
        <f t="shared" ca="1" si="22"/>
        <v/>
      </c>
      <c r="O273" s="37" t="str">
        <f t="shared" ca="1" si="23"/>
        <v/>
      </c>
    </row>
    <row r="274" spans="1:15" x14ac:dyDescent="0.25">
      <c r="A274" s="102"/>
      <c r="B274" s="33"/>
      <c r="C274" s="25"/>
      <c r="D274" s="33"/>
      <c r="E274" s="25"/>
      <c r="F274" s="55"/>
      <c r="N274" s="37" t="str">
        <f t="shared" ca="1" si="22"/>
        <v/>
      </c>
      <c r="O274" s="37" t="str">
        <f t="shared" ca="1" si="23"/>
        <v/>
      </c>
    </row>
    <row r="275" spans="1:15" x14ac:dyDescent="0.25">
      <c r="A275" s="102"/>
      <c r="B275" s="33"/>
      <c r="C275" s="25"/>
      <c r="D275" s="33"/>
      <c r="E275" s="25"/>
      <c r="F275" s="55"/>
      <c r="N275" s="37" t="str">
        <f t="shared" ca="1" si="22"/>
        <v/>
      </c>
      <c r="O275" s="37" t="str">
        <f t="shared" ca="1" si="23"/>
        <v/>
      </c>
    </row>
    <row r="276" spans="1:15" x14ac:dyDescent="0.25">
      <c r="A276" s="102"/>
      <c r="B276" s="33"/>
      <c r="C276" s="25"/>
      <c r="D276" s="33"/>
      <c r="E276" s="25"/>
      <c r="F276" s="55"/>
      <c r="N276" s="37" t="str">
        <f t="shared" ca="1" si="22"/>
        <v/>
      </c>
      <c r="O276" s="37" t="str">
        <f t="shared" ca="1" si="23"/>
        <v/>
      </c>
    </row>
    <row r="277" spans="1:15" x14ac:dyDescent="0.25">
      <c r="A277" s="102"/>
      <c r="B277" s="33"/>
      <c r="C277" s="25"/>
      <c r="D277" s="33"/>
      <c r="E277" s="25"/>
      <c r="F277" s="55"/>
      <c r="N277" s="37" t="str">
        <f t="shared" ca="1" si="22"/>
        <v/>
      </c>
      <c r="O277" s="37" t="str">
        <f t="shared" ca="1" si="23"/>
        <v/>
      </c>
    </row>
    <row r="278" spans="1:15" x14ac:dyDescent="0.25">
      <c r="A278" s="102"/>
      <c r="B278" s="33"/>
      <c r="C278" s="25"/>
      <c r="D278" s="33"/>
      <c r="E278" s="25"/>
      <c r="F278" s="55"/>
      <c r="N278" s="37" t="str">
        <f t="shared" ca="1" si="22"/>
        <v/>
      </c>
      <c r="O278" s="37" t="str">
        <f t="shared" ca="1" si="23"/>
        <v/>
      </c>
    </row>
    <row r="279" spans="1:15" x14ac:dyDescent="0.25">
      <c r="A279" s="102"/>
      <c r="B279" s="33"/>
      <c r="C279" s="25"/>
      <c r="D279" s="33"/>
      <c r="E279" s="25"/>
      <c r="F279" s="55"/>
      <c r="N279" s="37" t="str">
        <f t="shared" ca="1" si="22"/>
        <v/>
      </c>
      <c r="O279" s="37" t="str">
        <f t="shared" ca="1" si="23"/>
        <v/>
      </c>
    </row>
    <row r="280" spans="1:15" x14ac:dyDescent="0.25">
      <c r="A280" s="102"/>
      <c r="B280" s="33"/>
      <c r="C280" s="25"/>
      <c r="D280" s="33"/>
      <c r="E280" s="25"/>
      <c r="F280" s="55"/>
      <c r="N280" s="37" t="str">
        <f t="shared" ca="1" si="22"/>
        <v/>
      </c>
      <c r="O280" s="37" t="str">
        <f t="shared" ca="1" si="23"/>
        <v/>
      </c>
    </row>
    <row r="281" spans="1:15" x14ac:dyDescent="0.25">
      <c r="A281" s="102"/>
      <c r="B281" s="33"/>
      <c r="C281" s="25"/>
      <c r="D281" s="33"/>
      <c r="E281" s="25"/>
      <c r="F281" s="55"/>
      <c r="N281" s="37" t="str">
        <f t="shared" ca="1" si="22"/>
        <v/>
      </c>
      <c r="O281" s="37" t="str">
        <f t="shared" ca="1" si="23"/>
        <v/>
      </c>
    </row>
    <row r="282" spans="1:15" x14ac:dyDescent="0.25">
      <c r="A282" s="102"/>
      <c r="B282" s="33"/>
      <c r="C282" s="25"/>
      <c r="D282" s="33"/>
      <c r="E282" s="25"/>
      <c r="F282" s="55"/>
      <c r="N282" s="37" t="str">
        <f t="shared" ca="1" si="22"/>
        <v/>
      </c>
      <c r="O282" s="37" t="str">
        <f t="shared" ca="1" si="23"/>
        <v/>
      </c>
    </row>
    <row r="283" spans="1:15" x14ac:dyDescent="0.25">
      <c r="A283" s="102"/>
      <c r="B283" s="33"/>
      <c r="C283" s="25"/>
      <c r="D283" s="33"/>
      <c r="E283" s="25"/>
      <c r="F283" s="55"/>
      <c r="N283" s="37" t="str">
        <f t="shared" ca="1" si="22"/>
        <v/>
      </c>
      <c r="O283" s="37" t="str">
        <f t="shared" ca="1" si="23"/>
        <v/>
      </c>
    </row>
    <row r="284" spans="1:15" x14ac:dyDescent="0.25">
      <c r="A284" s="102"/>
      <c r="B284" s="33"/>
      <c r="C284" s="25"/>
      <c r="D284" s="33"/>
      <c r="E284" s="25"/>
      <c r="F284" s="55"/>
      <c r="N284" s="37" t="str">
        <f t="shared" ca="1" si="22"/>
        <v/>
      </c>
      <c r="O284" s="37" t="str">
        <f t="shared" ca="1" si="23"/>
        <v/>
      </c>
    </row>
    <row r="285" spans="1:15" x14ac:dyDescent="0.25">
      <c r="A285" s="102"/>
      <c r="B285" s="33"/>
      <c r="C285" s="25"/>
      <c r="D285" s="33"/>
      <c r="E285" s="25"/>
      <c r="F285" s="55"/>
      <c r="N285" s="37" t="str">
        <f t="shared" ca="1" si="22"/>
        <v/>
      </c>
      <c r="O285" s="37" t="str">
        <f t="shared" ca="1" si="23"/>
        <v/>
      </c>
    </row>
    <row r="286" spans="1:15" x14ac:dyDescent="0.25">
      <c r="A286" s="102"/>
      <c r="B286" s="33"/>
      <c r="C286" s="25"/>
      <c r="D286" s="33"/>
      <c r="E286" s="25"/>
      <c r="F286" s="55"/>
      <c r="N286" s="37" t="str">
        <f t="shared" ca="1" si="22"/>
        <v/>
      </c>
      <c r="O286" s="37" t="str">
        <f t="shared" ca="1" si="23"/>
        <v/>
      </c>
    </row>
    <row r="287" spans="1:15" x14ac:dyDescent="0.25">
      <c r="A287" s="102"/>
      <c r="B287" s="33"/>
      <c r="C287" s="25"/>
      <c r="D287" s="33"/>
      <c r="E287" s="25"/>
      <c r="F287" s="55"/>
      <c r="N287" s="37" t="str">
        <f t="shared" ca="1" si="22"/>
        <v/>
      </c>
      <c r="O287" s="37" t="str">
        <f t="shared" ca="1" si="23"/>
        <v/>
      </c>
    </row>
    <row r="288" spans="1:15" x14ac:dyDescent="0.25">
      <c r="A288" s="102"/>
      <c r="B288" s="33"/>
      <c r="C288" s="25"/>
      <c r="D288" s="33"/>
      <c r="E288" s="25"/>
      <c r="F288" s="55"/>
      <c r="N288" s="37" t="str">
        <f t="shared" ca="1" si="22"/>
        <v/>
      </c>
      <c r="O288" s="37" t="str">
        <f t="shared" ca="1" si="23"/>
        <v/>
      </c>
    </row>
    <row r="289" spans="1:15" x14ac:dyDescent="0.25">
      <c r="A289" s="102"/>
      <c r="B289" s="33"/>
      <c r="C289" s="25"/>
      <c r="D289" s="33"/>
      <c r="E289" s="25"/>
      <c r="F289" s="55"/>
      <c r="N289" s="37" t="str">
        <f t="shared" ca="1" si="22"/>
        <v/>
      </c>
      <c r="O289" s="37" t="str">
        <f t="shared" ca="1" si="23"/>
        <v/>
      </c>
    </row>
    <row r="290" spans="1:15" x14ac:dyDescent="0.25">
      <c r="A290" s="102"/>
      <c r="B290" s="33"/>
      <c r="C290" s="25"/>
      <c r="D290" s="33"/>
      <c r="E290" s="25"/>
      <c r="F290" s="55"/>
      <c r="N290" s="37" t="str">
        <f t="shared" ca="1" si="22"/>
        <v/>
      </c>
      <c r="O290" s="37" t="str">
        <f t="shared" ca="1" si="23"/>
        <v/>
      </c>
    </row>
    <row r="291" spans="1:15" x14ac:dyDescent="0.25">
      <c r="A291" s="102"/>
      <c r="B291" s="33"/>
      <c r="C291" s="25"/>
      <c r="D291" s="33"/>
      <c r="E291" s="25"/>
      <c r="F291" s="55"/>
      <c r="N291" s="37" t="str">
        <f t="shared" ca="1" si="22"/>
        <v/>
      </c>
      <c r="O291" s="37" t="str">
        <f t="shared" ca="1" si="23"/>
        <v/>
      </c>
    </row>
    <row r="292" spans="1:15" x14ac:dyDescent="0.25">
      <c r="A292" s="102"/>
      <c r="B292" s="33"/>
      <c r="C292" s="25"/>
      <c r="D292" s="33"/>
      <c r="E292" s="25"/>
      <c r="F292" s="55"/>
      <c r="N292" s="37" t="str">
        <f t="shared" ca="1" si="22"/>
        <v/>
      </c>
      <c r="O292" s="37" t="str">
        <f t="shared" ca="1" si="23"/>
        <v/>
      </c>
    </row>
    <row r="293" spans="1:15" x14ac:dyDescent="0.25">
      <c r="A293" s="102"/>
      <c r="B293" s="33"/>
      <c r="C293" s="25"/>
      <c r="D293" s="33"/>
      <c r="E293" s="25"/>
      <c r="F293" s="55"/>
      <c r="N293" s="37" t="str">
        <f t="shared" ca="1" si="22"/>
        <v/>
      </c>
      <c r="O293" s="37" t="str">
        <f t="shared" ca="1" si="23"/>
        <v/>
      </c>
    </row>
    <row r="294" spans="1:15" x14ac:dyDescent="0.25">
      <c r="A294" s="102"/>
      <c r="B294" s="33"/>
      <c r="C294" s="25"/>
      <c r="D294" s="33"/>
      <c r="E294" s="25"/>
      <c r="F294" s="55"/>
      <c r="N294" s="37" t="str">
        <f t="shared" ca="1" si="22"/>
        <v/>
      </c>
      <c r="O294" s="37" t="str">
        <f t="shared" ca="1" si="23"/>
        <v/>
      </c>
    </row>
    <row r="295" spans="1:15" x14ac:dyDescent="0.25">
      <c r="A295" s="102"/>
      <c r="B295" s="33"/>
      <c r="C295" s="25"/>
      <c r="D295" s="33"/>
      <c r="E295" s="25"/>
      <c r="F295" s="55"/>
      <c r="N295" s="37" t="str">
        <f t="shared" ca="1" si="22"/>
        <v/>
      </c>
      <c r="O295" s="37" t="str">
        <f t="shared" ca="1" si="23"/>
        <v/>
      </c>
    </row>
    <row r="296" spans="1:15" x14ac:dyDescent="0.25">
      <c r="A296" s="102"/>
      <c r="B296" s="33"/>
      <c r="C296" s="25"/>
      <c r="D296" s="33"/>
      <c r="E296" s="25"/>
      <c r="F296" s="55"/>
      <c r="N296" s="37" t="str">
        <f t="shared" ca="1" si="22"/>
        <v/>
      </c>
      <c r="O296" s="37" t="str">
        <f t="shared" ca="1" si="23"/>
        <v/>
      </c>
    </row>
    <row r="297" spans="1:15" x14ac:dyDescent="0.25">
      <c r="A297" s="102"/>
      <c r="B297" s="33"/>
      <c r="C297" s="25"/>
      <c r="D297" s="33"/>
      <c r="E297" s="25"/>
      <c r="F297" s="55"/>
      <c r="N297" s="37" t="str">
        <f t="shared" ca="1" si="22"/>
        <v/>
      </c>
      <c r="O297" s="37" t="str">
        <f t="shared" ca="1" si="23"/>
        <v/>
      </c>
    </row>
    <row r="298" spans="1:15" x14ac:dyDescent="0.25">
      <c r="A298" s="102"/>
      <c r="B298" s="33"/>
      <c r="C298" s="25"/>
      <c r="D298" s="33"/>
      <c r="E298" s="25"/>
      <c r="F298" s="55"/>
      <c r="N298" s="37" t="str">
        <f t="shared" ca="1" si="22"/>
        <v/>
      </c>
      <c r="O298" s="37" t="str">
        <f t="shared" ca="1" si="23"/>
        <v/>
      </c>
    </row>
    <row r="299" spans="1:15" x14ac:dyDescent="0.25">
      <c r="A299" s="102"/>
      <c r="B299" s="33"/>
      <c r="C299" s="25"/>
      <c r="D299" s="33"/>
      <c r="E299" s="25"/>
      <c r="F299" s="55"/>
      <c r="N299" s="37" t="str">
        <f t="shared" ca="1" si="22"/>
        <v/>
      </c>
      <c r="O299" s="37" t="str">
        <f t="shared" ca="1" si="23"/>
        <v/>
      </c>
    </row>
    <row r="300" spans="1:15" x14ac:dyDescent="0.25">
      <c r="A300" s="102"/>
      <c r="B300" s="33"/>
      <c r="C300" s="25"/>
      <c r="D300" s="33"/>
      <c r="E300" s="25"/>
      <c r="F300" s="55"/>
      <c r="N300" s="37" t="str">
        <f t="shared" ca="1" si="22"/>
        <v/>
      </c>
      <c r="O300" s="37" t="str">
        <f t="shared" ca="1" si="23"/>
        <v/>
      </c>
    </row>
    <row r="301" spans="1:15" x14ac:dyDescent="0.25">
      <c r="A301" s="102"/>
      <c r="B301" s="33"/>
      <c r="C301" s="25"/>
      <c r="D301" s="33"/>
      <c r="E301" s="25"/>
      <c r="F301" s="55"/>
      <c r="N301" s="37" t="str">
        <f t="shared" ca="1" si="22"/>
        <v/>
      </c>
      <c r="O301" s="37" t="str">
        <f t="shared" ca="1" si="23"/>
        <v/>
      </c>
    </row>
    <row r="302" spans="1:15" x14ac:dyDescent="0.25">
      <c r="A302" s="102"/>
      <c r="B302" s="33"/>
      <c r="C302" s="25"/>
      <c r="D302" s="33"/>
      <c r="E302" s="25"/>
      <c r="F302" s="55"/>
      <c r="N302" s="37" t="str">
        <f t="shared" ca="1" si="22"/>
        <v/>
      </c>
      <c r="O302" s="37" t="str">
        <f t="shared" ca="1" si="23"/>
        <v/>
      </c>
    </row>
    <row r="303" spans="1:15" x14ac:dyDescent="0.25">
      <c r="A303" s="102"/>
      <c r="B303" s="33"/>
      <c r="C303" s="25"/>
      <c r="D303" s="33"/>
      <c r="E303" s="25"/>
      <c r="F303" s="55"/>
      <c r="N303" s="37" t="str">
        <f t="shared" ca="1" si="22"/>
        <v/>
      </c>
      <c r="O303" s="37" t="str">
        <f t="shared" ca="1" si="23"/>
        <v/>
      </c>
    </row>
    <row r="304" spans="1:15" x14ac:dyDescent="0.25">
      <c r="A304" s="102"/>
      <c r="B304" s="33"/>
      <c r="C304" s="25"/>
      <c r="D304" s="33"/>
      <c r="E304" s="25"/>
      <c r="F304" s="55"/>
      <c r="N304" s="37" t="str">
        <f t="shared" ca="1" si="22"/>
        <v/>
      </c>
      <c r="O304" s="37" t="str">
        <f t="shared" ca="1" si="23"/>
        <v/>
      </c>
    </row>
    <row r="305" spans="1:15" x14ac:dyDescent="0.25">
      <c r="A305" s="102"/>
      <c r="B305" s="33"/>
      <c r="C305" s="25"/>
      <c r="D305" s="33"/>
      <c r="E305" s="25"/>
      <c r="F305" s="55"/>
      <c r="N305" s="37" t="str">
        <f t="shared" ca="1" si="22"/>
        <v/>
      </c>
      <c r="O305" s="37" t="str">
        <f t="shared" ca="1" si="23"/>
        <v/>
      </c>
    </row>
    <row r="306" spans="1:15" x14ac:dyDescent="0.25">
      <c r="A306" s="102"/>
      <c r="B306" s="33"/>
      <c r="C306" s="25"/>
      <c r="D306" s="33"/>
      <c r="E306" s="25"/>
      <c r="F306" s="55"/>
      <c r="N306" s="37" t="str">
        <f t="shared" ca="1" si="22"/>
        <v/>
      </c>
      <c r="O306" s="37" t="str">
        <f t="shared" ca="1" si="23"/>
        <v/>
      </c>
    </row>
    <row r="307" spans="1:15" x14ac:dyDescent="0.25">
      <c r="A307" s="102"/>
      <c r="B307" s="33"/>
      <c r="C307" s="25"/>
      <c r="D307" s="33"/>
      <c r="E307" s="25"/>
      <c r="F307" s="55"/>
      <c r="N307" s="37" t="str">
        <f t="shared" ca="1" si="22"/>
        <v/>
      </c>
      <c r="O307" s="37" t="str">
        <f t="shared" ca="1" si="23"/>
        <v/>
      </c>
    </row>
    <row r="308" spans="1:15" x14ac:dyDescent="0.25">
      <c r="A308" s="102"/>
      <c r="B308" s="33"/>
      <c r="C308" s="25"/>
      <c r="D308" s="33"/>
      <c r="E308" s="25"/>
      <c r="F308" s="55"/>
      <c r="N308" s="37" t="str">
        <f t="shared" ca="1" si="22"/>
        <v/>
      </c>
      <c r="O308" s="37" t="str">
        <f t="shared" ca="1" si="23"/>
        <v/>
      </c>
    </row>
    <row r="309" spans="1:15" x14ac:dyDescent="0.25">
      <c r="A309" s="102"/>
      <c r="B309" s="33"/>
      <c r="C309" s="25"/>
      <c r="D309" s="33"/>
      <c r="E309" s="25"/>
      <c r="F309" s="55"/>
      <c r="N309" s="37" t="str">
        <f t="shared" ca="1" si="22"/>
        <v/>
      </c>
      <c r="O309" s="37" t="str">
        <f t="shared" ca="1" si="23"/>
        <v/>
      </c>
    </row>
    <row r="310" spans="1:15" x14ac:dyDescent="0.25">
      <c r="A310" s="102"/>
      <c r="B310" s="33"/>
      <c r="C310" s="25"/>
      <c r="D310" s="33"/>
      <c r="E310" s="25"/>
      <c r="F310" s="55"/>
      <c r="N310" s="37" t="str">
        <f t="shared" ca="1" si="22"/>
        <v/>
      </c>
      <c r="O310" s="37" t="str">
        <f t="shared" ca="1" si="23"/>
        <v/>
      </c>
    </row>
    <row r="311" spans="1:15" x14ac:dyDescent="0.25">
      <c r="A311" s="102"/>
      <c r="B311" s="33"/>
      <c r="C311" s="25"/>
      <c r="D311" s="33"/>
      <c r="E311" s="25"/>
      <c r="F311" s="55"/>
      <c r="N311" s="37" t="str">
        <f t="shared" ca="1" si="22"/>
        <v/>
      </c>
      <c r="O311" s="37" t="str">
        <f t="shared" ca="1" si="23"/>
        <v/>
      </c>
    </row>
    <row r="312" spans="1:15" x14ac:dyDescent="0.25">
      <c r="A312" s="102"/>
      <c r="B312" s="33"/>
      <c r="C312" s="25"/>
      <c r="D312" s="33"/>
      <c r="E312" s="25"/>
      <c r="F312" s="55"/>
      <c r="N312" s="37" t="str">
        <f t="shared" ca="1" si="22"/>
        <v/>
      </c>
      <c r="O312" s="37" t="str">
        <f t="shared" ca="1" si="23"/>
        <v/>
      </c>
    </row>
    <row r="313" spans="1:15" x14ac:dyDescent="0.25">
      <c r="A313" s="102"/>
      <c r="B313" s="33"/>
      <c r="C313" s="25"/>
      <c r="D313" s="33"/>
      <c r="E313" s="25"/>
      <c r="F313" s="55"/>
      <c r="N313" s="37" t="str">
        <f t="shared" ca="1" si="22"/>
        <v/>
      </c>
      <c r="O313" s="37" t="str">
        <f t="shared" ca="1" si="23"/>
        <v/>
      </c>
    </row>
    <row r="314" spans="1:15" x14ac:dyDescent="0.25">
      <c r="A314" s="102"/>
      <c r="B314" s="33"/>
      <c r="C314" s="25"/>
      <c r="D314" s="33"/>
      <c r="E314" s="25"/>
      <c r="F314" s="55"/>
      <c r="N314" s="37" t="str">
        <f t="shared" ca="1" si="22"/>
        <v/>
      </c>
      <c r="O314" s="37" t="str">
        <f t="shared" ca="1" si="23"/>
        <v/>
      </c>
    </row>
    <row r="315" spans="1:15" x14ac:dyDescent="0.25">
      <c r="A315" s="102"/>
      <c r="B315" s="33"/>
      <c r="C315" s="25"/>
      <c r="D315" s="33"/>
      <c r="E315" s="25"/>
      <c r="F315" s="55"/>
      <c r="N315" s="37" t="str">
        <f t="shared" ca="1" si="22"/>
        <v/>
      </c>
      <c r="O315" s="37" t="str">
        <f t="shared" ca="1" si="23"/>
        <v/>
      </c>
    </row>
    <row r="316" spans="1:15" x14ac:dyDescent="0.25">
      <c r="A316" s="102"/>
      <c r="B316" s="33"/>
      <c r="C316" s="25"/>
      <c r="D316" s="33"/>
      <c r="E316" s="25"/>
      <c r="F316" s="55"/>
      <c r="N316" s="37" t="str">
        <f t="shared" ca="1" si="22"/>
        <v/>
      </c>
      <c r="O316" s="37" t="str">
        <f t="shared" ca="1" si="23"/>
        <v/>
      </c>
    </row>
    <row r="317" spans="1:15" x14ac:dyDescent="0.25">
      <c r="A317" s="102"/>
      <c r="B317" s="33"/>
      <c r="C317" s="25"/>
      <c r="D317" s="33"/>
      <c r="E317" s="25"/>
      <c r="F317" s="55"/>
      <c r="N317" s="37" t="str">
        <f t="shared" ca="1" si="22"/>
        <v/>
      </c>
      <c r="O317" s="37" t="str">
        <f t="shared" ca="1" si="23"/>
        <v/>
      </c>
    </row>
    <row r="318" spans="1:15" x14ac:dyDescent="0.25">
      <c r="A318" s="102"/>
      <c r="B318" s="33"/>
      <c r="C318" s="25"/>
      <c r="D318" s="33"/>
      <c r="E318" s="25"/>
      <c r="F318" s="55"/>
      <c r="N318" s="37" t="str">
        <f t="shared" ca="1" si="22"/>
        <v/>
      </c>
      <c r="O318" s="37" t="str">
        <f t="shared" ca="1" si="23"/>
        <v/>
      </c>
    </row>
    <row r="319" spans="1:15" x14ac:dyDescent="0.25">
      <c r="A319" s="102"/>
      <c r="B319" s="33"/>
      <c r="C319" s="25"/>
      <c r="D319" s="33"/>
      <c r="E319" s="25"/>
      <c r="F319" s="55"/>
      <c r="N319" s="37" t="str">
        <f t="shared" ca="1" si="22"/>
        <v/>
      </c>
      <c r="O319" s="37" t="str">
        <f t="shared" ca="1" si="23"/>
        <v/>
      </c>
    </row>
    <row r="320" spans="1:15" x14ac:dyDescent="0.25">
      <c r="A320" s="102"/>
      <c r="B320" s="33"/>
      <c r="C320" s="25"/>
      <c r="D320" s="33"/>
      <c r="E320" s="25"/>
      <c r="F320" s="55"/>
      <c r="N320" s="37" t="str">
        <f t="shared" ca="1" si="22"/>
        <v/>
      </c>
      <c r="O320" s="37" t="str">
        <f t="shared" ca="1" si="23"/>
        <v/>
      </c>
    </row>
    <row r="321" spans="1:15" x14ac:dyDescent="0.25">
      <c r="A321" s="102"/>
      <c r="B321" s="33"/>
      <c r="C321" s="25"/>
      <c r="D321" s="33"/>
      <c r="E321" s="25"/>
      <c r="F321" s="55"/>
      <c r="N321" s="37" t="str">
        <f t="shared" ca="1" si="22"/>
        <v/>
      </c>
      <c r="O321" s="37" t="str">
        <f t="shared" ca="1" si="23"/>
        <v/>
      </c>
    </row>
    <row r="322" spans="1:15" x14ac:dyDescent="0.25">
      <c r="A322" s="102"/>
      <c r="B322" s="33"/>
      <c r="C322" s="25"/>
      <c r="D322" s="33"/>
      <c r="E322" s="25"/>
      <c r="F322" s="55"/>
      <c r="N322" s="37" t="str">
        <f t="shared" ca="1" si="22"/>
        <v/>
      </c>
      <c r="O322" s="37" t="str">
        <f t="shared" ca="1" si="23"/>
        <v/>
      </c>
    </row>
    <row r="323" spans="1:15" x14ac:dyDescent="0.25">
      <c r="A323" s="102"/>
      <c r="B323" s="33"/>
      <c r="C323" s="25"/>
      <c r="D323" s="33"/>
      <c r="E323" s="25"/>
      <c r="F323" s="55"/>
      <c r="N323" s="37" t="str">
        <f t="shared" ca="1" si="22"/>
        <v/>
      </c>
      <c r="O323" s="37" t="str">
        <f t="shared" ca="1" si="23"/>
        <v/>
      </c>
    </row>
    <row r="324" spans="1:15" x14ac:dyDescent="0.25">
      <c r="A324" s="102"/>
      <c r="B324" s="33"/>
      <c r="C324" s="25"/>
      <c r="D324" s="33"/>
      <c r="E324" s="25"/>
      <c r="F324" s="55"/>
      <c r="N324" s="37" t="str">
        <f t="shared" ref="N324:N387" ca="1" si="24">IF(COUNTIF(L:L,J324),J324,"")</f>
        <v/>
      </c>
      <c r="O324" s="37" t="str">
        <f t="shared" ref="O324:O387" ca="1" si="25">IF(N324&gt;$A$14,N324,"")</f>
        <v/>
      </c>
    </row>
    <row r="325" spans="1:15" x14ac:dyDescent="0.25">
      <c r="A325" s="102"/>
      <c r="B325" s="33"/>
      <c r="C325" s="25"/>
      <c r="D325" s="33"/>
      <c r="E325" s="25"/>
      <c r="F325" s="55"/>
      <c r="N325" s="37" t="str">
        <f t="shared" ca="1" si="24"/>
        <v/>
      </c>
      <c r="O325" s="37" t="str">
        <f t="shared" ca="1" si="25"/>
        <v/>
      </c>
    </row>
    <row r="326" spans="1:15" x14ac:dyDescent="0.25">
      <c r="A326" s="102"/>
      <c r="B326" s="33"/>
      <c r="C326" s="25"/>
      <c r="D326" s="33"/>
      <c r="E326" s="25"/>
      <c r="F326" s="55"/>
      <c r="N326" s="37" t="str">
        <f t="shared" ca="1" si="24"/>
        <v/>
      </c>
      <c r="O326" s="37" t="str">
        <f t="shared" ca="1" si="25"/>
        <v/>
      </c>
    </row>
    <row r="327" spans="1:15" x14ac:dyDescent="0.25">
      <c r="A327" s="102"/>
      <c r="B327" s="33"/>
      <c r="C327" s="25"/>
      <c r="D327" s="33"/>
      <c r="E327" s="25"/>
      <c r="F327" s="55"/>
      <c r="N327" s="37" t="str">
        <f t="shared" ca="1" si="24"/>
        <v/>
      </c>
      <c r="O327" s="37" t="str">
        <f t="shared" ca="1" si="25"/>
        <v/>
      </c>
    </row>
    <row r="328" spans="1:15" x14ac:dyDescent="0.25">
      <c r="A328" s="102"/>
      <c r="B328" s="33"/>
      <c r="C328" s="25"/>
      <c r="D328" s="33"/>
      <c r="E328" s="25"/>
      <c r="F328" s="55"/>
      <c r="N328" s="37" t="str">
        <f t="shared" ca="1" si="24"/>
        <v/>
      </c>
      <c r="O328" s="37" t="str">
        <f t="shared" ca="1" si="25"/>
        <v/>
      </c>
    </row>
    <row r="329" spans="1:15" x14ac:dyDescent="0.25">
      <c r="A329" s="102"/>
      <c r="B329" s="33"/>
      <c r="C329" s="25"/>
      <c r="D329" s="33"/>
      <c r="E329" s="25"/>
      <c r="F329" s="55"/>
      <c r="N329" s="37" t="str">
        <f t="shared" ca="1" si="24"/>
        <v/>
      </c>
      <c r="O329" s="37" t="str">
        <f t="shared" ca="1" si="25"/>
        <v/>
      </c>
    </row>
    <row r="330" spans="1:15" x14ac:dyDescent="0.25">
      <c r="A330" s="102"/>
      <c r="B330" s="33"/>
      <c r="C330" s="25"/>
      <c r="D330" s="33"/>
      <c r="E330" s="25"/>
      <c r="F330" s="55"/>
      <c r="N330" s="37" t="str">
        <f t="shared" ca="1" si="24"/>
        <v/>
      </c>
      <c r="O330" s="37" t="str">
        <f t="shared" ca="1" si="25"/>
        <v/>
      </c>
    </row>
    <row r="331" spans="1:15" x14ac:dyDescent="0.25">
      <c r="A331" s="102"/>
      <c r="B331" s="33"/>
      <c r="C331" s="25"/>
      <c r="D331" s="33"/>
      <c r="E331" s="25"/>
      <c r="F331" s="55"/>
      <c r="N331" s="37" t="str">
        <f t="shared" ca="1" si="24"/>
        <v/>
      </c>
      <c r="O331" s="37" t="str">
        <f t="shared" ca="1" si="25"/>
        <v/>
      </c>
    </row>
    <row r="332" spans="1:15" x14ac:dyDescent="0.25">
      <c r="A332" s="102"/>
      <c r="B332" s="33"/>
      <c r="C332" s="25"/>
      <c r="D332" s="33"/>
      <c r="E332" s="25"/>
      <c r="F332" s="55"/>
      <c r="N332" s="37" t="str">
        <f t="shared" ca="1" si="24"/>
        <v/>
      </c>
      <c r="O332" s="37" t="str">
        <f t="shared" ca="1" si="25"/>
        <v/>
      </c>
    </row>
    <row r="333" spans="1:15" x14ac:dyDescent="0.25">
      <c r="A333" s="102"/>
      <c r="B333" s="33"/>
      <c r="C333" s="25"/>
      <c r="D333" s="33"/>
      <c r="E333" s="25"/>
      <c r="F333" s="55"/>
      <c r="N333" s="37" t="str">
        <f t="shared" ca="1" si="24"/>
        <v/>
      </c>
      <c r="O333" s="37" t="str">
        <f t="shared" ca="1" si="25"/>
        <v/>
      </c>
    </row>
    <row r="334" spans="1:15" x14ac:dyDescent="0.25">
      <c r="A334" s="102"/>
      <c r="B334" s="33"/>
      <c r="C334" s="25"/>
      <c r="D334" s="33"/>
      <c r="E334" s="25"/>
      <c r="F334" s="55"/>
      <c r="N334" s="37" t="str">
        <f t="shared" ca="1" si="24"/>
        <v/>
      </c>
      <c r="O334" s="37" t="str">
        <f t="shared" ca="1" si="25"/>
        <v/>
      </c>
    </row>
    <row r="335" spans="1:15" x14ac:dyDescent="0.25">
      <c r="A335" s="102"/>
      <c r="B335" s="33"/>
      <c r="C335" s="25"/>
      <c r="D335" s="33"/>
      <c r="E335" s="25"/>
      <c r="F335" s="55"/>
      <c r="N335" s="37" t="str">
        <f t="shared" ca="1" si="24"/>
        <v/>
      </c>
      <c r="O335" s="37" t="str">
        <f t="shared" ca="1" si="25"/>
        <v/>
      </c>
    </row>
    <row r="336" spans="1:15" x14ac:dyDescent="0.25">
      <c r="A336" s="102"/>
      <c r="B336" s="33"/>
      <c r="C336" s="25"/>
      <c r="D336" s="33"/>
      <c r="E336" s="25"/>
      <c r="F336" s="55"/>
      <c r="N336" s="37" t="str">
        <f t="shared" ca="1" si="24"/>
        <v/>
      </c>
      <c r="O336" s="37" t="str">
        <f t="shared" ca="1" si="25"/>
        <v/>
      </c>
    </row>
    <row r="337" spans="1:15" x14ac:dyDescent="0.25">
      <c r="A337" s="102"/>
      <c r="B337" s="33"/>
      <c r="C337" s="25"/>
      <c r="D337" s="33"/>
      <c r="E337" s="25"/>
      <c r="F337" s="55"/>
      <c r="N337" s="37" t="str">
        <f t="shared" ca="1" si="24"/>
        <v/>
      </c>
      <c r="O337" s="37" t="str">
        <f t="shared" ca="1" si="25"/>
        <v/>
      </c>
    </row>
    <row r="338" spans="1:15" x14ac:dyDescent="0.25">
      <c r="A338" s="102"/>
      <c r="B338" s="33"/>
      <c r="C338" s="25"/>
      <c r="D338" s="33"/>
      <c r="E338" s="25"/>
      <c r="F338" s="55"/>
      <c r="N338" s="37" t="str">
        <f t="shared" ca="1" si="24"/>
        <v/>
      </c>
      <c r="O338" s="37" t="str">
        <f t="shared" ca="1" si="25"/>
        <v/>
      </c>
    </row>
    <row r="339" spans="1:15" x14ac:dyDescent="0.25">
      <c r="A339" s="102"/>
      <c r="B339" s="33"/>
      <c r="C339" s="25"/>
      <c r="D339" s="33"/>
      <c r="E339" s="25"/>
      <c r="F339" s="55"/>
      <c r="N339" s="37" t="str">
        <f t="shared" ca="1" si="24"/>
        <v/>
      </c>
      <c r="O339" s="37" t="str">
        <f t="shared" ca="1" si="25"/>
        <v/>
      </c>
    </row>
    <row r="340" spans="1:15" x14ac:dyDescent="0.25">
      <c r="A340" s="102"/>
      <c r="B340" s="33"/>
      <c r="C340" s="25"/>
      <c r="D340" s="33"/>
      <c r="E340" s="25"/>
      <c r="F340" s="55"/>
      <c r="N340" s="37" t="str">
        <f t="shared" ca="1" si="24"/>
        <v/>
      </c>
      <c r="O340" s="37" t="str">
        <f t="shared" ca="1" si="25"/>
        <v/>
      </c>
    </row>
    <row r="341" spans="1:15" x14ac:dyDescent="0.25">
      <c r="A341" s="102"/>
      <c r="B341" s="33"/>
      <c r="C341" s="25"/>
      <c r="D341" s="33"/>
      <c r="E341" s="25"/>
      <c r="F341" s="55"/>
      <c r="N341" s="37" t="str">
        <f t="shared" ca="1" si="24"/>
        <v/>
      </c>
      <c r="O341" s="37" t="str">
        <f t="shared" ca="1" si="25"/>
        <v/>
      </c>
    </row>
    <row r="342" spans="1:15" x14ac:dyDescent="0.25">
      <c r="A342" s="102"/>
      <c r="B342" s="33"/>
      <c r="C342" s="25"/>
      <c r="D342" s="33"/>
      <c r="E342" s="25"/>
      <c r="F342" s="55"/>
      <c r="N342" s="37" t="str">
        <f t="shared" ca="1" si="24"/>
        <v/>
      </c>
      <c r="O342" s="37" t="str">
        <f t="shared" ca="1" si="25"/>
        <v/>
      </c>
    </row>
    <row r="343" spans="1:15" x14ac:dyDescent="0.25">
      <c r="A343" s="102"/>
      <c r="B343" s="33"/>
      <c r="C343" s="25"/>
      <c r="D343" s="33"/>
      <c r="E343" s="25"/>
      <c r="F343" s="55"/>
      <c r="N343" s="37" t="str">
        <f t="shared" ca="1" si="24"/>
        <v/>
      </c>
      <c r="O343" s="37" t="str">
        <f t="shared" ca="1" si="25"/>
        <v/>
      </c>
    </row>
    <row r="344" spans="1:15" x14ac:dyDescent="0.25">
      <c r="A344" s="102"/>
      <c r="B344" s="33"/>
      <c r="C344" s="25"/>
      <c r="D344" s="33"/>
      <c r="E344" s="25"/>
      <c r="F344" s="55"/>
      <c r="N344" s="37" t="str">
        <f t="shared" ca="1" si="24"/>
        <v/>
      </c>
      <c r="O344" s="37" t="str">
        <f t="shared" ca="1" si="25"/>
        <v/>
      </c>
    </row>
    <row r="345" spans="1:15" x14ac:dyDescent="0.25">
      <c r="A345" s="102"/>
      <c r="B345" s="33"/>
      <c r="C345" s="25"/>
      <c r="D345" s="33"/>
      <c r="E345" s="25"/>
      <c r="F345" s="55"/>
      <c r="N345" s="37" t="str">
        <f t="shared" ca="1" si="24"/>
        <v/>
      </c>
      <c r="O345" s="37" t="str">
        <f t="shared" ca="1" si="25"/>
        <v/>
      </c>
    </row>
    <row r="346" spans="1:15" x14ac:dyDescent="0.25">
      <c r="A346" s="102"/>
      <c r="B346" s="33"/>
      <c r="C346" s="25"/>
      <c r="D346" s="33"/>
      <c r="E346" s="25"/>
      <c r="F346" s="55"/>
      <c r="N346" s="37" t="str">
        <f t="shared" ca="1" si="24"/>
        <v/>
      </c>
      <c r="O346" s="37" t="str">
        <f t="shared" ca="1" si="25"/>
        <v/>
      </c>
    </row>
    <row r="347" spans="1:15" x14ac:dyDescent="0.25">
      <c r="A347" s="102"/>
      <c r="B347" s="33"/>
      <c r="C347" s="25"/>
      <c r="D347" s="33"/>
      <c r="E347" s="25"/>
      <c r="F347" s="55"/>
      <c r="N347" s="37" t="str">
        <f t="shared" ca="1" si="24"/>
        <v/>
      </c>
      <c r="O347" s="37" t="str">
        <f t="shared" ca="1" si="25"/>
        <v/>
      </c>
    </row>
    <row r="348" spans="1:15" x14ac:dyDescent="0.25">
      <c r="A348" s="102"/>
      <c r="B348" s="33"/>
      <c r="C348" s="25"/>
      <c r="D348" s="33"/>
      <c r="E348" s="25"/>
      <c r="F348" s="55"/>
      <c r="N348" s="37" t="str">
        <f t="shared" ca="1" si="24"/>
        <v/>
      </c>
      <c r="O348" s="37" t="str">
        <f t="shared" ca="1" si="25"/>
        <v/>
      </c>
    </row>
    <row r="349" spans="1:15" x14ac:dyDescent="0.25">
      <c r="A349" s="102"/>
      <c r="B349" s="33"/>
      <c r="C349" s="25"/>
      <c r="D349" s="33"/>
      <c r="E349" s="25"/>
      <c r="F349" s="55"/>
      <c r="N349" s="37" t="str">
        <f t="shared" ca="1" si="24"/>
        <v/>
      </c>
      <c r="O349" s="37" t="str">
        <f t="shared" ca="1" si="25"/>
        <v/>
      </c>
    </row>
    <row r="350" spans="1:15" x14ac:dyDescent="0.25">
      <c r="A350" s="102"/>
      <c r="B350" s="33"/>
      <c r="C350" s="25"/>
      <c r="D350" s="33"/>
      <c r="E350" s="25"/>
      <c r="F350" s="55"/>
      <c r="N350" s="37" t="str">
        <f t="shared" ca="1" si="24"/>
        <v/>
      </c>
      <c r="O350" s="37" t="str">
        <f t="shared" ca="1" si="25"/>
        <v/>
      </c>
    </row>
    <row r="351" spans="1:15" x14ac:dyDescent="0.25">
      <c r="A351" s="102"/>
      <c r="B351" s="33"/>
      <c r="C351" s="25"/>
      <c r="D351" s="33"/>
      <c r="E351" s="25"/>
      <c r="F351" s="55"/>
      <c r="N351" s="37" t="str">
        <f t="shared" ca="1" si="24"/>
        <v/>
      </c>
      <c r="O351" s="37" t="str">
        <f t="shared" ca="1" si="25"/>
        <v/>
      </c>
    </row>
    <row r="352" spans="1:15" x14ac:dyDescent="0.25">
      <c r="A352" s="102"/>
      <c r="B352" s="33"/>
      <c r="C352" s="25"/>
      <c r="D352" s="33"/>
      <c r="E352" s="25"/>
      <c r="F352" s="55"/>
      <c r="N352" s="37" t="str">
        <f t="shared" ca="1" si="24"/>
        <v/>
      </c>
      <c r="O352" s="37" t="str">
        <f t="shared" ca="1" si="25"/>
        <v/>
      </c>
    </row>
    <row r="353" spans="1:15" x14ac:dyDescent="0.25">
      <c r="A353" s="102"/>
      <c r="B353" s="33"/>
      <c r="C353" s="25"/>
      <c r="D353" s="33"/>
      <c r="E353" s="25"/>
      <c r="F353" s="55"/>
      <c r="N353" s="37" t="str">
        <f t="shared" ca="1" si="24"/>
        <v/>
      </c>
      <c r="O353" s="37" t="str">
        <f t="shared" ca="1" si="25"/>
        <v/>
      </c>
    </row>
    <row r="354" spans="1:15" x14ac:dyDescent="0.25">
      <c r="A354" s="102"/>
      <c r="B354" s="33"/>
      <c r="C354" s="25"/>
      <c r="D354" s="33"/>
      <c r="E354" s="25"/>
      <c r="F354" s="55"/>
      <c r="N354" s="37" t="str">
        <f t="shared" ca="1" si="24"/>
        <v/>
      </c>
      <c r="O354" s="37" t="str">
        <f t="shared" ca="1" si="25"/>
        <v/>
      </c>
    </row>
    <row r="355" spans="1:15" x14ac:dyDescent="0.25">
      <c r="A355" s="102"/>
      <c r="B355" s="33"/>
      <c r="C355" s="25"/>
      <c r="D355" s="33"/>
      <c r="E355" s="25"/>
      <c r="F355" s="55"/>
      <c r="N355" s="37" t="str">
        <f t="shared" ca="1" si="24"/>
        <v/>
      </c>
      <c r="O355" s="37" t="str">
        <f t="shared" ca="1" si="25"/>
        <v/>
      </c>
    </row>
    <row r="356" spans="1:15" x14ac:dyDescent="0.25">
      <c r="A356" s="102"/>
      <c r="B356" s="33"/>
      <c r="C356" s="25"/>
      <c r="D356" s="33"/>
      <c r="E356" s="25"/>
      <c r="F356" s="55"/>
      <c r="N356" s="37" t="str">
        <f t="shared" ca="1" si="24"/>
        <v/>
      </c>
      <c r="O356" s="37" t="str">
        <f t="shared" ca="1" si="25"/>
        <v/>
      </c>
    </row>
    <row r="357" spans="1:15" x14ac:dyDescent="0.25">
      <c r="A357" s="102"/>
      <c r="B357" s="33"/>
      <c r="C357" s="25"/>
      <c r="D357" s="33"/>
      <c r="E357" s="25"/>
      <c r="F357" s="55"/>
      <c r="N357" s="37" t="str">
        <f t="shared" ca="1" si="24"/>
        <v/>
      </c>
      <c r="O357" s="37" t="str">
        <f t="shared" ca="1" si="25"/>
        <v/>
      </c>
    </row>
    <row r="358" spans="1:15" x14ac:dyDescent="0.25">
      <c r="A358" s="102"/>
      <c r="B358" s="33"/>
      <c r="C358" s="25"/>
      <c r="D358" s="33"/>
      <c r="E358" s="25"/>
      <c r="F358" s="55"/>
      <c r="N358" s="37" t="str">
        <f t="shared" ca="1" si="24"/>
        <v/>
      </c>
      <c r="O358" s="37" t="str">
        <f t="shared" ca="1" si="25"/>
        <v/>
      </c>
    </row>
    <row r="359" spans="1:15" x14ac:dyDescent="0.25">
      <c r="A359" s="102"/>
      <c r="B359" s="33"/>
      <c r="C359" s="25"/>
      <c r="D359" s="33"/>
      <c r="E359" s="25"/>
      <c r="F359" s="55"/>
      <c r="N359" s="37" t="str">
        <f t="shared" ca="1" si="24"/>
        <v/>
      </c>
      <c r="O359" s="37" t="str">
        <f t="shared" ca="1" si="25"/>
        <v/>
      </c>
    </row>
    <row r="360" spans="1:15" x14ac:dyDescent="0.25">
      <c r="A360" s="102"/>
      <c r="B360" s="33"/>
      <c r="C360" s="25"/>
      <c r="D360" s="33"/>
      <c r="E360" s="25"/>
      <c r="F360" s="55"/>
      <c r="N360" s="37" t="str">
        <f t="shared" ca="1" si="24"/>
        <v/>
      </c>
      <c r="O360" s="37" t="str">
        <f t="shared" ca="1" si="25"/>
        <v/>
      </c>
    </row>
    <row r="361" spans="1:15" x14ac:dyDescent="0.25">
      <c r="A361" s="102"/>
      <c r="B361" s="33"/>
      <c r="C361" s="25"/>
      <c r="D361" s="33"/>
      <c r="E361" s="25"/>
      <c r="F361" s="55"/>
      <c r="N361" s="37" t="str">
        <f t="shared" ca="1" si="24"/>
        <v/>
      </c>
      <c r="O361" s="37" t="str">
        <f t="shared" ca="1" si="25"/>
        <v/>
      </c>
    </row>
    <row r="362" spans="1:15" x14ac:dyDescent="0.25">
      <c r="A362" s="102"/>
      <c r="B362" s="33"/>
      <c r="C362" s="25"/>
      <c r="D362" s="33"/>
      <c r="E362" s="25"/>
      <c r="F362" s="55"/>
      <c r="N362" s="37" t="str">
        <f t="shared" ca="1" si="24"/>
        <v/>
      </c>
      <c r="O362" s="37" t="str">
        <f t="shared" ca="1" si="25"/>
        <v/>
      </c>
    </row>
    <row r="363" spans="1:15" x14ac:dyDescent="0.25">
      <c r="A363" s="102"/>
      <c r="B363" s="33"/>
      <c r="C363" s="25"/>
      <c r="D363" s="33"/>
      <c r="E363" s="25"/>
      <c r="F363" s="55"/>
      <c r="N363" s="37" t="str">
        <f t="shared" ca="1" si="24"/>
        <v/>
      </c>
      <c r="O363" s="37" t="str">
        <f t="shared" ca="1" si="25"/>
        <v/>
      </c>
    </row>
    <row r="364" spans="1:15" x14ac:dyDescent="0.25">
      <c r="A364" s="102"/>
      <c r="B364" s="33"/>
      <c r="C364" s="25"/>
      <c r="D364" s="33"/>
      <c r="E364" s="25"/>
      <c r="F364" s="55"/>
      <c r="N364" s="37" t="str">
        <f t="shared" ca="1" si="24"/>
        <v/>
      </c>
      <c r="O364" s="37" t="str">
        <f t="shared" ca="1" si="25"/>
        <v/>
      </c>
    </row>
    <row r="365" spans="1:15" x14ac:dyDescent="0.25">
      <c r="A365" s="102"/>
      <c r="B365" s="33"/>
      <c r="C365" s="25"/>
      <c r="D365" s="33"/>
      <c r="E365" s="25"/>
      <c r="F365" s="55"/>
      <c r="N365" s="37" t="str">
        <f t="shared" ca="1" si="24"/>
        <v/>
      </c>
      <c r="O365" s="37" t="str">
        <f t="shared" ca="1" si="25"/>
        <v/>
      </c>
    </row>
    <row r="366" spans="1:15" x14ac:dyDescent="0.25">
      <c r="A366" s="102"/>
      <c r="B366" s="33"/>
      <c r="C366" s="25"/>
      <c r="D366" s="33"/>
      <c r="E366" s="25"/>
      <c r="F366" s="55"/>
      <c r="N366" s="37" t="str">
        <f t="shared" ca="1" si="24"/>
        <v/>
      </c>
      <c r="O366" s="37" t="str">
        <f t="shared" ca="1" si="25"/>
        <v/>
      </c>
    </row>
    <row r="367" spans="1:15" x14ac:dyDescent="0.25">
      <c r="A367" s="102"/>
      <c r="B367" s="33"/>
      <c r="C367" s="25"/>
      <c r="D367" s="33"/>
      <c r="E367" s="25"/>
      <c r="F367" s="55"/>
      <c r="N367" s="37" t="str">
        <f t="shared" ca="1" si="24"/>
        <v/>
      </c>
      <c r="O367" s="37" t="str">
        <f t="shared" ca="1" si="25"/>
        <v/>
      </c>
    </row>
    <row r="368" spans="1:15" x14ac:dyDescent="0.25">
      <c r="A368" s="102"/>
      <c r="B368" s="33"/>
      <c r="C368" s="25"/>
      <c r="D368" s="33"/>
      <c r="E368" s="25"/>
      <c r="F368" s="55"/>
      <c r="N368" s="37" t="str">
        <f t="shared" ca="1" si="24"/>
        <v/>
      </c>
      <c r="O368" s="37" t="str">
        <f t="shared" ca="1" si="25"/>
        <v/>
      </c>
    </row>
    <row r="369" spans="1:15" x14ac:dyDescent="0.25">
      <c r="A369" s="102"/>
      <c r="B369" s="33"/>
      <c r="C369" s="25"/>
      <c r="D369" s="33"/>
      <c r="E369" s="25"/>
      <c r="F369" s="55"/>
      <c r="N369" s="37" t="str">
        <f t="shared" ca="1" si="24"/>
        <v/>
      </c>
      <c r="O369" s="37" t="str">
        <f t="shared" ca="1" si="25"/>
        <v/>
      </c>
    </row>
    <row r="370" spans="1:15" x14ac:dyDescent="0.25">
      <c r="A370" s="102"/>
      <c r="B370" s="33"/>
      <c r="C370" s="25"/>
      <c r="D370" s="33"/>
      <c r="E370" s="25"/>
      <c r="F370" s="55"/>
      <c r="N370" s="37" t="str">
        <f t="shared" ca="1" si="24"/>
        <v/>
      </c>
      <c r="O370" s="37" t="str">
        <f t="shared" ca="1" si="25"/>
        <v/>
      </c>
    </row>
    <row r="371" spans="1:15" x14ac:dyDescent="0.25">
      <c r="A371" s="102"/>
      <c r="B371" s="33"/>
      <c r="C371" s="25"/>
      <c r="D371" s="33"/>
      <c r="E371" s="25"/>
      <c r="F371" s="55"/>
      <c r="N371" s="37" t="str">
        <f t="shared" ca="1" si="24"/>
        <v/>
      </c>
      <c r="O371" s="37" t="str">
        <f t="shared" ca="1" si="25"/>
        <v/>
      </c>
    </row>
    <row r="372" spans="1:15" x14ac:dyDescent="0.25">
      <c r="A372" s="102"/>
      <c r="B372" s="33"/>
      <c r="C372" s="25"/>
      <c r="D372" s="33"/>
      <c r="E372" s="25"/>
      <c r="F372" s="55"/>
      <c r="N372" s="37" t="str">
        <f t="shared" ca="1" si="24"/>
        <v/>
      </c>
      <c r="O372" s="37" t="str">
        <f t="shared" ca="1" si="25"/>
        <v/>
      </c>
    </row>
    <row r="373" spans="1:15" x14ac:dyDescent="0.25">
      <c r="A373" s="102"/>
      <c r="B373" s="33"/>
      <c r="C373" s="25"/>
      <c r="D373" s="33"/>
      <c r="E373" s="25"/>
      <c r="F373" s="55"/>
      <c r="N373" s="37" t="str">
        <f t="shared" ca="1" si="24"/>
        <v/>
      </c>
      <c r="O373" s="37" t="str">
        <f t="shared" ca="1" si="25"/>
        <v/>
      </c>
    </row>
    <row r="374" spans="1:15" x14ac:dyDescent="0.25">
      <c r="A374" s="102"/>
      <c r="B374" s="33"/>
      <c r="C374" s="25"/>
      <c r="D374" s="33"/>
      <c r="E374" s="25"/>
      <c r="F374" s="55"/>
      <c r="N374" s="37" t="str">
        <f t="shared" ca="1" si="24"/>
        <v/>
      </c>
      <c r="O374" s="37" t="str">
        <f t="shared" ca="1" si="25"/>
        <v/>
      </c>
    </row>
    <row r="375" spans="1:15" x14ac:dyDescent="0.25">
      <c r="A375" s="102"/>
      <c r="B375" s="33"/>
      <c r="C375" s="25"/>
      <c r="D375" s="33"/>
      <c r="E375" s="25"/>
      <c r="F375" s="55"/>
      <c r="N375" s="37" t="str">
        <f t="shared" ca="1" si="24"/>
        <v/>
      </c>
      <c r="O375" s="37" t="str">
        <f t="shared" ca="1" si="25"/>
        <v/>
      </c>
    </row>
    <row r="376" spans="1:15" x14ac:dyDescent="0.25">
      <c r="A376" s="102"/>
      <c r="B376" s="33"/>
      <c r="C376" s="25"/>
      <c r="D376" s="33"/>
      <c r="E376" s="25"/>
      <c r="F376" s="55"/>
      <c r="N376" s="37" t="str">
        <f t="shared" ca="1" si="24"/>
        <v/>
      </c>
      <c r="O376" s="37" t="str">
        <f t="shared" ca="1" si="25"/>
        <v/>
      </c>
    </row>
    <row r="377" spans="1:15" x14ac:dyDescent="0.25">
      <c r="A377" s="102"/>
      <c r="B377" s="33"/>
      <c r="C377" s="25"/>
      <c r="D377" s="33"/>
      <c r="E377" s="25"/>
      <c r="F377" s="55"/>
      <c r="N377" s="37" t="str">
        <f t="shared" ca="1" si="24"/>
        <v/>
      </c>
      <c r="O377" s="37" t="str">
        <f t="shared" ca="1" si="25"/>
        <v/>
      </c>
    </row>
    <row r="378" spans="1:15" x14ac:dyDescent="0.25">
      <c r="A378" s="102"/>
      <c r="B378" s="33"/>
      <c r="C378" s="25"/>
      <c r="D378" s="33"/>
      <c r="E378" s="25"/>
      <c r="F378" s="55"/>
      <c r="N378" s="37" t="str">
        <f t="shared" ca="1" si="24"/>
        <v/>
      </c>
      <c r="O378" s="37" t="str">
        <f t="shared" ca="1" si="25"/>
        <v/>
      </c>
    </row>
    <row r="379" spans="1:15" x14ac:dyDescent="0.25">
      <c r="A379" s="102"/>
      <c r="B379" s="33"/>
      <c r="C379" s="25"/>
      <c r="D379" s="33"/>
      <c r="E379" s="25"/>
      <c r="F379" s="55"/>
      <c r="N379" s="37" t="str">
        <f t="shared" ca="1" si="24"/>
        <v/>
      </c>
      <c r="O379" s="37" t="str">
        <f t="shared" ca="1" si="25"/>
        <v/>
      </c>
    </row>
    <row r="380" spans="1:15" x14ac:dyDescent="0.25">
      <c r="A380" s="102"/>
      <c r="B380" s="33"/>
      <c r="C380" s="25"/>
      <c r="D380" s="33"/>
      <c r="E380" s="25"/>
      <c r="F380" s="55"/>
      <c r="N380" s="37" t="str">
        <f t="shared" ca="1" si="24"/>
        <v/>
      </c>
      <c r="O380" s="37" t="str">
        <f t="shared" ca="1" si="25"/>
        <v/>
      </c>
    </row>
    <row r="381" spans="1:15" x14ac:dyDescent="0.25">
      <c r="A381" s="102"/>
      <c r="B381" s="33"/>
      <c r="C381" s="25"/>
      <c r="D381" s="33"/>
      <c r="E381" s="25"/>
      <c r="F381" s="55"/>
      <c r="N381" s="37" t="str">
        <f t="shared" ca="1" si="24"/>
        <v/>
      </c>
      <c r="O381" s="37" t="str">
        <f t="shared" ca="1" si="25"/>
        <v/>
      </c>
    </row>
    <row r="382" spans="1:15" x14ac:dyDescent="0.25">
      <c r="A382" s="102"/>
      <c r="B382" s="33"/>
      <c r="C382" s="25"/>
      <c r="D382" s="33"/>
      <c r="E382" s="25"/>
      <c r="F382" s="55"/>
      <c r="N382" s="37" t="str">
        <f t="shared" ca="1" si="24"/>
        <v/>
      </c>
      <c r="O382" s="37" t="str">
        <f t="shared" ca="1" si="25"/>
        <v/>
      </c>
    </row>
    <row r="383" spans="1:15" x14ac:dyDescent="0.25">
      <c r="A383" s="102"/>
      <c r="B383" s="33"/>
      <c r="C383" s="25"/>
      <c r="D383" s="33"/>
      <c r="E383" s="25"/>
      <c r="F383" s="55"/>
      <c r="N383" s="37" t="str">
        <f t="shared" ca="1" si="24"/>
        <v/>
      </c>
      <c r="O383" s="37" t="str">
        <f t="shared" ca="1" si="25"/>
        <v/>
      </c>
    </row>
    <row r="384" spans="1:15" x14ac:dyDescent="0.25">
      <c r="A384" s="102"/>
      <c r="B384" s="33"/>
      <c r="C384" s="25"/>
      <c r="D384" s="33"/>
      <c r="E384" s="25"/>
      <c r="F384" s="55"/>
      <c r="N384" s="37" t="str">
        <f t="shared" ca="1" si="24"/>
        <v/>
      </c>
      <c r="O384" s="37" t="str">
        <f t="shared" ca="1" si="25"/>
        <v/>
      </c>
    </row>
    <row r="385" spans="1:15" x14ac:dyDescent="0.25">
      <c r="A385" s="102"/>
      <c r="B385" s="33"/>
      <c r="C385" s="25"/>
      <c r="D385" s="33"/>
      <c r="E385" s="25"/>
      <c r="F385" s="55"/>
      <c r="N385" s="37" t="str">
        <f t="shared" ca="1" si="24"/>
        <v/>
      </c>
      <c r="O385" s="37" t="str">
        <f t="shared" ca="1" si="25"/>
        <v/>
      </c>
    </row>
    <row r="386" spans="1:15" x14ac:dyDescent="0.25">
      <c r="A386" s="102"/>
      <c r="B386" s="33"/>
      <c r="C386" s="25"/>
      <c r="D386" s="33"/>
      <c r="E386" s="25"/>
      <c r="F386" s="55"/>
      <c r="N386" s="37" t="str">
        <f t="shared" ca="1" si="24"/>
        <v/>
      </c>
      <c r="O386" s="37" t="str">
        <f t="shared" ca="1" si="25"/>
        <v/>
      </c>
    </row>
    <row r="387" spans="1:15" x14ac:dyDescent="0.25">
      <c r="A387" s="102"/>
      <c r="B387" s="33"/>
      <c r="C387" s="25"/>
      <c r="D387" s="33"/>
      <c r="E387" s="25"/>
      <c r="F387" s="55"/>
      <c r="N387" s="37" t="str">
        <f t="shared" ca="1" si="24"/>
        <v/>
      </c>
      <c r="O387" s="37" t="str">
        <f t="shared" ca="1" si="25"/>
        <v/>
      </c>
    </row>
    <row r="388" spans="1:15" x14ac:dyDescent="0.25">
      <c r="A388" s="102"/>
      <c r="B388" s="33"/>
      <c r="C388" s="25"/>
      <c r="D388" s="33"/>
      <c r="E388" s="25"/>
      <c r="F388" s="55"/>
      <c r="N388" s="37" t="str">
        <f t="shared" ref="N388:N451" ca="1" si="26">IF(COUNTIF(L:L,J388),J388,"")</f>
        <v/>
      </c>
      <c r="O388" s="37" t="str">
        <f t="shared" ref="O388:O451" ca="1" si="27">IF(N388&gt;$A$14,N388,"")</f>
        <v/>
      </c>
    </row>
    <row r="389" spans="1:15" x14ac:dyDescent="0.25">
      <c r="A389" s="102"/>
      <c r="B389" s="33"/>
      <c r="C389" s="25"/>
      <c r="D389" s="33"/>
      <c r="E389" s="25"/>
      <c r="F389" s="55"/>
      <c r="N389" s="37" t="str">
        <f t="shared" ca="1" si="26"/>
        <v/>
      </c>
      <c r="O389" s="37" t="str">
        <f t="shared" ca="1" si="27"/>
        <v/>
      </c>
    </row>
    <row r="390" spans="1:15" x14ac:dyDescent="0.25">
      <c r="A390" s="102"/>
      <c r="B390" s="33"/>
      <c r="C390" s="25"/>
      <c r="D390" s="33"/>
      <c r="E390" s="25"/>
      <c r="F390" s="55"/>
      <c r="N390" s="37" t="str">
        <f t="shared" ca="1" si="26"/>
        <v/>
      </c>
      <c r="O390" s="37" t="str">
        <f t="shared" ca="1" si="27"/>
        <v/>
      </c>
    </row>
    <row r="391" spans="1:15" x14ac:dyDescent="0.25">
      <c r="A391" s="102"/>
      <c r="B391" s="33"/>
      <c r="C391" s="25"/>
      <c r="D391" s="33"/>
      <c r="E391" s="25"/>
      <c r="F391" s="55"/>
      <c r="N391" s="37" t="str">
        <f t="shared" ca="1" si="26"/>
        <v/>
      </c>
      <c r="O391" s="37" t="str">
        <f t="shared" ca="1" si="27"/>
        <v/>
      </c>
    </row>
    <row r="392" spans="1:15" x14ac:dyDescent="0.25">
      <c r="A392" s="102"/>
      <c r="B392" s="33"/>
      <c r="C392" s="25"/>
      <c r="D392" s="33"/>
      <c r="E392" s="25"/>
      <c r="F392" s="55"/>
      <c r="N392" s="37" t="str">
        <f t="shared" ca="1" si="26"/>
        <v/>
      </c>
      <c r="O392" s="37" t="str">
        <f t="shared" ca="1" si="27"/>
        <v/>
      </c>
    </row>
    <row r="393" spans="1:15" x14ac:dyDescent="0.25">
      <c r="A393" s="102"/>
      <c r="B393" s="33"/>
      <c r="C393" s="25"/>
      <c r="D393" s="33"/>
      <c r="E393" s="25"/>
      <c r="F393" s="55"/>
      <c r="N393" s="37" t="str">
        <f t="shared" ca="1" si="26"/>
        <v/>
      </c>
      <c r="O393" s="37" t="str">
        <f t="shared" ca="1" si="27"/>
        <v/>
      </c>
    </row>
    <row r="394" spans="1:15" x14ac:dyDescent="0.25">
      <c r="A394" s="102"/>
      <c r="B394" s="33"/>
      <c r="C394" s="25"/>
      <c r="D394" s="33"/>
      <c r="E394" s="25"/>
      <c r="F394" s="55"/>
      <c r="N394" s="37" t="str">
        <f t="shared" ca="1" si="26"/>
        <v/>
      </c>
      <c r="O394" s="37" t="str">
        <f t="shared" ca="1" si="27"/>
        <v/>
      </c>
    </row>
    <row r="395" spans="1:15" x14ac:dyDescent="0.25">
      <c r="A395" s="102"/>
      <c r="B395" s="33"/>
      <c r="C395" s="25"/>
      <c r="D395" s="33"/>
      <c r="E395" s="25"/>
      <c r="F395" s="55"/>
      <c r="N395" s="37" t="str">
        <f t="shared" ca="1" si="26"/>
        <v/>
      </c>
      <c r="O395" s="37" t="str">
        <f t="shared" ca="1" si="27"/>
        <v/>
      </c>
    </row>
    <row r="396" spans="1:15" x14ac:dyDescent="0.25">
      <c r="A396" s="102"/>
      <c r="B396" s="33"/>
      <c r="C396" s="25"/>
      <c r="D396" s="33"/>
      <c r="E396" s="25"/>
      <c r="F396" s="55"/>
      <c r="N396" s="37" t="str">
        <f t="shared" ca="1" si="26"/>
        <v/>
      </c>
      <c r="O396" s="37" t="str">
        <f t="shared" ca="1" si="27"/>
        <v/>
      </c>
    </row>
    <row r="397" spans="1:15" x14ac:dyDescent="0.25">
      <c r="A397" s="102"/>
      <c r="B397" s="33"/>
      <c r="C397" s="25"/>
      <c r="D397" s="33"/>
      <c r="E397" s="25"/>
      <c r="F397" s="55"/>
      <c r="N397" s="37" t="str">
        <f t="shared" ca="1" si="26"/>
        <v/>
      </c>
      <c r="O397" s="37" t="str">
        <f t="shared" ca="1" si="27"/>
        <v/>
      </c>
    </row>
    <row r="398" spans="1:15" x14ac:dyDescent="0.25">
      <c r="A398" s="102"/>
      <c r="B398" s="33"/>
      <c r="C398" s="25"/>
      <c r="D398" s="33"/>
      <c r="E398" s="25"/>
      <c r="F398" s="55"/>
      <c r="N398" s="37" t="str">
        <f t="shared" ca="1" si="26"/>
        <v/>
      </c>
      <c r="O398" s="37" t="str">
        <f t="shared" ca="1" si="27"/>
        <v/>
      </c>
    </row>
    <row r="399" spans="1:15" x14ac:dyDescent="0.25">
      <c r="A399" s="102"/>
      <c r="B399" s="33"/>
      <c r="C399" s="25"/>
      <c r="D399" s="33"/>
      <c r="E399" s="25"/>
      <c r="F399" s="55"/>
      <c r="N399" s="37" t="str">
        <f t="shared" ca="1" si="26"/>
        <v/>
      </c>
      <c r="O399" s="37" t="str">
        <f t="shared" ca="1" si="27"/>
        <v/>
      </c>
    </row>
    <row r="400" spans="1:15" x14ac:dyDescent="0.25">
      <c r="A400" s="102"/>
      <c r="B400" s="33"/>
      <c r="C400" s="25"/>
      <c r="D400" s="33"/>
      <c r="E400" s="25"/>
      <c r="F400" s="55"/>
      <c r="N400" s="37" t="str">
        <f t="shared" ca="1" si="26"/>
        <v/>
      </c>
      <c r="O400" s="37" t="str">
        <f t="shared" ca="1" si="27"/>
        <v/>
      </c>
    </row>
    <row r="401" spans="1:15" x14ac:dyDescent="0.25">
      <c r="A401" s="102"/>
      <c r="B401" s="33"/>
      <c r="C401" s="25"/>
      <c r="D401" s="33"/>
      <c r="E401" s="25"/>
      <c r="F401" s="55"/>
      <c r="N401" s="37" t="str">
        <f t="shared" ca="1" si="26"/>
        <v/>
      </c>
      <c r="O401" s="37" t="str">
        <f t="shared" ca="1" si="27"/>
        <v/>
      </c>
    </row>
    <row r="402" spans="1:15" x14ac:dyDescent="0.25">
      <c r="A402" s="102"/>
      <c r="B402" s="33"/>
      <c r="C402" s="25"/>
      <c r="D402" s="33"/>
      <c r="E402" s="25"/>
      <c r="F402" s="55"/>
      <c r="N402" s="37" t="str">
        <f t="shared" ca="1" si="26"/>
        <v/>
      </c>
      <c r="O402" s="37" t="str">
        <f t="shared" ca="1" si="27"/>
        <v/>
      </c>
    </row>
    <row r="403" spans="1:15" x14ac:dyDescent="0.25">
      <c r="A403" s="102"/>
      <c r="B403" s="33"/>
      <c r="C403" s="25"/>
      <c r="D403" s="33"/>
      <c r="E403" s="25"/>
      <c r="F403" s="55"/>
      <c r="N403" s="37" t="str">
        <f t="shared" ca="1" si="26"/>
        <v/>
      </c>
      <c r="O403" s="37" t="str">
        <f t="shared" ca="1" si="27"/>
        <v/>
      </c>
    </row>
    <row r="404" spans="1:15" x14ac:dyDescent="0.25">
      <c r="A404" s="102"/>
      <c r="B404" s="33"/>
      <c r="C404" s="25"/>
      <c r="D404" s="33"/>
      <c r="E404" s="25"/>
      <c r="F404" s="55"/>
      <c r="N404" s="37" t="str">
        <f t="shared" ca="1" si="26"/>
        <v/>
      </c>
      <c r="O404" s="37" t="str">
        <f t="shared" ca="1" si="27"/>
        <v/>
      </c>
    </row>
    <row r="405" spans="1:15" x14ac:dyDescent="0.25">
      <c r="A405" s="102"/>
      <c r="B405" s="33"/>
      <c r="C405" s="25"/>
      <c r="D405" s="33"/>
      <c r="E405" s="25"/>
      <c r="F405" s="55"/>
      <c r="N405" s="37" t="str">
        <f t="shared" ca="1" si="26"/>
        <v/>
      </c>
      <c r="O405" s="37" t="str">
        <f t="shared" ca="1" si="27"/>
        <v/>
      </c>
    </row>
    <row r="406" spans="1:15" x14ac:dyDescent="0.25">
      <c r="A406" s="102"/>
      <c r="B406" s="33"/>
      <c r="C406" s="25"/>
      <c r="D406" s="33"/>
      <c r="E406" s="25"/>
      <c r="F406" s="55"/>
      <c r="N406" s="37" t="str">
        <f t="shared" ca="1" si="26"/>
        <v/>
      </c>
      <c r="O406" s="37" t="str">
        <f t="shared" ca="1" si="27"/>
        <v/>
      </c>
    </row>
    <row r="407" spans="1:15" x14ac:dyDescent="0.25">
      <c r="A407" s="102"/>
      <c r="B407" s="33"/>
      <c r="C407" s="25"/>
      <c r="D407" s="33"/>
      <c r="E407" s="25"/>
      <c r="F407" s="55"/>
      <c r="N407" s="37" t="str">
        <f t="shared" ca="1" si="26"/>
        <v/>
      </c>
      <c r="O407" s="37" t="str">
        <f t="shared" ca="1" si="27"/>
        <v/>
      </c>
    </row>
    <row r="408" spans="1:15" x14ac:dyDescent="0.25">
      <c r="A408" s="102"/>
      <c r="B408" s="33"/>
      <c r="C408" s="25"/>
      <c r="D408" s="33"/>
      <c r="E408" s="25"/>
      <c r="F408" s="55"/>
      <c r="N408" s="37" t="str">
        <f t="shared" ca="1" si="26"/>
        <v/>
      </c>
      <c r="O408" s="37" t="str">
        <f t="shared" ca="1" si="27"/>
        <v/>
      </c>
    </row>
    <row r="409" spans="1:15" x14ac:dyDescent="0.25">
      <c r="A409" s="102"/>
      <c r="B409" s="33"/>
      <c r="C409" s="25"/>
      <c r="D409" s="33"/>
      <c r="E409" s="25"/>
      <c r="F409" s="55"/>
      <c r="N409" s="37" t="str">
        <f t="shared" ca="1" si="26"/>
        <v/>
      </c>
      <c r="O409" s="37" t="str">
        <f t="shared" ca="1" si="27"/>
        <v/>
      </c>
    </row>
    <row r="410" spans="1:15" x14ac:dyDescent="0.25">
      <c r="A410" s="102"/>
      <c r="B410" s="33"/>
      <c r="C410" s="25"/>
      <c r="D410" s="33"/>
      <c r="E410" s="25"/>
      <c r="F410" s="55"/>
      <c r="N410" s="37" t="str">
        <f t="shared" ca="1" si="26"/>
        <v/>
      </c>
      <c r="O410" s="37" t="str">
        <f t="shared" ca="1" si="27"/>
        <v/>
      </c>
    </row>
    <row r="411" spans="1:15" x14ac:dyDescent="0.25">
      <c r="A411" s="102"/>
      <c r="B411" s="33"/>
      <c r="C411" s="25"/>
      <c r="D411" s="33"/>
      <c r="E411" s="25"/>
      <c r="F411" s="55"/>
      <c r="N411" s="37" t="str">
        <f t="shared" ca="1" si="26"/>
        <v/>
      </c>
      <c r="O411" s="37" t="str">
        <f t="shared" ca="1" si="27"/>
        <v/>
      </c>
    </row>
    <row r="412" spans="1:15" x14ac:dyDescent="0.25">
      <c r="A412" s="102"/>
      <c r="B412" s="33"/>
      <c r="C412" s="25"/>
      <c r="D412" s="33"/>
      <c r="E412" s="25"/>
      <c r="F412" s="55"/>
      <c r="N412" s="37" t="str">
        <f t="shared" ca="1" si="26"/>
        <v/>
      </c>
      <c r="O412" s="37" t="str">
        <f t="shared" ca="1" si="27"/>
        <v/>
      </c>
    </row>
    <row r="413" spans="1:15" x14ac:dyDescent="0.25">
      <c r="A413" s="102"/>
      <c r="B413" s="33"/>
      <c r="C413" s="25"/>
      <c r="D413" s="33"/>
      <c r="E413" s="25"/>
      <c r="F413" s="55"/>
      <c r="N413" s="37" t="str">
        <f t="shared" ca="1" si="26"/>
        <v/>
      </c>
      <c r="O413" s="37" t="str">
        <f t="shared" ca="1" si="27"/>
        <v/>
      </c>
    </row>
    <row r="414" spans="1:15" x14ac:dyDescent="0.25">
      <c r="A414" s="102"/>
      <c r="B414" s="33"/>
      <c r="C414" s="25"/>
      <c r="D414" s="33"/>
      <c r="E414" s="25"/>
      <c r="F414" s="55"/>
      <c r="N414" s="37" t="str">
        <f t="shared" ca="1" si="26"/>
        <v/>
      </c>
      <c r="O414" s="37" t="str">
        <f t="shared" ca="1" si="27"/>
        <v/>
      </c>
    </row>
    <row r="415" spans="1:15" x14ac:dyDescent="0.25">
      <c r="A415" s="102"/>
      <c r="B415" s="33"/>
      <c r="C415" s="25"/>
      <c r="D415" s="33"/>
      <c r="E415" s="25"/>
      <c r="F415" s="55"/>
      <c r="N415" s="37" t="str">
        <f t="shared" ca="1" si="26"/>
        <v/>
      </c>
      <c r="O415" s="37" t="str">
        <f t="shared" ca="1" si="27"/>
        <v/>
      </c>
    </row>
    <row r="416" spans="1:15" x14ac:dyDescent="0.25">
      <c r="A416" s="102"/>
      <c r="B416" s="33"/>
      <c r="C416" s="25"/>
      <c r="D416" s="33"/>
      <c r="E416" s="25"/>
      <c r="F416" s="55"/>
      <c r="N416" s="37" t="str">
        <f t="shared" ca="1" si="26"/>
        <v/>
      </c>
      <c r="O416" s="37" t="str">
        <f t="shared" ca="1" si="27"/>
        <v/>
      </c>
    </row>
    <row r="417" spans="1:15" x14ac:dyDescent="0.25">
      <c r="A417" s="102"/>
      <c r="B417" s="33"/>
      <c r="C417" s="25"/>
      <c r="D417" s="33"/>
      <c r="E417" s="25"/>
      <c r="F417" s="55"/>
      <c r="N417" s="37" t="str">
        <f t="shared" ca="1" si="26"/>
        <v/>
      </c>
      <c r="O417" s="37" t="str">
        <f t="shared" ca="1" si="27"/>
        <v/>
      </c>
    </row>
    <row r="418" spans="1:15" x14ac:dyDescent="0.25">
      <c r="A418" s="102"/>
      <c r="B418" s="33"/>
      <c r="C418" s="25"/>
      <c r="D418" s="33"/>
      <c r="E418" s="25"/>
      <c r="F418" s="55"/>
      <c r="N418" s="37" t="str">
        <f t="shared" ca="1" si="26"/>
        <v/>
      </c>
      <c r="O418" s="37" t="str">
        <f t="shared" ca="1" si="27"/>
        <v/>
      </c>
    </row>
    <row r="419" spans="1:15" x14ac:dyDescent="0.25">
      <c r="A419" s="102"/>
      <c r="B419" s="33"/>
      <c r="C419" s="25"/>
      <c r="D419" s="33"/>
      <c r="E419" s="25"/>
      <c r="F419" s="55"/>
      <c r="N419" s="37" t="str">
        <f t="shared" ca="1" si="26"/>
        <v/>
      </c>
      <c r="O419" s="37" t="str">
        <f t="shared" ca="1" si="27"/>
        <v/>
      </c>
    </row>
    <row r="420" spans="1:15" x14ac:dyDescent="0.25">
      <c r="A420" s="102"/>
      <c r="B420" s="33"/>
      <c r="C420" s="25"/>
      <c r="D420" s="33"/>
      <c r="E420" s="25"/>
      <c r="F420" s="55"/>
      <c r="N420" s="37" t="str">
        <f t="shared" ca="1" si="26"/>
        <v/>
      </c>
      <c r="O420" s="37" t="str">
        <f t="shared" ca="1" si="27"/>
        <v/>
      </c>
    </row>
    <row r="421" spans="1:15" x14ac:dyDescent="0.25">
      <c r="A421" s="102"/>
      <c r="B421" s="33"/>
      <c r="C421" s="25"/>
      <c r="D421" s="33"/>
      <c r="E421" s="25"/>
      <c r="F421" s="55"/>
      <c r="N421" s="37" t="str">
        <f t="shared" ca="1" si="26"/>
        <v/>
      </c>
      <c r="O421" s="37" t="str">
        <f t="shared" ca="1" si="27"/>
        <v/>
      </c>
    </row>
    <row r="422" spans="1:15" x14ac:dyDescent="0.25">
      <c r="A422" s="102"/>
      <c r="B422" s="33"/>
      <c r="C422" s="25"/>
      <c r="D422" s="33"/>
      <c r="E422" s="25"/>
      <c r="F422" s="55"/>
      <c r="N422" s="37" t="str">
        <f t="shared" ca="1" si="26"/>
        <v/>
      </c>
      <c r="O422" s="37" t="str">
        <f t="shared" ca="1" si="27"/>
        <v/>
      </c>
    </row>
    <row r="423" spans="1:15" x14ac:dyDescent="0.25">
      <c r="A423" s="102"/>
      <c r="B423" s="33"/>
      <c r="C423" s="25"/>
      <c r="D423" s="33"/>
      <c r="E423" s="25"/>
      <c r="F423" s="55"/>
      <c r="N423" s="37" t="str">
        <f t="shared" ca="1" si="26"/>
        <v/>
      </c>
      <c r="O423" s="37" t="str">
        <f t="shared" ca="1" si="27"/>
        <v/>
      </c>
    </row>
    <row r="424" spans="1:15" x14ac:dyDescent="0.25">
      <c r="A424" s="102"/>
      <c r="B424" s="33"/>
      <c r="C424" s="25"/>
      <c r="D424" s="33"/>
      <c r="E424" s="25"/>
      <c r="F424" s="55"/>
      <c r="N424" s="37" t="str">
        <f t="shared" ca="1" si="26"/>
        <v/>
      </c>
      <c r="O424" s="37" t="str">
        <f t="shared" ca="1" si="27"/>
        <v/>
      </c>
    </row>
    <row r="425" spans="1:15" x14ac:dyDescent="0.25">
      <c r="A425" s="102"/>
      <c r="B425" s="33"/>
      <c r="C425" s="25"/>
      <c r="D425" s="33"/>
      <c r="E425" s="25"/>
      <c r="F425" s="55"/>
      <c r="N425" s="37" t="str">
        <f t="shared" ca="1" si="26"/>
        <v/>
      </c>
      <c r="O425" s="37" t="str">
        <f t="shared" ca="1" si="27"/>
        <v/>
      </c>
    </row>
    <row r="426" spans="1:15" x14ac:dyDescent="0.25">
      <c r="A426" s="102"/>
      <c r="B426" s="33"/>
      <c r="C426" s="25"/>
      <c r="D426" s="33"/>
      <c r="E426" s="25"/>
      <c r="F426" s="55"/>
      <c r="N426" s="37" t="str">
        <f t="shared" ca="1" si="26"/>
        <v/>
      </c>
      <c r="O426" s="37" t="str">
        <f t="shared" ca="1" si="27"/>
        <v/>
      </c>
    </row>
    <row r="427" spans="1:15" x14ac:dyDescent="0.25">
      <c r="A427" s="102"/>
      <c r="B427" s="33"/>
      <c r="C427" s="25"/>
      <c r="D427" s="33"/>
      <c r="E427" s="25"/>
      <c r="F427" s="55"/>
      <c r="N427" s="37" t="str">
        <f t="shared" ca="1" si="26"/>
        <v/>
      </c>
      <c r="O427" s="37" t="str">
        <f t="shared" ca="1" si="27"/>
        <v/>
      </c>
    </row>
    <row r="428" spans="1:15" x14ac:dyDescent="0.25">
      <c r="A428" s="102"/>
      <c r="B428" s="33"/>
      <c r="C428" s="25"/>
      <c r="D428" s="33"/>
      <c r="E428" s="25"/>
      <c r="F428" s="55"/>
      <c r="N428" s="37" t="str">
        <f t="shared" ca="1" si="26"/>
        <v/>
      </c>
      <c r="O428" s="37" t="str">
        <f t="shared" ca="1" si="27"/>
        <v/>
      </c>
    </row>
    <row r="429" spans="1:15" x14ac:dyDescent="0.25">
      <c r="A429" s="102"/>
      <c r="B429" s="33"/>
      <c r="C429" s="25"/>
      <c r="D429" s="33"/>
      <c r="E429" s="25"/>
      <c r="F429" s="55"/>
      <c r="N429" s="37" t="str">
        <f t="shared" ca="1" si="26"/>
        <v/>
      </c>
      <c r="O429" s="37" t="str">
        <f t="shared" ca="1" si="27"/>
        <v/>
      </c>
    </row>
    <row r="430" spans="1:15" x14ac:dyDescent="0.25">
      <c r="A430" s="102"/>
      <c r="B430" s="33"/>
      <c r="C430" s="25"/>
      <c r="D430" s="33"/>
      <c r="E430" s="25"/>
      <c r="F430" s="55"/>
      <c r="N430" s="37" t="str">
        <f t="shared" ca="1" si="26"/>
        <v/>
      </c>
      <c r="O430" s="37" t="str">
        <f t="shared" ca="1" si="27"/>
        <v/>
      </c>
    </row>
    <row r="431" spans="1:15" x14ac:dyDescent="0.25">
      <c r="A431" s="102"/>
      <c r="B431" s="33"/>
      <c r="C431" s="25"/>
      <c r="D431" s="33"/>
      <c r="E431" s="25"/>
      <c r="F431" s="55"/>
      <c r="N431" s="37" t="str">
        <f t="shared" ca="1" si="26"/>
        <v/>
      </c>
      <c r="O431" s="37" t="str">
        <f t="shared" ca="1" si="27"/>
        <v/>
      </c>
    </row>
    <row r="432" spans="1:15" x14ac:dyDescent="0.25">
      <c r="A432" s="102"/>
      <c r="B432" s="33"/>
      <c r="C432" s="25"/>
      <c r="D432" s="33"/>
      <c r="E432" s="25"/>
      <c r="F432" s="55"/>
      <c r="N432" s="37" t="str">
        <f t="shared" ca="1" si="26"/>
        <v/>
      </c>
      <c r="O432" s="37" t="str">
        <f t="shared" ca="1" si="27"/>
        <v/>
      </c>
    </row>
    <row r="433" spans="1:15" x14ac:dyDescent="0.25">
      <c r="A433" s="102"/>
      <c r="B433" s="33"/>
      <c r="C433" s="25"/>
      <c r="D433" s="33"/>
      <c r="E433" s="25"/>
      <c r="F433" s="55"/>
      <c r="N433" s="37" t="str">
        <f t="shared" ca="1" si="26"/>
        <v/>
      </c>
      <c r="O433" s="37" t="str">
        <f t="shared" ca="1" si="27"/>
        <v/>
      </c>
    </row>
    <row r="434" spans="1:15" x14ac:dyDescent="0.25">
      <c r="A434" s="102"/>
      <c r="B434" s="33"/>
      <c r="C434" s="25"/>
      <c r="D434" s="33"/>
      <c r="E434" s="25"/>
      <c r="F434" s="55"/>
      <c r="N434" s="37" t="str">
        <f t="shared" ca="1" si="26"/>
        <v/>
      </c>
      <c r="O434" s="37" t="str">
        <f t="shared" ca="1" si="27"/>
        <v/>
      </c>
    </row>
    <row r="435" spans="1:15" x14ac:dyDescent="0.25">
      <c r="A435" s="102"/>
      <c r="B435" s="33"/>
      <c r="C435" s="25"/>
      <c r="D435" s="33"/>
      <c r="E435" s="25"/>
      <c r="F435" s="55"/>
      <c r="N435" s="37" t="str">
        <f t="shared" ca="1" si="26"/>
        <v/>
      </c>
      <c r="O435" s="37" t="str">
        <f t="shared" ca="1" si="27"/>
        <v/>
      </c>
    </row>
    <row r="436" spans="1:15" x14ac:dyDescent="0.25">
      <c r="A436" s="102"/>
      <c r="B436" s="33"/>
      <c r="C436" s="25"/>
      <c r="D436" s="33"/>
      <c r="E436" s="25"/>
      <c r="F436" s="55"/>
      <c r="N436" s="37" t="str">
        <f t="shared" ca="1" si="26"/>
        <v/>
      </c>
      <c r="O436" s="37" t="str">
        <f t="shared" ca="1" si="27"/>
        <v/>
      </c>
    </row>
    <row r="437" spans="1:15" x14ac:dyDescent="0.25">
      <c r="A437" s="102"/>
      <c r="B437" s="33"/>
      <c r="C437" s="25"/>
      <c r="D437" s="33"/>
      <c r="E437" s="25"/>
      <c r="F437" s="55"/>
      <c r="N437" s="37" t="str">
        <f t="shared" ca="1" si="26"/>
        <v/>
      </c>
      <c r="O437" s="37" t="str">
        <f t="shared" ca="1" si="27"/>
        <v/>
      </c>
    </row>
    <row r="438" spans="1:15" x14ac:dyDescent="0.25">
      <c r="A438" s="102"/>
      <c r="B438" s="33"/>
      <c r="C438" s="25"/>
      <c r="D438" s="33"/>
      <c r="E438" s="25"/>
      <c r="F438" s="55"/>
      <c r="N438" s="37" t="str">
        <f t="shared" ca="1" si="26"/>
        <v/>
      </c>
      <c r="O438" s="37" t="str">
        <f t="shared" ca="1" si="27"/>
        <v/>
      </c>
    </row>
    <row r="439" spans="1:15" x14ac:dyDescent="0.25">
      <c r="A439" s="102"/>
      <c r="B439" s="33"/>
      <c r="C439" s="25"/>
      <c r="D439" s="33"/>
      <c r="E439" s="25"/>
      <c r="F439" s="55"/>
      <c r="N439" s="37" t="str">
        <f t="shared" ca="1" si="26"/>
        <v/>
      </c>
      <c r="O439" s="37" t="str">
        <f t="shared" ca="1" si="27"/>
        <v/>
      </c>
    </row>
    <row r="440" spans="1:15" x14ac:dyDescent="0.25">
      <c r="A440" s="102"/>
      <c r="B440" s="33"/>
      <c r="C440" s="25"/>
      <c r="D440" s="33"/>
      <c r="E440" s="25"/>
      <c r="F440" s="55"/>
      <c r="N440" s="37" t="str">
        <f t="shared" ca="1" si="26"/>
        <v/>
      </c>
      <c r="O440" s="37" t="str">
        <f t="shared" ca="1" si="27"/>
        <v/>
      </c>
    </row>
    <row r="441" spans="1:15" x14ac:dyDescent="0.25">
      <c r="A441" s="102"/>
      <c r="B441" s="33"/>
      <c r="C441" s="25"/>
      <c r="D441" s="33"/>
      <c r="E441" s="25"/>
      <c r="F441" s="55"/>
      <c r="N441" s="37" t="str">
        <f t="shared" ca="1" si="26"/>
        <v/>
      </c>
      <c r="O441" s="37" t="str">
        <f t="shared" ca="1" si="27"/>
        <v/>
      </c>
    </row>
    <row r="442" spans="1:15" x14ac:dyDescent="0.25">
      <c r="A442" s="102"/>
      <c r="B442" s="33"/>
      <c r="C442" s="25"/>
      <c r="D442" s="33"/>
      <c r="E442" s="25"/>
      <c r="F442" s="55"/>
      <c r="N442" s="37" t="str">
        <f t="shared" ca="1" si="26"/>
        <v/>
      </c>
      <c r="O442" s="37" t="str">
        <f t="shared" ca="1" si="27"/>
        <v/>
      </c>
    </row>
    <row r="443" spans="1:15" x14ac:dyDescent="0.25">
      <c r="A443" s="102"/>
      <c r="B443" s="33"/>
      <c r="C443" s="25"/>
      <c r="D443" s="33"/>
      <c r="E443" s="25"/>
      <c r="F443" s="55"/>
      <c r="N443" s="37" t="str">
        <f t="shared" ca="1" si="26"/>
        <v/>
      </c>
      <c r="O443" s="37" t="str">
        <f t="shared" ca="1" si="27"/>
        <v/>
      </c>
    </row>
    <row r="444" spans="1:15" x14ac:dyDescent="0.25">
      <c r="A444" s="102"/>
      <c r="B444" s="33"/>
      <c r="C444" s="25"/>
      <c r="D444" s="33"/>
      <c r="E444" s="25"/>
      <c r="F444" s="55"/>
      <c r="N444" s="37" t="str">
        <f t="shared" ca="1" si="26"/>
        <v/>
      </c>
      <c r="O444" s="37" t="str">
        <f t="shared" ca="1" si="27"/>
        <v/>
      </c>
    </row>
    <row r="445" spans="1:15" x14ac:dyDescent="0.25">
      <c r="A445" s="102"/>
      <c r="B445" s="33"/>
      <c r="C445" s="25"/>
      <c r="D445" s="33"/>
      <c r="E445" s="25"/>
      <c r="F445" s="55"/>
      <c r="N445" s="37" t="str">
        <f t="shared" ca="1" si="26"/>
        <v/>
      </c>
      <c r="O445" s="37" t="str">
        <f t="shared" ca="1" si="27"/>
        <v/>
      </c>
    </row>
    <row r="446" spans="1:15" x14ac:dyDescent="0.25">
      <c r="A446" s="102"/>
      <c r="B446" s="33"/>
      <c r="C446" s="25"/>
      <c r="D446" s="33"/>
      <c r="E446" s="25"/>
      <c r="F446" s="55"/>
      <c r="N446" s="37" t="str">
        <f t="shared" ca="1" si="26"/>
        <v/>
      </c>
      <c r="O446" s="37" t="str">
        <f t="shared" ca="1" si="27"/>
        <v/>
      </c>
    </row>
    <row r="447" spans="1:15" x14ac:dyDescent="0.25">
      <c r="A447" s="102"/>
      <c r="B447" s="33"/>
      <c r="C447" s="25"/>
      <c r="D447" s="33"/>
      <c r="E447" s="25"/>
      <c r="F447" s="55"/>
      <c r="N447" s="37" t="str">
        <f t="shared" ca="1" si="26"/>
        <v/>
      </c>
      <c r="O447" s="37" t="str">
        <f t="shared" ca="1" si="27"/>
        <v/>
      </c>
    </row>
    <row r="448" spans="1:15" x14ac:dyDescent="0.25">
      <c r="A448" s="102"/>
      <c r="B448" s="33"/>
      <c r="C448" s="25"/>
      <c r="D448" s="33"/>
      <c r="E448" s="25"/>
      <c r="F448" s="55"/>
      <c r="N448" s="37" t="str">
        <f t="shared" ca="1" si="26"/>
        <v/>
      </c>
      <c r="O448" s="37" t="str">
        <f t="shared" ca="1" si="27"/>
        <v/>
      </c>
    </row>
    <row r="449" spans="1:15" x14ac:dyDescent="0.25">
      <c r="A449" s="102"/>
      <c r="B449" s="33"/>
      <c r="C449" s="25"/>
      <c r="D449" s="33"/>
      <c r="E449" s="25"/>
      <c r="F449" s="55"/>
      <c r="N449" s="37" t="str">
        <f t="shared" ca="1" si="26"/>
        <v/>
      </c>
      <c r="O449" s="37" t="str">
        <f t="shared" ca="1" si="27"/>
        <v/>
      </c>
    </row>
    <row r="450" spans="1:15" x14ac:dyDescent="0.25">
      <c r="A450" s="102"/>
      <c r="B450" s="33"/>
      <c r="C450" s="25"/>
      <c r="D450" s="33"/>
      <c r="E450" s="25"/>
      <c r="F450" s="55"/>
      <c r="N450" s="37" t="str">
        <f t="shared" ca="1" si="26"/>
        <v/>
      </c>
      <c r="O450" s="37" t="str">
        <f t="shared" ca="1" si="27"/>
        <v/>
      </c>
    </row>
    <row r="451" spans="1:15" x14ac:dyDescent="0.25">
      <c r="A451" s="102"/>
      <c r="B451" s="33"/>
      <c r="C451" s="25"/>
      <c r="D451" s="33"/>
      <c r="E451" s="25"/>
      <c r="F451" s="55"/>
      <c r="N451" s="37" t="str">
        <f t="shared" ca="1" si="26"/>
        <v/>
      </c>
      <c r="O451" s="37" t="str">
        <f t="shared" ca="1" si="27"/>
        <v/>
      </c>
    </row>
    <row r="452" spans="1:15" x14ac:dyDescent="0.25">
      <c r="A452" s="102"/>
      <c r="B452" s="33"/>
      <c r="C452" s="25"/>
      <c r="D452" s="33"/>
      <c r="E452" s="25"/>
      <c r="F452" s="55"/>
      <c r="N452" s="37" t="str">
        <f t="shared" ref="N452:N515" ca="1" si="28">IF(COUNTIF(L:L,J452),J452,"")</f>
        <v/>
      </c>
      <c r="O452" s="37" t="str">
        <f t="shared" ref="O452:O515" ca="1" si="29">IF(N452&gt;$A$14,N452,"")</f>
        <v/>
      </c>
    </row>
    <row r="453" spans="1:15" x14ac:dyDescent="0.25">
      <c r="A453" s="102"/>
      <c r="B453" s="33"/>
      <c r="C453" s="25"/>
      <c r="D453" s="33"/>
      <c r="E453" s="25"/>
      <c r="F453" s="55"/>
      <c r="N453" s="37" t="str">
        <f t="shared" ca="1" si="28"/>
        <v/>
      </c>
      <c r="O453" s="37" t="str">
        <f t="shared" ca="1" si="29"/>
        <v/>
      </c>
    </row>
    <row r="454" spans="1:15" x14ac:dyDescent="0.25">
      <c r="A454" s="102"/>
      <c r="B454" s="33"/>
      <c r="C454" s="25"/>
      <c r="D454" s="33"/>
      <c r="E454" s="25"/>
      <c r="F454" s="55"/>
      <c r="N454" s="37" t="str">
        <f t="shared" ca="1" si="28"/>
        <v/>
      </c>
      <c r="O454" s="37" t="str">
        <f t="shared" ca="1" si="29"/>
        <v/>
      </c>
    </row>
    <row r="455" spans="1:15" x14ac:dyDescent="0.25">
      <c r="A455" s="102"/>
      <c r="B455" s="33"/>
      <c r="C455" s="25"/>
      <c r="D455" s="33"/>
      <c r="E455" s="25"/>
      <c r="F455" s="55"/>
      <c r="N455" s="37" t="str">
        <f t="shared" ca="1" si="28"/>
        <v/>
      </c>
      <c r="O455" s="37" t="str">
        <f t="shared" ca="1" si="29"/>
        <v/>
      </c>
    </row>
    <row r="456" spans="1:15" x14ac:dyDescent="0.25">
      <c r="A456" s="102"/>
      <c r="B456" s="33"/>
      <c r="C456" s="25"/>
      <c r="D456" s="33"/>
      <c r="E456" s="25"/>
      <c r="F456" s="55"/>
      <c r="N456" s="37" t="str">
        <f t="shared" ca="1" si="28"/>
        <v/>
      </c>
      <c r="O456" s="37" t="str">
        <f t="shared" ca="1" si="29"/>
        <v/>
      </c>
    </row>
    <row r="457" spans="1:15" x14ac:dyDescent="0.25">
      <c r="A457" s="102"/>
      <c r="B457" s="33"/>
      <c r="C457" s="25"/>
      <c r="D457" s="33"/>
      <c r="E457" s="25"/>
      <c r="F457" s="55"/>
      <c r="N457" s="37" t="str">
        <f t="shared" ca="1" si="28"/>
        <v/>
      </c>
      <c r="O457" s="37" t="str">
        <f t="shared" ca="1" si="29"/>
        <v/>
      </c>
    </row>
    <row r="458" spans="1:15" x14ac:dyDescent="0.25">
      <c r="A458" s="102"/>
      <c r="B458" s="33"/>
      <c r="C458" s="25"/>
      <c r="D458" s="33"/>
      <c r="E458" s="25"/>
      <c r="F458" s="55"/>
      <c r="N458" s="37" t="str">
        <f t="shared" ca="1" si="28"/>
        <v/>
      </c>
      <c r="O458" s="37" t="str">
        <f t="shared" ca="1" si="29"/>
        <v/>
      </c>
    </row>
    <row r="459" spans="1:15" x14ac:dyDescent="0.25">
      <c r="A459" s="102"/>
      <c r="B459" s="33"/>
      <c r="C459" s="25"/>
      <c r="D459" s="33"/>
      <c r="E459" s="25"/>
      <c r="F459" s="55"/>
      <c r="N459" s="37" t="str">
        <f t="shared" ca="1" si="28"/>
        <v/>
      </c>
      <c r="O459" s="37" t="str">
        <f t="shared" ca="1" si="29"/>
        <v/>
      </c>
    </row>
    <row r="460" spans="1:15" x14ac:dyDescent="0.25">
      <c r="A460" s="102"/>
      <c r="B460" s="33"/>
      <c r="C460" s="25"/>
      <c r="D460" s="33"/>
      <c r="E460" s="25"/>
      <c r="F460" s="55"/>
      <c r="N460" s="37" t="str">
        <f t="shared" ca="1" si="28"/>
        <v/>
      </c>
      <c r="O460" s="37" t="str">
        <f t="shared" ca="1" si="29"/>
        <v/>
      </c>
    </row>
    <row r="461" spans="1:15" x14ac:dyDescent="0.25">
      <c r="A461" s="102"/>
      <c r="B461" s="33"/>
      <c r="C461" s="25"/>
      <c r="D461" s="33"/>
      <c r="E461" s="25"/>
      <c r="F461" s="55"/>
      <c r="N461" s="37" t="str">
        <f t="shared" ca="1" si="28"/>
        <v/>
      </c>
      <c r="O461" s="37" t="str">
        <f t="shared" ca="1" si="29"/>
        <v/>
      </c>
    </row>
    <row r="462" spans="1:15" x14ac:dyDescent="0.25">
      <c r="A462" s="102"/>
      <c r="B462" s="33"/>
      <c r="C462" s="25"/>
      <c r="D462" s="33"/>
      <c r="E462" s="25"/>
      <c r="F462" s="55"/>
      <c r="N462" s="37" t="str">
        <f t="shared" ca="1" si="28"/>
        <v/>
      </c>
      <c r="O462" s="37" t="str">
        <f t="shared" ca="1" si="29"/>
        <v/>
      </c>
    </row>
    <row r="463" spans="1:15" x14ac:dyDescent="0.25">
      <c r="A463" s="102"/>
      <c r="B463" s="33"/>
      <c r="C463" s="25"/>
      <c r="D463" s="33"/>
      <c r="E463" s="25"/>
      <c r="F463" s="55"/>
      <c r="N463" s="37" t="str">
        <f t="shared" ca="1" si="28"/>
        <v/>
      </c>
      <c r="O463" s="37" t="str">
        <f t="shared" ca="1" si="29"/>
        <v/>
      </c>
    </row>
    <row r="464" spans="1:15" x14ac:dyDescent="0.25">
      <c r="A464" s="102"/>
      <c r="B464" s="33"/>
      <c r="C464" s="25"/>
      <c r="D464" s="33"/>
      <c r="E464" s="25"/>
      <c r="F464" s="55"/>
      <c r="N464" s="37" t="str">
        <f t="shared" ca="1" si="28"/>
        <v/>
      </c>
      <c r="O464" s="37" t="str">
        <f t="shared" ca="1" si="29"/>
        <v/>
      </c>
    </row>
    <row r="465" spans="1:15" x14ac:dyDescent="0.25">
      <c r="A465" s="102"/>
      <c r="B465" s="33"/>
      <c r="C465" s="25"/>
      <c r="D465" s="33"/>
      <c r="E465" s="25"/>
      <c r="F465" s="55"/>
      <c r="N465" s="37" t="str">
        <f t="shared" ca="1" si="28"/>
        <v/>
      </c>
      <c r="O465" s="37" t="str">
        <f t="shared" ca="1" si="29"/>
        <v/>
      </c>
    </row>
    <row r="466" spans="1:15" x14ac:dyDescent="0.25">
      <c r="A466" s="102"/>
      <c r="B466" s="33"/>
      <c r="C466" s="25"/>
      <c r="D466" s="33"/>
      <c r="E466" s="25"/>
      <c r="F466" s="55"/>
      <c r="N466" s="37" t="str">
        <f t="shared" ca="1" si="28"/>
        <v/>
      </c>
      <c r="O466" s="37" t="str">
        <f t="shared" ca="1" si="29"/>
        <v/>
      </c>
    </row>
    <row r="467" spans="1:15" x14ac:dyDescent="0.25">
      <c r="A467" s="102"/>
      <c r="B467" s="33"/>
      <c r="C467" s="25"/>
      <c r="D467" s="33"/>
      <c r="E467" s="25"/>
      <c r="F467" s="55"/>
      <c r="N467" s="37" t="str">
        <f t="shared" ca="1" si="28"/>
        <v/>
      </c>
      <c r="O467" s="37" t="str">
        <f t="shared" ca="1" si="29"/>
        <v/>
      </c>
    </row>
    <row r="468" spans="1:15" x14ac:dyDescent="0.25">
      <c r="A468" s="102"/>
      <c r="B468" s="33"/>
      <c r="C468" s="25"/>
      <c r="D468" s="33"/>
      <c r="E468" s="25"/>
      <c r="F468" s="55"/>
      <c r="N468" s="37" t="str">
        <f t="shared" ca="1" si="28"/>
        <v/>
      </c>
      <c r="O468" s="37" t="str">
        <f t="shared" ca="1" si="29"/>
        <v/>
      </c>
    </row>
    <row r="469" spans="1:15" x14ac:dyDescent="0.25">
      <c r="A469" s="102"/>
      <c r="B469" s="33"/>
      <c r="C469" s="25"/>
      <c r="D469" s="33"/>
      <c r="E469" s="25"/>
      <c r="F469" s="55"/>
      <c r="N469" s="37" t="str">
        <f t="shared" ca="1" si="28"/>
        <v/>
      </c>
      <c r="O469" s="37" t="str">
        <f t="shared" ca="1" si="29"/>
        <v/>
      </c>
    </row>
    <row r="470" spans="1:15" x14ac:dyDescent="0.25">
      <c r="A470" s="102"/>
      <c r="B470" s="33"/>
      <c r="C470" s="25"/>
      <c r="D470" s="33"/>
      <c r="E470" s="25"/>
      <c r="F470" s="55"/>
      <c r="N470" s="37" t="str">
        <f t="shared" ca="1" si="28"/>
        <v/>
      </c>
      <c r="O470" s="37" t="str">
        <f t="shared" ca="1" si="29"/>
        <v/>
      </c>
    </row>
    <row r="471" spans="1:15" x14ac:dyDescent="0.25">
      <c r="A471" s="102"/>
      <c r="B471" s="33"/>
      <c r="C471" s="25"/>
      <c r="D471" s="33"/>
      <c r="E471" s="25"/>
      <c r="F471" s="55"/>
      <c r="N471" s="37" t="str">
        <f t="shared" ca="1" si="28"/>
        <v/>
      </c>
      <c r="O471" s="37" t="str">
        <f t="shared" ca="1" si="29"/>
        <v/>
      </c>
    </row>
    <row r="472" spans="1:15" x14ac:dyDescent="0.25">
      <c r="A472" s="102"/>
      <c r="B472" s="33"/>
      <c r="C472" s="25"/>
      <c r="D472" s="33"/>
      <c r="E472" s="25"/>
      <c r="F472" s="55"/>
      <c r="N472" s="37" t="str">
        <f t="shared" ca="1" si="28"/>
        <v/>
      </c>
      <c r="O472" s="37" t="str">
        <f t="shared" ca="1" si="29"/>
        <v/>
      </c>
    </row>
    <row r="473" spans="1:15" x14ac:dyDescent="0.25">
      <c r="A473" s="102"/>
      <c r="B473" s="33"/>
      <c r="C473" s="25"/>
      <c r="D473" s="33"/>
      <c r="E473" s="25"/>
      <c r="F473" s="55"/>
      <c r="N473" s="37" t="str">
        <f t="shared" ca="1" si="28"/>
        <v/>
      </c>
      <c r="O473" s="37" t="str">
        <f t="shared" ca="1" si="29"/>
        <v/>
      </c>
    </row>
    <row r="474" spans="1:15" x14ac:dyDescent="0.25">
      <c r="A474" s="102"/>
      <c r="B474" s="33"/>
      <c r="C474" s="25"/>
      <c r="D474" s="33"/>
      <c r="E474" s="25"/>
      <c r="F474" s="55"/>
      <c r="N474" s="37" t="str">
        <f t="shared" ca="1" si="28"/>
        <v/>
      </c>
      <c r="O474" s="37" t="str">
        <f t="shared" ca="1" si="29"/>
        <v/>
      </c>
    </row>
    <row r="475" spans="1:15" x14ac:dyDescent="0.25">
      <c r="A475" s="102"/>
      <c r="B475" s="33"/>
      <c r="C475" s="25"/>
      <c r="D475" s="33"/>
      <c r="E475" s="25"/>
      <c r="F475" s="55"/>
      <c r="N475" s="37" t="str">
        <f t="shared" ca="1" si="28"/>
        <v/>
      </c>
      <c r="O475" s="37" t="str">
        <f t="shared" ca="1" si="29"/>
        <v/>
      </c>
    </row>
    <row r="476" spans="1:15" x14ac:dyDescent="0.25">
      <c r="A476" s="102"/>
      <c r="B476" s="33"/>
      <c r="C476" s="25"/>
      <c r="D476" s="33"/>
      <c r="E476" s="25"/>
      <c r="F476" s="55"/>
      <c r="N476" s="37" t="str">
        <f t="shared" ca="1" si="28"/>
        <v/>
      </c>
      <c r="O476" s="37" t="str">
        <f t="shared" ca="1" si="29"/>
        <v/>
      </c>
    </row>
    <row r="477" spans="1:15" x14ac:dyDescent="0.25">
      <c r="A477" s="102"/>
      <c r="B477" s="33"/>
      <c r="C477" s="25"/>
      <c r="D477" s="33"/>
      <c r="E477" s="25"/>
      <c r="F477" s="55"/>
      <c r="N477" s="37" t="str">
        <f t="shared" ca="1" si="28"/>
        <v/>
      </c>
      <c r="O477" s="37" t="str">
        <f t="shared" ca="1" si="29"/>
        <v/>
      </c>
    </row>
    <row r="478" spans="1:15" x14ac:dyDescent="0.25">
      <c r="A478" s="102"/>
      <c r="B478" s="33"/>
      <c r="C478" s="25"/>
      <c r="D478" s="33"/>
      <c r="E478" s="25"/>
      <c r="F478" s="55"/>
      <c r="N478" s="37" t="str">
        <f t="shared" ca="1" si="28"/>
        <v/>
      </c>
      <c r="O478" s="37" t="str">
        <f t="shared" ca="1" si="29"/>
        <v/>
      </c>
    </row>
    <row r="479" spans="1:15" x14ac:dyDescent="0.25">
      <c r="A479" s="102"/>
      <c r="B479" s="33"/>
      <c r="C479" s="25"/>
      <c r="D479" s="33"/>
      <c r="E479" s="25"/>
      <c r="F479" s="55"/>
      <c r="N479" s="37" t="str">
        <f t="shared" ca="1" si="28"/>
        <v/>
      </c>
      <c r="O479" s="37" t="str">
        <f t="shared" ca="1" si="29"/>
        <v/>
      </c>
    </row>
    <row r="480" spans="1:15" x14ac:dyDescent="0.25">
      <c r="A480" s="102"/>
      <c r="B480" s="33"/>
      <c r="C480" s="25"/>
      <c r="D480" s="33"/>
      <c r="E480" s="25"/>
      <c r="F480" s="55"/>
      <c r="N480" s="37" t="str">
        <f t="shared" ca="1" si="28"/>
        <v/>
      </c>
      <c r="O480" s="37" t="str">
        <f t="shared" ca="1" si="29"/>
        <v/>
      </c>
    </row>
    <row r="481" spans="1:15" x14ac:dyDescent="0.25">
      <c r="A481" s="102"/>
      <c r="B481" s="33"/>
      <c r="C481" s="25"/>
      <c r="D481" s="33"/>
      <c r="E481" s="25"/>
      <c r="F481" s="55"/>
      <c r="N481" s="37" t="str">
        <f t="shared" ca="1" si="28"/>
        <v/>
      </c>
      <c r="O481" s="37" t="str">
        <f t="shared" ca="1" si="29"/>
        <v/>
      </c>
    </row>
    <row r="482" spans="1:15" x14ac:dyDescent="0.25">
      <c r="A482" s="102"/>
      <c r="B482" s="33"/>
      <c r="C482" s="25"/>
      <c r="D482" s="33"/>
      <c r="E482" s="25"/>
      <c r="F482" s="55"/>
      <c r="N482" s="37" t="str">
        <f t="shared" ca="1" si="28"/>
        <v/>
      </c>
      <c r="O482" s="37" t="str">
        <f t="shared" ca="1" si="29"/>
        <v/>
      </c>
    </row>
    <row r="483" spans="1:15" x14ac:dyDescent="0.25">
      <c r="A483" s="102"/>
      <c r="B483" s="33"/>
      <c r="C483" s="25"/>
      <c r="D483" s="33"/>
      <c r="E483" s="25"/>
      <c r="F483" s="55"/>
      <c r="N483" s="37" t="str">
        <f t="shared" ca="1" si="28"/>
        <v/>
      </c>
      <c r="O483" s="37" t="str">
        <f t="shared" ca="1" si="29"/>
        <v/>
      </c>
    </row>
    <row r="484" spans="1:15" x14ac:dyDescent="0.25">
      <c r="A484" s="102"/>
      <c r="B484" s="33"/>
      <c r="C484" s="25"/>
      <c r="D484" s="33"/>
      <c r="E484" s="25"/>
      <c r="F484" s="55"/>
      <c r="N484" s="37" t="str">
        <f t="shared" ca="1" si="28"/>
        <v/>
      </c>
      <c r="O484" s="37" t="str">
        <f t="shared" ca="1" si="29"/>
        <v/>
      </c>
    </row>
    <row r="485" spans="1:15" x14ac:dyDescent="0.25">
      <c r="A485" s="102"/>
      <c r="B485" s="33"/>
      <c r="C485" s="25"/>
      <c r="D485" s="33"/>
      <c r="E485" s="25"/>
      <c r="F485" s="55"/>
      <c r="N485" s="37" t="str">
        <f t="shared" ca="1" si="28"/>
        <v/>
      </c>
      <c r="O485" s="37" t="str">
        <f t="shared" ca="1" si="29"/>
        <v/>
      </c>
    </row>
    <row r="486" spans="1:15" x14ac:dyDescent="0.25">
      <c r="A486" s="102"/>
      <c r="B486" s="33"/>
      <c r="C486" s="25"/>
      <c r="D486" s="33"/>
      <c r="E486" s="25"/>
      <c r="F486" s="55"/>
      <c r="N486" s="37" t="str">
        <f t="shared" ca="1" si="28"/>
        <v/>
      </c>
      <c r="O486" s="37" t="str">
        <f t="shared" ca="1" si="29"/>
        <v/>
      </c>
    </row>
    <row r="487" spans="1:15" x14ac:dyDescent="0.25">
      <c r="A487" s="102"/>
      <c r="B487" s="33"/>
      <c r="C487" s="25"/>
      <c r="D487" s="33"/>
      <c r="E487" s="25"/>
      <c r="F487" s="55"/>
      <c r="N487" s="37" t="str">
        <f t="shared" ca="1" si="28"/>
        <v/>
      </c>
      <c r="O487" s="37" t="str">
        <f t="shared" ca="1" si="29"/>
        <v/>
      </c>
    </row>
    <row r="488" spans="1:15" x14ac:dyDescent="0.25">
      <c r="A488" s="102"/>
      <c r="B488" s="33"/>
      <c r="C488" s="25"/>
      <c r="D488" s="33"/>
      <c r="E488" s="25"/>
      <c r="F488" s="55"/>
      <c r="N488" s="37" t="str">
        <f t="shared" ca="1" si="28"/>
        <v/>
      </c>
      <c r="O488" s="37" t="str">
        <f t="shared" ca="1" si="29"/>
        <v/>
      </c>
    </row>
    <row r="489" spans="1:15" x14ac:dyDescent="0.25">
      <c r="A489" s="102"/>
      <c r="B489" s="33"/>
      <c r="C489" s="25"/>
      <c r="D489" s="33"/>
      <c r="E489" s="25"/>
      <c r="F489" s="55"/>
      <c r="N489" s="37" t="str">
        <f t="shared" ca="1" si="28"/>
        <v/>
      </c>
      <c r="O489" s="37" t="str">
        <f t="shared" ca="1" si="29"/>
        <v/>
      </c>
    </row>
    <row r="490" spans="1:15" x14ac:dyDescent="0.25">
      <c r="A490" s="102"/>
      <c r="B490" s="33"/>
      <c r="C490" s="25"/>
      <c r="D490" s="33"/>
      <c r="E490" s="25"/>
      <c r="F490" s="55"/>
      <c r="N490" s="37" t="str">
        <f t="shared" ca="1" si="28"/>
        <v/>
      </c>
      <c r="O490" s="37" t="str">
        <f t="shared" ca="1" si="29"/>
        <v/>
      </c>
    </row>
    <row r="491" spans="1:15" x14ac:dyDescent="0.25">
      <c r="A491" s="102"/>
      <c r="B491" s="33"/>
      <c r="C491" s="25"/>
      <c r="D491" s="33"/>
      <c r="E491" s="25"/>
      <c r="F491" s="55"/>
      <c r="N491" s="37" t="str">
        <f t="shared" ca="1" si="28"/>
        <v/>
      </c>
      <c r="O491" s="37" t="str">
        <f t="shared" ca="1" si="29"/>
        <v/>
      </c>
    </row>
    <row r="492" spans="1:15" x14ac:dyDescent="0.25">
      <c r="A492" s="102"/>
      <c r="B492" s="33"/>
      <c r="C492" s="25"/>
      <c r="D492" s="33"/>
      <c r="E492" s="25"/>
      <c r="F492" s="55"/>
      <c r="N492" s="37" t="str">
        <f t="shared" ca="1" si="28"/>
        <v/>
      </c>
      <c r="O492" s="37" t="str">
        <f t="shared" ca="1" si="29"/>
        <v/>
      </c>
    </row>
    <row r="493" spans="1:15" x14ac:dyDescent="0.25">
      <c r="A493" s="102"/>
      <c r="B493" s="33"/>
      <c r="C493" s="25"/>
      <c r="D493" s="33"/>
      <c r="E493" s="25"/>
      <c r="F493" s="55"/>
      <c r="N493" s="37" t="str">
        <f t="shared" ca="1" si="28"/>
        <v/>
      </c>
      <c r="O493" s="37" t="str">
        <f t="shared" ca="1" si="29"/>
        <v/>
      </c>
    </row>
    <row r="494" spans="1:15" x14ac:dyDescent="0.25">
      <c r="A494" s="102"/>
      <c r="B494" s="33"/>
      <c r="C494" s="25"/>
      <c r="D494" s="33"/>
      <c r="E494" s="25"/>
      <c r="F494" s="55"/>
      <c r="N494" s="37" t="str">
        <f t="shared" ca="1" si="28"/>
        <v/>
      </c>
      <c r="O494" s="37" t="str">
        <f t="shared" ca="1" si="29"/>
        <v/>
      </c>
    </row>
    <row r="495" spans="1:15" x14ac:dyDescent="0.25">
      <c r="A495" s="102"/>
      <c r="B495" s="33"/>
      <c r="C495" s="25"/>
      <c r="D495" s="33"/>
      <c r="E495" s="25"/>
      <c r="F495" s="55"/>
      <c r="N495" s="37" t="str">
        <f t="shared" ca="1" si="28"/>
        <v/>
      </c>
      <c r="O495" s="37" t="str">
        <f t="shared" ca="1" si="29"/>
        <v/>
      </c>
    </row>
    <row r="496" spans="1:15" x14ac:dyDescent="0.25">
      <c r="A496" s="102"/>
      <c r="B496" s="33"/>
      <c r="C496" s="25"/>
      <c r="D496" s="33"/>
      <c r="E496" s="25"/>
      <c r="F496" s="55"/>
      <c r="N496" s="37" t="str">
        <f t="shared" ca="1" si="28"/>
        <v/>
      </c>
      <c r="O496" s="37" t="str">
        <f t="shared" ca="1" si="29"/>
        <v/>
      </c>
    </row>
    <row r="497" spans="1:15" x14ac:dyDescent="0.25">
      <c r="A497" s="102"/>
      <c r="B497" s="33"/>
      <c r="C497" s="25"/>
      <c r="D497" s="33"/>
      <c r="E497" s="25"/>
      <c r="F497" s="55"/>
      <c r="N497" s="37" t="str">
        <f t="shared" ca="1" si="28"/>
        <v/>
      </c>
      <c r="O497" s="37" t="str">
        <f t="shared" ca="1" si="29"/>
        <v/>
      </c>
    </row>
    <row r="498" spans="1:15" x14ac:dyDescent="0.25">
      <c r="A498" s="102"/>
      <c r="B498" s="33"/>
      <c r="C498" s="25"/>
      <c r="D498" s="33"/>
      <c r="E498" s="25"/>
      <c r="F498" s="55"/>
      <c r="N498" s="37" t="str">
        <f t="shared" ca="1" si="28"/>
        <v/>
      </c>
      <c r="O498" s="37" t="str">
        <f t="shared" ca="1" si="29"/>
        <v/>
      </c>
    </row>
    <row r="499" spans="1:15" x14ac:dyDescent="0.25">
      <c r="A499" s="102"/>
      <c r="B499" s="33"/>
      <c r="C499" s="25"/>
      <c r="D499" s="33"/>
      <c r="E499" s="25"/>
      <c r="F499" s="55"/>
      <c r="N499" s="37" t="str">
        <f t="shared" ca="1" si="28"/>
        <v/>
      </c>
      <c r="O499" s="37" t="str">
        <f t="shared" ca="1" si="29"/>
        <v/>
      </c>
    </row>
    <row r="500" spans="1:15" x14ac:dyDescent="0.25">
      <c r="A500" s="102"/>
      <c r="B500" s="33"/>
      <c r="C500" s="25"/>
      <c r="D500" s="33"/>
      <c r="E500" s="25"/>
      <c r="F500" s="55"/>
      <c r="N500" s="37" t="str">
        <f t="shared" ca="1" si="28"/>
        <v/>
      </c>
      <c r="O500" s="37" t="str">
        <f t="shared" ca="1" si="29"/>
        <v/>
      </c>
    </row>
    <row r="501" spans="1:15" x14ac:dyDescent="0.25">
      <c r="A501" s="102"/>
      <c r="B501" s="33"/>
      <c r="C501" s="25"/>
      <c r="D501" s="33"/>
      <c r="E501" s="25"/>
      <c r="F501" s="55"/>
      <c r="N501" s="37" t="str">
        <f t="shared" ca="1" si="28"/>
        <v/>
      </c>
      <c r="O501" s="37" t="str">
        <f t="shared" ca="1" si="29"/>
        <v/>
      </c>
    </row>
    <row r="502" spans="1:15" x14ac:dyDescent="0.25">
      <c r="A502" s="102"/>
      <c r="B502" s="33"/>
      <c r="C502" s="25"/>
      <c r="D502" s="33"/>
      <c r="E502" s="25"/>
      <c r="F502" s="55"/>
      <c r="N502" s="37" t="str">
        <f t="shared" ca="1" si="28"/>
        <v/>
      </c>
      <c r="O502" s="37" t="str">
        <f t="shared" ca="1" si="29"/>
        <v/>
      </c>
    </row>
    <row r="503" spans="1:15" x14ac:dyDescent="0.25">
      <c r="A503" s="102"/>
      <c r="B503" s="33"/>
      <c r="C503" s="25"/>
      <c r="D503" s="33"/>
      <c r="E503" s="25"/>
      <c r="F503" s="55"/>
      <c r="N503" s="37" t="str">
        <f t="shared" ca="1" si="28"/>
        <v/>
      </c>
      <c r="O503" s="37" t="str">
        <f t="shared" ca="1" si="29"/>
        <v/>
      </c>
    </row>
    <row r="504" spans="1:15" x14ac:dyDescent="0.25">
      <c r="A504" s="102"/>
      <c r="B504" s="33"/>
      <c r="C504" s="25"/>
      <c r="D504" s="33"/>
      <c r="E504" s="25"/>
      <c r="F504" s="55"/>
      <c r="N504" s="37" t="str">
        <f t="shared" ca="1" si="28"/>
        <v/>
      </c>
      <c r="O504" s="37" t="str">
        <f t="shared" ca="1" si="29"/>
        <v/>
      </c>
    </row>
    <row r="505" spans="1:15" x14ac:dyDescent="0.25">
      <c r="A505" s="102"/>
      <c r="B505" s="33"/>
      <c r="C505" s="25"/>
      <c r="D505" s="33"/>
      <c r="E505" s="25"/>
      <c r="F505" s="55"/>
      <c r="N505" s="37" t="str">
        <f t="shared" ca="1" si="28"/>
        <v/>
      </c>
      <c r="O505" s="37" t="str">
        <f t="shared" ca="1" si="29"/>
        <v/>
      </c>
    </row>
    <row r="506" spans="1:15" x14ac:dyDescent="0.25">
      <c r="A506" s="102"/>
      <c r="B506" s="33"/>
      <c r="C506" s="25"/>
      <c r="D506" s="33"/>
      <c r="E506" s="25"/>
      <c r="F506" s="55"/>
      <c r="N506" s="37" t="str">
        <f t="shared" ca="1" si="28"/>
        <v/>
      </c>
      <c r="O506" s="37" t="str">
        <f t="shared" ca="1" si="29"/>
        <v/>
      </c>
    </row>
    <row r="507" spans="1:15" x14ac:dyDescent="0.25">
      <c r="A507" s="102"/>
      <c r="B507" s="33"/>
      <c r="C507" s="25"/>
      <c r="D507" s="33"/>
      <c r="E507" s="25"/>
      <c r="F507" s="55"/>
      <c r="N507" s="37" t="str">
        <f t="shared" ca="1" si="28"/>
        <v/>
      </c>
      <c r="O507" s="37" t="str">
        <f t="shared" ca="1" si="29"/>
        <v/>
      </c>
    </row>
    <row r="508" spans="1:15" x14ac:dyDescent="0.25">
      <c r="A508" s="102"/>
      <c r="B508" s="33"/>
      <c r="C508" s="25"/>
      <c r="D508" s="33"/>
      <c r="E508" s="25"/>
      <c r="F508" s="55"/>
      <c r="N508" s="37" t="str">
        <f t="shared" ca="1" si="28"/>
        <v/>
      </c>
      <c r="O508" s="37" t="str">
        <f t="shared" ca="1" si="29"/>
        <v/>
      </c>
    </row>
    <row r="509" spans="1:15" x14ac:dyDescent="0.25">
      <c r="A509" s="102"/>
      <c r="B509" s="33"/>
      <c r="C509" s="25"/>
      <c r="D509" s="33"/>
      <c r="E509" s="25"/>
      <c r="F509" s="55"/>
      <c r="N509" s="37" t="str">
        <f t="shared" ca="1" si="28"/>
        <v/>
      </c>
      <c r="O509" s="37" t="str">
        <f t="shared" ca="1" si="29"/>
        <v/>
      </c>
    </row>
    <row r="510" spans="1:15" x14ac:dyDescent="0.25">
      <c r="A510" s="102"/>
      <c r="B510" s="33"/>
      <c r="C510" s="25"/>
      <c r="D510" s="33"/>
      <c r="E510" s="25"/>
      <c r="F510" s="55"/>
      <c r="N510" s="37" t="str">
        <f t="shared" ca="1" si="28"/>
        <v/>
      </c>
      <c r="O510" s="37" t="str">
        <f t="shared" ca="1" si="29"/>
        <v/>
      </c>
    </row>
    <row r="511" spans="1:15" x14ac:dyDescent="0.25">
      <c r="A511" s="102"/>
      <c r="B511" s="33"/>
      <c r="C511" s="25"/>
      <c r="D511" s="33"/>
      <c r="E511" s="25"/>
      <c r="F511" s="55"/>
      <c r="N511" s="37" t="str">
        <f t="shared" ca="1" si="28"/>
        <v/>
      </c>
      <c r="O511" s="37" t="str">
        <f t="shared" ca="1" si="29"/>
        <v/>
      </c>
    </row>
    <row r="512" spans="1:15" x14ac:dyDescent="0.25">
      <c r="A512" s="102"/>
      <c r="B512" s="33"/>
      <c r="C512" s="25"/>
      <c r="D512" s="33"/>
      <c r="E512" s="25"/>
      <c r="F512" s="55"/>
      <c r="N512" s="37" t="str">
        <f t="shared" ca="1" si="28"/>
        <v/>
      </c>
      <c r="O512" s="37" t="str">
        <f t="shared" ca="1" si="29"/>
        <v/>
      </c>
    </row>
    <row r="513" spans="1:15" x14ac:dyDescent="0.25">
      <c r="A513" s="102"/>
      <c r="B513" s="33"/>
      <c r="C513" s="25"/>
      <c r="D513" s="33"/>
      <c r="E513" s="25"/>
      <c r="F513" s="55"/>
      <c r="N513" s="37" t="str">
        <f t="shared" ca="1" si="28"/>
        <v/>
      </c>
      <c r="O513" s="37" t="str">
        <f t="shared" ca="1" si="29"/>
        <v/>
      </c>
    </row>
    <row r="514" spans="1:15" x14ac:dyDescent="0.25">
      <c r="A514" s="102"/>
      <c r="B514" s="33"/>
      <c r="C514" s="25"/>
      <c r="D514" s="33"/>
      <c r="E514" s="25"/>
      <c r="F514" s="55"/>
      <c r="N514" s="37" t="str">
        <f t="shared" ca="1" si="28"/>
        <v/>
      </c>
      <c r="O514" s="37" t="str">
        <f t="shared" ca="1" si="29"/>
        <v/>
      </c>
    </row>
    <row r="515" spans="1:15" x14ac:dyDescent="0.25">
      <c r="A515" s="102"/>
      <c r="B515" s="33"/>
      <c r="C515" s="25"/>
      <c r="D515" s="33"/>
      <c r="E515" s="25"/>
      <c r="F515" s="55"/>
      <c r="N515" s="37" t="str">
        <f t="shared" ca="1" si="28"/>
        <v/>
      </c>
      <c r="O515" s="37" t="str">
        <f t="shared" ca="1" si="29"/>
        <v/>
      </c>
    </row>
    <row r="516" spans="1:15" x14ac:dyDescent="0.25">
      <c r="A516" s="102"/>
      <c r="B516" s="33"/>
      <c r="C516" s="25"/>
      <c r="D516" s="33"/>
      <c r="E516" s="25"/>
      <c r="F516" s="55"/>
      <c r="N516" s="37" t="str">
        <f t="shared" ref="N516:N579" ca="1" si="30">IF(COUNTIF(L:L,J516),J516,"")</f>
        <v/>
      </c>
      <c r="O516" s="37" t="str">
        <f t="shared" ref="O516:O579" ca="1" si="31">IF(N516&gt;$A$14,N516,"")</f>
        <v/>
      </c>
    </row>
    <row r="517" spans="1:15" x14ac:dyDescent="0.25">
      <c r="A517" s="102"/>
      <c r="B517" s="33"/>
      <c r="C517" s="25"/>
      <c r="D517" s="33"/>
      <c r="E517" s="25"/>
      <c r="F517" s="55"/>
      <c r="N517" s="37" t="str">
        <f t="shared" ca="1" si="30"/>
        <v/>
      </c>
      <c r="O517" s="37" t="str">
        <f t="shared" ca="1" si="31"/>
        <v/>
      </c>
    </row>
    <row r="518" spans="1:15" x14ac:dyDescent="0.25">
      <c r="A518" s="102"/>
      <c r="B518" s="33"/>
      <c r="C518" s="25"/>
      <c r="D518" s="33"/>
      <c r="E518" s="25"/>
      <c r="F518" s="55"/>
      <c r="N518" s="37" t="str">
        <f t="shared" ca="1" si="30"/>
        <v/>
      </c>
      <c r="O518" s="37" t="str">
        <f t="shared" ca="1" si="31"/>
        <v/>
      </c>
    </row>
    <row r="519" spans="1:15" x14ac:dyDescent="0.25">
      <c r="A519" s="102"/>
      <c r="B519" s="33"/>
      <c r="C519" s="25"/>
      <c r="D519" s="33"/>
      <c r="E519" s="25"/>
      <c r="F519" s="55"/>
      <c r="N519" s="37" t="str">
        <f t="shared" ca="1" si="30"/>
        <v/>
      </c>
      <c r="O519" s="37" t="str">
        <f t="shared" ca="1" si="31"/>
        <v/>
      </c>
    </row>
    <row r="520" spans="1:15" x14ac:dyDescent="0.25">
      <c r="A520" s="102"/>
      <c r="B520" s="33"/>
      <c r="C520" s="25"/>
      <c r="D520" s="33"/>
      <c r="E520" s="25"/>
      <c r="F520" s="55"/>
      <c r="N520" s="37" t="str">
        <f t="shared" ca="1" si="30"/>
        <v/>
      </c>
      <c r="O520" s="37" t="str">
        <f t="shared" ca="1" si="31"/>
        <v/>
      </c>
    </row>
    <row r="521" spans="1:15" x14ac:dyDescent="0.25">
      <c r="A521" s="102"/>
      <c r="B521" s="33"/>
      <c r="C521" s="25"/>
      <c r="D521" s="33"/>
      <c r="E521" s="25"/>
      <c r="F521" s="55"/>
      <c r="N521" s="37" t="str">
        <f t="shared" ca="1" si="30"/>
        <v/>
      </c>
      <c r="O521" s="37" t="str">
        <f t="shared" ca="1" si="31"/>
        <v/>
      </c>
    </row>
    <row r="522" spans="1:15" x14ac:dyDescent="0.25">
      <c r="A522" s="102"/>
      <c r="B522" s="33"/>
      <c r="C522" s="25"/>
      <c r="D522" s="33"/>
      <c r="E522" s="25"/>
      <c r="F522" s="55"/>
      <c r="N522" s="37" t="str">
        <f t="shared" ca="1" si="30"/>
        <v/>
      </c>
      <c r="O522" s="37" t="str">
        <f t="shared" ca="1" si="31"/>
        <v/>
      </c>
    </row>
    <row r="523" spans="1:15" x14ac:dyDescent="0.25">
      <c r="A523" s="102"/>
      <c r="B523" s="33"/>
      <c r="C523" s="25"/>
      <c r="D523" s="33"/>
      <c r="E523" s="25"/>
      <c r="F523" s="55"/>
      <c r="N523" s="37" t="str">
        <f t="shared" ca="1" si="30"/>
        <v/>
      </c>
      <c r="O523" s="37" t="str">
        <f t="shared" ca="1" si="31"/>
        <v/>
      </c>
    </row>
    <row r="524" spans="1:15" x14ac:dyDescent="0.25">
      <c r="A524" s="102"/>
      <c r="B524" s="33"/>
      <c r="C524" s="25"/>
      <c r="D524" s="33"/>
      <c r="E524" s="25"/>
      <c r="F524" s="55"/>
      <c r="N524" s="37" t="str">
        <f t="shared" ca="1" si="30"/>
        <v/>
      </c>
      <c r="O524" s="37" t="str">
        <f t="shared" ca="1" si="31"/>
        <v/>
      </c>
    </row>
    <row r="525" spans="1:15" x14ac:dyDescent="0.25">
      <c r="A525" s="102"/>
      <c r="B525" s="33"/>
      <c r="C525" s="25"/>
      <c r="D525" s="33"/>
      <c r="E525" s="25"/>
      <c r="F525" s="55"/>
      <c r="N525" s="37" t="str">
        <f t="shared" ca="1" si="30"/>
        <v/>
      </c>
      <c r="O525" s="37" t="str">
        <f t="shared" ca="1" si="31"/>
        <v/>
      </c>
    </row>
    <row r="526" spans="1:15" x14ac:dyDescent="0.25">
      <c r="A526" s="102"/>
      <c r="B526" s="33"/>
      <c r="C526" s="25"/>
      <c r="D526" s="33"/>
      <c r="E526" s="25"/>
      <c r="F526" s="55"/>
      <c r="N526" s="37" t="str">
        <f t="shared" ca="1" si="30"/>
        <v/>
      </c>
      <c r="O526" s="37" t="str">
        <f t="shared" ca="1" si="31"/>
        <v/>
      </c>
    </row>
    <row r="527" spans="1:15" x14ac:dyDescent="0.25">
      <c r="A527" s="102"/>
      <c r="B527" s="33"/>
      <c r="C527" s="25"/>
      <c r="D527" s="33"/>
      <c r="E527" s="25"/>
      <c r="F527" s="55"/>
      <c r="N527" s="37" t="str">
        <f t="shared" ca="1" si="30"/>
        <v/>
      </c>
      <c r="O527" s="37" t="str">
        <f t="shared" ca="1" si="31"/>
        <v/>
      </c>
    </row>
    <row r="528" spans="1:15" x14ac:dyDescent="0.25">
      <c r="A528" s="102"/>
      <c r="B528" s="33"/>
      <c r="C528" s="25"/>
      <c r="D528" s="33"/>
      <c r="E528" s="25"/>
      <c r="F528" s="55"/>
      <c r="N528" s="37" t="str">
        <f t="shared" ca="1" si="30"/>
        <v/>
      </c>
      <c r="O528" s="37" t="str">
        <f t="shared" ca="1" si="31"/>
        <v/>
      </c>
    </row>
    <row r="529" spans="1:15" x14ac:dyDescent="0.25">
      <c r="A529" s="102"/>
      <c r="B529" s="33"/>
      <c r="C529" s="25"/>
      <c r="D529" s="33"/>
      <c r="E529" s="25"/>
      <c r="F529" s="55"/>
      <c r="N529" s="37" t="str">
        <f t="shared" ca="1" si="30"/>
        <v/>
      </c>
      <c r="O529" s="37" t="str">
        <f t="shared" ca="1" si="31"/>
        <v/>
      </c>
    </row>
    <row r="530" spans="1:15" x14ac:dyDescent="0.25">
      <c r="A530" s="102"/>
      <c r="B530" s="33"/>
      <c r="C530" s="25"/>
      <c r="D530" s="33"/>
      <c r="E530" s="25"/>
      <c r="F530" s="55"/>
      <c r="N530" s="37" t="str">
        <f t="shared" ca="1" si="30"/>
        <v/>
      </c>
      <c r="O530" s="37" t="str">
        <f t="shared" ca="1" si="31"/>
        <v/>
      </c>
    </row>
    <row r="531" spans="1:15" x14ac:dyDescent="0.25">
      <c r="A531" s="102"/>
      <c r="B531" s="33"/>
      <c r="C531" s="25"/>
      <c r="D531" s="33"/>
      <c r="E531" s="25"/>
      <c r="F531" s="55"/>
      <c r="N531" s="37" t="str">
        <f t="shared" ca="1" si="30"/>
        <v/>
      </c>
      <c r="O531" s="37" t="str">
        <f t="shared" ca="1" si="31"/>
        <v/>
      </c>
    </row>
    <row r="532" spans="1:15" x14ac:dyDescent="0.25">
      <c r="A532" s="102"/>
      <c r="B532" s="33"/>
      <c r="C532" s="25"/>
      <c r="D532" s="33"/>
      <c r="E532" s="25"/>
      <c r="F532" s="55"/>
      <c r="N532" s="37" t="str">
        <f t="shared" ca="1" si="30"/>
        <v/>
      </c>
      <c r="O532" s="37" t="str">
        <f t="shared" ca="1" si="31"/>
        <v/>
      </c>
    </row>
    <row r="533" spans="1:15" x14ac:dyDescent="0.25">
      <c r="A533" s="102"/>
      <c r="B533" s="33"/>
      <c r="C533" s="25"/>
      <c r="D533" s="33"/>
      <c r="E533" s="25"/>
      <c r="F533" s="55"/>
      <c r="N533" s="37" t="str">
        <f t="shared" ca="1" si="30"/>
        <v/>
      </c>
      <c r="O533" s="37" t="str">
        <f t="shared" ca="1" si="31"/>
        <v/>
      </c>
    </row>
    <row r="534" spans="1:15" x14ac:dyDescent="0.25">
      <c r="A534" s="102"/>
      <c r="B534" s="33"/>
      <c r="C534" s="25"/>
      <c r="D534" s="33"/>
      <c r="E534" s="25"/>
      <c r="F534" s="55"/>
      <c r="N534" s="37" t="str">
        <f t="shared" ca="1" si="30"/>
        <v/>
      </c>
      <c r="O534" s="37" t="str">
        <f t="shared" ca="1" si="31"/>
        <v/>
      </c>
    </row>
    <row r="535" spans="1:15" x14ac:dyDescent="0.25">
      <c r="A535" s="102"/>
      <c r="B535" s="33"/>
      <c r="C535" s="25"/>
      <c r="D535" s="33"/>
      <c r="E535" s="25"/>
      <c r="F535" s="55"/>
      <c r="N535" s="37" t="str">
        <f t="shared" ca="1" si="30"/>
        <v/>
      </c>
      <c r="O535" s="37" t="str">
        <f t="shared" ca="1" si="31"/>
        <v/>
      </c>
    </row>
    <row r="536" spans="1:15" x14ac:dyDescent="0.25">
      <c r="A536" s="102"/>
      <c r="B536" s="33"/>
      <c r="C536" s="25"/>
      <c r="D536" s="33"/>
      <c r="E536" s="25"/>
      <c r="F536" s="55"/>
      <c r="N536" s="37" t="str">
        <f t="shared" ca="1" si="30"/>
        <v/>
      </c>
      <c r="O536" s="37" t="str">
        <f t="shared" ca="1" si="31"/>
        <v/>
      </c>
    </row>
    <row r="537" spans="1:15" x14ac:dyDescent="0.25">
      <c r="A537" s="102"/>
      <c r="B537" s="33"/>
      <c r="C537" s="25"/>
      <c r="D537" s="33"/>
      <c r="E537" s="25"/>
      <c r="F537" s="55"/>
      <c r="N537" s="37" t="str">
        <f t="shared" ca="1" si="30"/>
        <v/>
      </c>
      <c r="O537" s="37" t="str">
        <f t="shared" ca="1" si="31"/>
        <v/>
      </c>
    </row>
    <row r="538" spans="1:15" x14ac:dyDescent="0.25">
      <c r="A538" s="102"/>
      <c r="B538" s="33"/>
      <c r="C538" s="25"/>
      <c r="D538" s="33"/>
      <c r="E538" s="25"/>
      <c r="F538" s="55"/>
      <c r="N538" s="37" t="str">
        <f t="shared" ca="1" si="30"/>
        <v/>
      </c>
      <c r="O538" s="37" t="str">
        <f t="shared" ca="1" si="31"/>
        <v/>
      </c>
    </row>
    <row r="539" spans="1:15" x14ac:dyDescent="0.25">
      <c r="A539" s="102"/>
      <c r="B539" s="33"/>
      <c r="C539" s="25"/>
      <c r="D539" s="33"/>
      <c r="E539" s="25"/>
      <c r="F539" s="55"/>
      <c r="N539" s="37" t="str">
        <f t="shared" ca="1" si="30"/>
        <v/>
      </c>
      <c r="O539" s="37" t="str">
        <f t="shared" ca="1" si="31"/>
        <v/>
      </c>
    </row>
    <row r="540" spans="1:15" x14ac:dyDescent="0.25">
      <c r="A540" s="102"/>
      <c r="B540" s="33"/>
      <c r="C540" s="25"/>
      <c r="D540" s="33"/>
      <c r="E540" s="25"/>
      <c r="F540" s="55"/>
      <c r="N540" s="37" t="str">
        <f t="shared" ca="1" si="30"/>
        <v/>
      </c>
      <c r="O540" s="37" t="str">
        <f t="shared" ca="1" si="31"/>
        <v/>
      </c>
    </row>
    <row r="541" spans="1:15" x14ac:dyDescent="0.25">
      <c r="A541" s="102"/>
      <c r="B541" s="33"/>
      <c r="C541" s="25"/>
      <c r="D541" s="33"/>
      <c r="E541" s="25"/>
      <c r="F541" s="55"/>
      <c r="N541" s="37" t="str">
        <f t="shared" ca="1" si="30"/>
        <v/>
      </c>
      <c r="O541" s="37" t="str">
        <f t="shared" ca="1" si="31"/>
        <v/>
      </c>
    </row>
    <row r="542" spans="1:15" x14ac:dyDescent="0.25">
      <c r="A542" s="102"/>
      <c r="B542" s="33"/>
      <c r="C542" s="25"/>
      <c r="D542" s="33"/>
      <c r="E542" s="25"/>
      <c r="F542" s="55"/>
      <c r="N542" s="37" t="str">
        <f t="shared" ca="1" si="30"/>
        <v/>
      </c>
      <c r="O542" s="37" t="str">
        <f t="shared" ca="1" si="31"/>
        <v/>
      </c>
    </row>
    <row r="543" spans="1:15" x14ac:dyDescent="0.25">
      <c r="A543" s="102"/>
      <c r="B543" s="33"/>
      <c r="C543" s="25"/>
      <c r="D543" s="33"/>
      <c r="E543" s="25"/>
      <c r="F543" s="55"/>
      <c r="N543" s="37" t="str">
        <f t="shared" ca="1" si="30"/>
        <v/>
      </c>
      <c r="O543" s="37" t="str">
        <f t="shared" ca="1" si="31"/>
        <v/>
      </c>
    </row>
    <row r="544" spans="1:15" x14ac:dyDescent="0.25">
      <c r="A544" s="102"/>
      <c r="B544" s="33"/>
      <c r="C544" s="25"/>
      <c r="D544" s="33"/>
      <c r="E544" s="25"/>
      <c r="F544" s="55"/>
      <c r="N544" s="37" t="str">
        <f t="shared" ca="1" si="30"/>
        <v/>
      </c>
      <c r="O544" s="37" t="str">
        <f t="shared" ca="1" si="31"/>
        <v/>
      </c>
    </row>
    <row r="545" spans="1:15" x14ac:dyDescent="0.25">
      <c r="A545" s="102"/>
      <c r="B545" s="33"/>
      <c r="C545" s="25"/>
      <c r="D545" s="33"/>
      <c r="E545" s="25"/>
      <c r="F545" s="55"/>
      <c r="N545" s="37" t="str">
        <f t="shared" ca="1" si="30"/>
        <v/>
      </c>
      <c r="O545" s="37" t="str">
        <f t="shared" ca="1" si="31"/>
        <v/>
      </c>
    </row>
    <row r="546" spans="1:15" x14ac:dyDescent="0.25">
      <c r="A546" s="102"/>
      <c r="B546" s="33"/>
      <c r="C546" s="25"/>
      <c r="D546" s="33"/>
      <c r="E546" s="25"/>
      <c r="F546" s="55"/>
      <c r="N546" s="37" t="str">
        <f t="shared" ca="1" si="30"/>
        <v/>
      </c>
      <c r="O546" s="37" t="str">
        <f t="shared" ca="1" si="31"/>
        <v/>
      </c>
    </row>
    <row r="547" spans="1:15" x14ac:dyDescent="0.25">
      <c r="A547" s="102"/>
      <c r="B547" s="33"/>
      <c r="C547" s="25"/>
      <c r="D547" s="33"/>
      <c r="E547" s="25"/>
      <c r="F547" s="55"/>
      <c r="N547" s="37" t="str">
        <f t="shared" ca="1" si="30"/>
        <v/>
      </c>
      <c r="O547" s="37" t="str">
        <f t="shared" ca="1" si="31"/>
        <v/>
      </c>
    </row>
    <row r="548" spans="1:15" x14ac:dyDescent="0.25">
      <c r="A548" s="102"/>
      <c r="B548" s="33"/>
      <c r="C548" s="25"/>
      <c r="D548" s="33"/>
      <c r="E548" s="25"/>
      <c r="F548" s="55"/>
      <c r="N548" s="37" t="str">
        <f t="shared" ca="1" si="30"/>
        <v/>
      </c>
      <c r="O548" s="37" t="str">
        <f t="shared" ca="1" si="31"/>
        <v/>
      </c>
    </row>
    <row r="549" spans="1:15" x14ac:dyDescent="0.25">
      <c r="A549" s="102"/>
      <c r="B549" s="33"/>
      <c r="C549" s="25"/>
      <c r="D549" s="33"/>
      <c r="E549" s="25"/>
      <c r="F549" s="55"/>
      <c r="N549" s="37" t="str">
        <f t="shared" ca="1" si="30"/>
        <v/>
      </c>
      <c r="O549" s="37" t="str">
        <f t="shared" ca="1" si="31"/>
        <v/>
      </c>
    </row>
    <row r="550" spans="1:15" x14ac:dyDescent="0.25">
      <c r="A550" s="102"/>
      <c r="B550" s="33"/>
      <c r="C550" s="25"/>
      <c r="D550" s="33"/>
      <c r="E550" s="25"/>
      <c r="F550" s="55"/>
      <c r="N550" s="37" t="str">
        <f t="shared" ca="1" si="30"/>
        <v/>
      </c>
      <c r="O550" s="37" t="str">
        <f t="shared" ca="1" si="31"/>
        <v/>
      </c>
    </row>
    <row r="551" spans="1:15" x14ac:dyDescent="0.25">
      <c r="A551" s="102"/>
      <c r="B551" s="33"/>
      <c r="C551" s="25"/>
      <c r="D551" s="33"/>
      <c r="E551" s="25"/>
      <c r="F551" s="55"/>
      <c r="N551" s="37" t="str">
        <f t="shared" ca="1" si="30"/>
        <v/>
      </c>
      <c r="O551" s="37" t="str">
        <f t="shared" ca="1" si="31"/>
        <v/>
      </c>
    </row>
    <row r="552" spans="1:15" x14ac:dyDescent="0.25">
      <c r="A552" s="102"/>
      <c r="B552" s="33"/>
      <c r="C552" s="25"/>
      <c r="D552" s="33"/>
      <c r="E552" s="25"/>
      <c r="F552" s="55"/>
      <c r="N552" s="37" t="str">
        <f t="shared" ca="1" si="30"/>
        <v/>
      </c>
      <c r="O552" s="37" t="str">
        <f t="shared" ca="1" si="31"/>
        <v/>
      </c>
    </row>
    <row r="553" spans="1:15" x14ac:dyDescent="0.25">
      <c r="A553" s="102"/>
      <c r="B553" s="33"/>
      <c r="C553" s="25"/>
      <c r="D553" s="33"/>
      <c r="E553" s="25"/>
      <c r="F553" s="55"/>
      <c r="N553" s="37" t="str">
        <f t="shared" ca="1" si="30"/>
        <v/>
      </c>
      <c r="O553" s="37" t="str">
        <f t="shared" ca="1" si="31"/>
        <v/>
      </c>
    </row>
    <row r="554" spans="1:15" x14ac:dyDescent="0.25">
      <c r="A554" s="102"/>
      <c r="B554" s="33"/>
      <c r="C554" s="25"/>
      <c r="D554" s="33"/>
      <c r="E554" s="25"/>
      <c r="F554" s="55"/>
      <c r="N554" s="37" t="str">
        <f t="shared" ca="1" si="30"/>
        <v/>
      </c>
      <c r="O554" s="37" t="str">
        <f t="shared" ca="1" si="31"/>
        <v/>
      </c>
    </row>
    <row r="555" spans="1:15" x14ac:dyDescent="0.25">
      <c r="A555" s="102"/>
      <c r="B555" s="33"/>
      <c r="C555" s="25"/>
      <c r="D555" s="33"/>
      <c r="E555" s="25"/>
      <c r="F555" s="55"/>
      <c r="N555" s="37" t="str">
        <f t="shared" ca="1" si="30"/>
        <v/>
      </c>
      <c r="O555" s="37" t="str">
        <f t="shared" ca="1" si="31"/>
        <v/>
      </c>
    </row>
    <row r="556" spans="1:15" x14ac:dyDescent="0.25">
      <c r="A556" s="102"/>
      <c r="B556" s="33"/>
      <c r="C556" s="25"/>
      <c r="D556" s="33"/>
      <c r="E556" s="25"/>
      <c r="F556" s="55"/>
      <c r="N556" s="37" t="str">
        <f t="shared" ca="1" si="30"/>
        <v/>
      </c>
      <c r="O556" s="37" t="str">
        <f t="shared" ca="1" si="31"/>
        <v/>
      </c>
    </row>
    <row r="557" spans="1:15" x14ac:dyDescent="0.25">
      <c r="A557" s="102"/>
      <c r="B557" s="33"/>
      <c r="C557" s="25"/>
      <c r="D557" s="33"/>
      <c r="E557" s="25"/>
      <c r="F557" s="55"/>
      <c r="N557" s="37" t="str">
        <f t="shared" ca="1" si="30"/>
        <v/>
      </c>
      <c r="O557" s="37" t="str">
        <f t="shared" ca="1" si="31"/>
        <v/>
      </c>
    </row>
    <row r="558" spans="1:15" x14ac:dyDescent="0.25">
      <c r="A558" s="102"/>
      <c r="B558" s="33"/>
      <c r="C558" s="25"/>
      <c r="D558" s="33"/>
      <c r="E558" s="25"/>
      <c r="F558" s="55"/>
      <c r="N558" s="37" t="str">
        <f t="shared" ca="1" si="30"/>
        <v/>
      </c>
      <c r="O558" s="37" t="str">
        <f t="shared" ca="1" si="31"/>
        <v/>
      </c>
    </row>
    <row r="559" spans="1:15" x14ac:dyDescent="0.25">
      <c r="A559" s="102"/>
      <c r="B559" s="33"/>
      <c r="C559" s="25"/>
      <c r="D559" s="33"/>
      <c r="E559" s="25"/>
      <c r="F559" s="55"/>
      <c r="N559" s="37" t="str">
        <f t="shared" ca="1" si="30"/>
        <v/>
      </c>
      <c r="O559" s="37" t="str">
        <f t="shared" ca="1" si="31"/>
        <v/>
      </c>
    </row>
    <row r="560" spans="1:15" x14ac:dyDescent="0.25">
      <c r="A560" s="102"/>
      <c r="B560" s="33"/>
      <c r="C560" s="25"/>
      <c r="D560" s="33"/>
      <c r="E560" s="25"/>
      <c r="F560" s="55"/>
      <c r="N560" s="37" t="str">
        <f t="shared" ca="1" si="30"/>
        <v/>
      </c>
      <c r="O560" s="37" t="str">
        <f t="shared" ca="1" si="31"/>
        <v/>
      </c>
    </row>
    <row r="561" spans="1:15" x14ac:dyDescent="0.25">
      <c r="A561" s="102"/>
      <c r="B561" s="33"/>
      <c r="C561" s="25"/>
      <c r="D561" s="33"/>
      <c r="E561" s="25"/>
      <c r="F561" s="55"/>
      <c r="N561" s="37" t="str">
        <f t="shared" ca="1" si="30"/>
        <v/>
      </c>
      <c r="O561" s="37" t="str">
        <f t="shared" ca="1" si="31"/>
        <v/>
      </c>
    </row>
    <row r="562" spans="1:15" x14ac:dyDescent="0.25">
      <c r="A562" s="102"/>
      <c r="B562" s="33"/>
      <c r="C562" s="25"/>
      <c r="D562" s="33"/>
      <c r="E562" s="25"/>
      <c r="F562" s="55"/>
      <c r="N562" s="37" t="str">
        <f t="shared" ca="1" si="30"/>
        <v/>
      </c>
      <c r="O562" s="37" t="str">
        <f t="shared" ca="1" si="31"/>
        <v/>
      </c>
    </row>
    <row r="563" spans="1:15" x14ac:dyDescent="0.25">
      <c r="A563" s="102"/>
      <c r="B563" s="33"/>
      <c r="C563" s="25"/>
      <c r="D563" s="33"/>
      <c r="E563" s="25"/>
      <c r="F563" s="55"/>
      <c r="N563" s="37" t="str">
        <f t="shared" ca="1" si="30"/>
        <v/>
      </c>
      <c r="O563" s="37" t="str">
        <f t="shared" ca="1" si="31"/>
        <v/>
      </c>
    </row>
    <row r="564" spans="1:15" x14ac:dyDescent="0.25">
      <c r="A564" s="102"/>
      <c r="B564" s="33"/>
      <c r="C564" s="25"/>
      <c r="D564" s="33"/>
      <c r="E564" s="25"/>
      <c r="F564" s="55"/>
      <c r="N564" s="37" t="str">
        <f t="shared" ca="1" si="30"/>
        <v/>
      </c>
      <c r="O564" s="37" t="str">
        <f t="shared" ca="1" si="31"/>
        <v/>
      </c>
    </row>
    <row r="565" spans="1:15" x14ac:dyDescent="0.25">
      <c r="A565" s="102"/>
      <c r="B565" s="33"/>
      <c r="C565" s="25"/>
      <c r="D565" s="33"/>
      <c r="E565" s="25"/>
      <c r="F565" s="55"/>
      <c r="N565" s="37" t="str">
        <f t="shared" ca="1" si="30"/>
        <v/>
      </c>
      <c r="O565" s="37" t="str">
        <f t="shared" ca="1" si="31"/>
        <v/>
      </c>
    </row>
    <row r="566" spans="1:15" x14ac:dyDescent="0.25">
      <c r="A566" s="102"/>
      <c r="B566" s="33"/>
      <c r="C566" s="25"/>
      <c r="D566" s="33"/>
      <c r="E566" s="25"/>
      <c r="F566" s="55"/>
      <c r="N566" s="37" t="str">
        <f t="shared" ca="1" si="30"/>
        <v/>
      </c>
      <c r="O566" s="37" t="str">
        <f t="shared" ca="1" si="31"/>
        <v/>
      </c>
    </row>
    <row r="567" spans="1:15" x14ac:dyDescent="0.25">
      <c r="A567" s="102"/>
      <c r="B567" s="33"/>
      <c r="C567" s="25"/>
      <c r="D567" s="33"/>
      <c r="E567" s="25"/>
      <c r="F567" s="55"/>
      <c r="N567" s="37" t="str">
        <f t="shared" ca="1" si="30"/>
        <v/>
      </c>
      <c r="O567" s="37" t="str">
        <f t="shared" ca="1" si="31"/>
        <v/>
      </c>
    </row>
    <row r="568" spans="1:15" x14ac:dyDescent="0.25">
      <c r="A568" s="102"/>
      <c r="B568" s="33"/>
      <c r="C568" s="25"/>
      <c r="D568" s="33"/>
      <c r="E568" s="25"/>
      <c r="F568" s="55"/>
      <c r="N568" s="37" t="str">
        <f t="shared" ca="1" si="30"/>
        <v/>
      </c>
      <c r="O568" s="37" t="str">
        <f t="shared" ca="1" si="31"/>
        <v/>
      </c>
    </row>
    <row r="569" spans="1:15" x14ac:dyDescent="0.25">
      <c r="A569" s="102"/>
      <c r="B569" s="33"/>
      <c r="C569" s="25"/>
      <c r="D569" s="33"/>
      <c r="E569" s="25"/>
      <c r="F569" s="55"/>
      <c r="N569" s="37" t="str">
        <f t="shared" ca="1" si="30"/>
        <v/>
      </c>
      <c r="O569" s="37" t="str">
        <f t="shared" ca="1" si="31"/>
        <v/>
      </c>
    </row>
    <row r="570" spans="1:15" x14ac:dyDescent="0.25">
      <c r="A570" s="102"/>
      <c r="B570" s="33"/>
      <c r="C570" s="25"/>
      <c r="D570" s="33"/>
      <c r="E570" s="25"/>
      <c r="F570" s="55"/>
      <c r="N570" s="37" t="str">
        <f t="shared" ca="1" si="30"/>
        <v/>
      </c>
      <c r="O570" s="37" t="str">
        <f t="shared" ca="1" si="31"/>
        <v/>
      </c>
    </row>
    <row r="571" spans="1:15" x14ac:dyDescent="0.25">
      <c r="A571" s="102"/>
      <c r="B571" s="33"/>
      <c r="C571" s="25"/>
      <c r="D571" s="33"/>
      <c r="E571" s="25"/>
      <c r="F571" s="55"/>
      <c r="N571" s="37" t="str">
        <f t="shared" ca="1" si="30"/>
        <v/>
      </c>
      <c r="O571" s="37" t="str">
        <f t="shared" ca="1" si="31"/>
        <v/>
      </c>
    </row>
    <row r="572" spans="1:15" x14ac:dyDescent="0.25">
      <c r="A572" s="102"/>
      <c r="B572" s="33"/>
      <c r="C572" s="25"/>
      <c r="D572" s="33"/>
      <c r="E572" s="25"/>
      <c r="F572" s="55"/>
      <c r="N572" s="37" t="str">
        <f t="shared" ca="1" si="30"/>
        <v/>
      </c>
      <c r="O572" s="37" t="str">
        <f t="shared" ca="1" si="31"/>
        <v/>
      </c>
    </row>
    <row r="573" spans="1:15" x14ac:dyDescent="0.25">
      <c r="A573" s="102"/>
      <c r="B573" s="33"/>
      <c r="C573" s="25"/>
      <c r="D573" s="33"/>
      <c r="E573" s="25"/>
      <c r="F573" s="55"/>
      <c r="N573" s="37" t="str">
        <f t="shared" ca="1" si="30"/>
        <v/>
      </c>
      <c r="O573" s="37" t="str">
        <f t="shared" ca="1" si="31"/>
        <v/>
      </c>
    </row>
    <row r="574" spans="1:15" x14ac:dyDescent="0.25">
      <c r="A574" s="102"/>
      <c r="B574" s="33"/>
      <c r="C574" s="25"/>
      <c r="D574" s="33"/>
      <c r="E574" s="25"/>
      <c r="F574" s="55"/>
      <c r="N574" s="37" t="str">
        <f t="shared" ca="1" si="30"/>
        <v/>
      </c>
      <c r="O574" s="37" t="str">
        <f t="shared" ca="1" si="31"/>
        <v/>
      </c>
    </row>
    <row r="575" spans="1:15" x14ac:dyDescent="0.25">
      <c r="A575" s="102"/>
      <c r="B575" s="33"/>
      <c r="C575" s="25"/>
      <c r="D575" s="33"/>
      <c r="E575" s="25"/>
      <c r="F575" s="55"/>
      <c r="N575" s="37" t="str">
        <f t="shared" ca="1" si="30"/>
        <v/>
      </c>
      <c r="O575" s="37" t="str">
        <f t="shared" ca="1" si="31"/>
        <v/>
      </c>
    </row>
    <row r="576" spans="1:15" x14ac:dyDescent="0.25">
      <c r="A576" s="102"/>
      <c r="B576" s="33"/>
      <c r="C576" s="25"/>
      <c r="D576" s="33"/>
      <c r="E576" s="25"/>
      <c r="F576" s="55"/>
      <c r="N576" s="37" t="str">
        <f t="shared" ca="1" si="30"/>
        <v/>
      </c>
      <c r="O576" s="37" t="str">
        <f t="shared" ca="1" si="31"/>
        <v/>
      </c>
    </row>
    <row r="577" spans="1:15" x14ac:dyDescent="0.25">
      <c r="A577" s="102"/>
      <c r="B577" s="33"/>
      <c r="C577" s="25"/>
      <c r="D577" s="33"/>
      <c r="E577" s="25"/>
      <c r="F577" s="55"/>
      <c r="N577" s="37" t="str">
        <f t="shared" ca="1" si="30"/>
        <v/>
      </c>
      <c r="O577" s="37" t="str">
        <f t="shared" ca="1" si="31"/>
        <v/>
      </c>
    </row>
    <row r="578" spans="1:15" x14ac:dyDescent="0.25">
      <c r="A578" s="102"/>
      <c r="B578" s="33"/>
      <c r="C578" s="25"/>
      <c r="D578" s="33"/>
      <c r="E578" s="25"/>
      <c r="F578" s="55"/>
      <c r="N578" s="37" t="str">
        <f t="shared" ca="1" si="30"/>
        <v/>
      </c>
      <c r="O578" s="37" t="str">
        <f t="shared" ca="1" si="31"/>
        <v/>
      </c>
    </row>
    <row r="579" spans="1:15" x14ac:dyDescent="0.25">
      <c r="A579" s="102"/>
      <c r="B579" s="33"/>
      <c r="C579" s="25"/>
      <c r="D579" s="33"/>
      <c r="E579" s="25"/>
      <c r="F579" s="55"/>
      <c r="N579" s="37" t="str">
        <f t="shared" ca="1" si="30"/>
        <v/>
      </c>
      <c r="O579" s="37" t="str">
        <f t="shared" ca="1" si="31"/>
        <v/>
      </c>
    </row>
    <row r="580" spans="1:15" x14ac:dyDescent="0.25">
      <c r="A580" s="102"/>
      <c r="B580" s="33"/>
      <c r="C580" s="25"/>
      <c r="D580" s="33"/>
      <c r="E580" s="25"/>
      <c r="F580" s="55"/>
      <c r="N580" s="37" t="str">
        <f t="shared" ref="N580:N643" ca="1" si="32">IF(COUNTIF(L:L,J580),J580,"")</f>
        <v/>
      </c>
      <c r="O580" s="37" t="str">
        <f t="shared" ref="O580:O643" ca="1" si="33">IF(N580&gt;$A$14,N580,"")</f>
        <v/>
      </c>
    </row>
    <row r="581" spans="1:15" x14ac:dyDescent="0.25">
      <c r="A581" s="102"/>
      <c r="B581" s="33"/>
      <c r="C581" s="25"/>
      <c r="D581" s="33"/>
      <c r="E581" s="25"/>
      <c r="F581" s="55"/>
      <c r="N581" s="37" t="str">
        <f t="shared" ca="1" si="32"/>
        <v/>
      </c>
      <c r="O581" s="37" t="str">
        <f t="shared" ca="1" si="33"/>
        <v/>
      </c>
    </row>
    <row r="582" spans="1:15" x14ac:dyDescent="0.25">
      <c r="A582" s="102"/>
      <c r="B582" s="33"/>
      <c r="C582" s="25"/>
      <c r="D582" s="33"/>
      <c r="E582" s="25"/>
      <c r="F582" s="55"/>
      <c r="N582" s="37" t="str">
        <f t="shared" ca="1" si="32"/>
        <v/>
      </c>
      <c r="O582" s="37" t="str">
        <f t="shared" ca="1" si="33"/>
        <v/>
      </c>
    </row>
    <row r="583" spans="1:15" x14ac:dyDescent="0.25">
      <c r="A583" s="102"/>
      <c r="B583" s="33"/>
      <c r="C583" s="25"/>
      <c r="D583" s="33"/>
      <c r="E583" s="25"/>
      <c r="F583" s="55"/>
      <c r="N583" s="37" t="str">
        <f t="shared" ca="1" si="32"/>
        <v/>
      </c>
      <c r="O583" s="37" t="str">
        <f t="shared" ca="1" si="33"/>
        <v/>
      </c>
    </row>
    <row r="584" spans="1:15" x14ac:dyDescent="0.25">
      <c r="A584" s="102"/>
      <c r="B584" s="33"/>
      <c r="C584" s="25"/>
      <c r="D584" s="33"/>
      <c r="E584" s="25"/>
      <c r="F584" s="55"/>
      <c r="N584" s="37" t="str">
        <f t="shared" ca="1" si="32"/>
        <v/>
      </c>
      <c r="O584" s="37" t="str">
        <f t="shared" ca="1" si="33"/>
        <v/>
      </c>
    </row>
    <row r="585" spans="1:15" x14ac:dyDescent="0.25">
      <c r="A585" s="102"/>
      <c r="B585" s="33"/>
      <c r="C585" s="25"/>
      <c r="D585" s="33"/>
      <c r="E585" s="25"/>
      <c r="F585" s="55"/>
      <c r="N585" s="37" t="str">
        <f t="shared" ca="1" si="32"/>
        <v/>
      </c>
      <c r="O585" s="37" t="str">
        <f t="shared" ca="1" si="33"/>
        <v/>
      </c>
    </row>
    <row r="586" spans="1:15" x14ac:dyDescent="0.25">
      <c r="A586" s="102"/>
      <c r="B586" s="33"/>
      <c r="C586" s="25"/>
      <c r="D586" s="33"/>
      <c r="E586" s="25"/>
      <c r="F586" s="55"/>
      <c r="N586" s="37" t="str">
        <f t="shared" ca="1" si="32"/>
        <v/>
      </c>
      <c r="O586" s="37" t="str">
        <f t="shared" ca="1" si="33"/>
        <v/>
      </c>
    </row>
    <row r="587" spans="1:15" x14ac:dyDescent="0.25">
      <c r="A587" s="102"/>
      <c r="B587" s="33"/>
      <c r="C587" s="25"/>
      <c r="D587" s="33"/>
      <c r="E587" s="25"/>
      <c r="F587" s="55"/>
      <c r="N587" s="37" t="str">
        <f t="shared" ca="1" si="32"/>
        <v/>
      </c>
      <c r="O587" s="37" t="str">
        <f t="shared" ca="1" si="33"/>
        <v/>
      </c>
    </row>
    <row r="588" spans="1:15" x14ac:dyDescent="0.25">
      <c r="A588" s="102"/>
      <c r="B588" s="33"/>
      <c r="C588" s="25"/>
      <c r="D588" s="33"/>
      <c r="E588" s="25"/>
      <c r="F588" s="55"/>
      <c r="N588" s="37" t="str">
        <f t="shared" ca="1" si="32"/>
        <v/>
      </c>
      <c r="O588" s="37" t="str">
        <f t="shared" ca="1" si="33"/>
        <v/>
      </c>
    </row>
    <row r="589" spans="1:15" x14ac:dyDescent="0.25">
      <c r="A589" s="102"/>
      <c r="B589" s="33"/>
      <c r="C589" s="25"/>
      <c r="D589" s="33"/>
      <c r="E589" s="25"/>
      <c r="F589" s="55"/>
      <c r="N589" s="37" t="str">
        <f t="shared" ca="1" si="32"/>
        <v/>
      </c>
      <c r="O589" s="37" t="str">
        <f t="shared" ca="1" si="33"/>
        <v/>
      </c>
    </row>
    <row r="590" spans="1:15" x14ac:dyDescent="0.25">
      <c r="A590" s="102"/>
      <c r="B590" s="33"/>
      <c r="C590" s="25"/>
      <c r="D590" s="33"/>
      <c r="E590" s="25"/>
      <c r="F590" s="55"/>
      <c r="N590" s="37" t="str">
        <f t="shared" ca="1" si="32"/>
        <v/>
      </c>
      <c r="O590" s="37" t="str">
        <f t="shared" ca="1" si="33"/>
        <v/>
      </c>
    </row>
    <row r="591" spans="1:15" x14ac:dyDescent="0.25">
      <c r="A591" s="102"/>
      <c r="B591" s="33"/>
      <c r="C591" s="25"/>
      <c r="D591" s="33"/>
      <c r="E591" s="25"/>
      <c r="F591" s="55"/>
      <c r="N591" s="37" t="str">
        <f t="shared" ca="1" si="32"/>
        <v/>
      </c>
      <c r="O591" s="37" t="str">
        <f t="shared" ca="1" si="33"/>
        <v/>
      </c>
    </row>
    <row r="592" spans="1:15" x14ac:dyDescent="0.25">
      <c r="A592" s="102"/>
      <c r="B592" s="33"/>
      <c r="C592" s="25"/>
      <c r="D592" s="33"/>
      <c r="E592" s="25"/>
      <c r="F592" s="55"/>
      <c r="N592" s="37" t="str">
        <f t="shared" ca="1" si="32"/>
        <v/>
      </c>
      <c r="O592" s="37" t="str">
        <f t="shared" ca="1" si="33"/>
        <v/>
      </c>
    </row>
    <row r="593" spans="1:15" x14ac:dyDescent="0.25">
      <c r="A593" s="102"/>
      <c r="B593" s="33"/>
      <c r="C593" s="25"/>
      <c r="D593" s="33"/>
      <c r="E593" s="25"/>
      <c r="F593" s="55"/>
      <c r="N593" s="37" t="str">
        <f t="shared" ca="1" si="32"/>
        <v/>
      </c>
      <c r="O593" s="37" t="str">
        <f t="shared" ca="1" si="33"/>
        <v/>
      </c>
    </row>
    <row r="594" spans="1:15" x14ac:dyDescent="0.25">
      <c r="A594" s="102"/>
      <c r="B594" s="33"/>
      <c r="C594" s="25"/>
      <c r="D594" s="33"/>
      <c r="E594" s="25"/>
      <c r="F594" s="55"/>
      <c r="N594" s="37" t="str">
        <f t="shared" ca="1" si="32"/>
        <v/>
      </c>
      <c r="O594" s="37" t="str">
        <f t="shared" ca="1" si="33"/>
        <v/>
      </c>
    </row>
    <row r="595" spans="1:15" x14ac:dyDescent="0.25">
      <c r="A595" s="102"/>
      <c r="B595" s="33"/>
      <c r="C595" s="25"/>
      <c r="D595" s="33"/>
      <c r="E595" s="25"/>
      <c r="F595" s="55"/>
      <c r="N595" s="37" t="str">
        <f t="shared" ca="1" si="32"/>
        <v/>
      </c>
      <c r="O595" s="37" t="str">
        <f t="shared" ca="1" si="33"/>
        <v/>
      </c>
    </row>
    <row r="596" spans="1:15" x14ac:dyDescent="0.25">
      <c r="A596" s="102"/>
      <c r="B596" s="33"/>
      <c r="C596" s="25"/>
      <c r="D596" s="33"/>
      <c r="E596" s="25"/>
      <c r="F596" s="55"/>
      <c r="N596" s="37" t="str">
        <f t="shared" ca="1" si="32"/>
        <v/>
      </c>
      <c r="O596" s="37" t="str">
        <f t="shared" ca="1" si="33"/>
        <v/>
      </c>
    </row>
    <row r="597" spans="1:15" x14ac:dyDescent="0.25">
      <c r="A597" s="102"/>
      <c r="B597" s="33"/>
      <c r="C597" s="25"/>
      <c r="D597" s="33"/>
      <c r="E597" s="25"/>
      <c r="F597" s="55"/>
      <c r="N597" s="37" t="str">
        <f t="shared" ca="1" si="32"/>
        <v/>
      </c>
      <c r="O597" s="37" t="str">
        <f t="shared" ca="1" si="33"/>
        <v/>
      </c>
    </row>
    <row r="598" spans="1:15" x14ac:dyDescent="0.25">
      <c r="A598" s="102"/>
      <c r="B598" s="33"/>
      <c r="C598" s="25"/>
      <c r="D598" s="33"/>
      <c r="E598" s="25"/>
      <c r="F598" s="55"/>
      <c r="N598" s="37" t="str">
        <f t="shared" ca="1" si="32"/>
        <v/>
      </c>
      <c r="O598" s="37" t="str">
        <f t="shared" ca="1" si="33"/>
        <v/>
      </c>
    </row>
    <row r="599" spans="1:15" x14ac:dyDescent="0.25">
      <c r="A599" s="102"/>
      <c r="B599" s="33"/>
      <c r="C599" s="25"/>
      <c r="D599" s="33"/>
      <c r="E599" s="25"/>
      <c r="F599" s="55"/>
      <c r="N599" s="37" t="str">
        <f t="shared" ca="1" si="32"/>
        <v/>
      </c>
      <c r="O599" s="37" t="str">
        <f t="shared" ca="1" si="33"/>
        <v/>
      </c>
    </row>
    <row r="600" spans="1:15" x14ac:dyDescent="0.25">
      <c r="A600" s="102"/>
      <c r="B600" s="33"/>
      <c r="C600" s="25"/>
      <c r="D600" s="33"/>
      <c r="E600" s="25"/>
      <c r="F600" s="55"/>
      <c r="N600" s="37" t="str">
        <f t="shared" ca="1" si="32"/>
        <v/>
      </c>
      <c r="O600" s="37" t="str">
        <f t="shared" ca="1" si="33"/>
        <v/>
      </c>
    </row>
    <row r="601" spans="1:15" x14ac:dyDescent="0.25">
      <c r="A601" s="102"/>
      <c r="B601" s="33"/>
      <c r="C601" s="25"/>
      <c r="D601" s="33"/>
      <c r="E601" s="25"/>
      <c r="F601" s="55"/>
      <c r="N601" s="37" t="str">
        <f t="shared" ca="1" si="32"/>
        <v/>
      </c>
      <c r="O601" s="37" t="str">
        <f t="shared" ca="1" si="33"/>
        <v/>
      </c>
    </row>
    <row r="602" spans="1:15" x14ac:dyDescent="0.25">
      <c r="A602" s="102"/>
      <c r="B602" s="33"/>
      <c r="C602" s="25"/>
      <c r="D602" s="33"/>
      <c r="E602" s="25"/>
      <c r="F602" s="55"/>
      <c r="N602" s="37" t="str">
        <f t="shared" ca="1" si="32"/>
        <v/>
      </c>
      <c r="O602" s="37" t="str">
        <f t="shared" ca="1" si="33"/>
        <v/>
      </c>
    </row>
    <row r="603" spans="1:15" x14ac:dyDescent="0.25">
      <c r="A603" s="102"/>
      <c r="B603" s="33"/>
      <c r="C603" s="25"/>
      <c r="D603" s="33"/>
      <c r="E603" s="25"/>
      <c r="F603" s="55"/>
      <c r="N603" s="37" t="str">
        <f t="shared" ca="1" si="32"/>
        <v/>
      </c>
      <c r="O603" s="37" t="str">
        <f t="shared" ca="1" si="33"/>
        <v/>
      </c>
    </row>
    <row r="604" spans="1:15" x14ac:dyDescent="0.25">
      <c r="A604" s="102"/>
      <c r="B604" s="33"/>
      <c r="C604" s="25"/>
      <c r="D604" s="33"/>
      <c r="E604" s="25"/>
      <c r="F604" s="55"/>
      <c r="N604" s="37" t="str">
        <f t="shared" ca="1" si="32"/>
        <v/>
      </c>
      <c r="O604" s="37" t="str">
        <f t="shared" ca="1" si="33"/>
        <v/>
      </c>
    </row>
    <row r="605" spans="1:15" x14ac:dyDescent="0.25">
      <c r="A605" s="102"/>
      <c r="B605" s="33"/>
      <c r="C605" s="25"/>
      <c r="D605" s="33"/>
      <c r="E605" s="25"/>
      <c r="F605" s="55"/>
      <c r="N605" s="37" t="str">
        <f t="shared" ca="1" si="32"/>
        <v/>
      </c>
      <c r="O605" s="37" t="str">
        <f t="shared" ca="1" si="33"/>
        <v/>
      </c>
    </row>
    <row r="606" spans="1:15" x14ac:dyDescent="0.25">
      <c r="A606" s="102"/>
      <c r="B606" s="33"/>
      <c r="C606" s="25"/>
      <c r="D606" s="33"/>
      <c r="E606" s="25"/>
      <c r="F606" s="55"/>
      <c r="N606" s="37" t="str">
        <f t="shared" ca="1" si="32"/>
        <v/>
      </c>
      <c r="O606" s="37" t="str">
        <f t="shared" ca="1" si="33"/>
        <v/>
      </c>
    </row>
    <row r="607" spans="1:15" x14ac:dyDescent="0.25">
      <c r="A607" s="102"/>
      <c r="B607" s="33"/>
      <c r="C607" s="25"/>
      <c r="D607" s="33"/>
      <c r="E607" s="25"/>
      <c r="F607" s="55"/>
      <c r="N607" s="37" t="str">
        <f t="shared" ca="1" si="32"/>
        <v/>
      </c>
      <c r="O607" s="37" t="str">
        <f t="shared" ca="1" si="33"/>
        <v/>
      </c>
    </row>
    <row r="608" spans="1:15" x14ac:dyDescent="0.25">
      <c r="A608" s="102"/>
      <c r="B608" s="33"/>
      <c r="C608" s="25"/>
      <c r="D608" s="33"/>
      <c r="E608" s="25"/>
      <c r="F608" s="55"/>
      <c r="N608" s="37" t="str">
        <f t="shared" ca="1" si="32"/>
        <v/>
      </c>
      <c r="O608" s="37" t="str">
        <f t="shared" ca="1" si="33"/>
        <v/>
      </c>
    </row>
    <row r="609" spans="1:15" x14ac:dyDescent="0.25">
      <c r="A609" s="102"/>
      <c r="B609" s="33"/>
      <c r="C609" s="25"/>
      <c r="D609" s="33"/>
      <c r="E609" s="25"/>
      <c r="F609" s="55"/>
      <c r="N609" s="37" t="str">
        <f t="shared" ca="1" si="32"/>
        <v/>
      </c>
      <c r="O609" s="37" t="str">
        <f t="shared" ca="1" si="33"/>
        <v/>
      </c>
    </row>
    <row r="610" spans="1:15" x14ac:dyDescent="0.25">
      <c r="A610" s="102"/>
      <c r="B610" s="33"/>
      <c r="C610" s="25"/>
      <c r="D610" s="33"/>
      <c r="E610" s="25"/>
      <c r="F610" s="55"/>
      <c r="N610" s="37" t="str">
        <f t="shared" ca="1" si="32"/>
        <v/>
      </c>
      <c r="O610" s="37" t="str">
        <f t="shared" ca="1" si="33"/>
        <v/>
      </c>
    </row>
    <row r="611" spans="1:15" x14ac:dyDescent="0.25">
      <c r="A611" s="102"/>
      <c r="B611" s="33"/>
      <c r="C611" s="25"/>
      <c r="D611" s="33"/>
      <c r="E611" s="25"/>
      <c r="F611" s="55"/>
      <c r="N611" s="37" t="str">
        <f t="shared" ca="1" si="32"/>
        <v/>
      </c>
      <c r="O611" s="37" t="str">
        <f t="shared" ca="1" si="33"/>
        <v/>
      </c>
    </row>
    <row r="612" spans="1:15" x14ac:dyDescent="0.25">
      <c r="A612" s="102"/>
      <c r="B612" s="33"/>
      <c r="C612" s="25"/>
      <c r="D612" s="33"/>
      <c r="E612" s="25"/>
      <c r="F612" s="55"/>
      <c r="N612" s="37" t="str">
        <f t="shared" ca="1" si="32"/>
        <v/>
      </c>
      <c r="O612" s="37" t="str">
        <f t="shared" ca="1" si="33"/>
        <v/>
      </c>
    </row>
    <row r="613" spans="1:15" x14ac:dyDescent="0.25">
      <c r="A613" s="102"/>
      <c r="B613" s="33"/>
      <c r="C613" s="25"/>
      <c r="D613" s="33"/>
      <c r="E613" s="25"/>
      <c r="F613" s="55"/>
      <c r="N613" s="37" t="str">
        <f t="shared" ca="1" si="32"/>
        <v/>
      </c>
      <c r="O613" s="37" t="str">
        <f t="shared" ca="1" si="33"/>
        <v/>
      </c>
    </row>
    <row r="614" spans="1:15" x14ac:dyDescent="0.25">
      <c r="A614" s="102"/>
      <c r="B614" s="33"/>
      <c r="C614" s="25"/>
      <c r="D614" s="33"/>
      <c r="E614" s="25"/>
      <c r="F614" s="55"/>
      <c r="N614" s="37" t="str">
        <f t="shared" ca="1" si="32"/>
        <v/>
      </c>
      <c r="O614" s="37" t="str">
        <f t="shared" ca="1" si="33"/>
        <v/>
      </c>
    </row>
    <row r="615" spans="1:15" x14ac:dyDescent="0.25">
      <c r="A615" s="102"/>
      <c r="B615" s="33"/>
      <c r="C615" s="25"/>
      <c r="D615" s="33"/>
      <c r="E615" s="25"/>
      <c r="F615" s="55"/>
      <c r="N615" s="37" t="str">
        <f t="shared" ca="1" si="32"/>
        <v/>
      </c>
      <c r="O615" s="37" t="str">
        <f t="shared" ca="1" si="33"/>
        <v/>
      </c>
    </row>
    <row r="616" spans="1:15" x14ac:dyDescent="0.25">
      <c r="A616" s="102"/>
      <c r="B616" s="33"/>
      <c r="C616" s="25"/>
      <c r="D616" s="33"/>
      <c r="E616" s="25"/>
      <c r="F616" s="55"/>
      <c r="N616" s="37" t="str">
        <f t="shared" ca="1" si="32"/>
        <v/>
      </c>
      <c r="O616" s="37" t="str">
        <f t="shared" ca="1" si="33"/>
        <v/>
      </c>
    </row>
    <row r="617" spans="1:15" x14ac:dyDescent="0.25">
      <c r="A617" s="102"/>
      <c r="B617" s="33"/>
      <c r="C617" s="25"/>
      <c r="D617" s="33"/>
      <c r="E617" s="25"/>
      <c r="F617" s="55"/>
      <c r="N617" s="37" t="str">
        <f t="shared" ca="1" si="32"/>
        <v/>
      </c>
      <c r="O617" s="37" t="str">
        <f t="shared" ca="1" si="33"/>
        <v/>
      </c>
    </row>
    <row r="618" spans="1:15" x14ac:dyDescent="0.25">
      <c r="A618" s="102"/>
      <c r="B618" s="33"/>
      <c r="C618" s="25"/>
      <c r="D618" s="33"/>
      <c r="E618" s="25"/>
      <c r="F618" s="55"/>
      <c r="N618" s="37" t="str">
        <f t="shared" ca="1" si="32"/>
        <v/>
      </c>
      <c r="O618" s="37" t="str">
        <f t="shared" ca="1" si="33"/>
        <v/>
      </c>
    </row>
    <row r="619" spans="1:15" x14ac:dyDescent="0.25">
      <c r="A619" s="102"/>
      <c r="B619" s="33"/>
      <c r="C619" s="25"/>
      <c r="D619" s="33"/>
      <c r="E619" s="25"/>
      <c r="F619" s="55"/>
      <c r="N619" s="37" t="str">
        <f t="shared" ca="1" si="32"/>
        <v/>
      </c>
      <c r="O619" s="37" t="str">
        <f t="shared" ca="1" si="33"/>
        <v/>
      </c>
    </row>
    <row r="620" spans="1:15" x14ac:dyDescent="0.25">
      <c r="A620" s="102"/>
      <c r="B620" s="33"/>
      <c r="C620" s="25"/>
      <c r="D620" s="33"/>
      <c r="E620" s="25"/>
      <c r="F620" s="55"/>
      <c r="N620" s="37" t="str">
        <f t="shared" ca="1" si="32"/>
        <v/>
      </c>
      <c r="O620" s="37" t="str">
        <f t="shared" ca="1" si="33"/>
        <v/>
      </c>
    </row>
    <row r="621" spans="1:15" x14ac:dyDescent="0.25">
      <c r="A621" s="102"/>
      <c r="B621" s="33"/>
      <c r="C621" s="25"/>
      <c r="D621" s="33"/>
      <c r="E621" s="25"/>
      <c r="F621" s="55"/>
      <c r="N621" s="37" t="str">
        <f t="shared" ca="1" si="32"/>
        <v/>
      </c>
      <c r="O621" s="37" t="str">
        <f t="shared" ca="1" si="33"/>
        <v/>
      </c>
    </row>
    <row r="622" spans="1:15" x14ac:dyDescent="0.25">
      <c r="A622" s="102"/>
      <c r="B622" s="33"/>
      <c r="C622" s="25"/>
      <c r="D622" s="33"/>
      <c r="E622" s="25"/>
      <c r="F622" s="55"/>
      <c r="N622" s="37" t="str">
        <f t="shared" ca="1" si="32"/>
        <v/>
      </c>
      <c r="O622" s="37" t="str">
        <f t="shared" ca="1" si="33"/>
        <v/>
      </c>
    </row>
    <row r="623" spans="1:15" x14ac:dyDescent="0.25">
      <c r="A623" s="102"/>
      <c r="B623" s="33"/>
      <c r="C623" s="25"/>
      <c r="D623" s="33"/>
      <c r="E623" s="25"/>
      <c r="F623" s="55"/>
      <c r="N623" s="37" t="str">
        <f t="shared" ca="1" si="32"/>
        <v/>
      </c>
      <c r="O623" s="37" t="str">
        <f t="shared" ca="1" si="33"/>
        <v/>
      </c>
    </row>
    <row r="624" spans="1:15" x14ac:dyDescent="0.25">
      <c r="A624" s="102"/>
      <c r="B624" s="33"/>
      <c r="C624" s="25"/>
      <c r="D624" s="33"/>
      <c r="E624" s="25"/>
      <c r="F624" s="55"/>
      <c r="N624" s="37" t="str">
        <f t="shared" ca="1" si="32"/>
        <v/>
      </c>
      <c r="O624" s="37" t="str">
        <f t="shared" ca="1" si="33"/>
        <v/>
      </c>
    </row>
    <row r="625" spans="1:15" x14ac:dyDescent="0.25">
      <c r="A625" s="102"/>
      <c r="B625" s="33"/>
      <c r="C625" s="25"/>
      <c r="D625" s="33"/>
      <c r="E625" s="25"/>
      <c r="F625" s="55"/>
      <c r="N625" s="37" t="str">
        <f t="shared" ca="1" si="32"/>
        <v/>
      </c>
      <c r="O625" s="37" t="str">
        <f t="shared" ca="1" si="33"/>
        <v/>
      </c>
    </row>
    <row r="626" spans="1:15" x14ac:dyDescent="0.25">
      <c r="A626" s="102"/>
      <c r="B626" s="33"/>
      <c r="C626" s="25"/>
      <c r="D626" s="33"/>
      <c r="E626" s="25"/>
      <c r="F626" s="55"/>
      <c r="N626" s="37" t="str">
        <f t="shared" ca="1" si="32"/>
        <v/>
      </c>
      <c r="O626" s="37" t="str">
        <f t="shared" ca="1" si="33"/>
        <v/>
      </c>
    </row>
    <row r="627" spans="1:15" x14ac:dyDescent="0.25">
      <c r="A627" s="102"/>
      <c r="B627" s="33"/>
      <c r="C627" s="25"/>
      <c r="D627" s="33"/>
      <c r="E627" s="25"/>
      <c r="F627" s="55"/>
      <c r="N627" s="37" t="str">
        <f t="shared" ca="1" si="32"/>
        <v/>
      </c>
      <c r="O627" s="37" t="str">
        <f t="shared" ca="1" si="33"/>
        <v/>
      </c>
    </row>
    <row r="628" spans="1:15" x14ac:dyDescent="0.25">
      <c r="A628" s="102"/>
      <c r="B628" s="33"/>
      <c r="C628" s="25"/>
      <c r="D628" s="33"/>
      <c r="E628" s="25"/>
      <c r="F628" s="55"/>
      <c r="N628" s="37" t="str">
        <f t="shared" ca="1" si="32"/>
        <v/>
      </c>
      <c r="O628" s="37" t="str">
        <f t="shared" ca="1" si="33"/>
        <v/>
      </c>
    </row>
    <row r="629" spans="1:15" x14ac:dyDescent="0.25">
      <c r="A629" s="102"/>
      <c r="B629" s="33"/>
      <c r="C629" s="25"/>
      <c r="D629" s="33"/>
      <c r="E629" s="25"/>
      <c r="F629" s="55"/>
      <c r="N629" s="37" t="str">
        <f t="shared" ca="1" si="32"/>
        <v/>
      </c>
      <c r="O629" s="37" t="str">
        <f t="shared" ca="1" si="33"/>
        <v/>
      </c>
    </row>
    <row r="630" spans="1:15" x14ac:dyDescent="0.25">
      <c r="A630" s="102"/>
      <c r="B630" s="33"/>
      <c r="C630" s="25"/>
      <c r="D630" s="33"/>
      <c r="E630" s="25"/>
      <c r="F630" s="55"/>
      <c r="N630" s="37" t="str">
        <f t="shared" ca="1" si="32"/>
        <v/>
      </c>
      <c r="O630" s="37" t="str">
        <f t="shared" ca="1" si="33"/>
        <v/>
      </c>
    </row>
    <row r="631" spans="1:15" x14ac:dyDescent="0.25">
      <c r="A631" s="102"/>
      <c r="B631" s="33"/>
      <c r="C631" s="25"/>
      <c r="D631" s="33"/>
      <c r="E631" s="25"/>
      <c r="F631" s="55"/>
      <c r="N631" s="37" t="str">
        <f t="shared" ca="1" si="32"/>
        <v/>
      </c>
      <c r="O631" s="37" t="str">
        <f t="shared" ca="1" si="33"/>
        <v/>
      </c>
    </row>
    <row r="632" spans="1:15" x14ac:dyDescent="0.25">
      <c r="A632" s="102"/>
      <c r="B632" s="33"/>
      <c r="C632" s="25"/>
      <c r="D632" s="33"/>
      <c r="E632" s="25"/>
      <c r="F632" s="55"/>
      <c r="N632" s="37" t="str">
        <f t="shared" ca="1" si="32"/>
        <v/>
      </c>
      <c r="O632" s="37" t="str">
        <f t="shared" ca="1" si="33"/>
        <v/>
      </c>
    </row>
    <row r="633" spans="1:15" x14ac:dyDescent="0.25">
      <c r="A633" s="102"/>
      <c r="B633" s="33"/>
      <c r="C633" s="25"/>
      <c r="D633" s="33"/>
      <c r="E633" s="25"/>
      <c r="F633" s="55"/>
      <c r="N633" s="37" t="str">
        <f t="shared" ca="1" si="32"/>
        <v/>
      </c>
      <c r="O633" s="37" t="str">
        <f t="shared" ca="1" si="33"/>
        <v/>
      </c>
    </row>
    <row r="634" spans="1:15" x14ac:dyDescent="0.25">
      <c r="A634" s="102"/>
      <c r="B634" s="33"/>
      <c r="C634" s="25"/>
      <c r="D634" s="33"/>
      <c r="E634" s="25"/>
      <c r="F634" s="55"/>
      <c r="N634" s="37" t="str">
        <f t="shared" ca="1" si="32"/>
        <v/>
      </c>
      <c r="O634" s="37" t="str">
        <f t="shared" ca="1" si="33"/>
        <v/>
      </c>
    </row>
    <row r="635" spans="1:15" x14ac:dyDescent="0.25">
      <c r="A635" s="102"/>
      <c r="B635" s="33"/>
      <c r="C635" s="25"/>
      <c r="D635" s="33"/>
      <c r="E635" s="25"/>
      <c r="F635" s="55"/>
      <c r="N635" s="37" t="str">
        <f t="shared" ca="1" si="32"/>
        <v/>
      </c>
      <c r="O635" s="37" t="str">
        <f t="shared" ca="1" si="33"/>
        <v/>
      </c>
    </row>
    <row r="636" spans="1:15" x14ac:dyDescent="0.25">
      <c r="A636" s="102"/>
      <c r="B636" s="33"/>
      <c r="C636" s="25"/>
      <c r="D636" s="33"/>
      <c r="E636" s="25"/>
      <c r="F636" s="55"/>
      <c r="N636" s="37" t="str">
        <f t="shared" ca="1" si="32"/>
        <v/>
      </c>
      <c r="O636" s="37" t="str">
        <f t="shared" ca="1" si="33"/>
        <v/>
      </c>
    </row>
    <row r="637" spans="1:15" x14ac:dyDescent="0.25">
      <c r="A637" s="102"/>
      <c r="B637" s="33"/>
      <c r="C637" s="25"/>
      <c r="D637" s="33"/>
      <c r="E637" s="25"/>
      <c r="F637" s="55"/>
      <c r="N637" s="37" t="str">
        <f t="shared" ca="1" si="32"/>
        <v/>
      </c>
      <c r="O637" s="37" t="str">
        <f t="shared" ca="1" si="33"/>
        <v/>
      </c>
    </row>
    <row r="638" spans="1:15" x14ac:dyDescent="0.25">
      <c r="A638" s="102"/>
      <c r="B638" s="33"/>
      <c r="C638" s="25"/>
      <c r="D638" s="33"/>
      <c r="E638" s="25"/>
      <c r="F638" s="55"/>
      <c r="N638" s="37" t="str">
        <f t="shared" ca="1" si="32"/>
        <v/>
      </c>
      <c r="O638" s="37" t="str">
        <f t="shared" ca="1" si="33"/>
        <v/>
      </c>
    </row>
    <row r="639" spans="1:15" x14ac:dyDescent="0.25">
      <c r="A639" s="102"/>
      <c r="B639" s="33"/>
      <c r="C639" s="25"/>
      <c r="D639" s="33"/>
      <c r="E639" s="25"/>
      <c r="F639" s="55"/>
      <c r="N639" s="37" t="str">
        <f t="shared" ca="1" si="32"/>
        <v/>
      </c>
      <c r="O639" s="37" t="str">
        <f t="shared" ca="1" si="33"/>
        <v/>
      </c>
    </row>
    <row r="640" spans="1:15" x14ac:dyDescent="0.25">
      <c r="A640" s="102"/>
      <c r="B640" s="33"/>
      <c r="C640" s="25"/>
      <c r="D640" s="33"/>
      <c r="E640" s="25"/>
      <c r="F640" s="55"/>
      <c r="N640" s="37" t="str">
        <f t="shared" ca="1" si="32"/>
        <v/>
      </c>
      <c r="O640" s="37" t="str">
        <f t="shared" ca="1" si="33"/>
        <v/>
      </c>
    </row>
    <row r="641" spans="1:15" x14ac:dyDescent="0.25">
      <c r="A641" s="102"/>
      <c r="B641" s="33"/>
      <c r="C641" s="25"/>
      <c r="D641" s="33"/>
      <c r="E641" s="25"/>
      <c r="F641" s="55"/>
      <c r="N641" s="37" t="str">
        <f t="shared" ca="1" si="32"/>
        <v/>
      </c>
      <c r="O641" s="37" t="str">
        <f t="shared" ca="1" si="33"/>
        <v/>
      </c>
    </row>
    <row r="642" spans="1:15" x14ac:dyDescent="0.25">
      <c r="A642" s="102"/>
      <c r="B642" s="33"/>
      <c r="C642" s="25"/>
      <c r="D642" s="33"/>
      <c r="E642" s="25"/>
      <c r="F642" s="55"/>
      <c r="N642" s="37" t="str">
        <f t="shared" ca="1" si="32"/>
        <v/>
      </c>
      <c r="O642" s="37" t="str">
        <f t="shared" ca="1" si="33"/>
        <v/>
      </c>
    </row>
    <row r="643" spans="1:15" x14ac:dyDescent="0.25">
      <c r="A643" s="102"/>
      <c r="B643" s="33"/>
      <c r="C643" s="25"/>
      <c r="D643" s="33"/>
      <c r="E643" s="25"/>
      <c r="F643" s="55"/>
      <c r="N643" s="37" t="str">
        <f t="shared" ca="1" si="32"/>
        <v/>
      </c>
      <c r="O643" s="37" t="str">
        <f t="shared" ca="1" si="33"/>
        <v/>
      </c>
    </row>
    <row r="644" spans="1:15" x14ac:dyDescent="0.25">
      <c r="A644" s="102"/>
      <c r="B644" s="33"/>
      <c r="C644" s="25"/>
      <c r="D644" s="33"/>
      <c r="E644" s="25"/>
      <c r="F644" s="55"/>
      <c r="N644" s="37" t="str">
        <f t="shared" ref="N644:N707" ca="1" si="34">IF(COUNTIF(L:L,J644),J644,"")</f>
        <v/>
      </c>
      <c r="O644" s="37" t="str">
        <f t="shared" ref="O644:O707" ca="1" si="35">IF(N644&gt;$A$14,N644,"")</f>
        <v/>
      </c>
    </row>
    <row r="645" spans="1:15" x14ac:dyDescent="0.25">
      <c r="A645" s="102"/>
      <c r="B645" s="33"/>
      <c r="C645" s="25"/>
      <c r="D645" s="33"/>
      <c r="E645" s="25"/>
      <c r="F645" s="55"/>
      <c r="N645" s="37" t="str">
        <f t="shared" ca="1" si="34"/>
        <v/>
      </c>
      <c r="O645" s="37" t="str">
        <f t="shared" ca="1" si="35"/>
        <v/>
      </c>
    </row>
    <row r="646" spans="1:15" x14ac:dyDescent="0.25">
      <c r="A646" s="102"/>
      <c r="B646" s="33"/>
      <c r="C646" s="25"/>
      <c r="D646" s="33"/>
      <c r="E646" s="25"/>
      <c r="F646" s="55"/>
      <c r="N646" s="37" t="str">
        <f t="shared" ca="1" si="34"/>
        <v/>
      </c>
      <c r="O646" s="37" t="str">
        <f t="shared" ca="1" si="35"/>
        <v/>
      </c>
    </row>
    <row r="647" spans="1:15" x14ac:dyDescent="0.25">
      <c r="A647" s="102"/>
      <c r="B647" s="33"/>
      <c r="C647" s="25"/>
      <c r="D647" s="33"/>
      <c r="E647" s="25"/>
      <c r="F647" s="55"/>
      <c r="N647" s="37" t="str">
        <f t="shared" ca="1" si="34"/>
        <v/>
      </c>
      <c r="O647" s="37" t="str">
        <f t="shared" ca="1" si="35"/>
        <v/>
      </c>
    </row>
    <row r="648" spans="1:15" x14ac:dyDescent="0.25">
      <c r="A648" s="102"/>
      <c r="B648" s="33"/>
      <c r="C648" s="25"/>
      <c r="D648" s="33"/>
      <c r="E648" s="25"/>
      <c r="F648" s="55"/>
      <c r="N648" s="37" t="str">
        <f t="shared" ca="1" si="34"/>
        <v/>
      </c>
      <c r="O648" s="37" t="str">
        <f t="shared" ca="1" si="35"/>
        <v/>
      </c>
    </row>
    <row r="649" spans="1:15" x14ac:dyDescent="0.25">
      <c r="A649" s="102"/>
      <c r="B649" s="33"/>
      <c r="C649" s="25"/>
      <c r="D649" s="33"/>
      <c r="E649" s="25"/>
      <c r="F649" s="55"/>
      <c r="N649" s="37" t="str">
        <f t="shared" ca="1" si="34"/>
        <v/>
      </c>
      <c r="O649" s="37" t="str">
        <f t="shared" ca="1" si="35"/>
        <v/>
      </c>
    </row>
    <row r="650" spans="1:15" x14ac:dyDescent="0.25">
      <c r="A650" s="102"/>
      <c r="B650" s="33"/>
      <c r="C650" s="25"/>
      <c r="D650" s="33"/>
      <c r="E650" s="25"/>
      <c r="F650" s="55"/>
      <c r="N650" s="37" t="str">
        <f t="shared" ca="1" si="34"/>
        <v/>
      </c>
      <c r="O650" s="37" t="str">
        <f t="shared" ca="1" si="35"/>
        <v/>
      </c>
    </row>
    <row r="651" spans="1:15" x14ac:dyDescent="0.25">
      <c r="A651" s="102"/>
      <c r="B651" s="33"/>
      <c r="C651" s="25"/>
      <c r="D651" s="33"/>
      <c r="E651" s="25"/>
      <c r="F651" s="55"/>
      <c r="N651" s="37" t="str">
        <f t="shared" ca="1" si="34"/>
        <v/>
      </c>
      <c r="O651" s="37" t="str">
        <f t="shared" ca="1" si="35"/>
        <v/>
      </c>
    </row>
    <row r="652" spans="1:15" x14ac:dyDescent="0.25">
      <c r="A652" s="102"/>
      <c r="B652" s="33"/>
      <c r="C652" s="25"/>
      <c r="D652" s="33"/>
      <c r="E652" s="25"/>
      <c r="F652" s="55"/>
      <c r="N652" s="37" t="str">
        <f t="shared" ca="1" si="34"/>
        <v/>
      </c>
      <c r="O652" s="37" t="str">
        <f t="shared" ca="1" si="35"/>
        <v/>
      </c>
    </row>
    <row r="653" spans="1:15" x14ac:dyDescent="0.25">
      <c r="A653" s="102"/>
      <c r="B653" s="33"/>
      <c r="C653" s="25"/>
      <c r="D653" s="33"/>
      <c r="E653" s="25"/>
      <c r="F653" s="55"/>
      <c r="N653" s="37" t="str">
        <f t="shared" ca="1" si="34"/>
        <v/>
      </c>
      <c r="O653" s="37" t="str">
        <f t="shared" ca="1" si="35"/>
        <v/>
      </c>
    </row>
    <row r="654" spans="1:15" x14ac:dyDescent="0.25">
      <c r="A654" s="102"/>
      <c r="B654" s="33"/>
      <c r="C654" s="25"/>
      <c r="D654" s="33"/>
      <c r="E654" s="25"/>
      <c r="F654" s="55"/>
      <c r="N654" s="37" t="str">
        <f t="shared" ca="1" si="34"/>
        <v/>
      </c>
      <c r="O654" s="37" t="str">
        <f t="shared" ca="1" si="35"/>
        <v/>
      </c>
    </row>
    <row r="655" spans="1:15" x14ac:dyDescent="0.25">
      <c r="A655" s="102"/>
      <c r="B655" s="33"/>
      <c r="C655" s="25"/>
      <c r="D655" s="33"/>
      <c r="E655" s="25"/>
      <c r="F655" s="55"/>
      <c r="N655" s="37" t="str">
        <f t="shared" ca="1" si="34"/>
        <v/>
      </c>
      <c r="O655" s="37" t="str">
        <f t="shared" ca="1" si="35"/>
        <v/>
      </c>
    </row>
    <row r="656" spans="1:15" x14ac:dyDescent="0.25">
      <c r="A656" s="102"/>
      <c r="B656" s="33"/>
      <c r="C656" s="25"/>
      <c r="D656" s="33"/>
      <c r="E656" s="25"/>
      <c r="F656" s="55"/>
      <c r="N656" s="37" t="str">
        <f t="shared" ca="1" si="34"/>
        <v/>
      </c>
      <c r="O656" s="37" t="str">
        <f t="shared" ca="1" si="35"/>
        <v/>
      </c>
    </row>
    <row r="657" spans="1:15" x14ac:dyDescent="0.25">
      <c r="A657" s="102"/>
      <c r="B657" s="33"/>
      <c r="C657" s="25"/>
      <c r="D657" s="33"/>
      <c r="E657" s="25"/>
      <c r="F657" s="55"/>
      <c r="N657" s="37" t="str">
        <f t="shared" ca="1" si="34"/>
        <v/>
      </c>
      <c r="O657" s="37" t="str">
        <f t="shared" ca="1" si="35"/>
        <v/>
      </c>
    </row>
    <row r="658" spans="1:15" x14ac:dyDescent="0.25">
      <c r="A658" s="102"/>
      <c r="B658" s="33"/>
      <c r="C658" s="25"/>
      <c r="D658" s="33"/>
      <c r="E658" s="25"/>
      <c r="F658" s="55"/>
      <c r="N658" s="37" t="str">
        <f t="shared" ca="1" si="34"/>
        <v/>
      </c>
      <c r="O658" s="37" t="str">
        <f t="shared" ca="1" si="35"/>
        <v/>
      </c>
    </row>
    <row r="659" spans="1:15" x14ac:dyDescent="0.25">
      <c r="A659" s="102"/>
      <c r="B659" s="33"/>
      <c r="C659" s="25"/>
      <c r="D659" s="33"/>
      <c r="E659" s="25"/>
      <c r="F659" s="55"/>
      <c r="N659" s="37" t="str">
        <f t="shared" ca="1" si="34"/>
        <v/>
      </c>
      <c r="O659" s="37" t="str">
        <f t="shared" ca="1" si="35"/>
        <v/>
      </c>
    </row>
    <row r="660" spans="1:15" x14ac:dyDescent="0.25">
      <c r="A660" s="102"/>
      <c r="B660" s="33"/>
      <c r="C660" s="25"/>
      <c r="D660" s="33"/>
      <c r="E660" s="25"/>
      <c r="F660" s="55"/>
      <c r="N660" s="37" t="str">
        <f t="shared" ca="1" si="34"/>
        <v/>
      </c>
      <c r="O660" s="37" t="str">
        <f t="shared" ca="1" si="35"/>
        <v/>
      </c>
    </row>
    <row r="661" spans="1:15" x14ac:dyDescent="0.25">
      <c r="A661" s="102"/>
      <c r="B661" s="33"/>
      <c r="C661" s="25"/>
      <c r="D661" s="33"/>
      <c r="E661" s="25"/>
      <c r="F661" s="55"/>
      <c r="N661" s="37" t="str">
        <f t="shared" ca="1" si="34"/>
        <v/>
      </c>
      <c r="O661" s="37" t="str">
        <f t="shared" ca="1" si="35"/>
        <v/>
      </c>
    </row>
    <row r="662" spans="1:15" x14ac:dyDescent="0.25">
      <c r="A662" s="102"/>
      <c r="B662" s="33"/>
      <c r="C662" s="25"/>
      <c r="D662" s="33"/>
      <c r="E662" s="25"/>
      <c r="F662" s="55"/>
      <c r="N662" s="37" t="str">
        <f t="shared" ca="1" si="34"/>
        <v/>
      </c>
      <c r="O662" s="37" t="str">
        <f t="shared" ca="1" si="35"/>
        <v/>
      </c>
    </row>
    <row r="663" spans="1:15" x14ac:dyDescent="0.25">
      <c r="A663" s="102"/>
      <c r="B663" s="33"/>
      <c r="C663" s="25"/>
      <c r="D663" s="33"/>
      <c r="E663" s="25"/>
      <c r="F663" s="55"/>
      <c r="N663" s="37" t="str">
        <f t="shared" ca="1" si="34"/>
        <v/>
      </c>
      <c r="O663" s="37" t="str">
        <f t="shared" ca="1" si="35"/>
        <v/>
      </c>
    </row>
    <row r="664" spans="1:15" x14ac:dyDescent="0.25">
      <c r="A664" s="102"/>
      <c r="B664" s="33"/>
      <c r="C664" s="25"/>
      <c r="D664" s="33"/>
      <c r="E664" s="25"/>
      <c r="F664" s="55"/>
      <c r="N664" s="37" t="str">
        <f t="shared" ca="1" si="34"/>
        <v/>
      </c>
      <c r="O664" s="37" t="str">
        <f t="shared" ca="1" si="35"/>
        <v/>
      </c>
    </row>
    <row r="665" spans="1:15" x14ac:dyDescent="0.25">
      <c r="A665" s="102"/>
      <c r="B665" s="33"/>
      <c r="C665" s="25"/>
      <c r="D665" s="33"/>
      <c r="E665" s="25"/>
      <c r="F665" s="55"/>
      <c r="N665" s="37" t="str">
        <f t="shared" ca="1" si="34"/>
        <v/>
      </c>
      <c r="O665" s="37" t="str">
        <f t="shared" ca="1" si="35"/>
        <v/>
      </c>
    </row>
    <row r="666" spans="1:15" x14ac:dyDescent="0.25">
      <c r="A666" s="102"/>
      <c r="B666" s="33"/>
      <c r="C666" s="25"/>
      <c r="D666" s="33"/>
      <c r="E666" s="25"/>
      <c r="F666" s="55"/>
      <c r="N666" s="37" t="str">
        <f t="shared" ca="1" si="34"/>
        <v/>
      </c>
      <c r="O666" s="37" t="str">
        <f t="shared" ca="1" si="35"/>
        <v/>
      </c>
    </row>
    <row r="667" spans="1:15" x14ac:dyDescent="0.25">
      <c r="A667" s="102"/>
      <c r="B667" s="33"/>
      <c r="C667" s="25"/>
      <c r="D667" s="33"/>
      <c r="E667" s="25"/>
      <c r="F667" s="55"/>
      <c r="N667" s="37" t="str">
        <f t="shared" ca="1" si="34"/>
        <v/>
      </c>
      <c r="O667" s="37" t="str">
        <f t="shared" ca="1" si="35"/>
        <v/>
      </c>
    </row>
    <row r="668" spans="1:15" x14ac:dyDescent="0.25">
      <c r="A668" s="102"/>
      <c r="B668" s="33"/>
      <c r="C668" s="25"/>
      <c r="D668" s="33"/>
      <c r="E668" s="25"/>
      <c r="F668" s="55"/>
      <c r="N668" s="37" t="str">
        <f t="shared" ca="1" si="34"/>
        <v/>
      </c>
      <c r="O668" s="37" t="str">
        <f t="shared" ca="1" si="35"/>
        <v/>
      </c>
    </row>
    <row r="669" spans="1:15" x14ac:dyDescent="0.25">
      <c r="A669" s="102"/>
      <c r="B669" s="33"/>
      <c r="C669" s="25"/>
      <c r="D669" s="33"/>
      <c r="E669" s="25"/>
      <c r="F669" s="55"/>
      <c r="N669" s="37" t="str">
        <f t="shared" ca="1" si="34"/>
        <v/>
      </c>
      <c r="O669" s="37" t="str">
        <f t="shared" ca="1" si="35"/>
        <v/>
      </c>
    </row>
    <row r="670" spans="1:15" x14ac:dyDescent="0.25">
      <c r="A670" s="102"/>
      <c r="B670" s="33"/>
      <c r="C670" s="25"/>
      <c r="D670" s="33"/>
      <c r="E670" s="25"/>
      <c r="F670" s="55"/>
      <c r="N670" s="37" t="str">
        <f t="shared" ca="1" si="34"/>
        <v/>
      </c>
      <c r="O670" s="37" t="str">
        <f t="shared" ca="1" si="35"/>
        <v/>
      </c>
    </row>
    <row r="671" spans="1:15" x14ac:dyDescent="0.25">
      <c r="A671" s="102"/>
      <c r="B671" s="33"/>
      <c r="C671" s="25"/>
      <c r="D671" s="33"/>
      <c r="E671" s="25"/>
      <c r="F671" s="55"/>
      <c r="N671" s="37" t="str">
        <f t="shared" ca="1" si="34"/>
        <v/>
      </c>
      <c r="O671" s="37" t="str">
        <f t="shared" ca="1" si="35"/>
        <v/>
      </c>
    </row>
    <row r="672" spans="1:15" x14ac:dyDescent="0.25">
      <c r="A672" s="102"/>
      <c r="B672" s="33"/>
      <c r="C672" s="25"/>
      <c r="D672" s="33"/>
      <c r="E672" s="25"/>
      <c r="F672" s="55"/>
      <c r="N672" s="37" t="str">
        <f t="shared" ca="1" si="34"/>
        <v/>
      </c>
      <c r="O672" s="37" t="str">
        <f t="shared" ca="1" si="35"/>
        <v/>
      </c>
    </row>
    <row r="673" spans="1:15" x14ac:dyDescent="0.25">
      <c r="A673" s="102"/>
      <c r="B673" s="33"/>
      <c r="C673" s="25"/>
      <c r="D673" s="33"/>
      <c r="E673" s="25"/>
      <c r="F673" s="55"/>
      <c r="N673" s="37" t="str">
        <f t="shared" ca="1" si="34"/>
        <v/>
      </c>
      <c r="O673" s="37" t="str">
        <f t="shared" ca="1" si="35"/>
        <v/>
      </c>
    </row>
    <row r="674" spans="1:15" x14ac:dyDescent="0.25">
      <c r="A674" s="102"/>
      <c r="B674" s="33"/>
      <c r="C674" s="25"/>
      <c r="D674" s="33"/>
      <c r="E674" s="25"/>
      <c r="F674" s="55"/>
      <c r="N674" s="37" t="str">
        <f t="shared" ca="1" si="34"/>
        <v/>
      </c>
      <c r="O674" s="37" t="str">
        <f t="shared" ca="1" si="35"/>
        <v/>
      </c>
    </row>
    <row r="675" spans="1:15" x14ac:dyDescent="0.25">
      <c r="A675" s="102"/>
      <c r="B675" s="33"/>
      <c r="C675" s="25"/>
      <c r="D675" s="33"/>
      <c r="E675" s="25"/>
      <c r="F675" s="55"/>
      <c r="N675" s="37" t="str">
        <f t="shared" ca="1" si="34"/>
        <v/>
      </c>
      <c r="O675" s="37" t="str">
        <f t="shared" ca="1" si="35"/>
        <v/>
      </c>
    </row>
    <row r="676" spans="1:15" x14ac:dyDescent="0.25">
      <c r="A676" s="102"/>
      <c r="B676" s="33"/>
      <c r="C676" s="25"/>
      <c r="D676" s="33"/>
      <c r="E676" s="25"/>
      <c r="F676" s="55"/>
      <c r="N676" s="37" t="str">
        <f t="shared" ca="1" si="34"/>
        <v/>
      </c>
      <c r="O676" s="37" t="str">
        <f t="shared" ca="1" si="35"/>
        <v/>
      </c>
    </row>
    <row r="677" spans="1:15" x14ac:dyDescent="0.25">
      <c r="A677" s="102"/>
      <c r="B677" s="33"/>
      <c r="C677" s="25"/>
      <c r="D677" s="33"/>
      <c r="E677" s="25"/>
      <c r="F677" s="55"/>
      <c r="N677" s="37" t="str">
        <f t="shared" ca="1" si="34"/>
        <v/>
      </c>
      <c r="O677" s="37" t="str">
        <f t="shared" ca="1" si="35"/>
        <v/>
      </c>
    </row>
    <row r="678" spans="1:15" x14ac:dyDescent="0.25">
      <c r="A678" s="102"/>
      <c r="B678" s="33"/>
      <c r="C678" s="25"/>
      <c r="D678" s="33"/>
      <c r="E678" s="25"/>
      <c r="F678" s="55"/>
      <c r="N678" s="37" t="str">
        <f t="shared" ca="1" si="34"/>
        <v/>
      </c>
      <c r="O678" s="37" t="str">
        <f t="shared" ca="1" si="35"/>
        <v/>
      </c>
    </row>
    <row r="679" spans="1:15" x14ac:dyDescent="0.25">
      <c r="A679" s="102"/>
      <c r="B679" s="33"/>
      <c r="C679" s="25"/>
      <c r="D679" s="33"/>
      <c r="E679" s="25"/>
      <c r="F679" s="55"/>
      <c r="N679" s="37" t="str">
        <f t="shared" ca="1" si="34"/>
        <v/>
      </c>
      <c r="O679" s="37" t="str">
        <f t="shared" ca="1" si="35"/>
        <v/>
      </c>
    </row>
    <row r="680" spans="1:15" x14ac:dyDescent="0.25">
      <c r="A680" s="102"/>
      <c r="B680" s="33"/>
      <c r="C680" s="25"/>
      <c r="D680" s="33"/>
      <c r="E680" s="25"/>
      <c r="F680" s="55"/>
      <c r="N680" s="37" t="str">
        <f t="shared" ca="1" si="34"/>
        <v/>
      </c>
      <c r="O680" s="37" t="str">
        <f t="shared" ca="1" si="35"/>
        <v/>
      </c>
    </row>
    <row r="681" spans="1:15" x14ac:dyDescent="0.25">
      <c r="A681" s="102"/>
      <c r="B681" s="33"/>
      <c r="C681" s="25"/>
      <c r="D681" s="33"/>
      <c r="E681" s="25"/>
      <c r="F681" s="55"/>
      <c r="N681" s="37" t="str">
        <f t="shared" ca="1" si="34"/>
        <v/>
      </c>
      <c r="O681" s="37" t="str">
        <f t="shared" ca="1" si="35"/>
        <v/>
      </c>
    </row>
    <row r="682" spans="1:15" x14ac:dyDescent="0.25">
      <c r="A682" s="102"/>
      <c r="B682" s="33"/>
      <c r="C682" s="25"/>
      <c r="D682" s="33"/>
      <c r="E682" s="25"/>
      <c r="F682" s="55"/>
      <c r="N682" s="37" t="str">
        <f t="shared" ca="1" si="34"/>
        <v/>
      </c>
      <c r="O682" s="37" t="str">
        <f t="shared" ca="1" si="35"/>
        <v/>
      </c>
    </row>
    <row r="683" spans="1:15" x14ac:dyDescent="0.25">
      <c r="A683" s="102"/>
      <c r="B683" s="33"/>
      <c r="C683" s="25"/>
      <c r="D683" s="33"/>
      <c r="E683" s="25"/>
      <c r="F683" s="55"/>
      <c r="N683" s="37" t="str">
        <f t="shared" ca="1" si="34"/>
        <v/>
      </c>
      <c r="O683" s="37" t="str">
        <f t="shared" ca="1" si="35"/>
        <v/>
      </c>
    </row>
    <row r="684" spans="1:15" x14ac:dyDescent="0.25">
      <c r="A684" s="102"/>
      <c r="B684" s="33"/>
      <c r="C684" s="25"/>
      <c r="D684" s="33"/>
      <c r="E684" s="25"/>
      <c r="F684" s="55"/>
      <c r="N684" s="37" t="str">
        <f t="shared" ca="1" si="34"/>
        <v/>
      </c>
      <c r="O684" s="37" t="str">
        <f t="shared" ca="1" si="35"/>
        <v/>
      </c>
    </row>
    <row r="685" spans="1:15" x14ac:dyDescent="0.25">
      <c r="A685" s="102"/>
      <c r="B685" s="33"/>
      <c r="C685" s="25"/>
      <c r="D685" s="33"/>
      <c r="E685" s="25"/>
      <c r="F685" s="55"/>
      <c r="N685" s="37" t="str">
        <f t="shared" ca="1" si="34"/>
        <v/>
      </c>
      <c r="O685" s="37" t="str">
        <f t="shared" ca="1" si="35"/>
        <v/>
      </c>
    </row>
    <row r="686" spans="1:15" x14ac:dyDescent="0.25">
      <c r="A686" s="102"/>
      <c r="B686" s="33"/>
      <c r="C686" s="25"/>
      <c r="D686" s="33"/>
      <c r="E686" s="25"/>
      <c r="F686" s="55"/>
      <c r="N686" s="37" t="str">
        <f t="shared" ca="1" si="34"/>
        <v/>
      </c>
      <c r="O686" s="37" t="str">
        <f t="shared" ca="1" si="35"/>
        <v/>
      </c>
    </row>
    <row r="687" spans="1:15" x14ac:dyDescent="0.25">
      <c r="A687" s="102"/>
      <c r="B687" s="33"/>
      <c r="C687" s="25"/>
      <c r="D687" s="33"/>
      <c r="E687" s="25"/>
      <c r="F687" s="55"/>
      <c r="N687" s="37" t="str">
        <f t="shared" ca="1" si="34"/>
        <v/>
      </c>
      <c r="O687" s="37" t="str">
        <f t="shared" ca="1" si="35"/>
        <v/>
      </c>
    </row>
    <row r="688" spans="1:15" x14ac:dyDescent="0.25">
      <c r="A688" s="102"/>
      <c r="B688" s="33"/>
      <c r="C688" s="25"/>
      <c r="D688" s="33"/>
      <c r="E688" s="25"/>
      <c r="F688" s="55"/>
      <c r="N688" s="37" t="str">
        <f t="shared" ca="1" si="34"/>
        <v/>
      </c>
      <c r="O688" s="37" t="str">
        <f t="shared" ca="1" si="35"/>
        <v/>
      </c>
    </row>
    <row r="689" spans="1:15" x14ac:dyDescent="0.25">
      <c r="A689" s="102"/>
      <c r="B689" s="33"/>
      <c r="C689" s="25"/>
      <c r="D689" s="33"/>
      <c r="E689" s="25"/>
      <c r="F689" s="55"/>
      <c r="N689" s="37" t="str">
        <f t="shared" ca="1" si="34"/>
        <v/>
      </c>
      <c r="O689" s="37" t="str">
        <f t="shared" ca="1" si="35"/>
        <v/>
      </c>
    </row>
    <row r="690" spans="1:15" x14ac:dyDescent="0.25">
      <c r="A690" s="102"/>
      <c r="B690" s="33"/>
      <c r="C690" s="25"/>
      <c r="D690" s="33"/>
      <c r="E690" s="25"/>
      <c r="F690" s="55"/>
      <c r="N690" s="37" t="str">
        <f t="shared" ca="1" si="34"/>
        <v/>
      </c>
      <c r="O690" s="37" t="str">
        <f t="shared" ca="1" si="35"/>
        <v/>
      </c>
    </row>
    <row r="691" spans="1:15" x14ac:dyDescent="0.25">
      <c r="A691" s="102"/>
      <c r="B691" s="33"/>
      <c r="C691" s="25"/>
      <c r="D691" s="33"/>
      <c r="E691" s="25"/>
      <c r="F691" s="55"/>
      <c r="N691" s="37" t="str">
        <f t="shared" ca="1" si="34"/>
        <v/>
      </c>
      <c r="O691" s="37" t="str">
        <f t="shared" ca="1" si="35"/>
        <v/>
      </c>
    </row>
    <row r="692" spans="1:15" x14ac:dyDescent="0.25">
      <c r="A692" s="102"/>
      <c r="B692" s="33"/>
      <c r="C692" s="25"/>
      <c r="D692" s="33"/>
      <c r="E692" s="25"/>
      <c r="F692" s="55"/>
      <c r="N692" s="37" t="str">
        <f t="shared" ca="1" si="34"/>
        <v/>
      </c>
      <c r="O692" s="37" t="str">
        <f t="shared" ca="1" si="35"/>
        <v/>
      </c>
    </row>
    <row r="693" spans="1:15" x14ac:dyDescent="0.25">
      <c r="A693" s="102"/>
      <c r="B693" s="33"/>
      <c r="C693" s="25"/>
      <c r="D693" s="33"/>
      <c r="E693" s="25"/>
      <c r="F693" s="55"/>
      <c r="N693" s="37" t="str">
        <f t="shared" ca="1" si="34"/>
        <v/>
      </c>
      <c r="O693" s="37" t="str">
        <f t="shared" ca="1" si="35"/>
        <v/>
      </c>
    </row>
    <row r="694" spans="1:15" x14ac:dyDescent="0.25">
      <c r="A694" s="102"/>
      <c r="B694" s="33"/>
      <c r="C694" s="25"/>
      <c r="D694" s="33"/>
      <c r="E694" s="25"/>
      <c r="F694" s="55"/>
      <c r="N694" s="37" t="str">
        <f t="shared" ca="1" si="34"/>
        <v/>
      </c>
      <c r="O694" s="37" t="str">
        <f t="shared" ca="1" si="35"/>
        <v/>
      </c>
    </row>
    <row r="695" spans="1:15" x14ac:dyDescent="0.25">
      <c r="A695" s="102"/>
      <c r="B695" s="33"/>
      <c r="C695" s="25"/>
      <c r="D695" s="33"/>
      <c r="E695" s="25"/>
      <c r="F695" s="55"/>
      <c r="N695" s="37" t="str">
        <f t="shared" ca="1" si="34"/>
        <v/>
      </c>
      <c r="O695" s="37" t="str">
        <f t="shared" ca="1" si="35"/>
        <v/>
      </c>
    </row>
    <row r="696" spans="1:15" x14ac:dyDescent="0.25">
      <c r="A696" s="102"/>
      <c r="B696" s="33"/>
      <c r="C696" s="25"/>
      <c r="D696" s="33"/>
      <c r="E696" s="25"/>
      <c r="F696" s="55"/>
      <c r="N696" s="37" t="str">
        <f t="shared" ca="1" si="34"/>
        <v/>
      </c>
      <c r="O696" s="37" t="str">
        <f t="shared" ca="1" si="35"/>
        <v/>
      </c>
    </row>
    <row r="697" spans="1:15" x14ac:dyDescent="0.25">
      <c r="A697" s="102"/>
      <c r="B697" s="33"/>
      <c r="C697" s="25"/>
      <c r="D697" s="33"/>
      <c r="E697" s="25"/>
      <c r="F697" s="55"/>
      <c r="N697" s="37" t="str">
        <f t="shared" ca="1" si="34"/>
        <v/>
      </c>
      <c r="O697" s="37" t="str">
        <f t="shared" ca="1" si="35"/>
        <v/>
      </c>
    </row>
    <row r="698" spans="1:15" x14ac:dyDescent="0.25">
      <c r="A698" s="102"/>
      <c r="B698" s="33"/>
      <c r="C698" s="25"/>
      <c r="D698" s="33"/>
      <c r="E698" s="25"/>
      <c r="F698" s="55"/>
      <c r="N698" s="37" t="str">
        <f t="shared" ca="1" si="34"/>
        <v/>
      </c>
      <c r="O698" s="37" t="str">
        <f t="shared" ca="1" si="35"/>
        <v/>
      </c>
    </row>
    <row r="699" spans="1:15" x14ac:dyDescent="0.25">
      <c r="A699" s="102"/>
      <c r="B699" s="33"/>
      <c r="C699" s="25"/>
      <c r="D699" s="33"/>
      <c r="E699" s="25"/>
      <c r="F699" s="55"/>
      <c r="N699" s="37" t="str">
        <f t="shared" ca="1" si="34"/>
        <v/>
      </c>
      <c r="O699" s="37" t="str">
        <f t="shared" ca="1" si="35"/>
        <v/>
      </c>
    </row>
    <row r="700" spans="1:15" x14ac:dyDescent="0.25">
      <c r="A700" s="102"/>
      <c r="B700" s="33"/>
      <c r="C700" s="25"/>
      <c r="D700" s="33"/>
      <c r="E700" s="25"/>
      <c r="F700" s="55"/>
      <c r="N700" s="37" t="str">
        <f t="shared" ca="1" si="34"/>
        <v/>
      </c>
      <c r="O700" s="37" t="str">
        <f t="shared" ca="1" si="35"/>
        <v/>
      </c>
    </row>
    <row r="701" spans="1:15" x14ac:dyDescent="0.25">
      <c r="A701" s="102"/>
      <c r="B701" s="33"/>
      <c r="C701" s="25"/>
      <c r="D701" s="33"/>
      <c r="E701" s="25"/>
      <c r="F701" s="55"/>
      <c r="N701" s="37" t="str">
        <f t="shared" ca="1" si="34"/>
        <v/>
      </c>
      <c r="O701" s="37" t="str">
        <f t="shared" ca="1" si="35"/>
        <v/>
      </c>
    </row>
    <row r="702" spans="1:15" x14ac:dyDescent="0.25">
      <c r="A702" s="102"/>
      <c r="B702" s="33"/>
      <c r="C702" s="25"/>
      <c r="D702" s="33"/>
      <c r="E702" s="25"/>
      <c r="F702" s="55"/>
      <c r="N702" s="37" t="str">
        <f t="shared" ca="1" si="34"/>
        <v/>
      </c>
      <c r="O702" s="37" t="str">
        <f t="shared" ca="1" si="35"/>
        <v/>
      </c>
    </row>
    <row r="703" spans="1:15" x14ac:dyDescent="0.25">
      <c r="A703" s="102"/>
      <c r="B703" s="33"/>
      <c r="C703" s="25"/>
      <c r="D703" s="33"/>
      <c r="E703" s="25"/>
      <c r="F703" s="55"/>
      <c r="N703" s="37" t="str">
        <f t="shared" ca="1" si="34"/>
        <v/>
      </c>
      <c r="O703" s="37" t="str">
        <f t="shared" ca="1" si="35"/>
        <v/>
      </c>
    </row>
    <row r="704" spans="1:15" x14ac:dyDescent="0.25">
      <c r="A704" s="102"/>
      <c r="B704" s="33"/>
      <c r="C704" s="25"/>
      <c r="D704" s="33"/>
      <c r="E704" s="25"/>
      <c r="F704" s="55"/>
      <c r="N704" s="37" t="str">
        <f t="shared" ca="1" si="34"/>
        <v/>
      </c>
      <c r="O704" s="37" t="str">
        <f t="shared" ca="1" si="35"/>
        <v/>
      </c>
    </row>
    <row r="705" spans="1:15" x14ac:dyDescent="0.25">
      <c r="A705" s="102"/>
      <c r="B705" s="33"/>
      <c r="C705" s="25"/>
      <c r="D705" s="33"/>
      <c r="E705" s="25"/>
      <c r="F705" s="55"/>
      <c r="N705" s="37" t="str">
        <f t="shared" ca="1" si="34"/>
        <v/>
      </c>
      <c r="O705" s="37" t="str">
        <f t="shared" ca="1" si="35"/>
        <v/>
      </c>
    </row>
    <row r="706" spans="1:15" x14ac:dyDescent="0.25">
      <c r="A706" s="102"/>
      <c r="B706" s="33"/>
      <c r="C706" s="25"/>
      <c r="D706" s="33"/>
      <c r="E706" s="25"/>
      <c r="F706" s="55"/>
      <c r="N706" s="37" t="str">
        <f t="shared" ca="1" si="34"/>
        <v/>
      </c>
      <c r="O706" s="37" t="str">
        <f t="shared" ca="1" si="35"/>
        <v/>
      </c>
    </row>
    <row r="707" spans="1:15" x14ac:dyDescent="0.25">
      <c r="A707" s="102"/>
      <c r="B707" s="33"/>
      <c r="C707" s="25"/>
      <c r="D707" s="33"/>
      <c r="E707" s="25"/>
      <c r="F707" s="55"/>
      <c r="N707" s="37" t="str">
        <f t="shared" ca="1" si="34"/>
        <v/>
      </c>
      <c r="O707" s="37" t="str">
        <f t="shared" ca="1" si="35"/>
        <v/>
      </c>
    </row>
    <row r="708" spans="1:15" x14ac:dyDescent="0.25">
      <c r="A708" s="102"/>
      <c r="B708" s="33"/>
      <c r="C708" s="25"/>
      <c r="D708" s="33"/>
      <c r="E708" s="25"/>
      <c r="F708" s="55"/>
      <c r="N708" s="37" t="str">
        <f t="shared" ref="N708:N771" ca="1" si="36">IF(COUNTIF(L:L,J708),J708,"")</f>
        <v/>
      </c>
      <c r="O708" s="37" t="str">
        <f t="shared" ref="O708:O771" ca="1" si="37">IF(N708&gt;$A$14,N708,"")</f>
        <v/>
      </c>
    </row>
    <row r="709" spans="1:15" x14ac:dyDescent="0.25">
      <c r="A709" s="102"/>
      <c r="B709" s="33"/>
      <c r="C709" s="25"/>
      <c r="D709" s="33"/>
      <c r="E709" s="25"/>
      <c r="F709" s="55"/>
      <c r="N709" s="37" t="str">
        <f t="shared" ca="1" si="36"/>
        <v/>
      </c>
      <c r="O709" s="37" t="str">
        <f t="shared" ca="1" si="37"/>
        <v/>
      </c>
    </row>
    <row r="710" spans="1:15" x14ac:dyDescent="0.25">
      <c r="A710" s="102"/>
      <c r="B710" s="33"/>
      <c r="C710" s="25"/>
      <c r="D710" s="33"/>
      <c r="E710" s="25"/>
      <c r="F710" s="55"/>
      <c r="N710" s="37" t="str">
        <f t="shared" ca="1" si="36"/>
        <v/>
      </c>
      <c r="O710" s="37" t="str">
        <f t="shared" ca="1" si="37"/>
        <v/>
      </c>
    </row>
    <row r="711" spans="1:15" x14ac:dyDescent="0.25">
      <c r="A711" s="102"/>
      <c r="B711" s="33"/>
      <c r="C711" s="25"/>
      <c r="D711" s="33"/>
      <c r="E711" s="25"/>
      <c r="F711" s="55"/>
      <c r="N711" s="37" t="str">
        <f t="shared" ca="1" si="36"/>
        <v/>
      </c>
      <c r="O711" s="37" t="str">
        <f t="shared" ca="1" si="37"/>
        <v/>
      </c>
    </row>
    <row r="712" spans="1:15" x14ac:dyDescent="0.25">
      <c r="A712" s="102"/>
      <c r="B712" s="33"/>
      <c r="C712" s="25"/>
      <c r="D712" s="33"/>
      <c r="E712" s="25"/>
      <c r="F712" s="55"/>
      <c r="N712" s="37" t="str">
        <f t="shared" ca="1" si="36"/>
        <v/>
      </c>
      <c r="O712" s="37" t="str">
        <f t="shared" ca="1" si="37"/>
        <v/>
      </c>
    </row>
    <row r="713" spans="1:15" x14ac:dyDescent="0.25">
      <c r="A713" s="102"/>
      <c r="B713" s="33"/>
      <c r="C713" s="25"/>
      <c r="D713" s="33"/>
      <c r="E713" s="25"/>
      <c r="F713" s="55"/>
      <c r="N713" s="37" t="str">
        <f t="shared" ca="1" si="36"/>
        <v/>
      </c>
      <c r="O713" s="37" t="str">
        <f t="shared" ca="1" si="37"/>
        <v/>
      </c>
    </row>
    <row r="714" spans="1:15" x14ac:dyDescent="0.25">
      <c r="A714" s="102"/>
      <c r="B714" s="33"/>
      <c r="C714" s="25"/>
      <c r="D714" s="33"/>
      <c r="E714" s="25"/>
      <c r="F714" s="55"/>
      <c r="N714" s="37" t="str">
        <f t="shared" ca="1" si="36"/>
        <v/>
      </c>
      <c r="O714" s="37" t="str">
        <f t="shared" ca="1" si="37"/>
        <v/>
      </c>
    </row>
    <row r="715" spans="1:15" x14ac:dyDescent="0.25">
      <c r="A715" s="102"/>
      <c r="B715" s="33"/>
      <c r="C715" s="25"/>
      <c r="D715" s="33"/>
      <c r="E715" s="25"/>
      <c r="F715" s="55"/>
      <c r="N715" s="37" t="str">
        <f t="shared" ca="1" si="36"/>
        <v/>
      </c>
      <c r="O715" s="37" t="str">
        <f t="shared" ca="1" si="37"/>
        <v/>
      </c>
    </row>
    <row r="716" spans="1:15" x14ac:dyDescent="0.25">
      <c r="A716" s="102"/>
      <c r="B716" s="33"/>
      <c r="C716" s="25"/>
      <c r="D716" s="33"/>
      <c r="E716" s="25"/>
      <c r="F716" s="55"/>
      <c r="N716" s="37" t="str">
        <f t="shared" ca="1" si="36"/>
        <v/>
      </c>
      <c r="O716" s="37" t="str">
        <f t="shared" ca="1" si="37"/>
        <v/>
      </c>
    </row>
    <row r="717" spans="1:15" x14ac:dyDescent="0.25">
      <c r="A717" s="102"/>
      <c r="B717" s="33"/>
      <c r="C717" s="25"/>
      <c r="D717" s="33"/>
      <c r="E717" s="25"/>
      <c r="F717" s="55"/>
      <c r="N717" s="37" t="str">
        <f t="shared" ca="1" si="36"/>
        <v/>
      </c>
      <c r="O717" s="37" t="str">
        <f t="shared" ca="1" si="37"/>
        <v/>
      </c>
    </row>
    <row r="718" spans="1:15" x14ac:dyDescent="0.25">
      <c r="A718" s="102"/>
      <c r="B718" s="33"/>
      <c r="C718" s="25"/>
      <c r="D718" s="33"/>
      <c r="E718" s="25"/>
      <c r="F718" s="55"/>
      <c r="N718" s="37" t="str">
        <f t="shared" ca="1" si="36"/>
        <v/>
      </c>
      <c r="O718" s="37" t="str">
        <f t="shared" ca="1" si="37"/>
        <v/>
      </c>
    </row>
    <row r="719" spans="1:15" x14ac:dyDescent="0.25">
      <c r="A719" s="102"/>
      <c r="B719" s="33"/>
      <c r="C719" s="25"/>
      <c r="D719" s="33"/>
      <c r="E719" s="25"/>
      <c r="F719" s="55"/>
      <c r="N719" s="37" t="str">
        <f t="shared" ca="1" si="36"/>
        <v/>
      </c>
      <c r="O719" s="37" t="str">
        <f t="shared" ca="1" si="37"/>
        <v/>
      </c>
    </row>
    <row r="720" spans="1:15" x14ac:dyDescent="0.25">
      <c r="A720" s="102"/>
      <c r="B720" s="33"/>
      <c r="C720" s="25"/>
      <c r="D720" s="33"/>
      <c r="E720" s="25"/>
      <c r="F720" s="55"/>
      <c r="N720" s="37" t="str">
        <f t="shared" ca="1" si="36"/>
        <v/>
      </c>
      <c r="O720" s="37" t="str">
        <f t="shared" ca="1" si="37"/>
        <v/>
      </c>
    </row>
    <row r="721" spans="1:15" x14ac:dyDescent="0.25">
      <c r="A721" s="102"/>
      <c r="B721" s="33"/>
      <c r="C721" s="25"/>
      <c r="D721" s="33"/>
      <c r="E721" s="25"/>
      <c r="F721" s="55"/>
      <c r="N721" s="37" t="str">
        <f t="shared" ca="1" si="36"/>
        <v/>
      </c>
      <c r="O721" s="37" t="str">
        <f t="shared" ca="1" si="37"/>
        <v/>
      </c>
    </row>
    <row r="722" spans="1:15" x14ac:dyDescent="0.25">
      <c r="A722" s="102"/>
      <c r="B722" s="33"/>
      <c r="C722" s="25"/>
      <c r="D722" s="33"/>
      <c r="E722" s="25"/>
      <c r="F722" s="55"/>
      <c r="N722" s="37" t="str">
        <f t="shared" ca="1" si="36"/>
        <v/>
      </c>
      <c r="O722" s="37" t="str">
        <f t="shared" ca="1" si="37"/>
        <v/>
      </c>
    </row>
    <row r="723" spans="1:15" x14ac:dyDescent="0.25">
      <c r="A723" s="102"/>
      <c r="B723" s="33"/>
      <c r="C723" s="25"/>
      <c r="D723" s="33"/>
      <c r="E723" s="25"/>
      <c r="F723" s="55"/>
      <c r="N723" s="37" t="str">
        <f t="shared" ca="1" si="36"/>
        <v/>
      </c>
      <c r="O723" s="37" t="str">
        <f t="shared" ca="1" si="37"/>
        <v/>
      </c>
    </row>
    <row r="724" spans="1:15" x14ac:dyDescent="0.25">
      <c r="A724" s="102"/>
      <c r="B724" s="33"/>
      <c r="C724" s="25"/>
      <c r="D724" s="33"/>
      <c r="E724" s="25"/>
      <c r="F724" s="55"/>
      <c r="N724" s="37" t="str">
        <f t="shared" ca="1" si="36"/>
        <v/>
      </c>
      <c r="O724" s="37" t="str">
        <f t="shared" ca="1" si="37"/>
        <v/>
      </c>
    </row>
    <row r="725" spans="1:15" x14ac:dyDescent="0.25">
      <c r="A725" s="102"/>
      <c r="B725" s="33"/>
      <c r="C725" s="25"/>
      <c r="D725" s="33"/>
      <c r="E725" s="25"/>
      <c r="F725" s="55"/>
      <c r="N725" s="37" t="str">
        <f t="shared" ca="1" si="36"/>
        <v/>
      </c>
      <c r="O725" s="37" t="str">
        <f t="shared" ca="1" si="37"/>
        <v/>
      </c>
    </row>
    <row r="726" spans="1:15" x14ac:dyDescent="0.25">
      <c r="A726" s="102"/>
      <c r="B726" s="33"/>
      <c r="C726" s="25"/>
      <c r="D726" s="33"/>
      <c r="E726" s="25"/>
      <c r="F726" s="55"/>
      <c r="N726" s="37" t="str">
        <f t="shared" ca="1" si="36"/>
        <v/>
      </c>
      <c r="O726" s="37" t="str">
        <f t="shared" ca="1" si="37"/>
        <v/>
      </c>
    </row>
    <row r="727" spans="1:15" x14ac:dyDescent="0.25">
      <c r="A727" s="102"/>
      <c r="B727" s="33"/>
      <c r="C727" s="25"/>
      <c r="D727" s="33"/>
      <c r="E727" s="25"/>
      <c r="F727" s="55"/>
      <c r="N727" s="37" t="str">
        <f t="shared" ca="1" si="36"/>
        <v/>
      </c>
      <c r="O727" s="37" t="str">
        <f t="shared" ca="1" si="37"/>
        <v/>
      </c>
    </row>
    <row r="728" spans="1:15" x14ac:dyDescent="0.25">
      <c r="A728" s="102"/>
      <c r="B728" s="33"/>
      <c r="C728" s="25"/>
      <c r="D728" s="33"/>
      <c r="E728" s="25"/>
      <c r="F728" s="55"/>
      <c r="N728" s="37" t="str">
        <f t="shared" ca="1" si="36"/>
        <v/>
      </c>
      <c r="O728" s="37" t="str">
        <f t="shared" ca="1" si="37"/>
        <v/>
      </c>
    </row>
    <row r="729" spans="1:15" x14ac:dyDescent="0.25">
      <c r="A729" s="102"/>
      <c r="B729" s="33"/>
      <c r="C729" s="25"/>
      <c r="D729" s="33"/>
      <c r="E729" s="25"/>
      <c r="F729" s="55"/>
      <c r="N729" s="37" t="str">
        <f t="shared" ca="1" si="36"/>
        <v/>
      </c>
      <c r="O729" s="37" t="str">
        <f t="shared" ca="1" si="37"/>
        <v/>
      </c>
    </row>
    <row r="730" spans="1:15" x14ac:dyDescent="0.25">
      <c r="A730" s="102"/>
      <c r="B730" s="33"/>
      <c r="C730" s="25"/>
      <c r="D730" s="33"/>
      <c r="E730" s="25"/>
      <c r="F730" s="55"/>
      <c r="N730" s="37" t="str">
        <f t="shared" ca="1" si="36"/>
        <v/>
      </c>
      <c r="O730" s="37" t="str">
        <f t="shared" ca="1" si="37"/>
        <v/>
      </c>
    </row>
    <row r="731" spans="1:15" x14ac:dyDescent="0.25">
      <c r="A731" s="102"/>
      <c r="B731" s="33"/>
      <c r="C731" s="25"/>
      <c r="D731" s="33"/>
      <c r="E731" s="25"/>
      <c r="F731" s="55"/>
      <c r="N731" s="37" t="str">
        <f t="shared" ca="1" si="36"/>
        <v/>
      </c>
      <c r="O731" s="37" t="str">
        <f t="shared" ca="1" si="37"/>
        <v/>
      </c>
    </row>
    <row r="732" spans="1:15" x14ac:dyDescent="0.25">
      <c r="A732" s="102"/>
      <c r="B732" s="33"/>
      <c r="C732" s="25"/>
      <c r="D732" s="33"/>
      <c r="E732" s="25"/>
      <c r="F732" s="55"/>
      <c r="N732" s="37" t="str">
        <f t="shared" ca="1" si="36"/>
        <v/>
      </c>
      <c r="O732" s="37" t="str">
        <f t="shared" ca="1" si="37"/>
        <v/>
      </c>
    </row>
    <row r="733" spans="1:15" x14ac:dyDescent="0.25">
      <c r="A733" s="102"/>
      <c r="B733" s="33"/>
      <c r="C733" s="25"/>
      <c r="D733" s="33"/>
      <c r="E733" s="25"/>
      <c r="F733" s="55"/>
      <c r="N733" s="37" t="str">
        <f t="shared" ca="1" si="36"/>
        <v/>
      </c>
      <c r="O733" s="37" t="str">
        <f t="shared" ca="1" si="37"/>
        <v/>
      </c>
    </row>
    <row r="734" spans="1:15" x14ac:dyDescent="0.25">
      <c r="A734" s="102"/>
      <c r="B734" s="33"/>
      <c r="C734" s="25"/>
      <c r="D734" s="33"/>
      <c r="E734" s="25"/>
      <c r="F734" s="55"/>
      <c r="N734" s="37" t="str">
        <f t="shared" ca="1" si="36"/>
        <v/>
      </c>
      <c r="O734" s="37" t="str">
        <f t="shared" ca="1" si="37"/>
        <v/>
      </c>
    </row>
    <row r="735" spans="1:15" x14ac:dyDescent="0.25">
      <c r="A735" s="102"/>
      <c r="B735" s="33"/>
      <c r="C735" s="25"/>
      <c r="D735" s="33"/>
      <c r="E735" s="25"/>
      <c r="F735" s="55"/>
      <c r="N735" s="37" t="str">
        <f t="shared" ca="1" si="36"/>
        <v/>
      </c>
      <c r="O735" s="37" t="str">
        <f t="shared" ca="1" si="37"/>
        <v/>
      </c>
    </row>
    <row r="736" spans="1:15" x14ac:dyDescent="0.25">
      <c r="A736" s="102"/>
      <c r="B736" s="33"/>
      <c r="C736" s="25"/>
      <c r="D736" s="33"/>
      <c r="E736" s="25"/>
      <c r="F736" s="55"/>
      <c r="N736" s="37" t="str">
        <f t="shared" ca="1" si="36"/>
        <v/>
      </c>
      <c r="O736" s="37" t="str">
        <f t="shared" ca="1" si="37"/>
        <v/>
      </c>
    </row>
    <row r="737" spans="1:15" x14ac:dyDescent="0.25">
      <c r="A737" s="102"/>
      <c r="B737" s="33"/>
      <c r="C737" s="25"/>
      <c r="D737" s="33"/>
      <c r="E737" s="25"/>
      <c r="F737" s="55"/>
      <c r="N737" s="37" t="str">
        <f t="shared" ca="1" si="36"/>
        <v/>
      </c>
      <c r="O737" s="37" t="str">
        <f t="shared" ca="1" si="37"/>
        <v/>
      </c>
    </row>
    <row r="738" spans="1:15" x14ac:dyDescent="0.25">
      <c r="A738" s="102"/>
      <c r="B738" s="33"/>
      <c r="C738" s="25"/>
      <c r="D738" s="33"/>
      <c r="E738" s="25"/>
      <c r="F738" s="55"/>
      <c r="N738" s="37" t="str">
        <f t="shared" ca="1" si="36"/>
        <v/>
      </c>
      <c r="O738" s="37" t="str">
        <f t="shared" ca="1" si="37"/>
        <v/>
      </c>
    </row>
    <row r="739" spans="1:15" x14ac:dyDescent="0.25">
      <c r="A739" s="102"/>
      <c r="B739" s="33"/>
      <c r="C739" s="25"/>
      <c r="D739" s="33"/>
      <c r="E739" s="25"/>
      <c r="F739" s="55"/>
      <c r="N739" s="37" t="str">
        <f t="shared" ca="1" si="36"/>
        <v/>
      </c>
      <c r="O739" s="37" t="str">
        <f t="shared" ca="1" si="37"/>
        <v/>
      </c>
    </row>
    <row r="740" spans="1:15" x14ac:dyDescent="0.25">
      <c r="A740" s="102"/>
      <c r="B740" s="33"/>
      <c r="C740" s="25"/>
      <c r="D740" s="33"/>
      <c r="E740" s="25"/>
      <c r="F740" s="55"/>
      <c r="N740" s="37" t="str">
        <f t="shared" ca="1" si="36"/>
        <v/>
      </c>
      <c r="O740" s="37" t="str">
        <f t="shared" ca="1" si="37"/>
        <v/>
      </c>
    </row>
    <row r="741" spans="1:15" x14ac:dyDescent="0.25">
      <c r="A741" s="102"/>
      <c r="B741" s="33"/>
      <c r="C741" s="25"/>
      <c r="D741" s="33"/>
      <c r="E741" s="25"/>
      <c r="F741" s="55"/>
      <c r="N741" s="37" t="str">
        <f t="shared" ca="1" si="36"/>
        <v/>
      </c>
      <c r="O741" s="37" t="str">
        <f t="shared" ca="1" si="37"/>
        <v/>
      </c>
    </row>
    <row r="742" spans="1:15" x14ac:dyDescent="0.25">
      <c r="A742" s="102"/>
      <c r="B742" s="33"/>
      <c r="C742" s="25"/>
      <c r="D742" s="33"/>
      <c r="E742" s="25"/>
      <c r="F742" s="55"/>
      <c r="N742" s="37" t="str">
        <f t="shared" ca="1" si="36"/>
        <v/>
      </c>
      <c r="O742" s="37" t="str">
        <f t="shared" ca="1" si="37"/>
        <v/>
      </c>
    </row>
    <row r="743" spans="1:15" x14ac:dyDescent="0.25">
      <c r="A743" s="102"/>
      <c r="B743" s="33"/>
      <c r="C743" s="25"/>
      <c r="D743" s="33"/>
      <c r="E743" s="25"/>
      <c r="F743" s="55"/>
      <c r="N743" s="37" t="str">
        <f t="shared" ca="1" si="36"/>
        <v/>
      </c>
      <c r="O743" s="37" t="str">
        <f t="shared" ca="1" si="37"/>
        <v/>
      </c>
    </row>
    <row r="744" spans="1:15" x14ac:dyDescent="0.25">
      <c r="A744" s="102"/>
      <c r="B744" s="33"/>
      <c r="C744" s="25"/>
      <c r="D744" s="33"/>
      <c r="E744" s="25"/>
      <c r="F744" s="55"/>
      <c r="N744" s="37" t="str">
        <f t="shared" ca="1" si="36"/>
        <v/>
      </c>
      <c r="O744" s="37" t="str">
        <f t="shared" ca="1" si="37"/>
        <v/>
      </c>
    </row>
    <row r="745" spans="1:15" x14ac:dyDescent="0.25">
      <c r="A745" s="102"/>
      <c r="B745" s="33"/>
      <c r="C745" s="25"/>
      <c r="D745" s="33"/>
      <c r="E745" s="25"/>
      <c r="F745" s="55"/>
      <c r="N745" s="37" t="str">
        <f t="shared" ca="1" si="36"/>
        <v/>
      </c>
      <c r="O745" s="37" t="str">
        <f t="shared" ca="1" si="37"/>
        <v/>
      </c>
    </row>
    <row r="746" spans="1:15" x14ac:dyDescent="0.25">
      <c r="A746" s="102"/>
      <c r="B746" s="33"/>
      <c r="C746" s="25"/>
      <c r="D746" s="33"/>
      <c r="E746" s="25"/>
      <c r="F746" s="55"/>
      <c r="N746" s="37" t="str">
        <f t="shared" ca="1" si="36"/>
        <v/>
      </c>
      <c r="O746" s="37" t="str">
        <f t="shared" ca="1" si="37"/>
        <v/>
      </c>
    </row>
    <row r="747" spans="1:15" x14ac:dyDescent="0.25">
      <c r="A747" s="102"/>
      <c r="B747" s="33"/>
      <c r="C747" s="25"/>
      <c r="D747" s="33"/>
      <c r="E747" s="25"/>
      <c r="F747" s="55"/>
      <c r="N747" s="37" t="str">
        <f t="shared" ca="1" si="36"/>
        <v/>
      </c>
      <c r="O747" s="37" t="str">
        <f t="shared" ca="1" si="37"/>
        <v/>
      </c>
    </row>
    <row r="748" spans="1:15" x14ac:dyDescent="0.25">
      <c r="A748" s="102"/>
      <c r="B748" s="33"/>
      <c r="C748" s="25"/>
      <c r="D748" s="33"/>
      <c r="E748" s="25"/>
      <c r="F748" s="55"/>
      <c r="N748" s="37" t="str">
        <f t="shared" ca="1" si="36"/>
        <v/>
      </c>
      <c r="O748" s="37" t="str">
        <f t="shared" ca="1" si="37"/>
        <v/>
      </c>
    </row>
    <row r="749" spans="1:15" x14ac:dyDescent="0.25">
      <c r="A749" s="102"/>
      <c r="B749" s="33"/>
      <c r="C749" s="25"/>
      <c r="D749" s="33"/>
      <c r="E749" s="25"/>
      <c r="F749" s="55"/>
      <c r="N749" s="37" t="str">
        <f t="shared" ca="1" si="36"/>
        <v/>
      </c>
      <c r="O749" s="37" t="str">
        <f t="shared" ca="1" si="37"/>
        <v/>
      </c>
    </row>
    <row r="750" spans="1:15" x14ac:dyDescent="0.25">
      <c r="A750" s="102"/>
      <c r="B750" s="33"/>
      <c r="C750" s="25"/>
      <c r="D750" s="33"/>
      <c r="E750" s="25"/>
      <c r="F750" s="55"/>
      <c r="N750" s="37" t="str">
        <f t="shared" ca="1" si="36"/>
        <v/>
      </c>
      <c r="O750" s="37" t="str">
        <f t="shared" ca="1" si="37"/>
        <v/>
      </c>
    </row>
    <row r="751" spans="1:15" x14ac:dyDescent="0.25">
      <c r="A751" s="102"/>
      <c r="B751" s="33"/>
      <c r="C751" s="25"/>
      <c r="D751" s="33"/>
      <c r="E751" s="25"/>
      <c r="F751" s="55"/>
      <c r="N751" s="37" t="str">
        <f t="shared" ca="1" si="36"/>
        <v/>
      </c>
      <c r="O751" s="37" t="str">
        <f t="shared" ca="1" si="37"/>
        <v/>
      </c>
    </row>
    <row r="752" spans="1:15" x14ac:dyDescent="0.25">
      <c r="A752" s="102"/>
      <c r="B752" s="33"/>
      <c r="C752" s="25"/>
      <c r="D752" s="33"/>
      <c r="E752" s="25"/>
      <c r="F752" s="55"/>
      <c r="N752" s="37" t="str">
        <f t="shared" ca="1" si="36"/>
        <v/>
      </c>
      <c r="O752" s="37" t="str">
        <f t="shared" ca="1" si="37"/>
        <v/>
      </c>
    </row>
    <row r="753" spans="1:15" x14ac:dyDescent="0.25">
      <c r="A753" s="102"/>
      <c r="B753" s="33"/>
      <c r="C753" s="25"/>
      <c r="D753" s="33"/>
      <c r="E753" s="25"/>
      <c r="F753" s="55"/>
      <c r="N753" s="37" t="str">
        <f t="shared" ca="1" si="36"/>
        <v/>
      </c>
      <c r="O753" s="37" t="str">
        <f t="shared" ca="1" si="37"/>
        <v/>
      </c>
    </row>
    <row r="754" spans="1:15" x14ac:dyDescent="0.25">
      <c r="A754" s="102"/>
      <c r="B754" s="33"/>
      <c r="C754" s="25"/>
      <c r="D754" s="33"/>
      <c r="E754" s="25"/>
      <c r="F754" s="55"/>
      <c r="N754" s="37" t="str">
        <f t="shared" ca="1" si="36"/>
        <v/>
      </c>
      <c r="O754" s="37" t="str">
        <f t="shared" ca="1" si="37"/>
        <v/>
      </c>
    </row>
    <row r="755" spans="1:15" x14ac:dyDescent="0.25">
      <c r="A755" s="102"/>
      <c r="B755" s="33"/>
      <c r="C755" s="25"/>
      <c r="D755" s="33"/>
      <c r="E755" s="25"/>
      <c r="F755" s="55"/>
      <c r="N755" s="37" t="str">
        <f t="shared" ca="1" si="36"/>
        <v/>
      </c>
      <c r="O755" s="37" t="str">
        <f t="shared" ca="1" si="37"/>
        <v/>
      </c>
    </row>
    <row r="756" spans="1:15" x14ac:dyDescent="0.25">
      <c r="N756" s="37" t="str">
        <f t="shared" ca="1" si="36"/>
        <v/>
      </c>
      <c r="O756" s="37" t="str">
        <f t="shared" ca="1" si="37"/>
        <v/>
      </c>
    </row>
    <row r="757" spans="1:15" x14ac:dyDescent="0.25">
      <c r="N757" s="37" t="str">
        <f t="shared" ca="1" si="36"/>
        <v/>
      </c>
      <c r="O757" s="37" t="str">
        <f t="shared" ca="1" si="37"/>
        <v/>
      </c>
    </row>
    <row r="758" spans="1:15" x14ac:dyDescent="0.25">
      <c r="N758" s="37" t="str">
        <f t="shared" ca="1" si="36"/>
        <v/>
      </c>
      <c r="O758" s="37" t="str">
        <f t="shared" ca="1" si="37"/>
        <v/>
      </c>
    </row>
    <row r="759" spans="1:15" x14ac:dyDescent="0.25">
      <c r="N759" s="37" t="str">
        <f t="shared" ca="1" si="36"/>
        <v/>
      </c>
      <c r="O759" s="37" t="str">
        <f t="shared" ca="1" si="37"/>
        <v/>
      </c>
    </row>
    <row r="760" spans="1:15" x14ac:dyDescent="0.25">
      <c r="N760" s="37" t="str">
        <f t="shared" ca="1" si="36"/>
        <v/>
      </c>
      <c r="O760" s="37" t="str">
        <f t="shared" ca="1" si="37"/>
        <v/>
      </c>
    </row>
    <row r="761" spans="1:15" x14ac:dyDescent="0.25">
      <c r="N761" s="37" t="str">
        <f t="shared" ca="1" si="36"/>
        <v/>
      </c>
      <c r="O761" s="37" t="str">
        <f t="shared" ca="1" si="37"/>
        <v/>
      </c>
    </row>
    <row r="762" spans="1:15" x14ac:dyDescent="0.25">
      <c r="N762" s="37" t="str">
        <f t="shared" ca="1" si="36"/>
        <v/>
      </c>
      <c r="O762" s="37" t="str">
        <f t="shared" ca="1" si="37"/>
        <v/>
      </c>
    </row>
    <row r="763" spans="1:15" x14ac:dyDescent="0.25">
      <c r="N763" s="37" t="str">
        <f t="shared" ca="1" si="36"/>
        <v/>
      </c>
      <c r="O763" s="37" t="str">
        <f t="shared" ca="1" si="37"/>
        <v/>
      </c>
    </row>
    <row r="764" spans="1:15" x14ac:dyDescent="0.25">
      <c r="N764" s="37" t="str">
        <f t="shared" ca="1" si="36"/>
        <v/>
      </c>
      <c r="O764" s="37" t="str">
        <f t="shared" ca="1" si="37"/>
        <v/>
      </c>
    </row>
    <row r="765" spans="1:15" x14ac:dyDescent="0.25">
      <c r="N765" s="37" t="str">
        <f t="shared" ca="1" si="36"/>
        <v/>
      </c>
      <c r="O765" s="37" t="str">
        <f t="shared" ca="1" si="37"/>
        <v/>
      </c>
    </row>
    <row r="766" spans="1:15" x14ac:dyDescent="0.25">
      <c r="N766" s="37" t="str">
        <f t="shared" ca="1" si="36"/>
        <v/>
      </c>
      <c r="O766" s="37" t="str">
        <f t="shared" ca="1" si="37"/>
        <v/>
      </c>
    </row>
    <row r="767" spans="1:15" x14ac:dyDescent="0.25">
      <c r="N767" s="37" t="str">
        <f t="shared" ca="1" si="36"/>
        <v/>
      </c>
      <c r="O767" s="37" t="str">
        <f t="shared" ca="1" si="37"/>
        <v/>
      </c>
    </row>
    <row r="768" spans="1:15" x14ac:dyDescent="0.25">
      <c r="N768" s="37" t="str">
        <f t="shared" ca="1" si="36"/>
        <v/>
      </c>
      <c r="O768" s="37" t="str">
        <f t="shared" ca="1" si="37"/>
        <v/>
      </c>
    </row>
    <row r="769" spans="14:15" x14ac:dyDescent="0.25">
      <c r="N769" s="37" t="str">
        <f t="shared" ca="1" si="36"/>
        <v/>
      </c>
      <c r="O769" s="37" t="str">
        <f t="shared" ca="1" si="37"/>
        <v/>
      </c>
    </row>
    <row r="770" spans="14:15" x14ac:dyDescent="0.25">
      <c r="N770" s="37" t="str">
        <f t="shared" ca="1" si="36"/>
        <v/>
      </c>
      <c r="O770" s="37" t="str">
        <f t="shared" ca="1" si="37"/>
        <v/>
      </c>
    </row>
    <row r="771" spans="14:15" x14ac:dyDescent="0.25">
      <c r="N771" s="37" t="str">
        <f t="shared" ca="1" si="36"/>
        <v/>
      </c>
      <c r="O771" s="37" t="str">
        <f t="shared" ca="1" si="37"/>
        <v/>
      </c>
    </row>
    <row r="772" spans="14:15" x14ac:dyDescent="0.25">
      <c r="N772" s="37" t="str">
        <f t="shared" ref="N772:N835" ca="1" si="38">IF(COUNTIF(L:L,J772),J772,"")</f>
        <v/>
      </c>
      <c r="O772" s="37" t="str">
        <f t="shared" ref="O772:O835" ca="1" si="39">IF(N772&gt;$A$14,N772,"")</f>
        <v/>
      </c>
    </row>
    <row r="773" spans="14:15" x14ac:dyDescent="0.25">
      <c r="N773" s="37" t="str">
        <f t="shared" ca="1" si="38"/>
        <v/>
      </c>
      <c r="O773" s="37" t="str">
        <f t="shared" ca="1" si="39"/>
        <v/>
      </c>
    </row>
    <row r="774" spans="14:15" x14ac:dyDescent="0.25">
      <c r="N774" s="37" t="str">
        <f t="shared" ca="1" si="38"/>
        <v/>
      </c>
      <c r="O774" s="37" t="str">
        <f t="shared" ca="1" si="39"/>
        <v/>
      </c>
    </row>
    <row r="775" spans="14:15" x14ac:dyDescent="0.25">
      <c r="N775" s="37" t="str">
        <f t="shared" ca="1" si="38"/>
        <v/>
      </c>
      <c r="O775" s="37" t="str">
        <f t="shared" ca="1" si="39"/>
        <v/>
      </c>
    </row>
    <row r="776" spans="14:15" x14ac:dyDescent="0.25">
      <c r="N776" s="37" t="str">
        <f t="shared" ca="1" si="38"/>
        <v/>
      </c>
      <c r="O776" s="37" t="str">
        <f t="shared" ca="1" si="39"/>
        <v/>
      </c>
    </row>
    <row r="777" spans="14:15" x14ac:dyDescent="0.25">
      <c r="N777" s="37" t="str">
        <f t="shared" ca="1" si="38"/>
        <v/>
      </c>
      <c r="O777" s="37" t="str">
        <f t="shared" ca="1" si="39"/>
        <v/>
      </c>
    </row>
    <row r="778" spans="14:15" x14ac:dyDescent="0.25">
      <c r="N778" s="37" t="str">
        <f t="shared" ca="1" si="38"/>
        <v/>
      </c>
      <c r="O778" s="37" t="str">
        <f t="shared" ca="1" si="39"/>
        <v/>
      </c>
    </row>
    <row r="779" spans="14:15" x14ac:dyDescent="0.25">
      <c r="N779" s="37" t="str">
        <f t="shared" ca="1" si="38"/>
        <v/>
      </c>
      <c r="O779" s="37" t="str">
        <f t="shared" ca="1" si="39"/>
        <v/>
      </c>
    </row>
    <row r="780" spans="14:15" x14ac:dyDescent="0.25">
      <c r="N780" s="37" t="str">
        <f t="shared" ca="1" si="38"/>
        <v/>
      </c>
      <c r="O780" s="37" t="str">
        <f t="shared" ca="1" si="39"/>
        <v/>
      </c>
    </row>
    <row r="781" spans="14:15" x14ac:dyDescent="0.25">
      <c r="N781" s="37" t="str">
        <f t="shared" ca="1" si="38"/>
        <v/>
      </c>
      <c r="O781" s="37" t="str">
        <f t="shared" ca="1" si="39"/>
        <v/>
      </c>
    </row>
    <row r="782" spans="14:15" x14ac:dyDescent="0.25">
      <c r="N782" s="37" t="str">
        <f t="shared" ca="1" si="38"/>
        <v/>
      </c>
      <c r="O782" s="37" t="str">
        <f t="shared" ca="1" si="39"/>
        <v/>
      </c>
    </row>
    <row r="783" spans="14:15" x14ac:dyDescent="0.25">
      <c r="N783" s="37" t="str">
        <f t="shared" ca="1" si="38"/>
        <v/>
      </c>
      <c r="O783" s="37" t="str">
        <f t="shared" ca="1" si="39"/>
        <v/>
      </c>
    </row>
    <row r="784" spans="14:15" x14ac:dyDescent="0.25">
      <c r="N784" s="37" t="str">
        <f t="shared" ca="1" si="38"/>
        <v/>
      </c>
      <c r="O784" s="37" t="str">
        <f t="shared" ca="1" si="39"/>
        <v/>
      </c>
    </row>
    <row r="785" spans="14:15" x14ac:dyDescent="0.25">
      <c r="N785" s="37" t="str">
        <f t="shared" ca="1" si="38"/>
        <v/>
      </c>
      <c r="O785" s="37" t="str">
        <f t="shared" ca="1" si="39"/>
        <v/>
      </c>
    </row>
    <row r="786" spans="14:15" x14ac:dyDescent="0.25">
      <c r="N786" s="37" t="str">
        <f t="shared" ca="1" si="38"/>
        <v/>
      </c>
      <c r="O786" s="37" t="str">
        <f t="shared" ca="1" si="39"/>
        <v/>
      </c>
    </row>
    <row r="787" spans="14:15" x14ac:dyDescent="0.25">
      <c r="N787" s="37" t="str">
        <f t="shared" ca="1" si="38"/>
        <v/>
      </c>
      <c r="O787" s="37" t="str">
        <f t="shared" ca="1" si="39"/>
        <v/>
      </c>
    </row>
    <row r="788" spans="14:15" x14ac:dyDescent="0.25">
      <c r="N788" s="37" t="str">
        <f t="shared" ca="1" si="38"/>
        <v/>
      </c>
      <c r="O788" s="37" t="str">
        <f t="shared" ca="1" si="39"/>
        <v/>
      </c>
    </row>
    <row r="789" spans="14:15" x14ac:dyDescent="0.25">
      <c r="N789" s="37" t="str">
        <f t="shared" ca="1" si="38"/>
        <v/>
      </c>
      <c r="O789" s="37" t="str">
        <f t="shared" ca="1" si="39"/>
        <v/>
      </c>
    </row>
    <row r="790" spans="14:15" x14ac:dyDescent="0.25">
      <c r="N790" s="37" t="str">
        <f t="shared" ca="1" si="38"/>
        <v/>
      </c>
      <c r="O790" s="37" t="str">
        <f t="shared" ca="1" si="39"/>
        <v/>
      </c>
    </row>
    <row r="791" spans="14:15" x14ac:dyDescent="0.25">
      <c r="N791" s="37" t="str">
        <f t="shared" ca="1" si="38"/>
        <v/>
      </c>
      <c r="O791" s="37" t="str">
        <f t="shared" ca="1" si="39"/>
        <v/>
      </c>
    </row>
    <row r="792" spans="14:15" x14ac:dyDescent="0.25">
      <c r="N792" s="37" t="str">
        <f t="shared" ca="1" si="38"/>
        <v/>
      </c>
      <c r="O792" s="37" t="str">
        <f t="shared" ca="1" si="39"/>
        <v/>
      </c>
    </row>
    <row r="793" spans="14:15" x14ac:dyDescent="0.25">
      <c r="N793" s="37" t="str">
        <f t="shared" ca="1" si="38"/>
        <v/>
      </c>
      <c r="O793" s="37" t="str">
        <f t="shared" ca="1" si="39"/>
        <v/>
      </c>
    </row>
    <row r="794" spans="14:15" x14ac:dyDescent="0.25">
      <c r="N794" s="37" t="str">
        <f t="shared" ca="1" si="38"/>
        <v/>
      </c>
      <c r="O794" s="37" t="str">
        <f t="shared" ca="1" si="39"/>
        <v/>
      </c>
    </row>
    <row r="795" spans="14:15" x14ac:dyDescent="0.25">
      <c r="N795" s="37" t="str">
        <f t="shared" ca="1" si="38"/>
        <v/>
      </c>
      <c r="O795" s="37" t="str">
        <f t="shared" ca="1" si="39"/>
        <v/>
      </c>
    </row>
    <row r="796" spans="14:15" x14ac:dyDescent="0.25">
      <c r="N796" s="37" t="str">
        <f t="shared" ca="1" si="38"/>
        <v/>
      </c>
      <c r="O796" s="37" t="str">
        <f t="shared" ca="1" si="39"/>
        <v/>
      </c>
    </row>
    <row r="797" spans="14:15" x14ac:dyDescent="0.25">
      <c r="N797" s="37" t="str">
        <f t="shared" ca="1" si="38"/>
        <v/>
      </c>
      <c r="O797" s="37" t="str">
        <f t="shared" ca="1" si="39"/>
        <v/>
      </c>
    </row>
    <row r="798" spans="14:15" x14ac:dyDescent="0.25">
      <c r="N798" s="37" t="str">
        <f t="shared" ca="1" si="38"/>
        <v/>
      </c>
      <c r="O798" s="37" t="str">
        <f t="shared" ca="1" si="39"/>
        <v/>
      </c>
    </row>
    <row r="799" spans="14:15" x14ac:dyDescent="0.25">
      <c r="N799" s="37" t="str">
        <f t="shared" ca="1" si="38"/>
        <v/>
      </c>
      <c r="O799" s="37" t="str">
        <f t="shared" ca="1" si="39"/>
        <v/>
      </c>
    </row>
    <row r="800" spans="14:15" x14ac:dyDescent="0.25">
      <c r="N800" s="37" t="str">
        <f t="shared" ca="1" si="38"/>
        <v/>
      </c>
      <c r="O800" s="37" t="str">
        <f t="shared" ca="1" si="39"/>
        <v/>
      </c>
    </row>
    <row r="801" spans="14:15" x14ac:dyDescent="0.25">
      <c r="N801" s="37" t="str">
        <f t="shared" ca="1" si="38"/>
        <v/>
      </c>
      <c r="O801" s="37" t="str">
        <f t="shared" ca="1" si="39"/>
        <v/>
      </c>
    </row>
    <row r="802" spans="14:15" x14ac:dyDescent="0.25">
      <c r="N802" s="37" t="str">
        <f t="shared" ca="1" si="38"/>
        <v/>
      </c>
      <c r="O802" s="37" t="str">
        <f t="shared" ca="1" si="39"/>
        <v/>
      </c>
    </row>
    <row r="803" spans="14:15" x14ac:dyDescent="0.25">
      <c r="N803" s="37" t="str">
        <f t="shared" ca="1" si="38"/>
        <v/>
      </c>
      <c r="O803" s="37" t="str">
        <f t="shared" ca="1" si="39"/>
        <v/>
      </c>
    </row>
    <row r="804" spans="14:15" x14ac:dyDescent="0.25">
      <c r="N804" s="37" t="str">
        <f t="shared" ca="1" si="38"/>
        <v/>
      </c>
      <c r="O804" s="37" t="str">
        <f t="shared" ca="1" si="39"/>
        <v/>
      </c>
    </row>
    <row r="805" spans="14:15" x14ac:dyDescent="0.25">
      <c r="N805" s="37" t="str">
        <f t="shared" ca="1" si="38"/>
        <v/>
      </c>
      <c r="O805" s="37" t="str">
        <f t="shared" ca="1" si="39"/>
        <v/>
      </c>
    </row>
    <row r="806" spans="14:15" x14ac:dyDescent="0.25">
      <c r="N806" s="37" t="str">
        <f t="shared" ca="1" si="38"/>
        <v/>
      </c>
      <c r="O806" s="37" t="str">
        <f t="shared" ca="1" si="39"/>
        <v/>
      </c>
    </row>
    <row r="807" spans="14:15" x14ac:dyDescent="0.25">
      <c r="N807" s="37" t="str">
        <f t="shared" ca="1" si="38"/>
        <v/>
      </c>
      <c r="O807" s="37" t="str">
        <f t="shared" ca="1" si="39"/>
        <v/>
      </c>
    </row>
    <row r="808" spans="14:15" x14ac:dyDescent="0.25">
      <c r="N808" s="37" t="str">
        <f t="shared" ca="1" si="38"/>
        <v/>
      </c>
      <c r="O808" s="37" t="str">
        <f t="shared" ca="1" si="39"/>
        <v/>
      </c>
    </row>
    <row r="809" spans="14:15" x14ac:dyDescent="0.25">
      <c r="N809" s="37" t="str">
        <f t="shared" ca="1" si="38"/>
        <v/>
      </c>
      <c r="O809" s="37" t="str">
        <f t="shared" ca="1" si="39"/>
        <v/>
      </c>
    </row>
    <row r="810" spans="14:15" x14ac:dyDescent="0.25">
      <c r="N810" s="37" t="str">
        <f t="shared" ca="1" si="38"/>
        <v/>
      </c>
      <c r="O810" s="37" t="str">
        <f t="shared" ca="1" si="39"/>
        <v/>
      </c>
    </row>
    <row r="811" spans="14:15" x14ac:dyDescent="0.25">
      <c r="N811" s="37" t="str">
        <f t="shared" ca="1" si="38"/>
        <v/>
      </c>
      <c r="O811" s="37" t="str">
        <f t="shared" ca="1" si="39"/>
        <v/>
      </c>
    </row>
    <row r="812" spans="14:15" x14ac:dyDescent="0.25">
      <c r="N812" s="37" t="str">
        <f t="shared" ca="1" si="38"/>
        <v/>
      </c>
      <c r="O812" s="37" t="str">
        <f t="shared" ca="1" si="39"/>
        <v/>
      </c>
    </row>
    <row r="813" spans="14:15" x14ac:dyDescent="0.25">
      <c r="N813" s="37" t="str">
        <f t="shared" ca="1" si="38"/>
        <v/>
      </c>
      <c r="O813" s="37" t="str">
        <f t="shared" ca="1" si="39"/>
        <v/>
      </c>
    </row>
    <row r="814" spans="14:15" x14ac:dyDescent="0.25">
      <c r="N814" s="37" t="str">
        <f t="shared" ca="1" si="38"/>
        <v/>
      </c>
      <c r="O814" s="37" t="str">
        <f t="shared" ca="1" si="39"/>
        <v/>
      </c>
    </row>
    <row r="815" spans="14:15" x14ac:dyDescent="0.25">
      <c r="N815" s="37" t="str">
        <f t="shared" ca="1" si="38"/>
        <v/>
      </c>
      <c r="O815" s="37" t="str">
        <f t="shared" ca="1" si="39"/>
        <v/>
      </c>
    </row>
    <row r="816" spans="14:15" x14ac:dyDescent="0.25">
      <c r="N816" s="37" t="str">
        <f t="shared" ca="1" si="38"/>
        <v/>
      </c>
      <c r="O816" s="37" t="str">
        <f t="shared" ca="1" si="39"/>
        <v/>
      </c>
    </row>
    <row r="817" spans="14:15" x14ac:dyDescent="0.25">
      <c r="N817" s="37" t="str">
        <f t="shared" ca="1" si="38"/>
        <v/>
      </c>
      <c r="O817" s="37" t="str">
        <f t="shared" ca="1" si="39"/>
        <v/>
      </c>
    </row>
    <row r="818" spans="14:15" x14ac:dyDescent="0.25">
      <c r="N818" s="37" t="str">
        <f t="shared" ca="1" si="38"/>
        <v/>
      </c>
      <c r="O818" s="37" t="str">
        <f t="shared" ca="1" si="39"/>
        <v/>
      </c>
    </row>
    <row r="819" spans="14:15" x14ac:dyDescent="0.25">
      <c r="N819" s="37" t="str">
        <f t="shared" ca="1" si="38"/>
        <v/>
      </c>
      <c r="O819" s="37" t="str">
        <f t="shared" ca="1" si="39"/>
        <v/>
      </c>
    </row>
    <row r="820" spans="14:15" x14ac:dyDescent="0.25">
      <c r="N820" s="37" t="str">
        <f t="shared" ca="1" si="38"/>
        <v/>
      </c>
      <c r="O820" s="37" t="str">
        <f t="shared" ca="1" si="39"/>
        <v/>
      </c>
    </row>
    <row r="821" spans="14:15" x14ac:dyDescent="0.25">
      <c r="N821" s="37" t="str">
        <f t="shared" ca="1" si="38"/>
        <v/>
      </c>
      <c r="O821" s="37" t="str">
        <f t="shared" ca="1" si="39"/>
        <v/>
      </c>
    </row>
    <row r="822" spans="14:15" x14ac:dyDescent="0.25">
      <c r="N822" s="37" t="str">
        <f t="shared" ca="1" si="38"/>
        <v/>
      </c>
      <c r="O822" s="37" t="str">
        <f t="shared" ca="1" si="39"/>
        <v/>
      </c>
    </row>
    <row r="823" spans="14:15" x14ac:dyDescent="0.25">
      <c r="N823" s="37" t="str">
        <f t="shared" ca="1" si="38"/>
        <v/>
      </c>
      <c r="O823" s="37" t="str">
        <f t="shared" ca="1" si="39"/>
        <v/>
      </c>
    </row>
    <row r="824" spans="14:15" x14ac:dyDescent="0.25">
      <c r="N824" s="37" t="str">
        <f t="shared" ca="1" si="38"/>
        <v/>
      </c>
      <c r="O824" s="37" t="str">
        <f t="shared" ca="1" si="39"/>
        <v/>
      </c>
    </row>
    <row r="825" spans="14:15" x14ac:dyDescent="0.25">
      <c r="N825" s="37" t="str">
        <f t="shared" ca="1" si="38"/>
        <v/>
      </c>
      <c r="O825" s="37" t="str">
        <f t="shared" ca="1" si="39"/>
        <v/>
      </c>
    </row>
    <row r="826" spans="14:15" x14ac:dyDescent="0.25">
      <c r="N826" s="37" t="str">
        <f t="shared" ca="1" si="38"/>
        <v/>
      </c>
      <c r="O826" s="37" t="str">
        <f t="shared" ca="1" si="39"/>
        <v/>
      </c>
    </row>
    <row r="827" spans="14:15" x14ac:dyDescent="0.25">
      <c r="N827" s="37" t="str">
        <f t="shared" ca="1" si="38"/>
        <v/>
      </c>
      <c r="O827" s="37" t="str">
        <f t="shared" ca="1" si="39"/>
        <v/>
      </c>
    </row>
    <row r="828" spans="14:15" x14ac:dyDescent="0.25">
      <c r="N828" s="37" t="str">
        <f t="shared" ca="1" si="38"/>
        <v/>
      </c>
      <c r="O828" s="37" t="str">
        <f t="shared" ca="1" si="39"/>
        <v/>
      </c>
    </row>
    <row r="829" spans="14:15" x14ac:dyDescent="0.25">
      <c r="N829" s="37" t="str">
        <f t="shared" ca="1" si="38"/>
        <v/>
      </c>
      <c r="O829" s="37" t="str">
        <f t="shared" ca="1" si="39"/>
        <v/>
      </c>
    </row>
    <row r="830" spans="14:15" x14ac:dyDescent="0.25">
      <c r="N830" s="37" t="str">
        <f t="shared" ca="1" si="38"/>
        <v/>
      </c>
      <c r="O830" s="37" t="str">
        <f t="shared" ca="1" si="39"/>
        <v/>
      </c>
    </row>
    <row r="831" spans="14:15" x14ac:dyDescent="0.25">
      <c r="N831" s="37" t="str">
        <f t="shared" ca="1" si="38"/>
        <v/>
      </c>
      <c r="O831" s="37" t="str">
        <f t="shared" ca="1" si="39"/>
        <v/>
      </c>
    </row>
    <row r="832" spans="14:15" x14ac:dyDescent="0.25">
      <c r="N832" s="37" t="str">
        <f t="shared" ca="1" si="38"/>
        <v/>
      </c>
      <c r="O832" s="37" t="str">
        <f t="shared" ca="1" si="39"/>
        <v/>
      </c>
    </row>
    <row r="833" spans="14:15" x14ac:dyDescent="0.25">
      <c r="N833" s="37" t="str">
        <f t="shared" ca="1" si="38"/>
        <v/>
      </c>
      <c r="O833" s="37" t="str">
        <f t="shared" ca="1" si="39"/>
        <v/>
      </c>
    </row>
    <row r="834" spans="14:15" x14ac:dyDescent="0.25">
      <c r="N834" s="37" t="str">
        <f t="shared" ca="1" si="38"/>
        <v/>
      </c>
      <c r="O834" s="37" t="str">
        <f t="shared" ca="1" si="39"/>
        <v/>
      </c>
    </row>
    <row r="835" spans="14:15" x14ac:dyDescent="0.25">
      <c r="N835" s="37" t="str">
        <f t="shared" ca="1" si="38"/>
        <v/>
      </c>
      <c r="O835" s="37" t="str">
        <f t="shared" ca="1" si="39"/>
        <v/>
      </c>
    </row>
    <row r="836" spans="14:15" x14ac:dyDescent="0.25">
      <c r="N836" s="37" t="str">
        <f t="shared" ref="N836:N899" ca="1" si="40">IF(COUNTIF(L:L,J836),J836,"")</f>
        <v/>
      </c>
      <c r="O836" s="37" t="str">
        <f t="shared" ref="O836:O899" ca="1" si="41">IF(N836&gt;$A$14,N836,"")</f>
        <v/>
      </c>
    </row>
    <row r="837" spans="14:15" x14ac:dyDescent="0.25">
      <c r="N837" s="37" t="str">
        <f t="shared" ca="1" si="40"/>
        <v/>
      </c>
      <c r="O837" s="37" t="str">
        <f t="shared" ca="1" si="41"/>
        <v/>
      </c>
    </row>
    <row r="838" spans="14:15" x14ac:dyDescent="0.25">
      <c r="N838" s="37" t="str">
        <f t="shared" ca="1" si="40"/>
        <v/>
      </c>
      <c r="O838" s="37" t="str">
        <f t="shared" ca="1" si="41"/>
        <v/>
      </c>
    </row>
    <row r="839" spans="14:15" x14ac:dyDescent="0.25">
      <c r="N839" s="37" t="str">
        <f t="shared" ca="1" si="40"/>
        <v/>
      </c>
      <c r="O839" s="37" t="str">
        <f t="shared" ca="1" si="41"/>
        <v/>
      </c>
    </row>
    <row r="840" spans="14:15" x14ac:dyDescent="0.25">
      <c r="N840" s="37" t="str">
        <f t="shared" ca="1" si="40"/>
        <v/>
      </c>
      <c r="O840" s="37" t="str">
        <f t="shared" ca="1" si="41"/>
        <v/>
      </c>
    </row>
    <row r="841" spans="14:15" x14ac:dyDescent="0.25">
      <c r="N841" s="37" t="str">
        <f t="shared" ca="1" si="40"/>
        <v/>
      </c>
      <c r="O841" s="37" t="str">
        <f t="shared" ca="1" si="41"/>
        <v/>
      </c>
    </row>
    <row r="842" spans="14:15" x14ac:dyDescent="0.25">
      <c r="N842" s="37" t="str">
        <f t="shared" ca="1" si="40"/>
        <v/>
      </c>
      <c r="O842" s="37" t="str">
        <f t="shared" ca="1" si="41"/>
        <v/>
      </c>
    </row>
    <row r="843" spans="14:15" x14ac:dyDescent="0.25">
      <c r="N843" s="37" t="str">
        <f t="shared" ca="1" si="40"/>
        <v/>
      </c>
      <c r="O843" s="37" t="str">
        <f t="shared" ca="1" si="41"/>
        <v/>
      </c>
    </row>
    <row r="844" spans="14:15" x14ac:dyDescent="0.25">
      <c r="N844" s="37" t="str">
        <f t="shared" ca="1" si="40"/>
        <v/>
      </c>
      <c r="O844" s="37" t="str">
        <f t="shared" ca="1" si="41"/>
        <v/>
      </c>
    </row>
    <row r="845" spans="14:15" x14ac:dyDescent="0.25">
      <c r="N845" s="37" t="str">
        <f t="shared" ca="1" si="40"/>
        <v/>
      </c>
      <c r="O845" s="37" t="str">
        <f t="shared" ca="1" si="41"/>
        <v/>
      </c>
    </row>
    <row r="846" spans="14:15" x14ac:dyDescent="0.25">
      <c r="N846" s="37" t="str">
        <f t="shared" ca="1" si="40"/>
        <v/>
      </c>
      <c r="O846" s="37" t="str">
        <f t="shared" ca="1" si="41"/>
        <v/>
      </c>
    </row>
    <row r="847" spans="14:15" x14ac:dyDescent="0.25">
      <c r="N847" s="37" t="str">
        <f t="shared" ca="1" si="40"/>
        <v/>
      </c>
      <c r="O847" s="37" t="str">
        <f t="shared" ca="1" si="41"/>
        <v/>
      </c>
    </row>
    <row r="848" spans="14:15" x14ac:dyDescent="0.25">
      <c r="N848" s="37" t="str">
        <f t="shared" ca="1" si="40"/>
        <v/>
      </c>
      <c r="O848" s="37" t="str">
        <f t="shared" ca="1" si="41"/>
        <v/>
      </c>
    </row>
    <row r="849" spans="14:15" x14ac:dyDescent="0.25">
      <c r="N849" s="37" t="str">
        <f t="shared" ca="1" si="40"/>
        <v/>
      </c>
      <c r="O849" s="37" t="str">
        <f t="shared" ca="1" si="41"/>
        <v/>
      </c>
    </row>
    <row r="850" spans="14:15" x14ac:dyDescent="0.25">
      <c r="N850" s="37" t="str">
        <f t="shared" ca="1" si="40"/>
        <v/>
      </c>
      <c r="O850" s="37" t="str">
        <f t="shared" ca="1" si="41"/>
        <v/>
      </c>
    </row>
    <row r="851" spans="14:15" x14ac:dyDescent="0.25">
      <c r="N851" s="37" t="str">
        <f t="shared" ca="1" si="40"/>
        <v/>
      </c>
      <c r="O851" s="37" t="str">
        <f t="shared" ca="1" si="41"/>
        <v/>
      </c>
    </row>
    <row r="852" spans="14:15" x14ac:dyDescent="0.25">
      <c r="N852" s="37" t="str">
        <f t="shared" ca="1" si="40"/>
        <v/>
      </c>
      <c r="O852" s="37" t="str">
        <f t="shared" ca="1" si="41"/>
        <v/>
      </c>
    </row>
    <row r="853" spans="14:15" x14ac:dyDescent="0.25">
      <c r="N853" s="37" t="str">
        <f t="shared" ca="1" si="40"/>
        <v/>
      </c>
      <c r="O853" s="37" t="str">
        <f t="shared" ca="1" si="41"/>
        <v/>
      </c>
    </row>
    <row r="854" spans="14:15" x14ac:dyDescent="0.25">
      <c r="N854" s="37" t="str">
        <f t="shared" ca="1" si="40"/>
        <v/>
      </c>
      <c r="O854" s="37" t="str">
        <f t="shared" ca="1" si="41"/>
        <v/>
      </c>
    </row>
    <row r="855" spans="14:15" x14ac:dyDescent="0.25">
      <c r="N855" s="37" t="str">
        <f t="shared" ca="1" si="40"/>
        <v/>
      </c>
      <c r="O855" s="37" t="str">
        <f t="shared" ca="1" si="41"/>
        <v/>
      </c>
    </row>
    <row r="856" spans="14:15" x14ac:dyDescent="0.25">
      <c r="N856" s="37" t="str">
        <f t="shared" ca="1" si="40"/>
        <v/>
      </c>
      <c r="O856" s="37" t="str">
        <f t="shared" ca="1" si="41"/>
        <v/>
      </c>
    </row>
    <row r="857" spans="14:15" x14ac:dyDescent="0.25">
      <c r="N857" s="37" t="str">
        <f t="shared" ca="1" si="40"/>
        <v/>
      </c>
      <c r="O857" s="37" t="str">
        <f t="shared" ca="1" si="41"/>
        <v/>
      </c>
    </row>
    <row r="858" spans="14:15" x14ac:dyDescent="0.25">
      <c r="N858" s="37" t="str">
        <f t="shared" ca="1" si="40"/>
        <v/>
      </c>
      <c r="O858" s="37" t="str">
        <f t="shared" ca="1" si="41"/>
        <v/>
      </c>
    </row>
    <row r="859" spans="14:15" x14ac:dyDescent="0.25">
      <c r="N859" s="37" t="str">
        <f t="shared" ca="1" si="40"/>
        <v/>
      </c>
      <c r="O859" s="37" t="str">
        <f t="shared" ca="1" si="41"/>
        <v/>
      </c>
    </row>
    <row r="860" spans="14:15" x14ac:dyDescent="0.25">
      <c r="N860" s="37" t="str">
        <f t="shared" ca="1" si="40"/>
        <v/>
      </c>
      <c r="O860" s="37" t="str">
        <f t="shared" ca="1" si="41"/>
        <v/>
      </c>
    </row>
    <row r="861" spans="14:15" x14ac:dyDescent="0.25">
      <c r="N861" s="37" t="str">
        <f t="shared" ca="1" si="40"/>
        <v/>
      </c>
      <c r="O861" s="37" t="str">
        <f t="shared" ca="1" si="41"/>
        <v/>
      </c>
    </row>
    <row r="862" spans="14:15" x14ac:dyDescent="0.25">
      <c r="N862" s="37" t="str">
        <f t="shared" ca="1" si="40"/>
        <v/>
      </c>
      <c r="O862" s="37" t="str">
        <f t="shared" ca="1" si="41"/>
        <v/>
      </c>
    </row>
    <row r="863" spans="14:15" x14ac:dyDescent="0.25">
      <c r="N863" s="37" t="str">
        <f t="shared" ca="1" si="40"/>
        <v/>
      </c>
      <c r="O863" s="37" t="str">
        <f t="shared" ca="1" si="41"/>
        <v/>
      </c>
    </row>
    <row r="864" spans="14:15" x14ac:dyDescent="0.25">
      <c r="N864" s="37" t="str">
        <f t="shared" ca="1" si="40"/>
        <v/>
      </c>
      <c r="O864" s="37" t="str">
        <f t="shared" ca="1" si="41"/>
        <v/>
      </c>
    </row>
    <row r="865" spans="14:15" x14ac:dyDescent="0.25">
      <c r="N865" s="37" t="str">
        <f t="shared" ca="1" si="40"/>
        <v/>
      </c>
      <c r="O865" s="37" t="str">
        <f t="shared" ca="1" si="41"/>
        <v/>
      </c>
    </row>
    <row r="866" spans="14:15" x14ac:dyDescent="0.25">
      <c r="N866" s="37" t="str">
        <f t="shared" ca="1" si="40"/>
        <v/>
      </c>
      <c r="O866" s="37" t="str">
        <f t="shared" ca="1" si="41"/>
        <v/>
      </c>
    </row>
    <row r="867" spans="14:15" x14ac:dyDescent="0.25">
      <c r="N867" s="37" t="str">
        <f t="shared" ca="1" si="40"/>
        <v/>
      </c>
      <c r="O867" s="37" t="str">
        <f t="shared" ca="1" si="41"/>
        <v/>
      </c>
    </row>
    <row r="868" spans="14:15" x14ac:dyDescent="0.25">
      <c r="N868" s="37" t="str">
        <f t="shared" ca="1" si="40"/>
        <v/>
      </c>
      <c r="O868" s="37" t="str">
        <f t="shared" ca="1" si="41"/>
        <v/>
      </c>
    </row>
    <row r="869" spans="14:15" x14ac:dyDescent="0.25">
      <c r="N869" s="37" t="str">
        <f t="shared" ca="1" si="40"/>
        <v/>
      </c>
      <c r="O869" s="37" t="str">
        <f t="shared" ca="1" si="41"/>
        <v/>
      </c>
    </row>
    <row r="870" spans="14:15" x14ac:dyDescent="0.25">
      <c r="N870" s="37" t="str">
        <f t="shared" ca="1" si="40"/>
        <v/>
      </c>
      <c r="O870" s="37" t="str">
        <f t="shared" ca="1" si="41"/>
        <v/>
      </c>
    </row>
    <row r="871" spans="14:15" x14ac:dyDescent="0.25">
      <c r="N871" s="37" t="str">
        <f t="shared" ca="1" si="40"/>
        <v/>
      </c>
      <c r="O871" s="37" t="str">
        <f t="shared" ca="1" si="41"/>
        <v/>
      </c>
    </row>
    <row r="872" spans="14:15" x14ac:dyDescent="0.25">
      <c r="N872" s="37" t="str">
        <f t="shared" ca="1" si="40"/>
        <v/>
      </c>
      <c r="O872" s="37" t="str">
        <f t="shared" ca="1" si="41"/>
        <v/>
      </c>
    </row>
    <row r="873" spans="14:15" x14ac:dyDescent="0.25">
      <c r="N873" s="37" t="str">
        <f t="shared" ca="1" si="40"/>
        <v/>
      </c>
      <c r="O873" s="37" t="str">
        <f t="shared" ca="1" si="41"/>
        <v/>
      </c>
    </row>
    <row r="874" spans="14:15" x14ac:dyDescent="0.25">
      <c r="N874" s="37" t="str">
        <f t="shared" ca="1" si="40"/>
        <v/>
      </c>
      <c r="O874" s="37" t="str">
        <f t="shared" ca="1" si="41"/>
        <v/>
      </c>
    </row>
    <row r="875" spans="14:15" x14ac:dyDescent="0.25">
      <c r="N875" s="37" t="str">
        <f t="shared" ca="1" si="40"/>
        <v/>
      </c>
      <c r="O875" s="37" t="str">
        <f t="shared" ca="1" si="41"/>
        <v/>
      </c>
    </row>
    <row r="876" spans="14:15" x14ac:dyDescent="0.25">
      <c r="N876" s="37" t="str">
        <f t="shared" ca="1" si="40"/>
        <v/>
      </c>
      <c r="O876" s="37" t="str">
        <f t="shared" ca="1" si="41"/>
        <v/>
      </c>
    </row>
    <row r="877" spans="14:15" x14ac:dyDescent="0.25">
      <c r="N877" s="37" t="str">
        <f t="shared" ca="1" si="40"/>
        <v/>
      </c>
      <c r="O877" s="37" t="str">
        <f t="shared" ca="1" si="41"/>
        <v/>
      </c>
    </row>
    <row r="878" spans="14:15" x14ac:dyDescent="0.25">
      <c r="N878" s="37" t="str">
        <f t="shared" ca="1" si="40"/>
        <v/>
      </c>
      <c r="O878" s="37" t="str">
        <f t="shared" ca="1" si="41"/>
        <v/>
      </c>
    </row>
    <row r="879" spans="14:15" x14ac:dyDescent="0.25">
      <c r="N879" s="37" t="str">
        <f t="shared" ca="1" si="40"/>
        <v/>
      </c>
      <c r="O879" s="37" t="str">
        <f t="shared" ca="1" si="41"/>
        <v/>
      </c>
    </row>
    <row r="880" spans="14:15" x14ac:dyDescent="0.25">
      <c r="N880" s="37" t="str">
        <f t="shared" ca="1" si="40"/>
        <v/>
      </c>
      <c r="O880" s="37" t="str">
        <f t="shared" ca="1" si="41"/>
        <v/>
      </c>
    </row>
    <row r="881" spans="14:15" x14ac:dyDescent="0.25">
      <c r="N881" s="37" t="str">
        <f t="shared" ca="1" si="40"/>
        <v/>
      </c>
      <c r="O881" s="37" t="str">
        <f t="shared" ca="1" si="41"/>
        <v/>
      </c>
    </row>
    <row r="882" spans="14:15" x14ac:dyDescent="0.25">
      <c r="N882" s="37" t="str">
        <f t="shared" ca="1" si="40"/>
        <v/>
      </c>
      <c r="O882" s="37" t="str">
        <f t="shared" ca="1" si="41"/>
        <v/>
      </c>
    </row>
    <row r="883" spans="14:15" x14ac:dyDescent="0.25">
      <c r="N883" s="37" t="str">
        <f t="shared" ca="1" si="40"/>
        <v/>
      </c>
      <c r="O883" s="37" t="str">
        <f t="shared" ca="1" si="41"/>
        <v/>
      </c>
    </row>
    <row r="884" spans="14:15" x14ac:dyDescent="0.25">
      <c r="N884" s="37" t="str">
        <f t="shared" ca="1" si="40"/>
        <v/>
      </c>
      <c r="O884" s="37" t="str">
        <f t="shared" ca="1" si="41"/>
        <v/>
      </c>
    </row>
    <row r="885" spans="14:15" x14ac:dyDescent="0.25">
      <c r="N885" s="37" t="str">
        <f t="shared" ca="1" si="40"/>
        <v/>
      </c>
      <c r="O885" s="37" t="str">
        <f t="shared" ca="1" si="41"/>
        <v/>
      </c>
    </row>
    <row r="886" spans="14:15" x14ac:dyDescent="0.25">
      <c r="N886" s="37" t="str">
        <f t="shared" ca="1" si="40"/>
        <v/>
      </c>
      <c r="O886" s="37" t="str">
        <f t="shared" ca="1" si="41"/>
        <v/>
      </c>
    </row>
    <row r="887" spans="14:15" x14ac:dyDescent="0.25">
      <c r="N887" s="37" t="str">
        <f t="shared" ca="1" si="40"/>
        <v/>
      </c>
      <c r="O887" s="37" t="str">
        <f t="shared" ca="1" si="41"/>
        <v/>
      </c>
    </row>
    <row r="888" spans="14:15" x14ac:dyDescent="0.25">
      <c r="N888" s="37" t="str">
        <f t="shared" ca="1" si="40"/>
        <v/>
      </c>
      <c r="O888" s="37" t="str">
        <f t="shared" ca="1" si="41"/>
        <v/>
      </c>
    </row>
    <row r="889" spans="14:15" x14ac:dyDescent="0.25">
      <c r="N889" s="37" t="str">
        <f t="shared" ca="1" si="40"/>
        <v/>
      </c>
      <c r="O889" s="37" t="str">
        <f t="shared" ca="1" si="41"/>
        <v/>
      </c>
    </row>
    <row r="890" spans="14:15" x14ac:dyDescent="0.25">
      <c r="N890" s="37" t="str">
        <f t="shared" ca="1" si="40"/>
        <v/>
      </c>
      <c r="O890" s="37" t="str">
        <f t="shared" ca="1" si="41"/>
        <v/>
      </c>
    </row>
    <row r="891" spans="14:15" x14ac:dyDescent="0.25">
      <c r="N891" s="37" t="str">
        <f t="shared" ca="1" si="40"/>
        <v/>
      </c>
      <c r="O891" s="37" t="str">
        <f t="shared" ca="1" si="41"/>
        <v/>
      </c>
    </row>
    <row r="892" spans="14:15" x14ac:dyDescent="0.25">
      <c r="N892" s="37" t="str">
        <f t="shared" ca="1" si="40"/>
        <v/>
      </c>
      <c r="O892" s="37" t="str">
        <f t="shared" ca="1" si="41"/>
        <v/>
      </c>
    </row>
    <row r="893" spans="14:15" x14ac:dyDescent="0.25">
      <c r="N893" s="37" t="str">
        <f t="shared" ca="1" si="40"/>
        <v/>
      </c>
      <c r="O893" s="37" t="str">
        <f t="shared" ca="1" si="41"/>
        <v/>
      </c>
    </row>
    <row r="894" spans="14:15" x14ac:dyDescent="0.25">
      <c r="N894" s="37" t="str">
        <f t="shared" ca="1" si="40"/>
        <v/>
      </c>
      <c r="O894" s="37" t="str">
        <f t="shared" ca="1" si="41"/>
        <v/>
      </c>
    </row>
    <row r="895" spans="14:15" x14ac:dyDescent="0.25">
      <c r="N895" s="37" t="str">
        <f t="shared" ca="1" si="40"/>
        <v/>
      </c>
      <c r="O895" s="37" t="str">
        <f t="shared" ca="1" si="41"/>
        <v/>
      </c>
    </row>
    <row r="896" spans="14:15" x14ac:dyDescent="0.25">
      <c r="N896" s="37" t="str">
        <f t="shared" ca="1" si="40"/>
        <v/>
      </c>
      <c r="O896" s="37" t="str">
        <f t="shared" ca="1" si="41"/>
        <v/>
      </c>
    </row>
    <row r="897" spans="14:15" x14ac:dyDescent="0.25">
      <c r="N897" s="37" t="str">
        <f t="shared" ca="1" si="40"/>
        <v/>
      </c>
      <c r="O897" s="37" t="str">
        <f t="shared" ca="1" si="41"/>
        <v/>
      </c>
    </row>
    <row r="898" spans="14:15" x14ac:dyDescent="0.25">
      <c r="N898" s="37" t="str">
        <f t="shared" ca="1" si="40"/>
        <v/>
      </c>
      <c r="O898" s="37" t="str">
        <f t="shared" ca="1" si="41"/>
        <v/>
      </c>
    </row>
    <row r="899" spans="14:15" x14ac:dyDescent="0.25">
      <c r="N899" s="37" t="str">
        <f t="shared" ca="1" si="40"/>
        <v/>
      </c>
      <c r="O899" s="37" t="str">
        <f t="shared" ca="1" si="41"/>
        <v/>
      </c>
    </row>
    <row r="900" spans="14:15" x14ac:dyDescent="0.25">
      <c r="N900" s="37" t="str">
        <f t="shared" ref="N900:N945" ca="1" si="42">IF(COUNTIF(L:L,J900),J900,"")</f>
        <v/>
      </c>
      <c r="O900" s="37" t="str">
        <f t="shared" ref="O900:O945" ca="1" si="43">IF(N900&gt;$A$14,N900,"")</f>
        <v/>
      </c>
    </row>
    <row r="901" spans="14:15" x14ac:dyDescent="0.25">
      <c r="N901" s="37" t="str">
        <f t="shared" ca="1" si="42"/>
        <v/>
      </c>
      <c r="O901" s="37" t="str">
        <f t="shared" ca="1" si="43"/>
        <v/>
      </c>
    </row>
    <row r="902" spans="14:15" x14ac:dyDescent="0.25">
      <c r="N902" s="37" t="str">
        <f t="shared" ca="1" si="42"/>
        <v/>
      </c>
      <c r="O902" s="37" t="str">
        <f t="shared" ca="1" si="43"/>
        <v/>
      </c>
    </row>
    <row r="903" spans="14:15" x14ac:dyDescent="0.25">
      <c r="N903" s="37" t="str">
        <f t="shared" ca="1" si="42"/>
        <v/>
      </c>
      <c r="O903" s="37" t="str">
        <f t="shared" ca="1" si="43"/>
        <v/>
      </c>
    </row>
    <row r="904" spans="14:15" x14ac:dyDescent="0.25">
      <c r="N904" s="37" t="str">
        <f t="shared" ca="1" si="42"/>
        <v/>
      </c>
      <c r="O904" s="37" t="str">
        <f t="shared" ca="1" si="43"/>
        <v/>
      </c>
    </row>
    <row r="905" spans="14:15" x14ac:dyDescent="0.25">
      <c r="N905" s="37" t="str">
        <f t="shared" ca="1" si="42"/>
        <v/>
      </c>
      <c r="O905" s="37" t="str">
        <f t="shared" ca="1" si="43"/>
        <v/>
      </c>
    </row>
    <row r="906" spans="14:15" x14ac:dyDescent="0.25">
      <c r="N906" s="37" t="str">
        <f t="shared" ca="1" si="42"/>
        <v/>
      </c>
      <c r="O906" s="37" t="str">
        <f t="shared" ca="1" si="43"/>
        <v/>
      </c>
    </row>
    <row r="907" spans="14:15" x14ac:dyDescent="0.25">
      <c r="N907" s="37" t="str">
        <f t="shared" ca="1" si="42"/>
        <v/>
      </c>
      <c r="O907" s="37" t="str">
        <f t="shared" ca="1" si="43"/>
        <v/>
      </c>
    </row>
    <row r="908" spans="14:15" x14ac:dyDescent="0.25">
      <c r="N908" s="37" t="str">
        <f t="shared" ca="1" si="42"/>
        <v/>
      </c>
      <c r="O908" s="37" t="str">
        <f t="shared" ca="1" si="43"/>
        <v/>
      </c>
    </row>
    <row r="909" spans="14:15" x14ac:dyDescent="0.25">
      <c r="N909" s="37" t="str">
        <f t="shared" ca="1" si="42"/>
        <v/>
      </c>
      <c r="O909" s="37" t="str">
        <f t="shared" ca="1" si="43"/>
        <v/>
      </c>
    </row>
    <row r="910" spans="14:15" x14ac:dyDescent="0.25">
      <c r="N910" s="37" t="str">
        <f t="shared" ca="1" si="42"/>
        <v/>
      </c>
      <c r="O910" s="37" t="str">
        <f t="shared" ca="1" si="43"/>
        <v/>
      </c>
    </row>
    <row r="911" spans="14:15" x14ac:dyDescent="0.25">
      <c r="N911" s="37" t="str">
        <f t="shared" ca="1" si="42"/>
        <v/>
      </c>
      <c r="O911" s="37" t="str">
        <f t="shared" ca="1" si="43"/>
        <v/>
      </c>
    </row>
    <row r="912" spans="14:15" x14ac:dyDescent="0.25">
      <c r="N912" s="37" t="str">
        <f t="shared" ca="1" si="42"/>
        <v/>
      </c>
      <c r="O912" s="37" t="str">
        <f t="shared" ca="1" si="43"/>
        <v/>
      </c>
    </row>
    <row r="913" spans="14:15" x14ac:dyDescent="0.25">
      <c r="N913" s="37" t="str">
        <f t="shared" ca="1" si="42"/>
        <v/>
      </c>
      <c r="O913" s="37" t="str">
        <f t="shared" ca="1" si="43"/>
        <v/>
      </c>
    </row>
    <row r="914" spans="14:15" x14ac:dyDescent="0.25">
      <c r="N914" s="37" t="str">
        <f t="shared" ca="1" si="42"/>
        <v/>
      </c>
      <c r="O914" s="37" t="str">
        <f t="shared" ca="1" si="43"/>
        <v/>
      </c>
    </row>
    <row r="915" spans="14:15" x14ac:dyDescent="0.25">
      <c r="N915" s="37" t="str">
        <f t="shared" ca="1" si="42"/>
        <v/>
      </c>
      <c r="O915" s="37" t="str">
        <f t="shared" ca="1" si="43"/>
        <v/>
      </c>
    </row>
    <row r="916" spans="14:15" x14ac:dyDescent="0.25">
      <c r="N916" s="37" t="str">
        <f t="shared" ca="1" si="42"/>
        <v/>
      </c>
      <c r="O916" s="37" t="str">
        <f t="shared" ca="1" si="43"/>
        <v/>
      </c>
    </row>
    <row r="917" spans="14:15" x14ac:dyDescent="0.25">
      <c r="N917" s="37" t="str">
        <f t="shared" ca="1" si="42"/>
        <v/>
      </c>
      <c r="O917" s="37" t="str">
        <f t="shared" ca="1" si="43"/>
        <v/>
      </c>
    </row>
    <row r="918" spans="14:15" x14ac:dyDescent="0.25">
      <c r="N918" s="37" t="str">
        <f t="shared" ca="1" si="42"/>
        <v/>
      </c>
      <c r="O918" s="37" t="str">
        <f t="shared" ca="1" si="43"/>
        <v/>
      </c>
    </row>
    <row r="919" spans="14:15" x14ac:dyDescent="0.25">
      <c r="N919" s="37" t="str">
        <f t="shared" ca="1" si="42"/>
        <v/>
      </c>
      <c r="O919" s="37" t="str">
        <f t="shared" ca="1" si="43"/>
        <v/>
      </c>
    </row>
    <row r="920" spans="14:15" x14ac:dyDescent="0.25">
      <c r="N920" s="37" t="str">
        <f t="shared" ca="1" si="42"/>
        <v/>
      </c>
      <c r="O920" s="37" t="str">
        <f t="shared" ca="1" si="43"/>
        <v/>
      </c>
    </row>
    <row r="921" spans="14:15" x14ac:dyDescent="0.25">
      <c r="N921" s="37" t="str">
        <f t="shared" ca="1" si="42"/>
        <v/>
      </c>
      <c r="O921" s="37" t="str">
        <f t="shared" ca="1" si="43"/>
        <v/>
      </c>
    </row>
    <row r="922" spans="14:15" x14ac:dyDescent="0.25">
      <c r="N922" s="37" t="str">
        <f t="shared" ca="1" si="42"/>
        <v/>
      </c>
      <c r="O922" s="37" t="str">
        <f t="shared" ca="1" si="43"/>
        <v/>
      </c>
    </row>
    <row r="923" spans="14:15" x14ac:dyDescent="0.25">
      <c r="N923" s="37" t="str">
        <f t="shared" ca="1" si="42"/>
        <v/>
      </c>
      <c r="O923" s="37" t="str">
        <f t="shared" ca="1" si="43"/>
        <v/>
      </c>
    </row>
    <row r="924" spans="14:15" x14ac:dyDescent="0.25">
      <c r="N924" s="37" t="str">
        <f t="shared" ca="1" si="42"/>
        <v/>
      </c>
      <c r="O924" s="37" t="str">
        <f t="shared" ca="1" si="43"/>
        <v/>
      </c>
    </row>
    <row r="925" spans="14:15" x14ac:dyDescent="0.25">
      <c r="N925" s="37" t="str">
        <f t="shared" ca="1" si="42"/>
        <v/>
      </c>
      <c r="O925" s="37" t="str">
        <f t="shared" ca="1" si="43"/>
        <v/>
      </c>
    </row>
    <row r="926" spans="14:15" x14ac:dyDescent="0.25">
      <c r="N926" s="37" t="str">
        <f t="shared" ca="1" si="42"/>
        <v/>
      </c>
      <c r="O926" s="37" t="str">
        <f t="shared" ca="1" si="43"/>
        <v/>
      </c>
    </row>
    <row r="927" spans="14:15" x14ac:dyDescent="0.25">
      <c r="N927" s="37" t="str">
        <f t="shared" ca="1" si="42"/>
        <v/>
      </c>
      <c r="O927" s="37" t="str">
        <f t="shared" ca="1" si="43"/>
        <v/>
      </c>
    </row>
    <row r="928" spans="14:15" x14ac:dyDescent="0.25">
      <c r="N928" s="37" t="str">
        <f t="shared" ca="1" si="42"/>
        <v/>
      </c>
      <c r="O928" s="37" t="str">
        <f t="shared" ca="1" si="43"/>
        <v/>
      </c>
    </row>
    <row r="929" spans="14:15" x14ac:dyDescent="0.25">
      <c r="N929" s="37" t="str">
        <f t="shared" ca="1" si="42"/>
        <v/>
      </c>
      <c r="O929" s="37" t="str">
        <f t="shared" ca="1" si="43"/>
        <v/>
      </c>
    </row>
    <row r="930" spans="14:15" x14ac:dyDescent="0.25">
      <c r="N930" s="37" t="str">
        <f t="shared" ca="1" si="42"/>
        <v/>
      </c>
      <c r="O930" s="37" t="str">
        <f t="shared" ca="1" si="43"/>
        <v/>
      </c>
    </row>
    <row r="931" spans="14:15" x14ac:dyDescent="0.25">
      <c r="N931" s="37" t="str">
        <f t="shared" ca="1" si="42"/>
        <v/>
      </c>
      <c r="O931" s="37" t="str">
        <f t="shared" ca="1" si="43"/>
        <v/>
      </c>
    </row>
    <row r="932" spans="14:15" x14ac:dyDescent="0.25">
      <c r="N932" s="37" t="str">
        <f t="shared" ca="1" si="42"/>
        <v/>
      </c>
      <c r="O932" s="37" t="str">
        <f t="shared" ca="1" si="43"/>
        <v/>
      </c>
    </row>
    <row r="933" spans="14:15" x14ac:dyDescent="0.25">
      <c r="N933" s="37" t="str">
        <f t="shared" ca="1" si="42"/>
        <v/>
      </c>
      <c r="O933" s="37" t="str">
        <f t="shared" ca="1" si="43"/>
        <v/>
      </c>
    </row>
    <row r="934" spans="14:15" x14ac:dyDescent="0.25">
      <c r="N934" s="37" t="str">
        <f t="shared" ca="1" si="42"/>
        <v/>
      </c>
      <c r="O934" s="37" t="str">
        <f t="shared" ca="1" si="43"/>
        <v/>
      </c>
    </row>
    <row r="935" spans="14:15" x14ac:dyDescent="0.25">
      <c r="N935" s="37" t="str">
        <f t="shared" ca="1" si="42"/>
        <v/>
      </c>
      <c r="O935" s="37" t="str">
        <f t="shared" ca="1" si="43"/>
        <v/>
      </c>
    </row>
    <row r="936" spans="14:15" x14ac:dyDescent="0.25">
      <c r="N936" s="37" t="str">
        <f t="shared" ca="1" si="42"/>
        <v/>
      </c>
      <c r="O936" s="37" t="str">
        <f t="shared" ca="1" si="43"/>
        <v/>
      </c>
    </row>
    <row r="937" spans="14:15" x14ac:dyDescent="0.25">
      <c r="N937" s="37" t="str">
        <f t="shared" ca="1" si="42"/>
        <v/>
      </c>
      <c r="O937" s="37" t="str">
        <f t="shared" ca="1" si="43"/>
        <v/>
      </c>
    </row>
    <row r="938" spans="14:15" x14ac:dyDescent="0.25">
      <c r="N938" s="37" t="str">
        <f t="shared" ca="1" si="42"/>
        <v/>
      </c>
      <c r="O938" s="37" t="str">
        <f t="shared" ca="1" si="43"/>
        <v/>
      </c>
    </row>
    <row r="939" spans="14:15" x14ac:dyDescent="0.25">
      <c r="N939" s="37" t="str">
        <f t="shared" ca="1" si="42"/>
        <v/>
      </c>
      <c r="O939" s="37" t="str">
        <f t="shared" ca="1" si="43"/>
        <v/>
      </c>
    </row>
    <row r="940" spans="14:15" x14ac:dyDescent="0.25">
      <c r="N940" s="37" t="str">
        <f t="shared" ca="1" si="42"/>
        <v/>
      </c>
      <c r="O940" s="37" t="str">
        <f t="shared" ca="1" si="43"/>
        <v/>
      </c>
    </row>
    <row r="941" spans="14:15" x14ac:dyDescent="0.25">
      <c r="N941" s="37" t="str">
        <f t="shared" ca="1" si="42"/>
        <v/>
      </c>
      <c r="O941" s="37" t="str">
        <f t="shared" ca="1" si="43"/>
        <v/>
      </c>
    </row>
    <row r="942" spans="14:15" x14ac:dyDescent="0.25">
      <c r="N942" s="37" t="str">
        <f t="shared" ca="1" si="42"/>
        <v/>
      </c>
      <c r="O942" s="37" t="str">
        <f t="shared" ca="1" si="43"/>
        <v/>
      </c>
    </row>
    <row r="943" spans="14:15" x14ac:dyDescent="0.25">
      <c r="N943" s="37" t="str">
        <f t="shared" ca="1" si="42"/>
        <v/>
      </c>
      <c r="O943" s="37" t="str">
        <f t="shared" ca="1" si="43"/>
        <v/>
      </c>
    </row>
    <row r="944" spans="14:15" x14ac:dyDescent="0.25">
      <c r="N944" s="37" t="str">
        <f t="shared" ca="1" si="42"/>
        <v/>
      </c>
      <c r="O944" s="37" t="str">
        <f t="shared" ca="1" si="43"/>
        <v/>
      </c>
    </row>
    <row r="945" spans="14:15" x14ac:dyDescent="0.25">
      <c r="N945" s="37" t="str">
        <f t="shared" ca="1" si="42"/>
        <v/>
      </c>
      <c r="O945" s="37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1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D5A-1F12-4D41-B269-1130B602F5B2}">
  <dimension ref="A1:R945"/>
  <sheetViews>
    <sheetView zoomScale="80" zoomScaleNormal="80" workbookViewId="0">
      <selection activeCell="T67" sqref="T67"/>
    </sheetView>
  </sheetViews>
  <sheetFormatPr defaultColWidth="9.140625" defaultRowHeight="15" x14ac:dyDescent="0.25"/>
  <cols>
    <col min="1" max="1" width="15.42578125" style="37" bestFit="1" customWidth="1"/>
    <col min="2" max="2" width="21.28515625" style="3" bestFit="1" customWidth="1"/>
    <col min="3" max="3" width="19.140625" style="3" bestFit="1" customWidth="1"/>
    <col min="4" max="4" width="11.28515625" style="40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76" customWidth="1"/>
    <col min="11" max="11" width="10.7109375" style="41" customWidth="1"/>
    <col min="12" max="12" width="10.5703125" style="37" customWidth="1"/>
    <col min="13" max="13" width="10.5703125" style="41" customWidth="1"/>
    <col min="14" max="16" width="10.5703125" style="37" bestFit="1" customWidth="1"/>
    <col min="17" max="18" width="9.140625" style="37"/>
    <col min="19" max="16384" width="9.140625" style="3"/>
  </cols>
  <sheetData>
    <row r="1" spans="1:16" ht="15.75" thickBot="1" x14ac:dyDescent="0.3">
      <c r="A1" s="1"/>
      <c r="B1" s="1"/>
      <c r="C1" s="1"/>
      <c r="D1" s="25"/>
      <c r="J1" s="37">
        <f ca="1">TODAY()-150</f>
        <v>46041</v>
      </c>
      <c r="P1" s="37" cm="1">
        <f t="array" aca="1" ref="P1" ca="1">LOOKUP(2,1/(P:P&lt;&gt;""),P:P)</f>
        <v>0</v>
      </c>
    </row>
    <row r="2" spans="1:16" ht="15.75" thickBot="1" x14ac:dyDescent="0.3">
      <c r="A2" s="13"/>
      <c r="B2" s="22" t="s">
        <v>0</v>
      </c>
      <c r="C2" s="23" t="s">
        <v>1</v>
      </c>
      <c r="D2" s="25"/>
      <c r="J2" s="61" t="s">
        <v>0</v>
      </c>
      <c r="L2" s="63" t="s">
        <v>1</v>
      </c>
      <c r="P2" s="3" cm="1">
        <f t="array" aca="1" ref="P2:P3" ca="1">_xlfn.UNIQUE(O:O)</f>
        <v>0</v>
      </c>
    </row>
    <row r="3" spans="1:16" x14ac:dyDescent="0.25">
      <c r="A3" s="13" t="s">
        <v>19</v>
      </c>
      <c r="B3" s="14" t="s">
        <v>65</v>
      </c>
      <c r="C3" s="5" t="s">
        <v>67</v>
      </c>
      <c r="D3" s="25"/>
      <c r="J3" s="37" cm="1">
        <f t="array" aca="1" ref="J3:K182" ca="1">_xll.BDH($B$4, "PX_LAST, ", TODAY()-300, TODAY()-1)</f>
        <v>45929</v>
      </c>
      <c r="K3" s="41">
        <f ca="1"/>
        <v>107.6416</v>
      </c>
      <c r="L3" s="37" cm="1">
        <f t="array" aca="1" ref="L3:M73" ca="1">_xll.BDH($C$4, "PX_LAST, ", TODAY()-300, TODAY()-1)</f>
        <v>45940</v>
      </c>
      <c r="M3" s="41">
        <f ca="1"/>
        <v>32.24</v>
      </c>
      <c r="N3" s="37" t="str">
        <f ca="1">IF(COUNTIF(L:L,J3),J3,"")</f>
        <v/>
      </c>
      <c r="O3" s="37" t="str">
        <f ca="1">IF(N3&gt;$A$14,N3,"")</f>
        <v/>
      </c>
      <c r="P3" s="37" t="str">
        <f ca="1"/>
        <v/>
      </c>
    </row>
    <row r="4" spans="1:16" ht="30" customHeight="1" x14ac:dyDescent="0.25">
      <c r="A4" s="14" t="s">
        <v>20</v>
      </c>
      <c r="B4" s="16" t="s">
        <v>66</v>
      </c>
      <c r="C4" s="6" t="s">
        <v>68</v>
      </c>
      <c r="D4" s="25"/>
      <c r="J4" s="37">
        <f ca="1"/>
        <v>45930</v>
      </c>
      <c r="K4" s="41">
        <f ca="1"/>
        <v>107.7045</v>
      </c>
      <c r="L4" s="37">
        <f ca="1"/>
        <v>45968</v>
      </c>
      <c r="M4" s="41">
        <f ca="1"/>
        <v>34.86</v>
      </c>
      <c r="N4" s="37" t="str">
        <f t="shared" ref="N4:N67" ca="1" si="0">IF(COUNTIF(L:L,J4),J4,"")</f>
        <v/>
      </c>
      <c r="O4" s="37" t="str">
        <f t="shared" ref="O4:O67" ca="1" si="1">IF(N4&gt;$A$14,N4,"")</f>
        <v/>
      </c>
    </row>
    <row r="5" spans="1:16" x14ac:dyDescent="0.25">
      <c r="A5" s="14" t="s">
        <v>2</v>
      </c>
      <c r="B5" s="17">
        <v>25000000</v>
      </c>
      <c r="C5" s="26">
        <v>315</v>
      </c>
      <c r="D5" s="25"/>
      <c r="E5" s="83" t="s">
        <v>45</v>
      </c>
      <c r="F5" s="3">
        <v>100</v>
      </c>
      <c r="J5" s="37">
        <f ca="1"/>
        <v>45931</v>
      </c>
      <c r="K5" s="41">
        <f ca="1"/>
        <v>107.6991</v>
      </c>
      <c r="L5" s="37">
        <f ca="1"/>
        <v>45971</v>
      </c>
      <c r="M5" s="41">
        <f ca="1"/>
        <v>29.24</v>
      </c>
      <c r="N5" s="37" t="str">
        <f t="shared" ca="1" si="0"/>
        <v/>
      </c>
      <c r="O5" s="37" t="str">
        <f t="shared" ca="1" si="1"/>
        <v/>
      </c>
    </row>
    <row r="6" spans="1:16" x14ac:dyDescent="0.25">
      <c r="A6" s="14" t="s">
        <v>3</v>
      </c>
      <c r="B6" s="18">
        <v>0.05</v>
      </c>
      <c r="C6" s="10">
        <v>0</v>
      </c>
      <c r="D6" s="25"/>
      <c r="J6" s="37">
        <f ca="1"/>
        <v>45932</v>
      </c>
      <c r="K6" s="41">
        <f ca="1"/>
        <v>107.7034</v>
      </c>
      <c r="L6" s="37">
        <f ca="1"/>
        <v>45987</v>
      </c>
      <c r="M6" s="41">
        <f ca="1"/>
        <v>25.03</v>
      </c>
      <c r="N6" s="37" t="str">
        <f t="shared" ca="1" si="0"/>
        <v/>
      </c>
      <c r="O6" s="37" t="str">
        <f t="shared" ca="1" si="1"/>
        <v/>
      </c>
    </row>
    <row r="7" spans="1:16" x14ac:dyDescent="0.25">
      <c r="A7" s="14" t="s">
        <v>4</v>
      </c>
      <c r="B7" s="18">
        <v>0</v>
      </c>
      <c r="C7" s="10">
        <v>0</v>
      </c>
      <c r="D7" s="25"/>
      <c r="J7" s="38">
        <f ca="1"/>
        <v>45933</v>
      </c>
      <c r="K7" s="41">
        <f ca="1"/>
        <v>107.6931</v>
      </c>
      <c r="L7" s="37">
        <f ca="1"/>
        <v>45989</v>
      </c>
      <c r="M7" s="41">
        <f ca="1"/>
        <v>24.4</v>
      </c>
      <c r="N7" s="37" t="str">
        <f t="shared" ca="1" si="0"/>
        <v/>
      </c>
      <c r="O7" s="37" t="str">
        <f t="shared" ca="1" si="1"/>
        <v/>
      </c>
    </row>
    <row r="8" spans="1:16" x14ac:dyDescent="0.25">
      <c r="A8" s="14" t="s">
        <v>5</v>
      </c>
      <c r="B8" s="14" t="s">
        <v>13</v>
      </c>
      <c r="C8" s="5"/>
      <c r="D8" s="25"/>
      <c r="E8" s="38"/>
      <c r="G8" s="37"/>
      <c r="H8" s="37"/>
      <c r="J8" s="37">
        <f ca="1"/>
        <v>45936</v>
      </c>
      <c r="K8" s="41">
        <f ca="1"/>
        <v>107.8828</v>
      </c>
      <c r="L8" s="37">
        <f ca="1"/>
        <v>45995</v>
      </c>
      <c r="M8" s="41">
        <f ca="1"/>
        <v>21.25</v>
      </c>
      <c r="N8" s="37" t="str">
        <f t="shared" ca="1" si="0"/>
        <v/>
      </c>
      <c r="O8" s="37" t="str">
        <f t="shared" ca="1" si="1"/>
        <v/>
      </c>
    </row>
    <row r="9" spans="1:16" x14ac:dyDescent="0.25">
      <c r="A9" s="14" t="s">
        <v>6</v>
      </c>
      <c r="B9" s="14" t="s">
        <v>13</v>
      </c>
      <c r="C9" s="5"/>
      <c r="D9" s="25"/>
      <c r="E9" s="38"/>
      <c r="G9" s="37"/>
      <c r="H9" s="37"/>
      <c r="J9" s="37">
        <f ca="1"/>
        <v>45937</v>
      </c>
      <c r="K9" s="41">
        <f ca="1"/>
        <v>107.76690000000001</v>
      </c>
      <c r="L9" s="37">
        <f ca="1"/>
        <v>45999</v>
      </c>
      <c r="M9" s="41">
        <f ca="1"/>
        <v>21.1</v>
      </c>
      <c r="N9" s="37" t="str">
        <f t="shared" ca="1" si="0"/>
        <v/>
      </c>
      <c r="O9" s="37" t="str">
        <f t="shared" ca="1" si="1"/>
        <v/>
      </c>
    </row>
    <row r="10" spans="1:16" ht="15.75" thickBot="1" x14ac:dyDescent="0.3">
      <c r="A10" s="15" t="s">
        <v>15</v>
      </c>
      <c r="B10" s="19" cm="1">
        <f t="array" ref="B10">_xll.BDP(B4,"PX_LAST")</f>
        <v>108.2283</v>
      </c>
      <c r="C10" s="12" cm="1">
        <f t="array" ref="C10">_xll.BDP(C4,"OPT_PX")</f>
        <v>28.31</v>
      </c>
      <c r="D10" s="25"/>
      <c r="E10" s="1"/>
      <c r="G10" s="37"/>
      <c r="H10" s="37"/>
      <c r="J10" s="37">
        <f ca="1"/>
        <v>45938</v>
      </c>
      <c r="K10" s="41">
        <f ca="1"/>
        <v>107.6572</v>
      </c>
      <c r="L10" s="37">
        <f ca="1"/>
        <v>46001</v>
      </c>
      <c r="M10" s="41">
        <f ca="1"/>
        <v>20.11</v>
      </c>
      <c r="N10" s="37" t="str">
        <f t="shared" ca="1" si="0"/>
        <v/>
      </c>
      <c r="O10" s="37" t="str">
        <f t="shared" ca="1" si="1"/>
        <v/>
      </c>
    </row>
    <row r="11" spans="1:16" ht="15.75" thickBot="1" x14ac:dyDescent="0.3">
      <c r="A11" s="1"/>
      <c r="B11" s="1"/>
      <c r="C11" s="1"/>
      <c r="D11" s="25"/>
      <c r="E11" s="1"/>
      <c r="J11" s="37">
        <f ca="1"/>
        <v>45939</v>
      </c>
      <c r="K11" s="41">
        <f ca="1"/>
        <v>107.3982</v>
      </c>
      <c r="L11" s="37">
        <f ca="1"/>
        <v>46002</v>
      </c>
      <c r="M11" s="41">
        <f ca="1"/>
        <v>19.100000000000001</v>
      </c>
      <c r="N11" s="37" t="str">
        <f t="shared" ca="1" si="0"/>
        <v/>
      </c>
      <c r="O11" s="37" t="str">
        <f t="shared" ca="1" si="1"/>
        <v/>
      </c>
    </row>
    <row r="12" spans="1:16" ht="15.75" thickBot="1" x14ac:dyDescent="0.3">
      <c r="A12" s="27" t="s">
        <v>12</v>
      </c>
      <c r="B12" s="138" t="s">
        <v>0</v>
      </c>
      <c r="C12" s="139"/>
      <c r="D12" s="144"/>
      <c r="E12" s="140" t="s">
        <v>1</v>
      </c>
      <c r="F12" s="142"/>
      <c r="G12" s="27" t="s">
        <v>7</v>
      </c>
      <c r="H12" s="1"/>
      <c r="J12" s="76">
        <f ca="1"/>
        <v>45940</v>
      </c>
      <c r="K12" s="34">
        <f ca="1"/>
        <v>106.5133</v>
      </c>
      <c r="L12" s="37">
        <f ca="1"/>
        <v>46003</v>
      </c>
      <c r="M12" s="41">
        <f ca="1"/>
        <v>17.12</v>
      </c>
      <c r="N12" s="37">
        <f t="shared" ca="1" si="0"/>
        <v>45940</v>
      </c>
      <c r="O12" s="37" t="str">
        <f t="shared" ca="1" si="1"/>
        <v/>
      </c>
    </row>
    <row r="13" spans="1:16" ht="15.75" thickBot="1" x14ac:dyDescent="0.3">
      <c r="A13" s="15"/>
      <c r="B13" s="11" t="s">
        <v>14</v>
      </c>
      <c r="C13" s="36" t="s">
        <v>11</v>
      </c>
      <c r="D13" s="21" t="s">
        <v>10</v>
      </c>
      <c r="E13" s="11" t="s">
        <v>8</v>
      </c>
      <c r="F13" s="20" t="s">
        <v>11</v>
      </c>
      <c r="G13" s="60"/>
      <c r="H13" s="78"/>
      <c r="J13" s="76">
        <f ca="1"/>
        <v>45944</v>
      </c>
      <c r="K13" s="34">
        <f ca="1"/>
        <v>107.1373</v>
      </c>
      <c r="L13" s="37">
        <f ca="1"/>
        <v>46009</v>
      </c>
      <c r="M13" s="41">
        <f ca="1"/>
        <v>22.45</v>
      </c>
      <c r="N13" s="37" t="str">
        <f t="shared" ca="1" si="0"/>
        <v/>
      </c>
      <c r="O13" s="37" t="str">
        <f t="shared" ca="1" si="1"/>
        <v/>
      </c>
    </row>
    <row r="14" spans="1:16" x14ac:dyDescent="0.25">
      <c r="A14" s="102">
        <v>46774</v>
      </c>
      <c r="B14" s="33">
        <v>108.78</v>
      </c>
      <c r="C14" s="25"/>
      <c r="D14" s="5"/>
      <c r="E14" s="33">
        <v>7.88</v>
      </c>
      <c r="F14" s="1"/>
      <c r="G14" s="55">
        <v>0</v>
      </c>
      <c r="H14" s="78"/>
      <c r="J14" s="76">
        <f ca="1"/>
        <v>45945</v>
      </c>
      <c r="K14" s="34">
        <f ca="1"/>
        <v>107.3531</v>
      </c>
      <c r="L14" s="37">
        <f ca="1"/>
        <v>46013</v>
      </c>
      <c r="M14" s="41">
        <f ca="1"/>
        <v>18.149999999999999</v>
      </c>
      <c r="N14" s="37" t="str">
        <f t="shared" ca="1" si="0"/>
        <v/>
      </c>
      <c r="O14" s="37" t="str">
        <f t="shared" ca="1" si="1"/>
        <v/>
      </c>
    </row>
    <row r="15" spans="1:16" x14ac:dyDescent="0.25">
      <c r="A15" s="102">
        <f ca="1">IF(AND(ISBLANK(P4), A14 = $P$1),NOW(),IF(ISBLANK(P4),IF(ISBLANK(C14),NOW(),""),P4))</f>
        <v>46191.470805671299</v>
      </c>
      <c r="B15" s="33">
        <f ca="1">IF(COUNTIF(J:J,A15)=1,VLOOKUP(A15,J:K,2), IF(COUNTIF(J:J,A15)=0,$B$10,""))</f>
        <v>108.2283</v>
      </c>
      <c r="C15" s="25">
        <f ca="1">IF(ISERROR(B15-2),"",(B15-$B$14)*0.01*$B$5)</f>
        <v>-137924.99999999919</v>
      </c>
      <c r="D15" s="26">
        <f ca="1">IF(ISERROR(B15-2),"",(INT(A15)-INT($A$14))/360*$B$6*$B$5)</f>
        <v>-2024305.5555555555</v>
      </c>
      <c r="E15" s="33">
        <f ca="1">IF(COUNTIF(J:J,A15)=1,VLOOKUP(A15,L:M,2), IF(COUNTIF(J:J,A15)=0,$C$10,""))</f>
        <v>28.31</v>
      </c>
      <c r="F15" s="25">
        <f ca="1">IF(ISERROR(B15-2),"",(E15-$E$14)*$C$5*$F$5)</f>
        <v>643545</v>
      </c>
      <c r="G15" s="55">
        <f ca="1">IF(ISERROR(B15-2),"",C15+D15+F15)</f>
        <v>-1518685.5555555546</v>
      </c>
      <c r="H15" s="78"/>
      <c r="J15" s="76">
        <f ca="1"/>
        <v>45946</v>
      </c>
      <c r="K15" s="34">
        <f ca="1"/>
        <v>106.795</v>
      </c>
      <c r="L15" s="37">
        <f ca="1"/>
        <v>46014</v>
      </c>
      <c r="M15" s="41">
        <f ca="1"/>
        <v>18.77</v>
      </c>
      <c r="N15" s="37" t="str">
        <f t="shared" ca="1" si="0"/>
        <v/>
      </c>
      <c r="O15" s="37" t="str">
        <f t="shared" ca="1" si="1"/>
        <v/>
      </c>
    </row>
    <row r="16" spans="1:16" x14ac:dyDescent="0.25">
      <c r="A16" s="102" t="str">
        <f t="shared" ref="A16:A79" ca="1" si="2">IF(AND(ISBLANK(P5), A15 = $P$1),NOW(),IF(ISBLANK(P5),IF(ISBLANK(C15),NOW(),""),P5))</f>
        <v/>
      </c>
      <c r="B16" s="33" t="str">
        <f t="shared" ref="B16:B79" ca="1" si="3">IF(COUNTIF(J:J,A16)=1,VLOOKUP(A16,J:K,2), IF(COUNTIF(J:J,A16)=0,$B$10,""))</f>
        <v/>
      </c>
      <c r="C16" s="25" t="str">
        <f t="shared" ref="C16:C79" ca="1" si="4">IF(ISERROR(B16-2),"",(B16-$B$14)*0.01*$B$5)</f>
        <v/>
      </c>
      <c r="D16" s="26" t="str">
        <f t="shared" ref="D16:D79" ca="1" si="5">IF(ISERROR(B16-2),"",(INT(A16)-INT($A$14))/360*$B$6*$B$5)</f>
        <v/>
      </c>
      <c r="E16" s="33" t="str">
        <f t="shared" ref="E16:E79" ca="1" si="6">IF(COUNTIF(J:J,A16)=1,VLOOKUP(A16,L:M,2), IF(COUNTIF(J:J,A16)=0,$C$10,""))</f>
        <v/>
      </c>
      <c r="F16" s="25" t="str">
        <f t="shared" ref="F16:F79" ca="1" si="7">IF(ISERROR(B16-2),"",(E16-$E$14)*$C$5*$F$5)</f>
        <v/>
      </c>
      <c r="G16" s="55" t="str">
        <f t="shared" ref="G16:G79" ca="1" si="8">IF(ISERROR(B16-2),"",C16+D16+F16)</f>
        <v/>
      </c>
      <c r="H16" s="78"/>
      <c r="J16" s="76">
        <f ca="1"/>
        <v>45947</v>
      </c>
      <c r="K16" s="34">
        <f ca="1"/>
        <v>107.0256</v>
      </c>
      <c r="L16" s="37">
        <f ca="1"/>
        <v>46015</v>
      </c>
      <c r="M16" s="41">
        <f ca="1"/>
        <v>19.079999999999998</v>
      </c>
      <c r="N16" s="37" t="str">
        <f t="shared" ca="1" si="0"/>
        <v/>
      </c>
      <c r="O16" s="37" t="str">
        <f t="shared" ca="1" si="1"/>
        <v/>
      </c>
    </row>
    <row r="17" spans="1:15" x14ac:dyDescent="0.25">
      <c r="A17" s="102" t="str">
        <f t="shared" ca="1" si="2"/>
        <v/>
      </c>
      <c r="B17" s="33" t="str">
        <f t="shared" ca="1" si="3"/>
        <v/>
      </c>
      <c r="C17" s="25" t="str">
        <f t="shared" ca="1" si="4"/>
        <v/>
      </c>
      <c r="D17" s="26" t="str">
        <f t="shared" ca="1" si="5"/>
        <v/>
      </c>
      <c r="E17" s="33" t="str">
        <f t="shared" ca="1" si="6"/>
        <v/>
      </c>
      <c r="F17" s="25" t="str">
        <f t="shared" ca="1" si="7"/>
        <v/>
      </c>
      <c r="G17" s="55" t="str">
        <f t="shared" ca="1" si="8"/>
        <v/>
      </c>
      <c r="H17" s="78"/>
      <c r="J17" s="76">
        <f ca="1"/>
        <v>45950</v>
      </c>
      <c r="K17" s="34">
        <f ca="1"/>
        <v>107.3163</v>
      </c>
      <c r="L17" s="37">
        <f ca="1"/>
        <v>46017</v>
      </c>
      <c r="M17" s="41">
        <f ca="1"/>
        <v>19.850000000000001</v>
      </c>
      <c r="N17" s="37" t="str">
        <f t="shared" ca="1" si="0"/>
        <v/>
      </c>
      <c r="O17" s="37" t="str">
        <f t="shared" ca="1" si="1"/>
        <v/>
      </c>
    </row>
    <row r="18" spans="1:15" x14ac:dyDescent="0.25">
      <c r="A18" s="102" t="str">
        <f t="shared" ca="1" si="2"/>
        <v/>
      </c>
      <c r="B18" s="33" t="str">
        <f t="shared" ca="1" si="3"/>
        <v/>
      </c>
      <c r="C18" s="25" t="str">
        <f t="shared" ca="1" si="4"/>
        <v/>
      </c>
      <c r="D18" s="26" t="str">
        <f t="shared" ca="1" si="5"/>
        <v/>
      </c>
      <c r="E18" s="33" t="str">
        <f t="shared" ca="1" si="6"/>
        <v/>
      </c>
      <c r="F18" s="25" t="str">
        <f t="shared" ca="1" si="7"/>
        <v/>
      </c>
      <c r="G18" s="55" t="str">
        <f t="shared" ca="1" si="8"/>
        <v/>
      </c>
      <c r="H18" s="78"/>
      <c r="J18" s="76">
        <f ca="1"/>
        <v>45951</v>
      </c>
      <c r="K18" s="34">
        <f ca="1"/>
        <v>107.17870000000001</v>
      </c>
      <c r="L18" s="37">
        <f ca="1"/>
        <v>46020</v>
      </c>
      <c r="M18" s="41">
        <f ca="1"/>
        <v>21.12</v>
      </c>
      <c r="N18" s="37" t="str">
        <f t="shared" ca="1" si="0"/>
        <v/>
      </c>
      <c r="O18" s="37" t="str">
        <f t="shared" ca="1" si="1"/>
        <v/>
      </c>
    </row>
    <row r="19" spans="1:15" x14ac:dyDescent="0.25">
      <c r="A19" s="102" t="str">
        <f t="shared" ca="1" si="2"/>
        <v/>
      </c>
      <c r="B19" s="33" t="str">
        <f t="shared" ca="1" si="3"/>
        <v/>
      </c>
      <c r="C19" s="25" t="str">
        <f t="shared" ca="1" si="4"/>
        <v/>
      </c>
      <c r="D19" s="26" t="str">
        <f t="shared" ca="1" si="5"/>
        <v/>
      </c>
      <c r="E19" s="33" t="str">
        <f t="shared" ca="1" si="6"/>
        <v/>
      </c>
      <c r="F19" s="25" t="str">
        <f t="shared" ca="1" si="7"/>
        <v/>
      </c>
      <c r="G19" s="55" t="str">
        <f t="shared" ca="1" si="8"/>
        <v/>
      </c>
      <c r="H19" s="78"/>
      <c r="J19" s="76">
        <f ca="1"/>
        <v>45952</v>
      </c>
      <c r="K19" s="34">
        <f ca="1"/>
        <v>107.0929</v>
      </c>
      <c r="L19" s="37">
        <f ca="1"/>
        <v>46021</v>
      </c>
      <c r="M19" s="41">
        <f ca="1"/>
        <v>22.52</v>
      </c>
      <c r="N19" s="37" t="str">
        <f t="shared" ca="1" si="0"/>
        <v/>
      </c>
      <c r="O19" s="37" t="str">
        <f t="shared" ca="1" si="1"/>
        <v/>
      </c>
    </row>
    <row r="20" spans="1:15" x14ac:dyDescent="0.25">
      <c r="A20" s="102" t="str">
        <f t="shared" ca="1" si="2"/>
        <v/>
      </c>
      <c r="B20" s="33" t="str">
        <f t="shared" ca="1" si="3"/>
        <v/>
      </c>
      <c r="C20" s="25" t="str">
        <f t="shared" ca="1" si="4"/>
        <v/>
      </c>
      <c r="D20" s="26" t="str">
        <f t="shared" ca="1" si="5"/>
        <v/>
      </c>
      <c r="E20" s="33" t="str">
        <f t="shared" ca="1" si="6"/>
        <v/>
      </c>
      <c r="F20" s="25" t="str">
        <f t="shared" ca="1" si="7"/>
        <v/>
      </c>
      <c r="G20" s="55" t="str">
        <f t="shared" ca="1" si="8"/>
        <v/>
      </c>
      <c r="H20" s="78"/>
      <c r="J20" s="76">
        <f ca="1"/>
        <v>45953</v>
      </c>
      <c r="K20" s="34">
        <f ca="1"/>
        <v>107.3216</v>
      </c>
      <c r="L20" s="37">
        <f ca="1"/>
        <v>46022</v>
      </c>
      <c r="M20" s="41">
        <f ca="1"/>
        <v>22.94</v>
      </c>
      <c r="N20" s="37" t="str">
        <f t="shared" ca="1" si="0"/>
        <v/>
      </c>
      <c r="O20" s="37" t="str">
        <f t="shared" ca="1" si="1"/>
        <v/>
      </c>
    </row>
    <row r="21" spans="1:15" x14ac:dyDescent="0.25">
      <c r="A21" s="102" t="str">
        <f t="shared" ca="1" si="2"/>
        <v/>
      </c>
      <c r="B21" s="33" t="str">
        <f t="shared" ca="1" si="3"/>
        <v/>
      </c>
      <c r="C21" s="25" t="str">
        <f t="shared" ca="1" si="4"/>
        <v/>
      </c>
      <c r="D21" s="26" t="str">
        <f t="shared" ca="1" si="5"/>
        <v/>
      </c>
      <c r="E21" s="33" t="str">
        <f t="shared" ca="1" si="6"/>
        <v/>
      </c>
      <c r="F21" s="25" t="str">
        <f t="shared" ca="1" si="7"/>
        <v/>
      </c>
      <c r="G21" s="55" t="str">
        <f t="shared" ca="1" si="8"/>
        <v/>
      </c>
      <c r="H21" s="78"/>
      <c r="J21" s="76">
        <f ca="1"/>
        <v>45954</v>
      </c>
      <c r="K21" s="34">
        <f ca="1"/>
        <v>107.50620000000001</v>
      </c>
      <c r="L21" s="37">
        <f ca="1"/>
        <v>46024</v>
      </c>
      <c r="M21" s="41">
        <f ca="1"/>
        <v>24.05</v>
      </c>
      <c r="N21" s="37" t="str">
        <f t="shared" ca="1" si="0"/>
        <v/>
      </c>
      <c r="O21" s="37" t="str">
        <f t="shared" ca="1" si="1"/>
        <v/>
      </c>
    </row>
    <row r="22" spans="1:15" x14ac:dyDescent="0.25">
      <c r="A22" s="102" t="str">
        <f t="shared" ca="1" si="2"/>
        <v/>
      </c>
      <c r="B22" s="33" t="str">
        <f t="shared" ca="1" si="3"/>
        <v/>
      </c>
      <c r="C22" s="25" t="str">
        <f t="shared" ca="1" si="4"/>
        <v/>
      </c>
      <c r="D22" s="26" t="str">
        <f t="shared" ca="1" si="5"/>
        <v/>
      </c>
      <c r="E22" s="33" t="str">
        <f t="shared" ca="1" si="6"/>
        <v/>
      </c>
      <c r="F22" s="25" t="str">
        <f t="shared" ca="1" si="7"/>
        <v/>
      </c>
      <c r="G22" s="55" t="str">
        <f t="shared" ca="1" si="8"/>
        <v/>
      </c>
      <c r="H22" s="78"/>
      <c r="J22" s="76">
        <f ca="1"/>
        <v>45957</v>
      </c>
      <c r="K22" s="34">
        <f ca="1"/>
        <v>107.80670000000001</v>
      </c>
      <c r="L22" s="37">
        <f ca="1"/>
        <v>46028</v>
      </c>
      <c r="M22" s="41">
        <f ca="1"/>
        <v>18</v>
      </c>
      <c r="N22" s="37" t="str">
        <f t="shared" ca="1" si="0"/>
        <v/>
      </c>
      <c r="O22" s="37" t="str">
        <f t="shared" ca="1" si="1"/>
        <v/>
      </c>
    </row>
    <row r="23" spans="1:15" ht="14.45" customHeight="1" x14ac:dyDescent="0.25">
      <c r="A23" s="102" t="str">
        <f t="shared" ca="1" si="2"/>
        <v/>
      </c>
      <c r="B23" s="33" t="str">
        <f t="shared" ca="1" si="3"/>
        <v/>
      </c>
      <c r="C23" s="25" t="str">
        <f t="shared" ca="1" si="4"/>
        <v/>
      </c>
      <c r="D23" s="26" t="str">
        <f t="shared" ca="1" si="5"/>
        <v/>
      </c>
      <c r="E23" s="33" t="str">
        <f t="shared" ca="1" si="6"/>
        <v/>
      </c>
      <c r="F23" s="25" t="str">
        <f t="shared" ca="1" si="7"/>
        <v/>
      </c>
      <c r="G23" s="55" t="str">
        <f t="shared" ca="1" si="8"/>
        <v/>
      </c>
      <c r="H23" s="78"/>
      <c r="J23" s="76">
        <f ca="1"/>
        <v>45958</v>
      </c>
      <c r="K23" s="34">
        <f ca="1"/>
        <v>107.66</v>
      </c>
      <c r="L23" s="37">
        <f ca="1"/>
        <v>46029</v>
      </c>
      <c r="M23" s="41">
        <f ca="1"/>
        <v>17.100000000000001</v>
      </c>
      <c r="N23" s="37" t="str">
        <f t="shared" ca="1" si="0"/>
        <v/>
      </c>
      <c r="O23" s="37" t="str">
        <f t="shared" ca="1" si="1"/>
        <v/>
      </c>
    </row>
    <row r="24" spans="1:15" ht="14.45" customHeight="1" x14ac:dyDescent="0.25">
      <c r="A24" s="102" t="str">
        <f t="shared" ca="1" si="2"/>
        <v/>
      </c>
      <c r="B24" s="33" t="str">
        <f t="shared" ca="1" si="3"/>
        <v/>
      </c>
      <c r="C24" s="25" t="str">
        <f t="shared" ca="1" si="4"/>
        <v/>
      </c>
      <c r="D24" s="26" t="str">
        <f t="shared" ca="1" si="5"/>
        <v/>
      </c>
      <c r="E24" s="33" t="str">
        <f t="shared" ca="1" si="6"/>
        <v/>
      </c>
      <c r="F24" s="25" t="str">
        <f t="shared" ca="1" si="7"/>
        <v/>
      </c>
      <c r="G24" s="55" t="str">
        <f t="shared" ca="1" si="8"/>
        <v/>
      </c>
      <c r="H24" s="78"/>
      <c r="J24" s="76">
        <f ca="1"/>
        <v>45959</v>
      </c>
      <c r="K24" s="34">
        <f ca="1"/>
        <v>107.5981</v>
      </c>
      <c r="L24" s="37">
        <f ca="1"/>
        <v>46030</v>
      </c>
      <c r="M24" s="41">
        <f ca="1"/>
        <v>14.9</v>
      </c>
      <c r="N24" s="37" t="str">
        <f t="shared" ca="1" si="0"/>
        <v/>
      </c>
      <c r="O24" s="37" t="str">
        <f t="shared" ca="1" si="1"/>
        <v/>
      </c>
    </row>
    <row r="25" spans="1:15" ht="14.45" customHeight="1" x14ac:dyDescent="0.25">
      <c r="A25" s="102" t="str">
        <f t="shared" ca="1" si="2"/>
        <v/>
      </c>
      <c r="B25" s="33" t="str">
        <f t="shared" ca="1" si="3"/>
        <v/>
      </c>
      <c r="C25" s="25" t="str">
        <f t="shared" ca="1" si="4"/>
        <v/>
      </c>
      <c r="D25" s="26" t="str">
        <f t="shared" ca="1" si="5"/>
        <v/>
      </c>
      <c r="E25" s="33" t="str">
        <f t="shared" ca="1" si="6"/>
        <v/>
      </c>
      <c r="F25" s="25" t="str">
        <f t="shared" ca="1" si="7"/>
        <v/>
      </c>
      <c r="G25" s="55" t="str">
        <f t="shared" ca="1" si="8"/>
        <v/>
      </c>
      <c r="H25" s="78"/>
      <c r="J25" s="76">
        <f ca="1"/>
        <v>45960</v>
      </c>
      <c r="K25" s="34">
        <f ca="1"/>
        <v>107.4088</v>
      </c>
      <c r="L25" s="37">
        <f ca="1"/>
        <v>46031</v>
      </c>
      <c r="M25" s="41">
        <f ca="1"/>
        <v>13.46</v>
      </c>
      <c r="N25" s="37" t="str">
        <f t="shared" ca="1" si="0"/>
        <v/>
      </c>
      <c r="O25" s="37" t="str">
        <f t="shared" ca="1" si="1"/>
        <v/>
      </c>
    </row>
    <row r="26" spans="1:15" ht="14.45" customHeight="1" x14ac:dyDescent="0.25">
      <c r="A26" s="102" t="str">
        <f t="shared" ca="1" si="2"/>
        <v/>
      </c>
      <c r="B26" s="33" t="str">
        <f t="shared" ca="1" si="3"/>
        <v/>
      </c>
      <c r="C26" s="25" t="str">
        <f t="shared" ca="1" si="4"/>
        <v/>
      </c>
      <c r="D26" s="26" t="str">
        <f t="shared" ca="1" si="5"/>
        <v/>
      </c>
      <c r="E26" s="33" t="str">
        <f t="shared" ca="1" si="6"/>
        <v/>
      </c>
      <c r="F26" s="25" t="str">
        <f t="shared" ca="1" si="7"/>
        <v/>
      </c>
      <c r="G26" s="55" t="str">
        <f t="shared" ca="1" si="8"/>
        <v/>
      </c>
      <c r="H26" s="78"/>
      <c r="J26" s="76">
        <f ca="1"/>
        <v>45961</v>
      </c>
      <c r="K26" s="34">
        <f ca="1"/>
        <v>107.30249999999999</v>
      </c>
      <c r="L26" s="37">
        <f ca="1"/>
        <v>46034</v>
      </c>
      <c r="M26" s="41">
        <f ca="1"/>
        <v>13.04</v>
      </c>
      <c r="N26" s="37" t="str">
        <f t="shared" ca="1" si="0"/>
        <v/>
      </c>
      <c r="O26" s="37" t="str">
        <f t="shared" ca="1" si="1"/>
        <v/>
      </c>
    </row>
    <row r="27" spans="1:15" ht="14.45" customHeight="1" x14ac:dyDescent="0.25">
      <c r="A27" s="102" t="str">
        <f t="shared" ca="1" si="2"/>
        <v/>
      </c>
      <c r="B27" s="33" t="str">
        <f t="shared" ca="1" si="3"/>
        <v/>
      </c>
      <c r="C27" s="25" t="str">
        <f t="shared" ca="1" si="4"/>
        <v/>
      </c>
      <c r="D27" s="26" t="str">
        <f t="shared" ca="1" si="5"/>
        <v/>
      </c>
      <c r="E27" s="33" t="str">
        <f t="shared" ca="1" si="6"/>
        <v/>
      </c>
      <c r="F27" s="25" t="str">
        <f t="shared" ca="1" si="7"/>
        <v/>
      </c>
      <c r="G27" s="55" t="str">
        <f t="shared" ca="1" si="8"/>
        <v/>
      </c>
      <c r="H27" s="78"/>
      <c r="J27" s="76">
        <f ca="1"/>
        <v>45964</v>
      </c>
      <c r="K27" s="34">
        <f ca="1"/>
        <v>107.1769</v>
      </c>
      <c r="L27" s="37">
        <f ca="1"/>
        <v>46035</v>
      </c>
      <c r="M27" s="41">
        <f ca="1"/>
        <v>12.88</v>
      </c>
      <c r="N27" s="37" t="str">
        <f t="shared" ca="1" si="0"/>
        <v/>
      </c>
      <c r="O27" s="37" t="str">
        <f t="shared" ca="1" si="1"/>
        <v/>
      </c>
    </row>
    <row r="28" spans="1:15" ht="14.45" customHeight="1" x14ac:dyDescent="0.25">
      <c r="A28" s="102" t="str">
        <f t="shared" ca="1" si="2"/>
        <v/>
      </c>
      <c r="B28" s="33" t="str">
        <f t="shared" ca="1" si="3"/>
        <v/>
      </c>
      <c r="C28" s="25" t="str">
        <f t="shared" ca="1" si="4"/>
        <v/>
      </c>
      <c r="D28" s="26" t="str">
        <f t="shared" ca="1" si="5"/>
        <v/>
      </c>
      <c r="E28" s="33" t="str">
        <f t="shared" ca="1" si="6"/>
        <v/>
      </c>
      <c r="F28" s="25" t="str">
        <f t="shared" ca="1" si="7"/>
        <v/>
      </c>
      <c r="G28" s="55" t="str">
        <f t="shared" ca="1" si="8"/>
        <v/>
      </c>
      <c r="H28" s="78"/>
      <c r="J28" s="76">
        <f ca="1"/>
        <v>45965</v>
      </c>
      <c r="K28" s="34">
        <f ca="1"/>
        <v>107.00369999999999</v>
      </c>
      <c r="L28" s="37">
        <f ca="1"/>
        <v>46036</v>
      </c>
      <c r="M28" s="41">
        <f ca="1"/>
        <v>11.59</v>
      </c>
      <c r="N28" s="37" t="str">
        <f t="shared" ca="1" si="0"/>
        <v/>
      </c>
      <c r="O28" s="37" t="str">
        <f t="shared" ca="1" si="1"/>
        <v/>
      </c>
    </row>
    <row r="29" spans="1:15" ht="14.45" customHeight="1" x14ac:dyDescent="0.25">
      <c r="A29" s="102" t="str">
        <f t="shared" ca="1" si="2"/>
        <v/>
      </c>
      <c r="B29" s="33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33" t="str">
        <f t="shared" ca="1" si="6"/>
        <v/>
      </c>
      <c r="F29" s="25" t="str">
        <f t="shared" ca="1" si="7"/>
        <v/>
      </c>
      <c r="G29" s="55" t="str">
        <f t="shared" ca="1" si="8"/>
        <v/>
      </c>
      <c r="H29" s="78"/>
      <c r="J29" s="76">
        <f ca="1"/>
        <v>45966</v>
      </c>
      <c r="K29" s="34">
        <f ca="1"/>
        <v>107.2809</v>
      </c>
      <c r="L29" s="37">
        <f ca="1"/>
        <v>46037</v>
      </c>
      <c r="M29" s="41">
        <f ca="1"/>
        <v>9.6199999999999992</v>
      </c>
      <c r="N29" s="37" t="str">
        <f t="shared" ca="1" si="0"/>
        <v/>
      </c>
      <c r="O29" s="37" t="str">
        <f t="shared" ca="1" si="1"/>
        <v/>
      </c>
    </row>
    <row r="30" spans="1:15" ht="14.45" customHeight="1" x14ac:dyDescent="0.25">
      <c r="A30" s="102" t="str">
        <f t="shared" ca="1" si="2"/>
        <v/>
      </c>
      <c r="B30" s="33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33" t="str">
        <f t="shared" ca="1" si="6"/>
        <v/>
      </c>
      <c r="F30" s="25" t="str">
        <f t="shared" ca="1" si="7"/>
        <v/>
      </c>
      <c r="G30" s="55" t="str">
        <f t="shared" ca="1" si="8"/>
        <v/>
      </c>
      <c r="H30" s="78"/>
      <c r="J30" s="76">
        <f ca="1"/>
        <v>45967</v>
      </c>
      <c r="K30" s="34">
        <f ca="1"/>
        <v>106.9901</v>
      </c>
      <c r="L30" s="37">
        <f ca="1"/>
        <v>46038</v>
      </c>
      <c r="M30" s="41">
        <f ca="1"/>
        <v>10.050000000000001</v>
      </c>
      <c r="N30" s="37" t="str">
        <f t="shared" ca="1" si="0"/>
        <v/>
      </c>
      <c r="O30" s="37" t="str">
        <f t="shared" ca="1" si="1"/>
        <v/>
      </c>
    </row>
    <row r="31" spans="1:15" ht="14.45" customHeight="1" x14ac:dyDescent="0.25">
      <c r="A31" s="102" t="str">
        <f t="shared" ca="1" si="2"/>
        <v/>
      </c>
      <c r="B31" s="33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33" t="str">
        <f t="shared" ca="1" si="6"/>
        <v/>
      </c>
      <c r="F31" s="25" t="str">
        <f t="shared" ca="1" si="7"/>
        <v/>
      </c>
      <c r="G31" s="55" t="str">
        <f t="shared" ca="1" si="8"/>
        <v/>
      </c>
      <c r="H31" s="78"/>
      <c r="J31" s="76">
        <f ca="1"/>
        <v>45968</v>
      </c>
      <c r="K31" s="34">
        <f ca="1"/>
        <v>107.0715</v>
      </c>
      <c r="L31" s="37">
        <f ca="1"/>
        <v>46042</v>
      </c>
      <c r="M31" s="41">
        <f ca="1"/>
        <v>12.27</v>
      </c>
      <c r="N31" s="37">
        <f t="shared" ca="1" si="0"/>
        <v>45968</v>
      </c>
      <c r="O31" s="37" t="str">
        <f t="shared" ca="1" si="1"/>
        <v/>
      </c>
    </row>
    <row r="32" spans="1:15" ht="14.45" customHeight="1" x14ac:dyDescent="0.25">
      <c r="A32" s="102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33" t="str">
        <f t="shared" ca="1" si="6"/>
        <v/>
      </c>
      <c r="F32" s="25" t="str">
        <f t="shared" ca="1" si="7"/>
        <v/>
      </c>
      <c r="G32" s="55" t="str">
        <f t="shared" ca="1" si="8"/>
        <v/>
      </c>
      <c r="H32" s="78"/>
      <c r="J32" s="76">
        <f ca="1"/>
        <v>45971</v>
      </c>
      <c r="K32" s="34">
        <f ca="1"/>
        <v>107.46559999999999</v>
      </c>
      <c r="L32" s="37">
        <f ca="1"/>
        <v>46043</v>
      </c>
      <c r="M32" s="41">
        <f ca="1"/>
        <v>9.25</v>
      </c>
      <c r="N32" s="37">
        <f t="shared" ca="1" si="0"/>
        <v>45971</v>
      </c>
      <c r="O32" s="37" t="str">
        <f t="shared" ca="1" si="1"/>
        <v/>
      </c>
    </row>
    <row r="33" spans="1:15" ht="14.45" customHeight="1" x14ac:dyDescent="0.25">
      <c r="A33" s="102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33" t="str">
        <f t="shared" ca="1" si="6"/>
        <v/>
      </c>
      <c r="F33" s="25" t="str">
        <f t="shared" ca="1" si="7"/>
        <v/>
      </c>
      <c r="G33" s="55" t="str">
        <f t="shared" ca="1" si="8"/>
        <v/>
      </c>
      <c r="H33" s="78"/>
      <c r="J33" s="76">
        <f ca="1"/>
        <v>45973</v>
      </c>
      <c r="K33" s="34">
        <f ca="1"/>
        <v>107.3339</v>
      </c>
      <c r="L33" s="37">
        <f ca="1"/>
        <v>46044</v>
      </c>
      <c r="M33" s="41">
        <f ca="1"/>
        <v>8.27</v>
      </c>
      <c r="N33" s="37" t="str">
        <f t="shared" ca="1" si="0"/>
        <v/>
      </c>
      <c r="O33" s="37" t="str">
        <f t="shared" ca="1" si="1"/>
        <v/>
      </c>
    </row>
    <row r="34" spans="1:15" ht="14.45" customHeight="1" x14ac:dyDescent="0.25">
      <c r="A34" s="102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33" t="str">
        <f t="shared" ca="1" si="6"/>
        <v/>
      </c>
      <c r="F34" s="25" t="str">
        <f t="shared" ca="1" si="7"/>
        <v/>
      </c>
      <c r="G34" s="55" t="str">
        <f t="shared" ca="1" si="8"/>
        <v/>
      </c>
      <c r="H34" s="78"/>
      <c r="J34" s="76">
        <f ca="1"/>
        <v>45974</v>
      </c>
      <c r="K34" s="34">
        <f ca="1"/>
        <v>106.9314</v>
      </c>
      <c r="L34" s="37">
        <f ca="1"/>
        <v>46045</v>
      </c>
      <c r="M34" s="41">
        <f ca="1"/>
        <v>11</v>
      </c>
      <c r="N34" s="37" t="str">
        <f t="shared" ca="1" si="0"/>
        <v/>
      </c>
      <c r="O34" s="37" t="str">
        <f t="shared" ca="1" si="1"/>
        <v/>
      </c>
    </row>
    <row r="35" spans="1:15" ht="14.45" customHeight="1" x14ac:dyDescent="0.25">
      <c r="A35" s="102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33" t="str">
        <f t="shared" ca="1" si="6"/>
        <v/>
      </c>
      <c r="F35" s="25" t="str">
        <f t="shared" ca="1" si="7"/>
        <v/>
      </c>
      <c r="G35" s="55" t="str">
        <f t="shared" ca="1" si="8"/>
        <v/>
      </c>
      <c r="H35" s="78"/>
      <c r="J35" s="76">
        <f ca="1"/>
        <v>45975</v>
      </c>
      <c r="K35" s="34">
        <f ca="1"/>
        <v>106.9564</v>
      </c>
      <c r="L35" s="37">
        <f ca="1"/>
        <v>46048</v>
      </c>
      <c r="M35" s="41">
        <f ca="1"/>
        <v>10.92</v>
      </c>
      <c r="N35" s="37" t="str">
        <f t="shared" ca="1" si="0"/>
        <v/>
      </c>
      <c r="O35" s="37" t="str">
        <f t="shared" ca="1" si="1"/>
        <v/>
      </c>
    </row>
    <row r="36" spans="1:15" ht="14.45" customHeight="1" x14ac:dyDescent="0.25">
      <c r="A36" s="102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33" t="str">
        <f t="shared" ca="1" si="6"/>
        <v/>
      </c>
      <c r="F36" s="25" t="str">
        <f t="shared" ca="1" si="7"/>
        <v/>
      </c>
      <c r="G36" s="55" t="str">
        <f t="shared" ca="1" si="8"/>
        <v/>
      </c>
      <c r="H36" s="78"/>
      <c r="J36" s="76">
        <f ca="1"/>
        <v>45978</v>
      </c>
      <c r="K36" s="34">
        <f ca="1"/>
        <v>106.69070000000001</v>
      </c>
      <c r="L36" s="37">
        <f ca="1"/>
        <v>46049</v>
      </c>
      <c r="M36" s="41">
        <f ca="1"/>
        <v>10.47</v>
      </c>
      <c r="N36" s="37" t="str">
        <f t="shared" ca="1" si="0"/>
        <v/>
      </c>
      <c r="O36" s="37" t="str">
        <f t="shared" ca="1" si="1"/>
        <v/>
      </c>
    </row>
    <row r="37" spans="1:15" x14ac:dyDescent="0.25">
      <c r="A37" s="102" t="str">
        <f t="shared" ca="1" si="2"/>
        <v/>
      </c>
      <c r="B37" s="33" t="str">
        <f t="shared" ca="1" si="3"/>
        <v/>
      </c>
      <c r="C37" s="25" t="str">
        <f t="shared" ca="1" si="4"/>
        <v/>
      </c>
      <c r="D37" s="26" t="str">
        <f t="shared" ca="1" si="5"/>
        <v/>
      </c>
      <c r="E37" s="33" t="str">
        <f t="shared" ca="1" si="6"/>
        <v/>
      </c>
      <c r="F37" s="25" t="str">
        <f t="shared" ca="1" si="7"/>
        <v/>
      </c>
      <c r="G37" s="55" t="str">
        <f t="shared" ca="1" si="8"/>
        <v/>
      </c>
      <c r="H37" s="78"/>
      <c r="J37" s="76">
        <f ca="1"/>
        <v>45979</v>
      </c>
      <c r="K37" s="34">
        <f ca="1"/>
        <v>106.4453</v>
      </c>
      <c r="L37" s="37">
        <f ca="1"/>
        <v>46050</v>
      </c>
      <c r="M37" s="41">
        <f ca="1"/>
        <v>11</v>
      </c>
      <c r="N37" s="37" t="str">
        <f t="shared" ca="1" si="0"/>
        <v/>
      </c>
      <c r="O37" s="37" t="str">
        <f t="shared" ca="1" si="1"/>
        <v/>
      </c>
    </row>
    <row r="38" spans="1:15" x14ac:dyDescent="0.25">
      <c r="A38" s="102" t="str">
        <f t="shared" ca="1" si="2"/>
        <v/>
      </c>
      <c r="B38" s="33" t="str">
        <f t="shared" ca="1" si="3"/>
        <v/>
      </c>
      <c r="C38" s="25" t="str">
        <f t="shared" ca="1" si="4"/>
        <v/>
      </c>
      <c r="D38" s="26" t="str">
        <f t="shared" ca="1" si="5"/>
        <v/>
      </c>
      <c r="E38" s="33" t="str">
        <f t="shared" ca="1" si="6"/>
        <v/>
      </c>
      <c r="F38" s="25" t="str">
        <f t="shared" ca="1" si="7"/>
        <v/>
      </c>
      <c r="G38" s="55" t="str">
        <f t="shared" ca="1" si="8"/>
        <v/>
      </c>
      <c r="H38" s="78"/>
      <c r="J38" s="76">
        <f ca="1"/>
        <v>45980</v>
      </c>
      <c r="K38" s="34">
        <f ca="1"/>
        <v>106.7573</v>
      </c>
      <c r="L38" s="37">
        <f ca="1"/>
        <v>46051</v>
      </c>
      <c r="M38" s="41">
        <f ca="1"/>
        <v>11.99</v>
      </c>
      <c r="N38" s="37" t="str">
        <f t="shared" ca="1" si="0"/>
        <v/>
      </c>
      <c r="O38" s="37" t="str">
        <f t="shared" ca="1" si="1"/>
        <v/>
      </c>
    </row>
    <row r="39" spans="1:15" x14ac:dyDescent="0.25">
      <c r="A39" s="102" t="str">
        <f t="shared" ca="1" si="2"/>
        <v/>
      </c>
      <c r="B39" s="33" t="str">
        <f t="shared" ca="1" si="3"/>
        <v/>
      </c>
      <c r="C39" s="25" t="str">
        <f t="shared" ca="1" si="4"/>
        <v/>
      </c>
      <c r="D39" s="26" t="str">
        <f t="shared" ca="1" si="5"/>
        <v/>
      </c>
      <c r="E39" s="33" t="str">
        <f t="shared" ca="1" si="6"/>
        <v/>
      </c>
      <c r="F39" s="25" t="str">
        <f t="shared" ca="1" si="7"/>
        <v/>
      </c>
      <c r="G39" s="55" t="str">
        <f t="shared" ca="1" si="8"/>
        <v/>
      </c>
      <c r="H39" s="79"/>
      <c r="J39" s="76">
        <f ca="1"/>
        <v>45981</v>
      </c>
      <c r="K39" s="34">
        <f ca="1"/>
        <v>106.2972</v>
      </c>
      <c r="L39" s="37">
        <f ca="1"/>
        <v>46052</v>
      </c>
      <c r="M39" s="41">
        <f ca="1"/>
        <v>13.59</v>
      </c>
      <c r="N39" s="37" t="str">
        <f t="shared" ca="1" si="0"/>
        <v/>
      </c>
      <c r="O39" s="37" t="str">
        <f t="shared" ca="1" si="1"/>
        <v/>
      </c>
    </row>
    <row r="40" spans="1:15" x14ac:dyDescent="0.25">
      <c r="A40" s="102" t="str">
        <f t="shared" ca="1" si="2"/>
        <v/>
      </c>
      <c r="B40" s="33" t="str">
        <f t="shared" ca="1" si="3"/>
        <v/>
      </c>
      <c r="C40" s="25" t="str">
        <f t="shared" ca="1" si="4"/>
        <v/>
      </c>
      <c r="D40" s="26" t="str">
        <f t="shared" ca="1" si="5"/>
        <v/>
      </c>
      <c r="E40" s="33" t="str">
        <f t="shared" ca="1" si="6"/>
        <v/>
      </c>
      <c r="F40" s="25" t="str">
        <f t="shared" ca="1" si="7"/>
        <v/>
      </c>
      <c r="G40" s="55" t="str">
        <f t="shared" ca="1" si="8"/>
        <v/>
      </c>
      <c r="H40" s="79"/>
      <c r="J40" s="76">
        <f ca="1"/>
        <v>45982</v>
      </c>
      <c r="K40" s="34">
        <f ca="1"/>
        <v>106.6388</v>
      </c>
      <c r="L40" s="37">
        <f ca="1"/>
        <v>46055</v>
      </c>
      <c r="M40" s="41">
        <f ca="1"/>
        <v>11.79</v>
      </c>
      <c r="N40" s="37" t="str">
        <f t="shared" ca="1" si="0"/>
        <v/>
      </c>
      <c r="O40" s="37" t="str">
        <f t="shared" ca="1" si="1"/>
        <v/>
      </c>
    </row>
    <row r="41" spans="1:15" x14ac:dyDescent="0.25">
      <c r="A41" s="102" t="str">
        <f t="shared" ca="1" si="2"/>
        <v/>
      </c>
      <c r="B41" s="33" t="str">
        <f t="shared" ca="1" si="3"/>
        <v/>
      </c>
      <c r="C41" s="25" t="str">
        <f t="shared" ca="1" si="4"/>
        <v/>
      </c>
      <c r="D41" s="26" t="str">
        <f t="shared" ca="1" si="5"/>
        <v/>
      </c>
      <c r="E41" s="33" t="str">
        <f t="shared" ca="1" si="6"/>
        <v/>
      </c>
      <c r="F41" s="25" t="str">
        <f t="shared" ca="1" si="7"/>
        <v/>
      </c>
      <c r="G41" s="55" t="str">
        <f t="shared" ca="1" si="8"/>
        <v/>
      </c>
      <c r="H41" s="79"/>
      <c r="J41" s="76">
        <f ca="1"/>
        <v>45985</v>
      </c>
      <c r="K41" s="34">
        <f ca="1"/>
        <v>106.9813</v>
      </c>
      <c r="L41" s="37">
        <f ca="1"/>
        <v>46056</v>
      </c>
      <c r="M41" s="41">
        <f ca="1"/>
        <v>13.51</v>
      </c>
      <c r="N41" s="37" t="str">
        <f t="shared" ca="1" si="0"/>
        <v/>
      </c>
      <c r="O41" s="37" t="str">
        <f t="shared" ca="1" si="1"/>
        <v/>
      </c>
    </row>
    <row r="42" spans="1:15" x14ac:dyDescent="0.25">
      <c r="A42" s="102" t="str">
        <f t="shared" ca="1" si="2"/>
        <v/>
      </c>
      <c r="B42" s="33" t="str">
        <f t="shared" ca="1" si="3"/>
        <v/>
      </c>
      <c r="C42" s="25" t="str">
        <f t="shared" ca="1" si="4"/>
        <v/>
      </c>
      <c r="D42" s="26" t="str">
        <f t="shared" ca="1" si="5"/>
        <v/>
      </c>
      <c r="E42" s="33" t="str">
        <f t="shared" ca="1" si="6"/>
        <v/>
      </c>
      <c r="F42" s="25" t="str">
        <f t="shared" ca="1" si="7"/>
        <v/>
      </c>
      <c r="G42" s="55" t="str">
        <f t="shared" ca="1" si="8"/>
        <v/>
      </c>
      <c r="H42" s="79"/>
      <c r="J42" s="76">
        <f ca="1"/>
        <v>45986</v>
      </c>
      <c r="K42" s="34">
        <f ca="1"/>
        <v>107.155</v>
      </c>
      <c r="L42" s="37">
        <f ca="1"/>
        <v>46057</v>
      </c>
      <c r="M42" s="41">
        <f ca="1"/>
        <v>12.65</v>
      </c>
      <c r="N42" s="37" t="str">
        <f t="shared" ca="1" si="0"/>
        <v/>
      </c>
      <c r="O42" s="37" t="str">
        <f t="shared" ca="1" si="1"/>
        <v/>
      </c>
    </row>
    <row r="43" spans="1:15" x14ac:dyDescent="0.25">
      <c r="A43" s="102" t="str">
        <f t="shared" ca="1" si="2"/>
        <v/>
      </c>
      <c r="B43" s="33" t="str">
        <f t="shared" ca="1" si="3"/>
        <v/>
      </c>
      <c r="C43" s="25" t="str">
        <f t="shared" ca="1" si="4"/>
        <v/>
      </c>
      <c r="D43" s="26" t="str">
        <f t="shared" ca="1" si="5"/>
        <v/>
      </c>
      <c r="E43" s="33" t="str">
        <f t="shared" ca="1" si="6"/>
        <v/>
      </c>
      <c r="F43" s="25" t="str">
        <f t="shared" ca="1" si="7"/>
        <v/>
      </c>
      <c r="G43" s="55" t="str">
        <f t="shared" ca="1" si="8"/>
        <v/>
      </c>
      <c r="H43" s="79"/>
      <c r="J43" s="76">
        <f ca="1"/>
        <v>45987</v>
      </c>
      <c r="K43" s="34">
        <f ca="1"/>
        <v>107.355</v>
      </c>
      <c r="L43" s="37">
        <f ca="1"/>
        <v>46058</v>
      </c>
      <c r="M43" s="41">
        <f ca="1"/>
        <v>17.07</v>
      </c>
      <c r="N43" s="37">
        <f t="shared" ca="1" si="0"/>
        <v>45987</v>
      </c>
      <c r="O43" s="37" t="str">
        <f t="shared" ca="1" si="1"/>
        <v/>
      </c>
    </row>
    <row r="44" spans="1:15" x14ac:dyDescent="0.25">
      <c r="A44" s="102" t="str">
        <f t="shared" ca="1" si="2"/>
        <v/>
      </c>
      <c r="B44" s="33" t="str">
        <f t="shared" ca="1" si="3"/>
        <v/>
      </c>
      <c r="C44" s="25" t="str">
        <f t="shared" ca="1" si="4"/>
        <v/>
      </c>
      <c r="D44" s="26" t="str">
        <f t="shared" ca="1" si="5"/>
        <v/>
      </c>
      <c r="E44" s="33" t="str">
        <f t="shared" ca="1" si="6"/>
        <v/>
      </c>
      <c r="F44" s="25" t="str">
        <f t="shared" ca="1" si="7"/>
        <v/>
      </c>
      <c r="G44" s="55" t="str">
        <f t="shared" ca="1" si="8"/>
        <v/>
      </c>
      <c r="H44" s="79"/>
      <c r="J44" s="76">
        <f ca="1"/>
        <v>45989</v>
      </c>
      <c r="K44" s="34">
        <f ca="1"/>
        <v>107.4819</v>
      </c>
      <c r="L44" s="37">
        <f ca="1"/>
        <v>46059</v>
      </c>
      <c r="M44" s="41">
        <f ca="1"/>
        <v>10.34</v>
      </c>
      <c r="N44" s="37">
        <f t="shared" ca="1" si="0"/>
        <v>45989</v>
      </c>
      <c r="O44" s="37" t="str">
        <f t="shared" ca="1" si="1"/>
        <v/>
      </c>
    </row>
    <row r="45" spans="1:15" x14ac:dyDescent="0.25">
      <c r="A45" s="102" t="str">
        <f t="shared" ca="1" si="2"/>
        <v/>
      </c>
      <c r="B45" s="33" t="str">
        <f t="shared" ca="1" si="3"/>
        <v/>
      </c>
      <c r="C45" s="25" t="str">
        <f t="shared" ca="1" si="4"/>
        <v/>
      </c>
      <c r="D45" s="26" t="str">
        <f t="shared" ca="1" si="5"/>
        <v/>
      </c>
      <c r="E45" s="33" t="str">
        <f t="shared" ca="1" si="6"/>
        <v/>
      </c>
      <c r="F45" s="25" t="str">
        <f t="shared" ca="1" si="7"/>
        <v/>
      </c>
      <c r="G45" s="55" t="str">
        <f t="shared" ca="1" si="8"/>
        <v/>
      </c>
      <c r="H45" s="79"/>
      <c r="J45" s="76">
        <f ca="1"/>
        <v>45992</v>
      </c>
      <c r="K45" s="34">
        <f ca="1"/>
        <v>107.42440000000001</v>
      </c>
      <c r="L45" s="37">
        <f ca="1"/>
        <v>46062</v>
      </c>
      <c r="M45" s="41">
        <f ca="1"/>
        <v>8.7899999999999991</v>
      </c>
      <c r="N45" s="37" t="str">
        <f t="shared" ca="1" si="0"/>
        <v/>
      </c>
      <c r="O45" s="37" t="str">
        <f t="shared" ca="1" si="1"/>
        <v/>
      </c>
    </row>
    <row r="46" spans="1:15" x14ac:dyDescent="0.25">
      <c r="A46" s="102" t="str">
        <f t="shared" ca="1" si="2"/>
        <v/>
      </c>
      <c r="B46" s="33" t="str">
        <f t="shared" ca="1" si="3"/>
        <v/>
      </c>
      <c r="C46" s="25" t="str">
        <f t="shared" ca="1" si="4"/>
        <v/>
      </c>
      <c r="D46" s="26" t="str">
        <f t="shared" ca="1" si="5"/>
        <v/>
      </c>
      <c r="E46" s="33" t="str">
        <f t="shared" ca="1" si="6"/>
        <v/>
      </c>
      <c r="F46" s="25" t="str">
        <f t="shared" ca="1" si="7"/>
        <v/>
      </c>
      <c r="G46" s="55" t="str">
        <f t="shared" ca="1" si="8"/>
        <v/>
      </c>
      <c r="H46" s="79"/>
      <c r="J46" s="76">
        <f ca="1"/>
        <v>45993</v>
      </c>
      <c r="K46" s="34">
        <f ca="1"/>
        <v>107.48309999999999</v>
      </c>
      <c r="L46" s="37">
        <f ca="1"/>
        <v>46063</v>
      </c>
      <c r="M46" s="41">
        <f ca="1"/>
        <v>8.7799999999999994</v>
      </c>
      <c r="N46" s="37" t="str">
        <f t="shared" ca="1" si="0"/>
        <v/>
      </c>
      <c r="O46" s="37" t="str">
        <f t="shared" ca="1" si="1"/>
        <v/>
      </c>
    </row>
    <row r="47" spans="1:15" x14ac:dyDescent="0.25">
      <c r="A47" s="102" t="str">
        <f t="shared" ca="1" si="2"/>
        <v/>
      </c>
      <c r="B47" s="33" t="str">
        <f t="shared" ca="1" si="3"/>
        <v/>
      </c>
      <c r="C47" s="25" t="str">
        <f t="shared" ca="1" si="4"/>
        <v/>
      </c>
      <c r="D47" s="26" t="str">
        <f t="shared" ca="1" si="5"/>
        <v/>
      </c>
      <c r="E47" s="33" t="str">
        <f t="shared" ca="1" si="6"/>
        <v/>
      </c>
      <c r="F47" s="25" t="str">
        <f t="shared" ca="1" si="7"/>
        <v/>
      </c>
      <c r="G47" s="55" t="str">
        <f t="shared" ca="1" si="8"/>
        <v/>
      </c>
      <c r="H47" s="79"/>
      <c r="J47" s="76">
        <f ca="1"/>
        <v>45994</v>
      </c>
      <c r="K47" s="34">
        <f ca="1"/>
        <v>107.52809999999999</v>
      </c>
      <c r="L47" s="37">
        <f ca="1"/>
        <v>46064</v>
      </c>
      <c r="M47" s="41">
        <f ca="1"/>
        <v>9.8000000000000007</v>
      </c>
      <c r="N47" s="37" t="str">
        <f t="shared" ca="1" si="0"/>
        <v/>
      </c>
      <c r="O47" s="37" t="str">
        <f t="shared" ca="1" si="1"/>
        <v/>
      </c>
    </row>
    <row r="48" spans="1:15" x14ac:dyDescent="0.25">
      <c r="A48" s="102" t="str">
        <f t="shared" ca="1" si="2"/>
        <v/>
      </c>
      <c r="B48" s="33" t="str">
        <f t="shared" ca="1" si="3"/>
        <v/>
      </c>
      <c r="C48" s="25" t="str">
        <f t="shared" ca="1" si="4"/>
        <v/>
      </c>
      <c r="D48" s="26" t="str">
        <f t="shared" ca="1" si="5"/>
        <v/>
      </c>
      <c r="E48" s="33" t="str">
        <f t="shared" ca="1" si="6"/>
        <v/>
      </c>
      <c r="F48" s="25" t="str">
        <f t="shared" ca="1" si="7"/>
        <v/>
      </c>
      <c r="G48" s="55" t="str">
        <f t="shared" ca="1" si="8"/>
        <v/>
      </c>
      <c r="H48" s="79"/>
      <c r="J48" s="76">
        <f ca="1"/>
        <v>45995</v>
      </c>
      <c r="K48" s="34">
        <f ca="1"/>
        <v>107.6247</v>
      </c>
      <c r="L48" s="37">
        <f ca="1"/>
        <v>46065</v>
      </c>
      <c r="M48" s="41">
        <f ca="1"/>
        <v>13.56</v>
      </c>
      <c r="N48" s="37">
        <f t="shared" ca="1" si="0"/>
        <v>45995</v>
      </c>
      <c r="O48" s="37" t="str">
        <f t="shared" ca="1" si="1"/>
        <v/>
      </c>
    </row>
    <row r="49" spans="1:15" x14ac:dyDescent="0.25">
      <c r="A49" s="102" t="str">
        <f t="shared" ca="1" si="2"/>
        <v/>
      </c>
      <c r="B49" s="33" t="str">
        <f t="shared" ca="1" si="3"/>
        <v/>
      </c>
      <c r="C49" s="25" t="str">
        <f t="shared" ca="1" si="4"/>
        <v/>
      </c>
      <c r="D49" s="26" t="str">
        <f t="shared" ca="1" si="5"/>
        <v/>
      </c>
      <c r="E49" s="33" t="str">
        <f t="shared" ca="1" si="6"/>
        <v/>
      </c>
      <c r="F49" s="25" t="str">
        <f t="shared" ca="1" si="7"/>
        <v/>
      </c>
      <c r="G49" s="55" t="str">
        <f t="shared" ca="1" si="8"/>
        <v/>
      </c>
      <c r="H49" s="79"/>
      <c r="J49" s="76">
        <f ca="1"/>
        <v>45996</v>
      </c>
      <c r="K49" s="34">
        <f ca="1"/>
        <v>107.6591</v>
      </c>
      <c r="L49" s="37">
        <f ca="1"/>
        <v>46066</v>
      </c>
      <c r="M49" s="41">
        <f ca="1"/>
        <v>11.28</v>
      </c>
      <c r="N49" s="37" t="str">
        <f t="shared" ca="1" si="0"/>
        <v/>
      </c>
      <c r="O49" s="37" t="str">
        <f t="shared" ca="1" si="1"/>
        <v/>
      </c>
    </row>
    <row r="50" spans="1:15" x14ac:dyDescent="0.25">
      <c r="A50" s="102" t="str">
        <f t="shared" ca="1" si="2"/>
        <v/>
      </c>
      <c r="B50" s="33" t="str">
        <f t="shared" ca="1" si="3"/>
        <v/>
      </c>
      <c r="C50" s="25" t="str">
        <f t="shared" ca="1" si="4"/>
        <v/>
      </c>
      <c r="D50" s="26" t="str">
        <f t="shared" ca="1" si="5"/>
        <v/>
      </c>
      <c r="E50" s="33" t="str">
        <f t="shared" ca="1" si="6"/>
        <v/>
      </c>
      <c r="F50" s="25" t="str">
        <f t="shared" ca="1" si="7"/>
        <v/>
      </c>
      <c r="G50" s="55" t="str">
        <f t="shared" ca="1" si="8"/>
        <v/>
      </c>
      <c r="H50" s="79"/>
      <c r="J50" s="76">
        <f ca="1"/>
        <v>45999</v>
      </c>
      <c r="K50" s="34">
        <f ca="1"/>
        <v>107.53440000000001</v>
      </c>
      <c r="L50" s="37">
        <f ca="1"/>
        <v>46070</v>
      </c>
      <c r="M50" s="41">
        <f ca="1"/>
        <v>10.89</v>
      </c>
      <c r="N50" s="37">
        <f t="shared" ca="1" si="0"/>
        <v>45999</v>
      </c>
      <c r="O50" s="37" t="str">
        <f t="shared" ca="1" si="1"/>
        <v/>
      </c>
    </row>
    <row r="51" spans="1:15" x14ac:dyDescent="0.25">
      <c r="A51" s="102" t="str">
        <f t="shared" ca="1" si="2"/>
        <v/>
      </c>
      <c r="B51" s="33" t="str">
        <f t="shared" ca="1" si="3"/>
        <v/>
      </c>
      <c r="C51" s="25" t="str">
        <f t="shared" ca="1" si="4"/>
        <v/>
      </c>
      <c r="D51" s="26" t="str">
        <f t="shared" ca="1" si="5"/>
        <v/>
      </c>
      <c r="E51" s="33" t="str">
        <f t="shared" ca="1" si="6"/>
        <v/>
      </c>
      <c r="F51" s="25" t="str">
        <f t="shared" ca="1" si="7"/>
        <v/>
      </c>
      <c r="G51" s="55" t="str">
        <f t="shared" ca="1" si="8"/>
        <v/>
      </c>
      <c r="H51" s="79"/>
      <c r="J51" s="76">
        <f ca="1"/>
        <v>46000</v>
      </c>
      <c r="K51" s="34">
        <f ca="1"/>
        <v>107.40940000000001</v>
      </c>
      <c r="L51" s="37">
        <f ca="1"/>
        <v>46071</v>
      </c>
      <c r="M51" s="41">
        <f ca="1"/>
        <v>10</v>
      </c>
      <c r="N51" s="37" t="str">
        <f t="shared" ca="1" si="0"/>
        <v/>
      </c>
      <c r="O51" s="37" t="str">
        <f t="shared" ca="1" si="1"/>
        <v/>
      </c>
    </row>
    <row r="52" spans="1:15" x14ac:dyDescent="0.25">
      <c r="A52" s="102" t="str">
        <f t="shared" ca="1" si="2"/>
        <v/>
      </c>
      <c r="B52" s="33" t="str">
        <f t="shared" ca="1" si="3"/>
        <v/>
      </c>
      <c r="C52" s="25" t="str">
        <f t="shared" ca="1" si="4"/>
        <v/>
      </c>
      <c r="D52" s="26" t="str">
        <f t="shared" ca="1" si="5"/>
        <v/>
      </c>
      <c r="E52" s="33" t="str">
        <f t="shared" ca="1" si="6"/>
        <v/>
      </c>
      <c r="F52" s="25" t="str">
        <f t="shared" ca="1" si="7"/>
        <v/>
      </c>
      <c r="G52" s="55" t="str">
        <f t="shared" ca="1" si="8"/>
        <v/>
      </c>
      <c r="H52" s="79"/>
      <c r="J52" s="76">
        <f ca="1"/>
        <v>46001</v>
      </c>
      <c r="K52" s="34">
        <f ca="1"/>
        <v>107.7157</v>
      </c>
      <c r="L52" s="37">
        <f ca="1"/>
        <v>46072</v>
      </c>
      <c r="M52" s="41">
        <f ca="1"/>
        <v>10.92</v>
      </c>
      <c r="N52" s="37">
        <f t="shared" ca="1" si="0"/>
        <v>46001</v>
      </c>
      <c r="O52" s="37" t="str">
        <f t="shared" ca="1" si="1"/>
        <v/>
      </c>
    </row>
    <row r="53" spans="1:15" x14ac:dyDescent="0.25">
      <c r="A53" s="102" t="str">
        <f t="shared" ca="1" si="2"/>
        <v/>
      </c>
      <c r="B53" s="33" t="str">
        <f t="shared" ca="1" si="3"/>
        <v/>
      </c>
      <c r="C53" s="25" t="str">
        <f t="shared" ca="1" si="4"/>
        <v/>
      </c>
      <c r="D53" s="26" t="str">
        <f t="shared" ca="1" si="5"/>
        <v/>
      </c>
      <c r="E53" s="33" t="str">
        <f t="shared" ca="1" si="6"/>
        <v/>
      </c>
      <c r="F53" s="25" t="str">
        <f t="shared" ca="1" si="7"/>
        <v/>
      </c>
      <c r="G53" s="55" t="str">
        <f t="shared" ca="1" si="8"/>
        <v/>
      </c>
      <c r="H53" s="79"/>
      <c r="J53" s="76">
        <f ca="1"/>
        <v>46002</v>
      </c>
      <c r="K53" s="34">
        <f ca="1"/>
        <v>107.7376</v>
      </c>
      <c r="L53" s="37">
        <f ca="1"/>
        <v>46073</v>
      </c>
      <c r="M53" s="41">
        <f ca="1"/>
        <v>9.31</v>
      </c>
      <c r="N53" s="37">
        <f t="shared" ca="1" si="0"/>
        <v>46002</v>
      </c>
      <c r="O53" s="37" t="str">
        <f t="shared" ca="1" si="1"/>
        <v/>
      </c>
    </row>
    <row r="54" spans="1:15" x14ac:dyDescent="0.25">
      <c r="A54" s="102" t="str">
        <f t="shared" ca="1" si="2"/>
        <v/>
      </c>
      <c r="B54" s="33" t="str">
        <f t="shared" ca="1" si="3"/>
        <v/>
      </c>
      <c r="C54" s="25" t="str">
        <f t="shared" ca="1" si="4"/>
        <v/>
      </c>
      <c r="D54" s="26" t="str">
        <f t="shared" ca="1" si="5"/>
        <v/>
      </c>
      <c r="E54" s="33" t="str">
        <f t="shared" ca="1" si="6"/>
        <v/>
      </c>
      <c r="F54" s="25" t="str">
        <f t="shared" ca="1" si="7"/>
        <v/>
      </c>
      <c r="G54" s="55" t="str">
        <f t="shared" ca="1" si="8"/>
        <v/>
      </c>
      <c r="H54" s="79"/>
      <c r="J54" s="76">
        <f ca="1"/>
        <v>46003</v>
      </c>
      <c r="K54" s="34">
        <f ca="1"/>
        <v>107.5716</v>
      </c>
      <c r="L54" s="37">
        <f ca="1"/>
        <v>46076</v>
      </c>
      <c r="M54" s="41">
        <f ca="1"/>
        <v>12.16</v>
      </c>
      <c r="N54" s="37">
        <f t="shared" ca="1" si="0"/>
        <v>46003</v>
      </c>
      <c r="O54" s="37" t="str">
        <f t="shared" ca="1" si="1"/>
        <v/>
      </c>
    </row>
    <row r="55" spans="1:15" x14ac:dyDescent="0.25">
      <c r="A55" s="102" t="str">
        <f t="shared" ca="1" si="2"/>
        <v/>
      </c>
      <c r="B55" s="33" t="str">
        <f t="shared" ca="1" si="3"/>
        <v/>
      </c>
      <c r="C55" s="25" t="str">
        <f t="shared" ca="1" si="4"/>
        <v/>
      </c>
      <c r="D55" s="26" t="str">
        <f t="shared" ca="1" si="5"/>
        <v/>
      </c>
      <c r="E55" s="33" t="str">
        <f t="shared" ca="1" si="6"/>
        <v/>
      </c>
      <c r="F55" s="25" t="str">
        <f t="shared" ca="1" si="7"/>
        <v/>
      </c>
      <c r="G55" s="55" t="str">
        <f t="shared" ca="1" si="8"/>
        <v/>
      </c>
      <c r="H55" s="79"/>
      <c r="J55" s="76">
        <f ca="1"/>
        <v>46006</v>
      </c>
      <c r="K55" s="34">
        <f ca="1"/>
        <v>107.5476</v>
      </c>
      <c r="L55" s="37">
        <f ca="1"/>
        <v>46077</v>
      </c>
      <c r="M55" s="41">
        <f ca="1"/>
        <v>10.07</v>
      </c>
      <c r="N55" s="37" t="str">
        <f t="shared" ca="1" si="0"/>
        <v/>
      </c>
      <c r="O55" s="37" t="str">
        <f t="shared" ca="1" si="1"/>
        <v/>
      </c>
    </row>
    <row r="56" spans="1:15" x14ac:dyDescent="0.25">
      <c r="A56" s="102" t="str">
        <f t="shared" ca="1" si="2"/>
        <v/>
      </c>
      <c r="B56" s="33" t="str">
        <f t="shared" ca="1" si="3"/>
        <v/>
      </c>
      <c r="C56" s="25" t="str">
        <f t="shared" ca="1" si="4"/>
        <v/>
      </c>
      <c r="D56" s="26" t="str">
        <f t="shared" ca="1" si="5"/>
        <v/>
      </c>
      <c r="E56" s="33" t="str">
        <f t="shared" ca="1" si="6"/>
        <v/>
      </c>
      <c r="F56" s="25" t="str">
        <f t="shared" ca="1" si="7"/>
        <v/>
      </c>
      <c r="G56" s="55" t="str">
        <f t="shared" ca="1" si="8"/>
        <v/>
      </c>
      <c r="H56" s="80"/>
      <c r="J56" s="76">
        <f ca="1"/>
        <v>46007</v>
      </c>
      <c r="K56" s="41">
        <f ca="1"/>
        <v>107.495</v>
      </c>
      <c r="L56" s="37">
        <f ca="1"/>
        <v>46078</v>
      </c>
      <c r="M56" s="41">
        <f ca="1"/>
        <v>8.5</v>
      </c>
      <c r="N56" s="37" t="str">
        <f t="shared" ca="1" si="0"/>
        <v/>
      </c>
      <c r="O56" s="37" t="str">
        <f t="shared" ca="1" si="1"/>
        <v/>
      </c>
    </row>
    <row r="57" spans="1:15" x14ac:dyDescent="0.25">
      <c r="A57" s="102" t="str">
        <f t="shared" ca="1" si="2"/>
        <v/>
      </c>
      <c r="B57" s="33" t="str">
        <f t="shared" ca="1" si="3"/>
        <v/>
      </c>
      <c r="C57" s="25" t="str">
        <f t="shared" ca="1" si="4"/>
        <v/>
      </c>
      <c r="D57" s="26" t="str">
        <f t="shared" ca="1" si="5"/>
        <v/>
      </c>
      <c r="E57" s="33" t="str">
        <f t="shared" ca="1" si="6"/>
        <v/>
      </c>
      <c r="F57" s="25" t="str">
        <f t="shared" ca="1" si="7"/>
        <v/>
      </c>
      <c r="G57" s="55" t="str">
        <f t="shared" ca="1" si="8"/>
        <v/>
      </c>
      <c r="H57" s="80"/>
      <c r="J57" s="76">
        <f ca="1"/>
        <v>46008</v>
      </c>
      <c r="K57" s="41">
        <f ca="1"/>
        <v>107.3031</v>
      </c>
      <c r="L57" s="37">
        <f ca="1"/>
        <v>46079</v>
      </c>
      <c r="M57" s="41">
        <f ca="1"/>
        <v>7.9</v>
      </c>
      <c r="N57" s="37" t="str">
        <f t="shared" ca="1" si="0"/>
        <v/>
      </c>
      <c r="O57" s="37" t="str">
        <f t="shared" ca="1" si="1"/>
        <v/>
      </c>
    </row>
    <row r="58" spans="1:15" x14ac:dyDescent="0.25">
      <c r="A58" s="102" t="str">
        <f t="shared" ca="1" si="2"/>
        <v/>
      </c>
      <c r="B58" s="33" t="str">
        <f t="shared" ca="1" si="3"/>
        <v/>
      </c>
      <c r="C58" s="25" t="str">
        <f t="shared" ca="1" si="4"/>
        <v/>
      </c>
      <c r="D58" s="26" t="str">
        <f t="shared" ca="1" si="5"/>
        <v/>
      </c>
      <c r="E58" s="33" t="str">
        <f t="shared" ca="1" si="6"/>
        <v/>
      </c>
      <c r="F58" s="25" t="str">
        <f t="shared" ca="1" si="7"/>
        <v/>
      </c>
      <c r="G58" s="55" t="str">
        <f t="shared" ca="1" si="8"/>
        <v/>
      </c>
      <c r="J58" s="76">
        <f ca="1"/>
        <v>46009</v>
      </c>
      <c r="K58" s="41">
        <f ca="1"/>
        <v>107.4984</v>
      </c>
      <c r="L58" s="37">
        <f ca="1"/>
        <v>46080</v>
      </c>
      <c r="M58" s="41">
        <f ca="1"/>
        <v>11.13</v>
      </c>
      <c r="N58" s="37">
        <f t="shared" ca="1" si="0"/>
        <v>46009</v>
      </c>
      <c r="O58" s="37" t="str">
        <f t="shared" ca="1" si="1"/>
        <v/>
      </c>
    </row>
    <row r="59" spans="1:15" x14ac:dyDescent="0.25">
      <c r="A59" s="102" t="str">
        <f t="shared" ca="1" si="2"/>
        <v/>
      </c>
      <c r="B59" s="33" t="str">
        <f t="shared" ca="1" si="3"/>
        <v/>
      </c>
      <c r="C59" s="25" t="str">
        <f t="shared" ca="1" si="4"/>
        <v/>
      </c>
      <c r="D59" s="26" t="str">
        <f t="shared" ca="1" si="5"/>
        <v/>
      </c>
      <c r="E59" s="33" t="str">
        <f t="shared" ca="1" si="6"/>
        <v/>
      </c>
      <c r="F59" s="25" t="str">
        <f t="shared" ca="1" si="7"/>
        <v/>
      </c>
      <c r="G59" s="55" t="str">
        <f t="shared" ca="1" si="8"/>
        <v/>
      </c>
      <c r="J59" s="76">
        <f ca="1"/>
        <v>46010</v>
      </c>
      <c r="K59" s="41">
        <f ca="1"/>
        <v>107.5325</v>
      </c>
      <c r="L59" s="37">
        <f ca="1"/>
        <v>46083</v>
      </c>
      <c r="M59" s="41">
        <f ca="1"/>
        <v>9.35</v>
      </c>
      <c r="N59" s="37" t="str">
        <f t="shared" ca="1" si="0"/>
        <v/>
      </c>
      <c r="O59" s="37" t="str">
        <f t="shared" ca="1" si="1"/>
        <v/>
      </c>
    </row>
    <row r="60" spans="1:15" x14ac:dyDescent="0.25">
      <c r="A60" s="102" t="str">
        <f t="shared" ca="1" si="2"/>
        <v/>
      </c>
      <c r="B60" s="33" t="str">
        <f t="shared" ca="1" si="3"/>
        <v/>
      </c>
      <c r="C60" s="25" t="str">
        <f t="shared" ca="1" si="4"/>
        <v/>
      </c>
      <c r="D60" s="26" t="str">
        <f t="shared" ca="1" si="5"/>
        <v/>
      </c>
      <c r="E60" s="33" t="str">
        <f t="shared" ca="1" si="6"/>
        <v/>
      </c>
      <c r="F60" s="25" t="str">
        <f t="shared" ca="1" si="7"/>
        <v/>
      </c>
      <c r="G60" s="55" t="str">
        <f t="shared" ca="1" si="8"/>
        <v/>
      </c>
      <c r="J60" s="76">
        <f ca="1"/>
        <v>46013</v>
      </c>
      <c r="K60" s="41">
        <f ca="1"/>
        <v>107.6294</v>
      </c>
      <c r="L60" s="37">
        <f ca="1"/>
        <v>46084</v>
      </c>
      <c r="M60" s="41">
        <f ca="1"/>
        <v>12.5</v>
      </c>
      <c r="N60" s="37">
        <f t="shared" ca="1" si="0"/>
        <v>46013</v>
      </c>
      <c r="O60" s="37" t="str">
        <f t="shared" ca="1" si="1"/>
        <v/>
      </c>
    </row>
    <row r="61" spans="1:15" x14ac:dyDescent="0.25">
      <c r="A61" s="102" t="str">
        <f t="shared" ca="1" si="2"/>
        <v/>
      </c>
      <c r="B61" s="33" t="str">
        <f t="shared" ca="1" si="3"/>
        <v/>
      </c>
      <c r="C61" s="25" t="str">
        <f t="shared" ca="1" si="4"/>
        <v/>
      </c>
      <c r="D61" s="26" t="str">
        <f t="shared" ca="1" si="5"/>
        <v/>
      </c>
      <c r="E61" s="33" t="str">
        <f t="shared" ca="1" si="6"/>
        <v/>
      </c>
      <c r="F61" s="25" t="str">
        <f t="shared" ca="1" si="7"/>
        <v/>
      </c>
      <c r="G61" s="55" t="str">
        <f t="shared" ca="1" si="8"/>
        <v/>
      </c>
      <c r="J61" s="76">
        <f ca="1"/>
        <v>46014</v>
      </c>
      <c r="K61" s="41">
        <f ca="1"/>
        <v>107.65560000000001</v>
      </c>
      <c r="L61" s="37">
        <f ca="1"/>
        <v>46085</v>
      </c>
      <c r="M61" s="41">
        <f ca="1"/>
        <v>9.48</v>
      </c>
      <c r="N61" s="37">
        <f t="shared" ca="1" si="0"/>
        <v>46014</v>
      </c>
      <c r="O61" s="37" t="str">
        <f t="shared" ca="1" si="1"/>
        <v/>
      </c>
    </row>
    <row r="62" spans="1:15" x14ac:dyDescent="0.25">
      <c r="A62" s="102" t="str">
        <f t="shared" ca="1" si="2"/>
        <v/>
      </c>
      <c r="B62" s="33" t="str">
        <f t="shared" ca="1" si="3"/>
        <v/>
      </c>
      <c r="C62" s="25" t="str">
        <f t="shared" ca="1" si="4"/>
        <v/>
      </c>
      <c r="D62" s="26" t="str">
        <f t="shared" ca="1" si="5"/>
        <v/>
      </c>
      <c r="E62" s="33" t="str">
        <f t="shared" ca="1" si="6"/>
        <v/>
      </c>
      <c r="F62" s="25" t="str">
        <f t="shared" ca="1" si="7"/>
        <v/>
      </c>
      <c r="G62" s="55" t="str">
        <f t="shared" ca="1" si="8"/>
        <v/>
      </c>
      <c r="J62" s="76">
        <f ca="1"/>
        <v>46015</v>
      </c>
      <c r="K62" s="41">
        <f ca="1"/>
        <v>107.7465</v>
      </c>
      <c r="L62" s="37">
        <f ca="1"/>
        <v>46086</v>
      </c>
      <c r="M62" s="41">
        <f ca="1"/>
        <v>14.53</v>
      </c>
      <c r="N62" s="37">
        <f t="shared" ca="1" si="0"/>
        <v>46015</v>
      </c>
      <c r="O62" s="37" t="str">
        <f t="shared" ca="1" si="1"/>
        <v/>
      </c>
    </row>
    <row r="63" spans="1:15" x14ac:dyDescent="0.25">
      <c r="A63" s="102" t="str">
        <f t="shared" ca="1" si="2"/>
        <v/>
      </c>
      <c r="B63" s="33" t="str">
        <f t="shared" ca="1" si="3"/>
        <v/>
      </c>
      <c r="C63" s="25" t="str">
        <f t="shared" ca="1" si="4"/>
        <v/>
      </c>
      <c r="D63" s="26" t="str">
        <f t="shared" ca="1" si="5"/>
        <v/>
      </c>
      <c r="E63" s="33" t="str">
        <f t="shared" ca="1" si="6"/>
        <v/>
      </c>
      <c r="F63" s="25" t="str">
        <f t="shared" ca="1" si="7"/>
        <v/>
      </c>
      <c r="G63" s="55" t="str">
        <f t="shared" ca="1" si="8"/>
        <v/>
      </c>
      <c r="J63" s="76">
        <f ca="1"/>
        <v>46017</v>
      </c>
      <c r="K63" s="41">
        <f ca="1"/>
        <v>107.6897</v>
      </c>
      <c r="L63" s="37">
        <f ca="1"/>
        <v>46087</v>
      </c>
      <c r="M63" s="41">
        <f ca="1"/>
        <v>19.739999999999998</v>
      </c>
      <c r="N63" s="37">
        <f t="shared" ca="1" si="0"/>
        <v>46017</v>
      </c>
      <c r="O63" s="37" t="str">
        <f t="shared" ca="1" si="1"/>
        <v/>
      </c>
    </row>
    <row r="64" spans="1:15" x14ac:dyDescent="0.25">
      <c r="A64" s="102" t="str">
        <f t="shared" ca="1" si="2"/>
        <v/>
      </c>
      <c r="B64" s="33" t="str">
        <f t="shared" ca="1" si="3"/>
        <v/>
      </c>
      <c r="C64" s="25" t="str">
        <f t="shared" ca="1" si="4"/>
        <v/>
      </c>
      <c r="D64" s="26" t="str">
        <f t="shared" ca="1" si="5"/>
        <v/>
      </c>
      <c r="E64" s="33" t="str">
        <f t="shared" ca="1" si="6"/>
        <v/>
      </c>
      <c r="F64" s="25" t="str">
        <f t="shared" ca="1" si="7"/>
        <v/>
      </c>
      <c r="G64" s="55" t="str">
        <f t="shared" ca="1" si="8"/>
        <v/>
      </c>
      <c r="J64" s="76">
        <f ca="1"/>
        <v>46020</v>
      </c>
      <c r="K64" s="41">
        <f ca="1"/>
        <v>107.6044</v>
      </c>
      <c r="L64" s="37">
        <f ca="1"/>
        <v>46090</v>
      </c>
      <c r="M64" s="41">
        <f ca="1"/>
        <v>24.36</v>
      </c>
      <c r="N64" s="37">
        <f t="shared" ca="1" si="0"/>
        <v>46020</v>
      </c>
      <c r="O64" s="37" t="str">
        <f t="shared" ca="1" si="1"/>
        <v/>
      </c>
    </row>
    <row r="65" spans="1:15" x14ac:dyDescent="0.25">
      <c r="A65" s="102" t="str">
        <f t="shared" ca="1" si="2"/>
        <v/>
      </c>
      <c r="B65" s="33" t="str">
        <f t="shared" ca="1" si="3"/>
        <v/>
      </c>
      <c r="C65" s="25" t="str">
        <f t="shared" ca="1" si="4"/>
        <v/>
      </c>
      <c r="D65" s="26" t="str">
        <f t="shared" ca="1" si="5"/>
        <v/>
      </c>
      <c r="E65" s="33" t="str">
        <f t="shared" ca="1" si="6"/>
        <v/>
      </c>
      <c r="F65" s="25" t="str">
        <f t="shared" ca="1" si="7"/>
        <v/>
      </c>
      <c r="G65" s="55" t="str">
        <f t="shared" ca="1" si="8"/>
        <v/>
      </c>
      <c r="J65" s="76">
        <f ca="1"/>
        <v>46021</v>
      </c>
      <c r="K65" s="41">
        <f ca="1"/>
        <v>107.69</v>
      </c>
      <c r="L65" s="37">
        <f ca="1"/>
        <v>46091</v>
      </c>
      <c r="M65" s="41">
        <f ca="1"/>
        <v>16.73</v>
      </c>
      <c r="N65" s="37">
        <f t="shared" ca="1" si="0"/>
        <v>46021</v>
      </c>
      <c r="O65" s="37" t="str">
        <f t="shared" ca="1" si="1"/>
        <v/>
      </c>
    </row>
    <row r="66" spans="1:15" x14ac:dyDescent="0.25">
      <c r="A66" s="102" t="str">
        <f t="shared" ca="1" si="2"/>
        <v/>
      </c>
      <c r="B66" s="33" t="str">
        <f t="shared" ca="1" si="3"/>
        <v/>
      </c>
      <c r="C66" s="25" t="str">
        <f t="shared" ca="1" si="4"/>
        <v/>
      </c>
      <c r="D66" s="26" t="str">
        <f t="shared" ca="1" si="5"/>
        <v/>
      </c>
      <c r="E66" s="33" t="str">
        <f t="shared" ca="1" si="6"/>
        <v/>
      </c>
      <c r="F66" s="25" t="str">
        <f t="shared" ca="1" si="7"/>
        <v/>
      </c>
      <c r="G66" s="55" t="str">
        <f t="shared" ca="1" si="8"/>
        <v/>
      </c>
      <c r="J66" s="76">
        <f ca="1"/>
        <v>46022</v>
      </c>
      <c r="K66" s="41">
        <f ca="1"/>
        <v>107.62260000000001</v>
      </c>
      <c r="L66" s="37">
        <f ca="1"/>
        <v>46092</v>
      </c>
      <c r="M66" s="41">
        <f ca="1"/>
        <v>18.149999999999999</v>
      </c>
      <c r="N66" s="37">
        <f t="shared" ca="1" si="0"/>
        <v>46022</v>
      </c>
      <c r="O66" s="37" t="str">
        <f t="shared" ca="1" si="1"/>
        <v/>
      </c>
    </row>
    <row r="67" spans="1:15" x14ac:dyDescent="0.25">
      <c r="A67" s="102" t="str">
        <f t="shared" ca="1" si="2"/>
        <v/>
      </c>
      <c r="B67" s="33" t="str">
        <f t="shared" ca="1" si="3"/>
        <v/>
      </c>
      <c r="C67" s="25" t="str">
        <f t="shared" ca="1" si="4"/>
        <v/>
      </c>
      <c r="D67" s="26" t="str">
        <f t="shared" ca="1" si="5"/>
        <v/>
      </c>
      <c r="E67" s="33" t="str">
        <f t="shared" ca="1" si="6"/>
        <v/>
      </c>
      <c r="F67" s="25" t="str">
        <f t="shared" ca="1" si="7"/>
        <v/>
      </c>
      <c r="G67" s="55" t="str">
        <f t="shared" ca="1" si="8"/>
        <v/>
      </c>
      <c r="J67" s="76">
        <f ca="1"/>
        <v>46024</v>
      </c>
      <c r="K67" s="41">
        <f ca="1"/>
        <v>107.5684</v>
      </c>
      <c r="L67" s="37">
        <f ca="1"/>
        <v>46093</v>
      </c>
      <c r="M67" s="41">
        <f ca="1"/>
        <v>21.14</v>
      </c>
      <c r="N67" s="37">
        <f t="shared" ca="1" si="0"/>
        <v>46024</v>
      </c>
      <c r="O67" s="37" t="str">
        <f t="shared" ca="1" si="1"/>
        <v/>
      </c>
    </row>
    <row r="68" spans="1:15" x14ac:dyDescent="0.25">
      <c r="A68" s="102" t="str">
        <f t="shared" ca="1" si="2"/>
        <v/>
      </c>
      <c r="B68" s="33" t="str">
        <f t="shared" ca="1" si="3"/>
        <v/>
      </c>
      <c r="C68" s="25" t="str">
        <f t="shared" ca="1" si="4"/>
        <v/>
      </c>
      <c r="D68" s="26" t="str">
        <f t="shared" ca="1" si="5"/>
        <v/>
      </c>
      <c r="E68" s="33" t="str">
        <f t="shared" ca="1" si="6"/>
        <v/>
      </c>
      <c r="F68" s="25" t="str">
        <f t="shared" ca="1" si="7"/>
        <v/>
      </c>
      <c r="G68" s="55" t="str">
        <f t="shared" ca="1" si="8"/>
        <v/>
      </c>
      <c r="J68" s="76">
        <f ca="1"/>
        <v>46027</v>
      </c>
      <c r="K68" s="41">
        <f ca="1"/>
        <v>107.74</v>
      </c>
      <c r="L68" s="37">
        <f ca="1"/>
        <v>46094</v>
      </c>
      <c r="M68" s="41">
        <f ca="1"/>
        <v>24.58</v>
      </c>
      <c r="N68" s="37" t="str">
        <f t="shared" ref="N68:N131" ca="1" si="9">IF(COUNTIF(L:L,J68),J68,"")</f>
        <v/>
      </c>
      <c r="O68" s="37" t="str">
        <f t="shared" ref="O68:O131" ca="1" si="10">IF(N68&gt;$A$14,N68,"")</f>
        <v/>
      </c>
    </row>
    <row r="69" spans="1:15" x14ac:dyDescent="0.25">
      <c r="A69" s="102" t="str">
        <f t="shared" ca="1" si="2"/>
        <v/>
      </c>
      <c r="B69" s="33" t="str">
        <f t="shared" ca="1" si="3"/>
        <v/>
      </c>
      <c r="C69" s="25" t="str">
        <f t="shared" ca="1" si="4"/>
        <v/>
      </c>
      <c r="D69" s="26" t="str">
        <f t="shared" ca="1" si="5"/>
        <v/>
      </c>
      <c r="E69" s="33" t="str">
        <f t="shared" ca="1" si="6"/>
        <v/>
      </c>
      <c r="F69" s="25" t="str">
        <f t="shared" ca="1" si="7"/>
        <v/>
      </c>
      <c r="G69" s="55" t="str">
        <f t="shared" ca="1" si="8"/>
        <v/>
      </c>
      <c r="J69" s="76">
        <f ca="1"/>
        <v>46028</v>
      </c>
      <c r="K69" s="41">
        <f ca="1"/>
        <v>107.7636</v>
      </c>
      <c r="L69" s="37">
        <f ca="1"/>
        <v>46097</v>
      </c>
      <c r="M69" s="41">
        <f ca="1"/>
        <v>21.56</v>
      </c>
      <c r="N69" s="37">
        <f t="shared" ca="1" si="9"/>
        <v>46028</v>
      </c>
      <c r="O69" s="37" t="str">
        <f t="shared" ca="1" si="10"/>
        <v/>
      </c>
    </row>
    <row r="70" spans="1:15" x14ac:dyDescent="0.25">
      <c r="A70" s="102" t="str">
        <f t="shared" ca="1" si="2"/>
        <v/>
      </c>
      <c r="B70" s="33" t="str">
        <f t="shared" ca="1" si="3"/>
        <v/>
      </c>
      <c r="C70" s="25" t="str">
        <f t="shared" ca="1" si="4"/>
        <v/>
      </c>
      <c r="D70" s="26" t="str">
        <f t="shared" ca="1" si="5"/>
        <v/>
      </c>
      <c r="E70" s="33" t="str">
        <f t="shared" ca="1" si="6"/>
        <v/>
      </c>
      <c r="F70" s="25" t="str">
        <f t="shared" ca="1" si="7"/>
        <v/>
      </c>
      <c r="G70" s="55" t="str">
        <f t="shared" ca="1" si="8"/>
        <v/>
      </c>
      <c r="J70" s="76">
        <f ca="1"/>
        <v>46029</v>
      </c>
      <c r="K70" s="41">
        <f ca="1"/>
        <v>107.6284</v>
      </c>
      <c r="L70" s="37">
        <f ca="1"/>
        <v>46098</v>
      </c>
      <c r="M70" s="41">
        <f ca="1"/>
        <v>19.62</v>
      </c>
      <c r="N70" s="37">
        <f t="shared" ca="1" si="9"/>
        <v>46029</v>
      </c>
      <c r="O70" s="37" t="str">
        <f t="shared" ca="1" si="10"/>
        <v/>
      </c>
    </row>
    <row r="71" spans="1:15" x14ac:dyDescent="0.25">
      <c r="A71" s="102" t="str">
        <f t="shared" ca="1" si="2"/>
        <v/>
      </c>
      <c r="B71" s="33" t="str">
        <f t="shared" ca="1" si="3"/>
        <v/>
      </c>
      <c r="C71" s="25" t="str">
        <f t="shared" ca="1" si="4"/>
        <v/>
      </c>
      <c r="D71" s="26" t="str">
        <f t="shared" ca="1" si="5"/>
        <v/>
      </c>
      <c r="E71" s="33" t="str">
        <f t="shared" ca="1" si="6"/>
        <v/>
      </c>
      <c r="F71" s="25" t="str">
        <f t="shared" ca="1" si="7"/>
        <v/>
      </c>
      <c r="G71" s="55" t="str">
        <f t="shared" ca="1" si="8"/>
        <v/>
      </c>
      <c r="J71" s="76">
        <f ca="1"/>
        <v>46030</v>
      </c>
      <c r="K71" s="41">
        <f ca="1"/>
        <v>107.72620000000001</v>
      </c>
      <c r="L71" s="37">
        <f ca="1"/>
        <v>46099</v>
      </c>
      <c r="M71" s="41">
        <f ca="1"/>
        <v>24.12</v>
      </c>
      <c r="N71" s="37">
        <f t="shared" ca="1" si="9"/>
        <v>46030</v>
      </c>
      <c r="O71" s="37" t="str">
        <f t="shared" ca="1" si="10"/>
        <v/>
      </c>
    </row>
    <row r="72" spans="1:15" x14ac:dyDescent="0.25">
      <c r="A72" s="102" t="str">
        <f t="shared" ca="1" si="2"/>
        <v/>
      </c>
      <c r="B72" s="33" t="str">
        <f t="shared" ca="1" si="3"/>
        <v/>
      </c>
      <c r="C72" s="25" t="str">
        <f t="shared" ca="1" si="4"/>
        <v/>
      </c>
      <c r="D72" s="26" t="str">
        <f t="shared" ca="1" si="5"/>
        <v/>
      </c>
      <c r="E72" s="33" t="str">
        <f t="shared" ca="1" si="6"/>
        <v/>
      </c>
      <c r="F72" s="25" t="str">
        <f t="shared" ca="1" si="7"/>
        <v/>
      </c>
      <c r="G72" s="55" t="str">
        <f t="shared" ca="1" si="8"/>
        <v/>
      </c>
      <c r="J72" s="76">
        <f ca="1"/>
        <v>46031</v>
      </c>
      <c r="K72" s="41">
        <f ca="1"/>
        <v>107.7509</v>
      </c>
      <c r="L72" s="37">
        <f ca="1"/>
        <v>46100</v>
      </c>
      <c r="M72" s="41">
        <f ca="1"/>
        <v>22</v>
      </c>
      <c r="N72" s="37">
        <f t="shared" ca="1" si="9"/>
        <v>46031</v>
      </c>
      <c r="O72" s="37" t="str">
        <f t="shared" ca="1" si="10"/>
        <v/>
      </c>
    </row>
    <row r="73" spans="1:15" x14ac:dyDescent="0.25">
      <c r="A73" s="102" t="str">
        <f t="shared" ca="1" si="2"/>
        <v/>
      </c>
      <c r="B73" s="33" t="str">
        <f t="shared" ca="1" si="3"/>
        <v/>
      </c>
      <c r="C73" s="25" t="str">
        <f t="shared" ca="1" si="4"/>
        <v/>
      </c>
      <c r="D73" s="26" t="str">
        <f t="shared" ca="1" si="5"/>
        <v/>
      </c>
      <c r="E73" s="33" t="str">
        <f t="shared" ca="1" si="6"/>
        <v/>
      </c>
      <c r="F73" s="25" t="str">
        <f t="shared" ca="1" si="7"/>
        <v/>
      </c>
      <c r="G73" s="55" t="str">
        <f t="shared" ca="1" si="8"/>
        <v/>
      </c>
      <c r="J73" s="76">
        <f ca="1"/>
        <v>46034</v>
      </c>
      <c r="K73" s="41">
        <f ca="1"/>
        <v>107.7475</v>
      </c>
      <c r="L73" s="37">
        <f ca="1"/>
        <v>46101</v>
      </c>
      <c r="M73" s="41">
        <f ca="1"/>
        <v>28.31</v>
      </c>
      <c r="N73" s="37">
        <f t="shared" ca="1" si="9"/>
        <v>46034</v>
      </c>
      <c r="O73" s="37" t="str">
        <f t="shared" ca="1" si="10"/>
        <v/>
      </c>
    </row>
    <row r="74" spans="1:15" x14ac:dyDescent="0.25">
      <c r="A74" s="102" t="str">
        <f t="shared" ca="1" si="2"/>
        <v/>
      </c>
      <c r="B74" s="33" t="str">
        <f t="shared" ca="1" si="3"/>
        <v/>
      </c>
      <c r="C74" s="25" t="str">
        <f t="shared" ca="1" si="4"/>
        <v/>
      </c>
      <c r="D74" s="26" t="str">
        <f t="shared" ca="1" si="5"/>
        <v/>
      </c>
      <c r="E74" s="33" t="str">
        <f t="shared" ca="1" si="6"/>
        <v/>
      </c>
      <c r="F74" s="25" t="str">
        <f t="shared" ca="1" si="7"/>
        <v/>
      </c>
      <c r="G74" s="55" t="str">
        <f t="shared" ca="1" si="8"/>
        <v/>
      </c>
      <c r="J74" s="76">
        <f ca="1"/>
        <v>46035</v>
      </c>
      <c r="K74" s="41">
        <f ca="1"/>
        <v>107.74039999999999</v>
      </c>
      <c r="N74" s="37">
        <f t="shared" ca="1" si="9"/>
        <v>46035</v>
      </c>
      <c r="O74" s="37" t="str">
        <f t="shared" ca="1" si="10"/>
        <v/>
      </c>
    </row>
    <row r="75" spans="1:15" x14ac:dyDescent="0.25">
      <c r="A75" s="102" t="str">
        <f t="shared" ca="1" si="2"/>
        <v/>
      </c>
      <c r="B75" s="33" t="str">
        <f t="shared" ca="1" si="3"/>
        <v/>
      </c>
      <c r="C75" s="25" t="str">
        <f t="shared" ca="1" si="4"/>
        <v/>
      </c>
      <c r="D75" s="26" t="str">
        <f t="shared" ca="1" si="5"/>
        <v/>
      </c>
      <c r="E75" s="33" t="str">
        <f t="shared" ca="1" si="6"/>
        <v/>
      </c>
      <c r="F75" s="25" t="str">
        <f t="shared" ca="1" si="7"/>
        <v/>
      </c>
      <c r="G75" s="55" t="str">
        <f t="shared" ca="1" si="8"/>
        <v/>
      </c>
      <c r="J75" s="76">
        <f ca="1"/>
        <v>46036</v>
      </c>
      <c r="K75" s="41">
        <f ca="1"/>
        <v>107.6444</v>
      </c>
      <c r="N75" s="37">
        <f t="shared" ca="1" si="9"/>
        <v>46036</v>
      </c>
      <c r="O75" s="37" t="str">
        <f t="shared" ca="1" si="10"/>
        <v/>
      </c>
    </row>
    <row r="76" spans="1:15" x14ac:dyDescent="0.25">
      <c r="A76" s="102" t="str">
        <f t="shared" ca="1" si="2"/>
        <v/>
      </c>
      <c r="B76" s="33" t="str">
        <f t="shared" ca="1" si="3"/>
        <v/>
      </c>
      <c r="C76" s="25" t="str">
        <f t="shared" ca="1" si="4"/>
        <v/>
      </c>
      <c r="D76" s="26" t="str">
        <f t="shared" ca="1" si="5"/>
        <v/>
      </c>
      <c r="E76" s="33" t="str">
        <f t="shared" ca="1" si="6"/>
        <v/>
      </c>
      <c r="F76" s="25" t="str">
        <f t="shared" ca="1" si="7"/>
        <v/>
      </c>
      <c r="G76" s="55" t="str">
        <f t="shared" ca="1" si="8"/>
        <v/>
      </c>
      <c r="J76" s="76">
        <f ca="1"/>
        <v>46037</v>
      </c>
      <c r="K76" s="41">
        <f ca="1"/>
        <v>108.6326</v>
      </c>
      <c r="N76" s="37">
        <f t="shared" ca="1" si="9"/>
        <v>46037</v>
      </c>
      <c r="O76" s="37" t="str">
        <f t="shared" ca="1" si="10"/>
        <v/>
      </c>
    </row>
    <row r="77" spans="1:15" x14ac:dyDescent="0.25">
      <c r="A77" s="102" t="str">
        <f t="shared" ca="1" si="2"/>
        <v/>
      </c>
      <c r="B77" s="33" t="str">
        <f t="shared" ca="1" si="3"/>
        <v/>
      </c>
      <c r="C77" s="25" t="str">
        <f t="shared" ca="1" si="4"/>
        <v/>
      </c>
      <c r="D77" s="26" t="str">
        <f t="shared" ca="1" si="5"/>
        <v/>
      </c>
      <c r="E77" s="33" t="str">
        <f t="shared" ca="1" si="6"/>
        <v/>
      </c>
      <c r="F77" s="25" t="str">
        <f t="shared" ca="1" si="7"/>
        <v/>
      </c>
      <c r="G77" s="55" t="str">
        <f t="shared" ca="1" si="8"/>
        <v/>
      </c>
      <c r="J77" s="76">
        <f ca="1"/>
        <v>46038</v>
      </c>
      <c r="K77" s="41">
        <f ca="1"/>
        <v>108.76</v>
      </c>
      <c r="N77" s="37">
        <f t="shared" ca="1" si="9"/>
        <v>46038</v>
      </c>
      <c r="O77" s="37" t="str">
        <f t="shared" ca="1" si="10"/>
        <v/>
      </c>
    </row>
    <row r="78" spans="1:15" x14ac:dyDescent="0.25">
      <c r="A78" s="102" t="str">
        <f t="shared" ca="1" si="2"/>
        <v/>
      </c>
      <c r="B78" s="33" t="str">
        <f t="shared" ca="1" si="3"/>
        <v/>
      </c>
      <c r="C78" s="25" t="str">
        <f t="shared" ca="1" si="4"/>
        <v/>
      </c>
      <c r="D78" s="26" t="str">
        <f t="shared" ca="1" si="5"/>
        <v/>
      </c>
      <c r="E78" s="33" t="str">
        <f t="shared" ca="1" si="6"/>
        <v/>
      </c>
      <c r="F78" s="25" t="str">
        <f t="shared" ca="1" si="7"/>
        <v/>
      </c>
      <c r="G78" s="55" t="str">
        <f t="shared" ca="1" si="8"/>
        <v/>
      </c>
      <c r="J78" s="76">
        <f ca="1"/>
        <v>46042</v>
      </c>
      <c r="K78" s="41">
        <f ca="1"/>
        <v>108.43129999999999</v>
      </c>
      <c r="N78" s="37">
        <f t="shared" ca="1" si="9"/>
        <v>46042</v>
      </c>
      <c r="O78" s="37" t="str">
        <f t="shared" ca="1" si="10"/>
        <v/>
      </c>
    </row>
    <row r="79" spans="1:15" x14ac:dyDescent="0.25">
      <c r="A79" s="102" t="str">
        <f t="shared" ca="1" si="2"/>
        <v/>
      </c>
      <c r="B79" s="33" t="str">
        <f t="shared" ca="1" si="3"/>
        <v/>
      </c>
      <c r="C79" s="25" t="str">
        <f t="shared" ca="1" si="4"/>
        <v/>
      </c>
      <c r="D79" s="26" t="str">
        <f t="shared" ca="1" si="5"/>
        <v/>
      </c>
      <c r="E79" s="33" t="str">
        <f t="shared" ca="1" si="6"/>
        <v/>
      </c>
      <c r="F79" s="25" t="str">
        <f t="shared" ca="1" si="7"/>
        <v/>
      </c>
      <c r="G79" s="55" t="str">
        <f t="shared" ca="1" si="8"/>
        <v/>
      </c>
      <c r="J79" s="76">
        <f ca="1"/>
        <v>46043</v>
      </c>
      <c r="K79" s="41">
        <f ca="1"/>
        <v>108.666</v>
      </c>
      <c r="N79" s="37">
        <f t="shared" ca="1" si="9"/>
        <v>46043</v>
      </c>
      <c r="O79" s="37" t="str">
        <f t="shared" ca="1" si="10"/>
        <v/>
      </c>
    </row>
    <row r="80" spans="1:15" x14ac:dyDescent="0.25">
      <c r="A80" s="102" t="str">
        <f t="shared" ref="A80:A117" ca="1" si="11">IF(AND(ISBLANK(P69), A79 = $P$1),NOW(),IF(ISBLANK(P69),IF(ISBLANK(C79),NOW(),""),P69))</f>
        <v/>
      </c>
      <c r="B80" s="33" t="str">
        <f t="shared" ref="B80:B117" ca="1" si="12">IF(COUNTIF(J:J,A80)=1,VLOOKUP(A80,J:K,2), IF(COUNTIF(J:J,A80)=0,$B$10,""))</f>
        <v/>
      </c>
      <c r="C80" s="25" t="str">
        <f t="shared" ref="C80:C117" ca="1" si="13">IF(ISERROR(B80-2),"",(B80-$B$14)*0.01*$B$5)</f>
        <v/>
      </c>
      <c r="D80" s="26" t="str">
        <f t="shared" ref="D80:D117" ca="1" si="14">IF(ISERROR(B80-2),"",(INT(A80)-INT($A$14))/360*$B$6*$B$5)</f>
        <v/>
      </c>
      <c r="E80" s="33" t="str">
        <f t="shared" ref="E80:E117" ca="1" si="15">IF(COUNTIF(J:J,A80)=1,VLOOKUP(A80,L:M,2), IF(COUNTIF(J:J,A80)=0,$C$10,""))</f>
        <v/>
      </c>
      <c r="F80" s="25" t="str">
        <f t="shared" ref="F80:F117" ca="1" si="16">IF(ISERROR(B80-2),"",(E80-$E$14)*$C$5*$F$5)</f>
        <v/>
      </c>
      <c r="G80" s="55" t="str">
        <f t="shared" ref="G80:G117" ca="1" si="17">IF(ISERROR(B80-2),"",C80+D80+F80)</f>
        <v/>
      </c>
      <c r="J80" s="76">
        <f ca="1"/>
        <v>46044</v>
      </c>
      <c r="K80" s="41">
        <f ca="1"/>
        <v>108.7491</v>
      </c>
      <c r="N80" s="37">
        <f t="shared" ca="1" si="9"/>
        <v>46044</v>
      </c>
      <c r="O80" s="37" t="str">
        <f t="shared" ca="1" si="10"/>
        <v/>
      </c>
    </row>
    <row r="81" spans="1:15" x14ac:dyDescent="0.25">
      <c r="A81" s="102" t="str">
        <f t="shared" ca="1" si="11"/>
        <v/>
      </c>
      <c r="B81" s="33" t="str">
        <f t="shared" ca="1" si="12"/>
        <v/>
      </c>
      <c r="C81" s="25" t="str">
        <f t="shared" ca="1" si="13"/>
        <v/>
      </c>
      <c r="D81" s="26" t="str">
        <f t="shared" ca="1" si="14"/>
        <v/>
      </c>
      <c r="E81" s="33" t="str">
        <f t="shared" ca="1" si="15"/>
        <v/>
      </c>
      <c r="F81" s="25" t="str">
        <f t="shared" ca="1" si="16"/>
        <v/>
      </c>
      <c r="G81" s="55" t="str">
        <f t="shared" ca="1" si="17"/>
        <v/>
      </c>
      <c r="J81" s="76">
        <f ca="1"/>
        <v>46045</v>
      </c>
      <c r="K81" s="41">
        <f ca="1"/>
        <v>108.5994</v>
      </c>
      <c r="N81" s="37">
        <f t="shared" ca="1" si="9"/>
        <v>46045</v>
      </c>
      <c r="O81" s="37" t="str">
        <f t="shared" ca="1" si="10"/>
        <v/>
      </c>
    </row>
    <row r="82" spans="1:15" x14ac:dyDescent="0.25">
      <c r="A82" s="102" t="str">
        <f t="shared" ca="1" si="11"/>
        <v/>
      </c>
      <c r="B82" s="33" t="str">
        <f t="shared" ca="1" si="12"/>
        <v/>
      </c>
      <c r="C82" s="25" t="str">
        <f t="shared" ca="1" si="13"/>
        <v/>
      </c>
      <c r="D82" s="26" t="str">
        <f t="shared" ca="1" si="14"/>
        <v/>
      </c>
      <c r="E82" s="33" t="str">
        <f t="shared" ca="1" si="15"/>
        <v/>
      </c>
      <c r="F82" s="25" t="str">
        <f t="shared" ca="1" si="16"/>
        <v/>
      </c>
      <c r="G82" s="55" t="str">
        <f t="shared" ca="1" si="17"/>
        <v/>
      </c>
      <c r="J82" s="76">
        <f ca="1"/>
        <v>46048</v>
      </c>
      <c r="K82" s="41">
        <f ca="1"/>
        <v>108.62</v>
      </c>
      <c r="N82" s="37">
        <f t="shared" ca="1" si="9"/>
        <v>46048</v>
      </c>
      <c r="O82" s="37" t="str">
        <f t="shared" ca="1" si="10"/>
        <v/>
      </c>
    </row>
    <row r="83" spans="1:15" x14ac:dyDescent="0.25">
      <c r="A83" s="102" t="str">
        <f t="shared" ca="1" si="11"/>
        <v/>
      </c>
      <c r="B83" s="33" t="str">
        <f t="shared" ca="1" si="12"/>
        <v/>
      </c>
      <c r="C83" s="25" t="str">
        <f t="shared" ca="1" si="13"/>
        <v/>
      </c>
      <c r="D83" s="26" t="str">
        <f t="shared" ca="1" si="14"/>
        <v/>
      </c>
      <c r="E83" s="33" t="str">
        <f t="shared" ca="1" si="15"/>
        <v/>
      </c>
      <c r="F83" s="25" t="str">
        <f t="shared" ca="1" si="16"/>
        <v/>
      </c>
      <c r="G83" s="55" t="str">
        <f t="shared" ca="1" si="17"/>
        <v/>
      </c>
      <c r="J83" s="76">
        <f ca="1"/>
        <v>46049</v>
      </c>
      <c r="K83" s="41">
        <f ca="1"/>
        <v>108.5878</v>
      </c>
      <c r="N83" s="37">
        <f t="shared" ca="1" si="9"/>
        <v>46049</v>
      </c>
      <c r="O83" s="37" t="str">
        <f t="shared" ca="1" si="10"/>
        <v/>
      </c>
    </row>
    <row r="84" spans="1:15" x14ac:dyDescent="0.25">
      <c r="A84" s="102" t="str">
        <f t="shared" ca="1" si="11"/>
        <v/>
      </c>
      <c r="B84" s="33" t="str">
        <f t="shared" ca="1" si="12"/>
        <v/>
      </c>
      <c r="C84" s="25" t="str">
        <f t="shared" ca="1" si="13"/>
        <v/>
      </c>
      <c r="D84" s="26" t="str">
        <f t="shared" ca="1" si="14"/>
        <v/>
      </c>
      <c r="E84" s="33" t="str">
        <f t="shared" ca="1" si="15"/>
        <v/>
      </c>
      <c r="F84" s="25" t="str">
        <f t="shared" ca="1" si="16"/>
        <v/>
      </c>
      <c r="G84" s="55" t="str">
        <f t="shared" ca="1" si="17"/>
        <v/>
      </c>
      <c r="J84" s="76">
        <f ca="1"/>
        <v>46050</v>
      </c>
      <c r="K84" s="41">
        <f ca="1"/>
        <v>108.545</v>
      </c>
      <c r="N84" s="37">
        <f t="shared" ca="1" si="9"/>
        <v>46050</v>
      </c>
      <c r="O84" s="37" t="str">
        <f t="shared" ca="1" si="10"/>
        <v/>
      </c>
    </row>
    <row r="85" spans="1:15" x14ac:dyDescent="0.25">
      <c r="A85" s="102" t="str">
        <f t="shared" ca="1" si="11"/>
        <v/>
      </c>
      <c r="B85" s="33" t="str">
        <f t="shared" ca="1" si="12"/>
        <v/>
      </c>
      <c r="C85" s="25" t="str">
        <f t="shared" ca="1" si="13"/>
        <v/>
      </c>
      <c r="D85" s="26" t="str">
        <f t="shared" ca="1" si="14"/>
        <v/>
      </c>
      <c r="E85" s="33" t="str">
        <f t="shared" ca="1" si="15"/>
        <v/>
      </c>
      <c r="F85" s="25" t="str">
        <f t="shared" ca="1" si="16"/>
        <v/>
      </c>
      <c r="G85" s="55" t="str">
        <f t="shared" ca="1" si="17"/>
        <v/>
      </c>
      <c r="J85" s="76">
        <f ca="1"/>
        <v>46051</v>
      </c>
      <c r="K85" s="41">
        <f ca="1"/>
        <v>108.46939999999999</v>
      </c>
      <c r="N85" s="37">
        <f t="shared" ca="1" si="9"/>
        <v>46051</v>
      </c>
      <c r="O85" s="37" t="str">
        <f t="shared" ca="1" si="10"/>
        <v/>
      </c>
    </row>
    <row r="86" spans="1:15" x14ac:dyDescent="0.25">
      <c r="A86" s="102" t="str">
        <f t="shared" ca="1" si="11"/>
        <v/>
      </c>
      <c r="B86" s="33" t="str">
        <f t="shared" ca="1" si="12"/>
        <v/>
      </c>
      <c r="C86" s="25" t="str">
        <f t="shared" ca="1" si="13"/>
        <v/>
      </c>
      <c r="D86" s="26" t="str">
        <f t="shared" ca="1" si="14"/>
        <v/>
      </c>
      <c r="E86" s="33" t="str">
        <f t="shared" ca="1" si="15"/>
        <v/>
      </c>
      <c r="F86" s="25" t="str">
        <f t="shared" ca="1" si="16"/>
        <v/>
      </c>
      <c r="G86" s="55" t="str">
        <f t="shared" ca="1" si="17"/>
        <v/>
      </c>
      <c r="J86" s="76">
        <f ca="1"/>
        <v>46052</v>
      </c>
      <c r="K86" s="41">
        <f ca="1"/>
        <v>108.3828</v>
      </c>
      <c r="N86" s="37">
        <f t="shared" ca="1" si="9"/>
        <v>46052</v>
      </c>
      <c r="O86" s="37" t="str">
        <f t="shared" ca="1" si="10"/>
        <v/>
      </c>
    </row>
    <row r="87" spans="1:15" x14ac:dyDescent="0.25">
      <c r="A87" s="102" t="str">
        <f t="shared" ca="1" si="11"/>
        <v/>
      </c>
      <c r="B87" s="33" t="str">
        <f t="shared" ca="1" si="12"/>
        <v/>
      </c>
      <c r="C87" s="25" t="str">
        <f t="shared" ca="1" si="13"/>
        <v/>
      </c>
      <c r="D87" s="26" t="str">
        <f t="shared" ca="1" si="14"/>
        <v/>
      </c>
      <c r="E87" s="33" t="str">
        <f t="shared" ca="1" si="15"/>
        <v/>
      </c>
      <c r="F87" s="25" t="str">
        <f t="shared" ca="1" si="16"/>
        <v/>
      </c>
      <c r="G87" s="55" t="str">
        <f t="shared" ca="1" si="17"/>
        <v/>
      </c>
      <c r="J87" s="76">
        <f ca="1"/>
        <v>46055</v>
      </c>
      <c r="K87" s="41">
        <f ca="1"/>
        <v>108.53060000000001</v>
      </c>
      <c r="N87" s="37">
        <f t="shared" ca="1" si="9"/>
        <v>46055</v>
      </c>
      <c r="O87" s="37" t="str">
        <f t="shared" ca="1" si="10"/>
        <v/>
      </c>
    </row>
    <row r="88" spans="1:15" x14ac:dyDescent="0.25">
      <c r="A88" s="102" t="str">
        <f t="shared" ca="1" si="11"/>
        <v/>
      </c>
      <c r="B88" s="33" t="str">
        <f t="shared" ca="1" si="12"/>
        <v/>
      </c>
      <c r="C88" s="25" t="str">
        <f t="shared" ca="1" si="13"/>
        <v/>
      </c>
      <c r="D88" s="26" t="str">
        <f t="shared" ca="1" si="14"/>
        <v/>
      </c>
      <c r="E88" s="33" t="str">
        <f t="shared" ca="1" si="15"/>
        <v/>
      </c>
      <c r="F88" s="25" t="str">
        <f t="shared" ca="1" si="16"/>
        <v/>
      </c>
      <c r="G88" s="55" t="str">
        <f t="shared" ca="1" si="17"/>
        <v/>
      </c>
      <c r="J88" s="76">
        <f ca="1"/>
        <v>46056</v>
      </c>
      <c r="K88" s="41">
        <f ca="1"/>
        <v>108.2963</v>
      </c>
      <c r="N88" s="37">
        <f t="shared" ca="1" si="9"/>
        <v>46056</v>
      </c>
      <c r="O88" s="37" t="str">
        <f t="shared" ca="1" si="10"/>
        <v/>
      </c>
    </row>
    <row r="89" spans="1:15" x14ac:dyDescent="0.25">
      <c r="A89" s="102" t="str">
        <f t="shared" ca="1" si="11"/>
        <v/>
      </c>
      <c r="B89" s="33" t="str">
        <f t="shared" ca="1" si="12"/>
        <v/>
      </c>
      <c r="C89" s="25" t="str">
        <f t="shared" ca="1" si="13"/>
        <v/>
      </c>
      <c r="D89" s="26" t="str">
        <f t="shared" ca="1" si="14"/>
        <v/>
      </c>
      <c r="E89" s="33" t="str">
        <f t="shared" ca="1" si="15"/>
        <v/>
      </c>
      <c r="F89" s="25" t="str">
        <f t="shared" ca="1" si="16"/>
        <v/>
      </c>
      <c r="G89" s="55" t="str">
        <f t="shared" ca="1" si="17"/>
        <v/>
      </c>
      <c r="J89" s="76">
        <f ca="1"/>
        <v>46057</v>
      </c>
      <c r="K89" s="41">
        <f ca="1"/>
        <v>108.2246</v>
      </c>
      <c r="N89" s="37">
        <f t="shared" ca="1" si="9"/>
        <v>46057</v>
      </c>
      <c r="O89" s="37" t="str">
        <f t="shared" ca="1" si="10"/>
        <v/>
      </c>
    </row>
    <row r="90" spans="1:15" x14ac:dyDescent="0.25">
      <c r="A90" s="102" t="str">
        <f t="shared" ca="1" si="11"/>
        <v/>
      </c>
      <c r="B90" s="33" t="str">
        <f t="shared" ca="1" si="12"/>
        <v/>
      </c>
      <c r="C90" s="25" t="str">
        <f t="shared" ca="1" si="13"/>
        <v/>
      </c>
      <c r="D90" s="26" t="str">
        <f t="shared" ca="1" si="14"/>
        <v/>
      </c>
      <c r="E90" s="33" t="str">
        <f t="shared" ca="1" si="15"/>
        <v/>
      </c>
      <c r="F90" s="25" t="str">
        <f t="shared" ca="1" si="16"/>
        <v/>
      </c>
      <c r="G90" s="55" t="str">
        <f t="shared" ca="1" si="17"/>
        <v/>
      </c>
      <c r="J90" s="76">
        <f ca="1"/>
        <v>46058</v>
      </c>
      <c r="K90" s="41">
        <f ca="1"/>
        <v>107.6981</v>
      </c>
      <c r="N90" s="37">
        <f t="shared" ca="1" si="9"/>
        <v>46058</v>
      </c>
      <c r="O90" s="37" t="str">
        <f t="shared" ca="1" si="10"/>
        <v/>
      </c>
    </row>
    <row r="91" spans="1:15" x14ac:dyDescent="0.25">
      <c r="A91" s="102" t="str">
        <f t="shared" ca="1" si="11"/>
        <v/>
      </c>
      <c r="B91" s="33" t="str">
        <f t="shared" ca="1" si="12"/>
        <v/>
      </c>
      <c r="C91" s="25" t="str">
        <f t="shared" ca="1" si="13"/>
        <v/>
      </c>
      <c r="D91" s="26" t="str">
        <f t="shared" ca="1" si="14"/>
        <v/>
      </c>
      <c r="E91" s="33" t="str">
        <f t="shared" ca="1" si="15"/>
        <v/>
      </c>
      <c r="F91" s="25" t="str">
        <f t="shared" ca="1" si="16"/>
        <v/>
      </c>
      <c r="G91" s="55" t="str">
        <f t="shared" ca="1" si="17"/>
        <v/>
      </c>
      <c r="J91" s="76">
        <f ca="1"/>
        <v>46059</v>
      </c>
      <c r="K91" s="41">
        <f ca="1"/>
        <v>108.14879999999999</v>
      </c>
      <c r="N91" s="37">
        <f t="shared" ca="1" si="9"/>
        <v>46059</v>
      </c>
      <c r="O91" s="37" t="str">
        <f t="shared" ca="1" si="10"/>
        <v/>
      </c>
    </row>
    <row r="92" spans="1:15" x14ac:dyDescent="0.25">
      <c r="A92" s="102" t="str">
        <f t="shared" ca="1" si="11"/>
        <v/>
      </c>
      <c r="B92" s="33" t="str">
        <f t="shared" ca="1" si="12"/>
        <v/>
      </c>
      <c r="C92" s="25" t="str">
        <f t="shared" ca="1" si="13"/>
        <v/>
      </c>
      <c r="D92" s="26" t="str">
        <f t="shared" ca="1" si="14"/>
        <v/>
      </c>
      <c r="E92" s="33" t="str">
        <f t="shared" ca="1" si="15"/>
        <v/>
      </c>
      <c r="F92" s="25" t="str">
        <f t="shared" ca="1" si="16"/>
        <v/>
      </c>
      <c r="G92" s="55" t="str">
        <f t="shared" ca="1" si="17"/>
        <v/>
      </c>
      <c r="J92" s="76">
        <f ca="1"/>
        <v>46062</v>
      </c>
      <c r="K92" s="41">
        <f ca="1"/>
        <v>108.24250000000001</v>
      </c>
      <c r="N92" s="37">
        <f t="shared" ca="1" si="9"/>
        <v>46062</v>
      </c>
      <c r="O92" s="37" t="str">
        <f t="shared" ca="1" si="10"/>
        <v/>
      </c>
    </row>
    <row r="93" spans="1:15" x14ac:dyDescent="0.25">
      <c r="A93" s="102" t="str">
        <f t="shared" ca="1" si="11"/>
        <v/>
      </c>
      <c r="B93" s="33" t="str">
        <f t="shared" ca="1" si="12"/>
        <v/>
      </c>
      <c r="C93" s="25" t="str">
        <f t="shared" ca="1" si="13"/>
        <v/>
      </c>
      <c r="D93" s="26" t="str">
        <f t="shared" ca="1" si="14"/>
        <v/>
      </c>
      <c r="E93" s="33" t="str">
        <f t="shared" ca="1" si="15"/>
        <v/>
      </c>
      <c r="F93" s="25" t="str">
        <f t="shared" ca="1" si="16"/>
        <v/>
      </c>
      <c r="G93" s="55" t="str">
        <f t="shared" ca="1" si="17"/>
        <v/>
      </c>
      <c r="J93" s="76">
        <f ca="1"/>
        <v>46063</v>
      </c>
      <c r="K93" s="41">
        <f ca="1"/>
        <v>108.10809999999999</v>
      </c>
      <c r="N93" s="37">
        <f t="shared" ca="1" si="9"/>
        <v>46063</v>
      </c>
      <c r="O93" s="37" t="str">
        <f t="shared" ca="1" si="10"/>
        <v/>
      </c>
    </row>
    <row r="94" spans="1:15" x14ac:dyDescent="0.25">
      <c r="A94" s="102" t="str">
        <f t="shared" ca="1" si="11"/>
        <v/>
      </c>
      <c r="B94" s="33" t="str">
        <f t="shared" ca="1" si="12"/>
        <v/>
      </c>
      <c r="C94" s="25" t="str">
        <f t="shared" ca="1" si="13"/>
        <v/>
      </c>
      <c r="D94" s="26" t="str">
        <f t="shared" ca="1" si="14"/>
        <v/>
      </c>
      <c r="E94" s="33" t="str">
        <f t="shared" ca="1" si="15"/>
        <v/>
      </c>
      <c r="F94" s="25" t="str">
        <f t="shared" ca="1" si="16"/>
        <v/>
      </c>
      <c r="G94" s="55" t="str">
        <f t="shared" ca="1" si="17"/>
        <v/>
      </c>
      <c r="J94" s="76">
        <f ca="1"/>
        <v>46064</v>
      </c>
      <c r="K94" s="41">
        <f ca="1"/>
        <v>108.1288</v>
      </c>
      <c r="N94" s="37">
        <f t="shared" ca="1" si="9"/>
        <v>46064</v>
      </c>
      <c r="O94" s="37" t="str">
        <f t="shared" ca="1" si="10"/>
        <v/>
      </c>
    </row>
    <row r="95" spans="1:15" x14ac:dyDescent="0.25">
      <c r="A95" s="102" t="str">
        <f t="shared" ca="1" si="11"/>
        <v/>
      </c>
      <c r="B95" s="33" t="str">
        <f t="shared" ca="1" si="12"/>
        <v/>
      </c>
      <c r="C95" s="25" t="str">
        <f t="shared" ca="1" si="13"/>
        <v/>
      </c>
      <c r="D95" s="26" t="str">
        <f t="shared" ca="1" si="14"/>
        <v/>
      </c>
      <c r="E95" s="33" t="str">
        <f t="shared" ca="1" si="15"/>
        <v/>
      </c>
      <c r="F95" s="25" t="str">
        <f t="shared" ca="1" si="16"/>
        <v/>
      </c>
      <c r="G95" s="55" t="str">
        <f t="shared" ca="1" si="17"/>
        <v/>
      </c>
      <c r="J95" s="76">
        <f ca="1"/>
        <v>46065</v>
      </c>
      <c r="K95" s="41">
        <f ca="1"/>
        <v>107.86879999999999</v>
      </c>
      <c r="N95" s="37">
        <f t="shared" ca="1" si="9"/>
        <v>46065</v>
      </c>
      <c r="O95" s="37" t="str">
        <f t="shared" ca="1" si="10"/>
        <v/>
      </c>
    </row>
    <row r="96" spans="1:15" x14ac:dyDescent="0.25">
      <c r="A96" s="102" t="str">
        <f t="shared" ca="1" si="11"/>
        <v/>
      </c>
      <c r="B96" s="33" t="str">
        <f t="shared" ca="1" si="12"/>
        <v/>
      </c>
      <c r="C96" s="25" t="str">
        <f t="shared" ca="1" si="13"/>
        <v/>
      </c>
      <c r="D96" s="26" t="str">
        <f t="shared" ca="1" si="14"/>
        <v/>
      </c>
      <c r="E96" s="33" t="str">
        <f t="shared" ca="1" si="15"/>
        <v/>
      </c>
      <c r="F96" s="25" t="str">
        <f t="shared" ca="1" si="16"/>
        <v/>
      </c>
      <c r="G96" s="55" t="str">
        <f t="shared" ca="1" si="17"/>
        <v/>
      </c>
      <c r="J96" s="76">
        <f ca="1"/>
        <v>46066</v>
      </c>
      <c r="K96" s="41">
        <f ca="1"/>
        <v>107.75279999999999</v>
      </c>
      <c r="N96" s="37">
        <f t="shared" ca="1" si="9"/>
        <v>46066</v>
      </c>
      <c r="O96" s="37" t="str">
        <f t="shared" ca="1" si="10"/>
        <v/>
      </c>
    </row>
    <row r="97" spans="1:15" x14ac:dyDescent="0.25">
      <c r="A97" s="102" t="str">
        <f t="shared" ca="1" si="11"/>
        <v/>
      </c>
      <c r="B97" s="33" t="str">
        <f t="shared" ca="1" si="12"/>
        <v/>
      </c>
      <c r="C97" s="25" t="str">
        <f t="shared" ca="1" si="13"/>
        <v/>
      </c>
      <c r="D97" s="26" t="str">
        <f t="shared" ca="1" si="14"/>
        <v/>
      </c>
      <c r="E97" s="33" t="str">
        <f t="shared" ca="1" si="15"/>
        <v/>
      </c>
      <c r="F97" s="25" t="str">
        <f t="shared" ca="1" si="16"/>
        <v/>
      </c>
      <c r="G97" s="55" t="str">
        <f t="shared" ca="1" si="17"/>
        <v/>
      </c>
      <c r="J97" s="76">
        <f ca="1"/>
        <v>46070</v>
      </c>
      <c r="K97" s="41">
        <f ca="1"/>
        <v>107.6956</v>
      </c>
      <c r="N97" s="37">
        <f t="shared" ca="1" si="9"/>
        <v>46070</v>
      </c>
      <c r="O97" s="37" t="str">
        <f t="shared" ca="1" si="10"/>
        <v/>
      </c>
    </row>
    <row r="98" spans="1:15" x14ac:dyDescent="0.25">
      <c r="A98" s="102" t="str">
        <f t="shared" ca="1" si="11"/>
        <v/>
      </c>
      <c r="B98" s="33" t="str">
        <f t="shared" ca="1" si="12"/>
        <v/>
      </c>
      <c r="C98" s="25" t="str">
        <f t="shared" ca="1" si="13"/>
        <v/>
      </c>
      <c r="D98" s="26" t="str">
        <f t="shared" ca="1" si="14"/>
        <v/>
      </c>
      <c r="E98" s="33" t="str">
        <f t="shared" ca="1" si="15"/>
        <v/>
      </c>
      <c r="F98" s="25" t="str">
        <f t="shared" ca="1" si="16"/>
        <v/>
      </c>
      <c r="G98" s="55" t="str">
        <f t="shared" ca="1" si="17"/>
        <v/>
      </c>
      <c r="J98" s="76">
        <f ca="1"/>
        <v>46071</v>
      </c>
      <c r="K98" s="41">
        <f ca="1"/>
        <v>107.845</v>
      </c>
      <c r="N98" s="37">
        <f t="shared" ca="1" si="9"/>
        <v>46071</v>
      </c>
      <c r="O98" s="37" t="str">
        <f t="shared" ca="1" si="10"/>
        <v/>
      </c>
    </row>
    <row r="99" spans="1:15" x14ac:dyDescent="0.25">
      <c r="A99" s="102" t="str">
        <f t="shared" ca="1" si="11"/>
        <v/>
      </c>
      <c r="B99" s="33" t="str">
        <f t="shared" ca="1" si="12"/>
        <v/>
      </c>
      <c r="C99" s="25" t="str">
        <f t="shared" ca="1" si="13"/>
        <v/>
      </c>
      <c r="D99" s="26" t="str">
        <f t="shared" ca="1" si="14"/>
        <v/>
      </c>
      <c r="E99" s="33" t="str">
        <f t="shared" ca="1" si="15"/>
        <v/>
      </c>
      <c r="F99" s="25" t="str">
        <f t="shared" ca="1" si="16"/>
        <v/>
      </c>
      <c r="G99" s="55" t="str">
        <f t="shared" ca="1" si="17"/>
        <v/>
      </c>
      <c r="J99" s="76">
        <f ca="1"/>
        <v>46072</v>
      </c>
      <c r="K99" s="41">
        <f ca="1"/>
        <v>107.7769</v>
      </c>
      <c r="N99" s="37">
        <f t="shared" ca="1" si="9"/>
        <v>46072</v>
      </c>
      <c r="O99" s="37" t="str">
        <f t="shared" ca="1" si="10"/>
        <v/>
      </c>
    </row>
    <row r="100" spans="1:15" x14ac:dyDescent="0.25">
      <c r="A100" s="102" t="str">
        <f t="shared" ca="1" si="11"/>
        <v/>
      </c>
      <c r="B100" s="33" t="str">
        <f t="shared" ca="1" si="12"/>
        <v/>
      </c>
      <c r="C100" s="25" t="str">
        <f t="shared" ca="1" si="13"/>
        <v/>
      </c>
      <c r="D100" s="26" t="str">
        <f t="shared" ca="1" si="14"/>
        <v/>
      </c>
      <c r="E100" s="33" t="str">
        <f t="shared" ca="1" si="15"/>
        <v/>
      </c>
      <c r="F100" s="25" t="str">
        <f t="shared" ca="1" si="16"/>
        <v/>
      </c>
      <c r="G100" s="55" t="str">
        <f t="shared" ca="1" si="17"/>
        <v/>
      </c>
      <c r="J100" s="76">
        <f ca="1"/>
        <v>46073</v>
      </c>
      <c r="K100" s="41">
        <f ca="1"/>
        <v>107.8419</v>
      </c>
      <c r="N100" s="37">
        <f t="shared" ca="1" si="9"/>
        <v>46073</v>
      </c>
      <c r="O100" s="37" t="str">
        <f t="shared" ca="1" si="10"/>
        <v/>
      </c>
    </row>
    <row r="101" spans="1:15" x14ac:dyDescent="0.25">
      <c r="A101" s="102" t="str">
        <f t="shared" ca="1" si="11"/>
        <v/>
      </c>
      <c r="B101" s="33" t="str">
        <f t="shared" ca="1" si="12"/>
        <v/>
      </c>
      <c r="C101" s="25" t="str">
        <f t="shared" ca="1" si="13"/>
        <v/>
      </c>
      <c r="D101" s="26" t="str">
        <f t="shared" ca="1" si="14"/>
        <v/>
      </c>
      <c r="E101" s="33" t="str">
        <f t="shared" ca="1" si="15"/>
        <v/>
      </c>
      <c r="F101" s="25" t="str">
        <f t="shared" ca="1" si="16"/>
        <v/>
      </c>
      <c r="G101" s="55" t="str">
        <f t="shared" ca="1" si="17"/>
        <v/>
      </c>
      <c r="J101" s="76">
        <f ca="1"/>
        <v>46076</v>
      </c>
      <c r="K101" s="41">
        <f ca="1"/>
        <v>107.5247</v>
      </c>
      <c r="N101" s="37">
        <f t="shared" ca="1" si="9"/>
        <v>46076</v>
      </c>
      <c r="O101" s="37" t="str">
        <f t="shared" ca="1" si="10"/>
        <v/>
      </c>
    </row>
    <row r="102" spans="1:15" x14ac:dyDescent="0.25">
      <c r="A102" s="102" t="str">
        <f t="shared" ca="1" si="11"/>
        <v/>
      </c>
      <c r="B102" s="33" t="str">
        <f t="shared" ca="1" si="12"/>
        <v/>
      </c>
      <c r="C102" s="25" t="str">
        <f t="shared" ca="1" si="13"/>
        <v/>
      </c>
      <c r="D102" s="26" t="str">
        <f t="shared" ca="1" si="14"/>
        <v/>
      </c>
      <c r="E102" s="33" t="str">
        <f t="shared" ca="1" si="15"/>
        <v/>
      </c>
      <c r="F102" s="25" t="str">
        <f t="shared" ca="1" si="16"/>
        <v/>
      </c>
      <c r="G102" s="55" t="str">
        <f t="shared" ca="1" si="17"/>
        <v/>
      </c>
      <c r="J102" s="76">
        <f ca="1"/>
        <v>46077</v>
      </c>
      <c r="K102" s="41">
        <f ca="1"/>
        <v>107.41249999999999</v>
      </c>
      <c r="N102" s="37">
        <f t="shared" ca="1" si="9"/>
        <v>46077</v>
      </c>
      <c r="O102" s="37" t="str">
        <f t="shared" ca="1" si="10"/>
        <v/>
      </c>
    </row>
    <row r="103" spans="1:15" x14ac:dyDescent="0.25">
      <c r="A103" s="102" t="str">
        <f t="shared" ca="1" si="11"/>
        <v/>
      </c>
      <c r="B103" s="33" t="str">
        <f t="shared" ca="1" si="12"/>
        <v/>
      </c>
      <c r="C103" s="25" t="str">
        <f t="shared" ca="1" si="13"/>
        <v/>
      </c>
      <c r="D103" s="26" t="str">
        <f t="shared" ca="1" si="14"/>
        <v/>
      </c>
      <c r="E103" s="33" t="str">
        <f t="shared" ca="1" si="15"/>
        <v/>
      </c>
      <c r="F103" s="25" t="str">
        <f t="shared" ca="1" si="16"/>
        <v/>
      </c>
      <c r="G103" s="55" t="str">
        <f t="shared" ca="1" si="17"/>
        <v/>
      </c>
      <c r="J103" s="76">
        <f ca="1"/>
        <v>46078</v>
      </c>
      <c r="K103" s="41">
        <f ca="1"/>
        <v>107.6116</v>
      </c>
      <c r="N103" s="37">
        <f t="shared" ca="1" si="9"/>
        <v>46078</v>
      </c>
      <c r="O103" s="37" t="str">
        <f t="shared" ca="1" si="10"/>
        <v/>
      </c>
    </row>
    <row r="104" spans="1:15" x14ac:dyDescent="0.25">
      <c r="A104" s="102" t="str">
        <f t="shared" ca="1" si="11"/>
        <v/>
      </c>
      <c r="B104" s="33" t="str">
        <f t="shared" ca="1" si="12"/>
        <v/>
      </c>
      <c r="C104" s="25" t="str">
        <f t="shared" ca="1" si="13"/>
        <v/>
      </c>
      <c r="D104" s="26" t="str">
        <f t="shared" ca="1" si="14"/>
        <v/>
      </c>
      <c r="E104" s="33" t="str">
        <f t="shared" ca="1" si="15"/>
        <v/>
      </c>
      <c r="F104" s="25" t="str">
        <f t="shared" ca="1" si="16"/>
        <v/>
      </c>
      <c r="G104" s="55" t="str">
        <f t="shared" ca="1" si="17"/>
        <v/>
      </c>
      <c r="J104" s="76">
        <f ca="1"/>
        <v>46079</v>
      </c>
      <c r="K104" s="41">
        <f ca="1"/>
        <v>107.21980000000001</v>
      </c>
      <c r="N104" s="37">
        <f t="shared" ca="1" si="9"/>
        <v>46079</v>
      </c>
      <c r="O104" s="37" t="str">
        <f t="shared" ca="1" si="10"/>
        <v/>
      </c>
    </row>
    <row r="105" spans="1:15" x14ac:dyDescent="0.25">
      <c r="A105" s="102" t="str">
        <f t="shared" ca="1" si="11"/>
        <v/>
      </c>
      <c r="B105" s="33" t="str">
        <f t="shared" ca="1" si="12"/>
        <v/>
      </c>
      <c r="C105" s="25" t="str">
        <f t="shared" ca="1" si="13"/>
        <v/>
      </c>
      <c r="D105" s="26" t="str">
        <f t="shared" ca="1" si="14"/>
        <v/>
      </c>
      <c r="E105" s="33" t="str">
        <f t="shared" ca="1" si="15"/>
        <v/>
      </c>
      <c r="F105" s="25" t="str">
        <f t="shared" ca="1" si="16"/>
        <v/>
      </c>
      <c r="G105" s="55" t="str">
        <f t="shared" ca="1" si="17"/>
        <v/>
      </c>
      <c r="J105" s="76">
        <f ca="1"/>
        <v>46080</v>
      </c>
      <c r="K105" s="41">
        <f ca="1"/>
        <v>106.7689</v>
      </c>
      <c r="N105" s="37">
        <f t="shared" ca="1" si="9"/>
        <v>46080</v>
      </c>
      <c r="O105" s="37" t="str">
        <f t="shared" ca="1" si="10"/>
        <v/>
      </c>
    </row>
    <row r="106" spans="1:15" x14ac:dyDescent="0.25">
      <c r="A106" s="102" t="str">
        <f t="shared" ca="1" si="11"/>
        <v/>
      </c>
      <c r="B106" s="33" t="str">
        <f t="shared" ca="1" si="12"/>
        <v/>
      </c>
      <c r="C106" s="25" t="str">
        <f t="shared" ca="1" si="13"/>
        <v/>
      </c>
      <c r="D106" s="26" t="str">
        <f t="shared" ca="1" si="14"/>
        <v/>
      </c>
      <c r="E106" s="33" t="str">
        <f t="shared" ca="1" si="15"/>
        <v/>
      </c>
      <c r="F106" s="25" t="str">
        <f t="shared" ca="1" si="16"/>
        <v/>
      </c>
      <c r="G106" s="55" t="str">
        <f t="shared" ca="1" si="17"/>
        <v/>
      </c>
      <c r="J106" s="76">
        <f ca="1"/>
        <v>46083</v>
      </c>
      <c r="K106" s="41">
        <f ca="1"/>
        <v>106.9984</v>
      </c>
      <c r="N106" s="37">
        <f t="shared" ca="1" si="9"/>
        <v>46083</v>
      </c>
      <c r="O106" s="37" t="str">
        <f t="shared" ca="1" si="10"/>
        <v/>
      </c>
    </row>
    <row r="107" spans="1:15" x14ac:dyDescent="0.25">
      <c r="A107" s="102" t="str">
        <f t="shared" ca="1" si="11"/>
        <v/>
      </c>
      <c r="B107" s="33" t="str">
        <f t="shared" ca="1" si="12"/>
        <v/>
      </c>
      <c r="C107" s="25" t="str">
        <f t="shared" ca="1" si="13"/>
        <v/>
      </c>
      <c r="D107" s="26" t="str">
        <f t="shared" ca="1" si="14"/>
        <v/>
      </c>
      <c r="E107" s="33" t="str">
        <f t="shared" ca="1" si="15"/>
        <v/>
      </c>
      <c r="F107" s="25" t="str">
        <f t="shared" ca="1" si="16"/>
        <v/>
      </c>
      <c r="G107" s="55" t="str">
        <f t="shared" ca="1" si="17"/>
        <v/>
      </c>
      <c r="J107" s="76">
        <f ca="1"/>
        <v>46084</v>
      </c>
      <c r="K107" s="41">
        <f ca="1"/>
        <v>106.7081</v>
      </c>
      <c r="N107" s="37">
        <f t="shared" ca="1" si="9"/>
        <v>46084</v>
      </c>
      <c r="O107" s="37" t="str">
        <f t="shared" ca="1" si="10"/>
        <v/>
      </c>
    </row>
    <row r="108" spans="1:15" x14ac:dyDescent="0.25">
      <c r="A108" s="102" t="str">
        <f t="shared" ca="1" si="11"/>
        <v/>
      </c>
      <c r="B108" s="33" t="str">
        <f t="shared" ca="1" si="12"/>
        <v/>
      </c>
      <c r="C108" s="25" t="str">
        <f t="shared" ca="1" si="13"/>
        <v/>
      </c>
      <c r="D108" s="26" t="str">
        <f t="shared" ca="1" si="14"/>
        <v/>
      </c>
      <c r="E108" s="33" t="str">
        <f t="shared" ca="1" si="15"/>
        <v/>
      </c>
      <c r="F108" s="25" t="str">
        <f t="shared" ca="1" si="16"/>
        <v/>
      </c>
      <c r="G108" s="55" t="str">
        <f t="shared" ca="1" si="17"/>
        <v/>
      </c>
      <c r="J108" s="76">
        <f ca="1"/>
        <v>46085</v>
      </c>
      <c r="K108" s="41">
        <f ca="1"/>
        <v>106.9873</v>
      </c>
      <c r="N108" s="37">
        <f t="shared" ca="1" si="9"/>
        <v>46085</v>
      </c>
      <c r="O108" s="37" t="str">
        <f t="shared" ca="1" si="10"/>
        <v/>
      </c>
    </row>
    <row r="109" spans="1:15" x14ac:dyDescent="0.25">
      <c r="A109" s="102" t="str">
        <f t="shared" ca="1" si="11"/>
        <v/>
      </c>
      <c r="B109" s="33" t="str">
        <f t="shared" ca="1" si="12"/>
        <v/>
      </c>
      <c r="C109" s="25" t="str">
        <f t="shared" ca="1" si="13"/>
        <v/>
      </c>
      <c r="D109" s="26" t="str">
        <f t="shared" ca="1" si="14"/>
        <v/>
      </c>
      <c r="E109" s="33" t="str">
        <f t="shared" ca="1" si="15"/>
        <v/>
      </c>
      <c r="F109" s="25" t="str">
        <f t="shared" ca="1" si="16"/>
        <v/>
      </c>
      <c r="G109" s="55" t="str">
        <f t="shared" ca="1" si="17"/>
        <v/>
      </c>
      <c r="J109" s="76">
        <f ca="1"/>
        <v>46086</v>
      </c>
      <c r="K109" s="41">
        <f ca="1"/>
        <v>106.5504</v>
      </c>
      <c r="N109" s="37">
        <f t="shared" ca="1" si="9"/>
        <v>46086</v>
      </c>
      <c r="O109" s="37" t="str">
        <f t="shared" ca="1" si="10"/>
        <v/>
      </c>
    </row>
    <row r="110" spans="1:15" x14ac:dyDescent="0.25">
      <c r="A110" s="102" t="str">
        <f t="shared" ca="1" si="11"/>
        <v/>
      </c>
      <c r="B110" s="33" t="str">
        <f t="shared" ca="1" si="12"/>
        <v/>
      </c>
      <c r="C110" s="25" t="str">
        <f t="shared" ca="1" si="13"/>
        <v/>
      </c>
      <c r="D110" s="26" t="str">
        <f t="shared" ca="1" si="14"/>
        <v/>
      </c>
      <c r="E110" s="33" t="str">
        <f t="shared" ca="1" si="15"/>
        <v/>
      </c>
      <c r="F110" s="25" t="str">
        <f t="shared" ca="1" si="16"/>
        <v/>
      </c>
      <c r="G110" s="55" t="str">
        <f t="shared" ca="1" si="17"/>
        <v/>
      </c>
      <c r="J110" s="76">
        <f ca="1"/>
        <v>46087</v>
      </c>
      <c r="K110" s="41">
        <f ca="1"/>
        <v>105.9894</v>
      </c>
      <c r="N110" s="37">
        <f t="shared" ca="1" si="9"/>
        <v>46087</v>
      </c>
      <c r="O110" s="37" t="str">
        <f t="shared" ca="1" si="10"/>
        <v/>
      </c>
    </row>
    <row r="111" spans="1:15" x14ac:dyDescent="0.25">
      <c r="A111" s="102" t="str">
        <f t="shared" ca="1" si="11"/>
        <v/>
      </c>
      <c r="B111" s="33" t="str">
        <f t="shared" ca="1" si="12"/>
        <v/>
      </c>
      <c r="C111" s="25" t="str">
        <f t="shared" ca="1" si="13"/>
        <v/>
      </c>
      <c r="D111" s="26" t="str">
        <f t="shared" ca="1" si="14"/>
        <v/>
      </c>
      <c r="E111" s="33" t="str">
        <f t="shared" ca="1" si="15"/>
        <v/>
      </c>
      <c r="F111" s="25" t="str">
        <f t="shared" ca="1" si="16"/>
        <v/>
      </c>
      <c r="G111" s="55" t="str">
        <f t="shared" ca="1" si="17"/>
        <v/>
      </c>
      <c r="J111" s="76">
        <f ca="1"/>
        <v>46090</v>
      </c>
      <c r="K111" s="41">
        <f ca="1"/>
        <v>106.55929999999999</v>
      </c>
      <c r="N111" s="37">
        <f t="shared" ca="1" si="9"/>
        <v>46090</v>
      </c>
      <c r="O111" s="37" t="str">
        <f t="shared" ca="1" si="10"/>
        <v/>
      </c>
    </row>
    <row r="112" spans="1:15" x14ac:dyDescent="0.25">
      <c r="A112" s="102" t="str">
        <f t="shared" ca="1" si="11"/>
        <v/>
      </c>
      <c r="B112" s="33" t="str">
        <f t="shared" ca="1" si="12"/>
        <v/>
      </c>
      <c r="C112" s="25" t="str">
        <f t="shared" ca="1" si="13"/>
        <v/>
      </c>
      <c r="D112" s="26" t="str">
        <f t="shared" ca="1" si="14"/>
        <v/>
      </c>
      <c r="E112" s="33" t="str">
        <f t="shared" ca="1" si="15"/>
        <v/>
      </c>
      <c r="F112" s="25" t="str">
        <f t="shared" ca="1" si="16"/>
        <v/>
      </c>
      <c r="G112" s="55" t="str">
        <f t="shared" ca="1" si="17"/>
        <v/>
      </c>
      <c r="J112" s="76">
        <f ca="1"/>
        <v>46091</v>
      </c>
      <c r="K112" s="41">
        <f ca="1"/>
        <v>106.3575</v>
      </c>
      <c r="N112" s="37">
        <f t="shared" ca="1" si="9"/>
        <v>46091</v>
      </c>
      <c r="O112" s="37" t="str">
        <f t="shared" ca="1" si="10"/>
        <v/>
      </c>
    </row>
    <row r="113" spans="1:15" x14ac:dyDescent="0.25">
      <c r="A113" s="102" t="str">
        <f t="shared" ca="1" si="11"/>
        <v/>
      </c>
      <c r="B113" s="33" t="str">
        <f t="shared" ca="1" si="12"/>
        <v/>
      </c>
      <c r="C113" s="25" t="str">
        <f t="shared" ca="1" si="13"/>
        <v/>
      </c>
      <c r="D113" s="26" t="str">
        <f t="shared" ca="1" si="14"/>
        <v/>
      </c>
      <c r="E113" s="33" t="str">
        <f t="shared" ca="1" si="15"/>
        <v/>
      </c>
      <c r="F113" s="25" t="str">
        <f t="shared" ca="1" si="16"/>
        <v/>
      </c>
      <c r="G113" s="55" t="str">
        <f t="shared" ca="1" si="17"/>
        <v/>
      </c>
      <c r="J113" s="76">
        <f ca="1"/>
        <v>46092</v>
      </c>
      <c r="K113" s="41">
        <f ca="1"/>
        <v>106.0179</v>
      </c>
      <c r="N113" s="37">
        <f t="shared" ca="1" si="9"/>
        <v>46092</v>
      </c>
      <c r="O113" s="37" t="str">
        <f t="shared" ca="1" si="10"/>
        <v/>
      </c>
    </row>
    <row r="114" spans="1:15" x14ac:dyDescent="0.25">
      <c r="A114" s="102" t="str">
        <f t="shared" ca="1" si="11"/>
        <v/>
      </c>
      <c r="B114" s="33" t="str">
        <f t="shared" ca="1" si="12"/>
        <v/>
      </c>
      <c r="C114" s="25" t="str">
        <f t="shared" ca="1" si="13"/>
        <v/>
      </c>
      <c r="D114" s="26" t="str">
        <f t="shared" ca="1" si="14"/>
        <v/>
      </c>
      <c r="E114" s="33" t="str">
        <f t="shared" ca="1" si="15"/>
        <v/>
      </c>
      <c r="F114" s="25" t="str">
        <f t="shared" ca="1" si="16"/>
        <v/>
      </c>
      <c r="G114" s="55" t="str">
        <f t="shared" ca="1" si="17"/>
        <v/>
      </c>
      <c r="J114" s="76">
        <f ca="1"/>
        <v>46093</v>
      </c>
      <c r="K114" s="41">
        <f ca="1"/>
        <v>105.2928</v>
      </c>
      <c r="N114" s="37">
        <f t="shared" ca="1" si="9"/>
        <v>46093</v>
      </c>
      <c r="O114" s="37" t="str">
        <f t="shared" ca="1" si="10"/>
        <v/>
      </c>
    </row>
    <row r="115" spans="1:15" x14ac:dyDescent="0.25">
      <c r="A115" s="102" t="str">
        <f t="shared" ca="1" si="11"/>
        <v/>
      </c>
      <c r="B115" s="33" t="str">
        <f t="shared" ca="1" si="12"/>
        <v/>
      </c>
      <c r="C115" s="25" t="str">
        <f t="shared" ca="1" si="13"/>
        <v/>
      </c>
      <c r="D115" s="26" t="str">
        <f t="shared" ca="1" si="14"/>
        <v/>
      </c>
      <c r="E115" s="33" t="str">
        <f t="shared" ca="1" si="15"/>
        <v/>
      </c>
      <c r="F115" s="25" t="str">
        <f t="shared" ca="1" si="16"/>
        <v/>
      </c>
      <c r="G115" s="55" t="str">
        <f t="shared" ca="1" si="17"/>
        <v/>
      </c>
      <c r="J115" s="76">
        <f ca="1"/>
        <v>46094</v>
      </c>
      <c r="K115" s="41">
        <f ca="1"/>
        <v>105.0437</v>
      </c>
      <c r="N115" s="37">
        <f t="shared" ca="1" si="9"/>
        <v>46094</v>
      </c>
      <c r="O115" s="37" t="str">
        <f t="shared" ca="1" si="10"/>
        <v/>
      </c>
    </row>
    <row r="116" spans="1:15" x14ac:dyDescent="0.25">
      <c r="A116" s="102" t="str">
        <f t="shared" ca="1" si="11"/>
        <v/>
      </c>
      <c r="B116" s="33" t="str">
        <f t="shared" ca="1" si="12"/>
        <v/>
      </c>
      <c r="C116" s="25" t="str">
        <f t="shared" ca="1" si="13"/>
        <v/>
      </c>
      <c r="D116" s="26" t="str">
        <f t="shared" ca="1" si="14"/>
        <v/>
      </c>
      <c r="E116" s="33" t="str">
        <f t="shared" ca="1" si="15"/>
        <v/>
      </c>
      <c r="F116" s="25" t="str">
        <f t="shared" ca="1" si="16"/>
        <v/>
      </c>
      <c r="G116" s="55" t="str">
        <f t="shared" ca="1" si="17"/>
        <v/>
      </c>
      <c r="J116" s="76">
        <f ca="1"/>
        <v>46097</v>
      </c>
      <c r="K116" s="41">
        <f ca="1"/>
        <v>105.4819</v>
      </c>
      <c r="N116" s="37">
        <f t="shared" ca="1" si="9"/>
        <v>46097</v>
      </c>
      <c r="O116" s="37" t="str">
        <f t="shared" ca="1" si="10"/>
        <v/>
      </c>
    </row>
    <row r="117" spans="1:15" x14ac:dyDescent="0.25">
      <c r="A117" s="102" t="str">
        <f t="shared" ca="1" si="11"/>
        <v/>
      </c>
      <c r="B117" s="33" t="str">
        <f t="shared" ca="1" si="12"/>
        <v/>
      </c>
      <c r="C117" s="25" t="str">
        <f t="shared" ca="1" si="13"/>
        <v/>
      </c>
      <c r="D117" s="26" t="str">
        <f t="shared" ca="1" si="14"/>
        <v/>
      </c>
      <c r="E117" s="33" t="str">
        <f t="shared" ca="1" si="15"/>
        <v/>
      </c>
      <c r="F117" s="25" t="str">
        <f t="shared" ca="1" si="16"/>
        <v/>
      </c>
      <c r="G117" s="55" t="str">
        <f t="shared" ca="1" si="17"/>
        <v/>
      </c>
      <c r="J117" s="76">
        <f ca="1"/>
        <v>46098</v>
      </c>
      <c r="K117" s="41">
        <f ca="1"/>
        <v>105.87439999999999</v>
      </c>
      <c r="N117" s="37">
        <f t="shared" ca="1" si="9"/>
        <v>46098</v>
      </c>
      <c r="O117" s="37" t="str">
        <f t="shared" ca="1" si="10"/>
        <v/>
      </c>
    </row>
    <row r="118" spans="1:15" x14ac:dyDescent="0.25">
      <c r="A118" s="102"/>
      <c r="B118" s="33"/>
      <c r="C118" s="25"/>
      <c r="D118" s="26"/>
      <c r="E118" s="33"/>
      <c r="F118" s="25"/>
      <c r="G118" s="55"/>
      <c r="J118" s="76">
        <f ca="1"/>
        <v>46099</v>
      </c>
      <c r="K118" s="41">
        <f ca="1"/>
        <v>105.18129999999999</v>
      </c>
      <c r="N118" s="37">
        <f t="shared" ca="1" si="9"/>
        <v>46099</v>
      </c>
      <c r="O118" s="37" t="str">
        <f t="shared" ca="1" si="10"/>
        <v/>
      </c>
    </row>
    <row r="119" spans="1:15" x14ac:dyDescent="0.25">
      <c r="A119" s="102"/>
      <c r="B119" s="33"/>
      <c r="C119" s="25"/>
      <c r="D119" s="26"/>
      <c r="E119" s="33"/>
      <c r="F119" s="25"/>
      <c r="G119" s="55"/>
      <c r="J119" s="76">
        <f ca="1"/>
        <v>46100</v>
      </c>
      <c r="K119" s="41">
        <f ca="1"/>
        <v>105.5972</v>
      </c>
      <c r="N119" s="37">
        <f t="shared" ca="1" si="9"/>
        <v>46100</v>
      </c>
      <c r="O119" s="37" t="str">
        <f t="shared" ca="1" si="10"/>
        <v/>
      </c>
    </row>
    <row r="120" spans="1:15" x14ac:dyDescent="0.25">
      <c r="A120" s="102"/>
      <c r="B120" s="33"/>
      <c r="C120" s="25"/>
      <c r="D120" s="26"/>
      <c r="E120" s="33"/>
      <c r="F120" s="25"/>
      <c r="G120" s="55"/>
      <c r="J120" s="76">
        <f ca="1"/>
        <v>46101</v>
      </c>
      <c r="K120" s="41">
        <f ca="1"/>
        <v>104.88339999999999</v>
      </c>
      <c r="N120" s="37">
        <f t="shared" ca="1" si="9"/>
        <v>46101</v>
      </c>
      <c r="O120" s="37" t="str">
        <f t="shared" ca="1" si="10"/>
        <v/>
      </c>
    </row>
    <row r="121" spans="1:15" x14ac:dyDescent="0.25">
      <c r="A121" s="102"/>
      <c r="B121" s="33"/>
      <c r="C121" s="25"/>
      <c r="D121" s="26"/>
      <c r="E121" s="33"/>
      <c r="F121" s="25"/>
      <c r="G121" s="55"/>
      <c r="J121" s="76">
        <f ca="1"/>
        <v>46104</v>
      </c>
      <c r="K121" s="41">
        <f ca="1"/>
        <v>105.48439999999999</v>
      </c>
      <c r="N121" s="37" t="str">
        <f t="shared" ca="1" si="9"/>
        <v/>
      </c>
      <c r="O121" s="37" t="str">
        <f t="shared" ca="1" si="10"/>
        <v/>
      </c>
    </row>
    <row r="122" spans="1:15" x14ac:dyDescent="0.25">
      <c r="A122" s="102"/>
      <c r="B122" s="33"/>
      <c r="C122" s="25"/>
      <c r="D122" s="26"/>
      <c r="E122" s="33"/>
      <c r="F122" s="25"/>
      <c r="G122" s="55"/>
      <c r="J122" s="76">
        <f ca="1"/>
        <v>46105</v>
      </c>
      <c r="K122" s="41">
        <f ca="1"/>
        <v>105.7719</v>
      </c>
      <c r="N122" s="37" t="str">
        <f t="shared" ca="1" si="9"/>
        <v/>
      </c>
      <c r="O122" s="37" t="str">
        <f t="shared" ca="1" si="10"/>
        <v/>
      </c>
    </row>
    <row r="123" spans="1:15" x14ac:dyDescent="0.25">
      <c r="A123" s="102"/>
      <c r="B123" s="33"/>
      <c r="C123" s="25"/>
      <c r="D123" s="26"/>
      <c r="E123" s="33"/>
      <c r="F123" s="25"/>
      <c r="G123" s="55"/>
      <c r="J123" s="76">
        <f ca="1"/>
        <v>46106</v>
      </c>
      <c r="K123" s="41">
        <f ca="1"/>
        <v>105.4952</v>
      </c>
      <c r="N123" s="37" t="str">
        <f t="shared" ca="1" si="9"/>
        <v/>
      </c>
      <c r="O123" s="37" t="str">
        <f t="shared" ca="1" si="10"/>
        <v/>
      </c>
    </row>
    <row r="124" spans="1:15" x14ac:dyDescent="0.25">
      <c r="A124" s="102"/>
      <c r="B124" s="33"/>
      <c r="C124" s="25"/>
      <c r="D124" s="26"/>
      <c r="E124" s="33"/>
      <c r="F124" s="25"/>
      <c r="G124" s="55"/>
      <c r="J124" s="76">
        <f ca="1"/>
        <v>46107</v>
      </c>
      <c r="K124" s="41">
        <f ca="1"/>
        <v>104.97410000000001</v>
      </c>
      <c r="N124" s="37" t="str">
        <f t="shared" ca="1" si="9"/>
        <v/>
      </c>
      <c r="O124" s="37" t="str">
        <f t="shared" ca="1" si="10"/>
        <v/>
      </c>
    </row>
    <row r="125" spans="1:15" x14ac:dyDescent="0.25">
      <c r="A125" s="102"/>
      <c r="B125" s="33"/>
      <c r="C125" s="25"/>
      <c r="D125" s="26"/>
      <c r="E125" s="33"/>
      <c r="F125" s="25"/>
      <c r="G125" s="55"/>
      <c r="J125" s="76">
        <f ca="1"/>
        <v>46108</v>
      </c>
      <c r="K125" s="41">
        <f ca="1"/>
        <v>104.51309999999999</v>
      </c>
      <c r="N125" s="37" t="str">
        <f t="shared" ca="1" si="9"/>
        <v/>
      </c>
      <c r="O125" s="37" t="str">
        <f t="shared" ca="1" si="10"/>
        <v/>
      </c>
    </row>
    <row r="126" spans="1:15" x14ac:dyDescent="0.25">
      <c r="A126" s="102"/>
      <c r="B126" s="33"/>
      <c r="C126" s="25"/>
      <c r="D126" s="26"/>
      <c r="E126" s="33"/>
      <c r="F126" s="25"/>
      <c r="G126" s="55"/>
      <c r="J126" s="76">
        <f ca="1"/>
        <v>46111</v>
      </c>
      <c r="K126" s="41">
        <f ca="1"/>
        <v>104.3797</v>
      </c>
      <c r="N126" s="37" t="str">
        <f t="shared" ca="1" si="9"/>
        <v/>
      </c>
      <c r="O126" s="37" t="str">
        <f t="shared" ca="1" si="10"/>
        <v/>
      </c>
    </row>
    <row r="127" spans="1:15" x14ac:dyDescent="0.25">
      <c r="A127" s="102"/>
      <c r="B127" s="33"/>
      <c r="C127" s="25"/>
      <c r="D127" s="26"/>
      <c r="E127" s="33"/>
      <c r="F127" s="25"/>
      <c r="G127" s="55"/>
      <c r="J127" s="76">
        <f ca="1"/>
        <v>46112</v>
      </c>
      <c r="K127" s="41">
        <f ca="1"/>
        <v>105.2625</v>
      </c>
      <c r="N127" s="37" t="str">
        <f t="shared" ca="1" si="9"/>
        <v/>
      </c>
      <c r="O127" s="37" t="str">
        <f t="shared" ca="1" si="10"/>
        <v/>
      </c>
    </row>
    <row r="128" spans="1:15" x14ac:dyDescent="0.25">
      <c r="A128" s="102"/>
      <c r="B128" s="33"/>
      <c r="C128" s="25"/>
      <c r="D128" s="26"/>
      <c r="E128" s="33"/>
      <c r="F128" s="25"/>
      <c r="G128" s="55"/>
      <c r="J128" s="76">
        <f ca="1"/>
        <v>46113</v>
      </c>
      <c r="K128" s="41">
        <f ca="1"/>
        <v>105.7225</v>
      </c>
      <c r="N128" s="37" t="str">
        <f t="shared" ca="1" si="9"/>
        <v/>
      </c>
      <c r="O128" s="37" t="str">
        <f t="shared" ca="1" si="10"/>
        <v/>
      </c>
    </row>
    <row r="129" spans="1:15" x14ac:dyDescent="0.25">
      <c r="A129" s="102"/>
      <c r="B129" s="33"/>
      <c r="C129" s="25"/>
      <c r="D129" s="26"/>
      <c r="E129" s="33"/>
      <c r="F129" s="25"/>
      <c r="G129" s="55"/>
      <c r="J129" s="76">
        <f ca="1"/>
        <v>46114</v>
      </c>
      <c r="K129" s="41">
        <f ca="1"/>
        <v>105.8466</v>
      </c>
      <c r="N129" s="37" t="str">
        <f t="shared" ca="1" si="9"/>
        <v/>
      </c>
      <c r="O129" s="37" t="str">
        <f t="shared" ca="1" si="10"/>
        <v/>
      </c>
    </row>
    <row r="130" spans="1:15" x14ac:dyDescent="0.25">
      <c r="A130" s="102"/>
      <c r="B130" s="33"/>
      <c r="C130" s="25"/>
      <c r="D130" s="26"/>
      <c r="E130" s="33"/>
      <c r="F130" s="25"/>
      <c r="G130" s="55"/>
      <c r="J130" s="76">
        <f ca="1"/>
        <v>46115</v>
      </c>
      <c r="K130" s="41">
        <f ca="1"/>
        <v>105.67700000000001</v>
      </c>
      <c r="N130" s="37" t="str">
        <f t="shared" ca="1" si="9"/>
        <v/>
      </c>
      <c r="O130" s="37" t="str">
        <f t="shared" ca="1" si="10"/>
        <v/>
      </c>
    </row>
    <row r="131" spans="1:15" x14ac:dyDescent="0.25">
      <c r="A131" s="102"/>
      <c r="B131" s="33"/>
      <c r="C131" s="25"/>
      <c r="D131" s="26"/>
      <c r="E131" s="33"/>
      <c r="F131" s="25"/>
      <c r="G131" s="55"/>
      <c r="J131" s="76">
        <f ca="1"/>
        <v>46118</v>
      </c>
      <c r="K131" s="41">
        <f ca="1"/>
        <v>105.952</v>
      </c>
      <c r="N131" s="37" t="str">
        <f t="shared" ca="1" si="9"/>
        <v/>
      </c>
      <c r="O131" s="37" t="str">
        <f t="shared" ca="1" si="10"/>
        <v/>
      </c>
    </row>
    <row r="132" spans="1:15" x14ac:dyDescent="0.25">
      <c r="A132" s="102"/>
      <c r="B132" s="33"/>
      <c r="C132" s="25"/>
      <c r="D132" s="26"/>
      <c r="E132" s="33"/>
      <c r="F132" s="25"/>
      <c r="G132" s="55"/>
      <c r="J132" s="76">
        <f ca="1"/>
        <v>46119</v>
      </c>
      <c r="K132" s="41">
        <f ca="1"/>
        <v>105.955</v>
      </c>
      <c r="N132" s="37" t="str">
        <f t="shared" ref="N132:N195" ca="1" si="18">IF(COUNTIF(L:L,J132),J132,"")</f>
        <v/>
      </c>
      <c r="O132" s="37" t="str">
        <f t="shared" ref="O132:O195" ca="1" si="19">IF(N132&gt;$A$14,N132,"")</f>
        <v/>
      </c>
    </row>
    <row r="133" spans="1:15" x14ac:dyDescent="0.25">
      <c r="A133" s="102"/>
      <c r="B133" s="33"/>
      <c r="C133" s="25"/>
      <c r="D133" s="26"/>
      <c r="E133" s="33"/>
      <c r="F133" s="25"/>
      <c r="G133" s="55"/>
      <c r="J133" s="76">
        <f ca="1"/>
        <v>46120</v>
      </c>
      <c r="K133" s="41">
        <f ca="1"/>
        <v>106.7503</v>
      </c>
      <c r="N133" s="37" t="str">
        <f t="shared" ca="1" si="18"/>
        <v/>
      </c>
      <c r="O133" s="37" t="str">
        <f t="shared" ca="1" si="19"/>
        <v/>
      </c>
    </row>
    <row r="134" spans="1:15" x14ac:dyDescent="0.25">
      <c r="A134" s="102"/>
      <c r="B134" s="33"/>
      <c r="C134" s="25"/>
      <c r="D134" s="26"/>
      <c r="E134" s="33"/>
      <c r="F134" s="25"/>
      <c r="G134" s="55"/>
      <c r="J134" s="76">
        <f ca="1"/>
        <v>46121</v>
      </c>
      <c r="K134" s="41">
        <f ca="1"/>
        <v>107.0269</v>
      </c>
      <c r="N134" s="37" t="str">
        <f t="shared" ca="1" si="18"/>
        <v/>
      </c>
      <c r="O134" s="37" t="str">
        <f t="shared" ca="1" si="19"/>
        <v/>
      </c>
    </row>
    <row r="135" spans="1:15" x14ac:dyDescent="0.25">
      <c r="A135" s="102"/>
      <c r="B135" s="33"/>
      <c r="C135" s="25"/>
      <c r="D135" s="26"/>
      <c r="E135" s="33"/>
      <c r="F135" s="25"/>
      <c r="G135" s="55"/>
      <c r="J135" s="76">
        <f ca="1"/>
        <v>46122</v>
      </c>
      <c r="K135" s="41">
        <f ca="1"/>
        <v>106.86969999999999</v>
      </c>
      <c r="N135" s="37" t="str">
        <f t="shared" ca="1" si="18"/>
        <v/>
      </c>
      <c r="O135" s="37" t="str">
        <f t="shared" ca="1" si="19"/>
        <v/>
      </c>
    </row>
    <row r="136" spans="1:15" x14ac:dyDescent="0.25">
      <c r="A136" s="102"/>
      <c r="B136" s="33"/>
      <c r="C136" s="25"/>
      <c r="D136" s="26"/>
      <c r="E136" s="33"/>
      <c r="F136" s="25"/>
      <c r="G136" s="55"/>
      <c r="J136" s="76">
        <f ca="1"/>
        <v>46125</v>
      </c>
      <c r="K136" s="41">
        <f ca="1"/>
        <v>107.1391</v>
      </c>
      <c r="N136" s="37" t="str">
        <f t="shared" ca="1" si="18"/>
        <v/>
      </c>
      <c r="O136" s="37" t="str">
        <f t="shared" ca="1" si="19"/>
        <v/>
      </c>
    </row>
    <row r="137" spans="1:15" x14ac:dyDescent="0.25">
      <c r="A137" s="102"/>
      <c r="B137" s="33"/>
      <c r="C137" s="25"/>
      <c r="D137" s="26"/>
      <c r="E137" s="33"/>
      <c r="F137" s="25"/>
      <c r="G137" s="55"/>
      <c r="J137" s="76">
        <f ca="1"/>
        <v>46126</v>
      </c>
      <c r="K137" s="41">
        <f ca="1"/>
        <v>107.34650000000001</v>
      </c>
      <c r="N137" s="37" t="str">
        <f t="shared" ca="1" si="18"/>
        <v/>
      </c>
      <c r="O137" s="37" t="str">
        <f t="shared" ca="1" si="19"/>
        <v/>
      </c>
    </row>
    <row r="138" spans="1:15" x14ac:dyDescent="0.25">
      <c r="A138" s="102"/>
      <c r="B138" s="33"/>
      <c r="C138" s="25"/>
      <c r="D138" s="26"/>
      <c r="E138" s="33"/>
      <c r="F138" s="25"/>
      <c r="G138" s="55"/>
      <c r="J138" s="76">
        <f ca="1"/>
        <v>46127</v>
      </c>
      <c r="K138" s="41">
        <f ca="1"/>
        <v>107.4213</v>
      </c>
      <c r="N138" s="37" t="str">
        <f t="shared" ca="1" si="18"/>
        <v/>
      </c>
      <c r="O138" s="37" t="str">
        <f t="shared" ca="1" si="19"/>
        <v/>
      </c>
    </row>
    <row r="139" spans="1:15" x14ac:dyDescent="0.25">
      <c r="A139" s="102"/>
      <c r="B139" s="33"/>
      <c r="C139" s="25"/>
      <c r="D139" s="26"/>
      <c r="E139" s="33"/>
      <c r="F139" s="25"/>
      <c r="G139" s="55"/>
      <c r="J139" s="76">
        <f ca="1"/>
        <v>46128</v>
      </c>
      <c r="K139" s="41">
        <f ca="1"/>
        <v>107.235</v>
      </c>
      <c r="N139" s="37" t="str">
        <f t="shared" ca="1" si="18"/>
        <v/>
      </c>
      <c r="O139" s="37" t="str">
        <f t="shared" ca="1" si="19"/>
        <v/>
      </c>
    </row>
    <row r="140" spans="1:15" x14ac:dyDescent="0.25">
      <c r="A140" s="102"/>
      <c r="B140" s="33"/>
      <c r="C140" s="25"/>
      <c r="D140" s="26"/>
      <c r="E140" s="33"/>
      <c r="F140" s="25"/>
      <c r="G140" s="55"/>
      <c r="J140" s="76">
        <f ca="1"/>
        <v>46129</v>
      </c>
      <c r="K140" s="41">
        <f ca="1"/>
        <v>107.6478</v>
      </c>
      <c r="N140" s="37" t="str">
        <f t="shared" ca="1" si="18"/>
        <v/>
      </c>
      <c r="O140" s="37" t="str">
        <f t="shared" ca="1" si="19"/>
        <v/>
      </c>
    </row>
    <row r="141" spans="1:15" x14ac:dyDescent="0.25">
      <c r="A141" s="102"/>
      <c r="B141" s="33"/>
      <c r="C141" s="25"/>
      <c r="D141" s="26"/>
      <c r="E141" s="33"/>
      <c r="F141" s="25"/>
      <c r="G141" s="55"/>
      <c r="J141" s="76">
        <f ca="1"/>
        <v>46132</v>
      </c>
      <c r="K141" s="41">
        <f ca="1"/>
        <v>107.6052</v>
      </c>
      <c r="N141" s="37" t="str">
        <f t="shared" ca="1" si="18"/>
        <v/>
      </c>
      <c r="O141" s="37" t="str">
        <f t="shared" ca="1" si="19"/>
        <v/>
      </c>
    </row>
    <row r="142" spans="1:15" x14ac:dyDescent="0.25">
      <c r="A142" s="102"/>
      <c r="B142" s="33"/>
      <c r="C142" s="25"/>
      <c r="D142" s="26"/>
      <c r="E142" s="33"/>
      <c r="F142" s="25"/>
      <c r="G142" s="55"/>
      <c r="J142" s="76">
        <f ca="1"/>
        <v>46133</v>
      </c>
      <c r="K142" s="41">
        <f ca="1"/>
        <v>107.51779999999999</v>
      </c>
      <c r="N142" s="37" t="str">
        <f t="shared" ca="1" si="18"/>
        <v/>
      </c>
      <c r="O142" s="37" t="str">
        <f t="shared" ca="1" si="19"/>
        <v/>
      </c>
    </row>
    <row r="143" spans="1:15" x14ac:dyDescent="0.25">
      <c r="A143" s="102"/>
      <c r="B143" s="33"/>
      <c r="C143" s="25"/>
      <c r="D143" s="26"/>
      <c r="E143" s="33"/>
      <c r="F143" s="25"/>
      <c r="G143" s="55"/>
      <c r="J143" s="76">
        <f ca="1"/>
        <v>46134</v>
      </c>
      <c r="K143" s="41">
        <f ca="1"/>
        <v>107.5187</v>
      </c>
      <c r="N143" s="37" t="str">
        <f t="shared" ca="1" si="18"/>
        <v/>
      </c>
      <c r="O143" s="37" t="str">
        <f t="shared" ca="1" si="19"/>
        <v/>
      </c>
    </row>
    <row r="144" spans="1:15" x14ac:dyDescent="0.25">
      <c r="A144" s="102"/>
      <c r="B144" s="33"/>
      <c r="C144" s="25"/>
      <c r="D144" s="26"/>
      <c r="E144" s="33"/>
      <c r="F144" s="25"/>
      <c r="G144" s="55"/>
      <c r="J144" s="76">
        <f ca="1"/>
        <v>46135</v>
      </c>
      <c r="K144" s="41">
        <f ca="1"/>
        <v>107.23439999999999</v>
      </c>
      <c r="N144" s="37" t="str">
        <f t="shared" ca="1" si="18"/>
        <v/>
      </c>
      <c r="O144" s="37" t="str">
        <f t="shared" ca="1" si="19"/>
        <v/>
      </c>
    </row>
    <row r="145" spans="1:15" x14ac:dyDescent="0.25">
      <c r="A145" s="102"/>
      <c r="B145" s="33"/>
      <c r="C145" s="25"/>
      <c r="D145" s="26"/>
      <c r="E145" s="33"/>
      <c r="F145" s="25"/>
      <c r="G145" s="55"/>
      <c r="J145" s="76">
        <f ca="1"/>
        <v>46136</v>
      </c>
      <c r="K145" s="41">
        <f ca="1"/>
        <v>107.27800000000001</v>
      </c>
      <c r="N145" s="37" t="str">
        <f t="shared" ca="1" si="18"/>
        <v/>
      </c>
      <c r="O145" s="37" t="str">
        <f t="shared" ca="1" si="19"/>
        <v/>
      </c>
    </row>
    <row r="146" spans="1:15" x14ac:dyDescent="0.25">
      <c r="A146" s="102"/>
      <c r="B146" s="33"/>
      <c r="C146" s="25"/>
      <c r="D146" s="26"/>
      <c r="E146" s="33"/>
      <c r="F146" s="25"/>
      <c r="G146" s="55"/>
      <c r="J146" s="76">
        <f ca="1"/>
        <v>46139</v>
      </c>
      <c r="K146" s="41">
        <f ca="1"/>
        <v>107.4516</v>
      </c>
      <c r="N146" s="37" t="str">
        <f t="shared" ca="1" si="18"/>
        <v/>
      </c>
      <c r="O146" s="37" t="str">
        <f t="shared" ca="1" si="19"/>
        <v/>
      </c>
    </row>
    <row r="147" spans="1:15" x14ac:dyDescent="0.25">
      <c r="A147" s="102"/>
      <c r="B147" s="33"/>
      <c r="C147" s="25"/>
      <c r="D147" s="26"/>
      <c r="E147" s="33"/>
      <c r="F147" s="25"/>
      <c r="G147" s="55"/>
      <c r="J147" s="76">
        <f ca="1"/>
        <v>46140</v>
      </c>
      <c r="K147" s="41">
        <f ca="1"/>
        <v>107.2916</v>
      </c>
      <c r="N147" s="37" t="str">
        <f t="shared" ca="1" si="18"/>
        <v/>
      </c>
      <c r="O147" s="37" t="str">
        <f t="shared" ca="1" si="19"/>
        <v/>
      </c>
    </row>
    <row r="148" spans="1:15" x14ac:dyDescent="0.25">
      <c r="A148" s="102"/>
      <c r="B148" s="33"/>
      <c r="C148" s="25"/>
      <c r="D148" s="26"/>
      <c r="E148" s="33"/>
      <c r="F148" s="25"/>
      <c r="G148" s="55"/>
      <c r="J148" s="76">
        <f ca="1"/>
        <v>46141</v>
      </c>
      <c r="K148" s="41">
        <f ca="1"/>
        <v>106.9092</v>
      </c>
      <c r="N148" s="37" t="str">
        <f t="shared" ca="1" si="18"/>
        <v/>
      </c>
      <c r="O148" s="37" t="str">
        <f t="shared" ca="1" si="19"/>
        <v/>
      </c>
    </row>
    <row r="149" spans="1:15" x14ac:dyDescent="0.25">
      <c r="A149" s="102"/>
      <c r="B149" s="33"/>
      <c r="C149" s="25"/>
      <c r="D149" s="26"/>
      <c r="E149" s="33"/>
      <c r="F149" s="25"/>
      <c r="G149" s="55"/>
      <c r="J149" s="76">
        <f ca="1"/>
        <v>46142</v>
      </c>
      <c r="K149" s="41">
        <f ca="1"/>
        <v>107.31829999999999</v>
      </c>
      <c r="N149" s="37" t="str">
        <f t="shared" ca="1" si="18"/>
        <v/>
      </c>
      <c r="O149" s="37" t="str">
        <f t="shared" ca="1" si="19"/>
        <v/>
      </c>
    </row>
    <row r="150" spans="1:15" x14ac:dyDescent="0.25">
      <c r="A150" s="102"/>
      <c r="B150" s="33"/>
      <c r="C150" s="25"/>
      <c r="D150" s="26"/>
      <c r="E150" s="33"/>
      <c r="F150" s="25"/>
      <c r="G150" s="55"/>
      <c r="J150" s="76">
        <f ca="1"/>
        <v>46143</v>
      </c>
      <c r="K150" s="41">
        <f ca="1"/>
        <v>107.3991</v>
      </c>
      <c r="N150" s="37" t="str">
        <f t="shared" ca="1" si="18"/>
        <v/>
      </c>
      <c r="O150" s="37" t="str">
        <f t="shared" ca="1" si="19"/>
        <v/>
      </c>
    </row>
    <row r="151" spans="1:15" x14ac:dyDescent="0.25">
      <c r="A151" s="102"/>
      <c r="B151" s="33"/>
      <c r="C151" s="25"/>
      <c r="D151" s="26"/>
      <c r="E151" s="33"/>
      <c r="F151" s="25"/>
      <c r="G151" s="55"/>
      <c r="J151" s="76">
        <f ca="1"/>
        <v>46146</v>
      </c>
      <c r="K151" s="41">
        <f ca="1"/>
        <v>107.1495</v>
      </c>
      <c r="N151" s="37" t="str">
        <f t="shared" ca="1" si="18"/>
        <v/>
      </c>
      <c r="O151" s="37" t="str">
        <f t="shared" ca="1" si="19"/>
        <v/>
      </c>
    </row>
    <row r="152" spans="1:15" x14ac:dyDescent="0.25">
      <c r="A152" s="102"/>
      <c r="B152" s="33"/>
      <c r="C152" s="25"/>
      <c r="D152" s="26"/>
      <c r="E152" s="33"/>
      <c r="F152" s="25"/>
      <c r="G152" s="55"/>
      <c r="J152" s="76">
        <f ca="1"/>
        <v>46147</v>
      </c>
      <c r="K152" s="41">
        <f ca="1"/>
        <v>107.32340000000001</v>
      </c>
      <c r="N152" s="37" t="str">
        <f t="shared" ca="1" si="18"/>
        <v/>
      </c>
      <c r="O152" s="37" t="str">
        <f t="shared" ca="1" si="19"/>
        <v/>
      </c>
    </row>
    <row r="153" spans="1:15" x14ac:dyDescent="0.25">
      <c r="A153" s="102"/>
      <c r="B153" s="33"/>
      <c r="C153" s="25"/>
      <c r="D153" s="26"/>
      <c r="E153" s="33"/>
      <c r="F153" s="25"/>
      <c r="G153" s="55"/>
      <c r="J153" s="76">
        <f ca="1"/>
        <v>46148</v>
      </c>
      <c r="K153" s="41">
        <f ca="1"/>
        <v>107.6491</v>
      </c>
      <c r="N153" s="37" t="str">
        <f t="shared" ca="1" si="18"/>
        <v/>
      </c>
      <c r="O153" s="37" t="str">
        <f t="shared" ca="1" si="19"/>
        <v/>
      </c>
    </row>
    <row r="154" spans="1:15" x14ac:dyDescent="0.25">
      <c r="A154" s="102"/>
      <c r="B154" s="33"/>
      <c r="C154" s="25"/>
      <c r="D154" s="26"/>
      <c r="E154" s="33"/>
      <c r="F154" s="25"/>
      <c r="G154" s="55"/>
      <c r="J154" s="76">
        <f ca="1"/>
        <v>46149</v>
      </c>
      <c r="K154" s="41">
        <f ca="1"/>
        <v>107.4122</v>
      </c>
      <c r="N154" s="37" t="str">
        <f t="shared" ca="1" si="18"/>
        <v/>
      </c>
      <c r="O154" s="37" t="str">
        <f t="shared" ca="1" si="19"/>
        <v/>
      </c>
    </row>
    <row r="155" spans="1:15" x14ac:dyDescent="0.25">
      <c r="A155" s="102"/>
      <c r="B155" s="33"/>
      <c r="C155" s="25"/>
      <c r="D155" s="26"/>
      <c r="E155" s="33"/>
      <c r="F155" s="25"/>
      <c r="G155" s="55"/>
      <c r="J155" s="76">
        <f ca="1"/>
        <v>46150</v>
      </c>
      <c r="K155" s="41">
        <f ca="1"/>
        <v>107.5866</v>
      </c>
      <c r="N155" s="37" t="str">
        <f t="shared" ca="1" si="18"/>
        <v/>
      </c>
      <c r="O155" s="37" t="str">
        <f t="shared" ca="1" si="19"/>
        <v/>
      </c>
    </row>
    <row r="156" spans="1:15" x14ac:dyDescent="0.25">
      <c r="A156" s="102"/>
      <c r="B156" s="33"/>
      <c r="C156" s="25"/>
      <c r="D156" s="26"/>
      <c r="E156" s="33"/>
      <c r="F156" s="25"/>
      <c r="G156" s="55"/>
      <c r="J156" s="76">
        <f ca="1"/>
        <v>46153</v>
      </c>
      <c r="K156" s="41">
        <f ca="1"/>
        <v>107.3747</v>
      </c>
      <c r="N156" s="37" t="str">
        <f t="shared" ca="1" si="18"/>
        <v/>
      </c>
      <c r="O156" s="37" t="str">
        <f t="shared" ca="1" si="19"/>
        <v/>
      </c>
    </row>
    <row r="157" spans="1:15" x14ac:dyDescent="0.25">
      <c r="A157" s="102"/>
      <c r="B157" s="33"/>
      <c r="C157" s="25"/>
      <c r="D157" s="26"/>
      <c r="E157" s="33"/>
      <c r="F157" s="25"/>
      <c r="G157" s="55"/>
      <c r="J157" s="76">
        <f ca="1"/>
        <v>46154</v>
      </c>
      <c r="K157" s="41">
        <f ca="1"/>
        <v>107.2856</v>
      </c>
      <c r="N157" s="37" t="str">
        <f t="shared" ca="1" si="18"/>
        <v/>
      </c>
      <c r="O157" s="37" t="str">
        <f t="shared" ca="1" si="19"/>
        <v/>
      </c>
    </row>
    <row r="158" spans="1:15" x14ac:dyDescent="0.25">
      <c r="A158" s="102"/>
      <c r="B158" s="33"/>
      <c r="C158" s="25"/>
      <c r="D158" s="26"/>
      <c r="E158" s="33"/>
      <c r="F158" s="25"/>
      <c r="G158" s="55"/>
      <c r="J158" s="76">
        <f ca="1"/>
        <v>46155</v>
      </c>
      <c r="K158" s="41">
        <f ca="1"/>
        <v>107.3378</v>
      </c>
      <c r="N158" s="37" t="str">
        <f t="shared" ca="1" si="18"/>
        <v/>
      </c>
      <c r="O158" s="37" t="str">
        <f t="shared" ca="1" si="19"/>
        <v/>
      </c>
    </row>
    <row r="159" spans="1:15" x14ac:dyDescent="0.25">
      <c r="A159" s="102"/>
      <c r="B159" s="33"/>
      <c r="C159" s="25"/>
      <c r="D159" s="26"/>
      <c r="E159" s="33"/>
      <c r="F159" s="25"/>
      <c r="G159" s="55"/>
      <c r="J159" s="76">
        <f ca="1"/>
        <v>46156</v>
      </c>
      <c r="K159" s="41">
        <f ca="1"/>
        <v>108.2856</v>
      </c>
      <c r="N159" s="37" t="str">
        <f t="shared" ca="1" si="18"/>
        <v/>
      </c>
      <c r="O159" s="37" t="str">
        <f t="shared" ca="1" si="19"/>
        <v/>
      </c>
    </row>
    <row r="160" spans="1:15" x14ac:dyDescent="0.25">
      <c r="A160" s="102"/>
      <c r="B160" s="33"/>
      <c r="C160" s="25"/>
      <c r="D160" s="26"/>
      <c r="E160" s="33"/>
      <c r="F160" s="25"/>
      <c r="G160" s="55"/>
      <c r="J160" s="76">
        <f ca="1"/>
        <v>46157</v>
      </c>
      <c r="K160" s="41">
        <f ca="1"/>
        <v>107.9481</v>
      </c>
      <c r="N160" s="37" t="str">
        <f t="shared" ca="1" si="18"/>
        <v/>
      </c>
      <c r="O160" s="37" t="str">
        <f t="shared" ca="1" si="19"/>
        <v/>
      </c>
    </row>
    <row r="161" spans="1:15" x14ac:dyDescent="0.25">
      <c r="A161" s="102"/>
      <c r="B161" s="33"/>
      <c r="C161" s="25"/>
      <c r="D161" s="26"/>
      <c r="E161" s="33"/>
      <c r="F161" s="25"/>
      <c r="G161" s="55"/>
      <c r="J161" s="76">
        <f ca="1"/>
        <v>46160</v>
      </c>
      <c r="K161" s="41">
        <f ca="1"/>
        <v>107.91970000000001</v>
      </c>
      <c r="N161" s="37" t="str">
        <f t="shared" ca="1" si="18"/>
        <v/>
      </c>
      <c r="O161" s="37" t="str">
        <f t="shared" ca="1" si="19"/>
        <v/>
      </c>
    </row>
    <row r="162" spans="1:15" x14ac:dyDescent="0.25">
      <c r="A162" s="102"/>
      <c r="B162" s="33"/>
      <c r="C162" s="25"/>
      <c r="D162" s="26"/>
      <c r="E162" s="33"/>
      <c r="F162" s="25"/>
      <c r="G162" s="55"/>
      <c r="J162" s="76">
        <f ca="1"/>
        <v>46161</v>
      </c>
      <c r="K162" s="41">
        <f ca="1"/>
        <v>107.6506</v>
      </c>
      <c r="N162" s="37" t="str">
        <f t="shared" ca="1" si="18"/>
        <v/>
      </c>
      <c r="O162" s="37" t="str">
        <f t="shared" ca="1" si="19"/>
        <v/>
      </c>
    </row>
    <row r="163" spans="1:15" x14ac:dyDescent="0.25">
      <c r="A163" s="102"/>
      <c r="B163" s="33"/>
      <c r="C163" s="25"/>
      <c r="D163" s="26"/>
      <c r="E163" s="33"/>
      <c r="F163" s="25"/>
      <c r="G163" s="55"/>
      <c r="J163" s="76">
        <f ca="1"/>
        <v>46162</v>
      </c>
      <c r="K163" s="41">
        <f ca="1"/>
        <v>107.9525</v>
      </c>
      <c r="N163" s="37" t="str">
        <f t="shared" ca="1" si="18"/>
        <v/>
      </c>
      <c r="O163" s="37" t="str">
        <f t="shared" ca="1" si="19"/>
        <v/>
      </c>
    </row>
    <row r="164" spans="1:15" x14ac:dyDescent="0.25">
      <c r="A164" s="102"/>
      <c r="B164" s="33"/>
      <c r="C164" s="25"/>
      <c r="D164" s="26"/>
      <c r="E164" s="33"/>
      <c r="F164" s="25"/>
      <c r="G164" s="55"/>
      <c r="J164" s="76">
        <f ca="1"/>
        <v>46163</v>
      </c>
      <c r="K164" s="41">
        <f ca="1"/>
        <v>108.0444</v>
      </c>
      <c r="N164" s="37" t="str">
        <f t="shared" ca="1" si="18"/>
        <v/>
      </c>
      <c r="O164" s="37" t="str">
        <f t="shared" ca="1" si="19"/>
        <v/>
      </c>
    </row>
    <row r="165" spans="1:15" x14ac:dyDescent="0.25">
      <c r="A165" s="102"/>
      <c r="B165" s="33"/>
      <c r="C165" s="25"/>
      <c r="D165" s="26"/>
      <c r="E165" s="33"/>
      <c r="F165" s="25"/>
      <c r="G165" s="55"/>
      <c r="J165" s="76">
        <f ca="1"/>
        <v>46164</v>
      </c>
      <c r="K165" s="41">
        <f ca="1"/>
        <v>108.11620000000001</v>
      </c>
      <c r="N165" s="37" t="str">
        <f t="shared" ca="1" si="18"/>
        <v/>
      </c>
      <c r="O165" s="37" t="str">
        <f t="shared" ca="1" si="19"/>
        <v/>
      </c>
    </row>
    <row r="166" spans="1:15" x14ac:dyDescent="0.25">
      <c r="A166" s="102"/>
      <c r="B166" s="33"/>
      <c r="C166" s="25"/>
      <c r="D166" s="26"/>
      <c r="E166" s="33"/>
      <c r="F166" s="25"/>
      <c r="G166" s="55"/>
      <c r="J166" s="76">
        <f ca="1"/>
        <v>46168</v>
      </c>
      <c r="K166" s="41">
        <f ca="1"/>
        <v>108.2372</v>
      </c>
      <c r="N166" s="37" t="str">
        <f t="shared" ca="1" si="18"/>
        <v/>
      </c>
      <c r="O166" s="37" t="str">
        <f t="shared" ca="1" si="19"/>
        <v/>
      </c>
    </row>
    <row r="167" spans="1:15" x14ac:dyDescent="0.25">
      <c r="A167" s="102"/>
      <c r="B167" s="33"/>
      <c r="C167" s="25"/>
      <c r="D167" s="26"/>
      <c r="E167" s="33"/>
      <c r="F167" s="25"/>
      <c r="G167" s="55"/>
      <c r="J167" s="76">
        <f ca="1"/>
        <v>46169</v>
      </c>
      <c r="K167" s="41">
        <f ca="1"/>
        <v>108.2484</v>
      </c>
      <c r="N167" s="37" t="str">
        <f t="shared" ca="1" si="18"/>
        <v/>
      </c>
      <c r="O167" s="37" t="str">
        <f t="shared" ca="1" si="19"/>
        <v/>
      </c>
    </row>
    <row r="168" spans="1:15" x14ac:dyDescent="0.25">
      <c r="A168" s="102"/>
      <c r="B168" s="33"/>
      <c r="C168" s="25"/>
      <c r="D168" s="26"/>
      <c r="E168" s="33"/>
      <c r="F168" s="25"/>
      <c r="G168" s="55"/>
      <c r="J168" s="76">
        <f ca="1"/>
        <v>46170</v>
      </c>
      <c r="K168" s="41">
        <f ca="1"/>
        <v>108.3678</v>
      </c>
      <c r="N168" s="37" t="str">
        <f t="shared" ca="1" si="18"/>
        <v/>
      </c>
      <c r="O168" s="37" t="str">
        <f t="shared" ca="1" si="19"/>
        <v/>
      </c>
    </row>
    <row r="169" spans="1:15" x14ac:dyDescent="0.25">
      <c r="A169" s="102"/>
      <c r="B169" s="33"/>
      <c r="C169" s="25"/>
      <c r="D169" s="26"/>
      <c r="E169" s="33"/>
      <c r="F169" s="25"/>
      <c r="G169" s="55"/>
      <c r="J169" s="76">
        <f ca="1"/>
        <v>46171</v>
      </c>
      <c r="K169" s="41">
        <f ca="1"/>
        <v>108.4466</v>
      </c>
      <c r="N169" s="37" t="str">
        <f t="shared" ca="1" si="18"/>
        <v/>
      </c>
      <c r="O169" s="37" t="str">
        <f t="shared" ca="1" si="19"/>
        <v/>
      </c>
    </row>
    <row r="170" spans="1:15" x14ac:dyDescent="0.25">
      <c r="A170" s="102"/>
      <c r="B170" s="33"/>
      <c r="C170" s="25"/>
      <c r="D170" s="26"/>
      <c r="E170" s="33"/>
      <c r="F170" s="25"/>
      <c r="G170" s="55"/>
      <c r="J170" s="76">
        <f ca="1"/>
        <v>46174</v>
      </c>
      <c r="K170" s="41">
        <f ca="1"/>
        <v>108.3325</v>
      </c>
      <c r="N170" s="37" t="str">
        <f t="shared" ca="1" si="18"/>
        <v/>
      </c>
      <c r="O170" s="37" t="str">
        <f t="shared" ca="1" si="19"/>
        <v/>
      </c>
    </row>
    <row r="171" spans="1:15" x14ac:dyDescent="0.25">
      <c r="A171" s="102"/>
      <c r="B171" s="33"/>
      <c r="C171" s="25"/>
      <c r="D171" s="26"/>
      <c r="E171" s="33"/>
      <c r="F171" s="25"/>
      <c r="G171" s="55"/>
      <c r="J171" s="76">
        <f ca="1"/>
        <v>46175</v>
      </c>
      <c r="K171" s="41">
        <f ca="1"/>
        <v>108.3691</v>
      </c>
      <c r="N171" s="37" t="str">
        <f t="shared" ca="1" si="18"/>
        <v/>
      </c>
      <c r="O171" s="37" t="str">
        <f t="shared" ca="1" si="19"/>
        <v/>
      </c>
    </row>
    <row r="172" spans="1:15" x14ac:dyDescent="0.25">
      <c r="A172" s="102"/>
      <c r="B172" s="33"/>
      <c r="C172" s="25"/>
      <c r="D172" s="26"/>
      <c r="E172" s="33"/>
      <c r="F172" s="25"/>
      <c r="G172" s="55"/>
      <c r="J172" s="76">
        <f ca="1"/>
        <v>46176</v>
      </c>
      <c r="K172" s="41">
        <f ca="1"/>
        <v>108.14060000000001</v>
      </c>
      <c r="N172" s="37" t="str">
        <f t="shared" ca="1" si="18"/>
        <v/>
      </c>
      <c r="O172" s="37" t="str">
        <f t="shared" ca="1" si="19"/>
        <v/>
      </c>
    </row>
    <row r="173" spans="1:15" x14ac:dyDescent="0.25">
      <c r="A173" s="102"/>
      <c r="B173" s="33"/>
      <c r="C173" s="25"/>
      <c r="D173" s="26"/>
      <c r="E173" s="33"/>
      <c r="F173" s="25"/>
      <c r="G173" s="55"/>
      <c r="J173" s="76">
        <f ca="1"/>
        <v>46177</v>
      </c>
      <c r="K173" s="41">
        <f ca="1"/>
        <v>108.2256</v>
      </c>
      <c r="N173" s="37" t="str">
        <f t="shared" ca="1" si="18"/>
        <v/>
      </c>
      <c r="O173" s="37" t="str">
        <f t="shared" ca="1" si="19"/>
        <v/>
      </c>
    </row>
    <row r="174" spans="1:15" x14ac:dyDescent="0.25">
      <c r="A174" s="102"/>
      <c r="B174" s="33"/>
      <c r="C174" s="25"/>
      <c r="D174" s="26"/>
      <c r="E174" s="33"/>
      <c r="F174" s="25"/>
      <c r="G174" s="55"/>
      <c r="J174" s="76">
        <f ca="1"/>
        <v>46178</v>
      </c>
      <c r="K174" s="41">
        <f ca="1"/>
        <v>107.935</v>
      </c>
      <c r="N174" s="37" t="str">
        <f t="shared" ca="1" si="18"/>
        <v/>
      </c>
      <c r="O174" s="37" t="str">
        <f t="shared" ca="1" si="19"/>
        <v/>
      </c>
    </row>
    <row r="175" spans="1:15" x14ac:dyDescent="0.25">
      <c r="A175" s="102"/>
      <c r="B175" s="33"/>
      <c r="C175" s="25"/>
      <c r="D175" s="26"/>
      <c r="E175" s="33"/>
      <c r="F175" s="25"/>
      <c r="G175" s="55"/>
      <c r="J175" s="76">
        <f ca="1"/>
        <v>46181</v>
      </c>
      <c r="K175" s="41">
        <f ca="1"/>
        <v>107.941</v>
      </c>
      <c r="N175" s="37" t="str">
        <f t="shared" ca="1" si="18"/>
        <v/>
      </c>
      <c r="O175" s="37" t="str">
        <f t="shared" ca="1" si="19"/>
        <v/>
      </c>
    </row>
    <row r="176" spans="1:15" x14ac:dyDescent="0.25">
      <c r="A176" s="102"/>
      <c r="B176" s="33"/>
      <c r="C176" s="25"/>
      <c r="D176" s="26"/>
      <c r="E176" s="33"/>
      <c r="F176" s="25"/>
      <c r="G176" s="55"/>
      <c r="J176" s="76">
        <f ca="1"/>
        <v>46182</v>
      </c>
      <c r="K176" s="41">
        <f ca="1"/>
        <v>107.9772</v>
      </c>
      <c r="N176" s="37" t="str">
        <f t="shared" ca="1" si="18"/>
        <v/>
      </c>
      <c r="O176" s="37" t="str">
        <f t="shared" ca="1" si="19"/>
        <v/>
      </c>
    </row>
    <row r="177" spans="1:15" x14ac:dyDescent="0.25">
      <c r="A177" s="102"/>
      <c r="B177" s="33"/>
      <c r="C177" s="25"/>
      <c r="D177" s="26"/>
      <c r="E177" s="33"/>
      <c r="F177" s="25"/>
      <c r="G177" s="55"/>
      <c r="J177" s="76">
        <f ca="1"/>
        <v>46183</v>
      </c>
      <c r="K177" s="41">
        <f ca="1"/>
        <v>107.8031</v>
      </c>
      <c r="N177" s="37" t="str">
        <f t="shared" ca="1" si="18"/>
        <v/>
      </c>
      <c r="O177" s="37" t="str">
        <f t="shared" ca="1" si="19"/>
        <v/>
      </c>
    </row>
    <row r="178" spans="1:15" x14ac:dyDescent="0.25">
      <c r="A178" s="102"/>
      <c r="B178" s="33"/>
      <c r="C178" s="25"/>
      <c r="D178" s="26"/>
      <c r="E178" s="33"/>
      <c r="F178" s="25"/>
      <c r="G178" s="55"/>
      <c r="J178" s="76">
        <f ca="1"/>
        <v>46184</v>
      </c>
      <c r="K178" s="41">
        <f ca="1"/>
        <v>108.25749999999999</v>
      </c>
      <c r="N178" s="37" t="str">
        <f t="shared" ca="1" si="18"/>
        <v/>
      </c>
      <c r="O178" s="37" t="str">
        <f t="shared" ca="1" si="19"/>
        <v/>
      </c>
    </row>
    <row r="179" spans="1:15" x14ac:dyDescent="0.25">
      <c r="A179" s="102"/>
      <c r="B179" s="33"/>
      <c r="C179" s="25"/>
      <c r="D179" s="26"/>
      <c r="E179" s="33"/>
      <c r="F179" s="25"/>
      <c r="G179" s="55"/>
      <c r="J179" s="76">
        <f ca="1"/>
        <v>46185</v>
      </c>
      <c r="K179" s="41">
        <f ca="1"/>
        <v>108.33</v>
      </c>
      <c r="N179" s="37" t="str">
        <f t="shared" ca="1" si="18"/>
        <v/>
      </c>
      <c r="O179" s="37" t="str">
        <f t="shared" ca="1" si="19"/>
        <v/>
      </c>
    </row>
    <row r="180" spans="1:15" x14ac:dyDescent="0.25">
      <c r="A180" s="102"/>
      <c r="B180" s="33"/>
      <c r="C180" s="25"/>
      <c r="D180" s="26"/>
      <c r="E180" s="33"/>
      <c r="F180" s="25"/>
      <c r="G180" s="55"/>
      <c r="J180" s="76">
        <f ca="1"/>
        <v>46188</v>
      </c>
      <c r="K180" s="41">
        <f ca="1"/>
        <v>108.4503</v>
      </c>
      <c r="N180" s="37" t="str">
        <f t="shared" ca="1" si="18"/>
        <v/>
      </c>
      <c r="O180" s="37" t="str">
        <f t="shared" ca="1" si="19"/>
        <v/>
      </c>
    </row>
    <row r="181" spans="1:15" x14ac:dyDescent="0.25">
      <c r="A181" s="102"/>
      <c r="B181" s="33"/>
      <c r="C181" s="25"/>
      <c r="D181" s="26"/>
      <c r="E181" s="33"/>
      <c r="F181" s="25"/>
      <c r="G181" s="55"/>
      <c r="J181" s="76">
        <f ca="1"/>
        <v>46189</v>
      </c>
      <c r="K181" s="41">
        <f ca="1"/>
        <v>108.28530000000001</v>
      </c>
      <c r="N181" s="37" t="str">
        <f t="shared" ca="1" si="18"/>
        <v/>
      </c>
      <c r="O181" s="37" t="str">
        <f t="shared" ca="1" si="19"/>
        <v/>
      </c>
    </row>
    <row r="182" spans="1:15" x14ac:dyDescent="0.25">
      <c r="A182" s="102"/>
      <c r="B182" s="33"/>
      <c r="C182" s="25"/>
      <c r="D182" s="26"/>
      <c r="E182" s="33"/>
      <c r="F182" s="25"/>
      <c r="G182" s="55"/>
      <c r="J182" s="76">
        <f ca="1"/>
        <v>46190</v>
      </c>
      <c r="K182" s="41">
        <f ca="1"/>
        <v>108.02030000000001</v>
      </c>
      <c r="N182" s="37" t="str">
        <f t="shared" ca="1" si="18"/>
        <v/>
      </c>
      <c r="O182" s="37" t="str">
        <f t="shared" ca="1" si="19"/>
        <v/>
      </c>
    </row>
    <row r="183" spans="1:15" x14ac:dyDescent="0.25">
      <c r="A183" s="102"/>
      <c r="B183" s="33"/>
      <c r="C183" s="25"/>
      <c r="D183" s="26"/>
      <c r="E183" s="33"/>
      <c r="F183" s="25"/>
      <c r="G183" s="55"/>
      <c r="N183" s="37" t="str">
        <f t="shared" ca="1" si="18"/>
        <v/>
      </c>
      <c r="O183" s="37" t="str">
        <f t="shared" ca="1" si="19"/>
        <v/>
      </c>
    </row>
    <row r="184" spans="1:15" x14ac:dyDescent="0.25">
      <c r="A184" s="102"/>
      <c r="B184" s="33"/>
      <c r="C184" s="25"/>
      <c r="D184" s="26"/>
      <c r="E184" s="33"/>
      <c r="F184" s="25"/>
      <c r="G184" s="55"/>
      <c r="N184" s="37" t="str">
        <f t="shared" ca="1" si="18"/>
        <v/>
      </c>
      <c r="O184" s="37" t="str">
        <f t="shared" ca="1" si="19"/>
        <v/>
      </c>
    </row>
    <row r="185" spans="1:15" x14ac:dyDescent="0.25">
      <c r="A185" s="102"/>
      <c r="B185" s="33"/>
      <c r="C185" s="25"/>
      <c r="D185" s="26"/>
      <c r="E185" s="33"/>
      <c r="F185" s="25"/>
      <c r="G185" s="55"/>
      <c r="N185" s="37" t="str">
        <f t="shared" ca="1" si="18"/>
        <v/>
      </c>
      <c r="O185" s="37" t="str">
        <f t="shared" ca="1" si="19"/>
        <v/>
      </c>
    </row>
    <row r="186" spans="1:15" x14ac:dyDescent="0.25">
      <c r="A186" s="102"/>
      <c r="B186" s="33"/>
      <c r="C186" s="25"/>
      <c r="D186" s="26"/>
      <c r="E186" s="33"/>
      <c r="F186" s="25"/>
      <c r="G186" s="55"/>
      <c r="N186" s="37" t="str">
        <f t="shared" ca="1" si="18"/>
        <v/>
      </c>
      <c r="O186" s="37" t="str">
        <f t="shared" ca="1" si="19"/>
        <v/>
      </c>
    </row>
    <row r="187" spans="1:15" x14ac:dyDescent="0.25">
      <c r="A187" s="102"/>
      <c r="B187" s="33"/>
      <c r="C187" s="25"/>
      <c r="D187" s="26"/>
      <c r="E187" s="33"/>
      <c r="F187" s="25"/>
      <c r="G187" s="55"/>
      <c r="N187" s="37" t="str">
        <f t="shared" ca="1" si="18"/>
        <v/>
      </c>
      <c r="O187" s="37" t="str">
        <f t="shared" ca="1" si="19"/>
        <v/>
      </c>
    </row>
    <row r="188" spans="1:15" x14ac:dyDescent="0.25">
      <c r="A188" s="102"/>
      <c r="B188" s="33"/>
      <c r="C188" s="25"/>
      <c r="D188" s="26"/>
      <c r="E188" s="33"/>
      <c r="F188" s="25"/>
      <c r="G188" s="55"/>
      <c r="N188" s="37" t="str">
        <f t="shared" ca="1" si="18"/>
        <v/>
      </c>
      <c r="O188" s="37" t="str">
        <f t="shared" ca="1" si="19"/>
        <v/>
      </c>
    </row>
    <row r="189" spans="1:15" x14ac:dyDescent="0.25">
      <c r="A189" s="102"/>
      <c r="B189" s="33"/>
      <c r="C189" s="25"/>
      <c r="D189" s="26"/>
      <c r="E189" s="33"/>
      <c r="F189" s="25"/>
      <c r="G189" s="55"/>
      <c r="N189" s="37" t="str">
        <f t="shared" ca="1" si="18"/>
        <v/>
      </c>
      <c r="O189" s="37" t="str">
        <f t="shared" ca="1" si="19"/>
        <v/>
      </c>
    </row>
    <row r="190" spans="1:15" x14ac:dyDescent="0.25">
      <c r="A190" s="102"/>
      <c r="B190" s="33"/>
      <c r="C190" s="25"/>
      <c r="D190" s="26"/>
      <c r="E190" s="33"/>
      <c r="F190" s="25"/>
      <c r="G190" s="55"/>
      <c r="N190" s="37" t="str">
        <f t="shared" ca="1" si="18"/>
        <v/>
      </c>
      <c r="O190" s="37" t="str">
        <f t="shared" ca="1" si="19"/>
        <v/>
      </c>
    </row>
    <row r="191" spans="1:15" x14ac:dyDescent="0.25">
      <c r="A191" s="102"/>
      <c r="B191" s="33"/>
      <c r="C191" s="25"/>
      <c r="D191" s="26"/>
      <c r="E191" s="33"/>
      <c r="F191" s="25"/>
      <c r="G191" s="55"/>
      <c r="N191" s="37" t="str">
        <f t="shared" ca="1" si="18"/>
        <v/>
      </c>
      <c r="O191" s="37" t="str">
        <f t="shared" ca="1" si="19"/>
        <v/>
      </c>
    </row>
    <row r="192" spans="1:15" x14ac:dyDescent="0.25">
      <c r="A192" s="102"/>
      <c r="B192" s="33"/>
      <c r="C192" s="25"/>
      <c r="D192" s="26"/>
      <c r="E192" s="33"/>
      <c r="F192" s="25"/>
      <c r="G192" s="55"/>
      <c r="N192" s="37" t="str">
        <f t="shared" ca="1" si="18"/>
        <v/>
      </c>
      <c r="O192" s="37" t="str">
        <f t="shared" ca="1" si="19"/>
        <v/>
      </c>
    </row>
    <row r="193" spans="1:15" x14ac:dyDescent="0.25">
      <c r="A193" s="102"/>
      <c r="B193" s="33"/>
      <c r="C193" s="25"/>
      <c r="D193" s="26"/>
      <c r="E193" s="33"/>
      <c r="F193" s="25"/>
      <c r="G193" s="55"/>
      <c r="N193" s="37" t="str">
        <f t="shared" ca="1" si="18"/>
        <v/>
      </c>
      <c r="O193" s="37" t="str">
        <f t="shared" ca="1" si="19"/>
        <v/>
      </c>
    </row>
    <row r="194" spans="1:15" x14ac:dyDescent="0.25">
      <c r="A194" s="102"/>
      <c r="B194" s="33"/>
      <c r="C194" s="25"/>
      <c r="D194" s="26"/>
      <c r="E194" s="33"/>
      <c r="F194" s="25"/>
      <c r="G194" s="55"/>
      <c r="N194" s="37" t="str">
        <f t="shared" ca="1" si="18"/>
        <v/>
      </c>
      <c r="O194" s="37" t="str">
        <f t="shared" ca="1" si="19"/>
        <v/>
      </c>
    </row>
    <row r="195" spans="1:15" x14ac:dyDescent="0.25">
      <c r="A195" s="102"/>
      <c r="B195" s="33"/>
      <c r="C195" s="25"/>
      <c r="D195" s="26"/>
      <c r="E195" s="33"/>
      <c r="F195" s="25"/>
      <c r="G195" s="55"/>
      <c r="N195" s="37" t="str">
        <f t="shared" ca="1" si="18"/>
        <v/>
      </c>
      <c r="O195" s="37" t="str">
        <f t="shared" ca="1" si="19"/>
        <v/>
      </c>
    </row>
    <row r="196" spans="1:15" x14ac:dyDescent="0.25">
      <c r="A196" s="102"/>
      <c r="B196" s="33"/>
      <c r="C196" s="25"/>
      <c r="D196" s="26"/>
      <c r="E196" s="33"/>
      <c r="F196" s="25"/>
      <c r="G196" s="55"/>
      <c r="N196" s="37" t="str">
        <f t="shared" ref="N196:N259" ca="1" si="20">IF(COUNTIF(L:L,J196),J196,"")</f>
        <v/>
      </c>
      <c r="O196" s="37" t="str">
        <f t="shared" ref="O196:O259" ca="1" si="21">IF(N196&gt;$A$14,N196,"")</f>
        <v/>
      </c>
    </row>
    <row r="197" spans="1:15" x14ac:dyDescent="0.25">
      <c r="A197" s="102"/>
      <c r="B197" s="33"/>
      <c r="C197" s="25"/>
      <c r="D197" s="26"/>
      <c r="E197" s="33"/>
      <c r="F197" s="25"/>
      <c r="G197" s="55"/>
      <c r="N197" s="37" t="str">
        <f t="shared" ca="1" si="20"/>
        <v/>
      </c>
      <c r="O197" s="37" t="str">
        <f t="shared" ca="1" si="21"/>
        <v/>
      </c>
    </row>
    <row r="198" spans="1:15" x14ac:dyDescent="0.25">
      <c r="A198" s="102"/>
      <c r="B198" s="33"/>
      <c r="C198" s="25"/>
      <c r="D198" s="26"/>
      <c r="E198" s="33"/>
      <c r="F198" s="25"/>
      <c r="G198" s="55"/>
      <c r="N198" s="37" t="str">
        <f t="shared" ca="1" si="20"/>
        <v/>
      </c>
      <c r="O198" s="37" t="str">
        <f t="shared" ca="1" si="21"/>
        <v/>
      </c>
    </row>
    <row r="199" spans="1:15" x14ac:dyDescent="0.25">
      <c r="A199" s="102"/>
      <c r="B199" s="33"/>
      <c r="C199" s="25"/>
      <c r="D199" s="26"/>
      <c r="E199" s="33"/>
      <c r="F199" s="25"/>
      <c r="G199" s="55"/>
      <c r="N199" s="37" t="str">
        <f t="shared" ca="1" si="20"/>
        <v/>
      </c>
      <c r="O199" s="37" t="str">
        <f t="shared" ca="1" si="21"/>
        <v/>
      </c>
    </row>
    <row r="200" spans="1:15" x14ac:dyDescent="0.25">
      <c r="A200" s="102"/>
      <c r="B200" s="33"/>
      <c r="C200" s="25"/>
      <c r="D200" s="26"/>
      <c r="E200" s="33"/>
      <c r="F200" s="25"/>
      <c r="G200" s="55"/>
      <c r="N200" s="37" t="str">
        <f t="shared" ca="1" si="20"/>
        <v/>
      </c>
      <c r="O200" s="37" t="str">
        <f t="shared" ca="1" si="21"/>
        <v/>
      </c>
    </row>
    <row r="201" spans="1:15" x14ac:dyDescent="0.25">
      <c r="A201" s="102"/>
      <c r="B201" s="33"/>
      <c r="C201" s="25"/>
      <c r="D201" s="26"/>
      <c r="E201" s="33"/>
      <c r="F201" s="25"/>
      <c r="G201" s="55"/>
      <c r="N201" s="37" t="str">
        <f t="shared" ca="1" si="20"/>
        <v/>
      </c>
      <c r="O201" s="37" t="str">
        <f t="shared" ca="1" si="21"/>
        <v/>
      </c>
    </row>
    <row r="202" spans="1:15" x14ac:dyDescent="0.25">
      <c r="A202" s="102"/>
      <c r="B202" s="33"/>
      <c r="C202" s="25"/>
      <c r="D202" s="26"/>
      <c r="E202" s="33"/>
      <c r="F202" s="25"/>
      <c r="G202" s="55"/>
      <c r="N202" s="37" t="str">
        <f t="shared" ca="1" si="20"/>
        <v/>
      </c>
      <c r="O202" s="37" t="str">
        <f t="shared" ca="1" si="21"/>
        <v/>
      </c>
    </row>
    <row r="203" spans="1:15" x14ac:dyDescent="0.25">
      <c r="A203" s="102"/>
      <c r="B203" s="33"/>
      <c r="C203" s="25"/>
      <c r="D203" s="26"/>
      <c r="E203" s="33"/>
      <c r="F203" s="25"/>
      <c r="G203" s="55"/>
      <c r="N203" s="37" t="str">
        <f t="shared" ca="1" si="20"/>
        <v/>
      </c>
      <c r="O203" s="37" t="str">
        <f t="shared" ca="1" si="21"/>
        <v/>
      </c>
    </row>
    <row r="204" spans="1:15" x14ac:dyDescent="0.25">
      <c r="A204" s="102"/>
      <c r="B204" s="33"/>
      <c r="C204" s="25"/>
      <c r="D204" s="26"/>
      <c r="E204" s="33"/>
      <c r="F204" s="25"/>
      <c r="G204" s="55"/>
      <c r="N204" s="37" t="str">
        <f t="shared" ca="1" si="20"/>
        <v/>
      </c>
      <c r="O204" s="37" t="str">
        <f t="shared" ca="1" si="21"/>
        <v/>
      </c>
    </row>
    <row r="205" spans="1:15" x14ac:dyDescent="0.25">
      <c r="A205" s="102"/>
      <c r="B205" s="33"/>
      <c r="C205" s="25"/>
      <c r="D205" s="26"/>
      <c r="E205" s="33"/>
      <c r="F205" s="25"/>
      <c r="G205" s="55"/>
      <c r="N205" s="37" t="str">
        <f t="shared" ca="1" si="20"/>
        <v/>
      </c>
      <c r="O205" s="37" t="str">
        <f t="shared" ca="1" si="21"/>
        <v/>
      </c>
    </row>
    <row r="206" spans="1:15" x14ac:dyDescent="0.25">
      <c r="A206" s="102"/>
      <c r="B206" s="33"/>
      <c r="C206" s="25"/>
      <c r="D206" s="26"/>
      <c r="E206" s="33"/>
      <c r="F206" s="25"/>
      <c r="G206" s="55"/>
      <c r="N206" s="37" t="str">
        <f t="shared" ca="1" si="20"/>
        <v/>
      </c>
      <c r="O206" s="37" t="str">
        <f t="shared" ca="1" si="21"/>
        <v/>
      </c>
    </row>
    <row r="207" spans="1:15" x14ac:dyDescent="0.25">
      <c r="A207" s="102"/>
      <c r="B207" s="33"/>
      <c r="C207" s="25"/>
      <c r="D207" s="26"/>
      <c r="E207" s="33"/>
      <c r="F207" s="25"/>
      <c r="G207" s="55"/>
      <c r="N207" s="37" t="str">
        <f t="shared" ca="1" si="20"/>
        <v/>
      </c>
      <c r="O207" s="37" t="str">
        <f t="shared" ca="1" si="21"/>
        <v/>
      </c>
    </row>
    <row r="208" spans="1:15" x14ac:dyDescent="0.25">
      <c r="A208" s="102"/>
      <c r="B208" s="33"/>
      <c r="C208" s="25"/>
      <c r="D208" s="26"/>
      <c r="E208" s="33"/>
      <c r="F208" s="25"/>
      <c r="G208" s="55"/>
      <c r="N208" s="37" t="str">
        <f t="shared" ca="1" si="20"/>
        <v/>
      </c>
      <c r="O208" s="37" t="str">
        <f t="shared" ca="1" si="21"/>
        <v/>
      </c>
    </row>
    <row r="209" spans="1:15" x14ac:dyDescent="0.25">
      <c r="A209" s="102"/>
      <c r="B209" s="33"/>
      <c r="C209" s="25"/>
      <c r="D209" s="26"/>
      <c r="E209" s="33"/>
      <c r="F209" s="25"/>
      <c r="G209" s="55"/>
      <c r="N209" s="37" t="str">
        <f t="shared" ca="1" si="20"/>
        <v/>
      </c>
      <c r="O209" s="37" t="str">
        <f t="shared" ca="1" si="21"/>
        <v/>
      </c>
    </row>
    <row r="210" spans="1:15" x14ac:dyDescent="0.25">
      <c r="A210" s="102"/>
      <c r="B210" s="33"/>
      <c r="C210" s="25"/>
      <c r="D210" s="26"/>
      <c r="E210" s="33"/>
      <c r="F210" s="25"/>
      <c r="G210" s="55"/>
      <c r="N210" s="37" t="str">
        <f t="shared" ca="1" si="20"/>
        <v/>
      </c>
      <c r="O210" s="37" t="str">
        <f t="shared" ca="1" si="21"/>
        <v/>
      </c>
    </row>
    <row r="211" spans="1:15" x14ac:dyDescent="0.25">
      <c r="A211" s="102"/>
      <c r="B211" s="33"/>
      <c r="C211" s="25"/>
      <c r="D211" s="26"/>
      <c r="E211" s="33"/>
      <c r="F211" s="25"/>
      <c r="G211" s="55"/>
      <c r="N211" s="37" t="str">
        <f t="shared" ca="1" si="20"/>
        <v/>
      </c>
      <c r="O211" s="37" t="str">
        <f t="shared" ca="1" si="21"/>
        <v/>
      </c>
    </row>
    <row r="212" spans="1:15" x14ac:dyDescent="0.25">
      <c r="A212" s="102"/>
      <c r="B212" s="33"/>
      <c r="C212" s="25"/>
      <c r="D212" s="26"/>
      <c r="E212" s="33"/>
      <c r="F212" s="25"/>
      <c r="G212" s="55"/>
      <c r="N212" s="37" t="str">
        <f t="shared" ca="1" si="20"/>
        <v/>
      </c>
      <c r="O212" s="37" t="str">
        <f t="shared" ca="1" si="21"/>
        <v/>
      </c>
    </row>
    <row r="213" spans="1:15" x14ac:dyDescent="0.25">
      <c r="A213" s="102"/>
      <c r="B213" s="33"/>
      <c r="C213" s="25"/>
      <c r="D213" s="26"/>
      <c r="E213" s="33"/>
      <c r="F213" s="25"/>
      <c r="G213" s="55"/>
      <c r="N213" s="37" t="str">
        <f t="shared" ca="1" si="20"/>
        <v/>
      </c>
      <c r="O213" s="37" t="str">
        <f t="shared" ca="1" si="21"/>
        <v/>
      </c>
    </row>
    <row r="214" spans="1:15" x14ac:dyDescent="0.25">
      <c r="A214" s="102"/>
      <c r="B214" s="33"/>
      <c r="C214" s="25"/>
      <c r="D214" s="26"/>
      <c r="E214" s="33"/>
      <c r="F214" s="25"/>
      <c r="G214" s="55"/>
      <c r="N214" s="37" t="str">
        <f t="shared" ca="1" si="20"/>
        <v/>
      </c>
      <c r="O214" s="37" t="str">
        <f t="shared" ca="1" si="21"/>
        <v/>
      </c>
    </row>
    <row r="215" spans="1:15" x14ac:dyDescent="0.25">
      <c r="A215" s="102"/>
      <c r="B215" s="33"/>
      <c r="C215" s="25"/>
      <c r="D215" s="26"/>
      <c r="E215" s="33"/>
      <c r="F215" s="25"/>
      <c r="G215" s="55"/>
      <c r="N215" s="37" t="str">
        <f t="shared" ca="1" si="20"/>
        <v/>
      </c>
      <c r="O215" s="37" t="str">
        <f t="shared" ca="1" si="21"/>
        <v/>
      </c>
    </row>
    <row r="216" spans="1:15" x14ac:dyDescent="0.25">
      <c r="A216" s="102"/>
      <c r="B216" s="33"/>
      <c r="C216" s="25"/>
      <c r="D216" s="26"/>
      <c r="E216" s="33"/>
      <c r="F216" s="25"/>
      <c r="G216" s="55"/>
      <c r="N216" s="37" t="str">
        <f t="shared" ca="1" si="20"/>
        <v/>
      </c>
      <c r="O216" s="37" t="str">
        <f t="shared" ca="1" si="21"/>
        <v/>
      </c>
    </row>
    <row r="217" spans="1:15" x14ac:dyDescent="0.25">
      <c r="A217" s="102"/>
      <c r="B217" s="33"/>
      <c r="C217" s="25"/>
      <c r="D217" s="26"/>
      <c r="E217" s="33"/>
      <c r="F217" s="25"/>
      <c r="G217" s="55"/>
      <c r="N217" s="37" t="str">
        <f t="shared" ca="1" si="20"/>
        <v/>
      </c>
      <c r="O217" s="37" t="str">
        <f t="shared" ca="1" si="21"/>
        <v/>
      </c>
    </row>
    <row r="218" spans="1:15" x14ac:dyDescent="0.25">
      <c r="A218" s="102"/>
      <c r="B218" s="33"/>
      <c r="C218" s="25"/>
      <c r="D218" s="26"/>
      <c r="E218" s="33"/>
      <c r="F218" s="25"/>
      <c r="G218" s="55"/>
      <c r="N218" s="37" t="str">
        <f t="shared" ca="1" si="20"/>
        <v/>
      </c>
      <c r="O218" s="37" t="str">
        <f t="shared" ca="1" si="21"/>
        <v/>
      </c>
    </row>
    <row r="219" spans="1:15" x14ac:dyDescent="0.25">
      <c r="A219" s="102"/>
      <c r="B219" s="33"/>
      <c r="C219" s="25"/>
      <c r="D219" s="26"/>
      <c r="E219" s="33"/>
      <c r="F219" s="25"/>
      <c r="G219" s="55"/>
      <c r="N219" s="37" t="str">
        <f t="shared" ca="1" si="20"/>
        <v/>
      </c>
      <c r="O219" s="37" t="str">
        <f t="shared" ca="1" si="21"/>
        <v/>
      </c>
    </row>
    <row r="220" spans="1:15" x14ac:dyDescent="0.25">
      <c r="A220" s="102"/>
      <c r="B220" s="33"/>
      <c r="C220" s="25"/>
      <c r="D220" s="26"/>
      <c r="E220" s="33"/>
      <c r="F220" s="25"/>
      <c r="G220" s="55"/>
      <c r="N220" s="37" t="str">
        <f t="shared" ca="1" si="20"/>
        <v/>
      </c>
      <c r="O220" s="37" t="str">
        <f t="shared" ca="1" si="21"/>
        <v/>
      </c>
    </row>
    <row r="221" spans="1:15" x14ac:dyDescent="0.25">
      <c r="A221" s="102"/>
      <c r="B221" s="33"/>
      <c r="C221" s="25"/>
      <c r="D221" s="26"/>
      <c r="E221" s="33"/>
      <c r="F221" s="25"/>
      <c r="G221" s="55"/>
      <c r="N221" s="37" t="str">
        <f t="shared" ca="1" si="20"/>
        <v/>
      </c>
      <c r="O221" s="37" t="str">
        <f t="shared" ca="1" si="21"/>
        <v/>
      </c>
    </row>
    <row r="222" spans="1:15" x14ac:dyDescent="0.25">
      <c r="A222" s="102"/>
      <c r="B222" s="33"/>
      <c r="C222" s="25"/>
      <c r="D222" s="26"/>
      <c r="E222" s="33"/>
      <c r="F222" s="25"/>
      <c r="G222" s="55"/>
      <c r="N222" s="37" t="str">
        <f t="shared" ca="1" si="20"/>
        <v/>
      </c>
      <c r="O222" s="37" t="str">
        <f t="shared" ca="1" si="21"/>
        <v/>
      </c>
    </row>
    <row r="223" spans="1:15" x14ac:dyDescent="0.25">
      <c r="A223" s="102"/>
      <c r="B223" s="33"/>
      <c r="C223" s="25"/>
      <c r="D223" s="26"/>
      <c r="E223" s="33"/>
      <c r="F223" s="25"/>
      <c r="G223" s="55"/>
      <c r="N223" s="37" t="str">
        <f t="shared" ca="1" si="20"/>
        <v/>
      </c>
      <c r="O223" s="37" t="str">
        <f t="shared" ca="1" si="21"/>
        <v/>
      </c>
    </row>
    <row r="224" spans="1:15" x14ac:dyDescent="0.25">
      <c r="A224" s="102"/>
      <c r="B224" s="33"/>
      <c r="C224" s="25"/>
      <c r="D224" s="26"/>
      <c r="E224" s="33"/>
      <c r="F224" s="25"/>
      <c r="G224" s="55"/>
      <c r="N224" s="37" t="str">
        <f t="shared" ca="1" si="20"/>
        <v/>
      </c>
      <c r="O224" s="37" t="str">
        <f t="shared" ca="1" si="21"/>
        <v/>
      </c>
    </row>
    <row r="225" spans="1:15" x14ac:dyDescent="0.25">
      <c r="A225" s="102"/>
      <c r="B225" s="33"/>
      <c r="C225" s="25"/>
      <c r="D225" s="26"/>
      <c r="E225" s="33"/>
      <c r="F225" s="25"/>
      <c r="G225" s="55"/>
      <c r="N225" s="37" t="str">
        <f t="shared" ca="1" si="20"/>
        <v/>
      </c>
      <c r="O225" s="37" t="str">
        <f t="shared" ca="1" si="21"/>
        <v/>
      </c>
    </row>
    <row r="226" spans="1:15" x14ac:dyDescent="0.25">
      <c r="A226" s="102"/>
      <c r="B226" s="33"/>
      <c r="C226" s="25"/>
      <c r="D226" s="26"/>
      <c r="E226" s="33"/>
      <c r="F226" s="25"/>
      <c r="G226" s="55"/>
      <c r="N226" s="37" t="str">
        <f t="shared" ca="1" si="20"/>
        <v/>
      </c>
      <c r="O226" s="37" t="str">
        <f t="shared" ca="1" si="21"/>
        <v/>
      </c>
    </row>
    <row r="227" spans="1:15" x14ac:dyDescent="0.25">
      <c r="A227" s="102"/>
      <c r="B227" s="33"/>
      <c r="C227" s="25"/>
      <c r="D227" s="26"/>
      <c r="E227" s="33"/>
      <c r="F227" s="25"/>
      <c r="G227" s="55"/>
      <c r="N227" s="37" t="str">
        <f t="shared" ca="1" si="20"/>
        <v/>
      </c>
      <c r="O227" s="37" t="str">
        <f t="shared" ca="1" si="21"/>
        <v/>
      </c>
    </row>
    <row r="228" spans="1:15" x14ac:dyDescent="0.25">
      <c r="A228" s="102"/>
      <c r="B228" s="33"/>
      <c r="C228" s="25"/>
      <c r="D228" s="26"/>
      <c r="E228" s="33"/>
      <c r="F228" s="25"/>
      <c r="G228" s="55"/>
      <c r="N228" s="37" t="str">
        <f t="shared" ca="1" si="20"/>
        <v/>
      </c>
      <c r="O228" s="37" t="str">
        <f t="shared" ca="1" si="21"/>
        <v/>
      </c>
    </row>
    <row r="229" spans="1:15" x14ac:dyDescent="0.25">
      <c r="A229" s="102"/>
      <c r="B229" s="33"/>
      <c r="C229" s="25"/>
      <c r="D229" s="26"/>
      <c r="E229" s="33"/>
      <c r="F229" s="25"/>
      <c r="G229" s="55"/>
      <c r="N229" s="37" t="str">
        <f t="shared" ca="1" si="20"/>
        <v/>
      </c>
      <c r="O229" s="37" t="str">
        <f t="shared" ca="1" si="21"/>
        <v/>
      </c>
    </row>
    <row r="230" spans="1:15" x14ac:dyDescent="0.25">
      <c r="A230" s="102"/>
      <c r="B230" s="33"/>
      <c r="C230" s="25"/>
      <c r="D230" s="26"/>
      <c r="E230" s="33"/>
      <c r="F230" s="25"/>
      <c r="G230" s="55"/>
      <c r="N230" s="37" t="str">
        <f t="shared" ca="1" si="20"/>
        <v/>
      </c>
      <c r="O230" s="37" t="str">
        <f t="shared" ca="1" si="21"/>
        <v/>
      </c>
    </row>
    <row r="231" spans="1:15" x14ac:dyDescent="0.25">
      <c r="A231" s="102"/>
      <c r="B231" s="33"/>
      <c r="C231" s="25"/>
      <c r="D231" s="26"/>
      <c r="E231" s="33"/>
      <c r="F231" s="25"/>
      <c r="G231" s="55"/>
      <c r="N231" s="37" t="str">
        <f t="shared" ca="1" si="20"/>
        <v/>
      </c>
      <c r="O231" s="37" t="str">
        <f t="shared" ca="1" si="21"/>
        <v/>
      </c>
    </row>
    <row r="232" spans="1:15" x14ac:dyDescent="0.25">
      <c r="A232" s="102"/>
      <c r="B232" s="33"/>
      <c r="C232" s="25"/>
      <c r="D232" s="26"/>
      <c r="E232" s="33"/>
      <c r="F232" s="25"/>
      <c r="G232" s="55"/>
      <c r="N232" s="37" t="str">
        <f t="shared" ca="1" si="20"/>
        <v/>
      </c>
      <c r="O232" s="37" t="str">
        <f t="shared" ca="1" si="21"/>
        <v/>
      </c>
    </row>
    <row r="233" spans="1:15" x14ac:dyDescent="0.25">
      <c r="A233" s="102"/>
      <c r="B233" s="33"/>
      <c r="C233" s="25"/>
      <c r="D233" s="26"/>
      <c r="E233" s="33"/>
      <c r="F233" s="25"/>
      <c r="G233" s="55"/>
      <c r="N233" s="37" t="str">
        <f t="shared" ca="1" si="20"/>
        <v/>
      </c>
      <c r="O233" s="37" t="str">
        <f t="shared" ca="1" si="21"/>
        <v/>
      </c>
    </row>
    <row r="234" spans="1:15" x14ac:dyDescent="0.25">
      <c r="A234" s="102"/>
      <c r="B234" s="33"/>
      <c r="C234" s="25"/>
      <c r="D234" s="26"/>
      <c r="E234" s="33"/>
      <c r="F234" s="25"/>
      <c r="G234" s="55"/>
      <c r="N234" s="37" t="str">
        <f t="shared" ca="1" si="20"/>
        <v/>
      </c>
      <c r="O234" s="37" t="str">
        <f t="shared" ca="1" si="21"/>
        <v/>
      </c>
    </row>
    <row r="235" spans="1:15" x14ac:dyDescent="0.25">
      <c r="A235" s="102"/>
      <c r="B235" s="33"/>
      <c r="C235" s="25"/>
      <c r="D235" s="26"/>
      <c r="E235" s="33"/>
      <c r="F235" s="25"/>
      <c r="G235" s="55"/>
      <c r="N235" s="37" t="str">
        <f t="shared" ca="1" si="20"/>
        <v/>
      </c>
      <c r="O235" s="37" t="str">
        <f t="shared" ca="1" si="21"/>
        <v/>
      </c>
    </row>
    <row r="236" spans="1:15" x14ac:dyDescent="0.25">
      <c r="A236" s="102"/>
      <c r="B236" s="33"/>
      <c r="C236" s="25"/>
      <c r="D236" s="26"/>
      <c r="E236" s="33"/>
      <c r="F236" s="25"/>
      <c r="G236" s="55"/>
      <c r="N236" s="37" t="str">
        <f t="shared" ca="1" si="20"/>
        <v/>
      </c>
      <c r="O236" s="37" t="str">
        <f t="shared" ca="1" si="21"/>
        <v/>
      </c>
    </row>
    <row r="237" spans="1:15" x14ac:dyDescent="0.25">
      <c r="A237" s="102"/>
      <c r="B237" s="33"/>
      <c r="C237" s="25"/>
      <c r="D237" s="26"/>
      <c r="E237" s="33"/>
      <c r="F237" s="25"/>
      <c r="G237" s="55"/>
      <c r="N237" s="37" t="str">
        <f t="shared" ca="1" si="20"/>
        <v/>
      </c>
      <c r="O237" s="37" t="str">
        <f t="shared" ca="1" si="21"/>
        <v/>
      </c>
    </row>
    <row r="238" spans="1:15" x14ac:dyDescent="0.25">
      <c r="A238" s="102"/>
      <c r="B238" s="33"/>
      <c r="C238" s="25"/>
      <c r="D238" s="26"/>
      <c r="E238" s="33"/>
      <c r="F238" s="25"/>
      <c r="G238" s="55"/>
      <c r="N238" s="37" t="str">
        <f t="shared" ca="1" si="20"/>
        <v/>
      </c>
      <c r="O238" s="37" t="str">
        <f t="shared" ca="1" si="21"/>
        <v/>
      </c>
    </row>
    <row r="239" spans="1:15" x14ac:dyDescent="0.25">
      <c r="A239" s="102"/>
      <c r="B239" s="33"/>
      <c r="C239" s="25"/>
      <c r="D239" s="26"/>
      <c r="E239" s="33"/>
      <c r="F239" s="25"/>
      <c r="G239" s="55"/>
      <c r="N239" s="37" t="str">
        <f t="shared" ca="1" si="20"/>
        <v/>
      </c>
      <c r="O239" s="37" t="str">
        <f t="shared" ca="1" si="21"/>
        <v/>
      </c>
    </row>
    <row r="240" spans="1:15" x14ac:dyDescent="0.25">
      <c r="A240" s="102"/>
      <c r="B240" s="33"/>
      <c r="C240" s="25"/>
      <c r="D240" s="26"/>
      <c r="E240" s="33"/>
      <c r="F240" s="25"/>
      <c r="G240" s="55"/>
      <c r="N240" s="37" t="str">
        <f t="shared" ca="1" si="20"/>
        <v/>
      </c>
      <c r="O240" s="37" t="str">
        <f t="shared" ca="1" si="21"/>
        <v/>
      </c>
    </row>
    <row r="241" spans="1:15" x14ac:dyDescent="0.25">
      <c r="A241" s="102"/>
      <c r="B241" s="33"/>
      <c r="C241" s="25"/>
      <c r="D241" s="26"/>
      <c r="E241" s="33"/>
      <c r="F241" s="25"/>
      <c r="G241" s="55"/>
      <c r="N241" s="37" t="str">
        <f t="shared" ca="1" si="20"/>
        <v/>
      </c>
      <c r="O241" s="37" t="str">
        <f t="shared" ca="1" si="21"/>
        <v/>
      </c>
    </row>
    <row r="242" spans="1:15" x14ac:dyDescent="0.25">
      <c r="A242" s="102"/>
      <c r="B242" s="33"/>
      <c r="C242" s="25"/>
      <c r="D242" s="26"/>
      <c r="E242" s="33"/>
      <c r="F242" s="25"/>
      <c r="G242" s="55"/>
      <c r="N242" s="37" t="str">
        <f t="shared" ca="1" si="20"/>
        <v/>
      </c>
      <c r="O242" s="37" t="str">
        <f t="shared" ca="1" si="21"/>
        <v/>
      </c>
    </row>
    <row r="243" spans="1:15" x14ac:dyDescent="0.25">
      <c r="A243" s="102"/>
      <c r="B243" s="33"/>
      <c r="C243" s="25"/>
      <c r="D243" s="26"/>
      <c r="E243" s="33"/>
      <c r="F243" s="25"/>
      <c r="G243" s="55"/>
      <c r="N243" s="37" t="str">
        <f t="shared" ca="1" si="20"/>
        <v/>
      </c>
      <c r="O243" s="37" t="str">
        <f t="shared" ca="1" si="21"/>
        <v/>
      </c>
    </row>
    <row r="244" spans="1:15" x14ac:dyDescent="0.25">
      <c r="A244" s="102"/>
      <c r="B244" s="33"/>
      <c r="C244" s="25"/>
      <c r="D244" s="26"/>
      <c r="E244" s="33"/>
      <c r="F244" s="25"/>
      <c r="G244" s="55"/>
      <c r="N244" s="37" t="str">
        <f t="shared" ca="1" si="20"/>
        <v/>
      </c>
      <c r="O244" s="37" t="str">
        <f t="shared" ca="1" si="21"/>
        <v/>
      </c>
    </row>
    <row r="245" spans="1:15" x14ac:dyDescent="0.25">
      <c r="A245" s="102"/>
      <c r="B245" s="33"/>
      <c r="C245" s="25"/>
      <c r="D245" s="26"/>
      <c r="E245" s="33"/>
      <c r="F245" s="25"/>
      <c r="G245" s="55"/>
      <c r="N245" s="37" t="str">
        <f t="shared" ca="1" si="20"/>
        <v/>
      </c>
      <c r="O245" s="37" t="str">
        <f t="shared" ca="1" si="21"/>
        <v/>
      </c>
    </row>
    <row r="246" spans="1:15" x14ac:dyDescent="0.25">
      <c r="A246" s="102"/>
      <c r="B246" s="33"/>
      <c r="C246" s="25"/>
      <c r="D246" s="26"/>
      <c r="E246" s="33"/>
      <c r="F246" s="25"/>
      <c r="G246" s="55"/>
      <c r="N246" s="37" t="str">
        <f t="shared" ca="1" si="20"/>
        <v/>
      </c>
      <c r="O246" s="37" t="str">
        <f t="shared" ca="1" si="21"/>
        <v/>
      </c>
    </row>
    <row r="247" spans="1:15" x14ac:dyDescent="0.25">
      <c r="A247" s="102"/>
      <c r="B247" s="33"/>
      <c r="C247" s="25"/>
      <c r="D247" s="26"/>
      <c r="E247" s="33"/>
      <c r="F247" s="25"/>
      <c r="G247" s="55"/>
      <c r="N247" s="37" t="str">
        <f t="shared" ca="1" si="20"/>
        <v/>
      </c>
      <c r="O247" s="37" t="str">
        <f t="shared" ca="1" si="21"/>
        <v/>
      </c>
    </row>
    <row r="248" spans="1:15" x14ac:dyDescent="0.25">
      <c r="A248" s="102"/>
      <c r="B248" s="33"/>
      <c r="C248" s="25"/>
      <c r="D248" s="26"/>
      <c r="E248" s="33"/>
      <c r="F248" s="25"/>
      <c r="G248" s="55"/>
      <c r="N248" s="37" t="str">
        <f t="shared" ca="1" si="20"/>
        <v/>
      </c>
      <c r="O248" s="37" t="str">
        <f t="shared" ca="1" si="21"/>
        <v/>
      </c>
    </row>
    <row r="249" spans="1:15" x14ac:dyDescent="0.25">
      <c r="A249" s="102"/>
      <c r="B249" s="33"/>
      <c r="C249" s="25"/>
      <c r="D249" s="26"/>
      <c r="E249" s="33"/>
      <c r="F249" s="25"/>
      <c r="G249" s="55"/>
      <c r="N249" s="37" t="str">
        <f t="shared" ca="1" si="20"/>
        <v/>
      </c>
      <c r="O249" s="37" t="str">
        <f t="shared" ca="1" si="21"/>
        <v/>
      </c>
    </row>
    <row r="250" spans="1:15" x14ac:dyDescent="0.25">
      <c r="A250" s="102"/>
      <c r="B250" s="33"/>
      <c r="C250" s="25"/>
      <c r="D250" s="26"/>
      <c r="E250" s="33"/>
      <c r="F250" s="25"/>
      <c r="G250" s="55"/>
      <c r="N250" s="37" t="str">
        <f t="shared" ca="1" si="20"/>
        <v/>
      </c>
      <c r="O250" s="37" t="str">
        <f t="shared" ca="1" si="21"/>
        <v/>
      </c>
    </row>
    <row r="251" spans="1:15" x14ac:dyDescent="0.25">
      <c r="A251" s="102"/>
      <c r="B251" s="33"/>
      <c r="C251" s="25"/>
      <c r="D251" s="26"/>
      <c r="E251" s="33"/>
      <c r="F251" s="25"/>
      <c r="G251" s="55"/>
      <c r="N251" s="37" t="str">
        <f t="shared" ca="1" si="20"/>
        <v/>
      </c>
      <c r="O251" s="37" t="str">
        <f t="shared" ca="1" si="21"/>
        <v/>
      </c>
    </row>
    <row r="252" spans="1:15" x14ac:dyDescent="0.25">
      <c r="A252" s="102"/>
      <c r="B252" s="33"/>
      <c r="C252" s="25"/>
      <c r="D252" s="26"/>
      <c r="E252" s="33"/>
      <c r="F252" s="25"/>
      <c r="G252" s="55"/>
      <c r="N252" s="37" t="str">
        <f t="shared" ca="1" si="20"/>
        <v/>
      </c>
      <c r="O252" s="37" t="str">
        <f t="shared" ca="1" si="21"/>
        <v/>
      </c>
    </row>
    <row r="253" spans="1:15" x14ac:dyDescent="0.25">
      <c r="A253" s="102"/>
      <c r="B253" s="33"/>
      <c r="C253" s="25"/>
      <c r="D253" s="26"/>
      <c r="E253" s="33"/>
      <c r="F253" s="25"/>
      <c r="G253" s="55"/>
      <c r="N253" s="37" t="str">
        <f t="shared" ca="1" si="20"/>
        <v/>
      </c>
      <c r="O253" s="37" t="str">
        <f t="shared" ca="1" si="21"/>
        <v/>
      </c>
    </row>
    <row r="254" spans="1:15" x14ac:dyDescent="0.25">
      <c r="A254" s="102"/>
      <c r="B254" s="33"/>
      <c r="C254" s="25"/>
      <c r="D254" s="26"/>
      <c r="E254" s="33"/>
      <c r="F254" s="25"/>
      <c r="G254" s="55"/>
      <c r="N254" s="37" t="str">
        <f t="shared" ca="1" si="20"/>
        <v/>
      </c>
      <c r="O254" s="37" t="str">
        <f t="shared" ca="1" si="21"/>
        <v/>
      </c>
    </row>
    <row r="255" spans="1:15" x14ac:dyDescent="0.25">
      <c r="A255" s="102"/>
      <c r="B255" s="33"/>
      <c r="C255" s="25"/>
      <c r="D255" s="26"/>
      <c r="E255" s="33"/>
      <c r="F255" s="25"/>
      <c r="G255" s="55"/>
      <c r="N255" s="37" t="str">
        <f t="shared" ca="1" si="20"/>
        <v/>
      </c>
      <c r="O255" s="37" t="str">
        <f t="shared" ca="1" si="21"/>
        <v/>
      </c>
    </row>
    <row r="256" spans="1:15" x14ac:dyDescent="0.25">
      <c r="A256" s="102"/>
      <c r="B256" s="33"/>
      <c r="C256" s="25"/>
      <c r="D256" s="26"/>
      <c r="E256" s="33"/>
      <c r="F256" s="25"/>
      <c r="G256" s="55"/>
      <c r="N256" s="37" t="str">
        <f t="shared" ca="1" si="20"/>
        <v/>
      </c>
      <c r="O256" s="37" t="str">
        <f t="shared" ca="1" si="21"/>
        <v/>
      </c>
    </row>
    <row r="257" spans="1:15" x14ac:dyDescent="0.25">
      <c r="A257" s="102"/>
      <c r="B257" s="33"/>
      <c r="C257" s="25"/>
      <c r="D257" s="26"/>
      <c r="E257" s="33"/>
      <c r="F257" s="25"/>
      <c r="G257" s="55"/>
      <c r="N257" s="37" t="str">
        <f t="shared" ca="1" si="20"/>
        <v/>
      </c>
      <c r="O257" s="37" t="str">
        <f t="shared" ca="1" si="21"/>
        <v/>
      </c>
    </row>
    <row r="258" spans="1:15" x14ac:dyDescent="0.25">
      <c r="A258" s="102"/>
      <c r="B258" s="33"/>
      <c r="C258" s="25"/>
      <c r="D258" s="26"/>
      <c r="E258" s="33"/>
      <c r="F258" s="25"/>
      <c r="G258" s="55"/>
      <c r="N258" s="37" t="str">
        <f t="shared" ca="1" si="20"/>
        <v/>
      </c>
      <c r="O258" s="37" t="str">
        <f t="shared" ca="1" si="21"/>
        <v/>
      </c>
    </row>
    <row r="259" spans="1:15" x14ac:dyDescent="0.25">
      <c r="A259" s="102"/>
      <c r="B259" s="33"/>
      <c r="C259" s="25"/>
      <c r="D259" s="26"/>
      <c r="E259" s="33"/>
      <c r="F259" s="25"/>
      <c r="G259" s="55"/>
      <c r="N259" s="37" t="str">
        <f t="shared" ca="1" si="20"/>
        <v/>
      </c>
      <c r="O259" s="37" t="str">
        <f t="shared" ca="1" si="21"/>
        <v/>
      </c>
    </row>
    <row r="260" spans="1:15" x14ac:dyDescent="0.25">
      <c r="A260" s="102"/>
      <c r="B260" s="33"/>
      <c r="C260" s="25"/>
      <c r="D260" s="26"/>
      <c r="E260" s="33"/>
      <c r="F260" s="25"/>
      <c r="G260" s="55"/>
      <c r="N260" s="37" t="str">
        <f t="shared" ref="N260:N323" ca="1" si="22">IF(COUNTIF(L:L,J260),J260,"")</f>
        <v/>
      </c>
      <c r="O260" s="37" t="str">
        <f t="shared" ref="O260:O323" ca="1" si="23">IF(N260&gt;$A$14,N260,"")</f>
        <v/>
      </c>
    </row>
    <row r="261" spans="1:15" x14ac:dyDescent="0.25">
      <c r="A261" s="102"/>
      <c r="B261" s="33"/>
      <c r="C261" s="25"/>
      <c r="D261" s="26"/>
      <c r="E261" s="33"/>
      <c r="F261" s="25"/>
      <c r="G261" s="55"/>
      <c r="N261" s="37" t="str">
        <f t="shared" ca="1" si="22"/>
        <v/>
      </c>
      <c r="O261" s="37" t="str">
        <f t="shared" ca="1" si="23"/>
        <v/>
      </c>
    </row>
    <row r="262" spans="1:15" x14ac:dyDescent="0.25">
      <c r="A262" s="102"/>
      <c r="B262" s="33"/>
      <c r="C262" s="25"/>
      <c r="D262" s="26"/>
      <c r="E262" s="33"/>
      <c r="F262" s="25"/>
      <c r="G262" s="55"/>
      <c r="N262" s="37" t="str">
        <f t="shared" ca="1" si="22"/>
        <v/>
      </c>
      <c r="O262" s="37" t="str">
        <f t="shared" ca="1" si="23"/>
        <v/>
      </c>
    </row>
    <row r="263" spans="1:15" x14ac:dyDescent="0.25">
      <c r="A263" s="102"/>
      <c r="B263" s="33"/>
      <c r="C263" s="25"/>
      <c r="D263" s="26"/>
      <c r="E263" s="33"/>
      <c r="F263" s="25"/>
      <c r="G263" s="55"/>
      <c r="N263" s="37" t="str">
        <f t="shared" ca="1" si="22"/>
        <v/>
      </c>
      <c r="O263" s="37" t="str">
        <f t="shared" ca="1" si="23"/>
        <v/>
      </c>
    </row>
    <row r="264" spans="1:15" x14ac:dyDescent="0.25">
      <c r="A264" s="102"/>
      <c r="B264" s="33"/>
      <c r="C264" s="25"/>
      <c r="D264" s="26"/>
      <c r="E264" s="33"/>
      <c r="F264" s="25"/>
      <c r="G264" s="55"/>
      <c r="N264" s="37" t="str">
        <f t="shared" ca="1" si="22"/>
        <v/>
      </c>
      <c r="O264" s="37" t="str">
        <f t="shared" ca="1" si="23"/>
        <v/>
      </c>
    </row>
    <row r="265" spans="1:15" x14ac:dyDescent="0.25">
      <c r="A265" s="102"/>
      <c r="B265" s="33"/>
      <c r="C265" s="25"/>
      <c r="D265" s="26"/>
      <c r="E265" s="33"/>
      <c r="F265" s="25"/>
      <c r="G265" s="55"/>
      <c r="N265" s="37" t="str">
        <f t="shared" ca="1" si="22"/>
        <v/>
      </c>
      <c r="O265" s="37" t="str">
        <f t="shared" ca="1" si="23"/>
        <v/>
      </c>
    </row>
    <row r="266" spans="1:15" x14ac:dyDescent="0.25">
      <c r="A266" s="102"/>
      <c r="B266" s="33"/>
      <c r="C266" s="25"/>
      <c r="D266" s="26"/>
      <c r="E266" s="33"/>
      <c r="F266" s="25"/>
      <c r="G266" s="55"/>
      <c r="N266" s="37" t="str">
        <f t="shared" ca="1" si="22"/>
        <v/>
      </c>
      <c r="O266" s="37" t="str">
        <f t="shared" ca="1" si="23"/>
        <v/>
      </c>
    </row>
    <row r="267" spans="1:15" x14ac:dyDescent="0.25">
      <c r="A267" s="102"/>
      <c r="B267" s="33"/>
      <c r="C267" s="25"/>
      <c r="D267" s="26"/>
      <c r="E267" s="33"/>
      <c r="F267" s="25"/>
      <c r="G267" s="55"/>
      <c r="N267" s="37" t="str">
        <f t="shared" ca="1" si="22"/>
        <v/>
      </c>
      <c r="O267" s="37" t="str">
        <f t="shared" ca="1" si="23"/>
        <v/>
      </c>
    </row>
    <row r="268" spans="1:15" x14ac:dyDescent="0.25">
      <c r="A268" s="102"/>
      <c r="B268" s="33"/>
      <c r="C268" s="25"/>
      <c r="D268" s="26"/>
      <c r="E268" s="33"/>
      <c r="F268" s="25"/>
      <c r="G268" s="55"/>
      <c r="N268" s="37" t="str">
        <f t="shared" ca="1" si="22"/>
        <v/>
      </c>
      <c r="O268" s="37" t="str">
        <f t="shared" ca="1" si="23"/>
        <v/>
      </c>
    </row>
    <row r="269" spans="1:15" x14ac:dyDescent="0.25">
      <c r="A269" s="102"/>
      <c r="B269" s="33"/>
      <c r="C269" s="25"/>
      <c r="D269" s="26"/>
      <c r="E269" s="33"/>
      <c r="F269" s="25"/>
      <c r="G269" s="55"/>
      <c r="N269" s="37" t="str">
        <f t="shared" ca="1" si="22"/>
        <v/>
      </c>
      <c r="O269" s="37" t="str">
        <f t="shared" ca="1" si="23"/>
        <v/>
      </c>
    </row>
    <row r="270" spans="1:15" x14ac:dyDescent="0.25">
      <c r="A270" s="102"/>
      <c r="B270" s="33"/>
      <c r="C270" s="25"/>
      <c r="D270" s="26"/>
      <c r="E270" s="33"/>
      <c r="F270" s="25"/>
      <c r="G270" s="55"/>
      <c r="N270" s="37" t="str">
        <f t="shared" ca="1" si="22"/>
        <v/>
      </c>
      <c r="O270" s="37" t="str">
        <f t="shared" ca="1" si="23"/>
        <v/>
      </c>
    </row>
    <row r="271" spans="1:15" x14ac:dyDescent="0.25">
      <c r="A271" s="102"/>
      <c r="B271" s="33"/>
      <c r="C271" s="25"/>
      <c r="D271" s="26"/>
      <c r="E271" s="33"/>
      <c r="F271" s="25"/>
      <c r="G271" s="55"/>
      <c r="N271" s="37" t="str">
        <f t="shared" ca="1" si="22"/>
        <v/>
      </c>
      <c r="O271" s="37" t="str">
        <f t="shared" ca="1" si="23"/>
        <v/>
      </c>
    </row>
    <row r="272" spans="1:15" x14ac:dyDescent="0.25">
      <c r="A272" s="102"/>
      <c r="B272" s="33"/>
      <c r="C272" s="25"/>
      <c r="D272" s="26"/>
      <c r="E272" s="33"/>
      <c r="F272" s="25"/>
      <c r="G272" s="55"/>
      <c r="N272" s="37" t="str">
        <f t="shared" ca="1" si="22"/>
        <v/>
      </c>
      <c r="O272" s="37" t="str">
        <f t="shared" ca="1" si="23"/>
        <v/>
      </c>
    </row>
    <row r="273" spans="1:15" x14ac:dyDescent="0.25">
      <c r="A273" s="102"/>
      <c r="B273" s="33"/>
      <c r="C273" s="25"/>
      <c r="D273" s="26"/>
      <c r="E273" s="33"/>
      <c r="F273" s="25"/>
      <c r="G273" s="55"/>
      <c r="N273" s="37" t="str">
        <f t="shared" ca="1" si="22"/>
        <v/>
      </c>
      <c r="O273" s="37" t="str">
        <f t="shared" ca="1" si="23"/>
        <v/>
      </c>
    </row>
    <row r="274" spans="1:15" x14ac:dyDescent="0.25">
      <c r="A274" s="102"/>
      <c r="B274" s="33"/>
      <c r="C274" s="25"/>
      <c r="D274" s="26"/>
      <c r="E274" s="33"/>
      <c r="F274" s="25"/>
      <c r="G274" s="55"/>
      <c r="N274" s="37" t="str">
        <f t="shared" ca="1" si="22"/>
        <v/>
      </c>
      <c r="O274" s="37" t="str">
        <f t="shared" ca="1" si="23"/>
        <v/>
      </c>
    </row>
    <row r="275" spans="1:15" x14ac:dyDescent="0.25">
      <c r="A275" s="102"/>
      <c r="B275" s="33"/>
      <c r="C275" s="25"/>
      <c r="D275" s="26"/>
      <c r="E275" s="33"/>
      <c r="F275" s="25"/>
      <c r="G275" s="55"/>
      <c r="N275" s="37" t="str">
        <f t="shared" ca="1" si="22"/>
        <v/>
      </c>
      <c r="O275" s="37" t="str">
        <f t="shared" ca="1" si="23"/>
        <v/>
      </c>
    </row>
    <row r="276" spans="1:15" x14ac:dyDescent="0.25">
      <c r="A276" s="102"/>
      <c r="B276" s="33"/>
      <c r="C276" s="25"/>
      <c r="D276" s="26"/>
      <c r="E276" s="33"/>
      <c r="F276" s="25"/>
      <c r="G276" s="55"/>
      <c r="N276" s="37" t="str">
        <f t="shared" ca="1" si="22"/>
        <v/>
      </c>
      <c r="O276" s="37" t="str">
        <f t="shared" ca="1" si="23"/>
        <v/>
      </c>
    </row>
    <row r="277" spans="1:15" x14ac:dyDescent="0.25">
      <c r="A277" s="102"/>
      <c r="B277" s="33"/>
      <c r="C277" s="25"/>
      <c r="D277" s="26"/>
      <c r="E277" s="33"/>
      <c r="F277" s="25"/>
      <c r="G277" s="55"/>
      <c r="N277" s="37" t="str">
        <f t="shared" ca="1" si="22"/>
        <v/>
      </c>
      <c r="O277" s="37" t="str">
        <f t="shared" ca="1" si="23"/>
        <v/>
      </c>
    </row>
    <row r="278" spans="1:15" x14ac:dyDescent="0.25">
      <c r="A278" s="102"/>
      <c r="B278" s="33"/>
      <c r="C278" s="25"/>
      <c r="D278" s="26"/>
      <c r="E278" s="33"/>
      <c r="F278" s="25"/>
      <c r="G278" s="55"/>
      <c r="N278" s="37" t="str">
        <f t="shared" ca="1" si="22"/>
        <v/>
      </c>
      <c r="O278" s="37" t="str">
        <f t="shared" ca="1" si="23"/>
        <v/>
      </c>
    </row>
    <row r="279" spans="1:15" x14ac:dyDescent="0.25">
      <c r="A279" s="102"/>
      <c r="B279" s="33"/>
      <c r="C279" s="25"/>
      <c r="D279" s="26"/>
      <c r="E279" s="33"/>
      <c r="F279" s="25"/>
      <c r="G279" s="55"/>
      <c r="N279" s="37" t="str">
        <f t="shared" ca="1" si="22"/>
        <v/>
      </c>
      <c r="O279" s="37" t="str">
        <f t="shared" ca="1" si="23"/>
        <v/>
      </c>
    </row>
    <row r="280" spans="1:15" x14ac:dyDescent="0.25">
      <c r="A280" s="102"/>
      <c r="B280" s="33"/>
      <c r="C280" s="25"/>
      <c r="D280" s="26"/>
      <c r="E280" s="33"/>
      <c r="F280" s="25"/>
      <c r="G280" s="55"/>
      <c r="N280" s="37" t="str">
        <f t="shared" ca="1" si="22"/>
        <v/>
      </c>
      <c r="O280" s="37" t="str">
        <f t="shared" ca="1" si="23"/>
        <v/>
      </c>
    </row>
    <row r="281" spans="1:15" x14ac:dyDescent="0.25">
      <c r="A281" s="102"/>
      <c r="B281" s="33"/>
      <c r="C281" s="25"/>
      <c r="D281" s="26"/>
      <c r="E281" s="33"/>
      <c r="F281" s="25"/>
      <c r="G281" s="55"/>
      <c r="N281" s="37" t="str">
        <f t="shared" ca="1" si="22"/>
        <v/>
      </c>
      <c r="O281" s="37" t="str">
        <f t="shared" ca="1" si="23"/>
        <v/>
      </c>
    </row>
    <row r="282" spans="1:15" x14ac:dyDescent="0.25">
      <c r="A282" s="102"/>
      <c r="B282" s="33"/>
      <c r="C282" s="25"/>
      <c r="D282" s="26"/>
      <c r="E282" s="33"/>
      <c r="F282" s="25"/>
      <c r="G282" s="55"/>
      <c r="N282" s="37" t="str">
        <f t="shared" ca="1" si="22"/>
        <v/>
      </c>
      <c r="O282" s="37" t="str">
        <f t="shared" ca="1" si="23"/>
        <v/>
      </c>
    </row>
    <row r="283" spans="1:15" x14ac:dyDescent="0.25">
      <c r="A283" s="102"/>
      <c r="B283" s="33"/>
      <c r="C283" s="25"/>
      <c r="D283" s="26"/>
      <c r="E283" s="33"/>
      <c r="F283" s="25"/>
      <c r="G283" s="55"/>
      <c r="N283" s="37" t="str">
        <f t="shared" ca="1" si="22"/>
        <v/>
      </c>
      <c r="O283" s="37" t="str">
        <f t="shared" ca="1" si="23"/>
        <v/>
      </c>
    </row>
    <row r="284" spans="1:15" x14ac:dyDescent="0.25">
      <c r="A284" s="102"/>
      <c r="B284" s="33"/>
      <c r="C284" s="25"/>
      <c r="D284" s="26"/>
      <c r="E284" s="33"/>
      <c r="F284" s="25"/>
      <c r="G284" s="55"/>
      <c r="N284" s="37" t="str">
        <f t="shared" ca="1" si="22"/>
        <v/>
      </c>
      <c r="O284" s="37" t="str">
        <f t="shared" ca="1" si="23"/>
        <v/>
      </c>
    </row>
    <row r="285" spans="1:15" x14ac:dyDescent="0.25">
      <c r="A285" s="102"/>
      <c r="B285" s="33"/>
      <c r="C285" s="25"/>
      <c r="D285" s="26"/>
      <c r="E285" s="33"/>
      <c r="F285" s="25"/>
      <c r="G285" s="55"/>
      <c r="N285" s="37" t="str">
        <f t="shared" ca="1" si="22"/>
        <v/>
      </c>
      <c r="O285" s="37" t="str">
        <f t="shared" ca="1" si="23"/>
        <v/>
      </c>
    </row>
    <row r="286" spans="1:15" x14ac:dyDescent="0.25">
      <c r="A286" s="102"/>
      <c r="B286" s="33"/>
      <c r="C286" s="25"/>
      <c r="D286" s="26"/>
      <c r="E286" s="33"/>
      <c r="F286" s="25"/>
      <c r="G286" s="55"/>
      <c r="N286" s="37" t="str">
        <f t="shared" ca="1" si="22"/>
        <v/>
      </c>
      <c r="O286" s="37" t="str">
        <f t="shared" ca="1" si="23"/>
        <v/>
      </c>
    </row>
    <row r="287" spans="1:15" x14ac:dyDescent="0.25">
      <c r="A287" s="102"/>
      <c r="B287" s="33"/>
      <c r="C287" s="25"/>
      <c r="D287" s="26"/>
      <c r="E287" s="33"/>
      <c r="F287" s="25"/>
      <c r="G287" s="55"/>
      <c r="N287" s="37" t="str">
        <f t="shared" ca="1" si="22"/>
        <v/>
      </c>
      <c r="O287" s="37" t="str">
        <f t="shared" ca="1" si="23"/>
        <v/>
      </c>
    </row>
    <row r="288" spans="1:15" x14ac:dyDescent="0.25">
      <c r="A288" s="102"/>
      <c r="B288" s="33"/>
      <c r="C288" s="25"/>
      <c r="D288" s="26"/>
      <c r="E288" s="33"/>
      <c r="F288" s="25"/>
      <c r="G288" s="55"/>
      <c r="N288" s="37" t="str">
        <f t="shared" ca="1" si="22"/>
        <v/>
      </c>
      <c r="O288" s="37" t="str">
        <f t="shared" ca="1" si="23"/>
        <v/>
      </c>
    </row>
    <row r="289" spans="1:15" x14ac:dyDescent="0.25">
      <c r="A289" s="102"/>
      <c r="B289" s="33"/>
      <c r="C289" s="25"/>
      <c r="D289" s="26"/>
      <c r="E289" s="33"/>
      <c r="F289" s="25"/>
      <c r="G289" s="55"/>
      <c r="N289" s="37" t="str">
        <f t="shared" ca="1" si="22"/>
        <v/>
      </c>
      <c r="O289" s="37" t="str">
        <f t="shared" ca="1" si="23"/>
        <v/>
      </c>
    </row>
    <row r="290" spans="1:15" x14ac:dyDescent="0.25">
      <c r="A290" s="102"/>
      <c r="B290" s="33"/>
      <c r="C290" s="25"/>
      <c r="D290" s="26"/>
      <c r="E290" s="33"/>
      <c r="F290" s="25"/>
      <c r="G290" s="55"/>
      <c r="N290" s="37" t="str">
        <f t="shared" ca="1" si="22"/>
        <v/>
      </c>
      <c r="O290" s="37" t="str">
        <f t="shared" ca="1" si="23"/>
        <v/>
      </c>
    </row>
    <row r="291" spans="1:15" x14ac:dyDescent="0.25">
      <c r="A291" s="102"/>
      <c r="B291" s="33"/>
      <c r="C291" s="25"/>
      <c r="D291" s="26"/>
      <c r="E291" s="33"/>
      <c r="F291" s="25"/>
      <c r="G291" s="55"/>
      <c r="N291" s="37" t="str">
        <f t="shared" ca="1" si="22"/>
        <v/>
      </c>
      <c r="O291" s="37" t="str">
        <f t="shared" ca="1" si="23"/>
        <v/>
      </c>
    </row>
    <row r="292" spans="1:15" x14ac:dyDescent="0.25">
      <c r="A292" s="102"/>
      <c r="B292" s="33"/>
      <c r="C292" s="25"/>
      <c r="D292" s="26"/>
      <c r="E292" s="33"/>
      <c r="F292" s="25"/>
      <c r="G292" s="55"/>
      <c r="N292" s="37" t="str">
        <f t="shared" ca="1" si="22"/>
        <v/>
      </c>
      <c r="O292" s="37" t="str">
        <f t="shared" ca="1" si="23"/>
        <v/>
      </c>
    </row>
    <row r="293" spans="1:15" x14ac:dyDescent="0.25">
      <c r="A293" s="102"/>
      <c r="B293" s="33"/>
      <c r="C293" s="25"/>
      <c r="D293" s="26"/>
      <c r="E293" s="33"/>
      <c r="F293" s="25"/>
      <c r="G293" s="55"/>
      <c r="N293" s="37" t="str">
        <f t="shared" ca="1" si="22"/>
        <v/>
      </c>
      <c r="O293" s="37" t="str">
        <f t="shared" ca="1" si="23"/>
        <v/>
      </c>
    </row>
    <row r="294" spans="1:15" x14ac:dyDescent="0.25">
      <c r="A294" s="102"/>
      <c r="B294" s="33"/>
      <c r="C294" s="25"/>
      <c r="D294" s="26"/>
      <c r="E294" s="33"/>
      <c r="F294" s="25"/>
      <c r="G294" s="55"/>
      <c r="N294" s="37" t="str">
        <f t="shared" ca="1" si="22"/>
        <v/>
      </c>
      <c r="O294" s="37" t="str">
        <f t="shared" ca="1" si="23"/>
        <v/>
      </c>
    </row>
    <row r="295" spans="1:15" x14ac:dyDescent="0.25">
      <c r="A295" s="102"/>
      <c r="B295" s="33"/>
      <c r="C295" s="25"/>
      <c r="D295" s="26"/>
      <c r="E295" s="33"/>
      <c r="F295" s="25"/>
      <c r="G295" s="55"/>
      <c r="N295" s="37" t="str">
        <f t="shared" ca="1" si="22"/>
        <v/>
      </c>
      <c r="O295" s="37" t="str">
        <f t="shared" ca="1" si="23"/>
        <v/>
      </c>
    </row>
    <row r="296" spans="1:15" x14ac:dyDescent="0.25">
      <c r="A296" s="102"/>
      <c r="B296" s="33"/>
      <c r="C296" s="25"/>
      <c r="D296" s="26"/>
      <c r="E296" s="33"/>
      <c r="F296" s="25"/>
      <c r="G296" s="55"/>
      <c r="N296" s="37" t="str">
        <f t="shared" ca="1" si="22"/>
        <v/>
      </c>
      <c r="O296" s="37" t="str">
        <f t="shared" ca="1" si="23"/>
        <v/>
      </c>
    </row>
    <row r="297" spans="1:15" x14ac:dyDescent="0.25">
      <c r="A297" s="102"/>
      <c r="B297" s="33"/>
      <c r="C297" s="25"/>
      <c r="D297" s="26"/>
      <c r="E297" s="33"/>
      <c r="F297" s="25"/>
      <c r="G297" s="55"/>
      <c r="N297" s="37" t="str">
        <f t="shared" ca="1" si="22"/>
        <v/>
      </c>
      <c r="O297" s="37" t="str">
        <f t="shared" ca="1" si="23"/>
        <v/>
      </c>
    </row>
    <row r="298" spans="1:15" x14ac:dyDescent="0.25">
      <c r="A298" s="102"/>
      <c r="B298" s="33"/>
      <c r="C298" s="25"/>
      <c r="D298" s="26"/>
      <c r="E298" s="33"/>
      <c r="F298" s="25"/>
      <c r="G298" s="55"/>
      <c r="N298" s="37" t="str">
        <f t="shared" ca="1" si="22"/>
        <v/>
      </c>
      <c r="O298" s="37" t="str">
        <f t="shared" ca="1" si="23"/>
        <v/>
      </c>
    </row>
    <row r="299" spans="1:15" x14ac:dyDescent="0.25">
      <c r="A299" s="102"/>
      <c r="B299" s="33"/>
      <c r="C299" s="25"/>
      <c r="D299" s="26"/>
      <c r="E299" s="33"/>
      <c r="F299" s="25"/>
      <c r="G299" s="55"/>
      <c r="N299" s="37" t="str">
        <f t="shared" ca="1" si="22"/>
        <v/>
      </c>
      <c r="O299" s="37" t="str">
        <f t="shared" ca="1" si="23"/>
        <v/>
      </c>
    </row>
    <row r="300" spans="1:15" x14ac:dyDescent="0.25">
      <c r="A300" s="102"/>
      <c r="B300" s="33"/>
      <c r="C300" s="25"/>
      <c r="D300" s="26"/>
      <c r="E300" s="33"/>
      <c r="F300" s="25"/>
      <c r="G300" s="55"/>
      <c r="N300" s="37" t="str">
        <f t="shared" ca="1" si="22"/>
        <v/>
      </c>
      <c r="O300" s="37" t="str">
        <f t="shared" ca="1" si="23"/>
        <v/>
      </c>
    </row>
    <row r="301" spans="1:15" x14ac:dyDescent="0.25">
      <c r="A301" s="102"/>
      <c r="B301" s="33"/>
      <c r="C301" s="25"/>
      <c r="D301" s="26"/>
      <c r="E301" s="33"/>
      <c r="F301" s="25"/>
      <c r="G301" s="55"/>
      <c r="N301" s="37" t="str">
        <f t="shared" ca="1" si="22"/>
        <v/>
      </c>
      <c r="O301" s="37" t="str">
        <f t="shared" ca="1" si="23"/>
        <v/>
      </c>
    </row>
    <row r="302" spans="1:15" x14ac:dyDescent="0.25">
      <c r="A302" s="102"/>
      <c r="B302" s="33"/>
      <c r="C302" s="25"/>
      <c r="D302" s="26"/>
      <c r="E302" s="33"/>
      <c r="F302" s="25"/>
      <c r="G302" s="55"/>
      <c r="N302" s="37" t="str">
        <f t="shared" ca="1" si="22"/>
        <v/>
      </c>
      <c r="O302" s="37" t="str">
        <f t="shared" ca="1" si="23"/>
        <v/>
      </c>
    </row>
    <row r="303" spans="1:15" x14ac:dyDescent="0.25">
      <c r="A303" s="102"/>
      <c r="B303" s="33"/>
      <c r="C303" s="25"/>
      <c r="D303" s="26"/>
      <c r="E303" s="33"/>
      <c r="F303" s="25"/>
      <c r="G303" s="55"/>
      <c r="N303" s="37" t="str">
        <f t="shared" ca="1" si="22"/>
        <v/>
      </c>
      <c r="O303" s="37" t="str">
        <f t="shared" ca="1" si="23"/>
        <v/>
      </c>
    </row>
    <row r="304" spans="1:15" x14ac:dyDescent="0.25">
      <c r="A304" s="102"/>
      <c r="B304" s="33"/>
      <c r="C304" s="25"/>
      <c r="D304" s="26"/>
      <c r="E304" s="33"/>
      <c r="F304" s="25"/>
      <c r="G304" s="55"/>
      <c r="N304" s="37" t="str">
        <f t="shared" ca="1" si="22"/>
        <v/>
      </c>
      <c r="O304" s="37" t="str">
        <f t="shared" ca="1" si="23"/>
        <v/>
      </c>
    </row>
    <row r="305" spans="1:15" x14ac:dyDescent="0.25">
      <c r="A305" s="102"/>
      <c r="B305" s="33"/>
      <c r="C305" s="25"/>
      <c r="D305" s="26"/>
      <c r="E305" s="33"/>
      <c r="F305" s="25"/>
      <c r="G305" s="55"/>
      <c r="N305" s="37" t="str">
        <f t="shared" ca="1" si="22"/>
        <v/>
      </c>
      <c r="O305" s="37" t="str">
        <f t="shared" ca="1" si="23"/>
        <v/>
      </c>
    </row>
    <row r="306" spans="1:15" x14ac:dyDescent="0.25">
      <c r="A306" s="102"/>
      <c r="B306" s="33"/>
      <c r="C306" s="25"/>
      <c r="D306" s="26"/>
      <c r="E306" s="33"/>
      <c r="F306" s="25"/>
      <c r="G306" s="55"/>
      <c r="N306" s="37" t="str">
        <f t="shared" ca="1" si="22"/>
        <v/>
      </c>
      <c r="O306" s="37" t="str">
        <f t="shared" ca="1" si="23"/>
        <v/>
      </c>
    </row>
    <row r="307" spans="1:15" x14ac:dyDescent="0.25">
      <c r="A307" s="102"/>
      <c r="B307" s="33"/>
      <c r="C307" s="25"/>
      <c r="D307" s="26"/>
      <c r="E307" s="33"/>
      <c r="F307" s="25"/>
      <c r="G307" s="55"/>
      <c r="N307" s="37" t="str">
        <f t="shared" ca="1" si="22"/>
        <v/>
      </c>
      <c r="O307" s="37" t="str">
        <f t="shared" ca="1" si="23"/>
        <v/>
      </c>
    </row>
    <row r="308" spans="1:15" x14ac:dyDescent="0.25">
      <c r="A308" s="102"/>
      <c r="B308" s="33"/>
      <c r="C308" s="25"/>
      <c r="D308" s="26"/>
      <c r="E308" s="33"/>
      <c r="F308" s="25"/>
      <c r="G308" s="55"/>
      <c r="N308" s="37" t="str">
        <f t="shared" ca="1" si="22"/>
        <v/>
      </c>
      <c r="O308" s="37" t="str">
        <f t="shared" ca="1" si="23"/>
        <v/>
      </c>
    </row>
    <row r="309" spans="1:15" x14ac:dyDescent="0.25">
      <c r="A309" s="102"/>
      <c r="B309" s="33"/>
      <c r="C309" s="25"/>
      <c r="D309" s="26"/>
      <c r="E309" s="33"/>
      <c r="F309" s="25"/>
      <c r="G309" s="55"/>
      <c r="N309" s="37" t="str">
        <f t="shared" ca="1" si="22"/>
        <v/>
      </c>
      <c r="O309" s="37" t="str">
        <f t="shared" ca="1" si="23"/>
        <v/>
      </c>
    </row>
    <row r="310" spans="1:15" x14ac:dyDescent="0.25">
      <c r="A310" s="102"/>
      <c r="B310" s="33"/>
      <c r="C310" s="25"/>
      <c r="D310" s="26"/>
      <c r="E310" s="33"/>
      <c r="F310" s="25"/>
      <c r="G310" s="55"/>
      <c r="N310" s="37" t="str">
        <f t="shared" ca="1" si="22"/>
        <v/>
      </c>
      <c r="O310" s="37" t="str">
        <f t="shared" ca="1" si="23"/>
        <v/>
      </c>
    </row>
    <row r="311" spans="1:15" x14ac:dyDescent="0.25">
      <c r="A311" s="102"/>
      <c r="B311" s="33"/>
      <c r="C311" s="25"/>
      <c r="D311" s="26"/>
      <c r="E311" s="33"/>
      <c r="F311" s="25"/>
      <c r="G311" s="55"/>
      <c r="N311" s="37" t="str">
        <f t="shared" ca="1" si="22"/>
        <v/>
      </c>
      <c r="O311" s="37" t="str">
        <f t="shared" ca="1" si="23"/>
        <v/>
      </c>
    </row>
    <row r="312" spans="1:15" x14ac:dyDescent="0.25">
      <c r="A312" s="102"/>
      <c r="B312" s="33"/>
      <c r="C312" s="25"/>
      <c r="D312" s="26"/>
      <c r="E312" s="33"/>
      <c r="F312" s="25"/>
      <c r="G312" s="55"/>
      <c r="N312" s="37" t="str">
        <f t="shared" ca="1" si="22"/>
        <v/>
      </c>
      <c r="O312" s="37" t="str">
        <f t="shared" ca="1" si="23"/>
        <v/>
      </c>
    </row>
    <row r="313" spans="1:15" x14ac:dyDescent="0.25">
      <c r="A313" s="102"/>
      <c r="B313" s="33"/>
      <c r="C313" s="25"/>
      <c r="D313" s="26"/>
      <c r="E313" s="33"/>
      <c r="F313" s="25"/>
      <c r="G313" s="55"/>
      <c r="N313" s="37" t="str">
        <f t="shared" ca="1" si="22"/>
        <v/>
      </c>
      <c r="O313" s="37" t="str">
        <f t="shared" ca="1" si="23"/>
        <v/>
      </c>
    </row>
    <row r="314" spans="1:15" x14ac:dyDescent="0.25">
      <c r="A314" s="102"/>
      <c r="B314" s="33"/>
      <c r="C314" s="25"/>
      <c r="D314" s="26"/>
      <c r="E314" s="33"/>
      <c r="F314" s="25"/>
      <c r="G314" s="55"/>
      <c r="N314" s="37" t="str">
        <f t="shared" ca="1" si="22"/>
        <v/>
      </c>
      <c r="O314" s="37" t="str">
        <f t="shared" ca="1" si="23"/>
        <v/>
      </c>
    </row>
    <row r="315" spans="1:15" x14ac:dyDescent="0.25">
      <c r="A315" s="102"/>
      <c r="B315" s="33"/>
      <c r="C315" s="25"/>
      <c r="D315" s="26"/>
      <c r="E315" s="33"/>
      <c r="F315" s="25"/>
      <c r="G315" s="55"/>
      <c r="N315" s="37" t="str">
        <f t="shared" ca="1" si="22"/>
        <v/>
      </c>
      <c r="O315" s="37" t="str">
        <f t="shared" ca="1" si="23"/>
        <v/>
      </c>
    </row>
    <row r="316" spans="1:15" x14ac:dyDescent="0.25">
      <c r="A316" s="102"/>
      <c r="B316" s="33"/>
      <c r="C316" s="25"/>
      <c r="D316" s="26"/>
      <c r="E316" s="33"/>
      <c r="F316" s="25"/>
      <c r="G316" s="55"/>
      <c r="N316" s="37" t="str">
        <f t="shared" ca="1" si="22"/>
        <v/>
      </c>
      <c r="O316" s="37" t="str">
        <f t="shared" ca="1" si="23"/>
        <v/>
      </c>
    </row>
    <row r="317" spans="1:15" x14ac:dyDescent="0.25">
      <c r="A317" s="102"/>
      <c r="B317" s="33"/>
      <c r="C317" s="25"/>
      <c r="D317" s="26"/>
      <c r="E317" s="33"/>
      <c r="F317" s="25"/>
      <c r="G317" s="55"/>
      <c r="N317" s="37" t="str">
        <f t="shared" ca="1" si="22"/>
        <v/>
      </c>
      <c r="O317" s="37" t="str">
        <f t="shared" ca="1" si="23"/>
        <v/>
      </c>
    </row>
    <row r="318" spans="1:15" x14ac:dyDescent="0.25">
      <c r="A318" s="102"/>
      <c r="B318" s="33"/>
      <c r="C318" s="25"/>
      <c r="D318" s="26"/>
      <c r="E318" s="33"/>
      <c r="F318" s="25"/>
      <c r="G318" s="55"/>
      <c r="N318" s="37" t="str">
        <f t="shared" ca="1" si="22"/>
        <v/>
      </c>
      <c r="O318" s="37" t="str">
        <f t="shared" ca="1" si="23"/>
        <v/>
      </c>
    </row>
    <row r="319" spans="1:15" x14ac:dyDescent="0.25">
      <c r="A319" s="102"/>
      <c r="B319" s="33"/>
      <c r="C319" s="25"/>
      <c r="D319" s="26"/>
      <c r="E319" s="33"/>
      <c r="F319" s="25"/>
      <c r="G319" s="55"/>
      <c r="N319" s="37" t="str">
        <f t="shared" ca="1" si="22"/>
        <v/>
      </c>
      <c r="O319" s="37" t="str">
        <f t="shared" ca="1" si="23"/>
        <v/>
      </c>
    </row>
    <row r="320" spans="1:15" x14ac:dyDescent="0.25">
      <c r="A320" s="102"/>
      <c r="B320" s="33"/>
      <c r="C320" s="25"/>
      <c r="D320" s="26"/>
      <c r="E320" s="33"/>
      <c r="F320" s="25"/>
      <c r="G320" s="55"/>
      <c r="N320" s="37" t="str">
        <f t="shared" ca="1" si="22"/>
        <v/>
      </c>
      <c r="O320" s="37" t="str">
        <f t="shared" ca="1" si="23"/>
        <v/>
      </c>
    </row>
    <row r="321" spans="1:15" x14ac:dyDescent="0.25">
      <c r="A321" s="102"/>
      <c r="B321" s="33"/>
      <c r="C321" s="25"/>
      <c r="D321" s="26"/>
      <c r="E321" s="33"/>
      <c r="F321" s="25"/>
      <c r="G321" s="55"/>
      <c r="N321" s="37" t="str">
        <f t="shared" ca="1" si="22"/>
        <v/>
      </c>
      <c r="O321" s="37" t="str">
        <f t="shared" ca="1" si="23"/>
        <v/>
      </c>
    </row>
    <row r="322" spans="1:15" x14ac:dyDescent="0.25">
      <c r="A322" s="102"/>
      <c r="B322" s="33"/>
      <c r="C322" s="25"/>
      <c r="D322" s="26"/>
      <c r="E322" s="33"/>
      <c r="F322" s="25"/>
      <c r="G322" s="55"/>
      <c r="N322" s="37" t="str">
        <f t="shared" ca="1" si="22"/>
        <v/>
      </c>
      <c r="O322" s="37" t="str">
        <f t="shared" ca="1" si="23"/>
        <v/>
      </c>
    </row>
    <row r="323" spans="1:15" x14ac:dyDescent="0.25">
      <c r="A323" s="102"/>
      <c r="B323" s="33"/>
      <c r="C323" s="25"/>
      <c r="D323" s="26"/>
      <c r="E323" s="33"/>
      <c r="F323" s="25"/>
      <c r="G323" s="55"/>
      <c r="N323" s="37" t="str">
        <f t="shared" ca="1" si="22"/>
        <v/>
      </c>
      <c r="O323" s="37" t="str">
        <f t="shared" ca="1" si="23"/>
        <v/>
      </c>
    </row>
    <row r="324" spans="1:15" x14ac:dyDescent="0.25">
      <c r="A324" s="102"/>
      <c r="B324" s="33"/>
      <c r="C324" s="25"/>
      <c r="D324" s="26"/>
      <c r="E324" s="33"/>
      <c r="F324" s="25"/>
      <c r="G324" s="55"/>
      <c r="N324" s="37" t="str">
        <f t="shared" ref="N324:N387" ca="1" si="24">IF(COUNTIF(L:L,J324),J324,"")</f>
        <v/>
      </c>
      <c r="O324" s="37" t="str">
        <f t="shared" ref="O324:O387" ca="1" si="25">IF(N324&gt;$A$14,N324,"")</f>
        <v/>
      </c>
    </row>
    <row r="325" spans="1:15" x14ac:dyDescent="0.25">
      <c r="A325" s="102"/>
      <c r="B325" s="33"/>
      <c r="C325" s="25"/>
      <c r="D325" s="26"/>
      <c r="E325" s="33"/>
      <c r="F325" s="25"/>
      <c r="G325" s="55"/>
      <c r="N325" s="37" t="str">
        <f t="shared" ca="1" si="24"/>
        <v/>
      </c>
      <c r="O325" s="37" t="str">
        <f t="shared" ca="1" si="25"/>
        <v/>
      </c>
    </row>
    <row r="326" spans="1:15" x14ac:dyDescent="0.25">
      <c r="A326" s="102"/>
      <c r="B326" s="33"/>
      <c r="C326" s="25"/>
      <c r="D326" s="26"/>
      <c r="E326" s="33"/>
      <c r="F326" s="25"/>
      <c r="G326" s="55"/>
      <c r="N326" s="37" t="str">
        <f t="shared" ca="1" si="24"/>
        <v/>
      </c>
      <c r="O326" s="37" t="str">
        <f t="shared" ca="1" si="25"/>
        <v/>
      </c>
    </row>
    <row r="327" spans="1:15" x14ac:dyDescent="0.25">
      <c r="A327" s="102"/>
      <c r="B327" s="33"/>
      <c r="C327" s="25"/>
      <c r="D327" s="26"/>
      <c r="E327" s="33"/>
      <c r="F327" s="25"/>
      <c r="G327" s="55"/>
      <c r="N327" s="37" t="str">
        <f t="shared" ca="1" si="24"/>
        <v/>
      </c>
      <c r="O327" s="37" t="str">
        <f t="shared" ca="1" si="25"/>
        <v/>
      </c>
    </row>
    <row r="328" spans="1:15" x14ac:dyDescent="0.25">
      <c r="A328" s="102"/>
      <c r="B328" s="33"/>
      <c r="C328" s="25"/>
      <c r="D328" s="26"/>
      <c r="E328" s="33"/>
      <c r="F328" s="25"/>
      <c r="G328" s="55"/>
      <c r="N328" s="37" t="str">
        <f t="shared" ca="1" si="24"/>
        <v/>
      </c>
      <c r="O328" s="37" t="str">
        <f t="shared" ca="1" si="25"/>
        <v/>
      </c>
    </row>
    <row r="329" spans="1:15" x14ac:dyDescent="0.25">
      <c r="A329" s="102"/>
      <c r="B329" s="33"/>
      <c r="C329" s="25"/>
      <c r="D329" s="26"/>
      <c r="E329" s="33"/>
      <c r="F329" s="25"/>
      <c r="G329" s="55"/>
      <c r="N329" s="37" t="str">
        <f t="shared" ca="1" si="24"/>
        <v/>
      </c>
      <c r="O329" s="37" t="str">
        <f t="shared" ca="1" si="25"/>
        <v/>
      </c>
    </row>
    <row r="330" spans="1:15" x14ac:dyDescent="0.25">
      <c r="A330" s="102"/>
      <c r="B330" s="33"/>
      <c r="C330" s="25"/>
      <c r="D330" s="26"/>
      <c r="E330" s="33"/>
      <c r="F330" s="25"/>
      <c r="G330" s="55"/>
      <c r="N330" s="37" t="str">
        <f t="shared" ca="1" si="24"/>
        <v/>
      </c>
      <c r="O330" s="37" t="str">
        <f t="shared" ca="1" si="25"/>
        <v/>
      </c>
    </row>
    <row r="331" spans="1:15" x14ac:dyDescent="0.25">
      <c r="A331" s="102"/>
      <c r="B331" s="33"/>
      <c r="C331" s="25"/>
      <c r="D331" s="26"/>
      <c r="E331" s="33"/>
      <c r="F331" s="25"/>
      <c r="G331" s="55"/>
      <c r="N331" s="37" t="str">
        <f t="shared" ca="1" si="24"/>
        <v/>
      </c>
      <c r="O331" s="37" t="str">
        <f t="shared" ca="1" si="25"/>
        <v/>
      </c>
    </row>
    <row r="332" spans="1:15" x14ac:dyDescent="0.25">
      <c r="A332" s="102"/>
      <c r="B332" s="33"/>
      <c r="C332" s="25"/>
      <c r="D332" s="26"/>
      <c r="E332" s="33"/>
      <c r="F332" s="25"/>
      <c r="G332" s="55"/>
      <c r="N332" s="37" t="str">
        <f t="shared" ca="1" si="24"/>
        <v/>
      </c>
      <c r="O332" s="37" t="str">
        <f t="shared" ca="1" si="25"/>
        <v/>
      </c>
    </row>
    <row r="333" spans="1:15" x14ac:dyDescent="0.25">
      <c r="A333" s="102"/>
      <c r="B333" s="33"/>
      <c r="C333" s="25"/>
      <c r="D333" s="26"/>
      <c r="E333" s="33"/>
      <c r="F333" s="25"/>
      <c r="G333" s="55"/>
      <c r="N333" s="37" t="str">
        <f t="shared" ca="1" si="24"/>
        <v/>
      </c>
      <c r="O333" s="37" t="str">
        <f t="shared" ca="1" si="25"/>
        <v/>
      </c>
    </row>
    <row r="334" spans="1:15" x14ac:dyDescent="0.25">
      <c r="A334" s="102"/>
      <c r="B334" s="33"/>
      <c r="C334" s="25"/>
      <c r="D334" s="26"/>
      <c r="E334" s="33"/>
      <c r="F334" s="25"/>
      <c r="G334" s="55"/>
      <c r="N334" s="37" t="str">
        <f t="shared" ca="1" si="24"/>
        <v/>
      </c>
      <c r="O334" s="37" t="str">
        <f t="shared" ca="1" si="25"/>
        <v/>
      </c>
    </row>
    <row r="335" spans="1:15" x14ac:dyDescent="0.25">
      <c r="A335" s="102"/>
      <c r="B335" s="33"/>
      <c r="C335" s="25"/>
      <c r="D335" s="26"/>
      <c r="E335" s="33"/>
      <c r="F335" s="25"/>
      <c r="G335" s="55"/>
      <c r="N335" s="37" t="str">
        <f t="shared" ca="1" si="24"/>
        <v/>
      </c>
      <c r="O335" s="37" t="str">
        <f t="shared" ca="1" si="25"/>
        <v/>
      </c>
    </row>
    <row r="336" spans="1:15" x14ac:dyDescent="0.25">
      <c r="A336" s="102"/>
      <c r="B336" s="33"/>
      <c r="C336" s="25"/>
      <c r="D336" s="26"/>
      <c r="E336" s="33"/>
      <c r="F336" s="25"/>
      <c r="G336" s="55"/>
      <c r="N336" s="37" t="str">
        <f t="shared" ca="1" si="24"/>
        <v/>
      </c>
      <c r="O336" s="37" t="str">
        <f t="shared" ca="1" si="25"/>
        <v/>
      </c>
    </row>
    <row r="337" spans="1:15" x14ac:dyDescent="0.25">
      <c r="A337" s="102"/>
      <c r="B337" s="33"/>
      <c r="C337" s="25"/>
      <c r="D337" s="26"/>
      <c r="E337" s="33"/>
      <c r="F337" s="25"/>
      <c r="G337" s="55"/>
      <c r="N337" s="37" t="str">
        <f t="shared" ca="1" si="24"/>
        <v/>
      </c>
      <c r="O337" s="37" t="str">
        <f t="shared" ca="1" si="25"/>
        <v/>
      </c>
    </row>
    <row r="338" spans="1:15" x14ac:dyDescent="0.25">
      <c r="A338" s="102"/>
      <c r="B338" s="33"/>
      <c r="C338" s="25"/>
      <c r="D338" s="26"/>
      <c r="E338" s="33"/>
      <c r="F338" s="25"/>
      <c r="G338" s="55"/>
      <c r="N338" s="37" t="str">
        <f t="shared" ca="1" si="24"/>
        <v/>
      </c>
      <c r="O338" s="37" t="str">
        <f t="shared" ca="1" si="25"/>
        <v/>
      </c>
    </row>
    <row r="339" spans="1:15" x14ac:dyDescent="0.25">
      <c r="A339" s="102"/>
      <c r="B339" s="33"/>
      <c r="C339" s="25"/>
      <c r="D339" s="26"/>
      <c r="E339" s="33"/>
      <c r="F339" s="25"/>
      <c r="G339" s="55"/>
      <c r="N339" s="37" t="str">
        <f t="shared" ca="1" si="24"/>
        <v/>
      </c>
      <c r="O339" s="37" t="str">
        <f t="shared" ca="1" si="25"/>
        <v/>
      </c>
    </row>
    <row r="340" spans="1:15" x14ac:dyDescent="0.25">
      <c r="A340" s="102"/>
      <c r="B340" s="33"/>
      <c r="C340" s="25"/>
      <c r="D340" s="26"/>
      <c r="E340" s="33"/>
      <c r="F340" s="25"/>
      <c r="G340" s="55"/>
      <c r="N340" s="37" t="str">
        <f t="shared" ca="1" si="24"/>
        <v/>
      </c>
      <c r="O340" s="37" t="str">
        <f t="shared" ca="1" si="25"/>
        <v/>
      </c>
    </row>
    <row r="341" spans="1:15" x14ac:dyDescent="0.25">
      <c r="A341" s="102"/>
      <c r="B341" s="33"/>
      <c r="C341" s="25"/>
      <c r="D341" s="26"/>
      <c r="E341" s="33"/>
      <c r="F341" s="25"/>
      <c r="G341" s="55"/>
      <c r="N341" s="37" t="str">
        <f t="shared" ca="1" si="24"/>
        <v/>
      </c>
      <c r="O341" s="37" t="str">
        <f t="shared" ca="1" si="25"/>
        <v/>
      </c>
    </row>
    <row r="342" spans="1:15" x14ac:dyDescent="0.25">
      <c r="A342" s="102"/>
      <c r="B342" s="33"/>
      <c r="C342" s="25"/>
      <c r="D342" s="26"/>
      <c r="E342" s="33"/>
      <c r="F342" s="25"/>
      <c r="G342" s="55"/>
      <c r="N342" s="37" t="str">
        <f t="shared" ca="1" si="24"/>
        <v/>
      </c>
      <c r="O342" s="37" t="str">
        <f t="shared" ca="1" si="25"/>
        <v/>
      </c>
    </row>
    <row r="343" spans="1:15" x14ac:dyDescent="0.25">
      <c r="A343" s="102"/>
      <c r="B343" s="33"/>
      <c r="C343" s="25"/>
      <c r="D343" s="26"/>
      <c r="E343" s="33"/>
      <c r="F343" s="25"/>
      <c r="G343" s="55"/>
      <c r="N343" s="37" t="str">
        <f t="shared" ca="1" si="24"/>
        <v/>
      </c>
      <c r="O343" s="37" t="str">
        <f t="shared" ca="1" si="25"/>
        <v/>
      </c>
    </row>
    <row r="344" spans="1:15" x14ac:dyDescent="0.25">
      <c r="A344" s="102"/>
      <c r="B344" s="33"/>
      <c r="C344" s="25"/>
      <c r="D344" s="26"/>
      <c r="E344" s="33"/>
      <c r="F344" s="25"/>
      <c r="G344" s="55"/>
      <c r="N344" s="37" t="str">
        <f t="shared" ca="1" si="24"/>
        <v/>
      </c>
      <c r="O344" s="37" t="str">
        <f t="shared" ca="1" si="25"/>
        <v/>
      </c>
    </row>
    <row r="345" spans="1:15" x14ac:dyDescent="0.25">
      <c r="A345" s="102"/>
      <c r="B345" s="33"/>
      <c r="C345" s="25"/>
      <c r="D345" s="26"/>
      <c r="E345" s="33"/>
      <c r="F345" s="25"/>
      <c r="G345" s="55"/>
      <c r="N345" s="37" t="str">
        <f t="shared" ca="1" si="24"/>
        <v/>
      </c>
      <c r="O345" s="37" t="str">
        <f t="shared" ca="1" si="25"/>
        <v/>
      </c>
    </row>
    <row r="346" spans="1:15" x14ac:dyDescent="0.25">
      <c r="A346" s="102"/>
      <c r="B346" s="33"/>
      <c r="C346" s="25"/>
      <c r="D346" s="26"/>
      <c r="E346" s="33"/>
      <c r="F346" s="25"/>
      <c r="G346" s="55"/>
      <c r="N346" s="37" t="str">
        <f t="shared" ca="1" si="24"/>
        <v/>
      </c>
      <c r="O346" s="37" t="str">
        <f t="shared" ca="1" si="25"/>
        <v/>
      </c>
    </row>
    <row r="347" spans="1:15" x14ac:dyDescent="0.25">
      <c r="A347" s="102"/>
      <c r="B347" s="33"/>
      <c r="C347" s="25"/>
      <c r="D347" s="26"/>
      <c r="E347" s="33"/>
      <c r="F347" s="25"/>
      <c r="G347" s="55"/>
      <c r="N347" s="37" t="str">
        <f t="shared" ca="1" si="24"/>
        <v/>
      </c>
      <c r="O347" s="37" t="str">
        <f t="shared" ca="1" si="25"/>
        <v/>
      </c>
    </row>
    <row r="348" spans="1:15" x14ac:dyDescent="0.25">
      <c r="A348" s="102"/>
      <c r="B348" s="33"/>
      <c r="C348" s="25"/>
      <c r="D348" s="26"/>
      <c r="E348" s="33"/>
      <c r="F348" s="25"/>
      <c r="G348" s="55"/>
      <c r="N348" s="37" t="str">
        <f t="shared" ca="1" si="24"/>
        <v/>
      </c>
      <c r="O348" s="37" t="str">
        <f t="shared" ca="1" si="25"/>
        <v/>
      </c>
    </row>
    <row r="349" spans="1:15" x14ac:dyDescent="0.25">
      <c r="A349" s="102"/>
      <c r="B349" s="33"/>
      <c r="C349" s="25"/>
      <c r="D349" s="26"/>
      <c r="E349" s="33"/>
      <c r="F349" s="25"/>
      <c r="G349" s="55"/>
      <c r="N349" s="37" t="str">
        <f t="shared" ca="1" si="24"/>
        <v/>
      </c>
      <c r="O349" s="37" t="str">
        <f t="shared" ca="1" si="25"/>
        <v/>
      </c>
    </row>
    <row r="350" spans="1:15" x14ac:dyDescent="0.25">
      <c r="A350" s="102"/>
      <c r="B350" s="33"/>
      <c r="C350" s="25"/>
      <c r="D350" s="26"/>
      <c r="E350" s="33"/>
      <c r="F350" s="25"/>
      <c r="G350" s="55"/>
      <c r="N350" s="37" t="str">
        <f t="shared" ca="1" si="24"/>
        <v/>
      </c>
      <c r="O350" s="37" t="str">
        <f t="shared" ca="1" si="25"/>
        <v/>
      </c>
    </row>
    <row r="351" spans="1:15" x14ac:dyDescent="0.25">
      <c r="A351" s="102"/>
      <c r="B351" s="33"/>
      <c r="C351" s="25"/>
      <c r="D351" s="26"/>
      <c r="E351" s="33"/>
      <c r="F351" s="25"/>
      <c r="G351" s="55"/>
      <c r="N351" s="37" t="str">
        <f t="shared" ca="1" si="24"/>
        <v/>
      </c>
      <c r="O351" s="37" t="str">
        <f t="shared" ca="1" si="25"/>
        <v/>
      </c>
    </row>
    <row r="352" spans="1:15" x14ac:dyDescent="0.25">
      <c r="A352" s="102"/>
      <c r="B352" s="33"/>
      <c r="C352" s="25"/>
      <c r="D352" s="26"/>
      <c r="E352" s="33"/>
      <c r="F352" s="25"/>
      <c r="G352" s="55"/>
      <c r="N352" s="37" t="str">
        <f t="shared" ca="1" si="24"/>
        <v/>
      </c>
      <c r="O352" s="37" t="str">
        <f t="shared" ca="1" si="25"/>
        <v/>
      </c>
    </row>
    <row r="353" spans="1:15" x14ac:dyDescent="0.25">
      <c r="A353" s="102"/>
      <c r="B353" s="33"/>
      <c r="C353" s="25"/>
      <c r="D353" s="26"/>
      <c r="E353" s="33"/>
      <c r="F353" s="25"/>
      <c r="G353" s="55"/>
      <c r="N353" s="37" t="str">
        <f t="shared" ca="1" si="24"/>
        <v/>
      </c>
      <c r="O353" s="37" t="str">
        <f t="shared" ca="1" si="25"/>
        <v/>
      </c>
    </row>
    <row r="354" spans="1:15" x14ac:dyDescent="0.25">
      <c r="A354" s="102"/>
      <c r="B354" s="33"/>
      <c r="C354" s="25"/>
      <c r="D354" s="26"/>
      <c r="E354" s="33"/>
      <c r="F354" s="25"/>
      <c r="G354" s="55"/>
      <c r="N354" s="37" t="str">
        <f t="shared" ca="1" si="24"/>
        <v/>
      </c>
      <c r="O354" s="37" t="str">
        <f t="shared" ca="1" si="25"/>
        <v/>
      </c>
    </row>
    <row r="355" spans="1:15" x14ac:dyDescent="0.25">
      <c r="A355" s="102"/>
      <c r="B355" s="33"/>
      <c r="C355" s="25"/>
      <c r="D355" s="26"/>
      <c r="E355" s="33"/>
      <c r="F355" s="25"/>
      <c r="G355" s="55"/>
      <c r="N355" s="37" t="str">
        <f t="shared" ca="1" si="24"/>
        <v/>
      </c>
      <c r="O355" s="37" t="str">
        <f t="shared" ca="1" si="25"/>
        <v/>
      </c>
    </row>
    <row r="356" spans="1:15" x14ac:dyDescent="0.25">
      <c r="A356" s="102"/>
      <c r="B356" s="33"/>
      <c r="C356" s="25"/>
      <c r="D356" s="26"/>
      <c r="E356" s="33"/>
      <c r="F356" s="25"/>
      <c r="G356" s="55"/>
      <c r="N356" s="37" t="str">
        <f t="shared" ca="1" si="24"/>
        <v/>
      </c>
      <c r="O356" s="37" t="str">
        <f t="shared" ca="1" si="25"/>
        <v/>
      </c>
    </row>
    <row r="357" spans="1:15" x14ac:dyDescent="0.25">
      <c r="A357" s="102"/>
      <c r="B357" s="33"/>
      <c r="C357" s="25"/>
      <c r="D357" s="26"/>
      <c r="E357" s="33"/>
      <c r="F357" s="25"/>
      <c r="G357" s="55"/>
      <c r="N357" s="37" t="str">
        <f t="shared" ca="1" si="24"/>
        <v/>
      </c>
      <c r="O357" s="37" t="str">
        <f t="shared" ca="1" si="25"/>
        <v/>
      </c>
    </row>
    <row r="358" spans="1:15" x14ac:dyDescent="0.25">
      <c r="A358" s="102"/>
      <c r="B358" s="33"/>
      <c r="C358" s="25"/>
      <c r="D358" s="26"/>
      <c r="E358" s="33"/>
      <c r="F358" s="25"/>
      <c r="G358" s="55"/>
      <c r="N358" s="37" t="str">
        <f t="shared" ca="1" si="24"/>
        <v/>
      </c>
      <c r="O358" s="37" t="str">
        <f t="shared" ca="1" si="25"/>
        <v/>
      </c>
    </row>
    <row r="359" spans="1:15" x14ac:dyDescent="0.25">
      <c r="A359" s="102"/>
      <c r="B359" s="33"/>
      <c r="C359" s="25"/>
      <c r="D359" s="26"/>
      <c r="E359" s="33"/>
      <c r="F359" s="25"/>
      <c r="G359" s="55"/>
      <c r="N359" s="37" t="str">
        <f t="shared" ca="1" si="24"/>
        <v/>
      </c>
      <c r="O359" s="37" t="str">
        <f t="shared" ca="1" si="25"/>
        <v/>
      </c>
    </row>
    <row r="360" spans="1:15" x14ac:dyDescent="0.25">
      <c r="A360" s="102"/>
      <c r="B360" s="33"/>
      <c r="C360" s="25"/>
      <c r="D360" s="26"/>
      <c r="E360" s="33"/>
      <c r="F360" s="25"/>
      <c r="G360" s="55"/>
      <c r="N360" s="37" t="str">
        <f t="shared" ca="1" si="24"/>
        <v/>
      </c>
      <c r="O360" s="37" t="str">
        <f t="shared" ca="1" si="25"/>
        <v/>
      </c>
    </row>
    <row r="361" spans="1:15" x14ac:dyDescent="0.25">
      <c r="A361" s="102"/>
      <c r="B361" s="33"/>
      <c r="C361" s="25"/>
      <c r="D361" s="26"/>
      <c r="E361" s="33"/>
      <c r="F361" s="25"/>
      <c r="G361" s="55"/>
      <c r="N361" s="37" t="str">
        <f t="shared" ca="1" si="24"/>
        <v/>
      </c>
      <c r="O361" s="37" t="str">
        <f t="shared" ca="1" si="25"/>
        <v/>
      </c>
    </row>
    <row r="362" spans="1:15" x14ac:dyDescent="0.25">
      <c r="A362" s="102"/>
      <c r="B362" s="33"/>
      <c r="C362" s="25"/>
      <c r="D362" s="26"/>
      <c r="E362" s="33"/>
      <c r="F362" s="25"/>
      <c r="G362" s="55"/>
      <c r="N362" s="37" t="str">
        <f t="shared" ca="1" si="24"/>
        <v/>
      </c>
      <c r="O362" s="37" t="str">
        <f t="shared" ca="1" si="25"/>
        <v/>
      </c>
    </row>
    <row r="363" spans="1:15" x14ac:dyDescent="0.25">
      <c r="A363" s="102"/>
      <c r="B363" s="33"/>
      <c r="C363" s="25"/>
      <c r="D363" s="26"/>
      <c r="E363" s="33"/>
      <c r="F363" s="25"/>
      <c r="G363" s="55"/>
      <c r="N363" s="37" t="str">
        <f t="shared" ca="1" si="24"/>
        <v/>
      </c>
      <c r="O363" s="37" t="str">
        <f t="shared" ca="1" si="25"/>
        <v/>
      </c>
    </row>
    <row r="364" spans="1:15" x14ac:dyDescent="0.25">
      <c r="A364" s="102"/>
      <c r="B364" s="33"/>
      <c r="C364" s="25"/>
      <c r="D364" s="26"/>
      <c r="E364" s="33"/>
      <c r="F364" s="25"/>
      <c r="G364" s="55"/>
      <c r="N364" s="37" t="str">
        <f t="shared" ca="1" si="24"/>
        <v/>
      </c>
      <c r="O364" s="37" t="str">
        <f t="shared" ca="1" si="25"/>
        <v/>
      </c>
    </row>
    <row r="365" spans="1:15" x14ac:dyDescent="0.25">
      <c r="A365" s="102"/>
      <c r="B365" s="33"/>
      <c r="C365" s="25"/>
      <c r="D365" s="26"/>
      <c r="E365" s="33"/>
      <c r="F365" s="25"/>
      <c r="G365" s="55"/>
      <c r="N365" s="37" t="str">
        <f t="shared" ca="1" si="24"/>
        <v/>
      </c>
      <c r="O365" s="37" t="str">
        <f t="shared" ca="1" si="25"/>
        <v/>
      </c>
    </row>
    <row r="366" spans="1:15" x14ac:dyDescent="0.25">
      <c r="A366" s="102"/>
      <c r="B366" s="33"/>
      <c r="C366" s="25"/>
      <c r="D366" s="26"/>
      <c r="E366" s="33"/>
      <c r="F366" s="25"/>
      <c r="G366" s="55"/>
      <c r="N366" s="37" t="str">
        <f t="shared" ca="1" si="24"/>
        <v/>
      </c>
      <c r="O366" s="37" t="str">
        <f t="shared" ca="1" si="25"/>
        <v/>
      </c>
    </row>
    <row r="367" spans="1:15" x14ac:dyDescent="0.25">
      <c r="A367" s="102"/>
      <c r="B367" s="33"/>
      <c r="C367" s="25"/>
      <c r="D367" s="26"/>
      <c r="E367" s="33"/>
      <c r="F367" s="25"/>
      <c r="G367" s="55"/>
      <c r="N367" s="37" t="str">
        <f t="shared" ca="1" si="24"/>
        <v/>
      </c>
      <c r="O367" s="37" t="str">
        <f t="shared" ca="1" si="25"/>
        <v/>
      </c>
    </row>
    <row r="368" spans="1:15" x14ac:dyDescent="0.25">
      <c r="A368" s="102"/>
      <c r="B368" s="33"/>
      <c r="C368" s="25"/>
      <c r="D368" s="26"/>
      <c r="E368" s="33"/>
      <c r="F368" s="25"/>
      <c r="G368" s="55"/>
      <c r="N368" s="37" t="str">
        <f t="shared" ca="1" si="24"/>
        <v/>
      </c>
      <c r="O368" s="37" t="str">
        <f t="shared" ca="1" si="25"/>
        <v/>
      </c>
    </row>
    <row r="369" spans="1:15" x14ac:dyDescent="0.25">
      <c r="A369" s="102"/>
      <c r="B369" s="33"/>
      <c r="C369" s="25"/>
      <c r="D369" s="26"/>
      <c r="E369" s="33"/>
      <c r="F369" s="25"/>
      <c r="G369" s="55"/>
      <c r="N369" s="37" t="str">
        <f t="shared" ca="1" si="24"/>
        <v/>
      </c>
      <c r="O369" s="37" t="str">
        <f t="shared" ca="1" si="25"/>
        <v/>
      </c>
    </row>
    <row r="370" spans="1:15" x14ac:dyDescent="0.25">
      <c r="A370" s="102"/>
      <c r="B370" s="33"/>
      <c r="C370" s="25"/>
      <c r="D370" s="26"/>
      <c r="E370" s="33"/>
      <c r="F370" s="25"/>
      <c r="G370" s="55"/>
      <c r="N370" s="37" t="str">
        <f t="shared" ca="1" si="24"/>
        <v/>
      </c>
      <c r="O370" s="37" t="str">
        <f t="shared" ca="1" si="25"/>
        <v/>
      </c>
    </row>
    <row r="371" spans="1:15" x14ac:dyDescent="0.25">
      <c r="A371" s="102"/>
      <c r="B371" s="33"/>
      <c r="C371" s="25"/>
      <c r="D371" s="26"/>
      <c r="E371" s="33"/>
      <c r="F371" s="25"/>
      <c r="G371" s="55"/>
      <c r="N371" s="37" t="str">
        <f t="shared" ca="1" si="24"/>
        <v/>
      </c>
      <c r="O371" s="37" t="str">
        <f t="shared" ca="1" si="25"/>
        <v/>
      </c>
    </row>
    <row r="372" spans="1:15" x14ac:dyDescent="0.25">
      <c r="A372" s="102"/>
      <c r="B372" s="33"/>
      <c r="C372" s="25"/>
      <c r="D372" s="26"/>
      <c r="E372" s="33"/>
      <c r="F372" s="25"/>
      <c r="G372" s="55"/>
      <c r="N372" s="37" t="str">
        <f t="shared" ca="1" si="24"/>
        <v/>
      </c>
      <c r="O372" s="37" t="str">
        <f t="shared" ca="1" si="25"/>
        <v/>
      </c>
    </row>
    <row r="373" spans="1:15" x14ac:dyDescent="0.25">
      <c r="A373" s="102"/>
      <c r="B373" s="33"/>
      <c r="C373" s="25"/>
      <c r="D373" s="26"/>
      <c r="E373" s="33"/>
      <c r="F373" s="25"/>
      <c r="G373" s="55"/>
      <c r="N373" s="37" t="str">
        <f t="shared" ca="1" si="24"/>
        <v/>
      </c>
      <c r="O373" s="37" t="str">
        <f t="shared" ca="1" si="25"/>
        <v/>
      </c>
    </row>
    <row r="374" spans="1:15" x14ac:dyDescent="0.25">
      <c r="A374" s="102"/>
      <c r="B374" s="33"/>
      <c r="C374" s="25"/>
      <c r="D374" s="26"/>
      <c r="E374" s="33"/>
      <c r="F374" s="25"/>
      <c r="G374" s="55"/>
      <c r="N374" s="37" t="str">
        <f t="shared" ca="1" si="24"/>
        <v/>
      </c>
      <c r="O374" s="37" t="str">
        <f t="shared" ca="1" si="25"/>
        <v/>
      </c>
    </row>
    <row r="375" spans="1:15" x14ac:dyDescent="0.25">
      <c r="A375" s="102"/>
      <c r="B375" s="33"/>
      <c r="C375" s="25"/>
      <c r="D375" s="26"/>
      <c r="E375" s="33"/>
      <c r="F375" s="25"/>
      <c r="G375" s="55"/>
      <c r="N375" s="37" t="str">
        <f t="shared" ca="1" si="24"/>
        <v/>
      </c>
      <c r="O375" s="37" t="str">
        <f t="shared" ca="1" si="25"/>
        <v/>
      </c>
    </row>
    <row r="376" spans="1:15" x14ac:dyDescent="0.25">
      <c r="A376" s="102"/>
      <c r="B376" s="33"/>
      <c r="C376" s="25"/>
      <c r="D376" s="26"/>
      <c r="E376" s="33"/>
      <c r="F376" s="25"/>
      <c r="G376" s="55"/>
      <c r="N376" s="37" t="str">
        <f t="shared" ca="1" si="24"/>
        <v/>
      </c>
      <c r="O376" s="37" t="str">
        <f t="shared" ca="1" si="25"/>
        <v/>
      </c>
    </row>
    <row r="377" spans="1:15" x14ac:dyDescent="0.25">
      <c r="A377" s="102"/>
      <c r="B377" s="33"/>
      <c r="C377" s="25"/>
      <c r="D377" s="26"/>
      <c r="E377" s="33"/>
      <c r="F377" s="25"/>
      <c r="G377" s="55"/>
      <c r="N377" s="37" t="str">
        <f t="shared" ca="1" si="24"/>
        <v/>
      </c>
      <c r="O377" s="37" t="str">
        <f t="shared" ca="1" si="25"/>
        <v/>
      </c>
    </row>
    <row r="378" spans="1:15" x14ac:dyDescent="0.25">
      <c r="A378" s="102"/>
      <c r="B378" s="33"/>
      <c r="C378" s="25"/>
      <c r="D378" s="26"/>
      <c r="E378" s="33"/>
      <c r="F378" s="25"/>
      <c r="G378" s="55"/>
      <c r="N378" s="37" t="str">
        <f t="shared" ca="1" si="24"/>
        <v/>
      </c>
      <c r="O378" s="37" t="str">
        <f t="shared" ca="1" si="25"/>
        <v/>
      </c>
    </row>
    <row r="379" spans="1:15" x14ac:dyDescent="0.25">
      <c r="A379" s="102"/>
      <c r="B379" s="33"/>
      <c r="C379" s="25"/>
      <c r="D379" s="26"/>
      <c r="E379" s="33"/>
      <c r="F379" s="25"/>
      <c r="G379" s="55"/>
      <c r="N379" s="37" t="str">
        <f t="shared" ca="1" si="24"/>
        <v/>
      </c>
      <c r="O379" s="37" t="str">
        <f t="shared" ca="1" si="25"/>
        <v/>
      </c>
    </row>
    <row r="380" spans="1:15" x14ac:dyDescent="0.25">
      <c r="A380" s="102"/>
      <c r="B380" s="33"/>
      <c r="C380" s="25"/>
      <c r="D380" s="26"/>
      <c r="E380" s="33"/>
      <c r="F380" s="25"/>
      <c r="G380" s="55"/>
      <c r="N380" s="37" t="str">
        <f t="shared" ca="1" si="24"/>
        <v/>
      </c>
      <c r="O380" s="37" t="str">
        <f t="shared" ca="1" si="25"/>
        <v/>
      </c>
    </row>
    <row r="381" spans="1:15" x14ac:dyDescent="0.25">
      <c r="A381" s="102"/>
      <c r="B381" s="33"/>
      <c r="C381" s="25"/>
      <c r="D381" s="26"/>
      <c r="E381" s="33"/>
      <c r="F381" s="25"/>
      <c r="G381" s="55"/>
      <c r="N381" s="37" t="str">
        <f t="shared" ca="1" si="24"/>
        <v/>
      </c>
      <c r="O381" s="37" t="str">
        <f t="shared" ca="1" si="25"/>
        <v/>
      </c>
    </row>
    <row r="382" spans="1:15" x14ac:dyDescent="0.25">
      <c r="A382" s="102"/>
      <c r="B382" s="33"/>
      <c r="C382" s="25"/>
      <c r="D382" s="26"/>
      <c r="E382" s="33"/>
      <c r="F382" s="25"/>
      <c r="G382" s="55"/>
      <c r="N382" s="37" t="str">
        <f t="shared" ca="1" si="24"/>
        <v/>
      </c>
      <c r="O382" s="37" t="str">
        <f t="shared" ca="1" si="25"/>
        <v/>
      </c>
    </row>
    <row r="383" spans="1:15" x14ac:dyDescent="0.25">
      <c r="A383" s="102"/>
      <c r="B383" s="33"/>
      <c r="C383" s="25"/>
      <c r="D383" s="26"/>
      <c r="E383" s="33"/>
      <c r="F383" s="25"/>
      <c r="G383" s="55"/>
      <c r="N383" s="37" t="str">
        <f t="shared" ca="1" si="24"/>
        <v/>
      </c>
      <c r="O383" s="37" t="str">
        <f t="shared" ca="1" si="25"/>
        <v/>
      </c>
    </row>
    <row r="384" spans="1:15" x14ac:dyDescent="0.25">
      <c r="A384" s="102"/>
      <c r="B384" s="33"/>
      <c r="C384" s="25"/>
      <c r="D384" s="26"/>
      <c r="E384" s="33"/>
      <c r="F384" s="25"/>
      <c r="G384" s="55"/>
      <c r="N384" s="37" t="str">
        <f t="shared" ca="1" si="24"/>
        <v/>
      </c>
      <c r="O384" s="37" t="str">
        <f t="shared" ca="1" si="25"/>
        <v/>
      </c>
    </row>
    <row r="385" spans="1:15" x14ac:dyDescent="0.25">
      <c r="A385" s="102"/>
      <c r="B385" s="33"/>
      <c r="C385" s="25"/>
      <c r="D385" s="26"/>
      <c r="E385" s="33"/>
      <c r="F385" s="25"/>
      <c r="G385" s="55"/>
      <c r="N385" s="37" t="str">
        <f t="shared" ca="1" si="24"/>
        <v/>
      </c>
      <c r="O385" s="37" t="str">
        <f t="shared" ca="1" si="25"/>
        <v/>
      </c>
    </row>
    <row r="386" spans="1:15" x14ac:dyDescent="0.25">
      <c r="A386" s="102"/>
      <c r="B386" s="33"/>
      <c r="C386" s="25"/>
      <c r="D386" s="26"/>
      <c r="E386" s="33"/>
      <c r="F386" s="25"/>
      <c r="G386" s="55"/>
      <c r="N386" s="37" t="str">
        <f t="shared" ca="1" si="24"/>
        <v/>
      </c>
      <c r="O386" s="37" t="str">
        <f t="shared" ca="1" si="25"/>
        <v/>
      </c>
    </row>
    <row r="387" spans="1:15" x14ac:dyDescent="0.25">
      <c r="A387" s="102"/>
      <c r="B387" s="33"/>
      <c r="C387" s="25"/>
      <c r="D387" s="26"/>
      <c r="E387" s="33"/>
      <c r="F387" s="25"/>
      <c r="G387" s="55"/>
      <c r="N387" s="37" t="str">
        <f t="shared" ca="1" si="24"/>
        <v/>
      </c>
      <c r="O387" s="37" t="str">
        <f t="shared" ca="1" si="25"/>
        <v/>
      </c>
    </row>
    <row r="388" spans="1:15" x14ac:dyDescent="0.25">
      <c r="A388" s="102"/>
      <c r="B388" s="33"/>
      <c r="C388" s="25"/>
      <c r="D388" s="26"/>
      <c r="E388" s="33"/>
      <c r="F388" s="25"/>
      <c r="G388" s="55"/>
      <c r="N388" s="37" t="str">
        <f t="shared" ref="N388:N451" ca="1" si="26">IF(COUNTIF(L:L,J388),J388,"")</f>
        <v/>
      </c>
      <c r="O388" s="37" t="str">
        <f t="shared" ref="O388:O451" ca="1" si="27">IF(N388&gt;$A$14,N388,"")</f>
        <v/>
      </c>
    </row>
    <row r="389" spans="1:15" x14ac:dyDescent="0.25">
      <c r="A389" s="102"/>
      <c r="B389" s="33"/>
      <c r="C389" s="25"/>
      <c r="D389" s="26"/>
      <c r="E389" s="33"/>
      <c r="F389" s="25"/>
      <c r="G389" s="55"/>
      <c r="N389" s="37" t="str">
        <f t="shared" ca="1" si="26"/>
        <v/>
      </c>
      <c r="O389" s="37" t="str">
        <f t="shared" ca="1" si="27"/>
        <v/>
      </c>
    </row>
    <row r="390" spans="1:15" x14ac:dyDescent="0.25">
      <c r="A390" s="102"/>
      <c r="B390" s="33"/>
      <c r="C390" s="25"/>
      <c r="D390" s="26"/>
      <c r="E390" s="33"/>
      <c r="F390" s="25"/>
      <c r="G390" s="55"/>
      <c r="N390" s="37" t="str">
        <f t="shared" ca="1" si="26"/>
        <v/>
      </c>
      <c r="O390" s="37" t="str">
        <f t="shared" ca="1" si="27"/>
        <v/>
      </c>
    </row>
    <row r="391" spans="1:15" x14ac:dyDescent="0.25">
      <c r="A391" s="102"/>
      <c r="B391" s="33"/>
      <c r="C391" s="25"/>
      <c r="D391" s="26"/>
      <c r="E391" s="33"/>
      <c r="F391" s="25"/>
      <c r="G391" s="55"/>
      <c r="N391" s="37" t="str">
        <f t="shared" ca="1" si="26"/>
        <v/>
      </c>
      <c r="O391" s="37" t="str">
        <f t="shared" ca="1" si="27"/>
        <v/>
      </c>
    </row>
    <row r="392" spans="1:15" x14ac:dyDescent="0.25">
      <c r="A392" s="102"/>
      <c r="B392" s="33"/>
      <c r="C392" s="25"/>
      <c r="D392" s="26"/>
      <c r="E392" s="33"/>
      <c r="F392" s="25"/>
      <c r="G392" s="55"/>
      <c r="N392" s="37" t="str">
        <f t="shared" ca="1" si="26"/>
        <v/>
      </c>
      <c r="O392" s="37" t="str">
        <f t="shared" ca="1" si="27"/>
        <v/>
      </c>
    </row>
    <row r="393" spans="1:15" x14ac:dyDescent="0.25">
      <c r="A393" s="102"/>
      <c r="B393" s="33"/>
      <c r="C393" s="25"/>
      <c r="D393" s="26"/>
      <c r="E393" s="33"/>
      <c r="F393" s="25"/>
      <c r="G393" s="55"/>
      <c r="N393" s="37" t="str">
        <f t="shared" ca="1" si="26"/>
        <v/>
      </c>
      <c r="O393" s="37" t="str">
        <f t="shared" ca="1" si="27"/>
        <v/>
      </c>
    </row>
    <row r="394" spans="1:15" x14ac:dyDescent="0.25">
      <c r="A394" s="102"/>
      <c r="B394" s="33"/>
      <c r="C394" s="25"/>
      <c r="D394" s="26"/>
      <c r="E394" s="33"/>
      <c r="F394" s="25"/>
      <c r="G394" s="55"/>
      <c r="N394" s="37" t="str">
        <f t="shared" ca="1" si="26"/>
        <v/>
      </c>
      <c r="O394" s="37" t="str">
        <f t="shared" ca="1" si="27"/>
        <v/>
      </c>
    </row>
    <row r="395" spans="1:15" x14ac:dyDescent="0.25">
      <c r="A395" s="102"/>
      <c r="B395" s="33"/>
      <c r="C395" s="25"/>
      <c r="D395" s="26"/>
      <c r="E395" s="33"/>
      <c r="F395" s="25"/>
      <c r="G395" s="55"/>
      <c r="N395" s="37" t="str">
        <f t="shared" ca="1" si="26"/>
        <v/>
      </c>
      <c r="O395" s="37" t="str">
        <f t="shared" ca="1" si="27"/>
        <v/>
      </c>
    </row>
    <row r="396" spans="1:15" x14ac:dyDescent="0.25">
      <c r="A396" s="102"/>
      <c r="B396" s="33"/>
      <c r="C396" s="25"/>
      <c r="D396" s="26"/>
      <c r="E396" s="33"/>
      <c r="F396" s="25"/>
      <c r="G396" s="55"/>
      <c r="N396" s="37" t="str">
        <f t="shared" ca="1" si="26"/>
        <v/>
      </c>
      <c r="O396" s="37" t="str">
        <f t="shared" ca="1" si="27"/>
        <v/>
      </c>
    </row>
    <row r="397" spans="1:15" x14ac:dyDescent="0.25">
      <c r="A397" s="102"/>
      <c r="B397" s="33"/>
      <c r="C397" s="25"/>
      <c r="D397" s="26"/>
      <c r="E397" s="33"/>
      <c r="F397" s="25"/>
      <c r="G397" s="55"/>
      <c r="N397" s="37" t="str">
        <f t="shared" ca="1" si="26"/>
        <v/>
      </c>
      <c r="O397" s="37" t="str">
        <f t="shared" ca="1" si="27"/>
        <v/>
      </c>
    </row>
    <row r="398" spans="1:15" x14ac:dyDescent="0.25">
      <c r="A398" s="102"/>
      <c r="B398" s="33"/>
      <c r="C398" s="25"/>
      <c r="D398" s="26"/>
      <c r="E398" s="33"/>
      <c r="F398" s="25"/>
      <c r="G398" s="55"/>
      <c r="N398" s="37" t="str">
        <f t="shared" ca="1" si="26"/>
        <v/>
      </c>
      <c r="O398" s="37" t="str">
        <f t="shared" ca="1" si="27"/>
        <v/>
      </c>
    </row>
    <row r="399" spans="1:15" x14ac:dyDescent="0.25">
      <c r="A399" s="102"/>
      <c r="B399" s="33"/>
      <c r="C399" s="25"/>
      <c r="D399" s="26"/>
      <c r="E399" s="33"/>
      <c r="F399" s="25"/>
      <c r="G399" s="55"/>
      <c r="N399" s="37" t="str">
        <f t="shared" ca="1" si="26"/>
        <v/>
      </c>
      <c r="O399" s="37" t="str">
        <f t="shared" ca="1" si="27"/>
        <v/>
      </c>
    </row>
    <row r="400" spans="1:15" x14ac:dyDescent="0.25">
      <c r="A400" s="102"/>
      <c r="B400" s="33"/>
      <c r="C400" s="25"/>
      <c r="D400" s="26"/>
      <c r="E400" s="33"/>
      <c r="F400" s="25"/>
      <c r="G400" s="55"/>
      <c r="N400" s="37" t="str">
        <f t="shared" ca="1" si="26"/>
        <v/>
      </c>
      <c r="O400" s="37" t="str">
        <f t="shared" ca="1" si="27"/>
        <v/>
      </c>
    </row>
    <row r="401" spans="1:15" x14ac:dyDescent="0.25">
      <c r="A401" s="102"/>
      <c r="B401" s="33"/>
      <c r="C401" s="25"/>
      <c r="D401" s="26"/>
      <c r="E401" s="33"/>
      <c r="F401" s="25"/>
      <c r="G401" s="55"/>
      <c r="N401" s="37" t="str">
        <f t="shared" ca="1" si="26"/>
        <v/>
      </c>
      <c r="O401" s="37" t="str">
        <f t="shared" ca="1" si="27"/>
        <v/>
      </c>
    </row>
    <row r="402" spans="1:15" x14ac:dyDescent="0.25">
      <c r="A402" s="102"/>
      <c r="B402" s="33"/>
      <c r="C402" s="25"/>
      <c r="D402" s="26"/>
      <c r="E402" s="33"/>
      <c r="F402" s="25"/>
      <c r="G402" s="55"/>
      <c r="N402" s="37" t="str">
        <f t="shared" ca="1" si="26"/>
        <v/>
      </c>
      <c r="O402" s="37" t="str">
        <f t="shared" ca="1" si="27"/>
        <v/>
      </c>
    </row>
    <row r="403" spans="1:15" x14ac:dyDescent="0.25">
      <c r="A403" s="102"/>
      <c r="B403" s="33"/>
      <c r="C403" s="25"/>
      <c r="D403" s="26"/>
      <c r="E403" s="33"/>
      <c r="F403" s="25"/>
      <c r="G403" s="55"/>
      <c r="N403" s="37" t="str">
        <f t="shared" ca="1" si="26"/>
        <v/>
      </c>
      <c r="O403" s="37" t="str">
        <f t="shared" ca="1" si="27"/>
        <v/>
      </c>
    </row>
    <row r="404" spans="1:15" x14ac:dyDescent="0.25">
      <c r="A404" s="102"/>
      <c r="B404" s="33"/>
      <c r="C404" s="25"/>
      <c r="D404" s="26"/>
      <c r="E404" s="33"/>
      <c r="F404" s="25"/>
      <c r="G404" s="55"/>
      <c r="N404" s="37" t="str">
        <f t="shared" ca="1" si="26"/>
        <v/>
      </c>
      <c r="O404" s="37" t="str">
        <f t="shared" ca="1" si="27"/>
        <v/>
      </c>
    </row>
    <row r="405" spans="1:15" x14ac:dyDescent="0.25">
      <c r="A405" s="102"/>
      <c r="B405" s="33"/>
      <c r="C405" s="25"/>
      <c r="D405" s="26"/>
      <c r="E405" s="33"/>
      <c r="F405" s="25"/>
      <c r="G405" s="55"/>
      <c r="N405" s="37" t="str">
        <f t="shared" ca="1" si="26"/>
        <v/>
      </c>
      <c r="O405" s="37" t="str">
        <f t="shared" ca="1" si="27"/>
        <v/>
      </c>
    </row>
    <row r="406" spans="1:15" x14ac:dyDescent="0.25">
      <c r="A406" s="102"/>
      <c r="B406" s="33"/>
      <c r="C406" s="25"/>
      <c r="D406" s="26"/>
      <c r="E406" s="33"/>
      <c r="F406" s="25"/>
      <c r="G406" s="55"/>
      <c r="N406" s="37" t="str">
        <f t="shared" ca="1" si="26"/>
        <v/>
      </c>
      <c r="O406" s="37" t="str">
        <f t="shared" ca="1" si="27"/>
        <v/>
      </c>
    </row>
    <row r="407" spans="1:15" x14ac:dyDescent="0.25">
      <c r="A407" s="102"/>
      <c r="B407" s="33"/>
      <c r="C407" s="25"/>
      <c r="D407" s="26"/>
      <c r="E407" s="33"/>
      <c r="F407" s="25"/>
      <c r="G407" s="55"/>
      <c r="N407" s="37" t="str">
        <f t="shared" ca="1" si="26"/>
        <v/>
      </c>
      <c r="O407" s="37" t="str">
        <f t="shared" ca="1" si="27"/>
        <v/>
      </c>
    </row>
    <row r="408" spans="1:15" x14ac:dyDescent="0.25">
      <c r="A408" s="102"/>
      <c r="B408" s="33"/>
      <c r="C408" s="25"/>
      <c r="D408" s="26"/>
      <c r="E408" s="33"/>
      <c r="F408" s="25"/>
      <c r="G408" s="55"/>
      <c r="N408" s="37" t="str">
        <f t="shared" ca="1" si="26"/>
        <v/>
      </c>
      <c r="O408" s="37" t="str">
        <f t="shared" ca="1" si="27"/>
        <v/>
      </c>
    </row>
    <row r="409" spans="1:15" x14ac:dyDescent="0.25">
      <c r="A409" s="102"/>
      <c r="B409" s="33"/>
      <c r="C409" s="25"/>
      <c r="D409" s="26"/>
      <c r="E409" s="33"/>
      <c r="F409" s="25"/>
      <c r="G409" s="55"/>
      <c r="N409" s="37" t="str">
        <f t="shared" ca="1" si="26"/>
        <v/>
      </c>
      <c r="O409" s="37" t="str">
        <f t="shared" ca="1" si="27"/>
        <v/>
      </c>
    </row>
    <row r="410" spans="1:15" x14ac:dyDescent="0.25">
      <c r="A410" s="102"/>
      <c r="B410" s="33"/>
      <c r="C410" s="25"/>
      <c r="D410" s="26"/>
      <c r="E410" s="33"/>
      <c r="F410" s="25"/>
      <c r="G410" s="55"/>
      <c r="N410" s="37" t="str">
        <f t="shared" ca="1" si="26"/>
        <v/>
      </c>
      <c r="O410" s="37" t="str">
        <f t="shared" ca="1" si="27"/>
        <v/>
      </c>
    </row>
    <row r="411" spans="1:15" x14ac:dyDescent="0.25">
      <c r="A411" s="102"/>
      <c r="B411" s="33"/>
      <c r="C411" s="25"/>
      <c r="D411" s="26"/>
      <c r="E411" s="33"/>
      <c r="F411" s="25"/>
      <c r="G411" s="55"/>
      <c r="N411" s="37" t="str">
        <f t="shared" ca="1" si="26"/>
        <v/>
      </c>
      <c r="O411" s="37" t="str">
        <f t="shared" ca="1" si="27"/>
        <v/>
      </c>
    </row>
    <row r="412" spans="1:15" x14ac:dyDescent="0.25">
      <c r="A412" s="102"/>
      <c r="B412" s="33"/>
      <c r="C412" s="25"/>
      <c r="D412" s="26"/>
      <c r="E412" s="33"/>
      <c r="F412" s="25"/>
      <c r="G412" s="55"/>
      <c r="N412" s="37" t="str">
        <f t="shared" ca="1" si="26"/>
        <v/>
      </c>
      <c r="O412" s="37" t="str">
        <f t="shared" ca="1" si="27"/>
        <v/>
      </c>
    </row>
    <row r="413" spans="1:15" x14ac:dyDescent="0.25">
      <c r="A413" s="102"/>
      <c r="B413" s="33"/>
      <c r="C413" s="25"/>
      <c r="D413" s="26"/>
      <c r="E413" s="33"/>
      <c r="F413" s="25"/>
      <c r="G413" s="55"/>
      <c r="N413" s="37" t="str">
        <f t="shared" ca="1" si="26"/>
        <v/>
      </c>
      <c r="O413" s="37" t="str">
        <f t="shared" ca="1" si="27"/>
        <v/>
      </c>
    </row>
    <row r="414" spans="1:15" x14ac:dyDescent="0.25">
      <c r="A414" s="102"/>
      <c r="B414" s="33"/>
      <c r="C414" s="25"/>
      <c r="D414" s="26"/>
      <c r="E414" s="33"/>
      <c r="F414" s="25"/>
      <c r="G414" s="55"/>
      <c r="N414" s="37" t="str">
        <f t="shared" ca="1" si="26"/>
        <v/>
      </c>
      <c r="O414" s="37" t="str">
        <f t="shared" ca="1" si="27"/>
        <v/>
      </c>
    </row>
    <row r="415" spans="1:15" x14ac:dyDescent="0.25">
      <c r="A415" s="102"/>
      <c r="B415" s="33"/>
      <c r="C415" s="25"/>
      <c r="D415" s="26"/>
      <c r="E415" s="33"/>
      <c r="F415" s="25"/>
      <c r="G415" s="55"/>
      <c r="N415" s="37" t="str">
        <f t="shared" ca="1" si="26"/>
        <v/>
      </c>
      <c r="O415" s="37" t="str">
        <f t="shared" ca="1" si="27"/>
        <v/>
      </c>
    </row>
    <row r="416" spans="1:15" x14ac:dyDescent="0.25">
      <c r="A416" s="102"/>
      <c r="B416" s="33"/>
      <c r="C416" s="25"/>
      <c r="D416" s="26"/>
      <c r="E416" s="33"/>
      <c r="F416" s="25"/>
      <c r="G416" s="55"/>
      <c r="N416" s="37" t="str">
        <f t="shared" ca="1" si="26"/>
        <v/>
      </c>
      <c r="O416" s="37" t="str">
        <f t="shared" ca="1" si="27"/>
        <v/>
      </c>
    </row>
    <row r="417" spans="1:15" x14ac:dyDescent="0.25">
      <c r="A417" s="102"/>
      <c r="B417" s="33"/>
      <c r="C417" s="25"/>
      <c r="D417" s="26"/>
      <c r="E417" s="33"/>
      <c r="F417" s="25"/>
      <c r="G417" s="55"/>
      <c r="N417" s="37" t="str">
        <f t="shared" ca="1" si="26"/>
        <v/>
      </c>
      <c r="O417" s="37" t="str">
        <f t="shared" ca="1" si="27"/>
        <v/>
      </c>
    </row>
    <row r="418" spans="1:15" x14ac:dyDescent="0.25">
      <c r="A418" s="102"/>
      <c r="B418" s="33"/>
      <c r="C418" s="25"/>
      <c r="D418" s="26"/>
      <c r="E418" s="33"/>
      <c r="F418" s="25"/>
      <c r="G418" s="55"/>
      <c r="N418" s="37" t="str">
        <f t="shared" ca="1" si="26"/>
        <v/>
      </c>
      <c r="O418" s="37" t="str">
        <f t="shared" ca="1" si="27"/>
        <v/>
      </c>
    </row>
    <row r="419" spans="1:15" x14ac:dyDescent="0.25">
      <c r="A419" s="102"/>
      <c r="B419" s="33"/>
      <c r="C419" s="25"/>
      <c r="D419" s="26"/>
      <c r="E419" s="33"/>
      <c r="F419" s="25"/>
      <c r="G419" s="55"/>
      <c r="N419" s="37" t="str">
        <f t="shared" ca="1" si="26"/>
        <v/>
      </c>
      <c r="O419" s="37" t="str">
        <f t="shared" ca="1" si="27"/>
        <v/>
      </c>
    </row>
    <row r="420" spans="1:15" x14ac:dyDescent="0.25">
      <c r="A420" s="102"/>
      <c r="B420" s="33"/>
      <c r="C420" s="25"/>
      <c r="D420" s="26"/>
      <c r="E420" s="33"/>
      <c r="F420" s="25"/>
      <c r="G420" s="55"/>
      <c r="N420" s="37" t="str">
        <f t="shared" ca="1" si="26"/>
        <v/>
      </c>
      <c r="O420" s="37" t="str">
        <f t="shared" ca="1" si="27"/>
        <v/>
      </c>
    </row>
    <row r="421" spans="1:15" x14ac:dyDescent="0.25">
      <c r="A421" s="102"/>
      <c r="B421" s="33"/>
      <c r="C421" s="25"/>
      <c r="D421" s="26"/>
      <c r="E421" s="33"/>
      <c r="F421" s="25"/>
      <c r="G421" s="55"/>
      <c r="N421" s="37" t="str">
        <f t="shared" ca="1" si="26"/>
        <v/>
      </c>
      <c r="O421" s="37" t="str">
        <f t="shared" ca="1" si="27"/>
        <v/>
      </c>
    </row>
    <row r="422" spans="1:15" x14ac:dyDescent="0.25">
      <c r="A422" s="102"/>
      <c r="B422" s="33"/>
      <c r="C422" s="25"/>
      <c r="D422" s="26"/>
      <c r="E422" s="33"/>
      <c r="F422" s="25"/>
      <c r="G422" s="55"/>
      <c r="N422" s="37" t="str">
        <f t="shared" ca="1" si="26"/>
        <v/>
      </c>
      <c r="O422" s="37" t="str">
        <f t="shared" ca="1" si="27"/>
        <v/>
      </c>
    </row>
    <row r="423" spans="1:15" x14ac:dyDescent="0.25">
      <c r="A423" s="102"/>
      <c r="B423" s="33"/>
      <c r="C423" s="25"/>
      <c r="D423" s="26"/>
      <c r="E423" s="33"/>
      <c r="F423" s="25"/>
      <c r="G423" s="55"/>
      <c r="N423" s="37" t="str">
        <f t="shared" ca="1" si="26"/>
        <v/>
      </c>
      <c r="O423" s="37" t="str">
        <f t="shared" ca="1" si="27"/>
        <v/>
      </c>
    </row>
    <row r="424" spans="1:15" x14ac:dyDescent="0.25">
      <c r="A424" s="102"/>
      <c r="B424" s="33"/>
      <c r="C424" s="25"/>
      <c r="D424" s="26"/>
      <c r="E424" s="33"/>
      <c r="F424" s="25"/>
      <c r="G424" s="55"/>
      <c r="N424" s="37" t="str">
        <f t="shared" ca="1" si="26"/>
        <v/>
      </c>
      <c r="O424" s="37" t="str">
        <f t="shared" ca="1" si="27"/>
        <v/>
      </c>
    </row>
    <row r="425" spans="1:15" x14ac:dyDescent="0.25">
      <c r="A425" s="102"/>
      <c r="B425" s="33"/>
      <c r="C425" s="25"/>
      <c r="D425" s="26"/>
      <c r="E425" s="33"/>
      <c r="F425" s="25"/>
      <c r="G425" s="55"/>
      <c r="N425" s="37" t="str">
        <f t="shared" ca="1" si="26"/>
        <v/>
      </c>
      <c r="O425" s="37" t="str">
        <f t="shared" ca="1" si="27"/>
        <v/>
      </c>
    </row>
    <row r="426" spans="1:15" x14ac:dyDescent="0.25">
      <c r="A426" s="102"/>
      <c r="B426" s="33"/>
      <c r="C426" s="25"/>
      <c r="D426" s="26"/>
      <c r="E426" s="33"/>
      <c r="F426" s="25"/>
      <c r="G426" s="55"/>
      <c r="N426" s="37" t="str">
        <f t="shared" ca="1" si="26"/>
        <v/>
      </c>
      <c r="O426" s="37" t="str">
        <f t="shared" ca="1" si="27"/>
        <v/>
      </c>
    </row>
    <row r="427" spans="1:15" x14ac:dyDescent="0.25">
      <c r="A427" s="102"/>
      <c r="B427" s="33"/>
      <c r="C427" s="25"/>
      <c r="D427" s="26"/>
      <c r="E427" s="33"/>
      <c r="F427" s="25"/>
      <c r="G427" s="55"/>
      <c r="N427" s="37" t="str">
        <f t="shared" ca="1" si="26"/>
        <v/>
      </c>
      <c r="O427" s="37" t="str">
        <f t="shared" ca="1" si="27"/>
        <v/>
      </c>
    </row>
    <row r="428" spans="1:15" x14ac:dyDescent="0.25">
      <c r="A428" s="102"/>
      <c r="B428" s="33"/>
      <c r="C428" s="25"/>
      <c r="D428" s="26"/>
      <c r="E428" s="33"/>
      <c r="F428" s="25"/>
      <c r="G428" s="55"/>
      <c r="N428" s="37" t="str">
        <f t="shared" ca="1" si="26"/>
        <v/>
      </c>
      <c r="O428" s="37" t="str">
        <f t="shared" ca="1" si="27"/>
        <v/>
      </c>
    </row>
    <row r="429" spans="1:15" x14ac:dyDescent="0.25">
      <c r="A429" s="102"/>
      <c r="B429" s="33"/>
      <c r="C429" s="25"/>
      <c r="D429" s="26"/>
      <c r="E429" s="33"/>
      <c r="F429" s="25"/>
      <c r="G429" s="55"/>
      <c r="N429" s="37" t="str">
        <f t="shared" ca="1" si="26"/>
        <v/>
      </c>
      <c r="O429" s="37" t="str">
        <f t="shared" ca="1" si="27"/>
        <v/>
      </c>
    </row>
    <row r="430" spans="1:15" x14ac:dyDescent="0.25">
      <c r="A430" s="102"/>
      <c r="B430" s="33"/>
      <c r="C430" s="25"/>
      <c r="D430" s="26"/>
      <c r="E430" s="33"/>
      <c r="F430" s="25"/>
      <c r="G430" s="55"/>
      <c r="N430" s="37" t="str">
        <f t="shared" ca="1" si="26"/>
        <v/>
      </c>
      <c r="O430" s="37" t="str">
        <f t="shared" ca="1" si="27"/>
        <v/>
      </c>
    </row>
    <row r="431" spans="1:15" x14ac:dyDescent="0.25">
      <c r="A431" s="102"/>
      <c r="B431" s="33"/>
      <c r="C431" s="25"/>
      <c r="D431" s="26"/>
      <c r="E431" s="33"/>
      <c r="F431" s="25"/>
      <c r="G431" s="55"/>
      <c r="N431" s="37" t="str">
        <f t="shared" ca="1" si="26"/>
        <v/>
      </c>
      <c r="O431" s="37" t="str">
        <f t="shared" ca="1" si="27"/>
        <v/>
      </c>
    </row>
    <row r="432" spans="1:15" x14ac:dyDescent="0.25">
      <c r="A432" s="102"/>
      <c r="B432" s="33"/>
      <c r="C432" s="25"/>
      <c r="D432" s="26"/>
      <c r="E432" s="33"/>
      <c r="F432" s="25"/>
      <c r="G432" s="55"/>
      <c r="N432" s="37" t="str">
        <f t="shared" ca="1" si="26"/>
        <v/>
      </c>
      <c r="O432" s="37" t="str">
        <f t="shared" ca="1" si="27"/>
        <v/>
      </c>
    </row>
    <row r="433" spans="1:15" x14ac:dyDescent="0.25">
      <c r="A433" s="102"/>
      <c r="B433" s="33"/>
      <c r="C433" s="25"/>
      <c r="D433" s="26"/>
      <c r="E433" s="33"/>
      <c r="F433" s="25"/>
      <c r="G433" s="55"/>
      <c r="N433" s="37" t="str">
        <f t="shared" ca="1" si="26"/>
        <v/>
      </c>
      <c r="O433" s="37" t="str">
        <f t="shared" ca="1" si="27"/>
        <v/>
      </c>
    </row>
    <row r="434" spans="1:15" x14ac:dyDescent="0.25">
      <c r="A434" s="102"/>
      <c r="B434" s="33"/>
      <c r="C434" s="25"/>
      <c r="D434" s="26"/>
      <c r="E434" s="33"/>
      <c r="F434" s="25"/>
      <c r="G434" s="55"/>
      <c r="N434" s="37" t="str">
        <f t="shared" ca="1" si="26"/>
        <v/>
      </c>
      <c r="O434" s="37" t="str">
        <f t="shared" ca="1" si="27"/>
        <v/>
      </c>
    </row>
    <row r="435" spans="1:15" x14ac:dyDescent="0.25">
      <c r="A435" s="102"/>
      <c r="B435" s="33"/>
      <c r="C435" s="25"/>
      <c r="D435" s="26"/>
      <c r="E435" s="33"/>
      <c r="F435" s="25"/>
      <c r="G435" s="55"/>
      <c r="N435" s="37" t="str">
        <f t="shared" ca="1" si="26"/>
        <v/>
      </c>
      <c r="O435" s="37" t="str">
        <f t="shared" ca="1" si="27"/>
        <v/>
      </c>
    </row>
    <row r="436" spans="1:15" x14ac:dyDescent="0.25">
      <c r="A436" s="102"/>
      <c r="B436" s="33"/>
      <c r="C436" s="25"/>
      <c r="D436" s="26"/>
      <c r="E436" s="33"/>
      <c r="F436" s="25"/>
      <c r="G436" s="55"/>
      <c r="N436" s="37" t="str">
        <f t="shared" ca="1" si="26"/>
        <v/>
      </c>
      <c r="O436" s="37" t="str">
        <f t="shared" ca="1" si="27"/>
        <v/>
      </c>
    </row>
    <row r="437" spans="1:15" x14ac:dyDescent="0.25">
      <c r="A437" s="102"/>
      <c r="B437" s="33"/>
      <c r="C437" s="25"/>
      <c r="D437" s="26"/>
      <c r="E437" s="33"/>
      <c r="F437" s="25"/>
      <c r="G437" s="55"/>
      <c r="N437" s="37" t="str">
        <f t="shared" ca="1" si="26"/>
        <v/>
      </c>
      <c r="O437" s="37" t="str">
        <f t="shared" ca="1" si="27"/>
        <v/>
      </c>
    </row>
    <row r="438" spans="1:15" x14ac:dyDescent="0.25">
      <c r="A438" s="102"/>
      <c r="B438" s="33"/>
      <c r="C438" s="25"/>
      <c r="D438" s="26"/>
      <c r="E438" s="33"/>
      <c r="F438" s="25"/>
      <c r="G438" s="55"/>
      <c r="N438" s="37" t="str">
        <f t="shared" ca="1" si="26"/>
        <v/>
      </c>
      <c r="O438" s="37" t="str">
        <f t="shared" ca="1" si="27"/>
        <v/>
      </c>
    </row>
    <row r="439" spans="1:15" x14ac:dyDescent="0.25">
      <c r="A439" s="102"/>
      <c r="B439" s="33"/>
      <c r="C439" s="25"/>
      <c r="D439" s="26"/>
      <c r="E439" s="33"/>
      <c r="F439" s="25"/>
      <c r="G439" s="55"/>
      <c r="N439" s="37" t="str">
        <f t="shared" ca="1" si="26"/>
        <v/>
      </c>
      <c r="O439" s="37" t="str">
        <f t="shared" ca="1" si="27"/>
        <v/>
      </c>
    </row>
    <row r="440" spans="1:15" x14ac:dyDescent="0.25">
      <c r="A440" s="102"/>
      <c r="B440" s="33"/>
      <c r="C440" s="25"/>
      <c r="D440" s="26"/>
      <c r="E440" s="33"/>
      <c r="F440" s="25"/>
      <c r="G440" s="55"/>
      <c r="N440" s="37" t="str">
        <f t="shared" ca="1" si="26"/>
        <v/>
      </c>
      <c r="O440" s="37" t="str">
        <f t="shared" ca="1" si="27"/>
        <v/>
      </c>
    </row>
    <row r="441" spans="1:15" x14ac:dyDescent="0.25">
      <c r="A441" s="102"/>
      <c r="B441" s="33"/>
      <c r="C441" s="25"/>
      <c r="D441" s="26"/>
      <c r="E441" s="33"/>
      <c r="F441" s="25"/>
      <c r="G441" s="55"/>
      <c r="N441" s="37" t="str">
        <f t="shared" ca="1" si="26"/>
        <v/>
      </c>
      <c r="O441" s="37" t="str">
        <f t="shared" ca="1" si="27"/>
        <v/>
      </c>
    </row>
    <row r="442" spans="1:15" x14ac:dyDescent="0.25">
      <c r="A442" s="102"/>
      <c r="B442" s="33"/>
      <c r="C442" s="25"/>
      <c r="D442" s="26"/>
      <c r="E442" s="33"/>
      <c r="F442" s="25"/>
      <c r="G442" s="55"/>
      <c r="N442" s="37" t="str">
        <f t="shared" ca="1" si="26"/>
        <v/>
      </c>
      <c r="O442" s="37" t="str">
        <f t="shared" ca="1" si="27"/>
        <v/>
      </c>
    </row>
    <row r="443" spans="1:15" x14ac:dyDescent="0.25">
      <c r="A443" s="102"/>
      <c r="B443" s="33"/>
      <c r="C443" s="25"/>
      <c r="D443" s="26"/>
      <c r="E443" s="33"/>
      <c r="F443" s="25"/>
      <c r="G443" s="55"/>
      <c r="N443" s="37" t="str">
        <f t="shared" ca="1" si="26"/>
        <v/>
      </c>
      <c r="O443" s="37" t="str">
        <f t="shared" ca="1" si="27"/>
        <v/>
      </c>
    </row>
    <row r="444" spans="1:15" x14ac:dyDescent="0.25">
      <c r="A444" s="102"/>
      <c r="B444" s="33"/>
      <c r="C444" s="25"/>
      <c r="D444" s="26"/>
      <c r="E444" s="33"/>
      <c r="F444" s="25"/>
      <c r="G444" s="55"/>
      <c r="N444" s="37" t="str">
        <f t="shared" ca="1" si="26"/>
        <v/>
      </c>
      <c r="O444" s="37" t="str">
        <f t="shared" ca="1" si="27"/>
        <v/>
      </c>
    </row>
    <row r="445" spans="1:15" x14ac:dyDescent="0.25">
      <c r="A445" s="102"/>
      <c r="B445" s="33"/>
      <c r="C445" s="25"/>
      <c r="D445" s="26"/>
      <c r="E445" s="33"/>
      <c r="F445" s="25"/>
      <c r="G445" s="55"/>
      <c r="N445" s="37" t="str">
        <f t="shared" ca="1" si="26"/>
        <v/>
      </c>
      <c r="O445" s="37" t="str">
        <f t="shared" ca="1" si="27"/>
        <v/>
      </c>
    </row>
    <row r="446" spans="1:15" x14ac:dyDescent="0.25">
      <c r="A446" s="102"/>
      <c r="B446" s="33"/>
      <c r="C446" s="25"/>
      <c r="D446" s="26"/>
      <c r="E446" s="33"/>
      <c r="F446" s="25"/>
      <c r="G446" s="55"/>
      <c r="N446" s="37" t="str">
        <f t="shared" ca="1" si="26"/>
        <v/>
      </c>
      <c r="O446" s="37" t="str">
        <f t="shared" ca="1" si="27"/>
        <v/>
      </c>
    </row>
    <row r="447" spans="1:15" x14ac:dyDescent="0.25">
      <c r="A447" s="102"/>
      <c r="B447" s="33"/>
      <c r="C447" s="25"/>
      <c r="D447" s="26"/>
      <c r="E447" s="33"/>
      <c r="F447" s="25"/>
      <c r="G447" s="55"/>
      <c r="N447" s="37" t="str">
        <f t="shared" ca="1" si="26"/>
        <v/>
      </c>
      <c r="O447" s="37" t="str">
        <f t="shared" ca="1" si="27"/>
        <v/>
      </c>
    </row>
    <row r="448" spans="1:15" x14ac:dyDescent="0.25">
      <c r="A448" s="102"/>
      <c r="B448" s="33"/>
      <c r="C448" s="25"/>
      <c r="D448" s="26"/>
      <c r="E448" s="33"/>
      <c r="F448" s="25"/>
      <c r="G448" s="55"/>
      <c r="N448" s="37" t="str">
        <f t="shared" ca="1" si="26"/>
        <v/>
      </c>
      <c r="O448" s="37" t="str">
        <f t="shared" ca="1" si="27"/>
        <v/>
      </c>
    </row>
    <row r="449" spans="1:15" x14ac:dyDescent="0.25">
      <c r="A449" s="102"/>
      <c r="B449" s="33"/>
      <c r="C449" s="25"/>
      <c r="D449" s="26"/>
      <c r="E449" s="33"/>
      <c r="F449" s="25"/>
      <c r="G449" s="55"/>
      <c r="N449" s="37" t="str">
        <f t="shared" ca="1" si="26"/>
        <v/>
      </c>
      <c r="O449" s="37" t="str">
        <f t="shared" ca="1" si="27"/>
        <v/>
      </c>
    </row>
    <row r="450" spans="1:15" x14ac:dyDescent="0.25">
      <c r="A450" s="102"/>
      <c r="B450" s="33"/>
      <c r="C450" s="25"/>
      <c r="D450" s="26"/>
      <c r="E450" s="33"/>
      <c r="F450" s="25"/>
      <c r="G450" s="55"/>
      <c r="N450" s="37" t="str">
        <f t="shared" ca="1" si="26"/>
        <v/>
      </c>
      <c r="O450" s="37" t="str">
        <f t="shared" ca="1" si="27"/>
        <v/>
      </c>
    </row>
    <row r="451" spans="1:15" x14ac:dyDescent="0.25">
      <c r="A451" s="102"/>
      <c r="B451" s="33"/>
      <c r="C451" s="25"/>
      <c r="D451" s="26"/>
      <c r="E451" s="33"/>
      <c r="F451" s="25"/>
      <c r="G451" s="55"/>
      <c r="N451" s="37" t="str">
        <f t="shared" ca="1" si="26"/>
        <v/>
      </c>
      <c r="O451" s="37" t="str">
        <f t="shared" ca="1" si="27"/>
        <v/>
      </c>
    </row>
    <row r="452" spans="1:15" x14ac:dyDescent="0.25">
      <c r="A452" s="102"/>
      <c r="B452" s="33"/>
      <c r="C452" s="25"/>
      <c r="D452" s="26"/>
      <c r="E452" s="33"/>
      <c r="F452" s="25"/>
      <c r="G452" s="55"/>
      <c r="N452" s="37" t="str">
        <f t="shared" ref="N452:N515" ca="1" si="28">IF(COUNTIF(L:L,J452),J452,"")</f>
        <v/>
      </c>
      <c r="O452" s="37" t="str">
        <f t="shared" ref="O452:O515" ca="1" si="29">IF(N452&gt;$A$14,N452,"")</f>
        <v/>
      </c>
    </row>
    <row r="453" spans="1:15" x14ac:dyDescent="0.25">
      <c r="A453" s="102"/>
      <c r="B453" s="33"/>
      <c r="C453" s="25"/>
      <c r="D453" s="26"/>
      <c r="E453" s="33"/>
      <c r="F453" s="25"/>
      <c r="G453" s="55"/>
      <c r="N453" s="37" t="str">
        <f t="shared" ca="1" si="28"/>
        <v/>
      </c>
      <c r="O453" s="37" t="str">
        <f t="shared" ca="1" si="29"/>
        <v/>
      </c>
    </row>
    <row r="454" spans="1:15" x14ac:dyDescent="0.25">
      <c r="A454" s="102"/>
      <c r="B454" s="33"/>
      <c r="C454" s="25"/>
      <c r="D454" s="26"/>
      <c r="E454" s="33"/>
      <c r="F454" s="25"/>
      <c r="G454" s="55"/>
      <c r="N454" s="37" t="str">
        <f t="shared" ca="1" si="28"/>
        <v/>
      </c>
      <c r="O454" s="37" t="str">
        <f t="shared" ca="1" si="29"/>
        <v/>
      </c>
    </row>
    <row r="455" spans="1:15" x14ac:dyDescent="0.25">
      <c r="A455" s="102"/>
      <c r="B455" s="33"/>
      <c r="C455" s="25"/>
      <c r="D455" s="26"/>
      <c r="E455" s="33"/>
      <c r="F455" s="25"/>
      <c r="G455" s="55"/>
      <c r="N455" s="37" t="str">
        <f t="shared" ca="1" si="28"/>
        <v/>
      </c>
      <c r="O455" s="37" t="str">
        <f t="shared" ca="1" si="29"/>
        <v/>
      </c>
    </row>
    <row r="456" spans="1:15" x14ac:dyDescent="0.25">
      <c r="A456" s="102"/>
      <c r="B456" s="33"/>
      <c r="C456" s="25"/>
      <c r="D456" s="26"/>
      <c r="E456" s="33"/>
      <c r="F456" s="25"/>
      <c r="G456" s="55"/>
      <c r="N456" s="37" t="str">
        <f t="shared" ca="1" si="28"/>
        <v/>
      </c>
      <c r="O456" s="37" t="str">
        <f t="shared" ca="1" si="29"/>
        <v/>
      </c>
    </row>
    <row r="457" spans="1:15" x14ac:dyDescent="0.25">
      <c r="A457" s="102"/>
      <c r="B457" s="33"/>
      <c r="C457" s="25"/>
      <c r="D457" s="26"/>
      <c r="E457" s="33"/>
      <c r="F457" s="25"/>
      <c r="G457" s="55"/>
      <c r="N457" s="37" t="str">
        <f t="shared" ca="1" si="28"/>
        <v/>
      </c>
      <c r="O457" s="37" t="str">
        <f t="shared" ca="1" si="29"/>
        <v/>
      </c>
    </row>
    <row r="458" spans="1:15" x14ac:dyDescent="0.25">
      <c r="A458" s="102"/>
      <c r="B458" s="33"/>
      <c r="C458" s="25"/>
      <c r="D458" s="26"/>
      <c r="E458" s="33"/>
      <c r="F458" s="25"/>
      <c r="G458" s="55"/>
      <c r="N458" s="37" t="str">
        <f t="shared" ca="1" si="28"/>
        <v/>
      </c>
      <c r="O458" s="37" t="str">
        <f t="shared" ca="1" si="29"/>
        <v/>
      </c>
    </row>
    <row r="459" spans="1:15" x14ac:dyDescent="0.25">
      <c r="A459" s="102"/>
      <c r="B459" s="33"/>
      <c r="C459" s="25"/>
      <c r="D459" s="26"/>
      <c r="E459" s="33"/>
      <c r="F459" s="25"/>
      <c r="G459" s="55"/>
      <c r="N459" s="37" t="str">
        <f t="shared" ca="1" si="28"/>
        <v/>
      </c>
      <c r="O459" s="37" t="str">
        <f t="shared" ca="1" si="29"/>
        <v/>
      </c>
    </row>
    <row r="460" spans="1:15" x14ac:dyDescent="0.25">
      <c r="A460" s="102"/>
      <c r="B460" s="33"/>
      <c r="C460" s="25"/>
      <c r="D460" s="26"/>
      <c r="E460" s="33"/>
      <c r="F460" s="25"/>
      <c r="G460" s="55"/>
      <c r="N460" s="37" t="str">
        <f t="shared" ca="1" si="28"/>
        <v/>
      </c>
      <c r="O460" s="37" t="str">
        <f t="shared" ca="1" si="29"/>
        <v/>
      </c>
    </row>
    <row r="461" spans="1:15" x14ac:dyDescent="0.25">
      <c r="A461" s="102"/>
      <c r="B461" s="33"/>
      <c r="C461" s="25"/>
      <c r="D461" s="26"/>
      <c r="E461" s="33"/>
      <c r="F461" s="25"/>
      <c r="G461" s="55"/>
      <c r="N461" s="37" t="str">
        <f t="shared" ca="1" si="28"/>
        <v/>
      </c>
      <c r="O461" s="37" t="str">
        <f t="shared" ca="1" si="29"/>
        <v/>
      </c>
    </row>
    <row r="462" spans="1:15" x14ac:dyDescent="0.25">
      <c r="A462" s="102"/>
      <c r="B462" s="33"/>
      <c r="C462" s="25"/>
      <c r="D462" s="26"/>
      <c r="E462" s="33"/>
      <c r="F462" s="25"/>
      <c r="G462" s="55"/>
      <c r="N462" s="37" t="str">
        <f t="shared" ca="1" si="28"/>
        <v/>
      </c>
      <c r="O462" s="37" t="str">
        <f t="shared" ca="1" si="29"/>
        <v/>
      </c>
    </row>
    <row r="463" spans="1:15" x14ac:dyDescent="0.25">
      <c r="A463" s="102"/>
      <c r="B463" s="33"/>
      <c r="C463" s="25"/>
      <c r="D463" s="26"/>
      <c r="E463" s="33"/>
      <c r="F463" s="25"/>
      <c r="G463" s="55"/>
      <c r="N463" s="37" t="str">
        <f t="shared" ca="1" si="28"/>
        <v/>
      </c>
      <c r="O463" s="37" t="str">
        <f t="shared" ca="1" si="29"/>
        <v/>
      </c>
    </row>
    <row r="464" spans="1:15" x14ac:dyDescent="0.25">
      <c r="A464" s="102"/>
      <c r="B464" s="33"/>
      <c r="C464" s="25"/>
      <c r="D464" s="26"/>
      <c r="E464" s="33"/>
      <c r="F464" s="25"/>
      <c r="G464" s="55"/>
      <c r="N464" s="37" t="str">
        <f t="shared" ca="1" si="28"/>
        <v/>
      </c>
      <c r="O464" s="37" t="str">
        <f t="shared" ca="1" si="29"/>
        <v/>
      </c>
    </row>
    <row r="465" spans="1:15" x14ac:dyDescent="0.25">
      <c r="A465" s="102"/>
      <c r="B465" s="33"/>
      <c r="C465" s="25"/>
      <c r="D465" s="26"/>
      <c r="E465" s="33"/>
      <c r="F465" s="25"/>
      <c r="G465" s="55"/>
      <c r="N465" s="37" t="str">
        <f t="shared" ca="1" si="28"/>
        <v/>
      </c>
      <c r="O465" s="37" t="str">
        <f t="shared" ca="1" si="29"/>
        <v/>
      </c>
    </row>
    <row r="466" spans="1:15" x14ac:dyDescent="0.25">
      <c r="A466" s="102"/>
      <c r="B466" s="33"/>
      <c r="C466" s="25"/>
      <c r="D466" s="26"/>
      <c r="E466" s="33"/>
      <c r="F466" s="25"/>
      <c r="G466" s="55"/>
      <c r="N466" s="37" t="str">
        <f t="shared" ca="1" si="28"/>
        <v/>
      </c>
      <c r="O466" s="37" t="str">
        <f t="shared" ca="1" si="29"/>
        <v/>
      </c>
    </row>
    <row r="467" spans="1:15" x14ac:dyDescent="0.25">
      <c r="A467" s="102"/>
      <c r="B467" s="33"/>
      <c r="C467" s="25"/>
      <c r="D467" s="26"/>
      <c r="E467" s="33"/>
      <c r="F467" s="25"/>
      <c r="G467" s="55"/>
      <c r="N467" s="37" t="str">
        <f t="shared" ca="1" si="28"/>
        <v/>
      </c>
      <c r="O467" s="37" t="str">
        <f t="shared" ca="1" si="29"/>
        <v/>
      </c>
    </row>
    <row r="468" spans="1:15" x14ac:dyDescent="0.25">
      <c r="A468" s="102"/>
      <c r="B468" s="33"/>
      <c r="C468" s="25"/>
      <c r="D468" s="26"/>
      <c r="E468" s="33"/>
      <c r="F468" s="25"/>
      <c r="G468" s="55"/>
      <c r="N468" s="37" t="str">
        <f t="shared" ca="1" si="28"/>
        <v/>
      </c>
      <c r="O468" s="37" t="str">
        <f t="shared" ca="1" si="29"/>
        <v/>
      </c>
    </row>
    <row r="469" spans="1:15" x14ac:dyDescent="0.25">
      <c r="A469" s="102"/>
      <c r="B469" s="33"/>
      <c r="C469" s="25"/>
      <c r="D469" s="26"/>
      <c r="E469" s="33"/>
      <c r="F469" s="25"/>
      <c r="G469" s="55"/>
      <c r="N469" s="37" t="str">
        <f t="shared" ca="1" si="28"/>
        <v/>
      </c>
      <c r="O469" s="37" t="str">
        <f t="shared" ca="1" si="29"/>
        <v/>
      </c>
    </row>
    <row r="470" spans="1:15" x14ac:dyDescent="0.25">
      <c r="A470" s="102"/>
      <c r="B470" s="33"/>
      <c r="C470" s="25"/>
      <c r="D470" s="26"/>
      <c r="E470" s="33"/>
      <c r="F470" s="25"/>
      <c r="G470" s="55"/>
      <c r="N470" s="37" t="str">
        <f t="shared" ca="1" si="28"/>
        <v/>
      </c>
      <c r="O470" s="37" t="str">
        <f t="shared" ca="1" si="29"/>
        <v/>
      </c>
    </row>
    <row r="471" spans="1:15" x14ac:dyDescent="0.25">
      <c r="A471" s="102"/>
      <c r="B471" s="33"/>
      <c r="C471" s="25"/>
      <c r="D471" s="26"/>
      <c r="E471" s="33"/>
      <c r="F471" s="25"/>
      <c r="G471" s="55"/>
      <c r="N471" s="37" t="str">
        <f t="shared" ca="1" si="28"/>
        <v/>
      </c>
      <c r="O471" s="37" t="str">
        <f t="shared" ca="1" si="29"/>
        <v/>
      </c>
    </row>
    <row r="472" spans="1:15" x14ac:dyDescent="0.25">
      <c r="A472" s="102"/>
      <c r="B472" s="33"/>
      <c r="C472" s="25"/>
      <c r="D472" s="26"/>
      <c r="E472" s="33"/>
      <c r="F472" s="25"/>
      <c r="G472" s="55"/>
      <c r="N472" s="37" t="str">
        <f t="shared" ca="1" si="28"/>
        <v/>
      </c>
      <c r="O472" s="37" t="str">
        <f t="shared" ca="1" si="29"/>
        <v/>
      </c>
    </row>
    <row r="473" spans="1:15" x14ac:dyDescent="0.25">
      <c r="A473" s="102"/>
      <c r="B473" s="33"/>
      <c r="C473" s="25"/>
      <c r="D473" s="26"/>
      <c r="E473" s="33"/>
      <c r="F473" s="25"/>
      <c r="G473" s="55"/>
      <c r="N473" s="37" t="str">
        <f t="shared" ca="1" si="28"/>
        <v/>
      </c>
      <c r="O473" s="37" t="str">
        <f t="shared" ca="1" si="29"/>
        <v/>
      </c>
    </row>
    <row r="474" spans="1:15" x14ac:dyDescent="0.25">
      <c r="A474" s="102"/>
      <c r="B474" s="33"/>
      <c r="C474" s="25"/>
      <c r="D474" s="26"/>
      <c r="E474" s="33"/>
      <c r="F474" s="25"/>
      <c r="G474" s="55"/>
      <c r="N474" s="37" t="str">
        <f t="shared" ca="1" si="28"/>
        <v/>
      </c>
      <c r="O474" s="37" t="str">
        <f t="shared" ca="1" si="29"/>
        <v/>
      </c>
    </row>
    <row r="475" spans="1:15" x14ac:dyDescent="0.25">
      <c r="A475" s="102"/>
      <c r="B475" s="33"/>
      <c r="C475" s="25"/>
      <c r="D475" s="26"/>
      <c r="E475" s="33"/>
      <c r="F475" s="25"/>
      <c r="G475" s="55"/>
      <c r="N475" s="37" t="str">
        <f t="shared" ca="1" si="28"/>
        <v/>
      </c>
      <c r="O475" s="37" t="str">
        <f t="shared" ca="1" si="29"/>
        <v/>
      </c>
    </row>
    <row r="476" spans="1:15" x14ac:dyDescent="0.25">
      <c r="A476" s="102"/>
      <c r="B476" s="33"/>
      <c r="C476" s="25"/>
      <c r="D476" s="26"/>
      <c r="E476" s="33"/>
      <c r="F476" s="25"/>
      <c r="G476" s="55"/>
      <c r="N476" s="37" t="str">
        <f t="shared" ca="1" si="28"/>
        <v/>
      </c>
      <c r="O476" s="37" t="str">
        <f t="shared" ca="1" si="29"/>
        <v/>
      </c>
    </row>
    <row r="477" spans="1:15" x14ac:dyDescent="0.25">
      <c r="A477" s="102"/>
      <c r="B477" s="33"/>
      <c r="C477" s="25"/>
      <c r="D477" s="26"/>
      <c r="E477" s="33"/>
      <c r="F477" s="25"/>
      <c r="G477" s="55"/>
      <c r="N477" s="37" t="str">
        <f t="shared" ca="1" si="28"/>
        <v/>
      </c>
      <c r="O477" s="37" t="str">
        <f t="shared" ca="1" si="29"/>
        <v/>
      </c>
    </row>
    <row r="478" spans="1:15" x14ac:dyDescent="0.25">
      <c r="A478" s="102"/>
      <c r="B478" s="33"/>
      <c r="C478" s="25"/>
      <c r="D478" s="26"/>
      <c r="E478" s="33"/>
      <c r="F478" s="25"/>
      <c r="G478" s="55"/>
      <c r="N478" s="37" t="str">
        <f t="shared" ca="1" si="28"/>
        <v/>
      </c>
      <c r="O478" s="37" t="str">
        <f t="shared" ca="1" si="29"/>
        <v/>
      </c>
    </row>
    <row r="479" spans="1:15" x14ac:dyDescent="0.25">
      <c r="A479" s="102"/>
      <c r="B479" s="33"/>
      <c r="C479" s="25"/>
      <c r="D479" s="26"/>
      <c r="E479" s="33"/>
      <c r="F479" s="25"/>
      <c r="G479" s="55"/>
      <c r="N479" s="37" t="str">
        <f t="shared" ca="1" si="28"/>
        <v/>
      </c>
      <c r="O479" s="37" t="str">
        <f t="shared" ca="1" si="29"/>
        <v/>
      </c>
    </row>
    <row r="480" spans="1:15" x14ac:dyDescent="0.25">
      <c r="A480" s="102"/>
      <c r="B480" s="33"/>
      <c r="C480" s="25"/>
      <c r="D480" s="26"/>
      <c r="E480" s="33"/>
      <c r="F480" s="25"/>
      <c r="G480" s="55"/>
      <c r="N480" s="37" t="str">
        <f t="shared" ca="1" si="28"/>
        <v/>
      </c>
      <c r="O480" s="37" t="str">
        <f t="shared" ca="1" si="29"/>
        <v/>
      </c>
    </row>
    <row r="481" spans="1:15" x14ac:dyDescent="0.25">
      <c r="A481" s="102"/>
      <c r="B481" s="33"/>
      <c r="C481" s="25"/>
      <c r="D481" s="26"/>
      <c r="E481" s="33"/>
      <c r="F481" s="25"/>
      <c r="G481" s="55"/>
      <c r="N481" s="37" t="str">
        <f t="shared" ca="1" si="28"/>
        <v/>
      </c>
      <c r="O481" s="37" t="str">
        <f t="shared" ca="1" si="29"/>
        <v/>
      </c>
    </row>
    <row r="482" spans="1:15" x14ac:dyDescent="0.25">
      <c r="A482" s="102"/>
      <c r="B482" s="33"/>
      <c r="C482" s="25"/>
      <c r="D482" s="26"/>
      <c r="E482" s="33"/>
      <c r="F482" s="25"/>
      <c r="G482" s="55"/>
      <c r="N482" s="37" t="str">
        <f t="shared" ca="1" si="28"/>
        <v/>
      </c>
      <c r="O482" s="37" t="str">
        <f t="shared" ca="1" si="29"/>
        <v/>
      </c>
    </row>
    <row r="483" spans="1:15" x14ac:dyDescent="0.25">
      <c r="A483" s="102"/>
      <c r="B483" s="33"/>
      <c r="C483" s="25"/>
      <c r="D483" s="26"/>
      <c r="E483" s="33"/>
      <c r="F483" s="25"/>
      <c r="G483" s="55"/>
      <c r="N483" s="37" t="str">
        <f t="shared" ca="1" si="28"/>
        <v/>
      </c>
      <c r="O483" s="37" t="str">
        <f t="shared" ca="1" si="29"/>
        <v/>
      </c>
    </row>
    <row r="484" spans="1:15" x14ac:dyDescent="0.25">
      <c r="A484" s="102"/>
      <c r="B484" s="33"/>
      <c r="C484" s="25"/>
      <c r="D484" s="26"/>
      <c r="E484" s="33"/>
      <c r="F484" s="25"/>
      <c r="G484" s="55"/>
      <c r="N484" s="37" t="str">
        <f t="shared" ca="1" si="28"/>
        <v/>
      </c>
      <c r="O484" s="37" t="str">
        <f t="shared" ca="1" si="29"/>
        <v/>
      </c>
    </row>
    <row r="485" spans="1:15" x14ac:dyDescent="0.25">
      <c r="A485" s="102"/>
      <c r="B485" s="33"/>
      <c r="C485" s="25"/>
      <c r="D485" s="26"/>
      <c r="E485" s="33"/>
      <c r="F485" s="25"/>
      <c r="G485" s="55"/>
      <c r="N485" s="37" t="str">
        <f t="shared" ca="1" si="28"/>
        <v/>
      </c>
      <c r="O485" s="37" t="str">
        <f t="shared" ca="1" si="29"/>
        <v/>
      </c>
    </row>
    <row r="486" spans="1:15" x14ac:dyDescent="0.25">
      <c r="A486" s="102"/>
      <c r="B486" s="33"/>
      <c r="C486" s="25"/>
      <c r="D486" s="26"/>
      <c r="E486" s="33"/>
      <c r="F486" s="25"/>
      <c r="G486" s="55"/>
      <c r="N486" s="37" t="str">
        <f t="shared" ca="1" si="28"/>
        <v/>
      </c>
      <c r="O486" s="37" t="str">
        <f t="shared" ca="1" si="29"/>
        <v/>
      </c>
    </row>
    <row r="487" spans="1:15" x14ac:dyDescent="0.25">
      <c r="A487" s="102"/>
      <c r="B487" s="33"/>
      <c r="C487" s="25"/>
      <c r="D487" s="26"/>
      <c r="E487" s="33"/>
      <c r="F487" s="25"/>
      <c r="G487" s="55"/>
      <c r="N487" s="37" t="str">
        <f t="shared" ca="1" si="28"/>
        <v/>
      </c>
      <c r="O487" s="37" t="str">
        <f t="shared" ca="1" si="29"/>
        <v/>
      </c>
    </row>
    <row r="488" spans="1:15" x14ac:dyDescent="0.25">
      <c r="A488" s="102"/>
      <c r="B488" s="33"/>
      <c r="C488" s="25"/>
      <c r="D488" s="26"/>
      <c r="E488" s="33"/>
      <c r="F488" s="25"/>
      <c r="G488" s="55"/>
      <c r="N488" s="37" t="str">
        <f t="shared" ca="1" si="28"/>
        <v/>
      </c>
      <c r="O488" s="37" t="str">
        <f t="shared" ca="1" si="29"/>
        <v/>
      </c>
    </row>
    <row r="489" spans="1:15" x14ac:dyDescent="0.25">
      <c r="A489" s="102"/>
      <c r="B489" s="33"/>
      <c r="C489" s="25"/>
      <c r="D489" s="26"/>
      <c r="E489" s="33"/>
      <c r="F489" s="25"/>
      <c r="G489" s="55"/>
      <c r="N489" s="37" t="str">
        <f t="shared" ca="1" si="28"/>
        <v/>
      </c>
      <c r="O489" s="37" t="str">
        <f t="shared" ca="1" si="29"/>
        <v/>
      </c>
    </row>
    <row r="490" spans="1:15" x14ac:dyDescent="0.25">
      <c r="A490" s="102"/>
      <c r="B490" s="33"/>
      <c r="C490" s="25"/>
      <c r="D490" s="26"/>
      <c r="E490" s="33"/>
      <c r="F490" s="25"/>
      <c r="G490" s="55"/>
      <c r="N490" s="37" t="str">
        <f t="shared" ca="1" si="28"/>
        <v/>
      </c>
      <c r="O490" s="37" t="str">
        <f t="shared" ca="1" si="29"/>
        <v/>
      </c>
    </row>
    <row r="491" spans="1:15" x14ac:dyDescent="0.25">
      <c r="A491" s="102"/>
      <c r="B491" s="33"/>
      <c r="C491" s="25"/>
      <c r="D491" s="26"/>
      <c r="E491" s="33"/>
      <c r="F491" s="25"/>
      <c r="G491" s="55"/>
      <c r="N491" s="37" t="str">
        <f t="shared" ca="1" si="28"/>
        <v/>
      </c>
      <c r="O491" s="37" t="str">
        <f t="shared" ca="1" si="29"/>
        <v/>
      </c>
    </row>
    <row r="492" spans="1:15" x14ac:dyDescent="0.25">
      <c r="A492" s="102"/>
      <c r="B492" s="33"/>
      <c r="C492" s="25"/>
      <c r="D492" s="26"/>
      <c r="E492" s="33"/>
      <c r="F492" s="25"/>
      <c r="G492" s="55"/>
      <c r="N492" s="37" t="str">
        <f t="shared" ca="1" si="28"/>
        <v/>
      </c>
      <c r="O492" s="37" t="str">
        <f t="shared" ca="1" si="29"/>
        <v/>
      </c>
    </row>
    <row r="493" spans="1:15" x14ac:dyDescent="0.25">
      <c r="A493" s="102"/>
      <c r="B493" s="33"/>
      <c r="C493" s="25"/>
      <c r="D493" s="26"/>
      <c r="E493" s="33"/>
      <c r="F493" s="25"/>
      <c r="G493" s="55"/>
      <c r="N493" s="37" t="str">
        <f t="shared" ca="1" si="28"/>
        <v/>
      </c>
      <c r="O493" s="37" t="str">
        <f t="shared" ca="1" si="29"/>
        <v/>
      </c>
    </row>
    <row r="494" spans="1:15" x14ac:dyDescent="0.25">
      <c r="A494" s="102"/>
      <c r="B494" s="33"/>
      <c r="C494" s="25"/>
      <c r="D494" s="26"/>
      <c r="E494" s="33"/>
      <c r="F494" s="25"/>
      <c r="G494" s="55"/>
      <c r="N494" s="37" t="str">
        <f t="shared" ca="1" si="28"/>
        <v/>
      </c>
      <c r="O494" s="37" t="str">
        <f t="shared" ca="1" si="29"/>
        <v/>
      </c>
    </row>
    <row r="495" spans="1:15" x14ac:dyDescent="0.25">
      <c r="A495" s="102"/>
      <c r="B495" s="33"/>
      <c r="C495" s="25"/>
      <c r="D495" s="26"/>
      <c r="E495" s="33"/>
      <c r="F495" s="25"/>
      <c r="G495" s="55"/>
      <c r="N495" s="37" t="str">
        <f t="shared" ca="1" si="28"/>
        <v/>
      </c>
      <c r="O495" s="37" t="str">
        <f t="shared" ca="1" si="29"/>
        <v/>
      </c>
    </row>
    <row r="496" spans="1:15" x14ac:dyDescent="0.25">
      <c r="A496" s="102"/>
      <c r="B496" s="33"/>
      <c r="C496" s="25"/>
      <c r="D496" s="26"/>
      <c r="E496" s="33"/>
      <c r="F496" s="25"/>
      <c r="G496" s="55"/>
      <c r="N496" s="37" t="str">
        <f t="shared" ca="1" si="28"/>
        <v/>
      </c>
      <c r="O496" s="37" t="str">
        <f t="shared" ca="1" si="29"/>
        <v/>
      </c>
    </row>
    <row r="497" spans="1:15" x14ac:dyDescent="0.25">
      <c r="A497" s="102"/>
      <c r="B497" s="33"/>
      <c r="C497" s="25"/>
      <c r="D497" s="26"/>
      <c r="E497" s="33"/>
      <c r="F497" s="25"/>
      <c r="G497" s="55"/>
      <c r="N497" s="37" t="str">
        <f t="shared" ca="1" si="28"/>
        <v/>
      </c>
      <c r="O497" s="37" t="str">
        <f t="shared" ca="1" si="29"/>
        <v/>
      </c>
    </row>
    <row r="498" spans="1:15" x14ac:dyDescent="0.25">
      <c r="A498" s="102"/>
      <c r="B498" s="33"/>
      <c r="C498" s="25"/>
      <c r="D498" s="26"/>
      <c r="E498" s="33"/>
      <c r="F498" s="25"/>
      <c r="G498" s="55"/>
      <c r="N498" s="37" t="str">
        <f t="shared" ca="1" si="28"/>
        <v/>
      </c>
      <c r="O498" s="37" t="str">
        <f t="shared" ca="1" si="29"/>
        <v/>
      </c>
    </row>
    <row r="499" spans="1:15" x14ac:dyDescent="0.25">
      <c r="A499" s="102"/>
      <c r="B499" s="33"/>
      <c r="C499" s="25"/>
      <c r="D499" s="26"/>
      <c r="E499" s="33"/>
      <c r="F499" s="25"/>
      <c r="G499" s="55"/>
      <c r="N499" s="37" t="str">
        <f t="shared" ca="1" si="28"/>
        <v/>
      </c>
      <c r="O499" s="37" t="str">
        <f t="shared" ca="1" si="29"/>
        <v/>
      </c>
    </row>
    <row r="500" spans="1:15" x14ac:dyDescent="0.25">
      <c r="A500" s="102"/>
      <c r="B500" s="33"/>
      <c r="C500" s="25"/>
      <c r="D500" s="26"/>
      <c r="E500" s="33"/>
      <c r="F500" s="25"/>
      <c r="G500" s="55"/>
      <c r="N500" s="37" t="str">
        <f t="shared" ca="1" si="28"/>
        <v/>
      </c>
      <c r="O500" s="37" t="str">
        <f t="shared" ca="1" si="29"/>
        <v/>
      </c>
    </row>
    <row r="501" spans="1:15" x14ac:dyDescent="0.25">
      <c r="A501" s="102"/>
      <c r="B501" s="33"/>
      <c r="C501" s="25"/>
      <c r="D501" s="26"/>
      <c r="E501" s="33"/>
      <c r="F501" s="25"/>
      <c r="G501" s="55"/>
      <c r="N501" s="37" t="str">
        <f t="shared" ca="1" si="28"/>
        <v/>
      </c>
      <c r="O501" s="37" t="str">
        <f t="shared" ca="1" si="29"/>
        <v/>
      </c>
    </row>
    <row r="502" spans="1:15" x14ac:dyDescent="0.25">
      <c r="A502" s="102"/>
      <c r="B502" s="33"/>
      <c r="C502" s="25"/>
      <c r="D502" s="26"/>
      <c r="E502" s="33"/>
      <c r="F502" s="25"/>
      <c r="G502" s="55"/>
      <c r="N502" s="37" t="str">
        <f t="shared" ca="1" si="28"/>
        <v/>
      </c>
      <c r="O502" s="37" t="str">
        <f t="shared" ca="1" si="29"/>
        <v/>
      </c>
    </row>
    <row r="503" spans="1:15" x14ac:dyDescent="0.25">
      <c r="A503" s="102"/>
      <c r="B503" s="33"/>
      <c r="C503" s="25"/>
      <c r="D503" s="26"/>
      <c r="E503" s="33"/>
      <c r="F503" s="25"/>
      <c r="G503" s="55"/>
      <c r="N503" s="37" t="str">
        <f t="shared" ca="1" si="28"/>
        <v/>
      </c>
      <c r="O503" s="37" t="str">
        <f t="shared" ca="1" si="29"/>
        <v/>
      </c>
    </row>
    <row r="504" spans="1:15" x14ac:dyDescent="0.25">
      <c r="A504" s="102"/>
      <c r="B504" s="33"/>
      <c r="C504" s="25"/>
      <c r="D504" s="26"/>
      <c r="E504" s="33"/>
      <c r="F504" s="25"/>
      <c r="G504" s="55"/>
      <c r="N504" s="37" t="str">
        <f t="shared" ca="1" si="28"/>
        <v/>
      </c>
      <c r="O504" s="37" t="str">
        <f t="shared" ca="1" si="29"/>
        <v/>
      </c>
    </row>
    <row r="505" spans="1:15" x14ac:dyDescent="0.25">
      <c r="A505" s="102"/>
      <c r="B505" s="33"/>
      <c r="C505" s="25"/>
      <c r="D505" s="26"/>
      <c r="E505" s="33"/>
      <c r="F505" s="25"/>
      <c r="G505" s="55"/>
      <c r="N505" s="37" t="str">
        <f t="shared" ca="1" si="28"/>
        <v/>
      </c>
      <c r="O505" s="37" t="str">
        <f t="shared" ca="1" si="29"/>
        <v/>
      </c>
    </row>
    <row r="506" spans="1:15" x14ac:dyDescent="0.25">
      <c r="A506" s="102"/>
      <c r="B506" s="33"/>
      <c r="C506" s="25"/>
      <c r="D506" s="26"/>
      <c r="E506" s="33"/>
      <c r="F506" s="25"/>
      <c r="G506" s="55"/>
      <c r="N506" s="37" t="str">
        <f t="shared" ca="1" si="28"/>
        <v/>
      </c>
      <c r="O506" s="37" t="str">
        <f t="shared" ca="1" si="29"/>
        <v/>
      </c>
    </row>
    <row r="507" spans="1:15" x14ac:dyDescent="0.25">
      <c r="A507" s="102"/>
      <c r="B507" s="33"/>
      <c r="C507" s="25"/>
      <c r="D507" s="26"/>
      <c r="E507" s="33"/>
      <c r="F507" s="25"/>
      <c r="G507" s="55"/>
      <c r="N507" s="37" t="str">
        <f t="shared" ca="1" si="28"/>
        <v/>
      </c>
      <c r="O507" s="37" t="str">
        <f t="shared" ca="1" si="29"/>
        <v/>
      </c>
    </row>
    <row r="508" spans="1:15" x14ac:dyDescent="0.25">
      <c r="A508" s="102"/>
      <c r="B508" s="33"/>
      <c r="C508" s="25"/>
      <c r="D508" s="26"/>
      <c r="E508" s="33"/>
      <c r="F508" s="25"/>
      <c r="G508" s="55"/>
      <c r="N508" s="37" t="str">
        <f t="shared" ca="1" si="28"/>
        <v/>
      </c>
      <c r="O508" s="37" t="str">
        <f t="shared" ca="1" si="29"/>
        <v/>
      </c>
    </row>
    <row r="509" spans="1:15" x14ac:dyDescent="0.25">
      <c r="A509" s="102"/>
      <c r="B509" s="33"/>
      <c r="C509" s="25"/>
      <c r="D509" s="26"/>
      <c r="E509" s="33"/>
      <c r="F509" s="25"/>
      <c r="G509" s="55"/>
      <c r="N509" s="37" t="str">
        <f t="shared" ca="1" si="28"/>
        <v/>
      </c>
      <c r="O509" s="37" t="str">
        <f t="shared" ca="1" si="29"/>
        <v/>
      </c>
    </row>
    <row r="510" spans="1:15" x14ac:dyDescent="0.25">
      <c r="A510" s="102"/>
      <c r="B510" s="33"/>
      <c r="C510" s="25"/>
      <c r="D510" s="26"/>
      <c r="E510" s="33"/>
      <c r="F510" s="25"/>
      <c r="G510" s="55"/>
      <c r="N510" s="37" t="str">
        <f t="shared" ca="1" si="28"/>
        <v/>
      </c>
      <c r="O510" s="37" t="str">
        <f t="shared" ca="1" si="29"/>
        <v/>
      </c>
    </row>
    <row r="511" spans="1:15" x14ac:dyDescent="0.25">
      <c r="A511" s="102"/>
      <c r="B511" s="33"/>
      <c r="C511" s="25"/>
      <c r="D511" s="26"/>
      <c r="E511" s="33"/>
      <c r="F511" s="25"/>
      <c r="G511" s="55"/>
      <c r="N511" s="37" t="str">
        <f t="shared" ca="1" si="28"/>
        <v/>
      </c>
      <c r="O511" s="37" t="str">
        <f t="shared" ca="1" si="29"/>
        <v/>
      </c>
    </row>
    <row r="512" spans="1:15" x14ac:dyDescent="0.25">
      <c r="A512" s="102"/>
      <c r="B512" s="33"/>
      <c r="C512" s="25"/>
      <c r="D512" s="26"/>
      <c r="E512" s="33"/>
      <c r="F512" s="25"/>
      <c r="G512" s="55"/>
      <c r="N512" s="37" t="str">
        <f t="shared" ca="1" si="28"/>
        <v/>
      </c>
      <c r="O512" s="37" t="str">
        <f t="shared" ca="1" si="29"/>
        <v/>
      </c>
    </row>
    <row r="513" spans="1:15" x14ac:dyDescent="0.25">
      <c r="A513" s="102"/>
      <c r="B513" s="33"/>
      <c r="C513" s="25"/>
      <c r="D513" s="26"/>
      <c r="E513" s="33"/>
      <c r="F513" s="25"/>
      <c r="G513" s="55"/>
      <c r="N513" s="37" t="str">
        <f t="shared" ca="1" si="28"/>
        <v/>
      </c>
      <c r="O513" s="37" t="str">
        <f t="shared" ca="1" si="29"/>
        <v/>
      </c>
    </row>
    <row r="514" spans="1:15" x14ac:dyDescent="0.25">
      <c r="A514" s="102"/>
      <c r="B514" s="33"/>
      <c r="C514" s="25"/>
      <c r="D514" s="26"/>
      <c r="E514" s="33"/>
      <c r="F514" s="25"/>
      <c r="G514" s="55"/>
      <c r="N514" s="37" t="str">
        <f t="shared" ca="1" si="28"/>
        <v/>
      </c>
      <c r="O514" s="37" t="str">
        <f t="shared" ca="1" si="29"/>
        <v/>
      </c>
    </row>
    <row r="515" spans="1:15" x14ac:dyDescent="0.25">
      <c r="A515" s="102"/>
      <c r="B515" s="33"/>
      <c r="C515" s="25"/>
      <c r="D515" s="26"/>
      <c r="E515" s="33"/>
      <c r="F515" s="25"/>
      <c r="G515" s="55"/>
      <c r="N515" s="37" t="str">
        <f t="shared" ca="1" si="28"/>
        <v/>
      </c>
      <c r="O515" s="37" t="str">
        <f t="shared" ca="1" si="29"/>
        <v/>
      </c>
    </row>
    <row r="516" spans="1:15" x14ac:dyDescent="0.25">
      <c r="A516" s="102"/>
      <c r="B516" s="33"/>
      <c r="C516" s="25"/>
      <c r="D516" s="26"/>
      <c r="E516" s="33"/>
      <c r="F516" s="25"/>
      <c r="G516" s="55"/>
      <c r="N516" s="37" t="str">
        <f t="shared" ref="N516:N579" ca="1" si="30">IF(COUNTIF(L:L,J516),J516,"")</f>
        <v/>
      </c>
      <c r="O516" s="37" t="str">
        <f t="shared" ref="O516:O579" ca="1" si="31">IF(N516&gt;$A$14,N516,"")</f>
        <v/>
      </c>
    </row>
    <row r="517" spans="1:15" x14ac:dyDescent="0.25">
      <c r="A517" s="102"/>
      <c r="B517" s="33"/>
      <c r="C517" s="25"/>
      <c r="D517" s="26"/>
      <c r="E517" s="33"/>
      <c r="F517" s="25"/>
      <c r="G517" s="55"/>
      <c r="N517" s="37" t="str">
        <f t="shared" ca="1" si="30"/>
        <v/>
      </c>
      <c r="O517" s="37" t="str">
        <f t="shared" ca="1" si="31"/>
        <v/>
      </c>
    </row>
    <row r="518" spans="1:15" x14ac:dyDescent="0.25">
      <c r="A518" s="102"/>
      <c r="B518" s="33"/>
      <c r="C518" s="25"/>
      <c r="D518" s="26"/>
      <c r="E518" s="33"/>
      <c r="F518" s="25"/>
      <c r="G518" s="55"/>
      <c r="N518" s="37" t="str">
        <f t="shared" ca="1" si="30"/>
        <v/>
      </c>
      <c r="O518" s="37" t="str">
        <f t="shared" ca="1" si="31"/>
        <v/>
      </c>
    </row>
    <row r="519" spans="1:15" x14ac:dyDescent="0.25">
      <c r="A519" s="102"/>
      <c r="B519" s="33"/>
      <c r="C519" s="25"/>
      <c r="D519" s="26"/>
      <c r="E519" s="33"/>
      <c r="F519" s="25"/>
      <c r="G519" s="55"/>
      <c r="N519" s="37" t="str">
        <f t="shared" ca="1" si="30"/>
        <v/>
      </c>
      <c r="O519" s="37" t="str">
        <f t="shared" ca="1" si="31"/>
        <v/>
      </c>
    </row>
    <row r="520" spans="1:15" x14ac:dyDescent="0.25">
      <c r="A520" s="102"/>
      <c r="B520" s="33"/>
      <c r="C520" s="25"/>
      <c r="D520" s="26"/>
      <c r="E520" s="33"/>
      <c r="F520" s="25"/>
      <c r="G520" s="55"/>
      <c r="N520" s="37" t="str">
        <f t="shared" ca="1" si="30"/>
        <v/>
      </c>
      <c r="O520" s="37" t="str">
        <f t="shared" ca="1" si="31"/>
        <v/>
      </c>
    </row>
    <row r="521" spans="1:15" x14ac:dyDescent="0.25">
      <c r="A521" s="102"/>
      <c r="B521" s="33"/>
      <c r="C521" s="25"/>
      <c r="D521" s="26"/>
      <c r="E521" s="33"/>
      <c r="F521" s="25"/>
      <c r="G521" s="55"/>
      <c r="N521" s="37" t="str">
        <f t="shared" ca="1" si="30"/>
        <v/>
      </c>
      <c r="O521" s="37" t="str">
        <f t="shared" ca="1" si="31"/>
        <v/>
      </c>
    </row>
    <row r="522" spans="1:15" x14ac:dyDescent="0.25">
      <c r="A522" s="102"/>
      <c r="B522" s="33"/>
      <c r="C522" s="25"/>
      <c r="D522" s="26"/>
      <c r="E522" s="33"/>
      <c r="F522" s="25"/>
      <c r="G522" s="55"/>
      <c r="N522" s="37" t="str">
        <f t="shared" ca="1" si="30"/>
        <v/>
      </c>
      <c r="O522" s="37" t="str">
        <f t="shared" ca="1" si="31"/>
        <v/>
      </c>
    </row>
    <row r="523" spans="1:15" x14ac:dyDescent="0.25">
      <c r="A523" s="102"/>
      <c r="B523" s="33"/>
      <c r="C523" s="25"/>
      <c r="D523" s="26"/>
      <c r="E523" s="33"/>
      <c r="F523" s="25"/>
      <c r="G523" s="55"/>
      <c r="N523" s="37" t="str">
        <f t="shared" ca="1" si="30"/>
        <v/>
      </c>
      <c r="O523" s="37" t="str">
        <f t="shared" ca="1" si="31"/>
        <v/>
      </c>
    </row>
    <row r="524" spans="1:15" x14ac:dyDescent="0.25">
      <c r="A524" s="102"/>
      <c r="B524" s="33"/>
      <c r="C524" s="25"/>
      <c r="D524" s="26"/>
      <c r="E524" s="33"/>
      <c r="F524" s="25"/>
      <c r="G524" s="55"/>
      <c r="N524" s="37" t="str">
        <f t="shared" ca="1" si="30"/>
        <v/>
      </c>
      <c r="O524" s="37" t="str">
        <f t="shared" ca="1" si="31"/>
        <v/>
      </c>
    </row>
    <row r="525" spans="1:15" x14ac:dyDescent="0.25">
      <c r="A525" s="102"/>
      <c r="B525" s="33"/>
      <c r="C525" s="25"/>
      <c r="D525" s="26"/>
      <c r="E525" s="33"/>
      <c r="F525" s="25"/>
      <c r="G525" s="55"/>
      <c r="N525" s="37" t="str">
        <f t="shared" ca="1" si="30"/>
        <v/>
      </c>
      <c r="O525" s="37" t="str">
        <f t="shared" ca="1" si="31"/>
        <v/>
      </c>
    </row>
    <row r="526" spans="1:15" x14ac:dyDescent="0.25">
      <c r="A526" s="102"/>
      <c r="B526" s="33"/>
      <c r="C526" s="25"/>
      <c r="D526" s="26"/>
      <c r="E526" s="33"/>
      <c r="F526" s="25"/>
      <c r="G526" s="55"/>
      <c r="N526" s="37" t="str">
        <f t="shared" ca="1" si="30"/>
        <v/>
      </c>
      <c r="O526" s="37" t="str">
        <f t="shared" ca="1" si="31"/>
        <v/>
      </c>
    </row>
    <row r="527" spans="1:15" x14ac:dyDescent="0.25">
      <c r="A527" s="102"/>
      <c r="B527" s="33"/>
      <c r="C527" s="25"/>
      <c r="D527" s="26"/>
      <c r="E527" s="33"/>
      <c r="F527" s="25"/>
      <c r="G527" s="55"/>
      <c r="N527" s="37" t="str">
        <f t="shared" ca="1" si="30"/>
        <v/>
      </c>
      <c r="O527" s="37" t="str">
        <f t="shared" ca="1" si="31"/>
        <v/>
      </c>
    </row>
    <row r="528" spans="1:15" x14ac:dyDescent="0.25">
      <c r="A528" s="102"/>
      <c r="B528" s="33"/>
      <c r="C528" s="25"/>
      <c r="D528" s="26"/>
      <c r="E528" s="33"/>
      <c r="F528" s="25"/>
      <c r="G528" s="55"/>
      <c r="N528" s="37" t="str">
        <f t="shared" ca="1" si="30"/>
        <v/>
      </c>
      <c r="O528" s="37" t="str">
        <f t="shared" ca="1" si="31"/>
        <v/>
      </c>
    </row>
    <row r="529" spans="1:15" x14ac:dyDescent="0.25">
      <c r="A529" s="102"/>
      <c r="B529" s="33"/>
      <c r="C529" s="25"/>
      <c r="D529" s="26"/>
      <c r="E529" s="33"/>
      <c r="F529" s="25"/>
      <c r="G529" s="55"/>
      <c r="N529" s="37" t="str">
        <f t="shared" ca="1" si="30"/>
        <v/>
      </c>
      <c r="O529" s="37" t="str">
        <f t="shared" ca="1" si="31"/>
        <v/>
      </c>
    </row>
    <row r="530" spans="1:15" x14ac:dyDescent="0.25">
      <c r="A530" s="102"/>
      <c r="B530" s="33"/>
      <c r="C530" s="25"/>
      <c r="D530" s="26"/>
      <c r="E530" s="33"/>
      <c r="F530" s="25"/>
      <c r="G530" s="55"/>
      <c r="N530" s="37" t="str">
        <f t="shared" ca="1" si="30"/>
        <v/>
      </c>
      <c r="O530" s="37" t="str">
        <f t="shared" ca="1" si="31"/>
        <v/>
      </c>
    </row>
    <row r="531" spans="1:15" x14ac:dyDescent="0.25">
      <c r="A531" s="102"/>
      <c r="B531" s="33"/>
      <c r="C531" s="25"/>
      <c r="D531" s="26"/>
      <c r="E531" s="33"/>
      <c r="F531" s="25"/>
      <c r="G531" s="55"/>
      <c r="N531" s="37" t="str">
        <f t="shared" ca="1" si="30"/>
        <v/>
      </c>
      <c r="O531" s="37" t="str">
        <f t="shared" ca="1" si="31"/>
        <v/>
      </c>
    </row>
    <row r="532" spans="1:15" x14ac:dyDescent="0.25">
      <c r="A532" s="102"/>
      <c r="B532" s="33"/>
      <c r="C532" s="25"/>
      <c r="D532" s="26"/>
      <c r="E532" s="33"/>
      <c r="F532" s="25"/>
      <c r="G532" s="55"/>
      <c r="N532" s="37" t="str">
        <f t="shared" ca="1" si="30"/>
        <v/>
      </c>
      <c r="O532" s="37" t="str">
        <f t="shared" ca="1" si="31"/>
        <v/>
      </c>
    </row>
    <row r="533" spans="1:15" x14ac:dyDescent="0.25">
      <c r="A533" s="102"/>
      <c r="B533" s="33"/>
      <c r="C533" s="25"/>
      <c r="D533" s="26"/>
      <c r="E533" s="33"/>
      <c r="F533" s="25"/>
      <c r="G533" s="55"/>
      <c r="N533" s="37" t="str">
        <f t="shared" ca="1" si="30"/>
        <v/>
      </c>
      <c r="O533" s="37" t="str">
        <f t="shared" ca="1" si="31"/>
        <v/>
      </c>
    </row>
    <row r="534" spans="1:15" x14ac:dyDescent="0.25">
      <c r="A534" s="102"/>
      <c r="B534" s="33"/>
      <c r="C534" s="25"/>
      <c r="D534" s="26"/>
      <c r="E534" s="33"/>
      <c r="F534" s="25"/>
      <c r="G534" s="55"/>
      <c r="N534" s="37" t="str">
        <f t="shared" ca="1" si="30"/>
        <v/>
      </c>
      <c r="O534" s="37" t="str">
        <f t="shared" ca="1" si="31"/>
        <v/>
      </c>
    </row>
    <row r="535" spans="1:15" x14ac:dyDescent="0.25">
      <c r="A535" s="102"/>
      <c r="B535" s="33"/>
      <c r="C535" s="25"/>
      <c r="D535" s="26"/>
      <c r="E535" s="33"/>
      <c r="F535" s="25"/>
      <c r="G535" s="55"/>
      <c r="N535" s="37" t="str">
        <f t="shared" ca="1" si="30"/>
        <v/>
      </c>
      <c r="O535" s="37" t="str">
        <f t="shared" ca="1" si="31"/>
        <v/>
      </c>
    </row>
    <row r="536" spans="1:15" x14ac:dyDescent="0.25">
      <c r="A536" s="102"/>
      <c r="B536" s="33"/>
      <c r="C536" s="25"/>
      <c r="D536" s="26"/>
      <c r="E536" s="33"/>
      <c r="F536" s="25"/>
      <c r="G536" s="55"/>
      <c r="N536" s="37" t="str">
        <f t="shared" ca="1" si="30"/>
        <v/>
      </c>
      <c r="O536" s="37" t="str">
        <f t="shared" ca="1" si="31"/>
        <v/>
      </c>
    </row>
    <row r="537" spans="1:15" x14ac:dyDescent="0.25">
      <c r="A537" s="102"/>
      <c r="B537" s="33"/>
      <c r="C537" s="25"/>
      <c r="D537" s="26"/>
      <c r="E537" s="33"/>
      <c r="F537" s="25"/>
      <c r="G537" s="55"/>
      <c r="N537" s="37" t="str">
        <f t="shared" ca="1" si="30"/>
        <v/>
      </c>
      <c r="O537" s="37" t="str">
        <f t="shared" ca="1" si="31"/>
        <v/>
      </c>
    </row>
    <row r="538" spans="1:15" x14ac:dyDescent="0.25">
      <c r="A538" s="102"/>
      <c r="B538" s="33"/>
      <c r="C538" s="25"/>
      <c r="D538" s="26"/>
      <c r="E538" s="33"/>
      <c r="F538" s="25"/>
      <c r="G538" s="55"/>
      <c r="N538" s="37" t="str">
        <f t="shared" ca="1" si="30"/>
        <v/>
      </c>
      <c r="O538" s="37" t="str">
        <f t="shared" ca="1" si="31"/>
        <v/>
      </c>
    </row>
    <row r="539" spans="1:15" x14ac:dyDescent="0.25">
      <c r="A539" s="102"/>
      <c r="B539" s="33"/>
      <c r="C539" s="25"/>
      <c r="D539" s="26"/>
      <c r="E539" s="33"/>
      <c r="F539" s="25"/>
      <c r="G539" s="55"/>
      <c r="N539" s="37" t="str">
        <f t="shared" ca="1" si="30"/>
        <v/>
      </c>
      <c r="O539" s="37" t="str">
        <f t="shared" ca="1" si="31"/>
        <v/>
      </c>
    </row>
    <row r="540" spans="1:15" x14ac:dyDescent="0.25">
      <c r="A540" s="102"/>
      <c r="B540" s="33"/>
      <c r="C540" s="25"/>
      <c r="D540" s="26"/>
      <c r="E540" s="33"/>
      <c r="F540" s="25"/>
      <c r="G540" s="55"/>
      <c r="N540" s="37" t="str">
        <f t="shared" ca="1" si="30"/>
        <v/>
      </c>
      <c r="O540" s="37" t="str">
        <f t="shared" ca="1" si="31"/>
        <v/>
      </c>
    </row>
    <row r="541" spans="1:15" x14ac:dyDescent="0.25">
      <c r="A541" s="102"/>
      <c r="B541" s="33"/>
      <c r="C541" s="25"/>
      <c r="D541" s="26"/>
      <c r="E541" s="33"/>
      <c r="F541" s="25"/>
      <c r="G541" s="55"/>
      <c r="N541" s="37" t="str">
        <f t="shared" ca="1" si="30"/>
        <v/>
      </c>
      <c r="O541" s="37" t="str">
        <f t="shared" ca="1" si="31"/>
        <v/>
      </c>
    </row>
    <row r="542" spans="1:15" x14ac:dyDescent="0.25">
      <c r="A542" s="102"/>
      <c r="B542" s="33"/>
      <c r="C542" s="25"/>
      <c r="D542" s="26"/>
      <c r="E542" s="33"/>
      <c r="F542" s="25"/>
      <c r="G542" s="55"/>
      <c r="N542" s="37" t="str">
        <f t="shared" ca="1" si="30"/>
        <v/>
      </c>
      <c r="O542" s="37" t="str">
        <f t="shared" ca="1" si="31"/>
        <v/>
      </c>
    </row>
    <row r="543" spans="1:15" x14ac:dyDescent="0.25">
      <c r="A543" s="102"/>
      <c r="B543" s="33"/>
      <c r="C543" s="25"/>
      <c r="D543" s="26"/>
      <c r="E543" s="33"/>
      <c r="F543" s="25"/>
      <c r="G543" s="55"/>
      <c r="N543" s="37" t="str">
        <f t="shared" ca="1" si="30"/>
        <v/>
      </c>
      <c r="O543" s="37" t="str">
        <f t="shared" ca="1" si="31"/>
        <v/>
      </c>
    </row>
    <row r="544" spans="1:15" x14ac:dyDescent="0.25">
      <c r="A544" s="102"/>
      <c r="B544" s="33"/>
      <c r="C544" s="25"/>
      <c r="D544" s="26"/>
      <c r="E544" s="33"/>
      <c r="F544" s="25"/>
      <c r="G544" s="55"/>
      <c r="N544" s="37" t="str">
        <f t="shared" ca="1" si="30"/>
        <v/>
      </c>
      <c r="O544" s="37" t="str">
        <f t="shared" ca="1" si="31"/>
        <v/>
      </c>
    </row>
    <row r="545" spans="1:15" x14ac:dyDescent="0.25">
      <c r="A545" s="102"/>
      <c r="B545" s="33"/>
      <c r="C545" s="25"/>
      <c r="D545" s="26"/>
      <c r="E545" s="33"/>
      <c r="F545" s="25"/>
      <c r="G545" s="55"/>
      <c r="N545" s="37" t="str">
        <f t="shared" ca="1" si="30"/>
        <v/>
      </c>
      <c r="O545" s="37" t="str">
        <f t="shared" ca="1" si="31"/>
        <v/>
      </c>
    </row>
    <row r="546" spans="1:15" x14ac:dyDescent="0.25">
      <c r="A546" s="102"/>
      <c r="B546" s="33"/>
      <c r="C546" s="25"/>
      <c r="D546" s="26"/>
      <c r="E546" s="33"/>
      <c r="F546" s="25"/>
      <c r="G546" s="55"/>
      <c r="N546" s="37" t="str">
        <f t="shared" ca="1" si="30"/>
        <v/>
      </c>
      <c r="O546" s="37" t="str">
        <f t="shared" ca="1" si="31"/>
        <v/>
      </c>
    </row>
    <row r="547" spans="1:15" x14ac:dyDescent="0.25">
      <c r="A547" s="102"/>
      <c r="B547" s="33"/>
      <c r="C547" s="25"/>
      <c r="D547" s="26"/>
      <c r="E547" s="33"/>
      <c r="F547" s="25"/>
      <c r="G547" s="55"/>
      <c r="N547" s="37" t="str">
        <f t="shared" ca="1" si="30"/>
        <v/>
      </c>
      <c r="O547" s="37" t="str">
        <f t="shared" ca="1" si="31"/>
        <v/>
      </c>
    </row>
    <row r="548" spans="1:15" x14ac:dyDescent="0.25">
      <c r="A548" s="102"/>
      <c r="B548" s="33"/>
      <c r="C548" s="25"/>
      <c r="D548" s="26"/>
      <c r="E548" s="33"/>
      <c r="F548" s="25"/>
      <c r="G548" s="55"/>
      <c r="N548" s="37" t="str">
        <f t="shared" ca="1" si="30"/>
        <v/>
      </c>
      <c r="O548" s="37" t="str">
        <f t="shared" ca="1" si="31"/>
        <v/>
      </c>
    </row>
    <row r="549" spans="1:15" x14ac:dyDescent="0.25">
      <c r="A549" s="102"/>
      <c r="B549" s="33"/>
      <c r="C549" s="25"/>
      <c r="D549" s="26"/>
      <c r="E549" s="33"/>
      <c r="F549" s="25"/>
      <c r="G549" s="55"/>
      <c r="N549" s="37" t="str">
        <f t="shared" ca="1" si="30"/>
        <v/>
      </c>
      <c r="O549" s="37" t="str">
        <f t="shared" ca="1" si="31"/>
        <v/>
      </c>
    </row>
    <row r="550" spans="1:15" x14ac:dyDescent="0.25">
      <c r="A550" s="102"/>
      <c r="B550" s="33"/>
      <c r="C550" s="25"/>
      <c r="D550" s="26"/>
      <c r="E550" s="33"/>
      <c r="F550" s="25"/>
      <c r="G550" s="55"/>
      <c r="N550" s="37" t="str">
        <f t="shared" ca="1" si="30"/>
        <v/>
      </c>
      <c r="O550" s="37" t="str">
        <f t="shared" ca="1" si="31"/>
        <v/>
      </c>
    </row>
    <row r="551" spans="1:15" x14ac:dyDescent="0.25">
      <c r="A551" s="102"/>
      <c r="B551" s="33"/>
      <c r="C551" s="25"/>
      <c r="D551" s="26"/>
      <c r="E551" s="33"/>
      <c r="F551" s="25"/>
      <c r="G551" s="55"/>
      <c r="N551" s="37" t="str">
        <f t="shared" ca="1" si="30"/>
        <v/>
      </c>
      <c r="O551" s="37" t="str">
        <f t="shared" ca="1" si="31"/>
        <v/>
      </c>
    </row>
    <row r="552" spans="1:15" x14ac:dyDescent="0.25">
      <c r="A552" s="102"/>
      <c r="B552" s="33"/>
      <c r="C552" s="25"/>
      <c r="D552" s="26"/>
      <c r="E552" s="33"/>
      <c r="F552" s="25"/>
      <c r="G552" s="55"/>
      <c r="N552" s="37" t="str">
        <f t="shared" ca="1" si="30"/>
        <v/>
      </c>
      <c r="O552" s="37" t="str">
        <f t="shared" ca="1" si="31"/>
        <v/>
      </c>
    </row>
    <row r="553" spans="1:15" x14ac:dyDescent="0.25">
      <c r="A553" s="102"/>
      <c r="B553" s="33"/>
      <c r="C553" s="25"/>
      <c r="D553" s="26"/>
      <c r="E553" s="33"/>
      <c r="F553" s="25"/>
      <c r="G553" s="55"/>
      <c r="N553" s="37" t="str">
        <f t="shared" ca="1" si="30"/>
        <v/>
      </c>
      <c r="O553" s="37" t="str">
        <f t="shared" ca="1" si="31"/>
        <v/>
      </c>
    </row>
    <row r="554" spans="1:15" x14ac:dyDescent="0.25">
      <c r="A554" s="102"/>
      <c r="B554" s="33"/>
      <c r="C554" s="25"/>
      <c r="D554" s="26"/>
      <c r="E554" s="33"/>
      <c r="F554" s="25"/>
      <c r="G554" s="55"/>
      <c r="N554" s="37" t="str">
        <f t="shared" ca="1" si="30"/>
        <v/>
      </c>
      <c r="O554" s="37" t="str">
        <f t="shared" ca="1" si="31"/>
        <v/>
      </c>
    </row>
    <row r="555" spans="1:15" x14ac:dyDescent="0.25">
      <c r="A555" s="102"/>
      <c r="B555" s="33"/>
      <c r="C555" s="25"/>
      <c r="D555" s="26"/>
      <c r="E555" s="33"/>
      <c r="F555" s="25"/>
      <c r="G555" s="55"/>
      <c r="N555" s="37" t="str">
        <f t="shared" ca="1" si="30"/>
        <v/>
      </c>
      <c r="O555" s="37" t="str">
        <f t="shared" ca="1" si="31"/>
        <v/>
      </c>
    </row>
    <row r="556" spans="1:15" x14ac:dyDescent="0.25">
      <c r="A556" s="102"/>
      <c r="B556" s="33"/>
      <c r="C556" s="25"/>
      <c r="D556" s="26"/>
      <c r="E556" s="33"/>
      <c r="F556" s="25"/>
      <c r="G556" s="55"/>
      <c r="N556" s="37" t="str">
        <f t="shared" ca="1" si="30"/>
        <v/>
      </c>
      <c r="O556" s="37" t="str">
        <f t="shared" ca="1" si="31"/>
        <v/>
      </c>
    </row>
    <row r="557" spans="1:15" x14ac:dyDescent="0.25">
      <c r="A557" s="102"/>
      <c r="B557" s="33"/>
      <c r="C557" s="25"/>
      <c r="D557" s="26"/>
      <c r="E557" s="33"/>
      <c r="F557" s="25"/>
      <c r="G557" s="55"/>
      <c r="N557" s="37" t="str">
        <f t="shared" ca="1" si="30"/>
        <v/>
      </c>
      <c r="O557" s="37" t="str">
        <f t="shared" ca="1" si="31"/>
        <v/>
      </c>
    </row>
    <row r="558" spans="1:15" x14ac:dyDescent="0.25">
      <c r="A558" s="102"/>
      <c r="B558" s="33"/>
      <c r="C558" s="25"/>
      <c r="D558" s="26"/>
      <c r="E558" s="33"/>
      <c r="F558" s="25"/>
      <c r="G558" s="55"/>
      <c r="N558" s="37" t="str">
        <f t="shared" ca="1" si="30"/>
        <v/>
      </c>
      <c r="O558" s="37" t="str">
        <f t="shared" ca="1" si="31"/>
        <v/>
      </c>
    </row>
    <row r="559" spans="1:15" x14ac:dyDescent="0.25">
      <c r="A559" s="102"/>
      <c r="B559" s="33"/>
      <c r="C559" s="25"/>
      <c r="D559" s="26"/>
      <c r="E559" s="33"/>
      <c r="F559" s="25"/>
      <c r="G559" s="55"/>
      <c r="N559" s="37" t="str">
        <f t="shared" ca="1" si="30"/>
        <v/>
      </c>
      <c r="O559" s="37" t="str">
        <f t="shared" ca="1" si="31"/>
        <v/>
      </c>
    </row>
    <row r="560" spans="1:15" x14ac:dyDescent="0.25">
      <c r="A560" s="102"/>
      <c r="B560" s="33"/>
      <c r="C560" s="25"/>
      <c r="D560" s="26"/>
      <c r="E560" s="33"/>
      <c r="F560" s="25"/>
      <c r="G560" s="55"/>
      <c r="N560" s="37" t="str">
        <f t="shared" ca="1" si="30"/>
        <v/>
      </c>
      <c r="O560" s="37" t="str">
        <f t="shared" ca="1" si="31"/>
        <v/>
      </c>
    </row>
    <row r="561" spans="1:15" x14ac:dyDescent="0.25">
      <c r="A561" s="102"/>
      <c r="B561" s="33"/>
      <c r="C561" s="25"/>
      <c r="D561" s="26"/>
      <c r="E561" s="33"/>
      <c r="F561" s="25"/>
      <c r="G561" s="55"/>
      <c r="N561" s="37" t="str">
        <f t="shared" ca="1" si="30"/>
        <v/>
      </c>
      <c r="O561" s="37" t="str">
        <f t="shared" ca="1" si="31"/>
        <v/>
      </c>
    </row>
    <row r="562" spans="1:15" x14ac:dyDescent="0.25">
      <c r="A562" s="102"/>
      <c r="B562" s="33"/>
      <c r="C562" s="25"/>
      <c r="D562" s="26"/>
      <c r="E562" s="33"/>
      <c r="F562" s="25"/>
      <c r="G562" s="55"/>
      <c r="N562" s="37" t="str">
        <f t="shared" ca="1" si="30"/>
        <v/>
      </c>
      <c r="O562" s="37" t="str">
        <f t="shared" ca="1" si="31"/>
        <v/>
      </c>
    </row>
    <row r="563" spans="1:15" x14ac:dyDescent="0.25">
      <c r="A563" s="102"/>
      <c r="B563" s="33"/>
      <c r="C563" s="25"/>
      <c r="D563" s="26"/>
      <c r="E563" s="33"/>
      <c r="F563" s="25"/>
      <c r="G563" s="55"/>
      <c r="N563" s="37" t="str">
        <f t="shared" ca="1" si="30"/>
        <v/>
      </c>
      <c r="O563" s="37" t="str">
        <f t="shared" ca="1" si="31"/>
        <v/>
      </c>
    </row>
    <row r="564" spans="1:15" x14ac:dyDescent="0.25">
      <c r="A564" s="102"/>
      <c r="B564" s="33"/>
      <c r="C564" s="25"/>
      <c r="D564" s="26"/>
      <c r="E564" s="33"/>
      <c r="F564" s="25"/>
      <c r="G564" s="55"/>
      <c r="N564" s="37" t="str">
        <f t="shared" ca="1" si="30"/>
        <v/>
      </c>
      <c r="O564" s="37" t="str">
        <f t="shared" ca="1" si="31"/>
        <v/>
      </c>
    </row>
    <row r="565" spans="1:15" x14ac:dyDescent="0.25">
      <c r="A565" s="102"/>
      <c r="B565" s="33"/>
      <c r="C565" s="25"/>
      <c r="D565" s="26"/>
      <c r="E565" s="33"/>
      <c r="F565" s="25"/>
      <c r="G565" s="55"/>
      <c r="N565" s="37" t="str">
        <f t="shared" ca="1" si="30"/>
        <v/>
      </c>
      <c r="O565" s="37" t="str">
        <f t="shared" ca="1" si="31"/>
        <v/>
      </c>
    </row>
    <row r="566" spans="1:15" x14ac:dyDescent="0.25">
      <c r="A566" s="102"/>
      <c r="B566" s="33"/>
      <c r="C566" s="25"/>
      <c r="D566" s="26"/>
      <c r="E566" s="33"/>
      <c r="F566" s="25"/>
      <c r="G566" s="55"/>
      <c r="N566" s="37" t="str">
        <f t="shared" ca="1" si="30"/>
        <v/>
      </c>
      <c r="O566" s="37" t="str">
        <f t="shared" ca="1" si="31"/>
        <v/>
      </c>
    </row>
    <row r="567" spans="1:15" x14ac:dyDescent="0.25">
      <c r="A567" s="102"/>
      <c r="B567" s="33"/>
      <c r="C567" s="25"/>
      <c r="D567" s="26"/>
      <c r="E567" s="33"/>
      <c r="F567" s="25"/>
      <c r="G567" s="55"/>
      <c r="N567" s="37" t="str">
        <f t="shared" ca="1" si="30"/>
        <v/>
      </c>
      <c r="O567" s="37" t="str">
        <f t="shared" ca="1" si="31"/>
        <v/>
      </c>
    </row>
    <row r="568" spans="1:15" x14ac:dyDescent="0.25">
      <c r="A568" s="102"/>
      <c r="B568" s="33"/>
      <c r="C568" s="25"/>
      <c r="D568" s="26"/>
      <c r="E568" s="33"/>
      <c r="F568" s="25"/>
      <c r="G568" s="55"/>
      <c r="N568" s="37" t="str">
        <f t="shared" ca="1" si="30"/>
        <v/>
      </c>
      <c r="O568" s="37" t="str">
        <f t="shared" ca="1" si="31"/>
        <v/>
      </c>
    </row>
    <row r="569" spans="1:15" x14ac:dyDescent="0.25">
      <c r="A569" s="102"/>
      <c r="B569" s="33"/>
      <c r="C569" s="25"/>
      <c r="D569" s="26"/>
      <c r="E569" s="33"/>
      <c r="F569" s="25"/>
      <c r="G569" s="55"/>
      <c r="N569" s="37" t="str">
        <f t="shared" ca="1" si="30"/>
        <v/>
      </c>
      <c r="O569" s="37" t="str">
        <f t="shared" ca="1" si="31"/>
        <v/>
      </c>
    </row>
    <row r="570" spans="1:15" x14ac:dyDescent="0.25">
      <c r="A570" s="102"/>
      <c r="B570" s="33"/>
      <c r="C570" s="25"/>
      <c r="D570" s="26"/>
      <c r="E570" s="33"/>
      <c r="F570" s="25"/>
      <c r="G570" s="55"/>
      <c r="N570" s="37" t="str">
        <f t="shared" ca="1" si="30"/>
        <v/>
      </c>
      <c r="O570" s="37" t="str">
        <f t="shared" ca="1" si="31"/>
        <v/>
      </c>
    </row>
    <row r="571" spans="1:15" x14ac:dyDescent="0.25">
      <c r="A571" s="102"/>
      <c r="B571" s="33"/>
      <c r="C571" s="25"/>
      <c r="D571" s="26"/>
      <c r="E571" s="33"/>
      <c r="F571" s="25"/>
      <c r="G571" s="55"/>
      <c r="N571" s="37" t="str">
        <f t="shared" ca="1" si="30"/>
        <v/>
      </c>
      <c r="O571" s="37" t="str">
        <f t="shared" ca="1" si="31"/>
        <v/>
      </c>
    </row>
    <row r="572" spans="1:15" x14ac:dyDescent="0.25">
      <c r="A572" s="102"/>
      <c r="B572" s="33"/>
      <c r="C572" s="25"/>
      <c r="D572" s="26"/>
      <c r="E572" s="33"/>
      <c r="F572" s="25"/>
      <c r="G572" s="55"/>
      <c r="N572" s="37" t="str">
        <f t="shared" ca="1" si="30"/>
        <v/>
      </c>
      <c r="O572" s="37" t="str">
        <f t="shared" ca="1" si="31"/>
        <v/>
      </c>
    </row>
    <row r="573" spans="1:15" x14ac:dyDescent="0.25">
      <c r="A573" s="102"/>
      <c r="B573" s="33"/>
      <c r="C573" s="25"/>
      <c r="D573" s="26"/>
      <c r="E573" s="33"/>
      <c r="F573" s="25"/>
      <c r="G573" s="55"/>
      <c r="N573" s="37" t="str">
        <f t="shared" ca="1" si="30"/>
        <v/>
      </c>
      <c r="O573" s="37" t="str">
        <f t="shared" ca="1" si="31"/>
        <v/>
      </c>
    </row>
    <row r="574" spans="1:15" x14ac:dyDescent="0.25">
      <c r="A574" s="102"/>
      <c r="B574" s="33"/>
      <c r="C574" s="25"/>
      <c r="D574" s="26"/>
      <c r="E574" s="33"/>
      <c r="F574" s="25"/>
      <c r="G574" s="55"/>
      <c r="N574" s="37" t="str">
        <f t="shared" ca="1" si="30"/>
        <v/>
      </c>
      <c r="O574" s="37" t="str">
        <f t="shared" ca="1" si="31"/>
        <v/>
      </c>
    </row>
    <row r="575" spans="1:15" x14ac:dyDescent="0.25">
      <c r="A575" s="102"/>
      <c r="B575" s="33"/>
      <c r="C575" s="25"/>
      <c r="D575" s="26"/>
      <c r="E575" s="33"/>
      <c r="F575" s="25"/>
      <c r="G575" s="55"/>
      <c r="N575" s="37" t="str">
        <f t="shared" ca="1" si="30"/>
        <v/>
      </c>
      <c r="O575" s="37" t="str">
        <f t="shared" ca="1" si="31"/>
        <v/>
      </c>
    </row>
    <row r="576" spans="1:15" x14ac:dyDescent="0.25">
      <c r="A576" s="102"/>
      <c r="B576" s="33"/>
      <c r="C576" s="25"/>
      <c r="D576" s="26"/>
      <c r="E576" s="33"/>
      <c r="F576" s="25"/>
      <c r="G576" s="55"/>
      <c r="N576" s="37" t="str">
        <f t="shared" ca="1" si="30"/>
        <v/>
      </c>
      <c r="O576" s="37" t="str">
        <f t="shared" ca="1" si="31"/>
        <v/>
      </c>
    </row>
    <row r="577" spans="1:15" x14ac:dyDescent="0.25">
      <c r="A577" s="102"/>
      <c r="B577" s="33"/>
      <c r="C577" s="25"/>
      <c r="D577" s="26"/>
      <c r="E577" s="33"/>
      <c r="F577" s="25"/>
      <c r="G577" s="55"/>
      <c r="N577" s="37" t="str">
        <f t="shared" ca="1" si="30"/>
        <v/>
      </c>
      <c r="O577" s="37" t="str">
        <f t="shared" ca="1" si="31"/>
        <v/>
      </c>
    </row>
    <row r="578" spans="1:15" x14ac:dyDescent="0.25">
      <c r="A578" s="102"/>
      <c r="B578" s="33"/>
      <c r="C578" s="25"/>
      <c r="D578" s="26"/>
      <c r="E578" s="33"/>
      <c r="F578" s="25"/>
      <c r="G578" s="55"/>
      <c r="N578" s="37" t="str">
        <f t="shared" ca="1" si="30"/>
        <v/>
      </c>
      <c r="O578" s="37" t="str">
        <f t="shared" ca="1" si="31"/>
        <v/>
      </c>
    </row>
    <row r="579" spans="1:15" x14ac:dyDescent="0.25">
      <c r="A579" s="102"/>
      <c r="B579" s="33"/>
      <c r="C579" s="25"/>
      <c r="D579" s="26"/>
      <c r="E579" s="33"/>
      <c r="F579" s="25"/>
      <c r="G579" s="55"/>
      <c r="N579" s="37" t="str">
        <f t="shared" ca="1" si="30"/>
        <v/>
      </c>
      <c r="O579" s="37" t="str">
        <f t="shared" ca="1" si="31"/>
        <v/>
      </c>
    </row>
    <row r="580" spans="1:15" x14ac:dyDescent="0.25">
      <c r="A580" s="102"/>
      <c r="B580" s="33"/>
      <c r="C580" s="25"/>
      <c r="D580" s="26"/>
      <c r="E580" s="33"/>
      <c r="F580" s="25"/>
      <c r="G580" s="55"/>
      <c r="N580" s="37" t="str">
        <f t="shared" ref="N580:N643" ca="1" si="32">IF(COUNTIF(L:L,J580),J580,"")</f>
        <v/>
      </c>
      <c r="O580" s="37" t="str">
        <f t="shared" ref="O580:O643" ca="1" si="33">IF(N580&gt;$A$14,N580,"")</f>
        <v/>
      </c>
    </row>
    <row r="581" spans="1:15" x14ac:dyDescent="0.25">
      <c r="A581" s="102"/>
      <c r="B581" s="33"/>
      <c r="C581" s="25"/>
      <c r="D581" s="26"/>
      <c r="E581" s="33"/>
      <c r="F581" s="25"/>
      <c r="G581" s="55"/>
      <c r="N581" s="37" t="str">
        <f t="shared" ca="1" si="32"/>
        <v/>
      </c>
      <c r="O581" s="37" t="str">
        <f t="shared" ca="1" si="33"/>
        <v/>
      </c>
    </row>
    <row r="582" spans="1:15" x14ac:dyDescent="0.25">
      <c r="A582" s="102"/>
      <c r="B582" s="33"/>
      <c r="C582" s="25"/>
      <c r="D582" s="26"/>
      <c r="E582" s="33"/>
      <c r="F582" s="25"/>
      <c r="G582" s="55"/>
      <c r="N582" s="37" t="str">
        <f t="shared" ca="1" si="32"/>
        <v/>
      </c>
      <c r="O582" s="37" t="str">
        <f t="shared" ca="1" si="33"/>
        <v/>
      </c>
    </row>
    <row r="583" spans="1:15" x14ac:dyDescent="0.25">
      <c r="A583" s="102"/>
      <c r="B583" s="33"/>
      <c r="C583" s="25"/>
      <c r="D583" s="26"/>
      <c r="E583" s="33"/>
      <c r="F583" s="25"/>
      <c r="G583" s="55"/>
      <c r="N583" s="37" t="str">
        <f t="shared" ca="1" si="32"/>
        <v/>
      </c>
      <c r="O583" s="37" t="str">
        <f t="shared" ca="1" si="33"/>
        <v/>
      </c>
    </row>
    <row r="584" spans="1:15" x14ac:dyDescent="0.25">
      <c r="A584" s="102"/>
      <c r="B584" s="33"/>
      <c r="C584" s="25"/>
      <c r="D584" s="26"/>
      <c r="E584" s="33"/>
      <c r="F584" s="25"/>
      <c r="G584" s="55"/>
      <c r="N584" s="37" t="str">
        <f t="shared" ca="1" si="32"/>
        <v/>
      </c>
      <c r="O584" s="37" t="str">
        <f t="shared" ca="1" si="33"/>
        <v/>
      </c>
    </row>
    <row r="585" spans="1:15" x14ac:dyDescent="0.25">
      <c r="A585" s="102"/>
      <c r="B585" s="33"/>
      <c r="C585" s="25"/>
      <c r="D585" s="26"/>
      <c r="E585" s="33"/>
      <c r="F585" s="25"/>
      <c r="G585" s="55"/>
      <c r="N585" s="37" t="str">
        <f t="shared" ca="1" si="32"/>
        <v/>
      </c>
      <c r="O585" s="37" t="str">
        <f t="shared" ca="1" si="33"/>
        <v/>
      </c>
    </row>
    <row r="586" spans="1:15" x14ac:dyDescent="0.25">
      <c r="A586" s="102"/>
      <c r="B586" s="33"/>
      <c r="C586" s="25"/>
      <c r="D586" s="26"/>
      <c r="E586" s="33"/>
      <c r="F586" s="25"/>
      <c r="G586" s="55"/>
      <c r="N586" s="37" t="str">
        <f t="shared" ca="1" si="32"/>
        <v/>
      </c>
      <c r="O586" s="37" t="str">
        <f t="shared" ca="1" si="33"/>
        <v/>
      </c>
    </row>
    <row r="587" spans="1:15" x14ac:dyDescent="0.25">
      <c r="A587" s="102"/>
      <c r="B587" s="33"/>
      <c r="C587" s="25"/>
      <c r="D587" s="26"/>
      <c r="E587" s="33"/>
      <c r="F587" s="25"/>
      <c r="G587" s="55"/>
      <c r="N587" s="37" t="str">
        <f t="shared" ca="1" si="32"/>
        <v/>
      </c>
      <c r="O587" s="37" t="str">
        <f t="shared" ca="1" si="33"/>
        <v/>
      </c>
    </row>
    <row r="588" spans="1:15" x14ac:dyDescent="0.25">
      <c r="A588" s="102"/>
      <c r="B588" s="33"/>
      <c r="C588" s="25"/>
      <c r="D588" s="26"/>
      <c r="E588" s="33"/>
      <c r="F588" s="25"/>
      <c r="G588" s="55"/>
      <c r="N588" s="37" t="str">
        <f t="shared" ca="1" si="32"/>
        <v/>
      </c>
      <c r="O588" s="37" t="str">
        <f t="shared" ca="1" si="33"/>
        <v/>
      </c>
    </row>
    <row r="589" spans="1:15" x14ac:dyDescent="0.25">
      <c r="A589" s="102"/>
      <c r="B589" s="33"/>
      <c r="C589" s="25"/>
      <c r="D589" s="26"/>
      <c r="E589" s="33"/>
      <c r="F589" s="25"/>
      <c r="G589" s="55"/>
      <c r="N589" s="37" t="str">
        <f t="shared" ca="1" si="32"/>
        <v/>
      </c>
      <c r="O589" s="37" t="str">
        <f t="shared" ca="1" si="33"/>
        <v/>
      </c>
    </row>
    <row r="590" spans="1:15" x14ac:dyDescent="0.25">
      <c r="A590" s="102"/>
      <c r="B590" s="33"/>
      <c r="C590" s="25"/>
      <c r="D590" s="26"/>
      <c r="E590" s="33"/>
      <c r="F590" s="25"/>
      <c r="G590" s="55"/>
      <c r="N590" s="37" t="str">
        <f t="shared" ca="1" si="32"/>
        <v/>
      </c>
      <c r="O590" s="37" t="str">
        <f t="shared" ca="1" si="33"/>
        <v/>
      </c>
    </row>
    <row r="591" spans="1:15" x14ac:dyDescent="0.25">
      <c r="A591" s="102"/>
      <c r="B591" s="33"/>
      <c r="C591" s="25"/>
      <c r="D591" s="26"/>
      <c r="E591" s="33"/>
      <c r="F591" s="25"/>
      <c r="G591" s="55"/>
      <c r="N591" s="37" t="str">
        <f t="shared" ca="1" si="32"/>
        <v/>
      </c>
      <c r="O591" s="37" t="str">
        <f t="shared" ca="1" si="33"/>
        <v/>
      </c>
    </row>
    <row r="592" spans="1:15" x14ac:dyDescent="0.25">
      <c r="A592" s="102"/>
      <c r="B592" s="33"/>
      <c r="C592" s="25"/>
      <c r="D592" s="26"/>
      <c r="E592" s="33"/>
      <c r="F592" s="25"/>
      <c r="G592" s="55"/>
      <c r="N592" s="37" t="str">
        <f t="shared" ca="1" si="32"/>
        <v/>
      </c>
      <c r="O592" s="37" t="str">
        <f t="shared" ca="1" si="33"/>
        <v/>
      </c>
    </row>
    <row r="593" spans="1:15" x14ac:dyDescent="0.25">
      <c r="A593" s="102"/>
      <c r="B593" s="33"/>
      <c r="C593" s="25"/>
      <c r="D593" s="26"/>
      <c r="E593" s="33"/>
      <c r="F593" s="25"/>
      <c r="G593" s="55"/>
      <c r="N593" s="37" t="str">
        <f t="shared" ca="1" si="32"/>
        <v/>
      </c>
      <c r="O593" s="37" t="str">
        <f t="shared" ca="1" si="33"/>
        <v/>
      </c>
    </row>
    <row r="594" spans="1:15" x14ac:dyDescent="0.25">
      <c r="A594" s="102"/>
      <c r="B594" s="33"/>
      <c r="C594" s="25"/>
      <c r="D594" s="26"/>
      <c r="E594" s="33"/>
      <c r="F594" s="25"/>
      <c r="G594" s="55"/>
      <c r="N594" s="37" t="str">
        <f t="shared" ca="1" si="32"/>
        <v/>
      </c>
      <c r="O594" s="37" t="str">
        <f t="shared" ca="1" si="33"/>
        <v/>
      </c>
    </row>
    <row r="595" spans="1:15" x14ac:dyDescent="0.25">
      <c r="A595" s="102"/>
      <c r="B595" s="33"/>
      <c r="C595" s="25"/>
      <c r="D595" s="26"/>
      <c r="E595" s="33"/>
      <c r="F595" s="25"/>
      <c r="G595" s="55"/>
      <c r="N595" s="37" t="str">
        <f t="shared" ca="1" si="32"/>
        <v/>
      </c>
      <c r="O595" s="37" t="str">
        <f t="shared" ca="1" si="33"/>
        <v/>
      </c>
    </row>
    <row r="596" spans="1:15" x14ac:dyDescent="0.25">
      <c r="A596" s="102"/>
      <c r="B596" s="33"/>
      <c r="C596" s="25"/>
      <c r="D596" s="26"/>
      <c r="E596" s="33"/>
      <c r="F596" s="25"/>
      <c r="G596" s="55"/>
      <c r="N596" s="37" t="str">
        <f t="shared" ca="1" si="32"/>
        <v/>
      </c>
      <c r="O596" s="37" t="str">
        <f t="shared" ca="1" si="33"/>
        <v/>
      </c>
    </row>
    <row r="597" spans="1:15" x14ac:dyDescent="0.25">
      <c r="A597" s="102"/>
      <c r="B597" s="33"/>
      <c r="C597" s="25"/>
      <c r="D597" s="26"/>
      <c r="E597" s="33"/>
      <c r="F597" s="25"/>
      <c r="G597" s="55"/>
      <c r="N597" s="37" t="str">
        <f t="shared" ca="1" si="32"/>
        <v/>
      </c>
      <c r="O597" s="37" t="str">
        <f t="shared" ca="1" si="33"/>
        <v/>
      </c>
    </row>
    <row r="598" spans="1:15" x14ac:dyDescent="0.25">
      <c r="A598" s="102"/>
      <c r="B598" s="33"/>
      <c r="C598" s="25"/>
      <c r="D598" s="26"/>
      <c r="E598" s="33"/>
      <c r="F598" s="25"/>
      <c r="G598" s="55"/>
      <c r="N598" s="37" t="str">
        <f t="shared" ca="1" si="32"/>
        <v/>
      </c>
      <c r="O598" s="37" t="str">
        <f t="shared" ca="1" si="33"/>
        <v/>
      </c>
    </row>
    <row r="599" spans="1:15" x14ac:dyDescent="0.25">
      <c r="A599" s="102"/>
      <c r="B599" s="33"/>
      <c r="C599" s="25"/>
      <c r="D599" s="26"/>
      <c r="E599" s="33"/>
      <c r="F599" s="25"/>
      <c r="G599" s="55"/>
      <c r="N599" s="37" t="str">
        <f t="shared" ca="1" si="32"/>
        <v/>
      </c>
      <c r="O599" s="37" t="str">
        <f t="shared" ca="1" si="33"/>
        <v/>
      </c>
    </row>
    <row r="600" spans="1:15" x14ac:dyDescent="0.25">
      <c r="A600" s="102"/>
      <c r="B600" s="33"/>
      <c r="C600" s="25"/>
      <c r="D600" s="26"/>
      <c r="E600" s="33"/>
      <c r="F600" s="25"/>
      <c r="G600" s="55"/>
      <c r="N600" s="37" t="str">
        <f t="shared" ca="1" si="32"/>
        <v/>
      </c>
      <c r="O600" s="37" t="str">
        <f t="shared" ca="1" si="33"/>
        <v/>
      </c>
    </row>
    <row r="601" spans="1:15" x14ac:dyDescent="0.25">
      <c r="A601" s="102"/>
      <c r="B601" s="33"/>
      <c r="C601" s="25"/>
      <c r="D601" s="26"/>
      <c r="E601" s="33"/>
      <c r="F601" s="25"/>
      <c r="G601" s="55"/>
      <c r="N601" s="37" t="str">
        <f t="shared" ca="1" si="32"/>
        <v/>
      </c>
      <c r="O601" s="37" t="str">
        <f t="shared" ca="1" si="33"/>
        <v/>
      </c>
    </row>
    <row r="602" spans="1:15" x14ac:dyDescent="0.25">
      <c r="A602" s="102"/>
      <c r="B602" s="33"/>
      <c r="C602" s="25"/>
      <c r="D602" s="26"/>
      <c r="E602" s="33"/>
      <c r="F602" s="25"/>
      <c r="G602" s="55"/>
      <c r="N602" s="37" t="str">
        <f t="shared" ca="1" si="32"/>
        <v/>
      </c>
      <c r="O602" s="37" t="str">
        <f t="shared" ca="1" si="33"/>
        <v/>
      </c>
    </row>
    <row r="603" spans="1:15" x14ac:dyDescent="0.25">
      <c r="A603" s="102"/>
      <c r="B603" s="33"/>
      <c r="C603" s="25"/>
      <c r="D603" s="26"/>
      <c r="E603" s="33"/>
      <c r="F603" s="25"/>
      <c r="G603" s="55"/>
      <c r="N603" s="37" t="str">
        <f t="shared" ca="1" si="32"/>
        <v/>
      </c>
      <c r="O603" s="37" t="str">
        <f t="shared" ca="1" si="33"/>
        <v/>
      </c>
    </row>
    <row r="604" spans="1:15" x14ac:dyDescent="0.25">
      <c r="A604" s="102"/>
      <c r="B604" s="33"/>
      <c r="C604" s="25"/>
      <c r="D604" s="26"/>
      <c r="E604" s="33"/>
      <c r="F604" s="25"/>
      <c r="G604" s="55"/>
      <c r="N604" s="37" t="str">
        <f t="shared" ca="1" si="32"/>
        <v/>
      </c>
      <c r="O604" s="37" t="str">
        <f t="shared" ca="1" si="33"/>
        <v/>
      </c>
    </row>
    <row r="605" spans="1:15" x14ac:dyDescent="0.25">
      <c r="A605" s="102"/>
      <c r="B605" s="33"/>
      <c r="C605" s="25"/>
      <c r="D605" s="26"/>
      <c r="E605" s="33"/>
      <c r="F605" s="25"/>
      <c r="G605" s="55"/>
      <c r="N605" s="37" t="str">
        <f t="shared" ca="1" si="32"/>
        <v/>
      </c>
      <c r="O605" s="37" t="str">
        <f t="shared" ca="1" si="33"/>
        <v/>
      </c>
    </row>
    <row r="606" spans="1:15" x14ac:dyDescent="0.25">
      <c r="A606" s="102"/>
      <c r="B606" s="33"/>
      <c r="C606" s="25"/>
      <c r="D606" s="26"/>
      <c r="E606" s="33"/>
      <c r="F606" s="25"/>
      <c r="G606" s="55"/>
      <c r="N606" s="37" t="str">
        <f t="shared" ca="1" si="32"/>
        <v/>
      </c>
      <c r="O606" s="37" t="str">
        <f t="shared" ca="1" si="33"/>
        <v/>
      </c>
    </row>
    <row r="607" spans="1:15" x14ac:dyDescent="0.25">
      <c r="A607" s="102"/>
      <c r="B607" s="33"/>
      <c r="C607" s="25"/>
      <c r="D607" s="26"/>
      <c r="E607" s="33"/>
      <c r="F607" s="25"/>
      <c r="G607" s="55"/>
      <c r="N607" s="37" t="str">
        <f t="shared" ca="1" si="32"/>
        <v/>
      </c>
      <c r="O607" s="37" t="str">
        <f t="shared" ca="1" si="33"/>
        <v/>
      </c>
    </row>
    <row r="608" spans="1:15" x14ac:dyDescent="0.25">
      <c r="A608" s="102"/>
      <c r="B608" s="33"/>
      <c r="C608" s="25"/>
      <c r="D608" s="26"/>
      <c r="E608" s="33"/>
      <c r="F608" s="25"/>
      <c r="G608" s="55"/>
      <c r="N608" s="37" t="str">
        <f t="shared" ca="1" si="32"/>
        <v/>
      </c>
      <c r="O608" s="37" t="str">
        <f t="shared" ca="1" si="33"/>
        <v/>
      </c>
    </row>
    <row r="609" spans="1:15" x14ac:dyDescent="0.25">
      <c r="A609" s="102"/>
      <c r="B609" s="33"/>
      <c r="C609" s="25"/>
      <c r="D609" s="26"/>
      <c r="E609" s="33"/>
      <c r="F609" s="25"/>
      <c r="G609" s="55"/>
      <c r="N609" s="37" t="str">
        <f t="shared" ca="1" si="32"/>
        <v/>
      </c>
      <c r="O609" s="37" t="str">
        <f t="shared" ca="1" si="33"/>
        <v/>
      </c>
    </row>
    <row r="610" spans="1:15" x14ac:dyDescent="0.25">
      <c r="A610" s="102"/>
      <c r="B610" s="33"/>
      <c r="C610" s="25"/>
      <c r="D610" s="26"/>
      <c r="E610" s="33"/>
      <c r="F610" s="25"/>
      <c r="G610" s="55"/>
      <c r="N610" s="37" t="str">
        <f t="shared" ca="1" si="32"/>
        <v/>
      </c>
      <c r="O610" s="37" t="str">
        <f t="shared" ca="1" si="33"/>
        <v/>
      </c>
    </row>
    <row r="611" spans="1:15" x14ac:dyDescent="0.25">
      <c r="A611" s="102"/>
      <c r="B611" s="33"/>
      <c r="C611" s="25"/>
      <c r="D611" s="26"/>
      <c r="E611" s="33"/>
      <c r="F611" s="25"/>
      <c r="G611" s="55"/>
      <c r="N611" s="37" t="str">
        <f t="shared" ca="1" si="32"/>
        <v/>
      </c>
      <c r="O611" s="37" t="str">
        <f t="shared" ca="1" si="33"/>
        <v/>
      </c>
    </row>
    <row r="612" spans="1:15" x14ac:dyDescent="0.25">
      <c r="A612" s="102"/>
      <c r="B612" s="33"/>
      <c r="C612" s="25"/>
      <c r="D612" s="26"/>
      <c r="E612" s="33"/>
      <c r="F612" s="25"/>
      <c r="G612" s="55"/>
      <c r="N612" s="37" t="str">
        <f t="shared" ca="1" si="32"/>
        <v/>
      </c>
      <c r="O612" s="37" t="str">
        <f t="shared" ca="1" si="33"/>
        <v/>
      </c>
    </row>
    <row r="613" spans="1:15" x14ac:dyDescent="0.25">
      <c r="A613" s="102"/>
      <c r="B613" s="33"/>
      <c r="C613" s="25"/>
      <c r="D613" s="26"/>
      <c r="E613" s="33"/>
      <c r="F613" s="25"/>
      <c r="G613" s="55"/>
      <c r="N613" s="37" t="str">
        <f t="shared" ca="1" si="32"/>
        <v/>
      </c>
      <c r="O613" s="37" t="str">
        <f t="shared" ca="1" si="33"/>
        <v/>
      </c>
    </row>
    <row r="614" spans="1:15" x14ac:dyDescent="0.25">
      <c r="A614" s="102"/>
      <c r="B614" s="33"/>
      <c r="C614" s="25"/>
      <c r="D614" s="26"/>
      <c r="E614" s="33"/>
      <c r="F614" s="25"/>
      <c r="G614" s="55"/>
      <c r="N614" s="37" t="str">
        <f t="shared" ca="1" si="32"/>
        <v/>
      </c>
      <c r="O614" s="37" t="str">
        <f t="shared" ca="1" si="33"/>
        <v/>
      </c>
    </row>
    <row r="615" spans="1:15" x14ac:dyDescent="0.25">
      <c r="A615" s="102"/>
      <c r="B615" s="33"/>
      <c r="C615" s="25"/>
      <c r="D615" s="26"/>
      <c r="E615" s="33"/>
      <c r="F615" s="25"/>
      <c r="G615" s="55"/>
      <c r="N615" s="37" t="str">
        <f t="shared" ca="1" si="32"/>
        <v/>
      </c>
      <c r="O615" s="37" t="str">
        <f t="shared" ca="1" si="33"/>
        <v/>
      </c>
    </row>
    <row r="616" spans="1:15" x14ac:dyDescent="0.25">
      <c r="A616" s="102"/>
      <c r="B616" s="33"/>
      <c r="C616" s="25"/>
      <c r="D616" s="26"/>
      <c r="E616" s="33"/>
      <c r="F616" s="25"/>
      <c r="G616" s="55"/>
      <c r="N616" s="37" t="str">
        <f t="shared" ca="1" si="32"/>
        <v/>
      </c>
      <c r="O616" s="37" t="str">
        <f t="shared" ca="1" si="33"/>
        <v/>
      </c>
    </row>
    <row r="617" spans="1:15" x14ac:dyDescent="0.25">
      <c r="A617" s="102"/>
      <c r="B617" s="33"/>
      <c r="C617" s="25"/>
      <c r="D617" s="26"/>
      <c r="E617" s="33"/>
      <c r="F617" s="25"/>
      <c r="G617" s="55"/>
      <c r="N617" s="37" t="str">
        <f t="shared" ca="1" si="32"/>
        <v/>
      </c>
      <c r="O617" s="37" t="str">
        <f t="shared" ca="1" si="33"/>
        <v/>
      </c>
    </row>
    <row r="618" spans="1:15" x14ac:dyDescent="0.25">
      <c r="A618" s="102"/>
      <c r="B618" s="33"/>
      <c r="C618" s="25"/>
      <c r="D618" s="26"/>
      <c r="E618" s="33"/>
      <c r="F618" s="25"/>
      <c r="G618" s="55"/>
      <c r="N618" s="37" t="str">
        <f t="shared" ca="1" si="32"/>
        <v/>
      </c>
      <c r="O618" s="37" t="str">
        <f t="shared" ca="1" si="33"/>
        <v/>
      </c>
    </row>
    <row r="619" spans="1:15" x14ac:dyDescent="0.25">
      <c r="A619" s="102"/>
      <c r="B619" s="33"/>
      <c r="C619" s="25"/>
      <c r="D619" s="26"/>
      <c r="E619" s="33"/>
      <c r="F619" s="25"/>
      <c r="G619" s="55"/>
      <c r="N619" s="37" t="str">
        <f t="shared" ca="1" si="32"/>
        <v/>
      </c>
      <c r="O619" s="37" t="str">
        <f t="shared" ca="1" si="33"/>
        <v/>
      </c>
    </row>
    <row r="620" spans="1:15" x14ac:dyDescent="0.25">
      <c r="A620" s="102"/>
      <c r="B620" s="33"/>
      <c r="C620" s="25"/>
      <c r="D620" s="26"/>
      <c r="E620" s="33"/>
      <c r="F620" s="25"/>
      <c r="G620" s="55"/>
      <c r="N620" s="37" t="str">
        <f t="shared" ca="1" si="32"/>
        <v/>
      </c>
      <c r="O620" s="37" t="str">
        <f t="shared" ca="1" si="33"/>
        <v/>
      </c>
    </row>
    <row r="621" spans="1:15" x14ac:dyDescent="0.25">
      <c r="A621" s="102"/>
      <c r="B621" s="33"/>
      <c r="C621" s="25"/>
      <c r="D621" s="26"/>
      <c r="E621" s="33"/>
      <c r="F621" s="25"/>
      <c r="G621" s="55"/>
      <c r="N621" s="37" t="str">
        <f t="shared" ca="1" si="32"/>
        <v/>
      </c>
      <c r="O621" s="37" t="str">
        <f t="shared" ca="1" si="33"/>
        <v/>
      </c>
    </row>
    <row r="622" spans="1:15" x14ac:dyDescent="0.25">
      <c r="A622" s="102"/>
      <c r="B622" s="33"/>
      <c r="C622" s="25"/>
      <c r="D622" s="26"/>
      <c r="E622" s="33"/>
      <c r="F622" s="25"/>
      <c r="G622" s="55"/>
      <c r="N622" s="37" t="str">
        <f t="shared" ca="1" si="32"/>
        <v/>
      </c>
      <c r="O622" s="37" t="str">
        <f t="shared" ca="1" si="33"/>
        <v/>
      </c>
    </row>
    <row r="623" spans="1:15" x14ac:dyDescent="0.25">
      <c r="A623" s="102"/>
      <c r="B623" s="33"/>
      <c r="C623" s="25"/>
      <c r="D623" s="26"/>
      <c r="E623" s="33"/>
      <c r="F623" s="25"/>
      <c r="G623" s="55"/>
      <c r="N623" s="37" t="str">
        <f t="shared" ca="1" si="32"/>
        <v/>
      </c>
      <c r="O623" s="37" t="str">
        <f t="shared" ca="1" si="33"/>
        <v/>
      </c>
    </row>
    <row r="624" spans="1:15" x14ac:dyDescent="0.25">
      <c r="A624" s="102"/>
      <c r="B624" s="33"/>
      <c r="C624" s="25"/>
      <c r="D624" s="26"/>
      <c r="E624" s="33"/>
      <c r="F624" s="25"/>
      <c r="G624" s="55"/>
      <c r="N624" s="37" t="str">
        <f t="shared" ca="1" si="32"/>
        <v/>
      </c>
      <c r="O624" s="37" t="str">
        <f t="shared" ca="1" si="33"/>
        <v/>
      </c>
    </row>
    <row r="625" spans="1:15" x14ac:dyDescent="0.25">
      <c r="A625" s="102"/>
      <c r="B625" s="33"/>
      <c r="C625" s="25"/>
      <c r="D625" s="26"/>
      <c r="E625" s="33"/>
      <c r="F625" s="25"/>
      <c r="G625" s="55"/>
      <c r="N625" s="37" t="str">
        <f t="shared" ca="1" si="32"/>
        <v/>
      </c>
      <c r="O625" s="37" t="str">
        <f t="shared" ca="1" si="33"/>
        <v/>
      </c>
    </row>
    <row r="626" spans="1:15" x14ac:dyDescent="0.25">
      <c r="A626" s="102"/>
      <c r="B626" s="33"/>
      <c r="C626" s="25"/>
      <c r="D626" s="26"/>
      <c r="E626" s="33"/>
      <c r="F626" s="25"/>
      <c r="G626" s="55"/>
      <c r="N626" s="37" t="str">
        <f t="shared" ca="1" si="32"/>
        <v/>
      </c>
      <c r="O626" s="37" t="str">
        <f t="shared" ca="1" si="33"/>
        <v/>
      </c>
    </row>
    <row r="627" spans="1:15" x14ac:dyDescent="0.25">
      <c r="A627" s="102"/>
      <c r="B627" s="33"/>
      <c r="C627" s="25"/>
      <c r="D627" s="26"/>
      <c r="E627" s="33"/>
      <c r="F627" s="25"/>
      <c r="G627" s="55"/>
      <c r="N627" s="37" t="str">
        <f t="shared" ca="1" si="32"/>
        <v/>
      </c>
      <c r="O627" s="37" t="str">
        <f t="shared" ca="1" si="33"/>
        <v/>
      </c>
    </row>
    <row r="628" spans="1:15" x14ac:dyDescent="0.25">
      <c r="A628" s="102"/>
      <c r="B628" s="33"/>
      <c r="C628" s="25"/>
      <c r="D628" s="26"/>
      <c r="E628" s="33"/>
      <c r="F628" s="25"/>
      <c r="G628" s="55"/>
      <c r="N628" s="37" t="str">
        <f t="shared" ca="1" si="32"/>
        <v/>
      </c>
      <c r="O628" s="37" t="str">
        <f t="shared" ca="1" si="33"/>
        <v/>
      </c>
    </row>
    <row r="629" spans="1:15" x14ac:dyDescent="0.25">
      <c r="A629" s="102"/>
      <c r="B629" s="33"/>
      <c r="C629" s="25"/>
      <c r="D629" s="26"/>
      <c r="E629" s="33"/>
      <c r="F629" s="25"/>
      <c r="G629" s="55"/>
      <c r="N629" s="37" t="str">
        <f t="shared" ca="1" si="32"/>
        <v/>
      </c>
      <c r="O629" s="37" t="str">
        <f t="shared" ca="1" si="33"/>
        <v/>
      </c>
    </row>
    <row r="630" spans="1:15" x14ac:dyDescent="0.25">
      <c r="A630" s="102"/>
      <c r="B630" s="33"/>
      <c r="C630" s="25"/>
      <c r="D630" s="26"/>
      <c r="E630" s="33"/>
      <c r="F630" s="25"/>
      <c r="G630" s="55"/>
      <c r="N630" s="37" t="str">
        <f t="shared" ca="1" si="32"/>
        <v/>
      </c>
      <c r="O630" s="37" t="str">
        <f t="shared" ca="1" si="33"/>
        <v/>
      </c>
    </row>
    <row r="631" spans="1:15" x14ac:dyDescent="0.25">
      <c r="A631" s="102"/>
      <c r="B631" s="33"/>
      <c r="C631" s="25"/>
      <c r="D631" s="26"/>
      <c r="E631" s="33"/>
      <c r="F631" s="25"/>
      <c r="G631" s="55"/>
      <c r="N631" s="37" t="str">
        <f t="shared" ca="1" si="32"/>
        <v/>
      </c>
      <c r="O631" s="37" t="str">
        <f t="shared" ca="1" si="33"/>
        <v/>
      </c>
    </row>
    <row r="632" spans="1:15" x14ac:dyDescent="0.25">
      <c r="A632" s="102"/>
      <c r="B632" s="33"/>
      <c r="C632" s="25"/>
      <c r="D632" s="26"/>
      <c r="E632" s="33"/>
      <c r="F632" s="25"/>
      <c r="G632" s="55"/>
      <c r="N632" s="37" t="str">
        <f t="shared" ca="1" si="32"/>
        <v/>
      </c>
      <c r="O632" s="37" t="str">
        <f t="shared" ca="1" si="33"/>
        <v/>
      </c>
    </row>
    <row r="633" spans="1:15" x14ac:dyDescent="0.25">
      <c r="A633" s="102"/>
      <c r="B633" s="33"/>
      <c r="C633" s="25"/>
      <c r="D633" s="26"/>
      <c r="E633" s="33"/>
      <c r="F633" s="25"/>
      <c r="G633" s="55"/>
      <c r="N633" s="37" t="str">
        <f t="shared" ca="1" si="32"/>
        <v/>
      </c>
      <c r="O633" s="37" t="str">
        <f t="shared" ca="1" si="33"/>
        <v/>
      </c>
    </row>
    <row r="634" spans="1:15" x14ac:dyDescent="0.25">
      <c r="A634" s="102"/>
      <c r="B634" s="33"/>
      <c r="C634" s="25"/>
      <c r="D634" s="26"/>
      <c r="E634" s="33"/>
      <c r="F634" s="25"/>
      <c r="G634" s="55"/>
      <c r="N634" s="37" t="str">
        <f t="shared" ca="1" si="32"/>
        <v/>
      </c>
      <c r="O634" s="37" t="str">
        <f t="shared" ca="1" si="33"/>
        <v/>
      </c>
    </row>
    <row r="635" spans="1:15" x14ac:dyDescent="0.25">
      <c r="A635" s="102"/>
      <c r="B635" s="33"/>
      <c r="C635" s="25"/>
      <c r="D635" s="26"/>
      <c r="E635" s="33"/>
      <c r="F635" s="25"/>
      <c r="G635" s="55"/>
      <c r="N635" s="37" t="str">
        <f t="shared" ca="1" si="32"/>
        <v/>
      </c>
      <c r="O635" s="37" t="str">
        <f t="shared" ca="1" si="33"/>
        <v/>
      </c>
    </row>
    <row r="636" spans="1:15" x14ac:dyDescent="0.25">
      <c r="A636" s="102"/>
      <c r="B636" s="33"/>
      <c r="C636" s="25"/>
      <c r="D636" s="26"/>
      <c r="E636" s="33"/>
      <c r="F636" s="25"/>
      <c r="G636" s="55"/>
      <c r="N636" s="37" t="str">
        <f t="shared" ca="1" si="32"/>
        <v/>
      </c>
      <c r="O636" s="37" t="str">
        <f t="shared" ca="1" si="33"/>
        <v/>
      </c>
    </row>
    <row r="637" spans="1:15" x14ac:dyDescent="0.25">
      <c r="A637" s="102"/>
      <c r="B637" s="33"/>
      <c r="C637" s="25"/>
      <c r="D637" s="26"/>
      <c r="E637" s="33"/>
      <c r="F637" s="25"/>
      <c r="G637" s="55"/>
      <c r="N637" s="37" t="str">
        <f t="shared" ca="1" si="32"/>
        <v/>
      </c>
      <c r="O637" s="37" t="str">
        <f t="shared" ca="1" si="33"/>
        <v/>
      </c>
    </row>
    <row r="638" spans="1:15" x14ac:dyDescent="0.25">
      <c r="A638" s="102"/>
      <c r="B638" s="33"/>
      <c r="C638" s="25"/>
      <c r="D638" s="26"/>
      <c r="E638" s="33"/>
      <c r="F638" s="25"/>
      <c r="G638" s="55"/>
      <c r="N638" s="37" t="str">
        <f t="shared" ca="1" si="32"/>
        <v/>
      </c>
      <c r="O638" s="37" t="str">
        <f t="shared" ca="1" si="33"/>
        <v/>
      </c>
    </row>
    <row r="639" spans="1:15" x14ac:dyDescent="0.25">
      <c r="A639" s="102"/>
      <c r="B639" s="33"/>
      <c r="C639" s="25"/>
      <c r="D639" s="26"/>
      <c r="E639" s="33"/>
      <c r="F639" s="25"/>
      <c r="G639" s="55"/>
      <c r="N639" s="37" t="str">
        <f t="shared" ca="1" si="32"/>
        <v/>
      </c>
      <c r="O639" s="37" t="str">
        <f t="shared" ca="1" si="33"/>
        <v/>
      </c>
    </row>
    <row r="640" spans="1:15" x14ac:dyDescent="0.25">
      <c r="A640" s="102"/>
      <c r="B640" s="33"/>
      <c r="C640" s="25"/>
      <c r="D640" s="26"/>
      <c r="E640" s="33"/>
      <c r="F640" s="25"/>
      <c r="G640" s="55"/>
      <c r="N640" s="37" t="str">
        <f t="shared" ca="1" si="32"/>
        <v/>
      </c>
      <c r="O640" s="37" t="str">
        <f t="shared" ca="1" si="33"/>
        <v/>
      </c>
    </row>
    <row r="641" spans="1:15" x14ac:dyDescent="0.25">
      <c r="A641" s="102"/>
      <c r="B641" s="33"/>
      <c r="C641" s="25"/>
      <c r="D641" s="26"/>
      <c r="E641" s="33"/>
      <c r="F641" s="25"/>
      <c r="G641" s="55"/>
      <c r="N641" s="37" t="str">
        <f t="shared" ca="1" si="32"/>
        <v/>
      </c>
      <c r="O641" s="37" t="str">
        <f t="shared" ca="1" si="33"/>
        <v/>
      </c>
    </row>
    <row r="642" spans="1:15" x14ac:dyDescent="0.25">
      <c r="A642" s="102"/>
      <c r="B642" s="33"/>
      <c r="C642" s="25"/>
      <c r="D642" s="26"/>
      <c r="E642" s="33"/>
      <c r="F642" s="25"/>
      <c r="G642" s="55"/>
      <c r="N642" s="37" t="str">
        <f t="shared" ca="1" si="32"/>
        <v/>
      </c>
      <c r="O642" s="37" t="str">
        <f t="shared" ca="1" si="33"/>
        <v/>
      </c>
    </row>
    <row r="643" spans="1:15" x14ac:dyDescent="0.25">
      <c r="A643" s="102"/>
      <c r="B643" s="33"/>
      <c r="C643" s="25"/>
      <c r="D643" s="26"/>
      <c r="E643" s="33"/>
      <c r="F643" s="25"/>
      <c r="G643" s="55"/>
      <c r="N643" s="37" t="str">
        <f t="shared" ca="1" si="32"/>
        <v/>
      </c>
      <c r="O643" s="37" t="str">
        <f t="shared" ca="1" si="33"/>
        <v/>
      </c>
    </row>
    <row r="644" spans="1:15" x14ac:dyDescent="0.25">
      <c r="A644" s="102"/>
      <c r="B644" s="33"/>
      <c r="C644" s="25"/>
      <c r="D644" s="26"/>
      <c r="E644" s="33"/>
      <c r="F644" s="25"/>
      <c r="G644" s="55"/>
      <c r="N644" s="37" t="str">
        <f t="shared" ref="N644:N707" ca="1" si="34">IF(COUNTIF(L:L,J644),J644,"")</f>
        <v/>
      </c>
      <c r="O644" s="37" t="str">
        <f t="shared" ref="O644:O707" ca="1" si="35">IF(N644&gt;$A$14,N644,"")</f>
        <v/>
      </c>
    </row>
    <row r="645" spans="1:15" x14ac:dyDescent="0.25">
      <c r="A645" s="102"/>
      <c r="B645" s="33"/>
      <c r="C645" s="25"/>
      <c r="D645" s="26"/>
      <c r="E645" s="33"/>
      <c r="F645" s="25"/>
      <c r="G645" s="55"/>
      <c r="N645" s="37" t="str">
        <f t="shared" ca="1" si="34"/>
        <v/>
      </c>
      <c r="O645" s="37" t="str">
        <f t="shared" ca="1" si="35"/>
        <v/>
      </c>
    </row>
    <row r="646" spans="1:15" x14ac:dyDescent="0.25">
      <c r="A646" s="102"/>
      <c r="B646" s="33"/>
      <c r="C646" s="25"/>
      <c r="D646" s="26"/>
      <c r="E646" s="33"/>
      <c r="F646" s="25"/>
      <c r="G646" s="55"/>
      <c r="N646" s="37" t="str">
        <f t="shared" ca="1" si="34"/>
        <v/>
      </c>
      <c r="O646" s="37" t="str">
        <f t="shared" ca="1" si="35"/>
        <v/>
      </c>
    </row>
    <row r="647" spans="1:15" x14ac:dyDescent="0.25">
      <c r="A647" s="102"/>
      <c r="B647" s="33"/>
      <c r="C647" s="25"/>
      <c r="D647" s="26"/>
      <c r="E647" s="33"/>
      <c r="F647" s="25"/>
      <c r="G647" s="55"/>
      <c r="N647" s="37" t="str">
        <f t="shared" ca="1" si="34"/>
        <v/>
      </c>
      <c r="O647" s="37" t="str">
        <f t="shared" ca="1" si="35"/>
        <v/>
      </c>
    </row>
    <row r="648" spans="1:15" x14ac:dyDescent="0.25">
      <c r="A648" s="102"/>
      <c r="B648" s="33"/>
      <c r="C648" s="25"/>
      <c r="D648" s="26"/>
      <c r="E648" s="33"/>
      <c r="F648" s="25"/>
      <c r="G648" s="55"/>
      <c r="N648" s="37" t="str">
        <f t="shared" ca="1" si="34"/>
        <v/>
      </c>
      <c r="O648" s="37" t="str">
        <f t="shared" ca="1" si="35"/>
        <v/>
      </c>
    </row>
    <row r="649" spans="1:15" x14ac:dyDescent="0.25">
      <c r="A649" s="102"/>
      <c r="B649" s="33"/>
      <c r="C649" s="25"/>
      <c r="D649" s="26"/>
      <c r="E649" s="33"/>
      <c r="F649" s="25"/>
      <c r="G649" s="55"/>
      <c r="N649" s="37" t="str">
        <f t="shared" ca="1" si="34"/>
        <v/>
      </c>
      <c r="O649" s="37" t="str">
        <f t="shared" ca="1" si="35"/>
        <v/>
      </c>
    </row>
    <row r="650" spans="1:15" x14ac:dyDescent="0.25">
      <c r="A650" s="102"/>
      <c r="B650" s="33"/>
      <c r="C650" s="25"/>
      <c r="D650" s="26"/>
      <c r="E650" s="33"/>
      <c r="F650" s="25"/>
      <c r="G650" s="55"/>
      <c r="N650" s="37" t="str">
        <f t="shared" ca="1" si="34"/>
        <v/>
      </c>
      <c r="O650" s="37" t="str">
        <f t="shared" ca="1" si="35"/>
        <v/>
      </c>
    </row>
    <row r="651" spans="1:15" x14ac:dyDescent="0.25">
      <c r="A651" s="102"/>
      <c r="B651" s="33"/>
      <c r="C651" s="25"/>
      <c r="D651" s="26"/>
      <c r="E651" s="33"/>
      <c r="F651" s="25"/>
      <c r="G651" s="55"/>
      <c r="N651" s="37" t="str">
        <f t="shared" ca="1" si="34"/>
        <v/>
      </c>
      <c r="O651" s="37" t="str">
        <f t="shared" ca="1" si="35"/>
        <v/>
      </c>
    </row>
    <row r="652" spans="1:15" x14ac:dyDescent="0.25">
      <c r="A652" s="102"/>
      <c r="B652" s="33"/>
      <c r="C652" s="25"/>
      <c r="D652" s="26"/>
      <c r="E652" s="33"/>
      <c r="F652" s="25"/>
      <c r="G652" s="55"/>
      <c r="N652" s="37" t="str">
        <f t="shared" ca="1" si="34"/>
        <v/>
      </c>
      <c r="O652" s="37" t="str">
        <f t="shared" ca="1" si="35"/>
        <v/>
      </c>
    </row>
    <row r="653" spans="1:15" x14ac:dyDescent="0.25">
      <c r="A653" s="102"/>
      <c r="B653" s="33"/>
      <c r="C653" s="25"/>
      <c r="D653" s="26"/>
      <c r="E653" s="33"/>
      <c r="F653" s="25"/>
      <c r="G653" s="55"/>
      <c r="N653" s="37" t="str">
        <f t="shared" ca="1" si="34"/>
        <v/>
      </c>
      <c r="O653" s="37" t="str">
        <f t="shared" ca="1" si="35"/>
        <v/>
      </c>
    </row>
    <row r="654" spans="1:15" x14ac:dyDescent="0.25">
      <c r="A654" s="102"/>
      <c r="B654" s="33"/>
      <c r="C654" s="25"/>
      <c r="D654" s="26"/>
      <c r="E654" s="33"/>
      <c r="F654" s="25"/>
      <c r="G654" s="55"/>
      <c r="N654" s="37" t="str">
        <f t="shared" ca="1" si="34"/>
        <v/>
      </c>
      <c r="O654" s="37" t="str">
        <f t="shared" ca="1" si="35"/>
        <v/>
      </c>
    </row>
    <row r="655" spans="1:15" x14ac:dyDescent="0.25">
      <c r="A655" s="102"/>
      <c r="B655" s="33"/>
      <c r="C655" s="25"/>
      <c r="D655" s="26"/>
      <c r="E655" s="33"/>
      <c r="F655" s="25"/>
      <c r="G655" s="55"/>
      <c r="N655" s="37" t="str">
        <f t="shared" ca="1" si="34"/>
        <v/>
      </c>
      <c r="O655" s="37" t="str">
        <f t="shared" ca="1" si="35"/>
        <v/>
      </c>
    </row>
    <row r="656" spans="1:15" x14ac:dyDescent="0.25">
      <c r="A656" s="102"/>
      <c r="B656" s="33"/>
      <c r="C656" s="25"/>
      <c r="D656" s="26"/>
      <c r="E656" s="33"/>
      <c r="F656" s="25"/>
      <c r="G656" s="55"/>
      <c r="N656" s="37" t="str">
        <f t="shared" ca="1" si="34"/>
        <v/>
      </c>
      <c r="O656" s="37" t="str">
        <f t="shared" ca="1" si="35"/>
        <v/>
      </c>
    </row>
    <row r="657" spans="1:15" x14ac:dyDescent="0.25">
      <c r="A657" s="102"/>
      <c r="B657" s="33"/>
      <c r="C657" s="25"/>
      <c r="D657" s="26"/>
      <c r="E657" s="33"/>
      <c r="F657" s="25"/>
      <c r="G657" s="55"/>
      <c r="N657" s="37" t="str">
        <f t="shared" ca="1" si="34"/>
        <v/>
      </c>
      <c r="O657" s="37" t="str">
        <f t="shared" ca="1" si="35"/>
        <v/>
      </c>
    </row>
    <row r="658" spans="1:15" x14ac:dyDescent="0.25">
      <c r="A658" s="102"/>
      <c r="B658" s="33"/>
      <c r="C658" s="25"/>
      <c r="D658" s="26"/>
      <c r="E658" s="33"/>
      <c r="F658" s="25"/>
      <c r="G658" s="55"/>
      <c r="N658" s="37" t="str">
        <f t="shared" ca="1" si="34"/>
        <v/>
      </c>
      <c r="O658" s="37" t="str">
        <f t="shared" ca="1" si="35"/>
        <v/>
      </c>
    </row>
    <row r="659" spans="1:15" x14ac:dyDescent="0.25">
      <c r="A659" s="102"/>
      <c r="B659" s="33"/>
      <c r="C659" s="25"/>
      <c r="D659" s="26"/>
      <c r="E659" s="33"/>
      <c r="F659" s="25"/>
      <c r="G659" s="55"/>
      <c r="N659" s="37" t="str">
        <f t="shared" ca="1" si="34"/>
        <v/>
      </c>
      <c r="O659" s="37" t="str">
        <f t="shared" ca="1" si="35"/>
        <v/>
      </c>
    </row>
    <row r="660" spans="1:15" x14ac:dyDescent="0.25">
      <c r="A660" s="102"/>
      <c r="B660" s="33"/>
      <c r="C660" s="25"/>
      <c r="D660" s="26"/>
      <c r="E660" s="33"/>
      <c r="F660" s="25"/>
      <c r="G660" s="55"/>
      <c r="N660" s="37" t="str">
        <f t="shared" ca="1" si="34"/>
        <v/>
      </c>
      <c r="O660" s="37" t="str">
        <f t="shared" ca="1" si="35"/>
        <v/>
      </c>
    </row>
    <row r="661" spans="1:15" x14ac:dyDescent="0.25">
      <c r="A661" s="102"/>
      <c r="B661" s="33"/>
      <c r="C661" s="25"/>
      <c r="D661" s="26"/>
      <c r="E661" s="33"/>
      <c r="F661" s="25"/>
      <c r="G661" s="55"/>
      <c r="N661" s="37" t="str">
        <f t="shared" ca="1" si="34"/>
        <v/>
      </c>
      <c r="O661" s="37" t="str">
        <f t="shared" ca="1" si="35"/>
        <v/>
      </c>
    </row>
    <row r="662" spans="1:15" x14ac:dyDescent="0.25">
      <c r="A662" s="102"/>
      <c r="B662" s="33"/>
      <c r="C662" s="25"/>
      <c r="D662" s="26"/>
      <c r="E662" s="33"/>
      <c r="F662" s="25"/>
      <c r="G662" s="55"/>
      <c r="N662" s="37" t="str">
        <f t="shared" ca="1" si="34"/>
        <v/>
      </c>
      <c r="O662" s="37" t="str">
        <f t="shared" ca="1" si="35"/>
        <v/>
      </c>
    </row>
    <row r="663" spans="1:15" x14ac:dyDescent="0.25">
      <c r="A663" s="102"/>
      <c r="B663" s="33"/>
      <c r="C663" s="25"/>
      <c r="D663" s="26"/>
      <c r="E663" s="33"/>
      <c r="F663" s="25"/>
      <c r="G663" s="55"/>
      <c r="N663" s="37" t="str">
        <f t="shared" ca="1" si="34"/>
        <v/>
      </c>
      <c r="O663" s="37" t="str">
        <f t="shared" ca="1" si="35"/>
        <v/>
      </c>
    </row>
    <row r="664" spans="1:15" x14ac:dyDescent="0.25">
      <c r="A664" s="102"/>
      <c r="B664" s="33"/>
      <c r="C664" s="25"/>
      <c r="D664" s="26"/>
      <c r="E664" s="33"/>
      <c r="F664" s="25"/>
      <c r="G664" s="55"/>
      <c r="N664" s="37" t="str">
        <f t="shared" ca="1" si="34"/>
        <v/>
      </c>
      <c r="O664" s="37" t="str">
        <f t="shared" ca="1" si="35"/>
        <v/>
      </c>
    </row>
    <row r="665" spans="1:15" x14ac:dyDescent="0.25">
      <c r="A665" s="102"/>
      <c r="B665" s="33"/>
      <c r="C665" s="25"/>
      <c r="D665" s="26"/>
      <c r="E665" s="33"/>
      <c r="F665" s="25"/>
      <c r="G665" s="55"/>
      <c r="N665" s="37" t="str">
        <f t="shared" ca="1" si="34"/>
        <v/>
      </c>
      <c r="O665" s="37" t="str">
        <f t="shared" ca="1" si="35"/>
        <v/>
      </c>
    </row>
    <row r="666" spans="1:15" x14ac:dyDescent="0.25">
      <c r="A666" s="102"/>
      <c r="B666" s="33"/>
      <c r="C666" s="25"/>
      <c r="D666" s="26"/>
      <c r="E666" s="33"/>
      <c r="F666" s="25"/>
      <c r="G666" s="55"/>
      <c r="N666" s="37" t="str">
        <f t="shared" ca="1" si="34"/>
        <v/>
      </c>
      <c r="O666" s="37" t="str">
        <f t="shared" ca="1" si="35"/>
        <v/>
      </c>
    </row>
    <row r="667" spans="1:15" x14ac:dyDescent="0.25">
      <c r="A667" s="102"/>
      <c r="B667" s="33"/>
      <c r="C667" s="25"/>
      <c r="D667" s="26"/>
      <c r="E667" s="33"/>
      <c r="F667" s="25"/>
      <c r="G667" s="55"/>
      <c r="N667" s="37" t="str">
        <f t="shared" ca="1" si="34"/>
        <v/>
      </c>
      <c r="O667" s="37" t="str">
        <f t="shared" ca="1" si="35"/>
        <v/>
      </c>
    </row>
    <row r="668" spans="1:15" x14ac:dyDescent="0.25">
      <c r="A668" s="102"/>
      <c r="B668" s="33"/>
      <c r="C668" s="25"/>
      <c r="D668" s="26"/>
      <c r="E668" s="33"/>
      <c r="F668" s="25"/>
      <c r="G668" s="55"/>
      <c r="N668" s="37" t="str">
        <f t="shared" ca="1" si="34"/>
        <v/>
      </c>
      <c r="O668" s="37" t="str">
        <f t="shared" ca="1" si="35"/>
        <v/>
      </c>
    </row>
    <row r="669" spans="1:15" x14ac:dyDescent="0.25">
      <c r="A669" s="102"/>
      <c r="B669" s="33"/>
      <c r="C669" s="25"/>
      <c r="D669" s="26"/>
      <c r="E669" s="33"/>
      <c r="F669" s="25"/>
      <c r="G669" s="55"/>
      <c r="N669" s="37" t="str">
        <f t="shared" ca="1" si="34"/>
        <v/>
      </c>
      <c r="O669" s="37" t="str">
        <f t="shared" ca="1" si="35"/>
        <v/>
      </c>
    </row>
    <row r="670" spans="1:15" x14ac:dyDescent="0.25">
      <c r="A670" s="102"/>
      <c r="B670" s="33"/>
      <c r="C670" s="25"/>
      <c r="D670" s="26"/>
      <c r="E670" s="33"/>
      <c r="F670" s="25"/>
      <c r="G670" s="55"/>
      <c r="N670" s="37" t="str">
        <f t="shared" ca="1" si="34"/>
        <v/>
      </c>
      <c r="O670" s="37" t="str">
        <f t="shared" ca="1" si="35"/>
        <v/>
      </c>
    </row>
    <row r="671" spans="1:15" x14ac:dyDescent="0.25">
      <c r="A671" s="102"/>
      <c r="B671" s="33"/>
      <c r="C671" s="25"/>
      <c r="D671" s="26"/>
      <c r="E671" s="33"/>
      <c r="F671" s="25"/>
      <c r="G671" s="55"/>
      <c r="N671" s="37" t="str">
        <f t="shared" ca="1" si="34"/>
        <v/>
      </c>
      <c r="O671" s="37" t="str">
        <f t="shared" ca="1" si="35"/>
        <v/>
      </c>
    </row>
    <row r="672" spans="1:15" x14ac:dyDescent="0.25">
      <c r="A672" s="102"/>
      <c r="B672" s="33"/>
      <c r="C672" s="25"/>
      <c r="D672" s="26"/>
      <c r="E672" s="33"/>
      <c r="F672" s="25"/>
      <c r="G672" s="55"/>
      <c r="N672" s="37" t="str">
        <f t="shared" ca="1" si="34"/>
        <v/>
      </c>
      <c r="O672" s="37" t="str">
        <f t="shared" ca="1" si="35"/>
        <v/>
      </c>
    </row>
    <row r="673" spans="1:15" x14ac:dyDescent="0.25">
      <c r="A673" s="102"/>
      <c r="B673" s="33"/>
      <c r="C673" s="25"/>
      <c r="D673" s="26"/>
      <c r="E673" s="33"/>
      <c r="F673" s="25"/>
      <c r="G673" s="55"/>
      <c r="N673" s="37" t="str">
        <f t="shared" ca="1" si="34"/>
        <v/>
      </c>
      <c r="O673" s="37" t="str">
        <f t="shared" ca="1" si="35"/>
        <v/>
      </c>
    </row>
    <row r="674" spans="1:15" x14ac:dyDescent="0.25">
      <c r="A674" s="102"/>
      <c r="B674" s="33"/>
      <c r="C674" s="25"/>
      <c r="D674" s="26"/>
      <c r="E674" s="33"/>
      <c r="F674" s="25"/>
      <c r="G674" s="55"/>
      <c r="N674" s="37" t="str">
        <f t="shared" ca="1" si="34"/>
        <v/>
      </c>
      <c r="O674" s="37" t="str">
        <f t="shared" ca="1" si="35"/>
        <v/>
      </c>
    </row>
    <row r="675" spans="1:15" x14ac:dyDescent="0.25">
      <c r="A675" s="102"/>
      <c r="B675" s="33"/>
      <c r="C675" s="25"/>
      <c r="D675" s="26"/>
      <c r="E675" s="33"/>
      <c r="F675" s="25"/>
      <c r="G675" s="55"/>
      <c r="N675" s="37" t="str">
        <f t="shared" ca="1" si="34"/>
        <v/>
      </c>
      <c r="O675" s="37" t="str">
        <f t="shared" ca="1" si="35"/>
        <v/>
      </c>
    </row>
    <row r="676" spans="1:15" x14ac:dyDescent="0.25">
      <c r="A676" s="102"/>
      <c r="B676" s="33"/>
      <c r="C676" s="25"/>
      <c r="D676" s="26"/>
      <c r="E676" s="33"/>
      <c r="F676" s="25"/>
      <c r="G676" s="55"/>
      <c r="N676" s="37" t="str">
        <f t="shared" ca="1" si="34"/>
        <v/>
      </c>
      <c r="O676" s="37" t="str">
        <f t="shared" ca="1" si="35"/>
        <v/>
      </c>
    </row>
    <row r="677" spans="1:15" x14ac:dyDescent="0.25">
      <c r="A677" s="102"/>
      <c r="B677" s="33"/>
      <c r="C677" s="25"/>
      <c r="D677" s="26"/>
      <c r="E677" s="33"/>
      <c r="F677" s="25"/>
      <c r="G677" s="55"/>
      <c r="N677" s="37" t="str">
        <f t="shared" ca="1" si="34"/>
        <v/>
      </c>
      <c r="O677" s="37" t="str">
        <f t="shared" ca="1" si="35"/>
        <v/>
      </c>
    </row>
    <row r="678" spans="1:15" x14ac:dyDescent="0.25">
      <c r="A678" s="102"/>
      <c r="B678" s="33"/>
      <c r="C678" s="25"/>
      <c r="D678" s="26"/>
      <c r="E678" s="33"/>
      <c r="F678" s="25"/>
      <c r="G678" s="55"/>
      <c r="N678" s="37" t="str">
        <f t="shared" ca="1" si="34"/>
        <v/>
      </c>
      <c r="O678" s="37" t="str">
        <f t="shared" ca="1" si="35"/>
        <v/>
      </c>
    </row>
    <row r="679" spans="1:15" x14ac:dyDescent="0.25">
      <c r="A679" s="102"/>
      <c r="B679" s="33"/>
      <c r="C679" s="25"/>
      <c r="D679" s="26"/>
      <c r="E679" s="33"/>
      <c r="F679" s="25"/>
      <c r="G679" s="55"/>
      <c r="N679" s="37" t="str">
        <f t="shared" ca="1" si="34"/>
        <v/>
      </c>
      <c r="O679" s="37" t="str">
        <f t="shared" ca="1" si="35"/>
        <v/>
      </c>
    </row>
    <row r="680" spans="1:15" x14ac:dyDescent="0.25">
      <c r="A680" s="102"/>
      <c r="B680" s="33"/>
      <c r="C680" s="25"/>
      <c r="D680" s="26"/>
      <c r="E680" s="33"/>
      <c r="F680" s="25"/>
      <c r="G680" s="55"/>
      <c r="N680" s="37" t="str">
        <f t="shared" ca="1" si="34"/>
        <v/>
      </c>
      <c r="O680" s="37" t="str">
        <f t="shared" ca="1" si="35"/>
        <v/>
      </c>
    </row>
    <row r="681" spans="1:15" x14ac:dyDescent="0.25">
      <c r="A681" s="102"/>
      <c r="B681" s="33"/>
      <c r="C681" s="25"/>
      <c r="D681" s="26"/>
      <c r="E681" s="33"/>
      <c r="F681" s="25"/>
      <c r="G681" s="55"/>
      <c r="N681" s="37" t="str">
        <f t="shared" ca="1" si="34"/>
        <v/>
      </c>
      <c r="O681" s="37" t="str">
        <f t="shared" ca="1" si="35"/>
        <v/>
      </c>
    </row>
    <row r="682" spans="1:15" x14ac:dyDescent="0.25">
      <c r="A682" s="102"/>
      <c r="B682" s="33"/>
      <c r="C682" s="25"/>
      <c r="D682" s="26"/>
      <c r="E682" s="33"/>
      <c r="F682" s="25"/>
      <c r="G682" s="55"/>
      <c r="N682" s="37" t="str">
        <f t="shared" ca="1" si="34"/>
        <v/>
      </c>
      <c r="O682" s="37" t="str">
        <f t="shared" ca="1" si="35"/>
        <v/>
      </c>
    </row>
    <row r="683" spans="1:15" x14ac:dyDescent="0.25">
      <c r="A683" s="102"/>
      <c r="B683" s="33"/>
      <c r="C683" s="25"/>
      <c r="D683" s="26"/>
      <c r="E683" s="33"/>
      <c r="F683" s="25"/>
      <c r="G683" s="55"/>
      <c r="N683" s="37" t="str">
        <f t="shared" ca="1" si="34"/>
        <v/>
      </c>
      <c r="O683" s="37" t="str">
        <f t="shared" ca="1" si="35"/>
        <v/>
      </c>
    </row>
    <row r="684" spans="1:15" x14ac:dyDescent="0.25">
      <c r="A684" s="102"/>
      <c r="B684" s="33"/>
      <c r="C684" s="25"/>
      <c r="D684" s="26"/>
      <c r="E684" s="33"/>
      <c r="F684" s="25"/>
      <c r="G684" s="55"/>
      <c r="N684" s="37" t="str">
        <f t="shared" ca="1" si="34"/>
        <v/>
      </c>
      <c r="O684" s="37" t="str">
        <f t="shared" ca="1" si="35"/>
        <v/>
      </c>
    </row>
    <row r="685" spans="1:15" x14ac:dyDescent="0.25">
      <c r="A685" s="102"/>
      <c r="B685" s="33"/>
      <c r="C685" s="25"/>
      <c r="D685" s="26"/>
      <c r="E685" s="33"/>
      <c r="F685" s="25"/>
      <c r="G685" s="55"/>
      <c r="N685" s="37" t="str">
        <f t="shared" ca="1" si="34"/>
        <v/>
      </c>
      <c r="O685" s="37" t="str">
        <f t="shared" ca="1" si="35"/>
        <v/>
      </c>
    </row>
    <row r="686" spans="1:15" x14ac:dyDescent="0.25">
      <c r="A686" s="102"/>
      <c r="B686" s="33"/>
      <c r="C686" s="25"/>
      <c r="D686" s="26"/>
      <c r="E686" s="33"/>
      <c r="F686" s="25"/>
      <c r="G686" s="55"/>
      <c r="N686" s="37" t="str">
        <f t="shared" ca="1" si="34"/>
        <v/>
      </c>
      <c r="O686" s="37" t="str">
        <f t="shared" ca="1" si="35"/>
        <v/>
      </c>
    </row>
    <row r="687" spans="1:15" x14ac:dyDescent="0.25">
      <c r="A687" s="102"/>
      <c r="B687" s="33"/>
      <c r="C687" s="25"/>
      <c r="D687" s="26"/>
      <c r="E687" s="33"/>
      <c r="F687" s="25"/>
      <c r="G687" s="55"/>
      <c r="N687" s="37" t="str">
        <f t="shared" ca="1" si="34"/>
        <v/>
      </c>
      <c r="O687" s="37" t="str">
        <f t="shared" ca="1" si="35"/>
        <v/>
      </c>
    </row>
    <row r="688" spans="1:15" x14ac:dyDescent="0.25">
      <c r="A688" s="102"/>
      <c r="B688" s="33"/>
      <c r="C688" s="25"/>
      <c r="D688" s="26"/>
      <c r="E688" s="33"/>
      <c r="F688" s="25"/>
      <c r="G688" s="55"/>
      <c r="N688" s="37" t="str">
        <f t="shared" ca="1" si="34"/>
        <v/>
      </c>
      <c r="O688" s="37" t="str">
        <f t="shared" ca="1" si="35"/>
        <v/>
      </c>
    </row>
    <row r="689" spans="1:15" x14ac:dyDescent="0.25">
      <c r="A689" s="102"/>
      <c r="B689" s="33"/>
      <c r="C689" s="25"/>
      <c r="D689" s="26"/>
      <c r="E689" s="33"/>
      <c r="F689" s="25"/>
      <c r="G689" s="55"/>
      <c r="N689" s="37" t="str">
        <f t="shared" ca="1" si="34"/>
        <v/>
      </c>
      <c r="O689" s="37" t="str">
        <f t="shared" ca="1" si="35"/>
        <v/>
      </c>
    </row>
    <row r="690" spans="1:15" x14ac:dyDescent="0.25">
      <c r="A690" s="102"/>
      <c r="B690" s="33"/>
      <c r="C690" s="25"/>
      <c r="D690" s="26"/>
      <c r="E690" s="33"/>
      <c r="F690" s="25"/>
      <c r="G690" s="55"/>
      <c r="N690" s="37" t="str">
        <f t="shared" ca="1" si="34"/>
        <v/>
      </c>
      <c r="O690" s="37" t="str">
        <f t="shared" ca="1" si="35"/>
        <v/>
      </c>
    </row>
    <row r="691" spans="1:15" x14ac:dyDescent="0.25">
      <c r="A691" s="102"/>
      <c r="B691" s="33"/>
      <c r="C691" s="25"/>
      <c r="D691" s="26"/>
      <c r="E691" s="33"/>
      <c r="F691" s="25"/>
      <c r="G691" s="55"/>
      <c r="N691" s="37" t="str">
        <f t="shared" ca="1" si="34"/>
        <v/>
      </c>
      <c r="O691" s="37" t="str">
        <f t="shared" ca="1" si="35"/>
        <v/>
      </c>
    </row>
    <row r="692" spans="1:15" x14ac:dyDescent="0.25">
      <c r="A692" s="102"/>
      <c r="B692" s="33"/>
      <c r="C692" s="25"/>
      <c r="D692" s="26"/>
      <c r="E692" s="33"/>
      <c r="F692" s="25"/>
      <c r="G692" s="55"/>
      <c r="N692" s="37" t="str">
        <f t="shared" ca="1" si="34"/>
        <v/>
      </c>
      <c r="O692" s="37" t="str">
        <f t="shared" ca="1" si="35"/>
        <v/>
      </c>
    </row>
    <row r="693" spans="1:15" x14ac:dyDescent="0.25">
      <c r="A693" s="102"/>
      <c r="B693" s="33"/>
      <c r="C693" s="25"/>
      <c r="D693" s="26"/>
      <c r="E693" s="33"/>
      <c r="F693" s="25"/>
      <c r="G693" s="55"/>
      <c r="N693" s="37" t="str">
        <f t="shared" ca="1" si="34"/>
        <v/>
      </c>
      <c r="O693" s="37" t="str">
        <f t="shared" ca="1" si="35"/>
        <v/>
      </c>
    </row>
    <row r="694" spans="1:15" x14ac:dyDescent="0.25">
      <c r="A694" s="102"/>
      <c r="B694" s="33"/>
      <c r="C694" s="25"/>
      <c r="D694" s="26"/>
      <c r="E694" s="33"/>
      <c r="F694" s="25"/>
      <c r="G694" s="55"/>
      <c r="N694" s="37" t="str">
        <f t="shared" ca="1" si="34"/>
        <v/>
      </c>
      <c r="O694" s="37" t="str">
        <f t="shared" ca="1" si="35"/>
        <v/>
      </c>
    </row>
    <row r="695" spans="1:15" x14ac:dyDescent="0.25">
      <c r="A695" s="102"/>
      <c r="B695" s="33"/>
      <c r="C695" s="25"/>
      <c r="D695" s="26"/>
      <c r="E695" s="33"/>
      <c r="F695" s="25"/>
      <c r="G695" s="55"/>
      <c r="N695" s="37" t="str">
        <f t="shared" ca="1" si="34"/>
        <v/>
      </c>
      <c r="O695" s="37" t="str">
        <f t="shared" ca="1" si="35"/>
        <v/>
      </c>
    </row>
    <row r="696" spans="1:15" x14ac:dyDescent="0.25">
      <c r="A696" s="102"/>
      <c r="B696" s="33"/>
      <c r="C696" s="25"/>
      <c r="D696" s="26"/>
      <c r="E696" s="33"/>
      <c r="F696" s="25"/>
      <c r="G696" s="55"/>
      <c r="N696" s="37" t="str">
        <f t="shared" ca="1" si="34"/>
        <v/>
      </c>
      <c r="O696" s="37" t="str">
        <f t="shared" ca="1" si="35"/>
        <v/>
      </c>
    </row>
    <row r="697" spans="1:15" x14ac:dyDescent="0.25">
      <c r="A697" s="102"/>
      <c r="B697" s="33"/>
      <c r="C697" s="25"/>
      <c r="D697" s="26"/>
      <c r="E697" s="33"/>
      <c r="F697" s="25"/>
      <c r="G697" s="55"/>
      <c r="N697" s="37" t="str">
        <f t="shared" ca="1" si="34"/>
        <v/>
      </c>
      <c r="O697" s="37" t="str">
        <f t="shared" ca="1" si="35"/>
        <v/>
      </c>
    </row>
    <row r="698" spans="1:15" x14ac:dyDescent="0.25">
      <c r="A698" s="102"/>
      <c r="B698" s="33"/>
      <c r="C698" s="25"/>
      <c r="D698" s="26"/>
      <c r="E698" s="33"/>
      <c r="F698" s="25"/>
      <c r="G698" s="55"/>
      <c r="N698" s="37" t="str">
        <f t="shared" ca="1" si="34"/>
        <v/>
      </c>
      <c r="O698" s="37" t="str">
        <f t="shared" ca="1" si="35"/>
        <v/>
      </c>
    </row>
    <row r="699" spans="1:15" x14ac:dyDescent="0.25">
      <c r="A699" s="102"/>
      <c r="B699" s="33"/>
      <c r="C699" s="25"/>
      <c r="D699" s="26"/>
      <c r="E699" s="33"/>
      <c r="F699" s="25"/>
      <c r="G699" s="55"/>
      <c r="N699" s="37" t="str">
        <f t="shared" ca="1" si="34"/>
        <v/>
      </c>
      <c r="O699" s="37" t="str">
        <f t="shared" ca="1" si="35"/>
        <v/>
      </c>
    </row>
    <row r="700" spans="1:15" x14ac:dyDescent="0.25">
      <c r="A700" s="102"/>
      <c r="B700" s="33"/>
      <c r="C700" s="25"/>
      <c r="D700" s="26"/>
      <c r="E700" s="33"/>
      <c r="F700" s="25"/>
      <c r="G700" s="55"/>
      <c r="N700" s="37" t="str">
        <f t="shared" ca="1" si="34"/>
        <v/>
      </c>
      <c r="O700" s="37" t="str">
        <f t="shared" ca="1" si="35"/>
        <v/>
      </c>
    </row>
    <row r="701" spans="1:15" x14ac:dyDescent="0.25">
      <c r="A701" s="102"/>
      <c r="B701" s="33"/>
      <c r="C701" s="25"/>
      <c r="D701" s="26"/>
      <c r="E701" s="33"/>
      <c r="F701" s="25"/>
      <c r="G701" s="55"/>
      <c r="N701" s="37" t="str">
        <f t="shared" ca="1" si="34"/>
        <v/>
      </c>
      <c r="O701" s="37" t="str">
        <f t="shared" ca="1" si="35"/>
        <v/>
      </c>
    </row>
    <row r="702" spans="1:15" x14ac:dyDescent="0.25">
      <c r="A702" s="102"/>
      <c r="B702" s="33"/>
      <c r="C702" s="25"/>
      <c r="D702" s="26"/>
      <c r="E702" s="33"/>
      <c r="F702" s="25"/>
      <c r="G702" s="55"/>
      <c r="N702" s="37" t="str">
        <f t="shared" ca="1" si="34"/>
        <v/>
      </c>
      <c r="O702" s="37" t="str">
        <f t="shared" ca="1" si="35"/>
        <v/>
      </c>
    </row>
    <row r="703" spans="1:15" x14ac:dyDescent="0.25">
      <c r="A703" s="102"/>
      <c r="B703" s="33"/>
      <c r="C703" s="25"/>
      <c r="D703" s="26"/>
      <c r="E703" s="33"/>
      <c r="F703" s="25"/>
      <c r="G703" s="55"/>
      <c r="N703" s="37" t="str">
        <f t="shared" ca="1" si="34"/>
        <v/>
      </c>
      <c r="O703" s="37" t="str">
        <f t="shared" ca="1" si="35"/>
        <v/>
      </c>
    </row>
    <row r="704" spans="1:15" x14ac:dyDescent="0.25">
      <c r="A704" s="102"/>
      <c r="B704" s="33"/>
      <c r="C704" s="25"/>
      <c r="D704" s="26"/>
      <c r="E704" s="33"/>
      <c r="F704" s="25"/>
      <c r="G704" s="55"/>
      <c r="N704" s="37" t="str">
        <f t="shared" ca="1" si="34"/>
        <v/>
      </c>
      <c r="O704" s="37" t="str">
        <f t="shared" ca="1" si="35"/>
        <v/>
      </c>
    </row>
    <row r="705" spans="1:15" x14ac:dyDescent="0.25">
      <c r="A705" s="102"/>
      <c r="B705" s="33"/>
      <c r="C705" s="25"/>
      <c r="D705" s="26"/>
      <c r="E705" s="33"/>
      <c r="F705" s="25"/>
      <c r="G705" s="55"/>
      <c r="N705" s="37" t="str">
        <f t="shared" ca="1" si="34"/>
        <v/>
      </c>
      <c r="O705" s="37" t="str">
        <f t="shared" ca="1" si="35"/>
        <v/>
      </c>
    </row>
    <row r="706" spans="1:15" x14ac:dyDescent="0.25">
      <c r="A706" s="102"/>
      <c r="B706" s="33"/>
      <c r="C706" s="25"/>
      <c r="D706" s="26"/>
      <c r="E706" s="33"/>
      <c r="F706" s="25"/>
      <c r="G706" s="55"/>
      <c r="N706" s="37" t="str">
        <f t="shared" ca="1" si="34"/>
        <v/>
      </c>
      <c r="O706" s="37" t="str">
        <f t="shared" ca="1" si="35"/>
        <v/>
      </c>
    </row>
    <row r="707" spans="1:15" x14ac:dyDescent="0.25">
      <c r="A707" s="102"/>
      <c r="B707" s="33"/>
      <c r="C707" s="25"/>
      <c r="D707" s="26"/>
      <c r="E707" s="33"/>
      <c r="F707" s="25"/>
      <c r="G707" s="55"/>
      <c r="N707" s="37" t="str">
        <f t="shared" ca="1" si="34"/>
        <v/>
      </c>
      <c r="O707" s="37" t="str">
        <f t="shared" ca="1" si="35"/>
        <v/>
      </c>
    </row>
    <row r="708" spans="1:15" x14ac:dyDescent="0.25">
      <c r="A708" s="102"/>
      <c r="B708" s="33"/>
      <c r="C708" s="25"/>
      <c r="D708" s="26"/>
      <c r="E708" s="33"/>
      <c r="F708" s="25"/>
      <c r="G708" s="55"/>
      <c r="N708" s="37" t="str">
        <f t="shared" ref="N708:N771" ca="1" si="36">IF(COUNTIF(L:L,J708),J708,"")</f>
        <v/>
      </c>
      <c r="O708" s="37" t="str">
        <f t="shared" ref="O708:O771" ca="1" si="37">IF(N708&gt;$A$14,N708,"")</f>
        <v/>
      </c>
    </row>
    <row r="709" spans="1:15" x14ac:dyDescent="0.25">
      <c r="A709" s="102"/>
      <c r="B709" s="33"/>
      <c r="C709" s="25"/>
      <c r="D709" s="26"/>
      <c r="E709" s="33"/>
      <c r="F709" s="25"/>
      <c r="G709" s="55"/>
      <c r="N709" s="37" t="str">
        <f t="shared" ca="1" si="36"/>
        <v/>
      </c>
      <c r="O709" s="37" t="str">
        <f t="shared" ca="1" si="37"/>
        <v/>
      </c>
    </row>
    <row r="710" spans="1:15" x14ac:dyDescent="0.25">
      <c r="A710" s="102"/>
      <c r="B710" s="33"/>
      <c r="C710" s="25"/>
      <c r="D710" s="26"/>
      <c r="E710" s="33"/>
      <c r="F710" s="25"/>
      <c r="G710" s="55"/>
      <c r="N710" s="37" t="str">
        <f t="shared" ca="1" si="36"/>
        <v/>
      </c>
      <c r="O710" s="37" t="str">
        <f t="shared" ca="1" si="37"/>
        <v/>
      </c>
    </row>
    <row r="711" spans="1:15" x14ac:dyDescent="0.25">
      <c r="A711" s="102"/>
      <c r="B711" s="33"/>
      <c r="C711" s="25"/>
      <c r="D711" s="26"/>
      <c r="E711" s="33"/>
      <c r="F711" s="25"/>
      <c r="G711" s="55"/>
      <c r="N711" s="37" t="str">
        <f t="shared" ca="1" si="36"/>
        <v/>
      </c>
      <c r="O711" s="37" t="str">
        <f t="shared" ca="1" si="37"/>
        <v/>
      </c>
    </row>
    <row r="712" spans="1:15" x14ac:dyDescent="0.25">
      <c r="A712" s="102"/>
      <c r="B712" s="33"/>
      <c r="C712" s="25"/>
      <c r="D712" s="26"/>
      <c r="E712" s="33"/>
      <c r="F712" s="25"/>
      <c r="G712" s="55"/>
      <c r="N712" s="37" t="str">
        <f t="shared" ca="1" si="36"/>
        <v/>
      </c>
      <c r="O712" s="37" t="str">
        <f t="shared" ca="1" si="37"/>
        <v/>
      </c>
    </row>
    <row r="713" spans="1:15" x14ac:dyDescent="0.25">
      <c r="A713" s="102"/>
      <c r="B713" s="33"/>
      <c r="C713" s="25"/>
      <c r="D713" s="26"/>
      <c r="E713" s="33"/>
      <c r="F713" s="25"/>
      <c r="G713" s="55"/>
      <c r="N713" s="37" t="str">
        <f t="shared" ca="1" si="36"/>
        <v/>
      </c>
      <c r="O713" s="37" t="str">
        <f t="shared" ca="1" si="37"/>
        <v/>
      </c>
    </row>
    <row r="714" spans="1:15" x14ac:dyDescent="0.25">
      <c r="A714" s="102"/>
      <c r="B714" s="33"/>
      <c r="C714" s="25"/>
      <c r="D714" s="26"/>
      <c r="E714" s="33"/>
      <c r="F714" s="25"/>
      <c r="G714" s="55"/>
      <c r="N714" s="37" t="str">
        <f t="shared" ca="1" si="36"/>
        <v/>
      </c>
      <c r="O714" s="37" t="str">
        <f t="shared" ca="1" si="37"/>
        <v/>
      </c>
    </row>
    <row r="715" spans="1:15" x14ac:dyDescent="0.25">
      <c r="A715" s="102"/>
      <c r="B715" s="33"/>
      <c r="C715" s="25"/>
      <c r="D715" s="26"/>
      <c r="E715" s="33"/>
      <c r="F715" s="25"/>
      <c r="G715" s="55"/>
      <c r="N715" s="37" t="str">
        <f t="shared" ca="1" si="36"/>
        <v/>
      </c>
      <c r="O715" s="37" t="str">
        <f t="shared" ca="1" si="37"/>
        <v/>
      </c>
    </row>
    <row r="716" spans="1:15" x14ac:dyDescent="0.25">
      <c r="A716" s="102"/>
      <c r="B716" s="33"/>
      <c r="C716" s="25"/>
      <c r="D716" s="26"/>
      <c r="E716" s="33"/>
      <c r="F716" s="25"/>
      <c r="G716" s="55"/>
      <c r="N716" s="37" t="str">
        <f t="shared" ca="1" si="36"/>
        <v/>
      </c>
      <c r="O716" s="37" t="str">
        <f t="shared" ca="1" si="37"/>
        <v/>
      </c>
    </row>
    <row r="717" spans="1:15" x14ac:dyDescent="0.25">
      <c r="A717" s="102"/>
      <c r="B717" s="33"/>
      <c r="C717" s="25"/>
      <c r="D717" s="26"/>
      <c r="E717" s="33"/>
      <c r="F717" s="25"/>
      <c r="G717" s="55"/>
      <c r="N717" s="37" t="str">
        <f t="shared" ca="1" si="36"/>
        <v/>
      </c>
      <c r="O717" s="37" t="str">
        <f t="shared" ca="1" si="37"/>
        <v/>
      </c>
    </row>
    <row r="718" spans="1:15" x14ac:dyDescent="0.25">
      <c r="A718" s="102"/>
      <c r="B718" s="33"/>
      <c r="C718" s="25"/>
      <c r="D718" s="26"/>
      <c r="E718" s="33"/>
      <c r="F718" s="25"/>
      <c r="G718" s="55"/>
      <c r="N718" s="37" t="str">
        <f t="shared" ca="1" si="36"/>
        <v/>
      </c>
      <c r="O718" s="37" t="str">
        <f t="shared" ca="1" si="37"/>
        <v/>
      </c>
    </row>
    <row r="719" spans="1:15" x14ac:dyDescent="0.25">
      <c r="A719" s="102"/>
      <c r="B719" s="33"/>
      <c r="C719" s="25"/>
      <c r="D719" s="26"/>
      <c r="E719" s="33"/>
      <c r="F719" s="25"/>
      <c r="G719" s="55"/>
      <c r="N719" s="37" t="str">
        <f t="shared" ca="1" si="36"/>
        <v/>
      </c>
      <c r="O719" s="37" t="str">
        <f t="shared" ca="1" si="37"/>
        <v/>
      </c>
    </row>
    <row r="720" spans="1:15" x14ac:dyDescent="0.25">
      <c r="A720" s="102"/>
      <c r="B720" s="33"/>
      <c r="C720" s="25"/>
      <c r="D720" s="26"/>
      <c r="E720" s="33"/>
      <c r="F720" s="25"/>
      <c r="G720" s="55"/>
      <c r="N720" s="37" t="str">
        <f t="shared" ca="1" si="36"/>
        <v/>
      </c>
      <c r="O720" s="37" t="str">
        <f t="shared" ca="1" si="37"/>
        <v/>
      </c>
    </row>
    <row r="721" spans="1:15" x14ac:dyDescent="0.25">
      <c r="A721" s="102"/>
      <c r="B721" s="33"/>
      <c r="C721" s="25"/>
      <c r="D721" s="26"/>
      <c r="E721" s="33"/>
      <c r="F721" s="25"/>
      <c r="G721" s="55"/>
      <c r="N721" s="37" t="str">
        <f t="shared" ca="1" si="36"/>
        <v/>
      </c>
      <c r="O721" s="37" t="str">
        <f t="shared" ca="1" si="37"/>
        <v/>
      </c>
    </row>
    <row r="722" spans="1:15" x14ac:dyDescent="0.25">
      <c r="A722" s="102"/>
      <c r="B722" s="33"/>
      <c r="C722" s="25"/>
      <c r="D722" s="26"/>
      <c r="E722" s="33"/>
      <c r="F722" s="25"/>
      <c r="G722" s="55"/>
      <c r="N722" s="37" t="str">
        <f t="shared" ca="1" si="36"/>
        <v/>
      </c>
      <c r="O722" s="37" t="str">
        <f t="shared" ca="1" si="37"/>
        <v/>
      </c>
    </row>
    <row r="723" spans="1:15" x14ac:dyDescent="0.25">
      <c r="A723" s="102"/>
      <c r="B723" s="33"/>
      <c r="C723" s="25"/>
      <c r="D723" s="26"/>
      <c r="E723" s="33"/>
      <c r="F723" s="25"/>
      <c r="G723" s="55"/>
      <c r="N723" s="37" t="str">
        <f t="shared" ca="1" si="36"/>
        <v/>
      </c>
      <c r="O723" s="37" t="str">
        <f t="shared" ca="1" si="37"/>
        <v/>
      </c>
    </row>
    <row r="724" spans="1:15" x14ac:dyDescent="0.25">
      <c r="A724" s="102"/>
      <c r="B724" s="33"/>
      <c r="C724" s="25"/>
      <c r="D724" s="26"/>
      <c r="E724" s="33"/>
      <c r="F724" s="25"/>
      <c r="G724" s="55"/>
      <c r="N724" s="37" t="str">
        <f t="shared" ca="1" si="36"/>
        <v/>
      </c>
      <c r="O724" s="37" t="str">
        <f t="shared" ca="1" si="37"/>
        <v/>
      </c>
    </row>
    <row r="725" spans="1:15" x14ac:dyDescent="0.25">
      <c r="A725" s="102"/>
      <c r="B725" s="33"/>
      <c r="C725" s="25"/>
      <c r="D725" s="26"/>
      <c r="E725" s="33"/>
      <c r="F725" s="25"/>
      <c r="G725" s="55"/>
      <c r="N725" s="37" t="str">
        <f t="shared" ca="1" si="36"/>
        <v/>
      </c>
      <c r="O725" s="37" t="str">
        <f t="shared" ca="1" si="37"/>
        <v/>
      </c>
    </row>
    <row r="726" spans="1:15" x14ac:dyDescent="0.25">
      <c r="A726" s="102"/>
      <c r="B726" s="33"/>
      <c r="C726" s="25"/>
      <c r="D726" s="26"/>
      <c r="E726" s="33"/>
      <c r="F726" s="25"/>
      <c r="G726" s="55"/>
      <c r="N726" s="37" t="str">
        <f t="shared" ca="1" si="36"/>
        <v/>
      </c>
      <c r="O726" s="37" t="str">
        <f t="shared" ca="1" si="37"/>
        <v/>
      </c>
    </row>
    <row r="727" spans="1:15" x14ac:dyDescent="0.25">
      <c r="A727" s="102"/>
      <c r="B727" s="33"/>
      <c r="C727" s="25"/>
      <c r="D727" s="26"/>
      <c r="E727" s="33"/>
      <c r="F727" s="25"/>
      <c r="G727" s="55"/>
      <c r="N727" s="37" t="str">
        <f t="shared" ca="1" si="36"/>
        <v/>
      </c>
      <c r="O727" s="37" t="str">
        <f t="shared" ca="1" si="37"/>
        <v/>
      </c>
    </row>
    <row r="728" spans="1:15" x14ac:dyDescent="0.25">
      <c r="A728" s="102"/>
      <c r="B728" s="33"/>
      <c r="C728" s="25"/>
      <c r="D728" s="26"/>
      <c r="E728" s="33"/>
      <c r="F728" s="25"/>
      <c r="G728" s="55"/>
      <c r="N728" s="37" t="str">
        <f t="shared" ca="1" si="36"/>
        <v/>
      </c>
      <c r="O728" s="37" t="str">
        <f t="shared" ca="1" si="37"/>
        <v/>
      </c>
    </row>
    <row r="729" spans="1:15" x14ac:dyDescent="0.25">
      <c r="A729" s="102"/>
      <c r="B729" s="33"/>
      <c r="C729" s="25"/>
      <c r="D729" s="26"/>
      <c r="E729" s="33"/>
      <c r="F729" s="25"/>
      <c r="G729" s="55"/>
      <c r="N729" s="37" t="str">
        <f t="shared" ca="1" si="36"/>
        <v/>
      </c>
      <c r="O729" s="37" t="str">
        <f t="shared" ca="1" si="37"/>
        <v/>
      </c>
    </row>
    <row r="730" spans="1:15" x14ac:dyDescent="0.25">
      <c r="A730" s="102"/>
      <c r="B730" s="33"/>
      <c r="C730" s="25"/>
      <c r="D730" s="26"/>
      <c r="E730" s="33"/>
      <c r="F730" s="25"/>
      <c r="G730" s="55"/>
      <c r="N730" s="37" t="str">
        <f t="shared" ca="1" si="36"/>
        <v/>
      </c>
      <c r="O730" s="37" t="str">
        <f t="shared" ca="1" si="37"/>
        <v/>
      </c>
    </row>
    <row r="731" spans="1:15" x14ac:dyDescent="0.25">
      <c r="A731" s="102"/>
      <c r="B731" s="33"/>
      <c r="C731" s="25"/>
      <c r="D731" s="26"/>
      <c r="E731" s="33"/>
      <c r="F731" s="25"/>
      <c r="G731" s="55"/>
      <c r="N731" s="37" t="str">
        <f t="shared" ca="1" si="36"/>
        <v/>
      </c>
      <c r="O731" s="37" t="str">
        <f t="shared" ca="1" si="37"/>
        <v/>
      </c>
    </row>
    <row r="732" spans="1:15" x14ac:dyDescent="0.25">
      <c r="A732" s="102"/>
      <c r="B732" s="33"/>
      <c r="C732" s="25"/>
      <c r="D732" s="26"/>
      <c r="E732" s="33"/>
      <c r="F732" s="25"/>
      <c r="G732" s="55"/>
      <c r="N732" s="37" t="str">
        <f t="shared" ca="1" si="36"/>
        <v/>
      </c>
      <c r="O732" s="37" t="str">
        <f t="shared" ca="1" si="37"/>
        <v/>
      </c>
    </row>
    <row r="733" spans="1:15" x14ac:dyDescent="0.25">
      <c r="A733" s="102"/>
      <c r="B733" s="33"/>
      <c r="C733" s="25"/>
      <c r="D733" s="26"/>
      <c r="E733" s="33"/>
      <c r="F733" s="25"/>
      <c r="G733" s="55"/>
      <c r="N733" s="37" t="str">
        <f t="shared" ca="1" si="36"/>
        <v/>
      </c>
      <c r="O733" s="37" t="str">
        <f t="shared" ca="1" si="37"/>
        <v/>
      </c>
    </row>
    <row r="734" spans="1:15" x14ac:dyDescent="0.25">
      <c r="A734" s="102"/>
      <c r="B734" s="33"/>
      <c r="C734" s="25"/>
      <c r="D734" s="26"/>
      <c r="E734" s="33"/>
      <c r="F734" s="25"/>
      <c r="G734" s="55"/>
      <c r="N734" s="37" t="str">
        <f t="shared" ca="1" si="36"/>
        <v/>
      </c>
      <c r="O734" s="37" t="str">
        <f t="shared" ca="1" si="37"/>
        <v/>
      </c>
    </row>
    <row r="735" spans="1:15" x14ac:dyDescent="0.25">
      <c r="A735" s="102"/>
      <c r="B735" s="33"/>
      <c r="C735" s="25"/>
      <c r="D735" s="26"/>
      <c r="E735" s="33"/>
      <c r="F735" s="25"/>
      <c r="G735" s="55"/>
      <c r="N735" s="37" t="str">
        <f t="shared" ca="1" si="36"/>
        <v/>
      </c>
      <c r="O735" s="37" t="str">
        <f t="shared" ca="1" si="37"/>
        <v/>
      </c>
    </row>
    <row r="736" spans="1:15" x14ac:dyDescent="0.25">
      <c r="A736" s="102"/>
      <c r="B736" s="33"/>
      <c r="C736" s="25"/>
      <c r="D736" s="26"/>
      <c r="E736" s="33"/>
      <c r="F736" s="25"/>
      <c r="G736" s="55"/>
      <c r="N736" s="37" t="str">
        <f t="shared" ca="1" si="36"/>
        <v/>
      </c>
      <c r="O736" s="37" t="str">
        <f t="shared" ca="1" si="37"/>
        <v/>
      </c>
    </row>
    <row r="737" spans="1:15" x14ac:dyDescent="0.25">
      <c r="A737" s="102"/>
      <c r="B737" s="33"/>
      <c r="C737" s="25"/>
      <c r="D737" s="26"/>
      <c r="E737" s="33"/>
      <c r="F737" s="25"/>
      <c r="G737" s="55"/>
      <c r="N737" s="37" t="str">
        <f t="shared" ca="1" si="36"/>
        <v/>
      </c>
      <c r="O737" s="37" t="str">
        <f t="shared" ca="1" si="37"/>
        <v/>
      </c>
    </row>
    <row r="738" spans="1:15" x14ac:dyDescent="0.25">
      <c r="A738" s="102"/>
      <c r="B738" s="33"/>
      <c r="C738" s="25"/>
      <c r="D738" s="26"/>
      <c r="E738" s="33"/>
      <c r="F738" s="25"/>
      <c r="G738" s="55"/>
      <c r="N738" s="37" t="str">
        <f t="shared" ca="1" si="36"/>
        <v/>
      </c>
      <c r="O738" s="37" t="str">
        <f t="shared" ca="1" si="37"/>
        <v/>
      </c>
    </row>
    <row r="739" spans="1:15" x14ac:dyDescent="0.25">
      <c r="A739" s="102"/>
      <c r="B739" s="33"/>
      <c r="C739" s="25"/>
      <c r="D739" s="26"/>
      <c r="E739" s="33"/>
      <c r="F739" s="25"/>
      <c r="G739" s="55"/>
      <c r="N739" s="37" t="str">
        <f t="shared" ca="1" si="36"/>
        <v/>
      </c>
      <c r="O739" s="37" t="str">
        <f t="shared" ca="1" si="37"/>
        <v/>
      </c>
    </row>
    <row r="740" spans="1:15" x14ac:dyDescent="0.25">
      <c r="A740" s="102"/>
      <c r="B740" s="33"/>
      <c r="C740" s="25"/>
      <c r="D740" s="26"/>
      <c r="E740" s="33"/>
      <c r="F740" s="25"/>
      <c r="G740" s="55"/>
      <c r="N740" s="37" t="str">
        <f t="shared" ca="1" si="36"/>
        <v/>
      </c>
      <c r="O740" s="37" t="str">
        <f t="shared" ca="1" si="37"/>
        <v/>
      </c>
    </row>
    <row r="741" spans="1:15" x14ac:dyDescent="0.25">
      <c r="A741" s="102"/>
      <c r="B741" s="33"/>
      <c r="C741" s="25"/>
      <c r="D741" s="26"/>
      <c r="E741" s="33"/>
      <c r="F741" s="25"/>
      <c r="G741" s="55"/>
      <c r="N741" s="37" t="str">
        <f t="shared" ca="1" si="36"/>
        <v/>
      </c>
      <c r="O741" s="37" t="str">
        <f t="shared" ca="1" si="37"/>
        <v/>
      </c>
    </row>
    <row r="742" spans="1:15" x14ac:dyDescent="0.25">
      <c r="A742" s="102"/>
      <c r="B742" s="33"/>
      <c r="C742" s="25"/>
      <c r="D742" s="26"/>
      <c r="E742" s="33"/>
      <c r="F742" s="25"/>
      <c r="G742" s="55"/>
      <c r="N742" s="37" t="str">
        <f t="shared" ca="1" si="36"/>
        <v/>
      </c>
      <c r="O742" s="37" t="str">
        <f t="shared" ca="1" si="37"/>
        <v/>
      </c>
    </row>
    <row r="743" spans="1:15" x14ac:dyDescent="0.25">
      <c r="A743" s="102"/>
      <c r="B743" s="33"/>
      <c r="C743" s="25"/>
      <c r="D743" s="26"/>
      <c r="E743" s="33"/>
      <c r="F743" s="25"/>
      <c r="G743" s="55"/>
      <c r="N743" s="37" t="str">
        <f t="shared" ca="1" si="36"/>
        <v/>
      </c>
      <c r="O743" s="37" t="str">
        <f t="shared" ca="1" si="37"/>
        <v/>
      </c>
    </row>
    <row r="744" spans="1:15" x14ac:dyDescent="0.25">
      <c r="A744" s="102"/>
      <c r="B744" s="33"/>
      <c r="C744" s="25"/>
      <c r="D744" s="26"/>
      <c r="E744" s="33"/>
      <c r="F744" s="25"/>
      <c r="G744" s="55"/>
      <c r="N744" s="37" t="str">
        <f t="shared" ca="1" si="36"/>
        <v/>
      </c>
      <c r="O744" s="37" t="str">
        <f t="shared" ca="1" si="37"/>
        <v/>
      </c>
    </row>
    <row r="745" spans="1:15" x14ac:dyDescent="0.25">
      <c r="A745" s="102"/>
      <c r="B745" s="33"/>
      <c r="C745" s="25"/>
      <c r="D745" s="26"/>
      <c r="E745" s="33"/>
      <c r="F745" s="25"/>
      <c r="G745" s="55"/>
      <c r="N745" s="37" t="str">
        <f t="shared" ca="1" si="36"/>
        <v/>
      </c>
      <c r="O745" s="37" t="str">
        <f t="shared" ca="1" si="37"/>
        <v/>
      </c>
    </row>
    <row r="746" spans="1:15" x14ac:dyDescent="0.25">
      <c r="A746" s="102"/>
      <c r="B746" s="33"/>
      <c r="C746" s="25"/>
      <c r="D746" s="26"/>
      <c r="E746" s="33"/>
      <c r="F746" s="25"/>
      <c r="G746" s="55"/>
      <c r="N746" s="37" t="str">
        <f t="shared" ca="1" si="36"/>
        <v/>
      </c>
      <c r="O746" s="37" t="str">
        <f t="shared" ca="1" si="37"/>
        <v/>
      </c>
    </row>
    <row r="747" spans="1:15" x14ac:dyDescent="0.25">
      <c r="A747" s="102"/>
      <c r="B747" s="33"/>
      <c r="C747" s="25"/>
      <c r="D747" s="26"/>
      <c r="E747" s="33"/>
      <c r="F747" s="25"/>
      <c r="G747" s="55"/>
      <c r="N747" s="37" t="str">
        <f t="shared" ca="1" si="36"/>
        <v/>
      </c>
      <c r="O747" s="37" t="str">
        <f t="shared" ca="1" si="37"/>
        <v/>
      </c>
    </row>
    <row r="748" spans="1:15" x14ac:dyDescent="0.25">
      <c r="A748" s="102"/>
      <c r="B748" s="33"/>
      <c r="C748" s="25"/>
      <c r="D748" s="26"/>
      <c r="E748" s="33"/>
      <c r="F748" s="25"/>
      <c r="G748" s="55"/>
      <c r="N748" s="37" t="str">
        <f t="shared" ca="1" si="36"/>
        <v/>
      </c>
      <c r="O748" s="37" t="str">
        <f t="shared" ca="1" si="37"/>
        <v/>
      </c>
    </row>
    <row r="749" spans="1:15" x14ac:dyDescent="0.25">
      <c r="A749" s="102"/>
      <c r="B749" s="33"/>
      <c r="C749" s="25"/>
      <c r="D749" s="26"/>
      <c r="E749" s="33"/>
      <c r="F749" s="25"/>
      <c r="G749" s="55"/>
      <c r="N749" s="37" t="str">
        <f t="shared" ca="1" si="36"/>
        <v/>
      </c>
      <c r="O749" s="37" t="str">
        <f t="shared" ca="1" si="37"/>
        <v/>
      </c>
    </row>
    <row r="750" spans="1:15" x14ac:dyDescent="0.25">
      <c r="A750" s="102"/>
      <c r="B750" s="33"/>
      <c r="C750" s="25"/>
      <c r="D750" s="26"/>
      <c r="E750" s="33"/>
      <c r="F750" s="25"/>
      <c r="G750" s="55"/>
      <c r="N750" s="37" t="str">
        <f t="shared" ca="1" si="36"/>
        <v/>
      </c>
      <c r="O750" s="37" t="str">
        <f t="shared" ca="1" si="37"/>
        <v/>
      </c>
    </row>
    <row r="751" spans="1:15" x14ac:dyDescent="0.25">
      <c r="A751" s="102"/>
      <c r="B751" s="33"/>
      <c r="C751" s="25"/>
      <c r="D751" s="26"/>
      <c r="E751" s="33"/>
      <c r="F751" s="25"/>
      <c r="G751" s="55"/>
      <c r="N751" s="37" t="str">
        <f t="shared" ca="1" si="36"/>
        <v/>
      </c>
      <c r="O751" s="37" t="str">
        <f t="shared" ca="1" si="37"/>
        <v/>
      </c>
    </row>
    <row r="752" spans="1:15" x14ac:dyDescent="0.25">
      <c r="A752" s="102"/>
      <c r="B752" s="33"/>
      <c r="C752" s="25"/>
      <c r="D752" s="26"/>
      <c r="E752" s="33"/>
      <c r="F752" s="25"/>
      <c r="G752" s="55"/>
      <c r="N752" s="37" t="str">
        <f t="shared" ca="1" si="36"/>
        <v/>
      </c>
      <c r="O752" s="37" t="str">
        <f t="shared" ca="1" si="37"/>
        <v/>
      </c>
    </row>
    <row r="753" spans="1:15" x14ac:dyDescent="0.25">
      <c r="A753" s="102"/>
      <c r="B753" s="33"/>
      <c r="C753" s="25"/>
      <c r="D753" s="26"/>
      <c r="E753" s="33"/>
      <c r="F753" s="25"/>
      <c r="G753" s="55"/>
      <c r="N753" s="37" t="str">
        <f t="shared" ca="1" si="36"/>
        <v/>
      </c>
      <c r="O753" s="37" t="str">
        <f t="shared" ca="1" si="37"/>
        <v/>
      </c>
    </row>
    <row r="754" spans="1:15" x14ac:dyDescent="0.25">
      <c r="A754" s="102"/>
      <c r="B754" s="33"/>
      <c r="C754" s="25"/>
      <c r="D754" s="26"/>
      <c r="E754" s="33"/>
      <c r="F754" s="25"/>
      <c r="G754" s="55"/>
      <c r="N754" s="37" t="str">
        <f t="shared" ca="1" si="36"/>
        <v/>
      </c>
      <c r="O754" s="37" t="str">
        <f t="shared" ca="1" si="37"/>
        <v/>
      </c>
    </row>
    <row r="755" spans="1:15" x14ac:dyDescent="0.25">
      <c r="A755" s="102"/>
      <c r="B755" s="33"/>
      <c r="C755" s="25"/>
      <c r="D755" s="26"/>
      <c r="E755" s="33"/>
      <c r="F755" s="25"/>
      <c r="G755" s="55"/>
      <c r="N755" s="37" t="str">
        <f t="shared" ca="1" si="36"/>
        <v/>
      </c>
      <c r="O755" s="37" t="str">
        <f t="shared" ca="1" si="37"/>
        <v/>
      </c>
    </row>
    <row r="756" spans="1:15" x14ac:dyDescent="0.25">
      <c r="N756" s="37" t="str">
        <f t="shared" ca="1" si="36"/>
        <v/>
      </c>
      <c r="O756" s="37" t="str">
        <f t="shared" ca="1" si="37"/>
        <v/>
      </c>
    </row>
    <row r="757" spans="1:15" x14ac:dyDescent="0.25">
      <c r="N757" s="37" t="str">
        <f t="shared" ca="1" si="36"/>
        <v/>
      </c>
      <c r="O757" s="37" t="str">
        <f t="shared" ca="1" si="37"/>
        <v/>
      </c>
    </row>
    <row r="758" spans="1:15" x14ac:dyDescent="0.25">
      <c r="N758" s="37" t="str">
        <f t="shared" ca="1" si="36"/>
        <v/>
      </c>
      <c r="O758" s="37" t="str">
        <f t="shared" ca="1" si="37"/>
        <v/>
      </c>
    </row>
    <row r="759" spans="1:15" x14ac:dyDescent="0.25">
      <c r="N759" s="37" t="str">
        <f t="shared" ca="1" si="36"/>
        <v/>
      </c>
      <c r="O759" s="37" t="str">
        <f t="shared" ca="1" si="37"/>
        <v/>
      </c>
    </row>
    <row r="760" spans="1:15" x14ac:dyDescent="0.25">
      <c r="N760" s="37" t="str">
        <f t="shared" ca="1" si="36"/>
        <v/>
      </c>
      <c r="O760" s="37" t="str">
        <f t="shared" ca="1" si="37"/>
        <v/>
      </c>
    </row>
    <row r="761" spans="1:15" x14ac:dyDescent="0.25">
      <c r="N761" s="37" t="str">
        <f t="shared" ca="1" si="36"/>
        <v/>
      </c>
      <c r="O761" s="37" t="str">
        <f t="shared" ca="1" si="37"/>
        <v/>
      </c>
    </row>
    <row r="762" spans="1:15" x14ac:dyDescent="0.25">
      <c r="N762" s="37" t="str">
        <f t="shared" ca="1" si="36"/>
        <v/>
      </c>
      <c r="O762" s="37" t="str">
        <f t="shared" ca="1" si="37"/>
        <v/>
      </c>
    </row>
    <row r="763" spans="1:15" x14ac:dyDescent="0.25">
      <c r="N763" s="37" t="str">
        <f t="shared" ca="1" si="36"/>
        <v/>
      </c>
      <c r="O763" s="37" t="str">
        <f t="shared" ca="1" si="37"/>
        <v/>
      </c>
    </row>
    <row r="764" spans="1:15" x14ac:dyDescent="0.25">
      <c r="N764" s="37" t="str">
        <f t="shared" ca="1" si="36"/>
        <v/>
      </c>
      <c r="O764" s="37" t="str">
        <f t="shared" ca="1" si="37"/>
        <v/>
      </c>
    </row>
    <row r="765" spans="1:15" x14ac:dyDescent="0.25">
      <c r="N765" s="37" t="str">
        <f t="shared" ca="1" si="36"/>
        <v/>
      </c>
      <c r="O765" s="37" t="str">
        <f t="shared" ca="1" si="37"/>
        <v/>
      </c>
    </row>
    <row r="766" spans="1:15" x14ac:dyDescent="0.25">
      <c r="N766" s="37" t="str">
        <f t="shared" ca="1" si="36"/>
        <v/>
      </c>
      <c r="O766" s="37" t="str">
        <f t="shared" ca="1" si="37"/>
        <v/>
      </c>
    </row>
    <row r="767" spans="1:15" x14ac:dyDescent="0.25">
      <c r="N767" s="37" t="str">
        <f t="shared" ca="1" si="36"/>
        <v/>
      </c>
      <c r="O767" s="37" t="str">
        <f t="shared" ca="1" si="37"/>
        <v/>
      </c>
    </row>
    <row r="768" spans="1:15" x14ac:dyDescent="0.25">
      <c r="N768" s="37" t="str">
        <f t="shared" ca="1" si="36"/>
        <v/>
      </c>
      <c r="O768" s="37" t="str">
        <f t="shared" ca="1" si="37"/>
        <v/>
      </c>
    </row>
    <row r="769" spans="14:15" x14ac:dyDescent="0.25">
      <c r="N769" s="37" t="str">
        <f t="shared" ca="1" si="36"/>
        <v/>
      </c>
      <c r="O769" s="37" t="str">
        <f t="shared" ca="1" si="37"/>
        <v/>
      </c>
    </row>
    <row r="770" spans="14:15" x14ac:dyDescent="0.25">
      <c r="N770" s="37" t="str">
        <f t="shared" ca="1" si="36"/>
        <v/>
      </c>
      <c r="O770" s="37" t="str">
        <f t="shared" ca="1" si="37"/>
        <v/>
      </c>
    </row>
    <row r="771" spans="14:15" x14ac:dyDescent="0.25">
      <c r="N771" s="37" t="str">
        <f t="shared" ca="1" si="36"/>
        <v/>
      </c>
      <c r="O771" s="37" t="str">
        <f t="shared" ca="1" si="37"/>
        <v/>
      </c>
    </row>
    <row r="772" spans="14:15" x14ac:dyDescent="0.25">
      <c r="N772" s="37" t="str">
        <f t="shared" ref="N772:N835" ca="1" si="38">IF(COUNTIF(L:L,J772),J772,"")</f>
        <v/>
      </c>
      <c r="O772" s="37" t="str">
        <f t="shared" ref="O772:O835" ca="1" si="39">IF(N772&gt;$A$14,N772,"")</f>
        <v/>
      </c>
    </row>
    <row r="773" spans="14:15" x14ac:dyDescent="0.25">
      <c r="N773" s="37" t="str">
        <f t="shared" ca="1" si="38"/>
        <v/>
      </c>
      <c r="O773" s="37" t="str">
        <f t="shared" ca="1" si="39"/>
        <v/>
      </c>
    </row>
    <row r="774" spans="14:15" x14ac:dyDescent="0.25">
      <c r="N774" s="37" t="str">
        <f t="shared" ca="1" si="38"/>
        <v/>
      </c>
      <c r="O774" s="37" t="str">
        <f t="shared" ca="1" si="39"/>
        <v/>
      </c>
    </row>
    <row r="775" spans="14:15" x14ac:dyDescent="0.25">
      <c r="N775" s="37" t="str">
        <f t="shared" ca="1" si="38"/>
        <v/>
      </c>
      <c r="O775" s="37" t="str">
        <f t="shared" ca="1" si="39"/>
        <v/>
      </c>
    </row>
    <row r="776" spans="14:15" x14ac:dyDescent="0.25">
      <c r="N776" s="37" t="str">
        <f t="shared" ca="1" si="38"/>
        <v/>
      </c>
      <c r="O776" s="37" t="str">
        <f t="shared" ca="1" si="39"/>
        <v/>
      </c>
    </row>
    <row r="777" spans="14:15" x14ac:dyDescent="0.25">
      <c r="N777" s="37" t="str">
        <f t="shared" ca="1" si="38"/>
        <v/>
      </c>
      <c r="O777" s="37" t="str">
        <f t="shared" ca="1" si="39"/>
        <v/>
      </c>
    </row>
    <row r="778" spans="14:15" x14ac:dyDescent="0.25">
      <c r="N778" s="37" t="str">
        <f t="shared" ca="1" si="38"/>
        <v/>
      </c>
      <c r="O778" s="37" t="str">
        <f t="shared" ca="1" si="39"/>
        <v/>
      </c>
    </row>
    <row r="779" spans="14:15" x14ac:dyDescent="0.25">
      <c r="N779" s="37" t="str">
        <f t="shared" ca="1" si="38"/>
        <v/>
      </c>
      <c r="O779" s="37" t="str">
        <f t="shared" ca="1" si="39"/>
        <v/>
      </c>
    </row>
    <row r="780" spans="14:15" x14ac:dyDescent="0.25">
      <c r="N780" s="37" t="str">
        <f t="shared" ca="1" si="38"/>
        <v/>
      </c>
      <c r="O780" s="37" t="str">
        <f t="shared" ca="1" si="39"/>
        <v/>
      </c>
    </row>
    <row r="781" spans="14:15" x14ac:dyDescent="0.25">
      <c r="N781" s="37" t="str">
        <f t="shared" ca="1" si="38"/>
        <v/>
      </c>
      <c r="O781" s="37" t="str">
        <f t="shared" ca="1" si="39"/>
        <v/>
      </c>
    </row>
    <row r="782" spans="14:15" x14ac:dyDescent="0.25">
      <c r="N782" s="37" t="str">
        <f t="shared" ca="1" si="38"/>
        <v/>
      </c>
      <c r="O782" s="37" t="str">
        <f t="shared" ca="1" si="39"/>
        <v/>
      </c>
    </row>
    <row r="783" spans="14:15" x14ac:dyDescent="0.25">
      <c r="N783" s="37" t="str">
        <f t="shared" ca="1" si="38"/>
        <v/>
      </c>
      <c r="O783" s="37" t="str">
        <f t="shared" ca="1" si="39"/>
        <v/>
      </c>
    </row>
    <row r="784" spans="14:15" x14ac:dyDescent="0.25">
      <c r="N784" s="37" t="str">
        <f t="shared" ca="1" si="38"/>
        <v/>
      </c>
      <c r="O784" s="37" t="str">
        <f t="shared" ca="1" si="39"/>
        <v/>
      </c>
    </row>
    <row r="785" spans="14:15" x14ac:dyDescent="0.25">
      <c r="N785" s="37" t="str">
        <f t="shared" ca="1" si="38"/>
        <v/>
      </c>
      <c r="O785" s="37" t="str">
        <f t="shared" ca="1" si="39"/>
        <v/>
      </c>
    </row>
    <row r="786" spans="14:15" x14ac:dyDescent="0.25">
      <c r="N786" s="37" t="str">
        <f t="shared" ca="1" si="38"/>
        <v/>
      </c>
      <c r="O786" s="37" t="str">
        <f t="shared" ca="1" si="39"/>
        <v/>
      </c>
    </row>
    <row r="787" spans="14:15" x14ac:dyDescent="0.25">
      <c r="N787" s="37" t="str">
        <f t="shared" ca="1" si="38"/>
        <v/>
      </c>
      <c r="O787" s="37" t="str">
        <f t="shared" ca="1" si="39"/>
        <v/>
      </c>
    </row>
    <row r="788" spans="14:15" x14ac:dyDescent="0.25">
      <c r="N788" s="37" t="str">
        <f t="shared" ca="1" si="38"/>
        <v/>
      </c>
      <c r="O788" s="37" t="str">
        <f t="shared" ca="1" si="39"/>
        <v/>
      </c>
    </row>
    <row r="789" spans="14:15" x14ac:dyDescent="0.25">
      <c r="N789" s="37" t="str">
        <f t="shared" ca="1" si="38"/>
        <v/>
      </c>
      <c r="O789" s="37" t="str">
        <f t="shared" ca="1" si="39"/>
        <v/>
      </c>
    </row>
    <row r="790" spans="14:15" x14ac:dyDescent="0.25">
      <c r="N790" s="37" t="str">
        <f t="shared" ca="1" si="38"/>
        <v/>
      </c>
      <c r="O790" s="37" t="str">
        <f t="shared" ca="1" si="39"/>
        <v/>
      </c>
    </row>
    <row r="791" spans="14:15" x14ac:dyDescent="0.25">
      <c r="N791" s="37" t="str">
        <f t="shared" ca="1" si="38"/>
        <v/>
      </c>
      <c r="O791" s="37" t="str">
        <f t="shared" ca="1" si="39"/>
        <v/>
      </c>
    </row>
    <row r="792" spans="14:15" x14ac:dyDescent="0.25">
      <c r="N792" s="37" t="str">
        <f t="shared" ca="1" si="38"/>
        <v/>
      </c>
      <c r="O792" s="37" t="str">
        <f t="shared" ca="1" si="39"/>
        <v/>
      </c>
    </row>
    <row r="793" spans="14:15" x14ac:dyDescent="0.25">
      <c r="N793" s="37" t="str">
        <f t="shared" ca="1" si="38"/>
        <v/>
      </c>
      <c r="O793" s="37" t="str">
        <f t="shared" ca="1" si="39"/>
        <v/>
      </c>
    </row>
    <row r="794" spans="14:15" x14ac:dyDescent="0.25">
      <c r="N794" s="37" t="str">
        <f t="shared" ca="1" si="38"/>
        <v/>
      </c>
      <c r="O794" s="37" t="str">
        <f t="shared" ca="1" si="39"/>
        <v/>
      </c>
    </row>
    <row r="795" spans="14:15" x14ac:dyDescent="0.25">
      <c r="N795" s="37" t="str">
        <f t="shared" ca="1" si="38"/>
        <v/>
      </c>
      <c r="O795" s="37" t="str">
        <f t="shared" ca="1" si="39"/>
        <v/>
      </c>
    </row>
    <row r="796" spans="14:15" x14ac:dyDescent="0.25">
      <c r="N796" s="37" t="str">
        <f t="shared" ca="1" si="38"/>
        <v/>
      </c>
      <c r="O796" s="37" t="str">
        <f t="shared" ca="1" si="39"/>
        <v/>
      </c>
    </row>
    <row r="797" spans="14:15" x14ac:dyDescent="0.25">
      <c r="N797" s="37" t="str">
        <f t="shared" ca="1" si="38"/>
        <v/>
      </c>
      <c r="O797" s="37" t="str">
        <f t="shared" ca="1" si="39"/>
        <v/>
      </c>
    </row>
    <row r="798" spans="14:15" x14ac:dyDescent="0.25">
      <c r="N798" s="37" t="str">
        <f t="shared" ca="1" si="38"/>
        <v/>
      </c>
      <c r="O798" s="37" t="str">
        <f t="shared" ca="1" si="39"/>
        <v/>
      </c>
    </row>
    <row r="799" spans="14:15" x14ac:dyDescent="0.25">
      <c r="N799" s="37" t="str">
        <f t="shared" ca="1" si="38"/>
        <v/>
      </c>
      <c r="O799" s="37" t="str">
        <f t="shared" ca="1" si="39"/>
        <v/>
      </c>
    </row>
    <row r="800" spans="14:15" x14ac:dyDescent="0.25">
      <c r="N800" s="37" t="str">
        <f t="shared" ca="1" si="38"/>
        <v/>
      </c>
      <c r="O800" s="37" t="str">
        <f t="shared" ca="1" si="39"/>
        <v/>
      </c>
    </row>
    <row r="801" spans="14:15" x14ac:dyDescent="0.25">
      <c r="N801" s="37" t="str">
        <f t="shared" ca="1" si="38"/>
        <v/>
      </c>
      <c r="O801" s="37" t="str">
        <f t="shared" ca="1" si="39"/>
        <v/>
      </c>
    </row>
    <row r="802" spans="14:15" x14ac:dyDescent="0.25">
      <c r="N802" s="37" t="str">
        <f t="shared" ca="1" si="38"/>
        <v/>
      </c>
      <c r="O802" s="37" t="str">
        <f t="shared" ca="1" si="39"/>
        <v/>
      </c>
    </row>
    <row r="803" spans="14:15" x14ac:dyDescent="0.25">
      <c r="N803" s="37" t="str">
        <f t="shared" ca="1" si="38"/>
        <v/>
      </c>
      <c r="O803" s="37" t="str">
        <f t="shared" ca="1" si="39"/>
        <v/>
      </c>
    </row>
    <row r="804" spans="14:15" x14ac:dyDescent="0.25">
      <c r="N804" s="37" t="str">
        <f t="shared" ca="1" si="38"/>
        <v/>
      </c>
      <c r="O804" s="37" t="str">
        <f t="shared" ca="1" si="39"/>
        <v/>
      </c>
    </row>
    <row r="805" spans="14:15" x14ac:dyDescent="0.25">
      <c r="N805" s="37" t="str">
        <f t="shared" ca="1" si="38"/>
        <v/>
      </c>
      <c r="O805" s="37" t="str">
        <f t="shared" ca="1" si="39"/>
        <v/>
      </c>
    </row>
    <row r="806" spans="14:15" x14ac:dyDescent="0.25">
      <c r="N806" s="37" t="str">
        <f t="shared" ca="1" si="38"/>
        <v/>
      </c>
      <c r="O806" s="37" t="str">
        <f t="shared" ca="1" si="39"/>
        <v/>
      </c>
    </row>
    <row r="807" spans="14:15" x14ac:dyDescent="0.25">
      <c r="N807" s="37" t="str">
        <f t="shared" ca="1" si="38"/>
        <v/>
      </c>
      <c r="O807" s="37" t="str">
        <f t="shared" ca="1" si="39"/>
        <v/>
      </c>
    </row>
    <row r="808" spans="14:15" x14ac:dyDescent="0.25">
      <c r="N808" s="37" t="str">
        <f t="shared" ca="1" si="38"/>
        <v/>
      </c>
      <c r="O808" s="37" t="str">
        <f t="shared" ca="1" si="39"/>
        <v/>
      </c>
    </row>
    <row r="809" spans="14:15" x14ac:dyDescent="0.25">
      <c r="N809" s="37" t="str">
        <f t="shared" ca="1" si="38"/>
        <v/>
      </c>
      <c r="O809" s="37" t="str">
        <f t="shared" ca="1" si="39"/>
        <v/>
      </c>
    </row>
    <row r="810" spans="14:15" x14ac:dyDescent="0.25">
      <c r="N810" s="37" t="str">
        <f t="shared" ca="1" si="38"/>
        <v/>
      </c>
      <c r="O810" s="37" t="str">
        <f t="shared" ca="1" si="39"/>
        <v/>
      </c>
    </row>
    <row r="811" spans="14:15" x14ac:dyDescent="0.25">
      <c r="N811" s="37" t="str">
        <f t="shared" ca="1" si="38"/>
        <v/>
      </c>
      <c r="O811" s="37" t="str">
        <f t="shared" ca="1" si="39"/>
        <v/>
      </c>
    </row>
    <row r="812" spans="14:15" x14ac:dyDescent="0.25">
      <c r="N812" s="37" t="str">
        <f t="shared" ca="1" si="38"/>
        <v/>
      </c>
      <c r="O812" s="37" t="str">
        <f t="shared" ca="1" si="39"/>
        <v/>
      </c>
    </row>
    <row r="813" spans="14:15" x14ac:dyDescent="0.25">
      <c r="N813" s="37" t="str">
        <f t="shared" ca="1" si="38"/>
        <v/>
      </c>
      <c r="O813" s="37" t="str">
        <f t="shared" ca="1" si="39"/>
        <v/>
      </c>
    </row>
    <row r="814" spans="14:15" x14ac:dyDescent="0.25">
      <c r="N814" s="37" t="str">
        <f t="shared" ca="1" si="38"/>
        <v/>
      </c>
      <c r="O814" s="37" t="str">
        <f t="shared" ca="1" si="39"/>
        <v/>
      </c>
    </row>
    <row r="815" spans="14:15" x14ac:dyDescent="0.25">
      <c r="N815" s="37" t="str">
        <f t="shared" ca="1" si="38"/>
        <v/>
      </c>
      <c r="O815" s="37" t="str">
        <f t="shared" ca="1" si="39"/>
        <v/>
      </c>
    </row>
    <row r="816" spans="14:15" x14ac:dyDescent="0.25">
      <c r="N816" s="37" t="str">
        <f t="shared" ca="1" si="38"/>
        <v/>
      </c>
      <c r="O816" s="37" t="str">
        <f t="shared" ca="1" si="39"/>
        <v/>
      </c>
    </row>
    <row r="817" spans="14:15" x14ac:dyDescent="0.25">
      <c r="N817" s="37" t="str">
        <f t="shared" ca="1" si="38"/>
        <v/>
      </c>
      <c r="O817" s="37" t="str">
        <f t="shared" ca="1" si="39"/>
        <v/>
      </c>
    </row>
    <row r="818" spans="14:15" x14ac:dyDescent="0.25">
      <c r="N818" s="37" t="str">
        <f t="shared" ca="1" si="38"/>
        <v/>
      </c>
      <c r="O818" s="37" t="str">
        <f t="shared" ca="1" si="39"/>
        <v/>
      </c>
    </row>
    <row r="819" spans="14:15" x14ac:dyDescent="0.25">
      <c r="N819" s="37" t="str">
        <f t="shared" ca="1" si="38"/>
        <v/>
      </c>
      <c r="O819" s="37" t="str">
        <f t="shared" ca="1" si="39"/>
        <v/>
      </c>
    </row>
    <row r="820" spans="14:15" x14ac:dyDescent="0.25">
      <c r="N820" s="37" t="str">
        <f t="shared" ca="1" si="38"/>
        <v/>
      </c>
      <c r="O820" s="37" t="str">
        <f t="shared" ca="1" si="39"/>
        <v/>
      </c>
    </row>
    <row r="821" spans="14:15" x14ac:dyDescent="0.25">
      <c r="N821" s="37" t="str">
        <f t="shared" ca="1" si="38"/>
        <v/>
      </c>
      <c r="O821" s="37" t="str">
        <f t="shared" ca="1" si="39"/>
        <v/>
      </c>
    </row>
    <row r="822" spans="14:15" x14ac:dyDescent="0.25">
      <c r="N822" s="37" t="str">
        <f t="shared" ca="1" si="38"/>
        <v/>
      </c>
      <c r="O822" s="37" t="str">
        <f t="shared" ca="1" si="39"/>
        <v/>
      </c>
    </row>
    <row r="823" spans="14:15" x14ac:dyDescent="0.25">
      <c r="N823" s="37" t="str">
        <f t="shared" ca="1" si="38"/>
        <v/>
      </c>
      <c r="O823" s="37" t="str">
        <f t="shared" ca="1" si="39"/>
        <v/>
      </c>
    </row>
    <row r="824" spans="14:15" x14ac:dyDescent="0.25">
      <c r="N824" s="37" t="str">
        <f t="shared" ca="1" si="38"/>
        <v/>
      </c>
      <c r="O824" s="37" t="str">
        <f t="shared" ca="1" si="39"/>
        <v/>
      </c>
    </row>
    <row r="825" spans="14:15" x14ac:dyDescent="0.25">
      <c r="N825" s="37" t="str">
        <f t="shared" ca="1" si="38"/>
        <v/>
      </c>
      <c r="O825" s="37" t="str">
        <f t="shared" ca="1" si="39"/>
        <v/>
      </c>
    </row>
    <row r="826" spans="14:15" x14ac:dyDescent="0.25">
      <c r="N826" s="37" t="str">
        <f t="shared" ca="1" si="38"/>
        <v/>
      </c>
      <c r="O826" s="37" t="str">
        <f t="shared" ca="1" si="39"/>
        <v/>
      </c>
    </row>
    <row r="827" spans="14:15" x14ac:dyDescent="0.25">
      <c r="N827" s="37" t="str">
        <f t="shared" ca="1" si="38"/>
        <v/>
      </c>
      <c r="O827" s="37" t="str">
        <f t="shared" ca="1" si="39"/>
        <v/>
      </c>
    </row>
    <row r="828" spans="14:15" x14ac:dyDescent="0.25">
      <c r="N828" s="37" t="str">
        <f t="shared" ca="1" si="38"/>
        <v/>
      </c>
      <c r="O828" s="37" t="str">
        <f t="shared" ca="1" si="39"/>
        <v/>
      </c>
    </row>
    <row r="829" spans="14:15" x14ac:dyDescent="0.25">
      <c r="N829" s="37" t="str">
        <f t="shared" ca="1" si="38"/>
        <v/>
      </c>
      <c r="O829" s="37" t="str">
        <f t="shared" ca="1" si="39"/>
        <v/>
      </c>
    </row>
    <row r="830" spans="14:15" x14ac:dyDescent="0.25">
      <c r="N830" s="37" t="str">
        <f t="shared" ca="1" si="38"/>
        <v/>
      </c>
      <c r="O830" s="37" t="str">
        <f t="shared" ca="1" si="39"/>
        <v/>
      </c>
    </row>
    <row r="831" spans="14:15" x14ac:dyDescent="0.25">
      <c r="N831" s="37" t="str">
        <f t="shared" ca="1" si="38"/>
        <v/>
      </c>
      <c r="O831" s="37" t="str">
        <f t="shared" ca="1" si="39"/>
        <v/>
      </c>
    </row>
    <row r="832" spans="14:15" x14ac:dyDescent="0.25">
      <c r="N832" s="37" t="str">
        <f t="shared" ca="1" si="38"/>
        <v/>
      </c>
      <c r="O832" s="37" t="str">
        <f t="shared" ca="1" si="39"/>
        <v/>
      </c>
    </row>
    <row r="833" spans="14:15" x14ac:dyDescent="0.25">
      <c r="N833" s="37" t="str">
        <f t="shared" ca="1" si="38"/>
        <v/>
      </c>
      <c r="O833" s="37" t="str">
        <f t="shared" ca="1" si="39"/>
        <v/>
      </c>
    </row>
    <row r="834" spans="14:15" x14ac:dyDescent="0.25">
      <c r="N834" s="37" t="str">
        <f t="shared" ca="1" si="38"/>
        <v/>
      </c>
      <c r="O834" s="37" t="str">
        <f t="shared" ca="1" si="39"/>
        <v/>
      </c>
    </row>
    <row r="835" spans="14:15" x14ac:dyDescent="0.25">
      <c r="N835" s="37" t="str">
        <f t="shared" ca="1" si="38"/>
        <v/>
      </c>
      <c r="O835" s="37" t="str">
        <f t="shared" ca="1" si="39"/>
        <v/>
      </c>
    </row>
    <row r="836" spans="14:15" x14ac:dyDescent="0.25">
      <c r="N836" s="37" t="str">
        <f t="shared" ref="N836:N899" ca="1" si="40">IF(COUNTIF(L:L,J836),J836,"")</f>
        <v/>
      </c>
      <c r="O836" s="37" t="str">
        <f t="shared" ref="O836:O899" ca="1" si="41">IF(N836&gt;$A$14,N836,"")</f>
        <v/>
      </c>
    </row>
    <row r="837" spans="14:15" x14ac:dyDescent="0.25">
      <c r="N837" s="37" t="str">
        <f t="shared" ca="1" si="40"/>
        <v/>
      </c>
      <c r="O837" s="37" t="str">
        <f t="shared" ca="1" si="41"/>
        <v/>
      </c>
    </row>
    <row r="838" spans="14:15" x14ac:dyDescent="0.25">
      <c r="N838" s="37" t="str">
        <f t="shared" ca="1" si="40"/>
        <v/>
      </c>
      <c r="O838" s="37" t="str">
        <f t="shared" ca="1" si="41"/>
        <v/>
      </c>
    </row>
    <row r="839" spans="14:15" x14ac:dyDescent="0.25">
      <c r="N839" s="37" t="str">
        <f t="shared" ca="1" si="40"/>
        <v/>
      </c>
      <c r="O839" s="37" t="str">
        <f t="shared" ca="1" si="41"/>
        <v/>
      </c>
    </row>
    <row r="840" spans="14:15" x14ac:dyDescent="0.25">
      <c r="N840" s="37" t="str">
        <f t="shared" ca="1" si="40"/>
        <v/>
      </c>
      <c r="O840" s="37" t="str">
        <f t="shared" ca="1" si="41"/>
        <v/>
      </c>
    </row>
    <row r="841" spans="14:15" x14ac:dyDescent="0.25">
      <c r="N841" s="37" t="str">
        <f t="shared" ca="1" si="40"/>
        <v/>
      </c>
      <c r="O841" s="37" t="str">
        <f t="shared" ca="1" si="41"/>
        <v/>
      </c>
    </row>
    <row r="842" spans="14:15" x14ac:dyDescent="0.25">
      <c r="N842" s="37" t="str">
        <f t="shared" ca="1" si="40"/>
        <v/>
      </c>
      <c r="O842" s="37" t="str">
        <f t="shared" ca="1" si="41"/>
        <v/>
      </c>
    </row>
    <row r="843" spans="14:15" x14ac:dyDescent="0.25">
      <c r="N843" s="37" t="str">
        <f t="shared" ca="1" si="40"/>
        <v/>
      </c>
      <c r="O843" s="37" t="str">
        <f t="shared" ca="1" si="41"/>
        <v/>
      </c>
    </row>
    <row r="844" spans="14:15" x14ac:dyDescent="0.25">
      <c r="N844" s="37" t="str">
        <f t="shared" ca="1" si="40"/>
        <v/>
      </c>
      <c r="O844" s="37" t="str">
        <f t="shared" ca="1" si="41"/>
        <v/>
      </c>
    </row>
    <row r="845" spans="14:15" x14ac:dyDescent="0.25">
      <c r="N845" s="37" t="str">
        <f t="shared" ca="1" si="40"/>
        <v/>
      </c>
      <c r="O845" s="37" t="str">
        <f t="shared" ca="1" si="41"/>
        <v/>
      </c>
    </row>
    <row r="846" spans="14:15" x14ac:dyDescent="0.25">
      <c r="N846" s="37" t="str">
        <f t="shared" ca="1" si="40"/>
        <v/>
      </c>
      <c r="O846" s="37" t="str">
        <f t="shared" ca="1" si="41"/>
        <v/>
      </c>
    </row>
    <row r="847" spans="14:15" x14ac:dyDescent="0.25">
      <c r="N847" s="37" t="str">
        <f t="shared" ca="1" si="40"/>
        <v/>
      </c>
      <c r="O847" s="37" t="str">
        <f t="shared" ca="1" si="41"/>
        <v/>
      </c>
    </row>
    <row r="848" spans="14:15" x14ac:dyDescent="0.25">
      <c r="N848" s="37" t="str">
        <f t="shared" ca="1" si="40"/>
        <v/>
      </c>
      <c r="O848" s="37" t="str">
        <f t="shared" ca="1" si="41"/>
        <v/>
      </c>
    </row>
    <row r="849" spans="14:15" x14ac:dyDescent="0.25">
      <c r="N849" s="37" t="str">
        <f t="shared" ca="1" si="40"/>
        <v/>
      </c>
      <c r="O849" s="37" t="str">
        <f t="shared" ca="1" si="41"/>
        <v/>
      </c>
    </row>
    <row r="850" spans="14:15" x14ac:dyDescent="0.25">
      <c r="N850" s="37" t="str">
        <f t="shared" ca="1" si="40"/>
        <v/>
      </c>
      <c r="O850" s="37" t="str">
        <f t="shared" ca="1" si="41"/>
        <v/>
      </c>
    </row>
    <row r="851" spans="14:15" x14ac:dyDescent="0.25">
      <c r="N851" s="37" t="str">
        <f t="shared" ca="1" si="40"/>
        <v/>
      </c>
      <c r="O851" s="37" t="str">
        <f t="shared" ca="1" si="41"/>
        <v/>
      </c>
    </row>
    <row r="852" spans="14:15" x14ac:dyDescent="0.25">
      <c r="N852" s="37" t="str">
        <f t="shared" ca="1" si="40"/>
        <v/>
      </c>
      <c r="O852" s="37" t="str">
        <f t="shared" ca="1" si="41"/>
        <v/>
      </c>
    </row>
    <row r="853" spans="14:15" x14ac:dyDescent="0.25">
      <c r="N853" s="37" t="str">
        <f t="shared" ca="1" si="40"/>
        <v/>
      </c>
      <c r="O853" s="37" t="str">
        <f t="shared" ca="1" si="41"/>
        <v/>
      </c>
    </row>
    <row r="854" spans="14:15" x14ac:dyDescent="0.25">
      <c r="N854" s="37" t="str">
        <f t="shared" ca="1" si="40"/>
        <v/>
      </c>
      <c r="O854" s="37" t="str">
        <f t="shared" ca="1" si="41"/>
        <v/>
      </c>
    </row>
    <row r="855" spans="14:15" x14ac:dyDescent="0.25">
      <c r="N855" s="37" t="str">
        <f t="shared" ca="1" si="40"/>
        <v/>
      </c>
      <c r="O855" s="37" t="str">
        <f t="shared" ca="1" si="41"/>
        <v/>
      </c>
    </row>
    <row r="856" spans="14:15" x14ac:dyDescent="0.25">
      <c r="N856" s="37" t="str">
        <f t="shared" ca="1" si="40"/>
        <v/>
      </c>
      <c r="O856" s="37" t="str">
        <f t="shared" ca="1" si="41"/>
        <v/>
      </c>
    </row>
    <row r="857" spans="14:15" x14ac:dyDescent="0.25">
      <c r="N857" s="37" t="str">
        <f t="shared" ca="1" si="40"/>
        <v/>
      </c>
      <c r="O857" s="37" t="str">
        <f t="shared" ca="1" si="41"/>
        <v/>
      </c>
    </row>
    <row r="858" spans="14:15" x14ac:dyDescent="0.25">
      <c r="N858" s="37" t="str">
        <f t="shared" ca="1" si="40"/>
        <v/>
      </c>
      <c r="O858" s="37" t="str">
        <f t="shared" ca="1" si="41"/>
        <v/>
      </c>
    </row>
    <row r="859" spans="14:15" x14ac:dyDescent="0.25">
      <c r="N859" s="37" t="str">
        <f t="shared" ca="1" si="40"/>
        <v/>
      </c>
      <c r="O859" s="37" t="str">
        <f t="shared" ca="1" si="41"/>
        <v/>
      </c>
    </row>
    <row r="860" spans="14:15" x14ac:dyDescent="0.25">
      <c r="N860" s="37" t="str">
        <f t="shared" ca="1" si="40"/>
        <v/>
      </c>
      <c r="O860" s="37" t="str">
        <f t="shared" ca="1" si="41"/>
        <v/>
      </c>
    </row>
    <row r="861" spans="14:15" x14ac:dyDescent="0.25">
      <c r="N861" s="37" t="str">
        <f t="shared" ca="1" si="40"/>
        <v/>
      </c>
      <c r="O861" s="37" t="str">
        <f t="shared" ca="1" si="41"/>
        <v/>
      </c>
    </row>
    <row r="862" spans="14:15" x14ac:dyDescent="0.25">
      <c r="N862" s="37" t="str">
        <f t="shared" ca="1" si="40"/>
        <v/>
      </c>
      <c r="O862" s="37" t="str">
        <f t="shared" ca="1" si="41"/>
        <v/>
      </c>
    </row>
    <row r="863" spans="14:15" x14ac:dyDescent="0.25">
      <c r="N863" s="37" t="str">
        <f t="shared" ca="1" si="40"/>
        <v/>
      </c>
      <c r="O863" s="37" t="str">
        <f t="shared" ca="1" si="41"/>
        <v/>
      </c>
    </row>
    <row r="864" spans="14:15" x14ac:dyDescent="0.25">
      <c r="N864" s="37" t="str">
        <f t="shared" ca="1" si="40"/>
        <v/>
      </c>
      <c r="O864" s="37" t="str">
        <f t="shared" ca="1" si="41"/>
        <v/>
      </c>
    </row>
    <row r="865" spans="14:15" x14ac:dyDescent="0.25">
      <c r="N865" s="37" t="str">
        <f t="shared" ca="1" si="40"/>
        <v/>
      </c>
      <c r="O865" s="37" t="str">
        <f t="shared" ca="1" si="41"/>
        <v/>
      </c>
    </row>
    <row r="866" spans="14:15" x14ac:dyDescent="0.25">
      <c r="N866" s="37" t="str">
        <f t="shared" ca="1" si="40"/>
        <v/>
      </c>
      <c r="O866" s="37" t="str">
        <f t="shared" ca="1" si="41"/>
        <v/>
      </c>
    </row>
    <row r="867" spans="14:15" x14ac:dyDescent="0.25">
      <c r="N867" s="37" t="str">
        <f t="shared" ca="1" si="40"/>
        <v/>
      </c>
      <c r="O867" s="37" t="str">
        <f t="shared" ca="1" si="41"/>
        <v/>
      </c>
    </row>
    <row r="868" spans="14:15" x14ac:dyDescent="0.25">
      <c r="N868" s="37" t="str">
        <f t="shared" ca="1" si="40"/>
        <v/>
      </c>
      <c r="O868" s="37" t="str">
        <f t="shared" ca="1" si="41"/>
        <v/>
      </c>
    </row>
    <row r="869" spans="14:15" x14ac:dyDescent="0.25">
      <c r="N869" s="37" t="str">
        <f t="shared" ca="1" si="40"/>
        <v/>
      </c>
      <c r="O869" s="37" t="str">
        <f t="shared" ca="1" si="41"/>
        <v/>
      </c>
    </row>
    <row r="870" spans="14:15" x14ac:dyDescent="0.25">
      <c r="N870" s="37" t="str">
        <f t="shared" ca="1" si="40"/>
        <v/>
      </c>
      <c r="O870" s="37" t="str">
        <f t="shared" ca="1" si="41"/>
        <v/>
      </c>
    </row>
    <row r="871" spans="14:15" x14ac:dyDescent="0.25">
      <c r="N871" s="37" t="str">
        <f t="shared" ca="1" si="40"/>
        <v/>
      </c>
      <c r="O871" s="37" t="str">
        <f t="shared" ca="1" si="41"/>
        <v/>
      </c>
    </row>
    <row r="872" spans="14:15" x14ac:dyDescent="0.25">
      <c r="N872" s="37" t="str">
        <f t="shared" ca="1" si="40"/>
        <v/>
      </c>
      <c r="O872" s="37" t="str">
        <f t="shared" ca="1" si="41"/>
        <v/>
      </c>
    </row>
    <row r="873" spans="14:15" x14ac:dyDescent="0.25">
      <c r="N873" s="37" t="str">
        <f t="shared" ca="1" si="40"/>
        <v/>
      </c>
      <c r="O873" s="37" t="str">
        <f t="shared" ca="1" si="41"/>
        <v/>
      </c>
    </row>
    <row r="874" spans="14:15" x14ac:dyDescent="0.25">
      <c r="N874" s="37" t="str">
        <f t="shared" ca="1" si="40"/>
        <v/>
      </c>
      <c r="O874" s="37" t="str">
        <f t="shared" ca="1" si="41"/>
        <v/>
      </c>
    </row>
    <row r="875" spans="14:15" x14ac:dyDescent="0.25">
      <c r="N875" s="37" t="str">
        <f t="shared" ca="1" si="40"/>
        <v/>
      </c>
      <c r="O875" s="37" t="str">
        <f t="shared" ca="1" si="41"/>
        <v/>
      </c>
    </row>
    <row r="876" spans="14:15" x14ac:dyDescent="0.25">
      <c r="N876" s="37" t="str">
        <f t="shared" ca="1" si="40"/>
        <v/>
      </c>
      <c r="O876" s="37" t="str">
        <f t="shared" ca="1" si="41"/>
        <v/>
      </c>
    </row>
    <row r="877" spans="14:15" x14ac:dyDescent="0.25">
      <c r="N877" s="37" t="str">
        <f t="shared" ca="1" si="40"/>
        <v/>
      </c>
      <c r="O877" s="37" t="str">
        <f t="shared" ca="1" si="41"/>
        <v/>
      </c>
    </row>
    <row r="878" spans="14:15" x14ac:dyDescent="0.25">
      <c r="N878" s="37" t="str">
        <f t="shared" ca="1" si="40"/>
        <v/>
      </c>
      <c r="O878" s="37" t="str">
        <f t="shared" ca="1" si="41"/>
        <v/>
      </c>
    </row>
    <row r="879" spans="14:15" x14ac:dyDescent="0.25">
      <c r="N879" s="37" t="str">
        <f t="shared" ca="1" si="40"/>
        <v/>
      </c>
      <c r="O879" s="37" t="str">
        <f t="shared" ca="1" si="41"/>
        <v/>
      </c>
    </row>
    <row r="880" spans="14:15" x14ac:dyDescent="0.25">
      <c r="N880" s="37" t="str">
        <f t="shared" ca="1" si="40"/>
        <v/>
      </c>
      <c r="O880" s="37" t="str">
        <f t="shared" ca="1" si="41"/>
        <v/>
      </c>
    </row>
    <row r="881" spans="14:15" x14ac:dyDescent="0.25">
      <c r="N881" s="37" t="str">
        <f t="shared" ca="1" si="40"/>
        <v/>
      </c>
      <c r="O881" s="37" t="str">
        <f t="shared" ca="1" si="41"/>
        <v/>
      </c>
    </row>
    <row r="882" spans="14:15" x14ac:dyDescent="0.25">
      <c r="N882" s="37" t="str">
        <f t="shared" ca="1" si="40"/>
        <v/>
      </c>
      <c r="O882" s="37" t="str">
        <f t="shared" ca="1" si="41"/>
        <v/>
      </c>
    </row>
    <row r="883" spans="14:15" x14ac:dyDescent="0.25">
      <c r="N883" s="37" t="str">
        <f t="shared" ca="1" si="40"/>
        <v/>
      </c>
      <c r="O883" s="37" t="str">
        <f t="shared" ca="1" si="41"/>
        <v/>
      </c>
    </row>
    <row r="884" spans="14:15" x14ac:dyDescent="0.25">
      <c r="N884" s="37" t="str">
        <f t="shared" ca="1" si="40"/>
        <v/>
      </c>
      <c r="O884" s="37" t="str">
        <f t="shared" ca="1" si="41"/>
        <v/>
      </c>
    </row>
    <row r="885" spans="14:15" x14ac:dyDescent="0.25">
      <c r="N885" s="37" t="str">
        <f t="shared" ca="1" si="40"/>
        <v/>
      </c>
      <c r="O885" s="37" t="str">
        <f t="shared" ca="1" si="41"/>
        <v/>
      </c>
    </row>
    <row r="886" spans="14:15" x14ac:dyDescent="0.25">
      <c r="N886" s="37" t="str">
        <f t="shared" ca="1" si="40"/>
        <v/>
      </c>
      <c r="O886" s="37" t="str">
        <f t="shared" ca="1" si="41"/>
        <v/>
      </c>
    </row>
    <row r="887" spans="14:15" x14ac:dyDescent="0.25">
      <c r="N887" s="37" t="str">
        <f t="shared" ca="1" si="40"/>
        <v/>
      </c>
      <c r="O887" s="37" t="str">
        <f t="shared" ca="1" si="41"/>
        <v/>
      </c>
    </row>
    <row r="888" spans="14:15" x14ac:dyDescent="0.25">
      <c r="N888" s="37" t="str">
        <f t="shared" ca="1" si="40"/>
        <v/>
      </c>
      <c r="O888" s="37" t="str">
        <f t="shared" ca="1" si="41"/>
        <v/>
      </c>
    </row>
    <row r="889" spans="14:15" x14ac:dyDescent="0.25">
      <c r="N889" s="37" t="str">
        <f t="shared" ca="1" si="40"/>
        <v/>
      </c>
      <c r="O889" s="37" t="str">
        <f t="shared" ca="1" si="41"/>
        <v/>
      </c>
    </row>
    <row r="890" spans="14:15" x14ac:dyDescent="0.25">
      <c r="N890" s="37" t="str">
        <f t="shared" ca="1" si="40"/>
        <v/>
      </c>
      <c r="O890" s="37" t="str">
        <f t="shared" ca="1" si="41"/>
        <v/>
      </c>
    </row>
    <row r="891" spans="14:15" x14ac:dyDescent="0.25">
      <c r="N891" s="37" t="str">
        <f t="shared" ca="1" si="40"/>
        <v/>
      </c>
      <c r="O891" s="37" t="str">
        <f t="shared" ca="1" si="41"/>
        <v/>
      </c>
    </row>
    <row r="892" spans="14:15" x14ac:dyDescent="0.25">
      <c r="N892" s="37" t="str">
        <f t="shared" ca="1" si="40"/>
        <v/>
      </c>
      <c r="O892" s="37" t="str">
        <f t="shared" ca="1" si="41"/>
        <v/>
      </c>
    </row>
    <row r="893" spans="14:15" x14ac:dyDescent="0.25">
      <c r="N893" s="37" t="str">
        <f t="shared" ca="1" si="40"/>
        <v/>
      </c>
      <c r="O893" s="37" t="str">
        <f t="shared" ca="1" si="41"/>
        <v/>
      </c>
    </row>
    <row r="894" spans="14:15" x14ac:dyDescent="0.25">
      <c r="N894" s="37" t="str">
        <f t="shared" ca="1" si="40"/>
        <v/>
      </c>
      <c r="O894" s="37" t="str">
        <f t="shared" ca="1" si="41"/>
        <v/>
      </c>
    </row>
    <row r="895" spans="14:15" x14ac:dyDescent="0.25">
      <c r="N895" s="37" t="str">
        <f t="shared" ca="1" si="40"/>
        <v/>
      </c>
      <c r="O895" s="37" t="str">
        <f t="shared" ca="1" si="41"/>
        <v/>
      </c>
    </row>
    <row r="896" spans="14:15" x14ac:dyDescent="0.25">
      <c r="N896" s="37" t="str">
        <f t="shared" ca="1" si="40"/>
        <v/>
      </c>
      <c r="O896" s="37" t="str">
        <f t="shared" ca="1" si="41"/>
        <v/>
      </c>
    </row>
    <row r="897" spans="14:15" x14ac:dyDescent="0.25">
      <c r="N897" s="37" t="str">
        <f t="shared" ca="1" si="40"/>
        <v/>
      </c>
      <c r="O897" s="37" t="str">
        <f t="shared" ca="1" si="41"/>
        <v/>
      </c>
    </row>
    <row r="898" spans="14:15" x14ac:dyDescent="0.25">
      <c r="N898" s="37" t="str">
        <f t="shared" ca="1" si="40"/>
        <v/>
      </c>
      <c r="O898" s="37" t="str">
        <f t="shared" ca="1" si="41"/>
        <v/>
      </c>
    </row>
    <row r="899" spans="14:15" x14ac:dyDescent="0.25">
      <c r="N899" s="37" t="str">
        <f t="shared" ca="1" si="40"/>
        <v/>
      </c>
      <c r="O899" s="37" t="str">
        <f t="shared" ca="1" si="41"/>
        <v/>
      </c>
    </row>
    <row r="900" spans="14:15" x14ac:dyDescent="0.25">
      <c r="N900" s="37" t="str">
        <f t="shared" ref="N900:N945" ca="1" si="42">IF(COUNTIF(L:L,J900),J900,"")</f>
        <v/>
      </c>
      <c r="O900" s="37" t="str">
        <f t="shared" ref="O900:O945" ca="1" si="43">IF(N900&gt;$A$14,N900,"")</f>
        <v/>
      </c>
    </row>
    <row r="901" spans="14:15" x14ac:dyDescent="0.25">
      <c r="N901" s="37" t="str">
        <f t="shared" ca="1" si="42"/>
        <v/>
      </c>
      <c r="O901" s="37" t="str">
        <f t="shared" ca="1" si="43"/>
        <v/>
      </c>
    </row>
    <row r="902" spans="14:15" x14ac:dyDescent="0.25">
      <c r="N902" s="37" t="str">
        <f t="shared" ca="1" si="42"/>
        <v/>
      </c>
      <c r="O902" s="37" t="str">
        <f t="shared" ca="1" si="43"/>
        <v/>
      </c>
    </row>
    <row r="903" spans="14:15" x14ac:dyDescent="0.25">
      <c r="N903" s="37" t="str">
        <f t="shared" ca="1" si="42"/>
        <v/>
      </c>
      <c r="O903" s="37" t="str">
        <f t="shared" ca="1" si="43"/>
        <v/>
      </c>
    </row>
    <row r="904" spans="14:15" x14ac:dyDescent="0.25">
      <c r="N904" s="37" t="str">
        <f t="shared" ca="1" si="42"/>
        <v/>
      </c>
      <c r="O904" s="37" t="str">
        <f t="shared" ca="1" si="43"/>
        <v/>
      </c>
    </row>
    <row r="905" spans="14:15" x14ac:dyDescent="0.25">
      <c r="N905" s="37" t="str">
        <f t="shared" ca="1" si="42"/>
        <v/>
      </c>
      <c r="O905" s="37" t="str">
        <f t="shared" ca="1" si="43"/>
        <v/>
      </c>
    </row>
    <row r="906" spans="14:15" x14ac:dyDescent="0.25">
      <c r="N906" s="37" t="str">
        <f t="shared" ca="1" si="42"/>
        <v/>
      </c>
      <c r="O906" s="37" t="str">
        <f t="shared" ca="1" si="43"/>
        <v/>
      </c>
    </row>
    <row r="907" spans="14:15" x14ac:dyDescent="0.25">
      <c r="N907" s="37" t="str">
        <f t="shared" ca="1" si="42"/>
        <v/>
      </c>
      <c r="O907" s="37" t="str">
        <f t="shared" ca="1" si="43"/>
        <v/>
      </c>
    </row>
    <row r="908" spans="14:15" x14ac:dyDescent="0.25">
      <c r="N908" s="37" t="str">
        <f t="shared" ca="1" si="42"/>
        <v/>
      </c>
      <c r="O908" s="37" t="str">
        <f t="shared" ca="1" si="43"/>
        <v/>
      </c>
    </row>
    <row r="909" spans="14:15" x14ac:dyDescent="0.25">
      <c r="N909" s="37" t="str">
        <f t="shared" ca="1" si="42"/>
        <v/>
      </c>
      <c r="O909" s="37" t="str">
        <f t="shared" ca="1" si="43"/>
        <v/>
      </c>
    </row>
    <row r="910" spans="14:15" x14ac:dyDescent="0.25">
      <c r="N910" s="37" t="str">
        <f t="shared" ca="1" si="42"/>
        <v/>
      </c>
      <c r="O910" s="37" t="str">
        <f t="shared" ca="1" si="43"/>
        <v/>
      </c>
    </row>
    <row r="911" spans="14:15" x14ac:dyDescent="0.25">
      <c r="N911" s="37" t="str">
        <f t="shared" ca="1" si="42"/>
        <v/>
      </c>
      <c r="O911" s="37" t="str">
        <f t="shared" ca="1" si="43"/>
        <v/>
      </c>
    </row>
    <row r="912" spans="14:15" x14ac:dyDescent="0.25">
      <c r="N912" s="37" t="str">
        <f t="shared" ca="1" si="42"/>
        <v/>
      </c>
      <c r="O912" s="37" t="str">
        <f t="shared" ca="1" si="43"/>
        <v/>
      </c>
    </row>
    <row r="913" spans="14:15" x14ac:dyDescent="0.25">
      <c r="N913" s="37" t="str">
        <f t="shared" ca="1" si="42"/>
        <v/>
      </c>
      <c r="O913" s="37" t="str">
        <f t="shared" ca="1" si="43"/>
        <v/>
      </c>
    </row>
    <row r="914" spans="14:15" x14ac:dyDescent="0.25">
      <c r="N914" s="37" t="str">
        <f t="shared" ca="1" si="42"/>
        <v/>
      </c>
      <c r="O914" s="37" t="str">
        <f t="shared" ca="1" si="43"/>
        <v/>
      </c>
    </row>
    <row r="915" spans="14:15" x14ac:dyDescent="0.25">
      <c r="N915" s="37" t="str">
        <f t="shared" ca="1" si="42"/>
        <v/>
      </c>
      <c r="O915" s="37" t="str">
        <f t="shared" ca="1" si="43"/>
        <v/>
      </c>
    </row>
    <row r="916" spans="14:15" x14ac:dyDescent="0.25">
      <c r="N916" s="37" t="str">
        <f t="shared" ca="1" si="42"/>
        <v/>
      </c>
      <c r="O916" s="37" t="str">
        <f t="shared" ca="1" si="43"/>
        <v/>
      </c>
    </row>
    <row r="917" spans="14:15" x14ac:dyDescent="0.25">
      <c r="N917" s="37" t="str">
        <f t="shared" ca="1" si="42"/>
        <v/>
      </c>
      <c r="O917" s="37" t="str">
        <f t="shared" ca="1" si="43"/>
        <v/>
      </c>
    </row>
    <row r="918" spans="14:15" x14ac:dyDescent="0.25">
      <c r="N918" s="37" t="str">
        <f t="shared" ca="1" si="42"/>
        <v/>
      </c>
      <c r="O918" s="37" t="str">
        <f t="shared" ca="1" si="43"/>
        <v/>
      </c>
    </row>
    <row r="919" spans="14:15" x14ac:dyDescent="0.25">
      <c r="N919" s="37" t="str">
        <f t="shared" ca="1" si="42"/>
        <v/>
      </c>
      <c r="O919" s="37" t="str">
        <f t="shared" ca="1" si="43"/>
        <v/>
      </c>
    </row>
    <row r="920" spans="14:15" x14ac:dyDescent="0.25">
      <c r="N920" s="37" t="str">
        <f t="shared" ca="1" si="42"/>
        <v/>
      </c>
      <c r="O920" s="37" t="str">
        <f t="shared" ca="1" si="43"/>
        <v/>
      </c>
    </row>
    <row r="921" spans="14:15" x14ac:dyDescent="0.25">
      <c r="N921" s="37" t="str">
        <f t="shared" ca="1" si="42"/>
        <v/>
      </c>
      <c r="O921" s="37" t="str">
        <f t="shared" ca="1" si="43"/>
        <v/>
      </c>
    </row>
    <row r="922" spans="14:15" x14ac:dyDescent="0.25">
      <c r="N922" s="37" t="str">
        <f t="shared" ca="1" si="42"/>
        <v/>
      </c>
      <c r="O922" s="37" t="str">
        <f t="shared" ca="1" si="43"/>
        <v/>
      </c>
    </row>
    <row r="923" spans="14:15" x14ac:dyDescent="0.25">
      <c r="N923" s="37" t="str">
        <f t="shared" ca="1" si="42"/>
        <v/>
      </c>
      <c r="O923" s="37" t="str">
        <f t="shared" ca="1" si="43"/>
        <v/>
      </c>
    </row>
    <row r="924" spans="14:15" x14ac:dyDescent="0.25">
      <c r="N924" s="37" t="str">
        <f t="shared" ca="1" si="42"/>
        <v/>
      </c>
      <c r="O924" s="37" t="str">
        <f t="shared" ca="1" si="43"/>
        <v/>
      </c>
    </row>
    <row r="925" spans="14:15" x14ac:dyDescent="0.25">
      <c r="N925" s="37" t="str">
        <f t="shared" ca="1" si="42"/>
        <v/>
      </c>
      <c r="O925" s="37" t="str">
        <f t="shared" ca="1" si="43"/>
        <v/>
      </c>
    </row>
    <row r="926" spans="14:15" x14ac:dyDescent="0.25">
      <c r="N926" s="37" t="str">
        <f t="shared" ca="1" si="42"/>
        <v/>
      </c>
      <c r="O926" s="37" t="str">
        <f t="shared" ca="1" si="43"/>
        <v/>
      </c>
    </row>
    <row r="927" spans="14:15" x14ac:dyDescent="0.25">
      <c r="N927" s="37" t="str">
        <f t="shared" ca="1" si="42"/>
        <v/>
      </c>
      <c r="O927" s="37" t="str">
        <f t="shared" ca="1" si="43"/>
        <v/>
      </c>
    </row>
    <row r="928" spans="14:15" x14ac:dyDescent="0.25">
      <c r="N928" s="37" t="str">
        <f t="shared" ca="1" si="42"/>
        <v/>
      </c>
      <c r="O928" s="37" t="str">
        <f t="shared" ca="1" si="43"/>
        <v/>
      </c>
    </row>
    <row r="929" spans="14:15" x14ac:dyDescent="0.25">
      <c r="N929" s="37" t="str">
        <f t="shared" ca="1" si="42"/>
        <v/>
      </c>
      <c r="O929" s="37" t="str">
        <f t="shared" ca="1" si="43"/>
        <v/>
      </c>
    </row>
    <row r="930" spans="14:15" x14ac:dyDescent="0.25">
      <c r="N930" s="37" t="str">
        <f t="shared" ca="1" si="42"/>
        <v/>
      </c>
      <c r="O930" s="37" t="str">
        <f t="shared" ca="1" si="43"/>
        <v/>
      </c>
    </row>
    <row r="931" spans="14:15" x14ac:dyDescent="0.25">
      <c r="N931" s="37" t="str">
        <f t="shared" ca="1" si="42"/>
        <v/>
      </c>
      <c r="O931" s="37" t="str">
        <f t="shared" ca="1" si="43"/>
        <v/>
      </c>
    </row>
    <row r="932" spans="14:15" x14ac:dyDescent="0.25">
      <c r="N932" s="37" t="str">
        <f t="shared" ca="1" si="42"/>
        <v/>
      </c>
      <c r="O932" s="37" t="str">
        <f t="shared" ca="1" si="43"/>
        <v/>
      </c>
    </row>
    <row r="933" spans="14:15" x14ac:dyDescent="0.25">
      <c r="N933" s="37" t="str">
        <f t="shared" ca="1" si="42"/>
        <v/>
      </c>
      <c r="O933" s="37" t="str">
        <f t="shared" ca="1" si="43"/>
        <v/>
      </c>
    </row>
    <row r="934" spans="14:15" x14ac:dyDescent="0.25">
      <c r="N934" s="37" t="str">
        <f t="shared" ca="1" si="42"/>
        <v/>
      </c>
      <c r="O934" s="37" t="str">
        <f t="shared" ca="1" si="43"/>
        <v/>
      </c>
    </row>
    <row r="935" spans="14:15" x14ac:dyDescent="0.25">
      <c r="N935" s="37" t="str">
        <f t="shared" ca="1" si="42"/>
        <v/>
      </c>
      <c r="O935" s="37" t="str">
        <f t="shared" ca="1" si="43"/>
        <v/>
      </c>
    </row>
    <row r="936" spans="14:15" x14ac:dyDescent="0.25">
      <c r="N936" s="37" t="str">
        <f t="shared" ca="1" si="42"/>
        <v/>
      </c>
      <c r="O936" s="37" t="str">
        <f t="shared" ca="1" si="43"/>
        <v/>
      </c>
    </row>
    <row r="937" spans="14:15" x14ac:dyDescent="0.25">
      <c r="N937" s="37" t="str">
        <f t="shared" ca="1" si="42"/>
        <v/>
      </c>
      <c r="O937" s="37" t="str">
        <f t="shared" ca="1" si="43"/>
        <v/>
      </c>
    </row>
    <row r="938" spans="14:15" x14ac:dyDescent="0.25">
      <c r="N938" s="37" t="str">
        <f t="shared" ca="1" si="42"/>
        <v/>
      </c>
      <c r="O938" s="37" t="str">
        <f t="shared" ca="1" si="43"/>
        <v/>
      </c>
    </row>
    <row r="939" spans="14:15" x14ac:dyDescent="0.25">
      <c r="N939" s="37" t="str">
        <f t="shared" ca="1" si="42"/>
        <v/>
      </c>
      <c r="O939" s="37" t="str">
        <f t="shared" ca="1" si="43"/>
        <v/>
      </c>
    </row>
    <row r="940" spans="14:15" x14ac:dyDescent="0.25">
      <c r="N940" s="37" t="str">
        <f t="shared" ca="1" si="42"/>
        <v/>
      </c>
      <c r="O940" s="37" t="str">
        <f t="shared" ca="1" si="43"/>
        <v/>
      </c>
    </row>
    <row r="941" spans="14:15" x14ac:dyDescent="0.25">
      <c r="N941" s="37" t="str">
        <f t="shared" ca="1" si="42"/>
        <v/>
      </c>
      <c r="O941" s="37" t="str">
        <f t="shared" ca="1" si="43"/>
        <v/>
      </c>
    </row>
    <row r="942" spans="14:15" x14ac:dyDescent="0.25">
      <c r="N942" s="37" t="str">
        <f t="shared" ca="1" si="42"/>
        <v/>
      </c>
      <c r="O942" s="37" t="str">
        <f t="shared" ca="1" si="43"/>
        <v/>
      </c>
    </row>
    <row r="943" spans="14:15" x14ac:dyDescent="0.25">
      <c r="N943" s="37" t="str">
        <f t="shared" ca="1" si="42"/>
        <v/>
      </c>
      <c r="O943" s="37" t="str">
        <f t="shared" ca="1" si="43"/>
        <v/>
      </c>
    </row>
    <row r="944" spans="14:15" x14ac:dyDescent="0.25">
      <c r="N944" s="37" t="str">
        <f t="shared" ca="1" si="42"/>
        <v/>
      </c>
      <c r="O944" s="37" t="str">
        <f t="shared" ca="1" si="43"/>
        <v/>
      </c>
    </row>
    <row r="945" spans="14:15" x14ac:dyDescent="0.25">
      <c r="N945" s="37" t="str">
        <f t="shared" ca="1" si="42"/>
        <v/>
      </c>
      <c r="O945" s="37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Dividends</vt:lpstr>
      <vt:lpstr>41b</vt:lpstr>
      <vt:lpstr>41c</vt:lpstr>
      <vt:lpstr>44a</vt:lpstr>
      <vt:lpstr>44b</vt:lpstr>
      <vt:lpstr>50</vt:lpstr>
      <vt:lpstr>51</vt:lpstr>
      <vt:lpstr>52</vt:lpstr>
      <vt:lpstr>53</vt:lpstr>
      <vt:lpstr>54</vt:lpstr>
      <vt:lpstr>55</vt:lpstr>
      <vt:lpstr>2 CDS RV Template</vt:lpstr>
      <vt:lpstr>3 CDS RV Template</vt:lpstr>
      <vt:lpstr>SNRFIN vs SX7E Puts Template</vt:lpstr>
      <vt:lpstr>SPX vs HYG Calls Template</vt:lpstr>
      <vt:lpstr>CDX HY vs IWM Puts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2026-06-18T15:17:58Z</dcterms:modified>
</cp:coreProperties>
</file>